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72" yWindow="3072" windowWidth="17280" windowHeight="10500" tabRatio="600" firstSheet="0" activeTab="1" autoFilterDateGrouping="1"/>
  </bookViews>
  <sheets>
    <sheet name="OKX Maliyetleri" sheetId="1" state="visible" r:id="rId1"/>
    <sheet name="Bybit Maliyetleri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\$#,##0"/>
    <numFmt numFmtId="165" formatCode="\$#,##0.00"/>
    <numFmt numFmtId="166" formatCode="\$#,##0.000"/>
    <numFmt numFmtId="167" formatCode="dd\.mm\.yyyy"/>
    <numFmt numFmtId="168" formatCode="0.0000%"/>
    <numFmt numFmtId="169" formatCode="$#,##0.00"/>
    <numFmt numFmtId="170" formatCode="$#,##0.000"/>
  </numFmts>
  <fonts count="33">
    <font>
      <name val="Calibri"/>
      <family val="2"/>
      <color theme="1"/>
      <sz val="11"/>
      <scheme val="minor"/>
    </font>
    <font>
      <name val="Segoe UI"/>
      <b val="1"/>
      <color rgb="FFFFFFFF"/>
      <sz val="14"/>
    </font>
    <font>
      <name val="Segoe UI"/>
      <i val="1"/>
      <color rgb="FF94A3B8"/>
      <sz val="9.5"/>
    </font>
    <font>
      <name val="Segoe UI"/>
      <b val="1"/>
      <color rgb="FFFFFFFF"/>
      <sz val="10"/>
    </font>
    <font>
      <name val="Segoe UI"/>
      <b val="1"/>
      <color rgb="FF334155"/>
      <sz val="9.5"/>
    </font>
    <font>
      <name val="Segoe UI"/>
      <b val="1"/>
      <color rgb="FF92400E"/>
      <sz val="11"/>
    </font>
    <font>
      <name val="Segoe UI"/>
      <b val="1"/>
      <color rgb="FF1E3A8A"/>
      <sz val="11.5"/>
    </font>
    <font>
      <name val="Segoe UI"/>
      <b val="1"/>
      <color rgb="FF065F46"/>
      <sz val="9.5"/>
    </font>
    <font>
      <name val="Segoe UI"/>
      <b val="1"/>
      <color rgb="FF047857"/>
      <sz val="11.5"/>
    </font>
    <font>
      <name val="Segoe UI"/>
      <i val="1"/>
      <color rgb="FF94A3B8"/>
      <sz val="9"/>
    </font>
    <font>
      <name val="Segoe UI"/>
      <i val="1"/>
      <color rgb="FF64748B"/>
      <sz val="8.5"/>
    </font>
    <font>
      <name val="Segoe UI"/>
      <b val="1"/>
      <color rgb="FFFFFFFF"/>
      <sz val="8.5"/>
    </font>
    <font>
      <name val="Segoe UI"/>
      <b val="1"/>
      <color rgb="FF0F172A"/>
      <sz val="13"/>
    </font>
    <font>
      <name val="Segoe UI"/>
      <color rgb="FF64748B"/>
      <sz val="8"/>
    </font>
    <font>
      <name val="Segoe UI"/>
      <b val="1"/>
      <color rgb="FF991B1B"/>
      <sz val="13"/>
    </font>
    <font>
      <name val="Segoe UI"/>
      <b val="1"/>
      <color rgb="FF1E40AF"/>
      <sz val="13"/>
    </font>
    <font>
      <name val="Segoe UI"/>
      <b val="1"/>
      <color rgb="FFB45309"/>
      <sz val="13"/>
    </font>
    <font>
      <name val="Segoe UI"/>
      <b val="1"/>
      <color rgb="FF047857"/>
      <sz val="13"/>
    </font>
    <font>
      <name val="Segoe UI"/>
      <b val="1"/>
      <color rgb="FF1E293B"/>
      <sz val="13"/>
    </font>
    <font>
      <name val="Segoe UI"/>
      <b val="1"/>
      <color rgb="FFFFFFFF"/>
      <sz val="9"/>
    </font>
    <font>
      <name val="Segoe UI"/>
      <b val="1"/>
      <color rgb="FF1E293B"/>
      <sz val="8"/>
    </font>
    <font>
      <name val="Segoe UI"/>
      <color rgb="FF334155"/>
      <sz val="8"/>
    </font>
    <font>
      <name val="Segoe UI"/>
      <b val="1"/>
      <color rgb="FF92400E"/>
      <sz val="8"/>
    </font>
    <font>
      <name val="Segoe UI"/>
      <b val="1"/>
      <color rgb="FFFFFFFF"/>
      <sz val="9.5"/>
    </font>
    <font>
      <name val="Segoe UI"/>
      <sz val="10"/>
    </font>
    <font>
      <name val="Segoe UI"/>
      <b val="1"/>
      <sz val="10"/>
    </font>
    <font>
      <name val="Segoe UI"/>
      <i val="1"/>
      <color rgb="FF64748B"/>
      <sz val="9"/>
    </font>
    <font>
      <name val="Segoe UI"/>
      <b val="1"/>
      <color rgb="FF9A3412"/>
      <sz val="9.5"/>
    </font>
    <font>
      <name val="Segoe UI"/>
      <b val="1"/>
      <color rgb="FFC2410C"/>
      <sz val="11.5"/>
    </font>
    <font>
      <name val="Segoe UI"/>
      <b val="1"/>
      <color rgb="FF047857"/>
      <sz val="10"/>
    </font>
    <font>
      <name val="Segoe UI"/>
      <color rgb="FF1E40AF"/>
      <sz val="10"/>
    </font>
    <font>
      <name val="Segoe UI"/>
      <b val="1"/>
      <color rgb="FFB45309"/>
      <sz val="10"/>
    </font>
    <font>
      <name val="Segoe UI"/>
      <b val="1"/>
      <color rgb="FF0F172A"/>
      <sz val="10.5"/>
    </font>
  </fonts>
  <fills count="21">
    <fill>
      <patternFill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334155"/>
        <bgColor rgb="FF334155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  <fill>
      <patternFill patternType="solid">
        <fgColor rgb="FFFDE68A"/>
        <bgColor rgb="FFFDE68A"/>
      </patternFill>
    </fill>
    <fill>
      <patternFill patternType="solid">
        <fgColor rgb="FFF0FDF4"/>
        <bgColor rgb="FFF0FDF4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FEF2F2"/>
        <bgColor rgb="FFFEF2F2"/>
      </patternFill>
    </fill>
    <fill>
      <patternFill patternType="solid">
        <fgColor rgb="FFFFFBEB"/>
        <bgColor rgb="FFFFFBEB"/>
      </patternFill>
    </fill>
    <fill>
      <patternFill patternType="solid">
        <fgColor rgb="FFECFDF5"/>
        <bgColor rgb="FFECFDF5"/>
      </patternFill>
    </fill>
    <fill>
      <patternFill patternType="solid">
        <fgColor rgb="FFE2E8F0"/>
        <bgColor rgb="FFE2E8F0"/>
      </patternFill>
    </fill>
    <fill>
      <patternFill patternType="solid">
        <fgColor rgb="FFFFFFFF"/>
        <bgColor rgb="FFFFFFFF"/>
      </patternFill>
    </fill>
    <fill>
      <patternFill patternType="solid">
        <fgColor rgb="FF065F46"/>
        <bgColor rgb="FF065F46"/>
      </patternFill>
    </fill>
    <fill>
      <patternFill patternType="solid">
        <fgColor rgb="FF181A20"/>
        <bgColor rgb="FF181A20"/>
      </patternFill>
    </fill>
    <fill>
      <patternFill patternType="solid">
        <fgColor rgb="FFFFEDD5"/>
        <bgColor rgb="FFFFEDD5"/>
      </patternFill>
    </fill>
    <fill>
      <patternFill patternType="solid">
        <fgColor rgb="FF1E2329"/>
        <bgColor rgb="FF1E2329"/>
      </patternFill>
    </fill>
  </fills>
  <borders count="2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 style="medium">
        <color rgb="FF10B981"/>
      </left>
      <right style="medium">
        <color rgb="FF10B981"/>
      </right>
      <top style="medium">
        <color rgb="FF10B981"/>
      </top>
      <bottom style="medium">
        <color rgb="FF10B981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medium">
        <color rgb="FF475569"/>
      </top>
      <bottom style="medium">
        <color rgb="FF475569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 style="thin">
        <color rgb="FF94A3B8"/>
      </left>
      <right style="thin">
        <color rgb="FF94A3B8"/>
      </right>
      <top/>
      <bottom/>
      <diagonal/>
    </border>
    <border>
      <left style="thin">
        <color rgb="FF94A3B8"/>
      </left>
      <right style="thin">
        <color rgb="FF94A3B8"/>
      </right>
      <top/>
      <bottom style="thin">
        <color rgb="FF94A3B8"/>
      </bottom>
      <diagonal/>
    </border>
    <border>
      <left/>
      <right style="medium">
        <color rgb="FF10B981"/>
      </right>
      <top style="medium">
        <color rgb="FF10B981"/>
      </top>
      <bottom style="medium">
        <color rgb="FF10B98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medium">
        <color rgb="FFF59E0B"/>
      </top>
      <bottom/>
      <diagonal/>
    </border>
    <border>
      <left/>
      <right style="medium">
        <color rgb="FFF59E0B"/>
      </right>
      <top style="medium">
        <color rgb="FFF59E0B"/>
      </top>
      <bottom/>
      <diagonal/>
    </border>
    <border>
      <left style="thin">
        <color rgb="FF94A3B8"/>
      </left>
      <right/>
      <top/>
      <bottom/>
      <diagonal/>
    </border>
    <border>
      <left/>
      <right/>
      <top style="medium">
        <color rgb="FF10B981"/>
      </top>
      <bottom/>
      <diagonal/>
    </border>
    <border>
      <left/>
      <right style="medium">
        <color rgb="FF10B981"/>
      </right>
      <top style="medium">
        <color rgb="FF10B981"/>
      </top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0" fillId="2" borderId="0" pivotButton="0" quotePrefix="0" xfId="0"/>
    <xf numFmtId="0" fontId="11" fillId="10" borderId="4" applyAlignment="1" pivotButton="0" quotePrefix="0" xfId="0">
      <alignment horizontal="center" vertical="center"/>
    </xf>
    <xf numFmtId="164" fontId="12" fillId="11" borderId="4" applyAlignment="1" pivotButton="0" quotePrefix="0" xfId="0">
      <alignment horizontal="center" vertical="center"/>
    </xf>
    <xf numFmtId="165" fontId="14" fillId="12" borderId="4" applyAlignment="1" pivotButton="0" quotePrefix="0" xfId="0">
      <alignment horizontal="center" vertical="center"/>
    </xf>
    <xf numFmtId="165" fontId="15" fillId="11" borderId="4" applyAlignment="1" pivotButton="0" quotePrefix="0" xfId="0">
      <alignment horizontal="center" vertical="center"/>
    </xf>
    <xf numFmtId="165" fontId="16" fillId="13" borderId="4" applyAlignment="1" pivotButton="0" quotePrefix="0" xfId="0">
      <alignment horizontal="center" vertical="center"/>
    </xf>
    <xf numFmtId="165" fontId="17" fillId="8" borderId="4" applyAlignment="1" pivotButton="0" quotePrefix="0" xfId="0">
      <alignment horizontal="center" vertical="center"/>
    </xf>
    <xf numFmtId="165" fontId="17" fillId="14" borderId="4" applyAlignment="1" pivotButton="0" quotePrefix="0" xfId="0">
      <alignment horizontal="center" vertical="center"/>
    </xf>
    <xf numFmtId="166" fontId="17" fillId="7" borderId="4" applyAlignment="1" pivotButton="0" quotePrefix="0" xfId="0">
      <alignment horizontal="center" vertical="center"/>
    </xf>
    <xf numFmtId="3" fontId="18" fillId="9" borderId="4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10" borderId="5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center" vertical="center" wrapText="1"/>
    </xf>
    <xf numFmtId="0" fontId="23" fillId="17" borderId="5" applyAlignment="1" pivotButton="0" quotePrefix="0" xfId="0">
      <alignment horizontal="center" vertical="center" wrapText="1"/>
    </xf>
    <xf numFmtId="0" fontId="0" fillId="18" borderId="0" pivotButton="0" quotePrefix="0" xfId="0"/>
    <xf numFmtId="0" fontId="23" fillId="20" borderId="5" applyAlignment="1" pivotButton="0" quotePrefix="0" xfId="0">
      <alignment horizontal="center" vertical="center" wrapText="1"/>
    </xf>
    <xf numFmtId="167" fontId="24" fillId="16" borderId="12" applyAlignment="1" pivotButton="0" quotePrefix="0" xfId="0">
      <alignment horizontal="center" vertical="center"/>
    </xf>
    <xf numFmtId="0" fontId="24" fillId="16" borderId="12" applyAlignment="1" pivotButton="0" quotePrefix="0" xfId="0">
      <alignment horizontal="center" vertical="center"/>
    </xf>
    <xf numFmtId="0" fontId="25" fillId="16" borderId="12" applyAlignment="1" pivotButton="0" quotePrefix="0" xfId="0">
      <alignment horizontal="center" vertical="center"/>
    </xf>
    <xf numFmtId="165" fontId="24" fillId="16" borderId="12" applyAlignment="1" pivotButton="0" quotePrefix="0" xfId="0">
      <alignment horizontal="right" vertical="center"/>
    </xf>
    <xf numFmtId="166" fontId="29" fillId="16" borderId="12" applyAlignment="1" pivotButton="0" quotePrefix="0" xfId="0">
      <alignment horizontal="center" vertical="center"/>
    </xf>
    <xf numFmtId="165" fontId="30" fillId="16" borderId="12" applyAlignment="1" pivotButton="0" quotePrefix="0" xfId="0">
      <alignment horizontal="right" vertical="center"/>
    </xf>
    <xf numFmtId="165" fontId="31" fillId="16" borderId="12" applyAlignment="1" pivotButton="0" quotePrefix="0" xfId="0">
      <alignment horizontal="right" vertical="center"/>
    </xf>
    <xf numFmtId="168" fontId="26" fillId="16" borderId="12" applyAlignment="1" pivotButton="0" quotePrefix="0" xfId="0">
      <alignment horizontal="center" vertical="center"/>
    </xf>
    <xf numFmtId="165" fontId="29" fillId="7" borderId="12" applyAlignment="1" pivotButton="0" quotePrefix="0" xfId="0">
      <alignment horizontal="right" vertical="center"/>
    </xf>
    <xf numFmtId="165" fontId="32" fillId="14" borderId="12" applyAlignment="1" pivotButton="0" quotePrefix="0" xfId="0">
      <alignment horizontal="right" vertical="center"/>
    </xf>
    <xf numFmtId="167" fontId="24" fillId="9" borderId="12" applyAlignment="1" pivotButton="0" quotePrefix="0" xfId="0">
      <alignment horizontal="center" vertical="center"/>
    </xf>
    <xf numFmtId="0" fontId="24" fillId="9" borderId="12" applyAlignment="1" pivotButton="0" quotePrefix="0" xfId="0">
      <alignment horizontal="center" vertical="center"/>
    </xf>
    <xf numFmtId="0" fontId="25" fillId="9" borderId="12" applyAlignment="1" pivotButton="0" quotePrefix="0" xfId="0">
      <alignment horizontal="center" vertical="center"/>
    </xf>
    <xf numFmtId="165" fontId="24" fillId="9" borderId="12" applyAlignment="1" pivotButton="0" quotePrefix="0" xfId="0">
      <alignment horizontal="right" vertical="center"/>
    </xf>
    <xf numFmtId="166" fontId="29" fillId="9" borderId="12" applyAlignment="1" pivotButton="0" quotePrefix="0" xfId="0">
      <alignment horizontal="center" vertical="center"/>
    </xf>
    <xf numFmtId="165" fontId="30" fillId="9" borderId="12" applyAlignment="1" pivotButton="0" quotePrefix="0" xfId="0">
      <alignment horizontal="right" vertical="center"/>
    </xf>
    <xf numFmtId="165" fontId="31" fillId="9" borderId="12" applyAlignment="1" pivotButton="0" quotePrefix="0" xfId="0">
      <alignment horizontal="right" vertical="center"/>
    </xf>
    <xf numFmtId="168" fontId="26" fillId="9" borderId="12" applyAlignment="1" pivotButton="0" quotePrefix="0" xfId="0">
      <alignment horizontal="center" vertical="center"/>
    </xf>
    <xf numFmtId="165" fontId="29" fillId="8" borderId="12" applyAlignment="1" pivotButton="0" quotePrefix="0" xfId="0">
      <alignment horizontal="right" vertical="center"/>
    </xf>
    <xf numFmtId="165" fontId="32" fillId="15" borderId="12" applyAlignment="1" pivotButton="0" quotePrefix="0" xfId="0">
      <alignment horizontal="right" vertical="center"/>
    </xf>
    <xf numFmtId="0" fontId="0" fillId="0" borderId="12" pivotButton="0" quotePrefix="0" xfId="0"/>
    <xf numFmtId="165" fontId="0" fillId="0" borderId="12" pivotButton="0" quotePrefix="0" xfId="0"/>
    <xf numFmtId="166" fontId="29" fillId="0" borderId="12" applyAlignment="1" pivotButton="0" quotePrefix="0" xfId="0">
      <alignment horizontal="center" vertical="center"/>
    </xf>
    <xf numFmtId="165" fontId="30" fillId="0" borderId="12" applyAlignment="1" pivotButton="0" quotePrefix="0" xfId="0">
      <alignment horizontal="right" vertical="center"/>
    </xf>
    <xf numFmtId="165" fontId="31" fillId="0" borderId="12" applyAlignment="1" pivotButton="0" quotePrefix="0" xfId="0">
      <alignment horizontal="right" vertical="center"/>
    </xf>
    <xf numFmtId="168" fontId="0" fillId="0" borderId="12" pivotButton="0" quotePrefix="0" xfId="0"/>
    <xf numFmtId="165" fontId="29" fillId="0" borderId="12" applyAlignment="1" pivotButton="0" quotePrefix="0" xfId="0">
      <alignment horizontal="right" vertical="center"/>
    </xf>
    <xf numFmtId="165" fontId="32" fillId="0" borderId="12" applyAlignment="1" pivotButton="0" quotePrefix="0" xfId="0">
      <alignment horizontal="right" vertical="center"/>
    </xf>
    <xf numFmtId="0" fontId="13" fillId="11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168" fontId="6" fillId="6" borderId="2" applyAlignment="1" pivotButton="0" quotePrefix="0" xfId="0">
      <alignment horizontal="center" vertical="center"/>
    </xf>
    <xf numFmtId="0" fontId="0" fillId="0" borderId="8" pivotButton="0" quotePrefix="0" xfId="0"/>
    <xf numFmtId="0" fontId="13" fillId="8" borderId="4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right" vertical="center"/>
    </xf>
    <xf numFmtId="0" fontId="0" fillId="0" borderId="7" pivotButton="0" quotePrefix="0" xfId="0"/>
    <xf numFmtId="0" fontId="5" fillId="5" borderId="2" applyAlignment="1" pivotButton="0" quotePrefix="0" xfId="0">
      <alignment horizontal="center" vertical="center"/>
    </xf>
    <xf numFmtId="0" fontId="27" fillId="19" borderId="12" applyAlignment="1" pivotButton="0" quotePrefix="0" xfId="0">
      <alignment horizontal="right" vertical="center"/>
    </xf>
    <xf numFmtId="0" fontId="19" fillId="10" borderId="12" applyAlignment="1" pivotButton="0" quotePrefix="0" xfId="0">
      <alignment horizontal="center" vertical="center"/>
    </xf>
    <xf numFmtId="0" fontId="0" fillId="0" borderId="6" pivotButton="0" quotePrefix="0" xfId="0"/>
    <xf numFmtId="10" fontId="8" fillId="8" borderId="3" applyAlignment="1" pivotButton="0" quotePrefix="0" xfId="0">
      <alignment horizontal="center" vertical="center"/>
    </xf>
    <xf numFmtId="0" fontId="0" fillId="0" borderId="11" pivotButton="0" quotePrefix="0" xfId="0"/>
    <xf numFmtId="0" fontId="2" fillId="18" borderId="0" applyAlignment="1" pivotButton="0" quotePrefix="0" xfId="0">
      <alignment horizontal="right" vertical="center"/>
    </xf>
    <xf numFmtId="0" fontId="0" fillId="0" borderId="0" pivotButton="0" quotePrefix="0" xfId="0"/>
    <xf numFmtId="0" fontId="13" fillId="14" borderId="4" applyAlignment="1" pivotButton="0" quotePrefix="0" xfId="0">
      <alignment horizontal="center" vertical="center" wrapText="1"/>
    </xf>
    <xf numFmtId="0" fontId="13" fillId="7" borderId="4" applyAlignment="1" pivotButton="0" quotePrefix="0" xfId="0">
      <alignment horizontal="center" vertical="center" wrapText="1"/>
    </xf>
    <xf numFmtId="0" fontId="13" fillId="13" borderId="4" applyAlignment="1" pivotButton="0" quotePrefix="0" xfId="0">
      <alignment horizontal="center" vertical="center" wrapText="1"/>
    </xf>
    <xf numFmtId="0" fontId="7" fillId="7" borderId="12" applyAlignment="1" pivotButton="0" quotePrefix="0" xfId="0">
      <alignment horizontal="right" vertical="center"/>
    </xf>
    <xf numFmtId="0" fontId="13" fillId="12" borderId="4" applyAlignment="1" pivotButton="0" quotePrefix="0" xfId="0">
      <alignment horizontal="center" vertical="center" wrapText="1"/>
    </xf>
    <xf numFmtId="168" fontId="28" fillId="19" borderId="2" applyAlignment="1" pivotButton="0" quotePrefix="0" xfId="0">
      <alignment horizontal="center" vertical="center"/>
    </xf>
    <xf numFmtId="0" fontId="13" fillId="9" borderId="4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/>
    </xf>
    <xf numFmtId="0" fontId="1" fillId="18" borderId="0" applyAlignment="1" pivotButton="0" quotePrefix="0" xfId="0">
      <alignment horizontal="left" vertical="center" indent="1"/>
    </xf>
    <xf numFmtId="0" fontId="10" fillId="9" borderId="12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2" fillId="4" borderId="12" applyAlignment="1" pivotButton="0" quotePrefix="0" xfId="0">
      <alignment horizontal="right" vertical="center"/>
    </xf>
    <xf numFmtId="0" fontId="9" fillId="4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167" fontId="24" fillId="16" borderId="20" applyAlignment="1" pivotButton="0" quotePrefix="0" xfId="0">
      <alignment horizontal="center" vertical="center"/>
    </xf>
    <xf numFmtId="0" fontId="24" fillId="16" borderId="20" applyAlignment="1" pivotButton="0" quotePrefix="0" xfId="0">
      <alignment horizontal="center" vertical="center"/>
    </xf>
    <xf numFmtId="0" fontId="25" fillId="16" borderId="20" applyAlignment="1" pivotButton="0" quotePrefix="0" xfId="0">
      <alignment horizontal="center" vertical="center"/>
    </xf>
    <xf numFmtId="169" fontId="24" fillId="16" borderId="20" applyAlignment="1" pivotButton="0" quotePrefix="0" xfId="0">
      <alignment horizontal="right" vertical="center"/>
    </xf>
    <xf numFmtId="170" fontId="29" fillId="16" borderId="20" applyAlignment="1" pivotButton="0" quotePrefix="0" xfId="0">
      <alignment horizontal="center" vertical="center"/>
    </xf>
    <xf numFmtId="169" fontId="30" fillId="16" borderId="20" applyAlignment="1" pivotButton="0" quotePrefix="0" xfId="0">
      <alignment horizontal="right" vertical="center"/>
    </xf>
    <xf numFmtId="169" fontId="31" fillId="16" borderId="20" applyAlignment="1" pivotButton="0" quotePrefix="0" xfId="0">
      <alignment horizontal="right" vertical="center"/>
    </xf>
    <xf numFmtId="168" fontId="26" fillId="16" borderId="20" applyAlignment="1" pivotButton="0" quotePrefix="0" xfId="0">
      <alignment horizontal="center" vertical="center"/>
    </xf>
    <xf numFmtId="169" fontId="29" fillId="7" borderId="20" applyAlignment="1" pivotButton="0" quotePrefix="0" xfId="0">
      <alignment horizontal="right" vertical="center"/>
    </xf>
    <xf numFmtId="169" fontId="32" fillId="14" borderId="20" applyAlignment="1" pivotButton="0" quotePrefix="0" xfId="0">
      <alignment horizontal="right" vertical="center"/>
    </xf>
    <xf numFmtId="167" fontId="24" fillId="9" borderId="20" applyAlignment="1" pivotButton="0" quotePrefix="0" xfId="0">
      <alignment horizontal="center" vertical="center"/>
    </xf>
    <xf numFmtId="0" fontId="24" fillId="9" borderId="20" applyAlignment="1" pivotButton="0" quotePrefix="0" xfId="0">
      <alignment horizontal="center" vertical="center"/>
    </xf>
    <xf numFmtId="0" fontId="25" fillId="9" borderId="20" applyAlignment="1" pivotButton="0" quotePrefix="0" xfId="0">
      <alignment horizontal="center" vertical="center"/>
    </xf>
    <xf numFmtId="169" fontId="24" fillId="9" borderId="20" applyAlignment="1" pivotButton="0" quotePrefix="0" xfId="0">
      <alignment horizontal="right" vertical="center"/>
    </xf>
    <xf numFmtId="170" fontId="29" fillId="9" borderId="20" applyAlignment="1" pivotButton="0" quotePrefix="0" xfId="0">
      <alignment horizontal="center" vertical="center"/>
    </xf>
    <xf numFmtId="169" fontId="30" fillId="9" borderId="20" applyAlignment="1" pivotButton="0" quotePrefix="0" xfId="0">
      <alignment horizontal="right" vertical="center"/>
    </xf>
    <xf numFmtId="169" fontId="31" fillId="9" borderId="20" applyAlignment="1" pivotButton="0" quotePrefix="0" xfId="0">
      <alignment horizontal="right" vertical="center"/>
    </xf>
    <xf numFmtId="168" fontId="26" fillId="9" borderId="20" applyAlignment="1" pivotButton="0" quotePrefix="0" xfId="0">
      <alignment horizontal="center" vertical="center"/>
    </xf>
    <xf numFmtId="169" fontId="29" fillId="8" borderId="20" applyAlignment="1" pivotButton="0" quotePrefix="0" xfId="0">
      <alignment horizontal="right" vertical="center"/>
    </xf>
    <xf numFmtId="169" fontId="32" fillId="15" borderId="20" applyAlignment="1" pivotButton="0" quotePrefix="0" xfId="0">
      <alignment horizontal="right" vertical="center"/>
    </xf>
    <xf numFmtId="0" fontId="0" fillId="0" borderId="20" pivotButton="0" quotePrefix="0" xfId="0"/>
    <xf numFmtId="169" fontId="0" fillId="0" borderId="20" pivotButton="0" quotePrefix="0" xfId="0"/>
    <xf numFmtId="170" fontId="29" fillId="0" borderId="20" applyAlignment="1" pivotButton="0" quotePrefix="0" xfId="0">
      <alignment horizontal="center" vertical="center"/>
    </xf>
    <xf numFmtId="169" fontId="30" fillId="0" borderId="20" applyAlignment="1" pivotButton="0" quotePrefix="0" xfId="0">
      <alignment horizontal="right" vertical="center"/>
    </xf>
    <xf numFmtId="169" fontId="31" fillId="0" borderId="20" applyAlignment="1" pivotButton="0" quotePrefix="0" xfId="0">
      <alignment horizontal="right" vertical="center"/>
    </xf>
    <xf numFmtId="168" fontId="0" fillId="0" borderId="20" pivotButton="0" quotePrefix="0" xfId="0"/>
    <xf numFmtId="169" fontId="29" fillId="0" borderId="20" applyAlignment="1" pivotButton="0" quotePrefix="0" xfId="0">
      <alignment horizontal="right" vertical="center"/>
    </xf>
    <xf numFmtId="169" fontId="32" fillId="0" borderId="20" applyAlignment="1" pivotButton="0" quotePrefix="0" xfId="0">
      <alignment horizontal="right" vertical="center"/>
    </xf>
    <xf numFmtId="169" fontId="0" fillId="0" borderId="12" pivotButton="0" quotePrefix="0" xfId="0"/>
    <xf numFmtId="170" fontId="29" fillId="0" borderId="12" applyAlignment="1" pivotButton="0" quotePrefix="0" xfId="0">
      <alignment horizontal="center" vertical="center"/>
    </xf>
    <xf numFmtId="169" fontId="30" fillId="0" borderId="12" applyAlignment="1" pivotButton="0" quotePrefix="0" xfId="0">
      <alignment horizontal="right" vertical="center"/>
    </xf>
    <xf numFmtId="169" fontId="31" fillId="0" borderId="12" applyAlignment="1" pivotButton="0" quotePrefix="0" xfId="0">
      <alignment horizontal="right" vertical="center"/>
    </xf>
    <xf numFmtId="169" fontId="29" fillId="0" borderId="12" applyAlignment="1" pivotButton="0" quotePrefix="0" xfId="0">
      <alignment horizontal="right" vertical="center"/>
    </xf>
    <xf numFmtId="169" fontId="32" fillId="0" borderId="12" applyAlignment="1" pivotButton="0" quotePrefix="0" xfId="0">
      <alignment horizontal="right" vertical="center"/>
    </xf>
    <xf numFmtId="169" fontId="0" fillId="0" borderId="0" pivotButton="0" quotePrefix="0" xfId="0"/>
    <xf numFmtId="170" fontId="0" fillId="0" borderId="0" pivotButton="0" quotePrefix="0" xfId="0"/>
    <xf numFmtId="168" fontId="0" fillId="0" borderId="0" pivotButton="0" quotePrefix="0" xfId="0"/>
    <xf numFmtId="169" fontId="24" fillId="16" borderId="20" applyAlignment="1" pivotButton="0" quotePrefix="0" xfId="0">
      <alignment horizontal="right" vertical="center"/>
    </xf>
    <xf numFmtId="170" fontId="29" fillId="16" borderId="20" applyAlignment="1" pivotButton="0" quotePrefix="0" xfId="0">
      <alignment horizontal="center" vertical="center"/>
    </xf>
    <xf numFmtId="169" fontId="30" fillId="16" borderId="20" applyAlignment="1" pivotButton="0" quotePrefix="0" xfId="0">
      <alignment horizontal="right" vertical="center"/>
    </xf>
    <xf numFmtId="169" fontId="31" fillId="16" borderId="20" applyAlignment="1" pivotButton="0" quotePrefix="0" xfId="0">
      <alignment horizontal="right" vertical="center"/>
    </xf>
    <xf numFmtId="169" fontId="29" fillId="7" borderId="20" applyAlignment="1" pivotButton="0" quotePrefix="0" xfId="0">
      <alignment horizontal="right" vertical="center"/>
    </xf>
    <xf numFmtId="169" fontId="32" fillId="14" borderId="20" applyAlignment="1" pivotButton="0" quotePrefix="0" xfId="0">
      <alignment horizontal="right" vertical="center"/>
    </xf>
    <xf numFmtId="169" fontId="24" fillId="9" borderId="20" applyAlignment="1" pivotButton="0" quotePrefix="0" xfId="0">
      <alignment horizontal="right" vertical="center"/>
    </xf>
    <xf numFmtId="170" fontId="29" fillId="9" borderId="20" applyAlignment="1" pivotButton="0" quotePrefix="0" xfId="0">
      <alignment horizontal="center" vertical="center"/>
    </xf>
    <xf numFmtId="169" fontId="30" fillId="9" borderId="20" applyAlignment="1" pivotButton="0" quotePrefix="0" xfId="0">
      <alignment horizontal="right" vertical="center"/>
    </xf>
    <xf numFmtId="169" fontId="31" fillId="9" borderId="20" applyAlignment="1" pivotButton="0" quotePrefix="0" xfId="0">
      <alignment horizontal="right" vertical="center"/>
    </xf>
    <xf numFmtId="169" fontId="29" fillId="8" borderId="20" applyAlignment="1" pivotButton="0" quotePrefix="0" xfId="0">
      <alignment horizontal="right" vertical="center"/>
    </xf>
    <xf numFmtId="169" fontId="32" fillId="15" borderId="20" applyAlignment="1" pivotButton="0" quotePrefix="0" xfId="0">
      <alignment horizontal="right" vertical="center"/>
    </xf>
    <xf numFmtId="169" fontId="0" fillId="0" borderId="20" pivotButton="0" quotePrefix="0" xfId="0"/>
    <xf numFmtId="170" fontId="29" fillId="0" borderId="20" applyAlignment="1" pivotButton="0" quotePrefix="0" xfId="0">
      <alignment horizontal="center" vertical="center"/>
    </xf>
    <xf numFmtId="169" fontId="30" fillId="0" borderId="20" applyAlignment="1" pivotButton="0" quotePrefix="0" xfId="0">
      <alignment horizontal="right" vertical="center"/>
    </xf>
    <xf numFmtId="169" fontId="31" fillId="0" borderId="20" applyAlignment="1" pivotButton="0" quotePrefix="0" xfId="0">
      <alignment horizontal="right" vertical="center"/>
    </xf>
    <xf numFmtId="169" fontId="29" fillId="0" borderId="20" applyAlignment="1" pivotButton="0" quotePrefix="0" xfId="0">
      <alignment horizontal="right" vertical="center"/>
    </xf>
    <xf numFmtId="169" fontId="32" fillId="0" borderId="20" applyAlignment="1" pivotButton="0" quotePrefix="0" xfId="0">
      <alignment horizontal="right" vertical="center"/>
    </xf>
    <xf numFmtId="169" fontId="0" fillId="0" borderId="12" pivotButton="0" quotePrefix="0" xfId="0"/>
    <xf numFmtId="170" fontId="29" fillId="0" borderId="12" applyAlignment="1" pivotButton="0" quotePrefix="0" xfId="0">
      <alignment horizontal="center" vertical="center"/>
    </xf>
    <xf numFmtId="169" fontId="30" fillId="0" borderId="12" applyAlignment="1" pivotButton="0" quotePrefix="0" xfId="0">
      <alignment horizontal="right" vertical="center"/>
    </xf>
    <xf numFmtId="169" fontId="31" fillId="0" borderId="12" applyAlignment="1" pivotButton="0" quotePrefix="0" xfId="0">
      <alignment horizontal="right" vertical="center"/>
    </xf>
    <xf numFmtId="169" fontId="29" fillId="0" borderId="12" applyAlignment="1" pivotButton="0" quotePrefix="0" xfId="0">
      <alignment horizontal="right" vertical="center"/>
    </xf>
    <xf numFmtId="169" fontId="32" fillId="0" borderId="12" applyAlignment="1" pivotButton="0" quotePrefix="0" xfId="0">
      <alignment horizontal="right" vertical="center"/>
    </xf>
    <xf numFmtId="169" fontId="0" fillId="0" borderId="0" pivotButton="0" quotePrefix="0" xfId="0"/>
    <xf numFmtId="17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0"/>
  <sheetViews>
    <sheetView showGridLines="0" workbookViewId="0">
      <pane ySplit="11" topLeftCell="A12" activePane="bottomLeft" state="frozen"/>
      <selection pane="bottomLeft" activeCell="B14" sqref="B14"/>
    </sheetView>
  </sheetViews>
  <sheetFormatPr baseColWidth="8" defaultRowHeight="14.4"/>
  <cols>
    <col width="17" customWidth="1" style="63" min="1" max="2"/>
    <col width="15" customWidth="1" style="63" min="3" max="3"/>
    <col width="13" customWidth="1" style="63" min="4" max="4"/>
    <col width="20" customWidth="1" style="63" min="5" max="5"/>
    <col width="18" customWidth="1" style="63" min="6" max="6"/>
    <col width="20" customWidth="1" style="63" min="7" max="7"/>
    <col width="17" customWidth="1" style="63" min="8" max="8"/>
    <col width="20" customWidth="1" style="63" min="9" max="9"/>
    <col width="19" customWidth="1" style="63" min="10" max="10"/>
    <col width="18" customWidth="1" style="63" min="11" max="11"/>
    <col width="20" customWidth="1" style="63" min="12" max="12"/>
    <col width="3" customWidth="1" style="63" min="13" max="13"/>
    <col width="20" customWidth="1" style="63" min="14" max="14"/>
    <col width="13" customWidth="1" style="63" min="15" max="16"/>
    <col width="15" customWidth="1" style="63" min="17" max="18"/>
  </cols>
  <sheetData>
    <row r="1" ht="40.05" customHeight="1" s="63">
      <c r="A1" s="77" t="inlineStr">
        <is>
          <t>📊  OKX ETKİNLİK &amp; HACİM MALİYET TAKİBİ</t>
        </is>
      </c>
      <c r="M1" s="1" t="n"/>
      <c r="N1" s="74" t="inlineStr">
        <is>
          <t>Spot &amp; Futures Hacim Kasımı  •  Komisyon &amp; İade  •  Net Maliyet Analizi</t>
        </is>
      </c>
    </row>
    <row r="2" ht="7.95" customHeight="1" s="63"/>
    <row r="3" ht="22.05" customHeight="1" s="63">
      <c r="A3" s="71" t="inlineStr">
        <is>
          <t>⚙️  FEE &amp; İADE AYARLARI</t>
        </is>
      </c>
      <c r="B3" s="59" t="n"/>
      <c r="C3" s="59" t="n"/>
      <c r="D3" s="55" t="n"/>
      <c r="E3" s="2" t="inlineStr">
        <is>
          <t>📦 TOPLAM HACİM</t>
        </is>
      </c>
      <c r="F3" s="2" t="inlineStr">
        <is>
          <t>💸 BRÜT MALİYET</t>
        </is>
      </c>
      <c r="G3" s="2" t="inlineStr">
        <is>
          <t>🏦 TOPLAM FEE</t>
        </is>
      </c>
      <c r="H3" s="2" t="inlineStr">
        <is>
          <t>📉 TOPLAM MAKAS</t>
        </is>
      </c>
      <c r="I3" s="2" t="inlineStr">
        <is>
          <t>🎁 TAHMİNİ İADE</t>
        </is>
      </c>
      <c r="J3" s="2" t="inlineStr">
        <is>
          <t>💰 NET MALİYET</t>
        </is>
      </c>
      <c r="K3" s="2" t="inlineStr">
        <is>
          <t>📈 1K NET MALİYET</t>
        </is>
      </c>
      <c r="L3" s="2" t="inlineStr">
        <is>
          <t>🔢 İŞLEM SAYISI</t>
        </is>
      </c>
      <c r="N3" s="58" t="inlineStr">
        <is>
          <t>📋 OKX Resmi VIP Komisyon Tablosu</t>
        </is>
      </c>
      <c r="O3" s="59" t="n"/>
      <c r="P3" s="59" t="n"/>
      <c r="Q3" s="59" t="n"/>
      <c r="R3" s="55" t="n"/>
    </row>
    <row r="4" ht="25.95" customHeight="1" s="63">
      <c r="A4" s="54" t="inlineStr">
        <is>
          <t>Mevcut Seviyeniz:</t>
        </is>
      </c>
      <c r="B4" s="55" t="n"/>
      <c r="C4" s="56" t="inlineStr">
        <is>
          <t>VIP 2 (Gold)</t>
        </is>
      </c>
      <c r="D4" s="52" t="n"/>
      <c r="E4" s="3">
        <f>SUM(E12:E5000)</f>
        <v/>
      </c>
      <c r="F4" s="4">
        <f>SUM(F12:F5000)</f>
        <v/>
      </c>
      <c r="G4" s="5">
        <f>SUM(H12:H5000)</f>
        <v/>
      </c>
      <c r="H4" s="6">
        <f>SUM(I12:I5000)</f>
        <v/>
      </c>
      <c r="I4" s="7">
        <f>SUM(K12:K5000)</f>
        <v/>
      </c>
      <c r="J4" s="8">
        <f>SUM(L12:L5000)</f>
        <v/>
      </c>
      <c r="K4" s="9">
        <f>IFERROR(ROUND((J4/E4)*1000, 3), 0)</f>
        <v/>
      </c>
      <c r="L4" s="10">
        <f>COUNTA(D12:D5000)</f>
        <v/>
      </c>
      <c r="N4" s="11" t="inlineStr">
        <is>
          <t>Seviye</t>
        </is>
      </c>
      <c r="O4" s="11" t="inlineStr">
        <is>
          <t>Spot Maker</t>
        </is>
      </c>
      <c r="P4" s="11" t="inlineStr">
        <is>
          <t>Spot Taker</t>
        </is>
      </c>
      <c r="Q4" s="11" t="inlineStr">
        <is>
          <t>Futures Maker</t>
        </is>
      </c>
      <c r="R4" s="11" t="inlineStr">
        <is>
          <t>Futures Taker</t>
        </is>
      </c>
    </row>
    <row r="5" ht="24" customHeight="1" s="63">
      <c r="A5" s="54" t="inlineStr">
        <is>
          <t>Spot Fee Oranı (Taker):</t>
        </is>
      </c>
      <c r="B5" s="55" t="n"/>
      <c r="C5" s="51" t="n">
        <v>0.0007</v>
      </c>
      <c r="D5" s="52" t="n"/>
      <c r="E5" s="48" t="inlineStr">
        <is>
          <t>Tüm etkinliklerin
toplam hacmi ($)</t>
        </is>
      </c>
      <c r="F5" s="68" t="inlineStr">
        <is>
          <t>Kasadan çıkan
brüt maliyet ($)</t>
        </is>
      </c>
      <c r="G5" s="48" t="inlineStr">
        <is>
          <t>Borsaya ödenen
brüt fee ($)</t>
        </is>
      </c>
      <c r="H5" s="66" t="inlineStr">
        <is>
          <t>Tahtada kaybedilen
toplam makas ($)</t>
        </is>
      </c>
      <c r="I5" s="53" t="inlineStr">
        <is>
          <t>Geri dönecek
tahmini iade ($)</t>
        </is>
      </c>
      <c r="J5" s="64" t="inlineStr">
        <is>
          <t>İade sonrası net
gerçek maliyet ($)</t>
        </is>
      </c>
      <c r="K5" s="65" t="inlineStr">
        <is>
          <t>1.000$ hacim başı
net maliyet ($)</t>
        </is>
      </c>
      <c r="L5" s="70" t="inlineStr">
        <is>
          <t>Kayıtlı toplam
etkinlik adedi</t>
        </is>
      </c>
      <c r="N5" s="12" t="inlineStr">
        <is>
          <t>Regular User</t>
        </is>
      </c>
      <c r="O5" s="12" t="inlineStr">
        <is>
          <t>0.0800%</t>
        </is>
      </c>
      <c r="P5" s="12" t="inlineStr">
        <is>
          <t>0.1000%</t>
        </is>
      </c>
      <c r="Q5" s="12" t="inlineStr">
        <is>
          <t>0.0200%</t>
        </is>
      </c>
      <c r="R5" s="12" t="inlineStr">
        <is>
          <t>0.0500%</t>
        </is>
      </c>
    </row>
    <row r="6" ht="24" customHeight="1" s="63">
      <c r="A6" s="54" t="inlineStr">
        <is>
          <t>Futures Fee Oranı (Taker):</t>
        </is>
      </c>
      <c r="B6" s="55" t="n"/>
      <c r="C6" s="51" t="n">
        <v>0.00036</v>
      </c>
      <c r="D6" s="52" t="n"/>
      <c r="E6" s="49" t="n"/>
      <c r="F6" s="49" t="n"/>
      <c r="G6" s="49" t="n"/>
      <c r="H6" s="49" t="n"/>
      <c r="I6" s="49" t="n"/>
      <c r="J6" s="49" t="n"/>
      <c r="K6" s="49" t="n"/>
      <c r="L6" s="49" t="n"/>
      <c r="N6" s="13" t="inlineStr">
        <is>
          <t>VIP 1 (Gold)</t>
        </is>
      </c>
      <c r="O6" s="13" t="inlineStr">
        <is>
          <t>0.0675%</t>
        </is>
      </c>
      <c r="P6" s="13" t="inlineStr">
        <is>
          <t>0.0800%</t>
        </is>
      </c>
      <c r="Q6" s="13" t="inlineStr">
        <is>
          <t>0.0160%</t>
        </is>
      </c>
      <c r="R6" s="13" t="inlineStr">
        <is>
          <t>0.0450%</t>
        </is>
      </c>
    </row>
    <row r="7" ht="24" customHeight="1" s="63">
      <c r="A7" s="67" t="inlineStr">
        <is>
          <t>Tahmini İade (%45-50 Arası):</t>
        </is>
      </c>
      <c r="B7" s="55" t="n"/>
      <c r="C7" s="60" t="n">
        <v>0.475</v>
      </c>
      <c r="D7" s="61" t="n"/>
      <c r="E7" s="49" t="n"/>
      <c r="F7" s="49" t="n"/>
      <c r="G7" s="49" t="n"/>
      <c r="H7" s="49" t="n"/>
      <c r="I7" s="49" t="n"/>
      <c r="J7" s="49" t="n"/>
      <c r="K7" s="49" t="n"/>
      <c r="L7" s="49" t="n"/>
      <c r="N7" s="14" t="inlineStr">
        <is>
          <t>VIP 2 (Gold) ★</t>
        </is>
      </c>
      <c r="O7" s="14" t="inlineStr">
        <is>
          <t>0.0600%</t>
        </is>
      </c>
      <c r="P7" s="14" t="inlineStr">
        <is>
          <t>0.0700%</t>
        </is>
      </c>
      <c r="Q7" s="14" t="inlineStr">
        <is>
          <t>0.0150%</t>
        </is>
      </c>
      <c r="R7" s="14" t="inlineStr">
        <is>
          <t>0.0360%</t>
        </is>
      </c>
    </row>
    <row r="8" ht="24" customHeight="1" s="63">
      <c r="A8" s="75" t="inlineStr">
        <is>
          <t>Alpha Piyasası:</t>
        </is>
      </c>
      <c r="B8" s="55" t="n"/>
      <c r="C8" s="76" t="inlineStr">
        <is>
          <t>OKX'te Yok (Sadece Bybit)</t>
        </is>
      </c>
      <c r="D8" s="55" t="n"/>
      <c r="E8" s="49" t="n"/>
      <c r="F8" s="49" t="n"/>
      <c r="G8" s="49" t="n"/>
      <c r="H8" s="49" t="n"/>
      <c r="I8" s="49" t="n"/>
      <c r="J8" s="49" t="n"/>
      <c r="K8" s="49" t="n"/>
      <c r="L8" s="49" t="n"/>
      <c r="N8" s="13" t="inlineStr">
        <is>
          <t>VIP 3</t>
        </is>
      </c>
      <c r="O8" s="13" t="inlineStr">
        <is>
          <t>0.0550%</t>
        </is>
      </c>
      <c r="P8" s="13" t="inlineStr">
        <is>
          <t>0.0650%</t>
        </is>
      </c>
      <c r="Q8" s="13" t="inlineStr">
        <is>
          <t>0.0100%</t>
        </is>
      </c>
      <c r="R8" s="13" t="inlineStr">
        <is>
          <t>0.0280%</t>
        </is>
      </c>
    </row>
    <row r="9" ht="24" customHeight="1" s="63">
      <c r="A9" s="73" t="inlineStr">
        <is>
          <t>💡 İade tutarı ödenen fee üzerinden otomatik hesaplanır.</t>
        </is>
      </c>
      <c r="B9" s="59" t="n"/>
      <c r="C9" s="59" t="n"/>
      <c r="D9" s="55" t="n"/>
      <c r="E9" s="50" t="n"/>
      <c r="F9" s="50" t="n"/>
      <c r="G9" s="50" t="n"/>
      <c r="H9" s="50" t="n"/>
      <c r="I9" s="50" t="n"/>
      <c r="J9" s="50" t="n"/>
      <c r="K9" s="50" t="n"/>
      <c r="L9" s="50" t="n"/>
      <c r="N9" s="12" t="inlineStr">
        <is>
          <t>VIP 4 (Platinum)</t>
        </is>
      </c>
      <c r="O9" s="12" t="inlineStr">
        <is>
          <t>0.0300%</t>
        </is>
      </c>
      <c r="P9" s="12" t="inlineStr">
        <is>
          <t>0.0450%</t>
        </is>
      </c>
      <c r="Q9" s="12" t="inlineStr">
        <is>
          <t>0.0080%</t>
        </is>
      </c>
      <c r="R9" s="12" t="inlineStr">
        <is>
          <t>0.0270%</t>
        </is>
      </c>
    </row>
    <row r="10" ht="10.05" customHeight="1" s="63">
      <c r="N10" s="13" t="inlineStr">
        <is>
          <t>VIP 5 (Platinum)</t>
        </is>
      </c>
      <c r="O10" s="13" t="inlineStr">
        <is>
          <t>0.0250%</t>
        </is>
      </c>
      <c r="P10" s="13" t="inlineStr">
        <is>
          <t>0.0350%</t>
        </is>
      </c>
      <c r="Q10" s="13" t="inlineStr">
        <is>
          <t>0.0050%</t>
        </is>
      </c>
      <c r="R10" s="13" t="inlineStr">
        <is>
          <t>0.0260%</t>
        </is>
      </c>
    </row>
    <row r="11" ht="34.05" customHeight="1" s="63">
      <c r="A11" s="15" t="inlineStr">
        <is>
          <t>📅 Başlama
Tarihi</t>
        </is>
      </c>
      <c r="B11" s="15" t="inlineStr">
        <is>
          <t>🎯 Event
Türü</t>
        </is>
      </c>
      <c r="C11" s="15" t="inlineStr">
        <is>
          <t>💹 Piyasa
Türü</t>
        </is>
      </c>
      <c r="D11" s="15" t="inlineStr">
        <is>
          <t>🪙 Coin
Adı</t>
        </is>
      </c>
      <c r="E11" s="15" t="inlineStr">
        <is>
          <t>📊 Kasılan
Hacim ($)</t>
        </is>
      </c>
      <c r="F11" s="15" t="inlineStr">
        <is>
          <t>💰 Brüt Maliyet
($)</t>
        </is>
      </c>
      <c r="G11" s="15" t="inlineStr">
        <is>
          <t>📐 1K Hacim
Maliyeti ($)</t>
        </is>
      </c>
      <c r="H11" s="15" t="inlineStr">
        <is>
          <t>🏦 Giden
Fee ($)</t>
        </is>
      </c>
      <c r="I11" s="15" t="inlineStr">
        <is>
          <t>📉 Makas /
Slippage ($)</t>
        </is>
      </c>
      <c r="J11" s="16" t="inlineStr">
        <is>
          <t>⚙️ Özel Fee
Oranı (%)</t>
        </is>
      </c>
      <c r="K11" s="17" t="inlineStr">
        <is>
          <t>🎁 Tahmini
İade ($)</t>
        </is>
      </c>
      <c r="L11" s="17" t="inlineStr">
        <is>
          <t>💵 Net Total
Maliyet ($)</t>
        </is>
      </c>
      <c r="N11" s="12" t="inlineStr">
        <is>
          <t>VIP 6</t>
        </is>
      </c>
      <c r="O11" s="12" t="inlineStr">
        <is>
          <t>0.0000%</t>
        </is>
      </c>
      <c r="P11" s="12" t="inlineStr">
        <is>
          <t>0.0300%</t>
        </is>
      </c>
      <c r="Q11" s="12" t="inlineStr">
        <is>
          <t>0.0000%</t>
        </is>
      </c>
      <c r="R11" s="12" t="inlineStr">
        <is>
          <t>0.0250%</t>
        </is>
      </c>
    </row>
    <row r="12" ht="24" customHeight="1" s="63">
      <c r="A12" s="78" t="n"/>
      <c r="B12" s="79" t="n"/>
      <c r="C12" s="80" t="n"/>
      <c r="D12" s="80" t="n"/>
      <c r="E12" s="115" t="n"/>
      <c r="F12" s="115" t="n"/>
      <c r="G12" s="116">
        <f>IFERROR(IF(E12&gt;0,(F12/E12)*1000,""),"")</f>
        <v/>
      </c>
      <c r="H12" s="117">
        <f>IFERROR(IF(E12&gt;0,E12*IF(ISNUMBER(J12),J12,IF(C12="Futures",$C$6,$C$5)),""),"")</f>
        <v/>
      </c>
      <c r="I12" s="118">
        <f>IFERROR(IF(AND(ISNUMBER(F12),ISNUMBER(H12)),F12-H12,""),"")</f>
        <v/>
      </c>
      <c r="J12" s="85" t="n"/>
      <c r="K12" s="119">
        <f>IFERROR(IF(H12&gt;0,H12*$C$7,""),"")</f>
        <v/>
      </c>
      <c r="L12" s="120">
        <f>IFERROR(IF(ISNUMBER(F12),F12-IF(ISNUMBER(K12),K12,0),""),"")</f>
        <v/>
      </c>
    </row>
    <row r="13" ht="24" customHeight="1" s="63">
      <c r="A13" s="88" t="n">
        <v>45493</v>
      </c>
      <c r="B13" s="89" t="inlineStr">
        <is>
          <t>Others</t>
        </is>
      </c>
      <c r="C13" s="90" t="inlineStr">
        <is>
          <t>Futures</t>
        </is>
      </c>
      <c r="D13" s="90" t="inlineStr">
        <is>
          <t>BTC</t>
        </is>
      </c>
      <c r="E13" s="121" t="n">
        <v>100000</v>
      </c>
      <c r="F13" s="121" t="n">
        <v>41.2</v>
      </c>
      <c r="G13" s="122">
        <f>IFERROR(IF(E13&gt;0,(F13/E13)*1000,""),"")</f>
        <v/>
      </c>
      <c r="H13" s="123">
        <f>IFERROR(IF(E13&gt;0,E13*IF(ISNUMBER(J13),J13,IF(C13="Futures",$C$6,$C$5)),""),"")</f>
        <v/>
      </c>
      <c r="I13" s="124">
        <f>IFERROR(IF(AND(ISNUMBER(F13),ISNUMBER(H13)),F13-H13,""),"")</f>
        <v/>
      </c>
      <c r="J13" s="95" t="n"/>
      <c r="K13" s="125">
        <f>IFERROR(IF(H13&gt;0,H13*$C$7,""),"")</f>
        <v/>
      </c>
      <c r="L13" s="126">
        <f>IFERROR(IF(ISNUMBER(F13),F13-IF(ISNUMBER(K13),K13,0),""),"")</f>
        <v/>
      </c>
    </row>
    <row r="14" ht="24" customHeight="1" s="63">
      <c r="A14" s="78" t="n">
        <v>45501</v>
      </c>
      <c r="B14" s="79" t="inlineStr">
        <is>
          <t>Flash Earn</t>
        </is>
      </c>
      <c r="C14" s="80" t="inlineStr">
        <is>
          <t>Spot</t>
        </is>
      </c>
      <c r="D14" s="80" t="inlineStr">
        <is>
          <t>ETH</t>
        </is>
      </c>
      <c r="E14" s="115" t="n">
        <v>20000</v>
      </c>
      <c r="F14" s="115" t="n">
        <v>15</v>
      </c>
      <c r="G14" s="116">
        <f>IFERROR(IF(E14&gt;0,(F14/E14)*1000,""),"")</f>
        <v/>
      </c>
      <c r="H14" s="117">
        <f>IFERROR(IF(E14&gt;0,E14*IF(ISNUMBER(J14),J14,IF(C14="Futures",$C$6,$C$5)),""),"")</f>
        <v/>
      </c>
      <c r="I14" s="118">
        <f>IFERROR(IF(AND(ISNUMBER(F14),ISNUMBER(H14)),F14-H14,""),"")</f>
        <v/>
      </c>
      <c r="J14" s="85" t="n">
        <v>0.0005999999999999999</v>
      </c>
      <c r="K14" s="119">
        <f>IFERROR(IF(H14&gt;0,H14*$C$7,""),"")</f>
        <v/>
      </c>
      <c r="L14" s="120">
        <f>IFERROR(IF(ISNUMBER(F14),F14-IF(ISNUMBER(K14),K14,0),""),"")</f>
        <v/>
      </c>
    </row>
    <row r="15" ht="24" customHeight="1" s="63">
      <c r="A15" s="88" t="n"/>
      <c r="B15" s="89" t="n"/>
      <c r="C15" s="90" t="n"/>
      <c r="D15" s="90" t="n"/>
      <c r="E15" s="121" t="n"/>
      <c r="F15" s="121" t="n"/>
      <c r="G15" s="122">
        <f>IFERROR(IF(E15&gt;0,(F15/E15)*1000,""),"")</f>
        <v/>
      </c>
      <c r="H15" s="123">
        <f>IFERROR(IF(E15&gt;0,E15*IF(ISNUMBER(J15),J15,IF(C15="Futures",$C$6,$C$5)),""),"")</f>
        <v/>
      </c>
      <c r="I15" s="124">
        <f>IFERROR(IF(AND(ISNUMBER(F15),ISNUMBER(H15)),F15-H15,""),"")</f>
        <v/>
      </c>
      <c r="J15" s="95" t="n"/>
      <c r="K15" s="125">
        <f>IFERROR(IF(H15&gt;0,H15*$C$7,""),"")</f>
        <v/>
      </c>
      <c r="L15" s="126">
        <f>IFERROR(IF(ISNUMBER(F15),F15-IF(ISNUMBER(K15),K15,0),""),"")</f>
        <v/>
      </c>
    </row>
    <row r="16" ht="24" customHeight="1" s="63">
      <c r="A16" s="78" t="n"/>
      <c r="B16" s="79" t="n"/>
      <c r="C16" s="80" t="n"/>
      <c r="D16" s="80" t="n"/>
      <c r="E16" s="115" t="n"/>
      <c r="F16" s="115" t="n"/>
      <c r="G16" s="116">
        <f>IFERROR(IF(E16&gt;0,(F16/E16)*1000,""),"")</f>
        <v/>
      </c>
      <c r="H16" s="117">
        <f>IFERROR(IF(E16&gt;0,E16*IF(ISNUMBER(J16),J16,IF(C16="Futures",$C$6,$C$5)),""),"")</f>
        <v/>
      </c>
      <c r="I16" s="118">
        <f>IFERROR(IF(AND(ISNUMBER(F16),ISNUMBER(H16)),F16-H16,""),"")</f>
        <v/>
      </c>
      <c r="J16" s="85" t="n"/>
      <c r="K16" s="119">
        <f>IFERROR(IF(H16&gt;0,H16*$C$7,""),"")</f>
        <v/>
      </c>
      <c r="L16" s="120">
        <f>IFERROR(IF(ISNUMBER(F16),F16-IF(ISNUMBER(K16),K16,0),""),"")</f>
        <v/>
      </c>
    </row>
    <row r="17" ht="24" customHeight="1" s="63">
      <c r="A17" s="88" t="n"/>
      <c r="B17" s="89" t="n"/>
      <c r="C17" s="90" t="n"/>
      <c r="D17" s="90" t="n"/>
      <c r="E17" s="121" t="n"/>
      <c r="F17" s="121" t="n"/>
      <c r="G17" s="122">
        <f>IFERROR(IF(E17&gt;0,(F17/E17)*1000,""),"")</f>
        <v/>
      </c>
      <c r="H17" s="123">
        <f>IFERROR(IF(E17&gt;0,E17*IF(ISNUMBER(J17),J17,IF(C17="Futures",$C$6,$C$5)),""),"")</f>
        <v/>
      </c>
      <c r="I17" s="124">
        <f>IFERROR(IF(AND(ISNUMBER(F17),ISNUMBER(H17)),F17-H17,""),"")</f>
        <v/>
      </c>
      <c r="J17" s="95" t="n"/>
      <c r="K17" s="125">
        <f>IFERROR(IF(H17&gt;0,H17*$C$7,""),"")</f>
        <v/>
      </c>
      <c r="L17" s="126">
        <f>IFERROR(IF(ISNUMBER(F17),F17-IF(ISNUMBER(K17),K17,0),""),"")</f>
        <v/>
      </c>
    </row>
    <row r="18" ht="24" customHeight="1" s="63">
      <c r="A18" s="78" t="n"/>
      <c r="B18" s="79" t="n"/>
      <c r="C18" s="80" t="n"/>
      <c r="D18" s="80" t="n"/>
      <c r="E18" s="115" t="n"/>
      <c r="F18" s="115" t="n"/>
      <c r="G18" s="116">
        <f>IFERROR(IF(E18&gt;0,(F18/E18)*1000,""),"")</f>
        <v/>
      </c>
      <c r="H18" s="117">
        <f>IFERROR(IF(E18&gt;0,E18*IF(ISNUMBER(J18),J18,IF(C18="Futures",$C$6,$C$5)),""),"")</f>
        <v/>
      </c>
      <c r="I18" s="118">
        <f>IFERROR(IF(AND(ISNUMBER(F18),ISNUMBER(H18)),F18-H18,""),"")</f>
        <v/>
      </c>
      <c r="J18" s="85" t="n"/>
      <c r="K18" s="119">
        <f>IFERROR(IF(H18&gt;0,H18*$C$7,""),"")</f>
        <v/>
      </c>
      <c r="L18" s="120">
        <f>IFERROR(IF(ISNUMBER(F18),F18-IF(ISNUMBER(K18),K18,0),""),"")</f>
        <v/>
      </c>
    </row>
    <row r="19" ht="24" customHeight="1" s="63">
      <c r="A19" s="88" t="n"/>
      <c r="B19" s="89" t="n"/>
      <c r="C19" s="90" t="n"/>
      <c r="D19" s="90" t="n"/>
      <c r="E19" s="121" t="n"/>
      <c r="F19" s="121" t="n"/>
      <c r="G19" s="122">
        <f>IFERROR(IF(E19&gt;0,(F19/E19)*1000,""),"")</f>
        <v/>
      </c>
      <c r="H19" s="123">
        <f>IFERROR(IF(E19&gt;0,E19*IF(ISNUMBER(J19),J19,IF(C19="Futures",$C$6,$C$5)),""),"")</f>
        <v/>
      </c>
      <c r="I19" s="124">
        <f>IFERROR(IF(AND(ISNUMBER(F19),ISNUMBER(H19)),F19-H19,""),"")</f>
        <v/>
      </c>
      <c r="J19" s="95" t="n"/>
      <c r="K19" s="125">
        <f>IFERROR(IF(H19&gt;0,H19*$C$7,""),"")</f>
        <v/>
      </c>
      <c r="L19" s="126">
        <f>IFERROR(IF(ISNUMBER(F19),F19-IF(ISNUMBER(K19),K19,0),""),"")</f>
        <v/>
      </c>
    </row>
    <row r="20" ht="24" customHeight="1" s="63">
      <c r="A20" s="78" t="n"/>
      <c r="B20" s="79" t="n"/>
      <c r="C20" s="80" t="n"/>
      <c r="D20" s="80" t="n"/>
      <c r="E20" s="115" t="n"/>
      <c r="F20" s="115" t="n"/>
      <c r="G20" s="116">
        <f>IFERROR(IF(E20&gt;0,(F20/E20)*1000,""),"")</f>
        <v/>
      </c>
      <c r="H20" s="117">
        <f>IFERROR(IF(E20&gt;0,E20*IF(ISNUMBER(J20),J20,IF(C20="Futures",$C$6,$C$5)),""),"")</f>
        <v/>
      </c>
      <c r="I20" s="118">
        <f>IFERROR(IF(AND(ISNUMBER(F20),ISNUMBER(H20)),F20-H20,""),"")</f>
        <v/>
      </c>
      <c r="J20" s="85" t="n"/>
      <c r="K20" s="119">
        <f>IFERROR(IF(H20&gt;0,H20*$C$7,""),"")</f>
        <v/>
      </c>
      <c r="L20" s="120">
        <f>IFERROR(IF(ISNUMBER(F20),F20-IF(ISNUMBER(K20),K20,0),""),"")</f>
        <v/>
      </c>
    </row>
    <row r="21" ht="24" customHeight="1" s="63">
      <c r="A21" s="88" t="n"/>
      <c r="B21" s="89" t="n"/>
      <c r="C21" s="90" t="n"/>
      <c r="D21" s="90" t="n"/>
      <c r="E21" s="121" t="n"/>
      <c r="F21" s="121" t="n"/>
      <c r="G21" s="122">
        <f>IFERROR(IF(E21&gt;0,(F21/E21)*1000,""),"")</f>
        <v/>
      </c>
      <c r="H21" s="123">
        <f>IFERROR(IF(E21&gt;0,E21*IF(ISNUMBER(J21),J21,IF(C21="Futures",$C$6,$C$5)),""),"")</f>
        <v/>
      </c>
      <c r="I21" s="124">
        <f>IFERROR(IF(AND(ISNUMBER(F21),ISNUMBER(H21)),F21-H21,""),"")</f>
        <v/>
      </c>
      <c r="J21" s="95" t="n"/>
      <c r="K21" s="125">
        <f>IFERROR(IF(H21&gt;0,H21*$C$7,""),"")</f>
        <v/>
      </c>
      <c r="L21" s="126">
        <f>IFERROR(IF(ISNUMBER(F21),F21-IF(ISNUMBER(K21),K21,0),""),"")</f>
        <v/>
      </c>
    </row>
    <row r="22" ht="24" customHeight="1" s="63">
      <c r="A22" s="78" t="n"/>
      <c r="B22" s="79" t="n"/>
      <c r="C22" s="80" t="n"/>
      <c r="D22" s="80" t="n"/>
      <c r="E22" s="115" t="n"/>
      <c r="F22" s="115" t="n"/>
      <c r="G22" s="116">
        <f>IFERROR(IF(E22&gt;0,(F22/E22)*1000,""),"")</f>
        <v/>
      </c>
      <c r="H22" s="117">
        <f>IFERROR(IF(E22&gt;0,E22*IF(ISNUMBER(J22),J22,IF(C22="Futures",$C$6,$C$5)),""),"")</f>
        <v/>
      </c>
      <c r="I22" s="118">
        <f>IFERROR(IF(AND(ISNUMBER(F22),ISNUMBER(H22)),F22-H22,""),"")</f>
        <v/>
      </c>
      <c r="J22" s="85" t="n"/>
      <c r="K22" s="119">
        <f>IFERROR(IF(H22&gt;0,H22*$C$7,""),"")</f>
        <v/>
      </c>
      <c r="L22" s="120">
        <f>IFERROR(IF(ISNUMBER(F22),F22-IF(ISNUMBER(K22),K22,0),""),"")</f>
        <v/>
      </c>
    </row>
    <row r="23" ht="24" customHeight="1" s="63">
      <c r="A23" s="88" t="n"/>
      <c r="B23" s="89" t="n"/>
      <c r="C23" s="90" t="n"/>
      <c r="D23" s="90" t="n"/>
      <c r="E23" s="121" t="n"/>
      <c r="F23" s="121" t="n"/>
      <c r="G23" s="122">
        <f>IFERROR(IF(E23&gt;0,(F23/E23)*1000,""),"")</f>
        <v/>
      </c>
      <c r="H23" s="123">
        <f>IFERROR(IF(E23&gt;0,E23*IF(ISNUMBER(J23),J23,IF(C23="Futures",$C$6,$C$5)),""),"")</f>
        <v/>
      </c>
      <c r="I23" s="124">
        <f>IFERROR(IF(AND(ISNUMBER(F23),ISNUMBER(H23)),F23-H23,""),"")</f>
        <v/>
      </c>
      <c r="J23" s="95" t="n"/>
      <c r="K23" s="125">
        <f>IFERROR(IF(H23&gt;0,H23*$C$7,""),"")</f>
        <v/>
      </c>
      <c r="L23" s="126">
        <f>IFERROR(IF(ISNUMBER(F23),F23-IF(ISNUMBER(K23),K23,0),""),"")</f>
        <v/>
      </c>
    </row>
    <row r="24" ht="24" customHeight="1" s="63">
      <c r="A24" s="78" t="n"/>
      <c r="B24" s="79" t="n"/>
      <c r="C24" s="80" t="n"/>
      <c r="D24" s="80" t="n"/>
      <c r="E24" s="115" t="n"/>
      <c r="F24" s="115" t="n"/>
      <c r="G24" s="116">
        <f>IFERROR(IF(E24&gt;0,(F24/E24)*1000,""),"")</f>
        <v/>
      </c>
      <c r="H24" s="117">
        <f>IFERROR(IF(E24&gt;0,E24*IF(ISNUMBER(J24),J24,IF(C24="Futures",$C$6,$C$5)),""),"")</f>
        <v/>
      </c>
      <c r="I24" s="118">
        <f>IFERROR(IF(AND(ISNUMBER(F24),ISNUMBER(H24)),F24-H24,""),"")</f>
        <v/>
      </c>
      <c r="J24" s="85" t="n"/>
      <c r="K24" s="119">
        <f>IFERROR(IF(H24&gt;0,H24*$C$7,""),"")</f>
        <v/>
      </c>
      <c r="L24" s="120">
        <f>IFERROR(IF(ISNUMBER(F24),F24-IF(ISNUMBER(K24),K24,0),""),"")</f>
        <v/>
      </c>
    </row>
    <row r="25" ht="24" customHeight="1" s="63">
      <c r="A25" s="88" t="n"/>
      <c r="B25" s="89" t="n"/>
      <c r="C25" s="90" t="n"/>
      <c r="D25" s="90" t="n"/>
      <c r="E25" s="121" t="n"/>
      <c r="F25" s="121" t="n"/>
      <c r="G25" s="122">
        <f>IFERROR(IF(E25&gt;0,(F25/E25)*1000,""),"")</f>
        <v/>
      </c>
      <c r="H25" s="123">
        <f>IFERROR(IF(E25&gt;0,E25*IF(ISNUMBER(J25),J25,IF(C25="Futures",$C$6,$C$5)),""),"")</f>
        <v/>
      </c>
      <c r="I25" s="124">
        <f>IFERROR(IF(AND(ISNUMBER(F25),ISNUMBER(H25)),F25-H25,""),"")</f>
        <v/>
      </c>
      <c r="J25" s="95" t="n"/>
      <c r="K25" s="125">
        <f>IFERROR(IF(H25&gt;0,H25*$C$7,""),"")</f>
        <v/>
      </c>
      <c r="L25" s="126">
        <f>IFERROR(IF(ISNUMBER(F25),F25-IF(ISNUMBER(K25),K25,0),""),"")</f>
        <v/>
      </c>
    </row>
    <row r="26" ht="24" customHeight="1" s="63">
      <c r="A26" s="78" t="n"/>
      <c r="B26" s="79" t="n"/>
      <c r="C26" s="80" t="n"/>
      <c r="D26" s="80" t="n"/>
      <c r="E26" s="115" t="n"/>
      <c r="F26" s="115" t="n"/>
      <c r="G26" s="116">
        <f>IFERROR(IF(E26&gt;0,(F26/E26)*1000,""),"")</f>
        <v/>
      </c>
      <c r="H26" s="117">
        <f>IFERROR(IF(E26&gt;0,E26*IF(ISNUMBER(J26),J26,IF(C26="Futures",$C$6,$C$5)),""),"")</f>
        <v/>
      </c>
      <c r="I26" s="118">
        <f>IFERROR(IF(AND(ISNUMBER(F26),ISNUMBER(H26)),F26-H26,""),"")</f>
        <v/>
      </c>
      <c r="J26" s="85" t="n"/>
      <c r="K26" s="119">
        <f>IFERROR(IF(H26&gt;0,H26*$C$7,""),"")</f>
        <v/>
      </c>
      <c r="L26" s="120">
        <f>IFERROR(IF(ISNUMBER(F26),F26-IF(ISNUMBER(K26),K26,0),""),"")</f>
        <v/>
      </c>
    </row>
    <row r="27" ht="24" customHeight="1" s="63">
      <c r="A27" s="88" t="n"/>
      <c r="B27" s="89" t="n"/>
      <c r="C27" s="90" t="n"/>
      <c r="D27" s="90" t="n"/>
      <c r="E27" s="121" t="n"/>
      <c r="F27" s="121" t="n"/>
      <c r="G27" s="122">
        <f>IFERROR(IF(E27&gt;0,(F27/E27)*1000,""),"")</f>
        <v/>
      </c>
      <c r="H27" s="123">
        <f>IFERROR(IF(E27&gt;0,E27*IF(ISNUMBER(J27),J27,IF(C27="Futures",$C$6,$C$5)),""),"")</f>
        <v/>
      </c>
      <c r="I27" s="124">
        <f>IFERROR(IF(AND(ISNUMBER(F27),ISNUMBER(H27)),F27-H27,""),"")</f>
        <v/>
      </c>
      <c r="J27" s="95" t="n"/>
      <c r="K27" s="125">
        <f>IFERROR(IF(H27&gt;0,H27*$C$7,""),"")</f>
        <v/>
      </c>
      <c r="L27" s="126">
        <f>IFERROR(IF(ISNUMBER(F27),F27-IF(ISNUMBER(K27),K27,0),""),"")</f>
        <v/>
      </c>
    </row>
    <row r="28" ht="24" customHeight="1" s="63">
      <c r="A28" s="78" t="n"/>
      <c r="B28" s="79" t="n"/>
      <c r="C28" s="80" t="n"/>
      <c r="D28" s="80" t="n"/>
      <c r="E28" s="115" t="n"/>
      <c r="F28" s="115" t="n"/>
      <c r="G28" s="116">
        <f>IFERROR(IF(E28&gt;0,(F28/E28)*1000,""),"")</f>
        <v/>
      </c>
      <c r="H28" s="117">
        <f>IFERROR(IF(E28&gt;0,E28*IF(ISNUMBER(J28),J28,IF(C28="Futures",$C$6,$C$5)),""),"")</f>
        <v/>
      </c>
      <c r="I28" s="118">
        <f>IFERROR(IF(AND(ISNUMBER(F28),ISNUMBER(H28)),F28-H28,""),"")</f>
        <v/>
      </c>
      <c r="J28" s="85" t="n"/>
      <c r="K28" s="119">
        <f>IFERROR(IF(H28&gt;0,H28*$C$7,""),"")</f>
        <v/>
      </c>
      <c r="L28" s="120">
        <f>IFERROR(IF(ISNUMBER(F28),F28-IF(ISNUMBER(K28),K28,0),""),"")</f>
        <v/>
      </c>
    </row>
    <row r="29" ht="24" customHeight="1" s="63">
      <c r="A29" s="88" t="n"/>
      <c r="B29" s="89" t="n"/>
      <c r="C29" s="90" t="n"/>
      <c r="D29" s="90" t="n"/>
      <c r="E29" s="121" t="n"/>
      <c r="F29" s="121" t="n"/>
      <c r="G29" s="122">
        <f>IFERROR(IF(E29&gt;0,(F29/E29)*1000,""),"")</f>
        <v/>
      </c>
      <c r="H29" s="123">
        <f>IFERROR(IF(E29&gt;0,E29*IF(ISNUMBER(J29),J29,IF(C29="Futures",$C$6,$C$5)),""),"")</f>
        <v/>
      </c>
      <c r="I29" s="124">
        <f>IFERROR(IF(AND(ISNUMBER(F29),ISNUMBER(H29)),F29-H29,""),"")</f>
        <v/>
      </c>
      <c r="J29" s="95" t="n"/>
      <c r="K29" s="125">
        <f>IFERROR(IF(H29&gt;0,H29*$C$7,""),"")</f>
        <v/>
      </c>
      <c r="L29" s="126">
        <f>IFERROR(IF(ISNUMBER(F29),F29-IF(ISNUMBER(K29),K29,0),""),"")</f>
        <v/>
      </c>
    </row>
    <row r="30" ht="24" customHeight="1" s="63">
      <c r="A30" s="78" t="n"/>
      <c r="B30" s="79" t="n"/>
      <c r="C30" s="80" t="n"/>
      <c r="D30" s="80" t="n"/>
      <c r="E30" s="115" t="n"/>
      <c r="F30" s="115" t="n"/>
      <c r="G30" s="116">
        <f>IFERROR(IF(E30&gt;0,(F30/E30)*1000,""),"")</f>
        <v/>
      </c>
      <c r="H30" s="117">
        <f>IFERROR(IF(E30&gt;0,E30*IF(ISNUMBER(J30),J30,IF(C30="Futures",$C$6,$C$5)),""),"")</f>
        <v/>
      </c>
      <c r="I30" s="118">
        <f>IFERROR(IF(AND(ISNUMBER(F30),ISNUMBER(H30)),F30-H30,""),"")</f>
        <v/>
      </c>
      <c r="J30" s="85" t="n"/>
      <c r="K30" s="119">
        <f>IFERROR(IF(H30&gt;0,H30*$C$7,""),"")</f>
        <v/>
      </c>
      <c r="L30" s="120">
        <f>IFERROR(IF(ISNUMBER(F30),F30-IF(ISNUMBER(K30),K30,0),""),"")</f>
        <v/>
      </c>
    </row>
    <row r="31" ht="24" customHeight="1" s="63">
      <c r="A31" s="88" t="n"/>
      <c r="B31" s="89" t="n"/>
      <c r="C31" s="90" t="n"/>
      <c r="D31" s="90" t="n"/>
      <c r="E31" s="121" t="n"/>
      <c r="F31" s="121" t="n"/>
      <c r="G31" s="122">
        <f>IFERROR(IF(E31&gt;0,(F31/E31)*1000,""),"")</f>
        <v/>
      </c>
      <c r="H31" s="123">
        <f>IFERROR(IF(E31&gt;0,E31*IF(ISNUMBER(J31),J31,IF(C31="Futures",$C$6,$C$5)),""),"")</f>
        <v/>
      </c>
      <c r="I31" s="124">
        <f>IFERROR(IF(AND(ISNUMBER(F31),ISNUMBER(H31)),F31-H31,""),"")</f>
        <v/>
      </c>
      <c r="J31" s="95" t="n"/>
      <c r="K31" s="125">
        <f>IFERROR(IF(H31&gt;0,H31*$C$7,""),"")</f>
        <v/>
      </c>
      <c r="L31" s="126">
        <f>IFERROR(IF(ISNUMBER(F31),F31-IF(ISNUMBER(K31),K31,0),""),"")</f>
        <v/>
      </c>
    </row>
    <row r="32" ht="24" customHeight="1" s="63">
      <c r="A32" s="78" t="n"/>
      <c r="B32" s="79" t="n"/>
      <c r="C32" s="80" t="n"/>
      <c r="D32" s="80" t="n"/>
      <c r="E32" s="115" t="n"/>
      <c r="F32" s="115" t="n"/>
      <c r="G32" s="116">
        <f>IFERROR(IF(E32&gt;0,(F32/E32)*1000,""),"")</f>
        <v/>
      </c>
      <c r="H32" s="117">
        <f>IFERROR(IF(E32&gt;0,E32*IF(ISNUMBER(J32),J32,IF(C32="Futures",$C$6,$C$5)),""),"")</f>
        <v/>
      </c>
      <c r="I32" s="118">
        <f>IFERROR(IF(AND(ISNUMBER(F32),ISNUMBER(H32)),F32-H32,""),"")</f>
        <v/>
      </c>
      <c r="J32" s="85" t="n"/>
      <c r="K32" s="119">
        <f>IFERROR(IF(H32&gt;0,H32*$C$7,""),"")</f>
        <v/>
      </c>
      <c r="L32" s="120">
        <f>IFERROR(IF(ISNUMBER(F32),F32-IF(ISNUMBER(K32),K32,0),""),"")</f>
        <v/>
      </c>
    </row>
    <row r="33" ht="24" customHeight="1" s="63">
      <c r="A33" s="88" t="n"/>
      <c r="B33" s="89" t="n"/>
      <c r="C33" s="90" t="n"/>
      <c r="D33" s="90" t="n"/>
      <c r="E33" s="121" t="n"/>
      <c r="F33" s="121" t="n"/>
      <c r="G33" s="122">
        <f>IFERROR(IF(E33&gt;0,(F33/E33)*1000,""),"")</f>
        <v/>
      </c>
      <c r="H33" s="123">
        <f>IFERROR(IF(E33&gt;0,E33*IF(ISNUMBER(J33),J33,IF(C33="Futures",$C$6,$C$5)),""),"")</f>
        <v/>
      </c>
      <c r="I33" s="124">
        <f>IFERROR(IF(AND(ISNUMBER(F33),ISNUMBER(H33)),F33-H33,""),"")</f>
        <v/>
      </c>
      <c r="J33" s="95" t="n"/>
      <c r="K33" s="125">
        <f>IFERROR(IF(H33&gt;0,H33*$C$7,""),"")</f>
        <v/>
      </c>
      <c r="L33" s="126">
        <f>IFERROR(IF(ISNUMBER(F33),F33-IF(ISNUMBER(K33),K33,0),""),"")</f>
        <v/>
      </c>
    </row>
    <row r="34" ht="24" customHeight="1" s="63">
      <c r="A34" s="78" t="n"/>
      <c r="B34" s="79" t="n"/>
      <c r="C34" s="80" t="n"/>
      <c r="D34" s="80" t="n"/>
      <c r="E34" s="115" t="n"/>
      <c r="F34" s="115" t="n"/>
      <c r="G34" s="116">
        <f>IFERROR(IF(E34&gt;0,(F34/E34)*1000,""),"")</f>
        <v/>
      </c>
      <c r="H34" s="117">
        <f>IFERROR(IF(E34&gt;0,E34*IF(ISNUMBER(J34),J34,IF(C34="Futures",$C$6,$C$5)),""),"")</f>
        <v/>
      </c>
      <c r="I34" s="118">
        <f>IFERROR(IF(AND(ISNUMBER(F34),ISNUMBER(H34)),F34-H34,""),"")</f>
        <v/>
      </c>
      <c r="J34" s="85" t="n"/>
      <c r="K34" s="119">
        <f>IFERROR(IF(H34&gt;0,H34*$C$7,""),"")</f>
        <v/>
      </c>
      <c r="L34" s="120">
        <f>IFERROR(IF(ISNUMBER(F34),F34-IF(ISNUMBER(K34),K34,0),""),"")</f>
        <v/>
      </c>
    </row>
    <row r="35" ht="24" customHeight="1" s="63">
      <c r="A35" s="88" t="n"/>
      <c r="B35" s="89" t="n"/>
      <c r="C35" s="90" t="n"/>
      <c r="D35" s="90" t="n"/>
      <c r="E35" s="121" t="n"/>
      <c r="F35" s="121" t="n"/>
      <c r="G35" s="122">
        <f>IFERROR(IF(E35&gt;0,(F35/E35)*1000,""),"")</f>
        <v/>
      </c>
      <c r="H35" s="123">
        <f>IFERROR(IF(E35&gt;0,E35*IF(ISNUMBER(J35),J35,IF(C35="Futures",$C$6,$C$5)),""),"")</f>
        <v/>
      </c>
      <c r="I35" s="124">
        <f>IFERROR(IF(AND(ISNUMBER(F35),ISNUMBER(H35)),F35-H35,""),"")</f>
        <v/>
      </c>
      <c r="J35" s="95" t="n"/>
      <c r="K35" s="125">
        <f>IFERROR(IF(H35&gt;0,H35*$C$7,""),"")</f>
        <v/>
      </c>
      <c r="L35" s="126">
        <f>IFERROR(IF(ISNUMBER(F35),F35-IF(ISNUMBER(K35),K35,0),""),"")</f>
        <v/>
      </c>
    </row>
    <row r="36" ht="24" customHeight="1" s="63">
      <c r="A36" s="78" t="n"/>
      <c r="B36" s="79" t="n"/>
      <c r="C36" s="80" t="n"/>
      <c r="D36" s="80" t="n"/>
      <c r="E36" s="115" t="n"/>
      <c r="F36" s="115" t="n"/>
      <c r="G36" s="116">
        <f>IFERROR(IF(E36&gt;0,(F36/E36)*1000,""),"")</f>
        <v/>
      </c>
      <c r="H36" s="117">
        <f>IFERROR(IF(E36&gt;0,E36*IF(ISNUMBER(J36),J36,IF(C36="Futures",$C$6,$C$5)),""),"")</f>
        <v/>
      </c>
      <c r="I36" s="118">
        <f>IFERROR(IF(AND(ISNUMBER(F36),ISNUMBER(H36)),F36-H36,""),"")</f>
        <v/>
      </c>
      <c r="J36" s="85" t="n"/>
      <c r="K36" s="119">
        <f>IFERROR(IF(H36&gt;0,H36*$C$7,""),"")</f>
        <v/>
      </c>
      <c r="L36" s="120">
        <f>IFERROR(IF(ISNUMBER(F36),F36-IF(ISNUMBER(K36),K36,0),""),"")</f>
        <v/>
      </c>
    </row>
    <row r="37" ht="24" customHeight="1" s="63">
      <c r="A37" s="88" t="n"/>
      <c r="B37" s="89" t="n"/>
      <c r="C37" s="90" t="n"/>
      <c r="D37" s="90" t="n"/>
      <c r="E37" s="121" t="n"/>
      <c r="F37" s="121" t="n"/>
      <c r="G37" s="122">
        <f>IFERROR(IF(E37&gt;0,(F37/E37)*1000,""),"")</f>
        <v/>
      </c>
      <c r="H37" s="123">
        <f>IFERROR(IF(E37&gt;0,E37*IF(ISNUMBER(J37),J37,IF(C37="Futures",$C$6,$C$5)),""),"")</f>
        <v/>
      </c>
      <c r="I37" s="124">
        <f>IFERROR(IF(AND(ISNUMBER(F37),ISNUMBER(H37)),F37-H37,""),"")</f>
        <v/>
      </c>
      <c r="J37" s="95" t="n"/>
      <c r="K37" s="125">
        <f>IFERROR(IF(H37&gt;0,H37*$C$7,""),"")</f>
        <v/>
      </c>
      <c r="L37" s="126">
        <f>IFERROR(IF(ISNUMBER(F37),F37-IF(ISNUMBER(K37),K37,0),""),"")</f>
        <v/>
      </c>
    </row>
    <row r="38" ht="24" customHeight="1" s="63">
      <c r="A38" s="78" t="n"/>
      <c r="B38" s="79" t="n"/>
      <c r="C38" s="80" t="n"/>
      <c r="D38" s="80" t="n"/>
      <c r="E38" s="115" t="n"/>
      <c r="F38" s="115" t="n"/>
      <c r="G38" s="116">
        <f>IFERROR(IF(E38&gt;0,(F38/E38)*1000,""),"")</f>
        <v/>
      </c>
      <c r="H38" s="117">
        <f>IFERROR(IF(E38&gt;0,E38*IF(ISNUMBER(J38),J38,IF(C38="Futures",$C$6,$C$5)),""),"")</f>
        <v/>
      </c>
      <c r="I38" s="118">
        <f>IFERROR(IF(AND(ISNUMBER(F38),ISNUMBER(H38)),F38-H38,""),"")</f>
        <v/>
      </c>
      <c r="J38" s="85" t="n"/>
      <c r="K38" s="119">
        <f>IFERROR(IF(H38&gt;0,H38*$C$7,""),"")</f>
        <v/>
      </c>
      <c r="L38" s="120">
        <f>IFERROR(IF(ISNUMBER(F38),F38-IF(ISNUMBER(K38),K38,0),""),"")</f>
        <v/>
      </c>
    </row>
    <row r="39" ht="24" customHeight="1" s="63">
      <c r="A39" s="88" t="n"/>
      <c r="B39" s="89" t="n"/>
      <c r="C39" s="90" t="n"/>
      <c r="D39" s="90" t="n"/>
      <c r="E39" s="121" t="n"/>
      <c r="F39" s="121" t="n"/>
      <c r="G39" s="122">
        <f>IFERROR(IF(E39&gt;0,(F39/E39)*1000,""),"")</f>
        <v/>
      </c>
      <c r="H39" s="123">
        <f>IFERROR(IF(E39&gt;0,E39*IF(ISNUMBER(J39),J39,IF(C39="Futures",$C$6,$C$5)),""),"")</f>
        <v/>
      </c>
      <c r="I39" s="124">
        <f>IFERROR(IF(AND(ISNUMBER(F39),ISNUMBER(H39)),F39-H39,""),"")</f>
        <v/>
      </c>
      <c r="J39" s="95" t="n"/>
      <c r="K39" s="125">
        <f>IFERROR(IF(H39&gt;0,H39*$C$7,""),"")</f>
        <v/>
      </c>
      <c r="L39" s="126">
        <f>IFERROR(IF(ISNUMBER(F39),F39-IF(ISNUMBER(K39),K39,0),""),"")</f>
        <v/>
      </c>
    </row>
    <row r="40" ht="24" customHeight="1" s="63">
      <c r="A40" s="78" t="n"/>
      <c r="B40" s="79" t="n"/>
      <c r="C40" s="80" t="n"/>
      <c r="D40" s="80" t="n"/>
      <c r="E40" s="115" t="n"/>
      <c r="F40" s="115" t="n"/>
      <c r="G40" s="116">
        <f>IFERROR(IF(E40&gt;0,(F40/E40)*1000,""),"")</f>
        <v/>
      </c>
      <c r="H40" s="117">
        <f>IFERROR(IF(E40&gt;0,E40*IF(ISNUMBER(J40),J40,IF(C40="Futures",$C$6,$C$5)),""),"")</f>
        <v/>
      </c>
      <c r="I40" s="118">
        <f>IFERROR(IF(AND(ISNUMBER(F40),ISNUMBER(H40)),F40-H40,""),"")</f>
        <v/>
      </c>
      <c r="J40" s="85" t="n"/>
      <c r="K40" s="119">
        <f>IFERROR(IF(H40&gt;0,H40*$C$7,""),"")</f>
        <v/>
      </c>
      <c r="L40" s="120">
        <f>IFERROR(IF(ISNUMBER(F40),F40-IF(ISNUMBER(K40),K40,0),""),"")</f>
        <v/>
      </c>
    </row>
    <row r="41" ht="24" customHeight="1" s="63">
      <c r="A41" s="88" t="n"/>
      <c r="B41" s="89" t="n"/>
      <c r="C41" s="90" t="n"/>
      <c r="D41" s="90" t="n"/>
      <c r="E41" s="121" t="n"/>
      <c r="F41" s="121" t="n"/>
      <c r="G41" s="122">
        <f>IFERROR(IF(E41&gt;0,(F41/E41)*1000,""),"")</f>
        <v/>
      </c>
      <c r="H41" s="123">
        <f>IFERROR(IF(E41&gt;0,E41*IF(ISNUMBER(J41),J41,IF(C41="Futures",$C$6,$C$5)),""),"")</f>
        <v/>
      </c>
      <c r="I41" s="124">
        <f>IFERROR(IF(AND(ISNUMBER(F41),ISNUMBER(H41)),F41-H41,""),"")</f>
        <v/>
      </c>
      <c r="J41" s="95" t="n"/>
      <c r="K41" s="125">
        <f>IFERROR(IF(H41&gt;0,H41*$C$7,""),"")</f>
        <v/>
      </c>
      <c r="L41" s="126">
        <f>IFERROR(IF(ISNUMBER(F41),F41-IF(ISNUMBER(K41),K41,0),""),"")</f>
        <v/>
      </c>
    </row>
    <row r="42" ht="24" customHeight="1" s="63">
      <c r="A42" s="78" t="n"/>
      <c r="B42" s="79" t="n"/>
      <c r="C42" s="80" t="n"/>
      <c r="D42" s="80" t="n"/>
      <c r="E42" s="115" t="n"/>
      <c r="F42" s="115" t="n"/>
      <c r="G42" s="116">
        <f>IFERROR(IF(E42&gt;0,(F42/E42)*1000,""),"")</f>
        <v/>
      </c>
      <c r="H42" s="117">
        <f>IFERROR(IF(E42&gt;0,E42*IF(ISNUMBER(J42),J42,IF(C42="Futures",$C$6,$C$5)),""),"")</f>
        <v/>
      </c>
      <c r="I42" s="118">
        <f>IFERROR(IF(AND(ISNUMBER(F42),ISNUMBER(H42)),F42-H42,""),"")</f>
        <v/>
      </c>
      <c r="J42" s="85" t="n"/>
      <c r="K42" s="119">
        <f>IFERROR(IF(H42&gt;0,H42*$C$7,""),"")</f>
        <v/>
      </c>
      <c r="L42" s="120">
        <f>IFERROR(IF(ISNUMBER(F42),F42-IF(ISNUMBER(K42),K42,0),""),"")</f>
        <v/>
      </c>
    </row>
    <row r="43" ht="24" customHeight="1" s="63">
      <c r="A43" s="88" t="n"/>
      <c r="B43" s="89" t="n"/>
      <c r="C43" s="90" t="n"/>
      <c r="D43" s="90" t="n"/>
      <c r="E43" s="121" t="n"/>
      <c r="F43" s="121" t="n"/>
      <c r="G43" s="122">
        <f>IFERROR(IF(E43&gt;0,(F43/E43)*1000,""),"")</f>
        <v/>
      </c>
      <c r="H43" s="123">
        <f>IFERROR(IF(E43&gt;0,E43*IF(ISNUMBER(J43),J43,IF(C43="Futures",$C$6,$C$5)),""),"")</f>
        <v/>
      </c>
      <c r="I43" s="124">
        <f>IFERROR(IF(AND(ISNUMBER(F43),ISNUMBER(H43)),F43-H43,""),"")</f>
        <v/>
      </c>
      <c r="J43" s="95" t="n"/>
      <c r="K43" s="125">
        <f>IFERROR(IF(H43&gt;0,H43*$C$7,""),"")</f>
        <v/>
      </c>
      <c r="L43" s="126">
        <f>IFERROR(IF(ISNUMBER(F43),F43-IF(ISNUMBER(K43),K43,0),""),"")</f>
        <v/>
      </c>
    </row>
    <row r="44" ht="24" customHeight="1" s="63">
      <c r="A44" s="78" t="n"/>
      <c r="B44" s="79" t="n"/>
      <c r="C44" s="80" t="n"/>
      <c r="D44" s="80" t="n"/>
      <c r="E44" s="115" t="n"/>
      <c r="F44" s="115" t="n"/>
      <c r="G44" s="116">
        <f>IFERROR(IF(E44&gt;0,(F44/E44)*1000,""),"")</f>
        <v/>
      </c>
      <c r="H44" s="117">
        <f>IFERROR(IF(E44&gt;0,E44*IF(ISNUMBER(J44),J44,IF(C44="Futures",$C$6,$C$5)),""),"")</f>
        <v/>
      </c>
      <c r="I44" s="118">
        <f>IFERROR(IF(AND(ISNUMBER(F44),ISNUMBER(H44)),F44-H44,""),"")</f>
        <v/>
      </c>
      <c r="J44" s="85" t="n"/>
      <c r="K44" s="119">
        <f>IFERROR(IF(H44&gt;0,H44*$C$7,""),"")</f>
        <v/>
      </c>
      <c r="L44" s="120">
        <f>IFERROR(IF(ISNUMBER(F44),F44-IF(ISNUMBER(K44),K44,0),""),"")</f>
        <v/>
      </c>
    </row>
    <row r="45" ht="24" customHeight="1" s="63">
      <c r="A45" s="88" t="n"/>
      <c r="B45" s="89" t="n"/>
      <c r="C45" s="90" t="n"/>
      <c r="D45" s="90" t="n"/>
      <c r="E45" s="121" t="n"/>
      <c r="F45" s="121" t="n"/>
      <c r="G45" s="122">
        <f>IFERROR(IF(E45&gt;0,(F45/E45)*1000,""),"")</f>
        <v/>
      </c>
      <c r="H45" s="123">
        <f>IFERROR(IF(E45&gt;0,E45*IF(ISNUMBER(J45),J45,IF(C45="Futures",$C$6,$C$5)),""),"")</f>
        <v/>
      </c>
      <c r="I45" s="124">
        <f>IFERROR(IF(AND(ISNUMBER(F45),ISNUMBER(H45)),F45-H45,""),"")</f>
        <v/>
      </c>
      <c r="J45" s="95" t="n"/>
      <c r="K45" s="125">
        <f>IFERROR(IF(H45&gt;0,H45*$C$7,""),"")</f>
        <v/>
      </c>
      <c r="L45" s="126">
        <f>IFERROR(IF(ISNUMBER(F45),F45-IF(ISNUMBER(K45),K45,0),""),"")</f>
        <v/>
      </c>
    </row>
    <row r="46" ht="24" customHeight="1" s="63">
      <c r="A46" s="78" t="n"/>
      <c r="B46" s="79" t="n"/>
      <c r="C46" s="80" t="n"/>
      <c r="D46" s="80" t="n"/>
      <c r="E46" s="115" t="n"/>
      <c r="F46" s="115" t="n"/>
      <c r="G46" s="116">
        <f>IFERROR(IF(E46&gt;0,(F46/E46)*1000,""),"")</f>
        <v/>
      </c>
      <c r="H46" s="117">
        <f>IFERROR(IF(E46&gt;0,E46*IF(ISNUMBER(J46),J46,IF(C46="Futures",$C$6,$C$5)),""),"")</f>
        <v/>
      </c>
      <c r="I46" s="118">
        <f>IFERROR(IF(AND(ISNUMBER(F46),ISNUMBER(H46)),F46-H46,""),"")</f>
        <v/>
      </c>
      <c r="J46" s="85" t="n"/>
      <c r="K46" s="119">
        <f>IFERROR(IF(H46&gt;0,H46*$C$7,""),"")</f>
        <v/>
      </c>
      <c r="L46" s="120">
        <f>IFERROR(IF(ISNUMBER(F46),F46-IF(ISNUMBER(K46),K46,0),""),"")</f>
        <v/>
      </c>
    </row>
    <row r="47" ht="24" customHeight="1" s="63">
      <c r="A47" s="88" t="n"/>
      <c r="B47" s="89" t="n"/>
      <c r="C47" s="90" t="n"/>
      <c r="D47" s="90" t="n"/>
      <c r="E47" s="121" t="n"/>
      <c r="F47" s="121" t="n"/>
      <c r="G47" s="122">
        <f>IFERROR(IF(E47&gt;0,(F47/E47)*1000,""),"")</f>
        <v/>
      </c>
      <c r="H47" s="123">
        <f>IFERROR(IF(E47&gt;0,E47*IF(ISNUMBER(J47),J47,IF(C47="Futures",$C$6,$C$5)),""),"")</f>
        <v/>
      </c>
      <c r="I47" s="124">
        <f>IFERROR(IF(AND(ISNUMBER(F47),ISNUMBER(H47)),F47-H47,""),"")</f>
        <v/>
      </c>
      <c r="J47" s="95" t="n"/>
      <c r="K47" s="125">
        <f>IFERROR(IF(H47&gt;0,H47*$C$7,""),"")</f>
        <v/>
      </c>
      <c r="L47" s="126">
        <f>IFERROR(IF(ISNUMBER(F47),F47-IF(ISNUMBER(K47),K47,0),""),"")</f>
        <v/>
      </c>
    </row>
    <row r="48" ht="24" customHeight="1" s="63">
      <c r="A48" s="78" t="n"/>
      <c r="B48" s="79" t="n"/>
      <c r="C48" s="80" t="n"/>
      <c r="D48" s="80" t="n"/>
      <c r="E48" s="115" t="n"/>
      <c r="F48" s="115" t="n"/>
      <c r="G48" s="116">
        <f>IFERROR(IF(E48&gt;0,(F48/E48)*1000,""),"")</f>
        <v/>
      </c>
      <c r="H48" s="117">
        <f>IFERROR(IF(E48&gt;0,E48*IF(ISNUMBER(J48),J48,IF(C48="Futures",$C$6,$C$5)),""),"")</f>
        <v/>
      </c>
      <c r="I48" s="118">
        <f>IFERROR(IF(AND(ISNUMBER(F48),ISNUMBER(H48)),F48-H48,""),"")</f>
        <v/>
      </c>
      <c r="J48" s="85" t="n"/>
      <c r="K48" s="119">
        <f>IFERROR(IF(H48&gt;0,H48*$C$7,""),"")</f>
        <v/>
      </c>
      <c r="L48" s="120">
        <f>IFERROR(IF(ISNUMBER(F48),F48-IF(ISNUMBER(K48),K48,0),""),"")</f>
        <v/>
      </c>
    </row>
    <row r="49" ht="24" customHeight="1" s="63">
      <c r="A49" s="88" t="n"/>
      <c r="B49" s="89" t="n"/>
      <c r="C49" s="90" t="n"/>
      <c r="D49" s="90" t="n"/>
      <c r="E49" s="121" t="n"/>
      <c r="F49" s="121" t="n"/>
      <c r="G49" s="122">
        <f>IFERROR(IF(E49&gt;0,(F49/E49)*1000,""),"")</f>
        <v/>
      </c>
      <c r="H49" s="123">
        <f>IFERROR(IF(E49&gt;0,E49*IF(ISNUMBER(J49),J49,IF(C49="Futures",$C$6,$C$5)),""),"")</f>
        <v/>
      </c>
      <c r="I49" s="124">
        <f>IFERROR(IF(AND(ISNUMBER(F49),ISNUMBER(H49)),F49-H49,""),"")</f>
        <v/>
      </c>
      <c r="J49" s="95" t="n"/>
      <c r="K49" s="125">
        <f>IFERROR(IF(H49&gt;0,H49*$C$7,""),"")</f>
        <v/>
      </c>
      <c r="L49" s="126">
        <f>IFERROR(IF(ISNUMBER(F49),F49-IF(ISNUMBER(K49),K49,0),""),"")</f>
        <v/>
      </c>
    </row>
    <row r="50" ht="24" customHeight="1" s="63">
      <c r="A50" s="78" t="n"/>
      <c r="B50" s="79" t="n"/>
      <c r="C50" s="80" t="n"/>
      <c r="D50" s="80" t="n"/>
      <c r="E50" s="115" t="n"/>
      <c r="F50" s="115" t="n"/>
      <c r="G50" s="116">
        <f>IFERROR(IF(E50&gt;0,(F50/E50)*1000,""),"")</f>
        <v/>
      </c>
      <c r="H50" s="117">
        <f>IFERROR(IF(E50&gt;0,E50*IF(ISNUMBER(J50),J50,IF(C50="Futures",$C$6,$C$5)),""),"")</f>
        <v/>
      </c>
      <c r="I50" s="118">
        <f>IFERROR(IF(AND(ISNUMBER(F50),ISNUMBER(H50)),F50-H50,""),"")</f>
        <v/>
      </c>
      <c r="J50" s="85" t="n"/>
      <c r="K50" s="119">
        <f>IFERROR(IF(H50&gt;0,H50*$C$7,""),"")</f>
        <v/>
      </c>
      <c r="L50" s="120">
        <f>IFERROR(IF(ISNUMBER(F50),F50-IF(ISNUMBER(K50),K50,0),""),"")</f>
        <v/>
      </c>
    </row>
    <row r="51" ht="24" customHeight="1" s="63">
      <c r="A51" s="88" t="n"/>
      <c r="B51" s="89" t="n"/>
      <c r="C51" s="90" t="n"/>
      <c r="D51" s="90" t="n"/>
      <c r="E51" s="121" t="n"/>
      <c r="F51" s="121" t="n"/>
      <c r="G51" s="122">
        <f>IFERROR(IF(E51&gt;0,(F51/E51)*1000,""),"")</f>
        <v/>
      </c>
      <c r="H51" s="123">
        <f>IFERROR(IF(E51&gt;0,E51*IF(ISNUMBER(J51),J51,IF(C51="Futures",$C$6,$C$5)),""),"")</f>
        <v/>
      </c>
      <c r="I51" s="124">
        <f>IFERROR(IF(AND(ISNUMBER(F51),ISNUMBER(H51)),F51-H51,""),"")</f>
        <v/>
      </c>
      <c r="J51" s="95" t="n"/>
      <c r="K51" s="125">
        <f>IFERROR(IF(H51&gt;0,H51*$C$7,""),"")</f>
        <v/>
      </c>
      <c r="L51" s="126">
        <f>IFERROR(IF(ISNUMBER(F51),F51-IF(ISNUMBER(K51),K51,0),""),"")</f>
        <v/>
      </c>
    </row>
    <row r="52" ht="24" customHeight="1" s="63">
      <c r="A52" s="78" t="n"/>
      <c r="B52" s="79" t="n"/>
      <c r="C52" s="80" t="n"/>
      <c r="D52" s="80" t="n"/>
      <c r="E52" s="115" t="n"/>
      <c r="F52" s="115" t="n"/>
      <c r="G52" s="116">
        <f>IFERROR(IF(E52&gt;0,(F52/E52)*1000,""),"")</f>
        <v/>
      </c>
      <c r="H52" s="117">
        <f>IFERROR(IF(E52&gt;0,E52*IF(ISNUMBER(J52),J52,IF(C52="Futures",$C$6,$C$5)),""),"")</f>
        <v/>
      </c>
      <c r="I52" s="118">
        <f>IFERROR(IF(AND(ISNUMBER(F52),ISNUMBER(H52)),F52-H52,""),"")</f>
        <v/>
      </c>
      <c r="J52" s="85" t="n"/>
      <c r="K52" s="119">
        <f>IFERROR(IF(H52&gt;0,H52*$C$7,""),"")</f>
        <v/>
      </c>
      <c r="L52" s="120">
        <f>IFERROR(IF(ISNUMBER(F52),F52-IF(ISNUMBER(K52),K52,0),""),"")</f>
        <v/>
      </c>
    </row>
    <row r="53" ht="24" customHeight="1" s="63">
      <c r="A53" s="88" t="n"/>
      <c r="B53" s="89" t="n"/>
      <c r="C53" s="90" t="n"/>
      <c r="D53" s="90" t="n"/>
      <c r="E53" s="121" t="n"/>
      <c r="F53" s="121" t="n"/>
      <c r="G53" s="122">
        <f>IFERROR(IF(E53&gt;0,(F53/E53)*1000,""),"")</f>
        <v/>
      </c>
      <c r="H53" s="123">
        <f>IFERROR(IF(E53&gt;0,E53*IF(ISNUMBER(J53),J53,IF(C53="Futures",$C$6,$C$5)),""),"")</f>
        <v/>
      </c>
      <c r="I53" s="124">
        <f>IFERROR(IF(AND(ISNUMBER(F53),ISNUMBER(H53)),F53-H53,""),"")</f>
        <v/>
      </c>
      <c r="J53" s="95" t="n"/>
      <c r="K53" s="125">
        <f>IFERROR(IF(H53&gt;0,H53*$C$7,""),"")</f>
        <v/>
      </c>
      <c r="L53" s="126">
        <f>IFERROR(IF(ISNUMBER(F53),F53-IF(ISNUMBER(K53),K53,0),""),"")</f>
        <v/>
      </c>
    </row>
    <row r="54" ht="24" customHeight="1" s="63">
      <c r="A54" s="78" t="n"/>
      <c r="B54" s="79" t="n"/>
      <c r="C54" s="80" t="n"/>
      <c r="D54" s="80" t="n"/>
      <c r="E54" s="115" t="n"/>
      <c r="F54" s="115" t="n"/>
      <c r="G54" s="116">
        <f>IFERROR(IF(E54&gt;0,(F54/E54)*1000,""),"")</f>
        <v/>
      </c>
      <c r="H54" s="117">
        <f>IFERROR(IF(E54&gt;0,E54*IF(ISNUMBER(J54),J54,IF(C54="Futures",$C$6,$C$5)),""),"")</f>
        <v/>
      </c>
      <c r="I54" s="118">
        <f>IFERROR(IF(AND(ISNUMBER(F54),ISNUMBER(H54)),F54-H54,""),"")</f>
        <v/>
      </c>
      <c r="J54" s="85" t="n"/>
      <c r="K54" s="119">
        <f>IFERROR(IF(H54&gt;0,H54*$C$7,""),"")</f>
        <v/>
      </c>
      <c r="L54" s="120">
        <f>IFERROR(IF(ISNUMBER(F54),F54-IF(ISNUMBER(K54),K54,0),""),"")</f>
        <v/>
      </c>
    </row>
    <row r="55" ht="24" customHeight="1" s="63">
      <c r="A55" s="88" t="n"/>
      <c r="B55" s="89" t="n"/>
      <c r="C55" s="90" t="n"/>
      <c r="D55" s="90" t="n"/>
      <c r="E55" s="121" t="n"/>
      <c r="F55" s="121" t="n"/>
      <c r="G55" s="122">
        <f>IFERROR(IF(E55&gt;0,(F55/E55)*1000,""),"")</f>
        <v/>
      </c>
      <c r="H55" s="123">
        <f>IFERROR(IF(E55&gt;0,E55*IF(ISNUMBER(J55),J55,IF(C55="Futures",$C$6,$C$5)),""),"")</f>
        <v/>
      </c>
      <c r="I55" s="124">
        <f>IFERROR(IF(AND(ISNUMBER(F55),ISNUMBER(H55)),F55-H55,""),"")</f>
        <v/>
      </c>
      <c r="J55" s="95" t="n"/>
      <c r="K55" s="125">
        <f>IFERROR(IF(H55&gt;0,H55*$C$7,""),"")</f>
        <v/>
      </c>
      <c r="L55" s="126">
        <f>IFERROR(IF(ISNUMBER(F55),F55-IF(ISNUMBER(K55),K55,0),""),"")</f>
        <v/>
      </c>
    </row>
    <row r="56" ht="24" customHeight="1" s="63">
      <c r="A56" s="78" t="n"/>
      <c r="B56" s="79" t="n"/>
      <c r="C56" s="80" t="n"/>
      <c r="D56" s="80" t="n"/>
      <c r="E56" s="115" t="n"/>
      <c r="F56" s="115" t="n"/>
      <c r="G56" s="116">
        <f>IFERROR(IF(E56&gt;0,(F56/E56)*1000,""),"")</f>
        <v/>
      </c>
      <c r="H56" s="117">
        <f>IFERROR(IF(E56&gt;0,E56*IF(ISNUMBER(J56),J56,IF(C56="Futures",$C$6,$C$5)),""),"")</f>
        <v/>
      </c>
      <c r="I56" s="118">
        <f>IFERROR(IF(AND(ISNUMBER(F56),ISNUMBER(H56)),F56-H56,""),"")</f>
        <v/>
      </c>
      <c r="J56" s="85" t="n"/>
      <c r="K56" s="119">
        <f>IFERROR(IF(H56&gt;0,H56*$C$7,""),"")</f>
        <v/>
      </c>
      <c r="L56" s="120">
        <f>IFERROR(IF(ISNUMBER(F56),F56-IF(ISNUMBER(K56),K56,0),""),"")</f>
        <v/>
      </c>
    </row>
    <row r="57" ht="24" customHeight="1" s="63">
      <c r="A57" s="88" t="n"/>
      <c r="B57" s="89" t="n"/>
      <c r="C57" s="90" t="n"/>
      <c r="D57" s="90" t="n"/>
      <c r="E57" s="121" t="n"/>
      <c r="F57" s="121" t="n"/>
      <c r="G57" s="122">
        <f>IFERROR(IF(E57&gt;0,(F57/E57)*1000,""),"")</f>
        <v/>
      </c>
      <c r="H57" s="123">
        <f>IFERROR(IF(E57&gt;0,E57*IF(ISNUMBER(J57),J57,IF(C57="Futures",$C$6,$C$5)),""),"")</f>
        <v/>
      </c>
      <c r="I57" s="124">
        <f>IFERROR(IF(AND(ISNUMBER(F57),ISNUMBER(H57)),F57-H57,""),"")</f>
        <v/>
      </c>
      <c r="J57" s="95" t="n"/>
      <c r="K57" s="125">
        <f>IFERROR(IF(H57&gt;0,H57*$C$7,""),"")</f>
        <v/>
      </c>
      <c r="L57" s="126">
        <f>IFERROR(IF(ISNUMBER(F57),F57-IF(ISNUMBER(K57),K57,0),""),"")</f>
        <v/>
      </c>
    </row>
    <row r="58" ht="24" customHeight="1" s="63">
      <c r="A58" s="78" t="n"/>
      <c r="B58" s="79" t="n"/>
      <c r="C58" s="80" t="n"/>
      <c r="D58" s="80" t="n"/>
      <c r="E58" s="115" t="n"/>
      <c r="F58" s="115" t="n"/>
      <c r="G58" s="116">
        <f>IFERROR(IF(E58&gt;0,(F58/E58)*1000,""),"")</f>
        <v/>
      </c>
      <c r="H58" s="117">
        <f>IFERROR(IF(E58&gt;0,E58*IF(ISNUMBER(J58),J58,IF(C58="Futures",$C$6,$C$5)),""),"")</f>
        <v/>
      </c>
      <c r="I58" s="118">
        <f>IFERROR(IF(AND(ISNUMBER(F58),ISNUMBER(H58)),F58-H58,""),"")</f>
        <v/>
      </c>
      <c r="J58" s="85" t="n"/>
      <c r="K58" s="119">
        <f>IFERROR(IF(H58&gt;0,H58*$C$7,""),"")</f>
        <v/>
      </c>
      <c r="L58" s="120">
        <f>IFERROR(IF(ISNUMBER(F58),F58-IF(ISNUMBER(K58),K58,0),""),"")</f>
        <v/>
      </c>
    </row>
    <row r="59" ht="24" customHeight="1" s="63">
      <c r="A59" s="88" t="n"/>
      <c r="B59" s="89" t="n"/>
      <c r="C59" s="90" t="n"/>
      <c r="D59" s="90" t="n"/>
      <c r="E59" s="121" t="n"/>
      <c r="F59" s="121" t="n"/>
      <c r="G59" s="122">
        <f>IFERROR(IF(E59&gt;0,(F59/E59)*1000,""),"")</f>
        <v/>
      </c>
      <c r="H59" s="123">
        <f>IFERROR(IF(E59&gt;0,E59*IF(ISNUMBER(J59),J59,IF(C59="Futures",$C$6,$C$5)),""),"")</f>
        <v/>
      </c>
      <c r="I59" s="124">
        <f>IFERROR(IF(AND(ISNUMBER(F59),ISNUMBER(H59)),F59-H59,""),"")</f>
        <v/>
      </c>
      <c r="J59" s="95" t="n"/>
      <c r="K59" s="125">
        <f>IFERROR(IF(H59&gt;0,H59*$C$7,""),"")</f>
        <v/>
      </c>
      <c r="L59" s="126">
        <f>IFERROR(IF(ISNUMBER(F59),F59-IF(ISNUMBER(K59),K59,0),""),"")</f>
        <v/>
      </c>
    </row>
    <row r="60" ht="24" customHeight="1" s="63">
      <c r="A60" s="78" t="n"/>
      <c r="B60" s="79" t="n"/>
      <c r="C60" s="80" t="n"/>
      <c r="D60" s="80" t="n"/>
      <c r="E60" s="115" t="n"/>
      <c r="F60" s="115" t="n"/>
      <c r="G60" s="116">
        <f>IFERROR(IF(E60&gt;0,(F60/E60)*1000,""),"")</f>
        <v/>
      </c>
      <c r="H60" s="117">
        <f>IFERROR(IF(E60&gt;0,E60*IF(ISNUMBER(J60),J60,IF(C60="Futures",$C$6,$C$5)),""),"")</f>
        <v/>
      </c>
      <c r="I60" s="118">
        <f>IFERROR(IF(AND(ISNUMBER(F60),ISNUMBER(H60)),F60-H60,""),"")</f>
        <v/>
      </c>
      <c r="J60" s="85" t="n"/>
      <c r="K60" s="119">
        <f>IFERROR(IF(H60&gt;0,H60*$C$7,""),"")</f>
        <v/>
      </c>
      <c r="L60" s="120">
        <f>IFERROR(IF(ISNUMBER(F60),F60-IF(ISNUMBER(K60),K60,0),""),"")</f>
        <v/>
      </c>
    </row>
    <row r="61" ht="24" customHeight="1" s="63">
      <c r="A61" s="88" t="n"/>
      <c r="B61" s="89" t="n"/>
      <c r="C61" s="90" t="n"/>
      <c r="D61" s="90" t="n"/>
      <c r="E61" s="121" t="n"/>
      <c r="F61" s="121" t="n"/>
      <c r="G61" s="122">
        <f>IFERROR(IF(E61&gt;0,(F61/E61)*1000,""),"")</f>
        <v/>
      </c>
      <c r="H61" s="123">
        <f>IFERROR(IF(E61&gt;0,E61*IF(ISNUMBER(J61),J61,IF(C61="Futures",$C$6,$C$5)),""),"")</f>
        <v/>
      </c>
      <c r="I61" s="124">
        <f>IFERROR(IF(AND(ISNUMBER(F61),ISNUMBER(H61)),F61-H61,""),"")</f>
        <v/>
      </c>
      <c r="J61" s="95" t="n"/>
      <c r="K61" s="125">
        <f>IFERROR(IF(H61&gt;0,H61*$C$7,""),"")</f>
        <v/>
      </c>
      <c r="L61" s="126">
        <f>IFERROR(IF(ISNUMBER(F61),F61-IF(ISNUMBER(K61),K61,0),""),"")</f>
        <v/>
      </c>
    </row>
    <row r="62" ht="24" customHeight="1" s="63">
      <c r="A62" s="78" t="n"/>
      <c r="B62" s="79" t="n"/>
      <c r="C62" s="80" t="n"/>
      <c r="D62" s="80" t="n"/>
      <c r="E62" s="115" t="n"/>
      <c r="F62" s="115" t="n"/>
      <c r="G62" s="116">
        <f>IFERROR(IF(E62&gt;0,(F62/E62)*1000,""),"")</f>
        <v/>
      </c>
      <c r="H62" s="117">
        <f>IFERROR(IF(E62&gt;0,E62*IF(ISNUMBER(J62),J62,IF(C62="Futures",$C$6,$C$5)),""),"")</f>
        <v/>
      </c>
      <c r="I62" s="118">
        <f>IFERROR(IF(AND(ISNUMBER(F62),ISNUMBER(H62)),F62-H62,""),"")</f>
        <v/>
      </c>
      <c r="J62" s="85" t="n"/>
      <c r="K62" s="119">
        <f>IFERROR(IF(H62&gt;0,H62*$C$7,""),"")</f>
        <v/>
      </c>
      <c r="L62" s="120">
        <f>IFERROR(IF(ISNUMBER(F62),F62-IF(ISNUMBER(K62),K62,0),""),"")</f>
        <v/>
      </c>
    </row>
    <row r="63" ht="24" customHeight="1" s="63">
      <c r="A63" s="88" t="n"/>
      <c r="B63" s="89" t="n"/>
      <c r="C63" s="90" t="n"/>
      <c r="D63" s="90" t="n"/>
      <c r="E63" s="121" t="n"/>
      <c r="F63" s="121" t="n"/>
      <c r="G63" s="122">
        <f>IFERROR(IF(E63&gt;0,(F63/E63)*1000,""),"")</f>
        <v/>
      </c>
      <c r="H63" s="123">
        <f>IFERROR(IF(E63&gt;0,E63*IF(ISNUMBER(J63),J63,IF(C63="Futures",$C$6,$C$5)),""),"")</f>
        <v/>
      </c>
      <c r="I63" s="124">
        <f>IFERROR(IF(AND(ISNUMBER(F63),ISNUMBER(H63)),F63-H63,""),"")</f>
        <v/>
      </c>
      <c r="J63" s="95" t="n"/>
      <c r="K63" s="125">
        <f>IFERROR(IF(H63&gt;0,H63*$C$7,""),"")</f>
        <v/>
      </c>
      <c r="L63" s="126">
        <f>IFERROR(IF(ISNUMBER(F63),F63-IF(ISNUMBER(K63),K63,0),""),"")</f>
        <v/>
      </c>
    </row>
    <row r="64" ht="24" customHeight="1" s="63">
      <c r="A64" s="78" t="n"/>
      <c r="B64" s="79" t="n"/>
      <c r="C64" s="80" t="n"/>
      <c r="D64" s="80" t="n"/>
      <c r="E64" s="115" t="n"/>
      <c r="F64" s="115" t="n"/>
      <c r="G64" s="116">
        <f>IFERROR(IF(E64&gt;0,(F64/E64)*1000,""),"")</f>
        <v/>
      </c>
      <c r="H64" s="117">
        <f>IFERROR(IF(E64&gt;0,E64*IF(ISNUMBER(J64),J64,IF(C64="Futures",$C$6,$C$5)),""),"")</f>
        <v/>
      </c>
      <c r="I64" s="118">
        <f>IFERROR(IF(AND(ISNUMBER(F64),ISNUMBER(H64)),F64-H64,""),"")</f>
        <v/>
      </c>
      <c r="J64" s="85" t="n"/>
      <c r="K64" s="119">
        <f>IFERROR(IF(H64&gt;0,H64*$C$7,""),"")</f>
        <v/>
      </c>
      <c r="L64" s="120">
        <f>IFERROR(IF(ISNUMBER(F64),F64-IF(ISNUMBER(K64),K64,0),""),"")</f>
        <v/>
      </c>
    </row>
    <row r="65" ht="24" customHeight="1" s="63">
      <c r="A65" s="88" t="n"/>
      <c r="B65" s="89" t="n"/>
      <c r="C65" s="90" t="n"/>
      <c r="D65" s="90" t="n"/>
      <c r="E65" s="121" t="n"/>
      <c r="F65" s="121" t="n"/>
      <c r="G65" s="122">
        <f>IFERROR(IF(E65&gt;0,(F65/E65)*1000,""),"")</f>
        <v/>
      </c>
      <c r="H65" s="123">
        <f>IFERROR(IF(E65&gt;0,E65*IF(ISNUMBER(J65),J65,IF(C65="Futures",$C$6,$C$5)),""),"")</f>
        <v/>
      </c>
      <c r="I65" s="124">
        <f>IFERROR(IF(AND(ISNUMBER(F65),ISNUMBER(H65)),F65-H65,""),"")</f>
        <v/>
      </c>
      <c r="J65" s="95" t="n"/>
      <c r="K65" s="125">
        <f>IFERROR(IF(H65&gt;0,H65*$C$7,""),"")</f>
        <v/>
      </c>
      <c r="L65" s="126">
        <f>IFERROR(IF(ISNUMBER(F65),F65-IF(ISNUMBER(K65),K65,0),""),"")</f>
        <v/>
      </c>
    </row>
    <row r="66" ht="24" customHeight="1" s="63">
      <c r="A66" s="78" t="n"/>
      <c r="B66" s="79" t="n"/>
      <c r="C66" s="80" t="n"/>
      <c r="D66" s="80" t="n"/>
      <c r="E66" s="115" t="n"/>
      <c r="F66" s="115" t="n"/>
      <c r="G66" s="116">
        <f>IFERROR(IF(E66&gt;0,(F66/E66)*1000,""),"")</f>
        <v/>
      </c>
      <c r="H66" s="117">
        <f>IFERROR(IF(E66&gt;0,E66*IF(ISNUMBER(J66),J66,IF(C66="Futures",$C$6,$C$5)),""),"")</f>
        <v/>
      </c>
      <c r="I66" s="118">
        <f>IFERROR(IF(AND(ISNUMBER(F66),ISNUMBER(H66)),F66-H66,""),"")</f>
        <v/>
      </c>
      <c r="J66" s="85" t="n"/>
      <c r="K66" s="119">
        <f>IFERROR(IF(H66&gt;0,H66*$C$7,""),"")</f>
        <v/>
      </c>
      <c r="L66" s="120">
        <f>IFERROR(IF(ISNUMBER(F66),F66-IF(ISNUMBER(K66),K66,0),""),"")</f>
        <v/>
      </c>
    </row>
    <row r="67" ht="24" customHeight="1" s="63">
      <c r="A67" s="88" t="n"/>
      <c r="B67" s="89" t="n"/>
      <c r="C67" s="90" t="n"/>
      <c r="D67" s="90" t="n"/>
      <c r="E67" s="121" t="n"/>
      <c r="F67" s="121" t="n"/>
      <c r="G67" s="122">
        <f>IFERROR(IF(E67&gt;0,(F67/E67)*1000,""),"")</f>
        <v/>
      </c>
      <c r="H67" s="123">
        <f>IFERROR(IF(E67&gt;0,E67*IF(ISNUMBER(J67),J67,IF(C67="Futures",$C$6,$C$5)),""),"")</f>
        <v/>
      </c>
      <c r="I67" s="124">
        <f>IFERROR(IF(AND(ISNUMBER(F67),ISNUMBER(H67)),F67-H67,""),"")</f>
        <v/>
      </c>
      <c r="J67" s="95" t="n"/>
      <c r="K67" s="125">
        <f>IFERROR(IF(H67&gt;0,H67*$C$7,""),"")</f>
        <v/>
      </c>
      <c r="L67" s="126">
        <f>IFERROR(IF(ISNUMBER(F67),F67-IF(ISNUMBER(K67),K67,0),""),"")</f>
        <v/>
      </c>
    </row>
    <row r="68" ht="24" customHeight="1" s="63">
      <c r="A68" s="78" t="n"/>
      <c r="B68" s="79" t="n"/>
      <c r="C68" s="80" t="n"/>
      <c r="D68" s="80" t="n"/>
      <c r="E68" s="115" t="n"/>
      <c r="F68" s="115" t="n"/>
      <c r="G68" s="116">
        <f>IFERROR(IF(E68&gt;0,(F68/E68)*1000,""),"")</f>
        <v/>
      </c>
      <c r="H68" s="117">
        <f>IFERROR(IF(E68&gt;0,E68*IF(ISNUMBER(J68),J68,IF(C68="Futures",$C$6,$C$5)),""),"")</f>
        <v/>
      </c>
      <c r="I68" s="118">
        <f>IFERROR(IF(AND(ISNUMBER(F68),ISNUMBER(H68)),F68-H68,""),"")</f>
        <v/>
      </c>
      <c r="J68" s="85" t="n"/>
      <c r="K68" s="119">
        <f>IFERROR(IF(H68&gt;0,H68*$C$7,""),"")</f>
        <v/>
      </c>
      <c r="L68" s="120">
        <f>IFERROR(IF(ISNUMBER(F68),F68-IF(ISNUMBER(K68),K68,0),""),"")</f>
        <v/>
      </c>
    </row>
    <row r="69" ht="24" customHeight="1" s="63">
      <c r="A69" s="88" t="n"/>
      <c r="B69" s="89" t="n"/>
      <c r="C69" s="90" t="n"/>
      <c r="D69" s="90" t="n"/>
      <c r="E69" s="121" t="n"/>
      <c r="F69" s="121" t="n"/>
      <c r="G69" s="122">
        <f>IFERROR(IF(E69&gt;0,(F69/E69)*1000,""),"")</f>
        <v/>
      </c>
      <c r="H69" s="123">
        <f>IFERROR(IF(E69&gt;0,E69*IF(ISNUMBER(J69),J69,IF(C69="Futures",$C$6,$C$5)),""),"")</f>
        <v/>
      </c>
      <c r="I69" s="124">
        <f>IFERROR(IF(AND(ISNUMBER(F69),ISNUMBER(H69)),F69-H69,""),"")</f>
        <v/>
      </c>
      <c r="J69" s="95" t="n"/>
      <c r="K69" s="125">
        <f>IFERROR(IF(H69&gt;0,H69*$C$7,""),"")</f>
        <v/>
      </c>
      <c r="L69" s="126">
        <f>IFERROR(IF(ISNUMBER(F69),F69-IF(ISNUMBER(K69),K69,0),""),"")</f>
        <v/>
      </c>
    </row>
    <row r="70" ht="24" customHeight="1" s="63">
      <c r="A70" s="78" t="n"/>
      <c r="B70" s="79" t="n"/>
      <c r="C70" s="80" t="n"/>
      <c r="D70" s="80" t="n"/>
      <c r="E70" s="115" t="n"/>
      <c r="F70" s="115" t="n"/>
      <c r="G70" s="116">
        <f>IFERROR(IF(E70&gt;0,(F70/E70)*1000,""),"")</f>
        <v/>
      </c>
      <c r="H70" s="117">
        <f>IFERROR(IF(E70&gt;0,E70*IF(ISNUMBER(J70),J70,IF(C70="Futures",$C$6,$C$5)),""),"")</f>
        <v/>
      </c>
      <c r="I70" s="118">
        <f>IFERROR(IF(AND(ISNUMBER(F70),ISNUMBER(H70)),F70-H70,""),"")</f>
        <v/>
      </c>
      <c r="J70" s="85" t="n"/>
      <c r="K70" s="119">
        <f>IFERROR(IF(H70&gt;0,H70*$C$7,""),"")</f>
        <v/>
      </c>
      <c r="L70" s="120">
        <f>IFERROR(IF(ISNUMBER(F70),F70-IF(ISNUMBER(K70),K70,0),""),"")</f>
        <v/>
      </c>
    </row>
    <row r="71" ht="24" customHeight="1" s="63">
      <c r="A71" s="88" t="n"/>
      <c r="B71" s="89" t="n"/>
      <c r="C71" s="90" t="n"/>
      <c r="D71" s="90" t="n"/>
      <c r="E71" s="121" t="n"/>
      <c r="F71" s="121" t="n"/>
      <c r="G71" s="122">
        <f>IFERROR(IF(E71&gt;0,(F71/E71)*1000,""),"")</f>
        <v/>
      </c>
      <c r="H71" s="123">
        <f>IFERROR(IF(E71&gt;0,E71*IF(ISNUMBER(J71),J71,IF(C71="Futures",$C$6,$C$5)),""),"")</f>
        <v/>
      </c>
      <c r="I71" s="124">
        <f>IFERROR(IF(AND(ISNUMBER(F71),ISNUMBER(H71)),F71-H71,""),"")</f>
        <v/>
      </c>
      <c r="J71" s="95" t="n"/>
      <c r="K71" s="125">
        <f>IFERROR(IF(H71&gt;0,H71*$C$7,""),"")</f>
        <v/>
      </c>
      <c r="L71" s="126">
        <f>IFERROR(IF(ISNUMBER(F71),F71-IF(ISNUMBER(K71),K71,0),""),"")</f>
        <v/>
      </c>
    </row>
    <row r="72" ht="24" customHeight="1" s="63">
      <c r="A72" s="78" t="n"/>
      <c r="B72" s="79" t="n"/>
      <c r="C72" s="80" t="n"/>
      <c r="D72" s="80" t="n"/>
      <c r="E72" s="115" t="n"/>
      <c r="F72" s="115" t="n"/>
      <c r="G72" s="116">
        <f>IFERROR(IF(E72&gt;0,(F72/E72)*1000,""),"")</f>
        <v/>
      </c>
      <c r="H72" s="117">
        <f>IFERROR(IF(E72&gt;0,E72*IF(ISNUMBER(J72),J72,IF(C72="Futures",$C$6,$C$5)),""),"")</f>
        <v/>
      </c>
      <c r="I72" s="118">
        <f>IFERROR(IF(AND(ISNUMBER(F72),ISNUMBER(H72)),F72-H72,""),"")</f>
        <v/>
      </c>
      <c r="J72" s="85" t="n"/>
      <c r="K72" s="119">
        <f>IFERROR(IF(H72&gt;0,H72*$C$7,""),"")</f>
        <v/>
      </c>
      <c r="L72" s="120">
        <f>IFERROR(IF(ISNUMBER(F72),F72-IF(ISNUMBER(K72),K72,0),""),"")</f>
        <v/>
      </c>
    </row>
    <row r="73" ht="24" customHeight="1" s="63">
      <c r="A73" s="88" t="n"/>
      <c r="B73" s="89" t="n"/>
      <c r="C73" s="90" t="n"/>
      <c r="D73" s="90" t="n"/>
      <c r="E73" s="121" t="n"/>
      <c r="F73" s="121" t="n"/>
      <c r="G73" s="122">
        <f>IFERROR(IF(E73&gt;0,(F73/E73)*1000,""),"")</f>
        <v/>
      </c>
      <c r="H73" s="123">
        <f>IFERROR(IF(E73&gt;0,E73*IF(ISNUMBER(J73),J73,IF(C73="Futures",$C$6,$C$5)),""),"")</f>
        <v/>
      </c>
      <c r="I73" s="124">
        <f>IFERROR(IF(AND(ISNUMBER(F73),ISNUMBER(H73)),F73-H73,""),"")</f>
        <v/>
      </c>
      <c r="J73" s="95" t="n"/>
      <c r="K73" s="125">
        <f>IFERROR(IF(H73&gt;0,H73*$C$7,""),"")</f>
        <v/>
      </c>
      <c r="L73" s="126">
        <f>IFERROR(IF(ISNUMBER(F73),F73-IF(ISNUMBER(K73),K73,0),""),"")</f>
        <v/>
      </c>
    </row>
    <row r="74" ht="24" customHeight="1" s="63">
      <c r="A74" s="78" t="n"/>
      <c r="B74" s="79" t="n"/>
      <c r="C74" s="80" t="n"/>
      <c r="D74" s="80" t="n"/>
      <c r="E74" s="115" t="n"/>
      <c r="F74" s="115" t="n"/>
      <c r="G74" s="116">
        <f>IFERROR(IF(E74&gt;0,(F74/E74)*1000,""),"")</f>
        <v/>
      </c>
      <c r="H74" s="117">
        <f>IFERROR(IF(E74&gt;0,E74*IF(ISNUMBER(J74),J74,IF(C74="Futures",$C$6,$C$5)),""),"")</f>
        <v/>
      </c>
      <c r="I74" s="118">
        <f>IFERROR(IF(AND(ISNUMBER(F74),ISNUMBER(H74)),F74-H74,""),"")</f>
        <v/>
      </c>
      <c r="J74" s="85" t="n"/>
      <c r="K74" s="119">
        <f>IFERROR(IF(H74&gt;0,H74*$C$7,""),"")</f>
        <v/>
      </c>
      <c r="L74" s="120">
        <f>IFERROR(IF(ISNUMBER(F74),F74-IF(ISNUMBER(K74),K74,0),""),"")</f>
        <v/>
      </c>
    </row>
    <row r="75" ht="24" customHeight="1" s="63">
      <c r="A75" s="88" t="n"/>
      <c r="B75" s="89" t="n"/>
      <c r="C75" s="90" t="n"/>
      <c r="D75" s="90" t="n"/>
      <c r="E75" s="121" t="n"/>
      <c r="F75" s="121" t="n"/>
      <c r="G75" s="122">
        <f>IFERROR(IF(E75&gt;0,(F75/E75)*1000,""),"")</f>
        <v/>
      </c>
      <c r="H75" s="123">
        <f>IFERROR(IF(E75&gt;0,E75*IF(ISNUMBER(J75),J75,IF(C75="Futures",$C$6,$C$5)),""),"")</f>
        <v/>
      </c>
      <c r="I75" s="124">
        <f>IFERROR(IF(AND(ISNUMBER(F75),ISNUMBER(H75)),F75-H75,""),"")</f>
        <v/>
      </c>
      <c r="J75" s="95" t="n"/>
      <c r="K75" s="125">
        <f>IFERROR(IF(H75&gt;0,H75*$C$7,""),"")</f>
        <v/>
      </c>
      <c r="L75" s="126">
        <f>IFERROR(IF(ISNUMBER(F75),F75-IF(ISNUMBER(K75),K75,0),""),"")</f>
        <v/>
      </c>
    </row>
    <row r="76" ht="24" customHeight="1" s="63">
      <c r="A76" s="78" t="n"/>
      <c r="B76" s="79" t="n"/>
      <c r="C76" s="80" t="n"/>
      <c r="D76" s="80" t="n"/>
      <c r="E76" s="115" t="n"/>
      <c r="F76" s="115" t="n"/>
      <c r="G76" s="116">
        <f>IFERROR(IF(E76&gt;0,(F76/E76)*1000,""),"")</f>
        <v/>
      </c>
      <c r="H76" s="117">
        <f>IFERROR(IF(E76&gt;0,E76*IF(ISNUMBER(J76),J76,IF(C76="Futures",$C$6,$C$5)),""),"")</f>
        <v/>
      </c>
      <c r="I76" s="118">
        <f>IFERROR(IF(AND(ISNUMBER(F76),ISNUMBER(H76)),F76-H76,""),"")</f>
        <v/>
      </c>
      <c r="J76" s="85" t="n"/>
      <c r="K76" s="119">
        <f>IFERROR(IF(H76&gt;0,H76*$C$7,""),"")</f>
        <v/>
      </c>
      <c r="L76" s="120">
        <f>IFERROR(IF(ISNUMBER(F76),F76-IF(ISNUMBER(K76),K76,0),""),"")</f>
        <v/>
      </c>
    </row>
    <row r="77" ht="24" customHeight="1" s="63">
      <c r="A77" s="88" t="n"/>
      <c r="B77" s="89" t="n"/>
      <c r="C77" s="90" t="n"/>
      <c r="D77" s="90" t="n"/>
      <c r="E77" s="121" t="n"/>
      <c r="F77" s="121" t="n"/>
      <c r="G77" s="122">
        <f>IFERROR(IF(E77&gt;0,(F77/E77)*1000,""),"")</f>
        <v/>
      </c>
      <c r="H77" s="123">
        <f>IFERROR(IF(E77&gt;0,E77*IF(ISNUMBER(J77),J77,IF(C77="Futures",$C$6,$C$5)),""),"")</f>
        <v/>
      </c>
      <c r="I77" s="124">
        <f>IFERROR(IF(AND(ISNUMBER(F77),ISNUMBER(H77)),F77-H77,""),"")</f>
        <v/>
      </c>
      <c r="J77" s="95" t="n"/>
      <c r="K77" s="125">
        <f>IFERROR(IF(H77&gt;0,H77*$C$7,""),"")</f>
        <v/>
      </c>
      <c r="L77" s="126">
        <f>IFERROR(IF(ISNUMBER(F77),F77-IF(ISNUMBER(K77),K77,0),""),"")</f>
        <v/>
      </c>
    </row>
    <row r="78" ht="24" customHeight="1" s="63">
      <c r="A78" s="78" t="n"/>
      <c r="B78" s="79" t="n"/>
      <c r="C78" s="80" t="n"/>
      <c r="D78" s="80" t="n"/>
      <c r="E78" s="115" t="n"/>
      <c r="F78" s="115" t="n"/>
      <c r="G78" s="116">
        <f>IFERROR(IF(E78&gt;0,(F78/E78)*1000,""),"")</f>
        <v/>
      </c>
      <c r="H78" s="117">
        <f>IFERROR(IF(E78&gt;0,E78*IF(ISNUMBER(J78),J78,IF(C78="Futures",$C$6,$C$5)),""),"")</f>
        <v/>
      </c>
      <c r="I78" s="118">
        <f>IFERROR(IF(AND(ISNUMBER(F78),ISNUMBER(H78)),F78-H78,""),"")</f>
        <v/>
      </c>
      <c r="J78" s="85" t="n"/>
      <c r="K78" s="119">
        <f>IFERROR(IF(H78&gt;0,H78*$C$7,""),"")</f>
        <v/>
      </c>
      <c r="L78" s="120">
        <f>IFERROR(IF(ISNUMBER(F78),F78-IF(ISNUMBER(K78),K78,0),""),"")</f>
        <v/>
      </c>
    </row>
    <row r="79" ht="24" customHeight="1" s="63">
      <c r="A79" s="88" t="n"/>
      <c r="B79" s="89" t="n"/>
      <c r="C79" s="90" t="n"/>
      <c r="D79" s="90" t="n"/>
      <c r="E79" s="121" t="n"/>
      <c r="F79" s="121" t="n"/>
      <c r="G79" s="122">
        <f>IFERROR(IF(E79&gt;0,(F79/E79)*1000,""),"")</f>
        <v/>
      </c>
      <c r="H79" s="123">
        <f>IFERROR(IF(E79&gt;0,E79*IF(ISNUMBER(J79),J79,IF(C79="Futures",$C$6,$C$5)),""),"")</f>
        <v/>
      </c>
      <c r="I79" s="124">
        <f>IFERROR(IF(AND(ISNUMBER(F79),ISNUMBER(H79)),F79-H79,""),"")</f>
        <v/>
      </c>
      <c r="J79" s="95" t="n"/>
      <c r="K79" s="125">
        <f>IFERROR(IF(H79&gt;0,H79*$C$7,""),"")</f>
        <v/>
      </c>
      <c r="L79" s="126">
        <f>IFERROR(IF(ISNUMBER(F79),F79-IF(ISNUMBER(K79),K79,0),""),"")</f>
        <v/>
      </c>
    </row>
    <row r="80" ht="24" customHeight="1" s="63">
      <c r="A80" s="78" t="n"/>
      <c r="B80" s="79" t="n"/>
      <c r="C80" s="80" t="n"/>
      <c r="D80" s="80" t="n"/>
      <c r="E80" s="115" t="n"/>
      <c r="F80" s="115" t="n"/>
      <c r="G80" s="116">
        <f>IFERROR(IF(E80&gt;0,(F80/E80)*1000,""),"")</f>
        <v/>
      </c>
      <c r="H80" s="117">
        <f>IFERROR(IF(E80&gt;0,E80*IF(ISNUMBER(J80),J80,IF(C80="Futures",$C$6,$C$5)),""),"")</f>
        <v/>
      </c>
      <c r="I80" s="118">
        <f>IFERROR(IF(AND(ISNUMBER(F80),ISNUMBER(H80)),F80-H80,""),"")</f>
        <v/>
      </c>
      <c r="J80" s="85" t="n"/>
      <c r="K80" s="119">
        <f>IFERROR(IF(H80&gt;0,H80*$C$7,""),"")</f>
        <v/>
      </c>
      <c r="L80" s="120">
        <f>IFERROR(IF(ISNUMBER(F80),F80-IF(ISNUMBER(K80),K80,0),""),"")</f>
        <v/>
      </c>
    </row>
    <row r="81" ht="24" customHeight="1" s="63">
      <c r="A81" s="88" t="n"/>
      <c r="B81" s="89" t="n"/>
      <c r="C81" s="90" t="n"/>
      <c r="D81" s="90" t="n"/>
      <c r="E81" s="121" t="n"/>
      <c r="F81" s="121" t="n"/>
      <c r="G81" s="122">
        <f>IFERROR(IF(E81&gt;0,(F81/E81)*1000,""),"")</f>
        <v/>
      </c>
      <c r="H81" s="123">
        <f>IFERROR(IF(E81&gt;0,E81*IF(ISNUMBER(J81),J81,IF(C81="Futures",$C$6,$C$5)),""),"")</f>
        <v/>
      </c>
      <c r="I81" s="124">
        <f>IFERROR(IF(AND(ISNUMBER(F81),ISNUMBER(H81)),F81-H81,""),"")</f>
        <v/>
      </c>
      <c r="J81" s="95" t="n"/>
      <c r="K81" s="125">
        <f>IFERROR(IF(H81&gt;0,H81*$C$7,""),"")</f>
        <v/>
      </c>
      <c r="L81" s="126">
        <f>IFERROR(IF(ISNUMBER(F81),F81-IF(ISNUMBER(K81),K81,0),""),"")</f>
        <v/>
      </c>
    </row>
    <row r="82" ht="24" customHeight="1" s="63">
      <c r="A82" s="78" t="n"/>
      <c r="B82" s="79" t="n"/>
      <c r="C82" s="80" t="n"/>
      <c r="D82" s="80" t="n"/>
      <c r="E82" s="115" t="n"/>
      <c r="F82" s="115" t="n"/>
      <c r="G82" s="116">
        <f>IFERROR(IF(E82&gt;0,(F82/E82)*1000,""),"")</f>
        <v/>
      </c>
      <c r="H82" s="117">
        <f>IFERROR(IF(E82&gt;0,E82*IF(ISNUMBER(J82),J82,IF(C82="Futures",$C$6,$C$5)),""),"")</f>
        <v/>
      </c>
      <c r="I82" s="118">
        <f>IFERROR(IF(AND(ISNUMBER(F82),ISNUMBER(H82)),F82-H82,""),"")</f>
        <v/>
      </c>
      <c r="J82" s="85" t="n"/>
      <c r="K82" s="119">
        <f>IFERROR(IF(H82&gt;0,H82*$C$7,""),"")</f>
        <v/>
      </c>
      <c r="L82" s="120">
        <f>IFERROR(IF(ISNUMBER(F82),F82-IF(ISNUMBER(K82),K82,0),""),"")</f>
        <v/>
      </c>
    </row>
    <row r="83" ht="24" customHeight="1" s="63">
      <c r="A83" s="88" t="n"/>
      <c r="B83" s="89" t="n"/>
      <c r="C83" s="90" t="n"/>
      <c r="D83" s="90" t="n"/>
      <c r="E83" s="121" t="n"/>
      <c r="F83" s="121" t="n"/>
      <c r="G83" s="122">
        <f>IFERROR(IF(E83&gt;0,(F83/E83)*1000,""),"")</f>
        <v/>
      </c>
      <c r="H83" s="123">
        <f>IFERROR(IF(E83&gt;0,E83*IF(ISNUMBER(J83),J83,IF(C83="Futures",$C$6,$C$5)),""),"")</f>
        <v/>
      </c>
      <c r="I83" s="124">
        <f>IFERROR(IF(AND(ISNUMBER(F83),ISNUMBER(H83)),F83-H83,""),"")</f>
        <v/>
      </c>
      <c r="J83" s="95" t="n"/>
      <c r="K83" s="125">
        <f>IFERROR(IF(H83&gt;0,H83*$C$7,""),"")</f>
        <v/>
      </c>
      <c r="L83" s="126">
        <f>IFERROR(IF(ISNUMBER(F83),F83-IF(ISNUMBER(K83),K83,0),""),"")</f>
        <v/>
      </c>
    </row>
    <row r="84" ht="24" customHeight="1" s="63">
      <c r="A84" s="78" t="n"/>
      <c r="B84" s="79" t="n"/>
      <c r="C84" s="80" t="n"/>
      <c r="D84" s="80" t="n"/>
      <c r="E84" s="115" t="n"/>
      <c r="F84" s="115" t="n"/>
      <c r="G84" s="116">
        <f>IFERROR(IF(E84&gt;0,(F84/E84)*1000,""),"")</f>
        <v/>
      </c>
      <c r="H84" s="117">
        <f>IFERROR(IF(E84&gt;0,E84*IF(ISNUMBER(J84),J84,IF(C84="Futures",$C$6,$C$5)),""),"")</f>
        <v/>
      </c>
      <c r="I84" s="118">
        <f>IFERROR(IF(AND(ISNUMBER(F84),ISNUMBER(H84)),F84-H84,""),"")</f>
        <v/>
      </c>
      <c r="J84" s="85" t="n"/>
      <c r="K84" s="119">
        <f>IFERROR(IF(H84&gt;0,H84*$C$7,""),"")</f>
        <v/>
      </c>
      <c r="L84" s="120">
        <f>IFERROR(IF(ISNUMBER(F84),F84-IF(ISNUMBER(K84),K84,0),""),"")</f>
        <v/>
      </c>
    </row>
    <row r="85" ht="24" customHeight="1" s="63">
      <c r="A85" s="88" t="n"/>
      <c r="B85" s="89" t="n"/>
      <c r="C85" s="90" t="n"/>
      <c r="D85" s="90" t="n"/>
      <c r="E85" s="121" t="n"/>
      <c r="F85" s="121" t="n"/>
      <c r="G85" s="122">
        <f>IFERROR(IF(E85&gt;0,(F85/E85)*1000,""),"")</f>
        <v/>
      </c>
      <c r="H85" s="123">
        <f>IFERROR(IF(E85&gt;0,E85*IF(ISNUMBER(J85),J85,IF(C85="Futures",$C$6,$C$5)),""),"")</f>
        <v/>
      </c>
      <c r="I85" s="124">
        <f>IFERROR(IF(AND(ISNUMBER(F85),ISNUMBER(H85)),F85-H85,""),"")</f>
        <v/>
      </c>
      <c r="J85" s="95" t="n"/>
      <c r="K85" s="125">
        <f>IFERROR(IF(H85&gt;0,H85*$C$7,""),"")</f>
        <v/>
      </c>
      <c r="L85" s="126">
        <f>IFERROR(IF(ISNUMBER(F85),F85-IF(ISNUMBER(K85),K85,0),""),"")</f>
        <v/>
      </c>
    </row>
    <row r="86" ht="24" customHeight="1" s="63">
      <c r="A86" s="78" t="n"/>
      <c r="B86" s="79" t="n"/>
      <c r="C86" s="80" t="n"/>
      <c r="D86" s="80" t="n"/>
      <c r="E86" s="115" t="n"/>
      <c r="F86" s="115" t="n"/>
      <c r="G86" s="116">
        <f>IFERROR(IF(E86&gt;0,(F86/E86)*1000,""),"")</f>
        <v/>
      </c>
      <c r="H86" s="117">
        <f>IFERROR(IF(E86&gt;0,E86*IF(ISNUMBER(J86),J86,IF(C86="Futures",$C$6,$C$5)),""),"")</f>
        <v/>
      </c>
      <c r="I86" s="118">
        <f>IFERROR(IF(AND(ISNUMBER(F86),ISNUMBER(H86)),F86-H86,""),"")</f>
        <v/>
      </c>
      <c r="J86" s="85" t="n"/>
      <c r="K86" s="119">
        <f>IFERROR(IF(H86&gt;0,H86*$C$7,""),"")</f>
        <v/>
      </c>
      <c r="L86" s="120">
        <f>IFERROR(IF(ISNUMBER(F86),F86-IF(ISNUMBER(K86),K86,0),""),"")</f>
        <v/>
      </c>
    </row>
    <row r="87" ht="24" customHeight="1" s="63">
      <c r="A87" s="88" t="n"/>
      <c r="B87" s="89" t="n"/>
      <c r="C87" s="90" t="n"/>
      <c r="D87" s="90" t="n"/>
      <c r="E87" s="121" t="n"/>
      <c r="F87" s="121" t="n"/>
      <c r="G87" s="122">
        <f>IFERROR(IF(E87&gt;0,(F87/E87)*1000,""),"")</f>
        <v/>
      </c>
      <c r="H87" s="123">
        <f>IFERROR(IF(E87&gt;0,E87*IF(ISNUMBER(J87),J87,IF(C87="Futures",$C$6,$C$5)),""),"")</f>
        <v/>
      </c>
      <c r="I87" s="124">
        <f>IFERROR(IF(AND(ISNUMBER(F87),ISNUMBER(H87)),F87-H87,""),"")</f>
        <v/>
      </c>
      <c r="J87" s="95" t="n"/>
      <c r="K87" s="125">
        <f>IFERROR(IF(H87&gt;0,H87*$C$7,""),"")</f>
        <v/>
      </c>
      <c r="L87" s="126">
        <f>IFERROR(IF(ISNUMBER(F87),F87-IF(ISNUMBER(K87),K87,0),""),"")</f>
        <v/>
      </c>
    </row>
    <row r="88" ht="24" customHeight="1" s="63">
      <c r="A88" s="78" t="n"/>
      <c r="B88" s="79" t="n"/>
      <c r="C88" s="80" t="n"/>
      <c r="D88" s="80" t="n"/>
      <c r="E88" s="115" t="n"/>
      <c r="F88" s="115" t="n"/>
      <c r="G88" s="116">
        <f>IFERROR(IF(E88&gt;0,(F88/E88)*1000,""),"")</f>
        <v/>
      </c>
      <c r="H88" s="117">
        <f>IFERROR(IF(E88&gt;0,E88*IF(ISNUMBER(J88),J88,IF(C88="Futures",$C$6,$C$5)),""),"")</f>
        <v/>
      </c>
      <c r="I88" s="118">
        <f>IFERROR(IF(AND(ISNUMBER(F88),ISNUMBER(H88)),F88-H88,""),"")</f>
        <v/>
      </c>
      <c r="J88" s="85" t="n"/>
      <c r="K88" s="119">
        <f>IFERROR(IF(H88&gt;0,H88*$C$7,""),"")</f>
        <v/>
      </c>
      <c r="L88" s="120">
        <f>IFERROR(IF(ISNUMBER(F88),F88-IF(ISNUMBER(K88),K88,0),""),"")</f>
        <v/>
      </c>
    </row>
    <row r="89" ht="24" customHeight="1" s="63">
      <c r="A89" s="88" t="n"/>
      <c r="B89" s="89" t="n"/>
      <c r="C89" s="90" t="n"/>
      <c r="D89" s="90" t="n"/>
      <c r="E89" s="121" t="n"/>
      <c r="F89" s="121" t="n"/>
      <c r="G89" s="122">
        <f>IFERROR(IF(E89&gt;0,(F89/E89)*1000,""),"")</f>
        <v/>
      </c>
      <c r="H89" s="123">
        <f>IFERROR(IF(E89&gt;0,E89*IF(ISNUMBER(J89),J89,IF(C89="Futures",$C$6,$C$5)),""),"")</f>
        <v/>
      </c>
      <c r="I89" s="124">
        <f>IFERROR(IF(AND(ISNUMBER(F89),ISNUMBER(H89)),F89-H89,""),"")</f>
        <v/>
      </c>
      <c r="J89" s="95" t="n"/>
      <c r="K89" s="125">
        <f>IFERROR(IF(H89&gt;0,H89*$C$7,""),"")</f>
        <v/>
      </c>
      <c r="L89" s="126">
        <f>IFERROR(IF(ISNUMBER(F89),F89-IF(ISNUMBER(K89),K89,0),""),"")</f>
        <v/>
      </c>
    </row>
    <row r="90" ht="24" customHeight="1" s="63">
      <c r="A90" s="78" t="n"/>
      <c r="B90" s="79" t="n"/>
      <c r="C90" s="80" t="n"/>
      <c r="D90" s="80" t="n"/>
      <c r="E90" s="115" t="n"/>
      <c r="F90" s="115" t="n"/>
      <c r="G90" s="116">
        <f>IFERROR(IF(E90&gt;0,(F90/E90)*1000,""),"")</f>
        <v/>
      </c>
      <c r="H90" s="117">
        <f>IFERROR(IF(E90&gt;0,E90*IF(ISNUMBER(J90),J90,IF(C90="Futures",$C$6,$C$5)),""),"")</f>
        <v/>
      </c>
      <c r="I90" s="118">
        <f>IFERROR(IF(AND(ISNUMBER(F90),ISNUMBER(H90)),F90-H90,""),"")</f>
        <v/>
      </c>
      <c r="J90" s="85" t="n"/>
      <c r="K90" s="119">
        <f>IFERROR(IF(H90&gt;0,H90*$C$7,""),"")</f>
        <v/>
      </c>
      <c r="L90" s="120">
        <f>IFERROR(IF(ISNUMBER(F90),F90-IF(ISNUMBER(K90),K90,0),""),"")</f>
        <v/>
      </c>
    </row>
    <row r="91" ht="24" customHeight="1" s="63">
      <c r="A91" s="88" t="n"/>
      <c r="B91" s="89" t="n"/>
      <c r="C91" s="90" t="n"/>
      <c r="D91" s="90" t="n"/>
      <c r="E91" s="121" t="n"/>
      <c r="F91" s="121" t="n"/>
      <c r="G91" s="122">
        <f>IFERROR(IF(E91&gt;0,(F91/E91)*1000,""),"")</f>
        <v/>
      </c>
      <c r="H91" s="123">
        <f>IFERROR(IF(E91&gt;0,E91*IF(ISNUMBER(J91),J91,IF(C91="Futures",$C$6,$C$5)),""),"")</f>
        <v/>
      </c>
      <c r="I91" s="124">
        <f>IFERROR(IF(AND(ISNUMBER(F91),ISNUMBER(H91)),F91-H91,""),"")</f>
        <v/>
      </c>
      <c r="J91" s="95" t="n"/>
      <c r="K91" s="125">
        <f>IFERROR(IF(H91&gt;0,H91*$C$7,""),"")</f>
        <v/>
      </c>
      <c r="L91" s="126">
        <f>IFERROR(IF(ISNUMBER(F91),F91-IF(ISNUMBER(K91),K91,0),""),"")</f>
        <v/>
      </c>
    </row>
    <row r="92" ht="24" customHeight="1" s="63">
      <c r="A92" s="78" t="n"/>
      <c r="B92" s="79" t="n"/>
      <c r="C92" s="80" t="n"/>
      <c r="D92" s="80" t="n"/>
      <c r="E92" s="115" t="n"/>
      <c r="F92" s="115" t="n"/>
      <c r="G92" s="116">
        <f>IFERROR(IF(E92&gt;0,(F92/E92)*1000,""),"")</f>
        <v/>
      </c>
      <c r="H92" s="117">
        <f>IFERROR(IF(E92&gt;0,E92*IF(ISNUMBER(J92),J92,IF(C92="Futures",$C$6,$C$5)),""),"")</f>
        <v/>
      </c>
      <c r="I92" s="118">
        <f>IFERROR(IF(AND(ISNUMBER(F92),ISNUMBER(H92)),F92-H92,""),"")</f>
        <v/>
      </c>
      <c r="J92" s="85" t="n"/>
      <c r="K92" s="119">
        <f>IFERROR(IF(H92&gt;0,H92*$C$7,""),"")</f>
        <v/>
      </c>
      <c r="L92" s="120">
        <f>IFERROR(IF(ISNUMBER(F92),F92-IF(ISNUMBER(K92),K92,0),""),"")</f>
        <v/>
      </c>
    </row>
    <row r="93" ht="24" customHeight="1" s="63">
      <c r="A93" s="88" t="n"/>
      <c r="B93" s="89" t="n"/>
      <c r="C93" s="90" t="n"/>
      <c r="D93" s="90" t="n"/>
      <c r="E93" s="121" t="n"/>
      <c r="F93" s="121" t="n"/>
      <c r="G93" s="122">
        <f>IFERROR(IF(E93&gt;0,(F93/E93)*1000,""),"")</f>
        <v/>
      </c>
      <c r="H93" s="123">
        <f>IFERROR(IF(E93&gt;0,E93*IF(ISNUMBER(J93),J93,IF(C93="Futures",$C$6,$C$5)),""),"")</f>
        <v/>
      </c>
      <c r="I93" s="124">
        <f>IFERROR(IF(AND(ISNUMBER(F93),ISNUMBER(H93)),F93-H93,""),"")</f>
        <v/>
      </c>
      <c r="J93" s="95" t="n"/>
      <c r="K93" s="125">
        <f>IFERROR(IF(H93&gt;0,H93*$C$7,""),"")</f>
        <v/>
      </c>
      <c r="L93" s="126">
        <f>IFERROR(IF(ISNUMBER(F93),F93-IF(ISNUMBER(K93),K93,0),""),"")</f>
        <v/>
      </c>
    </row>
    <row r="94" ht="24" customHeight="1" s="63">
      <c r="A94" s="78" t="n"/>
      <c r="B94" s="79" t="n"/>
      <c r="C94" s="80" t="n"/>
      <c r="D94" s="80" t="n"/>
      <c r="E94" s="115" t="n"/>
      <c r="F94" s="115" t="n"/>
      <c r="G94" s="116">
        <f>IFERROR(IF(E94&gt;0,(F94/E94)*1000,""),"")</f>
        <v/>
      </c>
      <c r="H94" s="117">
        <f>IFERROR(IF(E94&gt;0,E94*IF(ISNUMBER(J94),J94,IF(C94="Futures",$C$6,$C$5)),""),"")</f>
        <v/>
      </c>
      <c r="I94" s="118">
        <f>IFERROR(IF(AND(ISNUMBER(F94),ISNUMBER(H94)),F94-H94,""),"")</f>
        <v/>
      </c>
      <c r="J94" s="85" t="n"/>
      <c r="K94" s="119">
        <f>IFERROR(IF(H94&gt;0,H94*$C$7,""),"")</f>
        <v/>
      </c>
      <c r="L94" s="120">
        <f>IFERROR(IF(ISNUMBER(F94),F94-IF(ISNUMBER(K94),K94,0),""),"")</f>
        <v/>
      </c>
    </row>
    <row r="95" ht="24" customHeight="1" s="63">
      <c r="A95" s="88" t="n"/>
      <c r="B95" s="89" t="n"/>
      <c r="C95" s="90" t="n"/>
      <c r="D95" s="90" t="n"/>
      <c r="E95" s="121" t="n"/>
      <c r="F95" s="121" t="n"/>
      <c r="G95" s="122">
        <f>IFERROR(IF(E95&gt;0,(F95/E95)*1000,""),"")</f>
        <v/>
      </c>
      <c r="H95" s="123">
        <f>IFERROR(IF(E95&gt;0,E95*IF(ISNUMBER(J95),J95,IF(C95="Futures",$C$6,$C$5)),""),"")</f>
        <v/>
      </c>
      <c r="I95" s="124">
        <f>IFERROR(IF(AND(ISNUMBER(F95),ISNUMBER(H95)),F95-H95,""),"")</f>
        <v/>
      </c>
      <c r="J95" s="95" t="n"/>
      <c r="K95" s="125">
        <f>IFERROR(IF(H95&gt;0,H95*$C$7,""),"")</f>
        <v/>
      </c>
      <c r="L95" s="126">
        <f>IFERROR(IF(ISNUMBER(F95),F95-IF(ISNUMBER(K95),K95,0),""),"")</f>
        <v/>
      </c>
    </row>
    <row r="96" ht="24" customHeight="1" s="63">
      <c r="A96" s="78" t="n"/>
      <c r="B96" s="79" t="n"/>
      <c r="C96" s="80" t="n"/>
      <c r="D96" s="80" t="n"/>
      <c r="E96" s="115" t="n"/>
      <c r="F96" s="115" t="n"/>
      <c r="G96" s="116">
        <f>IFERROR(IF(E96&gt;0,(F96/E96)*1000,""),"")</f>
        <v/>
      </c>
      <c r="H96" s="117">
        <f>IFERROR(IF(E96&gt;0,E96*IF(ISNUMBER(J96),J96,IF(C96="Futures",$C$6,$C$5)),""),"")</f>
        <v/>
      </c>
      <c r="I96" s="118">
        <f>IFERROR(IF(AND(ISNUMBER(F96),ISNUMBER(H96)),F96-H96,""),"")</f>
        <v/>
      </c>
      <c r="J96" s="85" t="n"/>
      <c r="K96" s="119">
        <f>IFERROR(IF(H96&gt;0,H96*$C$7,""),"")</f>
        <v/>
      </c>
      <c r="L96" s="120">
        <f>IFERROR(IF(ISNUMBER(F96),F96-IF(ISNUMBER(K96),K96,0),""),"")</f>
        <v/>
      </c>
    </row>
    <row r="97" ht="24" customHeight="1" s="63">
      <c r="A97" s="88" t="n"/>
      <c r="B97" s="89" t="n"/>
      <c r="C97" s="90" t="n"/>
      <c r="D97" s="90" t="n"/>
      <c r="E97" s="121" t="n"/>
      <c r="F97" s="121" t="n"/>
      <c r="G97" s="122">
        <f>IFERROR(IF(E97&gt;0,(F97/E97)*1000,""),"")</f>
        <v/>
      </c>
      <c r="H97" s="123">
        <f>IFERROR(IF(E97&gt;0,E97*IF(ISNUMBER(J97),J97,IF(C97="Futures",$C$6,$C$5)),""),"")</f>
        <v/>
      </c>
      <c r="I97" s="124">
        <f>IFERROR(IF(AND(ISNUMBER(F97),ISNUMBER(H97)),F97-H97,""),"")</f>
        <v/>
      </c>
      <c r="J97" s="95" t="n"/>
      <c r="K97" s="125">
        <f>IFERROR(IF(H97&gt;0,H97*$C$7,""),"")</f>
        <v/>
      </c>
      <c r="L97" s="126">
        <f>IFERROR(IF(ISNUMBER(F97),F97-IF(ISNUMBER(K97),K97,0),""),"")</f>
        <v/>
      </c>
    </row>
    <row r="98" ht="24" customHeight="1" s="63">
      <c r="A98" s="78" t="n"/>
      <c r="B98" s="79" t="n"/>
      <c r="C98" s="80" t="n"/>
      <c r="D98" s="80" t="n"/>
      <c r="E98" s="115" t="n"/>
      <c r="F98" s="115" t="n"/>
      <c r="G98" s="116">
        <f>IFERROR(IF(E98&gt;0,(F98/E98)*1000,""),"")</f>
        <v/>
      </c>
      <c r="H98" s="117">
        <f>IFERROR(IF(E98&gt;0,E98*IF(ISNUMBER(J98),J98,IF(C98="Futures",$C$6,$C$5)),""),"")</f>
        <v/>
      </c>
      <c r="I98" s="118">
        <f>IFERROR(IF(AND(ISNUMBER(F98),ISNUMBER(H98)),F98-H98,""),"")</f>
        <v/>
      </c>
      <c r="J98" s="85" t="n"/>
      <c r="K98" s="119">
        <f>IFERROR(IF(H98&gt;0,H98*$C$7,""),"")</f>
        <v/>
      </c>
      <c r="L98" s="120">
        <f>IFERROR(IF(ISNUMBER(F98),F98-IF(ISNUMBER(K98),K98,0),""),"")</f>
        <v/>
      </c>
    </row>
    <row r="99" ht="24" customHeight="1" s="63">
      <c r="A99" s="88" t="n"/>
      <c r="B99" s="89" t="n"/>
      <c r="C99" s="90" t="n"/>
      <c r="D99" s="90" t="n"/>
      <c r="E99" s="121" t="n"/>
      <c r="F99" s="121" t="n"/>
      <c r="G99" s="122">
        <f>IFERROR(IF(E99&gt;0,(F99/E99)*1000,""),"")</f>
        <v/>
      </c>
      <c r="H99" s="123">
        <f>IFERROR(IF(E99&gt;0,E99*IF(ISNUMBER(J99),J99,IF(C99="Futures",$C$6,$C$5)),""),"")</f>
        <v/>
      </c>
      <c r="I99" s="124">
        <f>IFERROR(IF(AND(ISNUMBER(F99),ISNUMBER(H99)),F99-H99,""),"")</f>
        <v/>
      </c>
      <c r="J99" s="95" t="n"/>
      <c r="K99" s="125">
        <f>IFERROR(IF(H99&gt;0,H99*$C$7,""),"")</f>
        <v/>
      </c>
      <c r="L99" s="126">
        <f>IFERROR(IF(ISNUMBER(F99),F99-IF(ISNUMBER(K99),K99,0),""),"")</f>
        <v/>
      </c>
    </row>
    <row r="100" ht="24" customHeight="1" s="63">
      <c r="A100" s="78" t="n"/>
      <c r="B100" s="79" t="n"/>
      <c r="C100" s="80" t="n"/>
      <c r="D100" s="80" t="n"/>
      <c r="E100" s="115" t="n"/>
      <c r="F100" s="115" t="n"/>
      <c r="G100" s="116">
        <f>IFERROR(IF(E100&gt;0,(F100/E100)*1000,""),"")</f>
        <v/>
      </c>
      <c r="H100" s="117">
        <f>IFERROR(IF(E100&gt;0,E100*IF(ISNUMBER(J100),J100,IF(C100="Futures",$C$6,$C$5)),""),"")</f>
        <v/>
      </c>
      <c r="I100" s="118">
        <f>IFERROR(IF(AND(ISNUMBER(F100),ISNUMBER(H100)),F100-H100,""),"")</f>
        <v/>
      </c>
      <c r="J100" s="85" t="n"/>
      <c r="K100" s="119">
        <f>IFERROR(IF(H100&gt;0,H100*$C$7,""),"")</f>
        <v/>
      </c>
      <c r="L100" s="120">
        <f>IFERROR(IF(ISNUMBER(F100),F100-IF(ISNUMBER(K100),K100,0),""),"")</f>
        <v/>
      </c>
    </row>
    <row r="101" ht="24" customHeight="1" s="63">
      <c r="A101" s="88" t="n"/>
      <c r="B101" s="89" t="n"/>
      <c r="C101" s="90" t="n"/>
      <c r="D101" s="90" t="n"/>
      <c r="E101" s="121" t="n"/>
      <c r="F101" s="121" t="n"/>
      <c r="G101" s="122">
        <f>IFERROR(IF(E101&gt;0,(F101/E101)*1000,""),"")</f>
        <v/>
      </c>
      <c r="H101" s="123">
        <f>IFERROR(IF(E101&gt;0,E101*IF(ISNUMBER(J101),J101,IF(C101="Futures",$C$6,$C$5)),""),"")</f>
        <v/>
      </c>
      <c r="I101" s="124">
        <f>IFERROR(IF(AND(ISNUMBER(F101),ISNUMBER(H101)),F101-H101,""),"")</f>
        <v/>
      </c>
      <c r="J101" s="95" t="n"/>
      <c r="K101" s="125">
        <f>IFERROR(IF(H101&gt;0,H101*$C$7,""),"")</f>
        <v/>
      </c>
      <c r="L101" s="126">
        <f>IFERROR(IF(ISNUMBER(F101),F101-IF(ISNUMBER(K101),K101,0),""),"")</f>
        <v/>
      </c>
    </row>
    <row r="102" ht="24" customHeight="1" s="63">
      <c r="A102" s="78" t="n"/>
      <c r="B102" s="79" t="n"/>
      <c r="C102" s="80" t="n"/>
      <c r="D102" s="80" t="n"/>
      <c r="E102" s="115" t="n"/>
      <c r="F102" s="115" t="n"/>
      <c r="G102" s="116">
        <f>IFERROR(IF(E102&gt;0,(F102/E102)*1000,""),"")</f>
        <v/>
      </c>
      <c r="H102" s="117">
        <f>IFERROR(IF(E102&gt;0,E102*IF(ISNUMBER(J102),J102,IF(C102="Futures",$C$6,$C$5)),""),"")</f>
        <v/>
      </c>
      <c r="I102" s="118">
        <f>IFERROR(IF(AND(ISNUMBER(F102),ISNUMBER(H102)),F102-H102,""),"")</f>
        <v/>
      </c>
      <c r="J102" s="85" t="n"/>
      <c r="K102" s="119">
        <f>IFERROR(IF(H102&gt;0,H102*$C$7,""),"")</f>
        <v/>
      </c>
      <c r="L102" s="120">
        <f>IFERROR(IF(ISNUMBER(F102),F102-IF(ISNUMBER(K102),K102,0),""),"")</f>
        <v/>
      </c>
    </row>
    <row r="103" ht="24" customHeight="1" s="63">
      <c r="A103" s="88" t="n"/>
      <c r="B103" s="89" t="n"/>
      <c r="C103" s="90" t="n"/>
      <c r="D103" s="90" t="n"/>
      <c r="E103" s="121" t="n"/>
      <c r="F103" s="121" t="n"/>
      <c r="G103" s="122">
        <f>IFERROR(IF(E103&gt;0,(F103/E103)*1000,""),"")</f>
        <v/>
      </c>
      <c r="H103" s="123">
        <f>IFERROR(IF(E103&gt;0,E103*IF(ISNUMBER(J103),J103,IF(C103="Futures",$C$6,$C$5)),""),"")</f>
        <v/>
      </c>
      <c r="I103" s="124">
        <f>IFERROR(IF(AND(ISNUMBER(F103),ISNUMBER(H103)),F103-H103,""),"")</f>
        <v/>
      </c>
      <c r="J103" s="95" t="n"/>
      <c r="K103" s="125">
        <f>IFERROR(IF(H103&gt;0,H103*$C$7,""),"")</f>
        <v/>
      </c>
      <c r="L103" s="126">
        <f>IFERROR(IF(ISNUMBER(F103),F103-IF(ISNUMBER(K103),K103,0),""),"")</f>
        <v/>
      </c>
    </row>
    <row r="104" ht="24" customHeight="1" s="63">
      <c r="A104" s="78" t="n"/>
      <c r="B104" s="79" t="n"/>
      <c r="C104" s="80" t="n"/>
      <c r="D104" s="80" t="n"/>
      <c r="E104" s="115" t="n"/>
      <c r="F104" s="115" t="n"/>
      <c r="G104" s="116">
        <f>IFERROR(IF(E104&gt;0,(F104/E104)*1000,""),"")</f>
        <v/>
      </c>
      <c r="H104" s="117">
        <f>IFERROR(IF(E104&gt;0,E104*IF(ISNUMBER(J104),J104,IF(C104="Futures",$C$6,$C$5)),""),"")</f>
        <v/>
      </c>
      <c r="I104" s="118">
        <f>IFERROR(IF(AND(ISNUMBER(F104),ISNUMBER(H104)),F104-H104,""),"")</f>
        <v/>
      </c>
      <c r="J104" s="85" t="n"/>
      <c r="K104" s="119">
        <f>IFERROR(IF(H104&gt;0,H104*$C$7,""),"")</f>
        <v/>
      </c>
      <c r="L104" s="120">
        <f>IFERROR(IF(ISNUMBER(F104),F104-IF(ISNUMBER(K104),K104,0),""),"")</f>
        <v/>
      </c>
    </row>
    <row r="105" ht="24" customHeight="1" s="63">
      <c r="A105" s="88" t="n"/>
      <c r="B105" s="89" t="n"/>
      <c r="C105" s="90" t="n"/>
      <c r="D105" s="90" t="n"/>
      <c r="E105" s="121" t="n"/>
      <c r="F105" s="121" t="n"/>
      <c r="G105" s="122">
        <f>IFERROR(IF(E105&gt;0,(F105/E105)*1000,""),"")</f>
        <v/>
      </c>
      <c r="H105" s="123">
        <f>IFERROR(IF(E105&gt;0,E105*IF(ISNUMBER(J105),J105,IF(C105="Futures",$C$6,$C$5)),""),"")</f>
        <v/>
      </c>
      <c r="I105" s="124">
        <f>IFERROR(IF(AND(ISNUMBER(F105),ISNUMBER(H105)),F105-H105,""),"")</f>
        <v/>
      </c>
      <c r="J105" s="95" t="n"/>
      <c r="K105" s="125">
        <f>IFERROR(IF(H105&gt;0,H105*$C$7,""),"")</f>
        <v/>
      </c>
      <c r="L105" s="126">
        <f>IFERROR(IF(ISNUMBER(F105),F105-IF(ISNUMBER(K105),K105,0),""),"")</f>
        <v/>
      </c>
    </row>
    <row r="106" ht="24" customHeight="1" s="63">
      <c r="A106" s="78" t="n"/>
      <c r="B106" s="79" t="n"/>
      <c r="C106" s="80" t="n"/>
      <c r="D106" s="80" t="n"/>
      <c r="E106" s="115" t="n"/>
      <c r="F106" s="115" t="n"/>
      <c r="G106" s="116">
        <f>IFERROR(IF(E106&gt;0,(F106/E106)*1000,""),"")</f>
        <v/>
      </c>
      <c r="H106" s="117">
        <f>IFERROR(IF(E106&gt;0,E106*IF(ISNUMBER(J106),J106,IF(C106="Futures",$C$6,$C$5)),""),"")</f>
        <v/>
      </c>
      <c r="I106" s="118">
        <f>IFERROR(IF(AND(ISNUMBER(F106),ISNUMBER(H106)),F106-H106,""),"")</f>
        <v/>
      </c>
      <c r="J106" s="85" t="n"/>
      <c r="K106" s="119">
        <f>IFERROR(IF(H106&gt;0,H106*$C$7,""),"")</f>
        <v/>
      </c>
      <c r="L106" s="120">
        <f>IFERROR(IF(ISNUMBER(F106),F106-IF(ISNUMBER(K106),K106,0),""),"")</f>
        <v/>
      </c>
    </row>
    <row r="107" ht="24" customHeight="1" s="63">
      <c r="A107" s="88" t="n"/>
      <c r="B107" s="89" t="n"/>
      <c r="C107" s="90" t="n"/>
      <c r="D107" s="90" t="n"/>
      <c r="E107" s="121" t="n"/>
      <c r="F107" s="121" t="n"/>
      <c r="G107" s="122">
        <f>IFERROR(IF(E107&gt;0,(F107/E107)*1000,""),"")</f>
        <v/>
      </c>
      <c r="H107" s="123">
        <f>IFERROR(IF(E107&gt;0,E107*IF(ISNUMBER(J107),J107,IF(C107="Futures",$C$6,$C$5)),""),"")</f>
        <v/>
      </c>
      <c r="I107" s="124">
        <f>IFERROR(IF(AND(ISNUMBER(F107),ISNUMBER(H107)),F107-H107,""),"")</f>
        <v/>
      </c>
      <c r="J107" s="95" t="n"/>
      <c r="K107" s="125">
        <f>IFERROR(IF(H107&gt;0,H107*$C$7,""),"")</f>
        <v/>
      </c>
      <c r="L107" s="126">
        <f>IFERROR(IF(ISNUMBER(F107),F107-IF(ISNUMBER(K107),K107,0),""),"")</f>
        <v/>
      </c>
    </row>
    <row r="108" ht="24" customHeight="1" s="63">
      <c r="A108" s="78" t="n"/>
      <c r="B108" s="79" t="n"/>
      <c r="C108" s="80" t="n"/>
      <c r="D108" s="80" t="n"/>
      <c r="E108" s="115" t="n"/>
      <c r="F108" s="115" t="n"/>
      <c r="G108" s="116">
        <f>IFERROR(IF(E108&gt;0,(F108/E108)*1000,""),"")</f>
        <v/>
      </c>
      <c r="H108" s="117">
        <f>IFERROR(IF(E108&gt;0,E108*IF(ISNUMBER(J108),J108,IF(C108="Futures",$C$6,$C$5)),""),"")</f>
        <v/>
      </c>
      <c r="I108" s="118">
        <f>IFERROR(IF(AND(ISNUMBER(F108),ISNUMBER(H108)),F108-H108,""),"")</f>
        <v/>
      </c>
      <c r="J108" s="85" t="n"/>
      <c r="K108" s="119">
        <f>IFERROR(IF(H108&gt;0,H108*$C$7,""),"")</f>
        <v/>
      </c>
      <c r="L108" s="120">
        <f>IFERROR(IF(ISNUMBER(F108),F108-IF(ISNUMBER(K108),K108,0),""),"")</f>
        <v/>
      </c>
    </row>
    <row r="109" ht="24" customHeight="1" s="63">
      <c r="A109" s="88" t="n"/>
      <c r="B109" s="89" t="n"/>
      <c r="C109" s="90" t="n"/>
      <c r="D109" s="90" t="n"/>
      <c r="E109" s="121" t="n"/>
      <c r="F109" s="121" t="n"/>
      <c r="G109" s="122">
        <f>IFERROR(IF(E109&gt;0,(F109/E109)*1000,""),"")</f>
        <v/>
      </c>
      <c r="H109" s="123">
        <f>IFERROR(IF(E109&gt;0,E109*IF(ISNUMBER(J109),J109,IF(C109="Futures",$C$6,$C$5)),""),"")</f>
        <v/>
      </c>
      <c r="I109" s="124">
        <f>IFERROR(IF(AND(ISNUMBER(F109),ISNUMBER(H109)),F109-H109,""),"")</f>
        <v/>
      </c>
      <c r="J109" s="95" t="n"/>
      <c r="K109" s="125">
        <f>IFERROR(IF(H109&gt;0,H109*$C$7,""),"")</f>
        <v/>
      </c>
      <c r="L109" s="126">
        <f>IFERROR(IF(ISNUMBER(F109),F109-IF(ISNUMBER(K109),K109,0),""),"")</f>
        <v/>
      </c>
    </row>
    <row r="110" ht="24" customHeight="1" s="63">
      <c r="A110" s="78" t="n"/>
      <c r="B110" s="79" t="n"/>
      <c r="C110" s="80" t="n"/>
      <c r="D110" s="80" t="n"/>
      <c r="E110" s="115" t="n"/>
      <c r="F110" s="115" t="n"/>
      <c r="G110" s="116">
        <f>IFERROR(IF(E110&gt;0,(F110/E110)*1000,""),"")</f>
        <v/>
      </c>
      <c r="H110" s="117">
        <f>IFERROR(IF(E110&gt;0,E110*IF(ISNUMBER(J110),J110,IF(C110="Futures",$C$6,$C$5)),""),"")</f>
        <v/>
      </c>
      <c r="I110" s="118">
        <f>IFERROR(IF(AND(ISNUMBER(F110),ISNUMBER(H110)),F110-H110,""),"")</f>
        <v/>
      </c>
      <c r="J110" s="85" t="n"/>
      <c r="K110" s="119">
        <f>IFERROR(IF(H110&gt;0,H110*$C$7,""),"")</f>
        <v/>
      </c>
      <c r="L110" s="120">
        <f>IFERROR(IF(ISNUMBER(F110),F110-IF(ISNUMBER(K110),K110,0),""),"")</f>
        <v/>
      </c>
    </row>
    <row r="111" ht="24" customHeight="1" s="63">
      <c r="A111" s="88" t="n"/>
      <c r="B111" s="89" t="n"/>
      <c r="C111" s="90" t="n"/>
      <c r="D111" s="90" t="n"/>
      <c r="E111" s="121" t="n"/>
      <c r="F111" s="121" t="n"/>
      <c r="G111" s="122">
        <f>IFERROR(IF(E111&gt;0,(F111/E111)*1000,""),"")</f>
        <v/>
      </c>
      <c r="H111" s="123">
        <f>IFERROR(IF(E111&gt;0,E111*IF(ISNUMBER(J111),J111,IF(C111="Futures",$C$6,$C$5)),""),"")</f>
        <v/>
      </c>
      <c r="I111" s="124">
        <f>IFERROR(IF(AND(ISNUMBER(F111),ISNUMBER(H111)),F111-H111,""),"")</f>
        <v/>
      </c>
      <c r="J111" s="95" t="n"/>
      <c r="K111" s="125">
        <f>IFERROR(IF(H111&gt;0,H111*$C$7,""),"")</f>
        <v/>
      </c>
      <c r="L111" s="126">
        <f>IFERROR(IF(ISNUMBER(F111),F111-IF(ISNUMBER(K111),K111,0),""),"")</f>
        <v/>
      </c>
    </row>
    <row r="112" ht="24" customHeight="1" s="63">
      <c r="A112" s="78" t="n"/>
      <c r="B112" s="79" t="n"/>
      <c r="C112" s="80" t="n"/>
      <c r="D112" s="80" t="n"/>
      <c r="E112" s="115" t="n"/>
      <c r="F112" s="115" t="n"/>
      <c r="G112" s="116">
        <f>IFERROR(IF(E112&gt;0,(F112/E112)*1000,""),"")</f>
        <v/>
      </c>
      <c r="H112" s="117">
        <f>IFERROR(IF(E112&gt;0,E112*IF(ISNUMBER(J112),J112,IF(C112="Futures",$C$6,$C$5)),""),"")</f>
        <v/>
      </c>
      <c r="I112" s="118">
        <f>IFERROR(IF(AND(ISNUMBER(F112),ISNUMBER(H112)),F112-H112,""),"")</f>
        <v/>
      </c>
      <c r="J112" s="85" t="n"/>
      <c r="K112" s="119">
        <f>IFERROR(IF(H112&gt;0,H112*$C$7,""),"")</f>
        <v/>
      </c>
      <c r="L112" s="120">
        <f>IFERROR(IF(ISNUMBER(F112),F112-IF(ISNUMBER(K112),K112,0),""),"")</f>
        <v/>
      </c>
    </row>
    <row r="113" ht="24" customHeight="1" s="63">
      <c r="A113" s="88" t="n"/>
      <c r="B113" s="89" t="n"/>
      <c r="C113" s="90" t="n"/>
      <c r="D113" s="90" t="n"/>
      <c r="E113" s="121" t="n"/>
      <c r="F113" s="121" t="n"/>
      <c r="G113" s="122">
        <f>IFERROR(IF(E113&gt;0,(F113/E113)*1000,""),"")</f>
        <v/>
      </c>
      <c r="H113" s="123">
        <f>IFERROR(IF(E113&gt;0,E113*IF(ISNUMBER(J113),J113,IF(C113="Futures",$C$6,$C$5)),""),"")</f>
        <v/>
      </c>
      <c r="I113" s="124">
        <f>IFERROR(IF(AND(ISNUMBER(F113),ISNUMBER(H113)),F113-H113,""),"")</f>
        <v/>
      </c>
      <c r="J113" s="95" t="n"/>
      <c r="K113" s="125">
        <f>IFERROR(IF(H113&gt;0,H113*$C$7,""),"")</f>
        <v/>
      </c>
      <c r="L113" s="126">
        <f>IFERROR(IF(ISNUMBER(F113),F113-IF(ISNUMBER(K113),K113,0),""),"")</f>
        <v/>
      </c>
    </row>
    <row r="114" ht="24" customHeight="1" s="63">
      <c r="A114" s="78" t="n"/>
      <c r="B114" s="79" t="n"/>
      <c r="C114" s="80" t="n"/>
      <c r="D114" s="80" t="n"/>
      <c r="E114" s="115" t="n"/>
      <c r="F114" s="115" t="n"/>
      <c r="G114" s="116">
        <f>IFERROR(IF(E114&gt;0,(F114/E114)*1000,""),"")</f>
        <v/>
      </c>
      <c r="H114" s="117">
        <f>IFERROR(IF(E114&gt;0,E114*IF(ISNUMBER(J114),J114,IF(C114="Futures",$C$6,$C$5)),""),"")</f>
        <v/>
      </c>
      <c r="I114" s="118">
        <f>IFERROR(IF(AND(ISNUMBER(F114),ISNUMBER(H114)),F114-H114,""),"")</f>
        <v/>
      </c>
      <c r="J114" s="85" t="n"/>
      <c r="K114" s="119">
        <f>IFERROR(IF(H114&gt;0,H114*$C$7,""),"")</f>
        <v/>
      </c>
      <c r="L114" s="120">
        <f>IFERROR(IF(ISNUMBER(F114),F114-IF(ISNUMBER(K114),K114,0),""),"")</f>
        <v/>
      </c>
    </row>
    <row r="115" ht="24" customHeight="1" s="63">
      <c r="A115" s="88" t="n"/>
      <c r="B115" s="89" t="n"/>
      <c r="C115" s="90" t="n"/>
      <c r="D115" s="90" t="n"/>
      <c r="E115" s="121" t="n"/>
      <c r="F115" s="121" t="n"/>
      <c r="G115" s="122">
        <f>IFERROR(IF(E115&gt;0,(F115/E115)*1000,""),"")</f>
        <v/>
      </c>
      <c r="H115" s="123">
        <f>IFERROR(IF(E115&gt;0,E115*IF(ISNUMBER(J115),J115,IF(C115="Futures",$C$6,$C$5)),""),"")</f>
        <v/>
      </c>
      <c r="I115" s="124">
        <f>IFERROR(IF(AND(ISNUMBER(F115),ISNUMBER(H115)),F115-H115,""),"")</f>
        <v/>
      </c>
      <c r="J115" s="95" t="n"/>
      <c r="K115" s="125">
        <f>IFERROR(IF(H115&gt;0,H115*$C$7,""),"")</f>
        <v/>
      </c>
      <c r="L115" s="126">
        <f>IFERROR(IF(ISNUMBER(F115),F115-IF(ISNUMBER(K115),K115,0),""),"")</f>
        <v/>
      </c>
    </row>
    <row r="116" ht="24" customHeight="1" s="63">
      <c r="A116" s="78" t="n"/>
      <c r="B116" s="79" t="n"/>
      <c r="C116" s="80" t="n"/>
      <c r="D116" s="80" t="n"/>
      <c r="E116" s="115" t="n"/>
      <c r="F116" s="115" t="n"/>
      <c r="G116" s="116">
        <f>IFERROR(IF(E116&gt;0,(F116/E116)*1000,""),"")</f>
        <v/>
      </c>
      <c r="H116" s="117">
        <f>IFERROR(IF(E116&gt;0,E116*IF(ISNUMBER(J116),J116,IF(C116="Futures",$C$6,$C$5)),""),"")</f>
        <v/>
      </c>
      <c r="I116" s="118">
        <f>IFERROR(IF(AND(ISNUMBER(F116),ISNUMBER(H116)),F116-H116,""),"")</f>
        <v/>
      </c>
      <c r="J116" s="85" t="n"/>
      <c r="K116" s="119">
        <f>IFERROR(IF(H116&gt;0,H116*$C$7,""),"")</f>
        <v/>
      </c>
      <c r="L116" s="120">
        <f>IFERROR(IF(ISNUMBER(F116),F116-IF(ISNUMBER(K116),K116,0),""),"")</f>
        <v/>
      </c>
    </row>
    <row r="117" ht="24" customHeight="1" s="63">
      <c r="A117" s="88" t="n"/>
      <c r="B117" s="89" t="n"/>
      <c r="C117" s="90" t="n"/>
      <c r="D117" s="90" t="n"/>
      <c r="E117" s="121" t="n"/>
      <c r="F117" s="121" t="n"/>
      <c r="G117" s="122">
        <f>IFERROR(IF(E117&gt;0,(F117/E117)*1000,""),"")</f>
        <v/>
      </c>
      <c r="H117" s="123">
        <f>IFERROR(IF(E117&gt;0,E117*IF(ISNUMBER(J117),J117,IF(C117="Futures",$C$6,$C$5)),""),"")</f>
        <v/>
      </c>
      <c r="I117" s="124">
        <f>IFERROR(IF(AND(ISNUMBER(F117),ISNUMBER(H117)),F117-H117,""),"")</f>
        <v/>
      </c>
      <c r="J117" s="95" t="n"/>
      <c r="K117" s="125">
        <f>IFERROR(IF(H117&gt;0,H117*$C$7,""),"")</f>
        <v/>
      </c>
      <c r="L117" s="126">
        <f>IFERROR(IF(ISNUMBER(F117),F117-IF(ISNUMBER(K117),K117,0),""),"")</f>
        <v/>
      </c>
    </row>
    <row r="118" ht="24" customHeight="1" s="63">
      <c r="A118" s="78" t="n"/>
      <c r="B118" s="79" t="n"/>
      <c r="C118" s="80" t="n"/>
      <c r="D118" s="80" t="n"/>
      <c r="E118" s="115" t="n"/>
      <c r="F118" s="115" t="n"/>
      <c r="G118" s="116">
        <f>IFERROR(IF(E118&gt;0,(F118/E118)*1000,""),"")</f>
        <v/>
      </c>
      <c r="H118" s="117">
        <f>IFERROR(IF(E118&gt;0,E118*IF(ISNUMBER(J118),J118,IF(C118="Futures",$C$6,$C$5)),""),"")</f>
        <v/>
      </c>
      <c r="I118" s="118">
        <f>IFERROR(IF(AND(ISNUMBER(F118),ISNUMBER(H118)),F118-H118,""),"")</f>
        <v/>
      </c>
      <c r="J118" s="85" t="n"/>
      <c r="K118" s="119">
        <f>IFERROR(IF(H118&gt;0,H118*$C$7,""),"")</f>
        <v/>
      </c>
      <c r="L118" s="120">
        <f>IFERROR(IF(ISNUMBER(F118),F118-IF(ISNUMBER(K118),K118,0),""),"")</f>
        <v/>
      </c>
    </row>
    <row r="119" ht="24" customHeight="1" s="63">
      <c r="A119" s="88" t="n"/>
      <c r="B119" s="89" t="n"/>
      <c r="C119" s="90" t="n"/>
      <c r="D119" s="90" t="n"/>
      <c r="E119" s="121" t="n"/>
      <c r="F119" s="121" t="n"/>
      <c r="G119" s="122">
        <f>IFERROR(IF(E119&gt;0,(F119/E119)*1000,""),"")</f>
        <v/>
      </c>
      <c r="H119" s="123">
        <f>IFERROR(IF(E119&gt;0,E119*IF(ISNUMBER(J119),J119,IF(C119="Futures",$C$6,$C$5)),""),"")</f>
        <v/>
      </c>
      <c r="I119" s="124">
        <f>IFERROR(IF(AND(ISNUMBER(F119),ISNUMBER(H119)),F119-H119,""),"")</f>
        <v/>
      </c>
      <c r="J119" s="95" t="n"/>
      <c r="K119" s="125">
        <f>IFERROR(IF(H119&gt;0,H119*$C$7,""),"")</f>
        <v/>
      </c>
      <c r="L119" s="126">
        <f>IFERROR(IF(ISNUMBER(F119),F119-IF(ISNUMBER(K119),K119,0),""),"")</f>
        <v/>
      </c>
    </row>
    <row r="120" ht="24" customHeight="1" s="63">
      <c r="A120" s="78" t="n"/>
      <c r="B120" s="79" t="n"/>
      <c r="C120" s="80" t="n"/>
      <c r="D120" s="80" t="n"/>
      <c r="E120" s="115" t="n"/>
      <c r="F120" s="115" t="n"/>
      <c r="G120" s="116">
        <f>IFERROR(IF(E120&gt;0,(F120/E120)*1000,""),"")</f>
        <v/>
      </c>
      <c r="H120" s="117">
        <f>IFERROR(IF(E120&gt;0,E120*IF(ISNUMBER(J120),J120,IF(C120="Futures",$C$6,$C$5)),""),"")</f>
        <v/>
      </c>
      <c r="I120" s="118">
        <f>IFERROR(IF(AND(ISNUMBER(F120),ISNUMBER(H120)),F120-H120,""),"")</f>
        <v/>
      </c>
      <c r="J120" s="85" t="n"/>
      <c r="K120" s="119">
        <f>IFERROR(IF(H120&gt;0,H120*$C$7,""),"")</f>
        <v/>
      </c>
      <c r="L120" s="120">
        <f>IFERROR(IF(ISNUMBER(F120),F120-IF(ISNUMBER(K120),K120,0),""),"")</f>
        <v/>
      </c>
    </row>
    <row r="121" ht="24" customHeight="1" s="63">
      <c r="A121" s="88" t="n"/>
      <c r="B121" s="89" t="n"/>
      <c r="C121" s="90" t="n"/>
      <c r="D121" s="90" t="n"/>
      <c r="E121" s="121" t="n"/>
      <c r="F121" s="121" t="n"/>
      <c r="G121" s="122">
        <f>IFERROR(IF(E121&gt;0,(F121/E121)*1000,""),"")</f>
        <v/>
      </c>
      <c r="H121" s="123">
        <f>IFERROR(IF(E121&gt;0,E121*IF(ISNUMBER(J121),J121,IF(C121="Futures",$C$6,$C$5)),""),"")</f>
        <v/>
      </c>
      <c r="I121" s="124">
        <f>IFERROR(IF(AND(ISNUMBER(F121),ISNUMBER(H121)),F121-H121,""),"")</f>
        <v/>
      </c>
      <c r="J121" s="95" t="n"/>
      <c r="K121" s="125">
        <f>IFERROR(IF(H121&gt;0,H121*$C$7,""),"")</f>
        <v/>
      </c>
      <c r="L121" s="126">
        <f>IFERROR(IF(ISNUMBER(F121),F121-IF(ISNUMBER(K121),K121,0),""),"")</f>
        <v/>
      </c>
    </row>
    <row r="122" ht="24" customHeight="1" s="63">
      <c r="A122" s="78" t="n"/>
      <c r="B122" s="79" t="n"/>
      <c r="C122" s="80" t="n"/>
      <c r="D122" s="80" t="n"/>
      <c r="E122" s="115" t="n"/>
      <c r="F122" s="115" t="n"/>
      <c r="G122" s="116">
        <f>IFERROR(IF(E122&gt;0,(F122/E122)*1000,""),"")</f>
        <v/>
      </c>
      <c r="H122" s="117">
        <f>IFERROR(IF(E122&gt;0,E122*IF(ISNUMBER(J122),J122,IF(C122="Futures",$C$6,$C$5)),""),"")</f>
        <v/>
      </c>
      <c r="I122" s="118">
        <f>IFERROR(IF(AND(ISNUMBER(F122),ISNUMBER(H122)),F122-H122,""),"")</f>
        <v/>
      </c>
      <c r="J122" s="85" t="n"/>
      <c r="K122" s="119">
        <f>IFERROR(IF(H122&gt;0,H122*$C$7,""),"")</f>
        <v/>
      </c>
      <c r="L122" s="120">
        <f>IFERROR(IF(ISNUMBER(F122),F122-IF(ISNUMBER(K122),K122,0),""),"")</f>
        <v/>
      </c>
    </row>
    <row r="123" ht="24" customHeight="1" s="63">
      <c r="A123" s="88" t="n"/>
      <c r="B123" s="89" t="n"/>
      <c r="C123" s="90" t="n"/>
      <c r="D123" s="90" t="n"/>
      <c r="E123" s="121" t="n"/>
      <c r="F123" s="121" t="n"/>
      <c r="G123" s="122">
        <f>IFERROR(IF(E123&gt;0,(F123/E123)*1000,""),"")</f>
        <v/>
      </c>
      <c r="H123" s="123">
        <f>IFERROR(IF(E123&gt;0,E123*IF(ISNUMBER(J123),J123,IF(C123="Futures",$C$6,$C$5)),""),"")</f>
        <v/>
      </c>
      <c r="I123" s="124">
        <f>IFERROR(IF(AND(ISNUMBER(F123),ISNUMBER(H123)),F123-H123,""),"")</f>
        <v/>
      </c>
      <c r="J123" s="95" t="n"/>
      <c r="K123" s="125">
        <f>IFERROR(IF(H123&gt;0,H123*$C$7,""),"")</f>
        <v/>
      </c>
      <c r="L123" s="126">
        <f>IFERROR(IF(ISNUMBER(F123),F123-IF(ISNUMBER(K123),K123,0),""),"")</f>
        <v/>
      </c>
    </row>
    <row r="124" ht="24" customHeight="1" s="63">
      <c r="A124" s="78" t="n"/>
      <c r="B124" s="79" t="n"/>
      <c r="C124" s="80" t="n"/>
      <c r="D124" s="80" t="n"/>
      <c r="E124" s="115" t="n"/>
      <c r="F124" s="115" t="n"/>
      <c r="G124" s="116">
        <f>IFERROR(IF(E124&gt;0,(F124/E124)*1000,""),"")</f>
        <v/>
      </c>
      <c r="H124" s="117">
        <f>IFERROR(IF(E124&gt;0,E124*IF(ISNUMBER(J124),J124,IF(C124="Futures",$C$6,$C$5)),""),"")</f>
        <v/>
      </c>
      <c r="I124" s="118">
        <f>IFERROR(IF(AND(ISNUMBER(F124),ISNUMBER(H124)),F124-H124,""),"")</f>
        <v/>
      </c>
      <c r="J124" s="85" t="n"/>
      <c r="K124" s="119">
        <f>IFERROR(IF(H124&gt;0,H124*$C$7,""),"")</f>
        <v/>
      </c>
      <c r="L124" s="120">
        <f>IFERROR(IF(ISNUMBER(F124),F124-IF(ISNUMBER(K124),K124,0),""),"")</f>
        <v/>
      </c>
    </row>
    <row r="125" ht="24" customHeight="1" s="63">
      <c r="A125" s="88" t="n"/>
      <c r="B125" s="89" t="n"/>
      <c r="C125" s="90" t="n"/>
      <c r="D125" s="90" t="n"/>
      <c r="E125" s="121" t="n"/>
      <c r="F125" s="121" t="n"/>
      <c r="G125" s="122">
        <f>IFERROR(IF(E125&gt;0,(F125/E125)*1000,""),"")</f>
        <v/>
      </c>
      <c r="H125" s="123">
        <f>IFERROR(IF(E125&gt;0,E125*IF(ISNUMBER(J125),J125,IF(C125="Futures",$C$6,$C$5)),""),"")</f>
        <v/>
      </c>
      <c r="I125" s="124">
        <f>IFERROR(IF(AND(ISNUMBER(F125),ISNUMBER(H125)),F125-H125,""),"")</f>
        <v/>
      </c>
      <c r="J125" s="95" t="n"/>
      <c r="K125" s="125">
        <f>IFERROR(IF(H125&gt;0,H125*$C$7,""),"")</f>
        <v/>
      </c>
      <c r="L125" s="126">
        <f>IFERROR(IF(ISNUMBER(F125),F125-IF(ISNUMBER(K125),K125,0),""),"")</f>
        <v/>
      </c>
    </row>
    <row r="126" ht="24" customHeight="1" s="63">
      <c r="A126" s="78" t="n"/>
      <c r="B126" s="79" t="n"/>
      <c r="C126" s="80" t="n"/>
      <c r="D126" s="80" t="n"/>
      <c r="E126" s="115" t="n"/>
      <c r="F126" s="115" t="n"/>
      <c r="G126" s="116">
        <f>IFERROR(IF(E126&gt;0,(F126/E126)*1000,""),"")</f>
        <v/>
      </c>
      <c r="H126" s="117">
        <f>IFERROR(IF(E126&gt;0,E126*IF(ISNUMBER(J126),J126,IF(C126="Futures",$C$6,$C$5)),""),"")</f>
        <v/>
      </c>
      <c r="I126" s="118">
        <f>IFERROR(IF(AND(ISNUMBER(F126),ISNUMBER(H126)),F126-H126,""),"")</f>
        <v/>
      </c>
      <c r="J126" s="85" t="n"/>
      <c r="K126" s="119">
        <f>IFERROR(IF(H126&gt;0,H126*$C$7,""),"")</f>
        <v/>
      </c>
      <c r="L126" s="120">
        <f>IFERROR(IF(ISNUMBER(F126),F126-IF(ISNUMBER(K126),K126,0),""),"")</f>
        <v/>
      </c>
    </row>
    <row r="127" ht="24" customHeight="1" s="63">
      <c r="A127" s="88" t="n"/>
      <c r="B127" s="89" t="n"/>
      <c r="C127" s="90" t="n"/>
      <c r="D127" s="90" t="n"/>
      <c r="E127" s="121" t="n"/>
      <c r="F127" s="121" t="n"/>
      <c r="G127" s="122">
        <f>IFERROR(IF(E127&gt;0,(F127/E127)*1000,""),"")</f>
        <v/>
      </c>
      <c r="H127" s="123">
        <f>IFERROR(IF(E127&gt;0,E127*IF(ISNUMBER(J127),J127,IF(C127="Futures",$C$6,$C$5)),""),"")</f>
        <v/>
      </c>
      <c r="I127" s="124">
        <f>IFERROR(IF(AND(ISNUMBER(F127),ISNUMBER(H127)),F127-H127,""),"")</f>
        <v/>
      </c>
      <c r="J127" s="95" t="n"/>
      <c r="K127" s="125">
        <f>IFERROR(IF(H127&gt;0,H127*$C$7,""),"")</f>
        <v/>
      </c>
      <c r="L127" s="126">
        <f>IFERROR(IF(ISNUMBER(F127),F127-IF(ISNUMBER(K127),K127,0),""),"")</f>
        <v/>
      </c>
    </row>
    <row r="128" ht="24" customHeight="1" s="63">
      <c r="A128" s="78" t="n"/>
      <c r="B128" s="79" t="n"/>
      <c r="C128" s="80" t="n"/>
      <c r="D128" s="80" t="n"/>
      <c r="E128" s="115" t="n"/>
      <c r="F128" s="115" t="n"/>
      <c r="G128" s="116">
        <f>IFERROR(IF(E128&gt;0,(F128/E128)*1000,""),"")</f>
        <v/>
      </c>
      <c r="H128" s="117">
        <f>IFERROR(IF(E128&gt;0,E128*IF(ISNUMBER(J128),J128,IF(C128="Futures",$C$6,$C$5)),""),"")</f>
        <v/>
      </c>
      <c r="I128" s="118">
        <f>IFERROR(IF(AND(ISNUMBER(F128),ISNUMBER(H128)),F128-H128,""),"")</f>
        <v/>
      </c>
      <c r="J128" s="85" t="n"/>
      <c r="K128" s="119">
        <f>IFERROR(IF(H128&gt;0,H128*$C$7,""),"")</f>
        <v/>
      </c>
      <c r="L128" s="120">
        <f>IFERROR(IF(ISNUMBER(F128),F128-IF(ISNUMBER(K128),K128,0),""),"")</f>
        <v/>
      </c>
    </row>
    <row r="129" ht="24" customHeight="1" s="63">
      <c r="A129" s="88" t="n"/>
      <c r="B129" s="89" t="n"/>
      <c r="C129" s="90" t="n"/>
      <c r="D129" s="90" t="n"/>
      <c r="E129" s="121" t="n"/>
      <c r="F129" s="121" t="n"/>
      <c r="G129" s="122">
        <f>IFERROR(IF(E129&gt;0,(F129/E129)*1000,""),"")</f>
        <v/>
      </c>
      <c r="H129" s="123">
        <f>IFERROR(IF(E129&gt;0,E129*IF(ISNUMBER(J129),J129,IF(C129="Futures",$C$6,$C$5)),""),"")</f>
        <v/>
      </c>
      <c r="I129" s="124">
        <f>IFERROR(IF(AND(ISNUMBER(F129),ISNUMBER(H129)),F129-H129,""),"")</f>
        <v/>
      </c>
      <c r="J129" s="95" t="n"/>
      <c r="K129" s="125">
        <f>IFERROR(IF(H129&gt;0,H129*$C$7,""),"")</f>
        <v/>
      </c>
      <c r="L129" s="126">
        <f>IFERROR(IF(ISNUMBER(F129),F129-IF(ISNUMBER(K129),K129,0),""),"")</f>
        <v/>
      </c>
    </row>
    <row r="130" ht="24" customHeight="1" s="63">
      <c r="A130" s="78" t="n"/>
      <c r="B130" s="79" t="n"/>
      <c r="C130" s="80" t="n"/>
      <c r="D130" s="80" t="n"/>
      <c r="E130" s="115" t="n"/>
      <c r="F130" s="115" t="n"/>
      <c r="G130" s="116">
        <f>IFERROR(IF(E130&gt;0,(F130/E130)*1000,""),"")</f>
        <v/>
      </c>
      <c r="H130" s="117">
        <f>IFERROR(IF(E130&gt;0,E130*IF(ISNUMBER(J130),J130,IF(C130="Futures",$C$6,$C$5)),""),"")</f>
        <v/>
      </c>
      <c r="I130" s="118">
        <f>IFERROR(IF(AND(ISNUMBER(F130),ISNUMBER(H130)),F130-H130,""),"")</f>
        <v/>
      </c>
      <c r="J130" s="85" t="n"/>
      <c r="K130" s="119">
        <f>IFERROR(IF(H130&gt;0,H130*$C$7,""),"")</f>
        <v/>
      </c>
      <c r="L130" s="120">
        <f>IFERROR(IF(ISNUMBER(F130),F130-IF(ISNUMBER(K130),K130,0),""),"")</f>
        <v/>
      </c>
    </row>
    <row r="131" ht="24" customHeight="1" s="63">
      <c r="A131" s="88" t="n"/>
      <c r="B131" s="89" t="n"/>
      <c r="C131" s="90" t="n"/>
      <c r="D131" s="90" t="n"/>
      <c r="E131" s="121" t="n"/>
      <c r="F131" s="121" t="n"/>
      <c r="G131" s="122">
        <f>IFERROR(IF(E131&gt;0,(F131/E131)*1000,""),"")</f>
        <v/>
      </c>
      <c r="H131" s="123">
        <f>IFERROR(IF(E131&gt;0,E131*IF(ISNUMBER(J131),J131,IF(C131="Futures",$C$6,$C$5)),""),"")</f>
        <v/>
      </c>
      <c r="I131" s="124">
        <f>IFERROR(IF(AND(ISNUMBER(F131),ISNUMBER(H131)),F131-H131,""),"")</f>
        <v/>
      </c>
      <c r="J131" s="95" t="n"/>
      <c r="K131" s="125">
        <f>IFERROR(IF(H131&gt;0,H131*$C$7,""),"")</f>
        <v/>
      </c>
      <c r="L131" s="126">
        <f>IFERROR(IF(ISNUMBER(F131),F131-IF(ISNUMBER(K131),K131,0),""),"")</f>
        <v/>
      </c>
    </row>
    <row r="132" ht="24" customHeight="1" s="63">
      <c r="A132" s="78" t="n"/>
      <c r="B132" s="79" t="n"/>
      <c r="C132" s="80" t="n"/>
      <c r="D132" s="80" t="n"/>
      <c r="E132" s="115" t="n"/>
      <c r="F132" s="115" t="n"/>
      <c r="G132" s="116">
        <f>IFERROR(IF(E132&gt;0,(F132/E132)*1000,""),"")</f>
        <v/>
      </c>
      <c r="H132" s="117">
        <f>IFERROR(IF(E132&gt;0,E132*IF(ISNUMBER(J132),J132,IF(C132="Futures",$C$6,$C$5)),""),"")</f>
        <v/>
      </c>
      <c r="I132" s="118">
        <f>IFERROR(IF(AND(ISNUMBER(F132),ISNUMBER(H132)),F132-H132,""),"")</f>
        <v/>
      </c>
      <c r="J132" s="85" t="n"/>
      <c r="K132" s="119">
        <f>IFERROR(IF(H132&gt;0,H132*$C$7,""),"")</f>
        <v/>
      </c>
      <c r="L132" s="120">
        <f>IFERROR(IF(ISNUMBER(F132),F132-IF(ISNUMBER(K132),K132,0),""),"")</f>
        <v/>
      </c>
    </row>
    <row r="133" ht="24" customHeight="1" s="63">
      <c r="A133" s="88" t="n"/>
      <c r="B133" s="89" t="n"/>
      <c r="C133" s="90" t="n"/>
      <c r="D133" s="90" t="n"/>
      <c r="E133" s="121" t="n"/>
      <c r="F133" s="121" t="n"/>
      <c r="G133" s="122">
        <f>IFERROR(IF(E133&gt;0,(F133/E133)*1000,""),"")</f>
        <v/>
      </c>
      <c r="H133" s="123">
        <f>IFERROR(IF(E133&gt;0,E133*IF(ISNUMBER(J133),J133,IF(C133="Futures",$C$6,$C$5)),""),"")</f>
        <v/>
      </c>
      <c r="I133" s="124">
        <f>IFERROR(IF(AND(ISNUMBER(F133),ISNUMBER(H133)),F133-H133,""),"")</f>
        <v/>
      </c>
      <c r="J133" s="95" t="n"/>
      <c r="K133" s="125">
        <f>IFERROR(IF(H133&gt;0,H133*$C$7,""),"")</f>
        <v/>
      </c>
      <c r="L133" s="126">
        <f>IFERROR(IF(ISNUMBER(F133),F133-IF(ISNUMBER(K133),K133,0),""),"")</f>
        <v/>
      </c>
    </row>
    <row r="134" ht="24" customHeight="1" s="63">
      <c r="A134" s="78" t="n"/>
      <c r="B134" s="79" t="n"/>
      <c r="C134" s="80" t="n"/>
      <c r="D134" s="80" t="n"/>
      <c r="E134" s="115" t="n"/>
      <c r="F134" s="115" t="n"/>
      <c r="G134" s="116">
        <f>IFERROR(IF(E134&gt;0,(F134/E134)*1000,""),"")</f>
        <v/>
      </c>
      <c r="H134" s="117">
        <f>IFERROR(IF(E134&gt;0,E134*IF(ISNUMBER(J134),J134,IF(C134="Futures",$C$6,$C$5)),""),"")</f>
        <v/>
      </c>
      <c r="I134" s="118">
        <f>IFERROR(IF(AND(ISNUMBER(F134),ISNUMBER(H134)),F134-H134,""),"")</f>
        <v/>
      </c>
      <c r="J134" s="85" t="n"/>
      <c r="K134" s="119">
        <f>IFERROR(IF(H134&gt;0,H134*$C$7,""),"")</f>
        <v/>
      </c>
      <c r="L134" s="120">
        <f>IFERROR(IF(ISNUMBER(F134),F134-IF(ISNUMBER(K134),K134,0),""),"")</f>
        <v/>
      </c>
    </row>
    <row r="135" ht="24" customHeight="1" s="63">
      <c r="A135" s="88" t="n"/>
      <c r="B135" s="89" t="n"/>
      <c r="C135" s="90" t="n"/>
      <c r="D135" s="90" t="n"/>
      <c r="E135" s="121" t="n"/>
      <c r="F135" s="121" t="n"/>
      <c r="G135" s="122">
        <f>IFERROR(IF(E135&gt;0,(F135/E135)*1000,""),"")</f>
        <v/>
      </c>
      <c r="H135" s="123">
        <f>IFERROR(IF(E135&gt;0,E135*IF(ISNUMBER(J135),J135,IF(C135="Futures",$C$6,$C$5)),""),"")</f>
        <v/>
      </c>
      <c r="I135" s="124">
        <f>IFERROR(IF(AND(ISNUMBER(F135),ISNUMBER(H135)),F135-H135,""),"")</f>
        <v/>
      </c>
      <c r="J135" s="95" t="n"/>
      <c r="K135" s="125">
        <f>IFERROR(IF(H135&gt;0,H135*$C$7,""),"")</f>
        <v/>
      </c>
      <c r="L135" s="126">
        <f>IFERROR(IF(ISNUMBER(F135),F135-IF(ISNUMBER(K135),K135,0),""),"")</f>
        <v/>
      </c>
    </row>
    <row r="136" ht="24" customHeight="1" s="63">
      <c r="A136" s="78" t="n"/>
      <c r="B136" s="79" t="n"/>
      <c r="C136" s="80" t="n"/>
      <c r="D136" s="80" t="n"/>
      <c r="E136" s="115" t="n"/>
      <c r="F136" s="115" t="n"/>
      <c r="G136" s="116">
        <f>IFERROR(IF(E136&gt;0,(F136/E136)*1000,""),"")</f>
        <v/>
      </c>
      <c r="H136" s="117">
        <f>IFERROR(IF(E136&gt;0,E136*IF(ISNUMBER(J136),J136,IF(C136="Futures",$C$6,$C$5)),""),"")</f>
        <v/>
      </c>
      <c r="I136" s="118">
        <f>IFERROR(IF(AND(ISNUMBER(F136),ISNUMBER(H136)),F136-H136,""),"")</f>
        <v/>
      </c>
      <c r="J136" s="85" t="n"/>
      <c r="K136" s="119">
        <f>IFERROR(IF(H136&gt;0,H136*$C$7,""),"")</f>
        <v/>
      </c>
      <c r="L136" s="120">
        <f>IFERROR(IF(ISNUMBER(F136),F136-IF(ISNUMBER(K136),K136,0),""),"")</f>
        <v/>
      </c>
    </row>
    <row r="137" ht="24" customHeight="1" s="63">
      <c r="A137" s="88" t="n"/>
      <c r="B137" s="89" t="n"/>
      <c r="C137" s="90" t="n"/>
      <c r="D137" s="90" t="n"/>
      <c r="E137" s="121" t="n"/>
      <c r="F137" s="121" t="n"/>
      <c r="G137" s="122">
        <f>IFERROR(IF(E137&gt;0,(F137/E137)*1000,""),"")</f>
        <v/>
      </c>
      <c r="H137" s="123">
        <f>IFERROR(IF(E137&gt;0,E137*IF(ISNUMBER(J137),J137,IF(C137="Futures",$C$6,$C$5)),""),"")</f>
        <v/>
      </c>
      <c r="I137" s="124">
        <f>IFERROR(IF(AND(ISNUMBER(F137),ISNUMBER(H137)),F137-H137,""),"")</f>
        <v/>
      </c>
      <c r="J137" s="95" t="n"/>
      <c r="K137" s="125">
        <f>IFERROR(IF(H137&gt;0,H137*$C$7,""),"")</f>
        <v/>
      </c>
      <c r="L137" s="126">
        <f>IFERROR(IF(ISNUMBER(F137),F137-IF(ISNUMBER(K137),K137,0),""),"")</f>
        <v/>
      </c>
    </row>
    <row r="138" ht="24" customHeight="1" s="63">
      <c r="A138" s="78" t="n"/>
      <c r="B138" s="79" t="n"/>
      <c r="C138" s="80" t="n"/>
      <c r="D138" s="80" t="n"/>
      <c r="E138" s="115" t="n"/>
      <c r="F138" s="115" t="n"/>
      <c r="G138" s="116">
        <f>IFERROR(IF(E138&gt;0,(F138/E138)*1000,""),"")</f>
        <v/>
      </c>
      <c r="H138" s="117">
        <f>IFERROR(IF(E138&gt;0,E138*IF(ISNUMBER(J138),J138,IF(C138="Futures",$C$6,$C$5)),""),"")</f>
        <v/>
      </c>
      <c r="I138" s="118">
        <f>IFERROR(IF(AND(ISNUMBER(F138),ISNUMBER(H138)),F138-H138,""),"")</f>
        <v/>
      </c>
      <c r="J138" s="85" t="n"/>
      <c r="K138" s="119">
        <f>IFERROR(IF(H138&gt;0,H138*$C$7,""),"")</f>
        <v/>
      </c>
      <c r="L138" s="120">
        <f>IFERROR(IF(ISNUMBER(F138),F138-IF(ISNUMBER(K138),K138,0),""),"")</f>
        <v/>
      </c>
    </row>
    <row r="139" ht="24" customHeight="1" s="63">
      <c r="A139" s="88" t="n"/>
      <c r="B139" s="89" t="n"/>
      <c r="C139" s="90" t="n"/>
      <c r="D139" s="90" t="n"/>
      <c r="E139" s="121" t="n"/>
      <c r="F139" s="121" t="n"/>
      <c r="G139" s="122">
        <f>IFERROR(IF(E139&gt;0,(F139/E139)*1000,""),"")</f>
        <v/>
      </c>
      <c r="H139" s="123">
        <f>IFERROR(IF(E139&gt;0,E139*IF(ISNUMBER(J139),J139,IF(C139="Futures",$C$6,$C$5)),""),"")</f>
        <v/>
      </c>
      <c r="I139" s="124">
        <f>IFERROR(IF(AND(ISNUMBER(F139),ISNUMBER(H139)),F139-H139,""),"")</f>
        <v/>
      </c>
      <c r="J139" s="95" t="n"/>
      <c r="K139" s="125">
        <f>IFERROR(IF(H139&gt;0,H139*$C$7,""),"")</f>
        <v/>
      </c>
      <c r="L139" s="126">
        <f>IFERROR(IF(ISNUMBER(F139),F139-IF(ISNUMBER(K139),K139,0),""),"")</f>
        <v/>
      </c>
    </row>
    <row r="140" ht="24" customHeight="1" s="63">
      <c r="A140" s="78" t="n"/>
      <c r="B140" s="79" t="n"/>
      <c r="C140" s="80" t="n"/>
      <c r="D140" s="80" t="n"/>
      <c r="E140" s="115" t="n"/>
      <c r="F140" s="115" t="n"/>
      <c r="G140" s="116">
        <f>IFERROR(IF(E140&gt;0,(F140/E140)*1000,""),"")</f>
        <v/>
      </c>
      <c r="H140" s="117">
        <f>IFERROR(IF(E140&gt;0,E140*IF(ISNUMBER(J140),J140,IF(C140="Futures",$C$6,$C$5)),""),"")</f>
        <v/>
      </c>
      <c r="I140" s="118">
        <f>IFERROR(IF(AND(ISNUMBER(F140),ISNUMBER(H140)),F140-H140,""),"")</f>
        <v/>
      </c>
      <c r="J140" s="85" t="n"/>
      <c r="K140" s="119">
        <f>IFERROR(IF(H140&gt;0,H140*$C$7,""),"")</f>
        <v/>
      </c>
      <c r="L140" s="120">
        <f>IFERROR(IF(ISNUMBER(F140),F140-IF(ISNUMBER(K140),K140,0),""),"")</f>
        <v/>
      </c>
    </row>
    <row r="141" ht="24" customHeight="1" s="63">
      <c r="A141" s="88" t="n"/>
      <c r="B141" s="89" t="n"/>
      <c r="C141" s="90" t="n"/>
      <c r="D141" s="90" t="n"/>
      <c r="E141" s="121" t="n"/>
      <c r="F141" s="121" t="n"/>
      <c r="G141" s="122">
        <f>IFERROR(IF(E141&gt;0,(F141/E141)*1000,""),"")</f>
        <v/>
      </c>
      <c r="H141" s="123">
        <f>IFERROR(IF(E141&gt;0,E141*IF(ISNUMBER(J141),J141,IF(C141="Futures",$C$6,$C$5)),""),"")</f>
        <v/>
      </c>
      <c r="I141" s="124">
        <f>IFERROR(IF(AND(ISNUMBER(F141),ISNUMBER(H141)),F141-H141,""),"")</f>
        <v/>
      </c>
      <c r="J141" s="95" t="n"/>
      <c r="K141" s="125">
        <f>IFERROR(IF(H141&gt;0,H141*$C$7,""),"")</f>
        <v/>
      </c>
      <c r="L141" s="126">
        <f>IFERROR(IF(ISNUMBER(F141),F141-IF(ISNUMBER(K141),K141,0),""),"")</f>
        <v/>
      </c>
    </row>
    <row r="142" ht="24" customHeight="1" s="63">
      <c r="A142" s="78" t="n"/>
      <c r="B142" s="79" t="n"/>
      <c r="C142" s="80" t="n"/>
      <c r="D142" s="80" t="n"/>
      <c r="E142" s="115" t="n"/>
      <c r="F142" s="115" t="n"/>
      <c r="G142" s="116">
        <f>IFERROR(IF(E142&gt;0,(F142/E142)*1000,""),"")</f>
        <v/>
      </c>
      <c r="H142" s="117">
        <f>IFERROR(IF(E142&gt;0,E142*IF(ISNUMBER(J142),J142,IF(C142="Futures",$C$6,$C$5)),""),"")</f>
        <v/>
      </c>
      <c r="I142" s="118">
        <f>IFERROR(IF(AND(ISNUMBER(F142),ISNUMBER(H142)),F142-H142,""),"")</f>
        <v/>
      </c>
      <c r="J142" s="85" t="n"/>
      <c r="K142" s="119">
        <f>IFERROR(IF(H142&gt;0,H142*$C$7,""),"")</f>
        <v/>
      </c>
      <c r="L142" s="120">
        <f>IFERROR(IF(ISNUMBER(F142),F142-IF(ISNUMBER(K142),K142,0),""),"")</f>
        <v/>
      </c>
    </row>
    <row r="143" ht="24" customHeight="1" s="63">
      <c r="A143" s="88" t="n"/>
      <c r="B143" s="89" t="n"/>
      <c r="C143" s="90" t="n"/>
      <c r="D143" s="90" t="n"/>
      <c r="E143" s="121" t="n"/>
      <c r="F143" s="121" t="n"/>
      <c r="G143" s="122">
        <f>IFERROR(IF(E143&gt;0,(F143/E143)*1000,""),"")</f>
        <v/>
      </c>
      <c r="H143" s="123">
        <f>IFERROR(IF(E143&gt;0,E143*IF(ISNUMBER(J143),J143,IF(C143="Futures",$C$6,$C$5)),""),"")</f>
        <v/>
      </c>
      <c r="I143" s="124">
        <f>IFERROR(IF(AND(ISNUMBER(F143),ISNUMBER(H143)),F143-H143,""),"")</f>
        <v/>
      </c>
      <c r="J143" s="95" t="n"/>
      <c r="K143" s="125">
        <f>IFERROR(IF(H143&gt;0,H143*$C$7,""),"")</f>
        <v/>
      </c>
      <c r="L143" s="126">
        <f>IFERROR(IF(ISNUMBER(F143),F143-IF(ISNUMBER(K143),K143,0),""),"")</f>
        <v/>
      </c>
    </row>
    <row r="144" ht="24" customHeight="1" s="63">
      <c r="A144" s="78" t="n"/>
      <c r="B144" s="79" t="n"/>
      <c r="C144" s="80" t="n"/>
      <c r="D144" s="80" t="n"/>
      <c r="E144" s="115" t="n"/>
      <c r="F144" s="115" t="n"/>
      <c r="G144" s="116">
        <f>IFERROR(IF(E144&gt;0,(F144/E144)*1000,""),"")</f>
        <v/>
      </c>
      <c r="H144" s="117">
        <f>IFERROR(IF(E144&gt;0,E144*IF(ISNUMBER(J144),J144,IF(C144="Futures",$C$6,$C$5)),""),"")</f>
        <v/>
      </c>
      <c r="I144" s="118">
        <f>IFERROR(IF(AND(ISNUMBER(F144),ISNUMBER(H144)),F144-H144,""),"")</f>
        <v/>
      </c>
      <c r="J144" s="85" t="n"/>
      <c r="K144" s="119">
        <f>IFERROR(IF(H144&gt;0,H144*$C$7,""),"")</f>
        <v/>
      </c>
      <c r="L144" s="120">
        <f>IFERROR(IF(ISNUMBER(F144),F144-IF(ISNUMBER(K144),K144,0),""),"")</f>
        <v/>
      </c>
    </row>
    <row r="145" ht="24" customHeight="1" s="63">
      <c r="A145" s="88" t="n"/>
      <c r="B145" s="89" t="n"/>
      <c r="C145" s="90" t="n"/>
      <c r="D145" s="90" t="n"/>
      <c r="E145" s="121" t="n"/>
      <c r="F145" s="121" t="n"/>
      <c r="G145" s="122">
        <f>IFERROR(IF(E145&gt;0,(F145/E145)*1000,""),"")</f>
        <v/>
      </c>
      <c r="H145" s="123">
        <f>IFERROR(IF(E145&gt;0,E145*IF(ISNUMBER(J145),J145,IF(C145="Futures",$C$6,$C$5)),""),"")</f>
        <v/>
      </c>
      <c r="I145" s="124">
        <f>IFERROR(IF(AND(ISNUMBER(F145),ISNUMBER(H145)),F145-H145,""),"")</f>
        <v/>
      </c>
      <c r="J145" s="95" t="n"/>
      <c r="K145" s="125">
        <f>IFERROR(IF(H145&gt;0,H145*$C$7,""),"")</f>
        <v/>
      </c>
      <c r="L145" s="126">
        <f>IFERROR(IF(ISNUMBER(F145),F145-IF(ISNUMBER(K145),K145,0),""),"")</f>
        <v/>
      </c>
    </row>
    <row r="146" ht="24" customHeight="1" s="63">
      <c r="A146" s="78" t="n"/>
      <c r="B146" s="79" t="n"/>
      <c r="C146" s="80" t="n"/>
      <c r="D146" s="80" t="n"/>
      <c r="E146" s="115" t="n"/>
      <c r="F146" s="115" t="n"/>
      <c r="G146" s="116">
        <f>IFERROR(IF(E146&gt;0,(F146/E146)*1000,""),"")</f>
        <v/>
      </c>
      <c r="H146" s="117">
        <f>IFERROR(IF(E146&gt;0,E146*IF(ISNUMBER(J146),J146,IF(C146="Futures",$C$6,$C$5)),""),"")</f>
        <v/>
      </c>
      <c r="I146" s="118">
        <f>IFERROR(IF(AND(ISNUMBER(F146),ISNUMBER(H146)),F146-H146,""),"")</f>
        <v/>
      </c>
      <c r="J146" s="85" t="n"/>
      <c r="K146" s="119">
        <f>IFERROR(IF(H146&gt;0,H146*$C$7,""),"")</f>
        <v/>
      </c>
      <c r="L146" s="120">
        <f>IFERROR(IF(ISNUMBER(F146),F146-IF(ISNUMBER(K146),K146,0),""),"")</f>
        <v/>
      </c>
    </row>
    <row r="147" ht="24" customHeight="1" s="63">
      <c r="A147" s="88" t="n"/>
      <c r="B147" s="89" t="n"/>
      <c r="C147" s="90" t="n"/>
      <c r="D147" s="90" t="n"/>
      <c r="E147" s="121" t="n"/>
      <c r="F147" s="121" t="n"/>
      <c r="G147" s="122">
        <f>IFERROR(IF(E147&gt;0,(F147/E147)*1000,""),"")</f>
        <v/>
      </c>
      <c r="H147" s="123">
        <f>IFERROR(IF(E147&gt;0,E147*IF(ISNUMBER(J147),J147,IF(C147="Futures",$C$6,$C$5)),""),"")</f>
        <v/>
      </c>
      <c r="I147" s="124">
        <f>IFERROR(IF(AND(ISNUMBER(F147),ISNUMBER(H147)),F147-H147,""),"")</f>
        <v/>
      </c>
      <c r="J147" s="95" t="n"/>
      <c r="K147" s="125">
        <f>IFERROR(IF(H147&gt;0,H147*$C$7,""),"")</f>
        <v/>
      </c>
      <c r="L147" s="126">
        <f>IFERROR(IF(ISNUMBER(F147),F147-IF(ISNUMBER(K147),K147,0),""),"")</f>
        <v/>
      </c>
    </row>
    <row r="148" ht="24" customHeight="1" s="63">
      <c r="A148" s="78" t="n"/>
      <c r="B148" s="79" t="n"/>
      <c r="C148" s="80" t="n"/>
      <c r="D148" s="80" t="n"/>
      <c r="E148" s="115" t="n"/>
      <c r="F148" s="115" t="n"/>
      <c r="G148" s="116">
        <f>IFERROR(IF(E148&gt;0,(F148/E148)*1000,""),"")</f>
        <v/>
      </c>
      <c r="H148" s="117">
        <f>IFERROR(IF(E148&gt;0,E148*IF(ISNUMBER(J148),J148,IF(C148="Futures",$C$6,$C$5)),""),"")</f>
        <v/>
      </c>
      <c r="I148" s="118">
        <f>IFERROR(IF(AND(ISNUMBER(F148),ISNUMBER(H148)),F148-H148,""),"")</f>
        <v/>
      </c>
      <c r="J148" s="85" t="n"/>
      <c r="K148" s="119">
        <f>IFERROR(IF(H148&gt;0,H148*$C$7,""),"")</f>
        <v/>
      </c>
      <c r="L148" s="120">
        <f>IFERROR(IF(ISNUMBER(F148),F148-IF(ISNUMBER(K148),K148,0),""),"")</f>
        <v/>
      </c>
    </row>
    <row r="149" ht="24" customHeight="1" s="63">
      <c r="A149" s="88" t="n"/>
      <c r="B149" s="89" t="n"/>
      <c r="C149" s="90" t="n"/>
      <c r="D149" s="90" t="n"/>
      <c r="E149" s="121" t="n"/>
      <c r="F149" s="121" t="n"/>
      <c r="G149" s="122">
        <f>IFERROR(IF(E149&gt;0,(F149/E149)*1000,""),"")</f>
        <v/>
      </c>
      <c r="H149" s="123">
        <f>IFERROR(IF(E149&gt;0,E149*IF(ISNUMBER(J149),J149,IF(C149="Futures",$C$6,$C$5)),""),"")</f>
        <v/>
      </c>
      <c r="I149" s="124">
        <f>IFERROR(IF(AND(ISNUMBER(F149),ISNUMBER(H149)),F149-H149,""),"")</f>
        <v/>
      </c>
      <c r="J149" s="95" t="n"/>
      <c r="K149" s="125">
        <f>IFERROR(IF(H149&gt;0,H149*$C$7,""),"")</f>
        <v/>
      </c>
      <c r="L149" s="126">
        <f>IFERROR(IF(ISNUMBER(F149),F149-IF(ISNUMBER(K149),K149,0),""),"")</f>
        <v/>
      </c>
    </row>
    <row r="150" ht="24" customHeight="1" s="63">
      <c r="A150" s="78" t="n"/>
      <c r="B150" s="79" t="n"/>
      <c r="C150" s="80" t="n"/>
      <c r="D150" s="80" t="n"/>
      <c r="E150" s="115" t="n"/>
      <c r="F150" s="115" t="n"/>
      <c r="G150" s="116">
        <f>IFERROR(IF(E150&gt;0,(F150/E150)*1000,""),"")</f>
        <v/>
      </c>
      <c r="H150" s="117">
        <f>IFERROR(IF(E150&gt;0,E150*IF(ISNUMBER(J150),J150,IF(C150="Futures",$C$6,$C$5)),""),"")</f>
        <v/>
      </c>
      <c r="I150" s="118">
        <f>IFERROR(IF(AND(ISNUMBER(F150),ISNUMBER(H150)),F150-H150,""),"")</f>
        <v/>
      </c>
      <c r="J150" s="85" t="n"/>
      <c r="K150" s="119">
        <f>IFERROR(IF(H150&gt;0,H150*$C$7,""),"")</f>
        <v/>
      </c>
      <c r="L150" s="120">
        <f>IFERROR(IF(ISNUMBER(F150),F150-IF(ISNUMBER(K150),K150,0),""),"")</f>
        <v/>
      </c>
    </row>
    <row r="151" ht="24" customHeight="1" s="63">
      <c r="A151" s="88" t="n"/>
      <c r="B151" s="89" t="n"/>
      <c r="C151" s="90" t="n"/>
      <c r="D151" s="90" t="n"/>
      <c r="E151" s="121" t="n"/>
      <c r="F151" s="121" t="n"/>
      <c r="G151" s="122">
        <f>IFERROR(IF(E151&gt;0,(F151/E151)*1000,""),"")</f>
        <v/>
      </c>
      <c r="H151" s="123">
        <f>IFERROR(IF(E151&gt;0,E151*IF(ISNUMBER(J151),J151,IF(C151="Futures",$C$6,$C$5)),""),"")</f>
        <v/>
      </c>
      <c r="I151" s="124">
        <f>IFERROR(IF(AND(ISNUMBER(F151),ISNUMBER(H151)),F151-H151,""),"")</f>
        <v/>
      </c>
      <c r="J151" s="95" t="n"/>
      <c r="K151" s="125">
        <f>IFERROR(IF(H151&gt;0,H151*$C$7,""),"")</f>
        <v/>
      </c>
      <c r="L151" s="126">
        <f>IFERROR(IF(ISNUMBER(F151),F151-IF(ISNUMBER(K151),K151,0),""),"")</f>
        <v/>
      </c>
    </row>
    <row r="152" ht="24" customHeight="1" s="63">
      <c r="A152" s="78" t="n"/>
      <c r="B152" s="79" t="n"/>
      <c r="C152" s="80" t="n"/>
      <c r="D152" s="80" t="n"/>
      <c r="E152" s="115" t="n"/>
      <c r="F152" s="115" t="n"/>
      <c r="G152" s="116">
        <f>IFERROR(IF(E152&gt;0,(F152/E152)*1000,""),"")</f>
        <v/>
      </c>
      <c r="H152" s="117">
        <f>IFERROR(IF(E152&gt;0,E152*IF(ISNUMBER(J152),J152,IF(C152="Futures",$C$6,$C$5)),""),"")</f>
        <v/>
      </c>
      <c r="I152" s="118">
        <f>IFERROR(IF(AND(ISNUMBER(F152),ISNUMBER(H152)),F152-H152,""),"")</f>
        <v/>
      </c>
      <c r="J152" s="85" t="n"/>
      <c r="K152" s="119">
        <f>IFERROR(IF(H152&gt;0,H152*$C$7,""),"")</f>
        <v/>
      </c>
      <c r="L152" s="120">
        <f>IFERROR(IF(ISNUMBER(F152),F152-IF(ISNUMBER(K152),K152,0),""),"")</f>
        <v/>
      </c>
    </row>
    <row r="153" ht="24" customHeight="1" s="63">
      <c r="A153" s="88" t="n"/>
      <c r="B153" s="89" t="n"/>
      <c r="C153" s="90" t="n"/>
      <c r="D153" s="90" t="n"/>
      <c r="E153" s="121" t="n"/>
      <c r="F153" s="121" t="n"/>
      <c r="G153" s="122">
        <f>IFERROR(IF(E153&gt;0,(F153/E153)*1000,""),"")</f>
        <v/>
      </c>
      <c r="H153" s="123">
        <f>IFERROR(IF(E153&gt;0,E153*IF(ISNUMBER(J153),J153,IF(C153="Futures",$C$6,$C$5)),""),"")</f>
        <v/>
      </c>
      <c r="I153" s="124">
        <f>IFERROR(IF(AND(ISNUMBER(F153),ISNUMBER(H153)),F153-H153,""),"")</f>
        <v/>
      </c>
      <c r="J153" s="95" t="n"/>
      <c r="K153" s="125">
        <f>IFERROR(IF(H153&gt;0,H153*$C$7,""),"")</f>
        <v/>
      </c>
      <c r="L153" s="126">
        <f>IFERROR(IF(ISNUMBER(F153),F153-IF(ISNUMBER(K153),K153,0),""),"")</f>
        <v/>
      </c>
    </row>
    <row r="154" ht="24" customHeight="1" s="63">
      <c r="A154" s="78" t="n"/>
      <c r="B154" s="79" t="n"/>
      <c r="C154" s="80" t="n"/>
      <c r="D154" s="80" t="n"/>
      <c r="E154" s="115" t="n"/>
      <c r="F154" s="115" t="n"/>
      <c r="G154" s="116">
        <f>IFERROR(IF(E154&gt;0,(F154/E154)*1000,""),"")</f>
        <v/>
      </c>
      <c r="H154" s="117">
        <f>IFERROR(IF(E154&gt;0,E154*IF(ISNUMBER(J154),J154,IF(C154="Futures",$C$6,$C$5)),""),"")</f>
        <v/>
      </c>
      <c r="I154" s="118">
        <f>IFERROR(IF(AND(ISNUMBER(F154),ISNUMBER(H154)),F154-H154,""),"")</f>
        <v/>
      </c>
      <c r="J154" s="85" t="n"/>
      <c r="K154" s="119">
        <f>IFERROR(IF(H154&gt;0,H154*$C$7,""),"")</f>
        <v/>
      </c>
      <c r="L154" s="120">
        <f>IFERROR(IF(ISNUMBER(F154),F154-IF(ISNUMBER(K154),K154,0),""),"")</f>
        <v/>
      </c>
    </row>
    <row r="155" ht="24" customHeight="1" s="63">
      <c r="A155" s="88" t="n"/>
      <c r="B155" s="89" t="n"/>
      <c r="C155" s="90" t="n"/>
      <c r="D155" s="90" t="n"/>
      <c r="E155" s="121" t="n"/>
      <c r="F155" s="121" t="n"/>
      <c r="G155" s="122">
        <f>IFERROR(IF(E155&gt;0,(F155/E155)*1000,""),"")</f>
        <v/>
      </c>
      <c r="H155" s="123">
        <f>IFERROR(IF(E155&gt;0,E155*IF(ISNUMBER(J155),J155,IF(C155="Futures",$C$6,$C$5)),""),"")</f>
        <v/>
      </c>
      <c r="I155" s="124">
        <f>IFERROR(IF(AND(ISNUMBER(F155),ISNUMBER(H155)),F155-H155,""),"")</f>
        <v/>
      </c>
      <c r="J155" s="95" t="n"/>
      <c r="K155" s="125">
        <f>IFERROR(IF(H155&gt;0,H155*$C$7,""),"")</f>
        <v/>
      </c>
      <c r="L155" s="126">
        <f>IFERROR(IF(ISNUMBER(F155),F155-IF(ISNUMBER(K155),K155,0),""),"")</f>
        <v/>
      </c>
    </row>
    <row r="156" ht="24" customHeight="1" s="63">
      <c r="A156" s="78" t="n"/>
      <c r="B156" s="79" t="n"/>
      <c r="C156" s="80" t="n"/>
      <c r="D156" s="80" t="n"/>
      <c r="E156" s="115" t="n"/>
      <c r="F156" s="115" t="n"/>
      <c r="G156" s="116">
        <f>IFERROR(IF(E156&gt;0,(F156/E156)*1000,""),"")</f>
        <v/>
      </c>
      <c r="H156" s="117">
        <f>IFERROR(IF(E156&gt;0,E156*IF(ISNUMBER(J156),J156,IF(C156="Futures",$C$6,$C$5)),""),"")</f>
        <v/>
      </c>
      <c r="I156" s="118">
        <f>IFERROR(IF(AND(ISNUMBER(F156),ISNUMBER(H156)),F156-H156,""),"")</f>
        <v/>
      </c>
      <c r="J156" s="85" t="n"/>
      <c r="K156" s="119">
        <f>IFERROR(IF(H156&gt;0,H156*$C$7,""),"")</f>
        <v/>
      </c>
      <c r="L156" s="120">
        <f>IFERROR(IF(ISNUMBER(F156),F156-IF(ISNUMBER(K156),K156,0),""),"")</f>
        <v/>
      </c>
    </row>
    <row r="157" ht="24" customHeight="1" s="63">
      <c r="A157" s="88" t="n"/>
      <c r="B157" s="89" t="n"/>
      <c r="C157" s="90" t="n"/>
      <c r="D157" s="90" t="n"/>
      <c r="E157" s="121" t="n"/>
      <c r="F157" s="121" t="n"/>
      <c r="G157" s="122">
        <f>IFERROR(IF(E157&gt;0,(F157/E157)*1000,""),"")</f>
        <v/>
      </c>
      <c r="H157" s="123">
        <f>IFERROR(IF(E157&gt;0,E157*IF(ISNUMBER(J157),J157,IF(C157="Futures",$C$6,$C$5)),""),"")</f>
        <v/>
      </c>
      <c r="I157" s="124">
        <f>IFERROR(IF(AND(ISNUMBER(F157),ISNUMBER(H157)),F157-H157,""),"")</f>
        <v/>
      </c>
      <c r="J157" s="95" t="n"/>
      <c r="K157" s="125">
        <f>IFERROR(IF(H157&gt;0,H157*$C$7,""),"")</f>
        <v/>
      </c>
      <c r="L157" s="126">
        <f>IFERROR(IF(ISNUMBER(F157),F157-IF(ISNUMBER(K157),K157,0),""),"")</f>
        <v/>
      </c>
    </row>
    <row r="158" ht="24" customHeight="1" s="63">
      <c r="A158" s="78" t="n"/>
      <c r="B158" s="79" t="n"/>
      <c r="C158" s="80" t="n"/>
      <c r="D158" s="80" t="n"/>
      <c r="E158" s="115" t="n"/>
      <c r="F158" s="115" t="n"/>
      <c r="G158" s="116">
        <f>IFERROR(IF(E158&gt;0,(F158/E158)*1000,""),"")</f>
        <v/>
      </c>
      <c r="H158" s="117">
        <f>IFERROR(IF(E158&gt;0,E158*IF(ISNUMBER(J158),J158,IF(C158="Futures",$C$6,$C$5)),""),"")</f>
        <v/>
      </c>
      <c r="I158" s="118">
        <f>IFERROR(IF(AND(ISNUMBER(F158),ISNUMBER(H158)),F158-H158,""),"")</f>
        <v/>
      </c>
      <c r="J158" s="85" t="n"/>
      <c r="K158" s="119">
        <f>IFERROR(IF(H158&gt;0,H158*$C$7,""),"")</f>
        <v/>
      </c>
      <c r="L158" s="120">
        <f>IFERROR(IF(ISNUMBER(F158),F158-IF(ISNUMBER(K158),K158,0),""),"")</f>
        <v/>
      </c>
    </row>
    <row r="159" ht="24" customHeight="1" s="63">
      <c r="A159" s="88" t="n"/>
      <c r="B159" s="89" t="n"/>
      <c r="C159" s="90" t="n"/>
      <c r="D159" s="90" t="n"/>
      <c r="E159" s="121" t="n"/>
      <c r="F159" s="121" t="n"/>
      <c r="G159" s="122">
        <f>IFERROR(IF(E159&gt;0,(F159/E159)*1000,""),"")</f>
        <v/>
      </c>
      <c r="H159" s="123">
        <f>IFERROR(IF(E159&gt;0,E159*IF(ISNUMBER(J159),J159,IF(C159="Futures",$C$6,$C$5)),""),"")</f>
        <v/>
      </c>
      <c r="I159" s="124">
        <f>IFERROR(IF(AND(ISNUMBER(F159),ISNUMBER(H159)),F159-H159,""),"")</f>
        <v/>
      </c>
      <c r="J159" s="95" t="n"/>
      <c r="K159" s="125">
        <f>IFERROR(IF(H159&gt;0,H159*$C$7,""),"")</f>
        <v/>
      </c>
      <c r="L159" s="126">
        <f>IFERROR(IF(ISNUMBER(F159),F159-IF(ISNUMBER(K159),K159,0),""),"")</f>
        <v/>
      </c>
    </row>
    <row r="160" ht="24" customHeight="1" s="63">
      <c r="A160" s="78" t="n"/>
      <c r="B160" s="79" t="n"/>
      <c r="C160" s="80" t="n"/>
      <c r="D160" s="80" t="n"/>
      <c r="E160" s="115" t="n"/>
      <c r="F160" s="115" t="n"/>
      <c r="G160" s="116">
        <f>IFERROR(IF(E160&gt;0,(F160/E160)*1000,""),"")</f>
        <v/>
      </c>
      <c r="H160" s="117">
        <f>IFERROR(IF(E160&gt;0,E160*IF(ISNUMBER(J160),J160,IF(C160="Futures",$C$6,$C$5)),""),"")</f>
        <v/>
      </c>
      <c r="I160" s="118">
        <f>IFERROR(IF(AND(ISNUMBER(F160),ISNUMBER(H160)),F160-H160,""),"")</f>
        <v/>
      </c>
      <c r="J160" s="85" t="n"/>
      <c r="K160" s="119">
        <f>IFERROR(IF(H160&gt;0,H160*$C$7,""),"")</f>
        <v/>
      </c>
      <c r="L160" s="120">
        <f>IFERROR(IF(ISNUMBER(F160),F160-IF(ISNUMBER(K160),K160,0),""),"")</f>
        <v/>
      </c>
    </row>
    <row r="161" ht="24" customHeight="1" s="63">
      <c r="A161" s="88" t="n"/>
      <c r="B161" s="89" t="n"/>
      <c r="C161" s="90" t="n"/>
      <c r="D161" s="90" t="n"/>
      <c r="E161" s="121" t="n"/>
      <c r="F161" s="121" t="n"/>
      <c r="G161" s="122">
        <f>IFERROR(IF(E161&gt;0,(F161/E161)*1000,""),"")</f>
        <v/>
      </c>
      <c r="H161" s="123">
        <f>IFERROR(IF(E161&gt;0,E161*IF(ISNUMBER(J161),J161,IF(C161="Futures",$C$6,$C$5)),""),"")</f>
        <v/>
      </c>
      <c r="I161" s="124">
        <f>IFERROR(IF(AND(ISNUMBER(F161),ISNUMBER(H161)),F161-H161,""),"")</f>
        <v/>
      </c>
      <c r="J161" s="95" t="n"/>
      <c r="K161" s="125">
        <f>IFERROR(IF(H161&gt;0,H161*$C$7,""),"")</f>
        <v/>
      </c>
      <c r="L161" s="126">
        <f>IFERROR(IF(ISNUMBER(F161),F161-IF(ISNUMBER(K161),K161,0),""),"")</f>
        <v/>
      </c>
    </row>
    <row r="162" ht="24" customHeight="1" s="63">
      <c r="A162" s="78" t="n"/>
      <c r="B162" s="79" t="n"/>
      <c r="C162" s="80" t="n"/>
      <c r="D162" s="80" t="n"/>
      <c r="E162" s="115" t="n"/>
      <c r="F162" s="115" t="n"/>
      <c r="G162" s="116">
        <f>IFERROR(IF(E162&gt;0,(F162/E162)*1000,""),"")</f>
        <v/>
      </c>
      <c r="H162" s="117">
        <f>IFERROR(IF(E162&gt;0,E162*IF(ISNUMBER(J162),J162,IF(C162="Futures",$C$6,$C$5)),""),"")</f>
        <v/>
      </c>
      <c r="I162" s="118">
        <f>IFERROR(IF(AND(ISNUMBER(F162),ISNUMBER(H162)),F162-H162,""),"")</f>
        <v/>
      </c>
      <c r="J162" s="85" t="n"/>
      <c r="K162" s="119">
        <f>IFERROR(IF(H162&gt;0,H162*$C$7,""),"")</f>
        <v/>
      </c>
      <c r="L162" s="120">
        <f>IFERROR(IF(ISNUMBER(F162),F162-IF(ISNUMBER(K162),K162,0),""),"")</f>
        <v/>
      </c>
    </row>
    <row r="163" ht="24" customHeight="1" s="63">
      <c r="A163" s="88" t="n"/>
      <c r="B163" s="89" t="n"/>
      <c r="C163" s="90" t="n"/>
      <c r="D163" s="90" t="n"/>
      <c r="E163" s="121" t="n"/>
      <c r="F163" s="121" t="n"/>
      <c r="G163" s="122">
        <f>IFERROR(IF(E163&gt;0,(F163/E163)*1000,""),"")</f>
        <v/>
      </c>
      <c r="H163" s="123">
        <f>IFERROR(IF(E163&gt;0,E163*IF(ISNUMBER(J163),J163,IF(C163="Futures",$C$6,$C$5)),""),"")</f>
        <v/>
      </c>
      <c r="I163" s="124">
        <f>IFERROR(IF(AND(ISNUMBER(F163),ISNUMBER(H163)),F163-H163,""),"")</f>
        <v/>
      </c>
      <c r="J163" s="95" t="n"/>
      <c r="K163" s="125">
        <f>IFERROR(IF(H163&gt;0,H163*$C$7,""),"")</f>
        <v/>
      </c>
      <c r="L163" s="126">
        <f>IFERROR(IF(ISNUMBER(F163),F163-IF(ISNUMBER(K163),K163,0),""),"")</f>
        <v/>
      </c>
    </row>
    <row r="164" ht="24" customHeight="1" s="63">
      <c r="A164" s="78" t="n"/>
      <c r="B164" s="79" t="n"/>
      <c r="C164" s="80" t="n"/>
      <c r="D164" s="80" t="n"/>
      <c r="E164" s="115" t="n"/>
      <c r="F164" s="115" t="n"/>
      <c r="G164" s="116">
        <f>IFERROR(IF(E164&gt;0,(F164/E164)*1000,""),"")</f>
        <v/>
      </c>
      <c r="H164" s="117">
        <f>IFERROR(IF(E164&gt;0,E164*IF(ISNUMBER(J164),J164,IF(C164="Futures",$C$6,$C$5)),""),"")</f>
        <v/>
      </c>
      <c r="I164" s="118">
        <f>IFERROR(IF(AND(ISNUMBER(F164),ISNUMBER(H164)),F164-H164,""),"")</f>
        <v/>
      </c>
      <c r="J164" s="85" t="n"/>
      <c r="K164" s="119">
        <f>IFERROR(IF(H164&gt;0,H164*$C$7,""),"")</f>
        <v/>
      </c>
      <c r="L164" s="120">
        <f>IFERROR(IF(ISNUMBER(F164),F164-IF(ISNUMBER(K164),K164,0),""),"")</f>
        <v/>
      </c>
    </row>
    <row r="165" ht="24" customHeight="1" s="63">
      <c r="A165" s="88" t="n"/>
      <c r="B165" s="89" t="n"/>
      <c r="C165" s="90" t="n"/>
      <c r="D165" s="90" t="n"/>
      <c r="E165" s="121" t="n"/>
      <c r="F165" s="121" t="n"/>
      <c r="G165" s="122">
        <f>IFERROR(IF(E165&gt;0,(F165/E165)*1000,""),"")</f>
        <v/>
      </c>
      <c r="H165" s="123">
        <f>IFERROR(IF(E165&gt;0,E165*IF(ISNUMBER(J165),J165,IF(C165="Futures",$C$6,$C$5)),""),"")</f>
        <v/>
      </c>
      <c r="I165" s="124">
        <f>IFERROR(IF(AND(ISNUMBER(F165),ISNUMBER(H165)),F165-H165,""),"")</f>
        <v/>
      </c>
      <c r="J165" s="95" t="n"/>
      <c r="K165" s="125">
        <f>IFERROR(IF(H165&gt;0,H165*$C$7,""),"")</f>
        <v/>
      </c>
      <c r="L165" s="126">
        <f>IFERROR(IF(ISNUMBER(F165),F165-IF(ISNUMBER(K165),K165,0),""),"")</f>
        <v/>
      </c>
    </row>
    <row r="166" ht="24" customHeight="1" s="63">
      <c r="A166" s="78" t="n"/>
      <c r="B166" s="79" t="n"/>
      <c r="C166" s="80" t="n"/>
      <c r="D166" s="80" t="n"/>
      <c r="E166" s="115" t="n"/>
      <c r="F166" s="115" t="n"/>
      <c r="G166" s="116">
        <f>IFERROR(IF(E166&gt;0,(F166/E166)*1000,""),"")</f>
        <v/>
      </c>
      <c r="H166" s="117">
        <f>IFERROR(IF(E166&gt;0,E166*IF(ISNUMBER(J166),J166,IF(C166="Futures",$C$6,$C$5)),""),"")</f>
        <v/>
      </c>
      <c r="I166" s="118">
        <f>IFERROR(IF(AND(ISNUMBER(F166),ISNUMBER(H166)),F166-H166,""),"")</f>
        <v/>
      </c>
      <c r="J166" s="85" t="n"/>
      <c r="K166" s="119">
        <f>IFERROR(IF(H166&gt;0,H166*$C$7,""),"")</f>
        <v/>
      </c>
      <c r="L166" s="120">
        <f>IFERROR(IF(ISNUMBER(F166),F166-IF(ISNUMBER(K166),K166,0),""),"")</f>
        <v/>
      </c>
    </row>
    <row r="167" ht="24" customHeight="1" s="63">
      <c r="A167" s="88" t="n"/>
      <c r="B167" s="89" t="n"/>
      <c r="C167" s="90" t="n"/>
      <c r="D167" s="90" t="n"/>
      <c r="E167" s="121" t="n"/>
      <c r="F167" s="121" t="n"/>
      <c r="G167" s="122">
        <f>IFERROR(IF(E167&gt;0,(F167/E167)*1000,""),"")</f>
        <v/>
      </c>
      <c r="H167" s="123">
        <f>IFERROR(IF(E167&gt;0,E167*IF(ISNUMBER(J167),J167,IF(C167="Futures",$C$6,$C$5)),""),"")</f>
        <v/>
      </c>
      <c r="I167" s="124">
        <f>IFERROR(IF(AND(ISNUMBER(F167),ISNUMBER(H167)),F167-H167,""),"")</f>
        <v/>
      </c>
      <c r="J167" s="95" t="n"/>
      <c r="K167" s="125">
        <f>IFERROR(IF(H167&gt;0,H167*$C$7,""),"")</f>
        <v/>
      </c>
      <c r="L167" s="126">
        <f>IFERROR(IF(ISNUMBER(F167),F167-IF(ISNUMBER(K167),K167,0),""),"")</f>
        <v/>
      </c>
    </row>
    <row r="168" ht="24" customHeight="1" s="63">
      <c r="A168" s="78" t="n"/>
      <c r="B168" s="79" t="n"/>
      <c r="C168" s="80" t="n"/>
      <c r="D168" s="80" t="n"/>
      <c r="E168" s="115" t="n"/>
      <c r="F168" s="115" t="n"/>
      <c r="G168" s="116">
        <f>IFERROR(IF(E168&gt;0,(F168/E168)*1000,""),"")</f>
        <v/>
      </c>
      <c r="H168" s="117">
        <f>IFERROR(IF(E168&gt;0,E168*IF(ISNUMBER(J168),J168,IF(C168="Futures",$C$6,$C$5)),""),"")</f>
        <v/>
      </c>
      <c r="I168" s="118">
        <f>IFERROR(IF(AND(ISNUMBER(F168),ISNUMBER(H168)),F168-H168,""),"")</f>
        <v/>
      </c>
      <c r="J168" s="85" t="n"/>
      <c r="K168" s="119">
        <f>IFERROR(IF(H168&gt;0,H168*$C$7,""),"")</f>
        <v/>
      </c>
      <c r="L168" s="120">
        <f>IFERROR(IF(ISNUMBER(F168),F168-IF(ISNUMBER(K168),K168,0),""),"")</f>
        <v/>
      </c>
    </row>
    <row r="169" ht="24" customHeight="1" s="63">
      <c r="A169" s="88" t="n"/>
      <c r="B169" s="89" t="n"/>
      <c r="C169" s="90" t="n"/>
      <c r="D169" s="90" t="n"/>
      <c r="E169" s="121" t="n"/>
      <c r="F169" s="121" t="n"/>
      <c r="G169" s="122">
        <f>IFERROR(IF(E169&gt;0,(F169/E169)*1000,""),"")</f>
        <v/>
      </c>
      <c r="H169" s="123">
        <f>IFERROR(IF(E169&gt;0,E169*IF(ISNUMBER(J169),J169,IF(C169="Futures",$C$6,$C$5)),""),"")</f>
        <v/>
      </c>
      <c r="I169" s="124">
        <f>IFERROR(IF(AND(ISNUMBER(F169),ISNUMBER(H169)),F169-H169,""),"")</f>
        <v/>
      </c>
      <c r="J169" s="95" t="n"/>
      <c r="K169" s="125">
        <f>IFERROR(IF(H169&gt;0,H169*$C$7,""),"")</f>
        <v/>
      </c>
      <c r="L169" s="126">
        <f>IFERROR(IF(ISNUMBER(F169),F169-IF(ISNUMBER(K169),K169,0),""),"")</f>
        <v/>
      </c>
    </row>
    <row r="170" ht="24" customHeight="1" s="63">
      <c r="A170" s="78" t="n"/>
      <c r="B170" s="79" t="n"/>
      <c r="C170" s="80" t="n"/>
      <c r="D170" s="80" t="n"/>
      <c r="E170" s="115" t="n"/>
      <c r="F170" s="115" t="n"/>
      <c r="G170" s="116">
        <f>IFERROR(IF(E170&gt;0,(F170/E170)*1000,""),"")</f>
        <v/>
      </c>
      <c r="H170" s="117">
        <f>IFERROR(IF(E170&gt;0,E170*IF(ISNUMBER(J170),J170,IF(C170="Futures",$C$6,$C$5)),""),"")</f>
        <v/>
      </c>
      <c r="I170" s="118">
        <f>IFERROR(IF(AND(ISNUMBER(F170),ISNUMBER(H170)),F170-H170,""),"")</f>
        <v/>
      </c>
      <c r="J170" s="85" t="n"/>
      <c r="K170" s="119">
        <f>IFERROR(IF(H170&gt;0,H170*$C$7,""),"")</f>
        <v/>
      </c>
      <c r="L170" s="120">
        <f>IFERROR(IF(ISNUMBER(F170),F170-IF(ISNUMBER(K170),K170,0),""),"")</f>
        <v/>
      </c>
    </row>
    <row r="171" ht="24" customHeight="1" s="63">
      <c r="A171" s="88" t="n"/>
      <c r="B171" s="89" t="n"/>
      <c r="C171" s="90" t="n"/>
      <c r="D171" s="90" t="n"/>
      <c r="E171" s="121" t="n"/>
      <c r="F171" s="121" t="n"/>
      <c r="G171" s="122">
        <f>IFERROR(IF(E171&gt;0,(F171/E171)*1000,""),"")</f>
        <v/>
      </c>
      <c r="H171" s="123">
        <f>IFERROR(IF(E171&gt;0,E171*IF(ISNUMBER(J171),J171,IF(C171="Futures",$C$6,$C$5)),""),"")</f>
        <v/>
      </c>
      <c r="I171" s="124">
        <f>IFERROR(IF(AND(ISNUMBER(F171),ISNUMBER(H171)),F171-H171,""),"")</f>
        <v/>
      </c>
      <c r="J171" s="95" t="n"/>
      <c r="K171" s="125">
        <f>IFERROR(IF(H171&gt;0,H171*$C$7,""),"")</f>
        <v/>
      </c>
      <c r="L171" s="126">
        <f>IFERROR(IF(ISNUMBER(F171),F171-IF(ISNUMBER(K171),K171,0),""),"")</f>
        <v/>
      </c>
    </row>
    <row r="172" ht="24" customHeight="1" s="63">
      <c r="A172" s="78" t="n"/>
      <c r="B172" s="79" t="n"/>
      <c r="C172" s="80" t="n"/>
      <c r="D172" s="80" t="n"/>
      <c r="E172" s="115" t="n"/>
      <c r="F172" s="115" t="n"/>
      <c r="G172" s="116">
        <f>IFERROR(IF(E172&gt;0,(F172/E172)*1000,""),"")</f>
        <v/>
      </c>
      <c r="H172" s="117">
        <f>IFERROR(IF(E172&gt;0,E172*IF(ISNUMBER(J172),J172,IF(C172="Futures",$C$6,$C$5)),""),"")</f>
        <v/>
      </c>
      <c r="I172" s="118">
        <f>IFERROR(IF(AND(ISNUMBER(F172),ISNUMBER(H172)),F172-H172,""),"")</f>
        <v/>
      </c>
      <c r="J172" s="85" t="n"/>
      <c r="K172" s="119">
        <f>IFERROR(IF(H172&gt;0,H172*$C$7,""),"")</f>
        <v/>
      </c>
      <c r="L172" s="120">
        <f>IFERROR(IF(ISNUMBER(F172),F172-IF(ISNUMBER(K172),K172,0),""),"")</f>
        <v/>
      </c>
    </row>
    <row r="173" ht="24" customHeight="1" s="63">
      <c r="A173" s="88" t="n"/>
      <c r="B173" s="89" t="n"/>
      <c r="C173" s="90" t="n"/>
      <c r="D173" s="90" t="n"/>
      <c r="E173" s="121" t="n"/>
      <c r="F173" s="121" t="n"/>
      <c r="G173" s="122">
        <f>IFERROR(IF(E173&gt;0,(F173/E173)*1000,""),"")</f>
        <v/>
      </c>
      <c r="H173" s="123">
        <f>IFERROR(IF(E173&gt;0,E173*IF(ISNUMBER(J173),J173,IF(C173="Futures",$C$6,$C$5)),""),"")</f>
        <v/>
      </c>
      <c r="I173" s="124">
        <f>IFERROR(IF(AND(ISNUMBER(F173),ISNUMBER(H173)),F173-H173,""),"")</f>
        <v/>
      </c>
      <c r="J173" s="95" t="n"/>
      <c r="K173" s="125">
        <f>IFERROR(IF(H173&gt;0,H173*$C$7,""),"")</f>
        <v/>
      </c>
      <c r="L173" s="126">
        <f>IFERROR(IF(ISNUMBER(F173),F173-IF(ISNUMBER(K173),K173,0),""),"")</f>
        <v/>
      </c>
    </row>
    <row r="174" ht="24" customHeight="1" s="63">
      <c r="A174" s="78" t="n"/>
      <c r="B174" s="79" t="n"/>
      <c r="C174" s="80" t="n"/>
      <c r="D174" s="80" t="n"/>
      <c r="E174" s="115" t="n"/>
      <c r="F174" s="115" t="n"/>
      <c r="G174" s="116">
        <f>IFERROR(IF(E174&gt;0,(F174/E174)*1000,""),"")</f>
        <v/>
      </c>
      <c r="H174" s="117">
        <f>IFERROR(IF(E174&gt;0,E174*IF(ISNUMBER(J174),J174,IF(C174="Futures",$C$6,$C$5)),""),"")</f>
        <v/>
      </c>
      <c r="I174" s="118">
        <f>IFERROR(IF(AND(ISNUMBER(F174),ISNUMBER(H174)),F174-H174,""),"")</f>
        <v/>
      </c>
      <c r="J174" s="85" t="n"/>
      <c r="K174" s="119">
        <f>IFERROR(IF(H174&gt;0,H174*$C$7,""),"")</f>
        <v/>
      </c>
      <c r="L174" s="120">
        <f>IFERROR(IF(ISNUMBER(F174),F174-IF(ISNUMBER(K174),K174,0),""),"")</f>
        <v/>
      </c>
    </row>
    <row r="175" ht="24" customHeight="1" s="63">
      <c r="A175" s="88" t="n"/>
      <c r="B175" s="89" t="n"/>
      <c r="C175" s="90" t="n"/>
      <c r="D175" s="90" t="n"/>
      <c r="E175" s="121" t="n"/>
      <c r="F175" s="121" t="n"/>
      <c r="G175" s="122">
        <f>IFERROR(IF(E175&gt;0,(F175/E175)*1000,""),"")</f>
        <v/>
      </c>
      <c r="H175" s="123">
        <f>IFERROR(IF(E175&gt;0,E175*IF(ISNUMBER(J175),J175,IF(C175="Futures",$C$6,$C$5)),""),"")</f>
        <v/>
      </c>
      <c r="I175" s="124">
        <f>IFERROR(IF(AND(ISNUMBER(F175),ISNUMBER(H175)),F175-H175,""),"")</f>
        <v/>
      </c>
      <c r="J175" s="95" t="n"/>
      <c r="K175" s="125">
        <f>IFERROR(IF(H175&gt;0,H175*$C$7,""),"")</f>
        <v/>
      </c>
      <c r="L175" s="126">
        <f>IFERROR(IF(ISNUMBER(F175),F175-IF(ISNUMBER(K175),K175,0),""),"")</f>
        <v/>
      </c>
    </row>
    <row r="176" ht="24" customHeight="1" s="63">
      <c r="A176" s="78" t="n"/>
      <c r="B176" s="79" t="n"/>
      <c r="C176" s="80" t="n"/>
      <c r="D176" s="80" t="n"/>
      <c r="E176" s="115" t="n"/>
      <c r="F176" s="115" t="n"/>
      <c r="G176" s="116">
        <f>IFERROR(IF(E176&gt;0,(F176/E176)*1000,""),"")</f>
        <v/>
      </c>
      <c r="H176" s="117">
        <f>IFERROR(IF(E176&gt;0,E176*IF(ISNUMBER(J176),J176,IF(C176="Futures",$C$6,$C$5)),""),"")</f>
        <v/>
      </c>
      <c r="I176" s="118">
        <f>IFERROR(IF(AND(ISNUMBER(F176),ISNUMBER(H176)),F176-H176,""),"")</f>
        <v/>
      </c>
      <c r="J176" s="85" t="n"/>
      <c r="K176" s="119">
        <f>IFERROR(IF(H176&gt;0,H176*$C$7,""),"")</f>
        <v/>
      </c>
      <c r="L176" s="120">
        <f>IFERROR(IF(ISNUMBER(F176),F176-IF(ISNUMBER(K176),K176,0),""),"")</f>
        <v/>
      </c>
    </row>
    <row r="177" ht="24" customHeight="1" s="63">
      <c r="A177" s="88" t="n"/>
      <c r="B177" s="89" t="n"/>
      <c r="C177" s="90" t="n"/>
      <c r="D177" s="90" t="n"/>
      <c r="E177" s="121" t="n"/>
      <c r="F177" s="121" t="n"/>
      <c r="G177" s="122">
        <f>IFERROR(IF(E177&gt;0,(F177/E177)*1000,""),"")</f>
        <v/>
      </c>
      <c r="H177" s="123">
        <f>IFERROR(IF(E177&gt;0,E177*IF(ISNUMBER(J177),J177,IF(C177="Futures",$C$6,$C$5)),""),"")</f>
        <v/>
      </c>
      <c r="I177" s="124">
        <f>IFERROR(IF(AND(ISNUMBER(F177),ISNUMBER(H177)),F177-H177,""),"")</f>
        <v/>
      </c>
      <c r="J177" s="95" t="n"/>
      <c r="K177" s="125">
        <f>IFERROR(IF(H177&gt;0,H177*$C$7,""),"")</f>
        <v/>
      </c>
      <c r="L177" s="126">
        <f>IFERROR(IF(ISNUMBER(F177),F177-IF(ISNUMBER(K177),K177,0),""),"")</f>
        <v/>
      </c>
    </row>
    <row r="178" ht="24" customHeight="1" s="63">
      <c r="A178" s="78" t="n"/>
      <c r="B178" s="79" t="n"/>
      <c r="C178" s="80" t="n"/>
      <c r="D178" s="80" t="n"/>
      <c r="E178" s="115" t="n"/>
      <c r="F178" s="115" t="n"/>
      <c r="G178" s="116">
        <f>IFERROR(IF(E178&gt;0,(F178/E178)*1000,""),"")</f>
        <v/>
      </c>
      <c r="H178" s="117">
        <f>IFERROR(IF(E178&gt;0,E178*IF(ISNUMBER(J178),J178,IF(C178="Futures",$C$6,$C$5)),""),"")</f>
        <v/>
      </c>
      <c r="I178" s="118">
        <f>IFERROR(IF(AND(ISNUMBER(F178),ISNUMBER(H178)),F178-H178,""),"")</f>
        <v/>
      </c>
      <c r="J178" s="85" t="n"/>
      <c r="K178" s="119">
        <f>IFERROR(IF(H178&gt;0,H178*$C$7,""),"")</f>
        <v/>
      </c>
      <c r="L178" s="120">
        <f>IFERROR(IF(ISNUMBER(F178),F178-IF(ISNUMBER(K178),K178,0),""),"")</f>
        <v/>
      </c>
    </row>
    <row r="179" ht="24" customHeight="1" s="63">
      <c r="A179" s="88" t="n"/>
      <c r="B179" s="89" t="n"/>
      <c r="C179" s="90" t="n"/>
      <c r="D179" s="90" t="n"/>
      <c r="E179" s="121" t="n"/>
      <c r="F179" s="121" t="n"/>
      <c r="G179" s="122">
        <f>IFERROR(IF(E179&gt;0,(F179/E179)*1000,""),"")</f>
        <v/>
      </c>
      <c r="H179" s="123">
        <f>IFERROR(IF(E179&gt;0,E179*IF(ISNUMBER(J179),J179,IF(C179="Futures",$C$6,$C$5)),""),"")</f>
        <v/>
      </c>
      <c r="I179" s="124">
        <f>IFERROR(IF(AND(ISNUMBER(F179),ISNUMBER(H179)),F179-H179,""),"")</f>
        <v/>
      </c>
      <c r="J179" s="95" t="n"/>
      <c r="K179" s="125">
        <f>IFERROR(IF(H179&gt;0,H179*$C$7,""),"")</f>
        <v/>
      </c>
      <c r="L179" s="126">
        <f>IFERROR(IF(ISNUMBER(F179),F179-IF(ISNUMBER(K179),K179,0),""),"")</f>
        <v/>
      </c>
    </row>
    <row r="180" ht="24" customHeight="1" s="63">
      <c r="A180" s="78" t="n"/>
      <c r="B180" s="79" t="n"/>
      <c r="C180" s="80" t="n"/>
      <c r="D180" s="80" t="n"/>
      <c r="E180" s="115" t="n"/>
      <c r="F180" s="115" t="n"/>
      <c r="G180" s="116">
        <f>IFERROR(IF(E180&gt;0,(F180/E180)*1000,""),"")</f>
        <v/>
      </c>
      <c r="H180" s="117">
        <f>IFERROR(IF(E180&gt;0,E180*IF(ISNUMBER(J180),J180,IF(C180="Futures",$C$6,$C$5)),""),"")</f>
        <v/>
      </c>
      <c r="I180" s="118">
        <f>IFERROR(IF(AND(ISNUMBER(F180),ISNUMBER(H180)),F180-H180,""),"")</f>
        <v/>
      </c>
      <c r="J180" s="85" t="n"/>
      <c r="K180" s="119">
        <f>IFERROR(IF(H180&gt;0,H180*$C$7,""),"")</f>
        <v/>
      </c>
      <c r="L180" s="120">
        <f>IFERROR(IF(ISNUMBER(F180),F180-IF(ISNUMBER(K180),K180,0),""),"")</f>
        <v/>
      </c>
    </row>
    <row r="181" ht="24" customHeight="1" s="63">
      <c r="A181" s="88" t="n"/>
      <c r="B181" s="89" t="n"/>
      <c r="C181" s="90" t="n"/>
      <c r="D181" s="90" t="n"/>
      <c r="E181" s="121" t="n"/>
      <c r="F181" s="121" t="n"/>
      <c r="G181" s="122">
        <f>IFERROR(IF(E181&gt;0,(F181/E181)*1000,""),"")</f>
        <v/>
      </c>
      <c r="H181" s="123">
        <f>IFERROR(IF(E181&gt;0,E181*IF(ISNUMBER(J181),J181,IF(C181="Futures",$C$6,$C$5)),""),"")</f>
        <v/>
      </c>
      <c r="I181" s="124">
        <f>IFERROR(IF(AND(ISNUMBER(F181),ISNUMBER(H181)),F181-H181,""),"")</f>
        <v/>
      </c>
      <c r="J181" s="95" t="n"/>
      <c r="K181" s="125">
        <f>IFERROR(IF(H181&gt;0,H181*$C$7,""),"")</f>
        <v/>
      </c>
      <c r="L181" s="126">
        <f>IFERROR(IF(ISNUMBER(F181),F181-IF(ISNUMBER(K181),K181,0),""),"")</f>
        <v/>
      </c>
    </row>
    <row r="182" ht="24" customHeight="1" s="63">
      <c r="A182" s="78" t="n"/>
      <c r="B182" s="79" t="n"/>
      <c r="C182" s="80" t="n"/>
      <c r="D182" s="80" t="n"/>
      <c r="E182" s="115" t="n"/>
      <c r="F182" s="115" t="n"/>
      <c r="G182" s="116">
        <f>IFERROR(IF(E182&gt;0,(F182/E182)*1000,""),"")</f>
        <v/>
      </c>
      <c r="H182" s="117">
        <f>IFERROR(IF(E182&gt;0,E182*IF(ISNUMBER(J182),J182,IF(C182="Futures",$C$6,$C$5)),""),"")</f>
        <v/>
      </c>
      <c r="I182" s="118">
        <f>IFERROR(IF(AND(ISNUMBER(F182),ISNUMBER(H182)),F182-H182,""),"")</f>
        <v/>
      </c>
      <c r="J182" s="85" t="n"/>
      <c r="K182" s="119">
        <f>IFERROR(IF(H182&gt;0,H182*$C$7,""),"")</f>
        <v/>
      </c>
      <c r="L182" s="120">
        <f>IFERROR(IF(ISNUMBER(F182),F182-IF(ISNUMBER(K182),K182,0),""),"")</f>
        <v/>
      </c>
    </row>
    <row r="183" ht="24" customHeight="1" s="63">
      <c r="A183" s="88" t="n"/>
      <c r="B183" s="89" t="n"/>
      <c r="C183" s="90" t="n"/>
      <c r="D183" s="90" t="n"/>
      <c r="E183" s="121" t="n"/>
      <c r="F183" s="121" t="n"/>
      <c r="G183" s="122">
        <f>IFERROR(IF(E183&gt;0,(F183/E183)*1000,""),"")</f>
        <v/>
      </c>
      <c r="H183" s="123">
        <f>IFERROR(IF(E183&gt;0,E183*IF(ISNUMBER(J183),J183,IF(C183="Futures",$C$6,$C$5)),""),"")</f>
        <v/>
      </c>
      <c r="I183" s="124">
        <f>IFERROR(IF(AND(ISNUMBER(F183),ISNUMBER(H183)),F183-H183,""),"")</f>
        <v/>
      </c>
      <c r="J183" s="95" t="n"/>
      <c r="K183" s="125">
        <f>IFERROR(IF(H183&gt;0,H183*$C$7,""),"")</f>
        <v/>
      </c>
      <c r="L183" s="126">
        <f>IFERROR(IF(ISNUMBER(F183),F183-IF(ISNUMBER(K183),K183,0),""),"")</f>
        <v/>
      </c>
    </row>
    <row r="184" ht="24" customHeight="1" s="63">
      <c r="A184" s="78" t="n"/>
      <c r="B184" s="79" t="n"/>
      <c r="C184" s="80" t="n"/>
      <c r="D184" s="80" t="n"/>
      <c r="E184" s="115" t="n"/>
      <c r="F184" s="115" t="n"/>
      <c r="G184" s="116">
        <f>IFERROR(IF(E184&gt;0,(F184/E184)*1000,""),"")</f>
        <v/>
      </c>
      <c r="H184" s="117">
        <f>IFERROR(IF(E184&gt;0,E184*IF(ISNUMBER(J184),J184,IF(C184="Futures",$C$6,$C$5)),""),"")</f>
        <v/>
      </c>
      <c r="I184" s="118">
        <f>IFERROR(IF(AND(ISNUMBER(F184),ISNUMBER(H184)),F184-H184,""),"")</f>
        <v/>
      </c>
      <c r="J184" s="85" t="n"/>
      <c r="K184" s="119">
        <f>IFERROR(IF(H184&gt;0,H184*$C$7,""),"")</f>
        <v/>
      </c>
      <c r="L184" s="120">
        <f>IFERROR(IF(ISNUMBER(F184),F184-IF(ISNUMBER(K184),K184,0),""),"")</f>
        <v/>
      </c>
    </row>
    <row r="185" ht="24" customHeight="1" s="63">
      <c r="A185" s="88" t="n"/>
      <c r="B185" s="89" t="n"/>
      <c r="C185" s="90" t="n"/>
      <c r="D185" s="90" t="n"/>
      <c r="E185" s="121" t="n"/>
      <c r="F185" s="121" t="n"/>
      <c r="G185" s="122">
        <f>IFERROR(IF(E185&gt;0,(F185/E185)*1000,""),"")</f>
        <v/>
      </c>
      <c r="H185" s="123">
        <f>IFERROR(IF(E185&gt;0,E185*IF(ISNUMBER(J185),J185,IF(C185="Futures",$C$6,$C$5)),""),"")</f>
        <v/>
      </c>
      <c r="I185" s="124">
        <f>IFERROR(IF(AND(ISNUMBER(F185),ISNUMBER(H185)),F185-H185,""),"")</f>
        <v/>
      </c>
      <c r="J185" s="95" t="n"/>
      <c r="K185" s="125">
        <f>IFERROR(IF(H185&gt;0,H185*$C$7,""),"")</f>
        <v/>
      </c>
      <c r="L185" s="126">
        <f>IFERROR(IF(ISNUMBER(F185),F185-IF(ISNUMBER(K185),K185,0),""),"")</f>
        <v/>
      </c>
    </row>
    <row r="186" ht="24" customHeight="1" s="63">
      <c r="A186" s="78" t="n"/>
      <c r="B186" s="79" t="n"/>
      <c r="C186" s="80" t="n"/>
      <c r="D186" s="80" t="n"/>
      <c r="E186" s="115" t="n"/>
      <c r="F186" s="115" t="n"/>
      <c r="G186" s="116">
        <f>IFERROR(IF(E186&gt;0,(F186/E186)*1000,""),"")</f>
        <v/>
      </c>
      <c r="H186" s="117">
        <f>IFERROR(IF(E186&gt;0,E186*IF(ISNUMBER(J186),J186,IF(C186="Futures",$C$6,$C$5)),""),"")</f>
        <v/>
      </c>
      <c r="I186" s="118">
        <f>IFERROR(IF(AND(ISNUMBER(F186),ISNUMBER(H186)),F186-H186,""),"")</f>
        <v/>
      </c>
      <c r="J186" s="85" t="n"/>
      <c r="K186" s="119">
        <f>IFERROR(IF(H186&gt;0,H186*$C$7,""),"")</f>
        <v/>
      </c>
      <c r="L186" s="120">
        <f>IFERROR(IF(ISNUMBER(F186),F186-IF(ISNUMBER(K186),K186,0),""),"")</f>
        <v/>
      </c>
    </row>
    <row r="187" ht="24" customHeight="1" s="63">
      <c r="A187" s="88" t="n"/>
      <c r="B187" s="89" t="n"/>
      <c r="C187" s="90" t="n"/>
      <c r="D187" s="90" t="n"/>
      <c r="E187" s="121" t="n"/>
      <c r="F187" s="121" t="n"/>
      <c r="G187" s="122">
        <f>IFERROR(IF(E187&gt;0,(F187/E187)*1000,""),"")</f>
        <v/>
      </c>
      <c r="H187" s="123">
        <f>IFERROR(IF(E187&gt;0,E187*IF(ISNUMBER(J187),J187,IF(C187="Futures",$C$6,$C$5)),""),"")</f>
        <v/>
      </c>
      <c r="I187" s="124">
        <f>IFERROR(IF(AND(ISNUMBER(F187),ISNUMBER(H187)),F187-H187,""),"")</f>
        <v/>
      </c>
      <c r="J187" s="95" t="n"/>
      <c r="K187" s="125">
        <f>IFERROR(IF(H187&gt;0,H187*$C$7,""),"")</f>
        <v/>
      </c>
      <c r="L187" s="126">
        <f>IFERROR(IF(ISNUMBER(F187),F187-IF(ISNUMBER(K187),K187,0),""),"")</f>
        <v/>
      </c>
    </row>
    <row r="188" ht="24" customHeight="1" s="63">
      <c r="A188" s="78" t="n"/>
      <c r="B188" s="79" t="n"/>
      <c r="C188" s="80" t="n"/>
      <c r="D188" s="80" t="n"/>
      <c r="E188" s="115" t="n"/>
      <c r="F188" s="115" t="n"/>
      <c r="G188" s="116">
        <f>IFERROR(IF(E188&gt;0,(F188/E188)*1000,""),"")</f>
        <v/>
      </c>
      <c r="H188" s="117">
        <f>IFERROR(IF(E188&gt;0,E188*IF(ISNUMBER(J188),J188,IF(C188="Futures",$C$6,$C$5)),""),"")</f>
        <v/>
      </c>
      <c r="I188" s="118">
        <f>IFERROR(IF(AND(ISNUMBER(F188),ISNUMBER(H188)),F188-H188,""),"")</f>
        <v/>
      </c>
      <c r="J188" s="85" t="n"/>
      <c r="K188" s="119">
        <f>IFERROR(IF(H188&gt;0,H188*$C$7,""),"")</f>
        <v/>
      </c>
      <c r="L188" s="120">
        <f>IFERROR(IF(ISNUMBER(F188),F188-IF(ISNUMBER(K188),K188,0),""),"")</f>
        <v/>
      </c>
    </row>
    <row r="189" ht="24" customHeight="1" s="63">
      <c r="A189" s="88" t="n"/>
      <c r="B189" s="89" t="n"/>
      <c r="C189" s="90" t="n"/>
      <c r="D189" s="90" t="n"/>
      <c r="E189" s="121" t="n"/>
      <c r="F189" s="121" t="n"/>
      <c r="G189" s="122">
        <f>IFERROR(IF(E189&gt;0,(F189/E189)*1000,""),"")</f>
        <v/>
      </c>
      <c r="H189" s="123">
        <f>IFERROR(IF(E189&gt;0,E189*IF(ISNUMBER(J189),J189,IF(C189="Futures",$C$6,$C$5)),""),"")</f>
        <v/>
      </c>
      <c r="I189" s="124">
        <f>IFERROR(IF(AND(ISNUMBER(F189),ISNUMBER(H189)),F189-H189,""),"")</f>
        <v/>
      </c>
      <c r="J189" s="95" t="n"/>
      <c r="K189" s="125">
        <f>IFERROR(IF(H189&gt;0,H189*$C$7,""),"")</f>
        <v/>
      </c>
      <c r="L189" s="126">
        <f>IFERROR(IF(ISNUMBER(F189),F189-IF(ISNUMBER(K189),K189,0),""),"")</f>
        <v/>
      </c>
    </row>
    <row r="190" ht="24" customHeight="1" s="63">
      <c r="A190" s="78" t="n"/>
      <c r="B190" s="79" t="n"/>
      <c r="C190" s="80" t="n"/>
      <c r="D190" s="80" t="n"/>
      <c r="E190" s="115" t="n"/>
      <c r="F190" s="115" t="n"/>
      <c r="G190" s="116">
        <f>IFERROR(IF(E190&gt;0,(F190/E190)*1000,""),"")</f>
        <v/>
      </c>
      <c r="H190" s="117">
        <f>IFERROR(IF(E190&gt;0,E190*IF(ISNUMBER(J190),J190,IF(C190="Futures",$C$6,$C$5)),""),"")</f>
        <v/>
      </c>
      <c r="I190" s="118">
        <f>IFERROR(IF(AND(ISNUMBER(F190),ISNUMBER(H190)),F190-H190,""),"")</f>
        <v/>
      </c>
      <c r="J190" s="85" t="n"/>
      <c r="K190" s="119">
        <f>IFERROR(IF(H190&gt;0,H190*$C$7,""),"")</f>
        <v/>
      </c>
      <c r="L190" s="120">
        <f>IFERROR(IF(ISNUMBER(F190),F190-IF(ISNUMBER(K190),K190,0),""),"")</f>
        <v/>
      </c>
    </row>
    <row r="191" ht="24" customHeight="1" s="63">
      <c r="A191" s="88" t="n"/>
      <c r="B191" s="89" t="n"/>
      <c r="C191" s="90" t="n"/>
      <c r="D191" s="90" t="n"/>
      <c r="E191" s="121" t="n"/>
      <c r="F191" s="121" t="n"/>
      <c r="G191" s="122">
        <f>IFERROR(IF(E191&gt;0,(F191/E191)*1000,""),"")</f>
        <v/>
      </c>
      <c r="H191" s="123">
        <f>IFERROR(IF(E191&gt;0,E191*IF(ISNUMBER(J191),J191,IF(C191="Futures",$C$6,$C$5)),""),"")</f>
        <v/>
      </c>
      <c r="I191" s="124">
        <f>IFERROR(IF(AND(ISNUMBER(F191),ISNUMBER(H191)),F191-H191,""),"")</f>
        <v/>
      </c>
      <c r="J191" s="95" t="n"/>
      <c r="K191" s="125">
        <f>IFERROR(IF(H191&gt;0,H191*$C$7,""),"")</f>
        <v/>
      </c>
      <c r="L191" s="126">
        <f>IFERROR(IF(ISNUMBER(F191),F191-IF(ISNUMBER(K191),K191,0),""),"")</f>
        <v/>
      </c>
    </row>
    <row r="192" ht="24" customHeight="1" s="63">
      <c r="A192" s="78" t="n"/>
      <c r="B192" s="79" t="n"/>
      <c r="C192" s="80" t="n"/>
      <c r="D192" s="80" t="n"/>
      <c r="E192" s="115" t="n"/>
      <c r="F192" s="115" t="n"/>
      <c r="G192" s="116">
        <f>IFERROR(IF(E192&gt;0,(F192/E192)*1000,""),"")</f>
        <v/>
      </c>
      <c r="H192" s="117">
        <f>IFERROR(IF(E192&gt;0,E192*IF(ISNUMBER(J192),J192,IF(C192="Futures",$C$6,$C$5)),""),"")</f>
        <v/>
      </c>
      <c r="I192" s="118">
        <f>IFERROR(IF(AND(ISNUMBER(F192),ISNUMBER(H192)),F192-H192,""),"")</f>
        <v/>
      </c>
      <c r="J192" s="85" t="n"/>
      <c r="K192" s="119">
        <f>IFERROR(IF(H192&gt;0,H192*$C$7,""),"")</f>
        <v/>
      </c>
      <c r="L192" s="120">
        <f>IFERROR(IF(ISNUMBER(F192),F192-IF(ISNUMBER(K192),K192,0),""),"")</f>
        <v/>
      </c>
    </row>
    <row r="193" ht="24" customHeight="1" s="63">
      <c r="A193" s="88" t="n"/>
      <c r="B193" s="89" t="n"/>
      <c r="C193" s="90" t="n"/>
      <c r="D193" s="90" t="n"/>
      <c r="E193" s="121" t="n"/>
      <c r="F193" s="121" t="n"/>
      <c r="G193" s="122">
        <f>IFERROR(IF(E193&gt;0,(F193/E193)*1000,""),"")</f>
        <v/>
      </c>
      <c r="H193" s="123">
        <f>IFERROR(IF(E193&gt;0,E193*IF(ISNUMBER(J193),J193,IF(C193="Futures",$C$6,$C$5)),""),"")</f>
        <v/>
      </c>
      <c r="I193" s="124">
        <f>IFERROR(IF(AND(ISNUMBER(F193),ISNUMBER(H193)),F193-H193,""),"")</f>
        <v/>
      </c>
      <c r="J193" s="95" t="n"/>
      <c r="K193" s="125">
        <f>IFERROR(IF(H193&gt;0,H193*$C$7,""),"")</f>
        <v/>
      </c>
      <c r="L193" s="126">
        <f>IFERROR(IF(ISNUMBER(F193),F193-IF(ISNUMBER(K193),K193,0),""),"")</f>
        <v/>
      </c>
    </row>
    <row r="194" ht="24" customHeight="1" s="63">
      <c r="A194" s="78" t="n"/>
      <c r="B194" s="79" t="n"/>
      <c r="C194" s="80" t="n"/>
      <c r="D194" s="80" t="n"/>
      <c r="E194" s="115" t="n"/>
      <c r="F194" s="115" t="n"/>
      <c r="G194" s="116">
        <f>IFERROR(IF(E194&gt;0,(F194/E194)*1000,""),"")</f>
        <v/>
      </c>
      <c r="H194" s="117">
        <f>IFERROR(IF(E194&gt;0,E194*IF(ISNUMBER(J194),J194,IF(C194="Futures",$C$6,$C$5)),""),"")</f>
        <v/>
      </c>
      <c r="I194" s="118">
        <f>IFERROR(IF(AND(ISNUMBER(F194),ISNUMBER(H194)),F194-H194,""),"")</f>
        <v/>
      </c>
      <c r="J194" s="85" t="n"/>
      <c r="K194" s="119">
        <f>IFERROR(IF(H194&gt;0,H194*$C$7,""),"")</f>
        <v/>
      </c>
      <c r="L194" s="120">
        <f>IFERROR(IF(ISNUMBER(F194),F194-IF(ISNUMBER(K194),K194,0),""),"")</f>
        <v/>
      </c>
    </row>
    <row r="195" ht="24" customHeight="1" s="63">
      <c r="A195" s="88" t="n"/>
      <c r="B195" s="89" t="n"/>
      <c r="C195" s="90" t="n"/>
      <c r="D195" s="90" t="n"/>
      <c r="E195" s="121" t="n"/>
      <c r="F195" s="121" t="n"/>
      <c r="G195" s="122">
        <f>IFERROR(IF(E195&gt;0,(F195/E195)*1000,""),"")</f>
        <v/>
      </c>
      <c r="H195" s="123">
        <f>IFERROR(IF(E195&gt;0,E195*IF(ISNUMBER(J195),J195,IF(C195="Futures",$C$6,$C$5)),""),"")</f>
        <v/>
      </c>
      <c r="I195" s="124">
        <f>IFERROR(IF(AND(ISNUMBER(F195),ISNUMBER(H195)),F195-H195,""),"")</f>
        <v/>
      </c>
      <c r="J195" s="95" t="n"/>
      <c r="K195" s="125">
        <f>IFERROR(IF(H195&gt;0,H195*$C$7,""),"")</f>
        <v/>
      </c>
      <c r="L195" s="126">
        <f>IFERROR(IF(ISNUMBER(F195),F195-IF(ISNUMBER(K195),K195,0),""),"")</f>
        <v/>
      </c>
    </row>
    <row r="196" ht="24" customHeight="1" s="63">
      <c r="A196" s="78" t="n"/>
      <c r="B196" s="79" t="n"/>
      <c r="C196" s="80" t="n"/>
      <c r="D196" s="80" t="n"/>
      <c r="E196" s="115" t="n"/>
      <c r="F196" s="115" t="n"/>
      <c r="G196" s="116">
        <f>IFERROR(IF(E196&gt;0,(F196/E196)*1000,""),"")</f>
        <v/>
      </c>
      <c r="H196" s="117">
        <f>IFERROR(IF(E196&gt;0,E196*IF(ISNUMBER(J196),J196,IF(C196="Futures",$C$6,$C$5)),""),"")</f>
        <v/>
      </c>
      <c r="I196" s="118">
        <f>IFERROR(IF(AND(ISNUMBER(F196),ISNUMBER(H196)),F196-H196,""),"")</f>
        <v/>
      </c>
      <c r="J196" s="85" t="n"/>
      <c r="K196" s="119">
        <f>IFERROR(IF(H196&gt;0,H196*$C$7,""),"")</f>
        <v/>
      </c>
      <c r="L196" s="120">
        <f>IFERROR(IF(ISNUMBER(F196),F196-IF(ISNUMBER(K196),K196,0),""),"")</f>
        <v/>
      </c>
    </row>
    <row r="197" ht="24" customHeight="1" s="63">
      <c r="A197" s="88" t="n"/>
      <c r="B197" s="89" t="n"/>
      <c r="C197" s="90" t="n"/>
      <c r="D197" s="90" t="n"/>
      <c r="E197" s="121" t="n"/>
      <c r="F197" s="121" t="n"/>
      <c r="G197" s="122">
        <f>IFERROR(IF(E197&gt;0,(F197/E197)*1000,""),"")</f>
        <v/>
      </c>
      <c r="H197" s="123">
        <f>IFERROR(IF(E197&gt;0,E197*IF(ISNUMBER(J197),J197,IF(C197="Futures",$C$6,$C$5)),""),"")</f>
        <v/>
      </c>
      <c r="I197" s="124">
        <f>IFERROR(IF(AND(ISNUMBER(F197),ISNUMBER(H197)),F197-H197,""),"")</f>
        <v/>
      </c>
      <c r="J197" s="95" t="n"/>
      <c r="K197" s="125">
        <f>IFERROR(IF(H197&gt;0,H197*$C$7,""),"")</f>
        <v/>
      </c>
      <c r="L197" s="126">
        <f>IFERROR(IF(ISNUMBER(F197),F197-IF(ISNUMBER(K197),K197,0),""),"")</f>
        <v/>
      </c>
    </row>
    <row r="198" ht="24" customHeight="1" s="63">
      <c r="A198" s="78" t="n"/>
      <c r="B198" s="79" t="n"/>
      <c r="C198" s="80" t="n"/>
      <c r="D198" s="80" t="n"/>
      <c r="E198" s="115" t="n"/>
      <c r="F198" s="115" t="n"/>
      <c r="G198" s="116">
        <f>IFERROR(IF(E198&gt;0,(F198/E198)*1000,""),"")</f>
        <v/>
      </c>
      <c r="H198" s="117">
        <f>IFERROR(IF(E198&gt;0,E198*IF(ISNUMBER(J198),J198,IF(C198="Futures",$C$6,$C$5)),""),"")</f>
        <v/>
      </c>
      <c r="I198" s="118">
        <f>IFERROR(IF(AND(ISNUMBER(F198),ISNUMBER(H198)),F198-H198,""),"")</f>
        <v/>
      </c>
      <c r="J198" s="85" t="n"/>
      <c r="K198" s="119">
        <f>IFERROR(IF(H198&gt;0,H198*$C$7,""),"")</f>
        <v/>
      </c>
      <c r="L198" s="120">
        <f>IFERROR(IF(ISNUMBER(F198),F198-IF(ISNUMBER(K198),K198,0),""),"")</f>
        <v/>
      </c>
    </row>
    <row r="199" ht="24" customHeight="1" s="63">
      <c r="A199" s="88" t="n"/>
      <c r="B199" s="89" t="n"/>
      <c r="C199" s="90" t="n"/>
      <c r="D199" s="90" t="n"/>
      <c r="E199" s="121" t="n"/>
      <c r="F199" s="121" t="n"/>
      <c r="G199" s="122">
        <f>IFERROR(IF(E199&gt;0,(F199/E199)*1000,""),"")</f>
        <v/>
      </c>
      <c r="H199" s="123">
        <f>IFERROR(IF(E199&gt;0,E199*IF(ISNUMBER(J199),J199,IF(C199="Futures",$C$6,$C$5)),""),"")</f>
        <v/>
      </c>
      <c r="I199" s="124">
        <f>IFERROR(IF(AND(ISNUMBER(F199),ISNUMBER(H199)),F199-H199,""),"")</f>
        <v/>
      </c>
      <c r="J199" s="95" t="n"/>
      <c r="K199" s="125">
        <f>IFERROR(IF(H199&gt;0,H199*$C$7,""),"")</f>
        <v/>
      </c>
      <c r="L199" s="126">
        <f>IFERROR(IF(ISNUMBER(F199),F199-IF(ISNUMBER(K199),K199,0),""),"")</f>
        <v/>
      </c>
    </row>
    <row r="200" ht="24" customHeight="1" s="63">
      <c r="A200" s="78" t="n"/>
      <c r="B200" s="79" t="n"/>
      <c r="C200" s="80" t="n"/>
      <c r="D200" s="80" t="n"/>
      <c r="E200" s="115" t="n"/>
      <c r="F200" s="115" t="n"/>
      <c r="G200" s="116">
        <f>IFERROR(IF(E200&gt;0,(F200/E200)*1000,""),"")</f>
        <v/>
      </c>
      <c r="H200" s="117">
        <f>IFERROR(IF(E200&gt;0,E200*IF(ISNUMBER(J200),J200,IF(C200="Futures",$C$6,$C$5)),""),"")</f>
        <v/>
      </c>
      <c r="I200" s="118">
        <f>IFERROR(IF(AND(ISNUMBER(F200),ISNUMBER(H200)),F200-H200,""),"")</f>
        <v/>
      </c>
      <c r="J200" s="85" t="n"/>
      <c r="K200" s="119">
        <f>IFERROR(IF(H200&gt;0,H200*$C$7,""),"")</f>
        <v/>
      </c>
      <c r="L200" s="120">
        <f>IFERROR(IF(ISNUMBER(F200),F200-IF(ISNUMBER(K200),K200,0),""),"")</f>
        <v/>
      </c>
    </row>
    <row r="201" ht="24" customHeight="1" s="63">
      <c r="A201" s="88" t="n"/>
      <c r="B201" s="89" t="n"/>
      <c r="C201" s="90" t="n"/>
      <c r="D201" s="90" t="n"/>
      <c r="E201" s="121" t="n"/>
      <c r="F201" s="121" t="n"/>
      <c r="G201" s="122">
        <f>IFERROR(IF(E201&gt;0,(F201/E201)*1000,""),"")</f>
        <v/>
      </c>
      <c r="H201" s="123">
        <f>IFERROR(IF(E201&gt;0,E201*IF(ISNUMBER(J201),J201,IF(C201="Futures",$C$6,$C$5)),""),"")</f>
        <v/>
      </c>
      <c r="I201" s="124">
        <f>IFERROR(IF(AND(ISNUMBER(F201),ISNUMBER(H201)),F201-H201,""),"")</f>
        <v/>
      </c>
      <c r="J201" s="95" t="n"/>
      <c r="K201" s="125">
        <f>IFERROR(IF(H201&gt;0,H201*$C$7,""),"")</f>
        <v/>
      </c>
      <c r="L201" s="126">
        <f>IFERROR(IF(ISNUMBER(F201),F201-IF(ISNUMBER(K201),K201,0),""),"")</f>
        <v/>
      </c>
    </row>
    <row r="202" ht="24" customHeight="1" s="63">
      <c r="A202" s="78" t="n"/>
      <c r="B202" s="79" t="n"/>
      <c r="C202" s="80" t="n"/>
      <c r="D202" s="80" t="n"/>
      <c r="E202" s="115" t="n"/>
      <c r="F202" s="115" t="n"/>
      <c r="G202" s="116">
        <f>IFERROR(IF(E202&gt;0,(F202/E202)*1000,""),"")</f>
        <v/>
      </c>
      <c r="H202" s="117">
        <f>IFERROR(IF(E202&gt;0,E202*IF(ISNUMBER(J202),J202,IF(C202="Futures",$C$6,$C$5)),""),"")</f>
        <v/>
      </c>
      <c r="I202" s="118">
        <f>IFERROR(IF(AND(ISNUMBER(F202),ISNUMBER(H202)),F202-H202,""),"")</f>
        <v/>
      </c>
      <c r="J202" s="85" t="n"/>
      <c r="K202" s="119">
        <f>IFERROR(IF(H202&gt;0,H202*$C$7,""),"")</f>
        <v/>
      </c>
      <c r="L202" s="120">
        <f>IFERROR(IF(ISNUMBER(F202),F202-IF(ISNUMBER(K202),K202,0),""),"")</f>
        <v/>
      </c>
    </row>
    <row r="203" ht="24" customHeight="1" s="63">
      <c r="A203" s="88" t="n"/>
      <c r="B203" s="89" t="n"/>
      <c r="C203" s="90" t="n"/>
      <c r="D203" s="90" t="n"/>
      <c r="E203" s="121" t="n"/>
      <c r="F203" s="121" t="n"/>
      <c r="G203" s="122">
        <f>IFERROR(IF(E203&gt;0,(F203/E203)*1000,""),"")</f>
        <v/>
      </c>
      <c r="H203" s="123">
        <f>IFERROR(IF(E203&gt;0,E203*IF(ISNUMBER(J203),J203,IF(C203="Futures",$C$6,$C$5)),""),"")</f>
        <v/>
      </c>
      <c r="I203" s="124">
        <f>IFERROR(IF(AND(ISNUMBER(F203),ISNUMBER(H203)),F203-H203,""),"")</f>
        <v/>
      </c>
      <c r="J203" s="95" t="n"/>
      <c r="K203" s="125">
        <f>IFERROR(IF(H203&gt;0,H203*$C$7,""),"")</f>
        <v/>
      </c>
      <c r="L203" s="126">
        <f>IFERROR(IF(ISNUMBER(F203),F203-IF(ISNUMBER(K203),K203,0),""),"")</f>
        <v/>
      </c>
    </row>
    <row r="204" ht="24" customHeight="1" s="63">
      <c r="A204" s="78" t="n"/>
      <c r="B204" s="79" t="n"/>
      <c r="C204" s="80" t="n"/>
      <c r="D204" s="80" t="n"/>
      <c r="E204" s="115" t="n"/>
      <c r="F204" s="115" t="n"/>
      <c r="G204" s="116">
        <f>IFERROR(IF(E204&gt;0,(F204/E204)*1000,""),"")</f>
        <v/>
      </c>
      <c r="H204" s="117">
        <f>IFERROR(IF(E204&gt;0,E204*IF(ISNUMBER(J204),J204,IF(C204="Futures",$C$6,$C$5)),""),"")</f>
        <v/>
      </c>
      <c r="I204" s="118">
        <f>IFERROR(IF(AND(ISNUMBER(F204),ISNUMBER(H204)),F204-H204,""),"")</f>
        <v/>
      </c>
      <c r="J204" s="85" t="n"/>
      <c r="K204" s="119">
        <f>IFERROR(IF(H204&gt;0,H204*$C$7,""),"")</f>
        <v/>
      </c>
      <c r="L204" s="120">
        <f>IFERROR(IF(ISNUMBER(F204),F204-IF(ISNUMBER(K204),K204,0),""),"")</f>
        <v/>
      </c>
    </row>
    <row r="205" ht="24" customHeight="1" s="63">
      <c r="A205" s="88" t="n"/>
      <c r="B205" s="89" t="n"/>
      <c r="C205" s="90" t="n"/>
      <c r="D205" s="90" t="n"/>
      <c r="E205" s="121" t="n"/>
      <c r="F205" s="121" t="n"/>
      <c r="G205" s="122">
        <f>IFERROR(IF(E205&gt;0,(F205/E205)*1000,""),"")</f>
        <v/>
      </c>
      <c r="H205" s="123">
        <f>IFERROR(IF(E205&gt;0,E205*IF(ISNUMBER(J205),J205,IF(C205="Futures",$C$6,$C$5)),""),"")</f>
        <v/>
      </c>
      <c r="I205" s="124">
        <f>IFERROR(IF(AND(ISNUMBER(F205),ISNUMBER(H205)),F205-H205,""),"")</f>
        <v/>
      </c>
      <c r="J205" s="95" t="n"/>
      <c r="K205" s="125">
        <f>IFERROR(IF(H205&gt;0,H205*$C$7,""),"")</f>
        <v/>
      </c>
      <c r="L205" s="126">
        <f>IFERROR(IF(ISNUMBER(F205),F205-IF(ISNUMBER(K205),K205,0),""),"")</f>
        <v/>
      </c>
    </row>
    <row r="206" ht="24" customHeight="1" s="63">
      <c r="A206" s="78" t="n"/>
      <c r="B206" s="79" t="n"/>
      <c r="C206" s="80" t="n"/>
      <c r="D206" s="80" t="n"/>
      <c r="E206" s="115" t="n"/>
      <c r="F206" s="115" t="n"/>
      <c r="G206" s="116">
        <f>IFERROR(IF(E206&gt;0,(F206/E206)*1000,""),"")</f>
        <v/>
      </c>
      <c r="H206" s="117">
        <f>IFERROR(IF(E206&gt;0,E206*IF(ISNUMBER(J206),J206,IF(C206="Futures",$C$6,$C$5)),""),"")</f>
        <v/>
      </c>
      <c r="I206" s="118">
        <f>IFERROR(IF(AND(ISNUMBER(F206),ISNUMBER(H206)),F206-H206,""),"")</f>
        <v/>
      </c>
      <c r="J206" s="85" t="n"/>
      <c r="K206" s="119">
        <f>IFERROR(IF(H206&gt;0,H206*$C$7,""),"")</f>
        <v/>
      </c>
      <c r="L206" s="120">
        <f>IFERROR(IF(ISNUMBER(F206),F206-IF(ISNUMBER(K206),K206,0),""),"")</f>
        <v/>
      </c>
    </row>
    <row r="207" ht="24" customHeight="1" s="63">
      <c r="A207" s="88" t="n"/>
      <c r="B207" s="89" t="n"/>
      <c r="C207" s="90" t="n"/>
      <c r="D207" s="90" t="n"/>
      <c r="E207" s="121" t="n"/>
      <c r="F207" s="121" t="n"/>
      <c r="G207" s="122">
        <f>IFERROR(IF(E207&gt;0,(F207/E207)*1000,""),"")</f>
        <v/>
      </c>
      <c r="H207" s="123">
        <f>IFERROR(IF(E207&gt;0,E207*IF(ISNUMBER(J207),J207,IF(C207="Futures",$C$6,$C$5)),""),"")</f>
        <v/>
      </c>
      <c r="I207" s="124">
        <f>IFERROR(IF(AND(ISNUMBER(F207),ISNUMBER(H207)),F207-H207,""),"")</f>
        <v/>
      </c>
      <c r="J207" s="95" t="n"/>
      <c r="K207" s="125">
        <f>IFERROR(IF(H207&gt;0,H207*$C$7,""),"")</f>
        <v/>
      </c>
      <c r="L207" s="126">
        <f>IFERROR(IF(ISNUMBER(F207),F207-IF(ISNUMBER(K207),K207,0),""),"")</f>
        <v/>
      </c>
    </row>
    <row r="208" ht="24" customHeight="1" s="63">
      <c r="A208" s="78" t="n"/>
      <c r="B208" s="79" t="n"/>
      <c r="C208" s="80" t="n"/>
      <c r="D208" s="80" t="n"/>
      <c r="E208" s="115" t="n"/>
      <c r="F208" s="115" t="n"/>
      <c r="G208" s="116">
        <f>IFERROR(IF(E208&gt;0,(F208/E208)*1000,""),"")</f>
        <v/>
      </c>
      <c r="H208" s="117">
        <f>IFERROR(IF(E208&gt;0,E208*IF(ISNUMBER(J208),J208,IF(C208="Futures",$C$6,$C$5)),""),"")</f>
        <v/>
      </c>
      <c r="I208" s="118">
        <f>IFERROR(IF(AND(ISNUMBER(F208),ISNUMBER(H208)),F208-H208,""),"")</f>
        <v/>
      </c>
      <c r="J208" s="85" t="n"/>
      <c r="K208" s="119">
        <f>IFERROR(IF(H208&gt;0,H208*$C$7,""),"")</f>
        <v/>
      </c>
      <c r="L208" s="120">
        <f>IFERROR(IF(ISNUMBER(F208),F208-IF(ISNUMBER(K208),K208,0),""),"")</f>
        <v/>
      </c>
    </row>
    <row r="209" ht="24" customHeight="1" s="63">
      <c r="A209" s="88" t="n"/>
      <c r="B209" s="89" t="n"/>
      <c r="C209" s="90" t="n"/>
      <c r="D209" s="90" t="n"/>
      <c r="E209" s="121" t="n"/>
      <c r="F209" s="121" t="n"/>
      <c r="G209" s="122">
        <f>IFERROR(IF(E209&gt;0,(F209/E209)*1000,""),"")</f>
        <v/>
      </c>
      <c r="H209" s="123">
        <f>IFERROR(IF(E209&gt;0,E209*IF(ISNUMBER(J209),J209,IF(C209="Futures",$C$6,$C$5)),""),"")</f>
        <v/>
      </c>
      <c r="I209" s="124">
        <f>IFERROR(IF(AND(ISNUMBER(F209),ISNUMBER(H209)),F209-H209,""),"")</f>
        <v/>
      </c>
      <c r="J209" s="95" t="n"/>
      <c r="K209" s="125">
        <f>IFERROR(IF(H209&gt;0,H209*$C$7,""),"")</f>
        <v/>
      </c>
      <c r="L209" s="126">
        <f>IFERROR(IF(ISNUMBER(F209),F209-IF(ISNUMBER(K209),K209,0),""),"")</f>
        <v/>
      </c>
    </row>
    <row r="210" ht="24" customHeight="1" s="63">
      <c r="A210" s="78" t="n"/>
      <c r="B210" s="79" t="n"/>
      <c r="C210" s="80" t="n"/>
      <c r="D210" s="80" t="n"/>
      <c r="E210" s="115" t="n"/>
      <c r="F210" s="115" t="n"/>
      <c r="G210" s="116">
        <f>IFERROR(IF(E210&gt;0,(F210/E210)*1000,""),"")</f>
        <v/>
      </c>
      <c r="H210" s="117">
        <f>IFERROR(IF(E210&gt;0,E210*IF(ISNUMBER(J210),J210,IF(C210="Futures",$C$6,$C$5)),""),"")</f>
        <v/>
      </c>
      <c r="I210" s="118">
        <f>IFERROR(IF(AND(ISNUMBER(F210),ISNUMBER(H210)),F210-H210,""),"")</f>
        <v/>
      </c>
      <c r="J210" s="85" t="n"/>
      <c r="K210" s="119">
        <f>IFERROR(IF(H210&gt;0,H210*$C$7,""),"")</f>
        <v/>
      </c>
      <c r="L210" s="120">
        <f>IFERROR(IF(ISNUMBER(F210),F210-IF(ISNUMBER(K210),K210,0),""),"")</f>
        <v/>
      </c>
    </row>
    <row r="211" ht="24" customHeight="1" s="63">
      <c r="A211" s="88" t="n"/>
      <c r="B211" s="89" t="n"/>
      <c r="C211" s="90" t="n"/>
      <c r="D211" s="90" t="n"/>
      <c r="E211" s="121" t="n"/>
      <c r="F211" s="121" t="n"/>
      <c r="G211" s="122">
        <f>IFERROR(IF(E211&gt;0,(F211/E211)*1000,""),"")</f>
        <v/>
      </c>
      <c r="H211" s="123">
        <f>IFERROR(IF(E211&gt;0,E211*IF(ISNUMBER(J211),J211,IF(C211="Futures",$C$6,$C$5)),""),"")</f>
        <v/>
      </c>
      <c r="I211" s="124">
        <f>IFERROR(IF(AND(ISNUMBER(F211),ISNUMBER(H211)),F211-H211,""),"")</f>
        <v/>
      </c>
      <c r="J211" s="95" t="n"/>
      <c r="K211" s="125">
        <f>IFERROR(IF(H211&gt;0,H211*$C$7,""),"")</f>
        <v/>
      </c>
      <c r="L211" s="126">
        <f>IFERROR(IF(ISNUMBER(F211),F211-IF(ISNUMBER(K211),K211,0),""),"")</f>
        <v/>
      </c>
    </row>
    <row r="212" ht="24" customHeight="1" s="63">
      <c r="A212" s="78" t="n"/>
      <c r="B212" s="79" t="n"/>
      <c r="C212" s="80" t="n"/>
      <c r="D212" s="80" t="n"/>
      <c r="E212" s="115" t="n"/>
      <c r="F212" s="115" t="n"/>
      <c r="G212" s="116">
        <f>IFERROR(IF(E212&gt;0,(F212/E212)*1000,""),"")</f>
        <v/>
      </c>
      <c r="H212" s="117">
        <f>IFERROR(IF(E212&gt;0,E212*IF(ISNUMBER(J212),J212,IF(C212="Futures",$C$6,$C$5)),""),"")</f>
        <v/>
      </c>
      <c r="I212" s="118">
        <f>IFERROR(IF(AND(ISNUMBER(F212),ISNUMBER(H212)),F212-H212,""),"")</f>
        <v/>
      </c>
      <c r="J212" s="85" t="n"/>
      <c r="K212" s="119">
        <f>IFERROR(IF(H212&gt;0,H212*$C$7,""),"")</f>
        <v/>
      </c>
      <c r="L212" s="120">
        <f>IFERROR(IF(ISNUMBER(F212),F212-IF(ISNUMBER(K212),K212,0),""),"")</f>
        <v/>
      </c>
    </row>
    <row r="213" ht="24" customHeight="1" s="63">
      <c r="A213" s="88" t="n"/>
      <c r="B213" s="89" t="n"/>
      <c r="C213" s="90" t="n"/>
      <c r="D213" s="90" t="n"/>
      <c r="E213" s="121" t="n"/>
      <c r="F213" s="121" t="n"/>
      <c r="G213" s="122">
        <f>IFERROR(IF(E213&gt;0,(F213/E213)*1000,""),"")</f>
        <v/>
      </c>
      <c r="H213" s="123">
        <f>IFERROR(IF(E213&gt;0,E213*IF(ISNUMBER(J213),J213,IF(C213="Futures",$C$6,$C$5)),""),"")</f>
        <v/>
      </c>
      <c r="I213" s="124">
        <f>IFERROR(IF(AND(ISNUMBER(F213),ISNUMBER(H213)),F213-H213,""),"")</f>
        <v/>
      </c>
      <c r="J213" s="95" t="n"/>
      <c r="K213" s="125">
        <f>IFERROR(IF(H213&gt;0,H213*$C$7,""),"")</f>
        <v/>
      </c>
      <c r="L213" s="126">
        <f>IFERROR(IF(ISNUMBER(F213),F213-IF(ISNUMBER(K213),K213,0),""),"")</f>
        <v/>
      </c>
    </row>
    <row r="214" ht="24" customHeight="1" s="63">
      <c r="A214" s="78" t="n"/>
      <c r="B214" s="79" t="n"/>
      <c r="C214" s="80" t="n"/>
      <c r="D214" s="80" t="n"/>
      <c r="E214" s="115" t="n"/>
      <c r="F214" s="115" t="n"/>
      <c r="G214" s="116">
        <f>IFERROR(IF(E214&gt;0,(F214/E214)*1000,""),"")</f>
        <v/>
      </c>
      <c r="H214" s="117">
        <f>IFERROR(IF(E214&gt;0,E214*IF(ISNUMBER(J214),J214,IF(C214="Futures",$C$6,$C$5)),""),"")</f>
        <v/>
      </c>
      <c r="I214" s="118">
        <f>IFERROR(IF(AND(ISNUMBER(F214),ISNUMBER(H214)),F214-H214,""),"")</f>
        <v/>
      </c>
      <c r="J214" s="85" t="n"/>
      <c r="K214" s="119">
        <f>IFERROR(IF(H214&gt;0,H214*$C$7,""),"")</f>
        <v/>
      </c>
      <c r="L214" s="120">
        <f>IFERROR(IF(ISNUMBER(F214),F214-IF(ISNUMBER(K214),K214,0),""),"")</f>
        <v/>
      </c>
    </row>
    <row r="215" ht="24" customHeight="1" s="63">
      <c r="A215" s="88" t="n"/>
      <c r="B215" s="89" t="n"/>
      <c r="C215" s="90" t="n"/>
      <c r="D215" s="90" t="n"/>
      <c r="E215" s="121" t="n"/>
      <c r="F215" s="121" t="n"/>
      <c r="G215" s="122">
        <f>IFERROR(IF(E215&gt;0,(F215/E215)*1000,""),"")</f>
        <v/>
      </c>
      <c r="H215" s="123">
        <f>IFERROR(IF(E215&gt;0,E215*IF(ISNUMBER(J215),J215,IF(C215="Futures",$C$6,$C$5)),""),"")</f>
        <v/>
      </c>
      <c r="I215" s="124">
        <f>IFERROR(IF(AND(ISNUMBER(F215),ISNUMBER(H215)),F215-H215,""),"")</f>
        <v/>
      </c>
      <c r="J215" s="95" t="n"/>
      <c r="K215" s="125">
        <f>IFERROR(IF(H215&gt;0,H215*$C$7,""),"")</f>
        <v/>
      </c>
      <c r="L215" s="126">
        <f>IFERROR(IF(ISNUMBER(F215),F215-IF(ISNUMBER(K215),K215,0),""),"")</f>
        <v/>
      </c>
    </row>
    <row r="216" ht="24" customHeight="1" s="63">
      <c r="A216" s="78" t="n"/>
      <c r="B216" s="79" t="n"/>
      <c r="C216" s="80" t="n"/>
      <c r="D216" s="80" t="n"/>
      <c r="E216" s="115" t="n"/>
      <c r="F216" s="115" t="n"/>
      <c r="G216" s="116">
        <f>IFERROR(IF(E216&gt;0,(F216/E216)*1000,""),"")</f>
        <v/>
      </c>
      <c r="H216" s="117">
        <f>IFERROR(IF(E216&gt;0,E216*IF(ISNUMBER(J216),J216,IF(C216="Futures",$C$6,$C$5)),""),"")</f>
        <v/>
      </c>
      <c r="I216" s="118">
        <f>IFERROR(IF(AND(ISNUMBER(F216),ISNUMBER(H216)),F216-H216,""),"")</f>
        <v/>
      </c>
      <c r="J216" s="85" t="n"/>
      <c r="K216" s="119">
        <f>IFERROR(IF(H216&gt;0,H216*$C$7,""),"")</f>
        <v/>
      </c>
      <c r="L216" s="120">
        <f>IFERROR(IF(ISNUMBER(F216),F216-IF(ISNUMBER(K216),K216,0),""),"")</f>
        <v/>
      </c>
    </row>
    <row r="217" ht="24" customHeight="1" s="63">
      <c r="A217" s="88" t="n"/>
      <c r="B217" s="89" t="n"/>
      <c r="C217" s="90" t="n"/>
      <c r="D217" s="90" t="n"/>
      <c r="E217" s="121" t="n"/>
      <c r="F217" s="121" t="n"/>
      <c r="G217" s="122">
        <f>IFERROR(IF(E217&gt;0,(F217/E217)*1000,""),"")</f>
        <v/>
      </c>
      <c r="H217" s="123">
        <f>IFERROR(IF(E217&gt;0,E217*IF(ISNUMBER(J217),J217,IF(C217="Futures",$C$6,$C$5)),""),"")</f>
        <v/>
      </c>
      <c r="I217" s="124">
        <f>IFERROR(IF(AND(ISNUMBER(F217),ISNUMBER(H217)),F217-H217,""),"")</f>
        <v/>
      </c>
      <c r="J217" s="95" t="n"/>
      <c r="K217" s="125">
        <f>IFERROR(IF(H217&gt;0,H217*$C$7,""),"")</f>
        <v/>
      </c>
      <c r="L217" s="126">
        <f>IFERROR(IF(ISNUMBER(F217),F217-IF(ISNUMBER(K217),K217,0),""),"")</f>
        <v/>
      </c>
    </row>
    <row r="218" ht="24" customHeight="1" s="63">
      <c r="A218" s="78" t="n"/>
      <c r="B218" s="79" t="n"/>
      <c r="C218" s="80" t="n"/>
      <c r="D218" s="80" t="n"/>
      <c r="E218" s="115" t="n"/>
      <c r="F218" s="115" t="n"/>
      <c r="G218" s="116">
        <f>IFERROR(IF(E218&gt;0,(F218/E218)*1000,""),"")</f>
        <v/>
      </c>
      <c r="H218" s="117">
        <f>IFERROR(IF(E218&gt;0,E218*IF(ISNUMBER(J218),J218,IF(C218="Futures",$C$6,$C$5)),""),"")</f>
        <v/>
      </c>
      <c r="I218" s="118">
        <f>IFERROR(IF(AND(ISNUMBER(F218),ISNUMBER(H218)),F218-H218,""),"")</f>
        <v/>
      </c>
      <c r="J218" s="85" t="n"/>
      <c r="K218" s="119">
        <f>IFERROR(IF(H218&gt;0,H218*$C$7,""),"")</f>
        <v/>
      </c>
      <c r="L218" s="120">
        <f>IFERROR(IF(ISNUMBER(F218),F218-IF(ISNUMBER(K218),K218,0),""),"")</f>
        <v/>
      </c>
    </row>
    <row r="219" ht="24" customHeight="1" s="63">
      <c r="A219" s="88" t="n"/>
      <c r="B219" s="89" t="n"/>
      <c r="C219" s="90" t="n"/>
      <c r="D219" s="90" t="n"/>
      <c r="E219" s="121" t="n"/>
      <c r="F219" s="121" t="n"/>
      <c r="G219" s="122">
        <f>IFERROR(IF(E219&gt;0,(F219/E219)*1000,""),"")</f>
        <v/>
      </c>
      <c r="H219" s="123">
        <f>IFERROR(IF(E219&gt;0,E219*IF(ISNUMBER(J219),J219,IF(C219="Futures",$C$6,$C$5)),""),"")</f>
        <v/>
      </c>
      <c r="I219" s="124">
        <f>IFERROR(IF(AND(ISNUMBER(F219),ISNUMBER(H219)),F219-H219,""),"")</f>
        <v/>
      </c>
      <c r="J219" s="95" t="n"/>
      <c r="K219" s="125">
        <f>IFERROR(IF(H219&gt;0,H219*$C$7,""),"")</f>
        <v/>
      </c>
      <c r="L219" s="126">
        <f>IFERROR(IF(ISNUMBER(F219),F219-IF(ISNUMBER(K219),K219,0),""),"")</f>
        <v/>
      </c>
    </row>
    <row r="220" ht="24" customHeight="1" s="63">
      <c r="A220" s="78" t="n"/>
      <c r="B220" s="79" t="n"/>
      <c r="C220" s="80" t="n"/>
      <c r="D220" s="80" t="n"/>
      <c r="E220" s="115" t="n"/>
      <c r="F220" s="115" t="n"/>
      <c r="G220" s="116">
        <f>IFERROR(IF(E220&gt;0,(F220/E220)*1000,""),"")</f>
        <v/>
      </c>
      <c r="H220" s="117">
        <f>IFERROR(IF(E220&gt;0,E220*IF(ISNUMBER(J220),J220,IF(C220="Futures",$C$6,$C$5)),""),"")</f>
        <v/>
      </c>
      <c r="I220" s="118">
        <f>IFERROR(IF(AND(ISNUMBER(F220),ISNUMBER(H220)),F220-H220,""),"")</f>
        <v/>
      </c>
      <c r="J220" s="85" t="n"/>
      <c r="K220" s="119">
        <f>IFERROR(IF(H220&gt;0,H220*$C$7,""),"")</f>
        <v/>
      </c>
      <c r="L220" s="120">
        <f>IFERROR(IF(ISNUMBER(F220),F220-IF(ISNUMBER(K220),K220,0),""),"")</f>
        <v/>
      </c>
    </row>
    <row r="221" ht="24" customHeight="1" s="63">
      <c r="A221" s="98" t="n"/>
      <c r="B221" s="98" t="n"/>
      <c r="C221" s="98" t="n"/>
      <c r="D221" s="98" t="n"/>
      <c r="E221" s="127" t="n"/>
      <c r="F221" s="127" t="n"/>
      <c r="G221" s="128">
        <f>IFERROR(IF(E221&gt;0,(F221/E221)*1000,""),"")</f>
        <v/>
      </c>
      <c r="H221" s="129">
        <f>IFERROR(IF(E221&gt;0,E221*IF(ISNUMBER(J221),J221,IF(C221="Futures",$C$6,$C$5)),""),"")</f>
        <v/>
      </c>
      <c r="I221" s="130">
        <f>IFERROR(IF(AND(ISNUMBER(F221),ISNUMBER(H221)),F221-H221,""),"")</f>
        <v/>
      </c>
      <c r="J221" s="103" t="n"/>
      <c r="K221" s="131">
        <f>IFERROR(IF(H221&gt;0,H221*$C$7,""),"")</f>
        <v/>
      </c>
      <c r="L221" s="132">
        <f>IFERROR(IF(ISNUMBER(F221),F221-IF(ISNUMBER(K221),K221,0),""),"")</f>
        <v/>
      </c>
    </row>
    <row r="222" ht="24" customHeight="1" s="63">
      <c r="A222" s="98" t="n"/>
      <c r="B222" s="98" t="n"/>
      <c r="C222" s="98" t="n"/>
      <c r="D222" s="98" t="n"/>
      <c r="E222" s="127" t="n"/>
      <c r="F222" s="127" t="n"/>
      <c r="G222" s="128">
        <f>IFERROR(IF(E222&gt;0,(F222/E222)*1000,""),"")</f>
        <v/>
      </c>
      <c r="H222" s="129">
        <f>IFERROR(IF(E222&gt;0,E222*IF(ISNUMBER(J222),J222,IF(C222="Futures",$C$6,$C$5)),""),"")</f>
        <v/>
      </c>
      <c r="I222" s="130">
        <f>IFERROR(IF(AND(ISNUMBER(F222),ISNUMBER(H222)),F222-H222,""),"")</f>
        <v/>
      </c>
      <c r="J222" s="103" t="n"/>
      <c r="K222" s="131">
        <f>IFERROR(IF(H222&gt;0,H222*$C$7,""),"")</f>
        <v/>
      </c>
      <c r="L222" s="132">
        <f>IFERROR(IF(ISNUMBER(F222),F222-IF(ISNUMBER(K222),K222,0),""),"")</f>
        <v/>
      </c>
    </row>
    <row r="223" ht="24" customHeight="1" s="63">
      <c r="A223" s="98" t="n"/>
      <c r="B223" s="98" t="n"/>
      <c r="C223" s="98" t="n"/>
      <c r="D223" s="98" t="n"/>
      <c r="E223" s="127" t="n"/>
      <c r="F223" s="127" t="n"/>
      <c r="G223" s="128">
        <f>IFERROR(IF(E223&gt;0,(F223/E223)*1000,""),"")</f>
        <v/>
      </c>
      <c r="H223" s="129">
        <f>IFERROR(IF(E223&gt;0,E223*IF(ISNUMBER(J223),J223,IF(C223="Futures",$C$6,$C$5)),""),"")</f>
        <v/>
      </c>
      <c r="I223" s="130">
        <f>IFERROR(IF(AND(ISNUMBER(F223),ISNUMBER(H223)),F223-H223,""),"")</f>
        <v/>
      </c>
      <c r="J223" s="103" t="n"/>
      <c r="K223" s="131">
        <f>IFERROR(IF(H223&gt;0,H223*$C$7,""),"")</f>
        <v/>
      </c>
      <c r="L223" s="132">
        <f>IFERROR(IF(ISNUMBER(F223),F223-IF(ISNUMBER(K223),K223,0),""),"")</f>
        <v/>
      </c>
    </row>
    <row r="224" ht="24" customHeight="1" s="63">
      <c r="A224" s="98" t="n"/>
      <c r="B224" s="98" t="n"/>
      <c r="C224" s="98" t="n"/>
      <c r="D224" s="98" t="n"/>
      <c r="E224" s="127" t="n"/>
      <c r="F224" s="127" t="n"/>
      <c r="G224" s="128">
        <f>IFERROR(IF(E224&gt;0,(F224/E224)*1000,""),"")</f>
        <v/>
      </c>
      <c r="H224" s="129">
        <f>IFERROR(IF(E224&gt;0,E224*IF(ISNUMBER(J224),J224,IF(C224="Futures",$C$6,$C$5)),""),"")</f>
        <v/>
      </c>
      <c r="I224" s="130">
        <f>IFERROR(IF(AND(ISNUMBER(F224),ISNUMBER(H224)),F224-H224,""),"")</f>
        <v/>
      </c>
      <c r="J224" s="103" t="n"/>
      <c r="K224" s="131">
        <f>IFERROR(IF(H224&gt;0,H224*$C$7,""),"")</f>
        <v/>
      </c>
      <c r="L224" s="132">
        <f>IFERROR(IF(ISNUMBER(F224),F224-IF(ISNUMBER(K224),K224,0),""),"")</f>
        <v/>
      </c>
    </row>
    <row r="225" ht="24" customHeight="1" s="63">
      <c r="A225" s="98" t="n"/>
      <c r="B225" s="98" t="n"/>
      <c r="C225" s="98" t="n"/>
      <c r="D225" s="98" t="n"/>
      <c r="E225" s="127" t="n"/>
      <c r="F225" s="127" t="n"/>
      <c r="G225" s="128">
        <f>IFERROR(IF(E225&gt;0,(F225/E225)*1000,""),"")</f>
        <v/>
      </c>
      <c r="H225" s="129">
        <f>IFERROR(IF(E225&gt;0,E225*IF(ISNUMBER(J225),J225,IF(C225="Futures",$C$6,$C$5)),""),"")</f>
        <v/>
      </c>
      <c r="I225" s="130">
        <f>IFERROR(IF(AND(ISNUMBER(F225),ISNUMBER(H225)),F225-H225,""),"")</f>
        <v/>
      </c>
      <c r="J225" s="103" t="n"/>
      <c r="K225" s="131">
        <f>IFERROR(IF(H225&gt;0,H225*$C$7,""),"")</f>
        <v/>
      </c>
      <c r="L225" s="132">
        <f>IFERROR(IF(ISNUMBER(F225),F225-IF(ISNUMBER(K225),K225,0),""),"")</f>
        <v/>
      </c>
    </row>
    <row r="226" ht="24" customHeight="1" s="63">
      <c r="A226" s="98" t="n"/>
      <c r="B226" s="98" t="n"/>
      <c r="C226" s="98" t="n"/>
      <c r="D226" s="98" t="n"/>
      <c r="E226" s="127" t="n"/>
      <c r="F226" s="127" t="n"/>
      <c r="G226" s="128">
        <f>IFERROR(IF(E226&gt;0,(F226/E226)*1000,""),"")</f>
        <v/>
      </c>
      <c r="H226" s="129">
        <f>IFERROR(IF(E226&gt;0,E226*IF(ISNUMBER(J226),J226,IF(C226="Futures",$C$6,$C$5)),""),"")</f>
        <v/>
      </c>
      <c r="I226" s="130">
        <f>IFERROR(IF(AND(ISNUMBER(F226),ISNUMBER(H226)),F226-H226,""),"")</f>
        <v/>
      </c>
      <c r="J226" s="103" t="n"/>
      <c r="K226" s="131">
        <f>IFERROR(IF(H226&gt;0,H226*$C$7,""),"")</f>
        <v/>
      </c>
      <c r="L226" s="132">
        <f>IFERROR(IF(ISNUMBER(F226),F226-IF(ISNUMBER(K226),K226,0),""),"")</f>
        <v/>
      </c>
    </row>
    <row r="227" ht="24" customHeight="1" s="63">
      <c r="A227" s="98" t="n"/>
      <c r="B227" s="98" t="n"/>
      <c r="C227" s="98" t="n"/>
      <c r="D227" s="98" t="n"/>
      <c r="E227" s="127" t="n"/>
      <c r="F227" s="127" t="n"/>
      <c r="G227" s="128">
        <f>IFERROR(IF(E227&gt;0,(F227/E227)*1000,""),"")</f>
        <v/>
      </c>
      <c r="H227" s="129">
        <f>IFERROR(IF(E227&gt;0,E227*IF(ISNUMBER(J227),J227,IF(C227="Futures",$C$6,$C$5)),""),"")</f>
        <v/>
      </c>
      <c r="I227" s="130">
        <f>IFERROR(IF(AND(ISNUMBER(F227),ISNUMBER(H227)),F227-H227,""),"")</f>
        <v/>
      </c>
      <c r="J227" s="103" t="n"/>
      <c r="K227" s="131">
        <f>IFERROR(IF(H227&gt;0,H227*$C$7,""),"")</f>
        <v/>
      </c>
      <c r="L227" s="132">
        <f>IFERROR(IF(ISNUMBER(F227),F227-IF(ISNUMBER(K227),K227,0),""),"")</f>
        <v/>
      </c>
    </row>
    <row r="228" ht="24" customHeight="1" s="63">
      <c r="A228" s="98" t="n"/>
      <c r="B228" s="98" t="n"/>
      <c r="C228" s="98" t="n"/>
      <c r="D228" s="98" t="n"/>
      <c r="E228" s="127" t="n"/>
      <c r="F228" s="127" t="n"/>
      <c r="G228" s="128">
        <f>IFERROR(IF(E228&gt;0,(F228/E228)*1000,""),"")</f>
        <v/>
      </c>
      <c r="H228" s="129">
        <f>IFERROR(IF(E228&gt;0,E228*IF(ISNUMBER(J228),J228,IF(C228="Futures",$C$6,$C$5)),""),"")</f>
        <v/>
      </c>
      <c r="I228" s="130">
        <f>IFERROR(IF(AND(ISNUMBER(F228),ISNUMBER(H228)),F228-H228,""),"")</f>
        <v/>
      </c>
      <c r="J228" s="103" t="n"/>
      <c r="K228" s="131">
        <f>IFERROR(IF(H228&gt;0,H228*$C$7,""),"")</f>
        <v/>
      </c>
      <c r="L228" s="132">
        <f>IFERROR(IF(ISNUMBER(F228),F228-IF(ISNUMBER(K228),K228,0),""),"")</f>
        <v/>
      </c>
    </row>
    <row r="229" ht="24" customHeight="1" s="63">
      <c r="A229" s="98" t="n"/>
      <c r="B229" s="98" t="n"/>
      <c r="C229" s="98" t="n"/>
      <c r="D229" s="98" t="n"/>
      <c r="E229" s="127" t="n"/>
      <c r="F229" s="127" t="n"/>
      <c r="G229" s="128">
        <f>IFERROR(IF(E229&gt;0,(F229/E229)*1000,""),"")</f>
        <v/>
      </c>
      <c r="H229" s="129">
        <f>IFERROR(IF(E229&gt;0,E229*IF(ISNUMBER(J229),J229,IF(C229="Futures",$C$6,$C$5)),""),"")</f>
        <v/>
      </c>
      <c r="I229" s="130">
        <f>IFERROR(IF(AND(ISNUMBER(F229),ISNUMBER(H229)),F229-H229,""),"")</f>
        <v/>
      </c>
      <c r="J229" s="103" t="n"/>
      <c r="K229" s="131">
        <f>IFERROR(IF(H229&gt;0,H229*$C$7,""),"")</f>
        <v/>
      </c>
      <c r="L229" s="132">
        <f>IFERROR(IF(ISNUMBER(F229),F229-IF(ISNUMBER(K229),K229,0),""),"")</f>
        <v/>
      </c>
    </row>
    <row r="230" ht="24" customHeight="1" s="63">
      <c r="A230" s="98" t="n"/>
      <c r="B230" s="98" t="n"/>
      <c r="C230" s="98" t="n"/>
      <c r="D230" s="98" t="n"/>
      <c r="E230" s="127" t="n"/>
      <c r="F230" s="127" t="n"/>
      <c r="G230" s="128">
        <f>IFERROR(IF(E230&gt;0,(F230/E230)*1000,""),"")</f>
        <v/>
      </c>
      <c r="H230" s="129">
        <f>IFERROR(IF(E230&gt;0,E230*IF(ISNUMBER(J230),J230,IF(C230="Futures",$C$6,$C$5)),""),"")</f>
        <v/>
      </c>
      <c r="I230" s="130">
        <f>IFERROR(IF(AND(ISNUMBER(F230),ISNUMBER(H230)),F230-H230,""),"")</f>
        <v/>
      </c>
      <c r="J230" s="103" t="n"/>
      <c r="K230" s="131">
        <f>IFERROR(IF(H230&gt;0,H230*$C$7,""),"")</f>
        <v/>
      </c>
      <c r="L230" s="132">
        <f>IFERROR(IF(ISNUMBER(F230),F230-IF(ISNUMBER(K230),K230,0),""),"")</f>
        <v/>
      </c>
    </row>
    <row r="231" ht="24" customHeight="1" s="63">
      <c r="A231" s="98" t="n"/>
      <c r="B231" s="98" t="n"/>
      <c r="C231" s="98" t="n"/>
      <c r="D231" s="98" t="n"/>
      <c r="E231" s="127" t="n"/>
      <c r="F231" s="127" t="n"/>
      <c r="G231" s="128">
        <f>IFERROR(IF(E231&gt;0,(F231/E231)*1000,""),"")</f>
        <v/>
      </c>
      <c r="H231" s="129">
        <f>IFERROR(IF(E231&gt;0,E231*IF(ISNUMBER(J231),J231,IF(C231="Futures",$C$6,$C$5)),""),"")</f>
        <v/>
      </c>
      <c r="I231" s="130">
        <f>IFERROR(IF(AND(ISNUMBER(F231),ISNUMBER(H231)),F231-H231,""),"")</f>
        <v/>
      </c>
      <c r="J231" s="103" t="n"/>
      <c r="K231" s="131">
        <f>IFERROR(IF(H231&gt;0,H231*$C$7,""),"")</f>
        <v/>
      </c>
      <c r="L231" s="132">
        <f>IFERROR(IF(ISNUMBER(F231),F231-IF(ISNUMBER(K231),K231,0),""),"")</f>
        <v/>
      </c>
    </row>
    <row r="232" ht="24" customHeight="1" s="63">
      <c r="A232" s="98" t="n"/>
      <c r="B232" s="98" t="n"/>
      <c r="C232" s="98" t="n"/>
      <c r="D232" s="98" t="n"/>
      <c r="E232" s="127" t="n"/>
      <c r="F232" s="127" t="n"/>
      <c r="G232" s="128">
        <f>IFERROR(IF(E232&gt;0,(F232/E232)*1000,""),"")</f>
        <v/>
      </c>
      <c r="H232" s="129">
        <f>IFERROR(IF(E232&gt;0,E232*IF(ISNUMBER(J232),J232,IF(C232="Futures",$C$6,$C$5)),""),"")</f>
        <v/>
      </c>
      <c r="I232" s="130">
        <f>IFERROR(IF(AND(ISNUMBER(F232),ISNUMBER(H232)),F232-H232,""),"")</f>
        <v/>
      </c>
      <c r="J232" s="103" t="n"/>
      <c r="K232" s="131">
        <f>IFERROR(IF(H232&gt;0,H232*$C$7,""),"")</f>
        <v/>
      </c>
      <c r="L232" s="132">
        <f>IFERROR(IF(ISNUMBER(F232),F232-IF(ISNUMBER(K232),K232,0),""),"")</f>
        <v/>
      </c>
    </row>
    <row r="233" ht="24" customHeight="1" s="63">
      <c r="A233" s="98" t="n"/>
      <c r="B233" s="98" t="n"/>
      <c r="C233" s="98" t="n"/>
      <c r="D233" s="98" t="n"/>
      <c r="E233" s="127" t="n"/>
      <c r="F233" s="127" t="n"/>
      <c r="G233" s="128">
        <f>IFERROR(IF(E233&gt;0,(F233/E233)*1000,""),"")</f>
        <v/>
      </c>
      <c r="H233" s="129">
        <f>IFERROR(IF(E233&gt;0,E233*IF(ISNUMBER(J233),J233,IF(C233="Futures",$C$6,$C$5)),""),"")</f>
        <v/>
      </c>
      <c r="I233" s="130">
        <f>IFERROR(IF(AND(ISNUMBER(F233),ISNUMBER(H233)),F233-H233,""),"")</f>
        <v/>
      </c>
      <c r="J233" s="103" t="n"/>
      <c r="K233" s="131">
        <f>IFERROR(IF(H233&gt;0,H233*$C$7,""),"")</f>
        <v/>
      </c>
      <c r="L233" s="132">
        <f>IFERROR(IF(ISNUMBER(F233),F233-IF(ISNUMBER(K233),K233,0),""),"")</f>
        <v/>
      </c>
    </row>
    <row r="234" ht="24" customHeight="1" s="63">
      <c r="A234" s="98" t="n"/>
      <c r="B234" s="98" t="n"/>
      <c r="C234" s="98" t="n"/>
      <c r="D234" s="98" t="n"/>
      <c r="E234" s="127" t="n"/>
      <c r="F234" s="127" t="n"/>
      <c r="G234" s="128">
        <f>IFERROR(IF(E234&gt;0,(F234/E234)*1000,""),"")</f>
        <v/>
      </c>
      <c r="H234" s="129">
        <f>IFERROR(IF(E234&gt;0,E234*IF(ISNUMBER(J234),J234,IF(C234="Futures",$C$6,$C$5)),""),"")</f>
        <v/>
      </c>
      <c r="I234" s="130">
        <f>IFERROR(IF(AND(ISNUMBER(F234),ISNUMBER(H234)),F234-H234,""),"")</f>
        <v/>
      </c>
      <c r="J234" s="103" t="n"/>
      <c r="K234" s="131">
        <f>IFERROR(IF(H234&gt;0,H234*$C$7,""),"")</f>
        <v/>
      </c>
      <c r="L234" s="132">
        <f>IFERROR(IF(ISNUMBER(F234),F234-IF(ISNUMBER(K234),K234,0),""),"")</f>
        <v/>
      </c>
    </row>
    <row r="235" ht="24" customHeight="1" s="63">
      <c r="A235" s="98" t="n"/>
      <c r="B235" s="98" t="n"/>
      <c r="C235" s="98" t="n"/>
      <c r="D235" s="98" t="n"/>
      <c r="E235" s="127" t="n"/>
      <c r="F235" s="127" t="n"/>
      <c r="G235" s="128">
        <f>IFERROR(IF(E235&gt;0,(F235/E235)*1000,""),"")</f>
        <v/>
      </c>
      <c r="H235" s="129">
        <f>IFERROR(IF(E235&gt;0,E235*IF(ISNUMBER(J235),J235,IF(C235="Futures",$C$6,$C$5)),""),"")</f>
        <v/>
      </c>
      <c r="I235" s="130">
        <f>IFERROR(IF(AND(ISNUMBER(F235),ISNUMBER(H235)),F235-H235,""),"")</f>
        <v/>
      </c>
      <c r="J235" s="103" t="n"/>
      <c r="K235" s="131">
        <f>IFERROR(IF(H235&gt;0,H235*$C$7,""),"")</f>
        <v/>
      </c>
      <c r="L235" s="132">
        <f>IFERROR(IF(ISNUMBER(F235),F235-IF(ISNUMBER(K235),K235,0),""),"")</f>
        <v/>
      </c>
    </row>
    <row r="236" ht="24" customHeight="1" s="63">
      <c r="A236" s="98" t="n"/>
      <c r="B236" s="98" t="n"/>
      <c r="C236" s="98" t="n"/>
      <c r="D236" s="98" t="n"/>
      <c r="E236" s="127" t="n"/>
      <c r="F236" s="127" t="n"/>
      <c r="G236" s="128">
        <f>IFERROR(IF(E236&gt;0,(F236/E236)*1000,""),"")</f>
        <v/>
      </c>
      <c r="H236" s="129">
        <f>IFERROR(IF(E236&gt;0,E236*IF(ISNUMBER(J236),J236,IF(C236="Futures",$C$6,$C$5)),""),"")</f>
        <v/>
      </c>
      <c r="I236" s="130">
        <f>IFERROR(IF(AND(ISNUMBER(F236),ISNUMBER(H236)),F236-H236,""),"")</f>
        <v/>
      </c>
      <c r="J236" s="103" t="n"/>
      <c r="K236" s="131">
        <f>IFERROR(IF(H236&gt;0,H236*$C$7,""),"")</f>
        <v/>
      </c>
      <c r="L236" s="132">
        <f>IFERROR(IF(ISNUMBER(F236),F236-IF(ISNUMBER(K236),K236,0),""),"")</f>
        <v/>
      </c>
    </row>
    <row r="237" ht="24" customHeight="1" s="63">
      <c r="A237" s="98" t="n"/>
      <c r="B237" s="98" t="n"/>
      <c r="C237" s="98" t="n"/>
      <c r="D237" s="98" t="n"/>
      <c r="E237" s="127" t="n"/>
      <c r="F237" s="127" t="n"/>
      <c r="G237" s="128">
        <f>IFERROR(IF(E237&gt;0,(F237/E237)*1000,""),"")</f>
        <v/>
      </c>
      <c r="H237" s="129">
        <f>IFERROR(IF(E237&gt;0,E237*IF(ISNUMBER(J237),J237,IF(C237="Futures",$C$6,$C$5)),""),"")</f>
        <v/>
      </c>
      <c r="I237" s="130">
        <f>IFERROR(IF(AND(ISNUMBER(F237),ISNUMBER(H237)),F237-H237,""),"")</f>
        <v/>
      </c>
      <c r="J237" s="103" t="n"/>
      <c r="K237" s="131">
        <f>IFERROR(IF(H237&gt;0,H237*$C$7,""),"")</f>
        <v/>
      </c>
      <c r="L237" s="132">
        <f>IFERROR(IF(ISNUMBER(F237),F237-IF(ISNUMBER(K237),K237,0),""),"")</f>
        <v/>
      </c>
    </row>
    <row r="238" ht="24" customHeight="1" s="63">
      <c r="A238" s="98" t="n"/>
      <c r="B238" s="98" t="n"/>
      <c r="C238" s="98" t="n"/>
      <c r="D238" s="98" t="n"/>
      <c r="E238" s="127" t="n"/>
      <c r="F238" s="127" t="n"/>
      <c r="G238" s="128">
        <f>IFERROR(IF(E238&gt;0,(F238/E238)*1000,""),"")</f>
        <v/>
      </c>
      <c r="H238" s="129">
        <f>IFERROR(IF(E238&gt;0,E238*IF(ISNUMBER(J238),J238,IF(C238="Futures",$C$6,$C$5)),""),"")</f>
        <v/>
      </c>
      <c r="I238" s="130">
        <f>IFERROR(IF(AND(ISNUMBER(F238),ISNUMBER(H238)),F238-H238,""),"")</f>
        <v/>
      </c>
      <c r="J238" s="103" t="n"/>
      <c r="K238" s="131">
        <f>IFERROR(IF(H238&gt;0,H238*$C$7,""),"")</f>
        <v/>
      </c>
      <c r="L238" s="132">
        <f>IFERROR(IF(ISNUMBER(F238),F238-IF(ISNUMBER(K238),K238,0),""),"")</f>
        <v/>
      </c>
    </row>
    <row r="239" ht="24" customHeight="1" s="63">
      <c r="A239" s="98" t="n"/>
      <c r="B239" s="98" t="n"/>
      <c r="C239" s="98" t="n"/>
      <c r="D239" s="98" t="n"/>
      <c r="E239" s="127" t="n"/>
      <c r="F239" s="127" t="n"/>
      <c r="G239" s="128">
        <f>IFERROR(IF(E239&gt;0,(F239/E239)*1000,""),"")</f>
        <v/>
      </c>
      <c r="H239" s="129">
        <f>IFERROR(IF(E239&gt;0,E239*IF(ISNUMBER(J239),J239,IF(C239="Futures",$C$6,$C$5)),""),"")</f>
        <v/>
      </c>
      <c r="I239" s="130">
        <f>IFERROR(IF(AND(ISNUMBER(F239),ISNUMBER(H239)),F239-H239,""),"")</f>
        <v/>
      </c>
      <c r="J239" s="103" t="n"/>
      <c r="K239" s="131">
        <f>IFERROR(IF(H239&gt;0,H239*$C$7,""),"")</f>
        <v/>
      </c>
      <c r="L239" s="132">
        <f>IFERROR(IF(ISNUMBER(F239),F239-IF(ISNUMBER(K239),K239,0),""),"")</f>
        <v/>
      </c>
    </row>
    <row r="240" ht="24" customHeight="1" s="63">
      <c r="A240" s="98" t="n"/>
      <c r="B240" s="98" t="n"/>
      <c r="C240" s="98" t="n"/>
      <c r="D240" s="98" t="n"/>
      <c r="E240" s="127" t="n"/>
      <c r="F240" s="127" t="n"/>
      <c r="G240" s="128">
        <f>IFERROR(IF(E240&gt;0,(F240/E240)*1000,""),"")</f>
        <v/>
      </c>
      <c r="H240" s="129">
        <f>IFERROR(IF(E240&gt;0,E240*IF(ISNUMBER(J240),J240,IF(C240="Futures",$C$6,$C$5)),""),"")</f>
        <v/>
      </c>
      <c r="I240" s="130">
        <f>IFERROR(IF(AND(ISNUMBER(F240),ISNUMBER(H240)),F240-H240,""),"")</f>
        <v/>
      </c>
      <c r="J240" s="103" t="n"/>
      <c r="K240" s="131">
        <f>IFERROR(IF(H240&gt;0,H240*$C$7,""),"")</f>
        <v/>
      </c>
      <c r="L240" s="132">
        <f>IFERROR(IF(ISNUMBER(F240),F240-IF(ISNUMBER(K240),K240,0),""),"")</f>
        <v/>
      </c>
    </row>
    <row r="241" ht="24" customHeight="1" s="63">
      <c r="A241" s="98" t="n"/>
      <c r="B241" s="98" t="n"/>
      <c r="C241" s="98" t="n"/>
      <c r="D241" s="98" t="n"/>
      <c r="E241" s="127" t="n"/>
      <c r="F241" s="127" t="n"/>
      <c r="G241" s="128">
        <f>IFERROR(IF(E241&gt;0,(F241/E241)*1000,""),"")</f>
        <v/>
      </c>
      <c r="H241" s="129">
        <f>IFERROR(IF(E241&gt;0,E241*IF(ISNUMBER(J241),J241,IF(C241="Futures",$C$6,$C$5)),""),"")</f>
        <v/>
      </c>
      <c r="I241" s="130">
        <f>IFERROR(IF(AND(ISNUMBER(F241),ISNUMBER(H241)),F241-H241,""),"")</f>
        <v/>
      </c>
      <c r="J241" s="103" t="n"/>
      <c r="K241" s="131">
        <f>IFERROR(IF(H241&gt;0,H241*$C$7,""),"")</f>
        <v/>
      </c>
      <c r="L241" s="132">
        <f>IFERROR(IF(ISNUMBER(F241),F241-IF(ISNUMBER(K241),K241,0),""),"")</f>
        <v/>
      </c>
    </row>
    <row r="242" ht="24" customHeight="1" s="63">
      <c r="A242" s="98" t="n"/>
      <c r="B242" s="98" t="n"/>
      <c r="C242" s="98" t="n"/>
      <c r="D242" s="98" t="n"/>
      <c r="E242" s="127" t="n"/>
      <c r="F242" s="127" t="n"/>
      <c r="G242" s="128">
        <f>IFERROR(IF(E242&gt;0,(F242/E242)*1000,""),"")</f>
        <v/>
      </c>
      <c r="H242" s="129">
        <f>IFERROR(IF(E242&gt;0,E242*IF(ISNUMBER(J242),J242,IF(C242="Futures",$C$6,$C$5)),""),"")</f>
        <v/>
      </c>
      <c r="I242" s="130">
        <f>IFERROR(IF(AND(ISNUMBER(F242),ISNUMBER(H242)),F242-H242,""),"")</f>
        <v/>
      </c>
      <c r="J242" s="103" t="n"/>
      <c r="K242" s="131">
        <f>IFERROR(IF(H242&gt;0,H242*$C$7,""),"")</f>
        <v/>
      </c>
      <c r="L242" s="132">
        <f>IFERROR(IF(ISNUMBER(F242),F242-IF(ISNUMBER(K242),K242,0),""),"")</f>
        <v/>
      </c>
    </row>
    <row r="243" ht="24" customHeight="1" s="63">
      <c r="A243" s="98" t="n"/>
      <c r="B243" s="98" t="n"/>
      <c r="C243" s="98" t="n"/>
      <c r="D243" s="98" t="n"/>
      <c r="E243" s="127" t="n"/>
      <c r="F243" s="127" t="n"/>
      <c r="G243" s="128">
        <f>IFERROR(IF(E243&gt;0,(F243/E243)*1000,""),"")</f>
        <v/>
      </c>
      <c r="H243" s="129">
        <f>IFERROR(IF(E243&gt;0,E243*IF(ISNUMBER(J243),J243,IF(C243="Futures",$C$6,$C$5)),""),"")</f>
        <v/>
      </c>
      <c r="I243" s="130">
        <f>IFERROR(IF(AND(ISNUMBER(F243),ISNUMBER(H243)),F243-H243,""),"")</f>
        <v/>
      </c>
      <c r="J243" s="103" t="n"/>
      <c r="K243" s="131">
        <f>IFERROR(IF(H243&gt;0,H243*$C$7,""),"")</f>
        <v/>
      </c>
      <c r="L243" s="132">
        <f>IFERROR(IF(ISNUMBER(F243),F243-IF(ISNUMBER(K243),K243,0),""),"")</f>
        <v/>
      </c>
    </row>
    <row r="244" ht="24" customHeight="1" s="63">
      <c r="A244" s="98" t="n"/>
      <c r="B244" s="98" t="n"/>
      <c r="C244" s="98" t="n"/>
      <c r="D244" s="98" t="n"/>
      <c r="E244" s="127" t="n"/>
      <c r="F244" s="127" t="n"/>
      <c r="G244" s="128">
        <f>IFERROR(IF(E244&gt;0,(F244/E244)*1000,""),"")</f>
        <v/>
      </c>
      <c r="H244" s="129">
        <f>IFERROR(IF(E244&gt;0,E244*IF(ISNUMBER(J244),J244,IF(C244="Futures",$C$6,$C$5)),""),"")</f>
        <v/>
      </c>
      <c r="I244" s="130">
        <f>IFERROR(IF(AND(ISNUMBER(F244),ISNUMBER(H244)),F244-H244,""),"")</f>
        <v/>
      </c>
      <c r="J244" s="103" t="n"/>
      <c r="K244" s="131">
        <f>IFERROR(IF(H244&gt;0,H244*$C$7,""),"")</f>
        <v/>
      </c>
      <c r="L244" s="132">
        <f>IFERROR(IF(ISNUMBER(F244),F244-IF(ISNUMBER(K244),K244,0),""),"")</f>
        <v/>
      </c>
    </row>
    <row r="245" ht="24" customHeight="1" s="63">
      <c r="A245" s="98" t="n"/>
      <c r="B245" s="98" t="n"/>
      <c r="C245" s="98" t="n"/>
      <c r="D245" s="98" t="n"/>
      <c r="E245" s="127" t="n"/>
      <c r="F245" s="127" t="n"/>
      <c r="G245" s="128">
        <f>IFERROR(IF(E245&gt;0,(F245/E245)*1000,""),"")</f>
        <v/>
      </c>
      <c r="H245" s="129">
        <f>IFERROR(IF(E245&gt;0,E245*IF(ISNUMBER(J245),J245,IF(C245="Futures",$C$6,$C$5)),""),"")</f>
        <v/>
      </c>
      <c r="I245" s="130">
        <f>IFERROR(IF(AND(ISNUMBER(F245),ISNUMBER(H245)),F245-H245,""),"")</f>
        <v/>
      </c>
      <c r="J245" s="103" t="n"/>
      <c r="K245" s="131">
        <f>IFERROR(IF(H245&gt;0,H245*$C$7,""),"")</f>
        <v/>
      </c>
      <c r="L245" s="132">
        <f>IFERROR(IF(ISNUMBER(F245),F245-IF(ISNUMBER(K245),K245,0),""),"")</f>
        <v/>
      </c>
    </row>
    <row r="246" ht="24" customHeight="1" s="63">
      <c r="A246" s="98" t="n"/>
      <c r="B246" s="98" t="n"/>
      <c r="C246" s="98" t="n"/>
      <c r="D246" s="98" t="n"/>
      <c r="E246" s="127" t="n"/>
      <c r="F246" s="127" t="n"/>
      <c r="G246" s="128">
        <f>IFERROR(IF(E246&gt;0,(F246/E246)*1000,""),"")</f>
        <v/>
      </c>
      <c r="H246" s="129">
        <f>IFERROR(IF(E246&gt;0,E246*IF(ISNUMBER(J246),J246,IF(C246="Futures",$C$6,$C$5)),""),"")</f>
        <v/>
      </c>
      <c r="I246" s="130">
        <f>IFERROR(IF(AND(ISNUMBER(F246),ISNUMBER(H246)),F246-H246,""),"")</f>
        <v/>
      </c>
      <c r="J246" s="103" t="n"/>
      <c r="K246" s="131">
        <f>IFERROR(IF(H246&gt;0,H246*$C$7,""),"")</f>
        <v/>
      </c>
      <c r="L246" s="132">
        <f>IFERROR(IF(ISNUMBER(F246),F246-IF(ISNUMBER(K246),K246,0),""),"")</f>
        <v/>
      </c>
    </row>
    <row r="247" ht="24" customHeight="1" s="63">
      <c r="A247" s="98" t="n"/>
      <c r="B247" s="98" t="n"/>
      <c r="C247" s="98" t="n"/>
      <c r="D247" s="98" t="n"/>
      <c r="E247" s="127" t="n"/>
      <c r="F247" s="127" t="n"/>
      <c r="G247" s="128">
        <f>IFERROR(IF(E247&gt;0,(F247/E247)*1000,""),"")</f>
        <v/>
      </c>
      <c r="H247" s="129">
        <f>IFERROR(IF(E247&gt;0,E247*IF(ISNUMBER(J247),J247,IF(C247="Futures",$C$6,$C$5)),""),"")</f>
        <v/>
      </c>
      <c r="I247" s="130">
        <f>IFERROR(IF(AND(ISNUMBER(F247),ISNUMBER(H247)),F247-H247,""),"")</f>
        <v/>
      </c>
      <c r="J247" s="103" t="n"/>
      <c r="K247" s="131">
        <f>IFERROR(IF(H247&gt;0,H247*$C$7,""),"")</f>
        <v/>
      </c>
      <c r="L247" s="132">
        <f>IFERROR(IF(ISNUMBER(F247),F247-IF(ISNUMBER(K247),K247,0),""),"")</f>
        <v/>
      </c>
    </row>
    <row r="248" ht="24" customHeight="1" s="63">
      <c r="A248" s="98" t="n"/>
      <c r="B248" s="98" t="n"/>
      <c r="C248" s="98" t="n"/>
      <c r="D248" s="98" t="n"/>
      <c r="E248" s="127" t="n"/>
      <c r="F248" s="127" t="n"/>
      <c r="G248" s="128">
        <f>IFERROR(IF(E248&gt;0,(F248/E248)*1000,""),"")</f>
        <v/>
      </c>
      <c r="H248" s="129">
        <f>IFERROR(IF(E248&gt;0,E248*IF(ISNUMBER(J248),J248,IF(C248="Futures",$C$6,$C$5)),""),"")</f>
        <v/>
      </c>
      <c r="I248" s="130">
        <f>IFERROR(IF(AND(ISNUMBER(F248),ISNUMBER(H248)),F248-H248,""),"")</f>
        <v/>
      </c>
      <c r="J248" s="103" t="n"/>
      <c r="K248" s="131">
        <f>IFERROR(IF(H248&gt;0,H248*$C$7,""),"")</f>
        <v/>
      </c>
      <c r="L248" s="132">
        <f>IFERROR(IF(ISNUMBER(F248),F248-IF(ISNUMBER(K248),K248,0),""),"")</f>
        <v/>
      </c>
    </row>
    <row r="249" ht="24" customHeight="1" s="63">
      <c r="A249" s="98" t="n"/>
      <c r="B249" s="98" t="n"/>
      <c r="C249" s="98" t="n"/>
      <c r="D249" s="98" t="n"/>
      <c r="E249" s="127" t="n"/>
      <c r="F249" s="127" t="n"/>
      <c r="G249" s="128">
        <f>IFERROR(IF(E249&gt;0,(F249/E249)*1000,""),"")</f>
        <v/>
      </c>
      <c r="H249" s="129">
        <f>IFERROR(IF(E249&gt;0,E249*IF(ISNUMBER(J249),J249,IF(C249="Futures",$C$6,$C$5)),""),"")</f>
        <v/>
      </c>
      <c r="I249" s="130">
        <f>IFERROR(IF(AND(ISNUMBER(F249),ISNUMBER(H249)),F249-H249,""),"")</f>
        <v/>
      </c>
      <c r="J249" s="103" t="n"/>
      <c r="K249" s="131">
        <f>IFERROR(IF(H249&gt;0,H249*$C$7,""),"")</f>
        <v/>
      </c>
      <c r="L249" s="132">
        <f>IFERROR(IF(ISNUMBER(F249),F249-IF(ISNUMBER(K249),K249,0),""),"")</f>
        <v/>
      </c>
    </row>
    <row r="250" ht="24" customHeight="1" s="63">
      <c r="A250" s="98" t="n"/>
      <c r="B250" s="98" t="n"/>
      <c r="C250" s="98" t="n"/>
      <c r="D250" s="98" t="n"/>
      <c r="E250" s="127" t="n"/>
      <c r="F250" s="127" t="n"/>
      <c r="G250" s="128">
        <f>IFERROR(IF(E250&gt;0,(F250/E250)*1000,""),"")</f>
        <v/>
      </c>
      <c r="H250" s="129">
        <f>IFERROR(IF(E250&gt;0,E250*IF(ISNUMBER(J250),J250,IF(C250="Futures",$C$6,$C$5)),""),"")</f>
        <v/>
      </c>
      <c r="I250" s="130">
        <f>IFERROR(IF(AND(ISNUMBER(F250),ISNUMBER(H250)),F250-H250,""),"")</f>
        <v/>
      </c>
      <c r="J250" s="103" t="n"/>
      <c r="K250" s="131">
        <f>IFERROR(IF(H250&gt;0,H250*$C$7,""),"")</f>
        <v/>
      </c>
      <c r="L250" s="132">
        <f>IFERROR(IF(ISNUMBER(F250),F250-IF(ISNUMBER(K250),K250,0),""),"")</f>
        <v/>
      </c>
    </row>
    <row r="251" ht="24" customHeight="1" s="63">
      <c r="A251" s="40" t="n"/>
      <c r="B251" s="40" t="n"/>
      <c r="C251" s="40" t="n"/>
      <c r="D251" s="40" t="n"/>
      <c r="E251" s="133" t="n"/>
      <c r="F251" s="133" t="n"/>
      <c r="G251" s="134">
        <f>IFERROR(IF(E251&gt;0,(F251/E251)*1000,""),"")</f>
        <v/>
      </c>
      <c r="H251" s="135">
        <f>IFERROR(IF(E251&gt;0,E251*IF(ISNUMBER(J251),J251,IF(C251="Futures",$C$6,$C$5)),""),"")</f>
        <v/>
      </c>
      <c r="I251" s="136">
        <f>IFERROR(IF(AND(ISNUMBER(F251),ISNUMBER(H251)),F251-H251,""),"")</f>
        <v/>
      </c>
      <c r="J251" s="45" t="n"/>
      <c r="K251" s="137">
        <f>IFERROR(IF(H251&gt;0,H251*$C$7,""),"")</f>
        <v/>
      </c>
      <c r="L251" s="138">
        <f>IFERROR(IF(ISNUMBER(F251),F251-IF(ISNUMBER(K251),K251,0),""),"")</f>
        <v/>
      </c>
    </row>
    <row r="252" ht="24" customHeight="1" s="63">
      <c r="A252" s="40" t="n"/>
      <c r="B252" s="40" t="n"/>
      <c r="C252" s="40" t="n"/>
      <c r="D252" s="40" t="n"/>
      <c r="E252" s="133" t="n"/>
      <c r="F252" s="133" t="n"/>
      <c r="G252" s="134">
        <f>IFERROR(IF(E252&gt;0,(F252/E252)*1000,""),"")</f>
        <v/>
      </c>
      <c r="H252" s="135">
        <f>IFERROR(IF(E252&gt;0,E252*IF(ISNUMBER(J252),J252,IF(C252="Futures",$C$6,$C$5)),""),"")</f>
        <v/>
      </c>
      <c r="I252" s="136">
        <f>IFERROR(IF(AND(ISNUMBER(F252),ISNUMBER(H252)),F252-H252,""),"")</f>
        <v/>
      </c>
      <c r="J252" s="45" t="n"/>
      <c r="K252" s="137">
        <f>IFERROR(IF(H252&gt;0,H252*$C$7,""),"")</f>
        <v/>
      </c>
      <c r="L252" s="138">
        <f>IFERROR(IF(ISNUMBER(F252),F252-IF(ISNUMBER(K252),K252,0),""),"")</f>
        <v/>
      </c>
    </row>
    <row r="253" ht="24" customHeight="1" s="63">
      <c r="A253" s="40" t="n"/>
      <c r="B253" s="40" t="n"/>
      <c r="C253" s="40" t="n"/>
      <c r="D253" s="40" t="n"/>
      <c r="E253" s="133" t="n"/>
      <c r="F253" s="133" t="n"/>
      <c r="G253" s="134">
        <f>IFERROR(IF(E253&gt;0,(F253/E253)*1000,""),"")</f>
        <v/>
      </c>
      <c r="H253" s="135">
        <f>IFERROR(IF(E253&gt;0,E253*IF(ISNUMBER(J253),J253,IF(C253="Futures",$C$6,$C$5)),""),"")</f>
        <v/>
      </c>
      <c r="I253" s="136">
        <f>IFERROR(IF(AND(ISNUMBER(F253),ISNUMBER(H253)),F253-H253,""),"")</f>
        <v/>
      </c>
      <c r="J253" s="45" t="n"/>
      <c r="K253" s="137">
        <f>IFERROR(IF(H253&gt;0,H253*$C$7,""),"")</f>
        <v/>
      </c>
      <c r="L253" s="138">
        <f>IFERROR(IF(ISNUMBER(F253),F253-IF(ISNUMBER(K253),K253,0),""),"")</f>
        <v/>
      </c>
    </row>
    <row r="254" ht="24" customHeight="1" s="63">
      <c r="A254" s="40" t="n"/>
      <c r="B254" s="40" t="n"/>
      <c r="C254" s="40" t="n"/>
      <c r="D254" s="40" t="n"/>
      <c r="E254" s="133" t="n"/>
      <c r="F254" s="133" t="n"/>
      <c r="G254" s="134">
        <f>IFERROR(IF(E254&gt;0,(F254/E254)*1000,""),"")</f>
        <v/>
      </c>
      <c r="H254" s="135">
        <f>IFERROR(IF(E254&gt;0,E254*IF(ISNUMBER(J254),J254,IF(C254="Futures",$C$6,$C$5)),""),"")</f>
        <v/>
      </c>
      <c r="I254" s="136">
        <f>IFERROR(IF(AND(ISNUMBER(F254),ISNUMBER(H254)),F254-H254,""),"")</f>
        <v/>
      </c>
      <c r="J254" s="45" t="n"/>
      <c r="K254" s="137">
        <f>IFERROR(IF(H254&gt;0,H254*$C$7,""),"")</f>
        <v/>
      </c>
      <c r="L254" s="138">
        <f>IFERROR(IF(ISNUMBER(F254),F254-IF(ISNUMBER(K254),K254,0),""),"")</f>
        <v/>
      </c>
    </row>
    <row r="255" ht="24" customHeight="1" s="63">
      <c r="A255" s="40" t="n"/>
      <c r="B255" s="40" t="n"/>
      <c r="C255" s="40" t="n"/>
      <c r="D255" s="40" t="n"/>
      <c r="E255" s="133" t="n"/>
      <c r="F255" s="133" t="n"/>
      <c r="G255" s="134">
        <f>IFERROR(IF(E255&gt;0,(F255/E255)*1000,""),"")</f>
        <v/>
      </c>
      <c r="H255" s="135">
        <f>IFERROR(IF(E255&gt;0,E255*IF(ISNUMBER(J255),J255,IF(C255="Futures",$C$6,$C$5)),""),"")</f>
        <v/>
      </c>
      <c r="I255" s="136">
        <f>IFERROR(IF(AND(ISNUMBER(F255),ISNUMBER(H255)),F255-H255,""),"")</f>
        <v/>
      </c>
      <c r="J255" s="45" t="n"/>
      <c r="K255" s="137">
        <f>IFERROR(IF(H255&gt;0,H255*$C$7,""),"")</f>
        <v/>
      </c>
      <c r="L255" s="138">
        <f>IFERROR(IF(ISNUMBER(F255),F255-IF(ISNUMBER(K255),K255,0),""),"")</f>
        <v/>
      </c>
    </row>
    <row r="256" ht="24" customHeight="1" s="63">
      <c r="A256" s="40" t="n"/>
      <c r="B256" s="40" t="n"/>
      <c r="C256" s="40" t="n"/>
      <c r="D256" s="40" t="n"/>
      <c r="E256" s="133" t="n"/>
      <c r="F256" s="133" t="n"/>
      <c r="G256" s="134">
        <f>IFERROR(IF(E256&gt;0,(F256/E256)*1000,""),"")</f>
        <v/>
      </c>
      <c r="H256" s="135">
        <f>IFERROR(IF(E256&gt;0,E256*IF(ISNUMBER(J256),J256,IF(C256="Futures",$C$6,$C$5)),""),"")</f>
        <v/>
      </c>
      <c r="I256" s="136">
        <f>IFERROR(IF(AND(ISNUMBER(F256),ISNUMBER(H256)),F256-H256,""),"")</f>
        <v/>
      </c>
      <c r="J256" s="45" t="n"/>
      <c r="K256" s="137">
        <f>IFERROR(IF(H256&gt;0,H256*$C$7,""),"")</f>
        <v/>
      </c>
      <c r="L256" s="138">
        <f>IFERROR(IF(ISNUMBER(F256),F256-IF(ISNUMBER(K256),K256,0),""),"")</f>
        <v/>
      </c>
    </row>
    <row r="257" ht="24" customHeight="1" s="63">
      <c r="A257" s="40" t="n"/>
      <c r="B257" s="40" t="n"/>
      <c r="C257" s="40" t="n"/>
      <c r="D257" s="40" t="n"/>
      <c r="E257" s="133" t="n"/>
      <c r="F257" s="133" t="n"/>
      <c r="G257" s="134">
        <f>IFERROR(IF(E257&gt;0,(F257/E257)*1000,""),"")</f>
        <v/>
      </c>
      <c r="H257" s="135">
        <f>IFERROR(IF(E257&gt;0,E257*IF(ISNUMBER(J257),J257,IF(C257="Futures",$C$6,$C$5)),""),"")</f>
        <v/>
      </c>
      <c r="I257" s="136">
        <f>IFERROR(IF(AND(ISNUMBER(F257),ISNUMBER(H257)),F257-H257,""),"")</f>
        <v/>
      </c>
      <c r="J257" s="45" t="n"/>
      <c r="K257" s="137">
        <f>IFERROR(IF(H257&gt;0,H257*$C$7,""),"")</f>
        <v/>
      </c>
      <c r="L257" s="138">
        <f>IFERROR(IF(ISNUMBER(F257),F257-IF(ISNUMBER(K257),K257,0),""),"")</f>
        <v/>
      </c>
    </row>
    <row r="258" ht="24" customHeight="1" s="63">
      <c r="A258" s="40" t="n"/>
      <c r="B258" s="40" t="n"/>
      <c r="C258" s="40" t="n"/>
      <c r="D258" s="40" t="n"/>
      <c r="E258" s="133" t="n"/>
      <c r="F258" s="133" t="n"/>
      <c r="G258" s="134">
        <f>IFERROR(IF(E258&gt;0,(F258/E258)*1000,""),"")</f>
        <v/>
      </c>
      <c r="H258" s="135">
        <f>IFERROR(IF(E258&gt;0,E258*IF(ISNUMBER(J258),J258,IF(C258="Futures",$C$6,$C$5)),""),"")</f>
        <v/>
      </c>
      <c r="I258" s="136">
        <f>IFERROR(IF(AND(ISNUMBER(F258),ISNUMBER(H258)),F258-H258,""),"")</f>
        <v/>
      </c>
      <c r="J258" s="45" t="n"/>
      <c r="K258" s="137">
        <f>IFERROR(IF(H258&gt;0,H258*$C$7,""),"")</f>
        <v/>
      </c>
      <c r="L258" s="138">
        <f>IFERROR(IF(ISNUMBER(F258),F258-IF(ISNUMBER(K258),K258,0),""),"")</f>
        <v/>
      </c>
    </row>
    <row r="259" ht="24" customHeight="1" s="63">
      <c r="A259" s="40" t="n"/>
      <c r="B259" s="40" t="n"/>
      <c r="C259" s="40" t="n"/>
      <c r="D259" s="40" t="n"/>
      <c r="E259" s="133" t="n"/>
      <c r="F259" s="133" t="n"/>
      <c r="G259" s="134">
        <f>IFERROR(IF(E259&gt;0,(F259/E259)*1000,""),"")</f>
        <v/>
      </c>
      <c r="H259" s="135">
        <f>IFERROR(IF(E259&gt;0,E259*IF(ISNUMBER(J259),J259,IF(C259="Futures",$C$6,$C$5)),""),"")</f>
        <v/>
      </c>
      <c r="I259" s="136">
        <f>IFERROR(IF(AND(ISNUMBER(F259),ISNUMBER(H259)),F259-H259,""),"")</f>
        <v/>
      </c>
      <c r="J259" s="45" t="n"/>
      <c r="K259" s="137">
        <f>IFERROR(IF(H259&gt;0,H259*$C$7,""),"")</f>
        <v/>
      </c>
      <c r="L259" s="138">
        <f>IFERROR(IF(ISNUMBER(F259),F259-IF(ISNUMBER(K259),K259,0),""),"")</f>
        <v/>
      </c>
    </row>
    <row r="260" ht="24" customHeight="1" s="63">
      <c r="A260" s="40" t="n"/>
      <c r="B260" s="40" t="n"/>
      <c r="C260" s="40" t="n"/>
      <c r="D260" s="40" t="n"/>
      <c r="E260" s="133" t="n"/>
      <c r="F260" s="133" t="n"/>
      <c r="G260" s="134">
        <f>IFERROR(IF(E260&gt;0,(F260/E260)*1000,""),"")</f>
        <v/>
      </c>
      <c r="H260" s="135">
        <f>IFERROR(IF(E260&gt;0,E260*IF(ISNUMBER(J260),J260,IF(C260="Futures",$C$6,$C$5)),""),"")</f>
        <v/>
      </c>
      <c r="I260" s="136">
        <f>IFERROR(IF(AND(ISNUMBER(F260),ISNUMBER(H260)),F260-H260,""),"")</f>
        <v/>
      </c>
      <c r="J260" s="45" t="n"/>
      <c r="K260" s="137">
        <f>IFERROR(IF(H260&gt;0,H260*$C$7,""),"")</f>
        <v/>
      </c>
      <c r="L260" s="138">
        <f>IFERROR(IF(ISNUMBER(F260),F260-IF(ISNUMBER(K260),K260,0),""),"")</f>
        <v/>
      </c>
    </row>
    <row r="261" ht="24" customHeight="1" s="63">
      <c r="A261" s="40" t="n"/>
      <c r="B261" s="40" t="n"/>
      <c r="C261" s="40" t="n"/>
      <c r="D261" s="40" t="n"/>
      <c r="E261" s="133" t="n"/>
      <c r="F261" s="133" t="n"/>
      <c r="G261" s="134">
        <f>IFERROR(IF(E261&gt;0,(F261/E261)*1000,""),"")</f>
        <v/>
      </c>
      <c r="H261" s="135">
        <f>IFERROR(IF(E261&gt;0,E261*IF(ISNUMBER(J261),J261,IF(C261="Futures",$C$6,$C$5)),""),"")</f>
        <v/>
      </c>
      <c r="I261" s="136">
        <f>IFERROR(IF(AND(ISNUMBER(F261),ISNUMBER(H261)),F261-H261,""),"")</f>
        <v/>
      </c>
      <c r="J261" s="45" t="n"/>
      <c r="K261" s="137">
        <f>IFERROR(IF(H261&gt;0,H261*$C$7,""),"")</f>
        <v/>
      </c>
      <c r="L261" s="138">
        <f>IFERROR(IF(ISNUMBER(F261),F261-IF(ISNUMBER(K261),K261,0),""),"")</f>
        <v/>
      </c>
    </row>
    <row r="262" ht="24" customHeight="1" s="63">
      <c r="A262" s="40" t="n"/>
      <c r="B262" s="40" t="n"/>
      <c r="C262" s="40" t="n"/>
      <c r="D262" s="40" t="n"/>
      <c r="E262" s="133" t="n"/>
      <c r="F262" s="133" t="n"/>
      <c r="G262" s="134">
        <f>IFERROR(IF(E262&gt;0,(F262/E262)*1000,""),"")</f>
        <v/>
      </c>
      <c r="H262" s="135">
        <f>IFERROR(IF(E262&gt;0,E262*IF(ISNUMBER(J262),J262,IF(C262="Futures",$C$6,$C$5)),""),"")</f>
        <v/>
      </c>
      <c r="I262" s="136">
        <f>IFERROR(IF(AND(ISNUMBER(F262),ISNUMBER(H262)),F262-H262,""),"")</f>
        <v/>
      </c>
      <c r="J262" s="45" t="n"/>
      <c r="K262" s="137">
        <f>IFERROR(IF(H262&gt;0,H262*$C$7,""),"")</f>
        <v/>
      </c>
      <c r="L262" s="138">
        <f>IFERROR(IF(ISNUMBER(F262),F262-IF(ISNUMBER(K262),K262,0),""),"")</f>
        <v/>
      </c>
    </row>
    <row r="263" ht="24" customHeight="1" s="63">
      <c r="A263" s="40" t="n"/>
      <c r="B263" s="40" t="n"/>
      <c r="C263" s="40" t="n"/>
      <c r="D263" s="40" t="n"/>
      <c r="E263" s="133" t="n"/>
      <c r="F263" s="133" t="n"/>
      <c r="G263" s="134">
        <f>IFERROR(IF(E263&gt;0,(F263/E263)*1000,""),"")</f>
        <v/>
      </c>
      <c r="H263" s="135">
        <f>IFERROR(IF(E263&gt;0,E263*IF(ISNUMBER(J263),J263,IF(C263="Futures",$C$6,$C$5)),""),"")</f>
        <v/>
      </c>
      <c r="I263" s="136">
        <f>IFERROR(IF(AND(ISNUMBER(F263),ISNUMBER(H263)),F263-H263,""),"")</f>
        <v/>
      </c>
      <c r="J263" s="45" t="n"/>
      <c r="K263" s="137">
        <f>IFERROR(IF(H263&gt;0,H263*$C$7,""),"")</f>
        <v/>
      </c>
      <c r="L263" s="138">
        <f>IFERROR(IF(ISNUMBER(F263),F263-IF(ISNUMBER(K263),K263,0),""),"")</f>
        <v/>
      </c>
    </row>
    <row r="264" ht="24" customHeight="1" s="63">
      <c r="A264" s="40" t="n"/>
      <c r="B264" s="40" t="n"/>
      <c r="C264" s="40" t="n"/>
      <c r="D264" s="40" t="n"/>
      <c r="E264" s="133" t="n"/>
      <c r="F264" s="133" t="n"/>
      <c r="G264" s="134">
        <f>IFERROR(IF(E264&gt;0,(F264/E264)*1000,""),"")</f>
        <v/>
      </c>
      <c r="H264" s="135">
        <f>IFERROR(IF(E264&gt;0,E264*IF(ISNUMBER(J264),J264,IF(C264="Futures",$C$6,$C$5)),""),"")</f>
        <v/>
      </c>
      <c r="I264" s="136">
        <f>IFERROR(IF(AND(ISNUMBER(F264),ISNUMBER(H264)),F264-H264,""),"")</f>
        <v/>
      </c>
      <c r="J264" s="45" t="n"/>
      <c r="K264" s="137">
        <f>IFERROR(IF(H264&gt;0,H264*$C$7,""),"")</f>
        <v/>
      </c>
      <c r="L264" s="138">
        <f>IFERROR(IF(ISNUMBER(F264),F264-IF(ISNUMBER(K264),K264,0),""),"")</f>
        <v/>
      </c>
    </row>
    <row r="265" ht="24" customHeight="1" s="63">
      <c r="A265" s="40" t="n"/>
      <c r="B265" s="40" t="n"/>
      <c r="C265" s="40" t="n"/>
      <c r="D265" s="40" t="n"/>
      <c r="E265" s="133" t="n"/>
      <c r="F265" s="133" t="n"/>
      <c r="G265" s="134">
        <f>IFERROR(IF(E265&gt;0,(F265/E265)*1000,""),"")</f>
        <v/>
      </c>
      <c r="H265" s="135">
        <f>IFERROR(IF(E265&gt;0,E265*IF(ISNUMBER(J265),J265,IF(C265="Futures",$C$6,$C$5)),""),"")</f>
        <v/>
      </c>
      <c r="I265" s="136">
        <f>IFERROR(IF(AND(ISNUMBER(F265),ISNUMBER(H265)),F265-H265,""),"")</f>
        <v/>
      </c>
      <c r="J265" s="45" t="n"/>
      <c r="K265" s="137">
        <f>IFERROR(IF(H265&gt;0,H265*$C$7,""),"")</f>
        <v/>
      </c>
      <c r="L265" s="138">
        <f>IFERROR(IF(ISNUMBER(F265),F265-IF(ISNUMBER(K265),K265,0),""),"")</f>
        <v/>
      </c>
    </row>
    <row r="266" ht="24" customHeight="1" s="63">
      <c r="A266" s="40" t="n"/>
      <c r="B266" s="40" t="n"/>
      <c r="C266" s="40" t="n"/>
      <c r="D266" s="40" t="n"/>
      <c r="E266" s="133" t="n"/>
      <c r="F266" s="133" t="n"/>
      <c r="G266" s="134">
        <f>IFERROR(IF(E266&gt;0,(F266/E266)*1000,""),"")</f>
        <v/>
      </c>
      <c r="H266" s="135">
        <f>IFERROR(IF(E266&gt;0,E266*IF(ISNUMBER(J266),J266,IF(C266="Futures",$C$6,$C$5)),""),"")</f>
        <v/>
      </c>
      <c r="I266" s="136">
        <f>IFERROR(IF(AND(ISNUMBER(F266),ISNUMBER(H266)),F266-H266,""),"")</f>
        <v/>
      </c>
      <c r="J266" s="45" t="n"/>
      <c r="K266" s="137">
        <f>IFERROR(IF(H266&gt;0,H266*$C$7,""),"")</f>
        <v/>
      </c>
      <c r="L266" s="138">
        <f>IFERROR(IF(ISNUMBER(F266),F266-IF(ISNUMBER(K266),K266,0),""),"")</f>
        <v/>
      </c>
    </row>
    <row r="267" ht="24" customHeight="1" s="63">
      <c r="A267" s="40" t="n"/>
      <c r="B267" s="40" t="n"/>
      <c r="C267" s="40" t="n"/>
      <c r="D267" s="40" t="n"/>
      <c r="E267" s="133" t="n"/>
      <c r="F267" s="133" t="n"/>
      <c r="G267" s="134">
        <f>IFERROR(IF(E267&gt;0,(F267/E267)*1000,""),"")</f>
        <v/>
      </c>
      <c r="H267" s="135">
        <f>IFERROR(IF(E267&gt;0,E267*IF(ISNUMBER(J267),J267,IF(C267="Futures",$C$6,$C$5)),""),"")</f>
        <v/>
      </c>
      <c r="I267" s="136">
        <f>IFERROR(IF(AND(ISNUMBER(F267),ISNUMBER(H267)),F267-H267,""),"")</f>
        <v/>
      </c>
      <c r="J267" s="45" t="n"/>
      <c r="K267" s="137">
        <f>IFERROR(IF(H267&gt;0,H267*$C$7,""),"")</f>
        <v/>
      </c>
      <c r="L267" s="138">
        <f>IFERROR(IF(ISNUMBER(F267),F267-IF(ISNUMBER(K267),K267,0),""),"")</f>
        <v/>
      </c>
    </row>
    <row r="268" ht="24" customHeight="1" s="63">
      <c r="A268" s="40" t="n"/>
      <c r="B268" s="40" t="n"/>
      <c r="C268" s="40" t="n"/>
      <c r="D268" s="40" t="n"/>
      <c r="E268" s="133" t="n"/>
      <c r="F268" s="133" t="n"/>
      <c r="G268" s="134">
        <f>IFERROR(IF(E268&gt;0,(F268/E268)*1000,""),"")</f>
        <v/>
      </c>
      <c r="H268" s="135">
        <f>IFERROR(IF(E268&gt;0,E268*IF(ISNUMBER(J268),J268,IF(C268="Futures",$C$6,$C$5)),""),"")</f>
        <v/>
      </c>
      <c r="I268" s="136">
        <f>IFERROR(IF(AND(ISNUMBER(F268),ISNUMBER(H268)),F268-H268,""),"")</f>
        <v/>
      </c>
      <c r="J268" s="45" t="n"/>
      <c r="K268" s="137">
        <f>IFERROR(IF(H268&gt;0,H268*$C$7,""),"")</f>
        <v/>
      </c>
      <c r="L268" s="138">
        <f>IFERROR(IF(ISNUMBER(F268),F268-IF(ISNUMBER(K268),K268,0),""),"")</f>
        <v/>
      </c>
    </row>
    <row r="269" ht="24" customHeight="1" s="63">
      <c r="A269" s="40" t="n"/>
      <c r="B269" s="40" t="n"/>
      <c r="C269" s="40" t="n"/>
      <c r="D269" s="40" t="n"/>
      <c r="E269" s="133" t="n"/>
      <c r="F269" s="133" t="n"/>
      <c r="G269" s="134">
        <f>IFERROR(IF(E269&gt;0,(F269/E269)*1000,""),"")</f>
        <v/>
      </c>
      <c r="H269" s="135">
        <f>IFERROR(IF(E269&gt;0,E269*IF(ISNUMBER(J269),J269,IF(C269="Futures",$C$6,$C$5)),""),"")</f>
        <v/>
      </c>
      <c r="I269" s="136">
        <f>IFERROR(IF(AND(ISNUMBER(F269),ISNUMBER(H269)),F269-H269,""),"")</f>
        <v/>
      </c>
      <c r="J269" s="45" t="n"/>
      <c r="K269" s="137">
        <f>IFERROR(IF(H269&gt;0,H269*$C$7,""),"")</f>
        <v/>
      </c>
      <c r="L269" s="138">
        <f>IFERROR(IF(ISNUMBER(F269),F269-IF(ISNUMBER(K269),K269,0),""),"")</f>
        <v/>
      </c>
    </row>
    <row r="270" ht="24" customHeight="1" s="63">
      <c r="A270" s="40" t="n"/>
      <c r="B270" s="40" t="n"/>
      <c r="C270" s="40" t="n"/>
      <c r="D270" s="40" t="n"/>
      <c r="E270" s="133" t="n"/>
      <c r="F270" s="133" t="n"/>
      <c r="G270" s="134">
        <f>IFERROR(IF(E270&gt;0,(F270/E270)*1000,""),"")</f>
        <v/>
      </c>
      <c r="H270" s="135">
        <f>IFERROR(IF(E270&gt;0,E270*IF(ISNUMBER(J270),J270,IF(C270="Futures",$C$6,$C$5)),""),"")</f>
        <v/>
      </c>
      <c r="I270" s="136">
        <f>IFERROR(IF(AND(ISNUMBER(F270),ISNUMBER(H270)),F270-H270,""),"")</f>
        <v/>
      </c>
      <c r="J270" s="45" t="n"/>
      <c r="K270" s="137">
        <f>IFERROR(IF(H270&gt;0,H270*$C$7,""),"")</f>
        <v/>
      </c>
      <c r="L270" s="138">
        <f>IFERROR(IF(ISNUMBER(F270),F270-IF(ISNUMBER(K270),K270,0),""),"")</f>
        <v/>
      </c>
    </row>
    <row r="271" ht="24" customHeight="1" s="63">
      <c r="A271" s="40" t="n"/>
      <c r="B271" s="40" t="n"/>
      <c r="C271" s="40" t="n"/>
      <c r="D271" s="40" t="n"/>
      <c r="E271" s="133" t="n"/>
      <c r="F271" s="133" t="n"/>
      <c r="G271" s="134">
        <f>IFERROR(IF(E271&gt;0,(F271/E271)*1000,""),"")</f>
        <v/>
      </c>
      <c r="H271" s="135">
        <f>IFERROR(IF(E271&gt;0,E271*IF(ISNUMBER(J271),J271,IF(C271="Futures",$C$6,$C$5)),""),"")</f>
        <v/>
      </c>
      <c r="I271" s="136">
        <f>IFERROR(IF(AND(ISNUMBER(F271),ISNUMBER(H271)),F271-H271,""),"")</f>
        <v/>
      </c>
      <c r="J271" s="45" t="n"/>
      <c r="K271" s="137">
        <f>IFERROR(IF(H271&gt;0,H271*$C$7,""),"")</f>
        <v/>
      </c>
      <c r="L271" s="138">
        <f>IFERROR(IF(ISNUMBER(F271),F271-IF(ISNUMBER(K271),K271,0),""),"")</f>
        <v/>
      </c>
    </row>
    <row r="272" ht="24" customHeight="1" s="63">
      <c r="A272" s="40" t="n"/>
      <c r="B272" s="40" t="n"/>
      <c r="C272" s="40" t="n"/>
      <c r="D272" s="40" t="n"/>
      <c r="E272" s="133" t="n"/>
      <c r="F272" s="133" t="n"/>
      <c r="G272" s="134">
        <f>IFERROR(IF(E272&gt;0,(F272/E272)*1000,""),"")</f>
        <v/>
      </c>
      <c r="H272" s="135">
        <f>IFERROR(IF(E272&gt;0,E272*IF(ISNUMBER(J272),J272,IF(C272="Futures",$C$6,$C$5)),""),"")</f>
        <v/>
      </c>
      <c r="I272" s="136">
        <f>IFERROR(IF(AND(ISNUMBER(F272),ISNUMBER(H272)),F272-H272,""),"")</f>
        <v/>
      </c>
      <c r="J272" s="45" t="n"/>
      <c r="K272" s="137">
        <f>IFERROR(IF(H272&gt;0,H272*$C$7,""),"")</f>
        <v/>
      </c>
      <c r="L272" s="138">
        <f>IFERROR(IF(ISNUMBER(F272),F272-IF(ISNUMBER(K272),K272,0),""),"")</f>
        <v/>
      </c>
    </row>
    <row r="273" ht="24" customHeight="1" s="63">
      <c r="A273" s="40" t="n"/>
      <c r="B273" s="40" t="n"/>
      <c r="C273" s="40" t="n"/>
      <c r="D273" s="40" t="n"/>
      <c r="E273" s="133" t="n"/>
      <c r="F273" s="133" t="n"/>
      <c r="G273" s="134">
        <f>IFERROR(IF(E273&gt;0,(F273/E273)*1000,""),"")</f>
        <v/>
      </c>
      <c r="H273" s="135">
        <f>IFERROR(IF(E273&gt;0,E273*IF(ISNUMBER(J273),J273,IF(C273="Futures",$C$6,$C$5)),""),"")</f>
        <v/>
      </c>
      <c r="I273" s="136">
        <f>IFERROR(IF(AND(ISNUMBER(F273),ISNUMBER(H273)),F273-H273,""),"")</f>
        <v/>
      </c>
      <c r="J273" s="45" t="n"/>
      <c r="K273" s="137">
        <f>IFERROR(IF(H273&gt;0,H273*$C$7,""),"")</f>
        <v/>
      </c>
      <c r="L273" s="138">
        <f>IFERROR(IF(ISNUMBER(F273),F273-IF(ISNUMBER(K273),K273,0),""),"")</f>
        <v/>
      </c>
    </row>
    <row r="274" ht="24" customHeight="1" s="63">
      <c r="A274" s="40" t="n"/>
      <c r="B274" s="40" t="n"/>
      <c r="C274" s="40" t="n"/>
      <c r="D274" s="40" t="n"/>
      <c r="E274" s="133" t="n"/>
      <c r="F274" s="133" t="n"/>
      <c r="G274" s="134">
        <f>IFERROR(IF(E274&gt;0,(F274/E274)*1000,""),"")</f>
        <v/>
      </c>
      <c r="H274" s="135">
        <f>IFERROR(IF(E274&gt;0,E274*IF(ISNUMBER(J274),J274,IF(C274="Futures",$C$6,$C$5)),""),"")</f>
        <v/>
      </c>
      <c r="I274" s="136">
        <f>IFERROR(IF(AND(ISNUMBER(F274),ISNUMBER(H274)),F274-H274,""),"")</f>
        <v/>
      </c>
      <c r="J274" s="45" t="n"/>
      <c r="K274" s="137">
        <f>IFERROR(IF(H274&gt;0,H274*$C$7,""),"")</f>
        <v/>
      </c>
      <c r="L274" s="138">
        <f>IFERROR(IF(ISNUMBER(F274),F274-IF(ISNUMBER(K274),K274,0),""),"")</f>
        <v/>
      </c>
    </row>
    <row r="275" ht="24" customHeight="1" s="63">
      <c r="A275" s="40" t="n"/>
      <c r="B275" s="40" t="n"/>
      <c r="C275" s="40" t="n"/>
      <c r="D275" s="40" t="n"/>
      <c r="E275" s="133" t="n"/>
      <c r="F275" s="133" t="n"/>
      <c r="G275" s="134">
        <f>IFERROR(IF(E275&gt;0,(F275/E275)*1000,""),"")</f>
        <v/>
      </c>
      <c r="H275" s="135">
        <f>IFERROR(IF(E275&gt;0,E275*IF(ISNUMBER(J275),J275,IF(C275="Futures",$C$6,$C$5)),""),"")</f>
        <v/>
      </c>
      <c r="I275" s="136">
        <f>IFERROR(IF(AND(ISNUMBER(F275),ISNUMBER(H275)),F275-H275,""),"")</f>
        <v/>
      </c>
      <c r="J275" s="45" t="n"/>
      <c r="K275" s="137">
        <f>IFERROR(IF(H275&gt;0,H275*$C$7,""),"")</f>
        <v/>
      </c>
      <c r="L275" s="138">
        <f>IFERROR(IF(ISNUMBER(F275),F275-IF(ISNUMBER(K275),K275,0),""),"")</f>
        <v/>
      </c>
    </row>
    <row r="276" ht="24" customHeight="1" s="63">
      <c r="A276" s="40" t="n"/>
      <c r="B276" s="40" t="n"/>
      <c r="C276" s="40" t="n"/>
      <c r="D276" s="40" t="n"/>
      <c r="E276" s="133" t="n"/>
      <c r="F276" s="133" t="n"/>
      <c r="G276" s="134">
        <f>IFERROR(IF(E276&gt;0,(F276/E276)*1000,""),"")</f>
        <v/>
      </c>
      <c r="H276" s="135">
        <f>IFERROR(IF(E276&gt;0,E276*IF(ISNUMBER(J276),J276,IF(C276="Futures",$C$6,$C$5)),""),"")</f>
        <v/>
      </c>
      <c r="I276" s="136">
        <f>IFERROR(IF(AND(ISNUMBER(F276),ISNUMBER(H276)),F276-H276,""),"")</f>
        <v/>
      </c>
      <c r="J276" s="45" t="n"/>
      <c r="K276" s="137">
        <f>IFERROR(IF(H276&gt;0,H276*$C$7,""),"")</f>
        <v/>
      </c>
      <c r="L276" s="138">
        <f>IFERROR(IF(ISNUMBER(F276),F276-IF(ISNUMBER(K276),K276,0),""),"")</f>
        <v/>
      </c>
    </row>
    <row r="277" ht="24" customHeight="1" s="63">
      <c r="A277" s="40" t="n"/>
      <c r="B277" s="40" t="n"/>
      <c r="C277" s="40" t="n"/>
      <c r="D277" s="40" t="n"/>
      <c r="E277" s="133" t="n"/>
      <c r="F277" s="133" t="n"/>
      <c r="G277" s="134">
        <f>IFERROR(IF(E277&gt;0,(F277/E277)*1000,""),"")</f>
        <v/>
      </c>
      <c r="H277" s="135">
        <f>IFERROR(IF(E277&gt;0,E277*IF(ISNUMBER(J277),J277,IF(C277="Futures",$C$6,$C$5)),""),"")</f>
        <v/>
      </c>
      <c r="I277" s="136">
        <f>IFERROR(IF(AND(ISNUMBER(F277),ISNUMBER(H277)),F277-H277,""),"")</f>
        <v/>
      </c>
      <c r="J277" s="45" t="n"/>
      <c r="K277" s="137">
        <f>IFERROR(IF(H277&gt;0,H277*$C$7,""),"")</f>
        <v/>
      </c>
      <c r="L277" s="138">
        <f>IFERROR(IF(ISNUMBER(F277),F277-IF(ISNUMBER(K277),K277,0),""),"")</f>
        <v/>
      </c>
    </row>
    <row r="278" ht="24" customHeight="1" s="63">
      <c r="A278" s="40" t="n"/>
      <c r="B278" s="40" t="n"/>
      <c r="C278" s="40" t="n"/>
      <c r="D278" s="40" t="n"/>
      <c r="E278" s="133" t="n"/>
      <c r="F278" s="133" t="n"/>
      <c r="G278" s="134">
        <f>IFERROR(IF(E278&gt;0,(F278/E278)*1000,""),"")</f>
        <v/>
      </c>
      <c r="H278" s="135">
        <f>IFERROR(IF(E278&gt;0,E278*IF(ISNUMBER(J278),J278,IF(C278="Futures",$C$6,$C$5)),""),"")</f>
        <v/>
      </c>
      <c r="I278" s="136">
        <f>IFERROR(IF(AND(ISNUMBER(F278),ISNUMBER(H278)),F278-H278,""),"")</f>
        <v/>
      </c>
      <c r="J278" s="45" t="n"/>
      <c r="K278" s="137">
        <f>IFERROR(IF(H278&gt;0,H278*$C$7,""),"")</f>
        <v/>
      </c>
      <c r="L278" s="138">
        <f>IFERROR(IF(ISNUMBER(F278),F278-IF(ISNUMBER(K278),K278,0),""),"")</f>
        <v/>
      </c>
    </row>
    <row r="279" ht="24" customHeight="1" s="63">
      <c r="A279" s="40" t="n"/>
      <c r="B279" s="40" t="n"/>
      <c r="C279" s="40" t="n"/>
      <c r="D279" s="40" t="n"/>
      <c r="E279" s="133" t="n"/>
      <c r="F279" s="133" t="n"/>
      <c r="G279" s="134">
        <f>IFERROR(IF(E279&gt;0,(F279/E279)*1000,""),"")</f>
        <v/>
      </c>
      <c r="H279" s="135">
        <f>IFERROR(IF(E279&gt;0,E279*IF(ISNUMBER(J279),J279,IF(C279="Futures",$C$6,$C$5)),""),"")</f>
        <v/>
      </c>
      <c r="I279" s="136">
        <f>IFERROR(IF(AND(ISNUMBER(F279),ISNUMBER(H279)),F279-H279,""),"")</f>
        <v/>
      </c>
      <c r="J279" s="45" t="n"/>
      <c r="K279" s="137">
        <f>IFERROR(IF(H279&gt;0,H279*$C$7,""),"")</f>
        <v/>
      </c>
      <c r="L279" s="138">
        <f>IFERROR(IF(ISNUMBER(F279),F279-IF(ISNUMBER(K279),K279,0),""),"")</f>
        <v/>
      </c>
    </row>
    <row r="280" ht="24" customHeight="1" s="63">
      <c r="A280" s="40" t="n"/>
      <c r="B280" s="40" t="n"/>
      <c r="C280" s="40" t="n"/>
      <c r="D280" s="40" t="n"/>
      <c r="E280" s="133" t="n"/>
      <c r="F280" s="133" t="n"/>
      <c r="G280" s="134">
        <f>IFERROR(IF(E280&gt;0,(F280/E280)*1000,""),"")</f>
        <v/>
      </c>
      <c r="H280" s="135">
        <f>IFERROR(IF(E280&gt;0,E280*IF(ISNUMBER(J280),J280,IF(C280="Futures",$C$6,$C$5)),""),"")</f>
        <v/>
      </c>
      <c r="I280" s="136">
        <f>IFERROR(IF(AND(ISNUMBER(F280),ISNUMBER(H280)),F280-H280,""),"")</f>
        <v/>
      </c>
      <c r="J280" s="45" t="n"/>
      <c r="K280" s="137">
        <f>IFERROR(IF(H280&gt;0,H280*$C$7,""),"")</f>
        <v/>
      </c>
      <c r="L280" s="138">
        <f>IFERROR(IF(ISNUMBER(F280),F280-IF(ISNUMBER(K280),K280,0),""),"")</f>
        <v/>
      </c>
    </row>
    <row r="281" ht="24" customHeight="1" s="63">
      <c r="A281" s="40" t="n"/>
      <c r="B281" s="40" t="n"/>
      <c r="C281" s="40" t="n"/>
      <c r="D281" s="40" t="n"/>
      <c r="E281" s="133" t="n"/>
      <c r="F281" s="133" t="n"/>
      <c r="G281" s="134">
        <f>IFERROR(IF(E281&gt;0,(F281/E281)*1000,""),"")</f>
        <v/>
      </c>
      <c r="H281" s="135">
        <f>IFERROR(IF(E281&gt;0,E281*IF(ISNUMBER(J281),J281,IF(C281="Futures",$C$6,$C$5)),""),"")</f>
        <v/>
      </c>
      <c r="I281" s="136">
        <f>IFERROR(IF(AND(ISNUMBER(F281),ISNUMBER(H281)),F281-H281,""),"")</f>
        <v/>
      </c>
      <c r="J281" s="45" t="n"/>
      <c r="K281" s="137">
        <f>IFERROR(IF(H281&gt;0,H281*$C$7,""),"")</f>
        <v/>
      </c>
      <c r="L281" s="138">
        <f>IFERROR(IF(ISNUMBER(F281),F281-IF(ISNUMBER(K281),K281,0),""),"")</f>
        <v/>
      </c>
    </row>
    <row r="282" ht="24" customHeight="1" s="63">
      <c r="A282" s="40" t="n"/>
      <c r="B282" s="40" t="n"/>
      <c r="C282" s="40" t="n"/>
      <c r="D282" s="40" t="n"/>
      <c r="E282" s="133" t="n"/>
      <c r="F282" s="133" t="n"/>
      <c r="G282" s="134">
        <f>IFERROR(IF(E282&gt;0,(F282/E282)*1000,""),"")</f>
        <v/>
      </c>
      <c r="H282" s="135">
        <f>IFERROR(IF(E282&gt;0,E282*IF(ISNUMBER(J282),J282,IF(C282="Futures",$C$6,$C$5)),""),"")</f>
        <v/>
      </c>
      <c r="I282" s="136">
        <f>IFERROR(IF(AND(ISNUMBER(F282),ISNUMBER(H282)),F282-H282,""),"")</f>
        <v/>
      </c>
      <c r="J282" s="45" t="n"/>
      <c r="K282" s="137">
        <f>IFERROR(IF(H282&gt;0,H282*$C$7,""),"")</f>
        <v/>
      </c>
      <c r="L282" s="138">
        <f>IFERROR(IF(ISNUMBER(F282),F282-IF(ISNUMBER(K282),K282,0),""),"")</f>
        <v/>
      </c>
    </row>
    <row r="283" ht="24" customHeight="1" s="63">
      <c r="A283" s="40" t="n"/>
      <c r="B283" s="40" t="n"/>
      <c r="C283" s="40" t="n"/>
      <c r="D283" s="40" t="n"/>
      <c r="E283" s="133" t="n"/>
      <c r="F283" s="133" t="n"/>
      <c r="G283" s="134">
        <f>IFERROR(IF(E283&gt;0,(F283/E283)*1000,""),"")</f>
        <v/>
      </c>
      <c r="H283" s="135">
        <f>IFERROR(IF(E283&gt;0,E283*IF(ISNUMBER(J283),J283,IF(C283="Futures",$C$6,$C$5)),""),"")</f>
        <v/>
      </c>
      <c r="I283" s="136">
        <f>IFERROR(IF(AND(ISNUMBER(F283),ISNUMBER(H283)),F283-H283,""),"")</f>
        <v/>
      </c>
      <c r="J283" s="45" t="n"/>
      <c r="K283" s="137">
        <f>IFERROR(IF(H283&gt;0,H283*$C$7,""),"")</f>
        <v/>
      </c>
      <c r="L283" s="138">
        <f>IFERROR(IF(ISNUMBER(F283),F283-IF(ISNUMBER(K283),K283,0),""),"")</f>
        <v/>
      </c>
    </row>
    <row r="284" ht="24" customHeight="1" s="63">
      <c r="A284" s="40" t="n"/>
      <c r="B284" s="40" t="n"/>
      <c r="C284" s="40" t="n"/>
      <c r="D284" s="40" t="n"/>
      <c r="E284" s="133" t="n"/>
      <c r="F284" s="133" t="n"/>
      <c r="G284" s="134">
        <f>IFERROR(IF(E284&gt;0,(F284/E284)*1000,""),"")</f>
        <v/>
      </c>
      <c r="H284" s="135">
        <f>IFERROR(IF(E284&gt;0,E284*IF(ISNUMBER(J284),J284,IF(C284="Futures",$C$6,$C$5)),""),"")</f>
        <v/>
      </c>
      <c r="I284" s="136">
        <f>IFERROR(IF(AND(ISNUMBER(F284),ISNUMBER(H284)),F284-H284,""),"")</f>
        <v/>
      </c>
      <c r="J284" s="45" t="n"/>
      <c r="K284" s="137">
        <f>IFERROR(IF(H284&gt;0,H284*$C$7,""),"")</f>
        <v/>
      </c>
      <c r="L284" s="138">
        <f>IFERROR(IF(ISNUMBER(F284),F284-IF(ISNUMBER(K284),K284,0),""),"")</f>
        <v/>
      </c>
    </row>
    <row r="285" ht="24" customHeight="1" s="63">
      <c r="A285" s="40" t="n"/>
      <c r="B285" s="40" t="n"/>
      <c r="C285" s="40" t="n"/>
      <c r="D285" s="40" t="n"/>
      <c r="E285" s="133" t="n"/>
      <c r="F285" s="133" t="n"/>
      <c r="G285" s="134">
        <f>IFERROR(IF(E285&gt;0,(F285/E285)*1000,""),"")</f>
        <v/>
      </c>
      <c r="H285" s="135">
        <f>IFERROR(IF(E285&gt;0,E285*IF(ISNUMBER(J285),J285,IF(C285="Futures",$C$6,$C$5)),""),"")</f>
        <v/>
      </c>
      <c r="I285" s="136">
        <f>IFERROR(IF(AND(ISNUMBER(F285),ISNUMBER(H285)),F285-H285,""),"")</f>
        <v/>
      </c>
      <c r="J285" s="45" t="n"/>
      <c r="K285" s="137">
        <f>IFERROR(IF(H285&gt;0,H285*$C$7,""),"")</f>
        <v/>
      </c>
      <c r="L285" s="138">
        <f>IFERROR(IF(ISNUMBER(F285),F285-IF(ISNUMBER(K285),K285,0),""),"")</f>
        <v/>
      </c>
    </row>
    <row r="286" ht="24" customHeight="1" s="63">
      <c r="A286" s="40" t="n"/>
      <c r="B286" s="40" t="n"/>
      <c r="C286" s="40" t="n"/>
      <c r="D286" s="40" t="n"/>
      <c r="E286" s="133" t="n"/>
      <c r="F286" s="133" t="n"/>
      <c r="G286" s="134">
        <f>IFERROR(IF(E286&gt;0,(F286/E286)*1000,""),"")</f>
        <v/>
      </c>
      <c r="H286" s="135">
        <f>IFERROR(IF(E286&gt;0,E286*IF(ISNUMBER(J286),J286,IF(C286="Futures",$C$6,$C$5)),""),"")</f>
        <v/>
      </c>
      <c r="I286" s="136">
        <f>IFERROR(IF(AND(ISNUMBER(F286),ISNUMBER(H286)),F286-H286,""),"")</f>
        <v/>
      </c>
      <c r="J286" s="45" t="n"/>
      <c r="K286" s="137">
        <f>IFERROR(IF(H286&gt;0,H286*$C$7,""),"")</f>
        <v/>
      </c>
      <c r="L286" s="138">
        <f>IFERROR(IF(ISNUMBER(F286),F286-IF(ISNUMBER(K286),K286,0),""),"")</f>
        <v/>
      </c>
    </row>
    <row r="287" ht="24" customHeight="1" s="63">
      <c r="A287" s="40" t="n"/>
      <c r="B287" s="40" t="n"/>
      <c r="C287" s="40" t="n"/>
      <c r="D287" s="40" t="n"/>
      <c r="E287" s="133" t="n"/>
      <c r="F287" s="133" t="n"/>
      <c r="G287" s="134">
        <f>IFERROR(IF(E287&gt;0,(F287/E287)*1000,""),"")</f>
        <v/>
      </c>
      <c r="H287" s="135">
        <f>IFERROR(IF(E287&gt;0,E287*IF(ISNUMBER(J287),J287,IF(C287="Futures",$C$6,$C$5)),""),"")</f>
        <v/>
      </c>
      <c r="I287" s="136">
        <f>IFERROR(IF(AND(ISNUMBER(F287),ISNUMBER(H287)),F287-H287,""),"")</f>
        <v/>
      </c>
      <c r="J287" s="45" t="n"/>
      <c r="K287" s="137">
        <f>IFERROR(IF(H287&gt;0,H287*$C$7,""),"")</f>
        <v/>
      </c>
      <c r="L287" s="138">
        <f>IFERROR(IF(ISNUMBER(F287),F287-IF(ISNUMBER(K287),K287,0),""),"")</f>
        <v/>
      </c>
    </row>
    <row r="288" ht="24" customHeight="1" s="63">
      <c r="A288" s="40" t="n"/>
      <c r="B288" s="40" t="n"/>
      <c r="C288" s="40" t="n"/>
      <c r="D288" s="40" t="n"/>
      <c r="E288" s="133" t="n"/>
      <c r="F288" s="133" t="n"/>
      <c r="G288" s="134">
        <f>IFERROR(IF(E288&gt;0,(F288/E288)*1000,""),"")</f>
        <v/>
      </c>
      <c r="H288" s="135">
        <f>IFERROR(IF(E288&gt;0,E288*IF(ISNUMBER(J288),J288,IF(C288="Futures",$C$6,$C$5)),""),"")</f>
        <v/>
      </c>
      <c r="I288" s="136">
        <f>IFERROR(IF(AND(ISNUMBER(F288),ISNUMBER(H288)),F288-H288,""),"")</f>
        <v/>
      </c>
      <c r="J288" s="45" t="n"/>
      <c r="K288" s="137">
        <f>IFERROR(IF(H288&gt;0,H288*$C$7,""),"")</f>
        <v/>
      </c>
      <c r="L288" s="138">
        <f>IFERROR(IF(ISNUMBER(F288),F288-IF(ISNUMBER(K288),K288,0),""),"")</f>
        <v/>
      </c>
    </row>
    <row r="289" ht="24" customHeight="1" s="63">
      <c r="A289" s="40" t="n"/>
      <c r="B289" s="40" t="n"/>
      <c r="C289" s="40" t="n"/>
      <c r="D289" s="40" t="n"/>
      <c r="E289" s="133" t="n"/>
      <c r="F289" s="133" t="n"/>
      <c r="G289" s="134">
        <f>IFERROR(IF(E289&gt;0,(F289/E289)*1000,""),"")</f>
        <v/>
      </c>
      <c r="H289" s="135">
        <f>IFERROR(IF(E289&gt;0,E289*IF(ISNUMBER(J289),J289,IF(C289="Futures",$C$6,$C$5)),""),"")</f>
        <v/>
      </c>
      <c r="I289" s="136">
        <f>IFERROR(IF(AND(ISNUMBER(F289),ISNUMBER(H289)),F289-H289,""),"")</f>
        <v/>
      </c>
      <c r="J289" s="45" t="n"/>
      <c r="K289" s="137">
        <f>IFERROR(IF(H289&gt;0,H289*$C$7,""),"")</f>
        <v/>
      </c>
      <c r="L289" s="138">
        <f>IFERROR(IF(ISNUMBER(F289),F289-IF(ISNUMBER(K289),K289,0),""),"")</f>
        <v/>
      </c>
    </row>
    <row r="290" ht="24" customHeight="1" s="63">
      <c r="A290" s="40" t="n"/>
      <c r="B290" s="40" t="n"/>
      <c r="C290" s="40" t="n"/>
      <c r="D290" s="40" t="n"/>
      <c r="E290" s="133" t="n"/>
      <c r="F290" s="133" t="n"/>
      <c r="G290" s="134">
        <f>IFERROR(IF(E290&gt;0,(F290/E290)*1000,""),"")</f>
        <v/>
      </c>
      <c r="H290" s="135">
        <f>IFERROR(IF(E290&gt;0,E290*IF(ISNUMBER(J290),J290,IF(C290="Futures",$C$6,$C$5)),""),"")</f>
        <v/>
      </c>
      <c r="I290" s="136">
        <f>IFERROR(IF(AND(ISNUMBER(F290),ISNUMBER(H290)),F290-H290,""),"")</f>
        <v/>
      </c>
      <c r="J290" s="45" t="n"/>
      <c r="K290" s="137">
        <f>IFERROR(IF(H290&gt;0,H290*$C$7,""),"")</f>
        <v/>
      </c>
      <c r="L290" s="138">
        <f>IFERROR(IF(ISNUMBER(F290),F290-IF(ISNUMBER(K290),K290,0),""),"")</f>
        <v/>
      </c>
    </row>
    <row r="291" ht="24" customHeight="1" s="63">
      <c r="A291" s="40" t="n"/>
      <c r="B291" s="40" t="n"/>
      <c r="C291" s="40" t="n"/>
      <c r="D291" s="40" t="n"/>
      <c r="E291" s="133" t="n"/>
      <c r="F291" s="133" t="n"/>
      <c r="G291" s="134">
        <f>IFERROR(IF(E291&gt;0,(F291/E291)*1000,""),"")</f>
        <v/>
      </c>
      <c r="H291" s="135">
        <f>IFERROR(IF(E291&gt;0,E291*IF(ISNUMBER(J291),J291,IF(C291="Futures",$C$6,$C$5)),""),"")</f>
        <v/>
      </c>
      <c r="I291" s="136">
        <f>IFERROR(IF(AND(ISNUMBER(F291),ISNUMBER(H291)),F291-H291,""),"")</f>
        <v/>
      </c>
      <c r="J291" s="45" t="n"/>
      <c r="K291" s="137">
        <f>IFERROR(IF(H291&gt;0,H291*$C$7,""),"")</f>
        <v/>
      </c>
      <c r="L291" s="138">
        <f>IFERROR(IF(ISNUMBER(F291),F291-IF(ISNUMBER(K291),K291,0),""),"")</f>
        <v/>
      </c>
    </row>
    <row r="292" ht="24" customHeight="1" s="63">
      <c r="A292" s="40" t="n"/>
      <c r="B292" s="40" t="n"/>
      <c r="C292" s="40" t="n"/>
      <c r="D292" s="40" t="n"/>
      <c r="E292" s="133" t="n"/>
      <c r="F292" s="133" t="n"/>
      <c r="G292" s="134">
        <f>IFERROR(IF(E292&gt;0,(F292/E292)*1000,""),"")</f>
        <v/>
      </c>
      <c r="H292" s="135">
        <f>IFERROR(IF(E292&gt;0,E292*IF(ISNUMBER(J292),J292,IF(C292="Futures",$C$6,$C$5)),""),"")</f>
        <v/>
      </c>
      <c r="I292" s="136">
        <f>IFERROR(IF(AND(ISNUMBER(F292),ISNUMBER(H292)),F292-H292,""),"")</f>
        <v/>
      </c>
      <c r="J292" s="45" t="n"/>
      <c r="K292" s="137">
        <f>IFERROR(IF(H292&gt;0,H292*$C$7,""),"")</f>
        <v/>
      </c>
      <c r="L292" s="138">
        <f>IFERROR(IF(ISNUMBER(F292),F292-IF(ISNUMBER(K292),K292,0),""),"")</f>
        <v/>
      </c>
    </row>
    <row r="293" ht="24" customHeight="1" s="63">
      <c r="A293" s="40" t="n"/>
      <c r="B293" s="40" t="n"/>
      <c r="C293" s="40" t="n"/>
      <c r="D293" s="40" t="n"/>
      <c r="E293" s="133" t="n"/>
      <c r="F293" s="133" t="n"/>
      <c r="G293" s="134">
        <f>IFERROR(IF(E293&gt;0,(F293/E293)*1000,""),"")</f>
        <v/>
      </c>
      <c r="H293" s="135">
        <f>IFERROR(IF(E293&gt;0,E293*IF(ISNUMBER(J293),J293,IF(C293="Futures",$C$6,$C$5)),""),"")</f>
        <v/>
      </c>
      <c r="I293" s="136">
        <f>IFERROR(IF(AND(ISNUMBER(F293),ISNUMBER(H293)),F293-H293,""),"")</f>
        <v/>
      </c>
      <c r="J293" s="45" t="n"/>
      <c r="K293" s="137">
        <f>IFERROR(IF(H293&gt;0,H293*$C$7,""),"")</f>
        <v/>
      </c>
      <c r="L293" s="138">
        <f>IFERROR(IF(ISNUMBER(F293),F293-IF(ISNUMBER(K293),K293,0),""),"")</f>
        <v/>
      </c>
    </row>
    <row r="294" ht="24" customHeight="1" s="63">
      <c r="A294" s="40" t="n"/>
      <c r="B294" s="40" t="n"/>
      <c r="C294" s="40" t="n"/>
      <c r="D294" s="40" t="n"/>
      <c r="E294" s="133" t="n"/>
      <c r="F294" s="133" t="n"/>
      <c r="G294" s="134">
        <f>IFERROR(IF(E294&gt;0,(F294/E294)*1000,""),"")</f>
        <v/>
      </c>
      <c r="H294" s="135">
        <f>IFERROR(IF(E294&gt;0,E294*IF(ISNUMBER(J294),J294,IF(C294="Futures",$C$6,$C$5)),""),"")</f>
        <v/>
      </c>
      <c r="I294" s="136">
        <f>IFERROR(IF(AND(ISNUMBER(F294),ISNUMBER(H294)),F294-H294,""),"")</f>
        <v/>
      </c>
      <c r="J294" s="45" t="n"/>
      <c r="K294" s="137">
        <f>IFERROR(IF(H294&gt;0,H294*$C$7,""),"")</f>
        <v/>
      </c>
      <c r="L294" s="138">
        <f>IFERROR(IF(ISNUMBER(F294),F294-IF(ISNUMBER(K294),K294,0),""),"")</f>
        <v/>
      </c>
    </row>
    <row r="295" ht="24" customHeight="1" s="63">
      <c r="A295" s="40" t="n"/>
      <c r="B295" s="40" t="n"/>
      <c r="C295" s="40" t="n"/>
      <c r="D295" s="40" t="n"/>
      <c r="E295" s="133" t="n"/>
      <c r="F295" s="133" t="n"/>
      <c r="G295" s="134">
        <f>IFERROR(IF(E295&gt;0,(F295/E295)*1000,""),"")</f>
        <v/>
      </c>
      <c r="H295" s="135">
        <f>IFERROR(IF(E295&gt;0,E295*IF(ISNUMBER(J295),J295,IF(C295="Futures",$C$6,$C$5)),""),"")</f>
        <v/>
      </c>
      <c r="I295" s="136">
        <f>IFERROR(IF(AND(ISNUMBER(F295),ISNUMBER(H295)),F295-H295,""),"")</f>
        <v/>
      </c>
      <c r="J295" s="45" t="n"/>
      <c r="K295" s="137">
        <f>IFERROR(IF(H295&gt;0,H295*$C$7,""),"")</f>
        <v/>
      </c>
      <c r="L295" s="138">
        <f>IFERROR(IF(ISNUMBER(F295),F295-IF(ISNUMBER(K295),K295,0),""),"")</f>
        <v/>
      </c>
    </row>
    <row r="296" ht="24" customHeight="1" s="63">
      <c r="A296" s="40" t="n"/>
      <c r="B296" s="40" t="n"/>
      <c r="C296" s="40" t="n"/>
      <c r="D296" s="40" t="n"/>
      <c r="E296" s="133" t="n"/>
      <c r="F296" s="133" t="n"/>
      <c r="G296" s="134">
        <f>IFERROR(IF(E296&gt;0,(F296/E296)*1000,""),"")</f>
        <v/>
      </c>
      <c r="H296" s="135">
        <f>IFERROR(IF(E296&gt;0,E296*IF(ISNUMBER(J296),J296,IF(C296="Futures",$C$6,$C$5)),""),"")</f>
        <v/>
      </c>
      <c r="I296" s="136">
        <f>IFERROR(IF(AND(ISNUMBER(F296),ISNUMBER(H296)),F296-H296,""),"")</f>
        <v/>
      </c>
      <c r="J296" s="45" t="n"/>
      <c r="K296" s="137">
        <f>IFERROR(IF(H296&gt;0,H296*$C$7,""),"")</f>
        <v/>
      </c>
      <c r="L296" s="138">
        <f>IFERROR(IF(ISNUMBER(F296),F296-IF(ISNUMBER(K296),K296,0),""),"")</f>
        <v/>
      </c>
    </row>
    <row r="297" ht="24" customHeight="1" s="63">
      <c r="A297" s="40" t="n"/>
      <c r="B297" s="40" t="n"/>
      <c r="C297" s="40" t="n"/>
      <c r="D297" s="40" t="n"/>
      <c r="E297" s="133" t="n"/>
      <c r="F297" s="133" t="n"/>
      <c r="G297" s="134">
        <f>IFERROR(IF(E297&gt;0,(F297/E297)*1000,""),"")</f>
        <v/>
      </c>
      <c r="H297" s="135">
        <f>IFERROR(IF(E297&gt;0,E297*IF(ISNUMBER(J297),J297,IF(C297="Futures",$C$6,$C$5)),""),"")</f>
        <v/>
      </c>
      <c r="I297" s="136">
        <f>IFERROR(IF(AND(ISNUMBER(F297),ISNUMBER(H297)),F297-H297,""),"")</f>
        <v/>
      </c>
      <c r="J297" s="45" t="n"/>
      <c r="K297" s="137">
        <f>IFERROR(IF(H297&gt;0,H297*$C$7,""),"")</f>
        <v/>
      </c>
      <c r="L297" s="138">
        <f>IFERROR(IF(ISNUMBER(F297),F297-IF(ISNUMBER(K297),K297,0),""),"")</f>
        <v/>
      </c>
    </row>
    <row r="298" ht="24" customHeight="1" s="63">
      <c r="A298" s="40" t="n"/>
      <c r="B298" s="40" t="n"/>
      <c r="C298" s="40" t="n"/>
      <c r="D298" s="40" t="n"/>
      <c r="E298" s="133" t="n"/>
      <c r="F298" s="133" t="n"/>
      <c r="G298" s="134">
        <f>IFERROR(IF(E298&gt;0,(F298/E298)*1000,""),"")</f>
        <v/>
      </c>
      <c r="H298" s="135">
        <f>IFERROR(IF(E298&gt;0,E298*IF(ISNUMBER(J298),J298,IF(C298="Futures",$C$6,$C$5)),""),"")</f>
        <v/>
      </c>
      <c r="I298" s="136">
        <f>IFERROR(IF(AND(ISNUMBER(F298),ISNUMBER(H298)),F298-H298,""),"")</f>
        <v/>
      </c>
      <c r="J298" s="45" t="n"/>
      <c r="K298" s="137">
        <f>IFERROR(IF(H298&gt;0,H298*$C$7,""),"")</f>
        <v/>
      </c>
      <c r="L298" s="138">
        <f>IFERROR(IF(ISNUMBER(F298),F298-IF(ISNUMBER(K298),K298,0),""),"")</f>
        <v/>
      </c>
    </row>
    <row r="299" ht="24" customHeight="1" s="63">
      <c r="A299" s="40" t="n"/>
      <c r="B299" s="40" t="n"/>
      <c r="C299" s="40" t="n"/>
      <c r="D299" s="40" t="n"/>
      <c r="E299" s="133" t="n"/>
      <c r="F299" s="133" t="n"/>
      <c r="G299" s="134">
        <f>IFERROR(IF(E299&gt;0,(F299/E299)*1000,""),"")</f>
        <v/>
      </c>
      <c r="H299" s="135">
        <f>IFERROR(IF(E299&gt;0,E299*IF(ISNUMBER(J299),J299,IF(C299="Futures",$C$6,$C$5)),""),"")</f>
        <v/>
      </c>
      <c r="I299" s="136">
        <f>IFERROR(IF(AND(ISNUMBER(F299),ISNUMBER(H299)),F299-H299,""),"")</f>
        <v/>
      </c>
      <c r="J299" s="45" t="n"/>
      <c r="K299" s="137">
        <f>IFERROR(IF(H299&gt;0,H299*$C$7,""),"")</f>
        <v/>
      </c>
      <c r="L299" s="138">
        <f>IFERROR(IF(ISNUMBER(F299),F299-IF(ISNUMBER(K299),K299,0),""),"")</f>
        <v/>
      </c>
    </row>
    <row r="300" ht="24" customHeight="1" s="63">
      <c r="A300" s="40" t="n"/>
      <c r="B300" s="40" t="n"/>
      <c r="C300" s="40" t="n"/>
      <c r="D300" s="40" t="n"/>
      <c r="E300" s="133" t="n"/>
      <c r="F300" s="133" t="n"/>
      <c r="G300" s="134">
        <f>IFERROR(IF(E300&gt;0,(F300/E300)*1000,""),"")</f>
        <v/>
      </c>
      <c r="H300" s="135">
        <f>IFERROR(IF(E300&gt;0,E300*IF(ISNUMBER(J300),J300,IF(C300="Futures",$C$6,$C$5)),""),"")</f>
        <v/>
      </c>
      <c r="I300" s="136">
        <f>IFERROR(IF(AND(ISNUMBER(F300),ISNUMBER(H300)),F300-H300,""),"")</f>
        <v/>
      </c>
      <c r="J300" s="45" t="n"/>
      <c r="K300" s="137">
        <f>IFERROR(IF(H300&gt;0,H300*$C$7,""),"")</f>
        <v/>
      </c>
      <c r="L300" s="138">
        <f>IFERROR(IF(ISNUMBER(F300),F300-IF(ISNUMBER(K300),K300,0),""),"")</f>
        <v/>
      </c>
    </row>
    <row r="301" ht="24" customHeight="1" s="63">
      <c r="E301" s="139" t="n"/>
      <c r="F301" s="139" t="n"/>
      <c r="G301" s="140">
        <f>IFERROR(IF(E301&gt;0,(F301/E301)*1000,""),"")</f>
        <v/>
      </c>
      <c r="H301" s="139">
        <f>IFERROR(IF(E301&gt;0,E301*IF(ISNUMBER(J301),J301,IF(C301="Futures",$C$6,$C$5)),""),"")</f>
        <v/>
      </c>
      <c r="I301" s="139">
        <f>IFERROR(IF(AND(ISNUMBER(F301),ISNUMBER(H301)),F301-H301,""),"")</f>
        <v/>
      </c>
      <c r="J301" s="114" t="n"/>
      <c r="K301" s="139">
        <f>IFERROR(IF(H301&gt;0,H301*$C$7,""),"")</f>
        <v/>
      </c>
      <c r="L301" s="139">
        <f>IFERROR(IF(ISNUMBER(F301),F301-IF(ISNUMBER(K301),K301,0),""),"")</f>
        <v/>
      </c>
    </row>
    <row r="302" ht="24" customHeight="1" s="63">
      <c r="E302" s="139" t="n"/>
      <c r="F302" s="139" t="n"/>
      <c r="G302" s="140">
        <f>IFERROR(IF(E302&gt;0,(F302/E302)*1000,""),"")</f>
        <v/>
      </c>
      <c r="H302" s="139">
        <f>IFERROR(IF(E302&gt;0,E302*IF(ISNUMBER(J302),J302,IF(C302="Futures",$C$6,$C$5)),""),"")</f>
        <v/>
      </c>
      <c r="I302" s="139">
        <f>IFERROR(IF(AND(ISNUMBER(F302),ISNUMBER(H302)),F302-H302,""),"")</f>
        <v/>
      </c>
      <c r="J302" s="114" t="n"/>
      <c r="K302" s="139">
        <f>IFERROR(IF(H302&gt;0,H302*$C$7,""),"")</f>
        <v/>
      </c>
      <c r="L302" s="139">
        <f>IFERROR(IF(ISNUMBER(F302),F302-IF(ISNUMBER(K302),K302,0),""),"")</f>
        <v/>
      </c>
    </row>
    <row r="303" ht="24" customHeight="1" s="63">
      <c r="E303" s="139" t="n"/>
      <c r="F303" s="139" t="n"/>
      <c r="G303" s="140">
        <f>IFERROR(IF(E303&gt;0,(F303/E303)*1000,""),"")</f>
        <v/>
      </c>
      <c r="H303" s="139">
        <f>IFERROR(IF(E303&gt;0,E303*IF(ISNUMBER(J303),J303,IF(C303="Futures",$C$6,$C$5)),""),"")</f>
        <v/>
      </c>
      <c r="I303" s="139">
        <f>IFERROR(IF(AND(ISNUMBER(F303),ISNUMBER(H303)),F303-H303,""),"")</f>
        <v/>
      </c>
      <c r="J303" s="114" t="n"/>
      <c r="K303" s="139">
        <f>IFERROR(IF(H303&gt;0,H303*$C$7,""),"")</f>
        <v/>
      </c>
      <c r="L303" s="139">
        <f>IFERROR(IF(ISNUMBER(F303),F303-IF(ISNUMBER(K303),K303,0),""),"")</f>
        <v/>
      </c>
    </row>
    <row r="304" ht="24" customHeight="1" s="63">
      <c r="E304" s="139" t="n"/>
      <c r="F304" s="139" t="n"/>
      <c r="G304" s="140">
        <f>IFERROR(IF(E304&gt;0,(F304/E304)*1000,""),"")</f>
        <v/>
      </c>
      <c r="H304" s="139">
        <f>IFERROR(IF(E304&gt;0,E304*IF(ISNUMBER(J304),J304,IF(C304="Futures",$C$6,$C$5)),""),"")</f>
        <v/>
      </c>
      <c r="I304" s="139">
        <f>IFERROR(IF(AND(ISNUMBER(F304),ISNUMBER(H304)),F304-H304,""),"")</f>
        <v/>
      </c>
      <c r="J304" s="114" t="n"/>
      <c r="K304" s="139">
        <f>IFERROR(IF(H304&gt;0,H304*$C$7,""),"")</f>
        <v/>
      </c>
      <c r="L304" s="139">
        <f>IFERROR(IF(ISNUMBER(F304),F304-IF(ISNUMBER(K304),K304,0),""),"")</f>
        <v/>
      </c>
    </row>
    <row r="305" ht="24" customHeight="1" s="63">
      <c r="E305" s="139" t="n"/>
      <c r="F305" s="139" t="n"/>
      <c r="G305" s="140">
        <f>IFERROR(IF(E305&gt;0,(F305/E305)*1000,""),"")</f>
        <v/>
      </c>
      <c r="H305" s="139">
        <f>IFERROR(IF(E305&gt;0,E305*IF(ISNUMBER(J305),J305,IF(C305="Futures",$C$6,$C$5)),""),"")</f>
        <v/>
      </c>
      <c r="I305" s="139">
        <f>IFERROR(IF(AND(ISNUMBER(F305),ISNUMBER(H305)),F305-H305,""),"")</f>
        <v/>
      </c>
      <c r="J305" s="114" t="n"/>
      <c r="K305" s="139">
        <f>IFERROR(IF(H305&gt;0,H305*$C$7,""),"")</f>
        <v/>
      </c>
      <c r="L305" s="139">
        <f>IFERROR(IF(ISNUMBER(F305),F305-IF(ISNUMBER(K305),K305,0),""),"")</f>
        <v/>
      </c>
    </row>
    <row r="306" ht="24" customHeight="1" s="63">
      <c r="E306" s="139" t="n"/>
      <c r="F306" s="139" t="n"/>
      <c r="G306" s="140">
        <f>IFERROR(IF(E306&gt;0,(F306/E306)*1000,""),"")</f>
        <v/>
      </c>
      <c r="H306" s="139">
        <f>IFERROR(IF(E306&gt;0,E306*IF(ISNUMBER(J306),J306,IF(C306="Futures",$C$6,$C$5)),""),"")</f>
        <v/>
      </c>
      <c r="I306" s="139">
        <f>IFERROR(IF(AND(ISNUMBER(F306),ISNUMBER(H306)),F306-H306,""),"")</f>
        <v/>
      </c>
      <c r="J306" s="114" t="n"/>
      <c r="K306" s="139">
        <f>IFERROR(IF(H306&gt;0,H306*$C$7,""),"")</f>
        <v/>
      </c>
      <c r="L306" s="139">
        <f>IFERROR(IF(ISNUMBER(F306),F306-IF(ISNUMBER(K306),K306,0),""),"")</f>
        <v/>
      </c>
    </row>
    <row r="307" ht="24" customHeight="1" s="63">
      <c r="E307" s="139" t="n"/>
      <c r="F307" s="139" t="n"/>
      <c r="G307" s="140">
        <f>IFERROR(IF(E307&gt;0,(F307/E307)*1000,""),"")</f>
        <v/>
      </c>
      <c r="H307" s="139">
        <f>IFERROR(IF(E307&gt;0,E307*IF(ISNUMBER(J307),J307,IF(C307="Futures",$C$6,$C$5)),""),"")</f>
        <v/>
      </c>
      <c r="I307" s="139">
        <f>IFERROR(IF(AND(ISNUMBER(F307),ISNUMBER(H307)),F307-H307,""),"")</f>
        <v/>
      </c>
      <c r="J307" s="114" t="n"/>
      <c r="K307" s="139">
        <f>IFERROR(IF(H307&gt;0,H307*$C$7,""),"")</f>
        <v/>
      </c>
      <c r="L307" s="139">
        <f>IFERROR(IF(ISNUMBER(F307),F307-IF(ISNUMBER(K307),K307,0),""),"")</f>
        <v/>
      </c>
    </row>
    <row r="308" ht="24" customHeight="1" s="63">
      <c r="E308" s="139" t="n"/>
      <c r="F308" s="139" t="n"/>
      <c r="G308" s="140">
        <f>IFERROR(IF(E308&gt;0,(F308/E308)*1000,""),"")</f>
        <v/>
      </c>
      <c r="H308" s="139">
        <f>IFERROR(IF(E308&gt;0,E308*IF(ISNUMBER(J308),J308,IF(C308="Futures",$C$6,$C$5)),""),"")</f>
        <v/>
      </c>
      <c r="I308" s="139">
        <f>IFERROR(IF(AND(ISNUMBER(F308),ISNUMBER(H308)),F308-H308,""),"")</f>
        <v/>
      </c>
      <c r="J308" s="114" t="n"/>
      <c r="K308" s="139">
        <f>IFERROR(IF(H308&gt;0,H308*$C$7,""),"")</f>
        <v/>
      </c>
      <c r="L308" s="139">
        <f>IFERROR(IF(ISNUMBER(F308),F308-IF(ISNUMBER(K308),K308,0),""),"")</f>
        <v/>
      </c>
    </row>
    <row r="309" ht="24" customHeight="1" s="63">
      <c r="E309" s="139" t="n"/>
      <c r="F309" s="139" t="n"/>
      <c r="G309" s="140">
        <f>IFERROR(IF(E309&gt;0,(F309/E309)*1000,""),"")</f>
        <v/>
      </c>
      <c r="H309" s="139">
        <f>IFERROR(IF(E309&gt;0,E309*IF(ISNUMBER(J309),J309,IF(C309="Futures",$C$6,$C$5)),""),"")</f>
        <v/>
      </c>
      <c r="I309" s="139">
        <f>IFERROR(IF(AND(ISNUMBER(F309),ISNUMBER(H309)),F309-H309,""),"")</f>
        <v/>
      </c>
      <c r="J309" s="114" t="n"/>
      <c r="K309" s="139">
        <f>IFERROR(IF(H309&gt;0,H309*$C$7,""),"")</f>
        <v/>
      </c>
      <c r="L309" s="139">
        <f>IFERROR(IF(ISNUMBER(F309),F309-IF(ISNUMBER(K309),K309,0),""),"")</f>
        <v/>
      </c>
    </row>
    <row r="310" ht="24" customHeight="1" s="63">
      <c r="E310" s="139" t="n"/>
      <c r="F310" s="139" t="n"/>
      <c r="G310" s="140">
        <f>IFERROR(IF(E310&gt;0,(F310/E310)*1000,""),"")</f>
        <v/>
      </c>
      <c r="H310" s="139">
        <f>IFERROR(IF(E310&gt;0,E310*IF(ISNUMBER(J310),J310,IF(C310="Futures",$C$6,$C$5)),""),"")</f>
        <v/>
      </c>
      <c r="I310" s="139">
        <f>IFERROR(IF(AND(ISNUMBER(F310),ISNUMBER(H310)),F310-H310,""),"")</f>
        <v/>
      </c>
      <c r="J310" s="114" t="n"/>
      <c r="K310" s="139">
        <f>IFERROR(IF(H310&gt;0,H310*$C$7,""),"")</f>
        <v/>
      </c>
      <c r="L310" s="139">
        <f>IFERROR(IF(ISNUMBER(F310),F310-IF(ISNUMBER(K310),K310,0),""),"")</f>
        <v/>
      </c>
    </row>
    <row r="311" ht="24" customHeight="1" s="63">
      <c r="E311" s="139" t="n"/>
      <c r="F311" s="139" t="n"/>
      <c r="G311" s="140">
        <f>IFERROR(IF(E311&gt;0,(F311/E311)*1000,""),"")</f>
        <v/>
      </c>
      <c r="H311" s="139">
        <f>IFERROR(IF(E311&gt;0,E311*IF(ISNUMBER(J311),J311,IF(C311="Futures",$C$6,$C$5)),""),"")</f>
        <v/>
      </c>
      <c r="I311" s="139">
        <f>IFERROR(IF(AND(ISNUMBER(F311),ISNUMBER(H311)),F311-H311,""),"")</f>
        <v/>
      </c>
      <c r="J311" s="114" t="n"/>
      <c r="K311" s="139">
        <f>IFERROR(IF(H311&gt;0,H311*$C$7,""),"")</f>
        <v/>
      </c>
      <c r="L311" s="139">
        <f>IFERROR(IF(ISNUMBER(F311),F311-IF(ISNUMBER(K311),K311,0),""),"")</f>
        <v/>
      </c>
    </row>
    <row r="312" ht="24" customHeight="1" s="63">
      <c r="E312" s="139" t="n"/>
      <c r="F312" s="139" t="n"/>
      <c r="G312" s="140">
        <f>IFERROR(IF(E312&gt;0,(F312/E312)*1000,""),"")</f>
        <v/>
      </c>
      <c r="H312" s="139">
        <f>IFERROR(IF(E312&gt;0,E312*IF(ISNUMBER(J312),J312,IF(C312="Futures",$C$6,$C$5)),""),"")</f>
        <v/>
      </c>
      <c r="I312" s="139">
        <f>IFERROR(IF(AND(ISNUMBER(F312),ISNUMBER(H312)),F312-H312,""),"")</f>
        <v/>
      </c>
      <c r="J312" s="114" t="n"/>
      <c r="K312" s="139">
        <f>IFERROR(IF(H312&gt;0,H312*$C$7,""),"")</f>
        <v/>
      </c>
      <c r="L312" s="139">
        <f>IFERROR(IF(ISNUMBER(F312),F312-IF(ISNUMBER(K312),K312,0),""),"")</f>
        <v/>
      </c>
    </row>
    <row r="313" ht="24" customHeight="1" s="63">
      <c r="E313" s="139" t="n"/>
      <c r="F313" s="139" t="n"/>
      <c r="G313" s="140">
        <f>IFERROR(IF(E313&gt;0,(F313/E313)*1000,""),"")</f>
        <v/>
      </c>
      <c r="H313" s="139">
        <f>IFERROR(IF(E313&gt;0,E313*IF(ISNUMBER(J313),J313,IF(C313="Futures",$C$6,$C$5)),""),"")</f>
        <v/>
      </c>
      <c r="I313" s="139">
        <f>IFERROR(IF(AND(ISNUMBER(F313),ISNUMBER(H313)),F313-H313,""),"")</f>
        <v/>
      </c>
      <c r="J313" s="114" t="n"/>
      <c r="K313" s="139">
        <f>IFERROR(IF(H313&gt;0,H313*$C$7,""),"")</f>
        <v/>
      </c>
      <c r="L313" s="139">
        <f>IFERROR(IF(ISNUMBER(F313),F313-IF(ISNUMBER(K313),K313,0),""),"")</f>
        <v/>
      </c>
    </row>
    <row r="314" ht="24" customHeight="1" s="63">
      <c r="E314" s="139" t="n"/>
      <c r="F314" s="139" t="n"/>
      <c r="G314" s="140">
        <f>IFERROR(IF(E314&gt;0,(F314/E314)*1000,""),"")</f>
        <v/>
      </c>
      <c r="H314" s="139">
        <f>IFERROR(IF(E314&gt;0,E314*IF(ISNUMBER(J314),J314,IF(C314="Futures",$C$6,$C$5)),""),"")</f>
        <v/>
      </c>
      <c r="I314" s="139">
        <f>IFERROR(IF(AND(ISNUMBER(F314),ISNUMBER(H314)),F314-H314,""),"")</f>
        <v/>
      </c>
      <c r="J314" s="114" t="n"/>
      <c r="K314" s="139">
        <f>IFERROR(IF(H314&gt;0,H314*$C$7,""),"")</f>
        <v/>
      </c>
      <c r="L314" s="139">
        <f>IFERROR(IF(ISNUMBER(F314),F314-IF(ISNUMBER(K314),K314,0),""),"")</f>
        <v/>
      </c>
    </row>
    <row r="315" ht="24" customHeight="1" s="63">
      <c r="E315" s="139" t="n"/>
      <c r="F315" s="139" t="n"/>
      <c r="G315" s="140">
        <f>IFERROR(IF(E315&gt;0,(F315/E315)*1000,""),"")</f>
        <v/>
      </c>
      <c r="H315" s="139">
        <f>IFERROR(IF(E315&gt;0,E315*IF(ISNUMBER(J315),J315,IF(C315="Futures",$C$6,$C$5)),""),"")</f>
        <v/>
      </c>
      <c r="I315" s="139">
        <f>IFERROR(IF(AND(ISNUMBER(F315),ISNUMBER(H315)),F315-H315,""),"")</f>
        <v/>
      </c>
      <c r="J315" s="114" t="n"/>
      <c r="K315" s="139">
        <f>IFERROR(IF(H315&gt;0,H315*$C$7,""),"")</f>
        <v/>
      </c>
      <c r="L315" s="139">
        <f>IFERROR(IF(ISNUMBER(F315),F315-IF(ISNUMBER(K315),K315,0),""),"")</f>
        <v/>
      </c>
    </row>
    <row r="316" ht="24" customHeight="1" s="63">
      <c r="E316" s="139" t="n"/>
      <c r="F316" s="139" t="n"/>
      <c r="G316" s="140">
        <f>IFERROR(IF(E316&gt;0,(F316/E316)*1000,""),"")</f>
        <v/>
      </c>
      <c r="H316" s="139">
        <f>IFERROR(IF(E316&gt;0,E316*IF(ISNUMBER(J316),J316,IF(C316="Futures",$C$6,$C$5)),""),"")</f>
        <v/>
      </c>
      <c r="I316" s="139">
        <f>IFERROR(IF(AND(ISNUMBER(F316),ISNUMBER(H316)),F316-H316,""),"")</f>
        <v/>
      </c>
      <c r="J316" s="114" t="n"/>
      <c r="K316" s="139">
        <f>IFERROR(IF(H316&gt;0,H316*$C$7,""),"")</f>
        <v/>
      </c>
      <c r="L316" s="139">
        <f>IFERROR(IF(ISNUMBER(F316),F316-IF(ISNUMBER(K316),K316,0),""),"")</f>
        <v/>
      </c>
    </row>
    <row r="317" ht="24" customHeight="1" s="63">
      <c r="E317" s="139" t="n"/>
      <c r="F317" s="139" t="n"/>
      <c r="G317" s="140">
        <f>IFERROR(IF(E317&gt;0,(F317/E317)*1000,""),"")</f>
        <v/>
      </c>
      <c r="H317" s="139">
        <f>IFERROR(IF(E317&gt;0,E317*IF(ISNUMBER(J317),J317,IF(C317="Futures",$C$6,$C$5)),""),"")</f>
        <v/>
      </c>
      <c r="I317" s="139">
        <f>IFERROR(IF(AND(ISNUMBER(F317),ISNUMBER(H317)),F317-H317,""),"")</f>
        <v/>
      </c>
      <c r="J317" s="114" t="n"/>
      <c r="K317" s="139">
        <f>IFERROR(IF(H317&gt;0,H317*$C$7,""),"")</f>
        <v/>
      </c>
      <c r="L317" s="139">
        <f>IFERROR(IF(ISNUMBER(F317),F317-IF(ISNUMBER(K317),K317,0),""),"")</f>
        <v/>
      </c>
    </row>
    <row r="318" ht="24" customHeight="1" s="63">
      <c r="E318" s="139" t="n"/>
      <c r="F318" s="139" t="n"/>
      <c r="G318" s="140">
        <f>IFERROR(IF(E318&gt;0,(F318/E318)*1000,""),"")</f>
        <v/>
      </c>
      <c r="H318" s="139">
        <f>IFERROR(IF(E318&gt;0,E318*IF(ISNUMBER(J318),J318,IF(C318="Futures",$C$6,$C$5)),""),"")</f>
        <v/>
      </c>
      <c r="I318" s="139">
        <f>IFERROR(IF(AND(ISNUMBER(F318),ISNUMBER(H318)),F318-H318,""),"")</f>
        <v/>
      </c>
      <c r="J318" s="114" t="n"/>
      <c r="K318" s="139">
        <f>IFERROR(IF(H318&gt;0,H318*$C$7,""),"")</f>
        <v/>
      </c>
      <c r="L318" s="139">
        <f>IFERROR(IF(ISNUMBER(F318),F318-IF(ISNUMBER(K318),K318,0),""),"")</f>
        <v/>
      </c>
    </row>
    <row r="319" ht="24" customHeight="1" s="63">
      <c r="E319" s="139" t="n"/>
      <c r="F319" s="139" t="n"/>
      <c r="G319" s="140">
        <f>IFERROR(IF(E319&gt;0,(F319/E319)*1000,""),"")</f>
        <v/>
      </c>
      <c r="H319" s="139">
        <f>IFERROR(IF(E319&gt;0,E319*IF(ISNUMBER(J319),J319,IF(C319="Futures",$C$6,$C$5)),""),"")</f>
        <v/>
      </c>
      <c r="I319" s="139">
        <f>IFERROR(IF(AND(ISNUMBER(F319),ISNUMBER(H319)),F319-H319,""),"")</f>
        <v/>
      </c>
      <c r="J319" s="114" t="n"/>
      <c r="K319" s="139">
        <f>IFERROR(IF(H319&gt;0,H319*$C$7,""),"")</f>
        <v/>
      </c>
      <c r="L319" s="139">
        <f>IFERROR(IF(ISNUMBER(F319),F319-IF(ISNUMBER(K319),K319,0),""),"")</f>
        <v/>
      </c>
    </row>
    <row r="320" ht="24" customHeight="1" s="63">
      <c r="E320" s="139" t="n"/>
      <c r="F320" s="139" t="n"/>
      <c r="G320" s="140">
        <f>IFERROR(IF(E320&gt;0,(F320/E320)*1000,""),"")</f>
        <v/>
      </c>
      <c r="H320" s="139">
        <f>IFERROR(IF(E320&gt;0,E320*IF(ISNUMBER(J320),J320,IF(C320="Futures",$C$6,$C$5)),""),"")</f>
        <v/>
      </c>
      <c r="I320" s="139">
        <f>IFERROR(IF(AND(ISNUMBER(F320),ISNUMBER(H320)),F320-H320,""),"")</f>
        <v/>
      </c>
      <c r="J320" s="114" t="n"/>
      <c r="K320" s="139">
        <f>IFERROR(IF(H320&gt;0,H320*$C$7,""),"")</f>
        <v/>
      </c>
      <c r="L320" s="139">
        <f>IFERROR(IF(ISNUMBER(F320),F320-IF(ISNUMBER(K320),K320,0),""),"")</f>
        <v/>
      </c>
    </row>
    <row r="321" ht="24" customHeight="1" s="63">
      <c r="E321" s="139" t="n"/>
      <c r="F321" s="139" t="n"/>
      <c r="G321" s="140">
        <f>IFERROR(IF(E321&gt;0,(F321/E321)*1000,""),"")</f>
        <v/>
      </c>
      <c r="H321" s="139">
        <f>IFERROR(IF(E321&gt;0,E321*IF(ISNUMBER(J321),J321,IF(C321="Futures",$C$6,$C$5)),""),"")</f>
        <v/>
      </c>
      <c r="I321" s="139">
        <f>IFERROR(IF(AND(ISNUMBER(F321),ISNUMBER(H321)),F321-H321,""),"")</f>
        <v/>
      </c>
      <c r="J321" s="114" t="n"/>
      <c r="K321" s="139">
        <f>IFERROR(IF(H321&gt;0,H321*$C$7,""),"")</f>
        <v/>
      </c>
      <c r="L321" s="139">
        <f>IFERROR(IF(ISNUMBER(F321),F321-IF(ISNUMBER(K321),K321,0),""),"")</f>
        <v/>
      </c>
    </row>
    <row r="322" ht="24" customHeight="1" s="63">
      <c r="E322" s="139" t="n"/>
      <c r="F322" s="139" t="n"/>
      <c r="G322" s="140">
        <f>IFERROR(IF(E322&gt;0,(F322/E322)*1000,""),"")</f>
        <v/>
      </c>
      <c r="H322" s="139">
        <f>IFERROR(IF(E322&gt;0,E322*IF(ISNUMBER(J322),J322,IF(C322="Futures",$C$6,$C$5)),""),"")</f>
        <v/>
      </c>
      <c r="I322" s="139">
        <f>IFERROR(IF(AND(ISNUMBER(F322),ISNUMBER(H322)),F322-H322,""),"")</f>
        <v/>
      </c>
      <c r="J322" s="114" t="n"/>
      <c r="K322" s="139">
        <f>IFERROR(IF(H322&gt;0,H322*$C$7,""),"")</f>
        <v/>
      </c>
      <c r="L322" s="139">
        <f>IFERROR(IF(ISNUMBER(F322),F322-IF(ISNUMBER(K322),K322,0),""),"")</f>
        <v/>
      </c>
    </row>
    <row r="323" ht="24" customHeight="1" s="63">
      <c r="E323" s="139" t="n"/>
      <c r="F323" s="139" t="n"/>
      <c r="G323" s="140">
        <f>IFERROR(IF(E323&gt;0,(F323/E323)*1000,""),"")</f>
        <v/>
      </c>
      <c r="H323" s="139">
        <f>IFERROR(IF(E323&gt;0,E323*IF(ISNUMBER(J323),J323,IF(C323="Futures",$C$6,$C$5)),""),"")</f>
        <v/>
      </c>
      <c r="I323" s="139">
        <f>IFERROR(IF(AND(ISNUMBER(F323),ISNUMBER(H323)),F323-H323,""),"")</f>
        <v/>
      </c>
      <c r="J323" s="114" t="n"/>
      <c r="K323" s="139">
        <f>IFERROR(IF(H323&gt;0,H323*$C$7,""),"")</f>
        <v/>
      </c>
      <c r="L323" s="139">
        <f>IFERROR(IF(ISNUMBER(F323),F323-IF(ISNUMBER(K323),K323,0),""),"")</f>
        <v/>
      </c>
    </row>
    <row r="324" ht="24" customHeight="1" s="63">
      <c r="E324" s="139" t="n"/>
      <c r="F324" s="139" t="n"/>
      <c r="G324" s="140">
        <f>IFERROR(IF(E324&gt;0,(F324/E324)*1000,""),"")</f>
        <v/>
      </c>
      <c r="H324" s="139">
        <f>IFERROR(IF(E324&gt;0,E324*IF(ISNUMBER(J324),J324,IF(C324="Futures",$C$6,$C$5)),""),"")</f>
        <v/>
      </c>
      <c r="I324" s="139">
        <f>IFERROR(IF(AND(ISNUMBER(F324),ISNUMBER(H324)),F324-H324,""),"")</f>
        <v/>
      </c>
      <c r="J324" s="114" t="n"/>
      <c r="K324" s="139">
        <f>IFERROR(IF(H324&gt;0,H324*$C$7,""),"")</f>
        <v/>
      </c>
      <c r="L324" s="139">
        <f>IFERROR(IF(ISNUMBER(F324),F324-IF(ISNUMBER(K324),K324,0),""),"")</f>
        <v/>
      </c>
    </row>
    <row r="325" ht="24" customHeight="1" s="63">
      <c r="E325" s="139" t="n"/>
      <c r="F325" s="139" t="n"/>
      <c r="G325" s="140">
        <f>IFERROR(IF(E325&gt;0,(F325/E325)*1000,""),"")</f>
        <v/>
      </c>
      <c r="H325" s="139">
        <f>IFERROR(IF(E325&gt;0,E325*IF(ISNUMBER(J325),J325,IF(C325="Futures",$C$6,$C$5)),""),"")</f>
        <v/>
      </c>
      <c r="I325" s="139">
        <f>IFERROR(IF(AND(ISNUMBER(F325),ISNUMBER(H325)),F325-H325,""),"")</f>
        <v/>
      </c>
      <c r="J325" s="114" t="n"/>
      <c r="K325" s="139">
        <f>IFERROR(IF(H325&gt;0,H325*$C$7,""),"")</f>
        <v/>
      </c>
      <c r="L325" s="139">
        <f>IFERROR(IF(ISNUMBER(F325),F325-IF(ISNUMBER(K325),K325,0),""),"")</f>
        <v/>
      </c>
    </row>
    <row r="326" ht="24" customHeight="1" s="63">
      <c r="E326" s="139" t="n"/>
      <c r="F326" s="139" t="n"/>
      <c r="G326" s="140">
        <f>IFERROR(IF(E326&gt;0,(F326/E326)*1000,""),"")</f>
        <v/>
      </c>
      <c r="H326" s="139">
        <f>IFERROR(IF(E326&gt;0,E326*IF(ISNUMBER(J326),J326,IF(C326="Futures",$C$6,$C$5)),""),"")</f>
        <v/>
      </c>
      <c r="I326" s="139">
        <f>IFERROR(IF(AND(ISNUMBER(F326),ISNUMBER(H326)),F326-H326,""),"")</f>
        <v/>
      </c>
      <c r="J326" s="114" t="n"/>
      <c r="K326" s="139">
        <f>IFERROR(IF(H326&gt;0,H326*$C$7,""),"")</f>
        <v/>
      </c>
      <c r="L326" s="139">
        <f>IFERROR(IF(ISNUMBER(F326),F326-IF(ISNUMBER(K326),K326,0),""),"")</f>
        <v/>
      </c>
    </row>
    <row r="327" ht="24" customHeight="1" s="63">
      <c r="E327" s="139" t="n"/>
      <c r="F327" s="139" t="n"/>
      <c r="G327" s="140">
        <f>IFERROR(IF(E327&gt;0,(F327/E327)*1000,""),"")</f>
        <v/>
      </c>
      <c r="H327" s="139">
        <f>IFERROR(IF(E327&gt;0,E327*IF(ISNUMBER(J327),J327,IF(C327="Futures",$C$6,$C$5)),""),"")</f>
        <v/>
      </c>
      <c r="I327" s="139">
        <f>IFERROR(IF(AND(ISNUMBER(F327),ISNUMBER(H327)),F327-H327,""),"")</f>
        <v/>
      </c>
      <c r="J327" s="114" t="n"/>
      <c r="K327" s="139">
        <f>IFERROR(IF(H327&gt;0,H327*$C$7,""),"")</f>
        <v/>
      </c>
      <c r="L327" s="139">
        <f>IFERROR(IF(ISNUMBER(F327),F327-IF(ISNUMBER(K327),K327,0),""),"")</f>
        <v/>
      </c>
    </row>
    <row r="328" ht="24" customHeight="1" s="63">
      <c r="E328" s="139" t="n"/>
      <c r="F328" s="139" t="n"/>
      <c r="G328" s="140">
        <f>IFERROR(IF(E328&gt;0,(F328/E328)*1000,""),"")</f>
        <v/>
      </c>
      <c r="H328" s="139">
        <f>IFERROR(IF(E328&gt;0,E328*IF(ISNUMBER(J328),J328,IF(C328="Futures",$C$6,$C$5)),""),"")</f>
        <v/>
      </c>
      <c r="I328" s="139">
        <f>IFERROR(IF(AND(ISNUMBER(F328),ISNUMBER(H328)),F328-H328,""),"")</f>
        <v/>
      </c>
      <c r="J328" s="114" t="n"/>
      <c r="K328" s="139">
        <f>IFERROR(IF(H328&gt;0,H328*$C$7,""),"")</f>
        <v/>
      </c>
      <c r="L328" s="139">
        <f>IFERROR(IF(ISNUMBER(F328),F328-IF(ISNUMBER(K328),K328,0),""),"")</f>
        <v/>
      </c>
    </row>
    <row r="329" ht="24" customHeight="1" s="63">
      <c r="E329" s="139" t="n"/>
      <c r="F329" s="139" t="n"/>
      <c r="G329" s="140">
        <f>IFERROR(IF(E329&gt;0,(F329/E329)*1000,""),"")</f>
        <v/>
      </c>
      <c r="H329" s="139">
        <f>IFERROR(IF(E329&gt;0,E329*IF(ISNUMBER(J329),J329,IF(C329="Futures",$C$6,$C$5)),""),"")</f>
        <v/>
      </c>
      <c r="I329" s="139">
        <f>IFERROR(IF(AND(ISNUMBER(F329),ISNUMBER(H329)),F329-H329,""),"")</f>
        <v/>
      </c>
      <c r="J329" s="114" t="n"/>
      <c r="K329" s="139">
        <f>IFERROR(IF(H329&gt;0,H329*$C$7,""),"")</f>
        <v/>
      </c>
      <c r="L329" s="139">
        <f>IFERROR(IF(ISNUMBER(F329),F329-IF(ISNUMBER(K329),K329,0),""),"")</f>
        <v/>
      </c>
    </row>
    <row r="330" ht="24" customHeight="1" s="63">
      <c r="E330" s="139" t="n"/>
      <c r="F330" s="139" t="n"/>
      <c r="G330" s="140">
        <f>IFERROR(IF(E330&gt;0,(F330/E330)*1000,""),"")</f>
        <v/>
      </c>
      <c r="H330" s="139">
        <f>IFERROR(IF(E330&gt;0,E330*IF(ISNUMBER(J330),J330,IF(C330="Futures",$C$6,$C$5)),""),"")</f>
        <v/>
      </c>
      <c r="I330" s="139">
        <f>IFERROR(IF(AND(ISNUMBER(F330),ISNUMBER(H330)),F330-H330,""),"")</f>
        <v/>
      </c>
      <c r="J330" s="114" t="n"/>
      <c r="K330" s="139">
        <f>IFERROR(IF(H330&gt;0,H330*$C$7,""),"")</f>
        <v/>
      </c>
      <c r="L330" s="139">
        <f>IFERROR(IF(ISNUMBER(F330),F330-IF(ISNUMBER(K330),K330,0),""),"")</f>
        <v/>
      </c>
    </row>
    <row r="331" ht="24" customHeight="1" s="63">
      <c r="E331" s="139" t="n"/>
      <c r="F331" s="139" t="n"/>
      <c r="G331" s="140">
        <f>IFERROR(IF(E331&gt;0,(F331/E331)*1000,""),"")</f>
        <v/>
      </c>
      <c r="H331" s="139">
        <f>IFERROR(IF(E331&gt;0,E331*IF(ISNUMBER(J331),J331,IF(C331="Futures",$C$6,$C$5)),""),"")</f>
        <v/>
      </c>
      <c r="I331" s="139">
        <f>IFERROR(IF(AND(ISNUMBER(F331),ISNUMBER(H331)),F331-H331,""),"")</f>
        <v/>
      </c>
      <c r="J331" s="114" t="n"/>
      <c r="K331" s="139">
        <f>IFERROR(IF(H331&gt;0,H331*$C$7,""),"")</f>
        <v/>
      </c>
      <c r="L331" s="139">
        <f>IFERROR(IF(ISNUMBER(F331),F331-IF(ISNUMBER(K331),K331,0),""),"")</f>
        <v/>
      </c>
    </row>
    <row r="332" ht="24" customHeight="1" s="63">
      <c r="E332" s="139" t="n"/>
      <c r="F332" s="139" t="n"/>
      <c r="G332" s="140">
        <f>IFERROR(IF(E332&gt;0,(F332/E332)*1000,""),"")</f>
        <v/>
      </c>
      <c r="H332" s="139">
        <f>IFERROR(IF(E332&gt;0,E332*IF(ISNUMBER(J332),J332,IF(C332="Futures",$C$6,$C$5)),""),"")</f>
        <v/>
      </c>
      <c r="I332" s="139">
        <f>IFERROR(IF(AND(ISNUMBER(F332),ISNUMBER(H332)),F332-H332,""),"")</f>
        <v/>
      </c>
      <c r="J332" s="114" t="n"/>
      <c r="K332" s="139">
        <f>IFERROR(IF(H332&gt;0,H332*$C$7,""),"")</f>
        <v/>
      </c>
      <c r="L332" s="139">
        <f>IFERROR(IF(ISNUMBER(F332),F332-IF(ISNUMBER(K332),K332,0),""),"")</f>
        <v/>
      </c>
    </row>
    <row r="333" ht="24" customHeight="1" s="63">
      <c r="E333" s="139" t="n"/>
      <c r="F333" s="139" t="n"/>
      <c r="G333" s="140">
        <f>IFERROR(IF(E333&gt;0,(F333/E333)*1000,""),"")</f>
        <v/>
      </c>
      <c r="H333" s="139">
        <f>IFERROR(IF(E333&gt;0,E333*IF(ISNUMBER(J333),J333,IF(C333="Futures",$C$6,$C$5)),""),"")</f>
        <v/>
      </c>
      <c r="I333" s="139">
        <f>IFERROR(IF(AND(ISNUMBER(F333),ISNUMBER(H333)),F333-H333,""),"")</f>
        <v/>
      </c>
      <c r="J333" s="114" t="n"/>
      <c r="K333" s="139">
        <f>IFERROR(IF(H333&gt;0,H333*$C$7,""),"")</f>
        <v/>
      </c>
      <c r="L333" s="139">
        <f>IFERROR(IF(ISNUMBER(F333),F333-IF(ISNUMBER(K333),K333,0),""),"")</f>
        <v/>
      </c>
    </row>
    <row r="334" ht="24" customHeight="1" s="63">
      <c r="E334" s="139" t="n"/>
      <c r="F334" s="139" t="n"/>
      <c r="G334" s="140">
        <f>IFERROR(IF(E334&gt;0,(F334/E334)*1000,""),"")</f>
        <v/>
      </c>
      <c r="H334" s="139">
        <f>IFERROR(IF(E334&gt;0,E334*IF(ISNUMBER(J334),J334,IF(C334="Futures",$C$6,$C$5)),""),"")</f>
        <v/>
      </c>
      <c r="I334" s="139">
        <f>IFERROR(IF(AND(ISNUMBER(F334),ISNUMBER(H334)),F334-H334,""),"")</f>
        <v/>
      </c>
      <c r="J334" s="114" t="n"/>
      <c r="K334" s="139">
        <f>IFERROR(IF(H334&gt;0,H334*$C$7,""),"")</f>
        <v/>
      </c>
      <c r="L334" s="139">
        <f>IFERROR(IF(ISNUMBER(F334),F334-IF(ISNUMBER(K334),K334,0),""),"")</f>
        <v/>
      </c>
    </row>
    <row r="335" ht="24" customHeight="1" s="63">
      <c r="E335" s="139" t="n"/>
      <c r="F335" s="139" t="n"/>
      <c r="G335" s="140">
        <f>IFERROR(IF(E335&gt;0,(F335/E335)*1000,""),"")</f>
        <v/>
      </c>
      <c r="H335" s="139">
        <f>IFERROR(IF(E335&gt;0,E335*IF(ISNUMBER(J335),J335,IF(C335="Futures",$C$6,$C$5)),""),"")</f>
        <v/>
      </c>
      <c r="I335" s="139">
        <f>IFERROR(IF(AND(ISNUMBER(F335),ISNUMBER(H335)),F335-H335,""),"")</f>
        <v/>
      </c>
      <c r="J335" s="114" t="n"/>
      <c r="K335" s="139">
        <f>IFERROR(IF(H335&gt;0,H335*$C$7,""),"")</f>
        <v/>
      </c>
      <c r="L335" s="139">
        <f>IFERROR(IF(ISNUMBER(F335),F335-IF(ISNUMBER(K335),K335,0),""),"")</f>
        <v/>
      </c>
    </row>
    <row r="336" ht="24" customHeight="1" s="63">
      <c r="E336" s="139" t="n"/>
      <c r="F336" s="139" t="n"/>
      <c r="G336" s="140">
        <f>IFERROR(IF(E336&gt;0,(F336/E336)*1000,""),"")</f>
        <v/>
      </c>
      <c r="H336" s="139">
        <f>IFERROR(IF(E336&gt;0,E336*IF(ISNUMBER(J336),J336,IF(C336="Futures",$C$6,$C$5)),""),"")</f>
        <v/>
      </c>
      <c r="I336" s="139">
        <f>IFERROR(IF(AND(ISNUMBER(F336),ISNUMBER(H336)),F336-H336,""),"")</f>
        <v/>
      </c>
      <c r="J336" s="114" t="n"/>
      <c r="K336" s="139">
        <f>IFERROR(IF(H336&gt;0,H336*$C$7,""),"")</f>
        <v/>
      </c>
      <c r="L336" s="139">
        <f>IFERROR(IF(ISNUMBER(F336),F336-IF(ISNUMBER(K336),K336,0),""),"")</f>
        <v/>
      </c>
    </row>
    <row r="337" ht="24" customHeight="1" s="63">
      <c r="E337" s="139" t="n"/>
      <c r="F337" s="139" t="n"/>
      <c r="G337" s="140">
        <f>IFERROR(IF(E337&gt;0,(F337/E337)*1000,""),"")</f>
        <v/>
      </c>
      <c r="H337" s="139">
        <f>IFERROR(IF(E337&gt;0,E337*IF(ISNUMBER(J337),J337,IF(C337="Futures",$C$6,$C$5)),""),"")</f>
        <v/>
      </c>
      <c r="I337" s="139">
        <f>IFERROR(IF(AND(ISNUMBER(F337),ISNUMBER(H337)),F337-H337,""),"")</f>
        <v/>
      </c>
      <c r="J337" s="114" t="n"/>
      <c r="K337" s="139">
        <f>IFERROR(IF(H337&gt;0,H337*$C$7,""),"")</f>
        <v/>
      </c>
      <c r="L337" s="139">
        <f>IFERROR(IF(ISNUMBER(F337),F337-IF(ISNUMBER(K337),K337,0),""),"")</f>
        <v/>
      </c>
    </row>
    <row r="338" ht="24" customHeight="1" s="63">
      <c r="E338" s="139" t="n"/>
      <c r="F338" s="139" t="n"/>
      <c r="G338" s="140">
        <f>IFERROR(IF(E338&gt;0,(F338/E338)*1000,""),"")</f>
        <v/>
      </c>
      <c r="H338" s="139">
        <f>IFERROR(IF(E338&gt;0,E338*IF(ISNUMBER(J338),J338,IF(C338="Futures",$C$6,$C$5)),""),"")</f>
        <v/>
      </c>
      <c r="I338" s="139">
        <f>IFERROR(IF(AND(ISNUMBER(F338),ISNUMBER(H338)),F338-H338,""),"")</f>
        <v/>
      </c>
      <c r="J338" s="114" t="n"/>
      <c r="K338" s="139">
        <f>IFERROR(IF(H338&gt;0,H338*$C$7,""),"")</f>
        <v/>
      </c>
      <c r="L338" s="139">
        <f>IFERROR(IF(ISNUMBER(F338),F338-IF(ISNUMBER(K338),K338,0),""),"")</f>
        <v/>
      </c>
    </row>
    <row r="339" ht="24" customHeight="1" s="63">
      <c r="E339" s="139" t="n"/>
      <c r="F339" s="139" t="n"/>
      <c r="G339" s="140">
        <f>IFERROR(IF(E339&gt;0,(F339/E339)*1000,""),"")</f>
        <v/>
      </c>
      <c r="H339" s="139">
        <f>IFERROR(IF(E339&gt;0,E339*IF(ISNUMBER(J339),J339,IF(C339="Futures",$C$6,$C$5)),""),"")</f>
        <v/>
      </c>
      <c r="I339" s="139">
        <f>IFERROR(IF(AND(ISNUMBER(F339),ISNUMBER(H339)),F339-H339,""),"")</f>
        <v/>
      </c>
      <c r="J339" s="114" t="n"/>
      <c r="K339" s="139">
        <f>IFERROR(IF(H339&gt;0,H339*$C$7,""),"")</f>
        <v/>
      </c>
      <c r="L339" s="139">
        <f>IFERROR(IF(ISNUMBER(F339),F339-IF(ISNUMBER(K339),K339,0),""),"")</f>
        <v/>
      </c>
    </row>
    <row r="340" ht="24" customHeight="1" s="63">
      <c r="E340" s="139" t="n"/>
      <c r="F340" s="139" t="n"/>
      <c r="G340" s="140">
        <f>IFERROR(IF(E340&gt;0,(F340/E340)*1000,""),"")</f>
        <v/>
      </c>
      <c r="H340" s="139">
        <f>IFERROR(IF(E340&gt;0,E340*IF(ISNUMBER(J340),J340,IF(C340="Futures",$C$6,$C$5)),""),"")</f>
        <v/>
      </c>
      <c r="I340" s="139">
        <f>IFERROR(IF(AND(ISNUMBER(F340),ISNUMBER(H340)),F340-H340,""),"")</f>
        <v/>
      </c>
      <c r="J340" s="114" t="n"/>
      <c r="K340" s="139">
        <f>IFERROR(IF(H340&gt;0,H340*$C$7,""),"")</f>
        <v/>
      </c>
      <c r="L340" s="139">
        <f>IFERROR(IF(ISNUMBER(F340),F340-IF(ISNUMBER(K340),K340,0),""),"")</f>
        <v/>
      </c>
    </row>
    <row r="341" ht="24" customHeight="1" s="63">
      <c r="E341" s="139" t="n"/>
      <c r="F341" s="139" t="n"/>
      <c r="G341" s="140">
        <f>IFERROR(IF(E341&gt;0,(F341/E341)*1000,""),"")</f>
        <v/>
      </c>
      <c r="H341" s="139">
        <f>IFERROR(IF(E341&gt;0,E341*IF(ISNUMBER(J341),J341,IF(C341="Futures",$C$6,$C$5)),""),"")</f>
        <v/>
      </c>
      <c r="I341" s="139">
        <f>IFERROR(IF(AND(ISNUMBER(F341),ISNUMBER(H341)),F341-H341,""),"")</f>
        <v/>
      </c>
      <c r="J341" s="114" t="n"/>
      <c r="K341" s="139">
        <f>IFERROR(IF(H341&gt;0,H341*$C$7,""),"")</f>
        <v/>
      </c>
      <c r="L341" s="139">
        <f>IFERROR(IF(ISNUMBER(F341),F341-IF(ISNUMBER(K341),K341,0),""),"")</f>
        <v/>
      </c>
    </row>
    <row r="342" ht="24" customHeight="1" s="63">
      <c r="E342" s="139" t="n"/>
      <c r="F342" s="139" t="n"/>
      <c r="G342" s="140">
        <f>IFERROR(IF(E342&gt;0,(F342/E342)*1000,""),"")</f>
        <v/>
      </c>
      <c r="H342" s="139">
        <f>IFERROR(IF(E342&gt;0,E342*IF(ISNUMBER(J342),J342,IF(C342="Futures",$C$6,$C$5)),""),"")</f>
        <v/>
      </c>
      <c r="I342" s="139">
        <f>IFERROR(IF(AND(ISNUMBER(F342),ISNUMBER(H342)),F342-H342,""),"")</f>
        <v/>
      </c>
      <c r="J342" s="114" t="n"/>
      <c r="K342" s="139">
        <f>IFERROR(IF(H342&gt;0,H342*$C$7,""),"")</f>
        <v/>
      </c>
      <c r="L342" s="139">
        <f>IFERROR(IF(ISNUMBER(F342),F342-IF(ISNUMBER(K342),K342,0),""),"")</f>
        <v/>
      </c>
    </row>
    <row r="343" ht="24" customHeight="1" s="63">
      <c r="E343" s="139" t="n"/>
      <c r="F343" s="139" t="n"/>
      <c r="G343" s="140">
        <f>IFERROR(IF(E343&gt;0,(F343/E343)*1000,""),"")</f>
        <v/>
      </c>
      <c r="H343" s="139">
        <f>IFERROR(IF(E343&gt;0,E343*IF(ISNUMBER(J343),J343,IF(C343="Futures",$C$6,$C$5)),""),"")</f>
        <v/>
      </c>
      <c r="I343" s="139">
        <f>IFERROR(IF(AND(ISNUMBER(F343),ISNUMBER(H343)),F343-H343,""),"")</f>
        <v/>
      </c>
      <c r="J343" s="114" t="n"/>
      <c r="K343" s="139">
        <f>IFERROR(IF(H343&gt;0,H343*$C$7,""),"")</f>
        <v/>
      </c>
      <c r="L343" s="139">
        <f>IFERROR(IF(ISNUMBER(F343),F343-IF(ISNUMBER(K343),K343,0),""),"")</f>
        <v/>
      </c>
    </row>
    <row r="344" ht="24" customHeight="1" s="63">
      <c r="E344" s="139" t="n"/>
      <c r="F344" s="139" t="n"/>
      <c r="G344" s="140">
        <f>IFERROR(IF(E344&gt;0,(F344/E344)*1000,""),"")</f>
        <v/>
      </c>
      <c r="H344" s="139">
        <f>IFERROR(IF(E344&gt;0,E344*IF(ISNUMBER(J344),J344,IF(C344="Futures",$C$6,$C$5)),""),"")</f>
        <v/>
      </c>
      <c r="I344" s="139">
        <f>IFERROR(IF(AND(ISNUMBER(F344),ISNUMBER(H344)),F344-H344,""),"")</f>
        <v/>
      </c>
      <c r="J344" s="114" t="n"/>
      <c r="K344" s="139">
        <f>IFERROR(IF(H344&gt;0,H344*$C$7,""),"")</f>
        <v/>
      </c>
      <c r="L344" s="139">
        <f>IFERROR(IF(ISNUMBER(F344),F344-IF(ISNUMBER(K344),K344,0),""),"")</f>
        <v/>
      </c>
    </row>
    <row r="345" ht="24" customHeight="1" s="63">
      <c r="E345" s="139" t="n"/>
      <c r="F345" s="139" t="n"/>
      <c r="G345" s="140">
        <f>IFERROR(IF(E345&gt;0,(F345/E345)*1000,""),"")</f>
        <v/>
      </c>
      <c r="H345" s="139">
        <f>IFERROR(IF(E345&gt;0,E345*IF(ISNUMBER(J345),J345,IF(C345="Futures",$C$6,$C$5)),""),"")</f>
        <v/>
      </c>
      <c r="I345" s="139">
        <f>IFERROR(IF(AND(ISNUMBER(F345),ISNUMBER(H345)),F345-H345,""),"")</f>
        <v/>
      </c>
      <c r="J345" s="114" t="n"/>
      <c r="K345" s="139">
        <f>IFERROR(IF(H345&gt;0,H345*$C$7,""),"")</f>
        <v/>
      </c>
      <c r="L345" s="139">
        <f>IFERROR(IF(ISNUMBER(F345),F345-IF(ISNUMBER(K345),K345,0),""),"")</f>
        <v/>
      </c>
    </row>
    <row r="346" ht="24" customHeight="1" s="63">
      <c r="E346" s="139" t="n"/>
      <c r="F346" s="139" t="n"/>
      <c r="G346" s="140">
        <f>IFERROR(IF(E346&gt;0,(F346/E346)*1000,""),"")</f>
        <v/>
      </c>
      <c r="H346" s="139">
        <f>IFERROR(IF(E346&gt;0,E346*IF(ISNUMBER(J346),J346,IF(C346="Futures",$C$6,$C$5)),""),"")</f>
        <v/>
      </c>
      <c r="I346" s="139">
        <f>IFERROR(IF(AND(ISNUMBER(F346),ISNUMBER(H346)),F346-H346,""),"")</f>
        <v/>
      </c>
      <c r="J346" s="114" t="n"/>
      <c r="K346" s="139">
        <f>IFERROR(IF(H346&gt;0,H346*$C$7,""),"")</f>
        <v/>
      </c>
      <c r="L346" s="139">
        <f>IFERROR(IF(ISNUMBER(F346),F346-IF(ISNUMBER(K346),K346,0),""),"")</f>
        <v/>
      </c>
    </row>
    <row r="347" ht="24" customHeight="1" s="63">
      <c r="E347" s="139" t="n"/>
      <c r="F347" s="139" t="n"/>
      <c r="G347" s="140">
        <f>IFERROR(IF(E347&gt;0,(F347/E347)*1000,""),"")</f>
        <v/>
      </c>
      <c r="H347" s="139">
        <f>IFERROR(IF(E347&gt;0,E347*IF(ISNUMBER(J347),J347,IF(C347="Futures",$C$6,$C$5)),""),"")</f>
        <v/>
      </c>
      <c r="I347" s="139">
        <f>IFERROR(IF(AND(ISNUMBER(F347),ISNUMBER(H347)),F347-H347,""),"")</f>
        <v/>
      </c>
      <c r="J347" s="114" t="n"/>
      <c r="K347" s="139">
        <f>IFERROR(IF(H347&gt;0,H347*$C$7,""),"")</f>
        <v/>
      </c>
      <c r="L347" s="139">
        <f>IFERROR(IF(ISNUMBER(F347),F347-IF(ISNUMBER(K347),K347,0),""),"")</f>
        <v/>
      </c>
    </row>
    <row r="348" ht="24" customHeight="1" s="63">
      <c r="E348" s="139" t="n"/>
      <c r="F348" s="139" t="n"/>
      <c r="G348" s="140">
        <f>IFERROR(IF(E348&gt;0,(F348/E348)*1000,""),"")</f>
        <v/>
      </c>
      <c r="H348" s="139">
        <f>IFERROR(IF(E348&gt;0,E348*IF(ISNUMBER(J348),J348,IF(C348="Futures",$C$6,$C$5)),""),"")</f>
        <v/>
      </c>
      <c r="I348" s="139">
        <f>IFERROR(IF(AND(ISNUMBER(F348),ISNUMBER(H348)),F348-H348,""),"")</f>
        <v/>
      </c>
      <c r="J348" s="114" t="n"/>
      <c r="K348" s="139">
        <f>IFERROR(IF(H348&gt;0,H348*$C$7,""),"")</f>
        <v/>
      </c>
      <c r="L348" s="139">
        <f>IFERROR(IF(ISNUMBER(F348),F348-IF(ISNUMBER(K348),K348,0),""),"")</f>
        <v/>
      </c>
    </row>
    <row r="349" ht="24" customHeight="1" s="63">
      <c r="E349" s="139" t="n"/>
      <c r="F349" s="139" t="n"/>
      <c r="G349" s="140">
        <f>IFERROR(IF(E349&gt;0,(F349/E349)*1000,""),"")</f>
        <v/>
      </c>
      <c r="H349" s="139">
        <f>IFERROR(IF(E349&gt;0,E349*IF(ISNUMBER(J349),J349,IF(C349="Futures",$C$6,$C$5)),""),"")</f>
        <v/>
      </c>
      <c r="I349" s="139">
        <f>IFERROR(IF(AND(ISNUMBER(F349),ISNUMBER(H349)),F349-H349,""),"")</f>
        <v/>
      </c>
      <c r="J349" s="114" t="n"/>
      <c r="K349" s="139">
        <f>IFERROR(IF(H349&gt;0,H349*$C$7,""),"")</f>
        <v/>
      </c>
      <c r="L349" s="139">
        <f>IFERROR(IF(ISNUMBER(F349),F349-IF(ISNUMBER(K349),K349,0),""),"")</f>
        <v/>
      </c>
    </row>
    <row r="350" ht="24" customHeight="1" s="63">
      <c r="E350" s="139" t="n"/>
      <c r="F350" s="139" t="n"/>
      <c r="G350" s="140">
        <f>IFERROR(IF(E350&gt;0,(F350/E350)*1000,""),"")</f>
        <v/>
      </c>
      <c r="H350" s="139">
        <f>IFERROR(IF(E350&gt;0,E350*IF(ISNUMBER(J350),J350,IF(C350="Futures",$C$6,$C$5)),""),"")</f>
        <v/>
      </c>
      <c r="I350" s="139">
        <f>IFERROR(IF(AND(ISNUMBER(F350),ISNUMBER(H350)),F350-H350,""),"")</f>
        <v/>
      </c>
      <c r="J350" s="114" t="n"/>
      <c r="K350" s="139">
        <f>IFERROR(IF(H350&gt;0,H350*$C$7,""),"")</f>
        <v/>
      </c>
      <c r="L350" s="139">
        <f>IFERROR(IF(ISNUMBER(F350),F350-IF(ISNUMBER(K350),K350,0),""),"")</f>
        <v/>
      </c>
    </row>
    <row r="351" ht="24" customHeight="1" s="63">
      <c r="E351" s="139" t="n"/>
      <c r="F351" s="139" t="n"/>
      <c r="G351" s="140">
        <f>IFERROR(IF(E351&gt;0,(F351/E351)*1000,""),"")</f>
        <v/>
      </c>
      <c r="H351" s="139">
        <f>IFERROR(IF(E351&gt;0,E351*IF(ISNUMBER(J351),J351,IF(C351="Futures",$C$6,$C$5)),""),"")</f>
        <v/>
      </c>
      <c r="I351" s="139">
        <f>IFERROR(IF(AND(ISNUMBER(F351),ISNUMBER(H351)),F351-H351,""),"")</f>
        <v/>
      </c>
      <c r="J351" s="114" t="n"/>
      <c r="K351" s="139">
        <f>IFERROR(IF(H351&gt;0,H351*$C$7,""),"")</f>
        <v/>
      </c>
      <c r="L351" s="139">
        <f>IFERROR(IF(ISNUMBER(F351),F351-IF(ISNUMBER(K351),K351,0),""),"")</f>
        <v/>
      </c>
    </row>
    <row r="352" ht="24" customHeight="1" s="63">
      <c r="E352" s="139" t="n"/>
      <c r="F352" s="139" t="n"/>
      <c r="G352" s="140">
        <f>IFERROR(IF(E352&gt;0,(F352/E352)*1000,""),"")</f>
        <v/>
      </c>
      <c r="H352" s="139">
        <f>IFERROR(IF(E352&gt;0,E352*IF(ISNUMBER(J352),J352,IF(C352="Futures",$C$6,$C$5)),""),"")</f>
        <v/>
      </c>
      <c r="I352" s="139">
        <f>IFERROR(IF(AND(ISNUMBER(F352),ISNUMBER(H352)),F352-H352,""),"")</f>
        <v/>
      </c>
      <c r="J352" s="114" t="n"/>
      <c r="K352" s="139">
        <f>IFERROR(IF(H352&gt;0,H352*$C$7,""),"")</f>
        <v/>
      </c>
      <c r="L352" s="139">
        <f>IFERROR(IF(ISNUMBER(F352),F352-IF(ISNUMBER(K352),K352,0),""),"")</f>
        <v/>
      </c>
    </row>
    <row r="353" ht="24" customHeight="1" s="63">
      <c r="E353" s="139" t="n"/>
      <c r="F353" s="139" t="n"/>
      <c r="G353" s="140">
        <f>IFERROR(IF(E353&gt;0,(F353/E353)*1000,""),"")</f>
        <v/>
      </c>
      <c r="H353" s="139">
        <f>IFERROR(IF(E353&gt;0,E353*IF(ISNUMBER(J353),J353,IF(C353="Futures",$C$6,$C$5)),""),"")</f>
        <v/>
      </c>
      <c r="I353" s="139">
        <f>IFERROR(IF(AND(ISNUMBER(F353),ISNUMBER(H353)),F353-H353,""),"")</f>
        <v/>
      </c>
      <c r="J353" s="114" t="n"/>
      <c r="K353" s="139">
        <f>IFERROR(IF(H353&gt;0,H353*$C$7,""),"")</f>
        <v/>
      </c>
      <c r="L353" s="139">
        <f>IFERROR(IF(ISNUMBER(F353),F353-IF(ISNUMBER(K353),K353,0),""),"")</f>
        <v/>
      </c>
    </row>
    <row r="354" ht="24" customHeight="1" s="63">
      <c r="E354" s="139" t="n"/>
      <c r="F354" s="139" t="n"/>
      <c r="G354" s="140">
        <f>IFERROR(IF(E354&gt;0,(F354/E354)*1000,""),"")</f>
        <v/>
      </c>
      <c r="H354" s="139">
        <f>IFERROR(IF(E354&gt;0,E354*IF(ISNUMBER(J354),J354,IF(C354="Futures",$C$6,$C$5)),""),"")</f>
        <v/>
      </c>
      <c r="I354" s="139">
        <f>IFERROR(IF(AND(ISNUMBER(F354),ISNUMBER(H354)),F354-H354,""),"")</f>
        <v/>
      </c>
      <c r="J354" s="114" t="n"/>
      <c r="K354" s="139">
        <f>IFERROR(IF(H354&gt;0,H354*$C$7,""),"")</f>
        <v/>
      </c>
      <c r="L354" s="139">
        <f>IFERROR(IF(ISNUMBER(F354),F354-IF(ISNUMBER(K354),K354,0),""),"")</f>
        <v/>
      </c>
    </row>
    <row r="355" ht="24" customHeight="1" s="63">
      <c r="E355" s="139" t="n"/>
      <c r="F355" s="139" t="n"/>
      <c r="G355" s="140">
        <f>IFERROR(IF(E355&gt;0,(F355/E355)*1000,""),"")</f>
        <v/>
      </c>
      <c r="H355" s="139">
        <f>IFERROR(IF(E355&gt;0,E355*IF(ISNUMBER(J355),J355,IF(C355="Futures",$C$6,$C$5)),""),"")</f>
        <v/>
      </c>
      <c r="I355" s="139">
        <f>IFERROR(IF(AND(ISNUMBER(F355),ISNUMBER(H355)),F355-H355,""),"")</f>
        <v/>
      </c>
      <c r="J355" s="114" t="n"/>
      <c r="K355" s="139">
        <f>IFERROR(IF(H355&gt;0,H355*$C$7,""),"")</f>
        <v/>
      </c>
      <c r="L355" s="139">
        <f>IFERROR(IF(ISNUMBER(F355),F355-IF(ISNUMBER(K355),K355,0),""),"")</f>
        <v/>
      </c>
    </row>
    <row r="356" ht="24" customHeight="1" s="63">
      <c r="E356" s="139" t="n"/>
      <c r="F356" s="139" t="n"/>
      <c r="G356" s="140">
        <f>IFERROR(IF(E356&gt;0,(F356/E356)*1000,""),"")</f>
        <v/>
      </c>
      <c r="H356" s="139">
        <f>IFERROR(IF(E356&gt;0,E356*IF(ISNUMBER(J356),J356,IF(C356="Futures",$C$6,$C$5)),""),"")</f>
        <v/>
      </c>
      <c r="I356" s="139">
        <f>IFERROR(IF(AND(ISNUMBER(F356),ISNUMBER(H356)),F356-H356,""),"")</f>
        <v/>
      </c>
      <c r="J356" s="114" t="n"/>
      <c r="K356" s="139">
        <f>IFERROR(IF(H356&gt;0,H356*$C$7,""),"")</f>
        <v/>
      </c>
      <c r="L356" s="139">
        <f>IFERROR(IF(ISNUMBER(F356),F356-IF(ISNUMBER(K356),K356,0),""),"")</f>
        <v/>
      </c>
    </row>
    <row r="357" ht="24" customHeight="1" s="63">
      <c r="E357" s="139" t="n"/>
      <c r="F357" s="139" t="n"/>
      <c r="G357" s="140">
        <f>IFERROR(IF(E357&gt;0,(F357/E357)*1000,""),"")</f>
        <v/>
      </c>
      <c r="H357" s="139">
        <f>IFERROR(IF(E357&gt;0,E357*IF(ISNUMBER(J357),J357,IF(C357="Futures",$C$6,$C$5)),""),"")</f>
        <v/>
      </c>
      <c r="I357" s="139">
        <f>IFERROR(IF(AND(ISNUMBER(F357),ISNUMBER(H357)),F357-H357,""),"")</f>
        <v/>
      </c>
      <c r="J357" s="114" t="n"/>
      <c r="K357" s="139">
        <f>IFERROR(IF(H357&gt;0,H357*$C$7,""),"")</f>
        <v/>
      </c>
      <c r="L357" s="139">
        <f>IFERROR(IF(ISNUMBER(F357),F357-IF(ISNUMBER(K357),K357,0),""),"")</f>
        <v/>
      </c>
    </row>
    <row r="358" ht="24" customHeight="1" s="63">
      <c r="E358" s="139" t="n"/>
      <c r="F358" s="139" t="n"/>
      <c r="G358" s="140">
        <f>IFERROR(IF(E358&gt;0,(F358/E358)*1000,""),"")</f>
        <v/>
      </c>
      <c r="H358" s="139">
        <f>IFERROR(IF(E358&gt;0,E358*IF(ISNUMBER(J358),J358,IF(C358="Futures",$C$6,$C$5)),""),"")</f>
        <v/>
      </c>
      <c r="I358" s="139">
        <f>IFERROR(IF(AND(ISNUMBER(F358),ISNUMBER(H358)),F358-H358,""),"")</f>
        <v/>
      </c>
      <c r="J358" s="114" t="n"/>
      <c r="K358" s="139">
        <f>IFERROR(IF(H358&gt;0,H358*$C$7,""),"")</f>
        <v/>
      </c>
      <c r="L358" s="139">
        <f>IFERROR(IF(ISNUMBER(F358),F358-IF(ISNUMBER(K358),K358,0),""),"")</f>
        <v/>
      </c>
    </row>
    <row r="359" ht="24" customHeight="1" s="63">
      <c r="E359" s="139" t="n"/>
      <c r="F359" s="139" t="n"/>
      <c r="G359" s="140">
        <f>IFERROR(IF(E359&gt;0,(F359/E359)*1000,""),"")</f>
        <v/>
      </c>
      <c r="H359" s="139">
        <f>IFERROR(IF(E359&gt;0,E359*IF(ISNUMBER(J359),J359,IF(C359="Futures",$C$6,$C$5)),""),"")</f>
        <v/>
      </c>
      <c r="I359" s="139">
        <f>IFERROR(IF(AND(ISNUMBER(F359),ISNUMBER(H359)),F359-H359,""),"")</f>
        <v/>
      </c>
      <c r="J359" s="114" t="n"/>
      <c r="K359" s="139">
        <f>IFERROR(IF(H359&gt;0,H359*$C$7,""),"")</f>
        <v/>
      </c>
      <c r="L359" s="139">
        <f>IFERROR(IF(ISNUMBER(F359),F359-IF(ISNUMBER(K359),K359,0),""),"")</f>
        <v/>
      </c>
    </row>
    <row r="360" ht="24" customHeight="1" s="63">
      <c r="E360" s="139" t="n"/>
      <c r="F360" s="139" t="n"/>
      <c r="G360" s="140">
        <f>IFERROR(IF(E360&gt;0,(F360/E360)*1000,""),"")</f>
        <v/>
      </c>
      <c r="H360" s="139">
        <f>IFERROR(IF(E360&gt;0,E360*IF(ISNUMBER(J360),J360,IF(C360="Futures",$C$6,$C$5)),""),"")</f>
        <v/>
      </c>
      <c r="I360" s="139">
        <f>IFERROR(IF(AND(ISNUMBER(F360),ISNUMBER(H360)),F360-H360,""),"")</f>
        <v/>
      </c>
      <c r="J360" s="114" t="n"/>
      <c r="K360" s="139">
        <f>IFERROR(IF(H360&gt;0,H360*$C$7,""),"")</f>
        <v/>
      </c>
      <c r="L360" s="139">
        <f>IFERROR(IF(ISNUMBER(F360),F360-IF(ISNUMBER(K360),K360,0),""),"")</f>
        <v/>
      </c>
    </row>
    <row r="361" ht="24" customHeight="1" s="63">
      <c r="E361" s="139" t="n"/>
      <c r="F361" s="139" t="n"/>
      <c r="G361" s="140">
        <f>IFERROR(IF(E361&gt;0,(F361/E361)*1000,""),"")</f>
        <v/>
      </c>
      <c r="H361" s="139">
        <f>IFERROR(IF(E361&gt;0,E361*IF(ISNUMBER(J361),J361,IF(C361="Futures",$C$6,$C$5)),""),"")</f>
        <v/>
      </c>
      <c r="I361" s="139">
        <f>IFERROR(IF(AND(ISNUMBER(F361),ISNUMBER(H361)),F361-H361,""),"")</f>
        <v/>
      </c>
      <c r="J361" s="114" t="n"/>
      <c r="K361" s="139">
        <f>IFERROR(IF(H361&gt;0,H361*$C$7,""),"")</f>
        <v/>
      </c>
      <c r="L361" s="139">
        <f>IFERROR(IF(ISNUMBER(F361),F361-IF(ISNUMBER(K361),K361,0),""),"")</f>
        <v/>
      </c>
    </row>
    <row r="362" ht="24" customHeight="1" s="63">
      <c r="E362" s="139" t="n"/>
      <c r="F362" s="139" t="n"/>
      <c r="G362" s="140">
        <f>IFERROR(IF(E362&gt;0,(F362/E362)*1000,""),"")</f>
        <v/>
      </c>
      <c r="H362" s="139">
        <f>IFERROR(IF(E362&gt;0,E362*IF(ISNUMBER(J362),J362,IF(C362="Futures",$C$6,$C$5)),""),"")</f>
        <v/>
      </c>
      <c r="I362" s="139">
        <f>IFERROR(IF(AND(ISNUMBER(F362),ISNUMBER(H362)),F362-H362,""),"")</f>
        <v/>
      </c>
      <c r="J362" s="114" t="n"/>
      <c r="K362" s="139">
        <f>IFERROR(IF(H362&gt;0,H362*$C$7,""),"")</f>
        <v/>
      </c>
      <c r="L362" s="139">
        <f>IFERROR(IF(ISNUMBER(F362),F362-IF(ISNUMBER(K362),K362,0),""),"")</f>
        <v/>
      </c>
    </row>
    <row r="363" ht="24" customHeight="1" s="63">
      <c r="E363" s="139" t="n"/>
      <c r="F363" s="139" t="n"/>
      <c r="G363" s="140">
        <f>IFERROR(IF(E363&gt;0,(F363/E363)*1000,""),"")</f>
        <v/>
      </c>
      <c r="H363" s="139">
        <f>IFERROR(IF(E363&gt;0,E363*IF(ISNUMBER(J363),J363,IF(C363="Futures",$C$6,$C$5)),""),"")</f>
        <v/>
      </c>
      <c r="I363" s="139">
        <f>IFERROR(IF(AND(ISNUMBER(F363),ISNUMBER(H363)),F363-H363,""),"")</f>
        <v/>
      </c>
      <c r="J363" s="114" t="n"/>
      <c r="K363" s="139">
        <f>IFERROR(IF(H363&gt;0,H363*$C$7,""),"")</f>
        <v/>
      </c>
      <c r="L363" s="139">
        <f>IFERROR(IF(ISNUMBER(F363),F363-IF(ISNUMBER(K363),K363,0),""),"")</f>
        <v/>
      </c>
    </row>
    <row r="364" ht="24" customHeight="1" s="63">
      <c r="E364" s="139" t="n"/>
      <c r="F364" s="139" t="n"/>
      <c r="G364" s="140">
        <f>IFERROR(IF(E364&gt;0,(F364/E364)*1000,""),"")</f>
        <v/>
      </c>
      <c r="H364" s="139">
        <f>IFERROR(IF(E364&gt;0,E364*IF(ISNUMBER(J364),J364,IF(C364="Futures",$C$6,$C$5)),""),"")</f>
        <v/>
      </c>
      <c r="I364" s="139">
        <f>IFERROR(IF(AND(ISNUMBER(F364),ISNUMBER(H364)),F364-H364,""),"")</f>
        <v/>
      </c>
      <c r="J364" s="114" t="n"/>
      <c r="K364" s="139">
        <f>IFERROR(IF(H364&gt;0,H364*$C$7,""),"")</f>
        <v/>
      </c>
      <c r="L364" s="139">
        <f>IFERROR(IF(ISNUMBER(F364),F364-IF(ISNUMBER(K364),K364,0),""),"")</f>
        <v/>
      </c>
    </row>
    <row r="365" ht="24" customHeight="1" s="63">
      <c r="E365" s="139" t="n"/>
      <c r="F365" s="139" t="n"/>
      <c r="G365" s="140">
        <f>IFERROR(IF(E365&gt;0,(F365/E365)*1000,""),"")</f>
        <v/>
      </c>
      <c r="H365" s="139">
        <f>IFERROR(IF(E365&gt;0,E365*IF(ISNUMBER(J365),J365,IF(C365="Futures",$C$6,$C$5)),""),"")</f>
        <v/>
      </c>
      <c r="I365" s="139">
        <f>IFERROR(IF(AND(ISNUMBER(F365),ISNUMBER(H365)),F365-H365,""),"")</f>
        <v/>
      </c>
      <c r="J365" s="114" t="n"/>
      <c r="K365" s="139">
        <f>IFERROR(IF(H365&gt;0,H365*$C$7,""),"")</f>
        <v/>
      </c>
      <c r="L365" s="139">
        <f>IFERROR(IF(ISNUMBER(F365),F365-IF(ISNUMBER(K365),K365,0),""),"")</f>
        <v/>
      </c>
    </row>
    <row r="366" ht="24" customHeight="1" s="63">
      <c r="E366" s="139" t="n"/>
      <c r="F366" s="139" t="n"/>
      <c r="G366" s="140">
        <f>IFERROR(IF(E366&gt;0,(F366/E366)*1000,""),"")</f>
        <v/>
      </c>
      <c r="H366" s="139">
        <f>IFERROR(IF(E366&gt;0,E366*IF(ISNUMBER(J366),J366,IF(C366="Futures",$C$6,$C$5)),""),"")</f>
        <v/>
      </c>
      <c r="I366" s="139">
        <f>IFERROR(IF(AND(ISNUMBER(F366),ISNUMBER(H366)),F366-H366,""),"")</f>
        <v/>
      </c>
      <c r="J366" s="114" t="n"/>
      <c r="K366" s="139">
        <f>IFERROR(IF(H366&gt;0,H366*$C$7,""),"")</f>
        <v/>
      </c>
      <c r="L366" s="139">
        <f>IFERROR(IF(ISNUMBER(F366),F366-IF(ISNUMBER(K366),K366,0),""),"")</f>
        <v/>
      </c>
    </row>
    <row r="367" ht="24" customHeight="1" s="63">
      <c r="E367" s="139" t="n"/>
      <c r="F367" s="139" t="n"/>
      <c r="G367" s="140">
        <f>IFERROR(IF(E367&gt;0,(F367/E367)*1000,""),"")</f>
        <v/>
      </c>
      <c r="H367" s="139">
        <f>IFERROR(IF(E367&gt;0,E367*IF(ISNUMBER(J367),J367,IF(C367="Futures",$C$6,$C$5)),""),"")</f>
        <v/>
      </c>
      <c r="I367" s="139">
        <f>IFERROR(IF(AND(ISNUMBER(F367),ISNUMBER(H367)),F367-H367,""),"")</f>
        <v/>
      </c>
      <c r="J367" s="114" t="n"/>
      <c r="K367" s="139">
        <f>IFERROR(IF(H367&gt;0,H367*$C$7,""),"")</f>
        <v/>
      </c>
      <c r="L367" s="139">
        <f>IFERROR(IF(ISNUMBER(F367),F367-IF(ISNUMBER(K367),K367,0),""),"")</f>
        <v/>
      </c>
    </row>
    <row r="368" ht="24" customHeight="1" s="63">
      <c r="E368" s="139" t="n"/>
      <c r="F368" s="139" t="n"/>
      <c r="G368" s="140">
        <f>IFERROR(IF(E368&gt;0,(F368/E368)*1000,""),"")</f>
        <v/>
      </c>
      <c r="H368" s="139">
        <f>IFERROR(IF(E368&gt;0,E368*IF(ISNUMBER(J368),J368,IF(C368="Futures",$C$6,$C$5)),""),"")</f>
        <v/>
      </c>
      <c r="I368" s="139">
        <f>IFERROR(IF(AND(ISNUMBER(F368),ISNUMBER(H368)),F368-H368,""),"")</f>
        <v/>
      </c>
      <c r="J368" s="114" t="n"/>
      <c r="K368" s="139">
        <f>IFERROR(IF(H368&gt;0,H368*$C$7,""),"")</f>
        <v/>
      </c>
      <c r="L368" s="139">
        <f>IFERROR(IF(ISNUMBER(F368),F368-IF(ISNUMBER(K368),K368,0),""),"")</f>
        <v/>
      </c>
    </row>
    <row r="369" ht="24" customHeight="1" s="63">
      <c r="E369" s="139" t="n"/>
      <c r="F369" s="139" t="n"/>
      <c r="G369" s="140">
        <f>IFERROR(IF(E369&gt;0,(F369/E369)*1000,""),"")</f>
        <v/>
      </c>
      <c r="H369" s="139">
        <f>IFERROR(IF(E369&gt;0,E369*IF(ISNUMBER(J369),J369,IF(C369="Futures",$C$6,$C$5)),""),"")</f>
        <v/>
      </c>
      <c r="I369" s="139">
        <f>IFERROR(IF(AND(ISNUMBER(F369),ISNUMBER(H369)),F369-H369,""),"")</f>
        <v/>
      </c>
      <c r="J369" s="114" t="n"/>
      <c r="K369" s="139">
        <f>IFERROR(IF(H369&gt;0,H369*$C$7,""),"")</f>
        <v/>
      </c>
      <c r="L369" s="139">
        <f>IFERROR(IF(ISNUMBER(F369),F369-IF(ISNUMBER(K369),K369,0),""),"")</f>
        <v/>
      </c>
    </row>
    <row r="370" ht="24" customHeight="1" s="63">
      <c r="E370" s="139" t="n"/>
      <c r="F370" s="139" t="n"/>
      <c r="G370" s="140">
        <f>IFERROR(IF(E370&gt;0,(F370/E370)*1000,""),"")</f>
        <v/>
      </c>
      <c r="H370" s="139">
        <f>IFERROR(IF(E370&gt;0,E370*IF(ISNUMBER(J370),J370,IF(C370="Futures",$C$6,$C$5)),""),"")</f>
        <v/>
      </c>
      <c r="I370" s="139">
        <f>IFERROR(IF(AND(ISNUMBER(F370),ISNUMBER(H370)),F370-H370,""),"")</f>
        <v/>
      </c>
      <c r="J370" s="114" t="n"/>
      <c r="K370" s="139">
        <f>IFERROR(IF(H370&gt;0,H370*$C$7,""),"")</f>
        <v/>
      </c>
      <c r="L370" s="139">
        <f>IFERROR(IF(ISNUMBER(F370),F370-IF(ISNUMBER(K370),K370,0),""),"")</f>
        <v/>
      </c>
    </row>
    <row r="371" ht="24" customHeight="1" s="63">
      <c r="E371" s="139" t="n"/>
      <c r="F371" s="139" t="n"/>
      <c r="G371" s="140">
        <f>IFERROR(IF(E371&gt;0,(F371/E371)*1000,""),"")</f>
        <v/>
      </c>
      <c r="H371" s="139">
        <f>IFERROR(IF(E371&gt;0,E371*IF(ISNUMBER(J371),J371,IF(C371="Futures",$C$6,$C$5)),""),"")</f>
        <v/>
      </c>
      <c r="I371" s="139">
        <f>IFERROR(IF(AND(ISNUMBER(F371),ISNUMBER(H371)),F371-H371,""),"")</f>
        <v/>
      </c>
      <c r="J371" s="114" t="n"/>
      <c r="K371" s="139">
        <f>IFERROR(IF(H371&gt;0,H371*$C$7,""),"")</f>
        <v/>
      </c>
      <c r="L371" s="139">
        <f>IFERROR(IF(ISNUMBER(F371),F371-IF(ISNUMBER(K371),K371,0),""),"")</f>
        <v/>
      </c>
    </row>
    <row r="372" ht="24" customHeight="1" s="63">
      <c r="E372" s="139" t="n"/>
      <c r="F372" s="139" t="n"/>
      <c r="G372" s="140">
        <f>IFERROR(IF(E372&gt;0,(F372/E372)*1000,""),"")</f>
        <v/>
      </c>
      <c r="H372" s="139">
        <f>IFERROR(IF(E372&gt;0,E372*IF(ISNUMBER(J372),J372,IF(C372="Futures",$C$6,$C$5)),""),"")</f>
        <v/>
      </c>
      <c r="I372" s="139">
        <f>IFERROR(IF(AND(ISNUMBER(F372),ISNUMBER(H372)),F372-H372,""),"")</f>
        <v/>
      </c>
      <c r="J372" s="114" t="n"/>
      <c r="K372" s="139">
        <f>IFERROR(IF(H372&gt;0,H372*$C$7,""),"")</f>
        <v/>
      </c>
      <c r="L372" s="139">
        <f>IFERROR(IF(ISNUMBER(F372),F372-IF(ISNUMBER(K372),K372,0),""),"")</f>
        <v/>
      </c>
    </row>
    <row r="373" ht="24" customHeight="1" s="63">
      <c r="E373" s="139" t="n"/>
      <c r="F373" s="139" t="n"/>
      <c r="G373" s="140">
        <f>IFERROR(IF(E373&gt;0,(F373/E373)*1000,""),"")</f>
        <v/>
      </c>
      <c r="H373" s="139">
        <f>IFERROR(IF(E373&gt;0,E373*IF(ISNUMBER(J373),J373,IF(C373="Futures",$C$6,$C$5)),""),"")</f>
        <v/>
      </c>
      <c r="I373" s="139">
        <f>IFERROR(IF(AND(ISNUMBER(F373),ISNUMBER(H373)),F373-H373,""),"")</f>
        <v/>
      </c>
      <c r="J373" s="114" t="n"/>
      <c r="K373" s="139">
        <f>IFERROR(IF(H373&gt;0,H373*$C$7,""),"")</f>
        <v/>
      </c>
      <c r="L373" s="139">
        <f>IFERROR(IF(ISNUMBER(F373),F373-IF(ISNUMBER(K373),K373,0),""),"")</f>
        <v/>
      </c>
    </row>
    <row r="374" ht="24" customHeight="1" s="63">
      <c r="E374" s="139" t="n"/>
      <c r="F374" s="139" t="n"/>
      <c r="G374" s="140">
        <f>IFERROR(IF(E374&gt;0,(F374/E374)*1000,""),"")</f>
        <v/>
      </c>
      <c r="H374" s="139">
        <f>IFERROR(IF(E374&gt;0,E374*IF(ISNUMBER(J374),J374,IF(C374="Futures",$C$6,$C$5)),""),"")</f>
        <v/>
      </c>
      <c r="I374" s="139">
        <f>IFERROR(IF(AND(ISNUMBER(F374),ISNUMBER(H374)),F374-H374,""),"")</f>
        <v/>
      </c>
      <c r="J374" s="114" t="n"/>
      <c r="K374" s="139">
        <f>IFERROR(IF(H374&gt;0,H374*$C$7,""),"")</f>
        <v/>
      </c>
      <c r="L374" s="139">
        <f>IFERROR(IF(ISNUMBER(F374),F374-IF(ISNUMBER(K374),K374,0),""),"")</f>
        <v/>
      </c>
    </row>
    <row r="375" ht="24" customHeight="1" s="63">
      <c r="E375" s="139" t="n"/>
      <c r="F375" s="139" t="n"/>
      <c r="G375" s="140">
        <f>IFERROR(IF(E375&gt;0,(F375/E375)*1000,""),"")</f>
        <v/>
      </c>
      <c r="H375" s="139">
        <f>IFERROR(IF(E375&gt;0,E375*IF(ISNUMBER(J375),J375,IF(C375="Futures",$C$6,$C$5)),""),"")</f>
        <v/>
      </c>
      <c r="I375" s="139">
        <f>IFERROR(IF(AND(ISNUMBER(F375),ISNUMBER(H375)),F375-H375,""),"")</f>
        <v/>
      </c>
      <c r="J375" s="114" t="n"/>
      <c r="K375" s="139">
        <f>IFERROR(IF(H375&gt;0,H375*$C$7,""),"")</f>
        <v/>
      </c>
      <c r="L375" s="139">
        <f>IFERROR(IF(ISNUMBER(F375),F375-IF(ISNUMBER(K375),K375,0),""),"")</f>
        <v/>
      </c>
    </row>
    <row r="376" ht="24" customHeight="1" s="63">
      <c r="E376" s="139" t="n"/>
      <c r="F376" s="139" t="n"/>
      <c r="G376" s="140">
        <f>IFERROR(IF(E376&gt;0,(F376/E376)*1000,""),"")</f>
        <v/>
      </c>
      <c r="H376" s="139">
        <f>IFERROR(IF(E376&gt;0,E376*IF(ISNUMBER(J376),J376,IF(C376="Futures",$C$6,$C$5)),""),"")</f>
        <v/>
      </c>
      <c r="I376" s="139">
        <f>IFERROR(IF(AND(ISNUMBER(F376),ISNUMBER(H376)),F376-H376,""),"")</f>
        <v/>
      </c>
      <c r="J376" s="114" t="n"/>
      <c r="K376" s="139">
        <f>IFERROR(IF(H376&gt;0,H376*$C$7,""),"")</f>
        <v/>
      </c>
      <c r="L376" s="139">
        <f>IFERROR(IF(ISNUMBER(F376),F376-IF(ISNUMBER(K376),K376,0),""),"")</f>
        <v/>
      </c>
    </row>
    <row r="377" ht="24" customHeight="1" s="63">
      <c r="E377" s="139" t="n"/>
      <c r="F377" s="139" t="n"/>
      <c r="G377" s="140">
        <f>IFERROR(IF(E377&gt;0,(F377/E377)*1000,""),"")</f>
        <v/>
      </c>
      <c r="H377" s="139">
        <f>IFERROR(IF(E377&gt;0,E377*IF(ISNUMBER(J377),J377,IF(C377="Futures",$C$6,$C$5)),""),"")</f>
        <v/>
      </c>
      <c r="I377" s="139">
        <f>IFERROR(IF(AND(ISNUMBER(F377),ISNUMBER(H377)),F377-H377,""),"")</f>
        <v/>
      </c>
      <c r="J377" s="114" t="n"/>
      <c r="K377" s="139">
        <f>IFERROR(IF(H377&gt;0,H377*$C$7,""),"")</f>
        <v/>
      </c>
      <c r="L377" s="139">
        <f>IFERROR(IF(ISNUMBER(F377),F377-IF(ISNUMBER(K377),K377,0),""),"")</f>
        <v/>
      </c>
    </row>
    <row r="378" ht="24" customHeight="1" s="63">
      <c r="E378" s="139" t="n"/>
      <c r="F378" s="139" t="n"/>
      <c r="G378" s="140">
        <f>IFERROR(IF(E378&gt;0,(F378/E378)*1000,""),"")</f>
        <v/>
      </c>
      <c r="H378" s="139">
        <f>IFERROR(IF(E378&gt;0,E378*IF(ISNUMBER(J378),J378,IF(C378="Futures",$C$6,$C$5)),""),"")</f>
        <v/>
      </c>
      <c r="I378" s="139">
        <f>IFERROR(IF(AND(ISNUMBER(F378),ISNUMBER(H378)),F378-H378,""),"")</f>
        <v/>
      </c>
      <c r="J378" s="114" t="n"/>
      <c r="K378" s="139">
        <f>IFERROR(IF(H378&gt;0,H378*$C$7,""),"")</f>
        <v/>
      </c>
      <c r="L378" s="139">
        <f>IFERROR(IF(ISNUMBER(F378),F378-IF(ISNUMBER(K378),K378,0),""),"")</f>
        <v/>
      </c>
    </row>
    <row r="379" ht="24" customHeight="1" s="63">
      <c r="E379" s="139" t="n"/>
      <c r="F379" s="139" t="n"/>
      <c r="G379" s="140">
        <f>IFERROR(IF(E379&gt;0,(F379/E379)*1000,""),"")</f>
        <v/>
      </c>
      <c r="H379" s="139">
        <f>IFERROR(IF(E379&gt;0,E379*IF(ISNUMBER(J379),J379,IF(C379="Futures",$C$6,$C$5)),""),"")</f>
        <v/>
      </c>
      <c r="I379" s="139">
        <f>IFERROR(IF(AND(ISNUMBER(F379),ISNUMBER(H379)),F379-H379,""),"")</f>
        <v/>
      </c>
      <c r="J379" s="114" t="n"/>
      <c r="K379" s="139">
        <f>IFERROR(IF(H379&gt;0,H379*$C$7,""),"")</f>
        <v/>
      </c>
      <c r="L379" s="139">
        <f>IFERROR(IF(ISNUMBER(F379),F379-IF(ISNUMBER(K379),K379,0),""),"")</f>
        <v/>
      </c>
    </row>
    <row r="380" ht="24" customHeight="1" s="63">
      <c r="E380" s="139" t="n"/>
      <c r="F380" s="139" t="n"/>
      <c r="G380" s="140">
        <f>IFERROR(IF(E380&gt;0,(F380/E380)*1000,""),"")</f>
        <v/>
      </c>
      <c r="H380" s="139">
        <f>IFERROR(IF(E380&gt;0,E380*IF(ISNUMBER(J380),J380,IF(C380="Futures",$C$6,$C$5)),""),"")</f>
        <v/>
      </c>
      <c r="I380" s="139">
        <f>IFERROR(IF(AND(ISNUMBER(F380),ISNUMBER(H380)),F380-H380,""),"")</f>
        <v/>
      </c>
      <c r="J380" s="114" t="n"/>
      <c r="K380" s="139">
        <f>IFERROR(IF(H380&gt;0,H380*$C$7,""),"")</f>
        <v/>
      </c>
      <c r="L380" s="139">
        <f>IFERROR(IF(ISNUMBER(F380),F380-IF(ISNUMBER(K380),K380,0),""),"")</f>
        <v/>
      </c>
    </row>
    <row r="381" ht="24" customHeight="1" s="63">
      <c r="E381" s="139" t="n"/>
      <c r="F381" s="139" t="n"/>
      <c r="G381" s="140">
        <f>IFERROR(IF(E381&gt;0,(F381/E381)*1000,""),"")</f>
        <v/>
      </c>
      <c r="H381" s="139">
        <f>IFERROR(IF(E381&gt;0,E381*IF(ISNUMBER(J381),J381,IF(C381="Futures",$C$6,$C$5)),""),"")</f>
        <v/>
      </c>
      <c r="I381" s="139">
        <f>IFERROR(IF(AND(ISNUMBER(F381),ISNUMBER(H381)),F381-H381,""),"")</f>
        <v/>
      </c>
      <c r="J381" s="114" t="n"/>
      <c r="K381" s="139">
        <f>IFERROR(IF(H381&gt;0,H381*$C$7,""),"")</f>
        <v/>
      </c>
      <c r="L381" s="139">
        <f>IFERROR(IF(ISNUMBER(F381),F381-IF(ISNUMBER(K381),K381,0),""),"")</f>
        <v/>
      </c>
    </row>
    <row r="382" ht="24" customHeight="1" s="63">
      <c r="E382" s="139" t="n"/>
      <c r="F382" s="139" t="n"/>
      <c r="G382" s="140">
        <f>IFERROR(IF(E382&gt;0,(F382/E382)*1000,""),"")</f>
        <v/>
      </c>
      <c r="H382" s="139">
        <f>IFERROR(IF(E382&gt;0,E382*IF(ISNUMBER(J382),J382,IF(C382="Futures",$C$6,$C$5)),""),"")</f>
        <v/>
      </c>
      <c r="I382" s="139">
        <f>IFERROR(IF(AND(ISNUMBER(F382),ISNUMBER(H382)),F382-H382,""),"")</f>
        <v/>
      </c>
      <c r="J382" s="114" t="n"/>
      <c r="K382" s="139">
        <f>IFERROR(IF(H382&gt;0,H382*$C$7,""),"")</f>
        <v/>
      </c>
      <c r="L382" s="139">
        <f>IFERROR(IF(ISNUMBER(F382),F382-IF(ISNUMBER(K382),K382,0),""),"")</f>
        <v/>
      </c>
    </row>
    <row r="383" ht="24" customHeight="1" s="63">
      <c r="E383" s="139" t="n"/>
      <c r="F383" s="139" t="n"/>
      <c r="G383" s="140">
        <f>IFERROR(IF(E383&gt;0,(F383/E383)*1000,""),"")</f>
        <v/>
      </c>
      <c r="H383" s="139">
        <f>IFERROR(IF(E383&gt;0,E383*IF(ISNUMBER(J383),J383,IF(C383="Futures",$C$6,$C$5)),""),"")</f>
        <v/>
      </c>
      <c r="I383" s="139">
        <f>IFERROR(IF(AND(ISNUMBER(F383),ISNUMBER(H383)),F383-H383,""),"")</f>
        <v/>
      </c>
      <c r="J383" s="114" t="n"/>
      <c r="K383" s="139">
        <f>IFERROR(IF(H383&gt;0,H383*$C$7,""),"")</f>
        <v/>
      </c>
      <c r="L383" s="139">
        <f>IFERROR(IF(ISNUMBER(F383),F383-IF(ISNUMBER(K383),K383,0),""),"")</f>
        <v/>
      </c>
    </row>
    <row r="384" ht="24" customHeight="1" s="63">
      <c r="E384" s="139" t="n"/>
      <c r="F384" s="139" t="n"/>
      <c r="G384" s="140">
        <f>IFERROR(IF(E384&gt;0,(F384/E384)*1000,""),"")</f>
        <v/>
      </c>
      <c r="H384" s="139">
        <f>IFERROR(IF(E384&gt;0,E384*IF(ISNUMBER(J384),J384,IF(C384="Futures",$C$6,$C$5)),""),"")</f>
        <v/>
      </c>
      <c r="I384" s="139">
        <f>IFERROR(IF(AND(ISNUMBER(F384),ISNUMBER(H384)),F384-H384,""),"")</f>
        <v/>
      </c>
      <c r="J384" s="114" t="n"/>
      <c r="K384" s="139">
        <f>IFERROR(IF(H384&gt;0,H384*$C$7,""),"")</f>
        <v/>
      </c>
      <c r="L384" s="139">
        <f>IFERROR(IF(ISNUMBER(F384),F384-IF(ISNUMBER(K384),K384,0),""),"")</f>
        <v/>
      </c>
    </row>
    <row r="385" ht="24" customHeight="1" s="63">
      <c r="E385" s="139" t="n"/>
      <c r="F385" s="139" t="n"/>
      <c r="G385" s="140">
        <f>IFERROR(IF(E385&gt;0,(F385/E385)*1000,""),"")</f>
        <v/>
      </c>
      <c r="H385" s="139">
        <f>IFERROR(IF(E385&gt;0,E385*IF(ISNUMBER(J385),J385,IF(C385="Futures",$C$6,$C$5)),""),"")</f>
        <v/>
      </c>
      <c r="I385" s="139">
        <f>IFERROR(IF(AND(ISNUMBER(F385),ISNUMBER(H385)),F385-H385,""),"")</f>
        <v/>
      </c>
      <c r="J385" s="114" t="n"/>
      <c r="K385" s="139">
        <f>IFERROR(IF(H385&gt;0,H385*$C$7,""),"")</f>
        <v/>
      </c>
      <c r="L385" s="139">
        <f>IFERROR(IF(ISNUMBER(F385),F385-IF(ISNUMBER(K385),K385,0),""),"")</f>
        <v/>
      </c>
    </row>
    <row r="386" ht="24" customHeight="1" s="63">
      <c r="E386" s="139" t="n"/>
      <c r="F386" s="139" t="n"/>
      <c r="G386" s="140">
        <f>IFERROR(IF(E386&gt;0,(F386/E386)*1000,""),"")</f>
        <v/>
      </c>
      <c r="H386" s="139">
        <f>IFERROR(IF(E386&gt;0,E386*IF(ISNUMBER(J386),J386,IF(C386="Futures",$C$6,$C$5)),""),"")</f>
        <v/>
      </c>
      <c r="I386" s="139">
        <f>IFERROR(IF(AND(ISNUMBER(F386),ISNUMBER(H386)),F386-H386,""),"")</f>
        <v/>
      </c>
      <c r="J386" s="114" t="n"/>
      <c r="K386" s="139">
        <f>IFERROR(IF(H386&gt;0,H386*$C$7,""),"")</f>
        <v/>
      </c>
      <c r="L386" s="139">
        <f>IFERROR(IF(ISNUMBER(F386),F386-IF(ISNUMBER(K386),K386,0),""),"")</f>
        <v/>
      </c>
    </row>
    <row r="387" ht="24" customHeight="1" s="63">
      <c r="E387" s="139" t="n"/>
      <c r="F387" s="139" t="n"/>
      <c r="G387" s="140">
        <f>IFERROR(IF(E387&gt;0,(F387/E387)*1000,""),"")</f>
        <v/>
      </c>
      <c r="H387" s="139">
        <f>IFERROR(IF(E387&gt;0,E387*IF(ISNUMBER(J387),J387,IF(C387="Futures",$C$6,$C$5)),""),"")</f>
        <v/>
      </c>
      <c r="I387" s="139">
        <f>IFERROR(IF(AND(ISNUMBER(F387),ISNUMBER(H387)),F387-H387,""),"")</f>
        <v/>
      </c>
      <c r="J387" s="114" t="n"/>
      <c r="K387" s="139">
        <f>IFERROR(IF(H387&gt;0,H387*$C$7,""),"")</f>
        <v/>
      </c>
      <c r="L387" s="139">
        <f>IFERROR(IF(ISNUMBER(F387),F387-IF(ISNUMBER(K387),K387,0),""),"")</f>
        <v/>
      </c>
    </row>
    <row r="388" ht="24" customHeight="1" s="63">
      <c r="E388" s="139" t="n"/>
      <c r="F388" s="139" t="n"/>
      <c r="G388" s="140">
        <f>IFERROR(IF(E388&gt;0,(F388/E388)*1000,""),"")</f>
        <v/>
      </c>
      <c r="H388" s="139">
        <f>IFERROR(IF(E388&gt;0,E388*IF(ISNUMBER(J388),J388,IF(C388="Futures",$C$6,$C$5)),""),"")</f>
        <v/>
      </c>
      <c r="I388" s="139">
        <f>IFERROR(IF(AND(ISNUMBER(F388),ISNUMBER(H388)),F388-H388,""),"")</f>
        <v/>
      </c>
      <c r="J388" s="114" t="n"/>
      <c r="K388" s="139">
        <f>IFERROR(IF(H388&gt;0,H388*$C$7,""),"")</f>
        <v/>
      </c>
      <c r="L388" s="139">
        <f>IFERROR(IF(ISNUMBER(F388),F388-IF(ISNUMBER(K388),K388,0),""),"")</f>
        <v/>
      </c>
    </row>
    <row r="389" ht="24" customHeight="1" s="63">
      <c r="E389" s="139" t="n"/>
      <c r="F389" s="139" t="n"/>
      <c r="G389" s="140">
        <f>IFERROR(IF(E389&gt;0,(F389/E389)*1000,""),"")</f>
        <v/>
      </c>
      <c r="H389" s="139">
        <f>IFERROR(IF(E389&gt;0,E389*IF(ISNUMBER(J389),J389,IF(C389="Futures",$C$6,$C$5)),""),"")</f>
        <v/>
      </c>
      <c r="I389" s="139">
        <f>IFERROR(IF(AND(ISNUMBER(F389),ISNUMBER(H389)),F389-H389,""),"")</f>
        <v/>
      </c>
      <c r="J389" s="114" t="n"/>
      <c r="K389" s="139">
        <f>IFERROR(IF(H389&gt;0,H389*$C$7,""),"")</f>
        <v/>
      </c>
      <c r="L389" s="139">
        <f>IFERROR(IF(ISNUMBER(F389),F389-IF(ISNUMBER(K389),K389,0),""),"")</f>
        <v/>
      </c>
    </row>
    <row r="390" ht="24" customHeight="1" s="63">
      <c r="E390" s="139" t="n"/>
      <c r="F390" s="139" t="n"/>
      <c r="G390" s="140">
        <f>IFERROR(IF(E390&gt;0,(F390/E390)*1000,""),"")</f>
        <v/>
      </c>
      <c r="H390" s="139">
        <f>IFERROR(IF(E390&gt;0,E390*IF(ISNUMBER(J390),J390,IF(C390="Futures",$C$6,$C$5)),""),"")</f>
        <v/>
      </c>
      <c r="I390" s="139">
        <f>IFERROR(IF(AND(ISNUMBER(F390),ISNUMBER(H390)),F390-H390,""),"")</f>
        <v/>
      </c>
      <c r="J390" s="114" t="n"/>
      <c r="K390" s="139">
        <f>IFERROR(IF(H390&gt;0,H390*$C$7,""),"")</f>
        <v/>
      </c>
      <c r="L390" s="139">
        <f>IFERROR(IF(ISNUMBER(F390),F390-IF(ISNUMBER(K390),K390,0),""),"")</f>
        <v/>
      </c>
    </row>
    <row r="391" ht="24" customHeight="1" s="63">
      <c r="E391" s="139" t="n"/>
      <c r="F391" s="139" t="n"/>
      <c r="G391" s="140">
        <f>IFERROR(IF(E391&gt;0,(F391/E391)*1000,""),"")</f>
        <v/>
      </c>
      <c r="H391" s="139">
        <f>IFERROR(IF(E391&gt;0,E391*IF(ISNUMBER(J391),J391,IF(C391="Futures",$C$6,$C$5)),""),"")</f>
        <v/>
      </c>
      <c r="I391" s="139">
        <f>IFERROR(IF(AND(ISNUMBER(F391),ISNUMBER(H391)),F391-H391,""),"")</f>
        <v/>
      </c>
      <c r="J391" s="114" t="n"/>
      <c r="K391" s="139">
        <f>IFERROR(IF(H391&gt;0,H391*$C$7,""),"")</f>
        <v/>
      </c>
      <c r="L391" s="139">
        <f>IFERROR(IF(ISNUMBER(F391),F391-IF(ISNUMBER(K391),K391,0),""),"")</f>
        <v/>
      </c>
    </row>
    <row r="392" ht="24" customHeight="1" s="63">
      <c r="E392" s="139" t="n"/>
      <c r="F392" s="139" t="n"/>
      <c r="G392" s="140">
        <f>IFERROR(IF(E392&gt;0,(F392/E392)*1000,""),"")</f>
        <v/>
      </c>
      <c r="H392" s="139">
        <f>IFERROR(IF(E392&gt;0,E392*IF(ISNUMBER(J392),J392,IF(C392="Futures",$C$6,$C$5)),""),"")</f>
        <v/>
      </c>
      <c r="I392" s="139">
        <f>IFERROR(IF(AND(ISNUMBER(F392),ISNUMBER(H392)),F392-H392,""),"")</f>
        <v/>
      </c>
      <c r="J392" s="114" t="n"/>
      <c r="K392" s="139">
        <f>IFERROR(IF(H392&gt;0,H392*$C$7,""),"")</f>
        <v/>
      </c>
      <c r="L392" s="139">
        <f>IFERROR(IF(ISNUMBER(F392),F392-IF(ISNUMBER(K392),K392,0),""),"")</f>
        <v/>
      </c>
    </row>
    <row r="393" ht="24" customHeight="1" s="63">
      <c r="E393" s="139" t="n"/>
      <c r="F393" s="139" t="n"/>
      <c r="G393" s="140">
        <f>IFERROR(IF(E393&gt;0,(F393/E393)*1000,""),"")</f>
        <v/>
      </c>
      <c r="H393" s="139">
        <f>IFERROR(IF(E393&gt;0,E393*IF(ISNUMBER(J393),J393,IF(C393="Futures",$C$6,$C$5)),""),"")</f>
        <v/>
      </c>
      <c r="I393" s="139">
        <f>IFERROR(IF(AND(ISNUMBER(F393),ISNUMBER(H393)),F393-H393,""),"")</f>
        <v/>
      </c>
      <c r="J393" s="114" t="n"/>
      <c r="K393" s="139">
        <f>IFERROR(IF(H393&gt;0,H393*$C$7,""),"")</f>
        <v/>
      </c>
      <c r="L393" s="139">
        <f>IFERROR(IF(ISNUMBER(F393),F393-IF(ISNUMBER(K393),K393,0),""),"")</f>
        <v/>
      </c>
    </row>
    <row r="394" ht="24" customHeight="1" s="63">
      <c r="E394" s="139" t="n"/>
      <c r="F394" s="139" t="n"/>
      <c r="G394" s="140">
        <f>IFERROR(IF(E394&gt;0,(F394/E394)*1000,""),"")</f>
        <v/>
      </c>
      <c r="H394" s="139">
        <f>IFERROR(IF(E394&gt;0,E394*IF(ISNUMBER(J394),J394,IF(C394="Futures",$C$6,$C$5)),""),"")</f>
        <v/>
      </c>
      <c r="I394" s="139">
        <f>IFERROR(IF(AND(ISNUMBER(F394),ISNUMBER(H394)),F394-H394,""),"")</f>
        <v/>
      </c>
      <c r="J394" s="114" t="n"/>
      <c r="K394" s="139">
        <f>IFERROR(IF(H394&gt;0,H394*$C$7,""),"")</f>
        <v/>
      </c>
      <c r="L394" s="139">
        <f>IFERROR(IF(ISNUMBER(F394),F394-IF(ISNUMBER(K394),K394,0),""),"")</f>
        <v/>
      </c>
    </row>
    <row r="395" ht="24" customHeight="1" s="63">
      <c r="E395" s="139" t="n"/>
      <c r="F395" s="139" t="n"/>
      <c r="G395" s="140">
        <f>IFERROR(IF(E395&gt;0,(F395/E395)*1000,""),"")</f>
        <v/>
      </c>
      <c r="H395" s="139">
        <f>IFERROR(IF(E395&gt;0,E395*IF(ISNUMBER(J395),J395,IF(C395="Futures",$C$6,$C$5)),""),"")</f>
        <v/>
      </c>
      <c r="I395" s="139">
        <f>IFERROR(IF(AND(ISNUMBER(F395),ISNUMBER(H395)),F395-H395,""),"")</f>
        <v/>
      </c>
      <c r="J395" s="114" t="n"/>
      <c r="K395" s="139">
        <f>IFERROR(IF(H395&gt;0,H395*$C$7,""),"")</f>
        <v/>
      </c>
      <c r="L395" s="139">
        <f>IFERROR(IF(ISNUMBER(F395),F395-IF(ISNUMBER(K395),K395,0),""),"")</f>
        <v/>
      </c>
    </row>
    <row r="396" ht="24" customHeight="1" s="63">
      <c r="E396" s="139" t="n"/>
      <c r="F396" s="139" t="n"/>
      <c r="G396" s="140">
        <f>IFERROR(IF(E396&gt;0,(F396/E396)*1000,""),"")</f>
        <v/>
      </c>
      <c r="H396" s="139">
        <f>IFERROR(IF(E396&gt;0,E396*IF(ISNUMBER(J396),J396,IF(C396="Futures",$C$6,$C$5)),""),"")</f>
        <v/>
      </c>
      <c r="I396" s="139">
        <f>IFERROR(IF(AND(ISNUMBER(F396),ISNUMBER(H396)),F396-H396,""),"")</f>
        <v/>
      </c>
      <c r="J396" s="114" t="n"/>
      <c r="K396" s="139">
        <f>IFERROR(IF(H396&gt;0,H396*$C$7,""),"")</f>
        <v/>
      </c>
      <c r="L396" s="139">
        <f>IFERROR(IF(ISNUMBER(F396),F396-IF(ISNUMBER(K396),K396,0),""),"")</f>
        <v/>
      </c>
    </row>
    <row r="397" ht="24" customHeight="1" s="63">
      <c r="E397" s="139" t="n"/>
      <c r="F397" s="139" t="n"/>
      <c r="G397" s="140">
        <f>IFERROR(IF(E397&gt;0,(F397/E397)*1000,""),"")</f>
        <v/>
      </c>
      <c r="H397" s="139">
        <f>IFERROR(IF(E397&gt;0,E397*IF(ISNUMBER(J397),J397,IF(C397="Futures",$C$6,$C$5)),""),"")</f>
        <v/>
      </c>
      <c r="I397" s="139">
        <f>IFERROR(IF(AND(ISNUMBER(F397),ISNUMBER(H397)),F397-H397,""),"")</f>
        <v/>
      </c>
      <c r="J397" s="114" t="n"/>
      <c r="K397" s="139">
        <f>IFERROR(IF(H397&gt;0,H397*$C$7,""),"")</f>
        <v/>
      </c>
      <c r="L397" s="139">
        <f>IFERROR(IF(ISNUMBER(F397),F397-IF(ISNUMBER(K397),K397,0),""),"")</f>
        <v/>
      </c>
    </row>
    <row r="398" ht="24" customHeight="1" s="63">
      <c r="E398" s="139" t="n"/>
      <c r="F398" s="139" t="n"/>
      <c r="G398" s="140">
        <f>IFERROR(IF(E398&gt;0,(F398/E398)*1000,""),"")</f>
        <v/>
      </c>
      <c r="H398" s="139">
        <f>IFERROR(IF(E398&gt;0,E398*IF(ISNUMBER(J398),J398,IF(C398="Futures",$C$6,$C$5)),""),"")</f>
        <v/>
      </c>
      <c r="I398" s="139">
        <f>IFERROR(IF(AND(ISNUMBER(F398),ISNUMBER(H398)),F398-H398,""),"")</f>
        <v/>
      </c>
      <c r="J398" s="114" t="n"/>
      <c r="K398" s="139">
        <f>IFERROR(IF(H398&gt;0,H398*$C$7,""),"")</f>
        <v/>
      </c>
      <c r="L398" s="139">
        <f>IFERROR(IF(ISNUMBER(F398),F398-IF(ISNUMBER(K398),K398,0),""),"")</f>
        <v/>
      </c>
    </row>
    <row r="399" ht="24" customHeight="1" s="63">
      <c r="E399" s="139" t="n"/>
      <c r="F399" s="139" t="n"/>
      <c r="G399" s="140">
        <f>IFERROR(IF(E399&gt;0,(F399/E399)*1000,""),"")</f>
        <v/>
      </c>
      <c r="H399" s="139">
        <f>IFERROR(IF(E399&gt;0,E399*IF(ISNUMBER(J399),J399,IF(C399="Futures",$C$6,$C$5)),""),"")</f>
        <v/>
      </c>
      <c r="I399" s="139">
        <f>IFERROR(IF(AND(ISNUMBER(F399),ISNUMBER(H399)),F399-H399,""),"")</f>
        <v/>
      </c>
      <c r="J399" s="114" t="n"/>
      <c r="K399" s="139">
        <f>IFERROR(IF(H399&gt;0,H399*$C$7,""),"")</f>
        <v/>
      </c>
      <c r="L399" s="139">
        <f>IFERROR(IF(ISNUMBER(F399),F399-IF(ISNUMBER(K399),K399,0),""),"")</f>
        <v/>
      </c>
    </row>
    <row r="400" ht="24" customHeight="1" s="63">
      <c r="E400" s="139" t="n"/>
      <c r="F400" s="139" t="n"/>
      <c r="G400" s="140">
        <f>IFERROR(IF(E400&gt;0,(F400/E400)*1000,""),"")</f>
        <v/>
      </c>
      <c r="H400" s="139">
        <f>IFERROR(IF(E400&gt;0,E400*IF(ISNUMBER(J400),J400,IF(C400="Futures",$C$6,$C$5)),""),"")</f>
        <v/>
      </c>
      <c r="I400" s="139">
        <f>IFERROR(IF(AND(ISNUMBER(F400),ISNUMBER(H400)),F400-H400,""),"")</f>
        <v/>
      </c>
      <c r="J400" s="114" t="n"/>
      <c r="K400" s="139">
        <f>IFERROR(IF(H400&gt;0,H400*$C$7,""),"")</f>
        <v/>
      </c>
      <c r="L400" s="139">
        <f>IFERROR(IF(ISNUMBER(F400),F400-IF(ISNUMBER(K400),K400,0),""),"")</f>
        <v/>
      </c>
    </row>
    <row r="401" ht="24" customHeight="1" s="63">
      <c r="E401" s="139" t="n"/>
      <c r="F401" s="139" t="n"/>
      <c r="G401" s="140">
        <f>IFERROR(IF(E401&gt;0,(F401/E401)*1000,""),"")</f>
        <v/>
      </c>
      <c r="H401" s="139">
        <f>IFERROR(IF(E401&gt;0,E401*IF(ISNUMBER(J401),J401,IF(C401="Futures",$C$6,$C$5)),""),"")</f>
        <v/>
      </c>
      <c r="I401" s="139">
        <f>IFERROR(IF(AND(ISNUMBER(F401),ISNUMBER(H401)),F401-H401,""),"")</f>
        <v/>
      </c>
      <c r="J401" s="114" t="n"/>
      <c r="K401" s="139">
        <f>IFERROR(IF(H401&gt;0,H401*$C$7,""),"")</f>
        <v/>
      </c>
      <c r="L401" s="139">
        <f>IFERROR(IF(ISNUMBER(F401),F401-IF(ISNUMBER(K401),K401,0),""),"")</f>
        <v/>
      </c>
    </row>
    <row r="402" ht="24" customHeight="1" s="63">
      <c r="E402" s="139" t="n"/>
      <c r="F402" s="139" t="n"/>
      <c r="G402" s="140">
        <f>IFERROR(IF(E402&gt;0,(F402/E402)*1000,""),"")</f>
        <v/>
      </c>
      <c r="H402" s="139">
        <f>IFERROR(IF(E402&gt;0,E402*IF(ISNUMBER(J402),J402,IF(C402="Futures",$C$6,$C$5)),""),"")</f>
        <v/>
      </c>
      <c r="I402" s="139">
        <f>IFERROR(IF(AND(ISNUMBER(F402),ISNUMBER(H402)),F402-H402,""),"")</f>
        <v/>
      </c>
      <c r="J402" s="114" t="n"/>
      <c r="K402" s="139">
        <f>IFERROR(IF(H402&gt;0,H402*$C$7,""),"")</f>
        <v/>
      </c>
      <c r="L402" s="139">
        <f>IFERROR(IF(ISNUMBER(F402),F402-IF(ISNUMBER(K402),K402,0),""),"")</f>
        <v/>
      </c>
    </row>
    <row r="403" ht="24" customHeight="1" s="63">
      <c r="E403" s="139" t="n"/>
      <c r="F403" s="139" t="n"/>
      <c r="G403" s="140">
        <f>IFERROR(IF(E403&gt;0,(F403/E403)*1000,""),"")</f>
        <v/>
      </c>
      <c r="H403" s="139">
        <f>IFERROR(IF(E403&gt;0,E403*IF(ISNUMBER(J403),J403,IF(C403="Futures",$C$6,$C$5)),""),"")</f>
        <v/>
      </c>
      <c r="I403" s="139">
        <f>IFERROR(IF(AND(ISNUMBER(F403),ISNUMBER(H403)),F403-H403,""),"")</f>
        <v/>
      </c>
      <c r="J403" s="114" t="n"/>
      <c r="K403" s="139">
        <f>IFERROR(IF(H403&gt;0,H403*$C$7,""),"")</f>
        <v/>
      </c>
      <c r="L403" s="139">
        <f>IFERROR(IF(ISNUMBER(F403),F403-IF(ISNUMBER(K403),K403,0),""),"")</f>
        <v/>
      </c>
    </row>
    <row r="404" ht="24" customHeight="1" s="63">
      <c r="E404" s="139" t="n"/>
      <c r="F404" s="139" t="n"/>
      <c r="G404" s="140">
        <f>IFERROR(IF(E404&gt;0,(F404/E404)*1000,""),"")</f>
        <v/>
      </c>
      <c r="H404" s="139">
        <f>IFERROR(IF(E404&gt;0,E404*IF(ISNUMBER(J404),J404,IF(C404="Futures",$C$6,$C$5)),""),"")</f>
        <v/>
      </c>
      <c r="I404" s="139">
        <f>IFERROR(IF(AND(ISNUMBER(F404),ISNUMBER(H404)),F404-H404,""),"")</f>
        <v/>
      </c>
      <c r="J404" s="114" t="n"/>
      <c r="K404" s="139">
        <f>IFERROR(IF(H404&gt;0,H404*$C$7,""),"")</f>
        <v/>
      </c>
      <c r="L404" s="139">
        <f>IFERROR(IF(ISNUMBER(F404),F404-IF(ISNUMBER(K404),K404,0),""),"")</f>
        <v/>
      </c>
    </row>
    <row r="405" ht="24" customHeight="1" s="63">
      <c r="E405" s="139" t="n"/>
      <c r="F405" s="139" t="n"/>
      <c r="G405" s="140">
        <f>IFERROR(IF(E405&gt;0,(F405/E405)*1000,""),"")</f>
        <v/>
      </c>
      <c r="H405" s="139">
        <f>IFERROR(IF(E405&gt;0,E405*IF(ISNUMBER(J405),J405,IF(C405="Futures",$C$6,$C$5)),""),"")</f>
        <v/>
      </c>
      <c r="I405" s="139">
        <f>IFERROR(IF(AND(ISNUMBER(F405),ISNUMBER(H405)),F405-H405,""),"")</f>
        <v/>
      </c>
      <c r="J405" s="114" t="n"/>
      <c r="K405" s="139">
        <f>IFERROR(IF(H405&gt;0,H405*$C$7,""),"")</f>
        <v/>
      </c>
      <c r="L405" s="139">
        <f>IFERROR(IF(ISNUMBER(F405),F405-IF(ISNUMBER(K405),K405,0),""),"")</f>
        <v/>
      </c>
    </row>
    <row r="406" ht="24" customHeight="1" s="63">
      <c r="E406" s="139" t="n"/>
      <c r="F406" s="139" t="n"/>
      <c r="G406" s="140">
        <f>IFERROR(IF(E406&gt;0,(F406/E406)*1000,""),"")</f>
        <v/>
      </c>
      <c r="H406" s="139">
        <f>IFERROR(IF(E406&gt;0,E406*IF(ISNUMBER(J406),J406,IF(C406="Futures",$C$6,$C$5)),""),"")</f>
        <v/>
      </c>
      <c r="I406" s="139">
        <f>IFERROR(IF(AND(ISNUMBER(F406),ISNUMBER(H406)),F406-H406,""),"")</f>
        <v/>
      </c>
      <c r="J406" s="114" t="n"/>
      <c r="K406" s="139">
        <f>IFERROR(IF(H406&gt;0,H406*$C$7,""),"")</f>
        <v/>
      </c>
      <c r="L406" s="139">
        <f>IFERROR(IF(ISNUMBER(F406),F406-IF(ISNUMBER(K406),K406,0),""),"")</f>
        <v/>
      </c>
    </row>
    <row r="407" ht="24" customHeight="1" s="63">
      <c r="E407" s="139" t="n"/>
      <c r="F407" s="139" t="n"/>
      <c r="G407" s="140">
        <f>IFERROR(IF(E407&gt;0,(F407/E407)*1000,""),"")</f>
        <v/>
      </c>
      <c r="H407" s="139">
        <f>IFERROR(IF(E407&gt;0,E407*IF(ISNUMBER(J407),J407,IF(C407="Futures",$C$6,$C$5)),""),"")</f>
        <v/>
      </c>
      <c r="I407" s="139">
        <f>IFERROR(IF(AND(ISNUMBER(F407),ISNUMBER(H407)),F407-H407,""),"")</f>
        <v/>
      </c>
      <c r="J407" s="114" t="n"/>
      <c r="K407" s="139">
        <f>IFERROR(IF(H407&gt;0,H407*$C$7,""),"")</f>
        <v/>
      </c>
      <c r="L407" s="139">
        <f>IFERROR(IF(ISNUMBER(F407),F407-IF(ISNUMBER(K407),K407,0),""),"")</f>
        <v/>
      </c>
    </row>
    <row r="408" ht="24" customHeight="1" s="63">
      <c r="E408" s="139" t="n"/>
      <c r="F408" s="139" t="n"/>
      <c r="G408" s="140">
        <f>IFERROR(IF(E408&gt;0,(F408/E408)*1000,""),"")</f>
        <v/>
      </c>
      <c r="H408" s="139">
        <f>IFERROR(IF(E408&gt;0,E408*IF(ISNUMBER(J408),J408,IF(C408="Futures",$C$6,$C$5)),""),"")</f>
        <v/>
      </c>
      <c r="I408" s="139">
        <f>IFERROR(IF(AND(ISNUMBER(F408),ISNUMBER(H408)),F408-H408,""),"")</f>
        <v/>
      </c>
      <c r="J408" s="114" t="n"/>
      <c r="K408" s="139">
        <f>IFERROR(IF(H408&gt;0,H408*$C$7,""),"")</f>
        <v/>
      </c>
      <c r="L408" s="139">
        <f>IFERROR(IF(ISNUMBER(F408),F408-IF(ISNUMBER(K408),K408,0),""),"")</f>
        <v/>
      </c>
    </row>
    <row r="409" ht="24" customHeight="1" s="63">
      <c r="E409" s="139" t="n"/>
      <c r="F409" s="139" t="n"/>
      <c r="G409" s="140">
        <f>IFERROR(IF(E409&gt;0,(F409/E409)*1000,""),"")</f>
        <v/>
      </c>
      <c r="H409" s="139">
        <f>IFERROR(IF(E409&gt;0,E409*IF(ISNUMBER(J409),J409,IF(C409="Futures",$C$6,$C$5)),""),"")</f>
        <v/>
      </c>
      <c r="I409" s="139">
        <f>IFERROR(IF(AND(ISNUMBER(F409),ISNUMBER(H409)),F409-H409,""),"")</f>
        <v/>
      </c>
      <c r="J409" s="114" t="n"/>
      <c r="K409" s="139">
        <f>IFERROR(IF(H409&gt;0,H409*$C$7,""),"")</f>
        <v/>
      </c>
      <c r="L409" s="139">
        <f>IFERROR(IF(ISNUMBER(F409),F409-IF(ISNUMBER(K409),K409,0),""),"")</f>
        <v/>
      </c>
    </row>
    <row r="410" ht="24" customHeight="1" s="63">
      <c r="E410" s="139" t="n"/>
      <c r="F410" s="139" t="n"/>
      <c r="G410" s="140">
        <f>IFERROR(IF(E410&gt;0,(F410/E410)*1000,""),"")</f>
        <v/>
      </c>
      <c r="H410" s="139">
        <f>IFERROR(IF(E410&gt;0,E410*IF(ISNUMBER(J410),J410,IF(C410="Futures",$C$6,$C$5)),""),"")</f>
        <v/>
      </c>
      <c r="I410" s="139">
        <f>IFERROR(IF(AND(ISNUMBER(F410),ISNUMBER(H410)),F410-H410,""),"")</f>
        <v/>
      </c>
      <c r="J410" s="114" t="n"/>
      <c r="K410" s="139">
        <f>IFERROR(IF(H410&gt;0,H410*$C$7,""),"")</f>
        <v/>
      </c>
      <c r="L410" s="139">
        <f>IFERROR(IF(ISNUMBER(F410),F410-IF(ISNUMBER(K410),K410,0),""),"")</f>
        <v/>
      </c>
    </row>
    <row r="411" ht="24" customHeight="1" s="63">
      <c r="E411" s="139" t="n"/>
      <c r="F411" s="139" t="n"/>
      <c r="G411" s="140">
        <f>IFERROR(IF(E411&gt;0,(F411/E411)*1000,""),"")</f>
        <v/>
      </c>
      <c r="H411" s="139">
        <f>IFERROR(IF(E411&gt;0,E411*IF(ISNUMBER(J411),J411,IF(C411="Futures",$C$6,$C$5)),""),"")</f>
        <v/>
      </c>
      <c r="I411" s="139">
        <f>IFERROR(IF(AND(ISNUMBER(F411),ISNUMBER(H411)),F411-H411,""),"")</f>
        <v/>
      </c>
      <c r="J411" s="114" t="n"/>
      <c r="K411" s="139">
        <f>IFERROR(IF(H411&gt;0,H411*$C$7,""),"")</f>
        <v/>
      </c>
      <c r="L411" s="139">
        <f>IFERROR(IF(ISNUMBER(F411),F411-IF(ISNUMBER(K411),K411,0),""),"")</f>
        <v/>
      </c>
    </row>
    <row r="412" ht="24" customHeight="1" s="63">
      <c r="E412" s="139" t="n"/>
      <c r="F412" s="139" t="n"/>
      <c r="G412" s="140">
        <f>IFERROR(IF(E412&gt;0,(F412/E412)*1000,""),"")</f>
        <v/>
      </c>
      <c r="H412" s="139">
        <f>IFERROR(IF(E412&gt;0,E412*IF(ISNUMBER(J412),J412,IF(C412="Futures",$C$6,$C$5)),""),"")</f>
        <v/>
      </c>
      <c r="I412" s="139">
        <f>IFERROR(IF(AND(ISNUMBER(F412),ISNUMBER(H412)),F412-H412,""),"")</f>
        <v/>
      </c>
      <c r="J412" s="114" t="n"/>
      <c r="K412" s="139">
        <f>IFERROR(IF(H412&gt;0,H412*$C$7,""),"")</f>
        <v/>
      </c>
      <c r="L412" s="139">
        <f>IFERROR(IF(ISNUMBER(F412),F412-IF(ISNUMBER(K412),K412,0),""),"")</f>
        <v/>
      </c>
    </row>
    <row r="413" ht="24" customHeight="1" s="63">
      <c r="E413" s="139" t="n"/>
      <c r="F413" s="139" t="n"/>
      <c r="G413" s="140">
        <f>IFERROR(IF(E413&gt;0,(F413/E413)*1000,""),"")</f>
        <v/>
      </c>
      <c r="H413" s="139">
        <f>IFERROR(IF(E413&gt;0,E413*IF(ISNUMBER(J413),J413,IF(C413="Futures",$C$6,$C$5)),""),"")</f>
        <v/>
      </c>
      <c r="I413" s="139">
        <f>IFERROR(IF(AND(ISNUMBER(F413),ISNUMBER(H413)),F413-H413,""),"")</f>
        <v/>
      </c>
      <c r="J413" s="114" t="n"/>
      <c r="K413" s="139">
        <f>IFERROR(IF(H413&gt;0,H413*$C$7,""),"")</f>
        <v/>
      </c>
      <c r="L413" s="139">
        <f>IFERROR(IF(ISNUMBER(F413),F413-IF(ISNUMBER(K413),K413,0),""),"")</f>
        <v/>
      </c>
    </row>
    <row r="414" ht="24" customHeight="1" s="63">
      <c r="E414" s="139" t="n"/>
      <c r="F414" s="139" t="n"/>
      <c r="G414" s="140">
        <f>IFERROR(IF(E414&gt;0,(F414/E414)*1000,""),"")</f>
        <v/>
      </c>
      <c r="H414" s="139">
        <f>IFERROR(IF(E414&gt;0,E414*IF(ISNUMBER(J414),J414,IF(C414="Futures",$C$6,$C$5)),""),"")</f>
        <v/>
      </c>
      <c r="I414" s="139">
        <f>IFERROR(IF(AND(ISNUMBER(F414),ISNUMBER(H414)),F414-H414,""),"")</f>
        <v/>
      </c>
      <c r="J414" s="114" t="n"/>
      <c r="K414" s="139">
        <f>IFERROR(IF(H414&gt;0,H414*$C$7,""),"")</f>
        <v/>
      </c>
      <c r="L414" s="139">
        <f>IFERROR(IF(ISNUMBER(F414),F414-IF(ISNUMBER(K414),K414,0),""),"")</f>
        <v/>
      </c>
    </row>
    <row r="415" ht="24" customHeight="1" s="63">
      <c r="E415" s="139" t="n"/>
      <c r="F415" s="139" t="n"/>
      <c r="G415" s="140">
        <f>IFERROR(IF(E415&gt;0,(F415/E415)*1000,""),"")</f>
        <v/>
      </c>
      <c r="H415" s="139">
        <f>IFERROR(IF(E415&gt;0,E415*IF(ISNUMBER(J415),J415,IF(C415="Futures",$C$6,$C$5)),""),"")</f>
        <v/>
      </c>
      <c r="I415" s="139">
        <f>IFERROR(IF(AND(ISNUMBER(F415),ISNUMBER(H415)),F415-H415,""),"")</f>
        <v/>
      </c>
      <c r="J415" s="114" t="n"/>
      <c r="K415" s="139">
        <f>IFERROR(IF(H415&gt;0,H415*$C$7,""),"")</f>
        <v/>
      </c>
      <c r="L415" s="139">
        <f>IFERROR(IF(ISNUMBER(F415),F415-IF(ISNUMBER(K415),K415,0),""),"")</f>
        <v/>
      </c>
    </row>
    <row r="416" ht="24" customHeight="1" s="63">
      <c r="E416" s="139" t="n"/>
      <c r="F416" s="139" t="n"/>
      <c r="G416" s="140">
        <f>IFERROR(IF(E416&gt;0,(F416/E416)*1000,""),"")</f>
        <v/>
      </c>
      <c r="H416" s="139">
        <f>IFERROR(IF(E416&gt;0,E416*IF(ISNUMBER(J416),J416,IF(C416="Futures",$C$6,$C$5)),""),"")</f>
        <v/>
      </c>
      <c r="I416" s="139">
        <f>IFERROR(IF(AND(ISNUMBER(F416),ISNUMBER(H416)),F416-H416,""),"")</f>
        <v/>
      </c>
      <c r="J416" s="114" t="n"/>
      <c r="K416" s="139">
        <f>IFERROR(IF(H416&gt;0,H416*$C$7,""),"")</f>
        <v/>
      </c>
      <c r="L416" s="139">
        <f>IFERROR(IF(ISNUMBER(F416),F416-IF(ISNUMBER(K416),K416,0),""),"")</f>
        <v/>
      </c>
    </row>
    <row r="417" ht="24" customHeight="1" s="63">
      <c r="E417" s="139" t="n"/>
      <c r="F417" s="139" t="n"/>
      <c r="G417" s="140">
        <f>IFERROR(IF(E417&gt;0,(F417/E417)*1000,""),"")</f>
        <v/>
      </c>
      <c r="H417" s="139">
        <f>IFERROR(IF(E417&gt;0,E417*IF(ISNUMBER(J417),J417,IF(C417="Futures",$C$6,$C$5)),""),"")</f>
        <v/>
      </c>
      <c r="I417" s="139">
        <f>IFERROR(IF(AND(ISNUMBER(F417),ISNUMBER(H417)),F417-H417,""),"")</f>
        <v/>
      </c>
      <c r="J417" s="114" t="n"/>
      <c r="K417" s="139">
        <f>IFERROR(IF(H417&gt;0,H417*$C$7,""),"")</f>
        <v/>
      </c>
      <c r="L417" s="139">
        <f>IFERROR(IF(ISNUMBER(F417),F417-IF(ISNUMBER(K417),K417,0),""),"")</f>
        <v/>
      </c>
    </row>
    <row r="418" ht="24" customHeight="1" s="63">
      <c r="E418" s="139" t="n"/>
      <c r="F418" s="139" t="n"/>
      <c r="G418" s="140">
        <f>IFERROR(IF(E418&gt;0,(F418/E418)*1000,""),"")</f>
        <v/>
      </c>
      <c r="H418" s="139">
        <f>IFERROR(IF(E418&gt;0,E418*IF(ISNUMBER(J418),J418,IF(C418="Futures",$C$6,$C$5)),""),"")</f>
        <v/>
      </c>
      <c r="I418" s="139">
        <f>IFERROR(IF(AND(ISNUMBER(F418),ISNUMBER(H418)),F418-H418,""),"")</f>
        <v/>
      </c>
      <c r="J418" s="114" t="n"/>
      <c r="K418" s="139">
        <f>IFERROR(IF(H418&gt;0,H418*$C$7,""),"")</f>
        <v/>
      </c>
      <c r="L418" s="139">
        <f>IFERROR(IF(ISNUMBER(F418),F418-IF(ISNUMBER(K418),K418,0),""),"")</f>
        <v/>
      </c>
    </row>
    <row r="419" ht="24" customHeight="1" s="63">
      <c r="E419" s="139" t="n"/>
      <c r="F419" s="139" t="n"/>
      <c r="G419" s="140">
        <f>IFERROR(IF(E419&gt;0,(F419/E419)*1000,""),"")</f>
        <v/>
      </c>
      <c r="H419" s="139">
        <f>IFERROR(IF(E419&gt;0,E419*IF(ISNUMBER(J419),J419,IF(C419="Futures",$C$6,$C$5)),""),"")</f>
        <v/>
      </c>
      <c r="I419" s="139">
        <f>IFERROR(IF(AND(ISNUMBER(F419),ISNUMBER(H419)),F419-H419,""),"")</f>
        <v/>
      </c>
      <c r="J419" s="114" t="n"/>
      <c r="K419" s="139">
        <f>IFERROR(IF(H419&gt;0,H419*$C$7,""),"")</f>
        <v/>
      </c>
      <c r="L419" s="139">
        <f>IFERROR(IF(ISNUMBER(F419),F419-IF(ISNUMBER(K419),K419,0),""),"")</f>
        <v/>
      </c>
    </row>
    <row r="420" ht="24" customHeight="1" s="63">
      <c r="E420" s="139" t="n"/>
      <c r="F420" s="139" t="n"/>
      <c r="G420" s="140">
        <f>IFERROR(IF(E420&gt;0,(F420/E420)*1000,""),"")</f>
        <v/>
      </c>
      <c r="H420" s="139">
        <f>IFERROR(IF(E420&gt;0,E420*IF(ISNUMBER(J420),J420,IF(C420="Futures",$C$6,$C$5)),""),"")</f>
        <v/>
      </c>
      <c r="I420" s="139">
        <f>IFERROR(IF(AND(ISNUMBER(F420),ISNUMBER(H420)),F420-H420,""),"")</f>
        <v/>
      </c>
      <c r="J420" s="114" t="n"/>
      <c r="K420" s="139">
        <f>IFERROR(IF(H420&gt;0,H420*$C$7,""),"")</f>
        <v/>
      </c>
      <c r="L420" s="139">
        <f>IFERROR(IF(ISNUMBER(F420),F420-IF(ISNUMBER(K420),K420,0),""),"")</f>
        <v/>
      </c>
    </row>
    <row r="421" ht="24" customHeight="1" s="63">
      <c r="E421" s="139" t="n"/>
      <c r="F421" s="139" t="n"/>
      <c r="G421" s="140">
        <f>IFERROR(IF(E421&gt;0,(F421/E421)*1000,""),"")</f>
        <v/>
      </c>
      <c r="H421" s="139">
        <f>IFERROR(IF(E421&gt;0,E421*IF(ISNUMBER(J421),J421,IF(C421="Futures",$C$6,$C$5)),""),"")</f>
        <v/>
      </c>
      <c r="I421" s="139">
        <f>IFERROR(IF(AND(ISNUMBER(F421),ISNUMBER(H421)),F421-H421,""),"")</f>
        <v/>
      </c>
      <c r="J421" s="114" t="n"/>
      <c r="K421" s="139">
        <f>IFERROR(IF(H421&gt;0,H421*$C$7,""),"")</f>
        <v/>
      </c>
      <c r="L421" s="139">
        <f>IFERROR(IF(ISNUMBER(F421),F421-IF(ISNUMBER(K421),K421,0),""),"")</f>
        <v/>
      </c>
    </row>
    <row r="422" ht="24" customHeight="1" s="63">
      <c r="E422" s="139" t="n"/>
      <c r="F422" s="139" t="n"/>
      <c r="G422" s="140">
        <f>IFERROR(IF(E422&gt;0,(F422/E422)*1000,""),"")</f>
        <v/>
      </c>
      <c r="H422" s="139">
        <f>IFERROR(IF(E422&gt;0,E422*IF(ISNUMBER(J422),J422,IF(C422="Futures",$C$6,$C$5)),""),"")</f>
        <v/>
      </c>
      <c r="I422" s="139">
        <f>IFERROR(IF(AND(ISNUMBER(F422),ISNUMBER(H422)),F422-H422,""),"")</f>
        <v/>
      </c>
      <c r="J422" s="114" t="n"/>
      <c r="K422" s="139">
        <f>IFERROR(IF(H422&gt;0,H422*$C$7,""),"")</f>
        <v/>
      </c>
      <c r="L422" s="139">
        <f>IFERROR(IF(ISNUMBER(F422),F422-IF(ISNUMBER(K422),K422,0),""),"")</f>
        <v/>
      </c>
    </row>
    <row r="423" ht="24" customHeight="1" s="63">
      <c r="E423" s="139" t="n"/>
      <c r="F423" s="139" t="n"/>
      <c r="G423" s="140">
        <f>IFERROR(IF(E423&gt;0,(F423/E423)*1000,""),"")</f>
        <v/>
      </c>
      <c r="H423" s="139">
        <f>IFERROR(IF(E423&gt;0,E423*IF(ISNUMBER(J423),J423,IF(C423="Futures",$C$6,$C$5)),""),"")</f>
        <v/>
      </c>
      <c r="I423" s="139">
        <f>IFERROR(IF(AND(ISNUMBER(F423),ISNUMBER(H423)),F423-H423,""),"")</f>
        <v/>
      </c>
      <c r="J423" s="114" t="n"/>
      <c r="K423" s="139">
        <f>IFERROR(IF(H423&gt;0,H423*$C$7,""),"")</f>
        <v/>
      </c>
      <c r="L423" s="139">
        <f>IFERROR(IF(ISNUMBER(F423),F423-IF(ISNUMBER(K423),K423,0),""),"")</f>
        <v/>
      </c>
    </row>
    <row r="424" ht="24" customHeight="1" s="63">
      <c r="E424" s="139" t="n"/>
      <c r="F424" s="139" t="n"/>
      <c r="G424" s="140">
        <f>IFERROR(IF(E424&gt;0,(F424/E424)*1000,""),"")</f>
        <v/>
      </c>
      <c r="H424" s="139">
        <f>IFERROR(IF(E424&gt;0,E424*IF(ISNUMBER(J424),J424,IF(C424="Futures",$C$6,$C$5)),""),"")</f>
        <v/>
      </c>
      <c r="I424" s="139">
        <f>IFERROR(IF(AND(ISNUMBER(F424),ISNUMBER(H424)),F424-H424,""),"")</f>
        <v/>
      </c>
      <c r="J424" s="114" t="n"/>
      <c r="K424" s="139">
        <f>IFERROR(IF(H424&gt;0,H424*$C$7,""),"")</f>
        <v/>
      </c>
      <c r="L424" s="139">
        <f>IFERROR(IF(ISNUMBER(F424),F424-IF(ISNUMBER(K424),K424,0),""),"")</f>
        <v/>
      </c>
    </row>
    <row r="425" ht="24" customHeight="1" s="63">
      <c r="E425" s="139" t="n"/>
      <c r="F425" s="139" t="n"/>
      <c r="G425" s="140">
        <f>IFERROR(IF(E425&gt;0,(F425/E425)*1000,""),"")</f>
        <v/>
      </c>
      <c r="H425" s="139">
        <f>IFERROR(IF(E425&gt;0,E425*IF(ISNUMBER(J425),J425,IF(C425="Futures",$C$6,$C$5)),""),"")</f>
        <v/>
      </c>
      <c r="I425" s="139">
        <f>IFERROR(IF(AND(ISNUMBER(F425),ISNUMBER(H425)),F425-H425,""),"")</f>
        <v/>
      </c>
      <c r="J425" s="114" t="n"/>
      <c r="K425" s="139">
        <f>IFERROR(IF(H425&gt;0,H425*$C$7,""),"")</f>
        <v/>
      </c>
      <c r="L425" s="139">
        <f>IFERROR(IF(ISNUMBER(F425),F425-IF(ISNUMBER(K425),K425,0),""),"")</f>
        <v/>
      </c>
    </row>
    <row r="426" ht="24" customHeight="1" s="63">
      <c r="E426" s="139" t="n"/>
      <c r="F426" s="139" t="n"/>
      <c r="G426" s="140">
        <f>IFERROR(IF(E426&gt;0,(F426/E426)*1000,""),"")</f>
        <v/>
      </c>
      <c r="H426" s="139">
        <f>IFERROR(IF(E426&gt;0,E426*IF(ISNUMBER(J426),J426,IF(C426="Futures",$C$6,$C$5)),""),"")</f>
        <v/>
      </c>
      <c r="I426" s="139">
        <f>IFERROR(IF(AND(ISNUMBER(F426),ISNUMBER(H426)),F426-H426,""),"")</f>
        <v/>
      </c>
      <c r="J426" s="114" t="n"/>
      <c r="K426" s="139">
        <f>IFERROR(IF(H426&gt;0,H426*$C$7,""),"")</f>
        <v/>
      </c>
      <c r="L426" s="139">
        <f>IFERROR(IF(ISNUMBER(F426),F426-IF(ISNUMBER(K426),K426,0),""),"")</f>
        <v/>
      </c>
    </row>
    <row r="427" ht="24" customHeight="1" s="63">
      <c r="E427" s="139" t="n"/>
      <c r="F427" s="139" t="n"/>
      <c r="G427" s="140">
        <f>IFERROR(IF(E427&gt;0,(F427/E427)*1000,""),"")</f>
        <v/>
      </c>
      <c r="H427" s="139">
        <f>IFERROR(IF(E427&gt;0,E427*IF(ISNUMBER(J427),J427,IF(C427="Futures",$C$6,$C$5)),""),"")</f>
        <v/>
      </c>
      <c r="I427" s="139">
        <f>IFERROR(IF(AND(ISNUMBER(F427),ISNUMBER(H427)),F427-H427,""),"")</f>
        <v/>
      </c>
      <c r="J427" s="114" t="n"/>
      <c r="K427" s="139">
        <f>IFERROR(IF(H427&gt;0,H427*$C$7,""),"")</f>
        <v/>
      </c>
      <c r="L427" s="139">
        <f>IFERROR(IF(ISNUMBER(F427),F427-IF(ISNUMBER(K427),K427,0),""),"")</f>
        <v/>
      </c>
    </row>
    <row r="428" ht="24" customHeight="1" s="63">
      <c r="E428" s="139" t="n"/>
      <c r="F428" s="139" t="n"/>
      <c r="G428" s="140">
        <f>IFERROR(IF(E428&gt;0,(F428/E428)*1000,""),"")</f>
        <v/>
      </c>
      <c r="H428" s="139">
        <f>IFERROR(IF(E428&gt;0,E428*IF(ISNUMBER(J428),J428,IF(C428="Futures",$C$6,$C$5)),""),"")</f>
        <v/>
      </c>
      <c r="I428" s="139">
        <f>IFERROR(IF(AND(ISNUMBER(F428),ISNUMBER(H428)),F428-H428,""),"")</f>
        <v/>
      </c>
      <c r="J428" s="114" t="n"/>
      <c r="K428" s="139">
        <f>IFERROR(IF(H428&gt;0,H428*$C$7,""),"")</f>
        <v/>
      </c>
      <c r="L428" s="139">
        <f>IFERROR(IF(ISNUMBER(F428),F428-IF(ISNUMBER(K428),K428,0),""),"")</f>
        <v/>
      </c>
    </row>
    <row r="429" ht="24" customHeight="1" s="63">
      <c r="E429" s="139" t="n"/>
      <c r="F429" s="139" t="n"/>
      <c r="G429" s="140">
        <f>IFERROR(IF(E429&gt;0,(F429/E429)*1000,""),"")</f>
        <v/>
      </c>
      <c r="H429" s="139">
        <f>IFERROR(IF(E429&gt;0,E429*IF(ISNUMBER(J429),J429,IF(C429="Futures",$C$6,$C$5)),""),"")</f>
        <v/>
      </c>
      <c r="I429" s="139">
        <f>IFERROR(IF(AND(ISNUMBER(F429),ISNUMBER(H429)),F429-H429,""),"")</f>
        <v/>
      </c>
      <c r="J429" s="114" t="n"/>
      <c r="K429" s="139">
        <f>IFERROR(IF(H429&gt;0,H429*$C$7,""),"")</f>
        <v/>
      </c>
      <c r="L429" s="139">
        <f>IFERROR(IF(ISNUMBER(F429),F429-IF(ISNUMBER(K429),K429,0),""),"")</f>
        <v/>
      </c>
    </row>
    <row r="430" ht="24" customHeight="1" s="63">
      <c r="E430" s="139" t="n"/>
      <c r="F430" s="139" t="n"/>
      <c r="G430" s="140">
        <f>IFERROR(IF(E430&gt;0,(F430/E430)*1000,""),"")</f>
        <v/>
      </c>
      <c r="H430" s="139">
        <f>IFERROR(IF(E430&gt;0,E430*IF(ISNUMBER(J430),J430,IF(C430="Futures",$C$6,$C$5)),""),"")</f>
        <v/>
      </c>
      <c r="I430" s="139">
        <f>IFERROR(IF(AND(ISNUMBER(F430),ISNUMBER(H430)),F430-H430,""),"")</f>
        <v/>
      </c>
      <c r="J430" s="114" t="n"/>
      <c r="K430" s="139">
        <f>IFERROR(IF(H430&gt;0,H430*$C$7,""),"")</f>
        <v/>
      </c>
      <c r="L430" s="139">
        <f>IFERROR(IF(ISNUMBER(F430),F430-IF(ISNUMBER(K430),K430,0),""),"")</f>
        <v/>
      </c>
    </row>
    <row r="431" ht="24" customHeight="1" s="63">
      <c r="E431" s="139" t="n"/>
      <c r="F431" s="139" t="n"/>
      <c r="G431" s="140">
        <f>IFERROR(IF(E431&gt;0,(F431/E431)*1000,""),"")</f>
        <v/>
      </c>
      <c r="H431" s="139">
        <f>IFERROR(IF(E431&gt;0,E431*IF(ISNUMBER(J431),J431,IF(C431="Futures",$C$6,$C$5)),""),"")</f>
        <v/>
      </c>
      <c r="I431" s="139">
        <f>IFERROR(IF(AND(ISNUMBER(F431),ISNUMBER(H431)),F431-H431,""),"")</f>
        <v/>
      </c>
      <c r="J431" s="114" t="n"/>
      <c r="K431" s="139">
        <f>IFERROR(IF(H431&gt;0,H431*$C$7,""),"")</f>
        <v/>
      </c>
      <c r="L431" s="139">
        <f>IFERROR(IF(ISNUMBER(F431),F431-IF(ISNUMBER(K431),K431,0),""),"")</f>
        <v/>
      </c>
    </row>
    <row r="432" ht="24" customHeight="1" s="63">
      <c r="E432" s="139" t="n"/>
      <c r="F432" s="139" t="n"/>
      <c r="G432" s="140">
        <f>IFERROR(IF(E432&gt;0,(F432/E432)*1000,""),"")</f>
        <v/>
      </c>
      <c r="H432" s="139">
        <f>IFERROR(IF(E432&gt;0,E432*IF(ISNUMBER(J432),J432,IF(C432="Futures",$C$6,$C$5)),""),"")</f>
        <v/>
      </c>
      <c r="I432" s="139">
        <f>IFERROR(IF(AND(ISNUMBER(F432),ISNUMBER(H432)),F432-H432,""),"")</f>
        <v/>
      </c>
      <c r="J432" s="114" t="n"/>
      <c r="K432" s="139">
        <f>IFERROR(IF(H432&gt;0,H432*$C$7,""),"")</f>
        <v/>
      </c>
      <c r="L432" s="139">
        <f>IFERROR(IF(ISNUMBER(F432),F432-IF(ISNUMBER(K432),K432,0),""),"")</f>
        <v/>
      </c>
    </row>
    <row r="433" ht="24" customHeight="1" s="63">
      <c r="E433" s="139" t="n"/>
      <c r="F433" s="139" t="n"/>
      <c r="G433" s="140">
        <f>IFERROR(IF(E433&gt;0,(F433/E433)*1000,""),"")</f>
        <v/>
      </c>
      <c r="H433" s="139">
        <f>IFERROR(IF(E433&gt;0,E433*IF(ISNUMBER(J433),J433,IF(C433="Futures",$C$6,$C$5)),""),"")</f>
        <v/>
      </c>
      <c r="I433" s="139">
        <f>IFERROR(IF(AND(ISNUMBER(F433),ISNUMBER(H433)),F433-H433,""),"")</f>
        <v/>
      </c>
      <c r="J433" s="114" t="n"/>
      <c r="K433" s="139">
        <f>IFERROR(IF(H433&gt;0,H433*$C$7,""),"")</f>
        <v/>
      </c>
      <c r="L433" s="139">
        <f>IFERROR(IF(ISNUMBER(F433),F433-IF(ISNUMBER(K433),K433,0),""),"")</f>
        <v/>
      </c>
    </row>
    <row r="434" ht="24" customHeight="1" s="63">
      <c r="E434" s="139" t="n"/>
      <c r="F434" s="139" t="n"/>
      <c r="G434" s="140">
        <f>IFERROR(IF(E434&gt;0,(F434/E434)*1000,""),"")</f>
        <v/>
      </c>
      <c r="H434" s="139">
        <f>IFERROR(IF(E434&gt;0,E434*IF(ISNUMBER(J434),J434,IF(C434="Futures",$C$6,$C$5)),""),"")</f>
        <v/>
      </c>
      <c r="I434" s="139">
        <f>IFERROR(IF(AND(ISNUMBER(F434),ISNUMBER(H434)),F434-H434,""),"")</f>
        <v/>
      </c>
      <c r="J434" s="114" t="n"/>
      <c r="K434" s="139">
        <f>IFERROR(IF(H434&gt;0,H434*$C$7,""),"")</f>
        <v/>
      </c>
      <c r="L434" s="139">
        <f>IFERROR(IF(ISNUMBER(F434),F434-IF(ISNUMBER(K434),K434,0),""),"")</f>
        <v/>
      </c>
    </row>
    <row r="435" ht="24" customHeight="1" s="63">
      <c r="E435" s="139" t="n"/>
      <c r="F435" s="139" t="n"/>
      <c r="G435" s="140">
        <f>IFERROR(IF(E435&gt;0,(F435/E435)*1000,""),"")</f>
        <v/>
      </c>
      <c r="H435" s="139">
        <f>IFERROR(IF(E435&gt;0,E435*IF(ISNUMBER(J435),J435,IF(C435="Futures",$C$6,$C$5)),""),"")</f>
        <v/>
      </c>
      <c r="I435" s="139">
        <f>IFERROR(IF(AND(ISNUMBER(F435),ISNUMBER(H435)),F435-H435,""),"")</f>
        <v/>
      </c>
      <c r="J435" s="114" t="n"/>
      <c r="K435" s="139">
        <f>IFERROR(IF(H435&gt;0,H435*$C$7,""),"")</f>
        <v/>
      </c>
      <c r="L435" s="139">
        <f>IFERROR(IF(ISNUMBER(F435),F435-IF(ISNUMBER(K435),K435,0),""),"")</f>
        <v/>
      </c>
    </row>
    <row r="436" ht="24" customHeight="1" s="63">
      <c r="E436" s="139" t="n"/>
      <c r="F436" s="139" t="n"/>
      <c r="G436" s="140">
        <f>IFERROR(IF(E436&gt;0,(F436/E436)*1000,""),"")</f>
        <v/>
      </c>
      <c r="H436" s="139">
        <f>IFERROR(IF(E436&gt;0,E436*IF(ISNUMBER(J436),J436,IF(C436="Futures",$C$6,$C$5)),""),"")</f>
        <v/>
      </c>
      <c r="I436" s="139">
        <f>IFERROR(IF(AND(ISNUMBER(F436),ISNUMBER(H436)),F436-H436,""),"")</f>
        <v/>
      </c>
      <c r="J436" s="114" t="n"/>
      <c r="K436" s="139">
        <f>IFERROR(IF(H436&gt;0,H436*$C$7,""),"")</f>
        <v/>
      </c>
      <c r="L436" s="139">
        <f>IFERROR(IF(ISNUMBER(F436),F436-IF(ISNUMBER(K436),K436,0),""),"")</f>
        <v/>
      </c>
    </row>
    <row r="437" ht="24" customHeight="1" s="63">
      <c r="E437" s="139" t="n"/>
      <c r="F437" s="139" t="n"/>
      <c r="G437" s="140">
        <f>IFERROR(IF(E437&gt;0,(F437/E437)*1000,""),"")</f>
        <v/>
      </c>
      <c r="H437" s="139">
        <f>IFERROR(IF(E437&gt;0,E437*IF(ISNUMBER(J437),J437,IF(C437="Futures",$C$6,$C$5)),""),"")</f>
        <v/>
      </c>
      <c r="I437" s="139">
        <f>IFERROR(IF(AND(ISNUMBER(F437),ISNUMBER(H437)),F437-H437,""),"")</f>
        <v/>
      </c>
      <c r="J437" s="114" t="n"/>
      <c r="K437" s="139">
        <f>IFERROR(IF(H437&gt;0,H437*$C$7,""),"")</f>
        <v/>
      </c>
      <c r="L437" s="139">
        <f>IFERROR(IF(ISNUMBER(F437),F437-IF(ISNUMBER(K437),K437,0),""),"")</f>
        <v/>
      </c>
    </row>
    <row r="438" ht="24" customHeight="1" s="63">
      <c r="E438" s="139" t="n"/>
      <c r="F438" s="139" t="n"/>
      <c r="G438" s="140">
        <f>IFERROR(IF(E438&gt;0,(F438/E438)*1000,""),"")</f>
        <v/>
      </c>
      <c r="H438" s="139">
        <f>IFERROR(IF(E438&gt;0,E438*IF(ISNUMBER(J438),J438,IF(C438="Futures",$C$6,$C$5)),""),"")</f>
        <v/>
      </c>
      <c r="I438" s="139">
        <f>IFERROR(IF(AND(ISNUMBER(F438),ISNUMBER(H438)),F438-H438,""),"")</f>
        <v/>
      </c>
      <c r="J438" s="114" t="n"/>
      <c r="K438" s="139">
        <f>IFERROR(IF(H438&gt;0,H438*$C$7,""),"")</f>
        <v/>
      </c>
      <c r="L438" s="139">
        <f>IFERROR(IF(ISNUMBER(F438),F438-IF(ISNUMBER(K438),K438,0),""),"")</f>
        <v/>
      </c>
    </row>
    <row r="439" ht="24" customHeight="1" s="63">
      <c r="E439" s="139" t="n"/>
      <c r="F439" s="139" t="n"/>
      <c r="G439" s="140">
        <f>IFERROR(IF(E439&gt;0,(F439/E439)*1000,""),"")</f>
        <v/>
      </c>
      <c r="H439" s="139">
        <f>IFERROR(IF(E439&gt;0,E439*IF(ISNUMBER(J439),J439,IF(C439="Futures",$C$6,$C$5)),""),"")</f>
        <v/>
      </c>
      <c r="I439" s="139">
        <f>IFERROR(IF(AND(ISNUMBER(F439),ISNUMBER(H439)),F439-H439,""),"")</f>
        <v/>
      </c>
      <c r="J439" s="114" t="n"/>
      <c r="K439" s="139">
        <f>IFERROR(IF(H439&gt;0,H439*$C$7,""),"")</f>
        <v/>
      </c>
      <c r="L439" s="139">
        <f>IFERROR(IF(ISNUMBER(F439),F439-IF(ISNUMBER(K439),K439,0),""),"")</f>
        <v/>
      </c>
    </row>
    <row r="440" ht="24" customHeight="1" s="63">
      <c r="E440" s="139" t="n"/>
      <c r="F440" s="139" t="n"/>
      <c r="G440" s="140">
        <f>IFERROR(IF(E440&gt;0,(F440/E440)*1000,""),"")</f>
        <v/>
      </c>
      <c r="H440" s="139">
        <f>IFERROR(IF(E440&gt;0,E440*IF(ISNUMBER(J440),J440,IF(C440="Futures",$C$6,$C$5)),""),"")</f>
        <v/>
      </c>
      <c r="I440" s="139">
        <f>IFERROR(IF(AND(ISNUMBER(F440),ISNUMBER(H440)),F440-H440,""),"")</f>
        <v/>
      </c>
      <c r="J440" s="114" t="n"/>
      <c r="K440" s="139">
        <f>IFERROR(IF(H440&gt;0,H440*$C$7,""),"")</f>
        <v/>
      </c>
      <c r="L440" s="139">
        <f>IFERROR(IF(ISNUMBER(F440),F440-IF(ISNUMBER(K440),K440,0),""),"")</f>
        <v/>
      </c>
    </row>
    <row r="441" ht="24" customHeight="1" s="63">
      <c r="E441" s="139" t="n"/>
      <c r="F441" s="139" t="n"/>
      <c r="G441" s="140">
        <f>IFERROR(IF(E441&gt;0,(F441/E441)*1000,""),"")</f>
        <v/>
      </c>
      <c r="H441" s="139">
        <f>IFERROR(IF(E441&gt;0,E441*IF(ISNUMBER(J441),J441,IF(C441="Futures",$C$6,$C$5)),""),"")</f>
        <v/>
      </c>
      <c r="I441" s="139">
        <f>IFERROR(IF(AND(ISNUMBER(F441),ISNUMBER(H441)),F441-H441,""),"")</f>
        <v/>
      </c>
      <c r="J441" s="114" t="n"/>
      <c r="K441" s="139">
        <f>IFERROR(IF(H441&gt;0,H441*$C$7,""),"")</f>
        <v/>
      </c>
      <c r="L441" s="139">
        <f>IFERROR(IF(ISNUMBER(F441),F441-IF(ISNUMBER(K441),K441,0),""),"")</f>
        <v/>
      </c>
    </row>
    <row r="442" ht="24" customHeight="1" s="63">
      <c r="E442" s="139" t="n"/>
      <c r="F442" s="139" t="n"/>
      <c r="G442" s="140">
        <f>IFERROR(IF(E442&gt;0,(F442/E442)*1000,""),"")</f>
        <v/>
      </c>
      <c r="H442" s="139">
        <f>IFERROR(IF(E442&gt;0,E442*IF(ISNUMBER(J442),J442,IF(C442="Futures",$C$6,$C$5)),""),"")</f>
        <v/>
      </c>
      <c r="I442" s="139">
        <f>IFERROR(IF(AND(ISNUMBER(F442),ISNUMBER(H442)),F442-H442,""),"")</f>
        <v/>
      </c>
      <c r="J442" s="114" t="n"/>
      <c r="K442" s="139">
        <f>IFERROR(IF(H442&gt;0,H442*$C$7,""),"")</f>
        <v/>
      </c>
      <c r="L442" s="139">
        <f>IFERROR(IF(ISNUMBER(F442),F442-IF(ISNUMBER(K442),K442,0),""),"")</f>
        <v/>
      </c>
    </row>
    <row r="443" ht="24" customHeight="1" s="63">
      <c r="E443" s="139" t="n"/>
      <c r="F443" s="139" t="n"/>
      <c r="G443" s="140">
        <f>IFERROR(IF(E443&gt;0,(F443/E443)*1000,""),"")</f>
        <v/>
      </c>
      <c r="H443" s="139">
        <f>IFERROR(IF(E443&gt;0,E443*IF(ISNUMBER(J443),J443,IF(C443="Futures",$C$6,$C$5)),""),"")</f>
        <v/>
      </c>
      <c r="I443" s="139">
        <f>IFERROR(IF(AND(ISNUMBER(F443),ISNUMBER(H443)),F443-H443,""),"")</f>
        <v/>
      </c>
      <c r="J443" s="114" t="n"/>
      <c r="K443" s="139">
        <f>IFERROR(IF(H443&gt;0,H443*$C$7,""),"")</f>
        <v/>
      </c>
      <c r="L443" s="139">
        <f>IFERROR(IF(ISNUMBER(F443),F443-IF(ISNUMBER(K443),K443,0),""),"")</f>
        <v/>
      </c>
    </row>
    <row r="444" ht="24" customHeight="1" s="63">
      <c r="E444" s="139" t="n"/>
      <c r="F444" s="139" t="n"/>
      <c r="G444" s="140">
        <f>IFERROR(IF(E444&gt;0,(F444/E444)*1000,""),"")</f>
        <v/>
      </c>
      <c r="H444" s="139">
        <f>IFERROR(IF(E444&gt;0,E444*IF(ISNUMBER(J444),J444,IF(C444="Futures",$C$6,$C$5)),""),"")</f>
        <v/>
      </c>
      <c r="I444" s="139">
        <f>IFERROR(IF(AND(ISNUMBER(F444),ISNUMBER(H444)),F444-H444,""),"")</f>
        <v/>
      </c>
      <c r="J444" s="114" t="n"/>
      <c r="K444" s="139">
        <f>IFERROR(IF(H444&gt;0,H444*$C$7,""),"")</f>
        <v/>
      </c>
      <c r="L444" s="139">
        <f>IFERROR(IF(ISNUMBER(F444),F444-IF(ISNUMBER(K444),K444,0),""),"")</f>
        <v/>
      </c>
    </row>
    <row r="445" ht="24" customHeight="1" s="63">
      <c r="E445" s="139" t="n"/>
      <c r="F445" s="139" t="n"/>
      <c r="G445" s="140">
        <f>IFERROR(IF(E445&gt;0,(F445/E445)*1000,""),"")</f>
        <v/>
      </c>
      <c r="H445" s="139">
        <f>IFERROR(IF(E445&gt;0,E445*IF(ISNUMBER(J445),J445,IF(C445="Futures",$C$6,$C$5)),""),"")</f>
        <v/>
      </c>
      <c r="I445" s="139">
        <f>IFERROR(IF(AND(ISNUMBER(F445),ISNUMBER(H445)),F445-H445,""),"")</f>
        <v/>
      </c>
      <c r="J445" s="114" t="n"/>
      <c r="K445" s="139">
        <f>IFERROR(IF(H445&gt;0,H445*$C$7,""),"")</f>
        <v/>
      </c>
      <c r="L445" s="139">
        <f>IFERROR(IF(ISNUMBER(F445),F445-IF(ISNUMBER(K445),K445,0),""),"")</f>
        <v/>
      </c>
    </row>
    <row r="446" ht="24" customHeight="1" s="63">
      <c r="E446" s="139" t="n"/>
      <c r="F446" s="139" t="n"/>
      <c r="G446" s="140">
        <f>IFERROR(IF(E446&gt;0,(F446/E446)*1000,""),"")</f>
        <v/>
      </c>
      <c r="H446" s="139">
        <f>IFERROR(IF(E446&gt;0,E446*IF(ISNUMBER(J446),J446,IF(C446="Futures",$C$6,$C$5)),""),"")</f>
        <v/>
      </c>
      <c r="I446" s="139">
        <f>IFERROR(IF(AND(ISNUMBER(F446),ISNUMBER(H446)),F446-H446,""),"")</f>
        <v/>
      </c>
      <c r="J446" s="114" t="n"/>
      <c r="K446" s="139">
        <f>IFERROR(IF(H446&gt;0,H446*$C$7,""),"")</f>
        <v/>
      </c>
      <c r="L446" s="139">
        <f>IFERROR(IF(ISNUMBER(F446),F446-IF(ISNUMBER(K446),K446,0),""),"")</f>
        <v/>
      </c>
    </row>
    <row r="447" ht="24" customHeight="1" s="63">
      <c r="E447" s="139" t="n"/>
      <c r="F447" s="139" t="n"/>
      <c r="G447" s="140">
        <f>IFERROR(IF(E447&gt;0,(F447/E447)*1000,""),"")</f>
        <v/>
      </c>
      <c r="H447" s="139">
        <f>IFERROR(IF(E447&gt;0,E447*IF(ISNUMBER(J447),J447,IF(C447="Futures",$C$6,$C$5)),""),"")</f>
        <v/>
      </c>
      <c r="I447" s="139">
        <f>IFERROR(IF(AND(ISNUMBER(F447),ISNUMBER(H447)),F447-H447,""),"")</f>
        <v/>
      </c>
      <c r="J447" s="114" t="n"/>
      <c r="K447" s="139">
        <f>IFERROR(IF(H447&gt;0,H447*$C$7,""),"")</f>
        <v/>
      </c>
      <c r="L447" s="139">
        <f>IFERROR(IF(ISNUMBER(F447),F447-IF(ISNUMBER(K447),K447,0),""),"")</f>
        <v/>
      </c>
    </row>
    <row r="448" ht="24" customHeight="1" s="63">
      <c r="E448" s="139" t="n"/>
      <c r="F448" s="139" t="n"/>
      <c r="G448" s="140">
        <f>IFERROR(IF(E448&gt;0,(F448/E448)*1000,""),"")</f>
        <v/>
      </c>
      <c r="H448" s="139">
        <f>IFERROR(IF(E448&gt;0,E448*IF(ISNUMBER(J448),J448,IF(C448="Futures",$C$6,$C$5)),""),"")</f>
        <v/>
      </c>
      <c r="I448" s="139">
        <f>IFERROR(IF(AND(ISNUMBER(F448),ISNUMBER(H448)),F448-H448,""),"")</f>
        <v/>
      </c>
      <c r="J448" s="114" t="n"/>
      <c r="K448" s="139">
        <f>IFERROR(IF(H448&gt;0,H448*$C$7,""),"")</f>
        <v/>
      </c>
      <c r="L448" s="139">
        <f>IFERROR(IF(ISNUMBER(F448),F448-IF(ISNUMBER(K448),K448,0),""),"")</f>
        <v/>
      </c>
    </row>
    <row r="449" ht="24" customHeight="1" s="63">
      <c r="E449" s="139" t="n"/>
      <c r="F449" s="139" t="n"/>
      <c r="G449" s="140">
        <f>IFERROR(IF(E449&gt;0,(F449/E449)*1000,""),"")</f>
        <v/>
      </c>
      <c r="H449" s="139">
        <f>IFERROR(IF(E449&gt;0,E449*IF(ISNUMBER(J449),J449,IF(C449="Futures",$C$6,$C$5)),""),"")</f>
        <v/>
      </c>
      <c r="I449" s="139">
        <f>IFERROR(IF(AND(ISNUMBER(F449),ISNUMBER(H449)),F449-H449,""),"")</f>
        <v/>
      </c>
      <c r="J449" s="114" t="n"/>
      <c r="K449" s="139">
        <f>IFERROR(IF(H449&gt;0,H449*$C$7,""),"")</f>
        <v/>
      </c>
      <c r="L449" s="139">
        <f>IFERROR(IF(ISNUMBER(F449),F449-IF(ISNUMBER(K449),K449,0),""),"")</f>
        <v/>
      </c>
    </row>
    <row r="450" ht="24" customHeight="1" s="63">
      <c r="E450" s="139" t="n"/>
      <c r="F450" s="139" t="n"/>
      <c r="G450" s="140">
        <f>IFERROR(IF(E450&gt;0,(F450/E450)*1000,""),"")</f>
        <v/>
      </c>
      <c r="H450" s="139">
        <f>IFERROR(IF(E450&gt;0,E450*IF(ISNUMBER(J450),J450,IF(C450="Futures",$C$6,$C$5)),""),"")</f>
        <v/>
      </c>
      <c r="I450" s="139">
        <f>IFERROR(IF(AND(ISNUMBER(F450),ISNUMBER(H450)),F450-H450,""),"")</f>
        <v/>
      </c>
      <c r="J450" s="114" t="n"/>
      <c r="K450" s="139">
        <f>IFERROR(IF(H450&gt;0,H450*$C$7,""),"")</f>
        <v/>
      </c>
      <c r="L450" s="139">
        <f>IFERROR(IF(ISNUMBER(F450),F450-IF(ISNUMBER(K450),K450,0),""),"")</f>
        <v/>
      </c>
    </row>
    <row r="451" ht="24" customHeight="1" s="63">
      <c r="E451" s="139" t="n"/>
      <c r="F451" s="139" t="n"/>
      <c r="G451" s="140">
        <f>IFERROR(IF(E451&gt;0,(F451/E451)*1000,""),"")</f>
        <v/>
      </c>
      <c r="H451" s="139">
        <f>IFERROR(IF(E451&gt;0,E451*IF(ISNUMBER(J451),J451,IF(C451="Futures",$C$6,$C$5)),""),"")</f>
        <v/>
      </c>
      <c r="I451" s="139">
        <f>IFERROR(IF(AND(ISNUMBER(F451),ISNUMBER(H451)),F451-H451,""),"")</f>
        <v/>
      </c>
      <c r="J451" s="114" t="n"/>
      <c r="K451" s="139">
        <f>IFERROR(IF(H451&gt;0,H451*$C$7,""),"")</f>
        <v/>
      </c>
      <c r="L451" s="139">
        <f>IFERROR(IF(ISNUMBER(F451),F451-IF(ISNUMBER(K451),K451,0),""),"")</f>
        <v/>
      </c>
    </row>
    <row r="452" ht="24" customHeight="1" s="63">
      <c r="E452" s="139" t="n"/>
      <c r="F452" s="139" t="n"/>
      <c r="G452" s="140">
        <f>IFERROR(IF(E452&gt;0,(F452/E452)*1000,""),"")</f>
        <v/>
      </c>
      <c r="H452" s="139">
        <f>IFERROR(IF(E452&gt;0,E452*IF(ISNUMBER(J452),J452,IF(C452="Futures",$C$6,$C$5)),""),"")</f>
        <v/>
      </c>
      <c r="I452" s="139">
        <f>IFERROR(IF(AND(ISNUMBER(F452),ISNUMBER(H452)),F452-H452,""),"")</f>
        <v/>
      </c>
      <c r="J452" s="114" t="n"/>
      <c r="K452" s="139">
        <f>IFERROR(IF(H452&gt;0,H452*$C$7,""),"")</f>
        <v/>
      </c>
      <c r="L452" s="139">
        <f>IFERROR(IF(ISNUMBER(F452),F452-IF(ISNUMBER(K452),K452,0),""),"")</f>
        <v/>
      </c>
    </row>
    <row r="453" ht="24" customHeight="1" s="63">
      <c r="E453" s="139" t="n"/>
      <c r="F453" s="139" t="n"/>
      <c r="G453" s="140">
        <f>IFERROR(IF(E453&gt;0,(F453/E453)*1000,""),"")</f>
        <v/>
      </c>
      <c r="H453" s="139">
        <f>IFERROR(IF(E453&gt;0,E453*IF(ISNUMBER(J453),J453,IF(C453="Futures",$C$6,$C$5)),""),"")</f>
        <v/>
      </c>
      <c r="I453" s="139">
        <f>IFERROR(IF(AND(ISNUMBER(F453),ISNUMBER(H453)),F453-H453,""),"")</f>
        <v/>
      </c>
      <c r="J453" s="114" t="n"/>
      <c r="K453" s="139">
        <f>IFERROR(IF(H453&gt;0,H453*$C$7,""),"")</f>
        <v/>
      </c>
      <c r="L453" s="139">
        <f>IFERROR(IF(ISNUMBER(F453),F453-IF(ISNUMBER(K453),K453,0),""),"")</f>
        <v/>
      </c>
    </row>
    <row r="454" ht="24" customHeight="1" s="63">
      <c r="E454" s="139" t="n"/>
      <c r="F454" s="139" t="n"/>
      <c r="G454" s="140">
        <f>IFERROR(IF(E454&gt;0,(F454/E454)*1000,""),"")</f>
        <v/>
      </c>
      <c r="H454" s="139">
        <f>IFERROR(IF(E454&gt;0,E454*IF(ISNUMBER(J454),J454,IF(C454="Futures",$C$6,$C$5)),""),"")</f>
        <v/>
      </c>
      <c r="I454" s="139">
        <f>IFERROR(IF(AND(ISNUMBER(F454),ISNUMBER(H454)),F454-H454,""),"")</f>
        <v/>
      </c>
      <c r="J454" s="114" t="n"/>
      <c r="K454" s="139">
        <f>IFERROR(IF(H454&gt;0,H454*$C$7,""),"")</f>
        <v/>
      </c>
      <c r="L454" s="139">
        <f>IFERROR(IF(ISNUMBER(F454),F454-IF(ISNUMBER(K454),K454,0),""),"")</f>
        <v/>
      </c>
    </row>
    <row r="455" ht="24" customHeight="1" s="63">
      <c r="E455" s="139" t="n"/>
      <c r="F455" s="139" t="n"/>
      <c r="G455" s="140">
        <f>IFERROR(IF(E455&gt;0,(F455/E455)*1000,""),"")</f>
        <v/>
      </c>
      <c r="H455" s="139">
        <f>IFERROR(IF(E455&gt;0,E455*IF(ISNUMBER(J455),J455,IF(C455="Futures",$C$6,$C$5)),""),"")</f>
        <v/>
      </c>
      <c r="I455" s="139">
        <f>IFERROR(IF(AND(ISNUMBER(F455),ISNUMBER(H455)),F455-H455,""),"")</f>
        <v/>
      </c>
      <c r="J455" s="114" t="n"/>
      <c r="K455" s="139">
        <f>IFERROR(IF(H455&gt;0,H455*$C$7,""),"")</f>
        <v/>
      </c>
      <c r="L455" s="139">
        <f>IFERROR(IF(ISNUMBER(F455),F455-IF(ISNUMBER(K455),K455,0),""),"")</f>
        <v/>
      </c>
    </row>
    <row r="456" ht="24" customHeight="1" s="63">
      <c r="E456" s="139" t="n"/>
      <c r="F456" s="139" t="n"/>
      <c r="G456" s="140">
        <f>IFERROR(IF(E456&gt;0,(F456/E456)*1000,""),"")</f>
        <v/>
      </c>
      <c r="H456" s="139">
        <f>IFERROR(IF(E456&gt;0,E456*IF(ISNUMBER(J456),J456,IF(C456="Futures",$C$6,$C$5)),""),"")</f>
        <v/>
      </c>
      <c r="I456" s="139">
        <f>IFERROR(IF(AND(ISNUMBER(F456),ISNUMBER(H456)),F456-H456,""),"")</f>
        <v/>
      </c>
      <c r="J456" s="114" t="n"/>
      <c r="K456" s="139">
        <f>IFERROR(IF(H456&gt;0,H456*$C$7,""),"")</f>
        <v/>
      </c>
      <c r="L456" s="139">
        <f>IFERROR(IF(ISNUMBER(F456),F456-IF(ISNUMBER(K456),K456,0),""),"")</f>
        <v/>
      </c>
    </row>
    <row r="457" ht="24" customHeight="1" s="63">
      <c r="E457" s="139" t="n"/>
      <c r="F457" s="139" t="n"/>
      <c r="G457" s="140">
        <f>IFERROR(IF(E457&gt;0,(F457/E457)*1000,""),"")</f>
        <v/>
      </c>
      <c r="H457" s="139">
        <f>IFERROR(IF(E457&gt;0,E457*IF(ISNUMBER(J457),J457,IF(C457="Futures",$C$6,$C$5)),""),"")</f>
        <v/>
      </c>
      <c r="I457" s="139">
        <f>IFERROR(IF(AND(ISNUMBER(F457),ISNUMBER(H457)),F457-H457,""),"")</f>
        <v/>
      </c>
      <c r="J457" s="114" t="n"/>
      <c r="K457" s="139">
        <f>IFERROR(IF(H457&gt;0,H457*$C$7,""),"")</f>
        <v/>
      </c>
      <c r="L457" s="139">
        <f>IFERROR(IF(ISNUMBER(F457),F457-IF(ISNUMBER(K457),K457,0),""),"")</f>
        <v/>
      </c>
    </row>
    <row r="458" ht="24" customHeight="1" s="63">
      <c r="E458" s="139" t="n"/>
      <c r="F458" s="139" t="n"/>
      <c r="G458" s="140">
        <f>IFERROR(IF(E458&gt;0,(F458/E458)*1000,""),"")</f>
        <v/>
      </c>
      <c r="H458" s="139">
        <f>IFERROR(IF(E458&gt;0,E458*IF(ISNUMBER(J458),J458,IF(C458="Futures",$C$6,$C$5)),""),"")</f>
        <v/>
      </c>
      <c r="I458" s="139">
        <f>IFERROR(IF(AND(ISNUMBER(F458),ISNUMBER(H458)),F458-H458,""),"")</f>
        <v/>
      </c>
      <c r="J458" s="114" t="n"/>
      <c r="K458" s="139">
        <f>IFERROR(IF(H458&gt;0,H458*$C$7,""),"")</f>
        <v/>
      </c>
      <c r="L458" s="139">
        <f>IFERROR(IF(ISNUMBER(F458),F458-IF(ISNUMBER(K458),K458,0),""),"")</f>
        <v/>
      </c>
    </row>
    <row r="459" ht="24" customHeight="1" s="63">
      <c r="E459" s="139" t="n"/>
      <c r="F459" s="139" t="n"/>
      <c r="G459" s="140">
        <f>IFERROR(IF(E459&gt;0,(F459/E459)*1000,""),"")</f>
        <v/>
      </c>
      <c r="H459" s="139">
        <f>IFERROR(IF(E459&gt;0,E459*IF(ISNUMBER(J459),J459,IF(C459="Futures",$C$6,$C$5)),""),"")</f>
        <v/>
      </c>
      <c r="I459" s="139">
        <f>IFERROR(IF(AND(ISNUMBER(F459),ISNUMBER(H459)),F459-H459,""),"")</f>
        <v/>
      </c>
      <c r="J459" s="114" t="n"/>
      <c r="K459" s="139">
        <f>IFERROR(IF(H459&gt;0,H459*$C$7,""),"")</f>
        <v/>
      </c>
      <c r="L459" s="139">
        <f>IFERROR(IF(ISNUMBER(F459),F459-IF(ISNUMBER(K459),K459,0),""),"")</f>
        <v/>
      </c>
    </row>
    <row r="460" ht="24" customHeight="1" s="63">
      <c r="E460" s="139" t="n"/>
      <c r="F460" s="139" t="n"/>
      <c r="G460" s="140">
        <f>IFERROR(IF(E460&gt;0,(F460/E460)*1000,""),"")</f>
        <v/>
      </c>
      <c r="H460" s="139">
        <f>IFERROR(IF(E460&gt;0,E460*IF(ISNUMBER(J460),J460,IF(C460="Futures",$C$6,$C$5)),""),"")</f>
        <v/>
      </c>
      <c r="I460" s="139">
        <f>IFERROR(IF(AND(ISNUMBER(F460),ISNUMBER(H460)),F460-H460,""),"")</f>
        <v/>
      </c>
      <c r="J460" s="114" t="n"/>
      <c r="K460" s="139">
        <f>IFERROR(IF(H460&gt;0,H460*$C$7,""),"")</f>
        <v/>
      </c>
      <c r="L460" s="139">
        <f>IFERROR(IF(ISNUMBER(F460),F460-IF(ISNUMBER(K460),K460,0),""),"")</f>
        <v/>
      </c>
    </row>
    <row r="461" ht="24" customHeight="1" s="63">
      <c r="E461" s="139" t="n"/>
      <c r="F461" s="139" t="n"/>
      <c r="G461" s="140">
        <f>IFERROR(IF(E461&gt;0,(F461/E461)*1000,""),"")</f>
        <v/>
      </c>
      <c r="H461" s="139">
        <f>IFERROR(IF(E461&gt;0,E461*IF(ISNUMBER(J461),J461,IF(C461="Futures",$C$6,$C$5)),""),"")</f>
        <v/>
      </c>
      <c r="I461" s="139">
        <f>IFERROR(IF(AND(ISNUMBER(F461),ISNUMBER(H461)),F461-H461,""),"")</f>
        <v/>
      </c>
      <c r="J461" s="114" t="n"/>
      <c r="K461" s="139">
        <f>IFERROR(IF(H461&gt;0,H461*$C$7,""),"")</f>
        <v/>
      </c>
      <c r="L461" s="139">
        <f>IFERROR(IF(ISNUMBER(F461),F461-IF(ISNUMBER(K461),K461,0),""),"")</f>
        <v/>
      </c>
    </row>
    <row r="462" ht="24" customHeight="1" s="63">
      <c r="E462" s="139" t="n"/>
      <c r="F462" s="139" t="n"/>
      <c r="G462" s="140">
        <f>IFERROR(IF(E462&gt;0,(F462/E462)*1000,""),"")</f>
        <v/>
      </c>
      <c r="H462" s="139">
        <f>IFERROR(IF(E462&gt;0,E462*IF(ISNUMBER(J462),J462,IF(C462="Futures",$C$6,$C$5)),""),"")</f>
        <v/>
      </c>
      <c r="I462" s="139">
        <f>IFERROR(IF(AND(ISNUMBER(F462),ISNUMBER(H462)),F462-H462,""),"")</f>
        <v/>
      </c>
      <c r="J462" s="114" t="n"/>
      <c r="K462" s="139">
        <f>IFERROR(IF(H462&gt;0,H462*$C$7,""),"")</f>
        <v/>
      </c>
      <c r="L462" s="139">
        <f>IFERROR(IF(ISNUMBER(F462),F462-IF(ISNUMBER(K462),K462,0),""),"")</f>
        <v/>
      </c>
    </row>
    <row r="463" ht="24" customHeight="1" s="63">
      <c r="E463" s="139" t="n"/>
      <c r="F463" s="139" t="n"/>
      <c r="G463" s="140">
        <f>IFERROR(IF(E463&gt;0,(F463/E463)*1000,""),"")</f>
        <v/>
      </c>
      <c r="H463" s="139">
        <f>IFERROR(IF(E463&gt;0,E463*IF(ISNUMBER(J463),J463,IF(C463="Futures",$C$6,$C$5)),""),"")</f>
        <v/>
      </c>
      <c r="I463" s="139">
        <f>IFERROR(IF(AND(ISNUMBER(F463),ISNUMBER(H463)),F463-H463,""),"")</f>
        <v/>
      </c>
      <c r="J463" s="114" t="n"/>
      <c r="K463" s="139">
        <f>IFERROR(IF(H463&gt;0,H463*$C$7,""),"")</f>
        <v/>
      </c>
      <c r="L463" s="139">
        <f>IFERROR(IF(ISNUMBER(F463),F463-IF(ISNUMBER(K463),K463,0),""),"")</f>
        <v/>
      </c>
    </row>
    <row r="464" ht="24" customHeight="1" s="63">
      <c r="E464" s="139" t="n"/>
      <c r="F464" s="139" t="n"/>
      <c r="G464" s="140">
        <f>IFERROR(IF(E464&gt;0,(F464/E464)*1000,""),"")</f>
        <v/>
      </c>
      <c r="H464" s="139">
        <f>IFERROR(IF(E464&gt;0,E464*IF(ISNUMBER(J464),J464,IF(C464="Futures",$C$6,$C$5)),""),"")</f>
        <v/>
      </c>
      <c r="I464" s="139">
        <f>IFERROR(IF(AND(ISNUMBER(F464),ISNUMBER(H464)),F464-H464,""),"")</f>
        <v/>
      </c>
      <c r="J464" s="114" t="n"/>
      <c r="K464" s="139">
        <f>IFERROR(IF(H464&gt;0,H464*$C$7,""),"")</f>
        <v/>
      </c>
      <c r="L464" s="139">
        <f>IFERROR(IF(ISNUMBER(F464),F464-IF(ISNUMBER(K464),K464,0),""),"")</f>
        <v/>
      </c>
    </row>
    <row r="465" ht="24" customHeight="1" s="63">
      <c r="E465" s="139" t="n"/>
      <c r="F465" s="139" t="n"/>
      <c r="G465" s="140">
        <f>IFERROR(IF(E465&gt;0,(F465/E465)*1000,""),"")</f>
        <v/>
      </c>
      <c r="H465" s="139">
        <f>IFERROR(IF(E465&gt;0,E465*IF(ISNUMBER(J465),J465,IF(C465="Futures",$C$6,$C$5)),""),"")</f>
        <v/>
      </c>
      <c r="I465" s="139">
        <f>IFERROR(IF(AND(ISNUMBER(F465),ISNUMBER(H465)),F465-H465,""),"")</f>
        <v/>
      </c>
      <c r="J465" s="114" t="n"/>
      <c r="K465" s="139">
        <f>IFERROR(IF(H465&gt;0,H465*$C$7,""),"")</f>
        <v/>
      </c>
      <c r="L465" s="139">
        <f>IFERROR(IF(ISNUMBER(F465),F465-IF(ISNUMBER(K465),K465,0),""),"")</f>
        <v/>
      </c>
    </row>
    <row r="466" ht="24" customHeight="1" s="63">
      <c r="E466" s="139" t="n"/>
      <c r="F466" s="139" t="n"/>
      <c r="G466" s="140">
        <f>IFERROR(IF(E466&gt;0,(F466/E466)*1000,""),"")</f>
        <v/>
      </c>
      <c r="H466" s="139">
        <f>IFERROR(IF(E466&gt;0,E466*IF(ISNUMBER(J466),J466,IF(C466="Futures",$C$6,$C$5)),""),"")</f>
        <v/>
      </c>
      <c r="I466" s="139">
        <f>IFERROR(IF(AND(ISNUMBER(F466),ISNUMBER(H466)),F466-H466,""),"")</f>
        <v/>
      </c>
      <c r="J466" s="114" t="n"/>
      <c r="K466" s="139">
        <f>IFERROR(IF(H466&gt;0,H466*$C$7,""),"")</f>
        <v/>
      </c>
      <c r="L466" s="139">
        <f>IFERROR(IF(ISNUMBER(F466),F466-IF(ISNUMBER(K466),K466,0),""),"")</f>
        <v/>
      </c>
    </row>
    <row r="467" ht="24" customHeight="1" s="63">
      <c r="E467" s="139" t="n"/>
      <c r="F467" s="139" t="n"/>
      <c r="G467" s="140">
        <f>IFERROR(IF(E467&gt;0,(F467/E467)*1000,""),"")</f>
        <v/>
      </c>
      <c r="H467" s="139">
        <f>IFERROR(IF(E467&gt;0,E467*IF(ISNUMBER(J467),J467,IF(C467="Futures",$C$6,$C$5)),""),"")</f>
        <v/>
      </c>
      <c r="I467" s="139">
        <f>IFERROR(IF(AND(ISNUMBER(F467),ISNUMBER(H467)),F467-H467,""),"")</f>
        <v/>
      </c>
      <c r="J467" s="114" t="n"/>
      <c r="K467" s="139">
        <f>IFERROR(IF(H467&gt;0,H467*$C$7,""),"")</f>
        <v/>
      </c>
      <c r="L467" s="139">
        <f>IFERROR(IF(ISNUMBER(F467),F467-IF(ISNUMBER(K467),K467,0),""),"")</f>
        <v/>
      </c>
    </row>
    <row r="468" ht="24" customHeight="1" s="63">
      <c r="E468" s="139" t="n"/>
      <c r="F468" s="139" t="n"/>
      <c r="G468" s="140">
        <f>IFERROR(IF(E468&gt;0,(F468/E468)*1000,""),"")</f>
        <v/>
      </c>
      <c r="H468" s="139">
        <f>IFERROR(IF(E468&gt;0,E468*IF(ISNUMBER(J468),J468,IF(C468="Futures",$C$6,$C$5)),""),"")</f>
        <v/>
      </c>
      <c r="I468" s="139">
        <f>IFERROR(IF(AND(ISNUMBER(F468),ISNUMBER(H468)),F468-H468,""),"")</f>
        <v/>
      </c>
      <c r="J468" s="114" t="n"/>
      <c r="K468" s="139">
        <f>IFERROR(IF(H468&gt;0,H468*$C$7,""),"")</f>
        <v/>
      </c>
      <c r="L468" s="139">
        <f>IFERROR(IF(ISNUMBER(F468),F468-IF(ISNUMBER(K468),K468,0),""),"")</f>
        <v/>
      </c>
    </row>
    <row r="469" ht="24" customHeight="1" s="63">
      <c r="E469" s="139" t="n"/>
      <c r="F469" s="139" t="n"/>
      <c r="G469" s="140">
        <f>IFERROR(IF(E469&gt;0,(F469/E469)*1000,""),"")</f>
        <v/>
      </c>
      <c r="H469" s="139">
        <f>IFERROR(IF(E469&gt;0,E469*IF(ISNUMBER(J469),J469,IF(C469="Futures",$C$6,$C$5)),""),"")</f>
        <v/>
      </c>
      <c r="I469" s="139">
        <f>IFERROR(IF(AND(ISNUMBER(F469),ISNUMBER(H469)),F469-H469,""),"")</f>
        <v/>
      </c>
      <c r="J469" s="114" t="n"/>
      <c r="K469" s="139">
        <f>IFERROR(IF(H469&gt;0,H469*$C$7,""),"")</f>
        <v/>
      </c>
      <c r="L469" s="139">
        <f>IFERROR(IF(ISNUMBER(F469),F469-IF(ISNUMBER(K469),K469,0),""),"")</f>
        <v/>
      </c>
    </row>
    <row r="470" ht="24" customHeight="1" s="63">
      <c r="E470" s="139" t="n"/>
      <c r="F470" s="139" t="n"/>
      <c r="G470" s="140">
        <f>IFERROR(IF(E470&gt;0,(F470/E470)*1000,""),"")</f>
        <v/>
      </c>
      <c r="H470" s="139">
        <f>IFERROR(IF(E470&gt;0,E470*IF(ISNUMBER(J470),J470,IF(C470="Futures",$C$6,$C$5)),""),"")</f>
        <v/>
      </c>
      <c r="I470" s="139">
        <f>IFERROR(IF(AND(ISNUMBER(F470),ISNUMBER(H470)),F470-H470,""),"")</f>
        <v/>
      </c>
      <c r="J470" s="114" t="n"/>
      <c r="K470" s="139">
        <f>IFERROR(IF(H470&gt;0,H470*$C$7,""),"")</f>
        <v/>
      </c>
      <c r="L470" s="139">
        <f>IFERROR(IF(ISNUMBER(F470),F470-IF(ISNUMBER(K470),K470,0),""),"")</f>
        <v/>
      </c>
    </row>
    <row r="471" ht="24" customHeight="1" s="63">
      <c r="E471" s="139" t="n"/>
      <c r="F471" s="139" t="n"/>
      <c r="G471" s="140">
        <f>IFERROR(IF(E471&gt;0,(F471/E471)*1000,""),"")</f>
        <v/>
      </c>
      <c r="H471" s="139">
        <f>IFERROR(IF(E471&gt;0,E471*IF(ISNUMBER(J471),J471,IF(C471="Futures",$C$6,$C$5)),""),"")</f>
        <v/>
      </c>
      <c r="I471" s="139">
        <f>IFERROR(IF(AND(ISNUMBER(F471),ISNUMBER(H471)),F471-H471,""),"")</f>
        <v/>
      </c>
      <c r="J471" s="114" t="n"/>
      <c r="K471" s="139">
        <f>IFERROR(IF(H471&gt;0,H471*$C$7,""),"")</f>
        <v/>
      </c>
      <c r="L471" s="139">
        <f>IFERROR(IF(ISNUMBER(F471),F471-IF(ISNUMBER(K471),K471,0),""),"")</f>
        <v/>
      </c>
    </row>
    <row r="472" ht="24" customHeight="1" s="63">
      <c r="E472" s="139" t="n"/>
      <c r="F472" s="139" t="n"/>
      <c r="G472" s="140">
        <f>IFERROR(IF(E472&gt;0,(F472/E472)*1000,""),"")</f>
        <v/>
      </c>
      <c r="H472" s="139">
        <f>IFERROR(IF(E472&gt;0,E472*IF(ISNUMBER(J472),J472,IF(C472="Futures",$C$6,$C$5)),""),"")</f>
        <v/>
      </c>
      <c r="I472" s="139">
        <f>IFERROR(IF(AND(ISNUMBER(F472),ISNUMBER(H472)),F472-H472,""),"")</f>
        <v/>
      </c>
      <c r="J472" s="114" t="n"/>
      <c r="K472" s="139">
        <f>IFERROR(IF(H472&gt;0,H472*$C$7,""),"")</f>
        <v/>
      </c>
      <c r="L472" s="139">
        <f>IFERROR(IF(ISNUMBER(F472),F472-IF(ISNUMBER(K472),K472,0),""),"")</f>
        <v/>
      </c>
    </row>
    <row r="473" ht="24" customHeight="1" s="63">
      <c r="E473" s="139" t="n"/>
      <c r="F473" s="139" t="n"/>
      <c r="G473" s="140">
        <f>IFERROR(IF(E473&gt;0,(F473/E473)*1000,""),"")</f>
        <v/>
      </c>
      <c r="H473" s="139">
        <f>IFERROR(IF(E473&gt;0,E473*IF(ISNUMBER(J473),J473,IF(C473="Futures",$C$6,$C$5)),""),"")</f>
        <v/>
      </c>
      <c r="I473" s="139">
        <f>IFERROR(IF(AND(ISNUMBER(F473),ISNUMBER(H473)),F473-H473,""),"")</f>
        <v/>
      </c>
      <c r="J473" s="114" t="n"/>
      <c r="K473" s="139">
        <f>IFERROR(IF(H473&gt;0,H473*$C$7,""),"")</f>
        <v/>
      </c>
      <c r="L473" s="139">
        <f>IFERROR(IF(ISNUMBER(F473),F473-IF(ISNUMBER(K473),K473,0),""),"")</f>
        <v/>
      </c>
    </row>
    <row r="474" ht="24" customHeight="1" s="63">
      <c r="E474" s="139" t="n"/>
      <c r="F474" s="139" t="n"/>
      <c r="G474" s="140">
        <f>IFERROR(IF(E474&gt;0,(F474/E474)*1000,""),"")</f>
        <v/>
      </c>
      <c r="H474" s="139">
        <f>IFERROR(IF(E474&gt;0,E474*IF(ISNUMBER(J474),J474,IF(C474="Futures",$C$6,$C$5)),""),"")</f>
        <v/>
      </c>
      <c r="I474" s="139">
        <f>IFERROR(IF(AND(ISNUMBER(F474),ISNUMBER(H474)),F474-H474,""),"")</f>
        <v/>
      </c>
      <c r="J474" s="114" t="n"/>
      <c r="K474" s="139">
        <f>IFERROR(IF(H474&gt;0,H474*$C$7,""),"")</f>
        <v/>
      </c>
      <c r="L474" s="139">
        <f>IFERROR(IF(ISNUMBER(F474),F474-IF(ISNUMBER(K474),K474,0),""),"")</f>
        <v/>
      </c>
    </row>
    <row r="475" ht="24" customHeight="1" s="63">
      <c r="E475" s="139" t="n"/>
      <c r="F475" s="139" t="n"/>
      <c r="G475" s="140">
        <f>IFERROR(IF(E475&gt;0,(F475/E475)*1000,""),"")</f>
        <v/>
      </c>
      <c r="H475" s="139">
        <f>IFERROR(IF(E475&gt;0,E475*IF(ISNUMBER(J475),J475,IF(C475="Futures",$C$6,$C$5)),""),"")</f>
        <v/>
      </c>
      <c r="I475" s="139">
        <f>IFERROR(IF(AND(ISNUMBER(F475),ISNUMBER(H475)),F475-H475,""),"")</f>
        <v/>
      </c>
      <c r="J475" s="114" t="n"/>
      <c r="K475" s="139">
        <f>IFERROR(IF(H475&gt;0,H475*$C$7,""),"")</f>
        <v/>
      </c>
      <c r="L475" s="139">
        <f>IFERROR(IF(ISNUMBER(F475),F475-IF(ISNUMBER(K475),K475,0),""),"")</f>
        <v/>
      </c>
    </row>
    <row r="476" ht="24" customHeight="1" s="63">
      <c r="E476" s="139" t="n"/>
      <c r="F476" s="139" t="n"/>
      <c r="G476" s="140">
        <f>IFERROR(IF(E476&gt;0,(F476/E476)*1000,""),"")</f>
        <v/>
      </c>
      <c r="H476" s="139">
        <f>IFERROR(IF(E476&gt;0,E476*IF(ISNUMBER(J476),J476,IF(C476="Futures",$C$6,$C$5)),""),"")</f>
        <v/>
      </c>
      <c r="I476" s="139">
        <f>IFERROR(IF(AND(ISNUMBER(F476),ISNUMBER(H476)),F476-H476,""),"")</f>
        <v/>
      </c>
      <c r="J476" s="114" t="n"/>
      <c r="K476" s="139">
        <f>IFERROR(IF(H476&gt;0,H476*$C$7,""),"")</f>
        <v/>
      </c>
      <c r="L476" s="139">
        <f>IFERROR(IF(ISNUMBER(F476),F476-IF(ISNUMBER(K476),K476,0),""),"")</f>
        <v/>
      </c>
    </row>
    <row r="477" ht="24" customHeight="1" s="63">
      <c r="E477" s="139" t="n"/>
      <c r="F477" s="139" t="n"/>
      <c r="G477" s="140">
        <f>IFERROR(IF(E477&gt;0,(F477/E477)*1000,""),"")</f>
        <v/>
      </c>
      <c r="H477" s="139">
        <f>IFERROR(IF(E477&gt;0,E477*IF(ISNUMBER(J477),J477,IF(C477="Futures",$C$6,$C$5)),""),"")</f>
        <v/>
      </c>
      <c r="I477" s="139">
        <f>IFERROR(IF(AND(ISNUMBER(F477),ISNUMBER(H477)),F477-H477,""),"")</f>
        <v/>
      </c>
      <c r="J477" s="114" t="n"/>
      <c r="K477" s="139">
        <f>IFERROR(IF(H477&gt;0,H477*$C$7,""),"")</f>
        <v/>
      </c>
      <c r="L477" s="139">
        <f>IFERROR(IF(ISNUMBER(F477),F477-IF(ISNUMBER(K477),K477,0),""),"")</f>
        <v/>
      </c>
    </row>
    <row r="478" ht="24" customHeight="1" s="63">
      <c r="E478" s="139" t="n"/>
      <c r="F478" s="139" t="n"/>
      <c r="G478" s="140">
        <f>IFERROR(IF(E478&gt;0,(F478/E478)*1000,""),"")</f>
        <v/>
      </c>
      <c r="H478" s="139">
        <f>IFERROR(IF(E478&gt;0,E478*IF(ISNUMBER(J478),J478,IF(C478="Futures",$C$6,$C$5)),""),"")</f>
        <v/>
      </c>
      <c r="I478" s="139">
        <f>IFERROR(IF(AND(ISNUMBER(F478),ISNUMBER(H478)),F478-H478,""),"")</f>
        <v/>
      </c>
      <c r="J478" s="114" t="n"/>
      <c r="K478" s="139">
        <f>IFERROR(IF(H478&gt;0,H478*$C$7,""),"")</f>
        <v/>
      </c>
      <c r="L478" s="139">
        <f>IFERROR(IF(ISNUMBER(F478),F478-IF(ISNUMBER(K478),K478,0),""),"")</f>
        <v/>
      </c>
    </row>
    <row r="479" ht="24" customHeight="1" s="63">
      <c r="E479" s="139" t="n"/>
      <c r="F479" s="139" t="n"/>
      <c r="G479" s="140">
        <f>IFERROR(IF(E479&gt;0,(F479/E479)*1000,""),"")</f>
        <v/>
      </c>
      <c r="H479" s="139">
        <f>IFERROR(IF(E479&gt;0,E479*IF(ISNUMBER(J479),J479,IF(C479="Futures",$C$6,$C$5)),""),"")</f>
        <v/>
      </c>
      <c r="I479" s="139">
        <f>IFERROR(IF(AND(ISNUMBER(F479),ISNUMBER(H479)),F479-H479,""),"")</f>
        <v/>
      </c>
      <c r="J479" s="114" t="n"/>
      <c r="K479" s="139">
        <f>IFERROR(IF(H479&gt;0,H479*$C$7,""),"")</f>
        <v/>
      </c>
      <c r="L479" s="139">
        <f>IFERROR(IF(ISNUMBER(F479),F479-IF(ISNUMBER(K479),K479,0),""),"")</f>
        <v/>
      </c>
    </row>
    <row r="480" ht="24" customHeight="1" s="63">
      <c r="E480" s="139" t="n"/>
      <c r="F480" s="139" t="n"/>
      <c r="G480" s="140">
        <f>IFERROR(IF(E480&gt;0,(F480/E480)*1000,""),"")</f>
        <v/>
      </c>
      <c r="H480" s="139">
        <f>IFERROR(IF(E480&gt;0,E480*IF(ISNUMBER(J480),J480,IF(C480="Futures",$C$6,$C$5)),""),"")</f>
        <v/>
      </c>
      <c r="I480" s="139">
        <f>IFERROR(IF(AND(ISNUMBER(F480),ISNUMBER(H480)),F480-H480,""),"")</f>
        <v/>
      </c>
      <c r="J480" s="114" t="n"/>
      <c r="K480" s="139">
        <f>IFERROR(IF(H480&gt;0,H480*$C$7,""),"")</f>
        <v/>
      </c>
      <c r="L480" s="139">
        <f>IFERROR(IF(ISNUMBER(F480),F480-IF(ISNUMBER(K480),K480,0),""),"")</f>
        <v/>
      </c>
    </row>
    <row r="481" ht="24" customHeight="1" s="63">
      <c r="E481" s="139" t="n"/>
      <c r="F481" s="139" t="n"/>
      <c r="G481" s="140">
        <f>IFERROR(IF(E481&gt;0,(F481/E481)*1000,""),"")</f>
        <v/>
      </c>
      <c r="H481" s="139">
        <f>IFERROR(IF(E481&gt;0,E481*IF(ISNUMBER(J481),J481,IF(C481="Futures",$C$6,$C$5)),""),"")</f>
        <v/>
      </c>
      <c r="I481" s="139">
        <f>IFERROR(IF(AND(ISNUMBER(F481),ISNUMBER(H481)),F481-H481,""),"")</f>
        <v/>
      </c>
      <c r="J481" s="114" t="n"/>
      <c r="K481" s="139">
        <f>IFERROR(IF(H481&gt;0,H481*$C$7,""),"")</f>
        <v/>
      </c>
      <c r="L481" s="139">
        <f>IFERROR(IF(ISNUMBER(F481),F481-IF(ISNUMBER(K481),K481,0),""),"")</f>
        <v/>
      </c>
    </row>
    <row r="482" ht="24" customHeight="1" s="63">
      <c r="E482" s="139" t="n"/>
      <c r="F482" s="139" t="n"/>
      <c r="G482" s="140">
        <f>IFERROR(IF(E482&gt;0,(F482/E482)*1000,""),"")</f>
        <v/>
      </c>
      <c r="H482" s="139">
        <f>IFERROR(IF(E482&gt;0,E482*IF(ISNUMBER(J482),J482,IF(C482="Futures",$C$6,$C$5)),""),"")</f>
        <v/>
      </c>
      <c r="I482" s="139">
        <f>IFERROR(IF(AND(ISNUMBER(F482),ISNUMBER(H482)),F482-H482,""),"")</f>
        <v/>
      </c>
      <c r="J482" s="114" t="n"/>
      <c r="K482" s="139">
        <f>IFERROR(IF(H482&gt;0,H482*$C$7,""),"")</f>
        <v/>
      </c>
      <c r="L482" s="139">
        <f>IFERROR(IF(ISNUMBER(F482),F482-IF(ISNUMBER(K482),K482,0),""),"")</f>
        <v/>
      </c>
    </row>
    <row r="483" ht="24" customHeight="1" s="63">
      <c r="E483" s="139" t="n"/>
      <c r="F483" s="139" t="n"/>
      <c r="G483" s="140">
        <f>IFERROR(IF(E483&gt;0,(F483/E483)*1000,""),"")</f>
        <v/>
      </c>
      <c r="H483" s="139">
        <f>IFERROR(IF(E483&gt;0,E483*IF(ISNUMBER(J483),J483,IF(C483="Futures",$C$6,$C$5)),""),"")</f>
        <v/>
      </c>
      <c r="I483" s="139">
        <f>IFERROR(IF(AND(ISNUMBER(F483),ISNUMBER(H483)),F483-H483,""),"")</f>
        <v/>
      </c>
      <c r="J483" s="114" t="n"/>
      <c r="K483" s="139">
        <f>IFERROR(IF(H483&gt;0,H483*$C$7,""),"")</f>
        <v/>
      </c>
      <c r="L483" s="139">
        <f>IFERROR(IF(ISNUMBER(F483),F483-IF(ISNUMBER(K483),K483,0),""),"")</f>
        <v/>
      </c>
    </row>
    <row r="484" ht="24" customHeight="1" s="63">
      <c r="E484" s="139" t="n"/>
      <c r="F484" s="139" t="n"/>
      <c r="G484" s="140">
        <f>IFERROR(IF(E484&gt;0,(F484/E484)*1000,""),"")</f>
        <v/>
      </c>
      <c r="H484" s="139">
        <f>IFERROR(IF(E484&gt;0,E484*IF(ISNUMBER(J484),J484,IF(C484="Futures",$C$6,$C$5)),""),"")</f>
        <v/>
      </c>
      <c r="I484" s="139">
        <f>IFERROR(IF(AND(ISNUMBER(F484),ISNUMBER(H484)),F484-H484,""),"")</f>
        <v/>
      </c>
      <c r="J484" s="114" t="n"/>
      <c r="K484" s="139">
        <f>IFERROR(IF(H484&gt;0,H484*$C$7,""),"")</f>
        <v/>
      </c>
      <c r="L484" s="139">
        <f>IFERROR(IF(ISNUMBER(F484),F484-IF(ISNUMBER(K484),K484,0),""),"")</f>
        <v/>
      </c>
    </row>
    <row r="485" ht="24" customHeight="1" s="63">
      <c r="E485" s="139" t="n"/>
      <c r="F485" s="139" t="n"/>
      <c r="G485" s="140">
        <f>IFERROR(IF(E485&gt;0,(F485/E485)*1000,""),"")</f>
        <v/>
      </c>
      <c r="H485" s="139">
        <f>IFERROR(IF(E485&gt;0,E485*IF(ISNUMBER(J485),J485,IF(C485="Futures",$C$6,$C$5)),""),"")</f>
        <v/>
      </c>
      <c r="I485" s="139">
        <f>IFERROR(IF(AND(ISNUMBER(F485),ISNUMBER(H485)),F485-H485,""),"")</f>
        <v/>
      </c>
      <c r="J485" s="114" t="n"/>
      <c r="K485" s="139">
        <f>IFERROR(IF(H485&gt;0,H485*$C$7,""),"")</f>
        <v/>
      </c>
      <c r="L485" s="139">
        <f>IFERROR(IF(ISNUMBER(F485),F485-IF(ISNUMBER(K485),K485,0),""),"")</f>
        <v/>
      </c>
    </row>
    <row r="486" ht="24" customHeight="1" s="63">
      <c r="E486" s="139" t="n"/>
      <c r="F486" s="139" t="n"/>
      <c r="G486" s="140">
        <f>IFERROR(IF(E486&gt;0,(F486/E486)*1000,""),"")</f>
        <v/>
      </c>
      <c r="H486" s="139">
        <f>IFERROR(IF(E486&gt;0,E486*IF(ISNUMBER(J486),J486,IF(C486="Futures",$C$6,$C$5)),""),"")</f>
        <v/>
      </c>
      <c r="I486" s="139">
        <f>IFERROR(IF(AND(ISNUMBER(F486),ISNUMBER(H486)),F486-H486,""),"")</f>
        <v/>
      </c>
      <c r="J486" s="114" t="n"/>
      <c r="K486" s="139">
        <f>IFERROR(IF(H486&gt;0,H486*$C$7,""),"")</f>
        <v/>
      </c>
      <c r="L486" s="139">
        <f>IFERROR(IF(ISNUMBER(F486),F486-IF(ISNUMBER(K486),K486,0),""),"")</f>
        <v/>
      </c>
    </row>
    <row r="487" ht="24" customHeight="1" s="63">
      <c r="E487" s="139" t="n"/>
      <c r="F487" s="139" t="n"/>
      <c r="G487" s="140">
        <f>IFERROR(IF(E487&gt;0,(F487/E487)*1000,""),"")</f>
        <v/>
      </c>
      <c r="H487" s="139">
        <f>IFERROR(IF(E487&gt;0,E487*IF(ISNUMBER(J487),J487,IF(C487="Futures",$C$6,$C$5)),""),"")</f>
        <v/>
      </c>
      <c r="I487" s="139">
        <f>IFERROR(IF(AND(ISNUMBER(F487),ISNUMBER(H487)),F487-H487,""),"")</f>
        <v/>
      </c>
      <c r="J487" s="114" t="n"/>
      <c r="K487" s="139">
        <f>IFERROR(IF(H487&gt;0,H487*$C$7,""),"")</f>
        <v/>
      </c>
      <c r="L487" s="139">
        <f>IFERROR(IF(ISNUMBER(F487),F487-IF(ISNUMBER(K487),K487,0),""),"")</f>
        <v/>
      </c>
    </row>
    <row r="488" ht="24" customHeight="1" s="63">
      <c r="E488" s="139" t="n"/>
      <c r="F488" s="139" t="n"/>
      <c r="G488" s="140">
        <f>IFERROR(IF(E488&gt;0,(F488/E488)*1000,""),"")</f>
        <v/>
      </c>
      <c r="H488" s="139">
        <f>IFERROR(IF(E488&gt;0,E488*IF(ISNUMBER(J488),J488,IF(C488="Futures",$C$6,$C$5)),""),"")</f>
        <v/>
      </c>
      <c r="I488" s="139">
        <f>IFERROR(IF(AND(ISNUMBER(F488),ISNUMBER(H488)),F488-H488,""),"")</f>
        <v/>
      </c>
      <c r="J488" s="114" t="n"/>
      <c r="K488" s="139">
        <f>IFERROR(IF(H488&gt;0,H488*$C$7,""),"")</f>
        <v/>
      </c>
      <c r="L488" s="139">
        <f>IFERROR(IF(ISNUMBER(F488),F488-IF(ISNUMBER(K488),K488,0),""),"")</f>
        <v/>
      </c>
    </row>
    <row r="489" ht="24" customHeight="1" s="63">
      <c r="E489" s="139" t="n"/>
      <c r="F489" s="139" t="n"/>
      <c r="G489" s="140">
        <f>IFERROR(IF(E489&gt;0,(F489/E489)*1000,""),"")</f>
        <v/>
      </c>
      <c r="H489" s="139">
        <f>IFERROR(IF(E489&gt;0,E489*IF(ISNUMBER(J489),J489,IF(C489="Futures",$C$6,$C$5)),""),"")</f>
        <v/>
      </c>
      <c r="I489" s="139">
        <f>IFERROR(IF(AND(ISNUMBER(F489),ISNUMBER(H489)),F489-H489,""),"")</f>
        <v/>
      </c>
      <c r="J489" s="114" t="n"/>
      <c r="K489" s="139">
        <f>IFERROR(IF(H489&gt;0,H489*$C$7,""),"")</f>
        <v/>
      </c>
      <c r="L489" s="139">
        <f>IFERROR(IF(ISNUMBER(F489),F489-IF(ISNUMBER(K489),K489,0),""),"")</f>
        <v/>
      </c>
    </row>
    <row r="490" ht="24" customHeight="1" s="63">
      <c r="E490" s="139" t="n"/>
      <c r="F490" s="139" t="n"/>
      <c r="G490" s="140">
        <f>IFERROR(IF(E490&gt;0,(F490/E490)*1000,""),"")</f>
        <v/>
      </c>
      <c r="H490" s="139">
        <f>IFERROR(IF(E490&gt;0,E490*IF(ISNUMBER(J490),J490,IF(C490="Futures",$C$6,$C$5)),""),"")</f>
        <v/>
      </c>
      <c r="I490" s="139">
        <f>IFERROR(IF(AND(ISNUMBER(F490),ISNUMBER(H490)),F490-H490,""),"")</f>
        <v/>
      </c>
      <c r="J490" s="114" t="n"/>
      <c r="K490" s="139">
        <f>IFERROR(IF(H490&gt;0,H490*$C$7,""),"")</f>
        <v/>
      </c>
      <c r="L490" s="139">
        <f>IFERROR(IF(ISNUMBER(F490),F490-IF(ISNUMBER(K490),K490,0),""),"")</f>
        <v/>
      </c>
    </row>
    <row r="491" ht="24" customHeight="1" s="63">
      <c r="E491" s="139" t="n"/>
      <c r="F491" s="139" t="n"/>
      <c r="G491" s="140">
        <f>IFERROR(IF(E491&gt;0,(F491/E491)*1000,""),"")</f>
        <v/>
      </c>
      <c r="H491" s="139">
        <f>IFERROR(IF(E491&gt;0,E491*IF(ISNUMBER(J491),J491,IF(C491="Futures",$C$6,$C$5)),""),"")</f>
        <v/>
      </c>
      <c r="I491" s="139">
        <f>IFERROR(IF(AND(ISNUMBER(F491),ISNUMBER(H491)),F491-H491,""),"")</f>
        <v/>
      </c>
      <c r="J491" s="114" t="n"/>
      <c r="K491" s="139">
        <f>IFERROR(IF(H491&gt;0,H491*$C$7,""),"")</f>
        <v/>
      </c>
      <c r="L491" s="139">
        <f>IFERROR(IF(ISNUMBER(F491),F491-IF(ISNUMBER(K491),K491,0),""),"")</f>
        <v/>
      </c>
    </row>
    <row r="492" ht="24" customHeight="1" s="63">
      <c r="E492" s="139" t="n"/>
      <c r="F492" s="139" t="n"/>
      <c r="G492" s="140">
        <f>IFERROR(IF(E492&gt;0,(F492/E492)*1000,""),"")</f>
        <v/>
      </c>
      <c r="H492" s="139">
        <f>IFERROR(IF(E492&gt;0,E492*IF(ISNUMBER(J492),J492,IF(C492="Futures",$C$6,$C$5)),""),"")</f>
        <v/>
      </c>
      <c r="I492" s="139">
        <f>IFERROR(IF(AND(ISNUMBER(F492),ISNUMBER(H492)),F492-H492,""),"")</f>
        <v/>
      </c>
      <c r="J492" s="114" t="n"/>
      <c r="K492" s="139">
        <f>IFERROR(IF(H492&gt;0,H492*$C$7,""),"")</f>
        <v/>
      </c>
      <c r="L492" s="139">
        <f>IFERROR(IF(ISNUMBER(F492),F492-IF(ISNUMBER(K492),K492,0),""),"")</f>
        <v/>
      </c>
    </row>
    <row r="493" ht="24" customHeight="1" s="63">
      <c r="E493" s="139" t="n"/>
      <c r="F493" s="139" t="n"/>
      <c r="G493" s="140">
        <f>IFERROR(IF(E493&gt;0,(F493/E493)*1000,""),"")</f>
        <v/>
      </c>
      <c r="H493" s="139">
        <f>IFERROR(IF(E493&gt;0,E493*IF(ISNUMBER(J493),J493,IF(C493="Futures",$C$6,$C$5)),""),"")</f>
        <v/>
      </c>
      <c r="I493" s="139">
        <f>IFERROR(IF(AND(ISNUMBER(F493),ISNUMBER(H493)),F493-H493,""),"")</f>
        <v/>
      </c>
      <c r="J493" s="114" t="n"/>
      <c r="K493" s="139">
        <f>IFERROR(IF(H493&gt;0,H493*$C$7,""),"")</f>
        <v/>
      </c>
      <c r="L493" s="139">
        <f>IFERROR(IF(ISNUMBER(F493),F493-IF(ISNUMBER(K493),K493,0),""),"")</f>
        <v/>
      </c>
    </row>
    <row r="494" ht="24" customHeight="1" s="63">
      <c r="E494" s="139" t="n"/>
      <c r="F494" s="139" t="n"/>
      <c r="G494" s="140">
        <f>IFERROR(IF(E494&gt;0,(F494/E494)*1000,""),"")</f>
        <v/>
      </c>
      <c r="H494" s="139">
        <f>IFERROR(IF(E494&gt;0,E494*IF(ISNUMBER(J494),J494,IF(C494="Futures",$C$6,$C$5)),""),"")</f>
        <v/>
      </c>
      <c r="I494" s="139">
        <f>IFERROR(IF(AND(ISNUMBER(F494),ISNUMBER(H494)),F494-H494,""),"")</f>
        <v/>
      </c>
      <c r="J494" s="114" t="n"/>
      <c r="K494" s="139">
        <f>IFERROR(IF(H494&gt;0,H494*$C$7,""),"")</f>
        <v/>
      </c>
      <c r="L494" s="139">
        <f>IFERROR(IF(ISNUMBER(F494),F494-IF(ISNUMBER(K494),K494,0),""),"")</f>
        <v/>
      </c>
    </row>
    <row r="495" ht="24" customHeight="1" s="63">
      <c r="E495" s="139" t="n"/>
      <c r="F495" s="139" t="n"/>
      <c r="G495" s="140">
        <f>IFERROR(IF(E495&gt;0,(F495/E495)*1000,""),"")</f>
        <v/>
      </c>
      <c r="H495" s="139">
        <f>IFERROR(IF(E495&gt;0,E495*IF(ISNUMBER(J495),J495,IF(C495="Futures",$C$6,$C$5)),""),"")</f>
        <v/>
      </c>
      <c r="I495" s="139">
        <f>IFERROR(IF(AND(ISNUMBER(F495),ISNUMBER(H495)),F495-H495,""),"")</f>
        <v/>
      </c>
      <c r="J495" s="114" t="n"/>
      <c r="K495" s="139">
        <f>IFERROR(IF(H495&gt;0,H495*$C$7,""),"")</f>
        <v/>
      </c>
      <c r="L495" s="139">
        <f>IFERROR(IF(ISNUMBER(F495),F495-IF(ISNUMBER(K495),K495,0),""),"")</f>
        <v/>
      </c>
    </row>
    <row r="496" ht="24" customHeight="1" s="63">
      <c r="E496" s="139" t="n"/>
      <c r="F496" s="139" t="n"/>
      <c r="G496" s="140">
        <f>IFERROR(IF(E496&gt;0,(F496/E496)*1000,""),"")</f>
        <v/>
      </c>
      <c r="H496" s="139">
        <f>IFERROR(IF(E496&gt;0,E496*IF(ISNUMBER(J496),J496,IF(C496="Futures",$C$6,$C$5)),""),"")</f>
        <v/>
      </c>
      <c r="I496" s="139">
        <f>IFERROR(IF(AND(ISNUMBER(F496),ISNUMBER(H496)),F496-H496,""),"")</f>
        <v/>
      </c>
      <c r="J496" s="114" t="n"/>
      <c r="K496" s="139">
        <f>IFERROR(IF(H496&gt;0,H496*$C$7,""),"")</f>
        <v/>
      </c>
      <c r="L496" s="139">
        <f>IFERROR(IF(ISNUMBER(F496),F496-IF(ISNUMBER(K496),K496,0),""),"")</f>
        <v/>
      </c>
    </row>
    <row r="497" ht="24" customHeight="1" s="63">
      <c r="E497" s="139" t="n"/>
      <c r="F497" s="139" t="n"/>
      <c r="G497" s="140">
        <f>IFERROR(IF(E497&gt;0,(F497/E497)*1000,""),"")</f>
        <v/>
      </c>
      <c r="H497" s="139">
        <f>IFERROR(IF(E497&gt;0,E497*IF(ISNUMBER(J497),J497,IF(C497="Futures",$C$6,$C$5)),""),"")</f>
        <v/>
      </c>
      <c r="I497" s="139">
        <f>IFERROR(IF(AND(ISNUMBER(F497),ISNUMBER(H497)),F497-H497,""),"")</f>
        <v/>
      </c>
      <c r="J497" s="114" t="n"/>
      <c r="K497" s="139">
        <f>IFERROR(IF(H497&gt;0,H497*$C$7,""),"")</f>
        <v/>
      </c>
      <c r="L497" s="139">
        <f>IFERROR(IF(ISNUMBER(F497),F497-IF(ISNUMBER(K497),K497,0),""),"")</f>
        <v/>
      </c>
    </row>
    <row r="498" ht="24" customHeight="1" s="63">
      <c r="E498" s="139" t="n"/>
      <c r="F498" s="139" t="n"/>
      <c r="G498" s="140">
        <f>IFERROR(IF(E498&gt;0,(F498/E498)*1000,""),"")</f>
        <v/>
      </c>
      <c r="H498" s="139">
        <f>IFERROR(IF(E498&gt;0,E498*IF(ISNUMBER(J498),J498,IF(C498="Futures",$C$6,$C$5)),""),"")</f>
        <v/>
      </c>
      <c r="I498" s="139">
        <f>IFERROR(IF(AND(ISNUMBER(F498),ISNUMBER(H498)),F498-H498,""),"")</f>
        <v/>
      </c>
      <c r="J498" s="114" t="n"/>
      <c r="K498" s="139">
        <f>IFERROR(IF(H498&gt;0,H498*$C$7,""),"")</f>
        <v/>
      </c>
      <c r="L498" s="139">
        <f>IFERROR(IF(ISNUMBER(F498),F498-IF(ISNUMBER(K498),K498,0),""),"")</f>
        <v/>
      </c>
    </row>
    <row r="499" ht="24" customHeight="1" s="63">
      <c r="E499" s="139" t="n"/>
      <c r="F499" s="139" t="n"/>
      <c r="G499" s="140">
        <f>IFERROR(IF(E499&gt;0,(F499/E499)*1000,""),"")</f>
        <v/>
      </c>
      <c r="H499" s="139">
        <f>IFERROR(IF(E499&gt;0,E499*IF(ISNUMBER(J499),J499,IF(C499="Futures",$C$6,$C$5)),""),"")</f>
        <v/>
      </c>
      <c r="I499" s="139">
        <f>IFERROR(IF(AND(ISNUMBER(F499),ISNUMBER(H499)),F499-H499,""),"")</f>
        <v/>
      </c>
      <c r="J499" s="114" t="n"/>
      <c r="K499" s="139">
        <f>IFERROR(IF(H499&gt;0,H499*$C$7,""),"")</f>
        <v/>
      </c>
      <c r="L499" s="139">
        <f>IFERROR(IF(ISNUMBER(F499),F499-IF(ISNUMBER(K499),K499,0),""),"")</f>
        <v/>
      </c>
    </row>
    <row r="500" ht="24" customHeight="1" s="63">
      <c r="E500" s="139" t="n"/>
      <c r="F500" s="139" t="n"/>
      <c r="G500" s="140">
        <f>IFERROR(IF(E500&gt;0,(F500/E500)*1000,""),"")</f>
        <v/>
      </c>
      <c r="H500" s="139">
        <f>IFERROR(IF(E500&gt;0,E500*IF(ISNUMBER(J500),J500,IF(C500="Futures",$C$6,$C$5)),""),"")</f>
        <v/>
      </c>
      <c r="I500" s="139">
        <f>IFERROR(IF(AND(ISNUMBER(F500),ISNUMBER(H500)),F500-H500,""),"")</f>
        <v/>
      </c>
      <c r="J500" s="114" t="n"/>
      <c r="K500" s="139">
        <f>IFERROR(IF(H500&gt;0,H500*$C$7,""),"")</f>
        <v/>
      </c>
      <c r="L500" s="139">
        <f>IFERROR(IF(ISNUMBER(F500),F500-IF(ISNUMBER(K500),K500,0),""),"")</f>
        <v/>
      </c>
    </row>
    <row r="501" ht="24" customHeight="1" s="63">
      <c r="E501" s="139" t="n"/>
      <c r="F501" s="139" t="n"/>
      <c r="G501" s="140">
        <f>IFERROR(IF(E501&gt;0,(F501/E501)*1000,""),"")</f>
        <v/>
      </c>
      <c r="H501" s="139">
        <f>IFERROR(IF(E501&gt;0,E501*IF(ISNUMBER(J501),J501,IF(C501="Futures",$C$6,$C$5)),""),"")</f>
        <v/>
      </c>
      <c r="I501" s="139">
        <f>IFERROR(IF(AND(ISNUMBER(F501),ISNUMBER(H501)),F501-H501,""),"")</f>
        <v/>
      </c>
      <c r="J501" s="114" t="n"/>
      <c r="K501" s="139">
        <f>IFERROR(IF(H501&gt;0,H501*$C$7,""),"")</f>
        <v/>
      </c>
      <c r="L501" s="139">
        <f>IFERROR(IF(ISNUMBER(F501),F501-IF(ISNUMBER(K501),K501,0),""),"")</f>
        <v/>
      </c>
    </row>
    <row r="502" ht="24" customHeight="1" s="63">
      <c r="E502" s="139" t="n"/>
      <c r="F502" s="139" t="n"/>
      <c r="G502" s="140">
        <f>IFERROR(IF(E502&gt;0,(F502/E502)*1000,""),"")</f>
        <v/>
      </c>
      <c r="H502" s="139">
        <f>IFERROR(IF(E502&gt;0,E502*IF(ISNUMBER(J502),J502,IF(C502="Futures",$C$6,$C$5)),""),"")</f>
        <v/>
      </c>
      <c r="I502" s="139">
        <f>IFERROR(IF(AND(ISNUMBER(F502),ISNUMBER(H502)),F502-H502,""),"")</f>
        <v/>
      </c>
      <c r="J502" s="114" t="n"/>
      <c r="K502" s="139">
        <f>IFERROR(IF(H502&gt;0,H502*$C$7,""),"")</f>
        <v/>
      </c>
      <c r="L502" s="139">
        <f>IFERROR(IF(ISNUMBER(F502),F502-IF(ISNUMBER(K502),K502,0),""),"")</f>
        <v/>
      </c>
    </row>
    <row r="503" ht="24" customHeight="1" s="63">
      <c r="E503" s="139" t="n"/>
      <c r="F503" s="139" t="n"/>
      <c r="G503" s="140">
        <f>IFERROR(IF(E503&gt;0,(F503/E503)*1000,""),"")</f>
        <v/>
      </c>
      <c r="H503" s="139">
        <f>IFERROR(IF(E503&gt;0,E503*IF(ISNUMBER(J503),J503,IF(C503="Futures",$C$6,$C$5)),""),"")</f>
        <v/>
      </c>
      <c r="I503" s="139">
        <f>IFERROR(IF(AND(ISNUMBER(F503),ISNUMBER(H503)),F503-H503,""),"")</f>
        <v/>
      </c>
      <c r="J503" s="114" t="n"/>
      <c r="K503" s="139">
        <f>IFERROR(IF(H503&gt;0,H503*$C$7,""),"")</f>
        <v/>
      </c>
      <c r="L503" s="139">
        <f>IFERROR(IF(ISNUMBER(F503),F503-IF(ISNUMBER(K503),K503,0),""),"")</f>
        <v/>
      </c>
    </row>
    <row r="504" ht="24" customHeight="1" s="63">
      <c r="E504" s="139" t="n"/>
      <c r="F504" s="139" t="n"/>
      <c r="G504" s="140">
        <f>IFERROR(IF(E504&gt;0,(F504/E504)*1000,""),"")</f>
        <v/>
      </c>
      <c r="H504" s="139">
        <f>IFERROR(IF(E504&gt;0,E504*IF(ISNUMBER(J504),J504,IF(C504="Futures",$C$6,$C$5)),""),"")</f>
        <v/>
      </c>
      <c r="I504" s="139">
        <f>IFERROR(IF(AND(ISNUMBER(F504),ISNUMBER(H504)),F504-H504,""),"")</f>
        <v/>
      </c>
      <c r="J504" s="114" t="n"/>
      <c r="K504" s="139">
        <f>IFERROR(IF(H504&gt;0,H504*$C$7,""),"")</f>
        <v/>
      </c>
      <c r="L504" s="139">
        <f>IFERROR(IF(ISNUMBER(F504),F504-IF(ISNUMBER(K504),K504,0),""),"")</f>
        <v/>
      </c>
    </row>
    <row r="505" ht="24" customHeight="1" s="63">
      <c r="E505" s="139" t="n"/>
      <c r="F505" s="139" t="n"/>
      <c r="G505" s="140">
        <f>IFERROR(IF(E505&gt;0,(F505/E505)*1000,""),"")</f>
        <v/>
      </c>
      <c r="H505" s="139">
        <f>IFERROR(IF(E505&gt;0,E505*IF(ISNUMBER(J505),J505,IF(C505="Futures",$C$6,$C$5)),""),"")</f>
        <v/>
      </c>
      <c r="I505" s="139">
        <f>IFERROR(IF(AND(ISNUMBER(F505),ISNUMBER(H505)),F505-H505,""),"")</f>
        <v/>
      </c>
      <c r="J505" s="114" t="n"/>
      <c r="K505" s="139">
        <f>IFERROR(IF(H505&gt;0,H505*$C$7,""),"")</f>
        <v/>
      </c>
      <c r="L505" s="139">
        <f>IFERROR(IF(ISNUMBER(F505),F505-IF(ISNUMBER(K505),K505,0),""),"")</f>
        <v/>
      </c>
    </row>
    <row r="506" ht="24" customHeight="1" s="63">
      <c r="E506" s="139" t="n"/>
      <c r="F506" s="139" t="n"/>
      <c r="G506" s="140">
        <f>IFERROR(IF(E506&gt;0,(F506/E506)*1000,""),"")</f>
        <v/>
      </c>
      <c r="H506" s="139">
        <f>IFERROR(IF(E506&gt;0,E506*IF(ISNUMBER(J506),J506,IF(C506="Futures",$C$6,$C$5)),""),"")</f>
        <v/>
      </c>
      <c r="I506" s="139">
        <f>IFERROR(IF(AND(ISNUMBER(F506),ISNUMBER(H506)),F506-H506,""),"")</f>
        <v/>
      </c>
      <c r="J506" s="114" t="n"/>
      <c r="K506" s="139">
        <f>IFERROR(IF(H506&gt;0,H506*$C$7,""),"")</f>
        <v/>
      </c>
      <c r="L506" s="139">
        <f>IFERROR(IF(ISNUMBER(F506),F506-IF(ISNUMBER(K506),K506,0),""),"")</f>
        <v/>
      </c>
    </row>
    <row r="507" ht="24" customHeight="1" s="63">
      <c r="E507" s="139" t="n"/>
      <c r="F507" s="139" t="n"/>
      <c r="G507" s="140">
        <f>IFERROR(IF(E507&gt;0,(F507/E507)*1000,""),"")</f>
        <v/>
      </c>
      <c r="H507" s="139">
        <f>IFERROR(IF(E507&gt;0,E507*IF(ISNUMBER(J507),J507,IF(C507="Futures",$C$6,$C$5)),""),"")</f>
        <v/>
      </c>
      <c r="I507" s="139">
        <f>IFERROR(IF(AND(ISNUMBER(F507),ISNUMBER(H507)),F507-H507,""),"")</f>
        <v/>
      </c>
      <c r="J507" s="114" t="n"/>
      <c r="K507" s="139">
        <f>IFERROR(IF(H507&gt;0,H507*$C$7,""),"")</f>
        <v/>
      </c>
      <c r="L507" s="139">
        <f>IFERROR(IF(ISNUMBER(F507),F507-IF(ISNUMBER(K507),K507,0),""),"")</f>
        <v/>
      </c>
    </row>
    <row r="508" ht="24" customHeight="1" s="63">
      <c r="E508" s="139" t="n"/>
      <c r="F508" s="139" t="n"/>
      <c r="G508" s="140">
        <f>IFERROR(IF(E508&gt;0,(F508/E508)*1000,""),"")</f>
        <v/>
      </c>
      <c r="H508" s="139">
        <f>IFERROR(IF(E508&gt;0,E508*IF(ISNUMBER(J508),J508,IF(C508="Futures",$C$6,$C$5)),""),"")</f>
        <v/>
      </c>
      <c r="I508" s="139">
        <f>IFERROR(IF(AND(ISNUMBER(F508),ISNUMBER(H508)),F508-H508,""),"")</f>
        <v/>
      </c>
      <c r="J508" s="114" t="n"/>
      <c r="K508" s="139">
        <f>IFERROR(IF(H508&gt;0,H508*$C$7,""),"")</f>
        <v/>
      </c>
      <c r="L508" s="139">
        <f>IFERROR(IF(ISNUMBER(F508),F508-IF(ISNUMBER(K508),K508,0),""),"")</f>
        <v/>
      </c>
    </row>
    <row r="509" ht="24" customHeight="1" s="63">
      <c r="E509" s="139" t="n"/>
      <c r="F509" s="139" t="n"/>
      <c r="G509" s="140">
        <f>IFERROR(IF(E509&gt;0,(F509/E509)*1000,""),"")</f>
        <v/>
      </c>
      <c r="H509" s="139">
        <f>IFERROR(IF(E509&gt;0,E509*IF(ISNUMBER(J509),J509,IF(C509="Futures",$C$6,$C$5)),""),"")</f>
        <v/>
      </c>
      <c r="I509" s="139">
        <f>IFERROR(IF(AND(ISNUMBER(F509),ISNUMBER(H509)),F509-H509,""),"")</f>
        <v/>
      </c>
      <c r="J509" s="114" t="n"/>
      <c r="K509" s="139">
        <f>IFERROR(IF(H509&gt;0,H509*$C$7,""),"")</f>
        <v/>
      </c>
      <c r="L509" s="139">
        <f>IFERROR(IF(ISNUMBER(F509),F509-IF(ISNUMBER(K509),K509,0),""),"")</f>
        <v/>
      </c>
    </row>
    <row r="510" ht="24" customHeight="1" s="63">
      <c r="E510" s="139" t="n"/>
      <c r="F510" s="139" t="n"/>
      <c r="G510" s="140">
        <f>IFERROR(IF(E510&gt;0,(F510/E510)*1000,""),"")</f>
        <v/>
      </c>
      <c r="H510" s="139">
        <f>IFERROR(IF(E510&gt;0,E510*IF(ISNUMBER(J510),J510,IF(C510="Futures",$C$6,$C$5)),""),"")</f>
        <v/>
      </c>
      <c r="I510" s="139">
        <f>IFERROR(IF(AND(ISNUMBER(F510),ISNUMBER(H510)),F510-H510,""),"")</f>
        <v/>
      </c>
      <c r="J510" s="114" t="n"/>
      <c r="K510" s="139">
        <f>IFERROR(IF(H510&gt;0,H510*$C$7,""),"")</f>
        <v/>
      </c>
      <c r="L510" s="139">
        <f>IFERROR(IF(ISNUMBER(F510),F510-IF(ISNUMBER(K510),K510,0),""),"")</f>
        <v/>
      </c>
    </row>
    <row r="511" ht="24" customHeight="1" s="63">
      <c r="E511" s="139" t="n"/>
      <c r="F511" s="139" t="n"/>
      <c r="G511" s="140">
        <f>IFERROR(IF(E511&gt;0,(F511/E511)*1000,""),"")</f>
        <v/>
      </c>
      <c r="H511" s="139">
        <f>IFERROR(IF(E511&gt;0,E511*IF(ISNUMBER(J511),J511,IF(C511="Futures",$C$6,$C$5)),""),"")</f>
        <v/>
      </c>
      <c r="I511" s="139">
        <f>IFERROR(IF(AND(ISNUMBER(F511),ISNUMBER(H511)),F511-H511,""),"")</f>
        <v/>
      </c>
      <c r="J511" s="114" t="n"/>
      <c r="K511" s="139">
        <f>IFERROR(IF(H511&gt;0,H511*$C$7,""),"")</f>
        <v/>
      </c>
      <c r="L511" s="139">
        <f>IFERROR(IF(ISNUMBER(F511),F511-IF(ISNUMBER(K511),K511,0),""),"")</f>
        <v/>
      </c>
    </row>
    <row r="512" ht="24" customHeight="1" s="63">
      <c r="E512" s="139" t="n"/>
      <c r="F512" s="139" t="n"/>
      <c r="G512" s="140">
        <f>IFERROR(IF(E512&gt;0,(F512/E512)*1000,""),"")</f>
        <v/>
      </c>
      <c r="H512" s="139">
        <f>IFERROR(IF(E512&gt;0,E512*IF(ISNUMBER(J512),J512,IF(C512="Futures",$C$6,$C$5)),""),"")</f>
        <v/>
      </c>
      <c r="I512" s="139">
        <f>IFERROR(IF(AND(ISNUMBER(F512),ISNUMBER(H512)),F512-H512,""),"")</f>
        <v/>
      </c>
      <c r="J512" s="114" t="n"/>
      <c r="K512" s="139">
        <f>IFERROR(IF(H512&gt;0,H512*$C$7,""),"")</f>
        <v/>
      </c>
      <c r="L512" s="139">
        <f>IFERROR(IF(ISNUMBER(F512),F512-IF(ISNUMBER(K512),K512,0),""),"")</f>
        <v/>
      </c>
    </row>
    <row r="513" ht="24" customHeight="1" s="63">
      <c r="E513" s="139" t="n"/>
      <c r="F513" s="139" t="n"/>
      <c r="G513" s="140">
        <f>IFERROR(IF(E513&gt;0,(F513/E513)*1000,""),"")</f>
        <v/>
      </c>
      <c r="H513" s="139">
        <f>IFERROR(IF(E513&gt;0,E513*IF(ISNUMBER(J513),J513,IF(C513="Futures",$C$6,$C$5)),""),"")</f>
        <v/>
      </c>
      <c r="I513" s="139">
        <f>IFERROR(IF(AND(ISNUMBER(F513),ISNUMBER(H513)),F513-H513,""),"")</f>
        <v/>
      </c>
      <c r="J513" s="114" t="n"/>
      <c r="K513" s="139">
        <f>IFERROR(IF(H513&gt;0,H513*$C$7,""),"")</f>
        <v/>
      </c>
      <c r="L513" s="139">
        <f>IFERROR(IF(ISNUMBER(F513),F513-IF(ISNUMBER(K513),K513,0),""),"")</f>
        <v/>
      </c>
    </row>
    <row r="514" ht="24" customHeight="1" s="63">
      <c r="E514" s="139" t="n"/>
      <c r="F514" s="139" t="n"/>
      <c r="G514" s="140">
        <f>IFERROR(IF(E514&gt;0,(F514/E514)*1000,""),"")</f>
        <v/>
      </c>
      <c r="H514" s="139">
        <f>IFERROR(IF(E514&gt;0,E514*IF(ISNUMBER(J514),J514,IF(C514="Futures",$C$6,$C$5)),""),"")</f>
        <v/>
      </c>
      <c r="I514" s="139">
        <f>IFERROR(IF(AND(ISNUMBER(F514),ISNUMBER(H514)),F514-H514,""),"")</f>
        <v/>
      </c>
      <c r="J514" s="114" t="n"/>
      <c r="K514" s="139">
        <f>IFERROR(IF(H514&gt;0,H514*$C$7,""),"")</f>
        <v/>
      </c>
      <c r="L514" s="139">
        <f>IFERROR(IF(ISNUMBER(F514),F514-IF(ISNUMBER(K514),K514,0),""),"")</f>
        <v/>
      </c>
    </row>
    <row r="515" ht="24" customHeight="1" s="63">
      <c r="E515" s="139" t="n"/>
      <c r="F515" s="139" t="n"/>
      <c r="G515" s="140">
        <f>IFERROR(IF(E515&gt;0,(F515/E515)*1000,""),"")</f>
        <v/>
      </c>
      <c r="H515" s="139">
        <f>IFERROR(IF(E515&gt;0,E515*IF(ISNUMBER(J515),J515,IF(C515="Futures",$C$6,$C$5)),""),"")</f>
        <v/>
      </c>
      <c r="I515" s="139">
        <f>IFERROR(IF(AND(ISNUMBER(F515),ISNUMBER(H515)),F515-H515,""),"")</f>
        <v/>
      </c>
      <c r="J515" s="114" t="n"/>
      <c r="K515" s="139">
        <f>IFERROR(IF(H515&gt;0,H515*$C$7,""),"")</f>
        <v/>
      </c>
      <c r="L515" s="139">
        <f>IFERROR(IF(ISNUMBER(F515),F515-IF(ISNUMBER(K515),K515,0),""),"")</f>
        <v/>
      </c>
    </row>
    <row r="516" ht="24" customHeight="1" s="63">
      <c r="E516" s="139" t="n"/>
      <c r="F516" s="139" t="n"/>
      <c r="G516" s="140">
        <f>IFERROR(IF(E516&gt;0,(F516/E516)*1000,""),"")</f>
        <v/>
      </c>
      <c r="H516" s="139">
        <f>IFERROR(IF(E516&gt;0,E516*IF(ISNUMBER(J516),J516,IF(C516="Futures",$C$6,$C$5)),""),"")</f>
        <v/>
      </c>
      <c r="I516" s="139">
        <f>IFERROR(IF(AND(ISNUMBER(F516),ISNUMBER(H516)),F516-H516,""),"")</f>
        <v/>
      </c>
      <c r="J516" s="114" t="n"/>
      <c r="K516" s="139">
        <f>IFERROR(IF(H516&gt;0,H516*$C$7,""),"")</f>
        <v/>
      </c>
      <c r="L516" s="139">
        <f>IFERROR(IF(ISNUMBER(F516),F516-IF(ISNUMBER(K516),K516,0),""),"")</f>
        <v/>
      </c>
    </row>
    <row r="517" ht="24" customHeight="1" s="63">
      <c r="E517" s="139" t="n"/>
      <c r="F517" s="139" t="n"/>
      <c r="G517" s="140">
        <f>IFERROR(IF(E517&gt;0,(F517/E517)*1000,""),"")</f>
        <v/>
      </c>
      <c r="H517" s="139">
        <f>IFERROR(IF(E517&gt;0,E517*IF(ISNUMBER(J517),J517,IF(C517="Futures",$C$6,$C$5)),""),"")</f>
        <v/>
      </c>
      <c r="I517" s="139">
        <f>IFERROR(IF(AND(ISNUMBER(F517),ISNUMBER(H517)),F517-H517,""),"")</f>
        <v/>
      </c>
      <c r="J517" s="114" t="n"/>
      <c r="K517" s="139">
        <f>IFERROR(IF(H517&gt;0,H517*$C$7,""),"")</f>
        <v/>
      </c>
      <c r="L517" s="139">
        <f>IFERROR(IF(ISNUMBER(F517),F517-IF(ISNUMBER(K517),K517,0),""),"")</f>
        <v/>
      </c>
    </row>
    <row r="518" ht="24" customHeight="1" s="63">
      <c r="E518" s="139" t="n"/>
      <c r="F518" s="139" t="n"/>
      <c r="G518" s="140">
        <f>IFERROR(IF(E518&gt;0,(F518/E518)*1000,""),"")</f>
        <v/>
      </c>
      <c r="H518" s="139">
        <f>IFERROR(IF(E518&gt;0,E518*IF(ISNUMBER(J518),J518,IF(C518="Futures",$C$6,$C$5)),""),"")</f>
        <v/>
      </c>
      <c r="I518" s="139">
        <f>IFERROR(IF(AND(ISNUMBER(F518),ISNUMBER(H518)),F518-H518,""),"")</f>
        <v/>
      </c>
      <c r="J518" s="114" t="n"/>
      <c r="K518" s="139">
        <f>IFERROR(IF(H518&gt;0,H518*$C$7,""),"")</f>
        <v/>
      </c>
      <c r="L518" s="139">
        <f>IFERROR(IF(ISNUMBER(F518),F518-IF(ISNUMBER(K518),K518,0),""),"")</f>
        <v/>
      </c>
    </row>
    <row r="519" ht="24" customHeight="1" s="63">
      <c r="E519" s="139" t="n"/>
      <c r="F519" s="139" t="n"/>
      <c r="G519" s="140">
        <f>IFERROR(IF(E519&gt;0,(F519/E519)*1000,""),"")</f>
        <v/>
      </c>
      <c r="H519" s="139">
        <f>IFERROR(IF(E519&gt;0,E519*IF(ISNUMBER(J519),J519,IF(C519="Futures",$C$6,$C$5)),""),"")</f>
        <v/>
      </c>
      <c r="I519" s="139">
        <f>IFERROR(IF(AND(ISNUMBER(F519),ISNUMBER(H519)),F519-H519,""),"")</f>
        <v/>
      </c>
      <c r="J519" s="114" t="n"/>
      <c r="K519" s="139">
        <f>IFERROR(IF(H519&gt;0,H519*$C$7,""),"")</f>
        <v/>
      </c>
      <c r="L519" s="139">
        <f>IFERROR(IF(ISNUMBER(F519),F519-IF(ISNUMBER(K519),K519,0),""),"")</f>
        <v/>
      </c>
    </row>
    <row r="520" ht="24" customHeight="1" s="63">
      <c r="E520" s="139" t="n"/>
      <c r="F520" s="139" t="n"/>
      <c r="G520" s="140">
        <f>IFERROR(IF(E520&gt;0,(F520/E520)*1000,""),"")</f>
        <v/>
      </c>
      <c r="H520" s="139">
        <f>IFERROR(IF(E520&gt;0,E520*IF(ISNUMBER(J520),J520,IF(C520="Futures",$C$6,$C$5)),""),"")</f>
        <v/>
      </c>
      <c r="I520" s="139">
        <f>IFERROR(IF(AND(ISNUMBER(F520),ISNUMBER(H520)),F520-H520,""),"")</f>
        <v/>
      </c>
      <c r="J520" s="114" t="n"/>
      <c r="K520" s="139">
        <f>IFERROR(IF(H520&gt;0,H520*$C$7,""),"")</f>
        <v/>
      </c>
      <c r="L520" s="139">
        <f>IFERROR(IF(ISNUMBER(F520),F520-IF(ISNUMBER(K520),K520,0),""),"")</f>
        <v/>
      </c>
    </row>
    <row r="521" ht="24" customHeight="1" s="63">
      <c r="E521" s="139" t="n"/>
      <c r="F521" s="139" t="n"/>
      <c r="G521" s="140">
        <f>IFERROR(IF(E521&gt;0,(F521/E521)*1000,""),"")</f>
        <v/>
      </c>
      <c r="H521" s="139">
        <f>IFERROR(IF(E521&gt;0,E521*IF(ISNUMBER(J521),J521,IF(C521="Futures",$C$6,$C$5)),""),"")</f>
        <v/>
      </c>
      <c r="I521" s="139">
        <f>IFERROR(IF(AND(ISNUMBER(F521),ISNUMBER(H521)),F521-H521,""),"")</f>
        <v/>
      </c>
      <c r="J521" s="114" t="n"/>
      <c r="K521" s="139">
        <f>IFERROR(IF(H521&gt;0,H521*$C$7,""),"")</f>
        <v/>
      </c>
      <c r="L521" s="139">
        <f>IFERROR(IF(ISNUMBER(F521),F521-IF(ISNUMBER(K521),K521,0),""),"")</f>
        <v/>
      </c>
    </row>
    <row r="522" ht="24" customHeight="1" s="63">
      <c r="E522" s="139" t="n"/>
      <c r="F522" s="139" t="n"/>
      <c r="G522" s="140">
        <f>IFERROR(IF(E522&gt;0,(F522/E522)*1000,""),"")</f>
        <v/>
      </c>
      <c r="H522" s="139">
        <f>IFERROR(IF(E522&gt;0,E522*IF(ISNUMBER(J522),J522,IF(C522="Futures",$C$6,$C$5)),""),"")</f>
        <v/>
      </c>
      <c r="I522" s="139">
        <f>IFERROR(IF(AND(ISNUMBER(F522),ISNUMBER(H522)),F522-H522,""),"")</f>
        <v/>
      </c>
      <c r="J522" s="114" t="n"/>
      <c r="K522" s="139">
        <f>IFERROR(IF(H522&gt;0,H522*$C$7,""),"")</f>
        <v/>
      </c>
      <c r="L522" s="139">
        <f>IFERROR(IF(ISNUMBER(F522),F522-IF(ISNUMBER(K522),K522,0),""),"")</f>
        <v/>
      </c>
    </row>
    <row r="523" ht="24" customHeight="1" s="63">
      <c r="E523" s="139" t="n"/>
      <c r="F523" s="139" t="n"/>
      <c r="G523" s="140">
        <f>IFERROR(IF(E523&gt;0,(F523/E523)*1000,""),"")</f>
        <v/>
      </c>
      <c r="H523" s="139">
        <f>IFERROR(IF(E523&gt;0,E523*IF(ISNUMBER(J523),J523,IF(C523="Futures",$C$6,$C$5)),""),"")</f>
        <v/>
      </c>
      <c r="I523" s="139">
        <f>IFERROR(IF(AND(ISNUMBER(F523),ISNUMBER(H523)),F523-H523,""),"")</f>
        <v/>
      </c>
      <c r="J523" s="114" t="n"/>
      <c r="K523" s="139">
        <f>IFERROR(IF(H523&gt;0,H523*$C$7,""),"")</f>
        <v/>
      </c>
      <c r="L523" s="139">
        <f>IFERROR(IF(ISNUMBER(F523),F523-IF(ISNUMBER(K523),K523,0),""),"")</f>
        <v/>
      </c>
    </row>
    <row r="524" ht="24" customHeight="1" s="63">
      <c r="E524" s="139" t="n"/>
      <c r="F524" s="139" t="n"/>
      <c r="G524" s="140">
        <f>IFERROR(IF(E524&gt;0,(F524/E524)*1000,""),"")</f>
        <v/>
      </c>
      <c r="H524" s="139">
        <f>IFERROR(IF(E524&gt;0,E524*IF(ISNUMBER(J524),J524,IF(C524="Futures",$C$6,$C$5)),""),"")</f>
        <v/>
      </c>
      <c r="I524" s="139">
        <f>IFERROR(IF(AND(ISNUMBER(F524),ISNUMBER(H524)),F524-H524,""),"")</f>
        <v/>
      </c>
      <c r="J524" s="114" t="n"/>
      <c r="K524" s="139">
        <f>IFERROR(IF(H524&gt;0,H524*$C$7,""),"")</f>
        <v/>
      </c>
      <c r="L524" s="139">
        <f>IFERROR(IF(ISNUMBER(F524),F524-IF(ISNUMBER(K524),K524,0),""),"")</f>
        <v/>
      </c>
    </row>
    <row r="525" ht="24" customHeight="1" s="63">
      <c r="E525" s="139" t="n"/>
      <c r="F525" s="139" t="n"/>
      <c r="G525" s="140">
        <f>IFERROR(IF(E525&gt;0,(F525/E525)*1000,""),"")</f>
        <v/>
      </c>
      <c r="H525" s="139">
        <f>IFERROR(IF(E525&gt;0,E525*IF(ISNUMBER(J525),J525,IF(C525="Futures",$C$6,$C$5)),""),"")</f>
        <v/>
      </c>
      <c r="I525" s="139">
        <f>IFERROR(IF(AND(ISNUMBER(F525),ISNUMBER(H525)),F525-H525,""),"")</f>
        <v/>
      </c>
      <c r="J525" s="114" t="n"/>
      <c r="K525" s="139">
        <f>IFERROR(IF(H525&gt;0,H525*$C$7,""),"")</f>
        <v/>
      </c>
      <c r="L525" s="139">
        <f>IFERROR(IF(ISNUMBER(F525),F525-IF(ISNUMBER(K525),K525,0),""),"")</f>
        <v/>
      </c>
    </row>
    <row r="526" ht="24" customHeight="1" s="63">
      <c r="E526" s="139" t="n"/>
      <c r="F526" s="139" t="n"/>
      <c r="G526" s="140">
        <f>IFERROR(IF(E526&gt;0,(F526/E526)*1000,""),"")</f>
        <v/>
      </c>
      <c r="H526" s="139">
        <f>IFERROR(IF(E526&gt;0,E526*IF(ISNUMBER(J526),J526,IF(C526="Futures",$C$6,$C$5)),""),"")</f>
        <v/>
      </c>
      <c r="I526" s="139">
        <f>IFERROR(IF(AND(ISNUMBER(F526),ISNUMBER(H526)),F526-H526,""),"")</f>
        <v/>
      </c>
      <c r="J526" s="114" t="n"/>
      <c r="K526" s="139">
        <f>IFERROR(IF(H526&gt;0,H526*$C$7,""),"")</f>
        <v/>
      </c>
      <c r="L526" s="139">
        <f>IFERROR(IF(ISNUMBER(F526),F526-IF(ISNUMBER(K526),K526,0),""),"")</f>
        <v/>
      </c>
    </row>
    <row r="527" ht="24" customHeight="1" s="63">
      <c r="E527" s="139" t="n"/>
      <c r="F527" s="139" t="n"/>
      <c r="G527" s="140">
        <f>IFERROR(IF(E527&gt;0,(F527/E527)*1000,""),"")</f>
        <v/>
      </c>
      <c r="H527" s="139">
        <f>IFERROR(IF(E527&gt;0,E527*IF(ISNUMBER(J527),J527,IF(C527="Futures",$C$6,$C$5)),""),"")</f>
        <v/>
      </c>
      <c r="I527" s="139">
        <f>IFERROR(IF(AND(ISNUMBER(F527),ISNUMBER(H527)),F527-H527,""),"")</f>
        <v/>
      </c>
      <c r="J527" s="114" t="n"/>
      <c r="K527" s="139">
        <f>IFERROR(IF(H527&gt;0,H527*$C$7,""),"")</f>
        <v/>
      </c>
      <c r="L527" s="139">
        <f>IFERROR(IF(ISNUMBER(F527),F527-IF(ISNUMBER(K527),K527,0),""),"")</f>
        <v/>
      </c>
    </row>
    <row r="528" ht="24" customHeight="1" s="63">
      <c r="E528" s="139" t="n"/>
      <c r="F528" s="139" t="n"/>
      <c r="G528" s="140">
        <f>IFERROR(IF(E528&gt;0,(F528/E528)*1000,""),"")</f>
        <v/>
      </c>
      <c r="H528" s="139">
        <f>IFERROR(IF(E528&gt;0,E528*IF(ISNUMBER(J528),J528,IF(C528="Futures",$C$6,$C$5)),""),"")</f>
        <v/>
      </c>
      <c r="I528" s="139">
        <f>IFERROR(IF(AND(ISNUMBER(F528),ISNUMBER(H528)),F528-H528,""),"")</f>
        <v/>
      </c>
      <c r="J528" s="114" t="n"/>
      <c r="K528" s="139">
        <f>IFERROR(IF(H528&gt;0,H528*$C$7,""),"")</f>
        <v/>
      </c>
      <c r="L528" s="139">
        <f>IFERROR(IF(ISNUMBER(F528),F528-IF(ISNUMBER(K528),K528,0),""),"")</f>
        <v/>
      </c>
    </row>
    <row r="529" ht="24" customHeight="1" s="63">
      <c r="E529" s="139" t="n"/>
      <c r="F529" s="139" t="n"/>
      <c r="G529" s="140">
        <f>IFERROR(IF(E529&gt;0,(F529/E529)*1000,""),"")</f>
        <v/>
      </c>
      <c r="H529" s="139">
        <f>IFERROR(IF(E529&gt;0,E529*IF(ISNUMBER(J529),J529,IF(C529="Futures",$C$6,$C$5)),""),"")</f>
        <v/>
      </c>
      <c r="I529" s="139">
        <f>IFERROR(IF(AND(ISNUMBER(F529),ISNUMBER(H529)),F529-H529,""),"")</f>
        <v/>
      </c>
      <c r="J529" s="114" t="n"/>
      <c r="K529" s="139">
        <f>IFERROR(IF(H529&gt;0,H529*$C$7,""),"")</f>
        <v/>
      </c>
      <c r="L529" s="139">
        <f>IFERROR(IF(ISNUMBER(F529),F529-IF(ISNUMBER(K529),K529,0),""),"")</f>
        <v/>
      </c>
    </row>
    <row r="530" ht="24" customHeight="1" s="63">
      <c r="E530" s="139" t="n"/>
      <c r="F530" s="139" t="n"/>
      <c r="G530" s="140">
        <f>IFERROR(IF(E530&gt;0,(F530/E530)*1000,""),"")</f>
        <v/>
      </c>
      <c r="H530" s="139">
        <f>IFERROR(IF(E530&gt;0,E530*IF(ISNUMBER(J530),J530,IF(C530="Futures",$C$6,$C$5)),""),"")</f>
        <v/>
      </c>
      <c r="I530" s="139">
        <f>IFERROR(IF(AND(ISNUMBER(F530),ISNUMBER(H530)),F530-H530,""),"")</f>
        <v/>
      </c>
      <c r="J530" s="114" t="n"/>
      <c r="K530" s="139">
        <f>IFERROR(IF(H530&gt;0,H530*$C$7,""),"")</f>
        <v/>
      </c>
      <c r="L530" s="139">
        <f>IFERROR(IF(ISNUMBER(F530),F530-IF(ISNUMBER(K530),K530,0),""),"")</f>
        <v/>
      </c>
    </row>
    <row r="531" ht="24" customHeight="1" s="63">
      <c r="E531" s="139" t="n"/>
      <c r="F531" s="139" t="n"/>
      <c r="G531" s="140">
        <f>IFERROR(IF(E531&gt;0,(F531/E531)*1000,""),"")</f>
        <v/>
      </c>
      <c r="H531" s="139">
        <f>IFERROR(IF(E531&gt;0,E531*IF(ISNUMBER(J531),J531,IF(C531="Futures",$C$6,$C$5)),""),"")</f>
        <v/>
      </c>
      <c r="I531" s="139">
        <f>IFERROR(IF(AND(ISNUMBER(F531),ISNUMBER(H531)),F531-H531,""),"")</f>
        <v/>
      </c>
      <c r="J531" s="114" t="n"/>
      <c r="K531" s="139">
        <f>IFERROR(IF(H531&gt;0,H531*$C$7,""),"")</f>
        <v/>
      </c>
      <c r="L531" s="139">
        <f>IFERROR(IF(ISNUMBER(F531),F531-IF(ISNUMBER(K531),K531,0),""),"")</f>
        <v/>
      </c>
    </row>
    <row r="532" ht="24" customHeight="1" s="63">
      <c r="E532" s="139" t="n"/>
      <c r="F532" s="139" t="n"/>
      <c r="G532" s="140">
        <f>IFERROR(IF(E532&gt;0,(F532/E532)*1000,""),"")</f>
        <v/>
      </c>
      <c r="H532" s="139">
        <f>IFERROR(IF(E532&gt;0,E532*IF(ISNUMBER(J532),J532,IF(C532="Futures",$C$6,$C$5)),""),"")</f>
        <v/>
      </c>
      <c r="I532" s="139">
        <f>IFERROR(IF(AND(ISNUMBER(F532),ISNUMBER(H532)),F532-H532,""),"")</f>
        <v/>
      </c>
      <c r="J532" s="114" t="n"/>
      <c r="K532" s="139">
        <f>IFERROR(IF(H532&gt;0,H532*$C$7,""),"")</f>
        <v/>
      </c>
      <c r="L532" s="139">
        <f>IFERROR(IF(ISNUMBER(F532),F532-IF(ISNUMBER(K532),K532,0),""),"")</f>
        <v/>
      </c>
    </row>
    <row r="533" ht="24" customHeight="1" s="63">
      <c r="E533" s="139" t="n"/>
      <c r="F533" s="139" t="n"/>
      <c r="G533" s="140">
        <f>IFERROR(IF(E533&gt;0,(F533/E533)*1000,""),"")</f>
        <v/>
      </c>
      <c r="H533" s="139">
        <f>IFERROR(IF(E533&gt;0,E533*IF(ISNUMBER(J533),J533,IF(C533="Futures",$C$6,$C$5)),""),"")</f>
        <v/>
      </c>
      <c r="I533" s="139">
        <f>IFERROR(IF(AND(ISNUMBER(F533),ISNUMBER(H533)),F533-H533,""),"")</f>
        <v/>
      </c>
      <c r="J533" s="114" t="n"/>
      <c r="K533" s="139">
        <f>IFERROR(IF(H533&gt;0,H533*$C$7,""),"")</f>
        <v/>
      </c>
      <c r="L533" s="139">
        <f>IFERROR(IF(ISNUMBER(F533),F533-IF(ISNUMBER(K533),K533,0),""),"")</f>
        <v/>
      </c>
    </row>
    <row r="534" ht="24" customHeight="1" s="63">
      <c r="E534" s="139" t="n"/>
      <c r="F534" s="139" t="n"/>
      <c r="G534" s="140">
        <f>IFERROR(IF(E534&gt;0,(F534/E534)*1000,""),"")</f>
        <v/>
      </c>
      <c r="H534" s="139">
        <f>IFERROR(IF(E534&gt;0,E534*IF(ISNUMBER(J534),J534,IF(C534="Futures",$C$6,$C$5)),""),"")</f>
        <v/>
      </c>
      <c r="I534" s="139">
        <f>IFERROR(IF(AND(ISNUMBER(F534),ISNUMBER(H534)),F534-H534,""),"")</f>
        <v/>
      </c>
      <c r="J534" s="114" t="n"/>
      <c r="K534" s="139">
        <f>IFERROR(IF(H534&gt;0,H534*$C$7,""),"")</f>
        <v/>
      </c>
      <c r="L534" s="139">
        <f>IFERROR(IF(ISNUMBER(F534),F534-IF(ISNUMBER(K534),K534,0),""),"")</f>
        <v/>
      </c>
    </row>
    <row r="535" ht="24" customHeight="1" s="63">
      <c r="E535" s="139" t="n"/>
      <c r="F535" s="139" t="n"/>
      <c r="G535" s="140">
        <f>IFERROR(IF(E535&gt;0,(F535/E535)*1000,""),"")</f>
        <v/>
      </c>
      <c r="H535" s="139">
        <f>IFERROR(IF(E535&gt;0,E535*IF(ISNUMBER(J535),J535,IF(C535="Futures",$C$6,$C$5)),""),"")</f>
        <v/>
      </c>
      <c r="I535" s="139">
        <f>IFERROR(IF(AND(ISNUMBER(F535),ISNUMBER(H535)),F535-H535,""),"")</f>
        <v/>
      </c>
      <c r="J535" s="114" t="n"/>
      <c r="K535" s="139">
        <f>IFERROR(IF(H535&gt;0,H535*$C$7,""),"")</f>
        <v/>
      </c>
      <c r="L535" s="139">
        <f>IFERROR(IF(ISNUMBER(F535),F535-IF(ISNUMBER(K535),K535,0),""),"")</f>
        <v/>
      </c>
    </row>
    <row r="536" ht="24" customHeight="1" s="63">
      <c r="E536" s="139" t="n"/>
      <c r="F536" s="139" t="n"/>
      <c r="G536" s="140">
        <f>IFERROR(IF(E536&gt;0,(F536/E536)*1000,""),"")</f>
        <v/>
      </c>
      <c r="H536" s="139">
        <f>IFERROR(IF(E536&gt;0,E536*IF(ISNUMBER(J536),J536,IF(C536="Futures",$C$6,$C$5)),""),"")</f>
        <v/>
      </c>
      <c r="I536" s="139">
        <f>IFERROR(IF(AND(ISNUMBER(F536),ISNUMBER(H536)),F536-H536,""),"")</f>
        <v/>
      </c>
      <c r="J536" s="114" t="n"/>
      <c r="K536" s="139">
        <f>IFERROR(IF(H536&gt;0,H536*$C$7,""),"")</f>
        <v/>
      </c>
      <c r="L536" s="139">
        <f>IFERROR(IF(ISNUMBER(F536),F536-IF(ISNUMBER(K536),K536,0),""),"")</f>
        <v/>
      </c>
    </row>
    <row r="537" ht="24" customHeight="1" s="63">
      <c r="E537" s="139" t="n"/>
      <c r="F537" s="139" t="n"/>
      <c r="G537" s="140">
        <f>IFERROR(IF(E537&gt;0,(F537/E537)*1000,""),"")</f>
        <v/>
      </c>
      <c r="H537" s="139">
        <f>IFERROR(IF(E537&gt;0,E537*IF(ISNUMBER(J537),J537,IF(C537="Futures",$C$6,$C$5)),""),"")</f>
        <v/>
      </c>
      <c r="I537" s="139">
        <f>IFERROR(IF(AND(ISNUMBER(F537),ISNUMBER(H537)),F537-H537,""),"")</f>
        <v/>
      </c>
      <c r="J537" s="114" t="n"/>
      <c r="K537" s="139">
        <f>IFERROR(IF(H537&gt;0,H537*$C$7,""),"")</f>
        <v/>
      </c>
      <c r="L537" s="139">
        <f>IFERROR(IF(ISNUMBER(F537),F537-IF(ISNUMBER(K537),K537,0),""),"")</f>
        <v/>
      </c>
    </row>
    <row r="538" ht="24" customHeight="1" s="63">
      <c r="E538" s="139" t="n"/>
      <c r="F538" s="139" t="n"/>
      <c r="G538" s="140">
        <f>IFERROR(IF(E538&gt;0,(F538/E538)*1000,""),"")</f>
        <v/>
      </c>
      <c r="H538" s="139">
        <f>IFERROR(IF(E538&gt;0,E538*IF(ISNUMBER(J538),J538,IF(C538="Futures",$C$6,$C$5)),""),"")</f>
        <v/>
      </c>
      <c r="I538" s="139">
        <f>IFERROR(IF(AND(ISNUMBER(F538),ISNUMBER(H538)),F538-H538,""),"")</f>
        <v/>
      </c>
      <c r="J538" s="114" t="n"/>
      <c r="K538" s="139">
        <f>IFERROR(IF(H538&gt;0,H538*$C$7,""),"")</f>
        <v/>
      </c>
      <c r="L538" s="139">
        <f>IFERROR(IF(ISNUMBER(F538),F538-IF(ISNUMBER(K538),K538,0),""),"")</f>
        <v/>
      </c>
    </row>
    <row r="539" ht="24" customHeight="1" s="63">
      <c r="E539" s="139" t="n"/>
      <c r="F539" s="139" t="n"/>
      <c r="G539" s="140">
        <f>IFERROR(IF(E539&gt;0,(F539/E539)*1000,""),"")</f>
        <v/>
      </c>
      <c r="H539" s="139">
        <f>IFERROR(IF(E539&gt;0,E539*IF(ISNUMBER(J539),J539,IF(C539="Futures",$C$6,$C$5)),""),"")</f>
        <v/>
      </c>
      <c r="I539" s="139">
        <f>IFERROR(IF(AND(ISNUMBER(F539),ISNUMBER(H539)),F539-H539,""),"")</f>
        <v/>
      </c>
      <c r="J539" s="114" t="n"/>
      <c r="K539" s="139">
        <f>IFERROR(IF(H539&gt;0,H539*$C$7,""),"")</f>
        <v/>
      </c>
      <c r="L539" s="139">
        <f>IFERROR(IF(ISNUMBER(F539),F539-IF(ISNUMBER(K539),K539,0),""),"")</f>
        <v/>
      </c>
    </row>
    <row r="540" ht="24" customHeight="1" s="63">
      <c r="E540" s="139" t="n"/>
      <c r="F540" s="139" t="n"/>
      <c r="G540" s="140">
        <f>IFERROR(IF(E540&gt;0,(F540/E540)*1000,""),"")</f>
        <v/>
      </c>
      <c r="H540" s="139">
        <f>IFERROR(IF(E540&gt;0,E540*IF(ISNUMBER(J540),J540,IF(C540="Futures",$C$6,$C$5)),""),"")</f>
        <v/>
      </c>
      <c r="I540" s="139">
        <f>IFERROR(IF(AND(ISNUMBER(F540),ISNUMBER(H540)),F540-H540,""),"")</f>
        <v/>
      </c>
      <c r="J540" s="114" t="n"/>
      <c r="K540" s="139">
        <f>IFERROR(IF(H540&gt;0,H540*$C$7,""),"")</f>
        <v/>
      </c>
      <c r="L540" s="139">
        <f>IFERROR(IF(ISNUMBER(F540),F540-IF(ISNUMBER(K540),K540,0),""),"")</f>
        <v/>
      </c>
    </row>
    <row r="541" ht="24" customHeight="1" s="63">
      <c r="E541" s="139" t="n"/>
      <c r="F541" s="139" t="n"/>
      <c r="G541" s="140">
        <f>IFERROR(IF(E541&gt;0,(F541/E541)*1000,""),"")</f>
        <v/>
      </c>
      <c r="H541" s="139">
        <f>IFERROR(IF(E541&gt;0,E541*IF(ISNUMBER(J541),J541,IF(C541="Futures",$C$6,$C$5)),""),"")</f>
        <v/>
      </c>
      <c r="I541" s="139">
        <f>IFERROR(IF(AND(ISNUMBER(F541),ISNUMBER(H541)),F541-H541,""),"")</f>
        <v/>
      </c>
      <c r="J541" s="114" t="n"/>
      <c r="K541" s="139">
        <f>IFERROR(IF(H541&gt;0,H541*$C$7,""),"")</f>
        <v/>
      </c>
      <c r="L541" s="139">
        <f>IFERROR(IF(ISNUMBER(F541),F541-IF(ISNUMBER(K541),K541,0),""),"")</f>
        <v/>
      </c>
    </row>
    <row r="542" ht="24" customHeight="1" s="63">
      <c r="E542" s="139" t="n"/>
      <c r="F542" s="139" t="n"/>
      <c r="G542" s="140">
        <f>IFERROR(IF(E542&gt;0,(F542/E542)*1000,""),"")</f>
        <v/>
      </c>
      <c r="H542" s="139">
        <f>IFERROR(IF(E542&gt;0,E542*IF(ISNUMBER(J542),J542,IF(C542="Futures",$C$6,$C$5)),""),"")</f>
        <v/>
      </c>
      <c r="I542" s="139">
        <f>IFERROR(IF(AND(ISNUMBER(F542),ISNUMBER(H542)),F542-H542,""),"")</f>
        <v/>
      </c>
      <c r="J542" s="114" t="n"/>
      <c r="K542" s="139">
        <f>IFERROR(IF(H542&gt;0,H542*$C$7,""),"")</f>
        <v/>
      </c>
      <c r="L542" s="139">
        <f>IFERROR(IF(ISNUMBER(F542),F542-IF(ISNUMBER(K542),K542,0),""),"")</f>
        <v/>
      </c>
    </row>
    <row r="543" ht="24" customHeight="1" s="63">
      <c r="E543" s="139" t="n"/>
      <c r="F543" s="139" t="n"/>
      <c r="G543" s="140">
        <f>IFERROR(IF(E543&gt;0,(F543/E543)*1000,""),"")</f>
        <v/>
      </c>
      <c r="H543" s="139">
        <f>IFERROR(IF(E543&gt;0,E543*IF(ISNUMBER(J543),J543,IF(C543="Futures",$C$6,$C$5)),""),"")</f>
        <v/>
      </c>
      <c r="I543" s="139">
        <f>IFERROR(IF(AND(ISNUMBER(F543),ISNUMBER(H543)),F543-H543,""),"")</f>
        <v/>
      </c>
      <c r="J543" s="114" t="n"/>
      <c r="K543" s="139">
        <f>IFERROR(IF(H543&gt;0,H543*$C$7,""),"")</f>
        <v/>
      </c>
      <c r="L543" s="139">
        <f>IFERROR(IF(ISNUMBER(F543),F543-IF(ISNUMBER(K543),K543,0),""),"")</f>
        <v/>
      </c>
    </row>
    <row r="544" ht="24" customHeight="1" s="63">
      <c r="E544" s="139" t="n"/>
      <c r="F544" s="139" t="n"/>
      <c r="G544" s="140">
        <f>IFERROR(IF(E544&gt;0,(F544/E544)*1000,""),"")</f>
        <v/>
      </c>
      <c r="H544" s="139">
        <f>IFERROR(IF(E544&gt;0,E544*IF(ISNUMBER(J544),J544,IF(C544="Futures",$C$6,$C$5)),""),"")</f>
        <v/>
      </c>
      <c r="I544" s="139">
        <f>IFERROR(IF(AND(ISNUMBER(F544),ISNUMBER(H544)),F544-H544,""),"")</f>
        <v/>
      </c>
      <c r="J544" s="114" t="n"/>
      <c r="K544" s="139">
        <f>IFERROR(IF(H544&gt;0,H544*$C$7,""),"")</f>
        <v/>
      </c>
      <c r="L544" s="139">
        <f>IFERROR(IF(ISNUMBER(F544),F544-IF(ISNUMBER(K544),K544,0),""),"")</f>
        <v/>
      </c>
    </row>
    <row r="545" ht="24" customHeight="1" s="63">
      <c r="E545" s="139" t="n"/>
      <c r="F545" s="139" t="n"/>
      <c r="G545" s="140">
        <f>IFERROR(IF(E545&gt;0,(F545/E545)*1000,""),"")</f>
        <v/>
      </c>
      <c r="H545" s="139">
        <f>IFERROR(IF(E545&gt;0,E545*IF(ISNUMBER(J545),J545,IF(C545="Futures",$C$6,$C$5)),""),"")</f>
        <v/>
      </c>
      <c r="I545" s="139">
        <f>IFERROR(IF(AND(ISNUMBER(F545),ISNUMBER(H545)),F545-H545,""),"")</f>
        <v/>
      </c>
      <c r="J545" s="114" t="n"/>
      <c r="K545" s="139">
        <f>IFERROR(IF(H545&gt;0,H545*$C$7,""),"")</f>
        <v/>
      </c>
      <c r="L545" s="139">
        <f>IFERROR(IF(ISNUMBER(F545),F545-IF(ISNUMBER(K545),K545,0),""),"")</f>
        <v/>
      </c>
    </row>
    <row r="546" ht="24" customHeight="1" s="63">
      <c r="E546" s="139" t="n"/>
      <c r="F546" s="139" t="n"/>
      <c r="G546" s="140">
        <f>IFERROR(IF(E546&gt;0,(F546/E546)*1000,""),"")</f>
        <v/>
      </c>
      <c r="H546" s="139">
        <f>IFERROR(IF(E546&gt;0,E546*IF(ISNUMBER(J546),J546,IF(C546="Futures",$C$6,$C$5)),""),"")</f>
        <v/>
      </c>
      <c r="I546" s="139">
        <f>IFERROR(IF(AND(ISNUMBER(F546),ISNUMBER(H546)),F546-H546,""),"")</f>
        <v/>
      </c>
      <c r="J546" s="114" t="n"/>
      <c r="K546" s="139">
        <f>IFERROR(IF(H546&gt;0,H546*$C$7,""),"")</f>
        <v/>
      </c>
      <c r="L546" s="139">
        <f>IFERROR(IF(ISNUMBER(F546),F546-IF(ISNUMBER(K546),K546,0),""),"")</f>
        <v/>
      </c>
    </row>
    <row r="547" ht="24" customHeight="1" s="63">
      <c r="E547" s="139" t="n"/>
      <c r="F547" s="139" t="n"/>
      <c r="G547" s="140">
        <f>IFERROR(IF(E547&gt;0,(F547/E547)*1000,""),"")</f>
        <v/>
      </c>
      <c r="H547" s="139">
        <f>IFERROR(IF(E547&gt;0,E547*IF(ISNUMBER(J547),J547,IF(C547="Futures",$C$6,$C$5)),""),"")</f>
        <v/>
      </c>
      <c r="I547" s="139">
        <f>IFERROR(IF(AND(ISNUMBER(F547),ISNUMBER(H547)),F547-H547,""),"")</f>
        <v/>
      </c>
      <c r="J547" s="114" t="n"/>
      <c r="K547" s="139">
        <f>IFERROR(IF(H547&gt;0,H547*$C$7,""),"")</f>
        <v/>
      </c>
      <c r="L547" s="139">
        <f>IFERROR(IF(ISNUMBER(F547),F547-IF(ISNUMBER(K547),K547,0),""),"")</f>
        <v/>
      </c>
    </row>
    <row r="548" ht="24" customHeight="1" s="63">
      <c r="E548" s="139" t="n"/>
      <c r="F548" s="139" t="n"/>
      <c r="G548" s="140">
        <f>IFERROR(IF(E548&gt;0,(F548/E548)*1000,""),"")</f>
        <v/>
      </c>
      <c r="H548" s="139">
        <f>IFERROR(IF(E548&gt;0,E548*IF(ISNUMBER(J548),J548,IF(C548="Futures",$C$6,$C$5)),""),"")</f>
        <v/>
      </c>
      <c r="I548" s="139">
        <f>IFERROR(IF(AND(ISNUMBER(F548),ISNUMBER(H548)),F548-H548,""),"")</f>
        <v/>
      </c>
      <c r="J548" s="114" t="n"/>
      <c r="K548" s="139">
        <f>IFERROR(IF(H548&gt;0,H548*$C$7,""),"")</f>
        <v/>
      </c>
      <c r="L548" s="139">
        <f>IFERROR(IF(ISNUMBER(F548),F548-IF(ISNUMBER(K548),K548,0),""),"")</f>
        <v/>
      </c>
    </row>
    <row r="549" ht="24" customHeight="1" s="63">
      <c r="E549" s="139" t="n"/>
      <c r="F549" s="139" t="n"/>
      <c r="G549" s="140">
        <f>IFERROR(IF(E549&gt;0,(F549/E549)*1000,""),"")</f>
        <v/>
      </c>
      <c r="H549" s="139">
        <f>IFERROR(IF(E549&gt;0,E549*IF(ISNUMBER(J549),J549,IF(C549="Futures",$C$6,$C$5)),""),"")</f>
        <v/>
      </c>
      <c r="I549" s="139">
        <f>IFERROR(IF(AND(ISNUMBER(F549),ISNUMBER(H549)),F549-H549,""),"")</f>
        <v/>
      </c>
      <c r="J549" s="114" t="n"/>
      <c r="K549" s="139">
        <f>IFERROR(IF(H549&gt;0,H549*$C$7,""),"")</f>
        <v/>
      </c>
      <c r="L549" s="139">
        <f>IFERROR(IF(ISNUMBER(F549),F549-IF(ISNUMBER(K549),K549,0),""),"")</f>
        <v/>
      </c>
    </row>
    <row r="550" ht="24" customHeight="1" s="63">
      <c r="E550" s="139" t="n"/>
      <c r="F550" s="139" t="n"/>
      <c r="G550" s="140">
        <f>IFERROR(IF(E550&gt;0,(F550/E550)*1000,""),"")</f>
        <v/>
      </c>
      <c r="H550" s="139">
        <f>IFERROR(IF(E550&gt;0,E550*IF(ISNUMBER(J550),J550,IF(C550="Futures",$C$6,$C$5)),""),"")</f>
        <v/>
      </c>
      <c r="I550" s="139">
        <f>IFERROR(IF(AND(ISNUMBER(F550),ISNUMBER(H550)),F550-H550,""),"")</f>
        <v/>
      </c>
      <c r="J550" s="114" t="n"/>
      <c r="K550" s="139">
        <f>IFERROR(IF(H550&gt;0,H550*$C$7,""),"")</f>
        <v/>
      </c>
      <c r="L550" s="139">
        <f>IFERROR(IF(ISNUMBER(F550),F550-IF(ISNUMBER(K550),K550,0),""),"")</f>
        <v/>
      </c>
    </row>
    <row r="551" ht="24" customHeight="1" s="63">
      <c r="E551" s="139" t="n"/>
      <c r="F551" s="139" t="n"/>
      <c r="G551" s="140">
        <f>IFERROR(IF(E551&gt;0,(F551/E551)*1000,""),"")</f>
        <v/>
      </c>
      <c r="H551" s="139">
        <f>IFERROR(IF(E551&gt;0,E551*IF(ISNUMBER(J551),J551,IF(C551="Futures",$C$6,$C$5)),""),"")</f>
        <v/>
      </c>
      <c r="I551" s="139">
        <f>IFERROR(IF(AND(ISNUMBER(F551),ISNUMBER(H551)),F551-H551,""),"")</f>
        <v/>
      </c>
      <c r="J551" s="114" t="n"/>
      <c r="K551" s="139">
        <f>IFERROR(IF(H551&gt;0,H551*$C$7,""),"")</f>
        <v/>
      </c>
      <c r="L551" s="139">
        <f>IFERROR(IF(ISNUMBER(F551),F551-IF(ISNUMBER(K551),K551,0),""),"")</f>
        <v/>
      </c>
    </row>
    <row r="552" ht="24" customHeight="1" s="63">
      <c r="E552" s="139" t="n"/>
      <c r="F552" s="139" t="n"/>
      <c r="G552" s="140">
        <f>IFERROR(IF(E552&gt;0,(F552/E552)*1000,""),"")</f>
        <v/>
      </c>
      <c r="H552" s="139">
        <f>IFERROR(IF(E552&gt;0,E552*IF(ISNUMBER(J552),J552,IF(C552="Futures",$C$6,$C$5)),""),"")</f>
        <v/>
      </c>
      <c r="I552" s="139">
        <f>IFERROR(IF(AND(ISNUMBER(F552),ISNUMBER(H552)),F552-H552,""),"")</f>
        <v/>
      </c>
      <c r="J552" s="114" t="n"/>
      <c r="K552" s="139">
        <f>IFERROR(IF(H552&gt;0,H552*$C$7,""),"")</f>
        <v/>
      </c>
      <c r="L552" s="139">
        <f>IFERROR(IF(ISNUMBER(F552),F552-IF(ISNUMBER(K552),K552,0),""),"")</f>
        <v/>
      </c>
    </row>
    <row r="553" ht="24" customHeight="1" s="63">
      <c r="E553" s="139" t="n"/>
      <c r="F553" s="139" t="n"/>
      <c r="G553" s="140">
        <f>IFERROR(IF(E553&gt;0,(F553/E553)*1000,""),"")</f>
        <v/>
      </c>
      <c r="H553" s="139">
        <f>IFERROR(IF(E553&gt;0,E553*IF(ISNUMBER(J553),J553,IF(C553="Futures",$C$6,$C$5)),""),"")</f>
        <v/>
      </c>
      <c r="I553" s="139">
        <f>IFERROR(IF(AND(ISNUMBER(F553),ISNUMBER(H553)),F553-H553,""),"")</f>
        <v/>
      </c>
      <c r="J553" s="114" t="n"/>
      <c r="K553" s="139">
        <f>IFERROR(IF(H553&gt;0,H553*$C$7,""),"")</f>
        <v/>
      </c>
      <c r="L553" s="139">
        <f>IFERROR(IF(ISNUMBER(F553),F553-IF(ISNUMBER(K553),K553,0),""),"")</f>
        <v/>
      </c>
    </row>
    <row r="554" ht="24" customHeight="1" s="63">
      <c r="E554" s="139" t="n"/>
      <c r="F554" s="139" t="n"/>
      <c r="G554" s="140">
        <f>IFERROR(IF(E554&gt;0,(F554/E554)*1000,""),"")</f>
        <v/>
      </c>
      <c r="H554" s="139">
        <f>IFERROR(IF(E554&gt;0,E554*IF(ISNUMBER(J554),J554,IF(C554="Futures",$C$6,$C$5)),""),"")</f>
        <v/>
      </c>
      <c r="I554" s="139">
        <f>IFERROR(IF(AND(ISNUMBER(F554),ISNUMBER(H554)),F554-H554,""),"")</f>
        <v/>
      </c>
      <c r="J554" s="114" t="n"/>
      <c r="K554" s="139">
        <f>IFERROR(IF(H554&gt;0,H554*$C$7,""),"")</f>
        <v/>
      </c>
      <c r="L554" s="139">
        <f>IFERROR(IF(ISNUMBER(F554),F554-IF(ISNUMBER(K554),K554,0),""),"")</f>
        <v/>
      </c>
    </row>
    <row r="555" ht="24" customHeight="1" s="63">
      <c r="E555" s="139" t="n"/>
      <c r="F555" s="139" t="n"/>
      <c r="G555" s="140">
        <f>IFERROR(IF(E555&gt;0,(F555/E555)*1000,""),"")</f>
        <v/>
      </c>
      <c r="H555" s="139">
        <f>IFERROR(IF(E555&gt;0,E555*IF(ISNUMBER(J555),J555,IF(C555="Futures",$C$6,$C$5)),""),"")</f>
        <v/>
      </c>
      <c r="I555" s="139">
        <f>IFERROR(IF(AND(ISNUMBER(F555),ISNUMBER(H555)),F555-H555,""),"")</f>
        <v/>
      </c>
      <c r="J555" s="114" t="n"/>
      <c r="K555" s="139">
        <f>IFERROR(IF(H555&gt;0,H555*$C$7,""),"")</f>
        <v/>
      </c>
      <c r="L555" s="139">
        <f>IFERROR(IF(ISNUMBER(F555),F555-IF(ISNUMBER(K555),K555,0),""),"")</f>
        <v/>
      </c>
    </row>
    <row r="556" ht="24" customHeight="1" s="63">
      <c r="E556" s="139" t="n"/>
      <c r="F556" s="139" t="n"/>
      <c r="G556" s="140">
        <f>IFERROR(IF(E556&gt;0,(F556/E556)*1000,""),"")</f>
        <v/>
      </c>
      <c r="H556" s="139">
        <f>IFERROR(IF(E556&gt;0,E556*IF(ISNUMBER(J556),J556,IF(C556="Futures",$C$6,$C$5)),""),"")</f>
        <v/>
      </c>
      <c r="I556" s="139">
        <f>IFERROR(IF(AND(ISNUMBER(F556),ISNUMBER(H556)),F556-H556,""),"")</f>
        <v/>
      </c>
      <c r="J556" s="114" t="n"/>
      <c r="K556" s="139">
        <f>IFERROR(IF(H556&gt;0,H556*$C$7,""),"")</f>
        <v/>
      </c>
      <c r="L556" s="139">
        <f>IFERROR(IF(ISNUMBER(F556),F556-IF(ISNUMBER(K556),K556,0),""),"")</f>
        <v/>
      </c>
    </row>
    <row r="557" ht="24" customHeight="1" s="63">
      <c r="E557" s="139" t="n"/>
      <c r="F557" s="139" t="n"/>
      <c r="G557" s="140">
        <f>IFERROR(IF(E557&gt;0,(F557/E557)*1000,""),"")</f>
        <v/>
      </c>
      <c r="H557" s="139">
        <f>IFERROR(IF(E557&gt;0,E557*IF(ISNUMBER(J557),J557,IF(C557="Futures",$C$6,$C$5)),""),"")</f>
        <v/>
      </c>
      <c r="I557" s="139">
        <f>IFERROR(IF(AND(ISNUMBER(F557),ISNUMBER(H557)),F557-H557,""),"")</f>
        <v/>
      </c>
      <c r="J557" s="114" t="n"/>
      <c r="K557" s="139">
        <f>IFERROR(IF(H557&gt;0,H557*$C$7,""),"")</f>
        <v/>
      </c>
      <c r="L557" s="139">
        <f>IFERROR(IF(ISNUMBER(F557),F557-IF(ISNUMBER(K557),K557,0),""),"")</f>
        <v/>
      </c>
    </row>
    <row r="558" ht="24" customHeight="1" s="63">
      <c r="E558" s="139" t="n"/>
      <c r="F558" s="139" t="n"/>
      <c r="G558" s="140">
        <f>IFERROR(IF(E558&gt;0,(F558/E558)*1000,""),"")</f>
        <v/>
      </c>
      <c r="H558" s="139">
        <f>IFERROR(IF(E558&gt;0,E558*IF(ISNUMBER(J558),J558,IF(C558="Futures",$C$6,$C$5)),""),"")</f>
        <v/>
      </c>
      <c r="I558" s="139">
        <f>IFERROR(IF(AND(ISNUMBER(F558),ISNUMBER(H558)),F558-H558,""),"")</f>
        <v/>
      </c>
      <c r="J558" s="114" t="n"/>
      <c r="K558" s="139">
        <f>IFERROR(IF(H558&gt;0,H558*$C$7,""),"")</f>
        <v/>
      </c>
      <c r="L558" s="139">
        <f>IFERROR(IF(ISNUMBER(F558),F558-IF(ISNUMBER(K558),K558,0),""),"")</f>
        <v/>
      </c>
    </row>
    <row r="559" ht="24" customHeight="1" s="63">
      <c r="E559" s="139" t="n"/>
      <c r="F559" s="139" t="n"/>
      <c r="G559" s="140">
        <f>IFERROR(IF(E559&gt;0,(F559/E559)*1000,""),"")</f>
        <v/>
      </c>
      <c r="H559" s="139">
        <f>IFERROR(IF(E559&gt;0,E559*IF(ISNUMBER(J559),J559,IF(C559="Futures",$C$6,$C$5)),""),"")</f>
        <v/>
      </c>
      <c r="I559" s="139">
        <f>IFERROR(IF(AND(ISNUMBER(F559),ISNUMBER(H559)),F559-H559,""),"")</f>
        <v/>
      </c>
      <c r="J559" s="114" t="n"/>
      <c r="K559" s="139">
        <f>IFERROR(IF(H559&gt;0,H559*$C$7,""),"")</f>
        <v/>
      </c>
      <c r="L559" s="139">
        <f>IFERROR(IF(ISNUMBER(F559),F559-IF(ISNUMBER(K559),K559,0),""),"")</f>
        <v/>
      </c>
    </row>
    <row r="560" ht="24" customHeight="1" s="63">
      <c r="E560" s="139" t="n"/>
      <c r="F560" s="139" t="n"/>
      <c r="G560" s="140">
        <f>IFERROR(IF(E560&gt;0,(F560/E560)*1000,""),"")</f>
        <v/>
      </c>
      <c r="H560" s="139">
        <f>IFERROR(IF(E560&gt;0,E560*IF(ISNUMBER(J560),J560,IF(C560="Futures",$C$6,$C$5)),""),"")</f>
        <v/>
      </c>
      <c r="I560" s="139">
        <f>IFERROR(IF(AND(ISNUMBER(F560),ISNUMBER(H560)),F560-H560,""),"")</f>
        <v/>
      </c>
      <c r="J560" s="114" t="n"/>
      <c r="K560" s="139">
        <f>IFERROR(IF(H560&gt;0,H560*$C$7,""),"")</f>
        <v/>
      </c>
      <c r="L560" s="139">
        <f>IFERROR(IF(ISNUMBER(F560),F560-IF(ISNUMBER(K560),K560,0),""),"")</f>
        <v/>
      </c>
    </row>
    <row r="561" ht="24" customHeight="1" s="63">
      <c r="E561" s="139" t="n"/>
      <c r="F561" s="139" t="n"/>
      <c r="G561" s="140">
        <f>IFERROR(IF(E561&gt;0,(F561/E561)*1000,""),"")</f>
        <v/>
      </c>
      <c r="H561" s="139">
        <f>IFERROR(IF(E561&gt;0,E561*IF(ISNUMBER(J561),J561,IF(C561="Futures",$C$6,$C$5)),""),"")</f>
        <v/>
      </c>
      <c r="I561" s="139">
        <f>IFERROR(IF(AND(ISNUMBER(F561),ISNUMBER(H561)),F561-H561,""),"")</f>
        <v/>
      </c>
      <c r="J561" s="114" t="n"/>
      <c r="K561" s="139">
        <f>IFERROR(IF(H561&gt;0,H561*$C$7,""),"")</f>
        <v/>
      </c>
      <c r="L561" s="139">
        <f>IFERROR(IF(ISNUMBER(F561),F561-IF(ISNUMBER(K561),K561,0),""),"")</f>
        <v/>
      </c>
    </row>
    <row r="562" ht="24" customHeight="1" s="63">
      <c r="E562" s="139" t="n"/>
      <c r="F562" s="139" t="n"/>
      <c r="G562" s="140">
        <f>IFERROR(IF(E562&gt;0,(F562/E562)*1000,""),"")</f>
        <v/>
      </c>
      <c r="H562" s="139">
        <f>IFERROR(IF(E562&gt;0,E562*IF(ISNUMBER(J562),J562,IF(C562="Futures",$C$6,$C$5)),""),"")</f>
        <v/>
      </c>
      <c r="I562" s="139">
        <f>IFERROR(IF(AND(ISNUMBER(F562),ISNUMBER(H562)),F562-H562,""),"")</f>
        <v/>
      </c>
      <c r="J562" s="114" t="n"/>
      <c r="K562" s="139">
        <f>IFERROR(IF(H562&gt;0,H562*$C$7,""),"")</f>
        <v/>
      </c>
      <c r="L562" s="139">
        <f>IFERROR(IF(ISNUMBER(F562),F562-IF(ISNUMBER(K562),K562,0),""),"")</f>
        <v/>
      </c>
    </row>
    <row r="563" ht="24" customHeight="1" s="63">
      <c r="E563" s="139" t="n"/>
      <c r="F563" s="139" t="n"/>
      <c r="G563" s="140">
        <f>IFERROR(IF(E563&gt;0,(F563/E563)*1000,""),"")</f>
        <v/>
      </c>
      <c r="H563" s="139">
        <f>IFERROR(IF(E563&gt;0,E563*IF(ISNUMBER(J563),J563,IF(C563="Futures",$C$6,$C$5)),""),"")</f>
        <v/>
      </c>
      <c r="I563" s="139">
        <f>IFERROR(IF(AND(ISNUMBER(F563),ISNUMBER(H563)),F563-H563,""),"")</f>
        <v/>
      </c>
      <c r="J563" s="114" t="n"/>
      <c r="K563" s="139">
        <f>IFERROR(IF(H563&gt;0,H563*$C$7,""),"")</f>
        <v/>
      </c>
      <c r="L563" s="139">
        <f>IFERROR(IF(ISNUMBER(F563),F563-IF(ISNUMBER(K563),K563,0),""),"")</f>
        <v/>
      </c>
    </row>
    <row r="564" ht="24" customHeight="1" s="63">
      <c r="E564" s="139" t="n"/>
      <c r="F564" s="139" t="n"/>
      <c r="G564" s="140">
        <f>IFERROR(IF(E564&gt;0,(F564/E564)*1000,""),"")</f>
        <v/>
      </c>
      <c r="H564" s="139">
        <f>IFERROR(IF(E564&gt;0,E564*IF(ISNUMBER(J564),J564,IF(C564="Futures",$C$6,$C$5)),""),"")</f>
        <v/>
      </c>
      <c r="I564" s="139">
        <f>IFERROR(IF(AND(ISNUMBER(F564),ISNUMBER(H564)),F564-H564,""),"")</f>
        <v/>
      </c>
      <c r="J564" s="114" t="n"/>
      <c r="K564" s="139">
        <f>IFERROR(IF(H564&gt;0,H564*$C$7,""),"")</f>
        <v/>
      </c>
      <c r="L564" s="139">
        <f>IFERROR(IF(ISNUMBER(F564),F564-IF(ISNUMBER(K564),K564,0),""),"")</f>
        <v/>
      </c>
    </row>
    <row r="565" ht="24" customHeight="1" s="63">
      <c r="E565" s="139" t="n"/>
      <c r="F565" s="139" t="n"/>
      <c r="G565" s="140">
        <f>IFERROR(IF(E565&gt;0,(F565/E565)*1000,""),"")</f>
        <v/>
      </c>
      <c r="H565" s="139">
        <f>IFERROR(IF(E565&gt;0,E565*IF(ISNUMBER(J565),J565,IF(C565="Futures",$C$6,$C$5)),""),"")</f>
        <v/>
      </c>
      <c r="I565" s="139">
        <f>IFERROR(IF(AND(ISNUMBER(F565),ISNUMBER(H565)),F565-H565,""),"")</f>
        <v/>
      </c>
      <c r="J565" s="114" t="n"/>
      <c r="K565" s="139">
        <f>IFERROR(IF(H565&gt;0,H565*$C$7,""),"")</f>
        <v/>
      </c>
      <c r="L565" s="139">
        <f>IFERROR(IF(ISNUMBER(F565),F565-IF(ISNUMBER(K565),K565,0),""),"")</f>
        <v/>
      </c>
    </row>
    <row r="566" ht="24" customHeight="1" s="63">
      <c r="E566" s="139" t="n"/>
      <c r="F566" s="139" t="n"/>
      <c r="G566" s="140">
        <f>IFERROR(IF(E566&gt;0,(F566/E566)*1000,""),"")</f>
        <v/>
      </c>
      <c r="H566" s="139">
        <f>IFERROR(IF(E566&gt;0,E566*IF(ISNUMBER(J566),J566,IF(C566="Futures",$C$6,$C$5)),""),"")</f>
        <v/>
      </c>
      <c r="I566" s="139">
        <f>IFERROR(IF(AND(ISNUMBER(F566),ISNUMBER(H566)),F566-H566,""),"")</f>
        <v/>
      </c>
      <c r="J566" s="114" t="n"/>
      <c r="K566" s="139">
        <f>IFERROR(IF(H566&gt;0,H566*$C$7,""),"")</f>
        <v/>
      </c>
      <c r="L566" s="139">
        <f>IFERROR(IF(ISNUMBER(F566),F566-IF(ISNUMBER(K566),K566,0),""),"")</f>
        <v/>
      </c>
    </row>
    <row r="567" ht="24" customHeight="1" s="63">
      <c r="E567" s="139" t="n"/>
      <c r="F567" s="139" t="n"/>
      <c r="G567" s="140">
        <f>IFERROR(IF(E567&gt;0,(F567/E567)*1000,""),"")</f>
        <v/>
      </c>
      <c r="H567" s="139">
        <f>IFERROR(IF(E567&gt;0,E567*IF(ISNUMBER(J567),J567,IF(C567="Futures",$C$6,$C$5)),""),"")</f>
        <v/>
      </c>
      <c r="I567" s="139">
        <f>IFERROR(IF(AND(ISNUMBER(F567),ISNUMBER(H567)),F567-H567,""),"")</f>
        <v/>
      </c>
      <c r="J567" s="114" t="n"/>
      <c r="K567" s="139">
        <f>IFERROR(IF(H567&gt;0,H567*$C$7,""),"")</f>
        <v/>
      </c>
      <c r="L567" s="139">
        <f>IFERROR(IF(ISNUMBER(F567),F567-IF(ISNUMBER(K567),K567,0),""),"")</f>
        <v/>
      </c>
    </row>
    <row r="568" ht="24" customHeight="1" s="63">
      <c r="E568" s="139" t="n"/>
      <c r="F568" s="139" t="n"/>
      <c r="G568" s="140">
        <f>IFERROR(IF(E568&gt;0,(F568/E568)*1000,""),"")</f>
        <v/>
      </c>
      <c r="H568" s="139">
        <f>IFERROR(IF(E568&gt;0,E568*IF(ISNUMBER(J568),J568,IF(C568="Futures",$C$6,$C$5)),""),"")</f>
        <v/>
      </c>
      <c r="I568" s="139">
        <f>IFERROR(IF(AND(ISNUMBER(F568),ISNUMBER(H568)),F568-H568,""),"")</f>
        <v/>
      </c>
      <c r="J568" s="114" t="n"/>
      <c r="K568" s="139">
        <f>IFERROR(IF(H568&gt;0,H568*$C$7,""),"")</f>
        <v/>
      </c>
      <c r="L568" s="139">
        <f>IFERROR(IF(ISNUMBER(F568),F568-IF(ISNUMBER(K568),K568,0),""),"")</f>
        <v/>
      </c>
    </row>
    <row r="569" ht="24" customHeight="1" s="63">
      <c r="E569" s="139" t="n"/>
      <c r="F569" s="139" t="n"/>
      <c r="G569" s="140">
        <f>IFERROR(IF(E569&gt;0,(F569/E569)*1000,""),"")</f>
        <v/>
      </c>
      <c r="H569" s="139">
        <f>IFERROR(IF(E569&gt;0,E569*IF(ISNUMBER(J569),J569,IF(C569="Futures",$C$6,$C$5)),""),"")</f>
        <v/>
      </c>
      <c r="I569" s="139">
        <f>IFERROR(IF(AND(ISNUMBER(F569),ISNUMBER(H569)),F569-H569,""),"")</f>
        <v/>
      </c>
      <c r="J569" s="114" t="n"/>
      <c r="K569" s="139">
        <f>IFERROR(IF(H569&gt;0,H569*$C$7,""),"")</f>
        <v/>
      </c>
      <c r="L569" s="139">
        <f>IFERROR(IF(ISNUMBER(F569),F569-IF(ISNUMBER(K569),K569,0),""),"")</f>
        <v/>
      </c>
    </row>
    <row r="570" ht="24" customHeight="1" s="63">
      <c r="E570" s="139" t="n"/>
      <c r="F570" s="139" t="n"/>
      <c r="G570" s="140">
        <f>IFERROR(IF(E570&gt;0,(F570/E570)*1000,""),"")</f>
        <v/>
      </c>
      <c r="H570" s="139">
        <f>IFERROR(IF(E570&gt;0,E570*IF(ISNUMBER(J570),J570,IF(C570="Futures",$C$6,$C$5)),""),"")</f>
        <v/>
      </c>
      <c r="I570" s="139">
        <f>IFERROR(IF(AND(ISNUMBER(F570),ISNUMBER(H570)),F570-H570,""),"")</f>
        <v/>
      </c>
      <c r="J570" s="114" t="n"/>
      <c r="K570" s="139">
        <f>IFERROR(IF(H570&gt;0,H570*$C$7,""),"")</f>
        <v/>
      </c>
      <c r="L570" s="139">
        <f>IFERROR(IF(ISNUMBER(F570),F570-IF(ISNUMBER(K570),K570,0),""),"")</f>
        <v/>
      </c>
    </row>
    <row r="571" ht="24" customHeight="1" s="63">
      <c r="E571" s="139" t="n"/>
      <c r="F571" s="139" t="n"/>
      <c r="G571" s="140">
        <f>IFERROR(IF(E571&gt;0,(F571/E571)*1000,""),"")</f>
        <v/>
      </c>
      <c r="H571" s="139">
        <f>IFERROR(IF(E571&gt;0,E571*IF(ISNUMBER(J571),J571,IF(C571="Futures",$C$6,$C$5)),""),"")</f>
        <v/>
      </c>
      <c r="I571" s="139">
        <f>IFERROR(IF(AND(ISNUMBER(F571),ISNUMBER(H571)),F571-H571,""),"")</f>
        <v/>
      </c>
      <c r="J571" s="114" t="n"/>
      <c r="K571" s="139">
        <f>IFERROR(IF(H571&gt;0,H571*$C$7,""),"")</f>
        <v/>
      </c>
      <c r="L571" s="139">
        <f>IFERROR(IF(ISNUMBER(F571),F571-IF(ISNUMBER(K571),K571,0),""),"")</f>
        <v/>
      </c>
    </row>
    <row r="572" ht="24" customHeight="1" s="63">
      <c r="E572" s="139" t="n"/>
      <c r="F572" s="139" t="n"/>
      <c r="G572" s="140">
        <f>IFERROR(IF(E572&gt;0,(F572/E572)*1000,""),"")</f>
        <v/>
      </c>
      <c r="H572" s="139">
        <f>IFERROR(IF(E572&gt;0,E572*IF(ISNUMBER(J572),J572,IF(C572="Futures",$C$6,$C$5)),""),"")</f>
        <v/>
      </c>
      <c r="I572" s="139">
        <f>IFERROR(IF(AND(ISNUMBER(F572),ISNUMBER(H572)),F572-H572,""),"")</f>
        <v/>
      </c>
      <c r="J572" s="114" t="n"/>
      <c r="K572" s="139">
        <f>IFERROR(IF(H572&gt;0,H572*$C$7,""),"")</f>
        <v/>
      </c>
      <c r="L572" s="139">
        <f>IFERROR(IF(ISNUMBER(F572),F572-IF(ISNUMBER(K572),K572,0),""),"")</f>
        <v/>
      </c>
    </row>
    <row r="573" ht="24" customHeight="1" s="63">
      <c r="E573" s="139" t="n"/>
      <c r="F573" s="139" t="n"/>
      <c r="G573" s="140">
        <f>IFERROR(IF(E573&gt;0,(F573/E573)*1000,""),"")</f>
        <v/>
      </c>
      <c r="H573" s="139">
        <f>IFERROR(IF(E573&gt;0,E573*IF(ISNUMBER(J573),J573,IF(C573="Futures",$C$6,$C$5)),""),"")</f>
        <v/>
      </c>
      <c r="I573" s="139">
        <f>IFERROR(IF(AND(ISNUMBER(F573),ISNUMBER(H573)),F573-H573,""),"")</f>
        <v/>
      </c>
      <c r="J573" s="114" t="n"/>
      <c r="K573" s="139">
        <f>IFERROR(IF(H573&gt;0,H573*$C$7,""),"")</f>
        <v/>
      </c>
      <c r="L573" s="139">
        <f>IFERROR(IF(ISNUMBER(F573),F573-IF(ISNUMBER(K573),K573,0),""),"")</f>
        <v/>
      </c>
    </row>
    <row r="574" ht="24" customHeight="1" s="63">
      <c r="E574" s="139" t="n"/>
      <c r="F574" s="139" t="n"/>
      <c r="G574" s="140">
        <f>IFERROR(IF(E574&gt;0,(F574/E574)*1000,""),"")</f>
        <v/>
      </c>
      <c r="H574" s="139">
        <f>IFERROR(IF(E574&gt;0,E574*IF(ISNUMBER(J574),J574,IF(C574="Futures",$C$6,$C$5)),""),"")</f>
        <v/>
      </c>
      <c r="I574" s="139">
        <f>IFERROR(IF(AND(ISNUMBER(F574),ISNUMBER(H574)),F574-H574,""),"")</f>
        <v/>
      </c>
      <c r="J574" s="114" t="n"/>
      <c r="K574" s="139">
        <f>IFERROR(IF(H574&gt;0,H574*$C$7,""),"")</f>
        <v/>
      </c>
      <c r="L574" s="139">
        <f>IFERROR(IF(ISNUMBER(F574),F574-IF(ISNUMBER(K574),K574,0),""),"")</f>
        <v/>
      </c>
    </row>
    <row r="575" ht="24" customHeight="1" s="63">
      <c r="E575" s="139" t="n"/>
      <c r="F575" s="139" t="n"/>
      <c r="G575" s="140">
        <f>IFERROR(IF(E575&gt;0,(F575/E575)*1000,""),"")</f>
        <v/>
      </c>
      <c r="H575" s="139">
        <f>IFERROR(IF(E575&gt;0,E575*IF(ISNUMBER(J575),J575,IF(C575="Futures",$C$6,$C$5)),""),"")</f>
        <v/>
      </c>
      <c r="I575" s="139">
        <f>IFERROR(IF(AND(ISNUMBER(F575),ISNUMBER(H575)),F575-H575,""),"")</f>
        <v/>
      </c>
      <c r="J575" s="114" t="n"/>
      <c r="K575" s="139">
        <f>IFERROR(IF(H575&gt;0,H575*$C$7,""),"")</f>
        <v/>
      </c>
      <c r="L575" s="139">
        <f>IFERROR(IF(ISNUMBER(F575),F575-IF(ISNUMBER(K575),K575,0),""),"")</f>
        <v/>
      </c>
    </row>
    <row r="576" ht="24" customHeight="1" s="63">
      <c r="E576" s="139" t="n"/>
      <c r="F576" s="139" t="n"/>
      <c r="G576" s="140">
        <f>IFERROR(IF(E576&gt;0,(F576/E576)*1000,""),"")</f>
        <v/>
      </c>
      <c r="H576" s="139">
        <f>IFERROR(IF(E576&gt;0,E576*IF(ISNUMBER(J576),J576,IF(C576="Futures",$C$6,$C$5)),""),"")</f>
        <v/>
      </c>
      <c r="I576" s="139">
        <f>IFERROR(IF(AND(ISNUMBER(F576),ISNUMBER(H576)),F576-H576,""),"")</f>
        <v/>
      </c>
      <c r="J576" s="114" t="n"/>
      <c r="K576" s="139">
        <f>IFERROR(IF(H576&gt;0,H576*$C$7,""),"")</f>
        <v/>
      </c>
      <c r="L576" s="139">
        <f>IFERROR(IF(ISNUMBER(F576),F576-IF(ISNUMBER(K576),K576,0),""),"")</f>
        <v/>
      </c>
    </row>
    <row r="577" ht="24" customHeight="1" s="63">
      <c r="E577" s="139" t="n"/>
      <c r="F577" s="139" t="n"/>
      <c r="G577" s="140">
        <f>IFERROR(IF(E577&gt;0,(F577/E577)*1000,""),"")</f>
        <v/>
      </c>
      <c r="H577" s="139">
        <f>IFERROR(IF(E577&gt;0,E577*IF(ISNUMBER(J577),J577,IF(C577="Futures",$C$6,$C$5)),""),"")</f>
        <v/>
      </c>
      <c r="I577" s="139">
        <f>IFERROR(IF(AND(ISNUMBER(F577),ISNUMBER(H577)),F577-H577,""),"")</f>
        <v/>
      </c>
      <c r="J577" s="114" t="n"/>
      <c r="K577" s="139">
        <f>IFERROR(IF(H577&gt;0,H577*$C$7,""),"")</f>
        <v/>
      </c>
      <c r="L577" s="139">
        <f>IFERROR(IF(ISNUMBER(F577),F577-IF(ISNUMBER(K577),K577,0),""),"")</f>
        <v/>
      </c>
    </row>
    <row r="578" ht="24" customHeight="1" s="63">
      <c r="E578" s="139" t="n"/>
      <c r="F578" s="139" t="n"/>
      <c r="G578" s="140">
        <f>IFERROR(IF(E578&gt;0,(F578/E578)*1000,""),"")</f>
        <v/>
      </c>
      <c r="H578" s="139">
        <f>IFERROR(IF(E578&gt;0,E578*IF(ISNUMBER(J578),J578,IF(C578="Futures",$C$6,$C$5)),""),"")</f>
        <v/>
      </c>
      <c r="I578" s="139">
        <f>IFERROR(IF(AND(ISNUMBER(F578),ISNUMBER(H578)),F578-H578,""),"")</f>
        <v/>
      </c>
      <c r="J578" s="114" t="n"/>
      <c r="K578" s="139">
        <f>IFERROR(IF(H578&gt;0,H578*$C$7,""),"")</f>
        <v/>
      </c>
      <c r="L578" s="139">
        <f>IFERROR(IF(ISNUMBER(F578),F578-IF(ISNUMBER(K578),K578,0),""),"")</f>
        <v/>
      </c>
    </row>
    <row r="579" ht="24" customHeight="1" s="63">
      <c r="E579" s="139" t="n"/>
      <c r="F579" s="139" t="n"/>
      <c r="G579" s="140">
        <f>IFERROR(IF(E579&gt;0,(F579/E579)*1000,""),"")</f>
        <v/>
      </c>
      <c r="H579" s="139">
        <f>IFERROR(IF(E579&gt;0,E579*IF(ISNUMBER(J579),J579,IF(C579="Futures",$C$6,$C$5)),""),"")</f>
        <v/>
      </c>
      <c r="I579" s="139">
        <f>IFERROR(IF(AND(ISNUMBER(F579),ISNUMBER(H579)),F579-H579,""),"")</f>
        <v/>
      </c>
      <c r="J579" s="114" t="n"/>
      <c r="K579" s="139">
        <f>IFERROR(IF(H579&gt;0,H579*$C$7,""),"")</f>
        <v/>
      </c>
      <c r="L579" s="139">
        <f>IFERROR(IF(ISNUMBER(F579),F579-IF(ISNUMBER(K579),K579,0),""),"")</f>
        <v/>
      </c>
    </row>
    <row r="580" ht="24" customHeight="1" s="63">
      <c r="E580" s="139" t="n"/>
      <c r="F580" s="139" t="n"/>
      <c r="G580" s="140">
        <f>IFERROR(IF(E580&gt;0,(F580/E580)*1000,""),"")</f>
        <v/>
      </c>
      <c r="H580" s="139">
        <f>IFERROR(IF(E580&gt;0,E580*IF(ISNUMBER(J580),J580,IF(C580="Futures",$C$6,$C$5)),""),"")</f>
        <v/>
      </c>
      <c r="I580" s="139">
        <f>IFERROR(IF(AND(ISNUMBER(F580),ISNUMBER(H580)),F580-H580,""),"")</f>
        <v/>
      </c>
      <c r="J580" s="114" t="n"/>
      <c r="K580" s="139">
        <f>IFERROR(IF(H580&gt;0,H580*$C$7,""),"")</f>
        <v/>
      </c>
      <c r="L580" s="139">
        <f>IFERROR(IF(ISNUMBER(F580),F580-IF(ISNUMBER(K580),K580,0),""),"")</f>
        <v/>
      </c>
    </row>
    <row r="581" ht="24" customHeight="1" s="63">
      <c r="E581" s="139" t="n"/>
      <c r="F581" s="139" t="n"/>
      <c r="G581" s="140">
        <f>IFERROR(IF(E581&gt;0,(F581/E581)*1000,""),"")</f>
        <v/>
      </c>
      <c r="H581" s="139">
        <f>IFERROR(IF(E581&gt;0,E581*IF(ISNUMBER(J581),J581,IF(C581="Futures",$C$6,$C$5)),""),"")</f>
        <v/>
      </c>
      <c r="I581" s="139">
        <f>IFERROR(IF(AND(ISNUMBER(F581),ISNUMBER(H581)),F581-H581,""),"")</f>
        <v/>
      </c>
      <c r="J581" s="114" t="n"/>
      <c r="K581" s="139">
        <f>IFERROR(IF(H581&gt;0,H581*$C$7,""),"")</f>
        <v/>
      </c>
      <c r="L581" s="139">
        <f>IFERROR(IF(ISNUMBER(F581),F581-IF(ISNUMBER(K581),K581,0),""),"")</f>
        <v/>
      </c>
    </row>
    <row r="582" ht="24" customHeight="1" s="63">
      <c r="E582" s="139" t="n"/>
      <c r="F582" s="139" t="n"/>
      <c r="G582" s="140">
        <f>IFERROR(IF(E582&gt;0,(F582/E582)*1000,""),"")</f>
        <v/>
      </c>
      <c r="H582" s="139">
        <f>IFERROR(IF(E582&gt;0,E582*IF(ISNUMBER(J582),J582,IF(C582="Futures",$C$6,$C$5)),""),"")</f>
        <v/>
      </c>
      <c r="I582" s="139">
        <f>IFERROR(IF(AND(ISNUMBER(F582),ISNUMBER(H582)),F582-H582,""),"")</f>
        <v/>
      </c>
      <c r="J582" s="114" t="n"/>
      <c r="K582" s="139">
        <f>IFERROR(IF(H582&gt;0,H582*$C$7,""),"")</f>
        <v/>
      </c>
      <c r="L582" s="139">
        <f>IFERROR(IF(ISNUMBER(F582),F582-IF(ISNUMBER(K582),K582,0),""),"")</f>
        <v/>
      </c>
    </row>
    <row r="583" ht="24" customHeight="1" s="63">
      <c r="E583" s="139" t="n"/>
      <c r="F583" s="139" t="n"/>
      <c r="G583" s="140">
        <f>IFERROR(IF(E583&gt;0,(F583/E583)*1000,""),"")</f>
        <v/>
      </c>
      <c r="H583" s="139">
        <f>IFERROR(IF(E583&gt;0,E583*IF(ISNUMBER(J583),J583,IF(C583="Futures",$C$6,$C$5)),""),"")</f>
        <v/>
      </c>
      <c r="I583" s="139">
        <f>IFERROR(IF(AND(ISNUMBER(F583),ISNUMBER(H583)),F583-H583,""),"")</f>
        <v/>
      </c>
      <c r="J583" s="114" t="n"/>
      <c r="K583" s="139">
        <f>IFERROR(IF(H583&gt;0,H583*$C$7,""),"")</f>
        <v/>
      </c>
      <c r="L583" s="139">
        <f>IFERROR(IF(ISNUMBER(F583),F583-IF(ISNUMBER(K583),K583,0),""),"")</f>
        <v/>
      </c>
    </row>
    <row r="584" ht="24" customHeight="1" s="63">
      <c r="E584" s="139" t="n"/>
      <c r="F584" s="139" t="n"/>
      <c r="G584" s="140">
        <f>IFERROR(IF(E584&gt;0,(F584/E584)*1000,""),"")</f>
        <v/>
      </c>
      <c r="H584" s="139">
        <f>IFERROR(IF(E584&gt;0,E584*IF(ISNUMBER(J584),J584,IF(C584="Futures",$C$6,$C$5)),""),"")</f>
        <v/>
      </c>
      <c r="I584" s="139">
        <f>IFERROR(IF(AND(ISNUMBER(F584),ISNUMBER(H584)),F584-H584,""),"")</f>
        <v/>
      </c>
      <c r="J584" s="114" t="n"/>
      <c r="K584" s="139">
        <f>IFERROR(IF(H584&gt;0,H584*$C$7,""),"")</f>
        <v/>
      </c>
      <c r="L584" s="139">
        <f>IFERROR(IF(ISNUMBER(F584),F584-IF(ISNUMBER(K584),K584,0),""),"")</f>
        <v/>
      </c>
    </row>
    <row r="585" ht="24" customHeight="1" s="63">
      <c r="E585" s="139" t="n"/>
      <c r="F585" s="139" t="n"/>
      <c r="G585" s="140">
        <f>IFERROR(IF(E585&gt;0,(F585/E585)*1000,""),"")</f>
        <v/>
      </c>
      <c r="H585" s="139">
        <f>IFERROR(IF(E585&gt;0,E585*IF(ISNUMBER(J585),J585,IF(C585="Futures",$C$6,$C$5)),""),"")</f>
        <v/>
      </c>
      <c r="I585" s="139">
        <f>IFERROR(IF(AND(ISNUMBER(F585),ISNUMBER(H585)),F585-H585,""),"")</f>
        <v/>
      </c>
      <c r="J585" s="114" t="n"/>
      <c r="K585" s="139">
        <f>IFERROR(IF(H585&gt;0,H585*$C$7,""),"")</f>
        <v/>
      </c>
      <c r="L585" s="139">
        <f>IFERROR(IF(ISNUMBER(F585),F585-IF(ISNUMBER(K585),K585,0),""),"")</f>
        <v/>
      </c>
    </row>
    <row r="586" ht="24" customHeight="1" s="63">
      <c r="E586" s="139" t="n"/>
      <c r="F586" s="139" t="n"/>
      <c r="G586" s="140">
        <f>IFERROR(IF(E586&gt;0,(F586/E586)*1000,""),"")</f>
        <v/>
      </c>
      <c r="H586" s="139">
        <f>IFERROR(IF(E586&gt;0,E586*IF(ISNUMBER(J586),J586,IF(C586="Futures",$C$6,$C$5)),""),"")</f>
        <v/>
      </c>
      <c r="I586" s="139">
        <f>IFERROR(IF(AND(ISNUMBER(F586),ISNUMBER(H586)),F586-H586,""),"")</f>
        <v/>
      </c>
      <c r="J586" s="114" t="n"/>
      <c r="K586" s="139">
        <f>IFERROR(IF(H586&gt;0,H586*$C$7,""),"")</f>
        <v/>
      </c>
      <c r="L586" s="139">
        <f>IFERROR(IF(ISNUMBER(F586),F586-IF(ISNUMBER(K586),K586,0),""),"")</f>
        <v/>
      </c>
    </row>
    <row r="587" ht="24" customHeight="1" s="63">
      <c r="E587" s="139" t="n"/>
      <c r="F587" s="139" t="n"/>
      <c r="G587" s="140">
        <f>IFERROR(IF(E587&gt;0,(F587/E587)*1000,""),"")</f>
        <v/>
      </c>
      <c r="H587" s="139">
        <f>IFERROR(IF(E587&gt;0,E587*IF(ISNUMBER(J587),J587,IF(C587="Futures",$C$6,$C$5)),""),"")</f>
        <v/>
      </c>
      <c r="I587" s="139">
        <f>IFERROR(IF(AND(ISNUMBER(F587),ISNUMBER(H587)),F587-H587,""),"")</f>
        <v/>
      </c>
      <c r="J587" s="114" t="n"/>
      <c r="K587" s="139">
        <f>IFERROR(IF(H587&gt;0,H587*$C$7,""),"")</f>
        <v/>
      </c>
      <c r="L587" s="139">
        <f>IFERROR(IF(ISNUMBER(F587),F587-IF(ISNUMBER(K587),K587,0),""),"")</f>
        <v/>
      </c>
    </row>
    <row r="588" ht="24" customHeight="1" s="63">
      <c r="E588" s="139" t="n"/>
      <c r="F588" s="139" t="n"/>
      <c r="G588" s="140">
        <f>IFERROR(IF(E588&gt;0,(F588/E588)*1000,""),"")</f>
        <v/>
      </c>
      <c r="H588" s="139">
        <f>IFERROR(IF(E588&gt;0,E588*IF(ISNUMBER(J588),J588,IF(C588="Futures",$C$6,$C$5)),""),"")</f>
        <v/>
      </c>
      <c r="I588" s="139">
        <f>IFERROR(IF(AND(ISNUMBER(F588),ISNUMBER(H588)),F588-H588,""),"")</f>
        <v/>
      </c>
      <c r="J588" s="114" t="n"/>
      <c r="K588" s="139">
        <f>IFERROR(IF(H588&gt;0,H588*$C$7,""),"")</f>
        <v/>
      </c>
      <c r="L588" s="139">
        <f>IFERROR(IF(ISNUMBER(F588),F588-IF(ISNUMBER(K588),K588,0),""),"")</f>
        <v/>
      </c>
    </row>
    <row r="589" ht="24" customHeight="1" s="63">
      <c r="E589" s="139" t="n"/>
      <c r="F589" s="139" t="n"/>
      <c r="G589" s="140">
        <f>IFERROR(IF(E589&gt;0,(F589/E589)*1000,""),"")</f>
        <v/>
      </c>
      <c r="H589" s="139">
        <f>IFERROR(IF(E589&gt;0,E589*IF(ISNUMBER(J589),J589,IF(C589="Futures",$C$6,$C$5)),""),"")</f>
        <v/>
      </c>
      <c r="I589" s="139">
        <f>IFERROR(IF(AND(ISNUMBER(F589),ISNUMBER(H589)),F589-H589,""),"")</f>
        <v/>
      </c>
      <c r="J589" s="114" t="n"/>
      <c r="K589" s="139">
        <f>IFERROR(IF(H589&gt;0,H589*$C$7,""),"")</f>
        <v/>
      </c>
      <c r="L589" s="139">
        <f>IFERROR(IF(ISNUMBER(F589),F589-IF(ISNUMBER(K589),K589,0),""),"")</f>
        <v/>
      </c>
    </row>
    <row r="590" ht="24" customHeight="1" s="63">
      <c r="E590" s="139" t="n"/>
      <c r="F590" s="139" t="n"/>
      <c r="G590" s="140">
        <f>IFERROR(IF(E590&gt;0,(F590/E590)*1000,""),"")</f>
        <v/>
      </c>
      <c r="H590" s="139">
        <f>IFERROR(IF(E590&gt;0,E590*IF(ISNUMBER(J590),J590,IF(C590="Futures",$C$6,$C$5)),""),"")</f>
        <v/>
      </c>
      <c r="I590" s="139">
        <f>IFERROR(IF(AND(ISNUMBER(F590),ISNUMBER(H590)),F590-H590,""),"")</f>
        <v/>
      </c>
      <c r="J590" s="114" t="n"/>
      <c r="K590" s="139">
        <f>IFERROR(IF(H590&gt;0,H590*$C$7,""),"")</f>
        <v/>
      </c>
      <c r="L590" s="139">
        <f>IFERROR(IF(ISNUMBER(F590),F590-IF(ISNUMBER(K590),K590,0),""),"")</f>
        <v/>
      </c>
    </row>
    <row r="591" ht="24" customHeight="1" s="63">
      <c r="E591" s="139" t="n"/>
      <c r="F591" s="139" t="n"/>
      <c r="G591" s="140">
        <f>IFERROR(IF(E591&gt;0,(F591/E591)*1000,""),"")</f>
        <v/>
      </c>
      <c r="H591" s="139">
        <f>IFERROR(IF(E591&gt;0,E591*IF(ISNUMBER(J591),J591,IF(C591="Futures",$C$6,$C$5)),""),"")</f>
        <v/>
      </c>
      <c r="I591" s="139">
        <f>IFERROR(IF(AND(ISNUMBER(F591),ISNUMBER(H591)),F591-H591,""),"")</f>
        <v/>
      </c>
      <c r="J591" s="114" t="n"/>
      <c r="K591" s="139">
        <f>IFERROR(IF(H591&gt;0,H591*$C$7,""),"")</f>
        <v/>
      </c>
      <c r="L591" s="139">
        <f>IFERROR(IF(ISNUMBER(F591),F591-IF(ISNUMBER(K591),K591,0),""),"")</f>
        <v/>
      </c>
    </row>
    <row r="592" ht="24" customHeight="1" s="63">
      <c r="E592" s="139" t="n"/>
      <c r="F592" s="139" t="n"/>
      <c r="G592" s="140">
        <f>IFERROR(IF(E592&gt;0,(F592/E592)*1000,""),"")</f>
        <v/>
      </c>
      <c r="H592" s="139">
        <f>IFERROR(IF(E592&gt;0,E592*IF(ISNUMBER(J592),J592,IF(C592="Futures",$C$6,$C$5)),""),"")</f>
        <v/>
      </c>
      <c r="I592" s="139">
        <f>IFERROR(IF(AND(ISNUMBER(F592),ISNUMBER(H592)),F592-H592,""),"")</f>
        <v/>
      </c>
      <c r="J592" s="114" t="n"/>
      <c r="K592" s="139">
        <f>IFERROR(IF(H592&gt;0,H592*$C$7,""),"")</f>
        <v/>
      </c>
      <c r="L592" s="139">
        <f>IFERROR(IF(ISNUMBER(F592),F592-IF(ISNUMBER(K592),K592,0),""),"")</f>
        <v/>
      </c>
    </row>
    <row r="593" ht="24" customHeight="1" s="63">
      <c r="E593" s="139" t="n"/>
      <c r="F593" s="139" t="n"/>
      <c r="G593" s="140">
        <f>IFERROR(IF(E593&gt;0,(F593/E593)*1000,""),"")</f>
        <v/>
      </c>
      <c r="H593" s="139">
        <f>IFERROR(IF(E593&gt;0,E593*IF(ISNUMBER(J593),J593,IF(C593="Futures",$C$6,$C$5)),""),"")</f>
        <v/>
      </c>
      <c r="I593" s="139">
        <f>IFERROR(IF(AND(ISNUMBER(F593),ISNUMBER(H593)),F593-H593,""),"")</f>
        <v/>
      </c>
      <c r="J593" s="114" t="n"/>
      <c r="K593" s="139">
        <f>IFERROR(IF(H593&gt;0,H593*$C$7,""),"")</f>
        <v/>
      </c>
      <c r="L593" s="139">
        <f>IFERROR(IF(ISNUMBER(F593),F593-IF(ISNUMBER(K593),K593,0),""),"")</f>
        <v/>
      </c>
    </row>
    <row r="594" ht="24" customHeight="1" s="63">
      <c r="E594" s="139" t="n"/>
      <c r="F594" s="139" t="n"/>
      <c r="G594" s="140">
        <f>IFERROR(IF(E594&gt;0,(F594/E594)*1000,""),"")</f>
        <v/>
      </c>
      <c r="H594" s="139">
        <f>IFERROR(IF(E594&gt;0,E594*IF(ISNUMBER(J594),J594,IF(C594="Futures",$C$6,$C$5)),""),"")</f>
        <v/>
      </c>
      <c r="I594" s="139">
        <f>IFERROR(IF(AND(ISNUMBER(F594),ISNUMBER(H594)),F594-H594,""),"")</f>
        <v/>
      </c>
      <c r="J594" s="114" t="n"/>
      <c r="K594" s="139">
        <f>IFERROR(IF(H594&gt;0,H594*$C$7,""),"")</f>
        <v/>
      </c>
      <c r="L594" s="139">
        <f>IFERROR(IF(ISNUMBER(F594),F594-IF(ISNUMBER(K594),K594,0),""),"")</f>
        <v/>
      </c>
    </row>
    <row r="595" ht="24" customHeight="1" s="63">
      <c r="E595" s="139" t="n"/>
      <c r="F595" s="139" t="n"/>
      <c r="G595" s="140">
        <f>IFERROR(IF(E595&gt;0,(F595/E595)*1000,""),"")</f>
        <v/>
      </c>
      <c r="H595" s="139">
        <f>IFERROR(IF(E595&gt;0,E595*IF(ISNUMBER(J595),J595,IF(C595="Futures",$C$6,$C$5)),""),"")</f>
        <v/>
      </c>
      <c r="I595" s="139">
        <f>IFERROR(IF(AND(ISNUMBER(F595),ISNUMBER(H595)),F595-H595,""),"")</f>
        <v/>
      </c>
      <c r="J595" s="114" t="n"/>
      <c r="K595" s="139">
        <f>IFERROR(IF(H595&gt;0,H595*$C$7,""),"")</f>
        <v/>
      </c>
      <c r="L595" s="139">
        <f>IFERROR(IF(ISNUMBER(F595),F595-IF(ISNUMBER(K595),K595,0),""),"")</f>
        <v/>
      </c>
    </row>
    <row r="596" ht="24" customHeight="1" s="63">
      <c r="E596" s="139" t="n"/>
      <c r="F596" s="139" t="n"/>
      <c r="G596" s="140">
        <f>IFERROR(IF(E596&gt;0,(F596/E596)*1000,""),"")</f>
        <v/>
      </c>
      <c r="H596" s="139">
        <f>IFERROR(IF(E596&gt;0,E596*IF(ISNUMBER(J596),J596,IF(C596="Futures",$C$6,$C$5)),""),"")</f>
        <v/>
      </c>
      <c r="I596" s="139">
        <f>IFERROR(IF(AND(ISNUMBER(F596),ISNUMBER(H596)),F596-H596,""),"")</f>
        <v/>
      </c>
      <c r="J596" s="114" t="n"/>
      <c r="K596" s="139">
        <f>IFERROR(IF(H596&gt;0,H596*$C$7,""),"")</f>
        <v/>
      </c>
      <c r="L596" s="139">
        <f>IFERROR(IF(ISNUMBER(F596),F596-IF(ISNUMBER(K596),K596,0),""),"")</f>
        <v/>
      </c>
    </row>
    <row r="597" ht="24" customHeight="1" s="63">
      <c r="E597" s="139" t="n"/>
      <c r="F597" s="139" t="n"/>
      <c r="G597" s="140">
        <f>IFERROR(IF(E597&gt;0,(F597/E597)*1000,""),"")</f>
        <v/>
      </c>
      <c r="H597" s="139">
        <f>IFERROR(IF(E597&gt;0,E597*IF(ISNUMBER(J597),J597,IF(C597="Futures",$C$6,$C$5)),""),"")</f>
        <v/>
      </c>
      <c r="I597" s="139">
        <f>IFERROR(IF(AND(ISNUMBER(F597),ISNUMBER(H597)),F597-H597,""),"")</f>
        <v/>
      </c>
      <c r="J597" s="114" t="n"/>
      <c r="K597" s="139">
        <f>IFERROR(IF(H597&gt;0,H597*$C$7,""),"")</f>
        <v/>
      </c>
      <c r="L597" s="139">
        <f>IFERROR(IF(ISNUMBER(F597),F597-IF(ISNUMBER(K597),K597,0),""),"")</f>
        <v/>
      </c>
    </row>
    <row r="598" ht="24" customHeight="1" s="63">
      <c r="E598" s="139" t="n"/>
      <c r="F598" s="139" t="n"/>
      <c r="G598" s="140">
        <f>IFERROR(IF(E598&gt;0,(F598/E598)*1000,""),"")</f>
        <v/>
      </c>
      <c r="H598" s="139">
        <f>IFERROR(IF(E598&gt;0,E598*IF(ISNUMBER(J598),J598,IF(C598="Futures",$C$6,$C$5)),""),"")</f>
        <v/>
      </c>
      <c r="I598" s="139">
        <f>IFERROR(IF(AND(ISNUMBER(F598),ISNUMBER(H598)),F598-H598,""),"")</f>
        <v/>
      </c>
      <c r="J598" s="114" t="n"/>
      <c r="K598" s="139">
        <f>IFERROR(IF(H598&gt;0,H598*$C$7,""),"")</f>
        <v/>
      </c>
      <c r="L598" s="139">
        <f>IFERROR(IF(ISNUMBER(F598),F598-IF(ISNUMBER(K598),K598,0),""),"")</f>
        <v/>
      </c>
    </row>
    <row r="599" ht="24" customHeight="1" s="63">
      <c r="E599" s="139" t="n"/>
      <c r="F599" s="139" t="n"/>
      <c r="G599" s="140">
        <f>IFERROR(IF(E599&gt;0,(F599/E599)*1000,""),"")</f>
        <v/>
      </c>
      <c r="H599" s="139">
        <f>IFERROR(IF(E599&gt;0,E599*IF(ISNUMBER(J599),J599,IF(C599="Futures",$C$6,$C$5)),""),"")</f>
        <v/>
      </c>
      <c r="I599" s="139">
        <f>IFERROR(IF(AND(ISNUMBER(F599),ISNUMBER(H599)),F599-H599,""),"")</f>
        <v/>
      </c>
      <c r="J599" s="114" t="n"/>
      <c r="K599" s="139">
        <f>IFERROR(IF(H599&gt;0,H599*$C$7,""),"")</f>
        <v/>
      </c>
      <c r="L599" s="139">
        <f>IFERROR(IF(ISNUMBER(F599),F599-IF(ISNUMBER(K599),K599,0),""),"")</f>
        <v/>
      </c>
    </row>
    <row r="600" ht="24" customHeight="1" s="63">
      <c r="E600" s="139" t="n"/>
      <c r="F600" s="139" t="n"/>
      <c r="G600" s="140">
        <f>IFERROR(IF(E600&gt;0,(F600/E600)*1000,""),"")</f>
        <v/>
      </c>
      <c r="H600" s="139">
        <f>IFERROR(IF(E600&gt;0,E600*IF(ISNUMBER(J600),J600,IF(C600="Futures",$C$6,$C$5)),""),"")</f>
        <v/>
      </c>
      <c r="I600" s="139">
        <f>IFERROR(IF(AND(ISNUMBER(F600),ISNUMBER(H600)),F600-H600,""),"")</f>
        <v/>
      </c>
      <c r="J600" s="114" t="n"/>
      <c r="K600" s="139">
        <f>IFERROR(IF(H600&gt;0,H600*$C$7,""),"")</f>
        <v/>
      </c>
      <c r="L600" s="139">
        <f>IFERROR(IF(ISNUMBER(F600),F600-IF(ISNUMBER(K600),K600,0),""),"")</f>
        <v/>
      </c>
    </row>
    <row r="601" ht="24" customHeight="1" s="63">
      <c r="E601" s="139" t="n"/>
      <c r="F601" s="139" t="n"/>
      <c r="G601" s="140">
        <f>IFERROR(IF(E601&gt;0,(F601/E601)*1000,""),"")</f>
        <v/>
      </c>
      <c r="H601" s="139">
        <f>IFERROR(IF(E601&gt;0,E601*IF(ISNUMBER(J601),J601,IF(C601="Futures",$C$6,$C$5)),""),"")</f>
        <v/>
      </c>
      <c r="I601" s="139">
        <f>IFERROR(IF(AND(ISNUMBER(F601),ISNUMBER(H601)),F601-H601,""),"")</f>
        <v/>
      </c>
      <c r="J601" s="114" t="n"/>
      <c r="K601" s="139">
        <f>IFERROR(IF(H601&gt;0,H601*$C$7,""),"")</f>
        <v/>
      </c>
      <c r="L601" s="139">
        <f>IFERROR(IF(ISNUMBER(F601),F601-IF(ISNUMBER(K601),K601,0),""),"")</f>
        <v/>
      </c>
    </row>
    <row r="602" ht="24" customHeight="1" s="63">
      <c r="E602" s="139" t="n"/>
      <c r="F602" s="139" t="n"/>
      <c r="G602" s="140">
        <f>IFERROR(IF(E602&gt;0,(F602/E602)*1000,""),"")</f>
        <v/>
      </c>
      <c r="H602" s="139">
        <f>IFERROR(IF(E602&gt;0,E602*IF(ISNUMBER(J602),J602,IF(C602="Futures",$C$6,$C$5)),""),"")</f>
        <v/>
      </c>
      <c r="I602" s="139">
        <f>IFERROR(IF(AND(ISNUMBER(F602),ISNUMBER(H602)),F602-H602,""),"")</f>
        <v/>
      </c>
      <c r="J602" s="114" t="n"/>
      <c r="K602" s="139">
        <f>IFERROR(IF(H602&gt;0,H602*$C$7,""),"")</f>
        <v/>
      </c>
      <c r="L602" s="139">
        <f>IFERROR(IF(ISNUMBER(F602),F602-IF(ISNUMBER(K602),K602,0),""),"")</f>
        <v/>
      </c>
    </row>
    <row r="603" ht="24" customHeight="1" s="63">
      <c r="E603" s="139" t="n"/>
      <c r="F603" s="139" t="n"/>
      <c r="G603" s="140">
        <f>IFERROR(IF(E603&gt;0,(F603/E603)*1000,""),"")</f>
        <v/>
      </c>
      <c r="H603" s="139">
        <f>IFERROR(IF(E603&gt;0,E603*IF(ISNUMBER(J603),J603,IF(C603="Futures",$C$6,$C$5)),""),"")</f>
        <v/>
      </c>
      <c r="I603" s="139">
        <f>IFERROR(IF(AND(ISNUMBER(F603),ISNUMBER(H603)),F603-H603,""),"")</f>
        <v/>
      </c>
      <c r="J603" s="114" t="n"/>
      <c r="K603" s="139">
        <f>IFERROR(IF(H603&gt;0,H603*$C$7,""),"")</f>
        <v/>
      </c>
      <c r="L603" s="139">
        <f>IFERROR(IF(ISNUMBER(F603),F603-IF(ISNUMBER(K603),K603,0),""),"")</f>
        <v/>
      </c>
    </row>
    <row r="604" ht="24" customHeight="1" s="63">
      <c r="E604" s="139" t="n"/>
      <c r="F604" s="139" t="n"/>
      <c r="G604" s="140">
        <f>IFERROR(IF(E604&gt;0,(F604/E604)*1000,""),"")</f>
        <v/>
      </c>
      <c r="H604" s="139">
        <f>IFERROR(IF(E604&gt;0,E604*IF(ISNUMBER(J604),J604,IF(C604="Futures",$C$6,$C$5)),""),"")</f>
        <v/>
      </c>
      <c r="I604" s="139">
        <f>IFERROR(IF(AND(ISNUMBER(F604),ISNUMBER(H604)),F604-H604,""),"")</f>
        <v/>
      </c>
      <c r="J604" s="114" t="n"/>
      <c r="K604" s="139">
        <f>IFERROR(IF(H604&gt;0,H604*$C$7,""),"")</f>
        <v/>
      </c>
      <c r="L604" s="139">
        <f>IFERROR(IF(ISNUMBER(F604),F604-IF(ISNUMBER(K604),K604,0),""),"")</f>
        <v/>
      </c>
    </row>
    <row r="605" ht="24" customHeight="1" s="63">
      <c r="E605" s="139" t="n"/>
      <c r="F605" s="139" t="n"/>
      <c r="G605" s="140">
        <f>IFERROR(IF(E605&gt;0,(F605/E605)*1000,""),"")</f>
        <v/>
      </c>
      <c r="H605" s="139">
        <f>IFERROR(IF(E605&gt;0,E605*IF(ISNUMBER(J605),J605,IF(C605="Futures",$C$6,$C$5)),""),"")</f>
        <v/>
      </c>
      <c r="I605" s="139">
        <f>IFERROR(IF(AND(ISNUMBER(F605),ISNUMBER(H605)),F605-H605,""),"")</f>
        <v/>
      </c>
      <c r="J605" s="114" t="n"/>
      <c r="K605" s="139">
        <f>IFERROR(IF(H605&gt;0,H605*$C$7,""),"")</f>
        <v/>
      </c>
      <c r="L605" s="139">
        <f>IFERROR(IF(ISNUMBER(F605),F605-IF(ISNUMBER(K605),K605,0),""),"")</f>
        <v/>
      </c>
    </row>
    <row r="606" ht="24" customHeight="1" s="63">
      <c r="E606" s="139" t="n"/>
      <c r="F606" s="139" t="n"/>
      <c r="G606" s="140">
        <f>IFERROR(IF(E606&gt;0,(F606/E606)*1000,""),"")</f>
        <v/>
      </c>
      <c r="H606" s="139">
        <f>IFERROR(IF(E606&gt;0,E606*IF(ISNUMBER(J606),J606,IF(C606="Futures",$C$6,$C$5)),""),"")</f>
        <v/>
      </c>
      <c r="I606" s="139">
        <f>IFERROR(IF(AND(ISNUMBER(F606),ISNUMBER(H606)),F606-H606,""),"")</f>
        <v/>
      </c>
      <c r="J606" s="114" t="n"/>
      <c r="K606" s="139">
        <f>IFERROR(IF(H606&gt;0,H606*$C$7,""),"")</f>
        <v/>
      </c>
      <c r="L606" s="139">
        <f>IFERROR(IF(ISNUMBER(F606),F606-IF(ISNUMBER(K606),K606,0),""),"")</f>
        <v/>
      </c>
    </row>
    <row r="607" ht="24" customHeight="1" s="63">
      <c r="E607" s="139" t="n"/>
      <c r="F607" s="139" t="n"/>
      <c r="G607" s="140">
        <f>IFERROR(IF(E607&gt;0,(F607/E607)*1000,""),"")</f>
        <v/>
      </c>
      <c r="H607" s="139">
        <f>IFERROR(IF(E607&gt;0,E607*IF(ISNUMBER(J607),J607,IF(C607="Futures",$C$6,$C$5)),""),"")</f>
        <v/>
      </c>
      <c r="I607" s="139">
        <f>IFERROR(IF(AND(ISNUMBER(F607),ISNUMBER(H607)),F607-H607,""),"")</f>
        <v/>
      </c>
      <c r="J607" s="114" t="n"/>
      <c r="K607" s="139">
        <f>IFERROR(IF(H607&gt;0,H607*$C$7,""),"")</f>
        <v/>
      </c>
      <c r="L607" s="139">
        <f>IFERROR(IF(ISNUMBER(F607),F607-IF(ISNUMBER(K607),K607,0),""),"")</f>
        <v/>
      </c>
    </row>
    <row r="608" ht="24" customHeight="1" s="63">
      <c r="E608" s="139" t="n"/>
      <c r="F608" s="139" t="n"/>
      <c r="G608" s="140">
        <f>IFERROR(IF(E608&gt;0,(F608/E608)*1000,""),"")</f>
        <v/>
      </c>
      <c r="H608" s="139">
        <f>IFERROR(IF(E608&gt;0,E608*IF(ISNUMBER(J608),J608,IF(C608="Futures",$C$6,$C$5)),""),"")</f>
        <v/>
      </c>
      <c r="I608" s="139">
        <f>IFERROR(IF(AND(ISNUMBER(F608),ISNUMBER(H608)),F608-H608,""),"")</f>
        <v/>
      </c>
      <c r="J608" s="114" t="n"/>
      <c r="K608" s="139">
        <f>IFERROR(IF(H608&gt;0,H608*$C$7,""),"")</f>
        <v/>
      </c>
      <c r="L608" s="139">
        <f>IFERROR(IF(ISNUMBER(F608),F608-IF(ISNUMBER(K608),K608,0),""),"")</f>
        <v/>
      </c>
    </row>
    <row r="609" ht="24" customHeight="1" s="63">
      <c r="E609" s="139" t="n"/>
      <c r="F609" s="139" t="n"/>
      <c r="G609" s="140">
        <f>IFERROR(IF(E609&gt;0,(F609/E609)*1000,""),"")</f>
        <v/>
      </c>
      <c r="H609" s="139">
        <f>IFERROR(IF(E609&gt;0,E609*IF(ISNUMBER(J609),J609,IF(C609="Futures",$C$6,$C$5)),""),"")</f>
        <v/>
      </c>
      <c r="I609" s="139">
        <f>IFERROR(IF(AND(ISNUMBER(F609),ISNUMBER(H609)),F609-H609,""),"")</f>
        <v/>
      </c>
      <c r="J609" s="114" t="n"/>
      <c r="K609" s="139">
        <f>IFERROR(IF(H609&gt;0,H609*$C$7,""),"")</f>
        <v/>
      </c>
      <c r="L609" s="139">
        <f>IFERROR(IF(ISNUMBER(F609),F609-IF(ISNUMBER(K609),K609,0),""),"")</f>
        <v/>
      </c>
    </row>
    <row r="610" ht="24" customHeight="1" s="63">
      <c r="E610" s="139" t="n"/>
      <c r="F610" s="139" t="n"/>
      <c r="G610" s="140">
        <f>IFERROR(IF(E610&gt;0,(F610/E610)*1000,""),"")</f>
        <v/>
      </c>
      <c r="H610" s="139">
        <f>IFERROR(IF(E610&gt;0,E610*IF(ISNUMBER(J610),J610,IF(C610="Futures",$C$6,$C$5)),""),"")</f>
        <v/>
      </c>
      <c r="I610" s="139">
        <f>IFERROR(IF(AND(ISNUMBER(F610),ISNUMBER(H610)),F610-H610,""),"")</f>
        <v/>
      </c>
      <c r="J610" s="114" t="n"/>
      <c r="K610" s="139">
        <f>IFERROR(IF(H610&gt;0,H610*$C$7,""),"")</f>
        <v/>
      </c>
      <c r="L610" s="139">
        <f>IFERROR(IF(ISNUMBER(F610),F610-IF(ISNUMBER(K610),K610,0),""),"")</f>
        <v/>
      </c>
    </row>
    <row r="611" ht="24" customHeight="1" s="63">
      <c r="E611" s="139" t="n"/>
      <c r="F611" s="139" t="n"/>
      <c r="G611" s="140">
        <f>IFERROR(IF(E611&gt;0,(F611/E611)*1000,""),"")</f>
        <v/>
      </c>
      <c r="H611" s="139">
        <f>IFERROR(IF(E611&gt;0,E611*IF(ISNUMBER(J611),J611,IF(C611="Futures",$C$6,$C$5)),""),"")</f>
        <v/>
      </c>
      <c r="I611" s="139">
        <f>IFERROR(IF(AND(ISNUMBER(F611),ISNUMBER(H611)),F611-H611,""),"")</f>
        <v/>
      </c>
      <c r="J611" s="114" t="n"/>
      <c r="K611" s="139">
        <f>IFERROR(IF(H611&gt;0,H611*$C$7,""),"")</f>
        <v/>
      </c>
      <c r="L611" s="139">
        <f>IFERROR(IF(ISNUMBER(F611),F611-IF(ISNUMBER(K611),K611,0),""),"")</f>
        <v/>
      </c>
    </row>
    <row r="612" ht="24" customHeight="1" s="63">
      <c r="E612" s="139" t="n"/>
      <c r="F612" s="139" t="n"/>
      <c r="G612" s="140">
        <f>IFERROR(IF(E612&gt;0,(F612/E612)*1000,""),"")</f>
        <v/>
      </c>
      <c r="H612" s="139">
        <f>IFERROR(IF(E612&gt;0,E612*IF(ISNUMBER(J612),J612,IF(C612="Futures",$C$6,$C$5)),""),"")</f>
        <v/>
      </c>
      <c r="I612" s="139">
        <f>IFERROR(IF(AND(ISNUMBER(F612),ISNUMBER(H612)),F612-H612,""),"")</f>
        <v/>
      </c>
      <c r="J612" s="114" t="n"/>
      <c r="K612" s="139">
        <f>IFERROR(IF(H612&gt;0,H612*$C$7,""),"")</f>
        <v/>
      </c>
      <c r="L612" s="139">
        <f>IFERROR(IF(ISNUMBER(F612),F612-IF(ISNUMBER(K612),K612,0),""),"")</f>
        <v/>
      </c>
    </row>
    <row r="613" ht="24" customHeight="1" s="63">
      <c r="E613" s="139" t="n"/>
      <c r="F613" s="139" t="n"/>
      <c r="G613" s="140">
        <f>IFERROR(IF(E613&gt;0,(F613/E613)*1000,""),"")</f>
        <v/>
      </c>
      <c r="H613" s="139">
        <f>IFERROR(IF(E613&gt;0,E613*IF(ISNUMBER(J613),J613,IF(C613="Futures",$C$6,$C$5)),""),"")</f>
        <v/>
      </c>
      <c r="I613" s="139">
        <f>IFERROR(IF(AND(ISNUMBER(F613),ISNUMBER(H613)),F613-H613,""),"")</f>
        <v/>
      </c>
      <c r="J613" s="114" t="n"/>
      <c r="K613" s="139">
        <f>IFERROR(IF(H613&gt;0,H613*$C$7,""),"")</f>
        <v/>
      </c>
      <c r="L613" s="139">
        <f>IFERROR(IF(ISNUMBER(F613),F613-IF(ISNUMBER(K613),K613,0),""),"")</f>
        <v/>
      </c>
    </row>
    <row r="614" ht="24" customHeight="1" s="63">
      <c r="E614" s="139" t="n"/>
      <c r="F614" s="139" t="n"/>
      <c r="G614" s="140">
        <f>IFERROR(IF(E614&gt;0,(F614/E614)*1000,""),"")</f>
        <v/>
      </c>
      <c r="H614" s="139">
        <f>IFERROR(IF(E614&gt;0,E614*IF(ISNUMBER(J614),J614,IF(C614="Futures",$C$6,$C$5)),""),"")</f>
        <v/>
      </c>
      <c r="I614" s="139">
        <f>IFERROR(IF(AND(ISNUMBER(F614),ISNUMBER(H614)),F614-H614,""),"")</f>
        <v/>
      </c>
      <c r="J614" s="114" t="n"/>
      <c r="K614" s="139">
        <f>IFERROR(IF(H614&gt;0,H614*$C$7,""),"")</f>
        <v/>
      </c>
      <c r="L614" s="139">
        <f>IFERROR(IF(ISNUMBER(F614),F614-IF(ISNUMBER(K614),K614,0),""),"")</f>
        <v/>
      </c>
    </row>
    <row r="615" ht="24" customHeight="1" s="63">
      <c r="E615" s="139" t="n"/>
      <c r="F615" s="139" t="n"/>
      <c r="G615" s="140">
        <f>IFERROR(IF(E615&gt;0,(F615/E615)*1000,""),"")</f>
        <v/>
      </c>
      <c r="H615" s="139">
        <f>IFERROR(IF(E615&gt;0,E615*IF(ISNUMBER(J615),J615,IF(C615="Futures",$C$6,$C$5)),""),"")</f>
        <v/>
      </c>
      <c r="I615" s="139">
        <f>IFERROR(IF(AND(ISNUMBER(F615),ISNUMBER(H615)),F615-H615,""),"")</f>
        <v/>
      </c>
      <c r="J615" s="114" t="n"/>
      <c r="K615" s="139">
        <f>IFERROR(IF(H615&gt;0,H615*$C$7,""),"")</f>
        <v/>
      </c>
      <c r="L615" s="139">
        <f>IFERROR(IF(ISNUMBER(F615),F615-IF(ISNUMBER(K615),K615,0),""),"")</f>
        <v/>
      </c>
    </row>
    <row r="616" ht="24" customHeight="1" s="63">
      <c r="E616" s="139" t="n"/>
      <c r="F616" s="139" t="n"/>
      <c r="G616" s="140">
        <f>IFERROR(IF(E616&gt;0,(F616/E616)*1000,""),"")</f>
        <v/>
      </c>
      <c r="H616" s="139">
        <f>IFERROR(IF(E616&gt;0,E616*IF(ISNUMBER(J616),J616,IF(C616="Futures",$C$6,$C$5)),""),"")</f>
        <v/>
      </c>
      <c r="I616" s="139">
        <f>IFERROR(IF(AND(ISNUMBER(F616),ISNUMBER(H616)),F616-H616,""),"")</f>
        <v/>
      </c>
      <c r="J616" s="114" t="n"/>
      <c r="K616" s="139">
        <f>IFERROR(IF(H616&gt;0,H616*$C$7,""),"")</f>
        <v/>
      </c>
      <c r="L616" s="139">
        <f>IFERROR(IF(ISNUMBER(F616),F616-IF(ISNUMBER(K616),K616,0),""),"")</f>
        <v/>
      </c>
    </row>
    <row r="617" ht="24" customHeight="1" s="63">
      <c r="E617" s="139" t="n"/>
      <c r="F617" s="139" t="n"/>
      <c r="G617" s="140">
        <f>IFERROR(IF(E617&gt;0,(F617/E617)*1000,""),"")</f>
        <v/>
      </c>
      <c r="H617" s="139">
        <f>IFERROR(IF(E617&gt;0,E617*IF(ISNUMBER(J617),J617,IF(C617="Futures",$C$6,$C$5)),""),"")</f>
        <v/>
      </c>
      <c r="I617" s="139">
        <f>IFERROR(IF(AND(ISNUMBER(F617),ISNUMBER(H617)),F617-H617,""),"")</f>
        <v/>
      </c>
      <c r="J617" s="114" t="n"/>
      <c r="K617" s="139">
        <f>IFERROR(IF(H617&gt;0,H617*$C$7,""),"")</f>
        <v/>
      </c>
      <c r="L617" s="139">
        <f>IFERROR(IF(ISNUMBER(F617),F617-IF(ISNUMBER(K617),K617,0),""),"")</f>
        <v/>
      </c>
    </row>
    <row r="618" ht="24" customHeight="1" s="63">
      <c r="E618" s="139" t="n"/>
      <c r="F618" s="139" t="n"/>
      <c r="G618" s="140">
        <f>IFERROR(IF(E618&gt;0,(F618/E618)*1000,""),"")</f>
        <v/>
      </c>
      <c r="H618" s="139">
        <f>IFERROR(IF(E618&gt;0,E618*IF(ISNUMBER(J618),J618,IF(C618="Futures",$C$6,$C$5)),""),"")</f>
        <v/>
      </c>
      <c r="I618" s="139">
        <f>IFERROR(IF(AND(ISNUMBER(F618),ISNUMBER(H618)),F618-H618,""),"")</f>
        <v/>
      </c>
      <c r="J618" s="114" t="n"/>
      <c r="K618" s="139">
        <f>IFERROR(IF(H618&gt;0,H618*$C$7,""),"")</f>
        <v/>
      </c>
      <c r="L618" s="139">
        <f>IFERROR(IF(ISNUMBER(F618),F618-IF(ISNUMBER(K618),K618,0),""),"")</f>
        <v/>
      </c>
    </row>
    <row r="619" ht="24" customHeight="1" s="63">
      <c r="E619" s="139" t="n"/>
      <c r="F619" s="139" t="n"/>
      <c r="G619" s="140">
        <f>IFERROR(IF(E619&gt;0,(F619/E619)*1000,""),"")</f>
        <v/>
      </c>
      <c r="H619" s="139">
        <f>IFERROR(IF(E619&gt;0,E619*IF(ISNUMBER(J619),J619,IF(C619="Futures",$C$6,$C$5)),""),"")</f>
        <v/>
      </c>
      <c r="I619" s="139">
        <f>IFERROR(IF(AND(ISNUMBER(F619),ISNUMBER(H619)),F619-H619,""),"")</f>
        <v/>
      </c>
      <c r="J619" s="114" t="n"/>
      <c r="K619" s="139">
        <f>IFERROR(IF(H619&gt;0,H619*$C$7,""),"")</f>
        <v/>
      </c>
      <c r="L619" s="139">
        <f>IFERROR(IF(ISNUMBER(F619),F619-IF(ISNUMBER(K619),K619,0),""),"")</f>
        <v/>
      </c>
    </row>
    <row r="620" ht="24" customHeight="1" s="63">
      <c r="E620" s="139" t="n"/>
      <c r="F620" s="139" t="n"/>
      <c r="G620" s="140">
        <f>IFERROR(IF(E620&gt;0,(F620/E620)*1000,""),"")</f>
        <v/>
      </c>
      <c r="H620" s="139">
        <f>IFERROR(IF(E620&gt;0,E620*IF(ISNUMBER(J620),J620,IF(C620="Futures",$C$6,$C$5)),""),"")</f>
        <v/>
      </c>
      <c r="I620" s="139">
        <f>IFERROR(IF(AND(ISNUMBER(F620),ISNUMBER(H620)),F620-H620,""),"")</f>
        <v/>
      </c>
      <c r="J620" s="114" t="n"/>
      <c r="K620" s="139">
        <f>IFERROR(IF(H620&gt;0,H620*$C$7,""),"")</f>
        <v/>
      </c>
      <c r="L620" s="139">
        <f>IFERROR(IF(ISNUMBER(F620),F620-IF(ISNUMBER(K620),K620,0),""),"")</f>
        <v/>
      </c>
    </row>
    <row r="621" ht="24" customHeight="1" s="63">
      <c r="E621" s="139" t="n"/>
      <c r="F621" s="139" t="n"/>
      <c r="G621" s="140">
        <f>IFERROR(IF(E621&gt;0,(F621/E621)*1000,""),"")</f>
        <v/>
      </c>
      <c r="H621" s="139">
        <f>IFERROR(IF(E621&gt;0,E621*IF(ISNUMBER(J621),J621,IF(C621="Futures",$C$6,$C$5)),""),"")</f>
        <v/>
      </c>
      <c r="I621" s="139">
        <f>IFERROR(IF(AND(ISNUMBER(F621),ISNUMBER(H621)),F621-H621,""),"")</f>
        <v/>
      </c>
      <c r="J621" s="114" t="n"/>
      <c r="K621" s="139">
        <f>IFERROR(IF(H621&gt;0,H621*$C$7,""),"")</f>
        <v/>
      </c>
      <c r="L621" s="139">
        <f>IFERROR(IF(ISNUMBER(F621),F621-IF(ISNUMBER(K621),K621,0),""),"")</f>
        <v/>
      </c>
    </row>
    <row r="622" ht="24" customHeight="1" s="63">
      <c r="E622" s="139" t="n"/>
      <c r="F622" s="139" t="n"/>
      <c r="G622" s="140">
        <f>IFERROR(IF(E622&gt;0,(F622/E622)*1000,""),"")</f>
        <v/>
      </c>
      <c r="H622" s="139">
        <f>IFERROR(IF(E622&gt;0,E622*IF(ISNUMBER(J622),J622,IF(C622="Futures",$C$6,$C$5)),""),"")</f>
        <v/>
      </c>
      <c r="I622" s="139">
        <f>IFERROR(IF(AND(ISNUMBER(F622),ISNUMBER(H622)),F622-H622,""),"")</f>
        <v/>
      </c>
      <c r="J622" s="114" t="n"/>
      <c r="K622" s="139">
        <f>IFERROR(IF(H622&gt;0,H622*$C$7,""),"")</f>
        <v/>
      </c>
      <c r="L622" s="139">
        <f>IFERROR(IF(ISNUMBER(F622),F622-IF(ISNUMBER(K622),K622,0),""),"")</f>
        <v/>
      </c>
    </row>
    <row r="623" ht="24" customHeight="1" s="63">
      <c r="E623" s="139" t="n"/>
      <c r="F623" s="139" t="n"/>
      <c r="G623" s="140">
        <f>IFERROR(IF(E623&gt;0,(F623/E623)*1000,""),"")</f>
        <v/>
      </c>
      <c r="H623" s="139">
        <f>IFERROR(IF(E623&gt;0,E623*IF(ISNUMBER(J623),J623,IF(C623="Futures",$C$6,$C$5)),""),"")</f>
        <v/>
      </c>
      <c r="I623" s="139">
        <f>IFERROR(IF(AND(ISNUMBER(F623),ISNUMBER(H623)),F623-H623,""),"")</f>
        <v/>
      </c>
      <c r="J623" s="114" t="n"/>
      <c r="K623" s="139">
        <f>IFERROR(IF(H623&gt;0,H623*$C$7,""),"")</f>
        <v/>
      </c>
      <c r="L623" s="139">
        <f>IFERROR(IF(ISNUMBER(F623),F623-IF(ISNUMBER(K623),K623,0),""),"")</f>
        <v/>
      </c>
    </row>
    <row r="624" ht="24" customHeight="1" s="63">
      <c r="E624" s="139" t="n"/>
      <c r="F624" s="139" t="n"/>
      <c r="G624" s="140">
        <f>IFERROR(IF(E624&gt;0,(F624/E624)*1000,""),"")</f>
        <v/>
      </c>
      <c r="H624" s="139">
        <f>IFERROR(IF(E624&gt;0,E624*IF(ISNUMBER(J624),J624,IF(C624="Futures",$C$6,$C$5)),""),"")</f>
        <v/>
      </c>
      <c r="I624" s="139">
        <f>IFERROR(IF(AND(ISNUMBER(F624),ISNUMBER(H624)),F624-H624,""),"")</f>
        <v/>
      </c>
      <c r="J624" s="114" t="n"/>
      <c r="K624" s="139">
        <f>IFERROR(IF(H624&gt;0,H624*$C$7,""),"")</f>
        <v/>
      </c>
      <c r="L624" s="139">
        <f>IFERROR(IF(ISNUMBER(F624),F624-IF(ISNUMBER(K624),K624,0),""),"")</f>
        <v/>
      </c>
    </row>
    <row r="625" ht="24" customHeight="1" s="63">
      <c r="E625" s="139" t="n"/>
      <c r="F625" s="139" t="n"/>
      <c r="G625" s="140">
        <f>IFERROR(IF(E625&gt;0,(F625/E625)*1000,""),"")</f>
        <v/>
      </c>
      <c r="H625" s="139">
        <f>IFERROR(IF(E625&gt;0,E625*IF(ISNUMBER(J625),J625,IF(C625="Futures",$C$6,$C$5)),""),"")</f>
        <v/>
      </c>
      <c r="I625" s="139">
        <f>IFERROR(IF(AND(ISNUMBER(F625),ISNUMBER(H625)),F625-H625,""),"")</f>
        <v/>
      </c>
      <c r="J625" s="114" t="n"/>
      <c r="K625" s="139">
        <f>IFERROR(IF(H625&gt;0,H625*$C$7,""),"")</f>
        <v/>
      </c>
      <c r="L625" s="139">
        <f>IFERROR(IF(ISNUMBER(F625),F625-IF(ISNUMBER(K625),K625,0),""),"")</f>
        <v/>
      </c>
    </row>
    <row r="626" ht="24" customHeight="1" s="63">
      <c r="E626" s="139" t="n"/>
      <c r="F626" s="139" t="n"/>
      <c r="G626" s="140">
        <f>IFERROR(IF(E626&gt;0,(F626/E626)*1000,""),"")</f>
        <v/>
      </c>
      <c r="H626" s="139">
        <f>IFERROR(IF(E626&gt;0,E626*IF(ISNUMBER(J626),J626,IF(C626="Futures",$C$6,$C$5)),""),"")</f>
        <v/>
      </c>
      <c r="I626" s="139">
        <f>IFERROR(IF(AND(ISNUMBER(F626),ISNUMBER(H626)),F626-H626,""),"")</f>
        <v/>
      </c>
      <c r="J626" s="114" t="n"/>
      <c r="K626" s="139">
        <f>IFERROR(IF(H626&gt;0,H626*$C$7,""),"")</f>
        <v/>
      </c>
      <c r="L626" s="139">
        <f>IFERROR(IF(ISNUMBER(F626),F626-IF(ISNUMBER(K626),K626,0),""),"")</f>
        <v/>
      </c>
    </row>
    <row r="627" ht="24" customHeight="1" s="63">
      <c r="E627" s="139" t="n"/>
      <c r="F627" s="139" t="n"/>
      <c r="G627" s="140">
        <f>IFERROR(IF(E627&gt;0,(F627/E627)*1000,""),"")</f>
        <v/>
      </c>
      <c r="H627" s="139">
        <f>IFERROR(IF(E627&gt;0,E627*IF(ISNUMBER(J627),J627,IF(C627="Futures",$C$6,$C$5)),""),"")</f>
        <v/>
      </c>
      <c r="I627" s="139">
        <f>IFERROR(IF(AND(ISNUMBER(F627),ISNUMBER(H627)),F627-H627,""),"")</f>
        <v/>
      </c>
      <c r="J627" s="114" t="n"/>
      <c r="K627" s="139">
        <f>IFERROR(IF(H627&gt;0,H627*$C$7,""),"")</f>
        <v/>
      </c>
      <c r="L627" s="139">
        <f>IFERROR(IF(ISNUMBER(F627),F627-IF(ISNUMBER(K627),K627,0),""),"")</f>
        <v/>
      </c>
    </row>
    <row r="628" ht="24" customHeight="1" s="63">
      <c r="E628" s="139" t="n"/>
      <c r="F628" s="139" t="n"/>
      <c r="G628" s="140">
        <f>IFERROR(IF(E628&gt;0,(F628/E628)*1000,""),"")</f>
        <v/>
      </c>
      <c r="H628" s="139">
        <f>IFERROR(IF(E628&gt;0,E628*IF(ISNUMBER(J628),J628,IF(C628="Futures",$C$6,$C$5)),""),"")</f>
        <v/>
      </c>
      <c r="I628" s="139">
        <f>IFERROR(IF(AND(ISNUMBER(F628),ISNUMBER(H628)),F628-H628,""),"")</f>
        <v/>
      </c>
      <c r="J628" s="114" t="n"/>
      <c r="K628" s="139">
        <f>IFERROR(IF(H628&gt;0,H628*$C$7,""),"")</f>
        <v/>
      </c>
      <c r="L628" s="139">
        <f>IFERROR(IF(ISNUMBER(F628),F628-IF(ISNUMBER(K628),K628,0),""),"")</f>
        <v/>
      </c>
    </row>
    <row r="629" ht="24" customHeight="1" s="63">
      <c r="E629" s="139" t="n"/>
      <c r="F629" s="139" t="n"/>
      <c r="G629" s="140">
        <f>IFERROR(IF(E629&gt;0,(F629/E629)*1000,""),"")</f>
        <v/>
      </c>
      <c r="H629" s="139">
        <f>IFERROR(IF(E629&gt;0,E629*IF(ISNUMBER(J629),J629,IF(C629="Futures",$C$6,$C$5)),""),"")</f>
        <v/>
      </c>
      <c r="I629" s="139">
        <f>IFERROR(IF(AND(ISNUMBER(F629),ISNUMBER(H629)),F629-H629,""),"")</f>
        <v/>
      </c>
      <c r="J629" s="114" t="n"/>
      <c r="K629" s="139">
        <f>IFERROR(IF(H629&gt;0,H629*$C$7,""),"")</f>
        <v/>
      </c>
      <c r="L629" s="139">
        <f>IFERROR(IF(ISNUMBER(F629),F629-IF(ISNUMBER(K629),K629,0),""),"")</f>
        <v/>
      </c>
    </row>
    <row r="630" ht="24" customHeight="1" s="63">
      <c r="E630" s="139" t="n"/>
      <c r="F630" s="139" t="n"/>
      <c r="G630" s="140">
        <f>IFERROR(IF(E630&gt;0,(F630/E630)*1000,""),"")</f>
        <v/>
      </c>
      <c r="H630" s="139">
        <f>IFERROR(IF(E630&gt;0,E630*IF(ISNUMBER(J630),J630,IF(C630="Futures",$C$6,$C$5)),""),"")</f>
        <v/>
      </c>
      <c r="I630" s="139">
        <f>IFERROR(IF(AND(ISNUMBER(F630),ISNUMBER(H630)),F630-H630,""),"")</f>
        <v/>
      </c>
      <c r="J630" s="114" t="n"/>
      <c r="K630" s="139">
        <f>IFERROR(IF(H630&gt;0,H630*$C$7,""),"")</f>
        <v/>
      </c>
      <c r="L630" s="139">
        <f>IFERROR(IF(ISNUMBER(F630),F630-IF(ISNUMBER(K630),K630,0),""),"")</f>
        <v/>
      </c>
    </row>
    <row r="631" ht="24" customHeight="1" s="63">
      <c r="E631" s="139" t="n"/>
      <c r="F631" s="139" t="n"/>
      <c r="G631" s="140">
        <f>IFERROR(IF(E631&gt;0,(F631/E631)*1000,""),"")</f>
        <v/>
      </c>
      <c r="H631" s="139">
        <f>IFERROR(IF(E631&gt;0,E631*IF(ISNUMBER(J631),J631,IF(C631="Futures",$C$6,$C$5)),""),"")</f>
        <v/>
      </c>
      <c r="I631" s="139">
        <f>IFERROR(IF(AND(ISNUMBER(F631),ISNUMBER(H631)),F631-H631,""),"")</f>
        <v/>
      </c>
      <c r="J631" s="114" t="n"/>
      <c r="K631" s="139">
        <f>IFERROR(IF(H631&gt;0,H631*$C$7,""),"")</f>
        <v/>
      </c>
      <c r="L631" s="139">
        <f>IFERROR(IF(ISNUMBER(F631),F631-IF(ISNUMBER(K631),K631,0),""),"")</f>
        <v/>
      </c>
    </row>
    <row r="632" ht="24" customHeight="1" s="63">
      <c r="E632" s="139" t="n"/>
      <c r="F632" s="139" t="n"/>
      <c r="G632" s="140">
        <f>IFERROR(IF(E632&gt;0,(F632/E632)*1000,""),"")</f>
        <v/>
      </c>
      <c r="H632" s="139">
        <f>IFERROR(IF(E632&gt;0,E632*IF(ISNUMBER(J632),J632,IF(C632="Futures",$C$6,$C$5)),""),"")</f>
        <v/>
      </c>
      <c r="I632" s="139">
        <f>IFERROR(IF(AND(ISNUMBER(F632),ISNUMBER(H632)),F632-H632,""),"")</f>
        <v/>
      </c>
      <c r="J632" s="114" t="n"/>
      <c r="K632" s="139">
        <f>IFERROR(IF(H632&gt;0,H632*$C$7,""),"")</f>
        <v/>
      </c>
      <c r="L632" s="139">
        <f>IFERROR(IF(ISNUMBER(F632),F632-IF(ISNUMBER(K632),K632,0),""),"")</f>
        <v/>
      </c>
    </row>
    <row r="633" ht="24" customHeight="1" s="63">
      <c r="E633" s="139" t="n"/>
      <c r="F633" s="139" t="n"/>
      <c r="G633" s="140">
        <f>IFERROR(IF(E633&gt;0,(F633/E633)*1000,""),"")</f>
        <v/>
      </c>
      <c r="H633" s="139">
        <f>IFERROR(IF(E633&gt;0,E633*IF(ISNUMBER(J633),J633,IF(C633="Futures",$C$6,$C$5)),""),"")</f>
        <v/>
      </c>
      <c r="I633" s="139">
        <f>IFERROR(IF(AND(ISNUMBER(F633),ISNUMBER(H633)),F633-H633,""),"")</f>
        <v/>
      </c>
      <c r="J633" s="114" t="n"/>
      <c r="K633" s="139">
        <f>IFERROR(IF(H633&gt;0,H633*$C$7,""),"")</f>
        <v/>
      </c>
      <c r="L633" s="139">
        <f>IFERROR(IF(ISNUMBER(F633),F633-IF(ISNUMBER(K633),K633,0),""),"")</f>
        <v/>
      </c>
    </row>
    <row r="634" ht="24" customHeight="1" s="63">
      <c r="E634" s="139" t="n"/>
      <c r="F634" s="139" t="n"/>
      <c r="G634" s="140">
        <f>IFERROR(IF(E634&gt;0,(F634/E634)*1000,""),"")</f>
        <v/>
      </c>
      <c r="H634" s="139">
        <f>IFERROR(IF(E634&gt;0,E634*IF(ISNUMBER(J634),J634,IF(C634="Futures",$C$6,$C$5)),""),"")</f>
        <v/>
      </c>
      <c r="I634" s="139">
        <f>IFERROR(IF(AND(ISNUMBER(F634),ISNUMBER(H634)),F634-H634,""),"")</f>
        <v/>
      </c>
      <c r="J634" s="114" t="n"/>
      <c r="K634" s="139">
        <f>IFERROR(IF(H634&gt;0,H634*$C$7,""),"")</f>
        <v/>
      </c>
      <c r="L634" s="139">
        <f>IFERROR(IF(ISNUMBER(F634),F634-IF(ISNUMBER(K634),K634,0),""),"")</f>
        <v/>
      </c>
    </row>
    <row r="635" ht="24" customHeight="1" s="63">
      <c r="E635" s="139" t="n"/>
      <c r="F635" s="139" t="n"/>
      <c r="G635" s="140">
        <f>IFERROR(IF(E635&gt;0,(F635/E635)*1000,""),"")</f>
        <v/>
      </c>
      <c r="H635" s="139">
        <f>IFERROR(IF(E635&gt;0,E635*IF(ISNUMBER(J635),J635,IF(C635="Futures",$C$6,$C$5)),""),"")</f>
        <v/>
      </c>
      <c r="I635" s="139">
        <f>IFERROR(IF(AND(ISNUMBER(F635),ISNUMBER(H635)),F635-H635,""),"")</f>
        <v/>
      </c>
      <c r="J635" s="114" t="n"/>
      <c r="K635" s="139">
        <f>IFERROR(IF(H635&gt;0,H635*$C$7,""),"")</f>
        <v/>
      </c>
      <c r="L635" s="139">
        <f>IFERROR(IF(ISNUMBER(F635),F635-IF(ISNUMBER(K635),K635,0),""),"")</f>
        <v/>
      </c>
    </row>
    <row r="636" ht="24" customHeight="1" s="63">
      <c r="E636" s="139" t="n"/>
      <c r="F636" s="139" t="n"/>
      <c r="G636" s="140">
        <f>IFERROR(IF(E636&gt;0,(F636/E636)*1000,""),"")</f>
        <v/>
      </c>
      <c r="H636" s="139">
        <f>IFERROR(IF(E636&gt;0,E636*IF(ISNUMBER(J636),J636,IF(C636="Futures",$C$6,$C$5)),""),"")</f>
        <v/>
      </c>
      <c r="I636" s="139">
        <f>IFERROR(IF(AND(ISNUMBER(F636),ISNUMBER(H636)),F636-H636,""),"")</f>
        <v/>
      </c>
      <c r="J636" s="114" t="n"/>
      <c r="K636" s="139">
        <f>IFERROR(IF(H636&gt;0,H636*$C$7,""),"")</f>
        <v/>
      </c>
      <c r="L636" s="139">
        <f>IFERROR(IF(ISNUMBER(F636),F636-IF(ISNUMBER(K636),K636,0),""),"")</f>
        <v/>
      </c>
    </row>
    <row r="637" ht="24" customHeight="1" s="63">
      <c r="E637" s="139" t="n"/>
      <c r="F637" s="139" t="n"/>
      <c r="G637" s="140">
        <f>IFERROR(IF(E637&gt;0,(F637/E637)*1000,""),"")</f>
        <v/>
      </c>
      <c r="H637" s="139">
        <f>IFERROR(IF(E637&gt;0,E637*IF(ISNUMBER(J637),J637,IF(C637="Futures",$C$6,$C$5)),""),"")</f>
        <v/>
      </c>
      <c r="I637" s="139">
        <f>IFERROR(IF(AND(ISNUMBER(F637),ISNUMBER(H637)),F637-H637,""),"")</f>
        <v/>
      </c>
      <c r="J637" s="114" t="n"/>
      <c r="K637" s="139">
        <f>IFERROR(IF(H637&gt;0,H637*$C$7,""),"")</f>
        <v/>
      </c>
      <c r="L637" s="139">
        <f>IFERROR(IF(ISNUMBER(F637),F637-IF(ISNUMBER(K637),K637,0),""),"")</f>
        <v/>
      </c>
    </row>
    <row r="638" ht="24" customHeight="1" s="63">
      <c r="E638" s="139" t="n"/>
      <c r="F638" s="139" t="n"/>
      <c r="G638" s="140">
        <f>IFERROR(IF(E638&gt;0,(F638/E638)*1000,""),"")</f>
        <v/>
      </c>
      <c r="H638" s="139">
        <f>IFERROR(IF(E638&gt;0,E638*IF(ISNUMBER(J638),J638,IF(C638="Futures",$C$6,$C$5)),""),"")</f>
        <v/>
      </c>
      <c r="I638" s="139">
        <f>IFERROR(IF(AND(ISNUMBER(F638),ISNUMBER(H638)),F638-H638,""),"")</f>
        <v/>
      </c>
      <c r="J638" s="114" t="n"/>
      <c r="K638" s="139">
        <f>IFERROR(IF(H638&gt;0,H638*$C$7,""),"")</f>
        <v/>
      </c>
      <c r="L638" s="139">
        <f>IFERROR(IF(ISNUMBER(F638),F638-IF(ISNUMBER(K638),K638,0),""),"")</f>
        <v/>
      </c>
    </row>
    <row r="639" ht="24" customHeight="1" s="63">
      <c r="E639" s="139" t="n"/>
      <c r="F639" s="139" t="n"/>
      <c r="G639" s="140">
        <f>IFERROR(IF(E639&gt;0,(F639/E639)*1000,""),"")</f>
        <v/>
      </c>
      <c r="H639" s="139">
        <f>IFERROR(IF(E639&gt;0,E639*IF(ISNUMBER(J639),J639,IF(C639="Futures",$C$6,$C$5)),""),"")</f>
        <v/>
      </c>
      <c r="I639" s="139">
        <f>IFERROR(IF(AND(ISNUMBER(F639),ISNUMBER(H639)),F639-H639,""),"")</f>
        <v/>
      </c>
      <c r="J639" s="114" t="n"/>
      <c r="K639" s="139">
        <f>IFERROR(IF(H639&gt;0,H639*$C$7,""),"")</f>
        <v/>
      </c>
      <c r="L639" s="139">
        <f>IFERROR(IF(ISNUMBER(F639),F639-IF(ISNUMBER(K639),K639,0),""),"")</f>
        <v/>
      </c>
    </row>
    <row r="640" ht="24" customHeight="1" s="63">
      <c r="E640" s="139" t="n"/>
      <c r="F640" s="139" t="n"/>
      <c r="G640" s="140">
        <f>IFERROR(IF(E640&gt;0,(F640/E640)*1000,""),"")</f>
        <v/>
      </c>
      <c r="H640" s="139">
        <f>IFERROR(IF(E640&gt;0,E640*IF(ISNUMBER(J640),J640,IF(C640="Futures",$C$6,$C$5)),""),"")</f>
        <v/>
      </c>
      <c r="I640" s="139">
        <f>IFERROR(IF(AND(ISNUMBER(F640),ISNUMBER(H640)),F640-H640,""),"")</f>
        <v/>
      </c>
      <c r="J640" s="114" t="n"/>
      <c r="K640" s="139">
        <f>IFERROR(IF(H640&gt;0,H640*$C$7,""),"")</f>
        <v/>
      </c>
      <c r="L640" s="139">
        <f>IFERROR(IF(ISNUMBER(F640),F640-IF(ISNUMBER(K640),K640,0),""),"")</f>
        <v/>
      </c>
    </row>
    <row r="641" ht="24" customHeight="1" s="63">
      <c r="E641" s="139" t="n"/>
      <c r="F641" s="139" t="n"/>
      <c r="G641" s="140">
        <f>IFERROR(IF(E641&gt;0,(F641/E641)*1000,""),"")</f>
        <v/>
      </c>
      <c r="H641" s="139">
        <f>IFERROR(IF(E641&gt;0,E641*IF(ISNUMBER(J641),J641,IF(C641="Futures",$C$6,$C$5)),""),"")</f>
        <v/>
      </c>
      <c r="I641" s="139">
        <f>IFERROR(IF(AND(ISNUMBER(F641),ISNUMBER(H641)),F641-H641,""),"")</f>
        <v/>
      </c>
      <c r="J641" s="114" t="n"/>
      <c r="K641" s="139">
        <f>IFERROR(IF(H641&gt;0,H641*$C$7,""),"")</f>
        <v/>
      </c>
      <c r="L641" s="139">
        <f>IFERROR(IF(ISNUMBER(F641),F641-IF(ISNUMBER(K641),K641,0),""),"")</f>
        <v/>
      </c>
    </row>
    <row r="642" ht="24" customHeight="1" s="63">
      <c r="E642" s="139" t="n"/>
      <c r="F642" s="139" t="n"/>
      <c r="G642" s="140">
        <f>IFERROR(IF(E642&gt;0,(F642/E642)*1000,""),"")</f>
        <v/>
      </c>
      <c r="H642" s="139">
        <f>IFERROR(IF(E642&gt;0,E642*IF(ISNUMBER(J642),J642,IF(C642="Futures",$C$6,$C$5)),""),"")</f>
        <v/>
      </c>
      <c r="I642" s="139">
        <f>IFERROR(IF(AND(ISNUMBER(F642),ISNUMBER(H642)),F642-H642,""),"")</f>
        <v/>
      </c>
      <c r="J642" s="114" t="n"/>
      <c r="K642" s="139">
        <f>IFERROR(IF(H642&gt;0,H642*$C$7,""),"")</f>
        <v/>
      </c>
      <c r="L642" s="139">
        <f>IFERROR(IF(ISNUMBER(F642),F642-IF(ISNUMBER(K642),K642,0),""),"")</f>
        <v/>
      </c>
    </row>
    <row r="643" ht="24" customHeight="1" s="63">
      <c r="E643" s="139" t="n"/>
      <c r="F643" s="139" t="n"/>
      <c r="G643" s="140">
        <f>IFERROR(IF(E643&gt;0,(F643/E643)*1000,""),"")</f>
        <v/>
      </c>
      <c r="H643" s="139">
        <f>IFERROR(IF(E643&gt;0,E643*IF(ISNUMBER(J643),J643,IF(C643="Futures",$C$6,$C$5)),""),"")</f>
        <v/>
      </c>
      <c r="I643" s="139">
        <f>IFERROR(IF(AND(ISNUMBER(F643),ISNUMBER(H643)),F643-H643,""),"")</f>
        <v/>
      </c>
      <c r="J643" s="114" t="n"/>
      <c r="K643" s="139">
        <f>IFERROR(IF(H643&gt;0,H643*$C$7,""),"")</f>
        <v/>
      </c>
      <c r="L643" s="139">
        <f>IFERROR(IF(ISNUMBER(F643),F643-IF(ISNUMBER(K643),K643,0),""),"")</f>
        <v/>
      </c>
    </row>
    <row r="644" ht="24" customHeight="1" s="63">
      <c r="E644" s="139" t="n"/>
      <c r="F644" s="139" t="n"/>
      <c r="G644" s="140">
        <f>IFERROR(IF(E644&gt;0,(F644/E644)*1000,""),"")</f>
        <v/>
      </c>
      <c r="H644" s="139">
        <f>IFERROR(IF(E644&gt;0,E644*IF(ISNUMBER(J644),J644,IF(C644="Futures",$C$6,$C$5)),""),"")</f>
        <v/>
      </c>
      <c r="I644" s="139">
        <f>IFERROR(IF(AND(ISNUMBER(F644),ISNUMBER(H644)),F644-H644,""),"")</f>
        <v/>
      </c>
      <c r="J644" s="114" t="n"/>
      <c r="K644" s="139">
        <f>IFERROR(IF(H644&gt;0,H644*$C$7,""),"")</f>
        <v/>
      </c>
      <c r="L644" s="139">
        <f>IFERROR(IF(ISNUMBER(F644),F644-IF(ISNUMBER(K644),K644,0),""),"")</f>
        <v/>
      </c>
    </row>
    <row r="645" ht="24" customHeight="1" s="63">
      <c r="E645" s="139" t="n"/>
      <c r="F645" s="139" t="n"/>
      <c r="G645" s="140">
        <f>IFERROR(IF(E645&gt;0,(F645/E645)*1000,""),"")</f>
        <v/>
      </c>
      <c r="H645" s="139">
        <f>IFERROR(IF(E645&gt;0,E645*IF(ISNUMBER(J645),J645,IF(C645="Futures",$C$6,$C$5)),""),"")</f>
        <v/>
      </c>
      <c r="I645" s="139">
        <f>IFERROR(IF(AND(ISNUMBER(F645),ISNUMBER(H645)),F645-H645,""),"")</f>
        <v/>
      </c>
      <c r="J645" s="114" t="n"/>
      <c r="K645" s="139">
        <f>IFERROR(IF(H645&gt;0,H645*$C$7,""),"")</f>
        <v/>
      </c>
      <c r="L645" s="139">
        <f>IFERROR(IF(ISNUMBER(F645),F645-IF(ISNUMBER(K645),K645,0),""),"")</f>
        <v/>
      </c>
    </row>
    <row r="646" ht="24" customHeight="1" s="63">
      <c r="E646" s="139" t="n"/>
      <c r="F646" s="139" t="n"/>
      <c r="G646" s="140">
        <f>IFERROR(IF(E646&gt;0,(F646/E646)*1000,""),"")</f>
        <v/>
      </c>
      <c r="H646" s="139">
        <f>IFERROR(IF(E646&gt;0,E646*IF(ISNUMBER(J646),J646,IF(C646="Futures",$C$6,$C$5)),""),"")</f>
        <v/>
      </c>
      <c r="I646" s="139">
        <f>IFERROR(IF(AND(ISNUMBER(F646),ISNUMBER(H646)),F646-H646,""),"")</f>
        <v/>
      </c>
      <c r="J646" s="114" t="n"/>
      <c r="K646" s="139">
        <f>IFERROR(IF(H646&gt;0,H646*$C$7,""),"")</f>
        <v/>
      </c>
      <c r="L646" s="139">
        <f>IFERROR(IF(ISNUMBER(F646),F646-IF(ISNUMBER(K646),K646,0),""),"")</f>
        <v/>
      </c>
    </row>
    <row r="647" ht="24" customHeight="1" s="63">
      <c r="E647" s="139" t="n"/>
      <c r="F647" s="139" t="n"/>
      <c r="G647" s="140">
        <f>IFERROR(IF(E647&gt;0,(F647/E647)*1000,""),"")</f>
        <v/>
      </c>
      <c r="H647" s="139">
        <f>IFERROR(IF(E647&gt;0,E647*IF(ISNUMBER(J647),J647,IF(C647="Futures",$C$6,$C$5)),""),"")</f>
        <v/>
      </c>
      <c r="I647" s="139">
        <f>IFERROR(IF(AND(ISNUMBER(F647),ISNUMBER(H647)),F647-H647,""),"")</f>
        <v/>
      </c>
      <c r="J647" s="114" t="n"/>
      <c r="K647" s="139">
        <f>IFERROR(IF(H647&gt;0,H647*$C$7,""),"")</f>
        <v/>
      </c>
      <c r="L647" s="139">
        <f>IFERROR(IF(ISNUMBER(F647),F647-IF(ISNUMBER(K647),K647,0),""),"")</f>
        <v/>
      </c>
    </row>
    <row r="648" ht="24" customHeight="1" s="63">
      <c r="E648" s="139" t="n"/>
      <c r="F648" s="139" t="n"/>
      <c r="G648" s="140">
        <f>IFERROR(IF(E648&gt;0,(F648/E648)*1000,""),"")</f>
        <v/>
      </c>
      <c r="H648" s="139">
        <f>IFERROR(IF(E648&gt;0,E648*IF(ISNUMBER(J648),J648,IF(C648="Futures",$C$6,$C$5)),""),"")</f>
        <v/>
      </c>
      <c r="I648" s="139">
        <f>IFERROR(IF(AND(ISNUMBER(F648),ISNUMBER(H648)),F648-H648,""),"")</f>
        <v/>
      </c>
      <c r="J648" s="114" t="n"/>
      <c r="K648" s="139">
        <f>IFERROR(IF(H648&gt;0,H648*$C$7,""),"")</f>
        <v/>
      </c>
      <c r="L648" s="139">
        <f>IFERROR(IF(ISNUMBER(F648),F648-IF(ISNUMBER(K648),K648,0),""),"")</f>
        <v/>
      </c>
    </row>
    <row r="649" ht="24" customHeight="1" s="63">
      <c r="E649" s="139" t="n"/>
      <c r="F649" s="139" t="n"/>
      <c r="G649" s="140">
        <f>IFERROR(IF(E649&gt;0,(F649/E649)*1000,""),"")</f>
        <v/>
      </c>
      <c r="H649" s="139">
        <f>IFERROR(IF(E649&gt;0,E649*IF(ISNUMBER(J649),J649,IF(C649="Futures",$C$6,$C$5)),""),"")</f>
        <v/>
      </c>
      <c r="I649" s="139">
        <f>IFERROR(IF(AND(ISNUMBER(F649),ISNUMBER(H649)),F649-H649,""),"")</f>
        <v/>
      </c>
      <c r="J649" s="114" t="n"/>
      <c r="K649" s="139">
        <f>IFERROR(IF(H649&gt;0,H649*$C$7,""),"")</f>
        <v/>
      </c>
      <c r="L649" s="139">
        <f>IFERROR(IF(ISNUMBER(F649),F649-IF(ISNUMBER(K649),K649,0),""),"")</f>
        <v/>
      </c>
    </row>
    <row r="650" ht="24" customHeight="1" s="63">
      <c r="E650" s="139" t="n"/>
      <c r="F650" s="139" t="n"/>
      <c r="G650" s="140">
        <f>IFERROR(IF(E650&gt;0,(F650/E650)*1000,""),"")</f>
        <v/>
      </c>
      <c r="H650" s="139">
        <f>IFERROR(IF(E650&gt;0,E650*IF(ISNUMBER(J650),J650,IF(C650="Futures",$C$6,$C$5)),""),"")</f>
        <v/>
      </c>
      <c r="I650" s="139">
        <f>IFERROR(IF(AND(ISNUMBER(F650),ISNUMBER(H650)),F650-H650,""),"")</f>
        <v/>
      </c>
      <c r="J650" s="114" t="n"/>
      <c r="K650" s="139">
        <f>IFERROR(IF(H650&gt;0,H650*$C$7,""),"")</f>
        <v/>
      </c>
      <c r="L650" s="139">
        <f>IFERROR(IF(ISNUMBER(F650),F650-IF(ISNUMBER(K650),K650,0),""),"")</f>
        <v/>
      </c>
    </row>
    <row r="651" ht="24" customHeight="1" s="63">
      <c r="E651" s="139" t="n"/>
      <c r="F651" s="139" t="n"/>
      <c r="G651" s="140">
        <f>IFERROR(IF(E651&gt;0,(F651/E651)*1000,""),"")</f>
        <v/>
      </c>
      <c r="H651" s="139">
        <f>IFERROR(IF(E651&gt;0,E651*IF(ISNUMBER(J651),J651,IF(C651="Futures",$C$6,$C$5)),""),"")</f>
        <v/>
      </c>
      <c r="I651" s="139">
        <f>IFERROR(IF(AND(ISNUMBER(F651),ISNUMBER(H651)),F651-H651,""),"")</f>
        <v/>
      </c>
      <c r="J651" s="114" t="n"/>
      <c r="K651" s="139">
        <f>IFERROR(IF(H651&gt;0,H651*$C$7,""),"")</f>
        <v/>
      </c>
      <c r="L651" s="139">
        <f>IFERROR(IF(ISNUMBER(F651),F651-IF(ISNUMBER(K651),K651,0),""),"")</f>
        <v/>
      </c>
    </row>
    <row r="652" ht="24" customHeight="1" s="63">
      <c r="E652" s="139" t="n"/>
      <c r="F652" s="139" t="n"/>
      <c r="G652" s="140">
        <f>IFERROR(IF(E652&gt;0,(F652/E652)*1000,""),"")</f>
        <v/>
      </c>
      <c r="H652" s="139">
        <f>IFERROR(IF(E652&gt;0,E652*IF(ISNUMBER(J652),J652,IF(C652="Futures",$C$6,$C$5)),""),"")</f>
        <v/>
      </c>
      <c r="I652" s="139">
        <f>IFERROR(IF(AND(ISNUMBER(F652),ISNUMBER(H652)),F652-H652,""),"")</f>
        <v/>
      </c>
      <c r="J652" s="114" t="n"/>
      <c r="K652" s="139">
        <f>IFERROR(IF(H652&gt;0,H652*$C$7,""),"")</f>
        <v/>
      </c>
      <c r="L652" s="139">
        <f>IFERROR(IF(ISNUMBER(F652),F652-IF(ISNUMBER(K652),K652,0),""),"")</f>
        <v/>
      </c>
    </row>
    <row r="653" ht="24" customHeight="1" s="63">
      <c r="E653" s="139" t="n"/>
      <c r="F653" s="139" t="n"/>
      <c r="G653" s="140">
        <f>IFERROR(IF(E653&gt;0,(F653/E653)*1000,""),"")</f>
        <v/>
      </c>
      <c r="H653" s="139">
        <f>IFERROR(IF(E653&gt;0,E653*IF(ISNUMBER(J653),J653,IF(C653="Futures",$C$6,$C$5)),""),"")</f>
        <v/>
      </c>
      <c r="I653" s="139">
        <f>IFERROR(IF(AND(ISNUMBER(F653),ISNUMBER(H653)),F653-H653,""),"")</f>
        <v/>
      </c>
      <c r="J653" s="114" t="n"/>
      <c r="K653" s="139">
        <f>IFERROR(IF(H653&gt;0,H653*$C$7,""),"")</f>
        <v/>
      </c>
      <c r="L653" s="139">
        <f>IFERROR(IF(ISNUMBER(F653),F653-IF(ISNUMBER(K653),K653,0),""),"")</f>
        <v/>
      </c>
    </row>
    <row r="654" ht="24" customHeight="1" s="63">
      <c r="E654" s="139" t="n"/>
      <c r="F654" s="139" t="n"/>
      <c r="G654" s="140">
        <f>IFERROR(IF(E654&gt;0,(F654/E654)*1000,""),"")</f>
        <v/>
      </c>
      <c r="H654" s="139">
        <f>IFERROR(IF(E654&gt;0,E654*IF(ISNUMBER(J654),J654,IF(C654="Futures",$C$6,$C$5)),""),"")</f>
        <v/>
      </c>
      <c r="I654" s="139">
        <f>IFERROR(IF(AND(ISNUMBER(F654),ISNUMBER(H654)),F654-H654,""),"")</f>
        <v/>
      </c>
      <c r="J654" s="114" t="n"/>
      <c r="K654" s="139">
        <f>IFERROR(IF(H654&gt;0,H654*$C$7,""),"")</f>
        <v/>
      </c>
      <c r="L654" s="139">
        <f>IFERROR(IF(ISNUMBER(F654),F654-IF(ISNUMBER(K654),K654,0),""),"")</f>
        <v/>
      </c>
    </row>
    <row r="655" ht="24" customHeight="1" s="63">
      <c r="E655" s="139" t="n"/>
      <c r="F655" s="139" t="n"/>
      <c r="G655" s="140">
        <f>IFERROR(IF(E655&gt;0,(F655/E655)*1000,""),"")</f>
        <v/>
      </c>
      <c r="H655" s="139">
        <f>IFERROR(IF(E655&gt;0,E655*IF(ISNUMBER(J655),J655,IF(C655="Futures",$C$6,$C$5)),""),"")</f>
        <v/>
      </c>
      <c r="I655" s="139">
        <f>IFERROR(IF(AND(ISNUMBER(F655),ISNUMBER(H655)),F655-H655,""),"")</f>
        <v/>
      </c>
      <c r="J655" s="114" t="n"/>
      <c r="K655" s="139">
        <f>IFERROR(IF(H655&gt;0,H655*$C$7,""),"")</f>
        <v/>
      </c>
      <c r="L655" s="139">
        <f>IFERROR(IF(ISNUMBER(F655),F655-IF(ISNUMBER(K655),K655,0),""),"")</f>
        <v/>
      </c>
    </row>
    <row r="656" ht="24" customHeight="1" s="63">
      <c r="E656" s="139" t="n"/>
      <c r="F656" s="139" t="n"/>
      <c r="G656" s="140">
        <f>IFERROR(IF(E656&gt;0,(F656/E656)*1000,""),"")</f>
        <v/>
      </c>
      <c r="H656" s="139">
        <f>IFERROR(IF(E656&gt;0,E656*IF(ISNUMBER(J656),J656,IF(C656="Futures",$C$6,$C$5)),""),"")</f>
        <v/>
      </c>
      <c r="I656" s="139">
        <f>IFERROR(IF(AND(ISNUMBER(F656),ISNUMBER(H656)),F656-H656,""),"")</f>
        <v/>
      </c>
      <c r="J656" s="114" t="n"/>
      <c r="K656" s="139">
        <f>IFERROR(IF(H656&gt;0,H656*$C$7,""),"")</f>
        <v/>
      </c>
      <c r="L656" s="139">
        <f>IFERROR(IF(ISNUMBER(F656),F656-IF(ISNUMBER(K656),K656,0),""),"")</f>
        <v/>
      </c>
    </row>
    <row r="657" ht="24" customHeight="1" s="63">
      <c r="E657" s="139" t="n"/>
      <c r="F657" s="139" t="n"/>
      <c r="G657" s="140">
        <f>IFERROR(IF(E657&gt;0,(F657/E657)*1000,""),"")</f>
        <v/>
      </c>
      <c r="H657" s="139">
        <f>IFERROR(IF(E657&gt;0,E657*IF(ISNUMBER(J657),J657,IF(C657="Futures",$C$6,$C$5)),""),"")</f>
        <v/>
      </c>
      <c r="I657" s="139">
        <f>IFERROR(IF(AND(ISNUMBER(F657),ISNUMBER(H657)),F657-H657,""),"")</f>
        <v/>
      </c>
      <c r="J657" s="114" t="n"/>
      <c r="K657" s="139">
        <f>IFERROR(IF(H657&gt;0,H657*$C$7,""),"")</f>
        <v/>
      </c>
      <c r="L657" s="139">
        <f>IFERROR(IF(ISNUMBER(F657),F657-IF(ISNUMBER(K657),K657,0),""),"")</f>
        <v/>
      </c>
    </row>
    <row r="658" ht="24" customHeight="1" s="63">
      <c r="E658" s="139" t="n"/>
      <c r="F658" s="139" t="n"/>
      <c r="G658" s="140">
        <f>IFERROR(IF(E658&gt;0,(F658/E658)*1000,""),"")</f>
        <v/>
      </c>
      <c r="H658" s="139">
        <f>IFERROR(IF(E658&gt;0,E658*IF(ISNUMBER(J658),J658,IF(C658="Futures",$C$6,$C$5)),""),"")</f>
        <v/>
      </c>
      <c r="I658" s="139">
        <f>IFERROR(IF(AND(ISNUMBER(F658),ISNUMBER(H658)),F658-H658,""),"")</f>
        <v/>
      </c>
      <c r="J658" s="114" t="n"/>
      <c r="K658" s="139">
        <f>IFERROR(IF(H658&gt;0,H658*$C$7,""),"")</f>
        <v/>
      </c>
      <c r="L658" s="139">
        <f>IFERROR(IF(ISNUMBER(F658),F658-IF(ISNUMBER(K658),K658,0),""),"")</f>
        <v/>
      </c>
    </row>
    <row r="659" ht="24" customHeight="1" s="63">
      <c r="E659" s="139" t="n"/>
      <c r="F659" s="139" t="n"/>
      <c r="G659" s="140">
        <f>IFERROR(IF(E659&gt;0,(F659/E659)*1000,""),"")</f>
        <v/>
      </c>
      <c r="H659" s="139">
        <f>IFERROR(IF(E659&gt;0,E659*IF(ISNUMBER(J659),J659,IF(C659="Futures",$C$6,$C$5)),""),"")</f>
        <v/>
      </c>
      <c r="I659" s="139">
        <f>IFERROR(IF(AND(ISNUMBER(F659),ISNUMBER(H659)),F659-H659,""),"")</f>
        <v/>
      </c>
      <c r="J659" s="114" t="n"/>
      <c r="K659" s="139">
        <f>IFERROR(IF(H659&gt;0,H659*$C$7,""),"")</f>
        <v/>
      </c>
      <c r="L659" s="139">
        <f>IFERROR(IF(ISNUMBER(F659),F659-IF(ISNUMBER(K659),K659,0),""),"")</f>
        <v/>
      </c>
    </row>
    <row r="660" ht="24" customHeight="1" s="63">
      <c r="E660" s="139" t="n"/>
      <c r="F660" s="139" t="n"/>
      <c r="G660" s="140">
        <f>IFERROR(IF(E660&gt;0,(F660/E660)*1000,""),"")</f>
        <v/>
      </c>
      <c r="H660" s="139">
        <f>IFERROR(IF(E660&gt;0,E660*IF(ISNUMBER(J660),J660,IF(C660="Futures",$C$6,$C$5)),""),"")</f>
        <v/>
      </c>
      <c r="I660" s="139">
        <f>IFERROR(IF(AND(ISNUMBER(F660),ISNUMBER(H660)),F660-H660,""),"")</f>
        <v/>
      </c>
      <c r="J660" s="114" t="n"/>
      <c r="K660" s="139">
        <f>IFERROR(IF(H660&gt;0,H660*$C$7,""),"")</f>
        <v/>
      </c>
      <c r="L660" s="139">
        <f>IFERROR(IF(ISNUMBER(F660),F660-IF(ISNUMBER(K660),K660,0),""),"")</f>
        <v/>
      </c>
    </row>
    <row r="661" ht="24" customHeight="1" s="63">
      <c r="E661" s="139" t="n"/>
      <c r="F661" s="139" t="n"/>
      <c r="G661" s="140">
        <f>IFERROR(IF(E661&gt;0,(F661/E661)*1000,""),"")</f>
        <v/>
      </c>
      <c r="H661" s="139">
        <f>IFERROR(IF(E661&gt;0,E661*IF(ISNUMBER(J661),J661,IF(C661="Futures",$C$6,$C$5)),""),"")</f>
        <v/>
      </c>
      <c r="I661" s="139">
        <f>IFERROR(IF(AND(ISNUMBER(F661),ISNUMBER(H661)),F661-H661,""),"")</f>
        <v/>
      </c>
      <c r="J661" s="114" t="n"/>
      <c r="K661" s="139">
        <f>IFERROR(IF(H661&gt;0,H661*$C$7,""),"")</f>
        <v/>
      </c>
      <c r="L661" s="139">
        <f>IFERROR(IF(ISNUMBER(F661),F661-IF(ISNUMBER(K661),K661,0),""),"")</f>
        <v/>
      </c>
    </row>
    <row r="662" ht="24" customHeight="1" s="63">
      <c r="E662" s="139" t="n"/>
      <c r="F662" s="139" t="n"/>
      <c r="G662" s="140">
        <f>IFERROR(IF(E662&gt;0,(F662/E662)*1000,""),"")</f>
        <v/>
      </c>
      <c r="H662" s="139">
        <f>IFERROR(IF(E662&gt;0,E662*IF(ISNUMBER(J662),J662,IF(C662="Futures",$C$6,$C$5)),""),"")</f>
        <v/>
      </c>
      <c r="I662" s="139">
        <f>IFERROR(IF(AND(ISNUMBER(F662),ISNUMBER(H662)),F662-H662,""),"")</f>
        <v/>
      </c>
      <c r="J662" s="114" t="n"/>
      <c r="K662" s="139">
        <f>IFERROR(IF(H662&gt;0,H662*$C$7,""),"")</f>
        <v/>
      </c>
      <c r="L662" s="139">
        <f>IFERROR(IF(ISNUMBER(F662),F662-IF(ISNUMBER(K662),K662,0),""),"")</f>
        <v/>
      </c>
    </row>
    <row r="663" ht="24" customHeight="1" s="63">
      <c r="E663" s="139" t="n"/>
      <c r="F663" s="139" t="n"/>
      <c r="G663" s="140">
        <f>IFERROR(IF(E663&gt;0,(F663/E663)*1000,""),"")</f>
        <v/>
      </c>
      <c r="H663" s="139">
        <f>IFERROR(IF(E663&gt;0,E663*IF(ISNUMBER(J663),J663,IF(C663="Futures",$C$6,$C$5)),""),"")</f>
        <v/>
      </c>
      <c r="I663" s="139">
        <f>IFERROR(IF(AND(ISNUMBER(F663),ISNUMBER(H663)),F663-H663,""),"")</f>
        <v/>
      </c>
      <c r="J663" s="114" t="n"/>
      <c r="K663" s="139">
        <f>IFERROR(IF(H663&gt;0,H663*$C$7,""),"")</f>
        <v/>
      </c>
      <c r="L663" s="139">
        <f>IFERROR(IF(ISNUMBER(F663),F663-IF(ISNUMBER(K663),K663,0),""),"")</f>
        <v/>
      </c>
    </row>
    <row r="664" ht="24" customHeight="1" s="63">
      <c r="E664" s="139" t="n"/>
      <c r="F664" s="139" t="n"/>
      <c r="G664" s="140">
        <f>IFERROR(IF(E664&gt;0,(F664/E664)*1000,""),"")</f>
        <v/>
      </c>
      <c r="H664" s="139">
        <f>IFERROR(IF(E664&gt;0,E664*IF(ISNUMBER(J664),J664,IF(C664="Futures",$C$6,$C$5)),""),"")</f>
        <v/>
      </c>
      <c r="I664" s="139">
        <f>IFERROR(IF(AND(ISNUMBER(F664),ISNUMBER(H664)),F664-H664,""),"")</f>
        <v/>
      </c>
      <c r="J664" s="114" t="n"/>
      <c r="K664" s="139">
        <f>IFERROR(IF(H664&gt;0,H664*$C$7,""),"")</f>
        <v/>
      </c>
      <c r="L664" s="139">
        <f>IFERROR(IF(ISNUMBER(F664),F664-IF(ISNUMBER(K664),K664,0),""),"")</f>
        <v/>
      </c>
    </row>
    <row r="665" ht="24" customHeight="1" s="63">
      <c r="E665" s="139" t="n"/>
      <c r="F665" s="139" t="n"/>
      <c r="G665" s="140">
        <f>IFERROR(IF(E665&gt;0,(F665/E665)*1000,""),"")</f>
        <v/>
      </c>
      <c r="H665" s="139">
        <f>IFERROR(IF(E665&gt;0,E665*IF(ISNUMBER(J665),J665,IF(C665="Futures",$C$6,$C$5)),""),"")</f>
        <v/>
      </c>
      <c r="I665" s="139">
        <f>IFERROR(IF(AND(ISNUMBER(F665),ISNUMBER(H665)),F665-H665,""),"")</f>
        <v/>
      </c>
      <c r="J665" s="114" t="n"/>
      <c r="K665" s="139">
        <f>IFERROR(IF(H665&gt;0,H665*$C$7,""),"")</f>
        <v/>
      </c>
      <c r="L665" s="139">
        <f>IFERROR(IF(ISNUMBER(F665),F665-IF(ISNUMBER(K665),K665,0),""),"")</f>
        <v/>
      </c>
    </row>
    <row r="666" ht="24" customHeight="1" s="63">
      <c r="E666" s="139" t="n"/>
      <c r="F666" s="139" t="n"/>
      <c r="G666" s="140">
        <f>IFERROR(IF(E666&gt;0,(F666/E666)*1000,""),"")</f>
        <v/>
      </c>
      <c r="H666" s="139">
        <f>IFERROR(IF(E666&gt;0,E666*IF(ISNUMBER(J666),J666,IF(C666="Futures",$C$6,$C$5)),""),"")</f>
        <v/>
      </c>
      <c r="I666" s="139">
        <f>IFERROR(IF(AND(ISNUMBER(F666),ISNUMBER(H666)),F666-H666,""),"")</f>
        <v/>
      </c>
      <c r="J666" s="114" t="n"/>
      <c r="K666" s="139">
        <f>IFERROR(IF(H666&gt;0,H666*$C$7,""),"")</f>
        <v/>
      </c>
      <c r="L666" s="139">
        <f>IFERROR(IF(ISNUMBER(F666),F666-IF(ISNUMBER(K666),K666,0),""),"")</f>
        <v/>
      </c>
    </row>
    <row r="667" ht="24" customHeight="1" s="63">
      <c r="E667" s="139" t="n"/>
      <c r="F667" s="139" t="n"/>
      <c r="G667" s="140">
        <f>IFERROR(IF(E667&gt;0,(F667/E667)*1000,""),"")</f>
        <v/>
      </c>
      <c r="H667" s="139">
        <f>IFERROR(IF(E667&gt;0,E667*IF(ISNUMBER(J667),J667,IF(C667="Futures",$C$6,$C$5)),""),"")</f>
        <v/>
      </c>
      <c r="I667" s="139">
        <f>IFERROR(IF(AND(ISNUMBER(F667),ISNUMBER(H667)),F667-H667,""),"")</f>
        <v/>
      </c>
      <c r="J667" s="114" t="n"/>
      <c r="K667" s="139">
        <f>IFERROR(IF(H667&gt;0,H667*$C$7,""),"")</f>
        <v/>
      </c>
      <c r="L667" s="139">
        <f>IFERROR(IF(ISNUMBER(F667),F667-IF(ISNUMBER(K667),K667,0),""),"")</f>
        <v/>
      </c>
    </row>
    <row r="668" ht="24" customHeight="1" s="63">
      <c r="E668" s="139" t="n"/>
      <c r="F668" s="139" t="n"/>
      <c r="G668" s="140">
        <f>IFERROR(IF(E668&gt;0,(F668/E668)*1000,""),"")</f>
        <v/>
      </c>
      <c r="H668" s="139">
        <f>IFERROR(IF(E668&gt;0,E668*IF(ISNUMBER(J668),J668,IF(C668="Futures",$C$6,$C$5)),""),"")</f>
        <v/>
      </c>
      <c r="I668" s="139">
        <f>IFERROR(IF(AND(ISNUMBER(F668),ISNUMBER(H668)),F668-H668,""),"")</f>
        <v/>
      </c>
      <c r="J668" s="114" t="n"/>
      <c r="K668" s="139">
        <f>IFERROR(IF(H668&gt;0,H668*$C$7,""),"")</f>
        <v/>
      </c>
      <c r="L668" s="139">
        <f>IFERROR(IF(ISNUMBER(F668),F668-IF(ISNUMBER(K668),K668,0),""),"")</f>
        <v/>
      </c>
    </row>
    <row r="669" ht="24" customHeight="1" s="63">
      <c r="E669" s="139" t="n"/>
      <c r="F669" s="139" t="n"/>
      <c r="G669" s="140">
        <f>IFERROR(IF(E669&gt;0,(F669/E669)*1000,""),"")</f>
        <v/>
      </c>
      <c r="H669" s="139">
        <f>IFERROR(IF(E669&gt;0,E669*IF(ISNUMBER(J669),J669,IF(C669="Futures",$C$6,$C$5)),""),"")</f>
        <v/>
      </c>
      <c r="I669" s="139">
        <f>IFERROR(IF(AND(ISNUMBER(F669),ISNUMBER(H669)),F669-H669,""),"")</f>
        <v/>
      </c>
      <c r="J669" s="114" t="n"/>
      <c r="K669" s="139">
        <f>IFERROR(IF(H669&gt;0,H669*$C$7,""),"")</f>
        <v/>
      </c>
      <c r="L669" s="139">
        <f>IFERROR(IF(ISNUMBER(F669),F669-IF(ISNUMBER(K669),K669,0),""),"")</f>
        <v/>
      </c>
    </row>
    <row r="670" ht="24" customHeight="1" s="63">
      <c r="E670" s="139" t="n"/>
      <c r="F670" s="139" t="n"/>
      <c r="G670" s="140">
        <f>IFERROR(IF(E670&gt;0,(F670/E670)*1000,""),"")</f>
        <v/>
      </c>
      <c r="H670" s="139">
        <f>IFERROR(IF(E670&gt;0,E670*IF(ISNUMBER(J670),J670,IF(C670="Futures",$C$6,$C$5)),""),"")</f>
        <v/>
      </c>
      <c r="I670" s="139">
        <f>IFERROR(IF(AND(ISNUMBER(F670),ISNUMBER(H670)),F670-H670,""),"")</f>
        <v/>
      </c>
      <c r="J670" s="114" t="n"/>
      <c r="K670" s="139">
        <f>IFERROR(IF(H670&gt;0,H670*$C$7,""),"")</f>
        <v/>
      </c>
      <c r="L670" s="139">
        <f>IFERROR(IF(ISNUMBER(F670),F670-IF(ISNUMBER(K670),K670,0),""),"")</f>
        <v/>
      </c>
    </row>
    <row r="671" ht="24" customHeight="1" s="63">
      <c r="E671" s="139" t="n"/>
      <c r="F671" s="139" t="n"/>
      <c r="G671" s="140">
        <f>IFERROR(IF(E671&gt;0,(F671/E671)*1000,""),"")</f>
        <v/>
      </c>
      <c r="H671" s="139">
        <f>IFERROR(IF(E671&gt;0,E671*IF(ISNUMBER(J671),J671,IF(C671="Futures",$C$6,$C$5)),""),"")</f>
        <v/>
      </c>
      <c r="I671" s="139">
        <f>IFERROR(IF(AND(ISNUMBER(F671),ISNUMBER(H671)),F671-H671,""),"")</f>
        <v/>
      </c>
      <c r="J671" s="114" t="n"/>
      <c r="K671" s="139">
        <f>IFERROR(IF(H671&gt;0,H671*$C$7,""),"")</f>
        <v/>
      </c>
      <c r="L671" s="139">
        <f>IFERROR(IF(ISNUMBER(F671),F671-IF(ISNUMBER(K671),K671,0),""),"")</f>
        <v/>
      </c>
    </row>
    <row r="672" ht="24" customHeight="1" s="63">
      <c r="E672" s="139" t="n"/>
      <c r="F672" s="139" t="n"/>
      <c r="G672" s="140">
        <f>IFERROR(IF(E672&gt;0,(F672/E672)*1000,""),"")</f>
        <v/>
      </c>
      <c r="H672" s="139">
        <f>IFERROR(IF(E672&gt;0,E672*IF(ISNUMBER(J672),J672,IF(C672="Futures",$C$6,$C$5)),""),"")</f>
        <v/>
      </c>
      <c r="I672" s="139">
        <f>IFERROR(IF(AND(ISNUMBER(F672),ISNUMBER(H672)),F672-H672,""),"")</f>
        <v/>
      </c>
      <c r="J672" s="114" t="n"/>
      <c r="K672" s="139">
        <f>IFERROR(IF(H672&gt;0,H672*$C$7,""),"")</f>
        <v/>
      </c>
      <c r="L672" s="139">
        <f>IFERROR(IF(ISNUMBER(F672),F672-IF(ISNUMBER(K672),K672,0),""),"")</f>
        <v/>
      </c>
    </row>
    <row r="673" ht="24" customHeight="1" s="63">
      <c r="E673" s="139" t="n"/>
      <c r="F673" s="139" t="n"/>
      <c r="G673" s="140">
        <f>IFERROR(IF(E673&gt;0,(F673/E673)*1000,""),"")</f>
        <v/>
      </c>
      <c r="H673" s="139">
        <f>IFERROR(IF(E673&gt;0,E673*IF(ISNUMBER(J673),J673,IF(C673="Futures",$C$6,$C$5)),""),"")</f>
        <v/>
      </c>
      <c r="I673" s="139">
        <f>IFERROR(IF(AND(ISNUMBER(F673),ISNUMBER(H673)),F673-H673,""),"")</f>
        <v/>
      </c>
      <c r="J673" s="114" t="n"/>
      <c r="K673" s="139">
        <f>IFERROR(IF(H673&gt;0,H673*$C$7,""),"")</f>
        <v/>
      </c>
      <c r="L673" s="139">
        <f>IFERROR(IF(ISNUMBER(F673),F673-IF(ISNUMBER(K673),K673,0),""),"")</f>
        <v/>
      </c>
    </row>
    <row r="674" ht="24" customHeight="1" s="63">
      <c r="E674" s="139" t="n"/>
      <c r="F674" s="139" t="n"/>
      <c r="G674" s="140">
        <f>IFERROR(IF(E674&gt;0,(F674/E674)*1000,""),"")</f>
        <v/>
      </c>
      <c r="H674" s="139">
        <f>IFERROR(IF(E674&gt;0,E674*IF(ISNUMBER(J674),J674,IF(C674="Futures",$C$6,$C$5)),""),"")</f>
        <v/>
      </c>
      <c r="I674" s="139">
        <f>IFERROR(IF(AND(ISNUMBER(F674),ISNUMBER(H674)),F674-H674,""),"")</f>
        <v/>
      </c>
      <c r="J674" s="114" t="n"/>
      <c r="K674" s="139">
        <f>IFERROR(IF(H674&gt;0,H674*$C$7,""),"")</f>
        <v/>
      </c>
      <c r="L674" s="139">
        <f>IFERROR(IF(ISNUMBER(F674),F674-IF(ISNUMBER(K674),K674,0),""),"")</f>
        <v/>
      </c>
    </row>
    <row r="675" ht="24" customHeight="1" s="63">
      <c r="E675" s="139" t="n"/>
      <c r="F675" s="139" t="n"/>
      <c r="G675" s="140">
        <f>IFERROR(IF(E675&gt;0,(F675/E675)*1000,""),"")</f>
        <v/>
      </c>
      <c r="H675" s="139">
        <f>IFERROR(IF(E675&gt;0,E675*IF(ISNUMBER(J675),J675,IF(C675="Futures",$C$6,$C$5)),""),"")</f>
        <v/>
      </c>
      <c r="I675" s="139">
        <f>IFERROR(IF(AND(ISNUMBER(F675),ISNUMBER(H675)),F675-H675,""),"")</f>
        <v/>
      </c>
      <c r="J675" s="114" t="n"/>
      <c r="K675" s="139">
        <f>IFERROR(IF(H675&gt;0,H675*$C$7,""),"")</f>
        <v/>
      </c>
      <c r="L675" s="139">
        <f>IFERROR(IF(ISNUMBER(F675),F675-IF(ISNUMBER(K675),K675,0),""),"")</f>
        <v/>
      </c>
    </row>
    <row r="676" ht="24" customHeight="1" s="63">
      <c r="E676" s="139" t="n"/>
      <c r="F676" s="139" t="n"/>
      <c r="G676" s="140">
        <f>IFERROR(IF(E676&gt;0,(F676/E676)*1000,""),"")</f>
        <v/>
      </c>
      <c r="H676" s="139">
        <f>IFERROR(IF(E676&gt;0,E676*IF(ISNUMBER(J676),J676,IF(C676="Futures",$C$6,$C$5)),""),"")</f>
        <v/>
      </c>
      <c r="I676" s="139">
        <f>IFERROR(IF(AND(ISNUMBER(F676),ISNUMBER(H676)),F676-H676,""),"")</f>
        <v/>
      </c>
      <c r="J676" s="114" t="n"/>
      <c r="K676" s="139">
        <f>IFERROR(IF(H676&gt;0,H676*$C$7,""),"")</f>
        <v/>
      </c>
      <c r="L676" s="139">
        <f>IFERROR(IF(ISNUMBER(F676),F676-IF(ISNUMBER(K676),K676,0),""),"")</f>
        <v/>
      </c>
    </row>
    <row r="677" ht="24" customHeight="1" s="63">
      <c r="E677" s="139" t="n"/>
      <c r="F677" s="139" t="n"/>
      <c r="G677" s="140">
        <f>IFERROR(IF(E677&gt;0,(F677/E677)*1000,""),"")</f>
        <v/>
      </c>
      <c r="H677" s="139">
        <f>IFERROR(IF(E677&gt;0,E677*IF(ISNUMBER(J677),J677,IF(C677="Futures",$C$6,$C$5)),""),"")</f>
        <v/>
      </c>
      <c r="I677" s="139">
        <f>IFERROR(IF(AND(ISNUMBER(F677),ISNUMBER(H677)),F677-H677,""),"")</f>
        <v/>
      </c>
      <c r="J677" s="114" t="n"/>
      <c r="K677" s="139">
        <f>IFERROR(IF(H677&gt;0,H677*$C$7,""),"")</f>
        <v/>
      </c>
      <c r="L677" s="139">
        <f>IFERROR(IF(ISNUMBER(F677),F677-IF(ISNUMBER(K677),K677,0),""),"")</f>
        <v/>
      </c>
    </row>
    <row r="678" ht="24" customHeight="1" s="63">
      <c r="E678" s="139" t="n"/>
      <c r="F678" s="139" t="n"/>
      <c r="G678" s="140">
        <f>IFERROR(IF(E678&gt;0,(F678/E678)*1000,""),"")</f>
        <v/>
      </c>
      <c r="H678" s="139">
        <f>IFERROR(IF(E678&gt;0,E678*IF(ISNUMBER(J678),J678,IF(C678="Futures",$C$6,$C$5)),""),"")</f>
        <v/>
      </c>
      <c r="I678" s="139">
        <f>IFERROR(IF(AND(ISNUMBER(F678),ISNUMBER(H678)),F678-H678,""),"")</f>
        <v/>
      </c>
      <c r="J678" s="114" t="n"/>
      <c r="K678" s="139">
        <f>IFERROR(IF(H678&gt;0,H678*$C$7,""),"")</f>
        <v/>
      </c>
      <c r="L678" s="139">
        <f>IFERROR(IF(ISNUMBER(F678),F678-IF(ISNUMBER(K678),K678,0),""),"")</f>
        <v/>
      </c>
    </row>
    <row r="679" ht="24" customHeight="1" s="63">
      <c r="E679" s="139" t="n"/>
      <c r="F679" s="139" t="n"/>
      <c r="G679" s="140">
        <f>IFERROR(IF(E679&gt;0,(F679/E679)*1000,""),"")</f>
        <v/>
      </c>
      <c r="H679" s="139">
        <f>IFERROR(IF(E679&gt;0,E679*IF(ISNUMBER(J679),J679,IF(C679="Futures",$C$6,$C$5)),""),"")</f>
        <v/>
      </c>
      <c r="I679" s="139">
        <f>IFERROR(IF(AND(ISNUMBER(F679),ISNUMBER(H679)),F679-H679,""),"")</f>
        <v/>
      </c>
      <c r="J679" s="114" t="n"/>
      <c r="K679" s="139">
        <f>IFERROR(IF(H679&gt;0,H679*$C$7,""),"")</f>
        <v/>
      </c>
      <c r="L679" s="139">
        <f>IFERROR(IF(ISNUMBER(F679),F679-IF(ISNUMBER(K679),K679,0),""),"")</f>
        <v/>
      </c>
    </row>
    <row r="680" ht="24" customHeight="1" s="63">
      <c r="E680" s="139" t="n"/>
      <c r="F680" s="139" t="n"/>
      <c r="G680" s="140">
        <f>IFERROR(IF(E680&gt;0,(F680/E680)*1000,""),"")</f>
        <v/>
      </c>
      <c r="H680" s="139">
        <f>IFERROR(IF(E680&gt;0,E680*IF(ISNUMBER(J680),J680,IF(C680="Futures",$C$6,$C$5)),""),"")</f>
        <v/>
      </c>
      <c r="I680" s="139">
        <f>IFERROR(IF(AND(ISNUMBER(F680),ISNUMBER(H680)),F680-H680,""),"")</f>
        <v/>
      </c>
      <c r="J680" s="114" t="n"/>
      <c r="K680" s="139">
        <f>IFERROR(IF(H680&gt;0,H680*$C$7,""),"")</f>
        <v/>
      </c>
      <c r="L680" s="139">
        <f>IFERROR(IF(ISNUMBER(F680),F680-IF(ISNUMBER(K680),K680,0),""),"")</f>
        <v/>
      </c>
    </row>
    <row r="681" ht="24" customHeight="1" s="63">
      <c r="E681" s="139" t="n"/>
      <c r="F681" s="139" t="n"/>
      <c r="G681" s="140">
        <f>IFERROR(IF(E681&gt;0,(F681/E681)*1000,""),"")</f>
        <v/>
      </c>
      <c r="H681" s="139">
        <f>IFERROR(IF(E681&gt;0,E681*IF(ISNUMBER(J681),J681,IF(C681="Futures",$C$6,$C$5)),""),"")</f>
        <v/>
      </c>
      <c r="I681" s="139">
        <f>IFERROR(IF(AND(ISNUMBER(F681),ISNUMBER(H681)),F681-H681,""),"")</f>
        <v/>
      </c>
      <c r="J681" s="114" t="n"/>
      <c r="K681" s="139">
        <f>IFERROR(IF(H681&gt;0,H681*$C$7,""),"")</f>
        <v/>
      </c>
      <c r="L681" s="139">
        <f>IFERROR(IF(ISNUMBER(F681),F681-IF(ISNUMBER(K681),K681,0),""),"")</f>
        <v/>
      </c>
    </row>
    <row r="682" ht="24" customHeight="1" s="63">
      <c r="E682" s="139" t="n"/>
      <c r="F682" s="139" t="n"/>
      <c r="G682" s="140">
        <f>IFERROR(IF(E682&gt;0,(F682/E682)*1000,""),"")</f>
        <v/>
      </c>
      <c r="H682" s="139">
        <f>IFERROR(IF(E682&gt;0,E682*IF(ISNUMBER(J682),J682,IF(C682="Futures",$C$6,$C$5)),""),"")</f>
        <v/>
      </c>
      <c r="I682" s="139">
        <f>IFERROR(IF(AND(ISNUMBER(F682),ISNUMBER(H682)),F682-H682,""),"")</f>
        <v/>
      </c>
      <c r="J682" s="114" t="n"/>
      <c r="K682" s="139">
        <f>IFERROR(IF(H682&gt;0,H682*$C$7,""),"")</f>
        <v/>
      </c>
      <c r="L682" s="139">
        <f>IFERROR(IF(ISNUMBER(F682),F682-IF(ISNUMBER(K682),K682,0),""),"")</f>
        <v/>
      </c>
    </row>
    <row r="683" ht="24" customHeight="1" s="63">
      <c r="E683" s="139" t="n"/>
      <c r="F683" s="139" t="n"/>
      <c r="G683" s="140">
        <f>IFERROR(IF(E683&gt;0,(F683/E683)*1000,""),"")</f>
        <v/>
      </c>
      <c r="H683" s="139">
        <f>IFERROR(IF(E683&gt;0,E683*IF(ISNUMBER(J683),J683,IF(C683="Futures",$C$6,$C$5)),""),"")</f>
        <v/>
      </c>
      <c r="I683" s="139">
        <f>IFERROR(IF(AND(ISNUMBER(F683),ISNUMBER(H683)),F683-H683,""),"")</f>
        <v/>
      </c>
      <c r="J683" s="114" t="n"/>
      <c r="K683" s="139">
        <f>IFERROR(IF(H683&gt;0,H683*$C$7,""),"")</f>
        <v/>
      </c>
      <c r="L683" s="139">
        <f>IFERROR(IF(ISNUMBER(F683),F683-IF(ISNUMBER(K683),K683,0),""),"")</f>
        <v/>
      </c>
    </row>
    <row r="684" ht="24" customHeight="1" s="63">
      <c r="E684" s="139" t="n"/>
      <c r="F684" s="139" t="n"/>
      <c r="G684" s="140">
        <f>IFERROR(IF(E684&gt;0,(F684/E684)*1000,""),"")</f>
        <v/>
      </c>
      <c r="H684" s="139">
        <f>IFERROR(IF(E684&gt;0,E684*IF(ISNUMBER(J684),J684,IF(C684="Futures",$C$6,$C$5)),""),"")</f>
        <v/>
      </c>
      <c r="I684" s="139">
        <f>IFERROR(IF(AND(ISNUMBER(F684),ISNUMBER(H684)),F684-H684,""),"")</f>
        <v/>
      </c>
      <c r="J684" s="114" t="n"/>
      <c r="K684" s="139">
        <f>IFERROR(IF(H684&gt;0,H684*$C$7,""),"")</f>
        <v/>
      </c>
      <c r="L684" s="139">
        <f>IFERROR(IF(ISNUMBER(F684),F684-IF(ISNUMBER(K684),K684,0),""),"")</f>
        <v/>
      </c>
    </row>
    <row r="685" ht="24" customHeight="1" s="63">
      <c r="E685" s="139" t="n"/>
      <c r="F685" s="139" t="n"/>
      <c r="G685" s="140">
        <f>IFERROR(IF(E685&gt;0,(F685/E685)*1000,""),"")</f>
        <v/>
      </c>
      <c r="H685" s="139">
        <f>IFERROR(IF(E685&gt;0,E685*IF(ISNUMBER(J685),J685,IF(C685="Futures",$C$6,$C$5)),""),"")</f>
        <v/>
      </c>
      <c r="I685" s="139">
        <f>IFERROR(IF(AND(ISNUMBER(F685),ISNUMBER(H685)),F685-H685,""),"")</f>
        <v/>
      </c>
      <c r="J685" s="114" t="n"/>
      <c r="K685" s="139">
        <f>IFERROR(IF(H685&gt;0,H685*$C$7,""),"")</f>
        <v/>
      </c>
      <c r="L685" s="139">
        <f>IFERROR(IF(ISNUMBER(F685),F685-IF(ISNUMBER(K685),K685,0),""),"")</f>
        <v/>
      </c>
    </row>
    <row r="686" ht="24" customHeight="1" s="63">
      <c r="E686" s="139" t="n"/>
      <c r="F686" s="139" t="n"/>
      <c r="G686" s="140">
        <f>IFERROR(IF(E686&gt;0,(F686/E686)*1000,""),"")</f>
        <v/>
      </c>
      <c r="H686" s="139">
        <f>IFERROR(IF(E686&gt;0,E686*IF(ISNUMBER(J686),J686,IF(C686="Futures",$C$6,$C$5)),""),"")</f>
        <v/>
      </c>
      <c r="I686" s="139">
        <f>IFERROR(IF(AND(ISNUMBER(F686),ISNUMBER(H686)),F686-H686,""),"")</f>
        <v/>
      </c>
      <c r="J686" s="114" t="n"/>
      <c r="K686" s="139">
        <f>IFERROR(IF(H686&gt;0,H686*$C$7,""),"")</f>
        <v/>
      </c>
      <c r="L686" s="139">
        <f>IFERROR(IF(ISNUMBER(F686),F686-IF(ISNUMBER(K686),K686,0),""),"")</f>
        <v/>
      </c>
    </row>
    <row r="687" ht="24" customHeight="1" s="63">
      <c r="E687" s="139" t="n"/>
      <c r="F687" s="139" t="n"/>
      <c r="G687" s="140">
        <f>IFERROR(IF(E687&gt;0,(F687/E687)*1000,""),"")</f>
        <v/>
      </c>
      <c r="H687" s="139">
        <f>IFERROR(IF(E687&gt;0,E687*IF(ISNUMBER(J687),J687,IF(C687="Futures",$C$6,$C$5)),""),"")</f>
        <v/>
      </c>
      <c r="I687" s="139">
        <f>IFERROR(IF(AND(ISNUMBER(F687),ISNUMBER(H687)),F687-H687,""),"")</f>
        <v/>
      </c>
      <c r="J687" s="114" t="n"/>
      <c r="K687" s="139">
        <f>IFERROR(IF(H687&gt;0,H687*$C$7,""),"")</f>
        <v/>
      </c>
      <c r="L687" s="139">
        <f>IFERROR(IF(ISNUMBER(F687),F687-IF(ISNUMBER(K687),K687,0),""),"")</f>
        <v/>
      </c>
    </row>
    <row r="688" ht="24" customHeight="1" s="63">
      <c r="E688" s="139" t="n"/>
      <c r="F688" s="139" t="n"/>
      <c r="G688" s="140">
        <f>IFERROR(IF(E688&gt;0,(F688/E688)*1000,""),"")</f>
        <v/>
      </c>
      <c r="H688" s="139">
        <f>IFERROR(IF(E688&gt;0,E688*IF(ISNUMBER(J688),J688,IF(C688="Futures",$C$6,$C$5)),""),"")</f>
        <v/>
      </c>
      <c r="I688" s="139">
        <f>IFERROR(IF(AND(ISNUMBER(F688),ISNUMBER(H688)),F688-H688,""),"")</f>
        <v/>
      </c>
      <c r="J688" s="114" t="n"/>
      <c r="K688" s="139">
        <f>IFERROR(IF(H688&gt;0,H688*$C$7,""),"")</f>
        <v/>
      </c>
      <c r="L688" s="139">
        <f>IFERROR(IF(ISNUMBER(F688),F688-IF(ISNUMBER(K688),K688,0),""),"")</f>
        <v/>
      </c>
    </row>
    <row r="689" ht="24" customHeight="1" s="63">
      <c r="E689" s="139" t="n"/>
      <c r="F689" s="139" t="n"/>
      <c r="G689" s="140">
        <f>IFERROR(IF(E689&gt;0,(F689/E689)*1000,""),"")</f>
        <v/>
      </c>
      <c r="H689" s="139">
        <f>IFERROR(IF(E689&gt;0,E689*IF(ISNUMBER(J689),J689,IF(C689="Futures",$C$6,$C$5)),""),"")</f>
        <v/>
      </c>
      <c r="I689" s="139">
        <f>IFERROR(IF(AND(ISNUMBER(F689),ISNUMBER(H689)),F689-H689,""),"")</f>
        <v/>
      </c>
      <c r="J689" s="114" t="n"/>
      <c r="K689" s="139">
        <f>IFERROR(IF(H689&gt;0,H689*$C$7,""),"")</f>
        <v/>
      </c>
      <c r="L689" s="139">
        <f>IFERROR(IF(ISNUMBER(F689),F689-IF(ISNUMBER(K689),K689,0),""),"")</f>
        <v/>
      </c>
    </row>
    <row r="690" ht="24" customHeight="1" s="63">
      <c r="E690" s="139" t="n"/>
      <c r="F690" s="139" t="n"/>
      <c r="G690" s="140">
        <f>IFERROR(IF(E690&gt;0,(F690/E690)*1000,""),"")</f>
        <v/>
      </c>
      <c r="H690" s="139">
        <f>IFERROR(IF(E690&gt;0,E690*IF(ISNUMBER(J690),J690,IF(C690="Futures",$C$6,$C$5)),""),"")</f>
        <v/>
      </c>
      <c r="I690" s="139">
        <f>IFERROR(IF(AND(ISNUMBER(F690),ISNUMBER(H690)),F690-H690,""),"")</f>
        <v/>
      </c>
      <c r="J690" s="114" t="n"/>
      <c r="K690" s="139">
        <f>IFERROR(IF(H690&gt;0,H690*$C$7,""),"")</f>
        <v/>
      </c>
      <c r="L690" s="139">
        <f>IFERROR(IF(ISNUMBER(F690),F690-IF(ISNUMBER(K690),K690,0),""),"")</f>
        <v/>
      </c>
    </row>
    <row r="691" ht="24" customHeight="1" s="63">
      <c r="E691" s="139" t="n"/>
      <c r="F691" s="139" t="n"/>
      <c r="G691" s="140">
        <f>IFERROR(IF(E691&gt;0,(F691/E691)*1000,""),"")</f>
        <v/>
      </c>
      <c r="H691" s="139">
        <f>IFERROR(IF(E691&gt;0,E691*IF(ISNUMBER(J691),J691,IF(C691="Futures",$C$6,$C$5)),""),"")</f>
        <v/>
      </c>
      <c r="I691" s="139">
        <f>IFERROR(IF(AND(ISNUMBER(F691),ISNUMBER(H691)),F691-H691,""),"")</f>
        <v/>
      </c>
      <c r="J691" s="114" t="n"/>
      <c r="K691" s="139">
        <f>IFERROR(IF(H691&gt;0,H691*$C$7,""),"")</f>
        <v/>
      </c>
      <c r="L691" s="139">
        <f>IFERROR(IF(ISNUMBER(F691),F691-IF(ISNUMBER(K691),K691,0),""),"")</f>
        <v/>
      </c>
    </row>
    <row r="692" ht="24" customHeight="1" s="63">
      <c r="E692" s="139" t="n"/>
      <c r="F692" s="139" t="n"/>
      <c r="G692" s="140">
        <f>IFERROR(IF(E692&gt;0,(F692/E692)*1000,""),"")</f>
        <v/>
      </c>
      <c r="H692" s="139">
        <f>IFERROR(IF(E692&gt;0,E692*IF(ISNUMBER(J692),J692,IF(C692="Futures",$C$6,$C$5)),""),"")</f>
        <v/>
      </c>
      <c r="I692" s="139">
        <f>IFERROR(IF(AND(ISNUMBER(F692),ISNUMBER(H692)),F692-H692,""),"")</f>
        <v/>
      </c>
      <c r="J692" s="114" t="n"/>
      <c r="K692" s="139">
        <f>IFERROR(IF(H692&gt;0,H692*$C$7,""),"")</f>
        <v/>
      </c>
      <c r="L692" s="139">
        <f>IFERROR(IF(ISNUMBER(F692),F692-IF(ISNUMBER(K692),K692,0),""),"")</f>
        <v/>
      </c>
    </row>
    <row r="693" ht="24" customHeight="1" s="63">
      <c r="E693" s="139" t="n"/>
      <c r="F693" s="139" t="n"/>
      <c r="G693" s="140">
        <f>IFERROR(IF(E693&gt;0,(F693/E693)*1000,""),"")</f>
        <v/>
      </c>
      <c r="H693" s="139">
        <f>IFERROR(IF(E693&gt;0,E693*IF(ISNUMBER(J693),J693,IF(C693="Futures",$C$6,$C$5)),""),"")</f>
        <v/>
      </c>
      <c r="I693" s="139">
        <f>IFERROR(IF(AND(ISNUMBER(F693),ISNUMBER(H693)),F693-H693,""),"")</f>
        <v/>
      </c>
      <c r="J693" s="114" t="n"/>
      <c r="K693" s="139">
        <f>IFERROR(IF(H693&gt;0,H693*$C$7,""),"")</f>
        <v/>
      </c>
      <c r="L693" s="139">
        <f>IFERROR(IF(ISNUMBER(F693),F693-IF(ISNUMBER(K693),K693,0),""),"")</f>
        <v/>
      </c>
    </row>
    <row r="694" ht="24" customHeight="1" s="63">
      <c r="E694" s="139" t="n"/>
      <c r="F694" s="139" t="n"/>
      <c r="G694" s="140">
        <f>IFERROR(IF(E694&gt;0,(F694/E694)*1000,""),"")</f>
        <v/>
      </c>
      <c r="H694" s="139">
        <f>IFERROR(IF(E694&gt;0,E694*IF(ISNUMBER(J694),J694,IF(C694="Futures",$C$6,$C$5)),""),"")</f>
        <v/>
      </c>
      <c r="I694" s="139">
        <f>IFERROR(IF(AND(ISNUMBER(F694),ISNUMBER(H694)),F694-H694,""),"")</f>
        <v/>
      </c>
      <c r="J694" s="114" t="n"/>
      <c r="K694" s="139">
        <f>IFERROR(IF(H694&gt;0,H694*$C$7,""),"")</f>
        <v/>
      </c>
      <c r="L694" s="139">
        <f>IFERROR(IF(ISNUMBER(F694),F694-IF(ISNUMBER(K694),K694,0),""),"")</f>
        <v/>
      </c>
    </row>
    <row r="695" ht="24" customHeight="1" s="63">
      <c r="E695" s="139" t="n"/>
      <c r="F695" s="139" t="n"/>
      <c r="G695" s="140">
        <f>IFERROR(IF(E695&gt;0,(F695/E695)*1000,""),"")</f>
        <v/>
      </c>
      <c r="H695" s="139">
        <f>IFERROR(IF(E695&gt;0,E695*IF(ISNUMBER(J695),J695,IF(C695="Futures",$C$6,$C$5)),""),"")</f>
        <v/>
      </c>
      <c r="I695" s="139">
        <f>IFERROR(IF(AND(ISNUMBER(F695),ISNUMBER(H695)),F695-H695,""),"")</f>
        <v/>
      </c>
      <c r="J695" s="114" t="n"/>
      <c r="K695" s="139">
        <f>IFERROR(IF(H695&gt;0,H695*$C$7,""),"")</f>
        <v/>
      </c>
      <c r="L695" s="139">
        <f>IFERROR(IF(ISNUMBER(F695),F695-IF(ISNUMBER(K695),K695,0),""),"")</f>
        <v/>
      </c>
    </row>
    <row r="696" ht="24" customHeight="1" s="63">
      <c r="E696" s="139" t="n"/>
      <c r="F696" s="139" t="n"/>
      <c r="G696" s="140">
        <f>IFERROR(IF(E696&gt;0,(F696/E696)*1000,""),"")</f>
        <v/>
      </c>
      <c r="H696" s="139">
        <f>IFERROR(IF(E696&gt;0,E696*IF(ISNUMBER(J696),J696,IF(C696="Futures",$C$6,$C$5)),""),"")</f>
        <v/>
      </c>
      <c r="I696" s="139">
        <f>IFERROR(IF(AND(ISNUMBER(F696),ISNUMBER(H696)),F696-H696,""),"")</f>
        <v/>
      </c>
      <c r="J696" s="114" t="n"/>
      <c r="K696" s="139">
        <f>IFERROR(IF(H696&gt;0,H696*$C$7,""),"")</f>
        <v/>
      </c>
      <c r="L696" s="139">
        <f>IFERROR(IF(ISNUMBER(F696),F696-IF(ISNUMBER(K696),K696,0),""),"")</f>
        <v/>
      </c>
    </row>
    <row r="697" ht="24" customHeight="1" s="63">
      <c r="E697" s="139" t="n"/>
      <c r="F697" s="139" t="n"/>
      <c r="G697" s="140">
        <f>IFERROR(IF(E697&gt;0,(F697/E697)*1000,""),"")</f>
        <v/>
      </c>
      <c r="H697" s="139">
        <f>IFERROR(IF(E697&gt;0,E697*IF(ISNUMBER(J697),J697,IF(C697="Futures",$C$6,$C$5)),""),"")</f>
        <v/>
      </c>
      <c r="I697" s="139">
        <f>IFERROR(IF(AND(ISNUMBER(F697),ISNUMBER(H697)),F697-H697,""),"")</f>
        <v/>
      </c>
      <c r="J697" s="114" t="n"/>
      <c r="K697" s="139">
        <f>IFERROR(IF(H697&gt;0,H697*$C$7,""),"")</f>
        <v/>
      </c>
      <c r="L697" s="139">
        <f>IFERROR(IF(ISNUMBER(F697),F697-IF(ISNUMBER(K697),K697,0),""),"")</f>
        <v/>
      </c>
    </row>
    <row r="698" ht="24" customHeight="1" s="63">
      <c r="E698" s="139" t="n"/>
      <c r="F698" s="139" t="n"/>
      <c r="G698" s="140">
        <f>IFERROR(IF(E698&gt;0,(F698/E698)*1000,""),"")</f>
        <v/>
      </c>
      <c r="H698" s="139">
        <f>IFERROR(IF(E698&gt;0,E698*IF(ISNUMBER(J698),J698,IF(C698="Futures",$C$6,$C$5)),""),"")</f>
        <v/>
      </c>
      <c r="I698" s="139">
        <f>IFERROR(IF(AND(ISNUMBER(F698),ISNUMBER(H698)),F698-H698,""),"")</f>
        <v/>
      </c>
      <c r="J698" s="114" t="n"/>
      <c r="K698" s="139">
        <f>IFERROR(IF(H698&gt;0,H698*$C$7,""),"")</f>
        <v/>
      </c>
      <c r="L698" s="139">
        <f>IFERROR(IF(ISNUMBER(F698),F698-IF(ISNUMBER(K698),K698,0),""),"")</f>
        <v/>
      </c>
    </row>
    <row r="699" ht="24" customHeight="1" s="63">
      <c r="E699" s="139" t="n"/>
      <c r="F699" s="139" t="n"/>
      <c r="G699" s="140">
        <f>IFERROR(IF(E699&gt;0,(F699/E699)*1000,""),"")</f>
        <v/>
      </c>
      <c r="H699" s="139">
        <f>IFERROR(IF(E699&gt;0,E699*IF(ISNUMBER(J699),J699,IF(C699="Futures",$C$6,$C$5)),""),"")</f>
        <v/>
      </c>
      <c r="I699" s="139">
        <f>IFERROR(IF(AND(ISNUMBER(F699),ISNUMBER(H699)),F699-H699,""),"")</f>
        <v/>
      </c>
      <c r="J699" s="114" t="n"/>
      <c r="K699" s="139">
        <f>IFERROR(IF(H699&gt;0,H699*$C$7,""),"")</f>
        <v/>
      </c>
      <c r="L699" s="139">
        <f>IFERROR(IF(ISNUMBER(F699),F699-IF(ISNUMBER(K699),K699,0),""),"")</f>
        <v/>
      </c>
    </row>
    <row r="700" ht="24" customHeight="1" s="63">
      <c r="E700" s="139" t="n"/>
      <c r="F700" s="139" t="n"/>
      <c r="G700" s="140">
        <f>IFERROR(IF(E700&gt;0,(F700/E700)*1000,""),"")</f>
        <v/>
      </c>
      <c r="H700" s="139">
        <f>IFERROR(IF(E700&gt;0,E700*IF(ISNUMBER(J700),J700,IF(C700="Futures",$C$6,$C$5)),""),"")</f>
        <v/>
      </c>
      <c r="I700" s="139">
        <f>IFERROR(IF(AND(ISNUMBER(F700),ISNUMBER(H700)),F700-H700,""),"")</f>
        <v/>
      </c>
      <c r="J700" s="114" t="n"/>
      <c r="K700" s="139">
        <f>IFERROR(IF(H700&gt;0,H700*$C$7,""),"")</f>
        <v/>
      </c>
      <c r="L700" s="139">
        <f>IFERROR(IF(ISNUMBER(F700),F700-IF(ISNUMBER(K700),K700,0),""),"")</f>
        <v/>
      </c>
    </row>
    <row r="701" ht="24" customHeight="1" s="63">
      <c r="E701" s="139" t="n"/>
      <c r="F701" s="139" t="n"/>
      <c r="G701" s="140">
        <f>IFERROR(IF(E701&gt;0,(F701/E701)*1000,""),"")</f>
        <v/>
      </c>
      <c r="H701" s="139">
        <f>IFERROR(IF(E701&gt;0,E701*IF(ISNUMBER(J701),J701,IF(C701="Futures",$C$6,$C$5)),""),"")</f>
        <v/>
      </c>
      <c r="I701" s="139">
        <f>IFERROR(IF(AND(ISNUMBER(F701),ISNUMBER(H701)),F701-H701,""),"")</f>
        <v/>
      </c>
      <c r="J701" s="114" t="n"/>
      <c r="K701" s="139">
        <f>IFERROR(IF(H701&gt;0,H701*$C$7,""),"")</f>
        <v/>
      </c>
      <c r="L701" s="139">
        <f>IFERROR(IF(ISNUMBER(F701),F701-IF(ISNUMBER(K701),K701,0),""),"")</f>
        <v/>
      </c>
    </row>
    <row r="702" ht="24" customHeight="1" s="63">
      <c r="E702" s="139" t="n"/>
      <c r="F702" s="139" t="n"/>
      <c r="G702" s="140">
        <f>IFERROR(IF(E702&gt;0,(F702/E702)*1000,""),"")</f>
        <v/>
      </c>
      <c r="H702" s="139">
        <f>IFERROR(IF(E702&gt;0,E702*IF(ISNUMBER(J702),J702,IF(C702="Futures",$C$6,$C$5)),""),"")</f>
        <v/>
      </c>
      <c r="I702" s="139">
        <f>IFERROR(IF(AND(ISNUMBER(F702),ISNUMBER(H702)),F702-H702,""),"")</f>
        <v/>
      </c>
      <c r="J702" s="114" t="n"/>
      <c r="K702" s="139">
        <f>IFERROR(IF(H702&gt;0,H702*$C$7,""),"")</f>
        <v/>
      </c>
      <c r="L702" s="139">
        <f>IFERROR(IF(ISNUMBER(F702),F702-IF(ISNUMBER(K702),K702,0),""),"")</f>
        <v/>
      </c>
    </row>
    <row r="703" ht="24" customHeight="1" s="63">
      <c r="E703" s="139" t="n"/>
      <c r="F703" s="139" t="n"/>
      <c r="G703" s="140">
        <f>IFERROR(IF(E703&gt;0,(F703/E703)*1000,""),"")</f>
        <v/>
      </c>
      <c r="H703" s="139">
        <f>IFERROR(IF(E703&gt;0,E703*IF(ISNUMBER(J703),J703,IF(C703="Futures",$C$6,$C$5)),""),"")</f>
        <v/>
      </c>
      <c r="I703" s="139">
        <f>IFERROR(IF(AND(ISNUMBER(F703),ISNUMBER(H703)),F703-H703,""),"")</f>
        <v/>
      </c>
      <c r="J703" s="114" t="n"/>
      <c r="K703" s="139">
        <f>IFERROR(IF(H703&gt;0,H703*$C$7,""),"")</f>
        <v/>
      </c>
      <c r="L703" s="139">
        <f>IFERROR(IF(ISNUMBER(F703),F703-IF(ISNUMBER(K703),K703,0),""),"")</f>
        <v/>
      </c>
    </row>
    <row r="704" ht="24" customHeight="1" s="63">
      <c r="E704" s="139" t="n"/>
      <c r="F704" s="139" t="n"/>
      <c r="G704" s="140">
        <f>IFERROR(IF(E704&gt;0,(F704/E704)*1000,""),"")</f>
        <v/>
      </c>
      <c r="H704" s="139">
        <f>IFERROR(IF(E704&gt;0,E704*IF(ISNUMBER(J704),J704,IF(C704="Futures",$C$6,$C$5)),""),"")</f>
        <v/>
      </c>
      <c r="I704" s="139">
        <f>IFERROR(IF(AND(ISNUMBER(F704),ISNUMBER(H704)),F704-H704,""),"")</f>
        <v/>
      </c>
      <c r="J704" s="114" t="n"/>
      <c r="K704" s="139">
        <f>IFERROR(IF(H704&gt;0,H704*$C$7,""),"")</f>
        <v/>
      </c>
      <c r="L704" s="139">
        <f>IFERROR(IF(ISNUMBER(F704),F704-IF(ISNUMBER(K704),K704,0),""),"")</f>
        <v/>
      </c>
    </row>
    <row r="705" ht="24" customHeight="1" s="63">
      <c r="E705" s="139" t="n"/>
      <c r="F705" s="139" t="n"/>
      <c r="G705" s="140">
        <f>IFERROR(IF(E705&gt;0,(F705/E705)*1000,""),"")</f>
        <v/>
      </c>
      <c r="H705" s="139">
        <f>IFERROR(IF(E705&gt;0,E705*IF(ISNUMBER(J705),J705,IF(C705="Futures",$C$6,$C$5)),""),"")</f>
        <v/>
      </c>
      <c r="I705" s="139">
        <f>IFERROR(IF(AND(ISNUMBER(F705),ISNUMBER(H705)),F705-H705,""),"")</f>
        <v/>
      </c>
      <c r="J705" s="114" t="n"/>
      <c r="K705" s="139">
        <f>IFERROR(IF(H705&gt;0,H705*$C$7,""),"")</f>
        <v/>
      </c>
      <c r="L705" s="139">
        <f>IFERROR(IF(ISNUMBER(F705),F705-IF(ISNUMBER(K705),K705,0),""),"")</f>
        <v/>
      </c>
    </row>
    <row r="706" ht="24" customHeight="1" s="63">
      <c r="E706" s="139" t="n"/>
      <c r="F706" s="139" t="n"/>
      <c r="G706" s="140">
        <f>IFERROR(IF(E706&gt;0,(F706/E706)*1000,""),"")</f>
        <v/>
      </c>
      <c r="H706" s="139">
        <f>IFERROR(IF(E706&gt;0,E706*IF(ISNUMBER(J706),J706,IF(C706="Futures",$C$6,$C$5)),""),"")</f>
        <v/>
      </c>
      <c r="I706" s="139">
        <f>IFERROR(IF(AND(ISNUMBER(F706),ISNUMBER(H706)),F706-H706,""),"")</f>
        <v/>
      </c>
      <c r="J706" s="114" t="n"/>
      <c r="K706" s="139">
        <f>IFERROR(IF(H706&gt;0,H706*$C$7,""),"")</f>
        <v/>
      </c>
      <c r="L706" s="139">
        <f>IFERROR(IF(ISNUMBER(F706),F706-IF(ISNUMBER(K706),K706,0),""),"")</f>
        <v/>
      </c>
    </row>
    <row r="707" ht="24" customHeight="1" s="63">
      <c r="E707" s="139" t="n"/>
      <c r="F707" s="139" t="n"/>
      <c r="G707" s="140">
        <f>IFERROR(IF(E707&gt;0,(F707/E707)*1000,""),"")</f>
        <v/>
      </c>
      <c r="H707" s="139">
        <f>IFERROR(IF(E707&gt;0,E707*IF(ISNUMBER(J707),J707,IF(C707="Futures",$C$6,$C$5)),""),"")</f>
        <v/>
      </c>
      <c r="I707" s="139">
        <f>IFERROR(IF(AND(ISNUMBER(F707),ISNUMBER(H707)),F707-H707,""),"")</f>
        <v/>
      </c>
      <c r="J707" s="114" t="n"/>
      <c r="K707" s="139">
        <f>IFERROR(IF(H707&gt;0,H707*$C$7,""),"")</f>
        <v/>
      </c>
      <c r="L707" s="139">
        <f>IFERROR(IF(ISNUMBER(F707),F707-IF(ISNUMBER(K707),K707,0),""),"")</f>
        <v/>
      </c>
    </row>
    <row r="708" ht="24" customHeight="1" s="63">
      <c r="E708" s="139" t="n"/>
      <c r="F708" s="139" t="n"/>
      <c r="G708" s="140">
        <f>IFERROR(IF(E708&gt;0,(F708/E708)*1000,""),"")</f>
        <v/>
      </c>
      <c r="H708" s="139">
        <f>IFERROR(IF(E708&gt;0,E708*IF(ISNUMBER(J708),J708,IF(C708="Futures",$C$6,$C$5)),""),"")</f>
        <v/>
      </c>
      <c r="I708" s="139">
        <f>IFERROR(IF(AND(ISNUMBER(F708),ISNUMBER(H708)),F708-H708,""),"")</f>
        <v/>
      </c>
      <c r="J708" s="114" t="n"/>
      <c r="K708" s="139">
        <f>IFERROR(IF(H708&gt;0,H708*$C$7,""),"")</f>
        <v/>
      </c>
      <c r="L708" s="139">
        <f>IFERROR(IF(ISNUMBER(F708),F708-IF(ISNUMBER(K708),K708,0),""),"")</f>
        <v/>
      </c>
    </row>
    <row r="709" ht="24" customHeight="1" s="63">
      <c r="E709" s="139" t="n"/>
      <c r="F709" s="139" t="n"/>
      <c r="G709" s="140">
        <f>IFERROR(IF(E709&gt;0,(F709/E709)*1000,""),"")</f>
        <v/>
      </c>
      <c r="H709" s="139">
        <f>IFERROR(IF(E709&gt;0,E709*IF(ISNUMBER(J709),J709,IF(C709="Futures",$C$6,$C$5)),""),"")</f>
        <v/>
      </c>
      <c r="I709" s="139">
        <f>IFERROR(IF(AND(ISNUMBER(F709),ISNUMBER(H709)),F709-H709,""),"")</f>
        <v/>
      </c>
      <c r="J709" s="114" t="n"/>
      <c r="K709" s="139">
        <f>IFERROR(IF(H709&gt;0,H709*$C$7,""),"")</f>
        <v/>
      </c>
      <c r="L709" s="139">
        <f>IFERROR(IF(ISNUMBER(F709),F709-IF(ISNUMBER(K709),K709,0),""),"")</f>
        <v/>
      </c>
    </row>
    <row r="710" ht="24" customHeight="1" s="63">
      <c r="E710" s="139" t="n"/>
      <c r="F710" s="139" t="n"/>
      <c r="G710" s="140">
        <f>IFERROR(IF(E710&gt;0,(F710/E710)*1000,""),"")</f>
        <v/>
      </c>
      <c r="H710" s="139">
        <f>IFERROR(IF(E710&gt;0,E710*IF(ISNUMBER(J710),J710,IF(C710="Futures",$C$6,$C$5)),""),"")</f>
        <v/>
      </c>
      <c r="I710" s="139">
        <f>IFERROR(IF(AND(ISNUMBER(F710),ISNUMBER(H710)),F710-H710,""),"")</f>
        <v/>
      </c>
      <c r="J710" s="114" t="n"/>
      <c r="K710" s="139">
        <f>IFERROR(IF(H710&gt;0,H710*$C$7,""),"")</f>
        <v/>
      </c>
      <c r="L710" s="139">
        <f>IFERROR(IF(ISNUMBER(F710),F710-IF(ISNUMBER(K710),K710,0),""),"")</f>
        <v/>
      </c>
    </row>
    <row r="711" ht="24" customHeight="1" s="63">
      <c r="E711" s="139" t="n"/>
      <c r="F711" s="139" t="n"/>
      <c r="G711" s="140">
        <f>IFERROR(IF(E711&gt;0,(F711/E711)*1000,""),"")</f>
        <v/>
      </c>
      <c r="H711" s="139">
        <f>IFERROR(IF(E711&gt;0,E711*IF(ISNUMBER(J711),J711,IF(C711="Futures",$C$6,$C$5)),""),"")</f>
        <v/>
      </c>
      <c r="I711" s="139">
        <f>IFERROR(IF(AND(ISNUMBER(F711),ISNUMBER(H711)),F711-H711,""),"")</f>
        <v/>
      </c>
      <c r="J711" s="114" t="n"/>
      <c r="K711" s="139">
        <f>IFERROR(IF(H711&gt;0,H711*$C$7,""),"")</f>
        <v/>
      </c>
      <c r="L711" s="139">
        <f>IFERROR(IF(ISNUMBER(F711),F711-IF(ISNUMBER(K711),K711,0),""),"")</f>
        <v/>
      </c>
    </row>
    <row r="712" ht="24" customHeight="1" s="63">
      <c r="E712" s="139" t="n"/>
      <c r="F712" s="139" t="n"/>
      <c r="G712" s="140">
        <f>IFERROR(IF(E712&gt;0,(F712/E712)*1000,""),"")</f>
        <v/>
      </c>
      <c r="H712" s="139">
        <f>IFERROR(IF(E712&gt;0,E712*IF(ISNUMBER(J712),J712,IF(C712="Futures",$C$6,$C$5)),""),"")</f>
        <v/>
      </c>
      <c r="I712" s="139">
        <f>IFERROR(IF(AND(ISNUMBER(F712),ISNUMBER(H712)),F712-H712,""),"")</f>
        <v/>
      </c>
      <c r="J712" s="114" t="n"/>
      <c r="K712" s="139">
        <f>IFERROR(IF(H712&gt;0,H712*$C$7,""),"")</f>
        <v/>
      </c>
      <c r="L712" s="139">
        <f>IFERROR(IF(ISNUMBER(F712),F712-IF(ISNUMBER(K712),K712,0),""),"")</f>
        <v/>
      </c>
    </row>
    <row r="713" ht="24" customHeight="1" s="63">
      <c r="E713" s="139" t="n"/>
      <c r="F713" s="139" t="n"/>
      <c r="G713" s="140">
        <f>IFERROR(IF(E713&gt;0,(F713/E713)*1000,""),"")</f>
        <v/>
      </c>
      <c r="H713" s="139">
        <f>IFERROR(IF(E713&gt;0,E713*IF(ISNUMBER(J713),J713,IF(C713="Futures",$C$6,$C$5)),""),"")</f>
        <v/>
      </c>
      <c r="I713" s="139">
        <f>IFERROR(IF(AND(ISNUMBER(F713),ISNUMBER(H713)),F713-H713,""),"")</f>
        <v/>
      </c>
      <c r="J713" s="114" t="n"/>
      <c r="K713" s="139">
        <f>IFERROR(IF(H713&gt;0,H713*$C$7,""),"")</f>
        <v/>
      </c>
      <c r="L713" s="139">
        <f>IFERROR(IF(ISNUMBER(F713),F713-IF(ISNUMBER(K713),K713,0),""),"")</f>
        <v/>
      </c>
    </row>
    <row r="714" ht="24" customHeight="1" s="63">
      <c r="E714" s="139" t="n"/>
      <c r="F714" s="139" t="n"/>
      <c r="G714" s="140">
        <f>IFERROR(IF(E714&gt;0,(F714/E714)*1000,""),"")</f>
        <v/>
      </c>
      <c r="H714" s="139">
        <f>IFERROR(IF(E714&gt;0,E714*IF(ISNUMBER(J714),J714,IF(C714="Futures",$C$6,$C$5)),""),"")</f>
        <v/>
      </c>
      <c r="I714" s="139">
        <f>IFERROR(IF(AND(ISNUMBER(F714),ISNUMBER(H714)),F714-H714,""),"")</f>
        <v/>
      </c>
      <c r="J714" s="114" t="n"/>
      <c r="K714" s="139">
        <f>IFERROR(IF(H714&gt;0,H714*$C$7,""),"")</f>
        <v/>
      </c>
      <c r="L714" s="139">
        <f>IFERROR(IF(ISNUMBER(F714),F714-IF(ISNUMBER(K714),K714,0),""),"")</f>
        <v/>
      </c>
    </row>
    <row r="715" ht="24" customHeight="1" s="63">
      <c r="E715" s="139" t="n"/>
      <c r="F715" s="139" t="n"/>
      <c r="G715" s="140">
        <f>IFERROR(IF(E715&gt;0,(F715/E715)*1000,""),"")</f>
        <v/>
      </c>
      <c r="H715" s="139">
        <f>IFERROR(IF(E715&gt;0,E715*IF(ISNUMBER(J715),J715,IF(C715="Futures",$C$6,$C$5)),""),"")</f>
        <v/>
      </c>
      <c r="I715" s="139">
        <f>IFERROR(IF(AND(ISNUMBER(F715),ISNUMBER(H715)),F715-H715,""),"")</f>
        <v/>
      </c>
      <c r="J715" s="114" t="n"/>
      <c r="K715" s="139">
        <f>IFERROR(IF(H715&gt;0,H715*$C$7,""),"")</f>
        <v/>
      </c>
      <c r="L715" s="139">
        <f>IFERROR(IF(ISNUMBER(F715),F715-IF(ISNUMBER(K715),K715,0),""),"")</f>
        <v/>
      </c>
    </row>
    <row r="716" ht="24" customHeight="1" s="63">
      <c r="E716" s="139" t="n"/>
      <c r="F716" s="139" t="n"/>
      <c r="G716" s="140">
        <f>IFERROR(IF(E716&gt;0,(F716/E716)*1000,""),"")</f>
        <v/>
      </c>
      <c r="H716" s="139">
        <f>IFERROR(IF(E716&gt;0,E716*IF(ISNUMBER(J716),J716,IF(C716="Futures",$C$6,$C$5)),""),"")</f>
        <v/>
      </c>
      <c r="I716" s="139">
        <f>IFERROR(IF(AND(ISNUMBER(F716),ISNUMBER(H716)),F716-H716,""),"")</f>
        <v/>
      </c>
      <c r="J716" s="114" t="n"/>
      <c r="K716" s="139">
        <f>IFERROR(IF(H716&gt;0,H716*$C$7,""),"")</f>
        <v/>
      </c>
      <c r="L716" s="139">
        <f>IFERROR(IF(ISNUMBER(F716),F716-IF(ISNUMBER(K716),K716,0),""),"")</f>
        <v/>
      </c>
    </row>
    <row r="717" ht="24" customHeight="1" s="63">
      <c r="E717" s="139" t="n"/>
      <c r="F717" s="139" t="n"/>
      <c r="G717" s="140">
        <f>IFERROR(IF(E717&gt;0,(F717/E717)*1000,""),"")</f>
        <v/>
      </c>
      <c r="H717" s="139">
        <f>IFERROR(IF(E717&gt;0,E717*IF(ISNUMBER(J717),J717,IF(C717="Futures",$C$6,$C$5)),""),"")</f>
        <v/>
      </c>
      <c r="I717" s="139">
        <f>IFERROR(IF(AND(ISNUMBER(F717),ISNUMBER(H717)),F717-H717,""),"")</f>
        <v/>
      </c>
      <c r="J717" s="114" t="n"/>
      <c r="K717" s="139">
        <f>IFERROR(IF(H717&gt;0,H717*$C$7,""),"")</f>
        <v/>
      </c>
      <c r="L717" s="139">
        <f>IFERROR(IF(ISNUMBER(F717),F717-IF(ISNUMBER(K717),K717,0),""),"")</f>
        <v/>
      </c>
    </row>
    <row r="718" ht="24" customHeight="1" s="63">
      <c r="E718" s="139" t="n"/>
      <c r="F718" s="139" t="n"/>
      <c r="G718" s="140">
        <f>IFERROR(IF(E718&gt;0,(F718/E718)*1000,""),"")</f>
        <v/>
      </c>
      <c r="H718" s="139">
        <f>IFERROR(IF(E718&gt;0,E718*IF(ISNUMBER(J718),J718,IF(C718="Futures",$C$6,$C$5)),""),"")</f>
        <v/>
      </c>
      <c r="I718" s="139">
        <f>IFERROR(IF(AND(ISNUMBER(F718),ISNUMBER(H718)),F718-H718,""),"")</f>
        <v/>
      </c>
      <c r="J718" s="114" t="n"/>
      <c r="K718" s="139">
        <f>IFERROR(IF(H718&gt;0,H718*$C$7,""),"")</f>
        <v/>
      </c>
      <c r="L718" s="139">
        <f>IFERROR(IF(ISNUMBER(F718),F718-IF(ISNUMBER(K718),K718,0),""),"")</f>
        <v/>
      </c>
    </row>
    <row r="719" ht="24" customHeight="1" s="63">
      <c r="E719" s="139" t="n"/>
      <c r="F719" s="139" t="n"/>
      <c r="G719" s="140">
        <f>IFERROR(IF(E719&gt;0,(F719/E719)*1000,""),"")</f>
        <v/>
      </c>
      <c r="H719" s="139">
        <f>IFERROR(IF(E719&gt;0,E719*IF(ISNUMBER(J719),J719,IF(C719="Futures",$C$6,$C$5)),""),"")</f>
        <v/>
      </c>
      <c r="I719" s="139">
        <f>IFERROR(IF(AND(ISNUMBER(F719),ISNUMBER(H719)),F719-H719,""),"")</f>
        <v/>
      </c>
      <c r="J719" s="114" t="n"/>
      <c r="K719" s="139">
        <f>IFERROR(IF(H719&gt;0,H719*$C$7,""),"")</f>
        <v/>
      </c>
      <c r="L719" s="139">
        <f>IFERROR(IF(ISNUMBER(F719),F719-IF(ISNUMBER(K719),K719,0),""),"")</f>
        <v/>
      </c>
    </row>
    <row r="720" ht="24" customHeight="1" s="63">
      <c r="E720" s="139" t="n"/>
      <c r="F720" s="139" t="n"/>
      <c r="G720" s="140">
        <f>IFERROR(IF(E720&gt;0,(F720/E720)*1000,""),"")</f>
        <v/>
      </c>
      <c r="H720" s="139">
        <f>IFERROR(IF(E720&gt;0,E720*IF(ISNUMBER(J720),J720,IF(C720="Futures",$C$6,$C$5)),""),"")</f>
        <v/>
      </c>
      <c r="I720" s="139">
        <f>IFERROR(IF(AND(ISNUMBER(F720),ISNUMBER(H720)),F720-H720,""),"")</f>
        <v/>
      </c>
      <c r="J720" s="114" t="n"/>
      <c r="K720" s="139">
        <f>IFERROR(IF(H720&gt;0,H720*$C$7,""),"")</f>
        <v/>
      </c>
      <c r="L720" s="139">
        <f>IFERROR(IF(ISNUMBER(F720),F720-IF(ISNUMBER(K720),K720,0),""),"")</f>
        <v/>
      </c>
    </row>
    <row r="721" ht="24" customHeight="1" s="63">
      <c r="E721" s="139" t="n"/>
      <c r="F721" s="139" t="n"/>
      <c r="G721" s="140">
        <f>IFERROR(IF(E721&gt;0,(F721/E721)*1000,""),"")</f>
        <v/>
      </c>
      <c r="H721" s="139">
        <f>IFERROR(IF(E721&gt;0,E721*IF(ISNUMBER(J721),J721,IF(C721="Futures",$C$6,$C$5)),""),"")</f>
        <v/>
      </c>
      <c r="I721" s="139">
        <f>IFERROR(IF(AND(ISNUMBER(F721),ISNUMBER(H721)),F721-H721,""),"")</f>
        <v/>
      </c>
      <c r="J721" s="114" t="n"/>
      <c r="K721" s="139">
        <f>IFERROR(IF(H721&gt;0,H721*$C$7,""),"")</f>
        <v/>
      </c>
      <c r="L721" s="139">
        <f>IFERROR(IF(ISNUMBER(F721),F721-IF(ISNUMBER(K721),K721,0),""),"")</f>
        <v/>
      </c>
    </row>
    <row r="722" ht="24" customHeight="1" s="63">
      <c r="E722" s="139" t="n"/>
      <c r="F722" s="139" t="n"/>
      <c r="G722" s="140">
        <f>IFERROR(IF(E722&gt;0,(F722/E722)*1000,""),"")</f>
        <v/>
      </c>
      <c r="H722" s="139">
        <f>IFERROR(IF(E722&gt;0,E722*IF(ISNUMBER(J722),J722,IF(C722="Futures",$C$6,$C$5)),""),"")</f>
        <v/>
      </c>
      <c r="I722" s="139">
        <f>IFERROR(IF(AND(ISNUMBER(F722),ISNUMBER(H722)),F722-H722,""),"")</f>
        <v/>
      </c>
      <c r="J722" s="114" t="n"/>
      <c r="K722" s="139">
        <f>IFERROR(IF(H722&gt;0,H722*$C$7,""),"")</f>
        <v/>
      </c>
      <c r="L722" s="139">
        <f>IFERROR(IF(ISNUMBER(F722),F722-IF(ISNUMBER(K722),K722,0),""),"")</f>
        <v/>
      </c>
    </row>
    <row r="723" ht="24" customHeight="1" s="63">
      <c r="E723" s="139" t="n"/>
      <c r="F723" s="139" t="n"/>
      <c r="G723" s="140">
        <f>IFERROR(IF(E723&gt;0,(F723/E723)*1000,""),"")</f>
        <v/>
      </c>
      <c r="H723" s="139">
        <f>IFERROR(IF(E723&gt;0,E723*IF(ISNUMBER(J723),J723,IF(C723="Futures",$C$6,$C$5)),""),"")</f>
        <v/>
      </c>
      <c r="I723" s="139">
        <f>IFERROR(IF(AND(ISNUMBER(F723),ISNUMBER(H723)),F723-H723,""),"")</f>
        <v/>
      </c>
      <c r="J723" s="114" t="n"/>
      <c r="K723" s="139">
        <f>IFERROR(IF(H723&gt;0,H723*$C$7,""),"")</f>
        <v/>
      </c>
      <c r="L723" s="139">
        <f>IFERROR(IF(ISNUMBER(F723),F723-IF(ISNUMBER(K723),K723,0),""),"")</f>
        <v/>
      </c>
    </row>
    <row r="724" ht="24" customHeight="1" s="63">
      <c r="E724" s="139" t="n"/>
      <c r="F724" s="139" t="n"/>
      <c r="G724" s="140">
        <f>IFERROR(IF(E724&gt;0,(F724/E724)*1000,""),"")</f>
        <v/>
      </c>
      <c r="H724" s="139">
        <f>IFERROR(IF(E724&gt;0,E724*IF(ISNUMBER(J724),J724,IF(C724="Futures",$C$6,$C$5)),""),"")</f>
        <v/>
      </c>
      <c r="I724" s="139">
        <f>IFERROR(IF(AND(ISNUMBER(F724),ISNUMBER(H724)),F724-H724,""),"")</f>
        <v/>
      </c>
      <c r="J724" s="114" t="n"/>
      <c r="K724" s="139">
        <f>IFERROR(IF(H724&gt;0,H724*$C$7,""),"")</f>
        <v/>
      </c>
      <c r="L724" s="139">
        <f>IFERROR(IF(ISNUMBER(F724),F724-IF(ISNUMBER(K724),K724,0),""),"")</f>
        <v/>
      </c>
    </row>
    <row r="725" ht="24" customHeight="1" s="63">
      <c r="E725" s="139" t="n"/>
      <c r="F725" s="139" t="n"/>
      <c r="G725" s="140">
        <f>IFERROR(IF(E725&gt;0,(F725/E725)*1000,""),"")</f>
        <v/>
      </c>
      <c r="H725" s="139">
        <f>IFERROR(IF(E725&gt;0,E725*IF(ISNUMBER(J725),J725,IF(C725="Futures",$C$6,$C$5)),""),"")</f>
        <v/>
      </c>
      <c r="I725" s="139">
        <f>IFERROR(IF(AND(ISNUMBER(F725),ISNUMBER(H725)),F725-H725,""),"")</f>
        <v/>
      </c>
      <c r="J725" s="114" t="n"/>
      <c r="K725" s="139">
        <f>IFERROR(IF(H725&gt;0,H725*$C$7,""),"")</f>
        <v/>
      </c>
      <c r="L725" s="139">
        <f>IFERROR(IF(ISNUMBER(F725),F725-IF(ISNUMBER(K725),K725,0),""),"")</f>
        <v/>
      </c>
    </row>
    <row r="726" ht="24" customHeight="1" s="63">
      <c r="E726" s="139" t="n"/>
      <c r="F726" s="139" t="n"/>
      <c r="G726" s="140">
        <f>IFERROR(IF(E726&gt;0,(F726/E726)*1000,""),"")</f>
        <v/>
      </c>
      <c r="H726" s="139">
        <f>IFERROR(IF(E726&gt;0,E726*IF(ISNUMBER(J726),J726,IF(C726="Futures",$C$6,$C$5)),""),"")</f>
        <v/>
      </c>
      <c r="I726" s="139">
        <f>IFERROR(IF(AND(ISNUMBER(F726),ISNUMBER(H726)),F726-H726,""),"")</f>
        <v/>
      </c>
      <c r="J726" s="114" t="n"/>
      <c r="K726" s="139">
        <f>IFERROR(IF(H726&gt;0,H726*$C$7,""),"")</f>
        <v/>
      </c>
      <c r="L726" s="139">
        <f>IFERROR(IF(ISNUMBER(F726),F726-IF(ISNUMBER(K726),K726,0),""),"")</f>
        <v/>
      </c>
    </row>
    <row r="727" ht="24" customHeight="1" s="63">
      <c r="E727" s="139" t="n"/>
      <c r="F727" s="139" t="n"/>
      <c r="G727" s="140">
        <f>IFERROR(IF(E727&gt;0,(F727/E727)*1000,""),"")</f>
        <v/>
      </c>
      <c r="H727" s="139">
        <f>IFERROR(IF(E727&gt;0,E727*IF(ISNUMBER(J727),J727,IF(C727="Futures",$C$6,$C$5)),""),"")</f>
        <v/>
      </c>
      <c r="I727" s="139">
        <f>IFERROR(IF(AND(ISNUMBER(F727),ISNUMBER(H727)),F727-H727,""),"")</f>
        <v/>
      </c>
      <c r="J727" s="114" t="n"/>
      <c r="K727" s="139">
        <f>IFERROR(IF(H727&gt;0,H727*$C$7,""),"")</f>
        <v/>
      </c>
      <c r="L727" s="139">
        <f>IFERROR(IF(ISNUMBER(F727),F727-IF(ISNUMBER(K727),K727,0),""),"")</f>
        <v/>
      </c>
    </row>
    <row r="728" ht="24" customHeight="1" s="63">
      <c r="E728" s="139" t="n"/>
      <c r="F728" s="139" t="n"/>
      <c r="G728" s="140">
        <f>IFERROR(IF(E728&gt;0,(F728/E728)*1000,""),"")</f>
        <v/>
      </c>
      <c r="H728" s="139">
        <f>IFERROR(IF(E728&gt;0,E728*IF(ISNUMBER(J728),J728,IF(C728="Futures",$C$6,$C$5)),""),"")</f>
        <v/>
      </c>
      <c r="I728" s="139">
        <f>IFERROR(IF(AND(ISNUMBER(F728),ISNUMBER(H728)),F728-H728,""),"")</f>
        <v/>
      </c>
      <c r="J728" s="114" t="n"/>
      <c r="K728" s="139">
        <f>IFERROR(IF(H728&gt;0,H728*$C$7,""),"")</f>
        <v/>
      </c>
      <c r="L728" s="139">
        <f>IFERROR(IF(ISNUMBER(F728),F728-IF(ISNUMBER(K728),K728,0),""),"")</f>
        <v/>
      </c>
    </row>
    <row r="729" ht="24" customHeight="1" s="63">
      <c r="E729" s="139" t="n"/>
      <c r="F729" s="139" t="n"/>
      <c r="G729" s="140">
        <f>IFERROR(IF(E729&gt;0,(F729/E729)*1000,""),"")</f>
        <v/>
      </c>
      <c r="H729" s="139">
        <f>IFERROR(IF(E729&gt;0,E729*IF(ISNUMBER(J729),J729,IF(C729="Futures",$C$6,$C$5)),""),"")</f>
        <v/>
      </c>
      <c r="I729" s="139">
        <f>IFERROR(IF(AND(ISNUMBER(F729),ISNUMBER(H729)),F729-H729,""),"")</f>
        <v/>
      </c>
      <c r="J729" s="114" t="n"/>
      <c r="K729" s="139">
        <f>IFERROR(IF(H729&gt;0,H729*$C$7,""),"")</f>
        <v/>
      </c>
      <c r="L729" s="139">
        <f>IFERROR(IF(ISNUMBER(F729),F729-IF(ISNUMBER(K729),K729,0),""),"")</f>
        <v/>
      </c>
    </row>
    <row r="730" ht="24" customHeight="1" s="63">
      <c r="E730" s="139" t="n"/>
      <c r="F730" s="139" t="n"/>
      <c r="G730" s="140">
        <f>IFERROR(IF(E730&gt;0,(F730/E730)*1000,""),"")</f>
        <v/>
      </c>
      <c r="H730" s="139">
        <f>IFERROR(IF(E730&gt;0,E730*IF(ISNUMBER(J730),J730,IF(C730="Futures",$C$6,$C$5)),""),"")</f>
        <v/>
      </c>
      <c r="I730" s="139">
        <f>IFERROR(IF(AND(ISNUMBER(F730),ISNUMBER(H730)),F730-H730,""),"")</f>
        <v/>
      </c>
      <c r="J730" s="114" t="n"/>
      <c r="K730" s="139">
        <f>IFERROR(IF(H730&gt;0,H730*$C$7,""),"")</f>
        <v/>
      </c>
      <c r="L730" s="139">
        <f>IFERROR(IF(ISNUMBER(F730),F730-IF(ISNUMBER(K730),K730,0),""),"")</f>
        <v/>
      </c>
    </row>
    <row r="731" ht="24" customHeight="1" s="63">
      <c r="E731" s="139" t="n"/>
      <c r="F731" s="139" t="n"/>
      <c r="G731" s="140">
        <f>IFERROR(IF(E731&gt;0,(F731/E731)*1000,""),"")</f>
        <v/>
      </c>
      <c r="H731" s="139">
        <f>IFERROR(IF(E731&gt;0,E731*IF(ISNUMBER(J731),J731,IF(C731="Futures",$C$6,$C$5)),""),"")</f>
        <v/>
      </c>
      <c r="I731" s="139">
        <f>IFERROR(IF(AND(ISNUMBER(F731),ISNUMBER(H731)),F731-H731,""),"")</f>
        <v/>
      </c>
      <c r="J731" s="114" t="n"/>
      <c r="K731" s="139">
        <f>IFERROR(IF(H731&gt;0,H731*$C$7,""),"")</f>
        <v/>
      </c>
      <c r="L731" s="139">
        <f>IFERROR(IF(ISNUMBER(F731),F731-IF(ISNUMBER(K731),K731,0),""),"")</f>
        <v/>
      </c>
    </row>
    <row r="732" ht="24" customHeight="1" s="63">
      <c r="E732" s="139" t="n"/>
      <c r="F732" s="139" t="n"/>
      <c r="G732" s="140">
        <f>IFERROR(IF(E732&gt;0,(F732/E732)*1000,""),"")</f>
        <v/>
      </c>
      <c r="H732" s="139">
        <f>IFERROR(IF(E732&gt;0,E732*IF(ISNUMBER(J732),J732,IF(C732="Futures",$C$6,$C$5)),""),"")</f>
        <v/>
      </c>
      <c r="I732" s="139">
        <f>IFERROR(IF(AND(ISNUMBER(F732),ISNUMBER(H732)),F732-H732,""),"")</f>
        <v/>
      </c>
      <c r="J732" s="114" t="n"/>
      <c r="K732" s="139">
        <f>IFERROR(IF(H732&gt;0,H732*$C$7,""),"")</f>
        <v/>
      </c>
      <c r="L732" s="139">
        <f>IFERROR(IF(ISNUMBER(F732),F732-IF(ISNUMBER(K732),K732,0),""),"")</f>
        <v/>
      </c>
    </row>
    <row r="733" ht="24" customHeight="1" s="63">
      <c r="E733" s="139" t="n"/>
      <c r="F733" s="139" t="n"/>
      <c r="G733" s="140">
        <f>IFERROR(IF(E733&gt;0,(F733/E733)*1000,""),"")</f>
        <v/>
      </c>
      <c r="H733" s="139">
        <f>IFERROR(IF(E733&gt;0,E733*IF(ISNUMBER(J733),J733,IF(C733="Futures",$C$6,$C$5)),""),"")</f>
        <v/>
      </c>
      <c r="I733" s="139">
        <f>IFERROR(IF(AND(ISNUMBER(F733),ISNUMBER(H733)),F733-H733,""),"")</f>
        <v/>
      </c>
      <c r="J733" s="114" t="n"/>
      <c r="K733" s="139">
        <f>IFERROR(IF(H733&gt;0,H733*$C$7,""),"")</f>
        <v/>
      </c>
      <c r="L733" s="139">
        <f>IFERROR(IF(ISNUMBER(F733),F733-IF(ISNUMBER(K733),K733,0),""),"")</f>
        <v/>
      </c>
    </row>
    <row r="734" ht="24" customHeight="1" s="63">
      <c r="E734" s="139" t="n"/>
      <c r="F734" s="139" t="n"/>
      <c r="G734" s="140">
        <f>IFERROR(IF(E734&gt;0,(F734/E734)*1000,""),"")</f>
        <v/>
      </c>
      <c r="H734" s="139">
        <f>IFERROR(IF(E734&gt;0,E734*IF(ISNUMBER(J734),J734,IF(C734="Futures",$C$6,$C$5)),""),"")</f>
        <v/>
      </c>
      <c r="I734" s="139">
        <f>IFERROR(IF(AND(ISNUMBER(F734),ISNUMBER(H734)),F734-H734,""),"")</f>
        <v/>
      </c>
      <c r="J734" s="114" t="n"/>
      <c r="K734" s="139">
        <f>IFERROR(IF(H734&gt;0,H734*$C$7,""),"")</f>
        <v/>
      </c>
      <c r="L734" s="139">
        <f>IFERROR(IF(ISNUMBER(F734),F734-IF(ISNUMBER(K734),K734,0),""),"")</f>
        <v/>
      </c>
    </row>
    <row r="735" ht="24" customHeight="1" s="63">
      <c r="E735" s="139" t="n"/>
      <c r="F735" s="139" t="n"/>
      <c r="G735" s="140">
        <f>IFERROR(IF(E735&gt;0,(F735/E735)*1000,""),"")</f>
        <v/>
      </c>
      <c r="H735" s="139">
        <f>IFERROR(IF(E735&gt;0,E735*IF(ISNUMBER(J735),J735,IF(C735="Futures",$C$6,$C$5)),""),"")</f>
        <v/>
      </c>
      <c r="I735" s="139">
        <f>IFERROR(IF(AND(ISNUMBER(F735),ISNUMBER(H735)),F735-H735,""),"")</f>
        <v/>
      </c>
      <c r="J735" s="114" t="n"/>
      <c r="K735" s="139">
        <f>IFERROR(IF(H735&gt;0,H735*$C$7,""),"")</f>
        <v/>
      </c>
      <c r="L735" s="139">
        <f>IFERROR(IF(ISNUMBER(F735),F735-IF(ISNUMBER(K735),K735,0),""),"")</f>
        <v/>
      </c>
    </row>
    <row r="736" ht="24" customHeight="1" s="63">
      <c r="E736" s="139" t="n"/>
      <c r="F736" s="139" t="n"/>
      <c r="G736" s="140">
        <f>IFERROR(IF(E736&gt;0,(F736/E736)*1000,""),"")</f>
        <v/>
      </c>
      <c r="H736" s="139">
        <f>IFERROR(IF(E736&gt;0,E736*IF(ISNUMBER(J736),J736,IF(C736="Futures",$C$6,$C$5)),""),"")</f>
        <v/>
      </c>
      <c r="I736" s="139">
        <f>IFERROR(IF(AND(ISNUMBER(F736),ISNUMBER(H736)),F736-H736,""),"")</f>
        <v/>
      </c>
      <c r="J736" s="114" t="n"/>
      <c r="K736" s="139">
        <f>IFERROR(IF(H736&gt;0,H736*$C$7,""),"")</f>
        <v/>
      </c>
      <c r="L736" s="139">
        <f>IFERROR(IF(ISNUMBER(F736),F736-IF(ISNUMBER(K736),K736,0),""),"")</f>
        <v/>
      </c>
    </row>
    <row r="737" ht="24" customHeight="1" s="63">
      <c r="E737" s="139" t="n"/>
      <c r="F737" s="139" t="n"/>
      <c r="G737" s="140">
        <f>IFERROR(IF(E737&gt;0,(F737/E737)*1000,""),"")</f>
        <v/>
      </c>
      <c r="H737" s="139">
        <f>IFERROR(IF(E737&gt;0,E737*IF(ISNUMBER(J737),J737,IF(C737="Futures",$C$6,$C$5)),""),"")</f>
        <v/>
      </c>
      <c r="I737" s="139">
        <f>IFERROR(IF(AND(ISNUMBER(F737),ISNUMBER(H737)),F737-H737,""),"")</f>
        <v/>
      </c>
      <c r="J737" s="114" t="n"/>
      <c r="K737" s="139">
        <f>IFERROR(IF(H737&gt;0,H737*$C$7,""),"")</f>
        <v/>
      </c>
      <c r="L737" s="139">
        <f>IFERROR(IF(ISNUMBER(F737),F737-IF(ISNUMBER(K737),K737,0),""),"")</f>
        <v/>
      </c>
    </row>
    <row r="738" ht="24" customHeight="1" s="63">
      <c r="E738" s="139" t="n"/>
      <c r="F738" s="139" t="n"/>
      <c r="G738" s="140">
        <f>IFERROR(IF(E738&gt;0,(F738/E738)*1000,""),"")</f>
        <v/>
      </c>
      <c r="H738" s="139">
        <f>IFERROR(IF(E738&gt;0,E738*IF(ISNUMBER(J738),J738,IF(C738="Futures",$C$6,$C$5)),""),"")</f>
        <v/>
      </c>
      <c r="I738" s="139">
        <f>IFERROR(IF(AND(ISNUMBER(F738),ISNUMBER(H738)),F738-H738,""),"")</f>
        <v/>
      </c>
      <c r="J738" s="114" t="n"/>
      <c r="K738" s="139">
        <f>IFERROR(IF(H738&gt;0,H738*$C$7,""),"")</f>
        <v/>
      </c>
      <c r="L738" s="139">
        <f>IFERROR(IF(ISNUMBER(F738),F738-IF(ISNUMBER(K738),K738,0),""),"")</f>
        <v/>
      </c>
    </row>
    <row r="739" ht="24" customHeight="1" s="63">
      <c r="E739" s="139" t="n"/>
      <c r="F739" s="139" t="n"/>
      <c r="G739" s="140">
        <f>IFERROR(IF(E739&gt;0,(F739/E739)*1000,""),"")</f>
        <v/>
      </c>
      <c r="H739" s="139">
        <f>IFERROR(IF(E739&gt;0,E739*IF(ISNUMBER(J739),J739,IF(C739="Futures",$C$6,$C$5)),""),"")</f>
        <v/>
      </c>
      <c r="I739" s="139">
        <f>IFERROR(IF(AND(ISNUMBER(F739),ISNUMBER(H739)),F739-H739,""),"")</f>
        <v/>
      </c>
      <c r="J739" s="114" t="n"/>
      <c r="K739" s="139">
        <f>IFERROR(IF(H739&gt;0,H739*$C$7,""),"")</f>
        <v/>
      </c>
      <c r="L739" s="139">
        <f>IFERROR(IF(ISNUMBER(F739),F739-IF(ISNUMBER(K739),K739,0),""),"")</f>
        <v/>
      </c>
    </row>
    <row r="740" ht="24" customHeight="1" s="63">
      <c r="E740" s="139" t="n"/>
      <c r="F740" s="139" t="n"/>
      <c r="G740" s="140">
        <f>IFERROR(IF(E740&gt;0,(F740/E740)*1000,""),"")</f>
        <v/>
      </c>
      <c r="H740" s="139">
        <f>IFERROR(IF(E740&gt;0,E740*IF(ISNUMBER(J740),J740,IF(C740="Futures",$C$6,$C$5)),""),"")</f>
        <v/>
      </c>
      <c r="I740" s="139">
        <f>IFERROR(IF(AND(ISNUMBER(F740),ISNUMBER(H740)),F740-H740,""),"")</f>
        <v/>
      </c>
      <c r="J740" s="114" t="n"/>
      <c r="K740" s="139">
        <f>IFERROR(IF(H740&gt;0,H740*$C$7,""),"")</f>
        <v/>
      </c>
      <c r="L740" s="139">
        <f>IFERROR(IF(ISNUMBER(F740),F740-IF(ISNUMBER(K740),K740,0),""),"")</f>
        <v/>
      </c>
    </row>
    <row r="741" ht="24" customHeight="1" s="63">
      <c r="E741" s="139" t="n"/>
      <c r="F741" s="139" t="n"/>
      <c r="G741" s="140">
        <f>IFERROR(IF(E741&gt;0,(F741/E741)*1000,""),"")</f>
        <v/>
      </c>
      <c r="H741" s="139">
        <f>IFERROR(IF(E741&gt;0,E741*IF(ISNUMBER(J741),J741,IF(C741="Futures",$C$6,$C$5)),""),"")</f>
        <v/>
      </c>
      <c r="I741" s="139">
        <f>IFERROR(IF(AND(ISNUMBER(F741),ISNUMBER(H741)),F741-H741,""),"")</f>
        <v/>
      </c>
      <c r="J741" s="114" t="n"/>
      <c r="K741" s="139">
        <f>IFERROR(IF(H741&gt;0,H741*$C$7,""),"")</f>
        <v/>
      </c>
      <c r="L741" s="139">
        <f>IFERROR(IF(ISNUMBER(F741),F741-IF(ISNUMBER(K741),K741,0),""),"")</f>
        <v/>
      </c>
    </row>
    <row r="742" ht="24" customHeight="1" s="63">
      <c r="E742" s="139" t="n"/>
      <c r="F742" s="139" t="n"/>
      <c r="G742" s="140">
        <f>IFERROR(IF(E742&gt;0,(F742/E742)*1000,""),"")</f>
        <v/>
      </c>
      <c r="H742" s="139">
        <f>IFERROR(IF(E742&gt;0,E742*IF(ISNUMBER(J742),J742,IF(C742="Futures",$C$6,$C$5)),""),"")</f>
        <v/>
      </c>
      <c r="I742" s="139">
        <f>IFERROR(IF(AND(ISNUMBER(F742),ISNUMBER(H742)),F742-H742,""),"")</f>
        <v/>
      </c>
      <c r="J742" s="114" t="n"/>
      <c r="K742" s="139">
        <f>IFERROR(IF(H742&gt;0,H742*$C$7,""),"")</f>
        <v/>
      </c>
      <c r="L742" s="139">
        <f>IFERROR(IF(ISNUMBER(F742),F742-IF(ISNUMBER(K742),K742,0),""),"")</f>
        <v/>
      </c>
    </row>
    <row r="743" ht="24" customHeight="1" s="63">
      <c r="E743" s="139" t="n"/>
      <c r="F743" s="139" t="n"/>
      <c r="G743" s="140">
        <f>IFERROR(IF(E743&gt;0,(F743/E743)*1000,""),"")</f>
        <v/>
      </c>
      <c r="H743" s="139">
        <f>IFERROR(IF(E743&gt;0,E743*IF(ISNUMBER(J743),J743,IF(C743="Futures",$C$6,$C$5)),""),"")</f>
        <v/>
      </c>
      <c r="I743" s="139">
        <f>IFERROR(IF(AND(ISNUMBER(F743),ISNUMBER(H743)),F743-H743,""),"")</f>
        <v/>
      </c>
      <c r="J743" s="114" t="n"/>
      <c r="K743" s="139">
        <f>IFERROR(IF(H743&gt;0,H743*$C$7,""),"")</f>
        <v/>
      </c>
      <c r="L743" s="139">
        <f>IFERROR(IF(ISNUMBER(F743),F743-IF(ISNUMBER(K743),K743,0),""),"")</f>
        <v/>
      </c>
    </row>
    <row r="744" ht="24" customHeight="1" s="63">
      <c r="E744" s="139" t="n"/>
      <c r="F744" s="139" t="n"/>
      <c r="G744" s="140">
        <f>IFERROR(IF(E744&gt;0,(F744/E744)*1000,""),"")</f>
        <v/>
      </c>
      <c r="H744" s="139">
        <f>IFERROR(IF(E744&gt;0,E744*IF(ISNUMBER(J744),J744,IF(C744="Futures",$C$6,$C$5)),""),"")</f>
        <v/>
      </c>
      <c r="I744" s="139">
        <f>IFERROR(IF(AND(ISNUMBER(F744),ISNUMBER(H744)),F744-H744,""),"")</f>
        <v/>
      </c>
      <c r="J744" s="114" t="n"/>
      <c r="K744" s="139">
        <f>IFERROR(IF(H744&gt;0,H744*$C$7,""),"")</f>
        <v/>
      </c>
      <c r="L744" s="139">
        <f>IFERROR(IF(ISNUMBER(F744),F744-IF(ISNUMBER(K744),K744,0),""),"")</f>
        <v/>
      </c>
    </row>
    <row r="745" ht="24" customHeight="1" s="63">
      <c r="E745" s="139" t="n"/>
      <c r="F745" s="139" t="n"/>
      <c r="G745" s="140">
        <f>IFERROR(IF(E745&gt;0,(F745/E745)*1000,""),"")</f>
        <v/>
      </c>
      <c r="H745" s="139">
        <f>IFERROR(IF(E745&gt;0,E745*IF(ISNUMBER(J745),J745,IF(C745="Futures",$C$6,$C$5)),""),"")</f>
        <v/>
      </c>
      <c r="I745" s="139">
        <f>IFERROR(IF(AND(ISNUMBER(F745),ISNUMBER(H745)),F745-H745,""),"")</f>
        <v/>
      </c>
      <c r="J745" s="114" t="n"/>
      <c r="K745" s="139">
        <f>IFERROR(IF(H745&gt;0,H745*$C$7,""),"")</f>
        <v/>
      </c>
      <c r="L745" s="139">
        <f>IFERROR(IF(ISNUMBER(F745),F745-IF(ISNUMBER(K745),K745,0),""),"")</f>
        <v/>
      </c>
    </row>
    <row r="746" ht="24" customHeight="1" s="63">
      <c r="E746" s="139" t="n"/>
      <c r="F746" s="139" t="n"/>
      <c r="G746" s="140">
        <f>IFERROR(IF(E746&gt;0,(F746/E746)*1000,""),"")</f>
        <v/>
      </c>
      <c r="H746" s="139">
        <f>IFERROR(IF(E746&gt;0,E746*IF(ISNUMBER(J746),J746,IF(C746="Futures",$C$6,$C$5)),""),"")</f>
        <v/>
      </c>
      <c r="I746" s="139">
        <f>IFERROR(IF(AND(ISNUMBER(F746),ISNUMBER(H746)),F746-H746,""),"")</f>
        <v/>
      </c>
      <c r="J746" s="114" t="n"/>
      <c r="K746" s="139">
        <f>IFERROR(IF(H746&gt;0,H746*$C$7,""),"")</f>
        <v/>
      </c>
      <c r="L746" s="139">
        <f>IFERROR(IF(ISNUMBER(F746),F746-IF(ISNUMBER(K746),K746,0),""),"")</f>
        <v/>
      </c>
    </row>
    <row r="747" ht="24" customHeight="1" s="63">
      <c r="E747" s="139" t="n"/>
      <c r="F747" s="139" t="n"/>
      <c r="G747" s="140">
        <f>IFERROR(IF(E747&gt;0,(F747/E747)*1000,""),"")</f>
        <v/>
      </c>
      <c r="H747" s="139">
        <f>IFERROR(IF(E747&gt;0,E747*IF(ISNUMBER(J747),J747,IF(C747="Futures",$C$6,$C$5)),""),"")</f>
        <v/>
      </c>
      <c r="I747" s="139">
        <f>IFERROR(IF(AND(ISNUMBER(F747),ISNUMBER(H747)),F747-H747,""),"")</f>
        <v/>
      </c>
      <c r="J747" s="114" t="n"/>
      <c r="K747" s="139">
        <f>IFERROR(IF(H747&gt;0,H747*$C$7,""),"")</f>
        <v/>
      </c>
      <c r="L747" s="139">
        <f>IFERROR(IF(ISNUMBER(F747),F747-IF(ISNUMBER(K747),K747,0),""),"")</f>
        <v/>
      </c>
    </row>
    <row r="748" ht="24" customHeight="1" s="63">
      <c r="E748" s="139" t="n"/>
      <c r="F748" s="139" t="n"/>
      <c r="G748" s="140">
        <f>IFERROR(IF(E748&gt;0,(F748/E748)*1000,""),"")</f>
        <v/>
      </c>
      <c r="H748" s="139">
        <f>IFERROR(IF(E748&gt;0,E748*IF(ISNUMBER(J748),J748,IF(C748="Futures",$C$6,$C$5)),""),"")</f>
        <v/>
      </c>
      <c r="I748" s="139">
        <f>IFERROR(IF(AND(ISNUMBER(F748),ISNUMBER(H748)),F748-H748,""),"")</f>
        <v/>
      </c>
      <c r="J748" s="114" t="n"/>
      <c r="K748" s="139">
        <f>IFERROR(IF(H748&gt;0,H748*$C$7,""),"")</f>
        <v/>
      </c>
      <c r="L748" s="139">
        <f>IFERROR(IF(ISNUMBER(F748),F748-IF(ISNUMBER(K748),K748,0),""),"")</f>
        <v/>
      </c>
    </row>
    <row r="749" ht="24" customHeight="1" s="63">
      <c r="E749" s="139" t="n"/>
      <c r="F749" s="139" t="n"/>
      <c r="G749" s="140">
        <f>IFERROR(IF(E749&gt;0,(F749/E749)*1000,""),"")</f>
        <v/>
      </c>
      <c r="H749" s="139">
        <f>IFERROR(IF(E749&gt;0,E749*IF(ISNUMBER(J749),J749,IF(C749="Futures",$C$6,$C$5)),""),"")</f>
        <v/>
      </c>
      <c r="I749" s="139">
        <f>IFERROR(IF(AND(ISNUMBER(F749),ISNUMBER(H749)),F749-H749,""),"")</f>
        <v/>
      </c>
      <c r="J749" s="114" t="n"/>
      <c r="K749" s="139">
        <f>IFERROR(IF(H749&gt;0,H749*$C$7,""),"")</f>
        <v/>
      </c>
      <c r="L749" s="139">
        <f>IFERROR(IF(ISNUMBER(F749),F749-IF(ISNUMBER(K749),K749,0),""),"")</f>
        <v/>
      </c>
    </row>
    <row r="750" ht="24" customHeight="1" s="63">
      <c r="E750" s="139" t="n"/>
      <c r="F750" s="139" t="n"/>
      <c r="G750" s="140">
        <f>IFERROR(IF(E750&gt;0,(F750/E750)*1000,""),"")</f>
        <v/>
      </c>
      <c r="H750" s="139">
        <f>IFERROR(IF(E750&gt;0,E750*IF(ISNUMBER(J750),J750,IF(C750="Futures",$C$6,$C$5)),""),"")</f>
        <v/>
      </c>
      <c r="I750" s="139">
        <f>IFERROR(IF(AND(ISNUMBER(F750),ISNUMBER(H750)),F750-H750,""),"")</f>
        <v/>
      </c>
      <c r="J750" s="114" t="n"/>
      <c r="K750" s="139">
        <f>IFERROR(IF(H750&gt;0,H750*$C$7,""),"")</f>
        <v/>
      </c>
      <c r="L750" s="139">
        <f>IFERROR(IF(ISNUMBER(F750),F750-IF(ISNUMBER(K750),K750,0),""),"")</f>
        <v/>
      </c>
    </row>
    <row r="751" ht="24" customHeight="1" s="63">
      <c r="E751" s="139" t="n"/>
      <c r="F751" s="139" t="n"/>
      <c r="G751" s="140">
        <f>IFERROR(IF(E751&gt;0,(F751/E751)*1000,""),"")</f>
        <v/>
      </c>
      <c r="H751" s="139">
        <f>IFERROR(IF(E751&gt;0,E751*IF(ISNUMBER(J751),J751,IF(C751="Futures",$C$6,$C$5)),""),"")</f>
        <v/>
      </c>
      <c r="I751" s="139">
        <f>IFERROR(IF(AND(ISNUMBER(F751),ISNUMBER(H751)),F751-H751,""),"")</f>
        <v/>
      </c>
      <c r="J751" s="114" t="n"/>
      <c r="K751" s="139">
        <f>IFERROR(IF(H751&gt;0,H751*$C$7,""),"")</f>
        <v/>
      </c>
      <c r="L751" s="139">
        <f>IFERROR(IF(ISNUMBER(F751),F751-IF(ISNUMBER(K751),K751,0),""),"")</f>
        <v/>
      </c>
    </row>
    <row r="752" ht="24" customHeight="1" s="63">
      <c r="E752" s="139" t="n"/>
      <c r="F752" s="139" t="n"/>
      <c r="G752" s="140">
        <f>IFERROR(IF(E752&gt;0,(F752/E752)*1000,""),"")</f>
        <v/>
      </c>
      <c r="H752" s="139">
        <f>IFERROR(IF(E752&gt;0,E752*IF(ISNUMBER(J752),J752,IF(C752="Futures",$C$6,$C$5)),""),"")</f>
        <v/>
      </c>
      <c r="I752" s="139">
        <f>IFERROR(IF(AND(ISNUMBER(F752),ISNUMBER(H752)),F752-H752,""),"")</f>
        <v/>
      </c>
      <c r="J752" s="114" t="n"/>
      <c r="K752" s="139">
        <f>IFERROR(IF(H752&gt;0,H752*$C$7,""),"")</f>
        <v/>
      </c>
      <c r="L752" s="139">
        <f>IFERROR(IF(ISNUMBER(F752),F752-IF(ISNUMBER(K752),K752,0),""),"")</f>
        <v/>
      </c>
    </row>
    <row r="753" ht="24" customHeight="1" s="63">
      <c r="E753" s="139" t="n"/>
      <c r="F753" s="139" t="n"/>
      <c r="G753" s="140">
        <f>IFERROR(IF(E753&gt;0,(F753/E753)*1000,""),"")</f>
        <v/>
      </c>
      <c r="H753" s="139">
        <f>IFERROR(IF(E753&gt;0,E753*IF(ISNUMBER(J753),J753,IF(C753="Futures",$C$6,$C$5)),""),"")</f>
        <v/>
      </c>
      <c r="I753" s="139">
        <f>IFERROR(IF(AND(ISNUMBER(F753),ISNUMBER(H753)),F753-H753,""),"")</f>
        <v/>
      </c>
      <c r="J753" s="114" t="n"/>
      <c r="K753" s="139">
        <f>IFERROR(IF(H753&gt;0,H753*$C$7,""),"")</f>
        <v/>
      </c>
      <c r="L753" s="139">
        <f>IFERROR(IF(ISNUMBER(F753),F753-IF(ISNUMBER(K753),K753,0),""),"")</f>
        <v/>
      </c>
    </row>
    <row r="754" ht="24" customHeight="1" s="63">
      <c r="E754" s="139" t="n"/>
      <c r="F754" s="139" t="n"/>
      <c r="G754" s="140">
        <f>IFERROR(IF(E754&gt;0,(F754/E754)*1000,""),"")</f>
        <v/>
      </c>
      <c r="H754" s="139">
        <f>IFERROR(IF(E754&gt;0,E754*IF(ISNUMBER(J754),J754,IF(C754="Futures",$C$6,$C$5)),""),"")</f>
        <v/>
      </c>
      <c r="I754" s="139">
        <f>IFERROR(IF(AND(ISNUMBER(F754),ISNUMBER(H754)),F754-H754,""),"")</f>
        <v/>
      </c>
      <c r="J754" s="114" t="n"/>
      <c r="K754" s="139">
        <f>IFERROR(IF(H754&gt;0,H754*$C$7,""),"")</f>
        <v/>
      </c>
      <c r="L754" s="139">
        <f>IFERROR(IF(ISNUMBER(F754),F754-IF(ISNUMBER(K754),K754,0),""),"")</f>
        <v/>
      </c>
    </row>
    <row r="755" ht="24" customHeight="1" s="63">
      <c r="E755" s="139" t="n"/>
      <c r="F755" s="139" t="n"/>
      <c r="G755" s="140">
        <f>IFERROR(IF(E755&gt;0,(F755/E755)*1000,""),"")</f>
        <v/>
      </c>
      <c r="H755" s="139">
        <f>IFERROR(IF(E755&gt;0,E755*IF(ISNUMBER(J755),J755,IF(C755="Futures",$C$6,$C$5)),""),"")</f>
        <v/>
      </c>
      <c r="I755" s="139">
        <f>IFERROR(IF(AND(ISNUMBER(F755),ISNUMBER(H755)),F755-H755,""),"")</f>
        <v/>
      </c>
      <c r="J755" s="114" t="n"/>
      <c r="K755" s="139">
        <f>IFERROR(IF(H755&gt;0,H755*$C$7,""),"")</f>
        <v/>
      </c>
      <c r="L755" s="139">
        <f>IFERROR(IF(ISNUMBER(F755),F755-IF(ISNUMBER(K755),K755,0),""),"")</f>
        <v/>
      </c>
    </row>
    <row r="756" ht="24" customHeight="1" s="63">
      <c r="E756" s="139" t="n"/>
      <c r="F756" s="139" t="n"/>
      <c r="G756" s="140">
        <f>IFERROR(IF(E756&gt;0,(F756/E756)*1000,""),"")</f>
        <v/>
      </c>
      <c r="H756" s="139">
        <f>IFERROR(IF(E756&gt;0,E756*IF(ISNUMBER(J756),J756,IF(C756="Futures",$C$6,$C$5)),""),"")</f>
        <v/>
      </c>
      <c r="I756" s="139">
        <f>IFERROR(IF(AND(ISNUMBER(F756),ISNUMBER(H756)),F756-H756,""),"")</f>
        <v/>
      </c>
      <c r="J756" s="114" t="n"/>
      <c r="K756" s="139">
        <f>IFERROR(IF(H756&gt;0,H756*$C$7,""),"")</f>
        <v/>
      </c>
      <c r="L756" s="139">
        <f>IFERROR(IF(ISNUMBER(F756),F756-IF(ISNUMBER(K756),K756,0),""),"")</f>
        <v/>
      </c>
    </row>
    <row r="757" ht="24" customHeight="1" s="63">
      <c r="E757" s="139" t="n"/>
      <c r="F757" s="139" t="n"/>
      <c r="G757" s="140">
        <f>IFERROR(IF(E757&gt;0,(F757/E757)*1000,""),"")</f>
        <v/>
      </c>
      <c r="H757" s="139">
        <f>IFERROR(IF(E757&gt;0,E757*IF(ISNUMBER(J757),J757,IF(C757="Futures",$C$6,$C$5)),""),"")</f>
        <v/>
      </c>
      <c r="I757" s="139">
        <f>IFERROR(IF(AND(ISNUMBER(F757),ISNUMBER(H757)),F757-H757,""),"")</f>
        <v/>
      </c>
      <c r="J757" s="114" t="n"/>
      <c r="K757" s="139">
        <f>IFERROR(IF(H757&gt;0,H757*$C$7,""),"")</f>
        <v/>
      </c>
      <c r="L757" s="139">
        <f>IFERROR(IF(ISNUMBER(F757),F757-IF(ISNUMBER(K757),K757,0),""),"")</f>
        <v/>
      </c>
    </row>
    <row r="758" ht="24" customHeight="1" s="63">
      <c r="E758" s="139" t="n"/>
      <c r="F758" s="139" t="n"/>
      <c r="G758" s="140">
        <f>IFERROR(IF(E758&gt;0,(F758/E758)*1000,""),"")</f>
        <v/>
      </c>
      <c r="H758" s="139">
        <f>IFERROR(IF(E758&gt;0,E758*IF(ISNUMBER(J758),J758,IF(C758="Futures",$C$6,$C$5)),""),"")</f>
        <v/>
      </c>
      <c r="I758" s="139">
        <f>IFERROR(IF(AND(ISNUMBER(F758),ISNUMBER(H758)),F758-H758,""),"")</f>
        <v/>
      </c>
      <c r="J758" s="114" t="n"/>
      <c r="K758" s="139">
        <f>IFERROR(IF(H758&gt;0,H758*$C$7,""),"")</f>
        <v/>
      </c>
      <c r="L758" s="139">
        <f>IFERROR(IF(ISNUMBER(F758),F758-IF(ISNUMBER(K758),K758,0),""),"")</f>
        <v/>
      </c>
    </row>
    <row r="759" ht="24" customHeight="1" s="63">
      <c r="E759" s="139" t="n"/>
      <c r="F759" s="139" t="n"/>
      <c r="G759" s="140">
        <f>IFERROR(IF(E759&gt;0,(F759/E759)*1000,""),"")</f>
        <v/>
      </c>
      <c r="H759" s="139">
        <f>IFERROR(IF(E759&gt;0,E759*IF(ISNUMBER(J759),J759,IF(C759="Futures",$C$6,$C$5)),""),"")</f>
        <v/>
      </c>
      <c r="I759" s="139">
        <f>IFERROR(IF(AND(ISNUMBER(F759),ISNUMBER(H759)),F759-H759,""),"")</f>
        <v/>
      </c>
      <c r="J759" s="114" t="n"/>
      <c r="K759" s="139">
        <f>IFERROR(IF(H759&gt;0,H759*$C$7,""),"")</f>
        <v/>
      </c>
      <c r="L759" s="139">
        <f>IFERROR(IF(ISNUMBER(F759),F759-IF(ISNUMBER(K759),K759,0),""),"")</f>
        <v/>
      </c>
    </row>
    <row r="760" ht="24" customHeight="1" s="63">
      <c r="E760" s="139" t="n"/>
      <c r="F760" s="139" t="n"/>
      <c r="G760" s="140">
        <f>IFERROR(IF(E760&gt;0,(F760/E760)*1000,""),"")</f>
        <v/>
      </c>
      <c r="H760" s="139">
        <f>IFERROR(IF(E760&gt;0,E760*IF(ISNUMBER(J760),J760,IF(C760="Futures",$C$6,$C$5)),""),"")</f>
        <v/>
      </c>
      <c r="I760" s="139">
        <f>IFERROR(IF(AND(ISNUMBER(F760),ISNUMBER(H760)),F760-H760,""),"")</f>
        <v/>
      </c>
      <c r="J760" s="114" t="n"/>
      <c r="K760" s="139">
        <f>IFERROR(IF(H760&gt;0,H760*$C$7,""),"")</f>
        <v/>
      </c>
      <c r="L760" s="139">
        <f>IFERROR(IF(ISNUMBER(F760),F760-IF(ISNUMBER(K760),K760,0),""),"")</f>
        <v/>
      </c>
    </row>
    <row r="761" ht="24" customHeight="1" s="63">
      <c r="E761" s="139" t="n"/>
      <c r="F761" s="139" t="n"/>
      <c r="G761" s="140">
        <f>IFERROR(IF(E761&gt;0,(F761/E761)*1000,""),"")</f>
        <v/>
      </c>
      <c r="H761" s="139">
        <f>IFERROR(IF(E761&gt;0,E761*IF(ISNUMBER(J761),J761,IF(C761="Futures",$C$6,$C$5)),""),"")</f>
        <v/>
      </c>
      <c r="I761" s="139">
        <f>IFERROR(IF(AND(ISNUMBER(F761),ISNUMBER(H761)),F761-H761,""),"")</f>
        <v/>
      </c>
      <c r="J761" s="114" t="n"/>
      <c r="K761" s="139">
        <f>IFERROR(IF(H761&gt;0,H761*$C$7,""),"")</f>
        <v/>
      </c>
      <c r="L761" s="139">
        <f>IFERROR(IF(ISNUMBER(F761),F761-IF(ISNUMBER(K761),K761,0),""),"")</f>
        <v/>
      </c>
    </row>
    <row r="762" ht="24" customHeight="1" s="63">
      <c r="E762" s="139" t="n"/>
      <c r="F762" s="139" t="n"/>
      <c r="G762" s="140">
        <f>IFERROR(IF(E762&gt;0,(F762/E762)*1000,""),"")</f>
        <v/>
      </c>
      <c r="H762" s="139">
        <f>IFERROR(IF(E762&gt;0,E762*IF(ISNUMBER(J762),J762,IF(C762="Futures",$C$6,$C$5)),""),"")</f>
        <v/>
      </c>
      <c r="I762" s="139">
        <f>IFERROR(IF(AND(ISNUMBER(F762),ISNUMBER(H762)),F762-H762,""),"")</f>
        <v/>
      </c>
      <c r="J762" s="114" t="n"/>
      <c r="K762" s="139">
        <f>IFERROR(IF(H762&gt;0,H762*$C$7,""),"")</f>
        <v/>
      </c>
      <c r="L762" s="139">
        <f>IFERROR(IF(ISNUMBER(F762),F762-IF(ISNUMBER(K762),K762,0),""),"")</f>
        <v/>
      </c>
    </row>
    <row r="763" ht="24" customHeight="1" s="63">
      <c r="E763" s="139" t="n"/>
      <c r="F763" s="139" t="n"/>
      <c r="G763" s="140">
        <f>IFERROR(IF(E763&gt;0,(F763/E763)*1000,""),"")</f>
        <v/>
      </c>
      <c r="H763" s="139">
        <f>IFERROR(IF(E763&gt;0,E763*IF(ISNUMBER(J763),J763,IF(C763="Futures",$C$6,$C$5)),""),"")</f>
        <v/>
      </c>
      <c r="I763" s="139">
        <f>IFERROR(IF(AND(ISNUMBER(F763),ISNUMBER(H763)),F763-H763,""),"")</f>
        <v/>
      </c>
      <c r="J763" s="114" t="n"/>
      <c r="K763" s="139">
        <f>IFERROR(IF(H763&gt;0,H763*$C$7,""),"")</f>
        <v/>
      </c>
      <c r="L763" s="139">
        <f>IFERROR(IF(ISNUMBER(F763),F763-IF(ISNUMBER(K763),K763,0),""),"")</f>
        <v/>
      </c>
    </row>
    <row r="764" ht="24" customHeight="1" s="63">
      <c r="E764" s="139" t="n"/>
      <c r="F764" s="139" t="n"/>
      <c r="G764" s="140">
        <f>IFERROR(IF(E764&gt;0,(F764/E764)*1000,""),"")</f>
        <v/>
      </c>
      <c r="H764" s="139">
        <f>IFERROR(IF(E764&gt;0,E764*IF(ISNUMBER(J764),J764,IF(C764="Futures",$C$6,$C$5)),""),"")</f>
        <v/>
      </c>
      <c r="I764" s="139">
        <f>IFERROR(IF(AND(ISNUMBER(F764),ISNUMBER(H764)),F764-H764,""),"")</f>
        <v/>
      </c>
      <c r="J764" s="114" t="n"/>
      <c r="K764" s="139">
        <f>IFERROR(IF(H764&gt;0,H764*$C$7,""),"")</f>
        <v/>
      </c>
      <c r="L764" s="139">
        <f>IFERROR(IF(ISNUMBER(F764),F764-IF(ISNUMBER(K764),K764,0),""),"")</f>
        <v/>
      </c>
    </row>
    <row r="765" ht="24" customHeight="1" s="63">
      <c r="E765" s="139" t="n"/>
      <c r="F765" s="139" t="n"/>
      <c r="G765" s="140">
        <f>IFERROR(IF(E765&gt;0,(F765/E765)*1000,""),"")</f>
        <v/>
      </c>
      <c r="H765" s="139">
        <f>IFERROR(IF(E765&gt;0,E765*IF(ISNUMBER(J765),J765,IF(C765="Futures",$C$6,$C$5)),""),"")</f>
        <v/>
      </c>
      <c r="I765" s="139">
        <f>IFERROR(IF(AND(ISNUMBER(F765),ISNUMBER(H765)),F765-H765,""),"")</f>
        <v/>
      </c>
      <c r="J765" s="114" t="n"/>
      <c r="K765" s="139">
        <f>IFERROR(IF(H765&gt;0,H765*$C$7,""),"")</f>
        <v/>
      </c>
      <c r="L765" s="139">
        <f>IFERROR(IF(ISNUMBER(F765),F765-IF(ISNUMBER(K765),K765,0),""),"")</f>
        <v/>
      </c>
    </row>
    <row r="766" ht="24" customHeight="1" s="63">
      <c r="E766" s="139" t="n"/>
      <c r="F766" s="139" t="n"/>
      <c r="G766" s="140">
        <f>IFERROR(IF(E766&gt;0,(F766/E766)*1000,""),"")</f>
        <v/>
      </c>
      <c r="H766" s="139">
        <f>IFERROR(IF(E766&gt;0,E766*IF(ISNUMBER(J766),J766,IF(C766="Futures",$C$6,$C$5)),""),"")</f>
        <v/>
      </c>
      <c r="I766" s="139">
        <f>IFERROR(IF(AND(ISNUMBER(F766),ISNUMBER(H766)),F766-H766,""),"")</f>
        <v/>
      </c>
      <c r="J766" s="114" t="n"/>
      <c r="K766" s="139">
        <f>IFERROR(IF(H766&gt;0,H766*$C$7,""),"")</f>
        <v/>
      </c>
      <c r="L766" s="139">
        <f>IFERROR(IF(ISNUMBER(F766),F766-IF(ISNUMBER(K766),K766,0),""),"")</f>
        <v/>
      </c>
    </row>
    <row r="767" ht="24" customHeight="1" s="63">
      <c r="E767" s="139" t="n"/>
      <c r="F767" s="139" t="n"/>
      <c r="G767" s="140">
        <f>IFERROR(IF(E767&gt;0,(F767/E767)*1000,""),"")</f>
        <v/>
      </c>
      <c r="H767" s="139">
        <f>IFERROR(IF(E767&gt;0,E767*IF(ISNUMBER(J767),J767,IF(C767="Futures",$C$6,$C$5)),""),"")</f>
        <v/>
      </c>
      <c r="I767" s="139">
        <f>IFERROR(IF(AND(ISNUMBER(F767),ISNUMBER(H767)),F767-H767,""),"")</f>
        <v/>
      </c>
      <c r="J767" s="114" t="n"/>
      <c r="K767" s="139">
        <f>IFERROR(IF(H767&gt;0,H767*$C$7,""),"")</f>
        <v/>
      </c>
      <c r="L767" s="139">
        <f>IFERROR(IF(ISNUMBER(F767),F767-IF(ISNUMBER(K767),K767,0),""),"")</f>
        <v/>
      </c>
    </row>
    <row r="768" ht="24" customHeight="1" s="63">
      <c r="E768" s="139" t="n"/>
      <c r="F768" s="139" t="n"/>
      <c r="G768" s="140">
        <f>IFERROR(IF(E768&gt;0,(F768/E768)*1000,""),"")</f>
        <v/>
      </c>
      <c r="H768" s="139">
        <f>IFERROR(IF(E768&gt;0,E768*IF(ISNUMBER(J768),J768,IF(C768="Futures",$C$6,$C$5)),""),"")</f>
        <v/>
      </c>
      <c r="I768" s="139">
        <f>IFERROR(IF(AND(ISNUMBER(F768),ISNUMBER(H768)),F768-H768,""),"")</f>
        <v/>
      </c>
      <c r="J768" s="114" t="n"/>
      <c r="K768" s="139">
        <f>IFERROR(IF(H768&gt;0,H768*$C$7,""),"")</f>
        <v/>
      </c>
      <c r="L768" s="139">
        <f>IFERROR(IF(ISNUMBER(F768),F768-IF(ISNUMBER(K768),K768,0),""),"")</f>
        <v/>
      </c>
    </row>
    <row r="769" ht="24" customHeight="1" s="63">
      <c r="E769" s="139" t="n"/>
      <c r="F769" s="139" t="n"/>
      <c r="G769" s="140">
        <f>IFERROR(IF(E769&gt;0,(F769/E769)*1000,""),"")</f>
        <v/>
      </c>
      <c r="H769" s="139">
        <f>IFERROR(IF(E769&gt;0,E769*IF(ISNUMBER(J769),J769,IF(C769="Futures",$C$6,$C$5)),""),"")</f>
        <v/>
      </c>
      <c r="I769" s="139">
        <f>IFERROR(IF(AND(ISNUMBER(F769),ISNUMBER(H769)),F769-H769,""),"")</f>
        <v/>
      </c>
      <c r="J769" s="114" t="n"/>
      <c r="K769" s="139">
        <f>IFERROR(IF(H769&gt;0,H769*$C$7,""),"")</f>
        <v/>
      </c>
      <c r="L769" s="139">
        <f>IFERROR(IF(ISNUMBER(F769),F769-IF(ISNUMBER(K769),K769,0),""),"")</f>
        <v/>
      </c>
    </row>
    <row r="770" ht="24" customHeight="1" s="63">
      <c r="E770" s="139" t="n"/>
      <c r="F770" s="139" t="n"/>
      <c r="G770" s="140">
        <f>IFERROR(IF(E770&gt;0,(F770/E770)*1000,""),"")</f>
        <v/>
      </c>
      <c r="H770" s="139">
        <f>IFERROR(IF(E770&gt;0,E770*IF(ISNUMBER(J770),J770,IF(C770="Futures",$C$6,$C$5)),""),"")</f>
        <v/>
      </c>
      <c r="I770" s="139">
        <f>IFERROR(IF(AND(ISNUMBER(F770),ISNUMBER(H770)),F770-H770,""),"")</f>
        <v/>
      </c>
      <c r="J770" s="114" t="n"/>
      <c r="K770" s="139">
        <f>IFERROR(IF(H770&gt;0,H770*$C$7,""),"")</f>
        <v/>
      </c>
      <c r="L770" s="139">
        <f>IFERROR(IF(ISNUMBER(F770),F770-IF(ISNUMBER(K770),K770,0),""),"")</f>
        <v/>
      </c>
    </row>
    <row r="771" ht="24" customHeight="1" s="63">
      <c r="E771" s="139" t="n"/>
      <c r="F771" s="139" t="n"/>
      <c r="G771" s="140">
        <f>IFERROR(IF(E771&gt;0,(F771/E771)*1000,""),"")</f>
        <v/>
      </c>
      <c r="H771" s="139">
        <f>IFERROR(IF(E771&gt;0,E771*IF(ISNUMBER(J771),J771,IF(C771="Futures",$C$6,$C$5)),""),"")</f>
        <v/>
      </c>
      <c r="I771" s="139">
        <f>IFERROR(IF(AND(ISNUMBER(F771),ISNUMBER(H771)),F771-H771,""),"")</f>
        <v/>
      </c>
      <c r="J771" s="114" t="n"/>
      <c r="K771" s="139">
        <f>IFERROR(IF(H771&gt;0,H771*$C$7,""),"")</f>
        <v/>
      </c>
      <c r="L771" s="139">
        <f>IFERROR(IF(ISNUMBER(F771),F771-IF(ISNUMBER(K771),K771,0),""),"")</f>
        <v/>
      </c>
    </row>
    <row r="772" ht="24" customHeight="1" s="63">
      <c r="E772" s="139" t="n"/>
      <c r="F772" s="139" t="n"/>
      <c r="G772" s="140">
        <f>IFERROR(IF(E772&gt;0,(F772/E772)*1000,""),"")</f>
        <v/>
      </c>
      <c r="H772" s="139">
        <f>IFERROR(IF(E772&gt;0,E772*IF(ISNUMBER(J772),J772,IF(C772="Futures",$C$6,$C$5)),""),"")</f>
        <v/>
      </c>
      <c r="I772" s="139">
        <f>IFERROR(IF(AND(ISNUMBER(F772),ISNUMBER(H772)),F772-H772,""),"")</f>
        <v/>
      </c>
      <c r="J772" s="114" t="n"/>
      <c r="K772" s="139">
        <f>IFERROR(IF(H772&gt;0,H772*$C$7,""),"")</f>
        <v/>
      </c>
      <c r="L772" s="139">
        <f>IFERROR(IF(ISNUMBER(F772),F772-IF(ISNUMBER(K772),K772,0),""),"")</f>
        <v/>
      </c>
    </row>
    <row r="773" ht="24" customHeight="1" s="63">
      <c r="E773" s="139" t="n"/>
      <c r="F773" s="139" t="n"/>
      <c r="G773" s="140">
        <f>IFERROR(IF(E773&gt;0,(F773/E773)*1000,""),"")</f>
        <v/>
      </c>
      <c r="H773" s="139">
        <f>IFERROR(IF(E773&gt;0,E773*IF(ISNUMBER(J773),J773,IF(C773="Futures",$C$6,$C$5)),""),"")</f>
        <v/>
      </c>
      <c r="I773" s="139">
        <f>IFERROR(IF(AND(ISNUMBER(F773),ISNUMBER(H773)),F773-H773,""),"")</f>
        <v/>
      </c>
      <c r="J773" s="114" t="n"/>
      <c r="K773" s="139">
        <f>IFERROR(IF(H773&gt;0,H773*$C$7,""),"")</f>
        <v/>
      </c>
      <c r="L773" s="139">
        <f>IFERROR(IF(ISNUMBER(F773),F773-IF(ISNUMBER(K773),K773,0),""),"")</f>
        <v/>
      </c>
    </row>
    <row r="774" ht="24" customHeight="1" s="63">
      <c r="E774" s="139" t="n"/>
      <c r="F774" s="139" t="n"/>
      <c r="G774" s="140">
        <f>IFERROR(IF(E774&gt;0,(F774/E774)*1000,""),"")</f>
        <v/>
      </c>
      <c r="H774" s="139">
        <f>IFERROR(IF(E774&gt;0,E774*IF(ISNUMBER(J774),J774,IF(C774="Futures",$C$6,$C$5)),""),"")</f>
        <v/>
      </c>
      <c r="I774" s="139">
        <f>IFERROR(IF(AND(ISNUMBER(F774),ISNUMBER(H774)),F774-H774,""),"")</f>
        <v/>
      </c>
      <c r="J774" s="114" t="n"/>
      <c r="K774" s="139">
        <f>IFERROR(IF(H774&gt;0,H774*$C$7,""),"")</f>
        <v/>
      </c>
      <c r="L774" s="139">
        <f>IFERROR(IF(ISNUMBER(F774),F774-IF(ISNUMBER(K774),K774,0),""),"")</f>
        <v/>
      </c>
    </row>
    <row r="775" ht="24" customHeight="1" s="63">
      <c r="E775" s="139" t="n"/>
      <c r="F775" s="139" t="n"/>
      <c r="G775" s="140">
        <f>IFERROR(IF(E775&gt;0,(F775/E775)*1000,""),"")</f>
        <v/>
      </c>
      <c r="H775" s="139">
        <f>IFERROR(IF(E775&gt;0,E775*IF(ISNUMBER(J775),J775,IF(C775="Futures",$C$6,$C$5)),""),"")</f>
        <v/>
      </c>
      <c r="I775" s="139">
        <f>IFERROR(IF(AND(ISNUMBER(F775),ISNUMBER(H775)),F775-H775,""),"")</f>
        <v/>
      </c>
      <c r="J775" s="114" t="n"/>
      <c r="K775" s="139">
        <f>IFERROR(IF(H775&gt;0,H775*$C$7,""),"")</f>
        <v/>
      </c>
      <c r="L775" s="139">
        <f>IFERROR(IF(ISNUMBER(F775),F775-IF(ISNUMBER(K775),K775,0),""),"")</f>
        <v/>
      </c>
    </row>
    <row r="776" ht="24" customHeight="1" s="63">
      <c r="E776" s="139" t="n"/>
      <c r="F776" s="139" t="n"/>
      <c r="G776" s="140">
        <f>IFERROR(IF(E776&gt;0,(F776/E776)*1000,""),"")</f>
        <v/>
      </c>
      <c r="H776" s="139">
        <f>IFERROR(IF(E776&gt;0,E776*IF(ISNUMBER(J776),J776,IF(C776="Futures",$C$6,$C$5)),""),"")</f>
        <v/>
      </c>
      <c r="I776" s="139">
        <f>IFERROR(IF(AND(ISNUMBER(F776),ISNUMBER(H776)),F776-H776,""),"")</f>
        <v/>
      </c>
      <c r="J776" s="114" t="n"/>
      <c r="K776" s="139">
        <f>IFERROR(IF(H776&gt;0,H776*$C$7,""),"")</f>
        <v/>
      </c>
      <c r="L776" s="139">
        <f>IFERROR(IF(ISNUMBER(F776),F776-IF(ISNUMBER(K776),K776,0),""),"")</f>
        <v/>
      </c>
    </row>
    <row r="777" ht="24" customHeight="1" s="63">
      <c r="E777" s="139" t="n"/>
      <c r="F777" s="139" t="n"/>
      <c r="G777" s="140">
        <f>IFERROR(IF(E777&gt;0,(F777/E777)*1000,""),"")</f>
        <v/>
      </c>
      <c r="H777" s="139">
        <f>IFERROR(IF(E777&gt;0,E777*IF(ISNUMBER(J777),J777,IF(C777="Futures",$C$6,$C$5)),""),"")</f>
        <v/>
      </c>
      <c r="I777" s="139">
        <f>IFERROR(IF(AND(ISNUMBER(F777),ISNUMBER(H777)),F777-H777,""),"")</f>
        <v/>
      </c>
      <c r="J777" s="114" t="n"/>
      <c r="K777" s="139">
        <f>IFERROR(IF(H777&gt;0,H777*$C$7,""),"")</f>
        <v/>
      </c>
      <c r="L777" s="139">
        <f>IFERROR(IF(ISNUMBER(F777),F777-IF(ISNUMBER(K777),K777,0),""),"")</f>
        <v/>
      </c>
    </row>
    <row r="778" ht="24" customHeight="1" s="63">
      <c r="E778" s="139" t="n"/>
      <c r="F778" s="139" t="n"/>
      <c r="G778" s="140">
        <f>IFERROR(IF(E778&gt;0,(F778/E778)*1000,""),"")</f>
        <v/>
      </c>
      <c r="H778" s="139">
        <f>IFERROR(IF(E778&gt;0,E778*IF(ISNUMBER(J778),J778,IF(C778="Futures",$C$6,$C$5)),""),"")</f>
        <v/>
      </c>
      <c r="I778" s="139">
        <f>IFERROR(IF(AND(ISNUMBER(F778),ISNUMBER(H778)),F778-H778,""),"")</f>
        <v/>
      </c>
      <c r="J778" s="114" t="n"/>
      <c r="K778" s="139">
        <f>IFERROR(IF(H778&gt;0,H778*$C$7,""),"")</f>
        <v/>
      </c>
      <c r="L778" s="139">
        <f>IFERROR(IF(ISNUMBER(F778),F778-IF(ISNUMBER(K778),K778,0),""),"")</f>
        <v/>
      </c>
    </row>
    <row r="779" ht="24" customHeight="1" s="63">
      <c r="E779" s="139" t="n"/>
      <c r="F779" s="139" t="n"/>
      <c r="G779" s="140">
        <f>IFERROR(IF(E779&gt;0,(F779/E779)*1000,""),"")</f>
        <v/>
      </c>
      <c r="H779" s="139">
        <f>IFERROR(IF(E779&gt;0,E779*IF(ISNUMBER(J779),J779,IF(C779="Futures",$C$6,$C$5)),""),"")</f>
        <v/>
      </c>
      <c r="I779" s="139">
        <f>IFERROR(IF(AND(ISNUMBER(F779),ISNUMBER(H779)),F779-H779,""),"")</f>
        <v/>
      </c>
      <c r="J779" s="114" t="n"/>
      <c r="K779" s="139">
        <f>IFERROR(IF(H779&gt;0,H779*$C$7,""),"")</f>
        <v/>
      </c>
      <c r="L779" s="139">
        <f>IFERROR(IF(ISNUMBER(F779),F779-IF(ISNUMBER(K779),K779,0),""),"")</f>
        <v/>
      </c>
    </row>
    <row r="780" ht="24" customHeight="1" s="63">
      <c r="E780" s="139" t="n"/>
      <c r="F780" s="139" t="n"/>
      <c r="G780" s="140">
        <f>IFERROR(IF(E780&gt;0,(F780/E780)*1000,""),"")</f>
        <v/>
      </c>
      <c r="H780" s="139">
        <f>IFERROR(IF(E780&gt;0,E780*IF(ISNUMBER(J780),J780,IF(C780="Futures",$C$6,$C$5)),""),"")</f>
        <v/>
      </c>
      <c r="I780" s="139">
        <f>IFERROR(IF(AND(ISNUMBER(F780),ISNUMBER(H780)),F780-H780,""),"")</f>
        <v/>
      </c>
      <c r="J780" s="114" t="n"/>
      <c r="K780" s="139">
        <f>IFERROR(IF(H780&gt;0,H780*$C$7,""),"")</f>
        <v/>
      </c>
      <c r="L780" s="139">
        <f>IFERROR(IF(ISNUMBER(F780),F780-IF(ISNUMBER(K780),K780,0),""),"")</f>
        <v/>
      </c>
    </row>
    <row r="781" ht="24" customHeight="1" s="63">
      <c r="E781" s="139" t="n"/>
      <c r="F781" s="139" t="n"/>
      <c r="G781" s="140">
        <f>IFERROR(IF(E781&gt;0,(F781/E781)*1000,""),"")</f>
        <v/>
      </c>
      <c r="H781" s="139">
        <f>IFERROR(IF(E781&gt;0,E781*IF(ISNUMBER(J781),J781,IF(C781="Futures",$C$6,$C$5)),""),"")</f>
        <v/>
      </c>
      <c r="I781" s="139">
        <f>IFERROR(IF(AND(ISNUMBER(F781),ISNUMBER(H781)),F781-H781,""),"")</f>
        <v/>
      </c>
      <c r="J781" s="114" t="n"/>
      <c r="K781" s="139">
        <f>IFERROR(IF(H781&gt;0,H781*$C$7,""),"")</f>
        <v/>
      </c>
      <c r="L781" s="139">
        <f>IFERROR(IF(ISNUMBER(F781),F781-IF(ISNUMBER(K781),K781,0),""),"")</f>
        <v/>
      </c>
    </row>
    <row r="782" ht="24" customHeight="1" s="63">
      <c r="E782" s="139" t="n"/>
      <c r="F782" s="139" t="n"/>
      <c r="G782" s="140">
        <f>IFERROR(IF(E782&gt;0,(F782/E782)*1000,""),"")</f>
        <v/>
      </c>
      <c r="H782" s="139">
        <f>IFERROR(IF(E782&gt;0,E782*IF(ISNUMBER(J782),J782,IF(C782="Futures",$C$6,$C$5)),""),"")</f>
        <v/>
      </c>
      <c r="I782" s="139">
        <f>IFERROR(IF(AND(ISNUMBER(F782),ISNUMBER(H782)),F782-H782,""),"")</f>
        <v/>
      </c>
      <c r="J782" s="114" t="n"/>
      <c r="K782" s="139">
        <f>IFERROR(IF(H782&gt;0,H782*$C$7,""),"")</f>
        <v/>
      </c>
      <c r="L782" s="139">
        <f>IFERROR(IF(ISNUMBER(F782),F782-IF(ISNUMBER(K782),K782,0),""),"")</f>
        <v/>
      </c>
    </row>
    <row r="783" ht="24" customHeight="1" s="63">
      <c r="E783" s="139" t="n"/>
      <c r="F783" s="139" t="n"/>
      <c r="G783" s="140">
        <f>IFERROR(IF(E783&gt;0,(F783/E783)*1000,""),"")</f>
        <v/>
      </c>
      <c r="H783" s="139">
        <f>IFERROR(IF(E783&gt;0,E783*IF(ISNUMBER(J783),J783,IF(C783="Futures",$C$6,$C$5)),""),"")</f>
        <v/>
      </c>
      <c r="I783" s="139">
        <f>IFERROR(IF(AND(ISNUMBER(F783),ISNUMBER(H783)),F783-H783,""),"")</f>
        <v/>
      </c>
      <c r="J783" s="114" t="n"/>
      <c r="K783" s="139">
        <f>IFERROR(IF(H783&gt;0,H783*$C$7,""),"")</f>
        <v/>
      </c>
      <c r="L783" s="139">
        <f>IFERROR(IF(ISNUMBER(F783),F783-IF(ISNUMBER(K783),K783,0),""),"")</f>
        <v/>
      </c>
    </row>
    <row r="784" ht="24" customHeight="1" s="63">
      <c r="E784" s="139" t="n"/>
      <c r="F784" s="139" t="n"/>
      <c r="G784" s="140">
        <f>IFERROR(IF(E784&gt;0,(F784/E784)*1000,""),"")</f>
        <v/>
      </c>
      <c r="H784" s="139">
        <f>IFERROR(IF(E784&gt;0,E784*IF(ISNUMBER(J784),J784,IF(C784="Futures",$C$6,$C$5)),""),"")</f>
        <v/>
      </c>
      <c r="I784" s="139">
        <f>IFERROR(IF(AND(ISNUMBER(F784),ISNUMBER(H784)),F784-H784,""),"")</f>
        <v/>
      </c>
      <c r="J784" s="114" t="n"/>
      <c r="K784" s="139">
        <f>IFERROR(IF(H784&gt;0,H784*$C$7,""),"")</f>
        <v/>
      </c>
      <c r="L784" s="139">
        <f>IFERROR(IF(ISNUMBER(F784),F784-IF(ISNUMBER(K784),K784,0),""),"")</f>
        <v/>
      </c>
    </row>
    <row r="785" ht="24" customHeight="1" s="63">
      <c r="E785" s="139" t="n"/>
      <c r="F785" s="139" t="n"/>
      <c r="G785" s="140">
        <f>IFERROR(IF(E785&gt;0,(F785/E785)*1000,""),"")</f>
        <v/>
      </c>
      <c r="H785" s="139">
        <f>IFERROR(IF(E785&gt;0,E785*IF(ISNUMBER(J785),J785,IF(C785="Futures",$C$6,$C$5)),""),"")</f>
        <v/>
      </c>
      <c r="I785" s="139">
        <f>IFERROR(IF(AND(ISNUMBER(F785),ISNUMBER(H785)),F785-H785,""),"")</f>
        <v/>
      </c>
      <c r="J785" s="114" t="n"/>
      <c r="K785" s="139">
        <f>IFERROR(IF(H785&gt;0,H785*$C$7,""),"")</f>
        <v/>
      </c>
      <c r="L785" s="139">
        <f>IFERROR(IF(ISNUMBER(F785),F785-IF(ISNUMBER(K785),K785,0),""),"")</f>
        <v/>
      </c>
    </row>
    <row r="786" ht="24" customHeight="1" s="63">
      <c r="E786" s="139" t="n"/>
      <c r="F786" s="139" t="n"/>
      <c r="G786" s="140">
        <f>IFERROR(IF(E786&gt;0,(F786/E786)*1000,""),"")</f>
        <v/>
      </c>
      <c r="H786" s="139">
        <f>IFERROR(IF(E786&gt;0,E786*IF(ISNUMBER(J786),J786,IF(C786="Futures",$C$6,$C$5)),""),"")</f>
        <v/>
      </c>
      <c r="I786" s="139">
        <f>IFERROR(IF(AND(ISNUMBER(F786),ISNUMBER(H786)),F786-H786,""),"")</f>
        <v/>
      </c>
      <c r="J786" s="114" t="n"/>
      <c r="K786" s="139">
        <f>IFERROR(IF(H786&gt;0,H786*$C$7,""),"")</f>
        <v/>
      </c>
      <c r="L786" s="139">
        <f>IFERROR(IF(ISNUMBER(F786),F786-IF(ISNUMBER(K786),K786,0),""),"")</f>
        <v/>
      </c>
    </row>
    <row r="787" ht="24" customHeight="1" s="63">
      <c r="E787" s="139" t="n"/>
      <c r="F787" s="139" t="n"/>
      <c r="G787" s="140">
        <f>IFERROR(IF(E787&gt;0,(F787/E787)*1000,""),"")</f>
        <v/>
      </c>
      <c r="H787" s="139">
        <f>IFERROR(IF(E787&gt;0,E787*IF(ISNUMBER(J787),J787,IF(C787="Futures",$C$6,$C$5)),""),"")</f>
        <v/>
      </c>
      <c r="I787" s="139">
        <f>IFERROR(IF(AND(ISNUMBER(F787),ISNUMBER(H787)),F787-H787,""),"")</f>
        <v/>
      </c>
      <c r="J787" s="114" t="n"/>
      <c r="K787" s="139">
        <f>IFERROR(IF(H787&gt;0,H787*$C$7,""),"")</f>
        <v/>
      </c>
      <c r="L787" s="139">
        <f>IFERROR(IF(ISNUMBER(F787),F787-IF(ISNUMBER(K787),K787,0),""),"")</f>
        <v/>
      </c>
    </row>
    <row r="788" ht="24" customHeight="1" s="63">
      <c r="E788" s="139" t="n"/>
      <c r="F788" s="139" t="n"/>
      <c r="G788" s="140">
        <f>IFERROR(IF(E788&gt;0,(F788/E788)*1000,""),"")</f>
        <v/>
      </c>
      <c r="H788" s="139">
        <f>IFERROR(IF(E788&gt;0,E788*IF(ISNUMBER(J788),J788,IF(C788="Futures",$C$6,$C$5)),""),"")</f>
        <v/>
      </c>
      <c r="I788" s="139">
        <f>IFERROR(IF(AND(ISNUMBER(F788),ISNUMBER(H788)),F788-H788,""),"")</f>
        <v/>
      </c>
      <c r="J788" s="114" t="n"/>
      <c r="K788" s="139">
        <f>IFERROR(IF(H788&gt;0,H788*$C$7,""),"")</f>
        <v/>
      </c>
      <c r="L788" s="139">
        <f>IFERROR(IF(ISNUMBER(F788),F788-IF(ISNUMBER(K788),K788,0),""),"")</f>
        <v/>
      </c>
    </row>
    <row r="789" ht="24" customHeight="1" s="63">
      <c r="E789" s="139" t="n"/>
      <c r="F789" s="139" t="n"/>
      <c r="G789" s="140">
        <f>IFERROR(IF(E789&gt;0,(F789/E789)*1000,""),"")</f>
        <v/>
      </c>
      <c r="H789" s="139">
        <f>IFERROR(IF(E789&gt;0,E789*IF(ISNUMBER(J789),J789,IF(C789="Futures",$C$6,$C$5)),""),"")</f>
        <v/>
      </c>
      <c r="I789" s="139">
        <f>IFERROR(IF(AND(ISNUMBER(F789),ISNUMBER(H789)),F789-H789,""),"")</f>
        <v/>
      </c>
      <c r="J789" s="114" t="n"/>
      <c r="K789" s="139">
        <f>IFERROR(IF(H789&gt;0,H789*$C$7,""),"")</f>
        <v/>
      </c>
      <c r="L789" s="139">
        <f>IFERROR(IF(ISNUMBER(F789),F789-IF(ISNUMBER(K789),K789,0),""),"")</f>
        <v/>
      </c>
    </row>
    <row r="790" ht="24" customHeight="1" s="63">
      <c r="E790" s="139" t="n"/>
      <c r="F790" s="139" t="n"/>
      <c r="G790" s="140">
        <f>IFERROR(IF(E790&gt;0,(F790/E790)*1000,""),"")</f>
        <v/>
      </c>
      <c r="H790" s="139">
        <f>IFERROR(IF(E790&gt;0,E790*IF(ISNUMBER(J790),J790,IF(C790="Futures",$C$6,$C$5)),""),"")</f>
        <v/>
      </c>
      <c r="I790" s="139">
        <f>IFERROR(IF(AND(ISNUMBER(F790),ISNUMBER(H790)),F790-H790,""),"")</f>
        <v/>
      </c>
      <c r="J790" s="114" t="n"/>
      <c r="K790" s="139">
        <f>IFERROR(IF(H790&gt;0,H790*$C$7,""),"")</f>
        <v/>
      </c>
      <c r="L790" s="139">
        <f>IFERROR(IF(ISNUMBER(F790),F790-IF(ISNUMBER(K790),K790,0),""),"")</f>
        <v/>
      </c>
    </row>
    <row r="791" ht="24" customHeight="1" s="63">
      <c r="E791" s="139" t="n"/>
      <c r="F791" s="139" t="n"/>
      <c r="G791" s="140">
        <f>IFERROR(IF(E791&gt;0,(F791/E791)*1000,""),"")</f>
        <v/>
      </c>
      <c r="H791" s="139">
        <f>IFERROR(IF(E791&gt;0,E791*IF(ISNUMBER(J791),J791,IF(C791="Futures",$C$6,$C$5)),""),"")</f>
        <v/>
      </c>
      <c r="I791" s="139">
        <f>IFERROR(IF(AND(ISNUMBER(F791),ISNUMBER(H791)),F791-H791,""),"")</f>
        <v/>
      </c>
      <c r="J791" s="114" t="n"/>
      <c r="K791" s="139">
        <f>IFERROR(IF(H791&gt;0,H791*$C$7,""),"")</f>
        <v/>
      </c>
      <c r="L791" s="139">
        <f>IFERROR(IF(ISNUMBER(F791),F791-IF(ISNUMBER(K791),K791,0),""),"")</f>
        <v/>
      </c>
    </row>
    <row r="792" ht="24" customHeight="1" s="63">
      <c r="E792" s="139" t="n"/>
      <c r="F792" s="139" t="n"/>
      <c r="G792" s="140">
        <f>IFERROR(IF(E792&gt;0,(F792/E792)*1000,""),"")</f>
        <v/>
      </c>
      <c r="H792" s="139">
        <f>IFERROR(IF(E792&gt;0,E792*IF(ISNUMBER(J792),J792,IF(C792="Futures",$C$6,$C$5)),""),"")</f>
        <v/>
      </c>
      <c r="I792" s="139">
        <f>IFERROR(IF(AND(ISNUMBER(F792),ISNUMBER(H792)),F792-H792,""),"")</f>
        <v/>
      </c>
      <c r="J792" s="114" t="n"/>
      <c r="K792" s="139">
        <f>IFERROR(IF(H792&gt;0,H792*$C$7,""),"")</f>
        <v/>
      </c>
      <c r="L792" s="139">
        <f>IFERROR(IF(ISNUMBER(F792),F792-IF(ISNUMBER(K792),K792,0),""),"")</f>
        <v/>
      </c>
    </row>
    <row r="793" ht="24" customHeight="1" s="63">
      <c r="E793" s="139" t="n"/>
      <c r="F793" s="139" t="n"/>
      <c r="G793" s="140">
        <f>IFERROR(IF(E793&gt;0,(F793/E793)*1000,""),"")</f>
        <v/>
      </c>
      <c r="H793" s="139">
        <f>IFERROR(IF(E793&gt;0,E793*IF(ISNUMBER(J793),J793,IF(C793="Futures",$C$6,$C$5)),""),"")</f>
        <v/>
      </c>
      <c r="I793" s="139">
        <f>IFERROR(IF(AND(ISNUMBER(F793),ISNUMBER(H793)),F793-H793,""),"")</f>
        <v/>
      </c>
      <c r="J793" s="114" t="n"/>
      <c r="K793" s="139">
        <f>IFERROR(IF(H793&gt;0,H793*$C$7,""),"")</f>
        <v/>
      </c>
      <c r="L793" s="139">
        <f>IFERROR(IF(ISNUMBER(F793),F793-IF(ISNUMBER(K793),K793,0),""),"")</f>
        <v/>
      </c>
    </row>
    <row r="794" ht="24" customHeight="1" s="63">
      <c r="E794" s="139" t="n"/>
      <c r="F794" s="139" t="n"/>
      <c r="G794" s="140">
        <f>IFERROR(IF(E794&gt;0,(F794/E794)*1000,""),"")</f>
        <v/>
      </c>
      <c r="H794" s="139">
        <f>IFERROR(IF(E794&gt;0,E794*IF(ISNUMBER(J794),J794,IF(C794="Futures",$C$6,$C$5)),""),"")</f>
        <v/>
      </c>
      <c r="I794" s="139">
        <f>IFERROR(IF(AND(ISNUMBER(F794),ISNUMBER(H794)),F794-H794,""),"")</f>
        <v/>
      </c>
      <c r="J794" s="114" t="n"/>
      <c r="K794" s="139">
        <f>IFERROR(IF(H794&gt;0,H794*$C$7,""),"")</f>
        <v/>
      </c>
      <c r="L794" s="139">
        <f>IFERROR(IF(ISNUMBER(F794),F794-IF(ISNUMBER(K794),K794,0),""),"")</f>
        <v/>
      </c>
    </row>
    <row r="795" ht="24" customHeight="1" s="63">
      <c r="E795" s="139" t="n"/>
      <c r="F795" s="139" t="n"/>
      <c r="G795" s="140">
        <f>IFERROR(IF(E795&gt;0,(F795/E795)*1000,""),"")</f>
        <v/>
      </c>
      <c r="H795" s="139">
        <f>IFERROR(IF(E795&gt;0,E795*IF(ISNUMBER(J795),J795,IF(C795="Futures",$C$6,$C$5)),""),"")</f>
        <v/>
      </c>
      <c r="I795" s="139">
        <f>IFERROR(IF(AND(ISNUMBER(F795),ISNUMBER(H795)),F795-H795,""),"")</f>
        <v/>
      </c>
      <c r="J795" s="114" t="n"/>
      <c r="K795" s="139">
        <f>IFERROR(IF(H795&gt;0,H795*$C$7,""),"")</f>
        <v/>
      </c>
      <c r="L795" s="139">
        <f>IFERROR(IF(ISNUMBER(F795),F795-IF(ISNUMBER(K795),K795,0),""),"")</f>
        <v/>
      </c>
    </row>
    <row r="796" ht="24" customHeight="1" s="63">
      <c r="E796" s="139" t="n"/>
      <c r="F796" s="139" t="n"/>
      <c r="G796" s="140">
        <f>IFERROR(IF(E796&gt;0,(F796/E796)*1000,""),"")</f>
        <v/>
      </c>
      <c r="H796" s="139">
        <f>IFERROR(IF(E796&gt;0,E796*IF(ISNUMBER(J796),J796,IF(C796="Futures",$C$6,$C$5)),""),"")</f>
        <v/>
      </c>
      <c r="I796" s="139">
        <f>IFERROR(IF(AND(ISNUMBER(F796),ISNUMBER(H796)),F796-H796,""),"")</f>
        <v/>
      </c>
      <c r="J796" s="114" t="n"/>
      <c r="K796" s="139">
        <f>IFERROR(IF(H796&gt;0,H796*$C$7,""),"")</f>
        <v/>
      </c>
      <c r="L796" s="139">
        <f>IFERROR(IF(ISNUMBER(F796),F796-IF(ISNUMBER(K796),K796,0),""),"")</f>
        <v/>
      </c>
    </row>
    <row r="797" ht="24" customHeight="1" s="63">
      <c r="E797" s="139" t="n"/>
      <c r="F797" s="139" t="n"/>
      <c r="G797" s="140">
        <f>IFERROR(IF(E797&gt;0,(F797/E797)*1000,""),"")</f>
        <v/>
      </c>
      <c r="H797" s="139">
        <f>IFERROR(IF(E797&gt;0,E797*IF(ISNUMBER(J797),J797,IF(C797="Futures",$C$6,$C$5)),""),"")</f>
        <v/>
      </c>
      <c r="I797" s="139">
        <f>IFERROR(IF(AND(ISNUMBER(F797),ISNUMBER(H797)),F797-H797,""),"")</f>
        <v/>
      </c>
      <c r="J797" s="114" t="n"/>
      <c r="K797" s="139">
        <f>IFERROR(IF(H797&gt;0,H797*$C$7,""),"")</f>
        <v/>
      </c>
      <c r="L797" s="139">
        <f>IFERROR(IF(ISNUMBER(F797),F797-IF(ISNUMBER(K797),K797,0),""),"")</f>
        <v/>
      </c>
    </row>
    <row r="798" ht="24" customHeight="1" s="63">
      <c r="E798" s="139" t="n"/>
      <c r="F798" s="139" t="n"/>
      <c r="G798" s="140">
        <f>IFERROR(IF(E798&gt;0,(F798/E798)*1000,""),"")</f>
        <v/>
      </c>
      <c r="H798" s="139">
        <f>IFERROR(IF(E798&gt;0,E798*IF(ISNUMBER(J798),J798,IF(C798="Futures",$C$6,$C$5)),""),"")</f>
        <v/>
      </c>
      <c r="I798" s="139">
        <f>IFERROR(IF(AND(ISNUMBER(F798),ISNUMBER(H798)),F798-H798,""),"")</f>
        <v/>
      </c>
      <c r="J798" s="114" t="n"/>
      <c r="K798" s="139">
        <f>IFERROR(IF(H798&gt;0,H798*$C$7,""),"")</f>
        <v/>
      </c>
      <c r="L798" s="139">
        <f>IFERROR(IF(ISNUMBER(F798),F798-IF(ISNUMBER(K798),K798,0),""),"")</f>
        <v/>
      </c>
    </row>
    <row r="799" ht="24" customHeight="1" s="63">
      <c r="E799" s="139" t="n"/>
      <c r="F799" s="139" t="n"/>
      <c r="G799" s="140">
        <f>IFERROR(IF(E799&gt;0,(F799/E799)*1000,""),"")</f>
        <v/>
      </c>
      <c r="H799" s="139">
        <f>IFERROR(IF(E799&gt;0,E799*IF(ISNUMBER(J799),J799,IF(C799="Futures",$C$6,$C$5)),""),"")</f>
        <v/>
      </c>
      <c r="I799" s="139">
        <f>IFERROR(IF(AND(ISNUMBER(F799),ISNUMBER(H799)),F799-H799,""),"")</f>
        <v/>
      </c>
      <c r="J799" s="114" t="n"/>
      <c r="K799" s="139">
        <f>IFERROR(IF(H799&gt;0,H799*$C$7,""),"")</f>
        <v/>
      </c>
      <c r="L799" s="139">
        <f>IFERROR(IF(ISNUMBER(F799),F799-IF(ISNUMBER(K799),K799,0),""),"")</f>
        <v/>
      </c>
    </row>
    <row r="800" ht="24" customHeight="1" s="63">
      <c r="E800" s="139" t="n"/>
      <c r="F800" s="139" t="n"/>
      <c r="G800" s="140">
        <f>IFERROR(IF(E800&gt;0,(F800/E800)*1000,""),"")</f>
        <v/>
      </c>
      <c r="H800" s="139">
        <f>IFERROR(IF(E800&gt;0,E800*IF(ISNUMBER(J800),J800,IF(C800="Futures",$C$6,$C$5)),""),"")</f>
        <v/>
      </c>
      <c r="I800" s="139">
        <f>IFERROR(IF(AND(ISNUMBER(F800),ISNUMBER(H800)),F800-H800,""),"")</f>
        <v/>
      </c>
      <c r="J800" s="114" t="n"/>
      <c r="K800" s="139">
        <f>IFERROR(IF(H800&gt;0,H800*$C$7,""),"")</f>
        <v/>
      </c>
      <c r="L800" s="139">
        <f>IFERROR(IF(ISNUMBER(F800),F800-IF(ISNUMBER(K800),K800,0),""),"")</f>
        <v/>
      </c>
    </row>
    <row r="801" ht="24" customHeight="1" s="63">
      <c r="E801" s="139" t="n"/>
      <c r="F801" s="139" t="n"/>
      <c r="G801" s="140">
        <f>IFERROR(IF(E801&gt;0,(F801/E801)*1000,""),"")</f>
        <v/>
      </c>
      <c r="H801" s="139">
        <f>IFERROR(IF(E801&gt;0,E801*IF(ISNUMBER(J801),J801,IF(C801="Futures",$C$6,$C$5)),""),"")</f>
        <v/>
      </c>
      <c r="I801" s="139">
        <f>IFERROR(IF(AND(ISNUMBER(F801),ISNUMBER(H801)),F801-H801,""),"")</f>
        <v/>
      </c>
      <c r="J801" s="114" t="n"/>
      <c r="K801" s="139">
        <f>IFERROR(IF(H801&gt;0,H801*$C$7,""),"")</f>
        <v/>
      </c>
      <c r="L801" s="139">
        <f>IFERROR(IF(ISNUMBER(F801),F801-IF(ISNUMBER(K801),K801,0),""),"")</f>
        <v/>
      </c>
    </row>
    <row r="802" ht="24" customHeight="1" s="63">
      <c r="E802" s="139" t="n"/>
      <c r="F802" s="139" t="n"/>
      <c r="G802" s="140">
        <f>IFERROR(IF(E802&gt;0,(F802/E802)*1000,""),"")</f>
        <v/>
      </c>
      <c r="H802" s="139">
        <f>IFERROR(IF(E802&gt;0,E802*IF(ISNUMBER(J802),J802,IF(C802="Futures",$C$6,$C$5)),""),"")</f>
        <v/>
      </c>
      <c r="I802" s="139">
        <f>IFERROR(IF(AND(ISNUMBER(F802),ISNUMBER(H802)),F802-H802,""),"")</f>
        <v/>
      </c>
      <c r="J802" s="114" t="n"/>
      <c r="K802" s="139">
        <f>IFERROR(IF(H802&gt;0,H802*$C$7,""),"")</f>
        <v/>
      </c>
      <c r="L802" s="139">
        <f>IFERROR(IF(ISNUMBER(F802),F802-IF(ISNUMBER(K802),K802,0),""),"")</f>
        <v/>
      </c>
    </row>
    <row r="803" ht="24" customHeight="1" s="63">
      <c r="E803" s="139" t="n"/>
      <c r="F803" s="139" t="n"/>
      <c r="G803" s="140">
        <f>IFERROR(IF(E803&gt;0,(F803/E803)*1000,""),"")</f>
        <v/>
      </c>
      <c r="H803" s="139">
        <f>IFERROR(IF(E803&gt;0,E803*IF(ISNUMBER(J803),J803,IF(C803="Futures",$C$6,$C$5)),""),"")</f>
        <v/>
      </c>
      <c r="I803" s="139">
        <f>IFERROR(IF(AND(ISNUMBER(F803),ISNUMBER(H803)),F803-H803,""),"")</f>
        <v/>
      </c>
      <c r="J803" s="114" t="n"/>
      <c r="K803" s="139">
        <f>IFERROR(IF(H803&gt;0,H803*$C$7,""),"")</f>
        <v/>
      </c>
      <c r="L803" s="139">
        <f>IFERROR(IF(ISNUMBER(F803),F803-IF(ISNUMBER(K803),K803,0),""),"")</f>
        <v/>
      </c>
    </row>
    <row r="804" ht="24" customHeight="1" s="63">
      <c r="E804" s="139" t="n"/>
      <c r="F804" s="139" t="n"/>
      <c r="G804" s="140">
        <f>IFERROR(IF(E804&gt;0,(F804/E804)*1000,""),"")</f>
        <v/>
      </c>
      <c r="H804" s="139">
        <f>IFERROR(IF(E804&gt;0,E804*IF(ISNUMBER(J804),J804,IF(C804="Futures",$C$6,$C$5)),""),"")</f>
        <v/>
      </c>
      <c r="I804" s="139">
        <f>IFERROR(IF(AND(ISNUMBER(F804),ISNUMBER(H804)),F804-H804,""),"")</f>
        <v/>
      </c>
      <c r="J804" s="114" t="n"/>
      <c r="K804" s="139">
        <f>IFERROR(IF(H804&gt;0,H804*$C$7,""),"")</f>
        <v/>
      </c>
      <c r="L804" s="139">
        <f>IFERROR(IF(ISNUMBER(F804),F804-IF(ISNUMBER(K804),K804,0),""),"")</f>
        <v/>
      </c>
    </row>
    <row r="805" ht="24" customHeight="1" s="63">
      <c r="E805" s="139" t="n"/>
      <c r="F805" s="139" t="n"/>
      <c r="G805" s="140">
        <f>IFERROR(IF(E805&gt;0,(F805/E805)*1000,""),"")</f>
        <v/>
      </c>
      <c r="H805" s="139">
        <f>IFERROR(IF(E805&gt;0,E805*IF(ISNUMBER(J805),J805,IF(C805="Futures",$C$6,$C$5)),""),"")</f>
        <v/>
      </c>
      <c r="I805" s="139">
        <f>IFERROR(IF(AND(ISNUMBER(F805),ISNUMBER(H805)),F805-H805,""),"")</f>
        <v/>
      </c>
      <c r="J805" s="114" t="n"/>
      <c r="K805" s="139">
        <f>IFERROR(IF(H805&gt;0,H805*$C$7,""),"")</f>
        <v/>
      </c>
      <c r="L805" s="139">
        <f>IFERROR(IF(ISNUMBER(F805),F805-IF(ISNUMBER(K805),K805,0),""),"")</f>
        <v/>
      </c>
    </row>
    <row r="806" ht="24" customHeight="1" s="63">
      <c r="E806" s="139" t="n"/>
      <c r="F806" s="139" t="n"/>
      <c r="G806" s="140">
        <f>IFERROR(IF(E806&gt;0,(F806/E806)*1000,""),"")</f>
        <v/>
      </c>
      <c r="H806" s="139">
        <f>IFERROR(IF(E806&gt;0,E806*IF(ISNUMBER(J806),J806,IF(C806="Futures",$C$6,$C$5)),""),"")</f>
        <v/>
      </c>
      <c r="I806" s="139">
        <f>IFERROR(IF(AND(ISNUMBER(F806),ISNUMBER(H806)),F806-H806,""),"")</f>
        <v/>
      </c>
      <c r="J806" s="114" t="n"/>
      <c r="K806" s="139">
        <f>IFERROR(IF(H806&gt;0,H806*$C$7,""),"")</f>
        <v/>
      </c>
      <c r="L806" s="139">
        <f>IFERROR(IF(ISNUMBER(F806),F806-IF(ISNUMBER(K806),K806,0),""),"")</f>
        <v/>
      </c>
    </row>
    <row r="807" ht="24" customHeight="1" s="63">
      <c r="E807" s="139" t="n"/>
      <c r="F807" s="139" t="n"/>
      <c r="G807" s="140">
        <f>IFERROR(IF(E807&gt;0,(F807/E807)*1000,""),"")</f>
        <v/>
      </c>
      <c r="H807" s="139">
        <f>IFERROR(IF(E807&gt;0,E807*IF(ISNUMBER(J807),J807,IF(C807="Futures",$C$6,$C$5)),""),"")</f>
        <v/>
      </c>
      <c r="I807" s="139">
        <f>IFERROR(IF(AND(ISNUMBER(F807),ISNUMBER(H807)),F807-H807,""),"")</f>
        <v/>
      </c>
      <c r="J807" s="114" t="n"/>
      <c r="K807" s="139">
        <f>IFERROR(IF(H807&gt;0,H807*$C$7,""),"")</f>
        <v/>
      </c>
      <c r="L807" s="139">
        <f>IFERROR(IF(ISNUMBER(F807),F807-IF(ISNUMBER(K807),K807,0),""),"")</f>
        <v/>
      </c>
    </row>
    <row r="808" ht="24" customHeight="1" s="63">
      <c r="E808" s="139" t="n"/>
      <c r="F808" s="139" t="n"/>
      <c r="G808" s="140">
        <f>IFERROR(IF(E808&gt;0,(F808/E808)*1000,""),"")</f>
        <v/>
      </c>
      <c r="H808" s="139">
        <f>IFERROR(IF(E808&gt;0,E808*IF(ISNUMBER(J808),J808,IF(C808="Futures",$C$6,$C$5)),""),"")</f>
        <v/>
      </c>
      <c r="I808" s="139">
        <f>IFERROR(IF(AND(ISNUMBER(F808),ISNUMBER(H808)),F808-H808,""),"")</f>
        <v/>
      </c>
      <c r="J808" s="114" t="n"/>
      <c r="K808" s="139">
        <f>IFERROR(IF(H808&gt;0,H808*$C$7,""),"")</f>
        <v/>
      </c>
      <c r="L808" s="139">
        <f>IFERROR(IF(ISNUMBER(F808),F808-IF(ISNUMBER(K808),K808,0),""),"")</f>
        <v/>
      </c>
    </row>
    <row r="809" ht="24" customHeight="1" s="63">
      <c r="E809" s="139" t="n"/>
      <c r="F809" s="139" t="n"/>
      <c r="G809" s="140">
        <f>IFERROR(IF(E809&gt;0,(F809/E809)*1000,""),"")</f>
        <v/>
      </c>
      <c r="H809" s="139">
        <f>IFERROR(IF(E809&gt;0,E809*IF(ISNUMBER(J809),J809,IF(C809="Futures",$C$6,$C$5)),""),"")</f>
        <v/>
      </c>
      <c r="I809" s="139">
        <f>IFERROR(IF(AND(ISNUMBER(F809),ISNUMBER(H809)),F809-H809,""),"")</f>
        <v/>
      </c>
      <c r="J809" s="114" t="n"/>
      <c r="K809" s="139">
        <f>IFERROR(IF(H809&gt;0,H809*$C$7,""),"")</f>
        <v/>
      </c>
      <c r="L809" s="139">
        <f>IFERROR(IF(ISNUMBER(F809),F809-IF(ISNUMBER(K809),K809,0),""),"")</f>
        <v/>
      </c>
    </row>
    <row r="810" ht="24" customHeight="1" s="63">
      <c r="E810" s="139" t="n"/>
      <c r="F810" s="139" t="n"/>
      <c r="G810" s="140">
        <f>IFERROR(IF(E810&gt;0,(F810/E810)*1000,""),"")</f>
        <v/>
      </c>
      <c r="H810" s="139">
        <f>IFERROR(IF(E810&gt;0,E810*IF(ISNUMBER(J810),J810,IF(C810="Futures",$C$6,$C$5)),""),"")</f>
        <v/>
      </c>
      <c r="I810" s="139">
        <f>IFERROR(IF(AND(ISNUMBER(F810),ISNUMBER(H810)),F810-H810,""),"")</f>
        <v/>
      </c>
      <c r="J810" s="114" t="n"/>
      <c r="K810" s="139">
        <f>IFERROR(IF(H810&gt;0,H810*$C$7,""),"")</f>
        <v/>
      </c>
      <c r="L810" s="139">
        <f>IFERROR(IF(ISNUMBER(F810),F810-IF(ISNUMBER(K810),K810,0),""),"")</f>
        <v/>
      </c>
    </row>
    <row r="811" ht="24" customHeight="1" s="63">
      <c r="E811" s="139" t="n"/>
      <c r="F811" s="139" t="n"/>
      <c r="G811" s="140">
        <f>IFERROR(IF(E811&gt;0,(F811/E811)*1000,""),"")</f>
        <v/>
      </c>
      <c r="H811" s="139">
        <f>IFERROR(IF(E811&gt;0,E811*IF(ISNUMBER(J811),J811,IF(C811="Futures",$C$6,$C$5)),""),"")</f>
        <v/>
      </c>
      <c r="I811" s="139">
        <f>IFERROR(IF(AND(ISNUMBER(F811),ISNUMBER(H811)),F811-H811,""),"")</f>
        <v/>
      </c>
      <c r="J811" s="114" t="n"/>
      <c r="K811" s="139">
        <f>IFERROR(IF(H811&gt;0,H811*$C$7,""),"")</f>
        <v/>
      </c>
      <c r="L811" s="139">
        <f>IFERROR(IF(ISNUMBER(F811),F811-IF(ISNUMBER(K811),K811,0),""),"")</f>
        <v/>
      </c>
    </row>
    <row r="812" ht="24" customHeight="1" s="63">
      <c r="E812" s="139" t="n"/>
      <c r="F812" s="139" t="n"/>
      <c r="G812" s="140">
        <f>IFERROR(IF(E812&gt;0,(F812/E812)*1000,""),"")</f>
        <v/>
      </c>
      <c r="H812" s="139">
        <f>IFERROR(IF(E812&gt;0,E812*IF(ISNUMBER(J812),J812,IF(C812="Futures",$C$6,$C$5)),""),"")</f>
        <v/>
      </c>
      <c r="I812" s="139">
        <f>IFERROR(IF(AND(ISNUMBER(F812),ISNUMBER(H812)),F812-H812,""),"")</f>
        <v/>
      </c>
      <c r="J812" s="114" t="n"/>
      <c r="K812" s="139">
        <f>IFERROR(IF(H812&gt;0,H812*$C$7,""),"")</f>
        <v/>
      </c>
      <c r="L812" s="139">
        <f>IFERROR(IF(ISNUMBER(F812),F812-IF(ISNUMBER(K812),K812,0),""),"")</f>
        <v/>
      </c>
    </row>
    <row r="813" ht="24" customHeight="1" s="63">
      <c r="E813" s="139" t="n"/>
      <c r="F813" s="139" t="n"/>
      <c r="G813" s="140">
        <f>IFERROR(IF(E813&gt;0,(F813/E813)*1000,""),"")</f>
        <v/>
      </c>
      <c r="H813" s="139">
        <f>IFERROR(IF(E813&gt;0,E813*IF(ISNUMBER(J813),J813,IF(C813="Futures",$C$6,$C$5)),""),"")</f>
        <v/>
      </c>
      <c r="I813" s="139">
        <f>IFERROR(IF(AND(ISNUMBER(F813),ISNUMBER(H813)),F813-H813,""),"")</f>
        <v/>
      </c>
      <c r="J813" s="114" t="n"/>
      <c r="K813" s="139">
        <f>IFERROR(IF(H813&gt;0,H813*$C$7,""),"")</f>
        <v/>
      </c>
      <c r="L813" s="139">
        <f>IFERROR(IF(ISNUMBER(F813),F813-IF(ISNUMBER(K813),K813,0),""),"")</f>
        <v/>
      </c>
    </row>
    <row r="814" ht="24" customHeight="1" s="63">
      <c r="E814" s="139" t="n"/>
      <c r="F814" s="139" t="n"/>
      <c r="G814" s="140">
        <f>IFERROR(IF(E814&gt;0,(F814/E814)*1000,""),"")</f>
        <v/>
      </c>
      <c r="H814" s="139">
        <f>IFERROR(IF(E814&gt;0,E814*IF(ISNUMBER(J814),J814,IF(C814="Futures",$C$6,$C$5)),""),"")</f>
        <v/>
      </c>
      <c r="I814" s="139">
        <f>IFERROR(IF(AND(ISNUMBER(F814),ISNUMBER(H814)),F814-H814,""),"")</f>
        <v/>
      </c>
      <c r="J814" s="114" t="n"/>
      <c r="K814" s="139">
        <f>IFERROR(IF(H814&gt;0,H814*$C$7,""),"")</f>
        <v/>
      </c>
      <c r="L814" s="139">
        <f>IFERROR(IF(ISNUMBER(F814),F814-IF(ISNUMBER(K814),K814,0),""),"")</f>
        <v/>
      </c>
    </row>
    <row r="815" ht="24" customHeight="1" s="63">
      <c r="E815" s="139" t="n"/>
      <c r="F815" s="139" t="n"/>
      <c r="G815" s="140">
        <f>IFERROR(IF(E815&gt;0,(F815/E815)*1000,""),"")</f>
        <v/>
      </c>
      <c r="H815" s="139">
        <f>IFERROR(IF(E815&gt;0,E815*IF(ISNUMBER(J815),J815,IF(C815="Futures",$C$6,$C$5)),""),"")</f>
        <v/>
      </c>
      <c r="I815" s="139">
        <f>IFERROR(IF(AND(ISNUMBER(F815),ISNUMBER(H815)),F815-H815,""),"")</f>
        <v/>
      </c>
      <c r="J815" s="114" t="n"/>
      <c r="K815" s="139">
        <f>IFERROR(IF(H815&gt;0,H815*$C$7,""),"")</f>
        <v/>
      </c>
      <c r="L815" s="139">
        <f>IFERROR(IF(ISNUMBER(F815),F815-IF(ISNUMBER(K815),K815,0),""),"")</f>
        <v/>
      </c>
    </row>
    <row r="816" ht="24" customHeight="1" s="63">
      <c r="E816" s="139" t="n"/>
      <c r="F816" s="139" t="n"/>
      <c r="G816" s="140">
        <f>IFERROR(IF(E816&gt;0,(F816/E816)*1000,""),"")</f>
        <v/>
      </c>
      <c r="H816" s="139">
        <f>IFERROR(IF(E816&gt;0,E816*IF(ISNUMBER(J816),J816,IF(C816="Futures",$C$6,$C$5)),""),"")</f>
        <v/>
      </c>
      <c r="I816" s="139">
        <f>IFERROR(IF(AND(ISNUMBER(F816),ISNUMBER(H816)),F816-H816,""),"")</f>
        <v/>
      </c>
      <c r="J816" s="114" t="n"/>
      <c r="K816" s="139">
        <f>IFERROR(IF(H816&gt;0,H816*$C$7,""),"")</f>
        <v/>
      </c>
      <c r="L816" s="139">
        <f>IFERROR(IF(ISNUMBER(F816),F816-IF(ISNUMBER(K816),K816,0),""),"")</f>
        <v/>
      </c>
    </row>
    <row r="817" ht="24" customHeight="1" s="63">
      <c r="E817" s="139" t="n"/>
      <c r="F817" s="139" t="n"/>
      <c r="G817" s="140">
        <f>IFERROR(IF(E817&gt;0,(F817/E817)*1000,""),"")</f>
        <v/>
      </c>
      <c r="H817" s="139">
        <f>IFERROR(IF(E817&gt;0,E817*IF(ISNUMBER(J817),J817,IF(C817="Futures",$C$6,$C$5)),""),"")</f>
        <v/>
      </c>
      <c r="I817" s="139">
        <f>IFERROR(IF(AND(ISNUMBER(F817),ISNUMBER(H817)),F817-H817,""),"")</f>
        <v/>
      </c>
      <c r="J817" s="114" t="n"/>
      <c r="K817" s="139">
        <f>IFERROR(IF(H817&gt;0,H817*$C$7,""),"")</f>
        <v/>
      </c>
      <c r="L817" s="139">
        <f>IFERROR(IF(ISNUMBER(F817),F817-IF(ISNUMBER(K817),K817,0),""),"")</f>
        <v/>
      </c>
    </row>
    <row r="818" ht="24" customHeight="1" s="63">
      <c r="E818" s="139" t="n"/>
      <c r="F818" s="139" t="n"/>
      <c r="G818" s="140">
        <f>IFERROR(IF(E818&gt;0,(F818/E818)*1000,""),"")</f>
        <v/>
      </c>
      <c r="H818" s="139">
        <f>IFERROR(IF(E818&gt;0,E818*IF(ISNUMBER(J818),J818,IF(C818="Futures",$C$6,$C$5)),""),"")</f>
        <v/>
      </c>
      <c r="I818" s="139">
        <f>IFERROR(IF(AND(ISNUMBER(F818),ISNUMBER(H818)),F818-H818,""),"")</f>
        <v/>
      </c>
      <c r="J818" s="114" t="n"/>
      <c r="K818" s="139">
        <f>IFERROR(IF(H818&gt;0,H818*$C$7,""),"")</f>
        <v/>
      </c>
      <c r="L818" s="139">
        <f>IFERROR(IF(ISNUMBER(F818),F818-IF(ISNUMBER(K818),K818,0),""),"")</f>
        <v/>
      </c>
    </row>
    <row r="819" ht="24" customHeight="1" s="63">
      <c r="E819" s="139" t="n"/>
      <c r="F819" s="139" t="n"/>
      <c r="G819" s="140">
        <f>IFERROR(IF(E819&gt;0,(F819/E819)*1000,""),"")</f>
        <v/>
      </c>
      <c r="H819" s="139">
        <f>IFERROR(IF(E819&gt;0,E819*IF(ISNUMBER(J819),J819,IF(C819="Futures",$C$6,$C$5)),""),"")</f>
        <v/>
      </c>
      <c r="I819" s="139">
        <f>IFERROR(IF(AND(ISNUMBER(F819),ISNUMBER(H819)),F819-H819,""),"")</f>
        <v/>
      </c>
      <c r="J819" s="114" t="n"/>
      <c r="K819" s="139">
        <f>IFERROR(IF(H819&gt;0,H819*$C$7,""),"")</f>
        <v/>
      </c>
      <c r="L819" s="139">
        <f>IFERROR(IF(ISNUMBER(F819),F819-IF(ISNUMBER(K819),K819,0),""),"")</f>
        <v/>
      </c>
    </row>
    <row r="820" ht="24" customHeight="1" s="63">
      <c r="E820" s="139" t="n"/>
      <c r="F820" s="139" t="n"/>
      <c r="G820" s="140">
        <f>IFERROR(IF(E820&gt;0,(F820/E820)*1000,""),"")</f>
        <v/>
      </c>
      <c r="H820" s="139">
        <f>IFERROR(IF(E820&gt;0,E820*IF(ISNUMBER(J820),J820,IF(C820="Futures",$C$6,$C$5)),""),"")</f>
        <v/>
      </c>
      <c r="I820" s="139">
        <f>IFERROR(IF(AND(ISNUMBER(F820),ISNUMBER(H820)),F820-H820,""),"")</f>
        <v/>
      </c>
      <c r="J820" s="114" t="n"/>
      <c r="K820" s="139">
        <f>IFERROR(IF(H820&gt;0,H820*$C$7,""),"")</f>
        <v/>
      </c>
      <c r="L820" s="139">
        <f>IFERROR(IF(ISNUMBER(F820),F820-IF(ISNUMBER(K820),K820,0),""),"")</f>
        <v/>
      </c>
    </row>
    <row r="821" ht="24" customHeight="1" s="63">
      <c r="E821" s="139" t="n"/>
      <c r="F821" s="139" t="n"/>
      <c r="G821" s="140">
        <f>IFERROR(IF(E821&gt;0,(F821/E821)*1000,""),"")</f>
        <v/>
      </c>
      <c r="H821" s="139">
        <f>IFERROR(IF(E821&gt;0,E821*IF(ISNUMBER(J821),J821,IF(C821="Futures",$C$6,$C$5)),""),"")</f>
        <v/>
      </c>
      <c r="I821" s="139">
        <f>IFERROR(IF(AND(ISNUMBER(F821),ISNUMBER(H821)),F821-H821,""),"")</f>
        <v/>
      </c>
      <c r="J821" s="114" t="n"/>
      <c r="K821" s="139">
        <f>IFERROR(IF(H821&gt;0,H821*$C$7,""),"")</f>
        <v/>
      </c>
      <c r="L821" s="139">
        <f>IFERROR(IF(ISNUMBER(F821),F821-IF(ISNUMBER(K821),K821,0),""),"")</f>
        <v/>
      </c>
    </row>
    <row r="822" ht="24" customHeight="1" s="63">
      <c r="E822" s="139" t="n"/>
      <c r="F822" s="139" t="n"/>
      <c r="G822" s="140">
        <f>IFERROR(IF(E822&gt;0,(F822/E822)*1000,""),"")</f>
        <v/>
      </c>
      <c r="H822" s="139">
        <f>IFERROR(IF(E822&gt;0,E822*IF(ISNUMBER(J822),J822,IF(C822="Futures",$C$6,$C$5)),""),"")</f>
        <v/>
      </c>
      <c r="I822" s="139">
        <f>IFERROR(IF(AND(ISNUMBER(F822),ISNUMBER(H822)),F822-H822,""),"")</f>
        <v/>
      </c>
      <c r="J822" s="114" t="n"/>
      <c r="K822" s="139">
        <f>IFERROR(IF(H822&gt;0,H822*$C$7,""),"")</f>
        <v/>
      </c>
      <c r="L822" s="139">
        <f>IFERROR(IF(ISNUMBER(F822),F822-IF(ISNUMBER(K822),K822,0),""),"")</f>
        <v/>
      </c>
    </row>
    <row r="823" ht="24" customHeight="1" s="63">
      <c r="E823" s="139" t="n"/>
      <c r="F823" s="139" t="n"/>
      <c r="G823" s="140">
        <f>IFERROR(IF(E823&gt;0,(F823/E823)*1000,""),"")</f>
        <v/>
      </c>
      <c r="H823" s="139">
        <f>IFERROR(IF(E823&gt;0,E823*IF(ISNUMBER(J823),J823,IF(C823="Futures",$C$6,$C$5)),""),"")</f>
        <v/>
      </c>
      <c r="I823" s="139">
        <f>IFERROR(IF(AND(ISNUMBER(F823),ISNUMBER(H823)),F823-H823,""),"")</f>
        <v/>
      </c>
      <c r="J823" s="114" t="n"/>
      <c r="K823" s="139">
        <f>IFERROR(IF(H823&gt;0,H823*$C$7,""),"")</f>
        <v/>
      </c>
      <c r="L823" s="139">
        <f>IFERROR(IF(ISNUMBER(F823),F823-IF(ISNUMBER(K823),K823,0),""),"")</f>
        <v/>
      </c>
    </row>
    <row r="824" ht="24" customHeight="1" s="63">
      <c r="E824" s="139" t="n"/>
      <c r="F824" s="139" t="n"/>
      <c r="G824" s="140">
        <f>IFERROR(IF(E824&gt;0,(F824/E824)*1000,""),"")</f>
        <v/>
      </c>
      <c r="H824" s="139">
        <f>IFERROR(IF(E824&gt;0,E824*IF(ISNUMBER(J824),J824,IF(C824="Futures",$C$6,$C$5)),""),"")</f>
        <v/>
      </c>
      <c r="I824" s="139">
        <f>IFERROR(IF(AND(ISNUMBER(F824),ISNUMBER(H824)),F824-H824,""),"")</f>
        <v/>
      </c>
      <c r="J824" s="114" t="n"/>
      <c r="K824" s="139">
        <f>IFERROR(IF(H824&gt;0,H824*$C$7,""),"")</f>
        <v/>
      </c>
      <c r="L824" s="139">
        <f>IFERROR(IF(ISNUMBER(F824),F824-IF(ISNUMBER(K824),K824,0),""),"")</f>
        <v/>
      </c>
    </row>
    <row r="825" ht="24" customHeight="1" s="63">
      <c r="E825" s="139" t="n"/>
      <c r="F825" s="139" t="n"/>
      <c r="G825" s="140">
        <f>IFERROR(IF(E825&gt;0,(F825/E825)*1000,""),"")</f>
        <v/>
      </c>
      <c r="H825" s="139">
        <f>IFERROR(IF(E825&gt;0,E825*IF(ISNUMBER(J825),J825,IF(C825="Futures",$C$6,$C$5)),""),"")</f>
        <v/>
      </c>
      <c r="I825" s="139">
        <f>IFERROR(IF(AND(ISNUMBER(F825),ISNUMBER(H825)),F825-H825,""),"")</f>
        <v/>
      </c>
      <c r="J825" s="114" t="n"/>
      <c r="K825" s="139">
        <f>IFERROR(IF(H825&gt;0,H825*$C$7,""),"")</f>
        <v/>
      </c>
      <c r="L825" s="139">
        <f>IFERROR(IF(ISNUMBER(F825),F825-IF(ISNUMBER(K825),K825,0),""),"")</f>
        <v/>
      </c>
    </row>
    <row r="826" ht="24" customHeight="1" s="63">
      <c r="E826" s="139" t="n"/>
      <c r="F826" s="139" t="n"/>
      <c r="G826" s="140">
        <f>IFERROR(IF(E826&gt;0,(F826/E826)*1000,""),"")</f>
        <v/>
      </c>
      <c r="H826" s="139">
        <f>IFERROR(IF(E826&gt;0,E826*IF(ISNUMBER(J826),J826,IF(C826="Futures",$C$6,$C$5)),""),"")</f>
        <v/>
      </c>
      <c r="I826" s="139">
        <f>IFERROR(IF(AND(ISNUMBER(F826),ISNUMBER(H826)),F826-H826,""),"")</f>
        <v/>
      </c>
      <c r="J826" s="114" t="n"/>
      <c r="K826" s="139">
        <f>IFERROR(IF(H826&gt;0,H826*$C$7,""),"")</f>
        <v/>
      </c>
      <c r="L826" s="139">
        <f>IFERROR(IF(ISNUMBER(F826),F826-IF(ISNUMBER(K826),K826,0),""),"")</f>
        <v/>
      </c>
    </row>
    <row r="827" ht="24" customHeight="1" s="63">
      <c r="E827" s="139" t="n"/>
      <c r="F827" s="139" t="n"/>
      <c r="G827" s="140">
        <f>IFERROR(IF(E827&gt;0,(F827/E827)*1000,""),"")</f>
        <v/>
      </c>
      <c r="H827" s="139">
        <f>IFERROR(IF(E827&gt;0,E827*IF(ISNUMBER(J827),J827,IF(C827="Futures",$C$6,$C$5)),""),"")</f>
        <v/>
      </c>
      <c r="I827" s="139">
        <f>IFERROR(IF(AND(ISNUMBER(F827),ISNUMBER(H827)),F827-H827,""),"")</f>
        <v/>
      </c>
      <c r="J827" s="114" t="n"/>
      <c r="K827" s="139">
        <f>IFERROR(IF(H827&gt;0,H827*$C$7,""),"")</f>
        <v/>
      </c>
      <c r="L827" s="139">
        <f>IFERROR(IF(ISNUMBER(F827),F827-IF(ISNUMBER(K827),K827,0),""),"")</f>
        <v/>
      </c>
    </row>
    <row r="828" ht="24" customHeight="1" s="63">
      <c r="E828" s="139" t="n"/>
      <c r="F828" s="139" t="n"/>
      <c r="G828" s="140">
        <f>IFERROR(IF(E828&gt;0,(F828/E828)*1000,""),"")</f>
        <v/>
      </c>
      <c r="H828" s="139">
        <f>IFERROR(IF(E828&gt;0,E828*IF(ISNUMBER(J828),J828,IF(C828="Futures",$C$6,$C$5)),""),"")</f>
        <v/>
      </c>
      <c r="I828" s="139">
        <f>IFERROR(IF(AND(ISNUMBER(F828),ISNUMBER(H828)),F828-H828,""),"")</f>
        <v/>
      </c>
      <c r="J828" s="114" t="n"/>
      <c r="K828" s="139">
        <f>IFERROR(IF(H828&gt;0,H828*$C$7,""),"")</f>
        <v/>
      </c>
      <c r="L828" s="139">
        <f>IFERROR(IF(ISNUMBER(F828),F828-IF(ISNUMBER(K828),K828,0),""),"")</f>
        <v/>
      </c>
    </row>
    <row r="829" ht="24" customHeight="1" s="63">
      <c r="E829" s="139" t="n"/>
      <c r="F829" s="139" t="n"/>
      <c r="G829" s="140">
        <f>IFERROR(IF(E829&gt;0,(F829/E829)*1000,""),"")</f>
        <v/>
      </c>
      <c r="H829" s="139">
        <f>IFERROR(IF(E829&gt;0,E829*IF(ISNUMBER(J829),J829,IF(C829="Futures",$C$6,$C$5)),""),"")</f>
        <v/>
      </c>
      <c r="I829" s="139">
        <f>IFERROR(IF(AND(ISNUMBER(F829),ISNUMBER(H829)),F829-H829,""),"")</f>
        <v/>
      </c>
      <c r="J829" s="114" t="n"/>
      <c r="K829" s="139">
        <f>IFERROR(IF(H829&gt;0,H829*$C$7,""),"")</f>
        <v/>
      </c>
      <c r="L829" s="139">
        <f>IFERROR(IF(ISNUMBER(F829),F829-IF(ISNUMBER(K829),K829,0),""),"")</f>
        <v/>
      </c>
    </row>
    <row r="830" ht="24" customHeight="1" s="63">
      <c r="E830" s="139" t="n"/>
      <c r="F830" s="139" t="n"/>
      <c r="G830" s="140">
        <f>IFERROR(IF(E830&gt;0,(F830/E830)*1000,""),"")</f>
        <v/>
      </c>
      <c r="H830" s="139">
        <f>IFERROR(IF(E830&gt;0,E830*IF(ISNUMBER(J830),J830,IF(C830="Futures",$C$6,$C$5)),""),"")</f>
        <v/>
      </c>
      <c r="I830" s="139">
        <f>IFERROR(IF(AND(ISNUMBER(F830),ISNUMBER(H830)),F830-H830,""),"")</f>
        <v/>
      </c>
      <c r="J830" s="114" t="n"/>
      <c r="K830" s="139">
        <f>IFERROR(IF(H830&gt;0,H830*$C$7,""),"")</f>
        <v/>
      </c>
      <c r="L830" s="139">
        <f>IFERROR(IF(ISNUMBER(F830),F830-IF(ISNUMBER(K830),K830,0),""),"")</f>
        <v/>
      </c>
    </row>
    <row r="831" ht="24" customHeight="1" s="63">
      <c r="E831" s="139" t="n"/>
      <c r="F831" s="139" t="n"/>
      <c r="G831" s="140">
        <f>IFERROR(IF(E831&gt;0,(F831/E831)*1000,""),"")</f>
        <v/>
      </c>
      <c r="H831" s="139">
        <f>IFERROR(IF(E831&gt;0,E831*IF(ISNUMBER(J831),J831,IF(C831="Futures",$C$6,$C$5)),""),"")</f>
        <v/>
      </c>
      <c r="I831" s="139">
        <f>IFERROR(IF(AND(ISNUMBER(F831),ISNUMBER(H831)),F831-H831,""),"")</f>
        <v/>
      </c>
      <c r="J831" s="114" t="n"/>
      <c r="K831" s="139">
        <f>IFERROR(IF(H831&gt;0,H831*$C$7,""),"")</f>
        <v/>
      </c>
      <c r="L831" s="139">
        <f>IFERROR(IF(ISNUMBER(F831),F831-IF(ISNUMBER(K831),K831,0),""),"")</f>
        <v/>
      </c>
    </row>
    <row r="832" ht="24" customHeight="1" s="63">
      <c r="E832" s="139" t="n"/>
      <c r="F832" s="139" t="n"/>
      <c r="G832" s="140">
        <f>IFERROR(IF(E832&gt;0,(F832/E832)*1000,""),"")</f>
        <v/>
      </c>
      <c r="H832" s="139">
        <f>IFERROR(IF(E832&gt;0,E832*IF(ISNUMBER(J832),J832,IF(C832="Futures",$C$6,$C$5)),""),"")</f>
        <v/>
      </c>
      <c r="I832" s="139">
        <f>IFERROR(IF(AND(ISNUMBER(F832),ISNUMBER(H832)),F832-H832,""),"")</f>
        <v/>
      </c>
      <c r="J832" s="114" t="n"/>
      <c r="K832" s="139">
        <f>IFERROR(IF(H832&gt;0,H832*$C$7,""),"")</f>
        <v/>
      </c>
      <c r="L832" s="139">
        <f>IFERROR(IF(ISNUMBER(F832),F832-IF(ISNUMBER(K832),K832,0),""),"")</f>
        <v/>
      </c>
    </row>
    <row r="833" ht="24" customHeight="1" s="63">
      <c r="E833" s="139" t="n"/>
      <c r="F833" s="139" t="n"/>
      <c r="G833" s="140">
        <f>IFERROR(IF(E833&gt;0,(F833/E833)*1000,""),"")</f>
        <v/>
      </c>
      <c r="H833" s="139">
        <f>IFERROR(IF(E833&gt;0,E833*IF(ISNUMBER(J833),J833,IF(C833="Futures",$C$6,$C$5)),""),"")</f>
        <v/>
      </c>
      <c r="I833" s="139">
        <f>IFERROR(IF(AND(ISNUMBER(F833),ISNUMBER(H833)),F833-H833,""),"")</f>
        <v/>
      </c>
      <c r="J833" s="114" t="n"/>
      <c r="K833" s="139">
        <f>IFERROR(IF(H833&gt;0,H833*$C$7,""),"")</f>
        <v/>
      </c>
      <c r="L833" s="139">
        <f>IFERROR(IF(ISNUMBER(F833),F833-IF(ISNUMBER(K833),K833,0),""),"")</f>
        <v/>
      </c>
    </row>
    <row r="834" ht="24" customHeight="1" s="63">
      <c r="E834" s="139" t="n"/>
      <c r="F834" s="139" t="n"/>
      <c r="G834" s="140">
        <f>IFERROR(IF(E834&gt;0,(F834/E834)*1000,""),"")</f>
        <v/>
      </c>
      <c r="H834" s="139">
        <f>IFERROR(IF(E834&gt;0,E834*IF(ISNUMBER(J834),J834,IF(C834="Futures",$C$6,$C$5)),""),"")</f>
        <v/>
      </c>
      <c r="I834" s="139">
        <f>IFERROR(IF(AND(ISNUMBER(F834),ISNUMBER(H834)),F834-H834,""),"")</f>
        <v/>
      </c>
      <c r="J834" s="114" t="n"/>
      <c r="K834" s="139">
        <f>IFERROR(IF(H834&gt;0,H834*$C$7,""),"")</f>
        <v/>
      </c>
      <c r="L834" s="139">
        <f>IFERROR(IF(ISNUMBER(F834),F834-IF(ISNUMBER(K834),K834,0),""),"")</f>
        <v/>
      </c>
    </row>
    <row r="835" ht="24" customHeight="1" s="63">
      <c r="E835" s="139" t="n"/>
      <c r="F835" s="139" t="n"/>
      <c r="G835" s="140">
        <f>IFERROR(IF(E835&gt;0,(F835/E835)*1000,""),"")</f>
        <v/>
      </c>
      <c r="H835" s="139">
        <f>IFERROR(IF(E835&gt;0,E835*IF(ISNUMBER(J835),J835,IF(C835="Futures",$C$6,$C$5)),""),"")</f>
        <v/>
      </c>
      <c r="I835" s="139">
        <f>IFERROR(IF(AND(ISNUMBER(F835),ISNUMBER(H835)),F835-H835,""),"")</f>
        <v/>
      </c>
      <c r="J835" s="114" t="n"/>
      <c r="K835" s="139">
        <f>IFERROR(IF(H835&gt;0,H835*$C$7,""),"")</f>
        <v/>
      </c>
      <c r="L835" s="139">
        <f>IFERROR(IF(ISNUMBER(F835),F835-IF(ISNUMBER(K835),K835,0),""),"")</f>
        <v/>
      </c>
    </row>
    <row r="836" ht="24" customHeight="1" s="63">
      <c r="E836" s="139" t="n"/>
      <c r="F836" s="139" t="n"/>
      <c r="G836" s="140">
        <f>IFERROR(IF(E836&gt;0,(F836/E836)*1000,""),"")</f>
        <v/>
      </c>
      <c r="H836" s="139">
        <f>IFERROR(IF(E836&gt;0,E836*IF(ISNUMBER(J836),J836,IF(C836="Futures",$C$6,$C$5)),""),"")</f>
        <v/>
      </c>
      <c r="I836" s="139">
        <f>IFERROR(IF(AND(ISNUMBER(F836),ISNUMBER(H836)),F836-H836,""),"")</f>
        <v/>
      </c>
      <c r="J836" s="114" t="n"/>
      <c r="K836" s="139">
        <f>IFERROR(IF(H836&gt;0,H836*$C$7,""),"")</f>
        <v/>
      </c>
      <c r="L836" s="139">
        <f>IFERROR(IF(ISNUMBER(F836),F836-IF(ISNUMBER(K836),K836,0),""),"")</f>
        <v/>
      </c>
    </row>
    <row r="837" ht="24" customHeight="1" s="63">
      <c r="E837" s="139" t="n"/>
      <c r="F837" s="139" t="n"/>
      <c r="G837" s="140">
        <f>IFERROR(IF(E837&gt;0,(F837/E837)*1000,""),"")</f>
        <v/>
      </c>
      <c r="H837" s="139">
        <f>IFERROR(IF(E837&gt;0,E837*IF(ISNUMBER(J837),J837,IF(C837="Futures",$C$6,$C$5)),""),"")</f>
        <v/>
      </c>
      <c r="I837" s="139">
        <f>IFERROR(IF(AND(ISNUMBER(F837),ISNUMBER(H837)),F837-H837,""),"")</f>
        <v/>
      </c>
      <c r="J837" s="114" t="n"/>
      <c r="K837" s="139">
        <f>IFERROR(IF(H837&gt;0,H837*$C$7,""),"")</f>
        <v/>
      </c>
      <c r="L837" s="139">
        <f>IFERROR(IF(ISNUMBER(F837),F837-IF(ISNUMBER(K837),K837,0),""),"")</f>
        <v/>
      </c>
    </row>
    <row r="838" ht="24" customHeight="1" s="63">
      <c r="E838" s="139" t="n"/>
      <c r="F838" s="139" t="n"/>
      <c r="G838" s="140">
        <f>IFERROR(IF(E838&gt;0,(F838/E838)*1000,""),"")</f>
        <v/>
      </c>
      <c r="H838" s="139">
        <f>IFERROR(IF(E838&gt;0,E838*IF(ISNUMBER(J838),J838,IF(C838="Futures",$C$6,$C$5)),""),"")</f>
        <v/>
      </c>
      <c r="I838" s="139">
        <f>IFERROR(IF(AND(ISNUMBER(F838),ISNUMBER(H838)),F838-H838,""),"")</f>
        <v/>
      </c>
      <c r="J838" s="114" t="n"/>
      <c r="K838" s="139">
        <f>IFERROR(IF(H838&gt;0,H838*$C$7,""),"")</f>
        <v/>
      </c>
      <c r="L838" s="139">
        <f>IFERROR(IF(ISNUMBER(F838),F838-IF(ISNUMBER(K838),K838,0),""),"")</f>
        <v/>
      </c>
    </row>
    <row r="839" ht="24" customHeight="1" s="63">
      <c r="E839" s="139" t="n"/>
      <c r="F839" s="139" t="n"/>
      <c r="G839" s="140">
        <f>IFERROR(IF(E839&gt;0,(F839/E839)*1000,""),"")</f>
        <v/>
      </c>
      <c r="H839" s="139">
        <f>IFERROR(IF(E839&gt;0,E839*IF(ISNUMBER(J839),J839,IF(C839="Futures",$C$6,$C$5)),""),"")</f>
        <v/>
      </c>
      <c r="I839" s="139">
        <f>IFERROR(IF(AND(ISNUMBER(F839),ISNUMBER(H839)),F839-H839,""),"")</f>
        <v/>
      </c>
      <c r="J839" s="114" t="n"/>
      <c r="K839" s="139">
        <f>IFERROR(IF(H839&gt;0,H839*$C$7,""),"")</f>
        <v/>
      </c>
      <c r="L839" s="139">
        <f>IFERROR(IF(ISNUMBER(F839),F839-IF(ISNUMBER(K839),K839,0),""),"")</f>
        <v/>
      </c>
    </row>
    <row r="840" ht="24" customHeight="1" s="63">
      <c r="E840" s="139" t="n"/>
      <c r="F840" s="139" t="n"/>
      <c r="G840" s="140">
        <f>IFERROR(IF(E840&gt;0,(F840/E840)*1000,""),"")</f>
        <v/>
      </c>
      <c r="H840" s="139">
        <f>IFERROR(IF(E840&gt;0,E840*IF(ISNUMBER(J840),J840,IF(C840="Futures",$C$6,$C$5)),""),"")</f>
        <v/>
      </c>
      <c r="I840" s="139">
        <f>IFERROR(IF(AND(ISNUMBER(F840),ISNUMBER(H840)),F840-H840,""),"")</f>
        <v/>
      </c>
      <c r="J840" s="114" t="n"/>
      <c r="K840" s="139">
        <f>IFERROR(IF(H840&gt;0,H840*$C$7,""),"")</f>
        <v/>
      </c>
      <c r="L840" s="139">
        <f>IFERROR(IF(ISNUMBER(F840),F840-IF(ISNUMBER(K840),K840,0),""),"")</f>
        <v/>
      </c>
    </row>
    <row r="841" ht="24" customHeight="1" s="63">
      <c r="E841" s="139" t="n"/>
      <c r="F841" s="139" t="n"/>
      <c r="G841" s="140">
        <f>IFERROR(IF(E841&gt;0,(F841/E841)*1000,""),"")</f>
        <v/>
      </c>
      <c r="H841" s="139">
        <f>IFERROR(IF(E841&gt;0,E841*IF(ISNUMBER(J841),J841,IF(C841="Futures",$C$6,$C$5)),""),"")</f>
        <v/>
      </c>
      <c r="I841" s="139">
        <f>IFERROR(IF(AND(ISNUMBER(F841),ISNUMBER(H841)),F841-H841,""),"")</f>
        <v/>
      </c>
      <c r="J841" s="114" t="n"/>
      <c r="K841" s="139">
        <f>IFERROR(IF(H841&gt;0,H841*$C$7,""),"")</f>
        <v/>
      </c>
      <c r="L841" s="139">
        <f>IFERROR(IF(ISNUMBER(F841),F841-IF(ISNUMBER(K841),K841,0),""),"")</f>
        <v/>
      </c>
    </row>
    <row r="842" ht="24" customHeight="1" s="63">
      <c r="E842" s="139" t="n"/>
      <c r="F842" s="139" t="n"/>
      <c r="G842" s="140">
        <f>IFERROR(IF(E842&gt;0,(F842/E842)*1000,""),"")</f>
        <v/>
      </c>
      <c r="H842" s="139">
        <f>IFERROR(IF(E842&gt;0,E842*IF(ISNUMBER(J842),J842,IF(C842="Futures",$C$6,$C$5)),""),"")</f>
        <v/>
      </c>
      <c r="I842" s="139">
        <f>IFERROR(IF(AND(ISNUMBER(F842),ISNUMBER(H842)),F842-H842,""),"")</f>
        <v/>
      </c>
      <c r="J842" s="114" t="n"/>
      <c r="K842" s="139">
        <f>IFERROR(IF(H842&gt;0,H842*$C$7,""),"")</f>
        <v/>
      </c>
      <c r="L842" s="139">
        <f>IFERROR(IF(ISNUMBER(F842),F842-IF(ISNUMBER(K842),K842,0),""),"")</f>
        <v/>
      </c>
    </row>
    <row r="843" ht="24" customHeight="1" s="63">
      <c r="E843" s="139" t="n"/>
      <c r="F843" s="139" t="n"/>
      <c r="G843" s="140">
        <f>IFERROR(IF(E843&gt;0,(F843/E843)*1000,""),"")</f>
        <v/>
      </c>
      <c r="H843" s="139">
        <f>IFERROR(IF(E843&gt;0,E843*IF(ISNUMBER(J843),J843,IF(C843="Futures",$C$6,$C$5)),""),"")</f>
        <v/>
      </c>
      <c r="I843" s="139">
        <f>IFERROR(IF(AND(ISNUMBER(F843),ISNUMBER(H843)),F843-H843,""),"")</f>
        <v/>
      </c>
      <c r="J843" s="114" t="n"/>
      <c r="K843" s="139">
        <f>IFERROR(IF(H843&gt;0,H843*$C$7,""),"")</f>
        <v/>
      </c>
      <c r="L843" s="139">
        <f>IFERROR(IF(ISNUMBER(F843),F843-IF(ISNUMBER(K843),K843,0),""),"")</f>
        <v/>
      </c>
    </row>
    <row r="844" ht="24" customHeight="1" s="63">
      <c r="E844" s="139" t="n"/>
      <c r="F844" s="139" t="n"/>
      <c r="G844" s="140">
        <f>IFERROR(IF(E844&gt;0,(F844/E844)*1000,""),"")</f>
        <v/>
      </c>
      <c r="H844" s="139">
        <f>IFERROR(IF(E844&gt;0,E844*IF(ISNUMBER(J844),J844,IF(C844="Futures",$C$6,$C$5)),""),"")</f>
        <v/>
      </c>
      <c r="I844" s="139">
        <f>IFERROR(IF(AND(ISNUMBER(F844),ISNUMBER(H844)),F844-H844,""),"")</f>
        <v/>
      </c>
      <c r="J844" s="114" t="n"/>
      <c r="K844" s="139">
        <f>IFERROR(IF(H844&gt;0,H844*$C$7,""),"")</f>
        <v/>
      </c>
      <c r="L844" s="139">
        <f>IFERROR(IF(ISNUMBER(F844),F844-IF(ISNUMBER(K844),K844,0),""),"")</f>
        <v/>
      </c>
    </row>
    <row r="845" ht="24" customHeight="1" s="63">
      <c r="E845" s="139" t="n"/>
      <c r="F845" s="139" t="n"/>
      <c r="G845" s="140">
        <f>IFERROR(IF(E845&gt;0,(F845/E845)*1000,""),"")</f>
        <v/>
      </c>
      <c r="H845" s="139">
        <f>IFERROR(IF(E845&gt;0,E845*IF(ISNUMBER(J845),J845,IF(C845="Futures",$C$6,$C$5)),""),"")</f>
        <v/>
      </c>
      <c r="I845" s="139">
        <f>IFERROR(IF(AND(ISNUMBER(F845),ISNUMBER(H845)),F845-H845,""),"")</f>
        <v/>
      </c>
      <c r="J845" s="114" t="n"/>
      <c r="K845" s="139">
        <f>IFERROR(IF(H845&gt;0,H845*$C$7,""),"")</f>
        <v/>
      </c>
      <c r="L845" s="139">
        <f>IFERROR(IF(ISNUMBER(F845),F845-IF(ISNUMBER(K845),K845,0),""),"")</f>
        <v/>
      </c>
    </row>
    <row r="846" ht="24" customHeight="1" s="63">
      <c r="E846" s="139" t="n"/>
      <c r="F846" s="139" t="n"/>
      <c r="G846" s="140">
        <f>IFERROR(IF(E846&gt;0,(F846/E846)*1000,""),"")</f>
        <v/>
      </c>
      <c r="H846" s="139">
        <f>IFERROR(IF(E846&gt;0,E846*IF(ISNUMBER(J846),J846,IF(C846="Futures",$C$6,$C$5)),""),"")</f>
        <v/>
      </c>
      <c r="I846" s="139">
        <f>IFERROR(IF(AND(ISNUMBER(F846),ISNUMBER(H846)),F846-H846,""),"")</f>
        <v/>
      </c>
      <c r="J846" s="114" t="n"/>
      <c r="K846" s="139">
        <f>IFERROR(IF(H846&gt;0,H846*$C$7,""),"")</f>
        <v/>
      </c>
      <c r="L846" s="139">
        <f>IFERROR(IF(ISNUMBER(F846),F846-IF(ISNUMBER(K846),K846,0),""),"")</f>
        <v/>
      </c>
    </row>
    <row r="847" ht="24" customHeight="1" s="63">
      <c r="E847" s="139" t="n"/>
      <c r="F847" s="139" t="n"/>
      <c r="G847" s="140">
        <f>IFERROR(IF(E847&gt;0,(F847/E847)*1000,""),"")</f>
        <v/>
      </c>
      <c r="H847" s="139">
        <f>IFERROR(IF(E847&gt;0,E847*IF(ISNUMBER(J847),J847,IF(C847="Futures",$C$6,$C$5)),""),"")</f>
        <v/>
      </c>
      <c r="I847" s="139">
        <f>IFERROR(IF(AND(ISNUMBER(F847),ISNUMBER(H847)),F847-H847,""),"")</f>
        <v/>
      </c>
      <c r="J847" s="114" t="n"/>
      <c r="K847" s="139">
        <f>IFERROR(IF(H847&gt;0,H847*$C$7,""),"")</f>
        <v/>
      </c>
      <c r="L847" s="139">
        <f>IFERROR(IF(ISNUMBER(F847),F847-IF(ISNUMBER(K847),K847,0),""),"")</f>
        <v/>
      </c>
    </row>
    <row r="848" ht="24" customHeight="1" s="63">
      <c r="E848" s="139" t="n"/>
      <c r="F848" s="139" t="n"/>
      <c r="G848" s="140">
        <f>IFERROR(IF(E848&gt;0,(F848/E848)*1000,""),"")</f>
        <v/>
      </c>
      <c r="H848" s="139">
        <f>IFERROR(IF(E848&gt;0,E848*IF(ISNUMBER(J848),J848,IF(C848="Futures",$C$6,$C$5)),""),"")</f>
        <v/>
      </c>
      <c r="I848" s="139">
        <f>IFERROR(IF(AND(ISNUMBER(F848),ISNUMBER(H848)),F848-H848,""),"")</f>
        <v/>
      </c>
      <c r="J848" s="114" t="n"/>
      <c r="K848" s="139">
        <f>IFERROR(IF(H848&gt;0,H848*$C$7,""),"")</f>
        <v/>
      </c>
      <c r="L848" s="139">
        <f>IFERROR(IF(ISNUMBER(F848),F848-IF(ISNUMBER(K848),K848,0),""),"")</f>
        <v/>
      </c>
    </row>
    <row r="849" ht="24" customHeight="1" s="63">
      <c r="E849" s="139" t="n"/>
      <c r="F849" s="139" t="n"/>
      <c r="G849" s="140">
        <f>IFERROR(IF(E849&gt;0,(F849/E849)*1000,""),"")</f>
        <v/>
      </c>
      <c r="H849" s="139">
        <f>IFERROR(IF(E849&gt;0,E849*IF(ISNUMBER(J849),J849,IF(C849="Futures",$C$6,$C$5)),""),"")</f>
        <v/>
      </c>
      <c r="I849" s="139">
        <f>IFERROR(IF(AND(ISNUMBER(F849),ISNUMBER(H849)),F849-H849,""),"")</f>
        <v/>
      </c>
      <c r="J849" s="114" t="n"/>
      <c r="K849" s="139">
        <f>IFERROR(IF(H849&gt;0,H849*$C$7,""),"")</f>
        <v/>
      </c>
      <c r="L849" s="139">
        <f>IFERROR(IF(ISNUMBER(F849),F849-IF(ISNUMBER(K849),K849,0),""),"")</f>
        <v/>
      </c>
    </row>
    <row r="850" ht="24" customHeight="1" s="63">
      <c r="E850" s="139" t="n"/>
      <c r="F850" s="139" t="n"/>
      <c r="G850" s="140">
        <f>IFERROR(IF(E850&gt;0,(F850/E850)*1000,""),"")</f>
        <v/>
      </c>
      <c r="H850" s="139">
        <f>IFERROR(IF(E850&gt;0,E850*IF(ISNUMBER(J850),J850,IF(C850="Futures",$C$6,$C$5)),""),"")</f>
        <v/>
      </c>
      <c r="I850" s="139">
        <f>IFERROR(IF(AND(ISNUMBER(F850),ISNUMBER(H850)),F850-H850,""),"")</f>
        <v/>
      </c>
      <c r="J850" s="114" t="n"/>
      <c r="K850" s="139">
        <f>IFERROR(IF(H850&gt;0,H850*$C$7,""),"")</f>
        <v/>
      </c>
      <c r="L850" s="139">
        <f>IFERROR(IF(ISNUMBER(F850),F850-IF(ISNUMBER(K850),K850,0),""),"")</f>
        <v/>
      </c>
    </row>
    <row r="851" ht="24" customHeight="1" s="63">
      <c r="E851" s="139" t="n"/>
      <c r="F851" s="139" t="n"/>
      <c r="G851" s="140">
        <f>IFERROR(IF(E851&gt;0,(F851/E851)*1000,""),"")</f>
        <v/>
      </c>
      <c r="H851" s="139">
        <f>IFERROR(IF(E851&gt;0,E851*IF(ISNUMBER(J851),J851,IF(C851="Futures",$C$6,$C$5)),""),"")</f>
        <v/>
      </c>
      <c r="I851" s="139">
        <f>IFERROR(IF(AND(ISNUMBER(F851),ISNUMBER(H851)),F851-H851,""),"")</f>
        <v/>
      </c>
      <c r="J851" s="114" t="n"/>
      <c r="K851" s="139">
        <f>IFERROR(IF(H851&gt;0,H851*$C$7,""),"")</f>
        <v/>
      </c>
      <c r="L851" s="139">
        <f>IFERROR(IF(ISNUMBER(F851),F851-IF(ISNUMBER(K851),K851,0),""),"")</f>
        <v/>
      </c>
    </row>
    <row r="852" ht="24" customHeight="1" s="63">
      <c r="E852" s="139" t="n"/>
      <c r="F852" s="139" t="n"/>
      <c r="G852" s="140">
        <f>IFERROR(IF(E852&gt;0,(F852/E852)*1000,""),"")</f>
        <v/>
      </c>
      <c r="H852" s="139">
        <f>IFERROR(IF(E852&gt;0,E852*IF(ISNUMBER(J852),J852,IF(C852="Futures",$C$6,$C$5)),""),"")</f>
        <v/>
      </c>
      <c r="I852" s="139">
        <f>IFERROR(IF(AND(ISNUMBER(F852),ISNUMBER(H852)),F852-H852,""),"")</f>
        <v/>
      </c>
      <c r="J852" s="114" t="n"/>
      <c r="K852" s="139">
        <f>IFERROR(IF(H852&gt;0,H852*$C$7,""),"")</f>
        <v/>
      </c>
      <c r="L852" s="139">
        <f>IFERROR(IF(ISNUMBER(F852),F852-IF(ISNUMBER(K852),K852,0),""),"")</f>
        <v/>
      </c>
    </row>
    <row r="853" ht="24" customHeight="1" s="63">
      <c r="E853" s="139" t="n"/>
      <c r="F853" s="139" t="n"/>
      <c r="G853" s="140">
        <f>IFERROR(IF(E853&gt;0,(F853/E853)*1000,""),"")</f>
        <v/>
      </c>
      <c r="H853" s="139">
        <f>IFERROR(IF(E853&gt;0,E853*IF(ISNUMBER(J853),J853,IF(C853="Futures",$C$6,$C$5)),""),"")</f>
        <v/>
      </c>
      <c r="I853" s="139">
        <f>IFERROR(IF(AND(ISNUMBER(F853),ISNUMBER(H853)),F853-H853,""),"")</f>
        <v/>
      </c>
      <c r="J853" s="114" t="n"/>
      <c r="K853" s="139">
        <f>IFERROR(IF(H853&gt;0,H853*$C$7,""),"")</f>
        <v/>
      </c>
      <c r="L853" s="139">
        <f>IFERROR(IF(ISNUMBER(F853),F853-IF(ISNUMBER(K853),K853,0),""),"")</f>
        <v/>
      </c>
    </row>
    <row r="854" ht="24" customHeight="1" s="63">
      <c r="E854" s="139" t="n"/>
      <c r="F854" s="139" t="n"/>
      <c r="G854" s="140">
        <f>IFERROR(IF(E854&gt;0,(F854/E854)*1000,""),"")</f>
        <v/>
      </c>
      <c r="H854" s="139">
        <f>IFERROR(IF(E854&gt;0,E854*IF(ISNUMBER(J854),J854,IF(C854="Futures",$C$6,$C$5)),""),"")</f>
        <v/>
      </c>
      <c r="I854" s="139">
        <f>IFERROR(IF(AND(ISNUMBER(F854),ISNUMBER(H854)),F854-H854,""),"")</f>
        <v/>
      </c>
      <c r="J854" s="114" t="n"/>
      <c r="K854" s="139">
        <f>IFERROR(IF(H854&gt;0,H854*$C$7,""),"")</f>
        <v/>
      </c>
      <c r="L854" s="139">
        <f>IFERROR(IF(ISNUMBER(F854),F854-IF(ISNUMBER(K854),K854,0),""),"")</f>
        <v/>
      </c>
    </row>
    <row r="855" ht="24" customHeight="1" s="63">
      <c r="E855" s="139" t="n"/>
      <c r="F855" s="139" t="n"/>
      <c r="G855" s="140">
        <f>IFERROR(IF(E855&gt;0,(F855/E855)*1000,""),"")</f>
        <v/>
      </c>
      <c r="H855" s="139">
        <f>IFERROR(IF(E855&gt;0,E855*IF(ISNUMBER(J855),J855,IF(C855="Futures",$C$6,$C$5)),""),"")</f>
        <v/>
      </c>
      <c r="I855" s="139">
        <f>IFERROR(IF(AND(ISNUMBER(F855),ISNUMBER(H855)),F855-H855,""),"")</f>
        <v/>
      </c>
      <c r="J855" s="114" t="n"/>
      <c r="K855" s="139">
        <f>IFERROR(IF(H855&gt;0,H855*$C$7,""),"")</f>
        <v/>
      </c>
      <c r="L855" s="139">
        <f>IFERROR(IF(ISNUMBER(F855),F855-IF(ISNUMBER(K855),K855,0),""),"")</f>
        <v/>
      </c>
    </row>
    <row r="856" ht="24" customHeight="1" s="63">
      <c r="E856" s="139" t="n"/>
      <c r="F856" s="139" t="n"/>
      <c r="G856" s="140">
        <f>IFERROR(IF(E856&gt;0,(F856/E856)*1000,""),"")</f>
        <v/>
      </c>
      <c r="H856" s="139">
        <f>IFERROR(IF(E856&gt;0,E856*IF(ISNUMBER(J856),J856,IF(C856="Futures",$C$6,$C$5)),""),"")</f>
        <v/>
      </c>
      <c r="I856" s="139">
        <f>IFERROR(IF(AND(ISNUMBER(F856),ISNUMBER(H856)),F856-H856,""),"")</f>
        <v/>
      </c>
      <c r="J856" s="114" t="n"/>
      <c r="K856" s="139">
        <f>IFERROR(IF(H856&gt;0,H856*$C$7,""),"")</f>
        <v/>
      </c>
      <c r="L856" s="139">
        <f>IFERROR(IF(ISNUMBER(F856),F856-IF(ISNUMBER(K856),K856,0),""),"")</f>
        <v/>
      </c>
    </row>
    <row r="857" ht="24" customHeight="1" s="63">
      <c r="E857" s="139" t="n"/>
      <c r="F857" s="139" t="n"/>
      <c r="G857" s="140">
        <f>IFERROR(IF(E857&gt;0,(F857/E857)*1000,""),"")</f>
        <v/>
      </c>
      <c r="H857" s="139">
        <f>IFERROR(IF(E857&gt;0,E857*IF(ISNUMBER(J857),J857,IF(C857="Futures",$C$6,$C$5)),""),"")</f>
        <v/>
      </c>
      <c r="I857" s="139">
        <f>IFERROR(IF(AND(ISNUMBER(F857),ISNUMBER(H857)),F857-H857,""),"")</f>
        <v/>
      </c>
      <c r="J857" s="114" t="n"/>
      <c r="K857" s="139">
        <f>IFERROR(IF(H857&gt;0,H857*$C$7,""),"")</f>
        <v/>
      </c>
      <c r="L857" s="139">
        <f>IFERROR(IF(ISNUMBER(F857),F857-IF(ISNUMBER(K857),K857,0),""),"")</f>
        <v/>
      </c>
    </row>
    <row r="858" ht="24" customHeight="1" s="63">
      <c r="E858" s="139" t="n"/>
      <c r="F858" s="139" t="n"/>
      <c r="G858" s="140">
        <f>IFERROR(IF(E858&gt;0,(F858/E858)*1000,""),"")</f>
        <v/>
      </c>
      <c r="H858" s="139">
        <f>IFERROR(IF(E858&gt;0,E858*IF(ISNUMBER(J858),J858,IF(C858="Futures",$C$6,$C$5)),""),"")</f>
        <v/>
      </c>
      <c r="I858" s="139">
        <f>IFERROR(IF(AND(ISNUMBER(F858),ISNUMBER(H858)),F858-H858,""),"")</f>
        <v/>
      </c>
      <c r="J858" s="114" t="n"/>
      <c r="K858" s="139">
        <f>IFERROR(IF(H858&gt;0,H858*$C$7,""),"")</f>
        <v/>
      </c>
      <c r="L858" s="139">
        <f>IFERROR(IF(ISNUMBER(F858),F858-IF(ISNUMBER(K858),K858,0),""),"")</f>
        <v/>
      </c>
    </row>
    <row r="859" ht="24" customHeight="1" s="63">
      <c r="E859" s="139" t="n"/>
      <c r="F859" s="139" t="n"/>
      <c r="G859" s="140">
        <f>IFERROR(IF(E859&gt;0,(F859/E859)*1000,""),"")</f>
        <v/>
      </c>
      <c r="H859" s="139">
        <f>IFERROR(IF(E859&gt;0,E859*IF(ISNUMBER(J859),J859,IF(C859="Futures",$C$6,$C$5)),""),"")</f>
        <v/>
      </c>
      <c r="I859" s="139">
        <f>IFERROR(IF(AND(ISNUMBER(F859),ISNUMBER(H859)),F859-H859,""),"")</f>
        <v/>
      </c>
      <c r="J859" s="114" t="n"/>
      <c r="K859" s="139">
        <f>IFERROR(IF(H859&gt;0,H859*$C$7,""),"")</f>
        <v/>
      </c>
      <c r="L859" s="139">
        <f>IFERROR(IF(ISNUMBER(F859),F859-IF(ISNUMBER(K859),K859,0),""),"")</f>
        <v/>
      </c>
    </row>
    <row r="860" ht="24" customHeight="1" s="63">
      <c r="E860" s="139" t="n"/>
      <c r="F860" s="139" t="n"/>
      <c r="G860" s="140">
        <f>IFERROR(IF(E860&gt;0,(F860/E860)*1000,""),"")</f>
        <v/>
      </c>
      <c r="H860" s="139">
        <f>IFERROR(IF(E860&gt;0,E860*IF(ISNUMBER(J860),J860,IF(C860="Futures",$C$6,$C$5)),""),"")</f>
        <v/>
      </c>
      <c r="I860" s="139">
        <f>IFERROR(IF(AND(ISNUMBER(F860),ISNUMBER(H860)),F860-H860,""),"")</f>
        <v/>
      </c>
      <c r="J860" s="114" t="n"/>
      <c r="K860" s="139">
        <f>IFERROR(IF(H860&gt;0,H860*$C$7,""),"")</f>
        <v/>
      </c>
      <c r="L860" s="139">
        <f>IFERROR(IF(ISNUMBER(F860),F860-IF(ISNUMBER(K860),K860,0),""),"")</f>
        <v/>
      </c>
    </row>
    <row r="861" ht="24" customHeight="1" s="63">
      <c r="E861" s="139" t="n"/>
      <c r="F861" s="139" t="n"/>
      <c r="G861" s="140">
        <f>IFERROR(IF(E861&gt;0,(F861/E861)*1000,""),"")</f>
        <v/>
      </c>
      <c r="H861" s="139">
        <f>IFERROR(IF(E861&gt;0,E861*IF(ISNUMBER(J861),J861,IF(C861="Futures",$C$6,$C$5)),""),"")</f>
        <v/>
      </c>
      <c r="I861" s="139">
        <f>IFERROR(IF(AND(ISNUMBER(F861),ISNUMBER(H861)),F861-H861,""),"")</f>
        <v/>
      </c>
      <c r="J861" s="114" t="n"/>
      <c r="K861" s="139">
        <f>IFERROR(IF(H861&gt;0,H861*$C$7,""),"")</f>
        <v/>
      </c>
      <c r="L861" s="139">
        <f>IFERROR(IF(ISNUMBER(F861),F861-IF(ISNUMBER(K861),K861,0),""),"")</f>
        <v/>
      </c>
    </row>
    <row r="862" ht="24" customHeight="1" s="63">
      <c r="E862" s="139" t="n"/>
      <c r="F862" s="139" t="n"/>
      <c r="G862" s="140">
        <f>IFERROR(IF(E862&gt;0,(F862/E862)*1000,""),"")</f>
        <v/>
      </c>
      <c r="H862" s="139">
        <f>IFERROR(IF(E862&gt;0,E862*IF(ISNUMBER(J862),J862,IF(C862="Futures",$C$6,$C$5)),""),"")</f>
        <v/>
      </c>
      <c r="I862" s="139">
        <f>IFERROR(IF(AND(ISNUMBER(F862),ISNUMBER(H862)),F862-H862,""),"")</f>
        <v/>
      </c>
      <c r="J862" s="114" t="n"/>
      <c r="K862" s="139">
        <f>IFERROR(IF(H862&gt;0,H862*$C$7,""),"")</f>
        <v/>
      </c>
      <c r="L862" s="139">
        <f>IFERROR(IF(ISNUMBER(F862),F862-IF(ISNUMBER(K862),K862,0),""),"")</f>
        <v/>
      </c>
    </row>
    <row r="863" ht="24" customHeight="1" s="63">
      <c r="E863" s="139" t="n"/>
      <c r="F863" s="139" t="n"/>
      <c r="G863" s="140">
        <f>IFERROR(IF(E863&gt;0,(F863/E863)*1000,""),"")</f>
        <v/>
      </c>
      <c r="H863" s="139">
        <f>IFERROR(IF(E863&gt;0,E863*IF(ISNUMBER(J863),J863,IF(C863="Futures",$C$6,$C$5)),""),"")</f>
        <v/>
      </c>
      <c r="I863" s="139">
        <f>IFERROR(IF(AND(ISNUMBER(F863),ISNUMBER(H863)),F863-H863,""),"")</f>
        <v/>
      </c>
      <c r="J863" s="114" t="n"/>
      <c r="K863" s="139">
        <f>IFERROR(IF(H863&gt;0,H863*$C$7,""),"")</f>
        <v/>
      </c>
      <c r="L863" s="139">
        <f>IFERROR(IF(ISNUMBER(F863),F863-IF(ISNUMBER(K863),K863,0),""),"")</f>
        <v/>
      </c>
    </row>
    <row r="864" ht="24" customHeight="1" s="63">
      <c r="E864" s="139" t="n"/>
      <c r="F864" s="139" t="n"/>
      <c r="G864" s="140">
        <f>IFERROR(IF(E864&gt;0,(F864/E864)*1000,""),"")</f>
        <v/>
      </c>
      <c r="H864" s="139">
        <f>IFERROR(IF(E864&gt;0,E864*IF(ISNUMBER(J864),J864,IF(C864="Futures",$C$6,$C$5)),""),"")</f>
        <v/>
      </c>
      <c r="I864" s="139">
        <f>IFERROR(IF(AND(ISNUMBER(F864),ISNUMBER(H864)),F864-H864,""),"")</f>
        <v/>
      </c>
      <c r="J864" s="114" t="n"/>
      <c r="K864" s="139">
        <f>IFERROR(IF(H864&gt;0,H864*$C$7,""),"")</f>
        <v/>
      </c>
      <c r="L864" s="139">
        <f>IFERROR(IF(ISNUMBER(F864),F864-IF(ISNUMBER(K864),K864,0),""),"")</f>
        <v/>
      </c>
    </row>
    <row r="865" ht="24" customHeight="1" s="63">
      <c r="E865" s="139" t="n"/>
      <c r="F865" s="139" t="n"/>
      <c r="G865" s="140">
        <f>IFERROR(IF(E865&gt;0,(F865/E865)*1000,""),"")</f>
        <v/>
      </c>
      <c r="H865" s="139">
        <f>IFERROR(IF(E865&gt;0,E865*IF(ISNUMBER(J865),J865,IF(C865="Futures",$C$6,$C$5)),""),"")</f>
        <v/>
      </c>
      <c r="I865" s="139">
        <f>IFERROR(IF(AND(ISNUMBER(F865),ISNUMBER(H865)),F865-H865,""),"")</f>
        <v/>
      </c>
      <c r="J865" s="114" t="n"/>
      <c r="K865" s="139">
        <f>IFERROR(IF(H865&gt;0,H865*$C$7,""),"")</f>
        <v/>
      </c>
      <c r="L865" s="139">
        <f>IFERROR(IF(ISNUMBER(F865),F865-IF(ISNUMBER(K865),K865,0),""),"")</f>
        <v/>
      </c>
    </row>
    <row r="866" ht="24" customHeight="1" s="63">
      <c r="E866" s="139" t="n"/>
      <c r="F866" s="139" t="n"/>
      <c r="G866" s="140">
        <f>IFERROR(IF(E866&gt;0,(F866/E866)*1000,""),"")</f>
        <v/>
      </c>
      <c r="H866" s="139">
        <f>IFERROR(IF(E866&gt;0,E866*IF(ISNUMBER(J866),J866,IF(C866="Futures",$C$6,$C$5)),""),"")</f>
        <v/>
      </c>
      <c r="I866" s="139">
        <f>IFERROR(IF(AND(ISNUMBER(F866),ISNUMBER(H866)),F866-H866,""),"")</f>
        <v/>
      </c>
      <c r="J866" s="114" t="n"/>
      <c r="K866" s="139">
        <f>IFERROR(IF(H866&gt;0,H866*$C$7,""),"")</f>
        <v/>
      </c>
      <c r="L866" s="139">
        <f>IFERROR(IF(ISNUMBER(F866),F866-IF(ISNUMBER(K866),K866,0),""),"")</f>
        <v/>
      </c>
    </row>
    <row r="867" ht="24" customHeight="1" s="63">
      <c r="E867" s="139" t="n"/>
      <c r="F867" s="139" t="n"/>
      <c r="G867" s="140">
        <f>IFERROR(IF(E867&gt;0,(F867/E867)*1000,""),"")</f>
        <v/>
      </c>
      <c r="H867" s="139">
        <f>IFERROR(IF(E867&gt;0,E867*IF(ISNUMBER(J867),J867,IF(C867="Futures",$C$6,$C$5)),""),"")</f>
        <v/>
      </c>
      <c r="I867" s="139">
        <f>IFERROR(IF(AND(ISNUMBER(F867),ISNUMBER(H867)),F867-H867,""),"")</f>
        <v/>
      </c>
      <c r="J867" s="114" t="n"/>
      <c r="K867" s="139">
        <f>IFERROR(IF(H867&gt;0,H867*$C$7,""),"")</f>
        <v/>
      </c>
      <c r="L867" s="139">
        <f>IFERROR(IF(ISNUMBER(F867),F867-IF(ISNUMBER(K867),K867,0),""),"")</f>
        <v/>
      </c>
    </row>
    <row r="868" ht="24" customHeight="1" s="63">
      <c r="E868" s="139" t="n"/>
      <c r="F868" s="139" t="n"/>
      <c r="G868" s="140">
        <f>IFERROR(IF(E868&gt;0,(F868/E868)*1000,""),"")</f>
        <v/>
      </c>
      <c r="H868" s="139">
        <f>IFERROR(IF(E868&gt;0,E868*IF(ISNUMBER(J868),J868,IF(C868="Futures",$C$6,$C$5)),""),"")</f>
        <v/>
      </c>
      <c r="I868" s="139">
        <f>IFERROR(IF(AND(ISNUMBER(F868),ISNUMBER(H868)),F868-H868,""),"")</f>
        <v/>
      </c>
      <c r="J868" s="114" t="n"/>
      <c r="K868" s="139">
        <f>IFERROR(IF(H868&gt;0,H868*$C$7,""),"")</f>
        <v/>
      </c>
      <c r="L868" s="139">
        <f>IFERROR(IF(ISNUMBER(F868),F868-IF(ISNUMBER(K868),K868,0),""),"")</f>
        <v/>
      </c>
    </row>
    <row r="869" ht="24" customHeight="1" s="63">
      <c r="E869" s="139" t="n"/>
      <c r="F869" s="139" t="n"/>
      <c r="G869" s="140">
        <f>IFERROR(IF(E869&gt;0,(F869/E869)*1000,""),"")</f>
        <v/>
      </c>
      <c r="H869" s="139">
        <f>IFERROR(IF(E869&gt;0,E869*IF(ISNUMBER(J869),J869,IF(C869="Futures",$C$6,$C$5)),""),"")</f>
        <v/>
      </c>
      <c r="I869" s="139">
        <f>IFERROR(IF(AND(ISNUMBER(F869),ISNUMBER(H869)),F869-H869,""),"")</f>
        <v/>
      </c>
      <c r="J869" s="114" t="n"/>
      <c r="K869" s="139">
        <f>IFERROR(IF(H869&gt;0,H869*$C$7,""),"")</f>
        <v/>
      </c>
      <c r="L869" s="139">
        <f>IFERROR(IF(ISNUMBER(F869),F869-IF(ISNUMBER(K869),K869,0),""),"")</f>
        <v/>
      </c>
    </row>
    <row r="870" ht="24" customHeight="1" s="63">
      <c r="E870" s="139" t="n"/>
      <c r="F870" s="139" t="n"/>
      <c r="G870" s="140">
        <f>IFERROR(IF(E870&gt;0,(F870/E870)*1000,""),"")</f>
        <v/>
      </c>
      <c r="H870" s="139">
        <f>IFERROR(IF(E870&gt;0,E870*IF(ISNUMBER(J870),J870,IF(C870="Futures",$C$6,$C$5)),""),"")</f>
        <v/>
      </c>
      <c r="I870" s="139">
        <f>IFERROR(IF(AND(ISNUMBER(F870),ISNUMBER(H870)),F870-H870,""),"")</f>
        <v/>
      </c>
      <c r="J870" s="114" t="n"/>
      <c r="K870" s="139">
        <f>IFERROR(IF(H870&gt;0,H870*$C$7,""),"")</f>
        <v/>
      </c>
      <c r="L870" s="139">
        <f>IFERROR(IF(ISNUMBER(F870),F870-IF(ISNUMBER(K870),K870,0),""),"")</f>
        <v/>
      </c>
    </row>
    <row r="871" ht="24" customHeight="1" s="63">
      <c r="E871" s="139" t="n"/>
      <c r="F871" s="139" t="n"/>
      <c r="G871" s="140">
        <f>IFERROR(IF(E871&gt;0,(F871/E871)*1000,""),"")</f>
        <v/>
      </c>
      <c r="H871" s="139">
        <f>IFERROR(IF(E871&gt;0,E871*IF(ISNUMBER(J871),J871,IF(C871="Futures",$C$6,$C$5)),""),"")</f>
        <v/>
      </c>
      <c r="I871" s="139">
        <f>IFERROR(IF(AND(ISNUMBER(F871),ISNUMBER(H871)),F871-H871,""),"")</f>
        <v/>
      </c>
      <c r="J871" s="114" t="n"/>
      <c r="K871" s="139">
        <f>IFERROR(IF(H871&gt;0,H871*$C$7,""),"")</f>
        <v/>
      </c>
      <c r="L871" s="139">
        <f>IFERROR(IF(ISNUMBER(F871),F871-IF(ISNUMBER(K871),K871,0),""),"")</f>
        <v/>
      </c>
    </row>
    <row r="872" ht="24" customHeight="1" s="63">
      <c r="E872" s="139" t="n"/>
      <c r="F872" s="139" t="n"/>
      <c r="G872" s="140">
        <f>IFERROR(IF(E872&gt;0,(F872/E872)*1000,""),"")</f>
        <v/>
      </c>
      <c r="H872" s="139">
        <f>IFERROR(IF(E872&gt;0,E872*IF(ISNUMBER(J872),J872,IF(C872="Futures",$C$6,$C$5)),""),"")</f>
        <v/>
      </c>
      <c r="I872" s="139">
        <f>IFERROR(IF(AND(ISNUMBER(F872),ISNUMBER(H872)),F872-H872,""),"")</f>
        <v/>
      </c>
      <c r="J872" s="114" t="n"/>
      <c r="K872" s="139">
        <f>IFERROR(IF(H872&gt;0,H872*$C$7,""),"")</f>
        <v/>
      </c>
      <c r="L872" s="139">
        <f>IFERROR(IF(ISNUMBER(F872),F872-IF(ISNUMBER(K872),K872,0),""),"")</f>
        <v/>
      </c>
    </row>
    <row r="873" ht="24" customHeight="1" s="63">
      <c r="E873" s="139" t="n"/>
      <c r="F873" s="139" t="n"/>
      <c r="G873" s="140">
        <f>IFERROR(IF(E873&gt;0,(F873/E873)*1000,""),"")</f>
        <v/>
      </c>
      <c r="H873" s="139">
        <f>IFERROR(IF(E873&gt;0,E873*IF(ISNUMBER(J873),J873,IF(C873="Futures",$C$6,$C$5)),""),"")</f>
        <v/>
      </c>
      <c r="I873" s="139">
        <f>IFERROR(IF(AND(ISNUMBER(F873),ISNUMBER(H873)),F873-H873,""),"")</f>
        <v/>
      </c>
      <c r="J873" s="114" t="n"/>
      <c r="K873" s="139">
        <f>IFERROR(IF(H873&gt;0,H873*$C$7,""),"")</f>
        <v/>
      </c>
      <c r="L873" s="139">
        <f>IFERROR(IF(ISNUMBER(F873),F873-IF(ISNUMBER(K873),K873,0),""),"")</f>
        <v/>
      </c>
    </row>
    <row r="874" ht="24" customHeight="1" s="63">
      <c r="E874" s="139" t="n"/>
      <c r="F874" s="139" t="n"/>
      <c r="G874" s="140">
        <f>IFERROR(IF(E874&gt;0,(F874/E874)*1000,""),"")</f>
        <v/>
      </c>
      <c r="H874" s="139">
        <f>IFERROR(IF(E874&gt;0,E874*IF(ISNUMBER(J874),J874,IF(C874="Futures",$C$6,$C$5)),""),"")</f>
        <v/>
      </c>
      <c r="I874" s="139">
        <f>IFERROR(IF(AND(ISNUMBER(F874),ISNUMBER(H874)),F874-H874,""),"")</f>
        <v/>
      </c>
      <c r="J874" s="114" t="n"/>
      <c r="K874" s="139">
        <f>IFERROR(IF(H874&gt;0,H874*$C$7,""),"")</f>
        <v/>
      </c>
      <c r="L874" s="139">
        <f>IFERROR(IF(ISNUMBER(F874),F874-IF(ISNUMBER(K874),K874,0),""),"")</f>
        <v/>
      </c>
    </row>
    <row r="875" ht="24" customHeight="1" s="63">
      <c r="E875" s="139" t="n"/>
      <c r="F875" s="139" t="n"/>
      <c r="G875" s="140">
        <f>IFERROR(IF(E875&gt;0,(F875/E875)*1000,""),"")</f>
        <v/>
      </c>
      <c r="H875" s="139">
        <f>IFERROR(IF(E875&gt;0,E875*IF(ISNUMBER(J875),J875,IF(C875="Futures",$C$6,$C$5)),""),"")</f>
        <v/>
      </c>
      <c r="I875" s="139">
        <f>IFERROR(IF(AND(ISNUMBER(F875),ISNUMBER(H875)),F875-H875,""),"")</f>
        <v/>
      </c>
      <c r="J875" s="114" t="n"/>
      <c r="K875" s="139">
        <f>IFERROR(IF(H875&gt;0,H875*$C$7,""),"")</f>
        <v/>
      </c>
      <c r="L875" s="139">
        <f>IFERROR(IF(ISNUMBER(F875),F875-IF(ISNUMBER(K875),K875,0),""),"")</f>
        <v/>
      </c>
    </row>
    <row r="876" ht="24" customHeight="1" s="63">
      <c r="E876" s="139" t="n"/>
      <c r="F876" s="139" t="n"/>
      <c r="G876" s="140">
        <f>IFERROR(IF(E876&gt;0,(F876/E876)*1000,""),"")</f>
        <v/>
      </c>
      <c r="H876" s="139">
        <f>IFERROR(IF(E876&gt;0,E876*IF(ISNUMBER(J876),J876,IF(C876="Futures",$C$6,$C$5)),""),"")</f>
        <v/>
      </c>
      <c r="I876" s="139">
        <f>IFERROR(IF(AND(ISNUMBER(F876),ISNUMBER(H876)),F876-H876,""),"")</f>
        <v/>
      </c>
      <c r="J876" s="114" t="n"/>
      <c r="K876" s="139">
        <f>IFERROR(IF(H876&gt;0,H876*$C$7,""),"")</f>
        <v/>
      </c>
      <c r="L876" s="139">
        <f>IFERROR(IF(ISNUMBER(F876),F876-IF(ISNUMBER(K876),K876,0),""),"")</f>
        <v/>
      </c>
    </row>
    <row r="877" ht="24" customHeight="1" s="63">
      <c r="E877" s="139" t="n"/>
      <c r="F877" s="139" t="n"/>
      <c r="G877" s="140">
        <f>IFERROR(IF(E877&gt;0,(F877/E877)*1000,""),"")</f>
        <v/>
      </c>
      <c r="H877" s="139">
        <f>IFERROR(IF(E877&gt;0,E877*IF(ISNUMBER(J877),J877,IF(C877="Futures",$C$6,$C$5)),""),"")</f>
        <v/>
      </c>
      <c r="I877" s="139">
        <f>IFERROR(IF(AND(ISNUMBER(F877),ISNUMBER(H877)),F877-H877,""),"")</f>
        <v/>
      </c>
      <c r="J877" s="114" t="n"/>
      <c r="K877" s="139">
        <f>IFERROR(IF(H877&gt;0,H877*$C$7,""),"")</f>
        <v/>
      </c>
      <c r="L877" s="139">
        <f>IFERROR(IF(ISNUMBER(F877),F877-IF(ISNUMBER(K877),K877,0),""),"")</f>
        <v/>
      </c>
    </row>
    <row r="878" ht="24" customHeight="1" s="63">
      <c r="E878" s="139" t="n"/>
      <c r="F878" s="139" t="n"/>
      <c r="G878" s="140">
        <f>IFERROR(IF(E878&gt;0,(F878/E878)*1000,""),"")</f>
        <v/>
      </c>
      <c r="H878" s="139">
        <f>IFERROR(IF(E878&gt;0,E878*IF(ISNUMBER(J878),J878,IF(C878="Futures",$C$6,$C$5)),""),"")</f>
        <v/>
      </c>
      <c r="I878" s="139">
        <f>IFERROR(IF(AND(ISNUMBER(F878),ISNUMBER(H878)),F878-H878,""),"")</f>
        <v/>
      </c>
      <c r="J878" s="114" t="n"/>
      <c r="K878" s="139">
        <f>IFERROR(IF(H878&gt;0,H878*$C$7,""),"")</f>
        <v/>
      </c>
      <c r="L878" s="139">
        <f>IFERROR(IF(ISNUMBER(F878),F878-IF(ISNUMBER(K878),K878,0),""),"")</f>
        <v/>
      </c>
    </row>
    <row r="879" ht="24" customHeight="1" s="63">
      <c r="E879" s="139" t="n"/>
      <c r="F879" s="139" t="n"/>
      <c r="G879" s="140">
        <f>IFERROR(IF(E879&gt;0,(F879/E879)*1000,""),"")</f>
        <v/>
      </c>
      <c r="H879" s="139">
        <f>IFERROR(IF(E879&gt;0,E879*IF(ISNUMBER(J879),J879,IF(C879="Futures",$C$6,$C$5)),""),"")</f>
        <v/>
      </c>
      <c r="I879" s="139">
        <f>IFERROR(IF(AND(ISNUMBER(F879),ISNUMBER(H879)),F879-H879,""),"")</f>
        <v/>
      </c>
      <c r="J879" s="114" t="n"/>
      <c r="K879" s="139">
        <f>IFERROR(IF(H879&gt;0,H879*$C$7,""),"")</f>
        <v/>
      </c>
      <c r="L879" s="139">
        <f>IFERROR(IF(ISNUMBER(F879),F879-IF(ISNUMBER(K879),K879,0),""),"")</f>
        <v/>
      </c>
    </row>
    <row r="880" ht="24" customHeight="1" s="63">
      <c r="E880" s="139" t="n"/>
      <c r="F880" s="139" t="n"/>
      <c r="G880" s="140">
        <f>IFERROR(IF(E880&gt;0,(F880/E880)*1000,""),"")</f>
        <v/>
      </c>
      <c r="H880" s="139">
        <f>IFERROR(IF(E880&gt;0,E880*IF(ISNUMBER(J880),J880,IF(C880="Futures",$C$6,$C$5)),""),"")</f>
        <v/>
      </c>
      <c r="I880" s="139">
        <f>IFERROR(IF(AND(ISNUMBER(F880),ISNUMBER(H880)),F880-H880,""),"")</f>
        <v/>
      </c>
      <c r="J880" s="114" t="n"/>
      <c r="K880" s="139">
        <f>IFERROR(IF(H880&gt;0,H880*$C$7,""),"")</f>
        <v/>
      </c>
      <c r="L880" s="139">
        <f>IFERROR(IF(ISNUMBER(F880),F880-IF(ISNUMBER(K880),K880,0),""),"")</f>
        <v/>
      </c>
    </row>
    <row r="881" ht="24" customHeight="1" s="63">
      <c r="E881" s="139" t="n"/>
      <c r="F881" s="139" t="n"/>
      <c r="G881" s="140">
        <f>IFERROR(IF(E881&gt;0,(F881/E881)*1000,""),"")</f>
        <v/>
      </c>
      <c r="H881" s="139">
        <f>IFERROR(IF(E881&gt;0,E881*IF(ISNUMBER(J881),J881,IF(C881="Futures",$C$6,$C$5)),""),"")</f>
        <v/>
      </c>
      <c r="I881" s="139">
        <f>IFERROR(IF(AND(ISNUMBER(F881),ISNUMBER(H881)),F881-H881,""),"")</f>
        <v/>
      </c>
      <c r="J881" s="114" t="n"/>
      <c r="K881" s="139">
        <f>IFERROR(IF(H881&gt;0,H881*$C$7,""),"")</f>
        <v/>
      </c>
      <c r="L881" s="139">
        <f>IFERROR(IF(ISNUMBER(F881),F881-IF(ISNUMBER(K881),K881,0),""),"")</f>
        <v/>
      </c>
    </row>
    <row r="882" ht="24" customHeight="1" s="63">
      <c r="E882" s="139" t="n"/>
      <c r="F882" s="139" t="n"/>
      <c r="G882" s="140">
        <f>IFERROR(IF(E882&gt;0,(F882/E882)*1000,""),"")</f>
        <v/>
      </c>
      <c r="H882" s="139">
        <f>IFERROR(IF(E882&gt;0,E882*IF(ISNUMBER(J882),J882,IF(C882="Futures",$C$6,$C$5)),""),"")</f>
        <v/>
      </c>
      <c r="I882" s="139">
        <f>IFERROR(IF(AND(ISNUMBER(F882),ISNUMBER(H882)),F882-H882,""),"")</f>
        <v/>
      </c>
      <c r="J882" s="114" t="n"/>
      <c r="K882" s="139">
        <f>IFERROR(IF(H882&gt;0,H882*$C$7,""),"")</f>
        <v/>
      </c>
      <c r="L882" s="139">
        <f>IFERROR(IF(ISNUMBER(F882),F882-IF(ISNUMBER(K882),K882,0),""),"")</f>
        <v/>
      </c>
    </row>
    <row r="883" ht="24" customHeight="1" s="63">
      <c r="E883" s="139" t="n"/>
      <c r="F883" s="139" t="n"/>
      <c r="G883" s="140">
        <f>IFERROR(IF(E883&gt;0,(F883/E883)*1000,""),"")</f>
        <v/>
      </c>
      <c r="H883" s="139">
        <f>IFERROR(IF(E883&gt;0,E883*IF(ISNUMBER(J883),J883,IF(C883="Futures",$C$6,$C$5)),""),"")</f>
        <v/>
      </c>
      <c r="I883" s="139">
        <f>IFERROR(IF(AND(ISNUMBER(F883),ISNUMBER(H883)),F883-H883,""),"")</f>
        <v/>
      </c>
      <c r="J883" s="114" t="n"/>
      <c r="K883" s="139">
        <f>IFERROR(IF(H883&gt;0,H883*$C$7,""),"")</f>
        <v/>
      </c>
      <c r="L883" s="139">
        <f>IFERROR(IF(ISNUMBER(F883),F883-IF(ISNUMBER(K883),K883,0),""),"")</f>
        <v/>
      </c>
    </row>
    <row r="884" ht="24" customHeight="1" s="63">
      <c r="E884" s="139" t="n"/>
      <c r="F884" s="139" t="n"/>
      <c r="G884" s="140">
        <f>IFERROR(IF(E884&gt;0,(F884/E884)*1000,""),"")</f>
        <v/>
      </c>
      <c r="H884" s="139">
        <f>IFERROR(IF(E884&gt;0,E884*IF(ISNUMBER(J884),J884,IF(C884="Futures",$C$6,$C$5)),""),"")</f>
        <v/>
      </c>
      <c r="I884" s="139">
        <f>IFERROR(IF(AND(ISNUMBER(F884),ISNUMBER(H884)),F884-H884,""),"")</f>
        <v/>
      </c>
      <c r="J884" s="114" t="n"/>
      <c r="K884" s="139">
        <f>IFERROR(IF(H884&gt;0,H884*$C$7,""),"")</f>
        <v/>
      </c>
      <c r="L884" s="139">
        <f>IFERROR(IF(ISNUMBER(F884),F884-IF(ISNUMBER(K884),K884,0),""),"")</f>
        <v/>
      </c>
    </row>
    <row r="885" ht="24" customHeight="1" s="63">
      <c r="E885" s="139" t="n"/>
      <c r="F885" s="139" t="n"/>
      <c r="G885" s="140">
        <f>IFERROR(IF(E885&gt;0,(F885/E885)*1000,""),"")</f>
        <v/>
      </c>
      <c r="H885" s="139">
        <f>IFERROR(IF(E885&gt;0,E885*IF(ISNUMBER(J885),J885,IF(C885="Futures",$C$6,$C$5)),""),"")</f>
        <v/>
      </c>
      <c r="I885" s="139">
        <f>IFERROR(IF(AND(ISNUMBER(F885),ISNUMBER(H885)),F885-H885,""),"")</f>
        <v/>
      </c>
      <c r="J885" s="114" t="n"/>
      <c r="K885" s="139">
        <f>IFERROR(IF(H885&gt;0,H885*$C$7,""),"")</f>
        <v/>
      </c>
      <c r="L885" s="139">
        <f>IFERROR(IF(ISNUMBER(F885),F885-IF(ISNUMBER(K885),K885,0),""),"")</f>
        <v/>
      </c>
    </row>
    <row r="886" ht="24" customHeight="1" s="63">
      <c r="E886" s="139" t="n"/>
      <c r="F886" s="139" t="n"/>
      <c r="G886" s="140">
        <f>IFERROR(IF(E886&gt;0,(F886/E886)*1000,""),"")</f>
        <v/>
      </c>
      <c r="H886" s="139">
        <f>IFERROR(IF(E886&gt;0,E886*IF(ISNUMBER(J886),J886,IF(C886="Futures",$C$6,$C$5)),""),"")</f>
        <v/>
      </c>
      <c r="I886" s="139">
        <f>IFERROR(IF(AND(ISNUMBER(F886),ISNUMBER(H886)),F886-H886,""),"")</f>
        <v/>
      </c>
      <c r="J886" s="114" t="n"/>
      <c r="K886" s="139">
        <f>IFERROR(IF(H886&gt;0,H886*$C$7,""),"")</f>
        <v/>
      </c>
      <c r="L886" s="139">
        <f>IFERROR(IF(ISNUMBER(F886),F886-IF(ISNUMBER(K886),K886,0),""),"")</f>
        <v/>
      </c>
    </row>
    <row r="887" ht="24" customHeight="1" s="63">
      <c r="E887" s="139" t="n"/>
      <c r="F887" s="139" t="n"/>
      <c r="G887" s="140">
        <f>IFERROR(IF(E887&gt;0,(F887/E887)*1000,""),"")</f>
        <v/>
      </c>
      <c r="H887" s="139">
        <f>IFERROR(IF(E887&gt;0,E887*IF(ISNUMBER(J887),J887,IF(C887="Futures",$C$6,$C$5)),""),"")</f>
        <v/>
      </c>
      <c r="I887" s="139">
        <f>IFERROR(IF(AND(ISNUMBER(F887),ISNUMBER(H887)),F887-H887,""),"")</f>
        <v/>
      </c>
      <c r="J887" s="114" t="n"/>
      <c r="K887" s="139">
        <f>IFERROR(IF(H887&gt;0,H887*$C$7,""),"")</f>
        <v/>
      </c>
      <c r="L887" s="139">
        <f>IFERROR(IF(ISNUMBER(F887),F887-IF(ISNUMBER(K887),K887,0),""),"")</f>
        <v/>
      </c>
    </row>
    <row r="888" ht="24" customHeight="1" s="63">
      <c r="E888" s="139" t="n"/>
      <c r="F888" s="139" t="n"/>
      <c r="G888" s="140">
        <f>IFERROR(IF(E888&gt;0,(F888/E888)*1000,""),"")</f>
        <v/>
      </c>
      <c r="H888" s="139">
        <f>IFERROR(IF(E888&gt;0,E888*IF(ISNUMBER(J888),J888,IF(C888="Futures",$C$6,$C$5)),""),"")</f>
        <v/>
      </c>
      <c r="I888" s="139">
        <f>IFERROR(IF(AND(ISNUMBER(F888),ISNUMBER(H888)),F888-H888,""),"")</f>
        <v/>
      </c>
      <c r="J888" s="114" t="n"/>
      <c r="K888" s="139">
        <f>IFERROR(IF(H888&gt;0,H888*$C$7,""),"")</f>
        <v/>
      </c>
      <c r="L888" s="139">
        <f>IFERROR(IF(ISNUMBER(F888),F888-IF(ISNUMBER(K888),K888,0),""),"")</f>
        <v/>
      </c>
    </row>
    <row r="889" ht="24" customHeight="1" s="63">
      <c r="E889" s="139" t="n"/>
      <c r="F889" s="139" t="n"/>
      <c r="G889" s="140">
        <f>IFERROR(IF(E889&gt;0,(F889/E889)*1000,""),"")</f>
        <v/>
      </c>
      <c r="H889" s="139">
        <f>IFERROR(IF(E889&gt;0,E889*IF(ISNUMBER(J889),J889,IF(C889="Futures",$C$6,$C$5)),""),"")</f>
        <v/>
      </c>
      <c r="I889" s="139">
        <f>IFERROR(IF(AND(ISNUMBER(F889),ISNUMBER(H889)),F889-H889,""),"")</f>
        <v/>
      </c>
      <c r="J889" s="114" t="n"/>
      <c r="K889" s="139">
        <f>IFERROR(IF(H889&gt;0,H889*$C$7,""),"")</f>
        <v/>
      </c>
      <c r="L889" s="139">
        <f>IFERROR(IF(ISNUMBER(F889),F889-IF(ISNUMBER(K889),K889,0),""),"")</f>
        <v/>
      </c>
    </row>
    <row r="890" ht="24" customHeight="1" s="63">
      <c r="E890" s="139" t="n"/>
      <c r="F890" s="139" t="n"/>
      <c r="G890" s="140">
        <f>IFERROR(IF(E890&gt;0,(F890/E890)*1000,""),"")</f>
        <v/>
      </c>
      <c r="H890" s="139">
        <f>IFERROR(IF(E890&gt;0,E890*IF(ISNUMBER(J890),J890,IF(C890="Futures",$C$6,$C$5)),""),"")</f>
        <v/>
      </c>
      <c r="I890" s="139">
        <f>IFERROR(IF(AND(ISNUMBER(F890),ISNUMBER(H890)),F890-H890,""),"")</f>
        <v/>
      </c>
      <c r="J890" s="114" t="n"/>
      <c r="K890" s="139">
        <f>IFERROR(IF(H890&gt;0,H890*$C$7,""),"")</f>
        <v/>
      </c>
      <c r="L890" s="139">
        <f>IFERROR(IF(ISNUMBER(F890),F890-IF(ISNUMBER(K890),K890,0),""),"")</f>
        <v/>
      </c>
    </row>
    <row r="891" ht="24" customHeight="1" s="63">
      <c r="E891" s="139" t="n"/>
      <c r="F891" s="139" t="n"/>
      <c r="G891" s="140">
        <f>IFERROR(IF(E891&gt;0,(F891/E891)*1000,""),"")</f>
        <v/>
      </c>
      <c r="H891" s="139">
        <f>IFERROR(IF(E891&gt;0,E891*IF(ISNUMBER(J891),J891,IF(C891="Futures",$C$6,$C$5)),""),"")</f>
        <v/>
      </c>
      <c r="I891" s="139">
        <f>IFERROR(IF(AND(ISNUMBER(F891),ISNUMBER(H891)),F891-H891,""),"")</f>
        <v/>
      </c>
      <c r="J891" s="114" t="n"/>
      <c r="K891" s="139">
        <f>IFERROR(IF(H891&gt;0,H891*$C$7,""),"")</f>
        <v/>
      </c>
      <c r="L891" s="139">
        <f>IFERROR(IF(ISNUMBER(F891),F891-IF(ISNUMBER(K891),K891,0),""),"")</f>
        <v/>
      </c>
    </row>
    <row r="892" ht="24" customHeight="1" s="63">
      <c r="E892" s="139" t="n"/>
      <c r="F892" s="139" t="n"/>
      <c r="G892" s="140">
        <f>IFERROR(IF(E892&gt;0,(F892/E892)*1000,""),"")</f>
        <v/>
      </c>
      <c r="H892" s="139">
        <f>IFERROR(IF(E892&gt;0,E892*IF(ISNUMBER(J892),J892,IF(C892="Futures",$C$6,$C$5)),""),"")</f>
        <v/>
      </c>
      <c r="I892" s="139">
        <f>IFERROR(IF(AND(ISNUMBER(F892),ISNUMBER(H892)),F892-H892,""),"")</f>
        <v/>
      </c>
      <c r="J892" s="114" t="n"/>
      <c r="K892" s="139">
        <f>IFERROR(IF(H892&gt;0,H892*$C$7,""),"")</f>
        <v/>
      </c>
      <c r="L892" s="139">
        <f>IFERROR(IF(ISNUMBER(F892),F892-IF(ISNUMBER(K892),K892,0),""),"")</f>
        <v/>
      </c>
    </row>
    <row r="893" ht="24" customHeight="1" s="63">
      <c r="E893" s="139" t="n"/>
      <c r="F893" s="139" t="n"/>
      <c r="G893" s="140">
        <f>IFERROR(IF(E893&gt;0,(F893/E893)*1000,""),"")</f>
        <v/>
      </c>
      <c r="H893" s="139">
        <f>IFERROR(IF(E893&gt;0,E893*IF(ISNUMBER(J893),J893,IF(C893="Futures",$C$6,$C$5)),""),"")</f>
        <v/>
      </c>
      <c r="I893" s="139">
        <f>IFERROR(IF(AND(ISNUMBER(F893),ISNUMBER(H893)),F893-H893,""),"")</f>
        <v/>
      </c>
      <c r="J893" s="114" t="n"/>
      <c r="K893" s="139">
        <f>IFERROR(IF(H893&gt;0,H893*$C$7,""),"")</f>
        <v/>
      </c>
      <c r="L893" s="139">
        <f>IFERROR(IF(ISNUMBER(F893),F893-IF(ISNUMBER(K893),K893,0),""),"")</f>
        <v/>
      </c>
    </row>
    <row r="894" ht="24" customHeight="1" s="63">
      <c r="E894" s="139" t="n"/>
      <c r="F894" s="139" t="n"/>
      <c r="G894" s="140">
        <f>IFERROR(IF(E894&gt;0,(F894/E894)*1000,""),"")</f>
        <v/>
      </c>
      <c r="H894" s="139">
        <f>IFERROR(IF(E894&gt;0,E894*IF(ISNUMBER(J894),J894,IF(C894="Futures",$C$6,$C$5)),""),"")</f>
        <v/>
      </c>
      <c r="I894" s="139">
        <f>IFERROR(IF(AND(ISNUMBER(F894),ISNUMBER(H894)),F894-H894,""),"")</f>
        <v/>
      </c>
      <c r="J894" s="114" t="n"/>
      <c r="K894" s="139">
        <f>IFERROR(IF(H894&gt;0,H894*$C$7,""),"")</f>
        <v/>
      </c>
      <c r="L894" s="139">
        <f>IFERROR(IF(ISNUMBER(F894),F894-IF(ISNUMBER(K894),K894,0),""),"")</f>
        <v/>
      </c>
    </row>
    <row r="895" ht="24" customHeight="1" s="63">
      <c r="E895" s="139" t="n"/>
      <c r="F895" s="139" t="n"/>
      <c r="G895" s="140">
        <f>IFERROR(IF(E895&gt;0,(F895/E895)*1000,""),"")</f>
        <v/>
      </c>
      <c r="H895" s="139">
        <f>IFERROR(IF(E895&gt;0,E895*IF(ISNUMBER(J895),J895,IF(C895="Futures",$C$6,$C$5)),""),"")</f>
        <v/>
      </c>
      <c r="I895" s="139">
        <f>IFERROR(IF(AND(ISNUMBER(F895),ISNUMBER(H895)),F895-H895,""),"")</f>
        <v/>
      </c>
      <c r="J895" s="114" t="n"/>
      <c r="K895" s="139">
        <f>IFERROR(IF(H895&gt;0,H895*$C$7,""),"")</f>
        <v/>
      </c>
      <c r="L895" s="139">
        <f>IFERROR(IF(ISNUMBER(F895),F895-IF(ISNUMBER(K895),K895,0),""),"")</f>
        <v/>
      </c>
    </row>
    <row r="896" ht="24" customHeight="1" s="63">
      <c r="E896" s="139" t="n"/>
      <c r="F896" s="139" t="n"/>
      <c r="G896" s="140">
        <f>IFERROR(IF(E896&gt;0,(F896/E896)*1000,""),"")</f>
        <v/>
      </c>
      <c r="H896" s="139">
        <f>IFERROR(IF(E896&gt;0,E896*IF(ISNUMBER(J896),J896,IF(C896="Futures",$C$6,$C$5)),""),"")</f>
        <v/>
      </c>
      <c r="I896" s="139">
        <f>IFERROR(IF(AND(ISNUMBER(F896),ISNUMBER(H896)),F896-H896,""),"")</f>
        <v/>
      </c>
      <c r="J896" s="114" t="n"/>
      <c r="K896" s="139">
        <f>IFERROR(IF(H896&gt;0,H896*$C$7,""),"")</f>
        <v/>
      </c>
      <c r="L896" s="139">
        <f>IFERROR(IF(ISNUMBER(F896),F896-IF(ISNUMBER(K896),K896,0),""),"")</f>
        <v/>
      </c>
    </row>
    <row r="897" ht="24" customHeight="1" s="63">
      <c r="E897" s="139" t="n"/>
      <c r="F897" s="139" t="n"/>
      <c r="G897" s="140">
        <f>IFERROR(IF(E897&gt;0,(F897/E897)*1000,""),"")</f>
        <v/>
      </c>
      <c r="H897" s="139">
        <f>IFERROR(IF(E897&gt;0,E897*IF(ISNUMBER(J897),J897,IF(C897="Futures",$C$6,$C$5)),""),"")</f>
        <v/>
      </c>
      <c r="I897" s="139">
        <f>IFERROR(IF(AND(ISNUMBER(F897),ISNUMBER(H897)),F897-H897,""),"")</f>
        <v/>
      </c>
      <c r="J897" s="114" t="n"/>
      <c r="K897" s="139">
        <f>IFERROR(IF(H897&gt;0,H897*$C$7,""),"")</f>
        <v/>
      </c>
      <c r="L897" s="139">
        <f>IFERROR(IF(ISNUMBER(F897),F897-IF(ISNUMBER(K897),K897,0),""),"")</f>
        <v/>
      </c>
    </row>
    <row r="898" ht="24" customHeight="1" s="63">
      <c r="E898" s="139" t="n"/>
      <c r="F898" s="139" t="n"/>
      <c r="G898" s="140">
        <f>IFERROR(IF(E898&gt;0,(F898/E898)*1000,""),"")</f>
        <v/>
      </c>
      <c r="H898" s="139">
        <f>IFERROR(IF(E898&gt;0,E898*IF(ISNUMBER(J898),J898,IF(C898="Futures",$C$6,$C$5)),""),"")</f>
        <v/>
      </c>
      <c r="I898" s="139">
        <f>IFERROR(IF(AND(ISNUMBER(F898),ISNUMBER(H898)),F898-H898,""),"")</f>
        <v/>
      </c>
      <c r="J898" s="114" t="n"/>
      <c r="K898" s="139">
        <f>IFERROR(IF(H898&gt;0,H898*$C$7,""),"")</f>
        <v/>
      </c>
      <c r="L898" s="139">
        <f>IFERROR(IF(ISNUMBER(F898),F898-IF(ISNUMBER(K898),K898,0),""),"")</f>
        <v/>
      </c>
    </row>
    <row r="899" ht="24" customHeight="1" s="63">
      <c r="E899" s="139" t="n"/>
      <c r="F899" s="139" t="n"/>
      <c r="G899" s="140">
        <f>IFERROR(IF(E899&gt;0,(F899/E899)*1000,""),"")</f>
        <v/>
      </c>
      <c r="H899" s="139">
        <f>IFERROR(IF(E899&gt;0,E899*IF(ISNUMBER(J899),J899,IF(C899="Futures",$C$6,$C$5)),""),"")</f>
        <v/>
      </c>
      <c r="I899" s="139">
        <f>IFERROR(IF(AND(ISNUMBER(F899),ISNUMBER(H899)),F899-H899,""),"")</f>
        <v/>
      </c>
      <c r="J899" s="114" t="n"/>
      <c r="K899" s="139">
        <f>IFERROR(IF(H899&gt;0,H899*$C$7,""),"")</f>
        <v/>
      </c>
      <c r="L899" s="139">
        <f>IFERROR(IF(ISNUMBER(F899),F899-IF(ISNUMBER(K899),K899,0),""),"")</f>
        <v/>
      </c>
    </row>
    <row r="900" ht="24" customHeight="1" s="63">
      <c r="E900" s="139" t="n"/>
      <c r="F900" s="139" t="n"/>
      <c r="G900" s="140">
        <f>IFERROR(IF(E900&gt;0,(F900/E900)*1000,""),"")</f>
        <v/>
      </c>
      <c r="H900" s="139">
        <f>IFERROR(IF(E900&gt;0,E900*IF(ISNUMBER(J900),J900,IF(C900="Futures",$C$6,$C$5)),""),"")</f>
        <v/>
      </c>
      <c r="I900" s="139">
        <f>IFERROR(IF(AND(ISNUMBER(F900),ISNUMBER(H900)),F900-H900,""),"")</f>
        <v/>
      </c>
      <c r="J900" s="114" t="n"/>
      <c r="K900" s="139">
        <f>IFERROR(IF(H900&gt;0,H900*$C$7,""),"")</f>
        <v/>
      </c>
      <c r="L900" s="139">
        <f>IFERROR(IF(ISNUMBER(F900),F900-IF(ISNUMBER(K900),K900,0),""),"")</f>
        <v/>
      </c>
    </row>
    <row r="901" ht="24" customHeight="1" s="63">
      <c r="E901" s="139" t="n"/>
      <c r="F901" s="139" t="n"/>
      <c r="G901" s="140">
        <f>IFERROR(IF(E901&gt;0,(F901/E901)*1000,""),"")</f>
        <v/>
      </c>
      <c r="H901" s="139">
        <f>IFERROR(IF(E901&gt;0,E901*IF(ISNUMBER(J901),J901,IF(C901="Futures",$C$6,$C$5)),""),"")</f>
        <v/>
      </c>
      <c r="I901" s="139">
        <f>IFERROR(IF(AND(ISNUMBER(F901),ISNUMBER(H901)),F901-H901,""),"")</f>
        <v/>
      </c>
      <c r="J901" s="114" t="n"/>
      <c r="K901" s="139">
        <f>IFERROR(IF(H901&gt;0,H901*$C$7,""),"")</f>
        <v/>
      </c>
      <c r="L901" s="139">
        <f>IFERROR(IF(ISNUMBER(F901),F901-IF(ISNUMBER(K901),K901,0),""),"")</f>
        <v/>
      </c>
    </row>
    <row r="902" ht="24" customHeight="1" s="63">
      <c r="E902" s="139" t="n"/>
      <c r="F902" s="139" t="n"/>
      <c r="G902" s="140">
        <f>IFERROR(IF(E902&gt;0,(F902/E902)*1000,""),"")</f>
        <v/>
      </c>
      <c r="H902" s="139">
        <f>IFERROR(IF(E902&gt;0,E902*IF(ISNUMBER(J902),J902,IF(C902="Futures",$C$6,$C$5)),""),"")</f>
        <v/>
      </c>
      <c r="I902" s="139">
        <f>IFERROR(IF(AND(ISNUMBER(F902),ISNUMBER(H902)),F902-H902,""),"")</f>
        <v/>
      </c>
      <c r="J902" s="114" t="n"/>
      <c r="K902" s="139">
        <f>IFERROR(IF(H902&gt;0,H902*$C$7,""),"")</f>
        <v/>
      </c>
      <c r="L902" s="139">
        <f>IFERROR(IF(ISNUMBER(F902),F902-IF(ISNUMBER(K902),K902,0),""),"")</f>
        <v/>
      </c>
    </row>
    <row r="903" ht="24" customHeight="1" s="63">
      <c r="E903" s="139" t="n"/>
      <c r="F903" s="139" t="n"/>
      <c r="G903" s="140">
        <f>IFERROR(IF(E903&gt;0,(F903/E903)*1000,""),"")</f>
        <v/>
      </c>
      <c r="H903" s="139">
        <f>IFERROR(IF(E903&gt;0,E903*IF(ISNUMBER(J903),J903,IF(C903="Futures",$C$6,$C$5)),""),"")</f>
        <v/>
      </c>
      <c r="I903" s="139">
        <f>IFERROR(IF(AND(ISNUMBER(F903),ISNUMBER(H903)),F903-H903,""),"")</f>
        <v/>
      </c>
      <c r="J903" s="114" t="n"/>
      <c r="K903" s="139">
        <f>IFERROR(IF(H903&gt;0,H903*$C$7,""),"")</f>
        <v/>
      </c>
      <c r="L903" s="139">
        <f>IFERROR(IF(ISNUMBER(F903),F903-IF(ISNUMBER(K903),K903,0),""),"")</f>
        <v/>
      </c>
    </row>
    <row r="904" ht="24" customHeight="1" s="63">
      <c r="E904" s="139" t="n"/>
      <c r="F904" s="139" t="n"/>
      <c r="G904" s="140">
        <f>IFERROR(IF(E904&gt;0,(F904/E904)*1000,""),"")</f>
        <v/>
      </c>
      <c r="H904" s="139">
        <f>IFERROR(IF(E904&gt;0,E904*IF(ISNUMBER(J904),J904,IF(C904="Futures",$C$6,$C$5)),""),"")</f>
        <v/>
      </c>
      <c r="I904" s="139">
        <f>IFERROR(IF(AND(ISNUMBER(F904),ISNUMBER(H904)),F904-H904,""),"")</f>
        <v/>
      </c>
      <c r="J904" s="114" t="n"/>
      <c r="K904" s="139">
        <f>IFERROR(IF(H904&gt;0,H904*$C$7,""),"")</f>
        <v/>
      </c>
      <c r="L904" s="139">
        <f>IFERROR(IF(ISNUMBER(F904),F904-IF(ISNUMBER(K904),K904,0),""),"")</f>
        <v/>
      </c>
    </row>
    <row r="905" ht="24" customHeight="1" s="63">
      <c r="E905" s="139" t="n"/>
      <c r="F905" s="139" t="n"/>
      <c r="G905" s="140">
        <f>IFERROR(IF(E905&gt;0,(F905/E905)*1000,""),"")</f>
        <v/>
      </c>
      <c r="H905" s="139">
        <f>IFERROR(IF(E905&gt;0,E905*IF(ISNUMBER(J905),J905,IF(C905="Futures",$C$6,$C$5)),""),"")</f>
        <v/>
      </c>
      <c r="I905" s="139">
        <f>IFERROR(IF(AND(ISNUMBER(F905),ISNUMBER(H905)),F905-H905,""),"")</f>
        <v/>
      </c>
      <c r="J905" s="114" t="n"/>
      <c r="K905" s="139">
        <f>IFERROR(IF(H905&gt;0,H905*$C$7,""),"")</f>
        <v/>
      </c>
      <c r="L905" s="139">
        <f>IFERROR(IF(ISNUMBER(F905),F905-IF(ISNUMBER(K905),K905,0),""),"")</f>
        <v/>
      </c>
    </row>
    <row r="906" ht="24" customHeight="1" s="63">
      <c r="E906" s="139" t="n"/>
      <c r="F906" s="139" t="n"/>
      <c r="G906" s="140">
        <f>IFERROR(IF(E906&gt;0,(F906/E906)*1000,""),"")</f>
        <v/>
      </c>
      <c r="H906" s="139">
        <f>IFERROR(IF(E906&gt;0,E906*IF(ISNUMBER(J906),J906,IF(C906="Futures",$C$6,$C$5)),""),"")</f>
        <v/>
      </c>
      <c r="I906" s="139">
        <f>IFERROR(IF(AND(ISNUMBER(F906),ISNUMBER(H906)),F906-H906,""),"")</f>
        <v/>
      </c>
      <c r="J906" s="114" t="n"/>
      <c r="K906" s="139">
        <f>IFERROR(IF(H906&gt;0,H906*$C$7,""),"")</f>
        <v/>
      </c>
      <c r="L906" s="139">
        <f>IFERROR(IF(ISNUMBER(F906),F906-IF(ISNUMBER(K906),K906,0),""),"")</f>
        <v/>
      </c>
    </row>
    <row r="907" ht="24" customHeight="1" s="63">
      <c r="E907" s="139" t="n"/>
      <c r="F907" s="139" t="n"/>
      <c r="G907" s="140">
        <f>IFERROR(IF(E907&gt;0,(F907/E907)*1000,""),"")</f>
        <v/>
      </c>
      <c r="H907" s="139">
        <f>IFERROR(IF(E907&gt;0,E907*IF(ISNUMBER(J907),J907,IF(C907="Futures",$C$6,$C$5)),""),"")</f>
        <v/>
      </c>
      <c r="I907" s="139">
        <f>IFERROR(IF(AND(ISNUMBER(F907),ISNUMBER(H907)),F907-H907,""),"")</f>
        <v/>
      </c>
      <c r="J907" s="114" t="n"/>
      <c r="K907" s="139">
        <f>IFERROR(IF(H907&gt;0,H907*$C$7,""),"")</f>
        <v/>
      </c>
      <c r="L907" s="139">
        <f>IFERROR(IF(ISNUMBER(F907),F907-IF(ISNUMBER(K907),K907,0),""),"")</f>
        <v/>
      </c>
    </row>
    <row r="908" ht="24" customHeight="1" s="63">
      <c r="E908" s="139" t="n"/>
      <c r="F908" s="139" t="n"/>
      <c r="G908" s="140">
        <f>IFERROR(IF(E908&gt;0,(F908/E908)*1000,""),"")</f>
        <v/>
      </c>
      <c r="H908" s="139">
        <f>IFERROR(IF(E908&gt;0,E908*IF(ISNUMBER(J908),J908,IF(C908="Futures",$C$6,$C$5)),""),"")</f>
        <v/>
      </c>
      <c r="I908" s="139">
        <f>IFERROR(IF(AND(ISNUMBER(F908),ISNUMBER(H908)),F908-H908,""),"")</f>
        <v/>
      </c>
      <c r="J908" s="114" t="n"/>
      <c r="K908" s="139">
        <f>IFERROR(IF(H908&gt;0,H908*$C$7,""),"")</f>
        <v/>
      </c>
      <c r="L908" s="139">
        <f>IFERROR(IF(ISNUMBER(F908),F908-IF(ISNUMBER(K908),K908,0),""),"")</f>
        <v/>
      </c>
    </row>
    <row r="909" ht="24" customHeight="1" s="63">
      <c r="E909" s="139" t="n"/>
      <c r="F909" s="139" t="n"/>
      <c r="G909" s="140">
        <f>IFERROR(IF(E909&gt;0,(F909/E909)*1000,""),"")</f>
        <v/>
      </c>
      <c r="H909" s="139">
        <f>IFERROR(IF(E909&gt;0,E909*IF(ISNUMBER(J909),J909,IF(C909="Futures",$C$6,$C$5)),""),"")</f>
        <v/>
      </c>
      <c r="I909" s="139">
        <f>IFERROR(IF(AND(ISNUMBER(F909),ISNUMBER(H909)),F909-H909,""),"")</f>
        <v/>
      </c>
      <c r="J909" s="114" t="n"/>
      <c r="K909" s="139">
        <f>IFERROR(IF(H909&gt;0,H909*$C$7,""),"")</f>
        <v/>
      </c>
      <c r="L909" s="139">
        <f>IFERROR(IF(ISNUMBER(F909),F909-IF(ISNUMBER(K909),K909,0),""),"")</f>
        <v/>
      </c>
    </row>
    <row r="910" ht="24" customHeight="1" s="63">
      <c r="E910" s="139" t="n"/>
      <c r="F910" s="139" t="n"/>
      <c r="G910" s="140">
        <f>IFERROR(IF(E910&gt;0,(F910/E910)*1000,""),"")</f>
        <v/>
      </c>
      <c r="H910" s="139">
        <f>IFERROR(IF(E910&gt;0,E910*IF(ISNUMBER(J910),J910,IF(C910="Futures",$C$6,$C$5)),""),"")</f>
        <v/>
      </c>
      <c r="I910" s="139">
        <f>IFERROR(IF(AND(ISNUMBER(F910),ISNUMBER(H910)),F910-H910,""),"")</f>
        <v/>
      </c>
      <c r="J910" s="114" t="n"/>
      <c r="K910" s="139">
        <f>IFERROR(IF(H910&gt;0,H910*$C$7,""),"")</f>
        <v/>
      </c>
      <c r="L910" s="139">
        <f>IFERROR(IF(ISNUMBER(F910),F910-IF(ISNUMBER(K910),K910,0),""),"")</f>
        <v/>
      </c>
    </row>
    <row r="911" ht="24" customHeight="1" s="63">
      <c r="E911" s="139" t="n"/>
      <c r="F911" s="139" t="n"/>
      <c r="G911" s="140">
        <f>IFERROR(IF(E911&gt;0,(F911/E911)*1000,""),"")</f>
        <v/>
      </c>
      <c r="H911" s="139">
        <f>IFERROR(IF(E911&gt;0,E911*IF(ISNUMBER(J911),J911,IF(C911="Futures",$C$6,$C$5)),""),"")</f>
        <v/>
      </c>
      <c r="I911" s="139">
        <f>IFERROR(IF(AND(ISNUMBER(F911),ISNUMBER(H911)),F911-H911,""),"")</f>
        <v/>
      </c>
      <c r="J911" s="114" t="n"/>
      <c r="K911" s="139">
        <f>IFERROR(IF(H911&gt;0,H911*$C$7,""),"")</f>
        <v/>
      </c>
      <c r="L911" s="139">
        <f>IFERROR(IF(ISNUMBER(F911),F911-IF(ISNUMBER(K911),K911,0),""),"")</f>
        <v/>
      </c>
    </row>
    <row r="912" ht="24" customHeight="1" s="63">
      <c r="E912" s="139" t="n"/>
      <c r="F912" s="139" t="n"/>
      <c r="G912" s="140">
        <f>IFERROR(IF(E912&gt;0,(F912/E912)*1000,""),"")</f>
        <v/>
      </c>
      <c r="H912" s="139">
        <f>IFERROR(IF(E912&gt;0,E912*IF(ISNUMBER(J912),J912,IF(C912="Futures",$C$6,$C$5)),""),"")</f>
        <v/>
      </c>
      <c r="I912" s="139">
        <f>IFERROR(IF(AND(ISNUMBER(F912),ISNUMBER(H912)),F912-H912,""),"")</f>
        <v/>
      </c>
      <c r="J912" s="114" t="n"/>
      <c r="K912" s="139">
        <f>IFERROR(IF(H912&gt;0,H912*$C$7,""),"")</f>
        <v/>
      </c>
      <c r="L912" s="139">
        <f>IFERROR(IF(ISNUMBER(F912),F912-IF(ISNUMBER(K912),K912,0),""),"")</f>
        <v/>
      </c>
    </row>
    <row r="913" ht="24" customHeight="1" s="63">
      <c r="E913" s="139" t="n"/>
      <c r="F913" s="139" t="n"/>
      <c r="G913" s="140">
        <f>IFERROR(IF(E913&gt;0,(F913/E913)*1000,""),"")</f>
        <v/>
      </c>
      <c r="H913" s="139">
        <f>IFERROR(IF(E913&gt;0,E913*IF(ISNUMBER(J913),J913,IF(C913="Futures",$C$6,$C$5)),""),"")</f>
        <v/>
      </c>
      <c r="I913" s="139">
        <f>IFERROR(IF(AND(ISNUMBER(F913),ISNUMBER(H913)),F913-H913,""),"")</f>
        <v/>
      </c>
      <c r="J913" s="114" t="n"/>
      <c r="K913" s="139">
        <f>IFERROR(IF(H913&gt;0,H913*$C$7,""),"")</f>
        <v/>
      </c>
      <c r="L913" s="139">
        <f>IFERROR(IF(ISNUMBER(F913),F913-IF(ISNUMBER(K913),K913,0),""),"")</f>
        <v/>
      </c>
    </row>
    <row r="914" ht="24" customHeight="1" s="63">
      <c r="E914" s="139" t="n"/>
      <c r="F914" s="139" t="n"/>
      <c r="G914" s="140">
        <f>IFERROR(IF(E914&gt;0,(F914/E914)*1000,""),"")</f>
        <v/>
      </c>
      <c r="H914" s="139">
        <f>IFERROR(IF(E914&gt;0,E914*IF(ISNUMBER(J914),J914,IF(C914="Futures",$C$6,$C$5)),""),"")</f>
        <v/>
      </c>
      <c r="I914" s="139">
        <f>IFERROR(IF(AND(ISNUMBER(F914),ISNUMBER(H914)),F914-H914,""),"")</f>
        <v/>
      </c>
      <c r="J914" s="114" t="n"/>
      <c r="K914" s="139">
        <f>IFERROR(IF(H914&gt;0,H914*$C$7,""),"")</f>
        <v/>
      </c>
      <c r="L914" s="139">
        <f>IFERROR(IF(ISNUMBER(F914),F914-IF(ISNUMBER(K914),K914,0),""),"")</f>
        <v/>
      </c>
    </row>
    <row r="915" ht="24" customHeight="1" s="63">
      <c r="E915" s="139" t="n"/>
      <c r="F915" s="139" t="n"/>
      <c r="G915" s="140">
        <f>IFERROR(IF(E915&gt;0,(F915/E915)*1000,""),"")</f>
        <v/>
      </c>
      <c r="H915" s="139">
        <f>IFERROR(IF(E915&gt;0,E915*IF(ISNUMBER(J915),J915,IF(C915="Futures",$C$6,$C$5)),""),"")</f>
        <v/>
      </c>
      <c r="I915" s="139">
        <f>IFERROR(IF(AND(ISNUMBER(F915),ISNUMBER(H915)),F915-H915,""),"")</f>
        <v/>
      </c>
      <c r="J915" s="114" t="n"/>
      <c r="K915" s="139">
        <f>IFERROR(IF(H915&gt;0,H915*$C$7,""),"")</f>
        <v/>
      </c>
      <c r="L915" s="139">
        <f>IFERROR(IF(ISNUMBER(F915),F915-IF(ISNUMBER(K915),K915,0),""),"")</f>
        <v/>
      </c>
    </row>
    <row r="916" ht="24" customHeight="1" s="63">
      <c r="E916" s="139" t="n"/>
      <c r="F916" s="139" t="n"/>
      <c r="G916" s="140">
        <f>IFERROR(IF(E916&gt;0,(F916/E916)*1000,""),"")</f>
        <v/>
      </c>
      <c r="H916" s="139">
        <f>IFERROR(IF(E916&gt;0,E916*IF(ISNUMBER(J916),J916,IF(C916="Futures",$C$6,$C$5)),""),"")</f>
        <v/>
      </c>
      <c r="I916" s="139">
        <f>IFERROR(IF(AND(ISNUMBER(F916),ISNUMBER(H916)),F916-H916,""),"")</f>
        <v/>
      </c>
      <c r="J916" s="114" t="n"/>
      <c r="K916" s="139">
        <f>IFERROR(IF(H916&gt;0,H916*$C$7,""),"")</f>
        <v/>
      </c>
      <c r="L916" s="139">
        <f>IFERROR(IF(ISNUMBER(F916),F916-IF(ISNUMBER(K916),K916,0),""),"")</f>
        <v/>
      </c>
    </row>
    <row r="917" ht="24" customHeight="1" s="63">
      <c r="E917" s="139" t="n"/>
      <c r="F917" s="139" t="n"/>
      <c r="G917" s="140">
        <f>IFERROR(IF(E917&gt;0,(F917/E917)*1000,""),"")</f>
        <v/>
      </c>
      <c r="H917" s="139">
        <f>IFERROR(IF(E917&gt;0,E917*IF(ISNUMBER(J917),J917,IF(C917="Futures",$C$6,$C$5)),""),"")</f>
        <v/>
      </c>
      <c r="I917" s="139">
        <f>IFERROR(IF(AND(ISNUMBER(F917),ISNUMBER(H917)),F917-H917,""),"")</f>
        <v/>
      </c>
      <c r="J917" s="114" t="n"/>
      <c r="K917" s="139">
        <f>IFERROR(IF(H917&gt;0,H917*$C$7,""),"")</f>
        <v/>
      </c>
      <c r="L917" s="139">
        <f>IFERROR(IF(ISNUMBER(F917),F917-IF(ISNUMBER(K917),K917,0),""),"")</f>
        <v/>
      </c>
    </row>
    <row r="918" ht="24" customHeight="1" s="63">
      <c r="E918" s="139" t="n"/>
      <c r="F918" s="139" t="n"/>
      <c r="G918" s="140">
        <f>IFERROR(IF(E918&gt;0,(F918/E918)*1000,""),"")</f>
        <v/>
      </c>
      <c r="H918" s="139">
        <f>IFERROR(IF(E918&gt;0,E918*IF(ISNUMBER(J918),J918,IF(C918="Futures",$C$6,$C$5)),""),"")</f>
        <v/>
      </c>
      <c r="I918" s="139">
        <f>IFERROR(IF(AND(ISNUMBER(F918),ISNUMBER(H918)),F918-H918,""),"")</f>
        <v/>
      </c>
      <c r="J918" s="114" t="n"/>
      <c r="K918" s="139">
        <f>IFERROR(IF(H918&gt;0,H918*$C$7,""),"")</f>
        <v/>
      </c>
      <c r="L918" s="139">
        <f>IFERROR(IF(ISNUMBER(F918),F918-IF(ISNUMBER(K918),K918,0),""),"")</f>
        <v/>
      </c>
    </row>
    <row r="919" ht="24" customHeight="1" s="63">
      <c r="E919" s="139" t="n"/>
      <c r="F919" s="139" t="n"/>
      <c r="G919" s="140">
        <f>IFERROR(IF(E919&gt;0,(F919/E919)*1000,""),"")</f>
        <v/>
      </c>
      <c r="H919" s="139">
        <f>IFERROR(IF(E919&gt;0,E919*IF(ISNUMBER(J919),J919,IF(C919="Futures",$C$6,$C$5)),""),"")</f>
        <v/>
      </c>
      <c r="I919" s="139">
        <f>IFERROR(IF(AND(ISNUMBER(F919),ISNUMBER(H919)),F919-H919,""),"")</f>
        <v/>
      </c>
      <c r="J919" s="114" t="n"/>
      <c r="K919" s="139">
        <f>IFERROR(IF(H919&gt;0,H919*$C$7,""),"")</f>
        <v/>
      </c>
      <c r="L919" s="139">
        <f>IFERROR(IF(ISNUMBER(F919),F919-IF(ISNUMBER(K919),K919,0),""),"")</f>
        <v/>
      </c>
    </row>
    <row r="920" ht="24" customHeight="1" s="63">
      <c r="E920" s="139" t="n"/>
      <c r="F920" s="139" t="n"/>
      <c r="G920" s="140">
        <f>IFERROR(IF(E920&gt;0,(F920/E920)*1000,""),"")</f>
        <v/>
      </c>
      <c r="H920" s="139">
        <f>IFERROR(IF(E920&gt;0,E920*IF(ISNUMBER(J920),J920,IF(C920="Futures",$C$6,$C$5)),""),"")</f>
        <v/>
      </c>
      <c r="I920" s="139">
        <f>IFERROR(IF(AND(ISNUMBER(F920),ISNUMBER(H920)),F920-H920,""),"")</f>
        <v/>
      </c>
      <c r="J920" s="114" t="n"/>
      <c r="K920" s="139">
        <f>IFERROR(IF(H920&gt;0,H920*$C$7,""),"")</f>
        <v/>
      </c>
      <c r="L920" s="139">
        <f>IFERROR(IF(ISNUMBER(F920),F920-IF(ISNUMBER(K920),K920,0),""),"")</f>
        <v/>
      </c>
    </row>
    <row r="921" ht="24" customHeight="1" s="63">
      <c r="E921" s="139" t="n"/>
      <c r="F921" s="139" t="n"/>
      <c r="G921" s="140">
        <f>IFERROR(IF(E921&gt;0,(F921/E921)*1000,""),"")</f>
        <v/>
      </c>
      <c r="H921" s="139">
        <f>IFERROR(IF(E921&gt;0,E921*IF(ISNUMBER(J921),J921,IF(C921="Futures",$C$6,$C$5)),""),"")</f>
        <v/>
      </c>
      <c r="I921" s="139">
        <f>IFERROR(IF(AND(ISNUMBER(F921),ISNUMBER(H921)),F921-H921,""),"")</f>
        <v/>
      </c>
      <c r="J921" s="114" t="n"/>
      <c r="K921" s="139">
        <f>IFERROR(IF(H921&gt;0,H921*$C$7,""),"")</f>
        <v/>
      </c>
      <c r="L921" s="139">
        <f>IFERROR(IF(ISNUMBER(F921),F921-IF(ISNUMBER(K921),K921,0),""),"")</f>
        <v/>
      </c>
    </row>
    <row r="922" ht="24" customHeight="1" s="63">
      <c r="E922" s="139" t="n"/>
      <c r="F922" s="139" t="n"/>
      <c r="G922" s="140">
        <f>IFERROR(IF(E922&gt;0,(F922/E922)*1000,""),"")</f>
        <v/>
      </c>
      <c r="H922" s="139">
        <f>IFERROR(IF(E922&gt;0,E922*IF(ISNUMBER(J922),J922,IF(C922="Futures",$C$6,$C$5)),""),"")</f>
        <v/>
      </c>
      <c r="I922" s="139">
        <f>IFERROR(IF(AND(ISNUMBER(F922),ISNUMBER(H922)),F922-H922,""),"")</f>
        <v/>
      </c>
      <c r="J922" s="114" t="n"/>
      <c r="K922" s="139">
        <f>IFERROR(IF(H922&gt;0,H922*$C$7,""),"")</f>
        <v/>
      </c>
      <c r="L922" s="139">
        <f>IFERROR(IF(ISNUMBER(F922),F922-IF(ISNUMBER(K922),K922,0),""),"")</f>
        <v/>
      </c>
    </row>
    <row r="923" ht="24" customHeight="1" s="63">
      <c r="E923" s="139" t="n"/>
      <c r="F923" s="139" t="n"/>
      <c r="G923" s="140">
        <f>IFERROR(IF(E923&gt;0,(F923/E923)*1000,""),"")</f>
        <v/>
      </c>
      <c r="H923" s="139">
        <f>IFERROR(IF(E923&gt;0,E923*IF(ISNUMBER(J923),J923,IF(C923="Futures",$C$6,$C$5)),""),"")</f>
        <v/>
      </c>
      <c r="I923" s="139">
        <f>IFERROR(IF(AND(ISNUMBER(F923),ISNUMBER(H923)),F923-H923,""),"")</f>
        <v/>
      </c>
      <c r="J923" s="114" t="n"/>
      <c r="K923" s="139">
        <f>IFERROR(IF(H923&gt;0,H923*$C$7,""),"")</f>
        <v/>
      </c>
      <c r="L923" s="139">
        <f>IFERROR(IF(ISNUMBER(F923),F923-IF(ISNUMBER(K923),K923,0),""),"")</f>
        <v/>
      </c>
    </row>
    <row r="924" ht="24" customHeight="1" s="63">
      <c r="E924" s="139" t="n"/>
      <c r="F924" s="139" t="n"/>
      <c r="G924" s="140">
        <f>IFERROR(IF(E924&gt;0,(F924/E924)*1000,""),"")</f>
        <v/>
      </c>
      <c r="H924" s="139">
        <f>IFERROR(IF(E924&gt;0,E924*IF(ISNUMBER(J924),J924,IF(C924="Futures",$C$6,$C$5)),""),"")</f>
        <v/>
      </c>
      <c r="I924" s="139">
        <f>IFERROR(IF(AND(ISNUMBER(F924),ISNUMBER(H924)),F924-H924,""),"")</f>
        <v/>
      </c>
      <c r="J924" s="114" t="n"/>
      <c r="K924" s="139">
        <f>IFERROR(IF(H924&gt;0,H924*$C$7,""),"")</f>
        <v/>
      </c>
      <c r="L924" s="139">
        <f>IFERROR(IF(ISNUMBER(F924),F924-IF(ISNUMBER(K924),K924,0),""),"")</f>
        <v/>
      </c>
    </row>
    <row r="925" ht="24" customHeight="1" s="63">
      <c r="E925" s="139" t="n"/>
      <c r="F925" s="139" t="n"/>
      <c r="G925" s="140">
        <f>IFERROR(IF(E925&gt;0,(F925/E925)*1000,""),"")</f>
        <v/>
      </c>
      <c r="H925" s="139">
        <f>IFERROR(IF(E925&gt;0,E925*IF(ISNUMBER(J925),J925,IF(C925="Futures",$C$6,$C$5)),""),"")</f>
        <v/>
      </c>
      <c r="I925" s="139">
        <f>IFERROR(IF(AND(ISNUMBER(F925),ISNUMBER(H925)),F925-H925,""),"")</f>
        <v/>
      </c>
      <c r="J925" s="114" t="n"/>
      <c r="K925" s="139">
        <f>IFERROR(IF(H925&gt;0,H925*$C$7,""),"")</f>
        <v/>
      </c>
      <c r="L925" s="139">
        <f>IFERROR(IF(ISNUMBER(F925),F925-IF(ISNUMBER(K925),K925,0),""),"")</f>
        <v/>
      </c>
    </row>
    <row r="926" ht="24" customHeight="1" s="63">
      <c r="E926" s="139" t="n"/>
      <c r="F926" s="139" t="n"/>
      <c r="G926" s="140">
        <f>IFERROR(IF(E926&gt;0,(F926/E926)*1000,""),"")</f>
        <v/>
      </c>
      <c r="H926" s="139">
        <f>IFERROR(IF(E926&gt;0,E926*IF(ISNUMBER(J926),J926,IF(C926="Futures",$C$6,$C$5)),""),"")</f>
        <v/>
      </c>
      <c r="I926" s="139">
        <f>IFERROR(IF(AND(ISNUMBER(F926),ISNUMBER(H926)),F926-H926,""),"")</f>
        <v/>
      </c>
      <c r="J926" s="114" t="n"/>
      <c r="K926" s="139">
        <f>IFERROR(IF(H926&gt;0,H926*$C$7,""),"")</f>
        <v/>
      </c>
      <c r="L926" s="139">
        <f>IFERROR(IF(ISNUMBER(F926),F926-IF(ISNUMBER(K926),K926,0),""),"")</f>
        <v/>
      </c>
    </row>
    <row r="927" ht="24" customHeight="1" s="63">
      <c r="E927" s="139" t="n"/>
      <c r="F927" s="139" t="n"/>
      <c r="G927" s="140">
        <f>IFERROR(IF(E927&gt;0,(F927/E927)*1000,""),"")</f>
        <v/>
      </c>
      <c r="H927" s="139">
        <f>IFERROR(IF(E927&gt;0,E927*IF(ISNUMBER(J927),J927,IF(C927="Futures",$C$6,$C$5)),""),"")</f>
        <v/>
      </c>
      <c r="I927" s="139">
        <f>IFERROR(IF(AND(ISNUMBER(F927),ISNUMBER(H927)),F927-H927,""),"")</f>
        <v/>
      </c>
      <c r="J927" s="114" t="n"/>
      <c r="K927" s="139">
        <f>IFERROR(IF(H927&gt;0,H927*$C$7,""),"")</f>
        <v/>
      </c>
      <c r="L927" s="139">
        <f>IFERROR(IF(ISNUMBER(F927),F927-IF(ISNUMBER(K927),K927,0),""),"")</f>
        <v/>
      </c>
    </row>
    <row r="928" ht="24" customHeight="1" s="63">
      <c r="E928" s="139" t="n"/>
      <c r="F928" s="139" t="n"/>
      <c r="G928" s="140">
        <f>IFERROR(IF(E928&gt;0,(F928/E928)*1000,""),"")</f>
        <v/>
      </c>
      <c r="H928" s="139">
        <f>IFERROR(IF(E928&gt;0,E928*IF(ISNUMBER(J928),J928,IF(C928="Futures",$C$6,$C$5)),""),"")</f>
        <v/>
      </c>
      <c r="I928" s="139">
        <f>IFERROR(IF(AND(ISNUMBER(F928),ISNUMBER(H928)),F928-H928,""),"")</f>
        <v/>
      </c>
      <c r="J928" s="114" t="n"/>
      <c r="K928" s="139">
        <f>IFERROR(IF(H928&gt;0,H928*$C$7,""),"")</f>
        <v/>
      </c>
      <c r="L928" s="139">
        <f>IFERROR(IF(ISNUMBER(F928),F928-IF(ISNUMBER(K928),K928,0),""),"")</f>
        <v/>
      </c>
    </row>
    <row r="929" ht="24" customHeight="1" s="63">
      <c r="E929" s="139" t="n"/>
      <c r="F929" s="139" t="n"/>
      <c r="G929" s="140">
        <f>IFERROR(IF(E929&gt;0,(F929/E929)*1000,""),"")</f>
        <v/>
      </c>
      <c r="H929" s="139">
        <f>IFERROR(IF(E929&gt;0,E929*IF(ISNUMBER(J929),J929,IF(C929="Futures",$C$6,$C$5)),""),"")</f>
        <v/>
      </c>
      <c r="I929" s="139">
        <f>IFERROR(IF(AND(ISNUMBER(F929),ISNUMBER(H929)),F929-H929,""),"")</f>
        <v/>
      </c>
      <c r="J929" s="114" t="n"/>
      <c r="K929" s="139">
        <f>IFERROR(IF(H929&gt;0,H929*$C$7,""),"")</f>
        <v/>
      </c>
      <c r="L929" s="139">
        <f>IFERROR(IF(ISNUMBER(F929),F929-IF(ISNUMBER(K929),K929,0),""),"")</f>
        <v/>
      </c>
    </row>
    <row r="930" ht="24" customHeight="1" s="63">
      <c r="E930" s="139" t="n"/>
      <c r="F930" s="139" t="n"/>
      <c r="G930" s="140">
        <f>IFERROR(IF(E930&gt;0,(F930/E930)*1000,""),"")</f>
        <v/>
      </c>
      <c r="H930" s="139">
        <f>IFERROR(IF(E930&gt;0,E930*IF(ISNUMBER(J930),J930,IF(C930="Futures",$C$6,$C$5)),""),"")</f>
        <v/>
      </c>
      <c r="I930" s="139">
        <f>IFERROR(IF(AND(ISNUMBER(F930),ISNUMBER(H930)),F930-H930,""),"")</f>
        <v/>
      </c>
      <c r="J930" s="114" t="n"/>
      <c r="K930" s="139">
        <f>IFERROR(IF(H930&gt;0,H930*$C$7,""),"")</f>
        <v/>
      </c>
      <c r="L930" s="139">
        <f>IFERROR(IF(ISNUMBER(F930),F930-IF(ISNUMBER(K930),K930,0),""),"")</f>
        <v/>
      </c>
    </row>
    <row r="931" ht="24" customHeight="1" s="63">
      <c r="E931" s="139" t="n"/>
      <c r="F931" s="139" t="n"/>
      <c r="G931" s="140">
        <f>IFERROR(IF(E931&gt;0,(F931/E931)*1000,""),"")</f>
        <v/>
      </c>
      <c r="H931" s="139">
        <f>IFERROR(IF(E931&gt;0,E931*IF(ISNUMBER(J931),J931,IF(C931="Futures",$C$6,$C$5)),""),"")</f>
        <v/>
      </c>
      <c r="I931" s="139">
        <f>IFERROR(IF(AND(ISNUMBER(F931),ISNUMBER(H931)),F931-H931,""),"")</f>
        <v/>
      </c>
      <c r="J931" s="114" t="n"/>
      <c r="K931" s="139">
        <f>IFERROR(IF(H931&gt;0,H931*$C$7,""),"")</f>
        <v/>
      </c>
      <c r="L931" s="139">
        <f>IFERROR(IF(ISNUMBER(F931),F931-IF(ISNUMBER(K931),K931,0),""),"")</f>
        <v/>
      </c>
    </row>
    <row r="932" ht="24" customHeight="1" s="63">
      <c r="E932" s="139" t="n"/>
      <c r="F932" s="139" t="n"/>
      <c r="G932" s="140">
        <f>IFERROR(IF(E932&gt;0,(F932/E932)*1000,""),"")</f>
        <v/>
      </c>
      <c r="H932" s="139">
        <f>IFERROR(IF(E932&gt;0,E932*IF(ISNUMBER(J932),J932,IF(C932="Futures",$C$6,$C$5)),""),"")</f>
        <v/>
      </c>
      <c r="I932" s="139">
        <f>IFERROR(IF(AND(ISNUMBER(F932),ISNUMBER(H932)),F932-H932,""),"")</f>
        <v/>
      </c>
      <c r="J932" s="114" t="n"/>
      <c r="K932" s="139">
        <f>IFERROR(IF(H932&gt;0,H932*$C$7,""),"")</f>
        <v/>
      </c>
      <c r="L932" s="139">
        <f>IFERROR(IF(ISNUMBER(F932),F932-IF(ISNUMBER(K932),K932,0),""),"")</f>
        <v/>
      </c>
    </row>
    <row r="933" ht="24" customHeight="1" s="63">
      <c r="E933" s="139" t="n"/>
      <c r="F933" s="139" t="n"/>
      <c r="G933" s="140">
        <f>IFERROR(IF(E933&gt;0,(F933/E933)*1000,""),"")</f>
        <v/>
      </c>
      <c r="H933" s="139">
        <f>IFERROR(IF(E933&gt;0,E933*IF(ISNUMBER(J933),J933,IF(C933="Futures",$C$6,$C$5)),""),"")</f>
        <v/>
      </c>
      <c r="I933" s="139">
        <f>IFERROR(IF(AND(ISNUMBER(F933),ISNUMBER(H933)),F933-H933,""),"")</f>
        <v/>
      </c>
      <c r="J933" s="114" t="n"/>
      <c r="K933" s="139">
        <f>IFERROR(IF(H933&gt;0,H933*$C$7,""),"")</f>
        <v/>
      </c>
      <c r="L933" s="139">
        <f>IFERROR(IF(ISNUMBER(F933),F933-IF(ISNUMBER(K933),K933,0),""),"")</f>
        <v/>
      </c>
    </row>
    <row r="934" ht="24" customHeight="1" s="63">
      <c r="E934" s="139" t="n"/>
      <c r="F934" s="139" t="n"/>
      <c r="G934" s="140">
        <f>IFERROR(IF(E934&gt;0,(F934/E934)*1000,""),"")</f>
        <v/>
      </c>
      <c r="H934" s="139">
        <f>IFERROR(IF(E934&gt;0,E934*IF(ISNUMBER(J934),J934,IF(C934="Futures",$C$6,$C$5)),""),"")</f>
        <v/>
      </c>
      <c r="I934" s="139">
        <f>IFERROR(IF(AND(ISNUMBER(F934),ISNUMBER(H934)),F934-H934,""),"")</f>
        <v/>
      </c>
      <c r="J934" s="114" t="n"/>
      <c r="K934" s="139">
        <f>IFERROR(IF(H934&gt;0,H934*$C$7,""),"")</f>
        <v/>
      </c>
      <c r="L934" s="139">
        <f>IFERROR(IF(ISNUMBER(F934),F934-IF(ISNUMBER(K934),K934,0),""),"")</f>
        <v/>
      </c>
    </row>
    <row r="935" ht="24" customHeight="1" s="63">
      <c r="E935" s="139" t="n"/>
      <c r="F935" s="139" t="n"/>
      <c r="G935" s="140">
        <f>IFERROR(IF(E935&gt;0,(F935/E935)*1000,""),"")</f>
        <v/>
      </c>
      <c r="H935" s="139">
        <f>IFERROR(IF(E935&gt;0,E935*IF(ISNUMBER(J935),J935,IF(C935="Futures",$C$6,$C$5)),""),"")</f>
        <v/>
      </c>
      <c r="I935" s="139">
        <f>IFERROR(IF(AND(ISNUMBER(F935),ISNUMBER(H935)),F935-H935,""),"")</f>
        <v/>
      </c>
      <c r="J935" s="114" t="n"/>
      <c r="K935" s="139">
        <f>IFERROR(IF(H935&gt;0,H935*$C$7,""),"")</f>
        <v/>
      </c>
      <c r="L935" s="139">
        <f>IFERROR(IF(ISNUMBER(F935),F935-IF(ISNUMBER(K935),K935,0),""),"")</f>
        <v/>
      </c>
    </row>
    <row r="936" ht="24" customHeight="1" s="63">
      <c r="E936" s="139" t="n"/>
      <c r="F936" s="139" t="n"/>
      <c r="G936" s="140">
        <f>IFERROR(IF(E936&gt;0,(F936/E936)*1000,""),"")</f>
        <v/>
      </c>
      <c r="H936" s="139">
        <f>IFERROR(IF(E936&gt;0,E936*IF(ISNUMBER(J936),J936,IF(C936="Futures",$C$6,$C$5)),""),"")</f>
        <v/>
      </c>
      <c r="I936" s="139">
        <f>IFERROR(IF(AND(ISNUMBER(F936),ISNUMBER(H936)),F936-H936,""),"")</f>
        <v/>
      </c>
      <c r="J936" s="114" t="n"/>
      <c r="K936" s="139">
        <f>IFERROR(IF(H936&gt;0,H936*$C$7,""),"")</f>
        <v/>
      </c>
      <c r="L936" s="139">
        <f>IFERROR(IF(ISNUMBER(F936),F936-IF(ISNUMBER(K936),K936,0),""),"")</f>
        <v/>
      </c>
    </row>
    <row r="937" ht="24" customHeight="1" s="63">
      <c r="E937" s="139" t="n"/>
      <c r="F937" s="139" t="n"/>
      <c r="G937" s="140">
        <f>IFERROR(IF(E937&gt;0,(F937/E937)*1000,""),"")</f>
        <v/>
      </c>
      <c r="H937" s="139">
        <f>IFERROR(IF(E937&gt;0,E937*IF(ISNUMBER(J937),J937,IF(C937="Futures",$C$6,$C$5)),""),"")</f>
        <v/>
      </c>
      <c r="I937" s="139">
        <f>IFERROR(IF(AND(ISNUMBER(F937),ISNUMBER(H937)),F937-H937,""),"")</f>
        <v/>
      </c>
      <c r="J937" s="114" t="n"/>
      <c r="K937" s="139">
        <f>IFERROR(IF(H937&gt;0,H937*$C$7,""),"")</f>
        <v/>
      </c>
      <c r="L937" s="139">
        <f>IFERROR(IF(ISNUMBER(F937),F937-IF(ISNUMBER(K937),K937,0),""),"")</f>
        <v/>
      </c>
    </row>
    <row r="938" ht="24" customHeight="1" s="63">
      <c r="E938" s="139" t="n"/>
      <c r="F938" s="139" t="n"/>
      <c r="G938" s="140">
        <f>IFERROR(IF(E938&gt;0,(F938/E938)*1000,""),"")</f>
        <v/>
      </c>
      <c r="H938" s="139">
        <f>IFERROR(IF(E938&gt;0,E938*IF(ISNUMBER(J938),J938,IF(C938="Futures",$C$6,$C$5)),""),"")</f>
        <v/>
      </c>
      <c r="I938" s="139">
        <f>IFERROR(IF(AND(ISNUMBER(F938),ISNUMBER(H938)),F938-H938,""),"")</f>
        <v/>
      </c>
      <c r="J938" s="114" t="n"/>
      <c r="K938" s="139">
        <f>IFERROR(IF(H938&gt;0,H938*$C$7,""),"")</f>
        <v/>
      </c>
      <c r="L938" s="139">
        <f>IFERROR(IF(ISNUMBER(F938),F938-IF(ISNUMBER(K938),K938,0),""),"")</f>
        <v/>
      </c>
    </row>
    <row r="939" ht="24" customHeight="1" s="63">
      <c r="E939" s="139" t="n"/>
      <c r="F939" s="139" t="n"/>
      <c r="G939" s="140">
        <f>IFERROR(IF(E939&gt;0,(F939/E939)*1000,""),"")</f>
        <v/>
      </c>
      <c r="H939" s="139">
        <f>IFERROR(IF(E939&gt;0,E939*IF(ISNUMBER(J939),J939,IF(C939="Futures",$C$6,$C$5)),""),"")</f>
        <v/>
      </c>
      <c r="I939" s="139">
        <f>IFERROR(IF(AND(ISNUMBER(F939),ISNUMBER(H939)),F939-H939,""),"")</f>
        <v/>
      </c>
      <c r="J939" s="114" t="n"/>
      <c r="K939" s="139">
        <f>IFERROR(IF(H939&gt;0,H939*$C$7,""),"")</f>
        <v/>
      </c>
      <c r="L939" s="139">
        <f>IFERROR(IF(ISNUMBER(F939),F939-IF(ISNUMBER(K939),K939,0),""),"")</f>
        <v/>
      </c>
    </row>
    <row r="940" ht="24" customHeight="1" s="63">
      <c r="E940" s="139" t="n"/>
      <c r="F940" s="139" t="n"/>
      <c r="G940" s="140">
        <f>IFERROR(IF(E940&gt;0,(F940/E940)*1000,""),"")</f>
        <v/>
      </c>
      <c r="H940" s="139">
        <f>IFERROR(IF(E940&gt;0,E940*IF(ISNUMBER(J940),J940,IF(C940="Futures",$C$6,$C$5)),""),"")</f>
        <v/>
      </c>
      <c r="I940" s="139">
        <f>IFERROR(IF(AND(ISNUMBER(F940),ISNUMBER(H940)),F940-H940,""),"")</f>
        <v/>
      </c>
      <c r="J940" s="114" t="n"/>
      <c r="K940" s="139">
        <f>IFERROR(IF(H940&gt;0,H940*$C$7,""),"")</f>
        <v/>
      </c>
      <c r="L940" s="139">
        <f>IFERROR(IF(ISNUMBER(F940),F940-IF(ISNUMBER(K940),K940,0),""),"")</f>
        <v/>
      </c>
    </row>
    <row r="941" ht="24" customHeight="1" s="63">
      <c r="E941" s="139" t="n"/>
      <c r="F941" s="139" t="n"/>
      <c r="G941" s="140">
        <f>IFERROR(IF(E941&gt;0,(F941/E941)*1000,""),"")</f>
        <v/>
      </c>
      <c r="H941" s="139">
        <f>IFERROR(IF(E941&gt;0,E941*IF(ISNUMBER(J941),J941,IF(C941="Futures",$C$6,$C$5)),""),"")</f>
        <v/>
      </c>
      <c r="I941" s="139">
        <f>IFERROR(IF(AND(ISNUMBER(F941),ISNUMBER(H941)),F941-H941,""),"")</f>
        <v/>
      </c>
      <c r="J941" s="114" t="n"/>
      <c r="K941" s="139">
        <f>IFERROR(IF(H941&gt;0,H941*$C$7,""),"")</f>
        <v/>
      </c>
      <c r="L941" s="139">
        <f>IFERROR(IF(ISNUMBER(F941),F941-IF(ISNUMBER(K941),K941,0),""),"")</f>
        <v/>
      </c>
    </row>
    <row r="942" ht="24" customHeight="1" s="63">
      <c r="E942" s="139" t="n"/>
      <c r="F942" s="139" t="n"/>
      <c r="G942" s="140">
        <f>IFERROR(IF(E942&gt;0,(F942/E942)*1000,""),"")</f>
        <v/>
      </c>
      <c r="H942" s="139">
        <f>IFERROR(IF(E942&gt;0,E942*IF(ISNUMBER(J942),J942,IF(C942="Futures",$C$6,$C$5)),""),"")</f>
        <v/>
      </c>
      <c r="I942" s="139">
        <f>IFERROR(IF(AND(ISNUMBER(F942),ISNUMBER(H942)),F942-H942,""),"")</f>
        <v/>
      </c>
      <c r="J942" s="114" t="n"/>
      <c r="K942" s="139">
        <f>IFERROR(IF(H942&gt;0,H942*$C$7,""),"")</f>
        <v/>
      </c>
      <c r="L942" s="139">
        <f>IFERROR(IF(ISNUMBER(F942),F942-IF(ISNUMBER(K942),K942,0),""),"")</f>
        <v/>
      </c>
    </row>
    <row r="943" ht="24" customHeight="1" s="63">
      <c r="E943" s="139" t="n"/>
      <c r="F943" s="139" t="n"/>
      <c r="G943" s="140">
        <f>IFERROR(IF(E943&gt;0,(F943/E943)*1000,""),"")</f>
        <v/>
      </c>
      <c r="H943" s="139">
        <f>IFERROR(IF(E943&gt;0,E943*IF(ISNUMBER(J943),J943,IF(C943="Futures",$C$6,$C$5)),""),"")</f>
        <v/>
      </c>
      <c r="I943" s="139">
        <f>IFERROR(IF(AND(ISNUMBER(F943),ISNUMBER(H943)),F943-H943,""),"")</f>
        <v/>
      </c>
      <c r="J943" s="114" t="n"/>
      <c r="K943" s="139">
        <f>IFERROR(IF(H943&gt;0,H943*$C$7,""),"")</f>
        <v/>
      </c>
      <c r="L943" s="139">
        <f>IFERROR(IF(ISNUMBER(F943),F943-IF(ISNUMBER(K943),K943,0),""),"")</f>
        <v/>
      </c>
    </row>
    <row r="944" ht="24" customHeight="1" s="63">
      <c r="E944" s="139" t="n"/>
      <c r="F944" s="139" t="n"/>
      <c r="G944" s="140">
        <f>IFERROR(IF(E944&gt;0,(F944/E944)*1000,""),"")</f>
        <v/>
      </c>
      <c r="H944" s="139">
        <f>IFERROR(IF(E944&gt;0,E944*IF(ISNUMBER(J944),J944,IF(C944="Futures",$C$6,$C$5)),""),"")</f>
        <v/>
      </c>
      <c r="I944" s="139">
        <f>IFERROR(IF(AND(ISNUMBER(F944),ISNUMBER(H944)),F944-H944,""),"")</f>
        <v/>
      </c>
      <c r="J944" s="114" t="n"/>
      <c r="K944" s="139">
        <f>IFERROR(IF(H944&gt;0,H944*$C$7,""),"")</f>
        <v/>
      </c>
      <c r="L944" s="139">
        <f>IFERROR(IF(ISNUMBER(F944),F944-IF(ISNUMBER(K944),K944,0),""),"")</f>
        <v/>
      </c>
    </row>
    <row r="945" ht="24" customHeight="1" s="63">
      <c r="E945" s="139" t="n"/>
      <c r="F945" s="139" t="n"/>
      <c r="G945" s="140">
        <f>IFERROR(IF(E945&gt;0,(F945/E945)*1000,""),"")</f>
        <v/>
      </c>
      <c r="H945" s="139">
        <f>IFERROR(IF(E945&gt;0,E945*IF(ISNUMBER(J945),J945,IF(C945="Futures",$C$6,$C$5)),""),"")</f>
        <v/>
      </c>
      <c r="I945" s="139">
        <f>IFERROR(IF(AND(ISNUMBER(F945),ISNUMBER(H945)),F945-H945,""),"")</f>
        <v/>
      </c>
      <c r="J945" s="114" t="n"/>
      <c r="K945" s="139">
        <f>IFERROR(IF(H945&gt;0,H945*$C$7,""),"")</f>
        <v/>
      </c>
      <c r="L945" s="139">
        <f>IFERROR(IF(ISNUMBER(F945),F945-IF(ISNUMBER(K945),K945,0),""),"")</f>
        <v/>
      </c>
    </row>
    <row r="946" ht="24" customHeight="1" s="63">
      <c r="E946" s="139" t="n"/>
      <c r="F946" s="139" t="n"/>
      <c r="G946" s="140">
        <f>IFERROR(IF(E946&gt;0,(F946/E946)*1000,""),"")</f>
        <v/>
      </c>
      <c r="H946" s="139">
        <f>IFERROR(IF(E946&gt;0,E946*IF(ISNUMBER(J946),J946,IF(C946="Futures",$C$6,$C$5)),""),"")</f>
        <v/>
      </c>
      <c r="I946" s="139">
        <f>IFERROR(IF(AND(ISNUMBER(F946),ISNUMBER(H946)),F946-H946,""),"")</f>
        <v/>
      </c>
      <c r="J946" s="114" t="n"/>
      <c r="K946" s="139">
        <f>IFERROR(IF(H946&gt;0,H946*$C$7,""),"")</f>
        <v/>
      </c>
      <c r="L946" s="139">
        <f>IFERROR(IF(ISNUMBER(F946),F946-IF(ISNUMBER(K946),K946,0),""),"")</f>
        <v/>
      </c>
    </row>
    <row r="947" ht="24" customHeight="1" s="63">
      <c r="E947" s="139" t="n"/>
      <c r="F947" s="139" t="n"/>
      <c r="G947" s="140">
        <f>IFERROR(IF(E947&gt;0,(F947/E947)*1000,""),"")</f>
        <v/>
      </c>
      <c r="H947" s="139">
        <f>IFERROR(IF(E947&gt;0,E947*IF(ISNUMBER(J947),J947,IF(C947="Futures",$C$6,$C$5)),""),"")</f>
        <v/>
      </c>
      <c r="I947" s="139">
        <f>IFERROR(IF(AND(ISNUMBER(F947),ISNUMBER(H947)),F947-H947,""),"")</f>
        <v/>
      </c>
      <c r="J947" s="114" t="n"/>
      <c r="K947" s="139">
        <f>IFERROR(IF(H947&gt;0,H947*$C$7,""),"")</f>
        <v/>
      </c>
      <c r="L947" s="139">
        <f>IFERROR(IF(ISNUMBER(F947),F947-IF(ISNUMBER(K947),K947,0),""),"")</f>
        <v/>
      </c>
    </row>
    <row r="948" ht="24" customHeight="1" s="63">
      <c r="E948" s="139" t="n"/>
      <c r="F948" s="139" t="n"/>
      <c r="G948" s="140">
        <f>IFERROR(IF(E948&gt;0,(F948/E948)*1000,""),"")</f>
        <v/>
      </c>
      <c r="H948" s="139">
        <f>IFERROR(IF(E948&gt;0,E948*IF(ISNUMBER(J948),J948,IF(C948="Futures",$C$6,$C$5)),""),"")</f>
        <v/>
      </c>
      <c r="I948" s="139">
        <f>IFERROR(IF(AND(ISNUMBER(F948),ISNUMBER(H948)),F948-H948,""),"")</f>
        <v/>
      </c>
      <c r="J948" s="114" t="n"/>
      <c r="K948" s="139">
        <f>IFERROR(IF(H948&gt;0,H948*$C$7,""),"")</f>
        <v/>
      </c>
      <c r="L948" s="139">
        <f>IFERROR(IF(ISNUMBER(F948),F948-IF(ISNUMBER(K948),K948,0),""),"")</f>
        <v/>
      </c>
    </row>
    <row r="949" ht="24" customHeight="1" s="63">
      <c r="E949" s="139" t="n"/>
      <c r="F949" s="139" t="n"/>
      <c r="G949" s="140">
        <f>IFERROR(IF(E949&gt;0,(F949/E949)*1000,""),"")</f>
        <v/>
      </c>
      <c r="H949" s="139">
        <f>IFERROR(IF(E949&gt;0,E949*IF(ISNUMBER(J949),J949,IF(C949="Futures",$C$6,$C$5)),""),"")</f>
        <v/>
      </c>
      <c r="I949" s="139">
        <f>IFERROR(IF(AND(ISNUMBER(F949),ISNUMBER(H949)),F949-H949,""),"")</f>
        <v/>
      </c>
      <c r="J949" s="114" t="n"/>
      <c r="K949" s="139">
        <f>IFERROR(IF(H949&gt;0,H949*$C$7,""),"")</f>
        <v/>
      </c>
      <c r="L949" s="139">
        <f>IFERROR(IF(ISNUMBER(F949),F949-IF(ISNUMBER(K949),K949,0),""),"")</f>
        <v/>
      </c>
    </row>
    <row r="950" ht="24" customHeight="1" s="63">
      <c r="E950" s="139" t="n"/>
      <c r="F950" s="139" t="n"/>
      <c r="G950" s="140">
        <f>IFERROR(IF(E950&gt;0,(F950/E950)*1000,""),"")</f>
        <v/>
      </c>
      <c r="H950" s="139">
        <f>IFERROR(IF(E950&gt;0,E950*IF(ISNUMBER(J950),J950,IF(C950="Futures",$C$6,$C$5)),""),"")</f>
        <v/>
      </c>
      <c r="I950" s="139">
        <f>IFERROR(IF(AND(ISNUMBER(F950),ISNUMBER(H950)),F950-H950,""),"")</f>
        <v/>
      </c>
      <c r="J950" s="114" t="n"/>
      <c r="K950" s="139">
        <f>IFERROR(IF(H950&gt;0,H950*$C$7,""),"")</f>
        <v/>
      </c>
      <c r="L950" s="139">
        <f>IFERROR(IF(ISNUMBER(F950),F950-IF(ISNUMBER(K950),K950,0),""),"")</f>
        <v/>
      </c>
    </row>
    <row r="951" ht="24" customHeight="1" s="63">
      <c r="E951" s="139" t="n"/>
      <c r="F951" s="139" t="n"/>
      <c r="G951" s="140">
        <f>IFERROR(IF(E951&gt;0,(F951/E951)*1000,""),"")</f>
        <v/>
      </c>
      <c r="H951" s="139">
        <f>IFERROR(IF(E951&gt;0,E951*IF(ISNUMBER(J951),J951,IF(C951="Futures",$C$6,$C$5)),""),"")</f>
        <v/>
      </c>
      <c r="I951" s="139">
        <f>IFERROR(IF(AND(ISNUMBER(F951),ISNUMBER(H951)),F951-H951,""),"")</f>
        <v/>
      </c>
      <c r="J951" s="114" t="n"/>
      <c r="K951" s="139">
        <f>IFERROR(IF(H951&gt;0,H951*$C$7,""),"")</f>
        <v/>
      </c>
      <c r="L951" s="139">
        <f>IFERROR(IF(ISNUMBER(F951),F951-IF(ISNUMBER(K951),K951,0),""),"")</f>
        <v/>
      </c>
    </row>
    <row r="952" ht="24" customHeight="1" s="63">
      <c r="E952" s="139" t="n"/>
      <c r="F952" s="139" t="n"/>
      <c r="G952" s="140">
        <f>IFERROR(IF(E952&gt;0,(F952/E952)*1000,""),"")</f>
        <v/>
      </c>
      <c r="H952" s="139">
        <f>IFERROR(IF(E952&gt;0,E952*IF(ISNUMBER(J952),J952,IF(C952="Futures",$C$6,$C$5)),""),"")</f>
        <v/>
      </c>
      <c r="I952" s="139">
        <f>IFERROR(IF(AND(ISNUMBER(F952),ISNUMBER(H952)),F952-H952,""),"")</f>
        <v/>
      </c>
      <c r="J952" s="114" t="n"/>
      <c r="K952" s="139">
        <f>IFERROR(IF(H952&gt;0,H952*$C$7,""),"")</f>
        <v/>
      </c>
      <c r="L952" s="139">
        <f>IFERROR(IF(ISNUMBER(F952),F952-IF(ISNUMBER(K952),K952,0),""),"")</f>
        <v/>
      </c>
    </row>
    <row r="953" ht="24" customHeight="1" s="63">
      <c r="E953" s="139" t="n"/>
      <c r="F953" s="139" t="n"/>
      <c r="G953" s="140">
        <f>IFERROR(IF(E953&gt;0,(F953/E953)*1000,""),"")</f>
        <v/>
      </c>
      <c r="H953" s="139">
        <f>IFERROR(IF(E953&gt;0,E953*IF(ISNUMBER(J953),J953,IF(C953="Futures",$C$6,$C$5)),""),"")</f>
        <v/>
      </c>
      <c r="I953" s="139">
        <f>IFERROR(IF(AND(ISNUMBER(F953),ISNUMBER(H953)),F953-H953,""),"")</f>
        <v/>
      </c>
      <c r="J953" s="114" t="n"/>
      <c r="K953" s="139">
        <f>IFERROR(IF(H953&gt;0,H953*$C$7,""),"")</f>
        <v/>
      </c>
      <c r="L953" s="139">
        <f>IFERROR(IF(ISNUMBER(F953),F953-IF(ISNUMBER(K953),K953,0),""),"")</f>
        <v/>
      </c>
    </row>
    <row r="954" ht="24" customHeight="1" s="63">
      <c r="E954" s="139" t="n"/>
      <c r="F954" s="139" t="n"/>
      <c r="G954" s="140">
        <f>IFERROR(IF(E954&gt;0,(F954/E954)*1000,""),"")</f>
        <v/>
      </c>
      <c r="H954" s="139">
        <f>IFERROR(IF(E954&gt;0,E954*IF(ISNUMBER(J954),J954,IF(C954="Futures",$C$6,$C$5)),""),"")</f>
        <v/>
      </c>
      <c r="I954" s="139">
        <f>IFERROR(IF(AND(ISNUMBER(F954),ISNUMBER(H954)),F954-H954,""),"")</f>
        <v/>
      </c>
      <c r="J954" s="114" t="n"/>
      <c r="K954" s="139">
        <f>IFERROR(IF(H954&gt;0,H954*$C$7,""),"")</f>
        <v/>
      </c>
      <c r="L954" s="139">
        <f>IFERROR(IF(ISNUMBER(F954),F954-IF(ISNUMBER(K954),K954,0),""),"")</f>
        <v/>
      </c>
    </row>
    <row r="955" ht="24" customHeight="1" s="63">
      <c r="E955" s="139" t="n"/>
      <c r="F955" s="139" t="n"/>
      <c r="G955" s="140">
        <f>IFERROR(IF(E955&gt;0,(F955/E955)*1000,""),"")</f>
        <v/>
      </c>
      <c r="H955" s="139">
        <f>IFERROR(IF(E955&gt;0,E955*IF(ISNUMBER(J955),J955,IF(C955="Futures",$C$6,$C$5)),""),"")</f>
        <v/>
      </c>
      <c r="I955" s="139">
        <f>IFERROR(IF(AND(ISNUMBER(F955),ISNUMBER(H955)),F955-H955,""),"")</f>
        <v/>
      </c>
      <c r="J955" s="114" t="n"/>
      <c r="K955" s="139">
        <f>IFERROR(IF(H955&gt;0,H955*$C$7,""),"")</f>
        <v/>
      </c>
      <c r="L955" s="139">
        <f>IFERROR(IF(ISNUMBER(F955),F955-IF(ISNUMBER(K955),K955,0),""),"")</f>
        <v/>
      </c>
    </row>
    <row r="956" ht="24" customHeight="1" s="63">
      <c r="E956" s="139" t="n"/>
      <c r="F956" s="139" t="n"/>
      <c r="G956" s="140">
        <f>IFERROR(IF(E956&gt;0,(F956/E956)*1000,""),"")</f>
        <v/>
      </c>
      <c r="H956" s="139">
        <f>IFERROR(IF(E956&gt;0,E956*IF(ISNUMBER(J956),J956,IF(C956="Futures",$C$6,$C$5)),""),"")</f>
        <v/>
      </c>
      <c r="I956" s="139">
        <f>IFERROR(IF(AND(ISNUMBER(F956),ISNUMBER(H956)),F956-H956,""),"")</f>
        <v/>
      </c>
      <c r="J956" s="114" t="n"/>
      <c r="K956" s="139">
        <f>IFERROR(IF(H956&gt;0,H956*$C$7,""),"")</f>
        <v/>
      </c>
      <c r="L956" s="139">
        <f>IFERROR(IF(ISNUMBER(F956),F956-IF(ISNUMBER(K956),K956,0),""),"")</f>
        <v/>
      </c>
    </row>
    <row r="957" ht="24" customHeight="1" s="63">
      <c r="E957" s="139" t="n"/>
      <c r="F957" s="139" t="n"/>
      <c r="G957" s="140">
        <f>IFERROR(IF(E957&gt;0,(F957/E957)*1000,""),"")</f>
        <v/>
      </c>
      <c r="H957" s="139">
        <f>IFERROR(IF(E957&gt;0,E957*IF(ISNUMBER(J957),J957,IF(C957="Futures",$C$6,$C$5)),""),"")</f>
        <v/>
      </c>
      <c r="I957" s="139">
        <f>IFERROR(IF(AND(ISNUMBER(F957),ISNUMBER(H957)),F957-H957,""),"")</f>
        <v/>
      </c>
      <c r="J957" s="114" t="n"/>
      <c r="K957" s="139">
        <f>IFERROR(IF(H957&gt;0,H957*$C$7,""),"")</f>
        <v/>
      </c>
      <c r="L957" s="139">
        <f>IFERROR(IF(ISNUMBER(F957),F957-IF(ISNUMBER(K957),K957,0),""),"")</f>
        <v/>
      </c>
    </row>
    <row r="958" ht="24" customHeight="1" s="63">
      <c r="E958" s="139" t="n"/>
      <c r="F958" s="139" t="n"/>
      <c r="G958" s="140">
        <f>IFERROR(IF(E958&gt;0,(F958/E958)*1000,""),"")</f>
        <v/>
      </c>
      <c r="H958" s="139">
        <f>IFERROR(IF(E958&gt;0,E958*IF(ISNUMBER(J958),J958,IF(C958="Futures",$C$6,$C$5)),""),"")</f>
        <v/>
      </c>
      <c r="I958" s="139">
        <f>IFERROR(IF(AND(ISNUMBER(F958),ISNUMBER(H958)),F958-H958,""),"")</f>
        <v/>
      </c>
      <c r="J958" s="114" t="n"/>
      <c r="K958" s="139">
        <f>IFERROR(IF(H958&gt;0,H958*$C$7,""),"")</f>
        <v/>
      </c>
      <c r="L958" s="139">
        <f>IFERROR(IF(ISNUMBER(F958),F958-IF(ISNUMBER(K958),K958,0),""),"")</f>
        <v/>
      </c>
    </row>
    <row r="959" ht="24" customHeight="1" s="63">
      <c r="E959" s="139" t="n"/>
      <c r="F959" s="139" t="n"/>
      <c r="G959" s="140">
        <f>IFERROR(IF(E959&gt;0,(F959/E959)*1000,""),"")</f>
        <v/>
      </c>
      <c r="H959" s="139">
        <f>IFERROR(IF(E959&gt;0,E959*IF(ISNUMBER(J959),J959,IF(C959="Futures",$C$6,$C$5)),""),"")</f>
        <v/>
      </c>
      <c r="I959" s="139">
        <f>IFERROR(IF(AND(ISNUMBER(F959),ISNUMBER(H959)),F959-H959,""),"")</f>
        <v/>
      </c>
      <c r="J959" s="114" t="n"/>
      <c r="K959" s="139">
        <f>IFERROR(IF(H959&gt;0,H959*$C$7,""),"")</f>
        <v/>
      </c>
      <c r="L959" s="139">
        <f>IFERROR(IF(ISNUMBER(F959),F959-IF(ISNUMBER(K959),K959,0),""),"")</f>
        <v/>
      </c>
    </row>
    <row r="960" ht="24" customHeight="1" s="63">
      <c r="E960" s="139" t="n"/>
      <c r="F960" s="139" t="n"/>
      <c r="G960" s="140">
        <f>IFERROR(IF(E960&gt;0,(F960/E960)*1000,""),"")</f>
        <v/>
      </c>
      <c r="H960" s="139">
        <f>IFERROR(IF(E960&gt;0,E960*IF(ISNUMBER(J960),J960,IF(C960="Futures",$C$6,$C$5)),""),"")</f>
        <v/>
      </c>
      <c r="I960" s="139">
        <f>IFERROR(IF(AND(ISNUMBER(F960),ISNUMBER(H960)),F960-H960,""),"")</f>
        <v/>
      </c>
      <c r="J960" s="114" t="n"/>
      <c r="K960" s="139">
        <f>IFERROR(IF(H960&gt;0,H960*$C$7,""),"")</f>
        <v/>
      </c>
      <c r="L960" s="139">
        <f>IFERROR(IF(ISNUMBER(F960),F960-IF(ISNUMBER(K960),K960,0),""),"")</f>
        <v/>
      </c>
    </row>
    <row r="961" ht="24" customHeight="1" s="63">
      <c r="E961" s="139" t="n"/>
      <c r="F961" s="139" t="n"/>
      <c r="G961" s="140">
        <f>IFERROR(IF(E961&gt;0,(F961/E961)*1000,""),"")</f>
        <v/>
      </c>
      <c r="H961" s="139">
        <f>IFERROR(IF(E961&gt;0,E961*IF(ISNUMBER(J961),J961,IF(C961="Futures",$C$6,$C$5)),""),"")</f>
        <v/>
      </c>
      <c r="I961" s="139">
        <f>IFERROR(IF(AND(ISNUMBER(F961),ISNUMBER(H961)),F961-H961,""),"")</f>
        <v/>
      </c>
      <c r="J961" s="114" t="n"/>
      <c r="K961" s="139">
        <f>IFERROR(IF(H961&gt;0,H961*$C$7,""),"")</f>
        <v/>
      </c>
      <c r="L961" s="139">
        <f>IFERROR(IF(ISNUMBER(F961),F961-IF(ISNUMBER(K961),K961,0),""),"")</f>
        <v/>
      </c>
    </row>
    <row r="962" ht="24" customHeight="1" s="63">
      <c r="E962" s="139" t="n"/>
      <c r="F962" s="139" t="n"/>
      <c r="G962" s="140">
        <f>IFERROR(IF(E962&gt;0,(F962/E962)*1000,""),"")</f>
        <v/>
      </c>
      <c r="H962" s="139">
        <f>IFERROR(IF(E962&gt;0,E962*IF(ISNUMBER(J962),J962,IF(C962="Futures",$C$6,$C$5)),""),"")</f>
        <v/>
      </c>
      <c r="I962" s="139">
        <f>IFERROR(IF(AND(ISNUMBER(F962),ISNUMBER(H962)),F962-H962,""),"")</f>
        <v/>
      </c>
      <c r="J962" s="114" t="n"/>
      <c r="K962" s="139">
        <f>IFERROR(IF(H962&gt;0,H962*$C$7,""),"")</f>
        <v/>
      </c>
      <c r="L962" s="139">
        <f>IFERROR(IF(ISNUMBER(F962),F962-IF(ISNUMBER(K962),K962,0),""),"")</f>
        <v/>
      </c>
    </row>
    <row r="963" ht="24" customHeight="1" s="63">
      <c r="E963" s="139" t="n"/>
      <c r="F963" s="139" t="n"/>
      <c r="G963" s="140">
        <f>IFERROR(IF(E963&gt;0,(F963/E963)*1000,""),"")</f>
        <v/>
      </c>
      <c r="H963" s="139">
        <f>IFERROR(IF(E963&gt;0,E963*IF(ISNUMBER(J963),J963,IF(C963="Futures",$C$6,$C$5)),""),"")</f>
        <v/>
      </c>
      <c r="I963" s="139">
        <f>IFERROR(IF(AND(ISNUMBER(F963),ISNUMBER(H963)),F963-H963,""),"")</f>
        <v/>
      </c>
      <c r="J963" s="114" t="n"/>
      <c r="K963" s="139">
        <f>IFERROR(IF(H963&gt;0,H963*$C$7,""),"")</f>
        <v/>
      </c>
      <c r="L963" s="139">
        <f>IFERROR(IF(ISNUMBER(F963),F963-IF(ISNUMBER(K963),K963,0),""),"")</f>
        <v/>
      </c>
    </row>
    <row r="964" ht="24" customHeight="1" s="63">
      <c r="E964" s="139" t="n"/>
      <c r="F964" s="139" t="n"/>
      <c r="G964" s="140">
        <f>IFERROR(IF(E964&gt;0,(F964/E964)*1000,""),"")</f>
        <v/>
      </c>
      <c r="H964" s="139">
        <f>IFERROR(IF(E964&gt;0,E964*IF(ISNUMBER(J964),J964,IF(C964="Futures",$C$6,$C$5)),""),"")</f>
        <v/>
      </c>
      <c r="I964" s="139">
        <f>IFERROR(IF(AND(ISNUMBER(F964),ISNUMBER(H964)),F964-H964,""),"")</f>
        <v/>
      </c>
      <c r="J964" s="114" t="n"/>
      <c r="K964" s="139">
        <f>IFERROR(IF(H964&gt;0,H964*$C$7,""),"")</f>
        <v/>
      </c>
      <c r="L964" s="139">
        <f>IFERROR(IF(ISNUMBER(F964),F964-IF(ISNUMBER(K964),K964,0),""),"")</f>
        <v/>
      </c>
    </row>
    <row r="965" ht="24" customHeight="1" s="63">
      <c r="E965" s="139" t="n"/>
      <c r="F965" s="139" t="n"/>
      <c r="G965" s="140">
        <f>IFERROR(IF(E965&gt;0,(F965/E965)*1000,""),"")</f>
        <v/>
      </c>
      <c r="H965" s="139">
        <f>IFERROR(IF(E965&gt;0,E965*IF(ISNUMBER(J965),J965,IF(C965="Futures",$C$6,$C$5)),""),"")</f>
        <v/>
      </c>
      <c r="I965" s="139">
        <f>IFERROR(IF(AND(ISNUMBER(F965),ISNUMBER(H965)),F965-H965,""),"")</f>
        <v/>
      </c>
      <c r="J965" s="114" t="n"/>
      <c r="K965" s="139">
        <f>IFERROR(IF(H965&gt;0,H965*$C$7,""),"")</f>
        <v/>
      </c>
      <c r="L965" s="139">
        <f>IFERROR(IF(ISNUMBER(F965),F965-IF(ISNUMBER(K965),K965,0),""),"")</f>
        <v/>
      </c>
    </row>
    <row r="966" ht="24" customHeight="1" s="63">
      <c r="E966" s="139" t="n"/>
      <c r="F966" s="139" t="n"/>
      <c r="G966" s="140">
        <f>IFERROR(IF(E966&gt;0,(F966/E966)*1000,""),"")</f>
        <v/>
      </c>
      <c r="H966" s="139">
        <f>IFERROR(IF(E966&gt;0,E966*IF(ISNUMBER(J966),J966,IF(C966="Futures",$C$6,$C$5)),""),"")</f>
        <v/>
      </c>
      <c r="I966" s="139">
        <f>IFERROR(IF(AND(ISNUMBER(F966),ISNUMBER(H966)),F966-H966,""),"")</f>
        <v/>
      </c>
      <c r="J966" s="114" t="n"/>
      <c r="K966" s="139">
        <f>IFERROR(IF(H966&gt;0,H966*$C$7,""),"")</f>
        <v/>
      </c>
      <c r="L966" s="139">
        <f>IFERROR(IF(ISNUMBER(F966),F966-IF(ISNUMBER(K966),K966,0),""),"")</f>
        <v/>
      </c>
    </row>
    <row r="967" ht="24" customHeight="1" s="63">
      <c r="E967" s="139" t="n"/>
      <c r="F967" s="139" t="n"/>
      <c r="G967" s="140">
        <f>IFERROR(IF(E967&gt;0,(F967/E967)*1000,""),"")</f>
        <v/>
      </c>
      <c r="H967" s="139">
        <f>IFERROR(IF(E967&gt;0,E967*IF(ISNUMBER(J967),J967,IF(C967="Futures",$C$6,$C$5)),""),"")</f>
        <v/>
      </c>
      <c r="I967" s="139">
        <f>IFERROR(IF(AND(ISNUMBER(F967),ISNUMBER(H967)),F967-H967,""),"")</f>
        <v/>
      </c>
      <c r="J967" s="114" t="n"/>
      <c r="K967" s="139">
        <f>IFERROR(IF(H967&gt;0,H967*$C$7,""),"")</f>
        <v/>
      </c>
      <c r="L967" s="139">
        <f>IFERROR(IF(ISNUMBER(F967),F967-IF(ISNUMBER(K967),K967,0),""),"")</f>
        <v/>
      </c>
    </row>
    <row r="968" ht="24" customHeight="1" s="63">
      <c r="E968" s="139" t="n"/>
      <c r="F968" s="139" t="n"/>
      <c r="G968" s="140">
        <f>IFERROR(IF(E968&gt;0,(F968/E968)*1000,""),"")</f>
        <v/>
      </c>
      <c r="H968" s="139">
        <f>IFERROR(IF(E968&gt;0,E968*IF(ISNUMBER(J968),J968,IF(C968="Futures",$C$6,$C$5)),""),"")</f>
        <v/>
      </c>
      <c r="I968" s="139">
        <f>IFERROR(IF(AND(ISNUMBER(F968),ISNUMBER(H968)),F968-H968,""),"")</f>
        <v/>
      </c>
      <c r="J968" s="114" t="n"/>
      <c r="K968" s="139">
        <f>IFERROR(IF(H968&gt;0,H968*$C$7,""),"")</f>
        <v/>
      </c>
      <c r="L968" s="139">
        <f>IFERROR(IF(ISNUMBER(F968),F968-IF(ISNUMBER(K968),K968,0),""),"")</f>
        <v/>
      </c>
    </row>
    <row r="969" ht="24" customHeight="1" s="63">
      <c r="E969" s="139" t="n"/>
      <c r="F969" s="139" t="n"/>
      <c r="G969" s="140">
        <f>IFERROR(IF(E969&gt;0,(F969/E969)*1000,""),"")</f>
        <v/>
      </c>
      <c r="H969" s="139">
        <f>IFERROR(IF(E969&gt;0,E969*IF(ISNUMBER(J969),J969,IF(C969="Futures",$C$6,$C$5)),""),"")</f>
        <v/>
      </c>
      <c r="I969" s="139">
        <f>IFERROR(IF(AND(ISNUMBER(F969),ISNUMBER(H969)),F969-H969,""),"")</f>
        <v/>
      </c>
      <c r="J969" s="114" t="n"/>
      <c r="K969" s="139">
        <f>IFERROR(IF(H969&gt;0,H969*$C$7,""),"")</f>
        <v/>
      </c>
      <c r="L969" s="139">
        <f>IFERROR(IF(ISNUMBER(F969),F969-IF(ISNUMBER(K969),K969,0),""),"")</f>
        <v/>
      </c>
    </row>
    <row r="970" ht="24" customHeight="1" s="63">
      <c r="E970" s="139" t="n"/>
      <c r="F970" s="139" t="n"/>
      <c r="G970" s="140">
        <f>IFERROR(IF(E970&gt;0,(F970/E970)*1000,""),"")</f>
        <v/>
      </c>
      <c r="H970" s="139">
        <f>IFERROR(IF(E970&gt;0,E970*IF(ISNUMBER(J970),J970,IF(C970="Futures",$C$6,$C$5)),""),"")</f>
        <v/>
      </c>
      <c r="I970" s="139">
        <f>IFERROR(IF(AND(ISNUMBER(F970),ISNUMBER(H970)),F970-H970,""),"")</f>
        <v/>
      </c>
      <c r="J970" s="114" t="n"/>
      <c r="K970" s="139">
        <f>IFERROR(IF(H970&gt;0,H970*$C$7,""),"")</f>
        <v/>
      </c>
      <c r="L970" s="139">
        <f>IFERROR(IF(ISNUMBER(F970),F970-IF(ISNUMBER(K970),K970,0),""),"")</f>
        <v/>
      </c>
    </row>
    <row r="971" ht="24" customHeight="1" s="63">
      <c r="E971" s="139" t="n"/>
      <c r="F971" s="139" t="n"/>
      <c r="G971" s="140">
        <f>IFERROR(IF(E971&gt;0,(F971/E971)*1000,""),"")</f>
        <v/>
      </c>
      <c r="H971" s="139">
        <f>IFERROR(IF(E971&gt;0,E971*IF(ISNUMBER(J971),J971,IF(C971="Futures",$C$6,$C$5)),""),"")</f>
        <v/>
      </c>
      <c r="I971" s="139">
        <f>IFERROR(IF(AND(ISNUMBER(F971),ISNUMBER(H971)),F971-H971,""),"")</f>
        <v/>
      </c>
      <c r="J971" s="114" t="n"/>
      <c r="K971" s="139">
        <f>IFERROR(IF(H971&gt;0,H971*$C$7,""),"")</f>
        <v/>
      </c>
      <c r="L971" s="139">
        <f>IFERROR(IF(ISNUMBER(F971),F971-IF(ISNUMBER(K971),K971,0),""),"")</f>
        <v/>
      </c>
    </row>
    <row r="972" ht="24" customHeight="1" s="63">
      <c r="E972" s="139" t="n"/>
      <c r="F972" s="139" t="n"/>
      <c r="G972" s="140">
        <f>IFERROR(IF(E972&gt;0,(F972/E972)*1000,""),"")</f>
        <v/>
      </c>
      <c r="H972" s="139">
        <f>IFERROR(IF(E972&gt;0,E972*IF(ISNUMBER(J972),J972,IF(C972="Futures",$C$6,$C$5)),""),"")</f>
        <v/>
      </c>
      <c r="I972" s="139">
        <f>IFERROR(IF(AND(ISNUMBER(F972),ISNUMBER(H972)),F972-H972,""),"")</f>
        <v/>
      </c>
      <c r="J972" s="114" t="n"/>
      <c r="K972" s="139">
        <f>IFERROR(IF(H972&gt;0,H972*$C$7,""),"")</f>
        <v/>
      </c>
      <c r="L972" s="139">
        <f>IFERROR(IF(ISNUMBER(F972),F972-IF(ISNUMBER(K972),K972,0),""),"")</f>
        <v/>
      </c>
    </row>
    <row r="973" ht="24" customHeight="1" s="63">
      <c r="E973" s="139" t="n"/>
      <c r="F973" s="139" t="n"/>
      <c r="G973" s="140">
        <f>IFERROR(IF(E973&gt;0,(F973/E973)*1000,""),"")</f>
        <v/>
      </c>
      <c r="H973" s="139">
        <f>IFERROR(IF(E973&gt;0,E973*IF(ISNUMBER(J973),J973,IF(C973="Futures",$C$6,$C$5)),""),"")</f>
        <v/>
      </c>
      <c r="I973" s="139">
        <f>IFERROR(IF(AND(ISNUMBER(F973),ISNUMBER(H973)),F973-H973,""),"")</f>
        <v/>
      </c>
      <c r="J973" s="114" t="n"/>
      <c r="K973" s="139">
        <f>IFERROR(IF(H973&gt;0,H973*$C$7,""),"")</f>
        <v/>
      </c>
      <c r="L973" s="139">
        <f>IFERROR(IF(ISNUMBER(F973),F973-IF(ISNUMBER(K973),K973,0),""),"")</f>
        <v/>
      </c>
    </row>
    <row r="974" ht="24" customHeight="1" s="63">
      <c r="E974" s="139" t="n"/>
      <c r="F974" s="139" t="n"/>
      <c r="G974" s="140">
        <f>IFERROR(IF(E974&gt;0,(F974/E974)*1000,""),"")</f>
        <v/>
      </c>
      <c r="H974" s="139">
        <f>IFERROR(IF(E974&gt;0,E974*IF(ISNUMBER(J974),J974,IF(C974="Futures",$C$6,$C$5)),""),"")</f>
        <v/>
      </c>
      <c r="I974" s="139">
        <f>IFERROR(IF(AND(ISNUMBER(F974),ISNUMBER(H974)),F974-H974,""),"")</f>
        <v/>
      </c>
      <c r="J974" s="114" t="n"/>
      <c r="K974" s="139">
        <f>IFERROR(IF(H974&gt;0,H974*$C$7,""),"")</f>
        <v/>
      </c>
      <c r="L974" s="139">
        <f>IFERROR(IF(ISNUMBER(F974),F974-IF(ISNUMBER(K974),K974,0),""),"")</f>
        <v/>
      </c>
    </row>
    <row r="975" ht="24" customHeight="1" s="63">
      <c r="E975" s="139" t="n"/>
      <c r="F975" s="139" t="n"/>
      <c r="G975" s="140">
        <f>IFERROR(IF(E975&gt;0,(F975/E975)*1000,""),"")</f>
        <v/>
      </c>
      <c r="H975" s="139">
        <f>IFERROR(IF(E975&gt;0,E975*IF(ISNUMBER(J975),J975,IF(C975="Futures",$C$6,$C$5)),""),"")</f>
        <v/>
      </c>
      <c r="I975" s="139">
        <f>IFERROR(IF(AND(ISNUMBER(F975),ISNUMBER(H975)),F975-H975,""),"")</f>
        <v/>
      </c>
      <c r="J975" s="114" t="n"/>
      <c r="K975" s="139">
        <f>IFERROR(IF(H975&gt;0,H975*$C$7,""),"")</f>
        <v/>
      </c>
      <c r="L975" s="139">
        <f>IFERROR(IF(ISNUMBER(F975),F975-IF(ISNUMBER(K975),K975,0),""),"")</f>
        <v/>
      </c>
    </row>
    <row r="976" ht="24" customHeight="1" s="63">
      <c r="E976" s="139" t="n"/>
      <c r="F976" s="139" t="n"/>
      <c r="G976" s="140">
        <f>IFERROR(IF(E976&gt;0,(F976/E976)*1000,""),"")</f>
        <v/>
      </c>
      <c r="H976" s="139">
        <f>IFERROR(IF(E976&gt;0,E976*IF(ISNUMBER(J976),J976,IF(C976="Futures",$C$6,$C$5)),""),"")</f>
        <v/>
      </c>
      <c r="I976" s="139">
        <f>IFERROR(IF(AND(ISNUMBER(F976),ISNUMBER(H976)),F976-H976,""),"")</f>
        <v/>
      </c>
      <c r="J976" s="114" t="n"/>
      <c r="K976" s="139">
        <f>IFERROR(IF(H976&gt;0,H976*$C$7,""),"")</f>
        <v/>
      </c>
      <c r="L976" s="139">
        <f>IFERROR(IF(ISNUMBER(F976),F976-IF(ISNUMBER(K976),K976,0),""),"")</f>
        <v/>
      </c>
    </row>
    <row r="977" ht="24" customHeight="1" s="63">
      <c r="E977" s="139" t="n"/>
      <c r="F977" s="139" t="n"/>
      <c r="G977" s="140">
        <f>IFERROR(IF(E977&gt;0,(F977/E977)*1000,""),"")</f>
        <v/>
      </c>
      <c r="H977" s="139">
        <f>IFERROR(IF(E977&gt;0,E977*IF(ISNUMBER(J977),J977,IF(C977="Futures",$C$6,$C$5)),""),"")</f>
        <v/>
      </c>
      <c r="I977" s="139">
        <f>IFERROR(IF(AND(ISNUMBER(F977),ISNUMBER(H977)),F977-H977,""),"")</f>
        <v/>
      </c>
      <c r="J977" s="114" t="n"/>
      <c r="K977" s="139">
        <f>IFERROR(IF(H977&gt;0,H977*$C$7,""),"")</f>
        <v/>
      </c>
      <c r="L977" s="139">
        <f>IFERROR(IF(ISNUMBER(F977),F977-IF(ISNUMBER(K977),K977,0),""),"")</f>
        <v/>
      </c>
    </row>
    <row r="978" ht="24" customHeight="1" s="63">
      <c r="E978" s="139" t="n"/>
      <c r="F978" s="139" t="n"/>
      <c r="G978" s="140">
        <f>IFERROR(IF(E978&gt;0,(F978/E978)*1000,""),"")</f>
        <v/>
      </c>
      <c r="H978" s="139">
        <f>IFERROR(IF(E978&gt;0,E978*IF(ISNUMBER(J978),J978,IF(C978="Futures",$C$6,$C$5)),""),"")</f>
        <v/>
      </c>
      <c r="I978" s="139">
        <f>IFERROR(IF(AND(ISNUMBER(F978),ISNUMBER(H978)),F978-H978,""),"")</f>
        <v/>
      </c>
      <c r="J978" s="114" t="n"/>
      <c r="K978" s="139">
        <f>IFERROR(IF(H978&gt;0,H978*$C$7,""),"")</f>
        <v/>
      </c>
      <c r="L978" s="139">
        <f>IFERROR(IF(ISNUMBER(F978),F978-IF(ISNUMBER(K978),K978,0),""),"")</f>
        <v/>
      </c>
    </row>
    <row r="979" ht="24" customHeight="1" s="63">
      <c r="E979" s="139" t="n"/>
      <c r="F979" s="139" t="n"/>
      <c r="G979" s="140">
        <f>IFERROR(IF(E979&gt;0,(F979/E979)*1000,""),"")</f>
        <v/>
      </c>
      <c r="H979" s="139">
        <f>IFERROR(IF(E979&gt;0,E979*IF(ISNUMBER(J979),J979,IF(C979="Futures",$C$6,$C$5)),""),"")</f>
        <v/>
      </c>
      <c r="I979" s="139">
        <f>IFERROR(IF(AND(ISNUMBER(F979),ISNUMBER(H979)),F979-H979,""),"")</f>
        <v/>
      </c>
      <c r="J979" s="114" t="n"/>
      <c r="K979" s="139">
        <f>IFERROR(IF(H979&gt;0,H979*$C$7,""),"")</f>
        <v/>
      </c>
      <c r="L979" s="139">
        <f>IFERROR(IF(ISNUMBER(F979),F979-IF(ISNUMBER(K979),K979,0),""),"")</f>
        <v/>
      </c>
    </row>
    <row r="980" ht="24" customHeight="1" s="63">
      <c r="E980" s="139" t="n"/>
      <c r="F980" s="139" t="n"/>
      <c r="G980" s="140">
        <f>IFERROR(IF(E980&gt;0,(F980/E980)*1000,""),"")</f>
        <v/>
      </c>
      <c r="H980" s="139">
        <f>IFERROR(IF(E980&gt;0,E980*IF(ISNUMBER(J980),J980,IF(C980="Futures",$C$6,$C$5)),""),"")</f>
        <v/>
      </c>
      <c r="I980" s="139">
        <f>IFERROR(IF(AND(ISNUMBER(F980),ISNUMBER(H980)),F980-H980,""),"")</f>
        <v/>
      </c>
      <c r="J980" s="114" t="n"/>
      <c r="K980" s="139">
        <f>IFERROR(IF(H980&gt;0,H980*$C$7,""),"")</f>
        <v/>
      </c>
      <c r="L980" s="139">
        <f>IFERROR(IF(ISNUMBER(F980),F980-IF(ISNUMBER(K980),K980,0),""),"")</f>
        <v/>
      </c>
    </row>
    <row r="981" ht="24" customHeight="1" s="63">
      <c r="E981" s="139" t="n"/>
      <c r="F981" s="139" t="n"/>
      <c r="G981" s="140">
        <f>IFERROR(IF(E981&gt;0,(F981/E981)*1000,""),"")</f>
        <v/>
      </c>
      <c r="H981" s="139">
        <f>IFERROR(IF(E981&gt;0,E981*IF(ISNUMBER(J981),J981,IF(C981="Futures",$C$6,$C$5)),""),"")</f>
        <v/>
      </c>
      <c r="I981" s="139">
        <f>IFERROR(IF(AND(ISNUMBER(F981),ISNUMBER(H981)),F981-H981,""),"")</f>
        <v/>
      </c>
      <c r="J981" s="114" t="n"/>
      <c r="K981" s="139">
        <f>IFERROR(IF(H981&gt;0,H981*$C$7,""),"")</f>
        <v/>
      </c>
      <c r="L981" s="139">
        <f>IFERROR(IF(ISNUMBER(F981),F981-IF(ISNUMBER(K981),K981,0),""),"")</f>
        <v/>
      </c>
    </row>
    <row r="982" ht="24" customHeight="1" s="63">
      <c r="E982" s="139" t="n"/>
      <c r="F982" s="139" t="n"/>
      <c r="G982" s="140">
        <f>IFERROR(IF(E982&gt;0,(F982/E982)*1000,""),"")</f>
        <v/>
      </c>
      <c r="H982" s="139">
        <f>IFERROR(IF(E982&gt;0,E982*IF(ISNUMBER(J982),J982,IF(C982="Futures",$C$6,$C$5)),""),"")</f>
        <v/>
      </c>
      <c r="I982" s="139">
        <f>IFERROR(IF(AND(ISNUMBER(F982),ISNUMBER(H982)),F982-H982,""),"")</f>
        <v/>
      </c>
      <c r="J982" s="114" t="n"/>
      <c r="K982" s="139">
        <f>IFERROR(IF(H982&gt;0,H982*$C$7,""),"")</f>
        <v/>
      </c>
      <c r="L982" s="139">
        <f>IFERROR(IF(ISNUMBER(F982),F982-IF(ISNUMBER(K982),K982,0),""),"")</f>
        <v/>
      </c>
    </row>
    <row r="983" ht="24" customHeight="1" s="63">
      <c r="E983" s="139" t="n"/>
      <c r="F983" s="139" t="n"/>
      <c r="G983" s="140">
        <f>IFERROR(IF(E983&gt;0,(F983/E983)*1000,""),"")</f>
        <v/>
      </c>
      <c r="H983" s="139">
        <f>IFERROR(IF(E983&gt;0,E983*IF(ISNUMBER(J983),J983,IF(C983="Futures",$C$6,$C$5)),""),"")</f>
        <v/>
      </c>
      <c r="I983" s="139">
        <f>IFERROR(IF(AND(ISNUMBER(F983),ISNUMBER(H983)),F983-H983,""),"")</f>
        <v/>
      </c>
      <c r="J983" s="114" t="n"/>
      <c r="K983" s="139">
        <f>IFERROR(IF(H983&gt;0,H983*$C$7,""),"")</f>
        <v/>
      </c>
      <c r="L983" s="139">
        <f>IFERROR(IF(ISNUMBER(F983),F983-IF(ISNUMBER(K983),K983,0),""),"")</f>
        <v/>
      </c>
    </row>
    <row r="984" ht="24" customHeight="1" s="63">
      <c r="E984" s="139" t="n"/>
      <c r="F984" s="139" t="n"/>
      <c r="G984" s="140">
        <f>IFERROR(IF(E984&gt;0,(F984/E984)*1000,""),"")</f>
        <v/>
      </c>
      <c r="H984" s="139">
        <f>IFERROR(IF(E984&gt;0,E984*IF(ISNUMBER(J984),J984,IF(C984="Futures",$C$6,$C$5)),""),"")</f>
        <v/>
      </c>
      <c r="I984" s="139">
        <f>IFERROR(IF(AND(ISNUMBER(F984),ISNUMBER(H984)),F984-H984,""),"")</f>
        <v/>
      </c>
      <c r="J984" s="114" t="n"/>
      <c r="K984" s="139">
        <f>IFERROR(IF(H984&gt;0,H984*$C$7,""),"")</f>
        <v/>
      </c>
      <c r="L984" s="139">
        <f>IFERROR(IF(ISNUMBER(F984),F984-IF(ISNUMBER(K984),K984,0),""),"")</f>
        <v/>
      </c>
    </row>
    <row r="985" ht="24" customHeight="1" s="63">
      <c r="E985" s="139" t="n"/>
      <c r="F985" s="139" t="n"/>
      <c r="G985" s="140">
        <f>IFERROR(IF(E985&gt;0,(F985/E985)*1000,""),"")</f>
        <v/>
      </c>
      <c r="H985" s="139">
        <f>IFERROR(IF(E985&gt;0,E985*IF(ISNUMBER(J985),J985,IF(C985="Futures",$C$6,$C$5)),""),"")</f>
        <v/>
      </c>
      <c r="I985" s="139">
        <f>IFERROR(IF(AND(ISNUMBER(F985),ISNUMBER(H985)),F985-H985,""),"")</f>
        <v/>
      </c>
      <c r="J985" s="114" t="n"/>
      <c r="K985" s="139">
        <f>IFERROR(IF(H985&gt;0,H985*$C$7,""),"")</f>
        <v/>
      </c>
      <c r="L985" s="139">
        <f>IFERROR(IF(ISNUMBER(F985),F985-IF(ISNUMBER(K985),K985,0),""),"")</f>
        <v/>
      </c>
    </row>
    <row r="986" ht="24" customHeight="1" s="63">
      <c r="E986" s="139" t="n"/>
      <c r="F986" s="139" t="n"/>
      <c r="G986" s="140">
        <f>IFERROR(IF(E986&gt;0,(F986/E986)*1000,""),"")</f>
        <v/>
      </c>
      <c r="H986" s="139">
        <f>IFERROR(IF(E986&gt;0,E986*IF(ISNUMBER(J986),J986,IF(C986="Futures",$C$6,$C$5)),""),"")</f>
        <v/>
      </c>
      <c r="I986" s="139">
        <f>IFERROR(IF(AND(ISNUMBER(F986),ISNUMBER(H986)),F986-H986,""),"")</f>
        <v/>
      </c>
      <c r="J986" s="114" t="n"/>
      <c r="K986" s="139">
        <f>IFERROR(IF(H986&gt;0,H986*$C$7,""),"")</f>
        <v/>
      </c>
      <c r="L986" s="139">
        <f>IFERROR(IF(ISNUMBER(F986),F986-IF(ISNUMBER(K986),K986,0),""),"")</f>
        <v/>
      </c>
    </row>
    <row r="987" ht="24" customHeight="1" s="63">
      <c r="E987" s="139" t="n"/>
      <c r="F987" s="139" t="n"/>
      <c r="G987" s="140">
        <f>IFERROR(IF(E987&gt;0,(F987/E987)*1000,""),"")</f>
        <v/>
      </c>
      <c r="H987" s="139">
        <f>IFERROR(IF(E987&gt;0,E987*IF(ISNUMBER(J987),J987,IF(C987="Futures",$C$6,$C$5)),""),"")</f>
        <v/>
      </c>
      <c r="I987" s="139">
        <f>IFERROR(IF(AND(ISNUMBER(F987),ISNUMBER(H987)),F987-H987,""),"")</f>
        <v/>
      </c>
      <c r="J987" s="114" t="n"/>
      <c r="K987" s="139">
        <f>IFERROR(IF(H987&gt;0,H987*$C$7,""),"")</f>
        <v/>
      </c>
      <c r="L987" s="139">
        <f>IFERROR(IF(ISNUMBER(F987),F987-IF(ISNUMBER(K987),K987,0),""),"")</f>
        <v/>
      </c>
    </row>
    <row r="988" ht="24" customHeight="1" s="63">
      <c r="E988" s="139" t="n"/>
      <c r="F988" s="139" t="n"/>
      <c r="G988" s="140">
        <f>IFERROR(IF(E988&gt;0,(F988/E988)*1000,""),"")</f>
        <v/>
      </c>
      <c r="H988" s="139">
        <f>IFERROR(IF(E988&gt;0,E988*IF(ISNUMBER(J988),J988,IF(C988="Futures",$C$6,$C$5)),""),"")</f>
        <v/>
      </c>
      <c r="I988" s="139">
        <f>IFERROR(IF(AND(ISNUMBER(F988),ISNUMBER(H988)),F988-H988,""),"")</f>
        <v/>
      </c>
      <c r="J988" s="114" t="n"/>
      <c r="K988" s="139">
        <f>IFERROR(IF(H988&gt;0,H988*$C$7,""),"")</f>
        <v/>
      </c>
      <c r="L988" s="139">
        <f>IFERROR(IF(ISNUMBER(F988),F988-IF(ISNUMBER(K988),K988,0),""),"")</f>
        <v/>
      </c>
    </row>
    <row r="989" ht="24" customHeight="1" s="63">
      <c r="E989" s="139" t="n"/>
      <c r="F989" s="139" t="n"/>
      <c r="G989" s="140">
        <f>IFERROR(IF(E989&gt;0,(F989/E989)*1000,""),"")</f>
        <v/>
      </c>
      <c r="H989" s="139">
        <f>IFERROR(IF(E989&gt;0,E989*IF(ISNUMBER(J989),J989,IF(C989="Futures",$C$6,$C$5)),""),"")</f>
        <v/>
      </c>
      <c r="I989" s="139">
        <f>IFERROR(IF(AND(ISNUMBER(F989),ISNUMBER(H989)),F989-H989,""),"")</f>
        <v/>
      </c>
      <c r="J989" s="114" t="n"/>
      <c r="K989" s="139">
        <f>IFERROR(IF(H989&gt;0,H989*$C$7,""),"")</f>
        <v/>
      </c>
      <c r="L989" s="139">
        <f>IFERROR(IF(ISNUMBER(F989),F989-IF(ISNUMBER(K989),K989,0),""),"")</f>
        <v/>
      </c>
    </row>
    <row r="990" ht="24" customHeight="1" s="63">
      <c r="E990" s="139" t="n"/>
      <c r="F990" s="139" t="n"/>
      <c r="G990" s="140">
        <f>IFERROR(IF(E990&gt;0,(F990/E990)*1000,""),"")</f>
        <v/>
      </c>
      <c r="H990" s="139">
        <f>IFERROR(IF(E990&gt;0,E990*IF(ISNUMBER(J990),J990,IF(C990="Futures",$C$6,$C$5)),""),"")</f>
        <v/>
      </c>
      <c r="I990" s="139">
        <f>IFERROR(IF(AND(ISNUMBER(F990),ISNUMBER(H990)),F990-H990,""),"")</f>
        <v/>
      </c>
      <c r="J990" s="114" t="n"/>
      <c r="K990" s="139">
        <f>IFERROR(IF(H990&gt;0,H990*$C$7,""),"")</f>
        <v/>
      </c>
      <c r="L990" s="139">
        <f>IFERROR(IF(ISNUMBER(F990),F990-IF(ISNUMBER(K990),K990,0),""),"")</f>
        <v/>
      </c>
    </row>
    <row r="991" ht="24" customHeight="1" s="63">
      <c r="E991" s="139" t="n"/>
      <c r="F991" s="139" t="n"/>
      <c r="G991" s="140">
        <f>IFERROR(IF(E991&gt;0,(F991/E991)*1000,""),"")</f>
        <v/>
      </c>
      <c r="H991" s="139">
        <f>IFERROR(IF(E991&gt;0,E991*IF(ISNUMBER(J991),J991,IF(C991="Futures",$C$6,$C$5)),""),"")</f>
        <v/>
      </c>
      <c r="I991" s="139">
        <f>IFERROR(IF(AND(ISNUMBER(F991),ISNUMBER(H991)),F991-H991,""),"")</f>
        <v/>
      </c>
      <c r="J991" s="114" t="n"/>
      <c r="K991" s="139">
        <f>IFERROR(IF(H991&gt;0,H991*$C$7,""),"")</f>
        <v/>
      </c>
      <c r="L991" s="139">
        <f>IFERROR(IF(ISNUMBER(F991),F991-IF(ISNUMBER(K991),K991,0),""),"")</f>
        <v/>
      </c>
    </row>
    <row r="992" ht="24" customHeight="1" s="63">
      <c r="E992" s="139" t="n"/>
      <c r="F992" s="139" t="n"/>
      <c r="G992" s="140">
        <f>IFERROR(IF(E992&gt;0,(F992/E992)*1000,""),"")</f>
        <v/>
      </c>
      <c r="H992" s="139">
        <f>IFERROR(IF(E992&gt;0,E992*IF(ISNUMBER(J992),J992,IF(C992="Futures",$C$6,$C$5)),""),"")</f>
        <v/>
      </c>
      <c r="I992" s="139">
        <f>IFERROR(IF(AND(ISNUMBER(F992),ISNUMBER(H992)),F992-H992,""),"")</f>
        <v/>
      </c>
      <c r="J992" s="114" t="n"/>
      <c r="K992" s="139">
        <f>IFERROR(IF(H992&gt;0,H992*$C$7,""),"")</f>
        <v/>
      </c>
      <c r="L992" s="139">
        <f>IFERROR(IF(ISNUMBER(F992),F992-IF(ISNUMBER(K992),K992,0),""),"")</f>
        <v/>
      </c>
    </row>
    <row r="993" ht="24" customHeight="1" s="63">
      <c r="E993" s="139" t="n"/>
      <c r="F993" s="139" t="n"/>
      <c r="G993" s="140">
        <f>IFERROR(IF(E993&gt;0,(F993/E993)*1000,""),"")</f>
        <v/>
      </c>
      <c r="H993" s="139">
        <f>IFERROR(IF(E993&gt;0,E993*IF(ISNUMBER(J993),J993,IF(C993="Futures",$C$6,$C$5)),""),"")</f>
        <v/>
      </c>
      <c r="I993" s="139">
        <f>IFERROR(IF(AND(ISNUMBER(F993),ISNUMBER(H993)),F993-H993,""),"")</f>
        <v/>
      </c>
      <c r="J993" s="114" t="n"/>
      <c r="K993" s="139">
        <f>IFERROR(IF(H993&gt;0,H993*$C$7,""),"")</f>
        <v/>
      </c>
      <c r="L993" s="139">
        <f>IFERROR(IF(ISNUMBER(F993),F993-IF(ISNUMBER(K993),K993,0),""),"")</f>
        <v/>
      </c>
    </row>
    <row r="994" ht="24" customHeight="1" s="63">
      <c r="E994" s="139" t="n"/>
      <c r="F994" s="139" t="n"/>
      <c r="G994" s="140">
        <f>IFERROR(IF(E994&gt;0,(F994/E994)*1000,""),"")</f>
        <v/>
      </c>
      <c r="H994" s="139">
        <f>IFERROR(IF(E994&gt;0,E994*IF(ISNUMBER(J994),J994,IF(C994="Futures",$C$6,$C$5)),""),"")</f>
        <v/>
      </c>
      <c r="I994" s="139">
        <f>IFERROR(IF(AND(ISNUMBER(F994),ISNUMBER(H994)),F994-H994,""),"")</f>
        <v/>
      </c>
      <c r="J994" s="114" t="n"/>
      <c r="K994" s="139">
        <f>IFERROR(IF(H994&gt;0,H994*$C$7,""),"")</f>
        <v/>
      </c>
      <c r="L994" s="139">
        <f>IFERROR(IF(ISNUMBER(F994),F994-IF(ISNUMBER(K994),K994,0),""),"")</f>
        <v/>
      </c>
    </row>
    <row r="995" ht="24" customHeight="1" s="63">
      <c r="E995" s="139" t="n"/>
      <c r="F995" s="139" t="n"/>
      <c r="G995" s="140">
        <f>IFERROR(IF(E995&gt;0,(F995/E995)*1000,""),"")</f>
        <v/>
      </c>
      <c r="H995" s="139">
        <f>IFERROR(IF(E995&gt;0,E995*IF(ISNUMBER(J995),J995,IF(C995="Futures",$C$6,$C$5)),""),"")</f>
        <v/>
      </c>
      <c r="I995" s="139">
        <f>IFERROR(IF(AND(ISNUMBER(F995),ISNUMBER(H995)),F995-H995,""),"")</f>
        <v/>
      </c>
      <c r="J995" s="114" t="n"/>
      <c r="K995" s="139">
        <f>IFERROR(IF(H995&gt;0,H995*$C$7,""),"")</f>
        <v/>
      </c>
      <c r="L995" s="139">
        <f>IFERROR(IF(ISNUMBER(F995),F995-IF(ISNUMBER(K995),K995,0),""),"")</f>
        <v/>
      </c>
    </row>
    <row r="996" ht="24" customHeight="1" s="63">
      <c r="E996" s="139" t="n"/>
      <c r="F996" s="139" t="n"/>
      <c r="G996" s="140">
        <f>IFERROR(IF(E996&gt;0,(F996/E996)*1000,""),"")</f>
        <v/>
      </c>
      <c r="H996" s="139">
        <f>IFERROR(IF(E996&gt;0,E996*IF(ISNUMBER(J996),J996,IF(C996="Futures",$C$6,$C$5)),""),"")</f>
        <v/>
      </c>
      <c r="I996" s="139">
        <f>IFERROR(IF(AND(ISNUMBER(F996),ISNUMBER(H996)),F996-H996,""),"")</f>
        <v/>
      </c>
      <c r="J996" s="114" t="n"/>
      <c r="K996" s="139">
        <f>IFERROR(IF(H996&gt;0,H996*$C$7,""),"")</f>
        <v/>
      </c>
      <c r="L996" s="139">
        <f>IFERROR(IF(ISNUMBER(F996),F996-IF(ISNUMBER(K996),K996,0),""),"")</f>
        <v/>
      </c>
    </row>
    <row r="997" ht="24" customHeight="1" s="63">
      <c r="E997" s="139" t="n"/>
      <c r="F997" s="139" t="n"/>
      <c r="G997" s="140">
        <f>IFERROR(IF(E997&gt;0,(F997/E997)*1000,""),"")</f>
        <v/>
      </c>
      <c r="H997" s="139">
        <f>IFERROR(IF(E997&gt;0,E997*IF(ISNUMBER(J997),J997,IF(C997="Futures",$C$6,$C$5)),""),"")</f>
        <v/>
      </c>
      <c r="I997" s="139">
        <f>IFERROR(IF(AND(ISNUMBER(F997),ISNUMBER(H997)),F997-H997,""),"")</f>
        <v/>
      </c>
      <c r="J997" s="114" t="n"/>
      <c r="K997" s="139">
        <f>IFERROR(IF(H997&gt;0,H997*$C$7,""),"")</f>
        <v/>
      </c>
      <c r="L997" s="139">
        <f>IFERROR(IF(ISNUMBER(F997),F997-IF(ISNUMBER(K997),K997,0),""),"")</f>
        <v/>
      </c>
    </row>
    <row r="998" ht="24" customHeight="1" s="63">
      <c r="E998" s="139" t="n"/>
      <c r="F998" s="139" t="n"/>
      <c r="G998" s="140">
        <f>IFERROR(IF(E998&gt;0,(F998/E998)*1000,""),"")</f>
        <v/>
      </c>
      <c r="H998" s="139">
        <f>IFERROR(IF(E998&gt;0,E998*IF(ISNUMBER(J998),J998,IF(C998="Futures",$C$6,$C$5)),""),"")</f>
        <v/>
      </c>
      <c r="I998" s="139">
        <f>IFERROR(IF(AND(ISNUMBER(F998),ISNUMBER(H998)),F998-H998,""),"")</f>
        <v/>
      </c>
      <c r="J998" s="114" t="n"/>
      <c r="K998" s="139">
        <f>IFERROR(IF(H998&gt;0,H998*$C$7,""),"")</f>
        <v/>
      </c>
      <c r="L998" s="139">
        <f>IFERROR(IF(ISNUMBER(F998),F998-IF(ISNUMBER(K998),K998,0),""),"")</f>
        <v/>
      </c>
    </row>
    <row r="999" ht="24" customHeight="1" s="63">
      <c r="E999" s="139" t="n"/>
      <c r="F999" s="139" t="n"/>
      <c r="G999" s="140">
        <f>IFERROR(IF(E999&gt;0,(F999/E999)*1000,""),"")</f>
        <v/>
      </c>
      <c r="H999" s="139">
        <f>IFERROR(IF(E999&gt;0,E999*IF(ISNUMBER(J999),J999,IF(C999="Futures",$C$6,$C$5)),""),"")</f>
        <v/>
      </c>
      <c r="I999" s="139">
        <f>IFERROR(IF(AND(ISNUMBER(F999),ISNUMBER(H999)),F999-H999,""),"")</f>
        <v/>
      </c>
      <c r="J999" s="114" t="n"/>
      <c r="K999" s="139">
        <f>IFERROR(IF(H999&gt;0,H999*$C$7,""),"")</f>
        <v/>
      </c>
      <c r="L999" s="139">
        <f>IFERROR(IF(ISNUMBER(F999),F999-IF(ISNUMBER(K999),K999,0),""),"")</f>
        <v/>
      </c>
    </row>
    <row r="1000" ht="24" customHeight="1" s="63">
      <c r="E1000" s="139" t="n"/>
      <c r="F1000" s="139" t="n"/>
      <c r="G1000" s="140">
        <f>IFERROR(IF(E1000&gt;0,(F1000/E1000)*1000,""),"")</f>
        <v/>
      </c>
      <c r="H1000" s="139">
        <f>IFERROR(IF(E1000&gt;0,E1000*IF(ISNUMBER(J1000),J1000,IF(C1000="Futures",$C$6,$C$5)),""),"")</f>
        <v/>
      </c>
      <c r="I1000" s="139">
        <f>IFERROR(IF(AND(ISNUMBER(F1000),ISNUMBER(H1000)),F1000-H1000,""),"")</f>
        <v/>
      </c>
      <c r="J1000" s="114" t="n"/>
      <c r="K1000" s="139">
        <f>IFERROR(IF(H1000&gt;0,H1000*$C$7,""),"")</f>
        <v/>
      </c>
      <c r="L1000" s="139">
        <f>IFERROR(IF(ISNUMBER(F1000),F1000-IF(ISNUMBER(K1000),K1000,0),""),"")</f>
        <v/>
      </c>
    </row>
    <row r="1001" ht="24" customHeight="1" s="63">
      <c r="E1001" s="139" t="n"/>
      <c r="F1001" s="139" t="n"/>
      <c r="G1001" s="140">
        <f>IFERROR(IF(E1001&gt;0,(F1001/E1001)*1000,""),"")</f>
        <v/>
      </c>
      <c r="H1001" s="139">
        <f>IFERROR(IF(E1001&gt;0,E1001*IF(ISNUMBER(J1001),J1001,IF(C1001="Futures",$C$6,$C$5)),""),"")</f>
        <v/>
      </c>
      <c r="I1001" s="139">
        <f>IFERROR(IF(AND(ISNUMBER(F1001),ISNUMBER(H1001)),F1001-H1001,""),"")</f>
        <v/>
      </c>
      <c r="J1001" s="114" t="n"/>
      <c r="K1001" s="139">
        <f>IFERROR(IF(H1001&gt;0,H1001*$C$7,""),"")</f>
        <v/>
      </c>
      <c r="L1001" s="139">
        <f>IFERROR(IF(ISNUMBER(F1001),F1001-IF(ISNUMBER(K1001),K1001,0),""),"")</f>
        <v/>
      </c>
    </row>
    <row r="1002" ht="24" customHeight="1" s="63">
      <c r="E1002" s="139" t="n"/>
      <c r="F1002" s="139" t="n"/>
      <c r="G1002" s="140">
        <f>IFERROR(IF(E1002&gt;0,(F1002/E1002)*1000,""),"")</f>
        <v/>
      </c>
      <c r="H1002" s="139">
        <f>IFERROR(IF(E1002&gt;0,E1002*IF(ISNUMBER(J1002),J1002,IF(C1002="Futures",$C$6,$C$5)),""),"")</f>
        <v/>
      </c>
      <c r="I1002" s="139">
        <f>IFERROR(IF(AND(ISNUMBER(F1002),ISNUMBER(H1002)),F1002-H1002,""),"")</f>
        <v/>
      </c>
      <c r="J1002" s="114" t="n"/>
      <c r="K1002" s="139">
        <f>IFERROR(IF(H1002&gt;0,H1002*$C$7,""),"")</f>
        <v/>
      </c>
      <c r="L1002" s="139">
        <f>IFERROR(IF(ISNUMBER(F1002),F1002-IF(ISNUMBER(K1002),K1002,0),""),"")</f>
        <v/>
      </c>
    </row>
    <row r="1003" ht="24" customHeight="1" s="63">
      <c r="E1003" s="139" t="n"/>
      <c r="F1003" s="139" t="n"/>
      <c r="G1003" s="140">
        <f>IFERROR(IF(E1003&gt;0,(F1003/E1003)*1000,""),"")</f>
        <v/>
      </c>
      <c r="H1003" s="139">
        <f>IFERROR(IF(E1003&gt;0,E1003*IF(ISNUMBER(J1003),J1003,IF(C1003="Futures",$C$6,$C$5)),""),"")</f>
        <v/>
      </c>
      <c r="I1003" s="139">
        <f>IFERROR(IF(AND(ISNUMBER(F1003),ISNUMBER(H1003)),F1003-H1003,""),"")</f>
        <v/>
      </c>
      <c r="J1003" s="114" t="n"/>
      <c r="K1003" s="139">
        <f>IFERROR(IF(H1003&gt;0,H1003*$C$7,""),"")</f>
        <v/>
      </c>
      <c r="L1003" s="139">
        <f>IFERROR(IF(ISNUMBER(F1003),F1003-IF(ISNUMBER(K1003),K1003,0),""),"")</f>
        <v/>
      </c>
    </row>
    <row r="1004" ht="24" customHeight="1" s="63">
      <c r="E1004" s="139" t="n"/>
      <c r="F1004" s="139" t="n"/>
      <c r="G1004" s="140">
        <f>IFERROR(IF(E1004&gt;0,(F1004/E1004)*1000,""),"")</f>
        <v/>
      </c>
      <c r="H1004" s="139">
        <f>IFERROR(IF(E1004&gt;0,E1004*IF(ISNUMBER(J1004),J1004,IF(C1004="Futures",$C$6,$C$5)),""),"")</f>
        <v/>
      </c>
      <c r="I1004" s="139">
        <f>IFERROR(IF(AND(ISNUMBER(F1004),ISNUMBER(H1004)),F1004-H1004,""),"")</f>
        <v/>
      </c>
      <c r="J1004" s="114" t="n"/>
      <c r="K1004" s="139">
        <f>IFERROR(IF(H1004&gt;0,H1004*$C$7,""),"")</f>
        <v/>
      </c>
      <c r="L1004" s="139">
        <f>IFERROR(IF(ISNUMBER(F1004),F1004-IF(ISNUMBER(K1004),K1004,0),""),"")</f>
        <v/>
      </c>
    </row>
    <row r="1005" ht="24" customHeight="1" s="63">
      <c r="E1005" s="139" t="n"/>
      <c r="F1005" s="139" t="n"/>
      <c r="G1005" s="140">
        <f>IFERROR(IF(E1005&gt;0,(F1005/E1005)*1000,""),"")</f>
        <v/>
      </c>
      <c r="H1005" s="139">
        <f>IFERROR(IF(E1005&gt;0,E1005*IF(ISNUMBER(J1005),J1005,IF(C1005="Futures",$C$6,$C$5)),""),"")</f>
        <v/>
      </c>
      <c r="I1005" s="139">
        <f>IFERROR(IF(AND(ISNUMBER(F1005),ISNUMBER(H1005)),F1005-H1005,""),"")</f>
        <v/>
      </c>
      <c r="J1005" s="114" t="n"/>
      <c r="K1005" s="139">
        <f>IFERROR(IF(H1005&gt;0,H1005*$C$7,""),"")</f>
        <v/>
      </c>
      <c r="L1005" s="139">
        <f>IFERROR(IF(ISNUMBER(F1005),F1005-IF(ISNUMBER(K1005),K1005,0),""),"")</f>
        <v/>
      </c>
    </row>
    <row r="1006" ht="24" customHeight="1" s="63">
      <c r="E1006" s="139" t="n"/>
      <c r="F1006" s="139" t="n"/>
      <c r="G1006" s="140">
        <f>IFERROR(IF(E1006&gt;0,(F1006/E1006)*1000,""),"")</f>
        <v/>
      </c>
      <c r="H1006" s="139">
        <f>IFERROR(IF(E1006&gt;0,E1006*IF(ISNUMBER(J1006),J1006,IF(C1006="Futures",$C$6,$C$5)),""),"")</f>
        <v/>
      </c>
      <c r="I1006" s="139">
        <f>IFERROR(IF(AND(ISNUMBER(F1006),ISNUMBER(H1006)),F1006-H1006,""),"")</f>
        <v/>
      </c>
      <c r="J1006" s="114" t="n"/>
      <c r="K1006" s="139">
        <f>IFERROR(IF(H1006&gt;0,H1006*$C$7,""),"")</f>
        <v/>
      </c>
      <c r="L1006" s="139">
        <f>IFERROR(IF(ISNUMBER(F1006),F1006-IF(ISNUMBER(K1006),K1006,0),""),"")</f>
        <v/>
      </c>
    </row>
    <row r="1007" ht="24" customHeight="1" s="63">
      <c r="E1007" s="139" t="n"/>
      <c r="F1007" s="139" t="n"/>
      <c r="G1007" s="140">
        <f>IFERROR(IF(E1007&gt;0,(F1007/E1007)*1000,""),"")</f>
        <v/>
      </c>
      <c r="H1007" s="139">
        <f>IFERROR(IF(E1007&gt;0,E1007*IF(ISNUMBER(J1007),J1007,IF(C1007="Futures",$C$6,$C$5)),""),"")</f>
        <v/>
      </c>
      <c r="I1007" s="139">
        <f>IFERROR(IF(AND(ISNUMBER(F1007),ISNUMBER(H1007)),F1007-H1007,""),"")</f>
        <v/>
      </c>
      <c r="J1007" s="114" t="n"/>
      <c r="K1007" s="139">
        <f>IFERROR(IF(H1007&gt;0,H1007*$C$7,""),"")</f>
        <v/>
      </c>
      <c r="L1007" s="139">
        <f>IFERROR(IF(ISNUMBER(F1007),F1007-IF(ISNUMBER(K1007),K1007,0),""),"")</f>
        <v/>
      </c>
    </row>
    <row r="1008" ht="24" customHeight="1" s="63">
      <c r="E1008" s="139" t="n"/>
      <c r="F1008" s="139" t="n"/>
      <c r="G1008" s="140">
        <f>IFERROR(IF(E1008&gt;0,(F1008/E1008)*1000,""),"")</f>
        <v/>
      </c>
      <c r="H1008" s="139">
        <f>IFERROR(IF(E1008&gt;0,E1008*IF(ISNUMBER(J1008),J1008,IF(C1008="Futures",$C$6,$C$5)),""),"")</f>
        <v/>
      </c>
      <c r="I1008" s="139">
        <f>IFERROR(IF(AND(ISNUMBER(F1008),ISNUMBER(H1008)),F1008-H1008,""),"")</f>
        <v/>
      </c>
      <c r="J1008" s="114" t="n"/>
      <c r="K1008" s="139">
        <f>IFERROR(IF(H1008&gt;0,H1008*$C$7,""),"")</f>
        <v/>
      </c>
      <c r="L1008" s="139">
        <f>IFERROR(IF(ISNUMBER(F1008),F1008-IF(ISNUMBER(K1008),K1008,0),""),"")</f>
        <v/>
      </c>
    </row>
    <row r="1009" ht="24" customHeight="1" s="63">
      <c r="E1009" s="139" t="n"/>
      <c r="F1009" s="139" t="n"/>
      <c r="G1009" s="140">
        <f>IFERROR(IF(E1009&gt;0,(F1009/E1009)*1000,""),"")</f>
        <v/>
      </c>
      <c r="H1009" s="139">
        <f>IFERROR(IF(E1009&gt;0,E1009*IF(ISNUMBER(J1009),J1009,IF(C1009="Futures",$C$6,$C$5)),""),"")</f>
        <v/>
      </c>
      <c r="I1009" s="139">
        <f>IFERROR(IF(AND(ISNUMBER(F1009),ISNUMBER(H1009)),F1009-H1009,""),"")</f>
        <v/>
      </c>
      <c r="J1009" s="114" t="n"/>
      <c r="K1009" s="139">
        <f>IFERROR(IF(H1009&gt;0,H1009*$C$7,""),"")</f>
        <v/>
      </c>
      <c r="L1009" s="139">
        <f>IFERROR(IF(ISNUMBER(F1009),F1009-IF(ISNUMBER(K1009),K1009,0),""),"")</f>
        <v/>
      </c>
    </row>
    <row r="1010" ht="24" customHeight="1" s="63">
      <c r="E1010" s="139" t="n"/>
      <c r="F1010" s="139" t="n"/>
      <c r="G1010" s="140">
        <f>IFERROR(IF(E1010&gt;0,(F1010/E1010)*1000,""),"")</f>
        <v/>
      </c>
      <c r="H1010" s="139">
        <f>IFERROR(IF(E1010&gt;0,E1010*IF(ISNUMBER(J1010),J1010,IF(C1010="Futures",$C$6,$C$5)),""),"")</f>
        <v/>
      </c>
      <c r="I1010" s="139">
        <f>IFERROR(IF(AND(ISNUMBER(F1010),ISNUMBER(H1010)),F1010-H1010,""),"")</f>
        <v/>
      </c>
      <c r="J1010" s="114" t="n"/>
      <c r="K1010" s="139">
        <f>IFERROR(IF(H1010&gt;0,H1010*$C$7,""),"")</f>
        <v/>
      </c>
      <c r="L1010" s="139">
        <f>IFERROR(IF(ISNUMBER(F1010),F1010-IF(ISNUMBER(K1010),K1010,0),""),"")</f>
        <v/>
      </c>
    </row>
    <row r="1011" ht="24" customHeight="1" s="63">
      <c r="E1011" s="139" t="n"/>
      <c r="F1011" s="139" t="n"/>
      <c r="G1011" s="140">
        <f>IFERROR(IF(E1011&gt;0,(F1011/E1011)*1000,""),"")</f>
        <v/>
      </c>
      <c r="H1011" s="139">
        <f>IFERROR(IF(E1011&gt;0,E1011*IF(ISNUMBER(J1011),J1011,IF(C1011="Futures",$C$6,$C$5)),""),"")</f>
        <v/>
      </c>
      <c r="I1011" s="139">
        <f>IFERROR(IF(AND(ISNUMBER(F1011),ISNUMBER(H1011)),F1011-H1011,""),"")</f>
        <v/>
      </c>
      <c r="J1011" s="114" t="n"/>
      <c r="K1011" s="139">
        <f>IFERROR(IF(H1011&gt;0,H1011*$C$7,""),"")</f>
        <v/>
      </c>
      <c r="L1011" s="139">
        <f>IFERROR(IF(ISNUMBER(F1011),F1011-IF(ISNUMBER(K1011),K1011,0),""),"")</f>
        <v/>
      </c>
    </row>
    <row r="1012" ht="24" customHeight="1" s="63">
      <c r="E1012" s="139" t="n"/>
      <c r="F1012" s="139" t="n"/>
      <c r="G1012" s="140">
        <f>IFERROR(IF(E1012&gt;0,(F1012/E1012)*1000,""),"")</f>
        <v/>
      </c>
      <c r="H1012" s="139">
        <f>IFERROR(IF(E1012&gt;0,E1012*IF(ISNUMBER(J1012),J1012,IF(C1012="Futures",$C$6,$C$5)),""),"")</f>
        <v/>
      </c>
      <c r="I1012" s="139">
        <f>IFERROR(IF(AND(ISNUMBER(F1012),ISNUMBER(H1012)),F1012-H1012,""),"")</f>
        <v/>
      </c>
      <c r="J1012" s="114" t="n"/>
      <c r="K1012" s="139">
        <f>IFERROR(IF(H1012&gt;0,H1012*$C$7,""),"")</f>
        <v/>
      </c>
      <c r="L1012" s="139">
        <f>IFERROR(IF(ISNUMBER(F1012),F1012-IF(ISNUMBER(K1012),K1012,0),""),"")</f>
        <v/>
      </c>
    </row>
    <row r="1013" ht="24" customHeight="1" s="63">
      <c r="E1013" s="139" t="n"/>
      <c r="F1013" s="139" t="n"/>
      <c r="G1013" s="140">
        <f>IFERROR(IF(E1013&gt;0,(F1013/E1013)*1000,""),"")</f>
        <v/>
      </c>
      <c r="H1013" s="139">
        <f>IFERROR(IF(E1013&gt;0,E1013*IF(ISNUMBER(J1013),J1013,IF(C1013="Futures",$C$6,$C$5)),""),"")</f>
        <v/>
      </c>
      <c r="I1013" s="139">
        <f>IFERROR(IF(AND(ISNUMBER(F1013),ISNUMBER(H1013)),F1013-H1013,""),"")</f>
        <v/>
      </c>
      <c r="J1013" s="114" t="n"/>
      <c r="K1013" s="139">
        <f>IFERROR(IF(H1013&gt;0,H1013*$C$7,""),"")</f>
        <v/>
      </c>
      <c r="L1013" s="139">
        <f>IFERROR(IF(ISNUMBER(F1013),F1013-IF(ISNUMBER(K1013),K1013,0),""),"")</f>
        <v/>
      </c>
    </row>
    <row r="1014" ht="24" customHeight="1" s="63">
      <c r="E1014" s="139" t="n"/>
      <c r="F1014" s="139" t="n"/>
      <c r="G1014" s="140">
        <f>IFERROR(IF(E1014&gt;0,(F1014/E1014)*1000,""),"")</f>
        <v/>
      </c>
      <c r="H1014" s="139">
        <f>IFERROR(IF(E1014&gt;0,E1014*IF(ISNUMBER(J1014),J1014,IF(C1014="Futures",$C$6,$C$5)),""),"")</f>
        <v/>
      </c>
      <c r="I1014" s="139">
        <f>IFERROR(IF(AND(ISNUMBER(F1014),ISNUMBER(H1014)),F1014-H1014,""),"")</f>
        <v/>
      </c>
      <c r="J1014" s="114" t="n"/>
      <c r="K1014" s="139">
        <f>IFERROR(IF(H1014&gt;0,H1014*$C$7,""),"")</f>
        <v/>
      </c>
      <c r="L1014" s="139">
        <f>IFERROR(IF(ISNUMBER(F1014),F1014-IF(ISNUMBER(K1014),K1014,0),""),"")</f>
        <v/>
      </c>
    </row>
    <row r="1015" ht="24" customHeight="1" s="63">
      <c r="E1015" s="139" t="n"/>
      <c r="F1015" s="139" t="n"/>
      <c r="G1015" s="140">
        <f>IFERROR(IF(E1015&gt;0,(F1015/E1015)*1000,""),"")</f>
        <v/>
      </c>
      <c r="H1015" s="139">
        <f>IFERROR(IF(E1015&gt;0,E1015*IF(ISNUMBER(J1015),J1015,IF(C1015="Futures",$C$6,$C$5)),""),"")</f>
        <v/>
      </c>
      <c r="I1015" s="139">
        <f>IFERROR(IF(AND(ISNUMBER(F1015),ISNUMBER(H1015)),F1015-H1015,""),"")</f>
        <v/>
      </c>
      <c r="J1015" s="114" t="n"/>
      <c r="K1015" s="139">
        <f>IFERROR(IF(H1015&gt;0,H1015*$C$7,""),"")</f>
        <v/>
      </c>
      <c r="L1015" s="139">
        <f>IFERROR(IF(ISNUMBER(F1015),F1015-IF(ISNUMBER(K1015),K1015,0),""),"")</f>
        <v/>
      </c>
    </row>
    <row r="1016" ht="24" customHeight="1" s="63">
      <c r="E1016" s="139" t="n"/>
      <c r="F1016" s="139" t="n"/>
      <c r="G1016" s="140">
        <f>IFERROR(IF(E1016&gt;0,(F1016/E1016)*1000,""),"")</f>
        <v/>
      </c>
      <c r="H1016" s="139">
        <f>IFERROR(IF(E1016&gt;0,E1016*IF(ISNUMBER(J1016),J1016,IF(C1016="Futures",$C$6,$C$5)),""),"")</f>
        <v/>
      </c>
      <c r="I1016" s="139">
        <f>IFERROR(IF(AND(ISNUMBER(F1016),ISNUMBER(H1016)),F1016-H1016,""),"")</f>
        <v/>
      </c>
      <c r="J1016" s="114" t="n"/>
      <c r="K1016" s="139">
        <f>IFERROR(IF(H1016&gt;0,H1016*$C$7,""),"")</f>
        <v/>
      </c>
      <c r="L1016" s="139">
        <f>IFERROR(IF(ISNUMBER(F1016),F1016-IF(ISNUMBER(K1016),K1016,0),""),"")</f>
        <v/>
      </c>
    </row>
    <row r="1017" ht="24" customHeight="1" s="63">
      <c r="E1017" s="139" t="n"/>
      <c r="F1017" s="139" t="n"/>
      <c r="G1017" s="140">
        <f>IFERROR(IF(E1017&gt;0,(F1017/E1017)*1000,""),"")</f>
        <v/>
      </c>
      <c r="H1017" s="139">
        <f>IFERROR(IF(E1017&gt;0,E1017*IF(ISNUMBER(J1017),J1017,IF(C1017="Futures",$C$6,$C$5)),""),"")</f>
        <v/>
      </c>
      <c r="I1017" s="139">
        <f>IFERROR(IF(AND(ISNUMBER(F1017),ISNUMBER(H1017)),F1017-H1017,""),"")</f>
        <v/>
      </c>
      <c r="J1017" s="114" t="n"/>
      <c r="K1017" s="139">
        <f>IFERROR(IF(H1017&gt;0,H1017*$C$7,""),"")</f>
        <v/>
      </c>
      <c r="L1017" s="139">
        <f>IFERROR(IF(ISNUMBER(F1017),F1017-IF(ISNUMBER(K1017),K1017,0),""),"")</f>
        <v/>
      </c>
    </row>
    <row r="1018" ht="24" customHeight="1" s="63">
      <c r="E1018" s="139" t="n"/>
      <c r="F1018" s="139" t="n"/>
      <c r="G1018" s="140">
        <f>IFERROR(IF(E1018&gt;0,(F1018/E1018)*1000,""),"")</f>
        <v/>
      </c>
      <c r="H1018" s="139">
        <f>IFERROR(IF(E1018&gt;0,E1018*IF(ISNUMBER(J1018),J1018,IF(C1018="Futures",$C$6,$C$5)),""),"")</f>
        <v/>
      </c>
      <c r="I1018" s="139">
        <f>IFERROR(IF(AND(ISNUMBER(F1018),ISNUMBER(H1018)),F1018-H1018,""),"")</f>
        <v/>
      </c>
      <c r="J1018" s="114" t="n"/>
      <c r="K1018" s="139">
        <f>IFERROR(IF(H1018&gt;0,H1018*$C$7,""),"")</f>
        <v/>
      </c>
      <c r="L1018" s="139">
        <f>IFERROR(IF(ISNUMBER(F1018),F1018-IF(ISNUMBER(K1018),K1018,0),""),"")</f>
        <v/>
      </c>
    </row>
    <row r="1019" ht="24" customHeight="1" s="63">
      <c r="E1019" s="139" t="n"/>
      <c r="F1019" s="139" t="n"/>
      <c r="G1019" s="140">
        <f>IFERROR(IF(E1019&gt;0,(F1019/E1019)*1000,""),"")</f>
        <v/>
      </c>
      <c r="H1019" s="139">
        <f>IFERROR(IF(E1019&gt;0,E1019*IF(ISNUMBER(J1019),J1019,IF(C1019="Futures",$C$6,$C$5)),""),"")</f>
        <v/>
      </c>
      <c r="I1019" s="139">
        <f>IFERROR(IF(AND(ISNUMBER(F1019),ISNUMBER(H1019)),F1019-H1019,""),"")</f>
        <v/>
      </c>
      <c r="J1019" s="114" t="n"/>
      <c r="K1019" s="139">
        <f>IFERROR(IF(H1019&gt;0,H1019*$C$7,""),"")</f>
        <v/>
      </c>
      <c r="L1019" s="139">
        <f>IFERROR(IF(ISNUMBER(F1019),F1019-IF(ISNUMBER(K1019),K1019,0),""),"")</f>
        <v/>
      </c>
    </row>
    <row r="1020" ht="24" customHeight="1" s="63">
      <c r="E1020" s="139" t="n"/>
      <c r="F1020" s="139" t="n"/>
      <c r="G1020" s="140">
        <f>IFERROR(IF(E1020&gt;0,(F1020/E1020)*1000,""),"")</f>
        <v/>
      </c>
      <c r="H1020" s="139">
        <f>IFERROR(IF(E1020&gt;0,E1020*IF(ISNUMBER(J1020),J1020,IF(C1020="Futures",$C$6,$C$5)),""),"")</f>
        <v/>
      </c>
      <c r="I1020" s="139">
        <f>IFERROR(IF(AND(ISNUMBER(F1020),ISNUMBER(H1020)),F1020-H1020,""),"")</f>
        <v/>
      </c>
      <c r="J1020" s="114" t="n"/>
      <c r="K1020" s="139">
        <f>IFERROR(IF(H1020&gt;0,H1020*$C$7,""),"")</f>
        <v/>
      </c>
      <c r="L1020" s="139">
        <f>IFERROR(IF(ISNUMBER(F1020),F1020-IF(ISNUMBER(K1020),K1020,0),""),"")</f>
        <v/>
      </c>
    </row>
    <row r="1021" ht="24" customHeight="1" s="63">
      <c r="E1021" s="139" t="n"/>
      <c r="F1021" s="139" t="n"/>
      <c r="G1021" s="140">
        <f>IFERROR(IF(E1021&gt;0,(F1021/E1021)*1000,""),"")</f>
        <v/>
      </c>
      <c r="H1021" s="139">
        <f>IFERROR(IF(E1021&gt;0,E1021*IF(ISNUMBER(J1021),J1021,IF(C1021="Futures",$C$6,$C$5)),""),"")</f>
        <v/>
      </c>
      <c r="I1021" s="139">
        <f>IFERROR(IF(AND(ISNUMBER(F1021),ISNUMBER(H1021)),F1021-H1021,""),"")</f>
        <v/>
      </c>
      <c r="J1021" s="114" t="n"/>
      <c r="K1021" s="139">
        <f>IFERROR(IF(H1021&gt;0,H1021*$C$7,""),"")</f>
        <v/>
      </c>
      <c r="L1021" s="139">
        <f>IFERROR(IF(ISNUMBER(F1021),F1021-IF(ISNUMBER(K1021),K1021,0),""),"")</f>
        <v/>
      </c>
    </row>
    <row r="1022" ht="24" customHeight="1" s="63">
      <c r="E1022" s="139" t="n"/>
      <c r="F1022" s="139" t="n"/>
      <c r="G1022" s="140">
        <f>IFERROR(IF(E1022&gt;0,(F1022/E1022)*1000,""),"")</f>
        <v/>
      </c>
      <c r="H1022" s="139">
        <f>IFERROR(IF(E1022&gt;0,E1022*IF(ISNUMBER(J1022),J1022,IF(C1022="Futures",$C$6,$C$5)),""),"")</f>
        <v/>
      </c>
      <c r="I1022" s="139">
        <f>IFERROR(IF(AND(ISNUMBER(F1022),ISNUMBER(H1022)),F1022-H1022,""),"")</f>
        <v/>
      </c>
      <c r="J1022" s="114" t="n"/>
      <c r="K1022" s="139">
        <f>IFERROR(IF(H1022&gt;0,H1022*$C$7,""),"")</f>
        <v/>
      </c>
      <c r="L1022" s="139">
        <f>IFERROR(IF(ISNUMBER(F1022),F1022-IF(ISNUMBER(K1022),K1022,0),""),"")</f>
        <v/>
      </c>
    </row>
    <row r="1023" ht="24" customHeight="1" s="63">
      <c r="E1023" s="139" t="n"/>
      <c r="F1023" s="139" t="n"/>
      <c r="G1023" s="140">
        <f>IFERROR(IF(E1023&gt;0,(F1023/E1023)*1000,""),"")</f>
        <v/>
      </c>
      <c r="H1023" s="139">
        <f>IFERROR(IF(E1023&gt;0,E1023*IF(ISNUMBER(J1023),J1023,IF(C1023="Futures",$C$6,$C$5)),""),"")</f>
        <v/>
      </c>
      <c r="I1023" s="139">
        <f>IFERROR(IF(AND(ISNUMBER(F1023),ISNUMBER(H1023)),F1023-H1023,""),"")</f>
        <v/>
      </c>
      <c r="J1023" s="114" t="n"/>
      <c r="K1023" s="139">
        <f>IFERROR(IF(H1023&gt;0,H1023*$C$7,""),"")</f>
        <v/>
      </c>
      <c r="L1023" s="139">
        <f>IFERROR(IF(ISNUMBER(F1023),F1023-IF(ISNUMBER(K1023),K1023,0),""),"")</f>
        <v/>
      </c>
    </row>
    <row r="1024" ht="24" customHeight="1" s="63">
      <c r="E1024" s="139" t="n"/>
      <c r="F1024" s="139" t="n"/>
      <c r="G1024" s="140">
        <f>IFERROR(IF(E1024&gt;0,(F1024/E1024)*1000,""),"")</f>
        <v/>
      </c>
      <c r="H1024" s="139">
        <f>IFERROR(IF(E1024&gt;0,E1024*IF(ISNUMBER(J1024),J1024,IF(C1024="Futures",$C$6,$C$5)),""),"")</f>
        <v/>
      </c>
      <c r="I1024" s="139">
        <f>IFERROR(IF(AND(ISNUMBER(F1024),ISNUMBER(H1024)),F1024-H1024,""),"")</f>
        <v/>
      </c>
      <c r="J1024" s="114" t="n"/>
      <c r="K1024" s="139">
        <f>IFERROR(IF(H1024&gt;0,H1024*$C$7,""),"")</f>
        <v/>
      </c>
      <c r="L1024" s="139">
        <f>IFERROR(IF(ISNUMBER(F1024),F1024-IF(ISNUMBER(K1024),K1024,0),""),"")</f>
        <v/>
      </c>
    </row>
    <row r="1025" ht="24" customHeight="1" s="63">
      <c r="E1025" s="139" t="n"/>
      <c r="F1025" s="139" t="n"/>
      <c r="G1025" s="140">
        <f>IFERROR(IF(E1025&gt;0,(F1025/E1025)*1000,""),"")</f>
        <v/>
      </c>
      <c r="H1025" s="139">
        <f>IFERROR(IF(E1025&gt;0,E1025*IF(ISNUMBER(J1025),J1025,IF(C1025="Futures",$C$6,$C$5)),""),"")</f>
        <v/>
      </c>
      <c r="I1025" s="139">
        <f>IFERROR(IF(AND(ISNUMBER(F1025),ISNUMBER(H1025)),F1025-H1025,""),"")</f>
        <v/>
      </c>
      <c r="J1025" s="114" t="n"/>
      <c r="K1025" s="139">
        <f>IFERROR(IF(H1025&gt;0,H1025*$C$7,""),"")</f>
        <v/>
      </c>
      <c r="L1025" s="139">
        <f>IFERROR(IF(ISNUMBER(F1025),F1025-IF(ISNUMBER(K1025),K1025,0),""),"")</f>
        <v/>
      </c>
    </row>
    <row r="1026" ht="24" customHeight="1" s="63">
      <c r="E1026" s="139" t="n"/>
      <c r="F1026" s="139" t="n"/>
      <c r="G1026" s="140">
        <f>IFERROR(IF(E1026&gt;0,(F1026/E1026)*1000,""),"")</f>
        <v/>
      </c>
      <c r="H1026" s="139">
        <f>IFERROR(IF(E1026&gt;0,E1026*IF(ISNUMBER(J1026),J1026,IF(C1026="Futures",$C$6,$C$5)),""),"")</f>
        <v/>
      </c>
      <c r="I1026" s="139">
        <f>IFERROR(IF(AND(ISNUMBER(F1026),ISNUMBER(H1026)),F1026-H1026,""),"")</f>
        <v/>
      </c>
      <c r="J1026" s="114" t="n"/>
      <c r="K1026" s="139">
        <f>IFERROR(IF(H1026&gt;0,H1026*$C$7,""),"")</f>
        <v/>
      </c>
      <c r="L1026" s="139">
        <f>IFERROR(IF(ISNUMBER(F1026),F1026-IF(ISNUMBER(K1026),K1026,0),""),"")</f>
        <v/>
      </c>
    </row>
    <row r="1027" ht="24" customHeight="1" s="63">
      <c r="E1027" s="139" t="n"/>
      <c r="F1027" s="139" t="n"/>
      <c r="G1027" s="140">
        <f>IFERROR(IF(E1027&gt;0,(F1027/E1027)*1000,""),"")</f>
        <v/>
      </c>
      <c r="H1027" s="139">
        <f>IFERROR(IF(E1027&gt;0,E1027*IF(ISNUMBER(J1027),J1027,IF(C1027="Futures",$C$6,$C$5)),""),"")</f>
        <v/>
      </c>
      <c r="I1027" s="139">
        <f>IFERROR(IF(AND(ISNUMBER(F1027),ISNUMBER(H1027)),F1027-H1027,""),"")</f>
        <v/>
      </c>
      <c r="J1027" s="114" t="n"/>
      <c r="K1027" s="139">
        <f>IFERROR(IF(H1027&gt;0,H1027*$C$7,""),"")</f>
        <v/>
      </c>
      <c r="L1027" s="139">
        <f>IFERROR(IF(ISNUMBER(F1027),F1027-IF(ISNUMBER(K1027),K1027,0),""),"")</f>
        <v/>
      </c>
    </row>
    <row r="1028" ht="24" customHeight="1" s="63">
      <c r="E1028" s="139" t="n"/>
      <c r="F1028" s="139" t="n"/>
      <c r="G1028" s="140">
        <f>IFERROR(IF(E1028&gt;0,(F1028/E1028)*1000,""),"")</f>
        <v/>
      </c>
      <c r="H1028" s="139">
        <f>IFERROR(IF(E1028&gt;0,E1028*IF(ISNUMBER(J1028),J1028,IF(C1028="Futures",$C$6,$C$5)),""),"")</f>
        <v/>
      </c>
      <c r="I1028" s="139">
        <f>IFERROR(IF(AND(ISNUMBER(F1028),ISNUMBER(H1028)),F1028-H1028,""),"")</f>
        <v/>
      </c>
      <c r="J1028" s="114" t="n"/>
      <c r="K1028" s="139">
        <f>IFERROR(IF(H1028&gt;0,H1028*$C$7,""),"")</f>
        <v/>
      </c>
      <c r="L1028" s="139">
        <f>IFERROR(IF(ISNUMBER(F1028),F1028-IF(ISNUMBER(K1028),K1028,0),""),"")</f>
        <v/>
      </c>
    </row>
    <row r="1029" ht="24" customHeight="1" s="63">
      <c r="E1029" s="139" t="n"/>
      <c r="F1029" s="139" t="n"/>
      <c r="G1029" s="140">
        <f>IFERROR(IF(E1029&gt;0,(F1029/E1029)*1000,""),"")</f>
        <v/>
      </c>
      <c r="H1029" s="139">
        <f>IFERROR(IF(E1029&gt;0,E1029*IF(ISNUMBER(J1029),J1029,IF(C1029="Futures",$C$6,$C$5)),""),"")</f>
        <v/>
      </c>
      <c r="I1029" s="139">
        <f>IFERROR(IF(AND(ISNUMBER(F1029),ISNUMBER(H1029)),F1029-H1029,""),"")</f>
        <v/>
      </c>
      <c r="J1029" s="114" t="n"/>
      <c r="K1029" s="139">
        <f>IFERROR(IF(H1029&gt;0,H1029*$C$7,""),"")</f>
        <v/>
      </c>
      <c r="L1029" s="139">
        <f>IFERROR(IF(ISNUMBER(F1029),F1029-IF(ISNUMBER(K1029),K1029,0),""),"")</f>
        <v/>
      </c>
    </row>
    <row r="1030" ht="24" customHeight="1" s="63">
      <c r="E1030" s="139" t="n"/>
      <c r="F1030" s="139" t="n"/>
      <c r="G1030" s="140">
        <f>IFERROR(IF(E1030&gt;0,(F1030/E1030)*1000,""),"")</f>
        <v/>
      </c>
      <c r="H1030" s="139">
        <f>IFERROR(IF(E1030&gt;0,E1030*IF(ISNUMBER(J1030),J1030,IF(C1030="Futures",$C$6,$C$5)),""),"")</f>
        <v/>
      </c>
      <c r="I1030" s="139">
        <f>IFERROR(IF(AND(ISNUMBER(F1030),ISNUMBER(H1030)),F1030-H1030,""),"")</f>
        <v/>
      </c>
      <c r="J1030" s="114" t="n"/>
      <c r="K1030" s="139">
        <f>IFERROR(IF(H1030&gt;0,H1030*$C$7,""),"")</f>
        <v/>
      </c>
      <c r="L1030" s="139">
        <f>IFERROR(IF(ISNUMBER(F1030),F1030-IF(ISNUMBER(K1030),K1030,0),""),"")</f>
        <v/>
      </c>
    </row>
    <row r="1031" ht="24" customHeight="1" s="63">
      <c r="E1031" s="139" t="n"/>
      <c r="F1031" s="139" t="n"/>
      <c r="G1031" s="140">
        <f>IFERROR(IF(E1031&gt;0,(F1031/E1031)*1000,""),"")</f>
        <v/>
      </c>
      <c r="H1031" s="139">
        <f>IFERROR(IF(E1031&gt;0,E1031*IF(ISNUMBER(J1031),J1031,IF(C1031="Futures",$C$6,$C$5)),""),"")</f>
        <v/>
      </c>
      <c r="I1031" s="139">
        <f>IFERROR(IF(AND(ISNUMBER(F1031),ISNUMBER(H1031)),F1031-H1031,""),"")</f>
        <v/>
      </c>
      <c r="J1031" s="114" t="n"/>
      <c r="K1031" s="139">
        <f>IFERROR(IF(H1031&gt;0,H1031*$C$7,""),"")</f>
        <v/>
      </c>
      <c r="L1031" s="139">
        <f>IFERROR(IF(ISNUMBER(F1031),F1031-IF(ISNUMBER(K1031),K1031,0),""),"")</f>
        <v/>
      </c>
    </row>
    <row r="1032" ht="24" customHeight="1" s="63">
      <c r="E1032" s="139" t="n"/>
      <c r="F1032" s="139" t="n"/>
      <c r="G1032" s="140">
        <f>IFERROR(IF(E1032&gt;0,(F1032/E1032)*1000,""),"")</f>
        <v/>
      </c>
      <c r="H1032" s="139">
        <f>IFERROR(IF(E1032&gt;0,E1032*IF(ISNUMBER(J1032),J1032,IF(C1032="Futures",$C$6,$C$5)),""),"")</f>
        <v/>
      </c>
      <c r="I1032" s="139">
        <f>IFERROR(IF(AND(ISNUMBER(F1032),ISNUMBER(H1032)),F1032-H1032,""),"")</f>
        <v/>
      </c>
      <c r="J1032" s="114" t="n"/>
      <c r="K1032" s="139">
        <f>IFERROR(IF(H1032&gt;0,H1032*$C$7,""),"")</f>
        <v/>
      </c>
      <c r="L1032" s="139">
        <f>IFERROR(IF(ISNUMBER(F1032),F1032-IF(ISNUMBER(K1032),K1032,0),""),"")</f>
        <v/>
      </c>
    </row>
    <row r="1033" ht="24" customHeight="1" s="63">
      <c r="E1033" s="139" t="n"/>
      <c r="F1033" s="139" t="n"/>
      <c r="G1033" s="140">
        <f>IFERROR(IF(E1033&gt;0,(F1033/E1033)*1000,""),"")</f>
        <v/>
      </c>
      <c r="H1033" s="139">
        <f>IFERROR(IF(E1033&gt;0,E1033*IF(ISNUMBER(J1033),J1033,IF(C1033="Futures",$C$6,$C$5)),""),"")</f>
        <v/>
      </c>
      <c r="I1033" s="139">
        <f>IFERROR(IF(AND(ISNUMBER(F1033),ISNUMBER(H1033)),F1033-H1033,""),"")</f>
        <v/>
      </c>
      <c r="J1033" s="114" t="n"/>
      <c r="K1033" s="139">
        <f>IFERROR(IF(H1033&gt;0,H1033*$C$7,""),"")</f>
        <v/>
      </c>
      <c r="L1033" s="139">
        <f>IFERROR(IF(ISNUMBER(F1033),F1033-IF(ISNUMBER(K1033),K1033,0),""),"")</f>
        <v/>
      </c>
    </row>
    <row r="1034" ht="24" customHeight="1" s="63">
      <c r="E1034" s="139" t="n"/>
      <c r="F1034" s="139" t="n"/>
      <c r="G1034" s="140">
        <f>IFERROR(IF(E1034&gt;0,(F1034/E1034)*1000,""),"")</f>
        <v/>
      </c>
      <c r="H1034" s="139">
        <f>IFERROR(IF(E1034&gt;0,E1034*IF(ISNUMBER(J1034),J1034,IF(C1034="Futures",$C$6,$C$5)),""),"")</f>
        <v/>
      </c>
      <c r="I1034" s="139">
        <f>IFERROR(IF(AND(ISNUMBER(F1034),ISNUMBER(H1034)),F1034-H1034,""),"")</f>
        <v/>
      </c>
      <c r="J1034" s="114" t="n"/>
      <c r="K1034" s="139">
        <f>IFERROR(IF(H1034&gt;0,H1034*$C$7,""),"")</f>
        <v/>
      </c>
      <c r="L1034" s="139">
        <f>IFERROR(IF(ISNUMBER(F1034),F1034-IF(ISNUMBER(K1034),K1034,0),""),"")</f>
        <v/>
      </c>
    </row>
    <row r="1035" ht="24" customHeight="1" s="63">
      <c r="E1035" s="139" t="n"/>
      <c r="F1035" s="139" t="n"/>
      <c r="G1035" s="140">
        <f>IFERROR(IF(E1035&gt;0,(F1035/E1035)*1000,""),"")</f>
        <v/>
      </c>
      <c r="H1035" s="139">
        <f>IFERROR(IF(E1035&gt;0,E1035*IF(ISNUMBER(J1035),J1035,IF(C1035="Futures",$C$6,$C$5)),""),"")</f>
        <v/>
      </c>
      <c r="I1035" s="139">
        <f>IFERROR(IF(AND(ISNUMBER(F1035),ISNUMBER(H1035)),F1035-H1035,""),"")</f>
        <v/>
      </c>
      <c r="J1035" s="114" t="n"/>
      <c r="K1035" s="139">
        <f>IFERROR(IF(H1035&gt;0,H1035*$C$7,""),"")</f>
        <v/>
      </c>
      <c r="L1035" s="139">
        <f>IFERROR(IF(ISNUMBER(F1035),F1035-IF(ISNUMBER(K1035),K1035,0),""),"")</f>
        <v/>
      </c>
    </row>
    <row r="1036" ht="24" customHeight="1" s="63">
      <c r="E1036" s="139" t="n"/>
      <c r="F1036" s="139" t="n"/>
      <c r="G1036" s="140">
        <f>IFERROR(IF(E1036&gt;0,(F1036/E1036)*1000,""),"")</f>
        <v/>
      </c>
      <c r="H1036" s="139">
        <f>IFERROR(IF(E1036&gt;0,E1036*IF(ISNUMBER(J1036),J1036,IF(C1036="Futures",$C$6,$C$5)),""),"")</f>
        <v/>
      </c>
      <c r="I1036" s="139">
        <f>IFERROR(IF(AND(ISNUMBER(F1036),ISNUMBER(H1036)),F1036-H1036,""),"")</f>
        <v/>
      </c>
      <c r="J1036" s="114" t="n"/>
      <c r="K1036" s="139">
        <f>IFERROR(IF(H1036&gt;0,H1036*$C$7,""),"")</f>
        <v/>
      </c>
      <c r="L1036" s="139">
        <f>IFERROR(IF(ISNUMBER(F1036),F1036-IF(ISNUMBER(K1036),K1036,0),""),"")</f>
        <v/>
      </c>
    </row>
    <row r="1037" ht="24" customHeight="1" s="63">
      <c r="E1037" s="139" t="n"/>
      <c r="F1037" s="139" t="n"/>
      <c r="G1037" s="140">
        <f>IFERROR(IF(E1037&gt;0,(F1037/E1037)*1000,""),"")</f>
        <v/>
      </c>
      <c r="H1037" s="139">
        <f>IFERROR(IF(E1037&gt;0,E1037*IF(ISNUMBER(J1037),J1037,IF(C1037="Futures",$C$6,$C$5)),""),"")</f>
        <v/>
      </c>
      <c r="I1037" s="139">
        <f>IFERROR(IF(AND(ISNUMBER(F1037),ISNUMBER(H1037)),F1037-H1037,""),"")</f>
        <v/>
      </c>
      <c r="J1037" s="114" t="n"/>
      <c r="K1037" s="139">
        <f>IFERROR(IF(H1037&gt;0,H1037*$C$7,""),"")</f>
        <v/>
      </c>
      <c r="L1037" s="139">
        <f>IFERROR(IF(ISNUMBER(F1037),F1037-IF(ISNUMBER(K1037),K1037,0),""),"")</f>
        <v/>
      </c>
    </row>
    <row r="1038" ht="24" customHeight="1" s="63">
      <c r="E1038" s="139" t="n"/>
      <c r="F1038" s="139" t="n"/>
      <c r="G1038" s="140">
        <f>IFERROR(IF(E1038&gt;0,(F1038/E1038)*1000,""),"")</f>
        <v/>
      </c>
      <c r="H1038" s="139">
        <f>IFERROR(IF(E1038&gt;0,E1038*IF(ISNUMBER(J1038),J1038,IF(C1038="Futures",$C$6,$C$5)),""),"")</f>
        <v/>
      </c>
      <c r="I1038" s="139">
        <f>IFERROR(IF(AND(ISNUMBER(F1038),ISNUMBER(H1038)),F1038-H1038,""),"")</f>
        <v/>
      </c>
      <c r="J1038" s="114" t="n"/>
      <c r="K1038" s="139">
        <f>IFERROR(IF(H1038&gt;0,H1038*$C$7,""),"")</f>
        <v/>
      </c>
      <c r="L1038" s="139">
        <f>IFERROR(IF(ISNUMBER(F1038),F1038-IF(ISNUMBER(K1038),K1038,0),""),"")</f>
        <v/>
      </c>
    </row>
    <row r="1039" ht="24" customHeight="1" s="63">
      <c r="E1039" s="139" t="n"/>
      <c r="F1039" s="139" t="n"/>
      <c r="G1039" s="140">
        <f>IFERROR(IF(E1039&gt;0,(F1039/E1039)*1000,""),"")</f>
        <v/>
      </c>
      <c r="H1039" s="139">
        <f>IFERROR(IF(E1039&gt;0,E1039*IF(ISNUMBER(J1039),J1039,IF(C1039="Futures",$C$6,$C$5)),""),"")</f>
        <v/>
      </c>
      <c r="I1039" s="139">
        <f>IFERROR(IF(AND(ISNUMBER(F1039),ISNUMBER(H1039)),F1039-H1039,""),"")</f>
        <v/>
      </c>
      <c r="J1039" s="114" t="n"/>
      <c r="K1039" s="139">
        <f>IFERROR(IF(H1039&gt;0,H1039*$C$7,""),"")</f>
        <v/>
      </c>
      <c r="L1039" s="139">
        <f>IFERROR(IF(ISNUMBER(F1039),F1039-IF(ISNUMBER(K1039),K1039,0),""),"")</f>
        <v/>
      </c>
    </row>
    <row r="1040" ht="24" customHeight="1" s="63">
      <c r="E1040" s="139" t="n"/>
      <c r="F1040" s="139" t="n"/>
      <c r="G1040" s="140">
        <f>IFERROR(IF(E1040&gt;0,(F1040/E1040)*1000,""),"")</f>
        <v/>
      </c>
      <c r="H1040" s="139">
        <f>IFERROR(IF(E1040&gt;0,E1040*IF(ISNUMBER(J1040),J1040,IF(C1040="Futures",$C$6,$C$5)),""),"")</f>
        <v/>
      </c>
      <c r="I1040" s="139">
        <f>IFERROR(IF(AND(ISNUMBER(F1040),ISNUMBER(H1040)),F1040-H1040,""),"")</f>
        <v/>
      </c>
      <c r="J1040" s="114" t="n"/>
      <c r="K1040" s="139">
        <f>IFERROR(IF(H1040&gt;0,H1040*$C$7,""),"")</f>
        <v/>
      </c>
      <c r="L1040" s="139">
        <f>IFERROR(IF(ISNUMBER(F1040),F1040-IF(ISNUMBER(K1040),K1040,0),""),"")</f>
        <v/>
      </c>
    </row>
    <row r="1041" ht="24" customHeight="1" s="63">
      <c r="E1041" s="139" t="n"/>
      <c r="F1041" s="139" t="n"/>
      <c r="G1041" s="140">
        <f>IFERROR(IF(E1041&gt;0,(F1041/E1041)*1000,""),"")</f>
        <v/>
      </c>
      <c r="H1041" s="139">
        <f>IFERROR(IF(E1041&gt;0,E1041*IF(ISNUMBER(J1041),J1041,IF(C1041="Futures",$C$6,$C$5)),""),"")</f>
        <v/>
      </c>
      <c r="I1041" s="139">
        <f>IFERROR(IF(AND(ISNUMBER(F1041),ISNUMBER(H1041)),F1041-H1041,""),"")</f>
        <v/>
      </c>
      <c r="J1041" s="114" t="n"/>
      <c r="K1041" s="139">
        <f>IFERROR(IF(H1041&gt;0,H1041*$C$7,""),"")</f>
        <v/>
      </c>
      <c r="L1041" s="139">
        <f>IFERROR(IF(ISNUMBER(F1041),F1041-IF(ISNUMBER(K1041),K1041,0),""),"")</f>
        <v/>
      </c>
    </row>
    <row r="1042" ht="24" customHeight="1" s="63">
      <c r="E1042" s="139" t="n"/>
      <c r="F1042" s="139" t="n"/>
      <c r="G1042" s="140">
        <f>IFERROR(IF(E1042&gt;0,(F1042/E1042)*1000,""),"")</f>
        <v/>
      </c>
      <c r="H1042" s="139">
        <f>IFERROR(IF(E1042&gt;0,E1042*IF(ISNUMBER(J1042),J1042,IF(C1042="Futures",$C$6,$C$5)),""),"")</f>
        <v/>
      </c>
      <c r="I1042" s="139">
        <f>IFERROR(IF(AND(ISNUMBER(F1042),ISNUMBER(H1042)),F1042-H1042,""),"")</f>
        <v/>
      </c>
      <c r="J1042" s="114" t="n"/>
      <c r="K1042" s="139">
        <f>IFERROR(IF(H1042&gt;0,H1042*$C$7,""),"")</f>
        <v/>
      </c>
      <c r="L1042" s="139">
        <f>IFERROR(IF(ISNUMBER(F1042),F1042-IF(ISNUMBER(K1042),K1042,0),""),"")</f>
        <v/>
      </c>
    </row>
    <row r="1043" ht="24" customHeight="1" s="63">
      <c r="E1043" s="139" t="n"/>
      <c r="F1043" s="139" t="n"/>
      <c r="G1043" s="140">
        <f>IFERROR(IF(E1043&gt;0,(F1043/E1043)*1000,""),"")</f>
        <v/>
      </c>
      <c r="H1043" s="139">
        <f>IFERROR(IF(E1043&gt;0,E1043*IF(ISNUMBER(J1043),J1043,IF(C1043="Futures",$C$6,$C$5)),""),"")</f>
        <v/>
      </c>
      <c r="I1043" s="139">
        <f>IFERROR(IF(AND(ISNUMBER(F1043),ISNUMBER(H1043)),F1043-H1043,""),"")</f>
        <v/>
      </c>
      <c r="J1043" s="114" t="n"/>
      <c r="K1043" s="139">
        <f>IFERROR(IF(H1043&gt;0,H1043*$C$7,""),"")</f>
        <v/>
      </c>
      <c r="L1043" s="139">
        <f>IFERROR(IF(ISNUMBER(F1043),F1043-IF(ISNUMBER(K1043),K1043,0),""),"")</f>
        <v/>
      </c>
    </row>
    <row r="1044" ht="24" customHeight="1" s="63">
      <c r="E1044" s="139" t="n"/>
      <c r="F1044" s="139" t="n"/>
      <c r="G1044" s="140">
        <f>IFERROR(IF(E1044&gt;0,(F1044/E1044)*1000,""),"")</f>
        <v/>
      </c>
      <c r="H1044" s="139">
        <f>IFERROR(IF(E1044&gt;0,E1044*IF(ISNUMBER(J1044),J1044,IF(C1044="Futures",$C$6,$C$5)),""),"")</f>
        <v/>
      </c>
      <c r="I1044" s="139">
        <f>IFERROR(IF(AND(ISNUMBER(F1044),ISNUMBER(H1044)),F1044-H1044,""),"")</f>
        <v/>
      </c>
      <c r="J1044" s="114" t="n"/>
      <c r="K1044" s="139">
        <f>IFERROR(IF(H1044&gt;0,H1044*$C$7,""),"")</f>
        <v/>
      </c>
      <c r="L1044" s="139">
        <f>IFERROR(IF(ISNUMBER(F1044),F1044-IF(ISNUMBER(K1044),K1044,0),""),"")</f>
        <v/>
      </c>
    </row>
    <row r="1045" ht="24" customHeight="1" s="63">
      <c r="E1045" s="139" t="n"/>
      <c r="F1045" s="139" t="n"/>
      <c r="G1045" s="140">
        <f>IFERROR(IF(E1045&gt;0,(F1045/E1045)*1000,""),"")</f>
        <v/>
      </c>
      <c r="H1045" s="139">
        <f>IFERROR(IF(E1045&gt;0,E1045*IF(ISNUMBER(J1045),J1045,IF(C1045="Futures",$C$6,$C$5)),""),"")</f>
        <v/>
      </c>
      <c r="I1045" s="139">
        <f>IFERROR(IF(AND(ISNUMBER(F1045),ISNUMBER(H1045)),F1045-H1045,""),"")</f>
        <v/>
      </c>
      <c r="J1045" s="114" t="n"/>
      <c r="K1045" s="139">
        <f>IFERROR(IF(H1045&gt;0,H1045*$C$7,""),"")</f>
        <v/>
      </c>
      <c r="L1045" s="139">
        <f>IFERROR(IF(ISNUMBER(F1045),F1045-IF(ISNUMBER(K1045),K1045,0),""),"")</f>
        <v/>
      </c>
    </row>
    <row r="1046" ht="24" customHeight="1" s="63">
      <c r="E1046" s="139" t="n"/>
      <c r="F1046" s="139" t="n"/>
      <c r="G1046" s="140">
        <f>IFERROR(IF(E1046&gt;0,(F1046/E1046)*1000,""),"")</f>
        <v/>
      </c>
      <c r="H1046" s="139">
        <f>IFERROR(IF(E1046&gt;0,E1046*IF(ISNUMBER(J1046),J1046,IF(C1046="Futures",$C$6,$C$5)),""),"")</f>
        <v/>
      </c>
      <c r="I1046" s="139">
        <f>IFERROR(IF(AND(ISNUMBER(F1046),ISNUMBER(H1046)),F1046-H1046,""),"")</f>
        <v/>
      </c>
      <c r="J1046" s="114" t="n"/>
      <c r="K1046" s="139">
        <f>IFERROR(IF(H1046&gt;0,H1046*$C$7,""),"")</f>
        <v/>
      </c>
      <c r="L1046" s="139">
        <f>IFERROR(IF(ISNUMBER(F1046),F1046-IF(ISNUMBER(K1046),K1046,0),""),"")</f>
        <v/>
      </c>
    </row>
    <row r="1047" ht="24" customHeight="1" s="63">
      <c r="E1047" s="139" t="n"/>
      <c r="F1047" s="139" t="n"/>
      <c r="G1047" s="140">
        <f>IFERROR(IF(E1047&gt;0,(F1047/E1047)*1000,""),"")</f>
        <v/>
      </c>
      <c r="H1047" s="139">
        <f>IFERROR(IF(E1047&gt;0,E1047*IF(ISNUMBER(J1047),J1047,IF(C1047="Futures",$C$6,$C$5)),""),"")</f>
        <v/>
      </c>
      <c r="I1047" s="139">
        <f>IFERROR(IF(AND(ISNUMBER(F1047),ISNUMBER(H1047)),F1047-H1047,""),"")</f>
        <v/>
      </c>
      <c r="J1047" s="114" t="n"/>
      <c r="K1047" s="139">
        <f>IFERROR(IF(H1047&gt;0,H1047*$C$7,""),"")</f>
        <v/>
      </c>
      <c r="L1047" s="139">
        <f>IFERROR(IF(ISNUMBER(F1047),F1047-IF(ISNUMBER(K1047),K1047,0),""),"")</f>
        <v/>
      </c>
    </row>
    <row r="1048" ht="24" customHeight="1" s="63">
      <c r="E1048" s="139" t="n"/>
      <c r="F1048" s="139" t="n"/>
      <c r="G1048" s="140">
        <f>IFERROR(IF(E1048&gt;0,(F1048/E1048)*1000,""),"")</f>
        <v/>
      </c>
      <c r="H1048" s="139">
        <f>IFERROR(IF(E1048&gt;0,E1048*IF(ISNUMBER(J1048),J1048,IF(C1048="Futures",$C$6,$C$5)),""),"")</f>
        <v/>
      </c>
      <c r="I1048" s="139">
        <f>IFERROR(IF(AND(ISNUMBER(F1048),ISNUMBER(H1048)),F1048-H1048,""),"")</f>
        <v/>
      </c>
      <c r="J1048" s="114" t="n"/>
      <c r="K1048" s="139">
        <f>IFERROR(IF(H1048&gt;0,H1048*$C$7,""),"")</f>
        <v/>
      </c>
      <c r="L1048" s="139">
        <f>IFERROR(IF(ISNUMBER(F1048),F1048-IF(ISNUMBER(K1048),K1048,0),""),"")</f>
        <v/>
      </c>
    </row>
    <row r="1049" ht="24" customHeight="1" s="63">
      <c r="E1049" s="139" t="n"/>
      <c r="F1049" s="139" t="n"/>
      <c r="G1049" s="140">
        <f>IFERROR(IF(E1049&gt;0,(F1049/E1049)*1000,""),"")</f>
        <v/>
      </c>
      <c r="H1049" s="139">
        <f>IFERROR(IF(E1049&gt;0,E1049*IF(ISNUMBER(J1049),J1049,IF(C1049="Futures",$C$6,$C$5)),""),"")</f>
        <v/>
      </c>
      <c r="I1049" s="139">
        <f>IFERROR(IF(AND(ISNUMBER(F1049),ISNUMBER(H1049)),F1049-H1049,""),"")</f>
        <v/>
      </c>
      <c r="J1049" s="114" t="n"/>
      <c r="K1049" s="139">
        <f>IFERROR(IF(H1049&gt;0,H1049*$C$7,""),"")</f>
        <v/>
      </c>
      <c r="L1049" s="139">
        <f>IFERROR(IF(ISNUMBER(F1049),F1049-IF(ISNUMBER(K1049),K1049,0),""),"")</f>
        <v/>
      </c>
    </row>
    <row r="1050" ht="24" customHeight="1" s="63">
      <c r="E1050" s="139" t="n"/>
      <c r="F1050" s="139" t="n"/>
      <c r="G1050" s="140">
        <f>IFERROR(IF(E1050&gt;0,(F1050/E1050)*1000,""),"")</f>
        <v/>
      </c>
      <c r="H1050" s="139">
        <f>IFERROR(IF(E1050&gt;0,E1050*IF(ISNUMBER(J1050),J1050,IF(C1050="Futures",$C$6,$C$5)),""),"")</f>
        <v/>
      </c>
      <c r="I1050" s="139">
        <f>IFERROR(IF(AND(ISNUMBER(F1050),ISNUMBER(H1050)),F1050-H1050,""),"")</f>
        <v/>
      </c>
      <c r="J1050" s="114" t="n"/>
      <c r="K1050" s="139">
        <f>IFERROR(IF(H1050&gt;0,H1050*$C$7,""),"")</f>
        <v/>
      </c>
      <c r="L1050" s="139">
        <f>IFERROR(IF(ISNUMBER(F1050),F1050-IF(ISNUMBER(K1050),K1050,0),""),"")</f>
        <v/>
      </c>
    </row>
    <row r="1051" ht="24" customHeight="1" s="63">
      <c r="E1051" s="139" t="n"/>
      <c r="F1051" s="139" t="n"/>
      <c r="G1051" s="140">
        <f>IFERROR(IF(E1051&gt;0,(F1051/E1051)*1000,""),"")</f>
        <v/>
      </c>
      <c r="H1051" s="139">
        <f>IFERROR(IF(E1051&gt;0,E1051*IF(ISNUMBER(J1051),J1051,IF(C1051="Futures",$C$6,$C$5)),""),"")</f>
        <v/>
      </c>
      <c r="I1051" s="139">
        <f>IFERROR(IF(AND(ISNUMBER(F1051),ISNUMBER(H1051)),F1051-H1051,""),"")</f>
        <v/>
      </c>
      <c r="J1051" s="114" t="n"/>
      <c r="K1051" s="139">
        <f>IFERROR(IF(H1051&gt;0,H1051*$C$7,""),"")</f>
        <v/>
      </c>
      <c r="L1051" s="139">
        <f>IFERROR(IF(ISNUMBER(F1051),F1051-IF(ISNUMBER(K1051),K1051,0),""),"")</f>
        <v/>
      </c>
    </row>
    <row r="1052" ht="24" customHeight="1" s="63">
      <c r="E1052" s="139" t="n"/>
      <c r="F1052" s="139" t="n"/>
      <c r="G1052" s="140">
        <f>IFERROR(IF(E1052&gt;0,(F1052/E1052)*1000,""),"")</f>
        <v/>
      </c>
      <c r="H1052" s="139">
        <f>IFERROR(IF(E1052&gt;0,E1052*IF(ISNUMBER(J1052),J1052,IF(C1052="Futures",$C$6,$C$5)),""),"")</f>
        <v/>
      </c>
      <c r="I1052" s="139">
        <f>IFERROR(IF(AND(ISNUMBER(F1052),ISNUMBER(H1052)),F1052-H1052,""),"")</f>
        <v/>
      </c>
      <c r="J1052" s="114" t="n"/>
      <c r="K1052" s="139">
        <f>IFERROR(IF(H1052&gt;0,H1052*$C$7,""),"")</f>
        <v/>
      </c>
      <c r="L1052" s="139">
        <f>IFERROR(IF(ISNUMBER(F1052),F1052-IF(ISNUMBER(K1052),K1052,0),""),"")</f>
        <v/>
      </c>
    </row>
    <row r="1053" ht="24" customHeight="1" s="63">
      <c r="E1053" s="139" t="n"/>
      <c r="F1053" s="139" t="n"/>
      <c r="G1053" s="140">
        <f>IFERROR(IF(E1053&gt;0,(F1053/E1053)*1000,""),"")</f>
        <v/>
      </c>
      <c r="H1053" s="139">
        <f>IFERROR(IF(E1053&gt;0,E1053*IF(ISNUMBER(J1053),J1053,IF(C1053="Futures",$C$6,$C$5)),""),"")</f>
        <v/>
      </c>
      <c r="I1053" s="139">
        <f>IFERROR(IF(AND(ISNUMBER(F1053),ISNUMBER(H1053)),F1053-H1053,""),"")</f>
        <v/>
      </c>
      <c r="J1053" s="114" t="n"/>
      <c r="K1053" s="139">
        <f>IFERROR(IF(H1053&gt;0,H1053*$C$7,""),"")</f>
        <v/>
      </c>
      <c r="L1053" s="139">
        <f>IFERROR(IF(ISNUMBER(F1053),F1053-IF(ISNUMBER(K1053),K1053,0),""),"")</f>
        <v/>
      </c>
    </row>
    <row r="1054" ht="24" customHeight="1" s="63">
      <c r="E1054" s="139" t="n"/>
      <c r="F1054" s="139" t="n"/>
      <c r="G1054" s="140">
        <f>IFERROR(IF(E1054&gt;0,(F1054/E1054)*1000,""),"")</f>
        <v/>
      </c>
      <c r="H1054" s="139">
        <f>IFERROR(IF(E1054&gt;0,E1054*IF(ISNUMBER(J1054),J1054,IF(C1054="Futures",$C$6,$C$5)),""),"")</f>
        <v/>
      </c>
      <c r="I1054" s="139">
        <f>IFERROR(IF(AND(ISNUMBER(F1054),ISNUMBER(H1054)),F1054-H1054,""),"")</f>
        <v/>
      </c>
      <c r="J1054" s="114" t="n"/>
      <c r="K1054" s="139">
        <f>IFERROR(IF(H1054&gt;0,H1054*$C$7,""),"")</f>
        <v/>
      </c>
      <c r="L1054" s="139">
        <f>IFERROR(IF(ISNUMBER(F1054),F1054-IF(ISNUMBER(K1054),K1054,0),""),"")</f>
        <v/>
      </c>
    </row>
    <row r="1055" ht="24" customHeight="1" s="63">
      <c r="E1055" s="139" t="n"/>
      <c r="F1055" s="139" t="n"/>
      <c r="G1055" s="140">
        <f>IFERROR(IF(E1055&gt;0,(F1055/E1055)*1000,""),"")</f>
        <v/>
      </c>
      <c r="H1055" s="139">
        <f>IFERROR(IF(E1055&gt;0,E1055*IF(ISNUMBER(J1055),J1055,IF(C1055="Futures",$C$6,$C$5)),""),"")</f>
        <v/>
      </c>
      <c r="I1055" s="139">
        <f>IFERROR(IF(AND(ISNUMBER(F1055),ISNUMBER(H1055)),F1055-H1055,""),"")</f>
        <v/>
      </c>
      <c r="J1055" s="114" t="n"/>
      <c r="K1055" s="139">
        <f>IFERROR(IF(H1055&gt;0,H1055*$C$7,""),"")</f>
        <v/>
      </c>
      <c r="L1055" s="139">
        <f>IFERROR(IF(ISNUMBER(F1055),F1055-IF(ISNUMBER(K1055),K1055,0),""),"")</f>
        <v/>
      </c>
    </row>
    <row r="1056" ht="24" customHeight="1" s="63">
      <c r="E1056" s="139" t="n"/>
      <c r="F1056" s="139" t="n"/>
      <c r="G1056" s="140">
        <f>IFERROR(IF(E1056&gt;0,(F1056/E1056)*1000,""),"")</f>
        <v/>
      </c>
      <c r="H1056" s="139">
        <f>IFERROR(IF(E1056&gt;0,E1056*IF(ISNUMBER(J1056),J1056,IF(C1056="Futures",$C$6,$C$5)),""),"")</f>
        <v/>
      </c>
      <c r="I1056" s="139">
        <f>IFERROR(IF(AND(ISNUMBER(F1056),ISNUMBER(H1056)),F1056-H1056,""),"")</f>
        <v/>
      </c>
      <c r="J1056" s="114" t="n"/>
      <c r="K1056" s="139">
        <f>IFERROR(IF(H1056&gt;0,H1056*$C$7,""),"")</f>
        <v/>
      </c>
      <c r="L1056" s="139">
        <f>IFERROR(IF(ISNUMBER(F1056),F1056-IF(ISNUMBER(K1056),K1056,0),""),"")</f>
        <v/>
      </c>
    </row>
    <row r="1057" ht="24" customHeight="1" s="63">
      <c r="E1057" s="139" t="n"/>
      <c r="F1057" s="139" t="n"/>
      <c r="G1057" s="140">
        <f>IFERROR(IF(E1057&gt;0,(F1057/E1057)*1000,""),"")</f>
        <v/>
      </c>
      <c r="H1057" s="139">
        <f>IFERROR(IF(E1057&gt;0,E1057*IF(ISNUMBER(J1057),J1057,IF(C1057="Futures",$C$6,$C$5)),""),"")</f>
        <v/>
      </c>
      <c r="I1057" s="139">
        <f>IFERROR(IF(AND(ISNUMBER(F1057),ISNUMBER(H1057)),F1057-H1057,""),"")</f>
        <v/>
      </c>
      <c r="J1057" s="114" t="n"/>
      <c r="K1057" s="139">
        <f>IFERROR(IF(H1057&gt;0,H1057*$C$7,""),"")</f>
        <v/>
      </c>
      <c r="L1057" s="139">
        <f>IFERROR(IF(ISNUMBER(F1057),F1057-IF(ISNUMBER(K1057),K1057,0),""),"")</f>
        <v/>
      </c>
    </row>
    <row r="1058" ht="24" customHeight="1" s="63">
      <c r="E1058" s="139" t="n"/>
      <c r="F1058" s="139" t="n"/>
      <c r="G1058" s="140">
        <f>IFERROR(IF(E1058&gt;0,(F1058/E1058)*1000,""),"")</f>
        <v/>
      </c>
      <c r="H1058" s="139">
        <f>IFERROR(IF(E1058&gt;0,E1058*IF(ISNUMBER(J1058),J1058,IF(C1058="Futures",$C$6,$C$5)),""),"")</f>
        <v/>
      </c>
      <c r="I1058" s="139">
        <f>IFERROR(IF(AND(ISNUMBER(F1058),ISNUMBER(H1058)),F1058-H1058,""),"")</f>
        <v/>
      </c>
      <c r="J1058" s="114" t="n"/>
      <c r="K1058" s="139">
        <f>IFERROR(IF(H1058&gt;0,H1058*$C$7,""),"")</f>
        <v/>
      </c>
      <c r="L1058" s="139">
        <f>IFERROR(IF(ISNUMBER(F1058),F1058-IF(ISNUMBER(K1058),K1058,0),""),"")</f>
        <v/>
      </c>
    </row>
    <row r="1059" ht="24" customHeight="1" s="63">
      <c r="E1059" s="139" t="n"/>
      <c r="F1059" s="139" t="n"/>
      <c r="G1059" s="140">
        <f>IFERROR(IF(E1059&gt;0,(F1059/E1059)*1000,""),"")</f>
        <v/>
      </c>
      <c r="H1059" s="139">
        <f>IFERROR(IF(E1059&gt;0,E1059*IF(ISNUMBER(J1059),J1059,IF(C1059="Futures",$C$6,$C$5)),""),"")</f>
        <v/>
      </c>
      <c r="I1059" s="139">
        <f>IFERROR(IF(AND(ISNUMBER(F1059),ISNUMBER(H1059)),F1059-H1059,""),"")</f>
        <v/>
      </c>
      <c r="J1059" s="114" t="n"/>
      <c r="K1059" s="139">
        <f>IFERROR(IF(H1059&gt;0,H1059*$C$7,""),"")</f>
        <v/>
      </c>
      <c r="L1059" s="139">
        <f>IFERROR(IF(ISNUMBER(F1059),F1059-IF(ISNUMBER(K1059),K1059,0),""),"")</f>
        <v/>
      </c>
    </row>
    <row r="1060" ht="24" customHeight="1" s="63">
      <c r="E1060" s="139" t="n"/>
      <c r="F1060" s="139" t="n"/>
      <c r="G1060" s="140">
        <f>IFERROR(IF(E1060&gt;0,(F1060/E1060)*1000,""),"")</f>
        <v/>
      </c>
      <c r="H1060" s="139">
        <f>IFERROR(IF(E1060&gt;0,E1060*IF(ISNUMBER(J1060),J1060,IF(C1060="Futures",$C$6,$C$5)),""),"")</f>
        <v/>
      </c>
      <c r="I1060" s="139">
        <f>IFERROR(IF(AND(ISNUMBER(F1060),ISNUMBER(H1060)),F1060-H1060,""),"")</f>
        <v/>
      </c>
      <c r="J1060" s="114" t="n"/>
      <c r="K1060" s="139">
        <f>IFERROR(IF(H1060&gt;0,H1060*$C$7,""),"")</f>
        <v/>
      </c>
      <c r="L1060" s="139">
        <f>IFERROR(IF(ISNUMBER(F1060),F1060-IF(ISNUMBER(K1060),K1060,0),""),"")</f>
        <v/>
      </c>
    </row>
    <row r="1061" ht="24" customHeight="1" s="63">
      <c r="E1061" s="139" t="n"/>
      <c r="F1061" s="139" t="n"/>
      <c r="G1061" s="140">
        <f>IFERROR(IF(E1061&gt;0,(F1061/E1061)*1000,""),"")</f>
        <v/>
      </c>
      <c r="H1061" s="139">
        <f>IFERROR(IF(E1061&gt;0,E1061*IF(ISNUMBER(J1061),J1061,IF(C1061="Futures",$C$6,$C$5)),""),"")</f>
        <v/>
      </c>
      <c r="I1061" s="139">
        <f>IFERROR(IF(AND(ISNUMBER(F1061),ISNUMBER(H1061)),F1061-H1061,""),"")</f>
        <v/>
      </c>
      <c r="J1061" s="114" t="n"/>
      <c r="K1061" s="139">
        <f>IFERROR(IF(H1061&gt;0,H1061*$C$7,""),"")</f>
        <v/>
      </c>
      <c r="L1061" s="139">
        <f>IFERROR(IF(ISNUMBER(F1061),F1061-IF(ISNUMBER(K1061),K1061,0),""),"")</f>
        <v/>
      </c>
    </row>
    <row r="1062" ht="24" customHeight="1" s="63">
      <c r="E1062" s="139" t="n"/>
      <c r="F1062" s="139" t="n"/>
      <c r="G1062" s="140">
        <f>IFERROR(IF(E1062&gt;0,(F1062/E1062)*1000,""),"")</f>
        <v/>
      </c>
      <c r="H1062" s="139">
        <f>IFERROR(IF(E1062&gt;0,E1062*IF(ISNUMBER(J1062),J1062,IF(C1062="Futures",$C$6,$C$5)),""),"")</f>
        <v/>
      </c>
      <c r="I1062" s="139">
        <f>IFERROR(IF(AND(ISNUMBER(F1062),ISNUMBER(H1062)),F1062-H1062,""),"")</f>
        <v/>
      </c>
      <c r="J1062" s="114" t="n"/>
      <c r="K1062" s="139">
        <f>IFERROR(IF(H1062&gt;0,H1062*$C$7,""),"")</f>
        <v/>
      </c>
      <c r="L1062" s="139">
        <f>IFERROR(IF(ISNUMBER(F1062),F1062-IF(ISNUMBER(K1062),K1062,0),""),"")</f>
        <v/>
      </c>
    </row>
    <row r="1063" ht="24" customHeight="1" s="63">
      <c r="E1063" s="139" t="n"/>
      <c r="F1063" s="139" t="n"/>
      <c r="G1063" s="140">
        <f>IFERROR(IF(E1063&gt;0,(F1063/E1063)*1000,""),"")</f>
        <v/>
      </c>
      <c r="H1063" s="139">
        <f>IFERROR(IF(E1063&gt;0,E1063*IF(ISNUMBER(J1063),J1063,IF(C1063="Futures",$C$6,$C$5)),""),"")</f>
        <v/>
      </c>
      <c r="I1063" s="139">
        <f>IFERROR(IF(AND(ISNUMBER(F1063),ISNUMBER(H1063)),F1063-H1063,""),"")</f>
        <v/>
      </c>
      <c r="J1063" s="114" t="n"/>
      <c r="K1063" s="139">
        <f>IFERROR(IF(H1063&gt;0,H1063*$C$7,""),"")</f>
        <v/>
      </c>
      <c r="L1063" s="139">
        <f>IFERROR(IF(ISNUMBER(F1063),F1063-IF(ISNUMBER(K1063),K1063,0),""),"")</f>
        <v/>
      </c>
    </row>
    <row r="1064" ht="24" customHeight="1" s="63">
      <c r="E1064" s="139" t="n"/>
      <c r="F1064" s="139" t="n"/>
      <c r="G1064" s="140">
        <f>IFERROR(IF(E1064&gt;0,(F1064/E1064)*1000,""),"")</f>
        <v/>
      </c>
      <c r="H1064" s="139">
        <f>IFERROR(IF(E1064&gt;0,E1064*IF(ISNUMBER(J1064),J1064,IF(C1064="Futures",$C$6,$C$5)),""),"")</f>
        <v/>
      </c>
      <c r="I1064" s="139">
        <f>IFERROR(IF(AND(ISNUMBER(F1064),ISNUMBER(H1064)),F1064-H1064,""),"")</f>
        <v/>
      </c>
      <c r="J1064" s="114" t="n"/>
      <c r="K1064" s="139">
        <f>IFERROR(IF(H1064&gt;0,H1064*$C$7,""),"")</f>
        <v/>
      </c>
      <c r="L1064" s="139">
        <f>IFERROR(IF(ISNUMBER(F1064),F1064-IF(ISNUMBER(K1064),K1064,0),""),"")</f>
        <v/>
      </c>
    </row>
    <row r="1065" ht="24" customHeight="1" s="63">
      <c r="E1065" s="139" t="n"/>
      <c r="F1065" s="139" t="n"/>
      <c r="G1065" s="140">
        <f>IFERROR(IF(E1065&gt;0,(F1065/E1065)*1000,""),"")</f>
        <v/>
      </c>
      <c r="H1065" s="139">
        <f>IFERROR(IF(E1065&gt;0,E1065*IF(ISNUMBER(J1065),J1065,IF(C1065="Futures",$C$6,$C$5)),""),"")</f>
        <v/>
      </c>
      <c r="I1065" s="139">
        <f>IFERROR(IF(AND(ISNUMBER(F1065),ISNUMBER(H1065)),F1065-H1065,""),"")</f>
        <v/>
      </c>
      <c r="J1065" s="114" t="n"/>
      <c r="K1065" s="139">
        <f>IFERROR(IF(H1065&gt;0,H1065*$C$7,""),"")</f>
        <v/>
      </c>
      <c r="L1065" s="139">
        <f>IFERROR(IF(ISNUMBER(F1065),F1065-IF(ISNUMBER(K1065),K1065,0),""),"")</f>
        <v/>
      </c>
    </row>
    <row r="1066" ht="24" customHeight="1" s="63">
      <c r="E1066" s="139" t="n"/>
      <c r="F1066" s="139" t="n"/>
      <c r="G1066" s="140">
        <f>IFERROR(IF(E1066&gt;0,(F1066/E1066)*1000,""),"")</f>
        <v/>
      </c>
      <c r="H1066" s="139">
        <f>IFERROR(IF(E1066&gt;0,E1066*IF(ISNUMBER(J1066),J1066,IF(C1066="Futures",$C$6,$C$5)),""),"")</f>
        <v/>
      </c>
      <c r="I1066" s="139">
        <f>IFERROR(IF(AND(ISNUMBER(F1066),ISNUMBER(H1066)),F1066-H1066,""),"")</f>
        <v/>
      </c>
      <c r="J1066" s="114" t="n"/>
      <c r="K1066" s="139">
        <f>IFERROR(IF(H1066&gt;0,H1066*$C$7,""),"")</f>
        <v/>
      </c>
      <c r="L1066" s="139">
        <f>IFERROR(IF(ISNUMBER(F1066),F1066-IF(ISNUMBER(K1066),K1066,0),""),"")</f>
        <v/>
      </c>
    </row>
    <row r="1067" ht="24" customHeight="1" s="63">
      <c r="E1067" s="139" t="n"/>
      <c r="F1067" s="139" t="n"/>
      <c r="G1067" s="140">
        <f>IFERROR(IF(E1067&gt;0,(F1067/E1067)*1000,""),"")</f>
        <v/>
      </c>
      <c r="H1067" s="139">
        <f>IFERROR(IF(E1067&gt;0,E1067*IF(ISNUMBER(J1067),J1067,IF(C1067="Futures",$C$6,$C$5)),""),"")</f>
        <v/>
      </c>
      <c r="I1067" s="139">
        <f>IFERROR(IF(AND(ISNUMBER(F1067),ISNUMBER(H1067)),F1067-H1067,""),"")</f>
        <v/>
      </c>
      <c r="J1067" s="114" t="n"/>
      <c r="K1067" s="139">
        <f>IFERROR(IF(H1067&gt;0,H1067*$C$7,""),"")</f>
        <v/>
      </c>
      <c r="L1067" s="139">
        <f>IFERROR(IF(ISNUMBER(F1067),F1067-IF(ISNUMBER(K1067),K1067,0),""),"")</f>
        <v/>
      </c>
    </row>
    <row r="1068" ht="24" customHeight="1" s="63">
      <c r="E1068" s="139" t="n"/>
      <c r="F1068" s="139" t="n"/>
      <c r="G1068" s="140">
        <f>IFERROR(IF(E1068&gt;0,(F1068/E1068)*1000,""),"")</f>
        <v/>
      </c>
      <c r="H1068" s="139">
        <f>IFERROR(IF(E1068&gt;0,E1068*IF(ISNUMBER(J1068),J1068,IF(C1068="Futures",$C$6,$C$5)),""),"")</f>
        <v/>
      </c>
      <c r="I1068" s="139">
        <f>IFERROR(IF(AND(ISNUMBER(F1068),ISNUMBER(H1068)),F1068-H1068,""),"")</f>
        <v/>
      </c>
      <c r="J1068" s="114" t="n"/>
      <c r="K1068" s="139">
        <f>IFERROR(IF(H1068&gt;0,H1068*$C$7,""),"")</f>
        <v/>
      </c>
      <c r="L1068" s="139">
        <f>IFERROR(IF(ISNUMBER(F1068),F1068-IF(ISNUMBER(K1068),K1068,0),""),"")</f>
        <v/>
      </c>
    </row>
    <row r="1069" ht="24" customHeight="1" s="63">
      <c r="E1069" s="139" t="n"/>
      <c r="F1069" s="139" t="n"/>
      <c r="G1069" s="140">
        <f>IFERROR(IF(E1069&gt;0,(F1069/E1069)*1000,""),"")</f>
        <v/>
      </c>
      <c r="H1069" s="139">
        <f>IFERROR(IF(E1069&gt;0,E1069*IF(ISNUMBER(J1069),J1069,IF(C1069="Futures",$C$6,$C$5)),""),"")</f>
        <v/>
      </c>
      <c r="I1069" s="139">
        <f>IFERROR(IF(AND(ISNUMBER(F1069),ISNUMBER(H1069)),F1069-H1069,""),"")</f>
        <v/>
      </c>
      <c r="J1069" s="114" t="n"/>
      <c r="K1069" s="139">
        <f>IFERROR(IF(H1069&gt;0,H1069*$C$7,""),"")</f>
        <v/>
      </c>
      <c r="L1069" s="139">
        <f>IFERROR(IF(ISNUMBER(F1069),F1069-IF(ISNUMBER(K1069),K1069,0),""),"")</f>
        <v/>
      </c>
    </row>
    <row r="1070" ht="24" customHeight="1" s="63">
      <c r="E1070" s="139" t="n"/>
      <c r="F1070" s="139" t="n"/>
      <c r="G1070" s="140">
        <f>IFERROR(IF(E1070&gt;0,(F1070/E1070)*1000,""),"")</f>
        <v/>
      </c>
      <c r="H1070" s="139">
        <f>IFERROR(IF(E1070&gt;0,E1070*IF(ISNUMBER(J1070),J1070,IF(C1070="Futures",$C$6,$C$5)),""),"")</f>
        <v/>
      </c>
      <c r="I1070" s="139">
        <f>IFERROR(IF(AND(ISNUMBER(F1070),ISNUMBER(H1070)),F1070-H1070,""),"")</f>
        <v/>
      </c>
      <c r="J1070" s="114" t="n"/>
      <c r="K1070" s="139">
        <f>IFERROR(IF(H1070&gt;0,H1070*$C$7,""),"")</f>
        <v/>
      </c>
      <c r="L1070" s="139">
        <f>IFERROR(IF(ISNUMBER(F1070),F1070-IF(ISNUMBER(K1070),K1070,0),""),"")</f>
        <v/>
      </c>
    </row>
    <row r="1071" ht="24" customHeight="1" s="63">
      <c r="E1071" s="139" t="n"/>
      <c r="F1071" s="139" t="n"/>
      <c r="G1071" s="140">
        <f>IFERROR(IF(E1071&gt;0,(F1071/E1071)*1000,""),"")</f>
        <v/>
      </c>
      <c r="H1071" s="139">
        <f>IFERROR(IF(E1071&gt;0,E1071*IF(ISNUMBER(J1071),J1071,IF(C1071="Futures",$C$6,$C$5)),""),"")</f>
        <v/>
      </c>
      <c r="I1071" s="139">
        <f>IFERROR(IF(AND(ISNUMBER(F1071),ISNUMBER(H1071)),F1071-H1071,""),"")</f>
        <v/>
      </c>
      <c r="J1071" s="114" t="n"/>
      <c r="K1071" s="139">
        <f>IFERROR(IF(H1071&gt;0,H1071*$C$7,""),"")</f>
        <v/>
      </c>
      <c r="L1071" s="139">
        <f>IFERROR(IF(ISNUMBER(F1071),F1071-IF(ISNUMBER(K1071),K1071,0),""),"")</f>
        <v/>
      </c>
    </row>
    <row r="1072" ht="24" customHeight="1" s="63">
      <c r="E1072" s="139" t="n"/>
      <c r="F1072" s="139" t="n"/>
      <c r="G1072" s="140">
        <f>IFERROR(IF(E1072&gt;0,(F1072/E1072)*1000,""),"")</f>
        <v/>
      </c>
      <c r="H1072" s="139">
        <f>IFERROR(IF(E1072&gt;0,E1072*IF(ISNUMBER(J1072),J1072,IF(C1072="Futures",$C$6,$C$5)),""),"")</f>
        <v/>
      </c>
      <c r="I1072" s="139">
        <f>IFERROR(IF(AND(ISNUMBER(F1072),ISNUMBER(H1072)),F1072-H1072,""),"")</f>
        <v/>
      </c>
      <c r="J1072" s="114" t="n"/>
      <c r="K1072" s="139">
        <f>IFERROR(IF(H1072&gt;0,H1072*$C$7,""),"")</f>
        <v/>
      </c>
      <c r="L1072" s="139">
        <f>IFERROR(IF(ISNUMBER(F1072),F1072-IF(ISNUMBER(K1072),K1072,0),""),"")</f>
        <v/>
      </c>
    </row>
    <row r="1073" ht="24" customHeight="1" s="63">
      <c r="E1073" s="139" t="n"/>
      <c r="F1073" s="139" t="n"/>
      <c r="G1073" s="140">
        <f>IFERROR(IF(E1073&gt;0,(F1073/E1073)*1000,""),"")</f>
        <v/>
      </c>
      <c r="H1073" s="139">
        <f>IFERROR(IF(E1073&gt;0,E1073*IF(ISNUMBER(J1073),J1073,IF(C1073="Futures",$C$6,$C$5)),""),"")</f>
        <v/>
      </c>
      <c r="I1073" s="139">
        <f>IFERROR(IF(AND(ISNUMBER(F1073),ISNUMBER(H1073)),F1073-H1073,""),"")</f>
        <v/>
      </c>
      <c r="J1073" s="114" t="n"/>
      <c r="K1073" s="139">
        <f>IFERROR(IF(H1073&gt;0,H1073*$C$7,""),"")</f>
        <v/>
      </c>
      <c r="L1073" s="139">
        <f>IFERROR(IF(ISNUMBER(F1073),F1073-IF(ISNUMBER(K1073),K1073,0),""),"")</f>
        <v/>
      </c>
    </row>
    <row r="1074" ht="24" customHeight="1" s="63">
      <c r="E1074" s="139" t="n"/>
      <c r="F1074" s="139" t="n"/>
      <c r="G1074" s="140">
        <f>IFERROR(IF(E1074&gt;0,(F1074/E1074)*1000,""),"")</f>
        <v/>
      </c>
      <c r="H1074" s="139">
        <f>IFERROR(IF(E1074&gt;0,E1074*IF(ISNUMBER(J1074),J1074,IF(C1074="Futures",$C$6,$C$5)),""),"")</f>
        <v/>
      </c>
      <c r="I1074" s="139">
        <f>IFERROR(IF(AND(ISNUMBER(F1074),ISNUMBER(H1074)),F1074-H1074,""),"")</f>
        <v/>
      </c>
      <c r="J1074" s="114" t="n"/>
      <c r="K1074" s="139">
        <f>IFERROR(IF(H1074&gt;0,H1074*$C$7,""),"")</f>
        <v/>
      </c>
      <c r="L1074" s="139">
        <f>IFERROR(IF(ISNUMBER(F1074),F1074-IF(ISNUMBER(K1074),K1074,0),""),"")</f>
        <v/>
      </c>
    </row>
    <row r="1075" ht="24" customHeight="1" s="63">
      <c r="E1075" s="139" t="n"/>
      <c r="F1075" s="139" t="n"/>
      <c r="G1075" s="140">
        <f>IFERROR(IF(E1075&gt;0,(F1075/E1075)*1000,""),"")</f>
        <v/>
      </c>
      <c r="H1075" s="139">
        <f>IFERROR(IF(E1075&gt;0,E1075*IF(ISNUMBER(J1075),J1075,IF(C1075="Futures",$C$6,$C$5)),""),"")</f>
        <v/>
      </c>
      <c r="I1075" s="139">
        <f>IFERROR(IF(AND(ISNUMBER(F1075),ISNUMBER(H1075)),F1075-H1075,""),"")</f>
        <v/>
      </c>
      <c r="J1075" s="114" t="n"/>
      <c r="K1075" s="139">
        <f>IFERROR(IF(H1075&gt;0,H1075*$C$7,""),"")</f>
        <v/>
      </c>
      <c r="L1075" s="139">
        <f>IFERROR(IF(ISNUMBER(F1075),F1075-IF(ISNUMBER(K1075),K1075,0),""),"")</f>
        <v/>
      </c>
    </row>
    <row r="1076" ht="24" customHeight="1" s="63">
      <c r="E1076" s="139" t="n"/>
      <c r="F1076" s="139" t="n"/>
      <c r="G1076" s="140">
        <f>IFERROR(IF(E1076&gt;0,(F1076/E1076)*1000,""),"")</f>
        <v/>
      </c>
      <c r="H1076" s="139">
        <f>IFERROR(IF(E1076&gt;0,E1076*IF(ISNUMBER(J1076),J1076,IF(C1076="Futures",$C$6,$C$5)),""),"")</f>
        <v/>
      </c>
      <c r="I1076" s="139">
        <f>IFERROR(IF(AND(ISNUMBER(F1076),ISNUMBER(H1076)),F1076-H1076,""),"")</f>
        <v/>
      </c>
      <c r="J1076" s="114" t="n"/>
      <c r="K1076" s="139">
        <f>IFERROR(IF(H1076&gt;0,H1076*$C$7,""),"")</f>
        <v/>
      </c>
      <c r="L1076" s="139">
        <f>IFERROR(IF(ISNUMBER(F1076),F1076-IF(ISNUMBER(K1076),K1076,0),""),"")</f>
        <v/>
      </c>
    </row>
    <row r="1077" ht="24" customHeight="1" s="63">
      <c r="E1077" s="139" t="n"/>
      <c r="F1077" s="139" t="n"/>
      <c r="G1077" s="140">
        <f>IFERROR(IF(E1077&gt;0,(F1077/E1077)*1000,""),"")</f>
        <v/>
      </c>
      <c r="H1077" s="139">
        <f>IFERROR(IF(E1077&gt;0,E1077*IF(ISNUMBER(J1077),J1077,IF(C1077="Futures",$C$6,$C$5)),""),"")</f>
        <v/>
      </c>
      <c r="I1077" s="139">
        <f>IFERROR(IF(AND(ISNUMBER(F1077),ISNUMBER(H1077)),F1077-H1077,""),"")</f>
        <v/>
      </c>
      <c r="J1077" s="114" t="n"/>
      <c r="K1077" s="139">
        <f>IFERROR(IF(H1077&gt;0,H1077*$C$7,""),"")</f>
        <v/>
      </c>
      <c r="L1077" s="139">
        <f>IFERROR(IF(ISNUMBER(F1077),F1077-IF(ISNUMBER(K1077),K1077,0),""),"")</f>
        <v/>
      </c>
    </row>
    <row r="1078" ht="24" customHeight="1" s="63">
      <c r="E1078" s="139" t="n"/>
      <c r="F1078" s="139" t="n"/>
      <c r="G1078" s="140">
        <f>IFERROR(IF(E1078&gt;0,(F1078/E1078)*1000,""),"")</f>
        <v/>
      </c>
      <c r="H1078" s="139">
        <f>IFERROR(IF(E1078&gt;0,E1078*IF(ISNUMBER(J1078),J1078,IF(C1078="Futures",$C$6,$C$5)),""),"")</f>
        <v/>
      </c>
      <c r="I1078" s="139">
        <f>IFERROR(IF(AND(ISNUMBER(F1078),ISNUMBER(H1078)),F1078-H1078,""),"")</f>
        <v/>
      </c>
      <c r="J1078" s="114" t="n"/>
      <c r="K1078" s="139">
        <f>IFERROR(IF(H1078&gt;0,H1078*$C$7,""),"")</f>
        <v/>
      </c>
      <c r="L1078" s="139">
        <f>IFERROR(IF(ISNUMBER(F1078),F1078-IF(ISNUMBER(K1078),K1078,0),""),"")</f>
        <v/>
      </c>
    </row>
    <row r="1079" ht="24" customHeight="1" s="63">
      <c r="E1079" s="139" t="n"/>
      <c r="F1079" s="139" t="n"/>
      <c r="G1079" s="140">
        <f>IFERROR(IF(E1079&gt;0,(F1079/E1079)*1000,""),"")</f>
        <v/>
      </c>
      <c r="H1079" s="139">
        <f>IFERROR(IF(E1079&gt;0,E1079*IF(ISNUMBER(J1079),J1079,IF(C1079="Futures",$C$6,$C$5)),""),"")</f>
        <v/>
      </c>
      <c r="I1079" s="139">
        <f>IFERROR(IF(AND(ISNUMBER(F1079),ISNUMBER(H1079)),F1079-H1079,""),"")</f>
        <v/>
      </c>
      <c r="J1079" s="114" t="n"/>
      <c r="K1079" s="139">
        <f>IFERROR(IF(H1079&gt;0,H1079*$C$7,""),"")</f>
        <v/>
      </c>
      <c r="L1079" s="139">
        <f>IFERROR(IF(ISNUMBER(F1079),F1079-IF(ISNUMBER(K1079),K1079,0),""),"")</f>
        <v/>
      </c>
    </row>
    <row r="1080" ht="24" customHeight="1" s="63">
      <c r="E1080" s="139" t="n"/>
      <c r="F1080" s="139" t="n"/>
      <c r="G1080" s="140">
        <f>IFERROR(IF(E1080&gt;0,(F1080/E1080)*1000,""),"")</f>
        <v/>
      </c>
      <c r="H1080" s="139">
        <f>IFERROR(IF(E1080&gt;0,E1080*IF(ISNUMBER(J1080),J1080,IF(C1080="Futures",$C$6,$C$5)),""),"")</f>
        <v/>
      </c>
      <c r="I1080" s="139">
        <f>IFERROR(IF(AND(ISNUMBER(F1080),ISNUMBER(H1080)),F1080-H1080,""),"")</f>
        <v/>
      </c>
      <c r="J1080" s="114" t="n"/>
      <c r="K1080" s="139">
        <f>IFERROR(IF(H1080&gt;0,H1080*$C$7,""),"")</f>
        <v/>
      </c>
      <c r="L1080" s="139">
        <f>IFERROR(IF(ISNUMBER(F1080),F1080-IF(ISNUMBER(K1080),K1080,0),""),"")</f>
        <v/>
      </c>
    </row>
    <row r="1081" ht="24" customHeight="1" s="63">
      <c r="E1081" s="139" t="n"/>
      <c r="F1081" s="139" t="n"/>
      <c r="G1081" s="140">
        <f>IFERROR(IF(E1081&gt;0,(F1081/E1081)*1000,""),"")</f>
        <v/>
      </c>
      <c r="H1081" s="139">
        <f>IFERROR(IF(E1081&gt;0,E1081*IF(ISNUMBER(J1081),J1081,IF(C1081="Futures",$C$6,$C$5)),""),"")</f>
        <v/>
      </c>
      <c r="I1081" s="139">
        <f>IFERROR(IF(AND(ISNUMBER(F1081),ISNUMBER(H1081)),F1081-H1081,""),"")</f>
        <v/>
      </c>
      <c r="J1081" s="114" t="n"/>
      <c r="K1081" s="139">
        <f>IFERROR(IF(H1081&gt;0,H1081*$C$7,""),"")</f>
        <v/>
      </c>
      <c r="L1081" s="139">
        <f>IFERROR(IF(ISNUMBER(F1081),F1081-IF(ISNUMBER(K1081),K1081,0),""),"")</f>
        <v/>
      </c>
    </row>
    <row r="1082" ht="24" customHeight="1" s="63">
      <c r="E1082" s="139" t="n"/>
      <c r="F1082" s="139" t="n"/>
      <c r="G1082" s="140">
        <f>IFERROR(IF(E1082&gt;0,(F1082/E1082)*1000,""),"")</f>
        <v/>
      </c>
      <c r="H1082" s="139">
        <f>IFERROR(IF(E1082&gt;0,E1082*IF(ISNUMBER(J1082),J1082,IF(C1082="Futures",$C$6,$C$5)),""),"")</f>
        <v/>
      </c>
      <c r="I1082" s="139">
        <f>IFERROR(IF(AND(ISNUMBER(F1082),ISNUMBER(H1082)),F1082-H1082,""),"")</f>
        <v/>
      </c>
      <c r="J1082" s="114" t="n"/>
      <c r="K1082" s="139">
        <f>IFERROR(IF(H1082&gt;0,H1082*$C$7,""),"")</f>
        <v/>
      </c>
      <c r="L1082" s="139">
        <f>IFERROR(IF(ISNUMBER(F1082),F1082-IF(ISNUMBER(K1082),K1082,0),""),"")</f>
        <v/>
      </c>
    </row>
    <row r="1083" ht="24" customHeight="1" s="63">
      <c r="E1083" s="139" t="n"/>
      <c r="F1083" s="139" t="n"/>
      <c r="G1083" s="140">
        <f>IFERROR(IF(E1083&gt;0,(F1083/E1083)*1000,""),"")</f>
        <v/>
      </c>
      <c r="H1083" s="139">
        <f>IFERROR(IF(E1083&gt;0,E1083*IF(ISNUMBER(J1083),J1083,IF(C1083="Futures",$C$6,$C$5)),""),"")</f>
        <v/>
      </c>
      <c r="I1083" s="139">
        <f>IFERROR(IF(AND(ISNUMBER(F1083),ISNUMBER(H1083)),F1083-H1083,""),"")</f>
        <v/>
      </c>
      <c r="J1083" s="114" t="n"/>
      <c r="K1083" s="139">
        <f>IFERROR(IF(H1083&gt;0,H1083*$C$7,""),"")</f>
        <v/>
      </c>
      <c r="L1083" s="139">
        <f>IFERROR(IF(ISNUMBER(F1083),F1083-IF(ISNUMBER(K1083),K1083,0),""),"")</f>
        <v/>
      </c>
    </row>
    <row r="1084" ht="24" customHeight="1" s="63">
      <c r="E1084" s="139" t="n"/>
      <c r="F1084" s="139" t="n"/>
      <c r="G1084" s="140">
        <f>IFERROR(IF(E1084&gt;0,(F1084/E1084)*1000,""),"")</f>
        <v/>
      </c>
      <c r="H1084" s="139">
        <f>IFERROR(IF(E1084&gt;0,E1084*IF(ISNUMBER(J1084),J1084,IF(C1084="Futures",$C$6,$C$5)),""),"")</f>
        <v/>
      </c>
      <c r="I1084" s="139">
        <f>IFERROR(IF(AND(ISNUMBER(F1084),ISNUMBER(H1084)),F1084-H1084,""),"")</f>
        <v/>
      </c>
      <c r="J1084" s="114" t="n"/>
      <c r="K1084" s="139">
        <f>IFERROR(IF(H1084&gt;0,H1084*$C$7,""),"")</f>
        <v/>
      </c>
      <c r="L1084" s="139">
        <f>IFERROR(IF(ISNUMBER(F1084),F1084-IF(ISNUMBER(K1084),K1084,0),""),"")</f>
        <v/>
      </c>
    </row>
    <row r="1085" ht="24" customHeight="1" s="63">
      <c r="E1085" s="139" t="n"/>
      <c r="F1085" s="139" t="n"/>
      <c r="G1085" s="140">
        <f>IFERROR(IF(E1085&gt;0,(F1085/E1085)*1000,""),"")</f>
        <v/>
      </c>
      <c r="H1085" s="139">
        <f>IFERROR(IF(E1085&gt;0,E1085*IF(ISNUMBER(J1085),J1085,IF(C1085="Futures",$C$6,$C$5)),""),"")</f>
        <v/>
      </c>
      <c r="I1085" s="139">
        <f>IFERROR(IF(AND(ISNUMBER(F1085),ISNUMBER(H1085)),F1085-H1085,""),"")</f>
        <v/>
      </c>
      <c r="J1085" s="114" t="n"/>
      <c r="K1085" s="139">
        <f>IFERROR(IF(H1085&gt;0,H1085*$C$7,""),"")</f>
        <v/>
      </c>
      <c r="L1085" s="139">
        <f>IFERROR(IF(ISNUMBER(F1085),F1085-IF(ISNUMBER(K1085),K1085,0),""),"")</f>
        <v/>
      </c>
    </row>
    <row r="1086" ht="24" customHeight="1" s="63">
      <c r="E1086" s="139" t="n"/>
      <c r="F1086" s="139" t="n"/>
      <c r="G1086" s="140">
        <f>IFERROR(IF(E1086&gt;0,(F1086/E1086)*1000,""),"")</f>
        <v/>
      </c>
      <c r="H1086" s="139">
        <f>IFERROR(IF(E1086&gt;0,E1086*IF(ISNUMBER(J1086),J1086,IF(C1086="Futures",$C$6,$C$5)),""),"")</f>
        <v/>
      </c>
      <c r="I1086" s="139">
        <f>IFERROR(IF(AND(ISNUMBER(F1086),ISNUMBER(H1086)),F1086-H1086,""),"")</f>
        <v/>
      </c>
      <c r="J1086" s="114" t="n"/>
      <c r="K1086" s="139">
        <f>IFERROR(IF(H1086&gt;0,H1086*$C$7,""),"")</f>
        <v/>
      </c>
      <c r="L1086" s="139">
        <f>IFERROR(IF(ISNUMBER(F1086),F1086-IF(ISNUMBER(K1086),K1086,0),""),"")</f>
        <v/>
      </c>
    </row>
    <row r="1087" ht="24" customHeight="1" s="63">
      <c r="E1087" s="139" t="n"/>
      <c r="F1087" s="139" t="n"/>
      <c r="G1087" s="140">
        <f>IFERROR(IF(E1087&gt;0,(F1087/E1087)*1000,""),"")</f>
        <v/>
      </c>
      <c r="H1087" s="139">
        <f>IFERROR(IF(E1087&gt;0,E1087*IF(ISNUMBER(J1087),J1087,IF(C1087="Futures",$C$6,$C$5)),""),"")</f>
        <v/>
      </c>
      <c r="I1087" s="139">
        <f>IFERROR(IF(AND(ISNUMBER(F1087),ISNUMBER(H1087)),F1087-H1087,""),"")</f>
        <v/>
      </c>
      <c r="J1087" s="114" t="n"/>
      <c r="K1087" s="139">
        <f>IFERROR(IF(H1087&gt;0,H1087*$C$7,""),"")</f>
        <v/>
      </c>
      <c r="L1087" s="139">
        <f>IFERROR(IF(ISNUMBER(F1087),F1087-IF(ISNUMBER(K1087),K1087,0),""),"")</f>
        <v/>
      </c>
    </row>
    <row r="1088" ht="24" customHeight="1" s="63">
      <c r="E1088" s="139" t="n"/>
      <c r="F1088" s="139" t="n"/>
      <c r="G1088" s="140">
        <f>IFERROR(IF(E1088&gt;0,(F1088/E1088)*1000,""),"")</f>
        <v/>
      </c>
      <c r="H1088" s="139">
        <f>IFERROR(IF(E1088&gt;0,E1088*IF(ISNUMBER(J1088),J1088,IF(C1088="Futures",$C$6,$C$5)),""),"")</f>
        <v/>
      </c>
      <c r="I1088" s="139">
        <f>IFERROR(IF(AND(ISNUMBER(F1088),ISNUMBER(H1088)),F1088-H1088,""),"")</f>
        <v/>
      </c>
      <c r="J1088" s="114" t="n"/>
      <c r="K1088" s="139">
        <f>IFERROR(IF(H1088&gt;0,H1088*$C$7,""),"")</f>
        <v/>
      </c>
      <c r="L1088" s="139">
        <f>IFERROR(IF(ISNUMBER(F1088),F1088-IF(ISNUMBER(K1088),K1088,0),""),"")</f>
        <v/>
      </c>
    </row>
    <row r="1089" ht="24" customHeight="1" s="63">
      <c r="E1089" s="139" t="n"/>
      <c r="F1089" s="139" t="n"/>
      <c r="G1089" s="140">
        <f>IFERROR(IF(E1089&gt;0,(F1089/E1089)*1000,""),"")</f>
        <v/>
      </c>
      <c r="H1089" s="139">
        <f>IFERROR(IF(E1089&gt;0,E1089*IF(ISNUMBER(J1089),J1089,IF(C1089="Futures",$C$6,$C$5)),""),"")</f>
        <v/>
      </c>
      <c r="I1089" s="139">
        <f>IFERROR(IF(AND(ISNUMBER(F1089),ISNUMBER(H1089)),F1089-H1089,""),"")</f>
        <v/>
      </c>
      <c r="J1089" s="114" t="n"/>
      <c r="K1089" s="139">
        <f>IFERROR(IF(H1089&gt;0,H1089*$C$7,""),"")</f>
        <v/>
      </c>
      <c r="L1089" s="139">
        <f>IFERROR(IF(ISNUMBER(F1089),F1089-IF(ISNUMBER(K1089),K1089,0),""),"")</f>
        <v/>
      </c>
    </row>
    <row r="1090" ht="24" customHeight="1" s="63">
      <c r="E1090" s="139" t="n"/>
      <c r="F1090" s="139" t="n"/>
      <c r="G1090" s="140">
        <f>IFERROR(IF(E1090&gt;0,(F1090/E1090)*1000,""),"")</f>
        <v/>
      </c>
      <c r="H1090" s="139">
        <f>IFERROR(IF(E1090&gt;0,E1090*IF(ISNUMBER(J1090),J1090,IF(C1090="Futures",$C$6,$C$5)),""),"")</f>
        <v/>
      </c>
      <c r="I1090" s="139">
        <f>IFERROR(IF(AND(ISNUMBER(F1090),ISNUMBER(H1090)),F1090-H1090,""),"")</f>
        <v/>
      </c>
      <c r="J1090" s="114" t="n"/>
      <c r="K1090" s="139">
        <f>IFERROR(IF(H1090&gt;0,H1090*$C$7,""),"")</f>
        <v/>
      </c>
      <c r="L1090" s="139">
        <f>IFERROR(IF(ISNUMBER(F1090),F1090-IF(ISNUMBER(K1090),K1090,0),""),"")</f>
        <v/>
      </c>
    </row>
    <row r="1091" ht="24" customHeight="1" s="63">
      <c r="E1091" s="139" t="n"/>
      <c r="F1091" s="139" t="n"/>
      <c r="G1091" s="140">
        <f>IFERROR(IF(E1091&gt;0,(F1091/E1091)*1000,""),"")</f>
        <v/>
      </c>
      <c r="H1091" s="139">
        <f>IFERROR(IF(E1091&gt;0,E1091*IF(ISNUMBER(J1091),J1091,IF(C1091="Futures",$C$6,$C$5)),""),"")</f>
        <v/>
      </c>
      <c r="I1091" s="139">
        <f>IFERROR(IF(AND(ISNUMBER(F1091),ISNUMBER(H1091)),F1091-H1091,""),"")</f>
        <v/>
      </c>
      <c r="J1091" s="114" t="n"/>
      <c r="K1091" s="139">
        <f>IFERROR(IF(H1091&gt;0,H1091*$C$7,""),"")</f>
        <v/>
      </c>
      <c r="L1091" s="139">
        <f>IFERROR(IF(ISNUMBER(F1091),F1091-IF(ISNUMBER(K1091),K1091,0),""),"")</f>
        <v/>
      </c>
    </row>
    <row r="1092" ht="24" customHeight="1" s="63">
      <c r="E1092" s="139" t="n"/>
      <c r="F1092" s="139" t="n"/>
      <c r="G1092" s="140">
        <f>IFERROR(IF(E1092&gt;0,(F1092/E1092)*1000,""),"")</f>
        <v/>
      </c>
      <c r="H1092" s="139">
        <f>IFERROR(IF(E1092&gt;0,E1092*IF(ISNUMBER(J1092),J1092,IF(C1092="Futures",$C$6,$C$5)),""),"")</f>
        <v/>
      </c>
      <c r="I1092" s="139">
        <f>IFERROR(IF(AND(ISNUMBER(F1092),ISNUMBER(H1092)),F1092-H1092,""),"")</f>
        <v/>
      </c>
      <c r="J1092" s="114" t="n"/>
      <c r="K1092" s="139">
        <f>IFERROR(IF(H1092&gt;0,H1092*$C$7,""),"")</f>
        <v/>
      </c>
      <c r="L1092" s="139">
        <f>IFERROR(IF(ISNUMBER(F1092),F1092-IF(ISNUMBER(K1092),K1092,0),""),"")</f>
        <v/>
      </c>
    </row>
    <row r="1093" ht="24" customHeight="1" s="63">
      <c r="E1093" s="139" t="n"/>
      <c r="F1093" s="139" t="n"/>
      <c r="G1093" s="140">
        <f>IFERROR(IF(E1093&gt;0,(F1093/E1093)*1000,""),"")</f>
        <v/>
      </c>
      <c r="H1093" s="139">
        <f>IFERROR(IF(E1093&gt;0,E1093*IF(ISNUMBER(J1093),J1093,IF(C1093="Futures",$C$6,$C$5)),""),"")</f>
        <v/>
      </c>
      <c r="I1093" s="139">
        <f>IFERROR(IF(AND(ISNUMBER(F1093),ISNUMBER(H1093)),F1093-H1093,""),"")</f>
        <v/>
      </c>
      <c r="J1093" s="114" t="n"/>
      <c r="K1093" s="139">
        <f>IFERROR(IF(H1093&gt;0,H1093*$C$7,""),"")</f>
        <v/>
      </c>
      <c r="L1093" s="139">
        <f>IFERROR(IF(ISNUMBER(F1093),F1093-IF(ISNUMBER(K1093),K1093,0),""),"")</f>
        <v/>
      </c>
    </row>
    <row r="1094" ht="24" customHeight="1" s="63">
      <c r="E1094" s="139" t="n"/>
      <c r="F1094" s="139" t="n"/>
      <c r="G1094" s="140">
        <f>IFERROR(IF(E1094&gt;0,(F1094/E1094)*1000,""),"")</f>
        <v/>
      </c>
      <c r="H1094" s="139">
        <f>IFERROR(IF(E1094&gt;0,E1094*IF(ISNUMBER(J1094),J1094,IF(C1094="Futures",$C$6,$C$5)),""),"")</f>
        <v/>
      </c>
      <c r="I1094" s="139">
        <f>IFERROR(IF(AND(ISNUMBER(F1094),ISNUMBER(H1094)),F1094-H1094,""),"")</f>
        <v/>
      </c>
      <c r="J1094" s="114" t="n"/>
      <c r="K1094" s="139">
        <f>IFERROR(IF(H1094&gt;0,H1094*$C$7,""),"")</f>
        <v/>
      </c>
      <c r="L1094" s="139">
        <f>IFERROR(IF(ISNUMBER(F1094),F1094-IF(ISNUMBER(K1094),K1094,0),""),"")</f>
        <v/>
      </c>
    </row>
    <row r="1095" ht="24" customHeight="1" s="63">
      <c r="E1095" s="139" t="n"/>
      <c r="F1095" s="139" t="n"/>
      <c r="G1095" s="140">
        <f>IFERROR(IF(E1095&gt;0,(F1095/E1095)*1000,""),"")</f>
        <v/>
      </c>
      <c r="H1095" s="139">
        <f>IFERROR(IF(E1095&gt;0,E1095*IF(ISNUMBER(J1095),J1095,IF(C1095="Futures",$C$6,$C$5)),""),"")</f>
        <v/>
      </c>
      <c r="I1095" s="139">
        <f>IFERROR(IF(AND(ISNUMBER(F1095),ISNUMBER(H1095)),F1095-H1095,""),"")</f>
        <v/>
      </c>
      <c r="J1095" s="114" t="n"/>
      <c r="K1095" s="139">
        <f>IFERROR(IF(H1095&gt;0,H1095*$C$7,""),"")</f>
        <v/>
      </c>
      <c r="L1095" s="139">
        <f>IFERROR(IF(ISNUMBER(F1095),F1095-IF(ISNUMBER(K1095),K1095,0),""),"")</f>
        <v/>
      </c>
    </row>
    <row r="1096" ht="24" customHeight="1" s="63">
      <c r="E1096" s="139" t="n"/>
      <c r="F1096" s="139" t="n"/>
      <c r="G1096" s="140">
        <f>IFERROR(IF(E1096&gt;0,(F1096/E1096)*1000,""),"")</f>
        <v/>
      </c>
      <c r="H1096" s="139">
        <f>IFERROR(IF(E1096&gt;0,E1096*IF(ISNUMBER(J1096),J1096,IF(C1096="Futures",$C$6,$C$5)),""),"")</f>
        <v/>
      </c>
      <c r="I1096" s="139">
        <f>IFERROR(IF(AND(ISNUMBER(F1096),ISNUMBER(H1096)),F1096-H1096,""),"")</f>
        <v/>
      </c>
      <c r="J1096" s="114" t="n"/>
      <c r="K1096" s="139">
        <f>IFERROR(IF(H1096&gt;0,H1096*$C$7,""),"")</f>
        <v/>
      </c>
      <c r="L1096" s="139">
        <f>IFERROR(IF(ISNUMBER(F1096),F1096-IF(ISNUMBER(K1096),K1096,0),""),"")</f>
        <v/>
      </c>
    </row>
    <row r="1097" ht="24" customHeight="1" s="63">
      <c r="E1097" s="139" t="n"/>
      <c r="F1097" s="139" t="n"/>
      <c r="G1097" s="140">
        <f>IFERROR(IF(E1097&gt;0,(F1097/E1097)*1000,""),"")</f>
        <v/>
      </c>
      <c r="H1097" s="139">
        <f>IFERROR(IF(E1097&gt;0,E1097*IF(ISNUMBER(J1097),J1097,IF(C1097="Futures",$C$6,$C$5)),""),"")</f>
        <v/>
      </c>
      <c r="I1097" s="139">
        <f>IFERROR(IF(AND(ISNUMBER(F1097),ISNUMBER(H1097)),F1097-H1097,""),"")</f>
        <v/>
      </c>
      <c r="J1097" s="114" t="n"/>
      <c r="K1097" s="139">
        <f>IFERROR(IF(H1097&gt;0,H1097*$C$7,""),"")</f>
        <v/>
      </c>
      <c r="L1097" s="139">
        <f>IFERROR(IF(ISNUMBER(F1097),F1097-IF(ISNUMBER(K1097),K1097,0),""),"")</f>
        <v/>
      </c>
    </row>
    <row r="1098" ht="24" customHeight="1" s="63">
      <c r="E1098" s="139" t="n"/>
      <c r="F1098" s="139" t="n"/>
      <c r="G1098" s="140">
        <f>IFERROR(IF(E1098&gt;0,(F1098/E1098)*1000,""),"")</f>
        <v/>
      </c>
      <c r="H1098" s="139">
        <f>IFERROR(IF(E1098&gt;0,E1098*IF(ISNUMBER(J1098),J1098,IF(C1098="Futures",$C$6,$C$5)),""),"")</f>
        <v/>
      </c>
      <c r="I1098" s="139">
        <f>IFERROR(IF(AND(ISNUMBER(F1098),ISNUMBER(H1098)),F1098-H1098,""),"")</f>
        <v/>
      </c>
      <c r="J1098" s="114" t="n"/>
      <c r="K1098" s="139">
        <f>IFERROR(IF(H1098&gt;0,H1098*$C$7,""),"")</f>
        <v/>
      </c>
      <c r="L1098" s="139">
        <f>IFERROR(IF(ISNUMBER(F1098),F1098-IF(ISNUMBER(K1098),K1098,0),""),"")</f>
        <v/>
      </c>
    </row>
    <row r="1099" ht="24" customHeight="1" s="63">
      <c r="E1099" s="139" t="n"/>
      <c r="F1099" s="139" t="n"/>
      <c r="G1099" s="140">
        <f>IFERROR(IF(E1099&gt;0,(F1099/E1099)*1000,""),"")</f>
        <v/>
      </c>
      <c r="H1099" s="139">
        <f>IFERROR(IF(E1099&gt;0,E1099*IF(ISNUMBER(J1099),J1099,IF(C1099="Futures",$C$6,$C$5)),""),"")</f>
        <v/>
      </c>
      <c r="I1099" s="139">
        <f>IFERROR(IF(AND(ISNUMBER(F1099),ISNUMBER(H1099)),F1099-H1099,""),"")</f>
        <v/>
      </c>
      <c r="J1099" s="114" t="n"/>
      <c r="K1099" s="139">
        <f>IFERROR(IF(H1099&gt;0,H1099*$C$7,""),"")</f>
        <v/>
      </c>
      <c r="L1099" s="139">
        <f>IFERROR(IF(ISNUMBER(F1099),F1099-IF(ISNUMBER(K1099),K1099,0),""),"")</f>
        <v/>
      </c>
    </row>
    <row r="1100" ht="24" customHeight="1" s="63">
      <c r="E1100" s="139" t="n"/>
      <c r="F1100" s="139" t="n"/>
      <c r="G1100" s="140">
        <f>IFERROR(IF(E1100&gt;0,(F1100/E1100)*1000,""),"")</f>
        <v/>
      </c>
      <c r="H1100" s="139">
        <f>IFERROR(IF(E1100&gt;0,E1100*IF(ISNUMBER(J1100),J1100,IF(C1100="Futures",$C$6,$C$5)),""),"")</f>
        <v/>
      </c>
      <c r="I1100" s="139">
        <f>IFERROR(IF(AND(ISNUMBER(F1100),ISNUMBER(H1100)),F1100-H1100,""),"")</f>
        <v/>
      </c>
      <c r="J1100" s="114" t="n"/>
      <c r="K1100" s="139">
        <f>IFERROR(IF(H1100&gt;0,H1100*$C$7,""),"")</f>
        <v/>
      </c>
      <c r="L1100" s="139">
        <f>IFERROR(IF(ISNUMBER(F1100),F1100-IF(ISNUMBER(K1100),K1100,0),""),"")</f>
        <v/>
      </c>
    </row>
    <row r="1101" ht="24" customHeight="1" s="63">
      <c r="E1101" s="139" t="n"/>
      <c r="F1101" s="139" t="n"/>
      <c r="G1101" s="140">
        <f>IFERROR(IF(E1101&gt;0,(F1101/E1101)*1000,""),"")</f>
        <v/>
      </c>
      <c r="H1101" s="139">
        <f>IFERROR(IF(E1101&gt;0,E1101*IF(ISNUMBER(J1101),J1101,IF(C1101="Futures",$C$6,$C$5)),""),"")</f>
        <v/>
      </c>
      <c r="I1101" s="139">
        <f>IFERROR(IF(AND(ISNUMBER(F1101),ISNUMBER(H1101)),F1101-H1101,""),"")</f>
        <v/>
      </c>
      <c r="J1101" s="114" t="n"/>
      <c r="K1101" s="139">
        <f>IFERROR(IF(H1101&gt;0,H1101*$C$7,""),"")</f>
        <v/>
      </c>
      <c r="L1101" s="139">
        <f>IFERROR(IF(ISNUMBER(F1101),F1101-IF(ISNUMBER(K1101),K1101,0),""),"")</f>
        <v/>
      </c>
    </row>
    <row r="1102" ht="24" customHeight="1" s="63">
      <c r="E1102" s="139" t="n"/>
      <c r="F1102" s="139" t="n"/>
      <c r="G1102" s="140">
        <f>IFERROR(IF(E1102&gt;0,(F1102/E1102)*1000,""),"")</f>
        <v/>
      </c>
      <c r="H1102" s="139">
        <f>IFERROR(IF(E1102&gt;0,E1102*IF(ISNUMBER(J1102),J1102,IF(C1102="Futures",$C$6,$C$5)),""),"")</f>
        <v/>
      </c>
      <c r="I1102" s="139">
        <f>IFERROR(IF(AND(ISNUMBER(F1102),ISNUMBER(H1102)),F1102-H1102,""),"")</f>
        <v/>
      </c>
      <c r="J1102" s="114" t="n"/>
      <c r="K1102" s="139">
        <f>IFERROR(IF(H1102&gt;0,H1102*$C$7,""),"")</f>
        <v/>
      </c>
      <c r="L1102" s="139">
        <f>IFERROR(IF(ISNUMBER(F1102),F1102-IF(ISNUMBER(K1102),K1102,0),""),"")</f>
        <v/>
      </c>
    </row>
    <row r="1103" ht="24" customHeight="1" s="63">
      <c r="E1103" s="139" t="n"/>
      <c r="F1103" s="139" t="n"/>
      <c r="G1103" s="140">
        <f>IFERROR(IF(E1103&gt;0,(F1103/E1103)*1000,""),"")</f>
        <v/>
      </c>
      <c r="H1103" s="139">
        <f>IFERROR(IF(E1103&gt;0,E1103*IF(ISNUMBER(J1103),J1103,IF(C1103="Futures",$C$6,$C$5)),""),"")</f>
        <v/>
      </c>
      <c r="I1103" s="139">
        <f>IFERROR(IF(AND(ISNUMBER(F1103),ISNUMBER(H1103)),F1103-H1103,""),"")</f>
        <v/>
      </c>
      <c r="J1103" s="114" t="n"/>
      <c r="K1103" s="139">
        <f>IFERROR(IF(H1103&gt;0,H1103*$C$7,""),"")</f>
        <v/>
      </c>
      <c r="L1103" s="139">
        <f>IFERROR(IF(ISNUMBER(F1103),F1103-IF(ISNUMBER(K1103),K1103,0),""),"")</f>
        <v/>
      </c>
    </row>
    <row r="1104" ht="24" customHeight="1" s="63">
      <c r="E1104" s="139" t="n"/>
      <c r="F1104" s="139" t="n"/>
      <c r="G1104" s="140">
        <f>IFERROR(IF(E1104&gt;0,(F1104/E1104)*1000,""),"")</f>
        <v/>
      </c>
      <c r="H1104" s="139">
        <f>IFERROR(IF(E1104&gt;0,E1104*IF(ISNUMBER(J1104),J1104,IF(C1104="Futures",$C$6,$C$5)),""),"")</f>
        <v/>
      </c>
      <c r="I1104" s="139">
        <f>IFERROR(IF(AND(ISNUMBER(F1104),ISNUMBER(H1104)),F1104-H1104,""),"")</f>
        <v/>
      </c>
      <c r="J1104" s="114" t="n"/>
      <c r="K1104" s="139">
        <f>IFERROR(IF(H1104&gt;0,H1104*$C$7,""),"")</f>
        <v/>
      </c>
      <c r="L1104" s="139">
        <f>IFERROR(IF(ISNUMBER(F1104),F1104-IF(ISNUMBER(K1104),K1104,0),""),"")</f>
        <v/>
      </c>
    </row>
    <row r="1105" ht="24" customHeight="1" s="63">
      <c r="E1105" s="139" t="n"/>
      <c r="F1105" s="139" t="n"/>
      <c r="G1105" s="140">
        <f>IFERROR(IF(E1105&gt;0,(F1105/E1105)*1000,""),"")</f>
        <v/>
      </c>
      <c r="H1105" s="139">
        <f>IFERROR(IF(E1105&gt;0,E1105*IF(ISNUMBER(J1105),J1105,IF(C1105="Futures",$C$6,$C$5)),""),"")</f>
        <v/>
      </c>
      <c r="I1105" s="139">
        <f>IFERROR(IF(AND(ISNUMBER(F1105),ISNUMBER(H1105)),F1105-H1105,""),"")</f>
        <v/>
      </c>
      <c r="J1105" s="114" t="n"/>
      <c r="K1105" s="139">
        <f>IFERROR(IF(H1105&gt;0,H1105*$C$7,""),"")</f>
        <v/>
      </c>
      <c r="L1105" s="139">
        <f>IFERROR(IF(ISNUMBER(F1105),F1105-IF(ISNUMBER(K1105),K1105,0),""),"")</f>
        <v/>
      </c>
    </row>
    <row r="1106" ht="24" customHeight="1" s="63">
      <c r="E1106" s="139" t="n"/>
      <c r="F1106" s="139" t="n"/>
      <c r="G1106" s="140">
        <f>IFERROR(IF(E1106&gt;0,(F1106/E1106)*1000,""),"")</f>
        <v/>
      </c>
      <c r="H1106" s="139">
        <f>IFERROR(IF(E1106&gt;0,E1106*IF(ISNUMBER(J1106),J1106,IF(C1106="Futures",$C$6,$C$5)),""),"")</f>
        <v/>
      </c>
      <c r="I1106" s="139">
        <f>IFERROR(IF(AND(ISNUMBER(F1106),ISNUMBER(H1106)),F1106-H1106,""),"")</f>
        <v/>
      </c>
      <c r="J1106" s="114" t="n"/>
      <c r="K1106" s="139">
        <f>IFERROR(IF(H1106&gt;0,H1106*$C$7,""),"")</f>
        <v/>
      </c>
      <c r="L1106" s="139">
        <f>IFERROR(IF(ISNUMBER(F1106),F1106-IF(ISNUMBER(K1106),K1106,0),""),"")</f>
        <v/>
      </c>
    </row>
    <row r="1107" ht="24" customHeight="1" s="63">
      <c r="E1107" s="139" t="n"/>
      <c r="F1107" s="139" t="n"/>
      <c r="G1107" s="140">
        <f>IFERROR(IF(E1107&gt;0,(F1107/E1107)*1000,""),"")</f>
        <v/>
      </c>
      <c r="H1107" s="139">
        <f>IFERROR(IF(E1107&gt;0,E1107*IF(ISNUMBER(J1107),J1107,IF(C1107="Futures",$C$6,$C$5)),""),"")</f>
        <v/>
      </c>
      <c r="I1107" s="139">
        <f>IFERROR(IF(AND(ISNUMBER(F1107),ISNUMBER(H1107)),F1107-H1107,""),"")</f>
        <v/>
      </c>
      <c r="J1107" s="114" t="n"/>
      <c r="K1107" s="139">
        <f>IFERROR(IF(H1107&gt;0,H1107*$C$7,""),"")</f>
        <v/>
      </c>
      <c r="L1107" s="139">
        <f>IFERROR(IF(ISNUMBER(F1107),F1107-IF(ISNUMBER(K1107),K1107,0),""),"")</f>
        <v/>
      </c>
    </row>
    <row r="1108" ht="24" customHeight="1" s="63">
      <c r="E1108" s="139" t="n"/>
      <c r="F1108" s="139" t="n"/>
      <c r="G1108" s="140">
        <f>IFERROR(IF(E1108&gt;0,(F1108/E1108)*1000,""),"")</f>
        <v/>
      </c>
      <c r="H1108" s="139">
        <f>IFERROR(IF(E1108&gt;0,E1108*IF(ISNUMBER(J1108),J1108,IF(C1108="Futures",$C$6,$C$5)),""),"")</f>
        <v/>
      </c>
      <c r="I1108" s="139">
        <f>IFERROR(IF(AND(ISNUMBER(F1108),ISNUMBER(H1108)),F1108-H1108,""),"")</f>
        <v/>
      </c>
      <c r="J1108" s="114" t="n"/>
      <c r="K1108" s="139">
        <f>IFERROR(IF(H1108&gt;0,H1108*$C$7,""),"")</f>
        <v/>
      </c>
      <c r="L1108" s="139">
        <f>IFERROR(IF(ISNUMBER(F1108),F1108-IF(ISNUMBER(K1108),K1108,0),""),"")</f>
        <v/>
      </c>
    </row>
    <row r="1109" ht="24" customHeight="1" s="63">
      <c r="E1109" s="139" t="n"/>
      <c r="F1109" s="139" t="n"/>
      <c r="G1109" s="140">
        <f>IFERROR(IF(E1109&gt;0,(F1109/E1109)*1000,""),"")</f>
        <v/>
      </c>
      <c r="H1109" s="139">
        <f>IFERROR(IF(E1109&gt;0,E1109*IF(ISNUMBER(J1109),J1109,IF(C1109="Futures",$C$6,$C$5)),""),"")</f>
        <v/>
      </c>
      <c r="I1109" s="139">
        <f>IFERROR(IF(AND(ISNUMBER(F1109),ISNUMBER(H1109)),F1109-H1109,""),"")</f>
        <v/>
      </c>
      <c r="J1109" s="114" t="n"/>
      <c r="K1109" s="139">
        <f>IFERROR(IF(H1109&gt;0,H1109*$C$7,""),"")</f>
        <v/>
      </c>
      <c r="L1109" s="139">
        <f>IFERROR(IF(ISNUMBER(F1109),F1109-IF(ISNUMBER(K1109),K1109,0),""),"")</f>
        <v/>
      </c>
    </row>
    <row r="1110" ht="24" customHeight="1" s="63">
      <c r="E1110" s="139" t="n"/>
      <c r="F1110" s="139" t="n"/>
      <c r="G1110" s="140">
        <f>IFERROR(IF(E1110&gt;0,(F1110/E1110)*1000,""),"")</f>
        <v/>
      </c>
      <c r="H1110" s="139">
        <f>IFERROR(IF(E1110&gt;0,E1110*IF(ISNUMBER(J1110),J1110,IF(C1110="Futures",$C$6,$C$5)),""),"")</f>
        <v/>
      </c>
      <c r="I1110" s="139">
        <f>IFERROR(IF(AND(ISNUMBER(F1110),ISNUMBER(H1110)),F1110-H1110,""),"")</f>
        <v/>
      </c>
      <c r="J1110" s="114" t="n"/>
      <c r="K1110" s="139">
        <f>IFERROR(IF(H1110&gt;0,H1110*$C$7,""),"")</f>
        <v/>
      </c>
      <c r="L1110" s="139">
        <f>IFERROR(IF(ISNUMBER(F1110),F1110-IF(ISNUMBER(K1110),K1110,0),""),"")</f>
        <v/>
      </c>
    </row>
    <row r="1111" ht="24" customHeight="1" s="63">
      <c r="E1111" s="139" t="n"/>
      <c r="F1111" s="139" t="n"/>
      <c r="G1111" s="140">
        <f>IFERROR(IF(E1111&gt;0,(F1111/E1111)*1000,""),"")</f>
        <v/>
      </c>
      <c r="H1111" s="139">
        <f>IFERROR(IF(E1111&gt;0,E1111*IF(ISNUMBER(J1111),J1111,IF(C1111="Futures",$C$6,$C$5)),""),"")</f>
        <v/>
      </c>
      <c r="I1111" s="139">
        <f>IFERROR(IF(AND(ISNUMBER(F1111),ISNUMBER(H1111)),F1111-H1111,""),"")</f>
        <v/>
      </c>
      <c r="J1111" s="114" t="n"/>
      <c r="K1111" s="139">
        <f>IFERROR(IF(H1111&gt;0,H1111*$C$7,""),"")</f>
        <v/>
      </c>
      <c r="L1111" s="139">
        <f>IFERROR(IF(ISNUMBER(F1111),F1111-IF(ISNUMBER(K1111),K1111,0),""),"")</f>
        <v/>
      </c>
    </row>
    <row r="1112" ht="24" customHeight="1" s="63">
      <c r="E1112" s="139" t="n"/>
      <c r="F1112" s="139" t="n"/>
      <c r="G1112" s="140">
        <f>IFERROR(IF(E1112&gt;0,(F1112/E1112)*1000,""),"")</f>
        <v/>
      </c>
      <c r="H1112" s="139">
        <f>IFERROR(IF(E1112&gt;0,E1112*IF(ISNUMBER(J1112),J1112,IF(C1112="Futures",$C$6,$C$5)),""),"")</f>
        <v/>
      </c>
      <c r="I1112" s="139">
        <f>IFERROR(IF(AND(ISNUMBER(F1112),ISNUMBER(H1112)),F1112-H1112,""),"")</f>
        <v/>
      </c>
      <c r="J1112" s="114" t="n"/>
      <c r="K1112" s="139">
        <f>IFERROR(IF(H1112&gt;0,H1112*$C$7,""),"")</f>
        <v/>
      </c>
      <c r="L1112" s="139">
        <f>IFERROR(IF(ISNUMBER(F1112),F1112-IF(ISNUMBER(K1112),K1112,0),""),"")</f>
        <v/>
      </c>
    </row>
    <row r="1113" ht="24" customHeight="1" s="63">
      <c r="E1113" s="139" t="n"/>
      <c r="F1113" s="139" t="n"/>
      <c r="G1113" s="140">
        <f>IFERROR(IF(E1113&gt;0,(F1113/E1113)*1000,""),"")</f>
        <v/>
      </c>
      <c r="H1113" s="139">
        <f>IFERROR(IF(E1113&gt;0,E1113*IF(ISNUMBER(J1113),J1113,IF(C1113="Futures",$C$6,$C$5)),""),"")</f>
        <v/>
      </c>
      <c r="I1113" s="139">
        <f>IFERROR(IF(AND(ISNUMBER(F1113),ISNUMBER(H1113)),F1113-H1113,""),"")</f>
        <v/>
      </c>
      <c r="J1113" s="114" t="n"/>
      <c r="K1113" s="139">
        <f>IFERROR(IF(H1113&gt;0,H1113*$C$7,""),"")</f>
        <v/>
      </c>
      <c r="L1113" s="139">
        <f>IFERROR(IF(ISNUMBER(F1113),F1113-IF(ISNUMBER(K1113),K1113,0),""),"")</f>
        <v/>
      </c>
    </row>
    <row r="1114" ht="24" customHeight="1" s="63">
      <c r="E1114" s="139" t="n"/>
      <c r="F1114" s="139" t="n"/>
      <c r="G1114" s="140">
        <f>IFERROR(IF(E1114&gt;0,(F1114/E1114)*1000,""),"")</f>
        <v/>
      </c>
      <c r="H1114" s="139">
        <f>IFERROR(IF(E1114&gt;0,E1114*IF(ISNUMBER(J1114),J1114,IF(C1114="Futures",$C$6,$C$5)),""),"")</f>
        <v/>
      </c>
      <c r="I1114" s="139">
        <f>IFERROR(IF(AND(ISNUMBER(F1114),ISNUMBER(H1114)),F1114-H1114,""),"")</f>
        <v/>
      </c>
      <c r="J1114" s="114" t="n"/>
      <c r="K1114" s="139">
        <f>IFERROR(IF(H1114&gt;0,H1114*$C$7,""),"")</f>
        <v/>
      </c>
      <c r="L1114" s="139">
        <f>IFERROR(IF(ISNUMBER(F1114),F1114-IF(ISNUMBER(K1114),K1114,0),""),"")</f>
        <v/>
      </c>
    </row>
    <row r="1115" ht="24" customHeight="1" s="63">
      <c r="E1115" s="139" t="n"/>
      <c r="F1115" s="139" t="n"/>
      <c r="G1115" s="140">
        <f>IFERROR(IF(E1115&gt;0,(F1115/E1115)*1000,""),"")</f>
        <v/>
      </c>
      <c r="H1115" s="139">
        <f>IFERROR(IF(E1115&gt;0,E1115*IF(ISNUMBER(J1115),J1115,IF(C1115="Futures",$C$6,$C$5)),""),"")</f>
        <v/>
      </c>
      <c r="I1115" s="139">
        <f>IFERROR(IF(AND(ISNUMBER(F1115),ISNUMBER(H1115)),F1115-H1115,""),"")</f>
        <v/>
      </c>
      <c r="J1115" s="114" t="n"/>
      <c r="K1115" s="139">
        <f>IFERROR(IF(H1115&gt;0,H1115*$C$7,""),"")</f>
        <v/>
      </c>
      <c r="L1115" s="139">
        <f>IFERROR(IF(ISNUMBER(F1115),F1115-IF(ISNUMBER(K1115),K1115,0),""),"")</f>
        <v/>
      </c>
    </row>
    <row r="1116" ht="24" customHeight="1" s="63">
      <c r="E1116" s="139" t="n"/>
      <c r="F1116" s="139" t="n"/>
      <c r="G1116" s="140">
        <f>IFERROR(IF(E1116&gt;0,(F1116/E1116)*1000,""),"")</f>
        <v/>
      </c>
      <c r="H1116" s="139">
        <f>IFERROR(IF(E1116&gt;0,E1116*IF(ISNUMBER(J1116),J1116,IF(C1116="Futures",$C$6,$C$5)),""),"")</f>
        <v/>
      </c>
      <c r="I1116" s="139">
        <f>IFERROR(IF(AND(ISNUMBER(F1116),ISNUMBER(H1116)),F1116-H1116,""),"")</f>
        <v/>
      </c>
      <c r="J1116" s="114" t="n"/>
      <c r="K1116" s="139">
        <f>IFERROR(IF(H1116&gt;0,H1116*$C$7,""),"")</f>
        <v/>
      </c>
      <c r="L1116" s="139">
        <f>IFERROR(IF(ISNUMBER(F1116),F1116-IF(ISNUMBER(K1116),K1116,0),""),"")</f>
        <v/>
      </c>
    </row>
    <row r="1117" ht="24" customHeight="1" s="63">
      <c r="E1117" s="139" t="n"/>
      <c r="F1117" s="139" t="n"/>
      <c r="G1117" s="140">
        <f>IFERROR(IF(E1117&gt;0,(F1117/E1117)*1000,""),"")</f>
        <v/>
      </c>
      <c r="H1117" s="139">
        <f>IFERROR(IF(E1117&gt;0,E1117*IF(ISNUMBER(J1117),J1117,IF(C1117="Futures",$C$6,$C$5)),""),"")</f>
        <v/>
      </c>
      <c r="I1117" s="139">
        <f>IFERROR(IF(AND(ISNUMBER(F1117),ISNUMBER(H1117)),F1117-H1117,""),"")</f>
        <v/>
      </c>
      <c r="J1117" s="114" t="n"/>
      <c r="K1117" s="139">
        <f>IFERROR(IF(H1117&gt;0,H1117*$C$7,""),"")</f>
        <v/>
      </c>
      <c r="L1117" s="139">
        <f>IFERROR(IF(ISNUMBER(F1117),F1117-IF(ISNUMBER(K1117),K1117,0),""),"")</f>
        <v/>
      </c>
    </row>
    <row r="1118" ht="24" customHeight="1" s="63">
      <c r="E1118" s="139" t="n"/>
      <c r="F1118" s="139" t="n"/>
      <c r="G1118" s="140">
        <f>IFERROR(IF(E1118&gt;0,(F1118/E1118)*1000,""),"")</f>
        <v/>
      </c>
      <c r="H1118" s="139">
        <f>IFERROR(IF(E1118&gt;0,E1118*IF(ISNUMBER(J1118),J1118,IF(C1118="Futures",$C$6,$C$5)),""),"")</f>
        <v/>
      </c>
      <c r="I1118" s="139">
        <f>IFERROR(IF(AND(ISNUMBER(F1118),ISNUMBER(H1118)),F1118-H1118,""),"")</f>
        <v/>
      </c>
      <c r="J1118" s="114" t="n"/>
      <c r="K1118" s="139">
        <f>IFERROR(IF(H1118&gt;0,H1118*$C$7,""),"")</f>
        <v/>
      </c>
      <c r="L1118" s="139">
        <f>IFERROR(IF(ISNUMBER(F1118),F1118-IF(ISNUMBER(K1118),K1118,0),""),"")</f>
        <v/>
      </c>
    </row>
    <row r="1119" ht="24" customHeight="1" s="63">
      <c r="E1119" s="139" t="n"/>
      <c r="F1119" s="139" t="n"/>
      <c r="G1119" s="140">
        <f>IFERROR(IF(E1119&gt;0,(F1119/E1119)*1000,""),"")</f>
        <v/>
      </c>
      <c r="H1119" s="139">
        <f>IFERROR(IF(E1119&gt;0,E1119*IF(ISNUMBER(J1119),J1119,IF(C1119="Futures",$C$6,$C$5)),""),"")</f>
        <v/>
      </c>
      <c r="I1119" s="139">
        <f>IFERROR(IF(AND(ISNUMBER(F1119),ISNUMBER(H1119)),F1119-H1119,""),"")</f>
        <v/>
      </c>
      <c r="J1119" s="114" t="n"/>
      <c r="K1119" s="139">
        <f>IFERROR(IF(H1119&gt;0,H1119*$C$7,""),"")</f>
        <v/>
      </c>
      <c r="L1119" s="139">
        <f>IFERROR(IF(ISNUMBER(F1119),F1119-IF(ISNUMBER(K1119),K1119,0),""),"")</f>
        <v/>
      </c>
    </row>
    <row r="1120" ht="24" customHeight="1" s="63">
      <c r="E1120" s="139" t="n"/>
      <c r="F1120" s="139" t="n"/>
      <c r="G1120" s="140">
        <f>IFERROR(IF(E1120&gt;0,(F1120/E1120)*1000,""),"")</f>
        <v/>
      </c>
      <c r="H1120" s="139">
        <f>IFERROR(IF(E1120&gt;0,E1120*IF(ISNUMBER(J1120),J1120,IF(C1120="Futures",$C$6,$C$5)),""),"")</f>
        <v/>
      </c>
      <c r="I1120" s="139">
        <f>IFERROR(IF(AND(ISNUMBER(F1120),ISNUMBER(H1120)),F1120-H1120,""),"")</f>
        <v/>
      </c>
      <c r="J1120" s="114" t="n"/>
      <c r="K1120" s="139">
        <f>IFERROR(IF(H1120&gt;0,H1120*$C$7,""),"")</f>
        <v/>
      </c>
      <c r="L1120" s="139">
        <f>IFERROR(IF(ISNUMBER(F1120),F1120-IF(ISNUMBER(K1120),K1120,0),""),"")</f>
        <v/>
      </c>
    </row>
    <row r="1121" ht="24" customHeight="1" s="63">
      <c r="E1121" s="139" t="n"/>
      <c r="F1121" s="139" t="n"/>
      <c r="G1121" s="140">
        <f>IFERROR(IF(E1121&gt;0,(F1121/E1121)*1000,""),"")</f>
        <v/>
      </c>
      <c r="H1121" s="139">
        <f>IFERROR(IF(E1121&gt;0,E1121*IF(ISNUMBER(J1121),J1121,IF(C1121="Futures",$C$6,$C$5)),""),"")</f>
        <v/>
      </c>
      <c r="I1121" s="139">
        <f>IFERROR(IF(AND(ISNUMBER(F1121),ISNUMBER(H1121)),F1121-H1121,""),"")</f>
        <v/>
      </c>
      <c r="J1121" s="114" t="n"/>
      <c r="K1121" s="139">
        <f>IFERROR(IF(H1121&gt;0,H1121*$C$7,""),"")</f>
        <v/>
      </c>
      <c r="L1121" s="139">
        <f>IFERROR(IF(ISNUMBER(F1121),F1121-IF(ISNUMBER(K1121),K1121,0),""),"")</f>
        <v/>
      </c>
    </row>
    <row r="1122" ht="24" customHeight="1" s="63">
      <c r="E1122" s="139" t="n"/>
      <c r="F1122" s="139" t="n"/>
      <c r="G1122" s="140">
        <f>IFERROR(IF(E1122&gt;0,(F1122/E1122)*1000,""),"")</f>
        <v/>
      </c>
      <c r="H1122" s="139">
        <f>IFERROR(IF(E1122&gt;0,E1122*IF(ISNUMBER(J1122),J1122,IF(C1122="Futures",$C$6,$C$5)),""),"")</f>
        <v/>
      </c>
      <c r="I1122" s="139">
        <f>IFERROR(IF(AND(ISNUMBER(F1122),ISNUMBER(H1122)),F1122-H1122,""),"")</f>
        <v/>
      </c>
      <c r="J1122" s="114" t="n"/>
      <c r="K1122" s="139">
        <f>IFERROR(IF(H1122&gt;0,H1122*$C$7,""),"")</f>
        <v/>
      </c>
      <c r="L1122" s="139">
        <f>IFERROR(IF(ISNUMBER(F1122),F1122-IF(ISNUMBER(K1122),K1122,0),""),"")</f>
        <v/>
      </c>
    </row>
    <row r="1123" ht="24" customHeight="1" s="63">
      <c r="E1123" s="139" t="n"/>
      <c r="F1123" s="139" t="n"/>
      <c r="G1123" s="140">
        <f>IFERROR(IF(E1123&gt;0,(F1123/E1123)*1000,""),"")</f>
        <v/>
      </c>
      <c r="H1123" s="139">
        <f>IFERROR(IF(E1123&gt;0,E1123*IF(ISNUMBER(J1123),J1123,IF(C1123="Futures",$C$6,$C$5)),""),"")</f>
        <v/>
      </c>
      <c r="I1123" s="139">
        <f>IFERROR(IF(AND(ISNUMBER(F1123),ISNUMBER(H1123)),F1123-H1123,""),"")</f>
        <v/>
      </c>
      <c r="J1123" s="114" t="n"/>
      <c r="K1123" s="139">
        <f>IFERROR(IF(H1123&gt;0,H1123*$C$7,""),"")</f>
        <v/>
      </c>
      <c r="L1123" s="139">
        <f>IFERROR(IF(ISNUMBER(F1123),F1123-IF(ISNUMBER(K1123),K1123,0),""),"")</f>
        <v/>
      </c>
    </row>
    <row r="1124" ht="24" customHeight="1" s="63">
      <c r="E1124" s="139" t="n"/>
      <c r="F1124" s="139" t="n"/>
      <c r="G1124" s="140">
        <f>IFERROR(IF(E1124&gt;0,(F1124/E1124)*1000,""),"")</f>
        <v/>
      </c>
      <c r="H1124" s="139">
        <f>IFERROR(IF(E1124&gt;0,E1124*IF(ISNUMBER(J1124),J1124,IF(C1124="Futures",$C$6,$C$5)),""),"")</f>
        <v/>
      </c>
      <c r="I1124" s="139">
        <f>IFERROR(IF(AND(ISNUMBER(F1124),ISNUMBER(H1124)),F1124-H1124,""),"")</f>
        <v/>
      </c>
      <c r="J1124" s="114" t="n"/>
      <c r="K1124" s="139">
        <f>IFERROR(IF(H1124&gt;0,H1124*$C$7,""),"")</f>
        <v/>
      </c>
      <c r="L1124" s="139">
        <f>IFERROR(IF(ISNUMBER(F1124),F1124-IF(ISNUMBER(K1124),K1124,0),""),"")</f>
        <v/>
      </c>
    </row>
    <row r="1125" ht="24" customHeight="1" s="63">
      <c r="E1125" s="139" t="n"/>
      <c r="F1125" s="139" t="n"/>
      <c r="G1125" s="140">
        <f>IFERROR(IF(E1125&gt;0,(F1125/E1125)*1000,""),"")</f>
        <v/>
      </c>
      <c r="H1125" s="139">
        <f>IFERROR(IF(E1125&gt;0,E1125*IF(ISNUMBER(J1125),J1125,IF(C1125="Futures",$C$6,$C$5)),""),"")</f>
        <v/>
      </c>
      <c r="I1125" s="139">
        <f>IFERROR(IF(AND(ISNUMBER(F1125),ISNUMBER(H1125)),F1125-H1125,""),"")</f>
        <v/>
      </c>
      <c r="J1125" s="114" t="n"/>
      <c r="K1125" s="139">
        <f>IFERROR(IF(H1125&gt;0,H1125*$C$7,""),"")</f>
        <v/>
      </c>
      <c r="L1125" s="139">
        <f>IFERROR(IF(ISNUMBER(F1125),F1125-IF(ISNUMBER(K1125),K1125,0),""),"")</f>
        <v/>
      </c>
    </row>
    <row r="1126" ht="24" customHeight="1" s="63">
      <c r="E1126" s="139" t="n"/>
      <c r="F1126" s="139" t="n"/>
      <c r="G1126" s="140">
        <f>IFERROR(IF(E1126&gt;0,(F1126/E1126)*1000,""),"")</f>
        <v/>
      </c>
      <c r="H1126" s="139">
        <f>IFERROR(IF(E1126&gt;0,E1126*IF(ISNUMBER(J1126),J1126,IF(C1126="Futures",$C$6,$C$5)),""),"")</f>
        <v/>
      </c>
      <c r="I1126" s="139">
        <f>IFERROR(IF(AND(ISNUMBER(F1126),ISNUMBER(H1126)),F1126-H1126,""),"")</f>
        <v/>
      </c>
      <c r="J1126" s="114" t="n"/>
      <c r="K1126" s="139">
        <f>IFERROR(IF(H1126&gt;0,H1126*$C$7,""),"")</f>
        <v/>
      </c>
      <c r="L1126" s="139">
        <f>IFERROR(IF(ISNUMBER(F1126),F1126-IF(ISNUMBER(K1126),K1126,0),""),"")</f>
        <v/>
      </c>
    </row>
    <row r="1127" ht="24" customHeight="1" s="63">
      <c r="E1127" s="139" t="n"/>
      <c r="F1127" s="139" t="n"/>
      <c r="G1127" s="140">
        <f>IFERROR(IF(E1127&gt;0,(F1127/E1127)*1000,""),"")</f>
        <v/>
      </c>
      <c r="H1127" s="139">
        <f>IFERROR(IF(E1127&gt;0,E1127*IF(ISNUMBER(J1127),J1127,IF(C1127="Futures",$C$6,$C$5)),""),"")</f>
        <v/>
      </c>
      <c r="I1127" s="139">
        <f>IFERROR(IF(AND(ISNUMBER(F1127),ISNUMBER(H1127)),F1127-H1127,""),"")</f>
        <v/>
      </c>
      <c r="J1127" s="114" t="n"/>
      <c r="K1127" s="139">
        <f>IFERROR(IF(H1127&gt;0,H1127*$C$7,""),"")</f>
        <v/>
      </c>
      <c r="L1127" s="139">
        <f>IFERROR(IF(ISNUMBER(F1127),F1127-IF(ISNUMBER(K1127),K1127,0),""),"")</f>
        <v/>
      </c>
    </row>
    <row r="1128" ht="24" customHeight="1" s="63">
      <c r="E1128" s="139" t="n"/>
      <c r="F1128" s="139" t="n"/>
      <c r="G1128" s="140">
        <f>IFERROR(IF(E1128&gt;0,(F1128/E1128)*1000,""),"")</f>
        <v/>
      </c>
      <c r="H1128" s="139">
        <f>IFERROR(IF(E1128&gt;0,E1128*IF(ISNUMBER(J1128),J1128,IF(C1128="Futures",$C$6,$C$5)),""),"")</f>
        <v/>
      </c>
      <c r="I1128" s="139">
        <f>IFERROR(IF(AND(ISNUMBER(F1128),ISNUMBER(H1128)),F1128-H1128,""),"")</f>
        <v/>
      </c>
      <c r="J1128" s="114" t="n"/>
      <c r="K1128" s="139">
        <f>IFERROR(IF(H1128&gt;0,H1128*$C$7,""),"")</f>
        <v/>
      </c>
      <c r="L1128" s="139">
        <f>IFERROR(IF(ISNUMBER(F1128),F1128-IF(ISNUMBER(K1128),K1128,0),""),"")</f>
        <v/>
      </c>
    </row>
    <row r="1129" ht="24" customHeight="1" s="63">
      <c r="E1129" s="139" t="n"/>
      <c r="F1129" s="139" t="n"/>
      <c r="G1129" s="140">
        <f>IFERROR(IF(E1129&gt;0,(F1129/E1129)*1000,""),"")</f>
        <v/>
      </c>
      <c r="H1129" s="139">
        <f>IFERROR(IF(E1129&gt;0,E1129*IF(ISNUMBER(J1129),J1129,IF(C1129="Futures",$C$6,$C$5)),""),"")</f>
        <v/>
      </c>
      <c r="I1129" s="139">
        <f>IFERROR(IF(AND(ISNUMBER(F1129),ISNUMBER(H1129)),F1129-H1129,""),"")</f>
        <v/>
      </c>
      <c r="J1129" s="114" t="n"/>
      <c r="K1129" s="139">
        <f>IFERROR(IF(H1129&gt;0,H1129*$C$7,""),"")</f>
        <v/>
      </c>
      <c r="L1129" s="139">
        <f>IFERROR(IF(ISNUMBER(F1129),F1129-IF(ISNUMBER(K1129),K1129,0),""),"")</f>
        <v/>
      </c>
    </row>
    <row r="1130" ht="24" customHeight="1" s="63">
      <c r="E1130" s="139" t="n"/>
      <c r="F1130" s="139" t="n"/>
      <c r="G1130" s="140">
        <f>IFERROR(IF(E1130&gt;0,(F1130/E1130)*1000,""),"")</f>
        <v/>
      </c>
      <c r="H1130" s="139">
        <f>IFERROR(IF(E1130&gt;0,E1130*IF(ISNUMBER(J1130),J1130,IF(C1130="Futures",$C$6,$C$5)),""),"")</f>
        <v/>
      </c>
      <c r="I1130" s="139">
        <f>IFERROR(IF(AND(ISNUMBER(F1130),ISNUMBER(H1130)),F1130-H1130,""),"")</f>
        <v/>
      </c>
      <c r="J1130" s="114" t="n"/>
      <c r="K1130" s="139">
        <f>IFERROR(IF(H1130&gt;0,H1130*$C$7,""),"")</f>
        <v/>
      </c>
      <c r="L1130" s="139">
        <f>IFERROR(IF(ISNUMBER(F1130),F1130-IF(ISNUMBER(K1130),K1130,0),""),"")</f>
        <v/>
      </c>
    </row>
    <row r="1131" ht="24" customHeight="1" s="63">
      <c r="E1131" s="139" t="n"/>
      <c r="F1131" s="139" t="n"/>
      <c r="G1131" s="140">
        <f>IFERROR(IF(E1131&gt;0,(F1131/E1131)*1000,""),"")</f>
        <v/>
      </c>
      <c r="H1131" s="139">
        <f>IFERROR(IF(E1131&gt;0,E1131*IF(ISNUMBER(J1131),J1131,IF(C1131="Futures",$C$6,$C$5)),""),"")</f>
        <v/>
      </c>
      <c r="I1131" s="139">
        <f>IFERROR(IF(AND(ISNUMBER(F1131),ISNUMBER(H1131)),F1131-H1131,""),"")</f>
        <v/>
      </c>
      <c r="J1131" s="114" t="n"/>
      <c r="K1131" s="139">
        <f>IFERROR(IF(H1131&gt;0,H1131*$C$7,""),"")</f>
        <v/>
      </c>
      <c r="L1131" s="139">
        <f>IFERROR(IF(ISNUMBER(F1131),F1131-IF(ISNUMBER(K1131),K1131,0),""),"")</f>
        <v/>
      </c>
    </row>
    <row r="1132" ht="24" customHeight="1" s="63">
      <c r="E1132" s="139" t="n"/>
      <c r="F1132" s="139" t="n"/>
      <c r="G1132" s="140">
        <f>IFERROR(IF(E1132&gt;0,(F1132/E1132)*1000,""),"")</f>
        <v/>
      </c>
      <c r="H1132" s="139">
        <f>IFERROR(IF(E1132&gt;0,E1132*IF(ISNUMBER(J1132),J1132,IF(C1132="Futures",$C$6,$C$5)),""),"")</f>
        <v/>
      </c>
      <c r="I1132" s="139">
        <f>IFERROR(IF(AND(ISNUMBER(F1132),ISNUMBER(H1132)),F1132-H1132,""),"")</f>
        <v/>
      </c>
      <c r="J1132" s="114" t="n"/>
      <c r="K1132" s="139">
        <f>IFERROR(IF(H1132&gt;0,H1132*$C$7,""),"")</f>
        <v/>
      </c>
      <c r="L1132" s="139">
        <f>IFERROR(IF(ISNUMBER(F1132),F1132-IF(ISNUMBER(K1132),K1132,0),""),"")</f>
        <v/>
      </c>
    </row>
    <row r="1133" ht="24" customHeight="1" s="63">
      <c r="E1133" s="139" t="n"/>
      <c r="F1133" s="139" t="n"/>
      <c r="G1133" s="140">
        <f>IFERROR(IF(E1133&gt;0,(F1133/E1133)*1000,""),"")</f>
        <v/>
      </c>
      <c r="H1133" s="139">
        <f>IFERROR(IF(E1133&gt;0,E1133*IF(ISNUMBER(J1133),J1133,IF(C1133="Futures",$C$6,$C$5)),""),"")</f>
        <v/>
      </c>
      <c r="I1133" s="139">
        <f>IFERROR(IF(AND(ISNUMBER(F1133),ISNUMBER(H1133)),F1133-H1133,""),"")</f>
        <v/>
      </c>
      <c r="J1133" s="114" t="n"/>
      <c r="K1133" s="139">
        <f>IFERROR(IF(H1133&gt;0,H1133*$C$7,""),"")</f>
        <v/>
      </c>
      <c r="L1133" s="139">
        <f>IFERROR(IF(ISNUMBER(F1133),F1133-IF(ISNUMBER(K1133),K1133,0),""),"")</f>
        <v/>
      </c>
    </row>
    <row r="1134" ht="24" customHeight="1" s="63">
      <c r="E1134" s="139" t="n"/>
      <c r="F1134" s="139" t="n"/>
      <c r="G1134" s="140">
        <f>IFERROR(IF(E1134&gt;0,(F1134/E1134)*1000,""),"")</f>
        <v/>
      </c>
      <c r="H1134" s="139">
        <f>IFERROR(IF(E1134&gt;0,E1134*IF(ISNUMBER(J1134),J1134,IF(C1134="Futures",$C$6,$C$5)),""),"")</f>
        <v/>
      </c>
      <c r="I1134" s="139">
        <f>IFERROR(IF(AND(ISNUMBER(F1134),ISNUMBER(H1134)),F1134-H1134,""),"")</f>
        <v/>
      </c>
      <c r="J1134" s="114" t="n"/>
      <c r="K1134" s="139">
        <f>IFERROR(IF(H1134&gt;0,H1134*$C$7,""),"")</f>
        <v/>
      </c>
      <c r="L1134" s="139">
        <f>IFERROR(IF(ISNUMBER(F1134),F1134-IF(ISNUMBER(K1134),K1134,0),""),"")</f>
        <v/>
      </c>
    </row>
    <row r="1135" ht="24" customHeight="1" s="63">
      <c r="E1135" s="139" t="n"/>
      <c r="F1135" s="139" t="n"/>
      <c r="G1135" s="140">
        <f>IFERROR(IF(E1135&gt;0,(F1135/E1135)*1000,""),"")</f>
        <v/>
      </c>
      <c r="H1135" s="139">
        <f>IFERROR(IF(E1135&gt;0,E1135*IF(ISNUMBER(J1135),J1135,IF(C1135="Futures",$C$6,$C$5)),""),"")</f>
        <v/>
      </c>
      <c r="I1135" s="139">
        <f>IFERROR(IF(AND(ISNUMBER(F1135),ISNUMBER(H1135)),F1135-H1135,""),"")</f>
        <v/>
      </c>
      <c r="J1135" s="114" t="n"/>
      <c r="K1135" s="139">
        <f>IFERROR(IF(H1135&gt;0,H1135*$C$7,""),"")</f>
        <v/>
      </c>
      <c r="L1135" s="139">
        <f>IFERROR(IF(ISNUMBER(F1135),F1135-IF(ISNUMBER(K1135),K1135,0),""),"")</f>
        <v/>
      </c>
    </row>
    <row r="1136" ht="24" customHeight="1" s="63">
      <c r="E1136" s="139" t="n"/>
      <c r="F1136" s="139" t="n"/>
      <c r="G1136" s="140">
        <f>IFERROR(IF(E1136&gt;0,(F1136/E1136)*1000,""),"")</f>
        <v/>
      </c>
      <c r="H1136" s="139">
        <f>IFERROR(IF(E1136&gt;0,E1136*IF(ISNUMBER(J1136),J1136,IF(C1136="Futures",$C$6,$C$5)),""),"")</f>
        <v/>
      </c>
      <c r="I1136" s="139">
        <f>IFERROR(IF(AND(ISNUMBER(F1136),ISNUMBER(H1136)),F1136-H1136,""),"")</f>
        <v/>
      </c>
      <c r="J1136" s="114" t="n"/>
      <c r="K1136" s="139">
        <f>IFERROR(IF(H1136&gt;0,H1136*$C$7,""),"")</f>
        <v/>
      </c>
      <c r="L1136" s="139">
        <f>IFERROR(IF(ISNUMBER(F1136),F1136-IF(ISNUMBER(K1136),K1136,0),""),"")</f>
        <v/>
      </c>
    </row>
    <row r="1137" ht="24" customHeight="1" s="63">
      <c r="E1137" s="139" t="n"/>
      <c r="F1137" s="139" t="n"/>
      <c r="G1137" s="140">
        <f>IFERROR(IF(E1137&gt;0,(F1137/E1137)*1000,""),"")</f>
        <v/>
      </c>
      <c r="H1137" s="139">
        <f>IFERROR(IF(E1137&gt;0,E1137*IF(ISNUMBER(J1137),J1137,IF(C1137="Futures",$C$6,$C$5)),""),"")</f>
        <v/>
      </c>
      <c r="I1137" s="139">
        <f>IFERROR(IF(AND(ISNUMBER(F1137),ISNUMBER(H1137)),F1137-H1137,""),"")</f>
        <v/>
      </c>
      <c r="J1137" s="114" t="n"/>
      <c r="K1137" s="139">
        <f>IFERROR(IF(H1137&gt;0,H1137*$C$7,""),"")</f>
        <v/>
      </c>
      <c r="L1137" s="139">
        <f>IFERROR(IF(ISNUMBER(F1137),F1137-IF(ISNUMBER(K1137),K1137,0),""),"")</f>
        <v/>
      </c>
    </row>
    <row r="1138" ht="24" customHeight="1" s="63">
      <c r="E1138" s="139" t="n"/>
      <c r="F1138" s="139" t="n"/>
      <c r="G1138" s="140">
        <f>IFERROR(IF(E1138&gt;0,(F1138/E1138)*1000,""),"")</f>
        <v/>
      </c>
      <c r="H1138" s="139">
        <f>IFERROR(IF(E1138&gt;0,E1138*IF(ISNUMBER(J1138),J1138,IF(C1138="Futures",$C$6,$C$5)),""),"")</f>
        <v/>
      </c>
      <c r="I1138" s="139">
        <f>IFERROR(IF(AND(ISNUMBER(F1138),ISNUMBER(H1138)),F1138-H1138,""),"")</f>
        <v/>
      </c>
      <c r="J1138" s="114" t="n"/>
      <c r="K1138" s="139">
        <f>IFERROR(IF(H1138&gt;0,H1138*$C$7,""),"")</f>
        <v/>
      </c>
      <c r="L1138" s="139">
        <f>IFERROR(IF(ISNUMBER(F1138),F1138-IF(ISNUMBER(K1138),K1138,0),""),"")</f>
        <v/>
      </c>
    </row>
    <row r="1139" ht="24" customHeight="1" s="63">
      <c r="E1139" s="139" t="n"/>
      <c r="F1139" s="139" t="n"/>
      <c r="G1139" s="140">
        <f>IFERROR(IF(E1139&gt;0,(F1139/E1139)*1000,""),"")</f>
        <v/>
      </c>
      <c r="H1139" s="139">
        <f>IFERROR(IF(E1139&gt;0,E1139*IF(ISNUMBER(J1139),J1139,IF(C1139="Futures",$C$6,$C$5)),""),"")</f>
        <v/>
      </c>
      <c r="I1139" s="139">
        <f>IFERROR(IF(AND(ISNUMBER(F1139),ISNUMBER(H1139)),F1139-H1139,""),"")</f>
        <v/>
      </c>
      <c r="J1139" s="114" t="n"/>
      <c r="K1139" s="139">
        <f>IFERROR(IF(H1139&gt;0,H1139*$C$7,""),"")</f>
        <v/>
      </c>
      <c r="L1139" s="139">
        <f>IFERROR(IF(ISNUMBER(F1139),F1139-IF(ISNUMBER(K1139),K1139,0),""),"")</f>
        <v/>
      </c>
    </row>
    <row r="1140" ht="24" customHeight="1" s="63">
      <c r="E1140" s="139" t="n"/>
      <c r="F1140" s="139" t="n"/>
      <c r="G1140" s="140">
        <f>IFERROR(IF(E1140&gt;0,(F1140/E1140)*1000,""),"")</f>
        <v/>
      </c>
      <c r="H1140" s="139">
        <f>IFERROR(IF(E1140&gt;0,E1140*IF(ISNUMBER(J1140),J1140,IF(C1140="Futures",$C$6,$C$5)),""),"")</f>
        <v/>
      </c>
      <c r="I1140" s="139">
        <f>IFERROR(IF(AND(ISNUMBER(F1140),ISNUMBER(H1140)),F1140-H1140,""),"")</f>
        <v/>
      </c>
      <c r="J1140" s="114" t="n"/>
      <c r="K1140" s="139">
        <f>IFERROR(IF(H1140&gt;0,H1140*$C$7,""),"")</f>
        <v/>
      </c>
      <c r="L1140" s="139">
        <f>IFERROR(IF(ISNUMBER(F1140),F1140-IF(ISNUMBER(K1140),K1140,0),""),"")</f>
        <v/>
      </c>
    </row>
    <row r="1141" ht="24" customHeight="1" s="63">
      <c r="E1141" s="139" t="n"/>
      <c r="F1141" s="139" t="n"/>
      <c r="G1141" s="140">
        <f>IFERROR(IF(E1141&gt;0,(F1141/E1141)*1000,""),"")</f>
        <v/>
      </c>
      <c r="H1141" s="139">
        <f>IFERROR(IF(E1141&gt;0,E1141*IF(ISNUMBER(J1141),J1141,IF(C1141="Futures",$C$6,$C$5)),""),"")</f>
        <v/>
      </c>
      <c r="I1141" s="139">
        <f>IFERROR(IF(AND(ISNUMBER(F1141),ISNUMBER(H1141)),F1141-H1141,""),"")</f>
        <v/>
      </c>
      <c r="J1141" s="114" t="n"/>
      <c r="K1141" s="139">
        <f>IFERROR(IF(H1141&gt;0,H1141*$C$7,""),"")</f>
        <v/>
      </c>
      <c r="L1141" s="139">
        <f>IFERROR(IF(ISNUMBER(F1141),F1141-IF(ISNUMBER(K1141),K1141,0),""),"")</f>
        <v/>
      </c>
    </row>
    <row r="1142" ht="24" customHeight="1" s="63">
      <c r="E1142" s="139" t="n"/>
      <c r="F1142" s="139" t="n"/>
      <c r="G1142" s="140">
        <f>IFERROR(IF(E1142&gt;0,(F1142/E1142)*1000,""),"")</f>
        <v/>
      </c>
      <c r="H1142" s="139">
        <f>IFERROR(IF(E1142&gt;0,E1142*IF(ISNUMBER(J1142),J1142,IF(C1142="Futures",$C$6,$C$5)),""),"")</f>
        <v/>
      </c>
      <c r="I1142" s="139">
        <f>IFERROR(IF(AND(ISNUMBER(F1142),ISNUMBER(H1142)),F1142-H1142,""),"")</f>
        <v/>
      </c>
      <c r="J1142" s="114" t="n"/>
      <c r="K1142" s="139">
        <f>IFERROR(IF(H1142&gt;0,H1142*$C$7,""),"")</f>
        <v/>
      </c>
      <c r="L1142" s="139">
        <f>IFERROR(IF(ISNUMBER(F1142),F1142-IF(ISNUMBER(K1142),K1142,0),""),"")</f>
        <v/>
      </c>
    </row>
    <row r="1143" ht="24" customHeight="1" s="63">
      <c r="E1143" s="139" t="n"/>
      <c r="F1143" s="139" t="n"/>
      <c r="G1143" s="140">
        <f>IFERROR(IF(E1143&gt;0,(F1143/E1143)*1000,""),"")</f>
        <v/>
      </c>
      <c r="H1143" s="139">
        <f>IFERROR(IF(E1143&gt;0,E1143*IF(ISNUMBER(J1143),J1143,IF(C1143="Futures",$C$6,$C$5)),""),"")</f>
        <v/>
      </c>
      <c r="I1143" s="139">
        <f>IFERROR(IF(AND(ISNUMBER(F1143),ISNUMBER(H1143)),F1143-H1143,""),"")</f>
        <v/>
      </c>
      <c r="J1143" s="114" t="n"/>
      <c r="K1143" s="139">
        <f>IFERROR(IF(H1143&gt;0,H1143*$C$7,""),"")</f>
        <v/>
      </c>
      <c r="L1143" s="139">
        <f>IFERROR(IF(ISNUMBER(F1143),F1143-IF(ISNUMBER(K1143),K1143,0),""),"")</f>
        <v/>
      </c>
    </row>
    <row r="1144" ht="24" customHeight="1" s="63">
      <c r="E1144" s="139" t="n"/>
      <c r="F1144" s="139" t="n"/>
      <c r="G1144" s="140">
        <f>IFERROR(IF(E1144&gt;0,(F1144/E1144)*1000,""),"")</f>
        <v/>
      </c>
      <c r="H1144" s="139">
        <f>IFERROR(IF(E1144&gt;0,E1144*IF(ISNUMBER(J1144),J1144,IF(C1144="Futures",$C$6,$C$5)),""),"")</f>
        <v/>
      </c>
      <c r="I1144" s="139">
        <f>IFERROR(IF(AND(ISNUMBER(F1144),ISNUMBER(H1144)),F1144-H1144,""),"")</f>
        <v/>
      </c>
      <c r="J1144" s="114" t="n"/>
      <c r="K1144" s="139">
        <f>IFERROR(IF(H1144&gt;0,H1144*$C$7,""),"")</f>
        <v/>
      </c>
      <c r="L1144" s="139">
        <f>IFERROR(IF(ISNUMBER(F1144),F1144-IF(ISNUMBER(K1144),K1144,0),""),"")</f>
        <v/>
      </c>
    </row>
    <row r="1145" ht="24" customHeight="1" s="63">
      <c r="E1145" s="139" t="n"/>
      <c r="F1145" s="139" t="n"/>
      <c r="G1145" s="140">
        <f>IFERROR(IF(E1145&gt;0,(F1145/E1145)*1000,""),"")</f>
        <v/>
      </c>
      <c r="H1145" s="139">
        <f>IFERROR(IF(E1145&gt;0,E1145*IF(ISNUMBER(J1145),J1145,IF(C1145="Futures",$C$6,$C$5)),""),"")</f>
        <v/>
      </c>
      <c r="I1145" s="139">
        <f>IFERROR(IF(AND(ISNUMBER(F1145),ISNUMBER(H1145)),F1145-H1145,""),"")</f>
        <v/>
      </c>
      <c r="J1145" s="114" t="n"/>
      <c r="K1145" s="139">
        <f>IFERROR(IF(H1145&gt;0,H1145*$C$7,""),"")</f>
        <v/>
      </c>
      <c r="L1145" s="139">
        <f>IFERROR(IF(ISNUMBER(F1145),F1145-IF(ISNUMBER(K1145),K1145,0),""),"")</f>
        <v/>
      </c>
    </row>
    <row r="1146" ht="24" customHeight="1" s="63">
      <c r="E1146" s="139" t="n"/>
      <c r="F1146" s="139" t="n"/>
      <c r="G1146" s="140">
        <f>IFERROR(IF(E1146&gt;0,(F1146/E1146)*1000,""),"")</f>
        <v/>
      </c>
      <c r="H1146" s="139">
        <f>IFERROR(IF(E1146&gt;0,E1146*IF(ISNUMBER(J1146),J1146,IF(C1146="Futures",$C$6,$C$5)),""),"")</f>
        <v/>
      </c>
      <c r="I1146" s="139">
        <f>IFERROR(IF(AND(ISNUMBER(F1146),ISNUMBER(H1146)),F1146-H1146,""),"")</f>
        <v/>
      </c>
      <c r="J1146" s="114" t="n"/>
      <c r="K1146" s="139">
        <f>IFERROR(IF(H1146&gt;0,H1146*$C$7,""),"")</f>
        <v/>
      </c>
      <c r="L1146" s="139">
        <f>IFERROR(IF(ISNUMBER(F1146),F1146-IF(ISNUMBER(K1146),K1146,0),""),"")</f>
        <v/>
      </c>
    </row>
    <row r="1147" ht="24" customHeight="1" s="63">
      <c r="E1147" s="139" t="n"/>
      <c r="F1147" s="139" t="n"/>
      <c r="G1147" s="140">
        <f>IFERROR(IF(E1147&gt;0,(F1147/E1147)*1000,""),"")</f>
        <v/>
      </c>
      <c r="H1147" s="139">
        <f>IFERROR(IF(E1147&gt;0,E1147*IF(ISNUMBER(J1147),J1147,IF(C1147="Futures",$C$6,$C$5)),""),"")</f>
        <v/>
      </c>
      <c r="I1147" s="139">
        <f>IFERROR(IF(AND(ISNUMBER(F1147),ISNUMBER(H1147)),F1147-H1147,""),"")</f>
        <v/>
      </c>
      <c r="J1147" s="114" t="n"/>
      <c r="K1147" s="139">
        <f>IFERROR(IF(H1147&gt;0,H1147*$C$7,""),"")</f>
        <v/>
      </c>
      <c r="L1147" s="139">
        <f>IFERROR(IF(ISNUMBER(F1147),F1147-IF(ISNUMBER(K1147),K1147,0),""),"")</f>
        <v/>
      </c>
    </row>
    <row r="1148" ht="24" customHeight="1" s="63">
      <c r="E1148" s="139" t="n"/>
      <c r="F1148" s="139" t="n"/>
      <c r="G1148" s="140">
        <f>IFERROR(IF(E1148&gt;0,(F1148/E1148)*1000,""),"")</f>
        <v/>
      </c>
      <c r="H1148" s="139">
        <f>IFERROR(IF(E1148&gt;0,E1148*IF(ISNUMBER(J1148),J1148,IF(C1148="Futures",$C$6,$C$5)),""),"")</f>
        <v/>
      </c>
      <c r="I1148" s="139">
        <f>IFERROR(IF(AND(ISNUMBER(F1148),ISNUMBER(H1148)),F1148-H1148,""),"")</f>
        <v/>
      </c>
      <c r="J1148" s="114" t="n"/>
      <c r="K1148" s="139">
        <f>IFERROR(IF(H1148&gt;0,H1148*$C$7,""),"")</f>
        <v/>
      </c>
      <c r="L1148" s="139">
        <f>IFERROR(IF(ISNUMBER(F1148),F1148-IF(ISNUMBER(K1148),K1148,0),""),"")</f>
        <v/>
      </c>
    </row>
    <row r="1149" ht="24" customHeight="1" s="63">
      <c r="E1149" s="139" t="n"/>
      <c r="F1149" s="139" t="n"/>
      <c r="G1149" s="140">
        <f>IFERROR(IF(E1149&gt;0,(F1149/E1149)*1000,""),"")</f>
        <v/>
      </c>
      <c r="H1149" s="139">
        <f>IFERROR(IF(E1149&gt;0,E1149*IF(ISNUMBER(J1149),J1149,IF(C1149="Futures",$C$6,$C$5)),""),"")</f>
        <v/>
      </c>
      <c r="I1149" s="139">
        <f>IFERROR(IF(AND(ISNUMBER(F1149),ISNUMBER(H1149)),F1149-H1149,""),"")</f>
        <v/>
      </c>
      <c r="J1149" s="114" t="n"/>
      <c r="K1149" s="139">
        <f>IFERROR(IF(H1149&gt;0,H1149*$C$7,""),"")</f>
        <v/>
      </c>
      <c r="L1149" s="139">
        <f>IFERROR(IF(ISNUMBER(F1149),F1149-IF(ISNUMBER(K1149),K1149,0),""),"")</f>
        <v/>
      </c>
    </row>
    <row r="1150" ht="24" customHeight="1" s="63">
      <c r="E1150" s="139" t="n"/>
      <c r="F1150" s="139" t="n"/>
      <c r="G1150" s="140">
        <f>IFERROR(IF(E1150&gt;0,(F1150/E1150)*1000,""),"")</f>
        <v/>
      </c>
      <c r="H1150" s="139">
        <f>IFERROR(IF(E1150&gt;0,E1150*IF(ISNUMBER(J1150),J1150,IF(C1150="Futures",$C$6,$C$5)),""),"")</f>
        <v/>
      </c>
      <c r="I1150" s="139">
        <f>IFERROR(IF(AND(ISNUMBER(F1150),ISNUMBER(H1150)),F1150-H1150,""),"")</f>
        <v/>
      </c>
      <c r="J1150" s="114" t="n"/>
      <c r="K1150" s="139">
        <f>IFERROR(IF(H1150&gt;0,H1150*$C$7,""),"")</f>
        <v/>
      </c>
      <c r="L1150" s="139">
        <f>IFERROR(IF(ISNUMBER(F1150),F1150-IF(ISNUMBER(K1150),K1150,0),""),"")</f>
        <v/>
      </c>
    </row>
    <row r="1151" ht="24" customHeight="1" s="63">
      <c r="E1151" s="139" t="n"/>
      <c r="F1151" s="139" t="n"/>
      <c r="G1151" s="140">
        <f>IFERROR(IF(E1151&gt;0,(F1151/E1151)*1000,""),"")</f>
        <v/>
      </c>
      <c r="H1151" s="139">
        <f>IFERROR(IF(E1151&gt;0,E1151*IF(ISNUMBER(J1151),J1151,IF(C1151="Futures",$C$6,$C$5)),""),"")</f>
        <v/>
      </c>
      <c r="I1151" s="139">
        <f>IFERROR(IF(AND(ISNUMBER(F1151),ISNUMBER(H1151)),F1151-H1151,""),"")</f>
        <v/>
      </c>
      <c r="J1151" s="114" t="n"/>
      <c r="K1151" s="139">
        <f>IFERROR(IF(H1151&gt;0,H1151*$C$7,""),"")</f>
        <v/>
      </c>
      <c r="L1151" s="139">
        <f>IFERROR(IF(ISNUMBER(F1151),F1151-IF(ISNUMBER(K1151),K1151,0),""),"")</f>
        <v/>
      </c>
    </row>
    <row r="1152" ht="24" customHeight="1" s="63">
      <c r="E1152" s="139" t="n"/>
      <c r="F1152" s="139" t="n"/>
      <c r="G1152" s="140">
        <f>IFERROR(IF(E1152&gt;0,(F1152/E1152)*1000,""),"")</f>
        <v/>
      </c>
      <c r="H1152" s="139">
        <f>IFERROR(IF(E1152&gt;0,E1152*IF(ISNUMBER(J1152),J1152,IF(C1152="Futures",$C$6,$C$5)),""),"")</f>
        <v/>
      </c>
      <c r="I1152" s="139">
        <f>IFERROR(IF(AND(ISNUMBER(F1152),ISNUMBER(H1152)),F1152-H1152,""),"")</f>
        <v/>
      </c>
      <c r="J1152" s="114" t="n"/>
      <c r="K1152" s="139">
        <f>IFERROR(IF(H1152&gt;0,H1152*$C$7,""),"")</f>
        <v/>
      </c>
      <c r="L1152" s="139">
        <f>IFERROR(IF(ISNUMBER(F1152),F1152-IF(ISNUMBER(K1152),K1152,0),""),"")</f>
        <v/>
      </c>
    </row>
    <row r="1153" ht="24" customHeight="1" s="63">
      <c r="E1153" s="139" t="n"/>
      <c r="F1153" s="139" t="n"/>
      <c r="G1153" s="140">
        <f>IFERROR(IF(E1153&gt;0,(F1153/E1153)*1000,""),"")</f>
        <v/>
      </c>
      <c r="H1153" s="139">
        <f>IFERROR(IF(E1153&gt;0,E1153*IF(ISNUMBER(J1153),J1153,IF(C1153="Futures",$C$6,$C$5)),""),"")</f>
        <v/>
      </c>
      <c r="I1153" s="139">
        <f>IFERROR(IF(AND(ISNUMBER(F1153),ISNUMBER(H1153)),F1153-H1153,""),"")</f>
        <v/>
      </c>
      <c r="J1153" s="114" t="n"/>
      <c r="K1153" s="139">
        <f>IFERROR(IF(H1153&gt;0,H1153*$C$7,""),"")</f>
        <v/>
      </c>
      <c r="L1153" s="139">
        <f>IFERROR(IF(ISNUMBER(F1153),F1153-IF(ISNUMBER(K1153),K1153,0),""),"")</f>
        <v/>
      </c>
    </row>
    <row r="1154" ht="24" customHeight="1" s="63">
      <c r="E1154" s="139" t="n"/>
      <c r="F1154" s="139" t="n"/>
      <c r="G1154" s="140">
        <f>IFERROR(IF(E1154&gt;0,(F1154/E1154)*1000,""),"")</f>
        <v/>
      </c>
      <c r="H1154" s="139">
        <f>IFERROR(IF(E1154&gt;0,E1154*IF(ISNUMBER(J1154),J1154,IF(C1154="Futures",$C$6,$C$5)),""),"")</f>
        <v/>
      </c>
      <c r="I1154" s="139">
        <f>IFERROR(IF(AND(ISNUMBER(F1154),ISNUMBER(H1154)),F1154-H1154,""),"")</f>
        <v/>
      </c>
      <c r="J1154" s="114" t="n"/>
      <c r="K1154" s="139">
        <f>IFERROR(IF(H1154&gt;0,H1154*$C$7,""),"")</f>
        <v/>
      </c>
      <c r="L1154" s="139">
        <f>IFERROR(IF(ISNUMBER(F1154),F1154-IF(ISNUMBER(K1154),K1154,0),""),"")</f>
        <v/>
      </c>
    </row>
    <row r="1155" ht="24" customHeight="1" s="63">
      <c r="E1155" s="139" t="n"/>
      <c r="F1155" s="139" t="n"/>
      <c r="G1155" s="140">
        <f>IFERROR(IF(E1155&gt;0,(F1155/E1155)*1000,""),"")</f>
        <v/>
      </c>
      <c r="H1155" s="139">
        <f>IFERROR(IF(E1155&gt;0,E1155*IF(ISNUMBER(J1155),J1155,IF(C1155="Futures",$C$6,$C$5)),""),"")</f>
        <v/>
      </c>
      <c r="I1155" s="139">
        <f>IFERROR(IF(AND(ISNUMBER(F1155),ISNUMBER(H1155)),F1155-H1155,""),"")</f>
        <v/>
      </c>
      <c r="J1155" s="114" t="n"/>
      <c r="K1155" s="139">
        <f>IFERROR(IF(H1155&gt;0,H1155*$C$7,""),"")</f>
        <v/>
      </c>
      <c r="L1155" s="139">
        <f>IFERROR(IF(ISNUMBER(F1155),F1155-IF(ISNUMBER(K1155),K1155,0),""),"")</f>
        <v/>
      </c>
    </row>
    <row r="1156" ht="24" customHeight="1" s="63">
      <c r="E1156" s="139" t="n"/>
      <c r="F1156" s="139" t="n"/>
      <c r="G1156" s="140">
        <f>IFERROR(IF(E1156&gt;0,(F1156/E1156)*1000,""),"")</f>
        <v/>
      </c>
      <c r="H1156" s="139">
        <f>IFERROR(IF(E1156&gt;0,E1156*IF(ISNUMBER(J1156),J1156,IF(C1156="Futures",$C$6,$C$5)),""),"")</f>
        <v/>
      </c>
      <c r="I1156" s="139">
        <f>IFERROR(IF(AND(ISNUMBER(F1156),ISNUMBER(H1156)),F1156-H1156,""),"")</f>
        <v/>
      </c>
      <c r="J1156" s="114" t="n"/>
      <c r="K1156" s="139">
        <f>IFERROR(IF(H1156&gt;0,H1156*$C$7,""),"")</f>
        <v/>
      </c>
      <c r="L1156" s="139">
        <f>IFERROR(IF(ISNUMBER(F1156),F1156-IF(ISNUMBER(K1156),K1156,0),""),"")</f>
        <v/>
      </c>
    </row>
    <row r="1157" ht="24" customHeight="1" s="63">
      <c r="E1157" s="139" t="n"/>
      <c r="F1157" s="139" t="n"/>
      <c r="G1157" s="140">
        <f>IFERROR(IF(E1157&gt;0,(F1157/E1157)*1000,""),"")</f>
        <v/>
      </c>
      <c r="H1157" s="139">
        <f>IFERROR(IF(E1157&gt;0,E1157*IF(ISNUMBER(J1157),J1157,IF(C1157="Futures",$C$6,$C$5)),""),"")</f>
        <v/>
      </c>
      <c r="I1157" s="139">
        <f>IFERROR(IF(AND(ISNUMBER(F1157),ISNUMBER(H1157)),F1157-H1157,""),"")</f>
        <v/>
      </c>
      <c r="J1157" s="114" t="n"/>
      <c r="K1157" s="139">
        <f>IFERROR(IF(H1157&gt;0,H1157*$C$7,""),"")</f>
        <v/>
      </c>
      <c r="L1157" s="139">
        <f>IFERROR(IF(ISNUMBER(F1157),F1157-IF(ISNUMBER(K1157),K1157,0),""),"")</f>
        <v/>
      </c>
    </row>
    <row r="1158" ht="24" customHeight="1" s="63">
      <c r="E1158" s="139" t="n"/>
      <c r="F1158" s="139" t="n"/>
      <c r="G1158" s="140">
        <f>IFERROR(IF(E1158&gt;0,(F1158/E1158)*1000,""),"")</f>
        <v/>
      </c>
      <c r="H1158" s="139">
        <f>IFERROR(IF(E1158&gt;0,E1158*IF(ISNUMBER(J1158),J1158,IF(C1158="Futures",$C$6,$C$5)),""),"")</f>
        <v/>
      </c>
      <c r="I1158" s="139">
        <f>IFERROR(IF(AND(ISNUMBER(F1158),ISNUMBER(H1158)),F1158-H1158,""),"")</f>
        <v/>
      </c>
      <c r="J1158" s="114" t="n"/>
      <c r="K1158" s="139">
        <f>IFERROR(IF(H1158&gt;0,H1158*$C$7,""),"")</f>
        <v/>
      </c>
      <c r="L1158" s="139">
        <f>IFERROR(IF(ISNUMBER(F1158),F1158-IF(ISNUMBER(K1158),K1158,0),""),"")</f>
        <v/>
      </c>
    </row>
    <row r="1159" ht="24" customHeight="1" s="63">
      <c r="E1159" s="139" t="n"/>
      <c r="F1159" s="139" t="n"/>
      <c r="G1159" s="140">
        <f>IFERROR(IF(E1159&gt;0,(F1159/E1159)*1000,""),"")</f>
        <v/>
      </c>
      <c r="H1159" s="139">
        <f>IFERROR(IF(E1159&gt;0,E1159*IF(ISNUMBER(J1159),J1159,IF(C1159="Futures",$C$6,$C$5)),""),"")</f>
        <v/>
      </c>
      <c r="I1159" s="139">
        <f>IFERROR(IF(AND(ISNUMBER(F1159),ISNUMBER(H1159)),F1159-H1159,""),"")</f>
        <v/>
      </c>
      <c r="J1159" s="114" t="n"/>
      <c r="K1159" s="139">
        <f>IFERROR(IF(H1159&gt;0,H1159*$C$7,""),"")</f>
        <v/>
      </c>
      <c r="L1159" s="139">
        <f>IFERROR(IF(ISNUMBER(F1159),F1159-IF(ISNUMBER(K1159),K1159,0),""),"")</f>
        <v/>
      </c>
    </row>
    <row r="1160" ht="24" customHeight="1" s="63">
      <c r="E1160" s="139" t="n"/>
      <c r="F1160" s="139" t="n"/>
      <c r="G1160" s="140">
        <f>IFERROR(IF(E1160&gt;0,(F1160/E1160)*1000,""),"")</f>
        <v/>
      </c>
      <c r="H1160" s="139">
        <f>IFERROR(IF(E1160&gt;0,E1160*IF(ISNUMBER(J1160),J1160,IF(C1160="Futures",$C$6,$C$5)),""),"")</f>
        <v/>
      </c>
      <c r="I1160" s="139">
        <f>IFERROR(IF(AND(ISNUMBER(F1160),ISNUMBER(H1160)),F1160-H1160,""),"")</f>
        <v/>
      </c>
      <c r="J1160" s="114" t="n"/>
      <c r="K1160" s="139">
        <f>IFERROR(IF(H1160&gt;0,H1160*$C$7,""),"")</f>
        <v/>
      </c>
      <c r="L1160" s="139">
        <f>IFERROR(IF(ISNUMBER(F1160),F1160-IF(ISNUMBER(K1160),K1160,0),""),"")</f>
        <v/>
      </c>
    </row>
    <row r="1161" ht="24" customHeight="1" s="63">
      <c r="E1161" s="139" t="n"/>
      <c r="F1161" s="139" t="n"/>
      <c r="G1161" s="140">
        <f>IFERROR(IF(E1161&gt;0,(F1161/E1161)*1000,""),"")</f>
        <v/>
      </c>
      <c r="H1161" s="139">
        <f>IFERROR(IF(E1161&gt;0,E1161*IF(ISNUMBER(J1161),J1161,IF(C1161="Futures",$C$6,$C$5)),""),"")</f>
        <v/>
      </c>
      <c r="I1161" s="139">
        <f>IFERROR(IF(AND(ISNUMBER(F1161),ISNUMBER(H1161)),F1161-H1161,""),"")</f>
        <v/>
      </c>
      <c r="J1161" s="114" t="n"/>
      <c r="K1161" s="139">
        <f>IFERROR(IF(H1161&gt;0,H1161*$C$7,""),"")</f>
        <v/>
      </c>
      <c r="L1161" s="139">
        <f>IFERROR(IF(ISNUMBER(F1161),F1161-IF(ISNUMBER(K1161),K1161,0),""),"")</f>
        <v/>
      </c>
    </row>
    <row r="1162" ht="24" customHeight="1" s="63">
      <c r="E1162" s="139" t="n"/>
      <c r="F1162" s="139" t="n"/>
      <c r="G1162" s="140">
        <f>IFERROR(IF(E1162&gt;0,(F1162/E1162)*1000,""),"")</f>
        <v/>
      </c>
      <c r="H1162" s="139">
        <f>IFERROR(IF(E1162&gt;0,E1162*IF(ISNUMBER(J1162),J1162,IF(C1162="Futures",$C$6,$C$5)),""),"")</f>
        <v/>
      </c>
      <c r="I1162" s="139">
        <f>IFERROR(IF(AND(ISNUMBER(F1162),ISNUMBER(H1162)),F1162-H1162,""),"")</f>
        <v/>
      </c>
      <c r="J1162" s="114" t="n"/>
      <c r="K1162" s="139">
        <f>IFERROR(IF(H1162&gt;0,H1162*$C$7,""),"")</f>
        <v/>
      </c>
      <c r="L1162" s="139">
        <f>IFERROR(IF(ISNUMBER(F1162),F1162-IF(ISNUMBER(K1162),K1162,0),""),"")</f>
        <v/>
      </c>
    </row>
    <row r="1163" ht="24" customHeight="1" s="63">
      <c r="E1163" s="139" t="n"/>
      <c r="F1163" s="139" t="n"/>
      <c r="G1163" s="140">
        <f>IFERROR(IF(E1163&gt;0,(F1163/E1163)*1000,""),"")</f>
        <v/>
      </c>
      <c r="H1163" s="139">
        <f>IFERROR(IF(E1163&gt;0,E1163*IF(ISNUMBER(J1163),J1163,IF(C1163="Futures",$C$6,$C$5)),""),"")</f>
        <v/>
      </c>
      <c r="I1163" s="139">
        <f>IFERROR(IF(AND(ISNUMBER(F1163),ISNUMBER(H1163)),F1163-H1163,""),"")</f>
        <v/>
      </c>
      <c r="J1163" s="114" t="n"/>
      <c r="K1163" s="139">
        <f>IFERROR(IF(H1163&gt;0,H1163*$C$7,""),"")</f>
        <v/>
      </c>
      <c r="L1163" s="139">
        <f>IFERROR(IF(ISNUMBER(F1163),F1163-IF(ISNUMBER(K1163),K1163,0),""),"")</f>
        <v/>
      </c>
    </row>
    <row r="1164" ht="24" customHeight="1" s="63">
      <c r="E1164" s="139" t="n"/>
      <c r="F1164" s="139" t="n"/>
      <c r="G1164" s="140">
        <f>IFERROR(IF(E1164&gt;0,(F1164/E1164)*1000,""),"")</f>
        <v/>
      </c>
      <c r="H1164" s="139">
        <f>IFERROR(IF(E1164&gt;0,E1164*IF(ISNUMBER(J1164),J1164,IF(C1164="Futures",$C$6,$C$5)),""),"")</f>
        <v/>
      </c>
      <c r="I1164" s="139">
        <f>IFERROR(IF(AND(ISNUMBER(F1164),ISNUMBER(H1164)),F1164-H1164,""),"")</f>
        <v/>
      </c>
      <c r="J1164" s="114" t="n"/>
      <c r="K1164" s="139">
        <f>IFERROR(IF(H1164&gt;0,H1164*$C$7,""),"")</f>
        <v/>
      </c>
      <c r="L1164" s="139">
        <f>IFERROR(IF(ISNUMBER(F1164),F1164-IF(ISNUMBER(K1164),K1164,0),""),"")</f>
        <v/>
      </c>
    </row>
    <row r="1165" ht="24" customHeight="1" s="63">
      <c r="E1165" s="139" t="n"/>
      <c r="F1165" s="139" t="n"/>
      <c r="G1165" s="140">
        <f>IFERROR(IF(E1165&gt;0,(F1165/E1165)*1000,""),"")</f>
        <v/>
      </c>
      <c r="H1165" s="139">
        <f>IFERROR(IF(E1165&gt;0,E1165*IF(ISNUMBER(J1165),J1165,IF(C1165="Futures",$C$6,$C$5)),""),"")</f>
        <v/>
      </c>
      <c r="I1165" s="139">
        <f>IFERROR(IF(AND(ISNUMBER(F1165),ISNUMBER(H1165)),F1165-H1165,""),"")</f>
        <v/>
      </c>
      <c r="J1165" s="114" t="n"/>
      <c r="K1165" s="139">
        <f>IFERROR(IF(H1165&gt;0,H1165*$C$7,""),"")</f>
        <v/>
      </c>
      <c r="L1165" s="139">
        <f>IFERROR(IF(ISNUMBER(F1165),F1165-IF(ISNUMBER(K1165),K1165,0),""),"")</f>
        <v/>
      </c>
    </row>
    <row r="1166" ht="24" customHeight="1" s="63">
      <c r="E1166" s="139" t="n"/>
      <c r="F1166" s="139" t="n"/>
      <c r="G1166" s="140">
        <f>IFERROR(IF(E1166&gt;0,(F1166/E1166)*1000,""),"")</f>
        <v/>
      </c>
      <c r="H1166" s="139">
        <f>IFERROR(IF(E1166&gt;0,E1166*IF(ISNUMBER(J1166),J1166,IF(C1166="Futures",$C$6,$C$5)),""),"")</f>
        <v/>
      </c>
      <c r="I1166" s="139">
        <f>IFERROR(IF(AND(ISNUMBER(F1166),ISNUMBER(H1166)),F1166-H1166,""),"")</f>
        <v/>
      </c>
      <c r="J1166" s="114" t="n"/>
      <c r="K1166" s="139">
        <f>IFERROR(IF(H1166&gt;0,H1166*$C$7,""),"")</f>
        <v/>
      </c>
      <c r="L1166" s="139">
        <f>IFERROR(IF(ISNUMBER(F1166),F1166-IF(ISNUMBER(K1166),K1166,0),""),"")</f>
        <v/>
      </c>
    </row>
    <row r="1167" ht="24" customHeight="1" s="63">
      <c r="E1167" s="139" t="n"/>
      <c r="F1167" s="139" t="n"/>
      <c r="G1167" s="140">
        <f>IFERROR(IF(E1167&gt;0,(F1167/E1167)*1000,""),"")</f>
        <v/>
      </c>
      <c r="H1167" s="139">
        <f>IFERROR(IF(E1167&gt;0,E1167*IF(ISNUMBER(J1167),J1167,IF(C1167="Futures",$C$6,$C$5)),""),"")</f>
        <v/>
      </c>
      <c r="I1167" s="139">
        <f>IFERROR(IF(AND(ISNUMBER(F1167),ISNUMBER(H1167)),F1167-H1167,""),"")</f>
        <v/>
      </c>
      <c r="J1167" s="114" t="n"/>
      <c r="K1167" s="139">
        <f>IFERROR(IF(H1167&gt;0,H1167*$C$7,""),"")</f>
        <v/>
      </c>
      <c r="L1167" s="139">
        <f>IFERROR(IF(ISNUMBER(F1167),F1167-IF(ISNUMBER(K1167),K1167,0),""),"")</f>
        <v/>
      </c>
    </row>
    <row r="1168" ht="24" customHeight="1" s="63">
      <c r="E1168" s="139" t="n"/>
      <c r="F1168" s="139" t="n"/>
      <c r="G1168" s="140">
        <f>IFERROR(IF(E1168&gt;0,(F1168/E1168)*1000,""),"")</f>
        <v/>
      </c>
      <c r="H1168" s="139">
        <f>IFERROR(IF(E1168&gt;0,E1168*IF(ISNUMBER(J1168),J1168,IF(C1168="Futures",$C$6,$C$5)),""),"")</f>
        <v/>
      </c>
      <c r="I1168" s="139">
        <f>IFERROR(IF(AND(ISNUMBER(F1168),ISNUMBER(H1168)),F1168-H1168,""),"")</f>
        <v/>
      </c>
      <c r="J1168" s="114" t="n"/>
      <c r="K1168" s="139">
        <f>IFERROR(IF(H1168&gt;0,H1168*$C$7,""),"")</f>
        <v/>
      </c>
      <c r="L1168" s="139">
        <f>IFERROR(IF(ISNUMBER(F1168),F1168-IF(ISNUMBER(K1168),K1168,0),""),"")</f>
        <v/>
      </c>
    </row>
    <row r="1169" ht="24" customHeight="1" s="63">
      <c r="E1169" s="139" t="n"/>
      <c r="F1169" s="139" t="n"/>
      <c r="G1169" s="140">
        <f>IFERROR(IF(E1169&gt;0,(F1169/E1169)*1000,""),"")</f>
        <v/>
      </c>
      <c r="H1169" s="139">
        <f>IFERROR(IF(E1169&gt;0,E1169*IF(ISNUMBER(J1169),J1169,IF(C1169="Futures",$C$6,$C$5)),""),"")</f>
        <v/>
      </c>
      <c r="I1169" s="139">
        <f>IFERROR(IF(AND(ISNUMBER(F1169),ISNUMBER(H1169)),F1169-H1169,""),"")</f>
        <v/>
      </c>
      <c r="J1169" s="114" t="n"/>
      <c r="K1169" s="139">
        <f>IFERROR(IF(H1169&gt;0,H1169*$C$7,""),"")</f>
        <v/>
      </c>
      <c r="L1169" s="139">
        <f>IFERROR(IF(ISNUMBER(F1169),F1169-IF(ISNUMBER(K1169),K1169,0),""),"")</f>
        <v/>
      </c>
    </row>
    <row r="1170" ht="24" customHeight="1" s="63">
      <c r="E1170" s="139" t="n"/>
      <c r="F1170" s="139" t="n"/>
      <c r="G1170" s="140">
        <f>IFERROR(IF(E1170&gt;0,(F1170/E1170)*1000,""),"")</f>
        <v/>
      </c>
      <c r="H1170" s="139">
        <f>IFERROR(IF(E1170&gt;0,E1170*IF(ISNUMBER(J1170),J1170,IF(C1170="Futures",$C$6,$C$5)),""),"")</f>
        <v/>
      </c>
      <c r="I1170" s="139">
        <f>IFERROR(IF(AND(ISNUMBER(F1170),ISNUMBER(H1170)),F1170-H1170,""),"")</f>
        <v/>
      </c>
      <c r="J1170" s="114" t="n"/>
      <c r="K1170" s="139">
        <f>IFERROR(IF(H1170&gt;0,H1170*$C$7,""),"")</f>
        <v/>
      </c>
      <c r="L1170" s="139">
        <f>IFERROR(IF(ISNUMBER(F1170),F1170-IF(ISNUMBER(K1170),K1170,0),""),"")</f>
        <v/>
      </c>
    </row>
    <row r="1171" ht="24" customHeight="1" s="63">
      <c r="E1171" s="139" t="n"/>
      <c r="F1171" s="139" t="n"/>
      <c r="G1171" s="140">
        <f>IFERROR(IF(E1171&gt;0,(F1171/E1171)*1000,""),"")</f>
        <v/>
      </c>
      <c r="H1171" s="139">
        <f>IFERROR(IF(E1171&gt;0,E1171*IF(ISNUMBER(J1171),J1171,IF(C1171="Futures",$C$6,$C$5)),""),"")</f>
        <v/>
      </c>
      <c r="I1171" s="139">
        <f>IFERROR(IF(AND(ISNUMBER(F1171),ISNUMBER(H1171)),F1171-H1171,""),"")</f>
        <v/>
      </c>
      <c r="J1171" s="114" t="n"/>
      <c r="K1171" s="139">
        <f>IFERROR(IF(H1171&gt;0,H1171*$C$7,""),"")</f>
        <v/>
      </c>
      <c r="L1171" s="139">
        <f>IFERROR(IF(ISNUMBER(F1171),F1171-IF(ISNUMBER(K1171),K1171,0),""),"")</f>
        <v/>
      </c>
    </row>
    <row r="1172" ht="24" customHeight="1" s="63">
      <c r="E1172" s="139" t="n"/>
      <c r="F1172" s="139" t="n"/>
      <c r="G1172" s="140">
        <f>IFERROR(IF(E1172&gt;0,(F1172/E1172)*1000,""),"")</f>
        <v/>
      </c>
      <c r="H1172" s="139">
        <f>IFERROR(IF(E1172&gt;0,E1172*IF(ISNUMBER(J1172),J1172,IF(C1172="Futures",$C$6,$C$5)),""),"")</f>
        <v/>
      </c>
      <c r="I1172" s="139">
        <f>IFERROR(IF(AND(ISNUMBER(F1172),ISNUMBER(H1172)),F1172-H1172,""),"")</f>
        <v/>
      </c>
      <c r="J1172" s="114" t="n"/>
      <c r="K1172" s="139">
        <f>IFERROR(IF(H1172&gt;0,H1172*$C$7,""),"")</f>
        <v/>
      </c>
      <c r="L1172" s="139">
        <f>IFERROR(IF(ISNUMBER(F1172),F1172-IF(ISNUMBER(K1172),K1172,0),""),"")</f>
        <v/>
      </c>
    </row>
    <row r="1173" ht="24" customHeight="1" s="63">
      <c r="E1173" s="139" t="n"/>
      <c r="F1173" s="139" t="n"/>
      <c r="G1173" s="140">
        <f>IFERROR(IF(E1173&gt;0,(F1173/E1173)*1000,""),"")</f>
        <v/>
      </c>
      <c r="H1173" s="139">
        <f>IFERROR(IF(E1173&gt;0,E1173*IF(ISNUMBER(J1173),J1173,IF(C1173="Futures",$C$6,$C$5)),""),"")</f>
        <v/>
      </c>
      <c r="I1173" s="139">
        <f>IFERROR(IF(AND(ISNUMBER(F1173),ISNUMBER(H1173)),F1173-H1173,""),"")</f>
        <v/>
      </c>
      <c r="J1173" s="114" t="n"/>
      <c r="K1173" s="139">
        <f>IFERROR(IF(H1173&gt;0,H1173*$C$7,""),"")</f>
        <v/>
      </c>
      <c r="L1173" s="139">
        <f>IFERROR(IF(ISNUMBER(F1173),F1173-IF(ISNUMBER(K1173),K1173,0),""),"")</f>
        <v/>
      </c>
    </row>
    <row r="1174" ht="24" customHeight="1" s="63">
      <c r="E1174" s="139" t="n"/>
      <c r="F1174" s="139" t="n"/>
      <c r="G1174" s="140">
        <f>IFERROR(IF(E1174&gt;0,(F1174/E1174)*1000,""),"")</f>
        <v/>
      </c>
      <c r="H1174" s="139">
        <f>IFERROR(IF(E1174&gt;0,E1174*IF(ISNUMBER(J1174),J1174,IF(C1174="Futures",$C$6,$C$5)),""),"")</f>
        <v/>
      </c>
      <c r="I1174" s="139">
        <f>IFERROR(IF(AND(ISNUMBER(F1174),ISNUMBER(H1174)),F1174-H1174,""),"")</f>
        <v/>
      </c>
      <c r="J1174" s="114" t="n"/>
      <c r="K1174" s="139">
        <f>IFERROR(IF(H1174&gt;0,H1174*$C$7,""),"")</f>
        <v/>
      </c>
      <c r="L1174" s="139">
        <f>IFERROR(IF(ISNUMBER(F1174),F1174-IF(ISNUMBER(K1174),K1174,0),""),"")</f>
        <v/>
      </c>
    </row>
    <row r="1175" ht="24" customHeight="1" s="63">
      <c r="E1175" s="139" t="n"/>
      <c r="F1175" s="139" t="n"/>
      <c r="G1175" s="140">
        <f>IFERROR(IF(E1175&gt;0,(F1175/E1175)*1000,""),"")</f>
        <v/>
      </c>
      <c r="H1175" s="139">
        <f>IFERROR(IF(E1175&gt;0,E1175*IF(ISNUMBER(J1175),J1175,IF(C1175="Futures",$C$6,$C$5)),""),"")</f>
        <v/>
      </c>
      <c r="I1175" s="139">
        <f>IFERROR(IF(AND(ISNUMBER(F1175),ISNUMBER(H1175)),F1175-H1175,""),"")</f>
        <v/>
      </c>
      <c r="J1175" s="114" t="n"/>
      <c r="K1175" s="139">
        <f>IFERROR(IF(H1175&gt;0,H1175*$C$7,""),"")</f>
        <v/>
      </c>
      <c r="L1175" s="139">
        <f>IFERROR(IF(ISNUMBER(F1175),F1175-IF(ISNUMBER(K1175),K1175,0),""),"")</f>
        <v/>
      </c>
    </row>
    <row r="1176" ht="24" customHeight="1" s="63">
      <c r="E1176" s="139" t="n"/>
      <c r="F1176" s="139" t="n"/>
      <c r="G1176" s="140">
        <f>IFERROR(IF(E1176&gt;0,(F1176/E1176)*1000,""),"")</f>
        <v/>
      </c>
      <c r="H1176" s="139">
        <f>IFERROR(IF(E1176&gt;0,E1176*IF(ISNUMBER(J1176),J1176,IF(C1176="Futures",$C$6,$C$5)),""),"")</f>
        <v/>
      </c>
      <c r="I1176" s="139">
        <f>IFERROR(IF(AND(ISNUMBER(F1176),ISNUMBER(H1176)),F1176-H1176,""),"")</f>
        <v/>
      </c>
      <c r="J1176" s="114" t="n"/>
      <c r="K1176" s="139">
        <f>IFERROR(IF(H1176&gt;0,H1176*$C$7,""),"")</f>
        <v/>
      </c>
      <c r="L1176" s="139">
        <f>IFERROR(IF(ISNUMBER(F1176),F1176-IF(ISNUMBER(K1176),K1176,0),""),"")</f>
        <v/>
      </c>
    </row>
    <row r="1177" ht="24" customHeight="1" s="63">
      <c r="E1177" s="139" t="n"/>
      <c r="F1177" s="139" t="n"/>
      <c r="G1177" s="140">
        <f>IFERROR(IF(E1177&gt;0,(F1177/E1177)*1000,""),"")</f>
        <v/>
      </c>
      <c r="H1177" s="139">
        <f>IFERROR(IF(E1177&gt;0,E1177*IF(ISNUMBER(J1177),J1177,IF(C1177="Futures",$C$6,$C$5)),""),"")</f>
        <v/>
      </c>
      <c r="I1177" s="139">
        <f>IFERROR(IF(AND(ISNUMBER(F1177),ISNUMBER(H1177)),F1177-H1177,""),"")</f>
        <v/>
      </c>
      <c r="J1177" s="114" t="n"/>
      <c r="K1177" s="139">
        <f>IFERROR(IF(H1177&gt;0,H1177*$C$7,""),"")</f>
        <v/>
      </c>
      <c r="L1177" s="139">
        <f>IFERROR(IF(ISNUMBER(F1177),F1177-IF(ISNUMBER(K1177),K1177,0),""),"")</f>
        <v/>
      </c>
    </row>
    <row r="1178" ht="24" customHeight="1" s="63">
      <c r="E1178" s="139" t="n"/>
      <c r="F1178" s="139" t="n"/>
      <c r="G1178" s="140">
        <f>IFERROR(IF(E1178&gt;0,(F1178/E1178)*1000,""),"")</f>
        <v/>
      </c>
      <c r="H1178" s="139">
        <f>IFERROR(IF(E1178&gt;0,E1178*IF(ISNUMBER(J1178),J1178,IF(C1178="Futures",$C$6,$C$5)),""),"")</f>
        <v/>
      </c>
      <c r="I1178" s="139">
        <f>IFERROR(IF(AND(ISNUMBER(F1178),ISNUMBER(H1178)),F1178-H1178,""),"")</f>
        <v/>
      </c>
      <c r="J1178" s="114" t="n"/>
      <c r="K1178" s="139">
        <f>IFERROR(IF(H1178&gt;0,H1178*$C$7,""),"")</f>
        <v/>
      </c>
      <c r="L1178" s="139">
        <f>IFERROR(IF(ISNUMBER(F1178),F1178-IF(ISNUMBER(K1178),K1178,0),""),"")</f>
        <v/>
      </c>
    </row>
    <row r="1179" ht="24" customHeight="1" s="63">
      <c r="E1179" s="139" t="n"/>
      <c r="F1179" s="139" t="n"/>
      <c r="G1179" s="140">
        <f>IFERROR(IF(E1179&gt;0,(F1179/E1179)*1000,""),"")</f>
        <v/>
      </c>
      <c r="H1179" s="139">
        <f>IFERROR(IF(E1179&gt;0,E1179*IF(ISNUMBER(J1179),J1179,IF(C1179="Futures",$C$6,$C$5)),""),"")</f>
        <v/>
      </c>
      <c r="I1179" s="139">
        <f>IFERROR(IF(AND(ISNUMBER(F1179),ISNUMBER(H1179)),F1179-H1179,""),"")</f>
        <v/>
      </c>
      <c r="J1179" s="114" t="n"/>
      <c r="K1179" s="139">
        <f>IFERROR(IF(H1179&gt;0,H1179*$C$7,""),"")</f>
        <v/>
      </c>
      <c r="L1179" s="139">
        <f>IFERROR(IF(ISNUMBER(F1179),F1179-IF(ISNUMBER(K1179),K1179,0),""),"")</f>
        <v/>
      </c>
    </row>
    <row r="1180" ht="24" customHeight="1" s="63">
      <c r="E1180" s="139" t="n"/>
      <c r="F1180" s="139" t="n"/>
      <c r="G1180" s="140">
        <f>IFERROR(IF(E1180&gt;0,(F1180/E1180)*1000,""),"")</f>
        <v/>
      </c>
      <c r="H1180" s="139">
        <f>IFERROR(IF(E1180&gt;0,E1180*IF(ISNUMBER(J1180),J1180,IF(C1180="Futures",$C$6,$C$5)),""),"")</f>
        <v/>
      </c>
      <c r="I1180" s="139">
        <f>IFERROR(IF(AND(ISNUMBER(F1180),ISNUMBER(H1180)),F1180-H1180,""),"")</f>
        <v/>
      </c>
      <c r="J1180" s="114" t="n"/>
      <c r="K1180" s="139">
        <f>IFERROR(IF(H1180&gt;0,H1180*$C$7,""),"")</f>
        <v/>
      </c>
      <c r="L1180" s="139">
        <f>IFERROR(IF(ISNUMBER(F1180),F1180-IF(ISNUMBER(K1180),K1180,0),""),"")</f>
        <v/>
      </c>
    </row>
    <row r="1181" ht="24" customHeight="1" s="63">
      <c r="E1181" s="139" t="n"/>
      <c r="F1181" s="139" t="n"/>
      <c r="G1181" s="140">
        <f>IFERROR(IF(E1181&gt;0,(F1181/E1181)*1000,""),"")</f>
        <v/>
      </c>
      <c r="H1181" s="139">
        <f>IFERROR(IF(E1181&gt;0,E1181*IF(ISNUMBER(J1181),J1181,IF(C1181="Futures",$C$6,$C$5)),""),"")</f>
        <v/>
      </c>
      <c r="I1181" s="139">
        <f>IFERROR(IF(AND(ISNUMBER(F1181),ISNUMBER(H1181)),F1181-H1181,""),"")</f>
        <v/>
      </c>
      <c r="J1181" s="114" t="n"/>
      <c r="K1181" s="139">
        <f>IFERROR(IF(H1181&gt;0,H1181*$C$7,""),"")</f>
        <v/>
      </c>
      <c r="L1181" s="139">
        <f>IFERROR(IF(ISNUMBER(F1181),F1181-IF(ISNUMBER(K1181),K1181,0),""),"")</f>
        <v/>
      </c>
    </row>
    <row r="1182" ht="24" customHeight="1" s="63">
      <c r="E1182" s="139" t="n"/>
      <c r="F1182" s="139" t="n"/>
      <c r="G1182" s="140">
        <f>IFERROR(IF(E1182&gt;0,(F1182/E1182)*1000,""),"")</f>
        <v/>
      </c>
      <c r="H1182" s="139">
        <f>IFERROR(IF(E1182&gt;0,E1182*IF(ISNUMBER(J1182),J1182,IF(C1182="Futures",$C$6,$C$5)),""),"")</f>
        <v/>
      </c>
      <c r="I1182" s="139">
        <f>IFERROR(IF(AND(ISNUMBER(F1182),ISNUMBER(H1182)),F1182-H1182,""),"")</f>
        <v/>
      </c>
      <c r="J1182" s="114" t="n"/>
      <c r="K1182" s="139">
        <f>IFERROR(IF(H1182&gt;0,H1182*$C$7,""),"")</f>
        <v/>
      </c>
      <c r="L1182" s="139">
        <f>IFERROR(IF(ISNUMBER(F1182),F1182-IF(ISNUMBER(K1182),K1182,0),""),"")</f>
        <v/>
      </c>
    </row>
    <row r="1183" ht="24" customHeight="1" s="63">
      <c r="E1183" s="139" t="n"/>
      <c r="F1183" s="139" t="n"/>
      <c r="G1183" s="140">
        <f>IFERROR(IF(E1183&gt;0,(F1183/E1183)*1000,""),"")</f>
        <v/>
      </c>
      <c r="H1183" s="139">
        <f>IFERROR(IF(E1183&gt;0,E1183*IF(ISNUMBER(J1183),J1183,IF(C1183="Futures",$C$6,$C$5)),""),"")</f>
        <v/>
      </c>
      <c r="I1183" s="139">
        <f>IFERROR(IF(AND(ISNUMBER(F1183),ISNUMBER(H1183)),F1183-H1183,""),"")</f>
        <v/>
      </c>
      <c r="J1183" s="114" t="n"/>
      <c r="K1183" s="139">
        <f>IFERROR(IF(H1183&gt;0,H1183*$C$7,""),"")</f>
        <v/>
      </c>
      <c r="L1183" s="139">
        <f>IFERROR(IF(ISNUMBER(F1183),F1183-IF(ISNUMBER(K1183),K1183,0),""),"")</f>
        <v/>
      </c>
    </row>
    <row r="1184" ht="24" customHeight="1" s="63">
      <c r="E1184" s="139" t="n"/>
      <c r="F1184" s="139" t="n"/>
      <c r="G1184" s="140">
        <f>IFERROR(IF(E1184&gt;0,(F1184/E1184)*1000,""),"")</f>
        <v/>
      </c>
      <c r="H1184" s="139">
        <f>IFERROR(IF(E1184&gt;0,E1184*IF(ISNUMBER(J1184),J1184,IF(C1184="Futures",$C$6,$C$5)),""),"")</f>
        <v/>
      </c>
      <c r="I1184" s="139">
        <f>IFERROR(IF(AND(ISNUMBER(F1184),ISNUMBER(H1184)),F1184-H1184,""),"")</f>
        <v/>
      </c>
      <c r="J1184" s="114" t="n"/>
      <c r="K1184" s="139">
        <f>IFERROR(IF(H1184&gt;0,H1184*$C$7,""),"")</f>
        <v/>
      </c>
      <c r="L1184" s="139">
        <f>IFERROR(IF(ISNUMBER(F1184),F1184-IF(ISNUMBER(K1184),K1184,0),""),"")</f>
        <v/>
      </c>
    </row>
    <row r="1185" ht="24" customHeight="1" s="63">
      <c r="E1185" s="139" t="n"/>
      <c r="F1185" s="139" t="n"/>
      <c r="G1185" s="140">
        <f>IFERROR(IF(E1185&gt;0,(F1185/E1185)*1000,""),"")</f>
        <v/>
      </c>
      <c r="H1185" s="139">
        <f>IFERROR(IF(E1185&gt;0,E1185*IF(ISNUMBER(J1185),J1185,IF(C1185="Futures",$C$6,$C$5)),""),"")</f>
        <v/>
      </c>
      <c r="I1185" s="139">
        <f>IFERROR(IF(AND(ISNUMBER(F1185),ISNUMBER(H1185)),F1185-H1185,""),"")</f>
        <v/>
      </c>
      <c r="J1185" s="114" t="n"/>
      <c r="K1185" s="139">
        <f>IFERROR(IF(H1185&gt;0,H1185*$C$7,""),"")</f>
        <v/>
      </c>
      <c r="L1185" s="139">
        <f>IFERROR(IF(ISNUMBER(F1185),F1185-IF(ISNUMBER(K1185),K1185,0),""),"")</f>
        <v/>
      </c>
    </row>
    <row r="1186" ht="24" customHeight="1" s="63">
      <c r="E1186" s="139" t="n"/>
      <c r="F1186" s="139" t="n"/>
      <c r="G1186" s="140">
        <f>IFERROR(IF(E1186&gt;0,(F1186/E1186)*1000,""),"")</f>
        <v/>
      </c>
      <c r="H1186" s="139">
        <f>IFERROR(IF(E1186&gt;0,E1186*IF(ISNUMBER(J1186),J1186,IF(C1186="Futures",$C$6,$C$5)),""),"")</f>
        <v/>
      </c>
      <c r="I1186" s="139">
        <f>IFERROR(IF(AND(ISNUMBER(F1186),ISNUMBER(H1186)),F1186-H1186,""),"")</f>
        <v/>
      </c>
      <c r="J1186" s="114" t="n"/>
      <c r="K1186" s="139">
        <f>IFERROR(IF(H1186&gt;0,H1186*$C$7,""),"")</f>
        <v/>
      </c>
      <c r="L1186" s="139">
        <f>IFERROR(IF(ISNUMBER(F1186),F1186-IF(ISNUMBER(K1186),K1186,0),""),"")</f>
        <v/>
      </c>
    </row>
    <row r="1187" ht="24" customHeight="1" s="63">
      <c r="E1187" s="139" t="n"/>
      <c r="F1187" s="139" t="n"/>
      <c r="G1187" s="140">
        <f>IFERROR(IF(E1187&gt;0,(F1187/E1187)*1000,""),"")</f>
        <v/>
      </c>
      <c r="H1187" s="139">
        <f>IFERROR(IF(E1187&gt;0,E1187*IF(ISNUMBER(J1187),J1187,IF(C1187="Futures",$C$6,$C$5)),""),"")</f>
        <v/>
      </c>
      <c r="I1187" s="139">
        <f>IFERROR(IF(AND(ISNUMBER(F1187),ISNUMBER(H1187)),F1187-H1187,""),"")</f>
        <v/>
      </c>
      <c r="J1187" s="114" t="n"/>
      <c r="K1187" s="139">
        <f>IFERROR(IF(H1187&gt;0,H1187*$C$7,""),"")</f>
        <v/>
      </c>
      <c r="L1187" s="139">
        <f>IFERROR(IF(ISNUMBER(F1187),F1187-IF(ISNUMBER(K1187),K1187,0),""),"")</f>
        <v/>
      </c>
    </row>
    <row r="1188" ht="24" customHeight="1" s="63">
      <c r="E1188" s="139" t="n"/>
      <c r="F1188" s="139" t="n"/>
      <c r="G1188" s="140">
        <f>IFERROR(IF(E1188&gt;0,(F1188/E1188)*1000,""),"")</f>
        <v/>
      </c>
      <c r="H1188" s="139">
        <f>IFERROR(IF(E1188&gt;0,E1188*IF(ISNUMBER(J1188),J1188,IF(C1188="Futures",$C$6,$C$5)),""),"")</f>
        <v/>
      </c>
      <c r="I1188" s="139">
        <f>IFERROR(IF(AND(ISNUMBER(F1188),ISNUMBER(H1188)),F1188-H1188,""),"")</f>
        <v/>
      </c>
      <c r="J1188" s="114" t="n"/>
      <c r="K1188" s="139">
        <f>IFERROR(IF(H1188&gt;0,H1188*$C$7,""),"")</f>
        <v/>
      </c>
      <c r="L1188" s="139">
        <f>IFERROR(IF(ISNUMBER(F1188),F1188-IF(ISNUMBER(K1188),K1188,0),""),"")</f>
        <v/>
      </c>
    </row>
    <row r="1189" ht="24" customHeight="1" s="63">
      <c r="E1189" s="139" t="n"/>
      <c r="F1189" s="139" t="n"/>
      <c r="G1189" s="140">
        <f>IFERROR(IF(E1189&gt;0,(F1189/E1189)*1000,""),"")</f>
        <v/>
      </c>
      <c r="H1189" s="139">
        <f>IFERROR(IF(E1189&gt;0,E1189*IF(ISNUMBER(J1189),J1189,IF(C1189="Futures",$C$6,$C$5)),""),"")</f>
        <v/>
      </c>
      <c r="I1189" s="139">
        <f>IFERROR(IF(AND(ISNUMBER(F1189),ISNUMBER(H1189)),F1189-H1189,""),"")</f>
        <v/>
      </c>
      <c r="J1189" s="114" t="n"/>
      <c r="K1189" s="139">
        <f>IFERROR(IF(H1189&gt;0,H1189*$C$7,""),"")</f>
        <v/>
      </c>
      <c r="L1189" s="139">
        <f>IFERROR(IF(ISNUMBER(F1189),F1189-IF(ISNUMBER(K1189),K1189,0),""),"")</f>
        <v/>
      </c>
    </row>
    <row r="1190" ht="24" customHeight="1" s="63">
      <c r="E1190" s="139" t="n"/>
      <c r="F1190" s="139" t="n"/>
      <c r="G1190" s="140">
        <f>IFERROR(IF(E1190&gt;0,(F1190/E1190)*1000,""),"")</f>
        <v/>
      </c>
      <c r="H1190" s="139">
        <f>IFERROR(IF(E1190&gt;0,E1190*IF(ISNUMBER(J1190),J1190,IF(C1190="Futures",$C$6,$C$5)),""),"")</f>
        <v/>
      </c>
      <c r="I1190" s="139">
        <f>IFERROR(IF(AND(ISNUMBER(F1190),ISNUMBER(H1190)),F1190-H1190,""),"")</f>
        <v/>
      </c>
      <c r="J1190" s="114" t="n"/>
      <c r="K1190" s="139">
        <f>IFERROR(IF(H1190&gt;0,H1190*$C$7,""),"")</f>
        <v/>
      </c>
      <c r="L1190" s="139">
        <f>IFERROR(IF(ISNUMBER(F1190),F1190-IF(ISNUMBER(K1190),K1190,0),""),"")</f>
        <v/>
      </c>
    </row>
    <row r="1191" ht="24" customHeight="1" s="63">
      <c r="E1191" s="139" t="n"/>
      <c r="F1191" s="139" t="n"/>
      <c r="G1191" s="140">
        <f>IFERROR(IF(E1191&gt;0,(F1191/E1191)*1000,""),"")</f>
        <v/>
      </c>
      <c r="H1191" s="139">
        <f>IFERROR(IF(E1191&gt;0,E1191*IF(ISNUMBER(J1191),J1191,IF(C1191="Futures",$C$6,$C$5)),""),"")</f>
        <v/>
      </c>
      <c r="I1191" s="139">
        <f>IFERROR(IF(AND(ISNUMBER(F1191),ISNUMBER(H1191)),F1191-H1191,""),"")</f>
        <v/>
      </c>
      <c r="J1191" s="114" t="n"/>
      <c r="K1191" s="139">
        <f>IFERROR(IF(H1191&gt;0,H1191*$C$7,""),"")</f>
        <v/>
      </c>
      <c r="L1191" s="139">
        <f>IFERROR(IF(ISNUMBER(F1191),F1191-IF(ISNUMBER(K1191),K1191,0),""),"")</f>
        <v/>
      </c>
    </row>
    <row r="1192" ht="24" customHeight="1" s="63">
      <c r="E1192" s="139" t="n"/>
      <c r="F1192" s="139" t="n"/>
      <c r="G1192" s="140">
        <f>IFERROR(IF(E1192&gt;0,(F1192/E1192)*1000,""),"")</f>
        <v/>
      </c>
      <c r="H1192" s="139">
        <f>IFERROR(IF(E1192&gt;0,E1192*IF(ISNUMBER(J1192),J1192,IF(C1192="Futures",$C$6,$C$5)),""),"")</f>
        <v/>
      </c>
      <c r="I1192" s="139">
        <f>IFERROR(IF(AND(ISNUMBER(F1192),ISNUMBER(H1192)),F1192-H1192,""),"")</f>
        <v/>
      </c>
      <c r="J1192" s="114" t="n"/>
      <c r="K1192" s="139">
        <f>IFERROR(IF(H1192&gt;0,H1192*$C$7,""),"")</f>
        <v/>
      </c>
      <c r="L1192" s="139">
        <f>IFERROR(IF(ISNUMBER(F1192),F1192-IF(ISNUMBER(K1192),K1192,0),""),"")</f>
        <v/>
      </c>
    </row>
    <row r="1193" ht="24" customHeight="1" s="63">
      <c r="E1193" s="139" t="n"/>
      <c r="F1193" s="139" t="n"/>
      <c r="G1193" s="140">
        <f>IFERROR(IF(E1193&gt;0,(F1193/E1193)*1000,""),"")</f>
        <v/>
      </c>
      <c r="H1193" s="139">
        <f>IFERROR(IF(E1193&gt;0,E1193*IF(ISNUMBER(J1193),J1193,IF(C1193="Futures",$C$6,$C$5)),""),"")</f>
        <v/>
      </c>
      <c r="I1193" s="139">
        <f>IFERROR(IF(AND(ISNUMBER(F1193),ISNUMBER(H1193)),F1193-H1193,""),"")</f>
        <v/>
      </c>
      <c r="J1193" s="114" t="n"/>
      <c r="K1193" s="139">
        <f>IFERROR(IF(H1193&gt;0,H1193*$C$7,""),"")</f>
        <v/>
      </c>
      <c r="L1193" s="139">
        <f>IFERROR(IF(ISNUMBER(F1193),F1193-IF(ISNUMBER(K1193),K1193,0),""),"")</f>
        <v/>
      </c>
    </row>
    <row r="1194" ht="24" customHeight="1" s="63">
      <c r="E1194" s="139" t="n"/>
      <c r="F1194" s="139" t="n"/>
      <c r="G1194" s="140">
        <f>IFERROR(IF(E1194&gt;0,(F1194/E1194)*1000,""),"")</f>
        <v/>
      </c>
      <c r="H1194" s="139">
        <f>IFERROR(IF(E1194&gt;0,E1194*IF(ISNUMBER(J1194),J1194,IF(C1194="Futures",$C$6,$C$5)),""),"")</f>
        <v/>
      </c>
      <c r="I1194" s="139">
        <f>IFERROR(IF(AND(ISNUMBER(F1194),ISNUMBER(H1194)),F1194-H1194,""),"")</f>
        <v/>
      </c>
      <c r="J1194" s="114" t="n"/>
      <c r="K1194" s="139">
        <f>IFERROR(IF(H1194&gt;0,H1194*$C$7,""),"")</f>
        <v/>
      </c>
      <c r="L1194" s="139">
        <f>IFERROR(IF(ISNUMBER(F1194),F1194-IF(ISNUMBER(K1194),K1194,0),""),"")</f>
        <v/>
      </c>
    </row>
    <row r="1195" ht="24" customHeight="1" s="63">
      <c r="E1195" s="139" t="n"/>
      <c r="F1195" s="139" t="n"/>
      <c r="G1195" s="140">
        <f>IFERROR(IF(E1195&gt;0,(F1195/E1195)*1000,""),"")</f>
        <v/>
      </c>
      <c r="H1195" s="139">
        <f>IFERROR(IF(E1195&gt;0,E1195*IF(ISNUMBER(J1195),J1195,IF(C1195="Futures",$C$6,$C$5)),""),"")</f>
        <v/>
      </c>
      <c r="I1195" s="139">
        <f>IFERROR(IF(AND(ISNUMBER(F1195),ISNUMBER(H1195)),F1195-H1195,""),"")</f>
        <v/>
      </c>
      <c r="J1195" s="114" t="n"/>
      <c r="K1195" s="139">
        <f>IFERROR(IF(H1195&gt;0,H1195*$C$7,""),"")</f>
        <v/>
      </c>
      <c r="L1195" s="139">
        <f>IFERROR(IF(ISNUMBER(F1195),F1195-IF(ISNUMBER(K1195),K1195,0),""),"")</f>
        <v/>
      </c>
    </row>
    <row r="1196" ht="24" customHeight="1" s="63">
      <c r="E1196" s="139" t="n"/>
      <c r="F1196" s="139" t="n"/>
      <c r="G1196" s="140">
        <f>IFERROR(IF(E1196&gt;0,(F1196/E1196)*1000,""),"")</f>
        <v/>
      </c>
      <c r="H1196" s="139">
        <f>IFERROR(IF(E1196&gt;0,E1196*IF(ISNUMBER(J1196),J1196,IF(C1196="Futures",$C$6,$C$5)),""),"")</f>
        <v/>
      </c>
      <c r="I1196" s="139">
        <f>IFERROR(IF(AND(ISNUMBER(F1196),ISNUMBER(H1196)),F1196-H1196,""),"")</f>
        <v/>
      </c>
      <c r="J1196" s="114" t="n"/>
      <c r="K1196" s="139">
        <f>IFERROR(IF(H1196&gt;0,H1196*$C$7,""),"")</f>
        <v/>
      </c>
      <c r="L1196" s="139">
        <f>IFERROR(IF(ISNUMBER(F1196),F1196-IF(ISNUMBER(K1196),K1196,0),""),"")</f>
        <v/>
      </c>
    </row>
    <row r="1197" ht="24" customHeight="1" s="63">
      <c r="E1197" s="139" t="n"/>
      <c r="F1197" s="139" t="n"/>
      <c r="G1197" s="140">
        <f>IFERROR(IF(E1197&gt;0,(F1197/E1197)*1000,""),"")</f>
        <v/>
      </c>
      <c r="H1197" s="139">
        <f>IFERROR(IF(E1197&gt;0,E1197*IF(ISNUMBER(J1197),J1197,IF(C1197="Futures",$C$6,$C$5)),""),"")</f>
        <v/>
      </c>
      <c r="I1197" s="139">
        <f>IFERROR(IF(AND(ISNUMBER(F1197),ISNUMBER(H1197)),F1197-H1197,""),"")</f>
        <v/>
      </c>
      <c r="J1197" s="114" t="n"/>
      <c r="K1197" s="139">
        <f>IFERROR(IF(H1197&gt;0,H1197*$C$7,""),"")</f>
        <v/>
      </c>
      <c r="L1197" s="139">
        <f>IFERROR(IF(ISNUMBER(F1197),F1197-IF(ISNUMBER(K1197),K1197,0),""),"")</f>
        <v/>
      </c>
    </row>
    <row r="1198" ht="24" customHeight="1" s="63">
      <c r="E1198" s="139" t="n"/>
      <c r="F1198" s="139" t="n"/>
      <c r="G1198" s="140">
        <f>IFERROR(IF(E1198&gt;0,(F1198/E1198)*1000,""),"")</f>
        <v/>
      </c>
      <c r="H1198" s="139">
        <f>IFERROR(IF(E1198&gt;0,E1198*IF(ISNUMBER(J1198),J1198,IF(C1198="Futures",$C$6,$C$5)),""),"")</f>
        <v/>
      </c>
      <c r="I1198" s="139">
        <f>IFERROR(IF(AND(ISNUMBER(F1198),ISNUMBER(H1198)),F1198-H1198,""),"")</f>
        <v/>
      </c>
      <c r="J1198" s="114" t="n"/>
      <c r="K1198" s="139">
        <f>IFERROR(IF(H1198&gt;0,H1198*$C$7,""),"")</f>
        <v/>
      </c>
      <c r="L1198" s="139">
        <f>IFERROR(IF(ISNUMBER(F1198),F1198-IF(ISNUMBER(K1198),K1198,0),""),"")</f>
        <v/>
      </c>
    </row>
    <row r="1199" ht="24" customHeight="1" s="63">
      <c r="E1199" s="139" t="n"/>
      <c r="F1199" s="139" t="n"/>
      <c r="G1199" s="140">
        <f>IFERROR(IF(E1199&gt;0,(F1199/E1199)*1000,""),"")</f>
        <v/>
      </c>
      <c r="H1199" s="139">
        <f>IFERROR(IF(E1199&gt;0,E1199*IF(ISNUMBER(J1199),J1199,IF(C1199="Futures",$C$6,$C$5)),""),"")</f>
        <v/>
      </c>
      <c r="I1199" s="139">
        <f>IFERROR(IF(AND(ISNUMBER(F1199),ISNUMBER(H1199)),F1199-H1199,""),"")</f>
        <v/>
      </c>
      <c r="J1199" s="114" t="n"/>
      <c r="K1199" s="139">
        <f>IFERROR(IF(H1199&gt;0,H1199*$C$7,""),"")</f>
        <v/>
      </c>
      <c r="L1199" s="139">
        <f>IFERROR(IF(ISNUMBER(F1199),F1199-IF(ISNUMBER(K1199),K1199,0),""),"")</f>
        <v/>
      </c>
    </row>
    <row r="1200" ht="24" customHeight="1" s="63">
      <c r="E1200" s="139" t="n"/>
      <c r="F1200" s="139" t="n"/>
      <c r="G1200" s="140">
        <f>IFERROR(IF(E1200&gt;0,(F1200/E1200)*1000,""),"")</f>
        <v/>
      </c>
      <c r="H1200" s="139">
        <f>IFERROR(IF(E1200&gt;0,E1200*IF(ISNUMBER(J1200),J1200,IF(C1200="Futures",$C$6,$C$5)),""),"")</f>
        <v/>
      </c>
      <c r="I1200" s="139">
        <f>IFERROR(IF(AND(ISNUMBER(F1200),ISNUMBER(H1200)),F1200-H1200,""),"")</f>
        <v/>
      </c>
      <c r="J1200" s="114" t="n"/>
      <c r="K1200" s="139">
        <f>IFERROR(IF(H1200&gt;0,H1200*$C$7,""),"")</f>
        <v/>
      </c>
      <c r="L1200" s="139">
        <f>IFERROR(IF(ISNUMBER(F1200),F1200-IF(ISNUMBER(K1200),K1200,0),""),"")</f>
        <v/>
      </c>
    </row>
    <row r="1201" ht="24" customHeight="1" s="63">
      <c r="E1201" s="139" t="n"/>
      <c r="F1201" s="139" t="n"/>
      <c r="G1201" s="140">
        <f>IFERROR(IF(E1201&gt;0,(F1201/E1201)*1000,""),"")</f>
        <v/>
      </c>
      <c r="H1201" s="139">
        <f>IFERROR(IF(E1201&gt;0,E1201*IF(ISNUMBER(J1201),J1201,IF(C1201="Futures",$C$6,$C$5)),""),"")</f>
        <v/>
      </c>
      <c r="I1201" s="139">
        <f>IFERROR(IF(AND(ISNUMBER(F1201),ISNUMBER(H1201)),F1201-H1201,""),"")</f>
        <v/>
      </c>
      <c r="J1201" s="114" t="n"/>
      <c r="K1201" s="139">
        <f>IFERROR(IF(H1201&gt;0,H1201*$C$7,""),"")</f>
        <v/>
      </c>
      <c r="L1201" s="139">
        <f>IFERROR(IF(ISNUMBER(F1201),F1201-IF(ISNUMBER(K1201),K1201,0),""),"")</f>
        <v/>
      </c>
    </row>
    <row r="1202" ht="24" customHeight="1" s="63">
      <c r="E1202" s="139" t="n"/>
      <c r="F1202" s="139" t="n"/>
      <c r="G1202" s="140">
        <f>IFERROR(IF(E1202&gt;0,(F1202/E1202)*1000,""),"")</f>
        <v/>
      </c>
      <c r="H1202" s="139">
        <f>IFERROR(IF(E1202&gt;0,E1202*IF(ISNUMBER(J1202),J1202,IF(C1202="Futures",$C$6,$C$5)),""),"")</f>
        <v/>
      </c>
      <c r="I1202" s="139">
        <f>IFERROR(IF(AND(ISNUMBER(F1202),ISNUMBER(H1202)),F1202-H1202,""),"")</f>
        <v/>
      </c>
      <c r="J1202" s="114" t="n"/>
      <c r="K1202" s="139">
        <f>IFERROR(IF(H1202&gt;0,H1202*$C$7,""),"")</f>
        <v/>
      </c>
      <c r="L1202" s="139">
        <f>IFERROR(IF(ISNUMBER(F1202),F1202-IF(ISNUMBER(K1202),K1202,0),""),"")</f>
        <v/>
      </c>
    </row>
    <row r="1203" ht="24" customHeight="1" s="63">
      <c r="E1203" s="139" t="n"/>
      <c r="F1203" s="139" t="n"/>
      <c r="G1203" s="140">
        <f>IFERROR(IF(E1203&gt;0,(F1203/E1203)*1000,""),"")</f>
        <v/>
      </c>
      <c r="H1203" s="139">
        <f>IFERROR(IF(E1203&gt;0,E1203*IF(ISNUMBER(J1203),J1203,IF(C1203="Futures",$C$6,$C$5)),""),"")</f>
        <v/>
      </c>
      <c r="I1203" s="139">
        <f>IFERROR(IF(AND(ISNUMBER(F1203),ISNUMBER(H1203)),F1203-H1203,""),"")</f>
        <v/>
      </c>
      <c r="J1203" s="114" t="n"/>
      <c r="K1203" s="139">
        <f>IFERROR(IF(H1203&gt;0,H1203*$C$7,""),"")</f>
        <v/>
      </c>
      <c r="L1203" s="139">
        <f>IFERROR(IF(ISNUMBER(F1203),F1203-IF(ISNUMBER(K1203),K1203,0),""),"")</f>
        <v/>
      </c>
    </row>
    <row r="1204" ht="24" customHeight="1" s="63">
      <c r="E1204" s="139" t="n"/>
      <c r="F1204" s="139" t="n"/>
      <c r="G1204" s="140">
        <f>IFERROR(IF(E1204&gt;0,(F1204/E1204)*1000,""),"")</f>
        <v/>
      </c>
      <c r="H1204" s="139">
        <f>IFERROR(IF(E1204&gt;0,E1204*IF(ISNUMBER(J1204),J1204,IF(C1204="Futures",$C$6,$C$5)),""),"")</f>
        <v/>
      </c>
      <c r="I1204" s="139">
        <f>IFERROR(IF(AND(ISNUMBER(F1204),ISNUMBER(H1204)),F1204-H1204,""),"")</f>
        <v/>
      </c>
      <c r="J1204" s="114" t="n"/>
      <c r="K1204" s="139">
        <f>IFERROR(IF(H1204&gt;0,H1204*$C$7,""),"")</f>
        <v/>
      </c>
      <c r="L1204" s="139">
        <f>IFERROR(IF(ISNUMBER(F1204),F1204-IF(ISNUMBER(K1204),K1204,0),""),"")</f>
        <v/>
      </c>
    </row>
    <row r="1205" ht="24" customHeight="1" s="63">
      <c r="E1205" s="139" t="n"/>
      <c r="F1205" s="139" t="n"/>
      <c r="G1205" s="140">
        <f>IFERROR(IF(E1205&gt;0,(F1205/E1205)*1000,""),"")</f>
        <v/>
      </c>
      <c r="H1205" s="139">
        <f>IFERROR(IF(E1205&gt;0,E1205*IF(ISNUMBER(J1205),J1205,IF(C1205="Futures",$C$6,$C$5)),""),"")</f>
        <v/>
      </c>
      <c r="I1205" s="139">
        <f>IFERROR(IF(AND(ISNUMBER(F1205),ISNUMBER(H1205)),F1205-H1205,""),"")</f>
        <v/>
      </c>
      <c r="J1205" s="114" t="n"/>
      <c r="K1205" s="139">
        <f>IFERROR(IF(H1205&gt;0,H1205*$C$7,""),"")</f>
        <v/>
      </c>
      <c r="L1205" s="139">
        <f>IFERROR(IF(ISNUMBER(F1205),F1205-IF(ISNUMBER(K1205),K1205,0),""),"")</f>
        <v/>
      </c>
    </row>
    <row r="1206" ht="24" customHeight="1" s="63">
      <c r="E1206" s="139" t="n"/>
      <c r="F1206" s="139" t="n"/>
      <c r="G1206" s="140">
        <f>IFERROR(IF(E1206&gt;0,(F1206/E1206)*1000,""),"")</f>
        <v/>
      </c>
      <c r="H1206" s="139">
        <f>IFERROR(IF(E1206&gt;0,E1206*IF(ISNUMBER(J1206),J1206,IF(C1206="Futures",$C$6,$C$5)),""),"")</f>
        <v/>
      </c>
      <c r="I1206" s="139">
        <f>IFERROR(IF(AND(ISNUMBER(F1206),ISNUMBER(H1206)),F1206-H1206,""),"")</f>
        <v/>
      </c>
      <c r="J1206" s="114" t="n"/>
      <c r="K1206" s="139">
        <f>IFERROR(IF(H1206&gt;0,H1206*$C$7,""),"")</f>
        <v/>
      </c>
      <c r="L1206" s="139">
        <f>IFERROR(IF(ISNUMBER(F1206),F1206-IF(ISNUMBER(K1206),K1206,0),""),"")</f>
        <v/>
      </c>
    </row>
    <row r="1207" ht="24" customHeight="1" s="63">
      <c r="E1207" s="139" t="n"/>
      <c r="F1207" s="139" t="n"/>
      <c r="G1207" s="140">
        <f>IFERROR(IF(E1207&gt;0,(F1207/E1207)*1000,""),"")</f>
        <v/>
      </c>
      <c r="H1207" s="139">
        <f>IFERROR(IF(E1207&gt;0,E1207*IF(ISNUMBER(J1207),J1207,IF(C1207="Futures",$C$6,$C$5)),""),"")</f>
        <v/>
      </c>
      <c r="I1207" s="139">
        <f>IFERROR(IF(AND(ISNUMBER(F1207),ISNUMBER(H1207)),F1207-H1207,""),"")</f>
        <v/>
      </c>
      <c r="J1207" s="114" t="n"/>
      <c r="K1207" s="139">
        <f>IFERROR(IF(H1207&gt;0,H1207*$C$7,""),"")</f>
        <v/>
      </c>
      <c r="L1207" s="139">
        <f>IFERROR(IF(ISNUMBER(F1207),F1207-IF(ISNUMBER(K1207),K1207,0),""),"")</f>
        <v/>
      </c>
    </row>
    <row r="1208" ht="24" customHeight="1" s="63">
      <c r="E1208" s="139" t="n"/>
      <c r="F1208" s="139" t="n"/>
      <c r="G1208" s="140">
        <f>IFERROR(IF(E1208&gt;0,(F1208/E1208)*1000,""),"")</f>
        <v/>
      </c>
      <c r="H1208" s="139">
        <f>IFERROR(IF(E1208&gt;0,E1208*IF(ISNUMBER(J1208),J1208,IF(C1208="Futures",$C$6,$C$5)),""),"")</f>
        <v/>
      </c>
      <c r="I1208" s="139">
        <f>IFERROR(IF(AND(ISNUMBER(F1208),ISNUMBER(H1208)),F1208-H1208,""),"")</f>
        <v/>
      </c>
      <c r="J1208" s="114" t="n"/>
      <c r="K1208" s="139">
        <f>IFERROR(IF(H1208&gt;0,H1208*$C$7,""),"")</f>
        <v/>
      </c>
      <c r="L1208" s="139">
        <f>IFERROR(IF(ISNUMBER(F1208),F1208-IF(ISNUMBER(K1208),K1208,0),""),"")</f>
        <v/>
      </c>
    </row>
    <row r="1209" ht="24" customHeight="1" s="63">
      <c r="E1209" s="139" t="n"/>
      <c r="F1209" s="139" t="n"/>
      <c r="G1209" s="140">
        <f>IFERROR(IF(E1209&gt;0,(F1209/E1209)*1000,""),"")</f>
        <v/>
      </c>
      <c r="H1209" s="139">
        <f>IFERROR(IF(E1209&gt;0,E1209*IF(ISNUMBER(J1209),J1209,IF(C1209="Futures",$C$6,$C$5)),""),"")</f>
        <v/>
      </c>
      <c r="I1209" s="139">
        <f>IFERROR(IF(AND(ISNUMBER(F1209),ISNUMBER(H1209)),F1209-H1209,""),"")</f>
        <v/>
      </c>
      <c r="J1209" s="114" t="n"/>
      <c r="K1209" s="139">
        <f>IFERROR(IF(H1209&gt;0,H1209*$C$7,""),"")</f>
        <v/>
      </c>
      <c r="L1209" s="139">
        <f>IFERROR(IF(ISNUMBER(F1209),F1209-IF(ISNUMBER(K1209),K1209,0),""),"")</f>
        <v/>
      </c>
    </row>
    <row r="1210" ht="24" customHeight="1" s="63">
      <c r="E1210" s="139" t="n"/>
      <c r="F1210" s="139" t="n"/>
      <c r="G1210" s="140">
        <f>IFERROR(IF(E1210&gt;0,(F1210/E1210)*1000,""),"")</f>
        <v/>
      </c>
      <c r="H1210" s="139">
        <f>IFERROR(IF(E1210&gt;0,E1210*IF(ISNUMBER(J1210),J1210,IF(C1210="Futures",$C$6,$C$5)),""),"")</f>
        <v/>
      </c>
      <c r="I1210" s="139">
        <f>IFERROR(IF(AND(ISNUMBER(F1210),ISNUMBER(H1210)),F1210-H1210,""),"")</f>
        <v/>
      </c>
      <c r="J1210" s="114" t="n"/>
      <c r="K1210" s="139">
        <f>IFERROR(IF(H1210&gt;0,H1210*$C$7,""),"")</f>
        <v/>
      </c>
      <c r="L1210" s="139">
        <f>IFERROR(IF(ISNUMBER(F1210),F1210-IF(ISNUMBER(K1210),K1210,0),""),"")</f>
        <v/>
      </c>
    </row>
    <row r="1211" ht="24" customHeight="1" s="63">
      <c r="E1211" s="139" t="n"/>
      <c r="F1211" s="139" t="n"/>
      <c r="G1211" s="140">
        <f>IFERROR(IF(E1211&gt;0,(F1211/E1211)*1000,""),"")</f>
        <v/>
      </c>
      <c r="H1211" s="139">
        <f>IFERROR(IF(E1211&gt;0,E1211*IF(ISNUMBER(J1211),J1211,IF(C1211="Futures",$C$6,$C$5)),""),"")</f>
        <v/>
      </c>
      <c r="I1211" s="139">
        <f>IFERROR(IF(AND(ISNUMBER(F1211),ISNUMBER(H1211)),F1211-H1211,""),"")</f>
        <v/>
      </c>
      <c r="J1211" s="114" t="n"/>
      <c r="K1211" s="139">
        <f>IFERROR(IF(H1211&gt;0,H1211*$C$7,""),"")</f>
        <v/>
      </c>
      <c r="L1211" s="139">
        <f>IFERROR(IF(ISNUMBER(F1211),F1211-IF(ISNUMBER(K1211),K1211,0),""),"")</f>
        <v/>
      </c>
    </row>
    <row r="1212" ht="24" customHeight="1" s="63">
      <c r="E1212" s="139" t="n"/>
      <c r="F1212" s="139" t="n"/>
      <c r="G1212" s="140">
        <f>IFERROR(IF(E1212&gt;0,(F1212/E1212)*1000,""),"")</f>
        <v/>
      </c>
      <c r="H1212" s="139">
        <f>IFERROR(IF(E1212&gt;0,E1212*IF(ISNUMBER(J1212),J1212,IF(C1212="Futures",$C$6,$C$5)),""),"")</f>
        <v/>
      </c>
      <c r="I1212" s="139">
        <f>IFERROR(IF(AND(ISNUMBER(F1212),ISNUMBER(H1212)),F1212-H1212,""),"")</f>
        <v/>
      </c>
      <c r="J1212" s="114" t="n"/>
      <c r="K1212" s="139">
        <f>IFERROR(IF(H1212&gt;0,H1212*$C$7,""),"")</f>
        <v/>
      </c>
      <c r="L1212" s="139">
        <f>IFERROR(IF(ISNUMBER(F1212),F1212-IF(ISNUMBER(K1212),K1212,0),""),"")</f>
        <v/>
      </c>
    </row>
    <row r="1213" ht="24" customHeight="1" s="63">
      <c r="E1213" s="139" t="n"/>
      <c r="F1213" s="139" t="n"/>
      <c r="G1213" s="140">
        <f>IFERROR(IF(E1213&gt;0,(F1213/E1213)*1000,""),"")</f>
        <v/>
      </c>
      <c r="H1213" s="139">
        <f>IFERROR(IF(E1213&gt;0,E1213*IF(ISNUMBER(J1213),J1213,IF(C1213="Futures",$C$6,$C$5)),""),"")</f>
        <v/>
      </c>
      <c r="I1213" s="139">
        <f>IFERROR(IF(AND(ISNUMBER(F1213),ISNUMBER(H1213)),F1213-H1213,""),"")</f>
        <v/>
      </c>
      <c r="J1213" s="114" t="n"/>
      <c r="K1213" s="139">
        <f>IFERROR(IF(H1213&gt;0,H1213*$C$7,""),"")</f>
        <v/>
      </c>
      <c r="L1213" s="139">
        <f>IFERROR(IF(ISNUMBER(F1213),F1213-IF(ISNUMBER(K1213),K1213,0),""),"")</f>
        <v/>
      </c>
    </row>
    <row r="1214" ht="24" customHeight="1" s="63">
      <c r="E1214" s="139" t="n"/>
      <c r="F1214" s="139" t="n"/>
      <c r="G1214" s="140">
        <f>IFERROR(IF(E1214&gt;0,(F1214/E1214)*1000,""),"")</f>
        <v/>
      </c>
      <c r="H1214" s="139">
        <f>IFERROR(IF(E1214&gt;0,E1214*IF(ISNUMBER(J1214),J1214,IF(C1214="Futures",$C$6,$C$5)),""),"")</f>
        <v/>
      </c>
      <c r="I1214" s="139">
        <f>IFERROR(IF(AND(ISNUMBER(F1214),ISNUMBER(H1214)),F1214-H1214,""),"")</f>
        <v/>
      </c>
      <c r="J1214" s="114" t="n"/>
      <c r="K1214" s="139">
        <f>IFERROR(IF(H1214&gt;0,H1214*$C$7,""),"")</f>
        <v/>
      </c>
      <c r="L1214" s="139">
        <f>IFERROR(IF(ISNUMBER(F1214),F1214-IF(ISNUMBER(K1214),K1214,0),""),"")</f>
        <v/>
      </c>
    </row>
    <row r="1215" ht="24" customHeight="1" s="63">
      <c r="E1215" s="139" t="n"/>
      <c r="F1215" s="139" t="n"/>
      <c r="G1215" s="140">
        <f>IFERROR(IF(E1215&gt;0,(F1215/E1215)*1000,""),"")</f>
        <v/>
      </c>
      <c r="H1215" s="139">
        <f>IFERROR(IF(E1215&gt;0,E1215*IF(ISNUMBER(J1215),J1215,IF(C1215="Futures",$C$6,$C$5)),""),"")</f>
        <v/>
      </c>
      <c r="I1215" s="139">
        <f>IFERROR(IF(AND(ISNUMBER(F1215),ISNUMBER(H1215)),F1215-H1215,""),"")</f>
        <v/>
      </c>
      <c r="J1215" s="114" t="n"/>
      <c r="K1215" s="139">
        <f>IFERROR(IF(H1215&gt;0,H1215*$C$7,""),"")</f>
        <v/>
      </c>
      <c r="L1215" s="139">
        <f>IFERROR(IF(ISNUMBER(F1215),F1215-IF(ISNUMBER(K1215),K1215,0),""),"")</f>
        <v/>
      </c>
    </row>
    <row r="1216" ht="24" customHeight="1" s="63">
      <c r="E1216" s="139" t="n"/>
      <c r="F1216" s="139" t="n"/>
      <c r="G1216" s="140">
        <f>IFERROR(IF(E1216&gt;0,(F1216/E1216)*1000,""),"")</f>
        <v/>
      </c>
      <c r="H1216" s="139">
        <f>IFERROR(IF(E1216&gt;0,E1216*IF(ISNUMBER(J1216),J1216,IF(C1216="Futures",$C$6,$C$5)),""),"")</f>
        <v/>
      </c>
      <c r="I1216" s="139">
        <f>IFERROR(IF(AND(ISNUMBER(F1216),ISNUMBER(H1216)),F1216-H1216,""),"")</f>
        <v/>
      </c>
      <c r="J1216" s="114" t="n"/>
      <c r="K1216" s="139">
        <f>IFERROR(IF(H1216&gt;0,H1216*$C$7,""),"")</f>
        <v/>
      </c>
      <c r="L1216" s="139">
        <f>IFERROR(IF(ISNUMBER(F1216),F1216-IF(ISNUMBER(K1216),K1216,0),""),"")</f>
        <v/>
      </c>
    </row>
    <row r="1217" ht="24" customHeight="1" s="63">
      <c r="E1217" s="139" t="n"/>
      <c r="F1217" s="139" t="n"/>
      <c r="G1217" s="140">
        <f>IFERROR(IF(E1217&gt;0,(F1217/E1217)*1000,""),"")</f>
        <v/>
      </c>
      <c r="H1217" s="139">
        <f>IFERROR(IF(E1217&gt;0,E1217*IF(ISNUMBER(J1217),J1217,IF(C1217="Futures",$C$6,$C$5)),""),"")</f>
        <v/>
      </c>
      <c r="I1217" s="139">
        <f>IFERROR(IF(AND(ISNUMBER(F1217),ISNUMBER(H1217)),F1217-H1217,""),"")</f>
        <v/>
      </c>
      <c r="J1217" s="114" t="n"/>
      <c r="K1217" s="139">
        <f>IFERROR(IF(H1217&gt;0,H1217*$C$7,""),"")</f>
        <v/>
      </c>
      <c r="L1217" s="139">
        <f>IFERROR(IF(ISNUMBER(F1217),F1217-IF(ISNUMBER(K1217),K1217,0),""),"")</f>
        <v/>
      </c>
    </row>
    <row r="1218" ht="24" customHeight="1" s="63">
      <c r="E1218" s="139" t="n"/>
      <c r="F1218" s="139" t="n"/>
      <c r="G1218" s="140">
        <f>IFERROR(IF(E1218&gt;0,(F1218/E1218)*1000,""),"")</f>
        <v/>
      </c>
      <c r="H1218" s="139">
        <f>IFERROR(IF(E1218&gt;0,E1218*IF(ISNUMBER(J1218),J1218,IF(C1218="Futures",$C$6,$C$5)),""),"")</f>
        <v/>
      </c>
      <c r="I1218" s="139">
        <f>IFERROR(IF(AND(ISNUMBER(F1218),ISNUMBER(H1218)),F1218-H1218,""),"")</f>
        <v/>
      </c>
      <c r="J1218" s="114" t="n"/>
      <c r="K1218" s="139">
        <f>IFERROR(IF(H1218&gt;0,H1218*$C$7,""),"")</f>
        <v/>
      </c>
      <c r="L1218" s="139">
        <f>IFERROR(IF(ISNUMBER(F1218),F1218-IF(ISNUMBER(K1218),K1218,0),""),"")</f>
        <v/>
      </c>
    </row>
    <row r="1219" ht="24" customHeight="1" s="63">
      <c r="E1219" s="139" t="n"/>
      <c r="F1219" s="139" t="n"/>
      <c r="G1219" s="140">
        <f>IFERROR(IF(E1219&gt;0,(F1219/E1219)*1000,""),"")</f>
        <v/>
      </c>
      <c r="H1219" s="139">
        <f>IFERROR(IF(E1219&gt;0,E1219*IF(ISNUMBER(J1219),J1219,IF(C1219="Futures",$C$6,$C$5)),""),"")</f>
        <v/>
      </c>
      <c r="I1219" s="139">
        <f>IFERROR(IF(AND(ISNUMBER(F1219),ISNUMBER(H1219)),F1219-H1219,""),"")</f>
        <v/>
      </c>
      <c r="J1219" s="114" t="n"/>
      <c r="K1219" s="139">
        <f>IFERROR(IF(H1219&gt;0,H1219*$C$7,""),"")</f>
        <v/>
      </c>
      <c r="L1219" s="139">
        <f>IFERROR(IF(ISNUMBER(F1219),F1219-IF(ISNUMBER(K1219),K1219,0),""),"")</f>
        <v/>
      </c>
    </row>
    <row r="1220" ht="24" customHeight="1" s="63">
      <c r="E1220" s="139" t="n"/>
      <c r="F1220" s="139" t="n"/>
      <c r="G1220" s="140">
        <f>IFERROR(IF(E1220&gt;0,(F1220/E1220)*1000,""),"")</f>
        <v/>
      </c>
      <c r="H1220" s="139">
        <f>IFERROR(IF(E1220&gt;0,E1220*IF(ISNUMBER(J1220),J1220,IF(C1220="Futures",$C$6,$C$5)),""),"")</f>
        <v/>
      </c>
      <c r="I1220" s="139">
        <f>IFERROR(IF(AND(ISNUMBER(F1220),ISNUMBER(H1220)),F1220-H1220,""),"")</f>
        <v/>
      </c>
      <c r="J1220" s="114" t="n"/>
      <c r="K1220" s="139">
        <f>IFERROR(IF(H1220&gt;0,H1220*$C$7,""),"")</f>
        <v/>
      </c>
      <c r="L1220" s="139">
        <f>IFERROR(IF(ISNUMBER(F1220),F1220-IF(ISNUMBER(K1220),K1220,0),""),"")</f>
        <v/>
      </c>
    </row>
    <row r="1221" ht="24" customHeight="1" s="63">
      <c r="E1221" s="139" t="n"/>
      <c r="F1221" s="139" t="n"/>
      <c r="G1221" s="140">
        <f>IFERROR(IF(E1221&gt;0,(F1221/E1221)*1000,""),"")</f>
        <v/>
      </c>
      <c r="H1221" s="139">
        <f>IFERROR(IF(E1221&gt;0,E1221*IF(ISNUMBER(J1221),J1221,IF(C1221="Futures",$C$6,$C$5)),""),"")</f>
        <v/>
      </c>
      <c r="I1221" s="139">
        <f>IFERROR(IF(AND(ISNUMBER(F1221),ISNUMBER(H1221)),F1221-H1221,""),"")</f>
        <v/>
      </c>
      <c r="J1221" s="114" t="n"/>
      <c r="K1221" s="139">
        <f>IFERROR(IF(H1221&gt;0,H1221*$C$7,""),"")</f>
        <v/>
      </c>
      <c r="L1221" s="139">
        <f>IFERROR(IF(ISNUMBER(F1221),F1221-IF(ISNUMBER(K1221),K1221,0),""),"")</f>
        <v/>
      </c>
    </row>
    <row r="1222" ht="24" customHeight="1" s="63">
      <c r="E1222" s="139" t="n"/>
      <c r="F1222" s="139" t="n"/>
      <c r="G1222" s="140">
        <f>IFERROR(IF(E1222&gt;0,(F1222/E1222)*1000,""),"")</f>
        <v/>
      </c>
      <c r="H1222" s="139">
        <f>IFERROR(IF(E1222&gt;0,E1222*IF(ISNUMBER(J1222),J1222,IF(C1222="Futures",$C$6,$C$5)),""),"")</f>
        <v/>
      </c>
      <c r="I1222" s="139">
        <f>IFERROR(IF(AND(ISNUMBER(F1222),ISNUMBER(H1222)),F1222-H1222,""),"")</f>
        <v/>
      </c>
      <c r="J1222" s="114" t="n"/>
      <c r="K1222" s="139">
        <f>IFERROR(IF(H1222&gt;0,H1222*$C$7,""),"")</f>
        <v/>
      </c>
      <c r="L1222" s="139">
        <f>IFERROR(IF(ISNUMBER(F1222),F1222-IF(ISNUMBER(K1222),K1222,0),""),"")</f>
        <v/>
      </c>
    </row>
    <row r="1223" ht="24" customHeight="1" s="63">
      <c r="E1223" s="139" t="n"/>
      <c r="F1223" s="139" t="n"/>
      <c r="G1223" s="140">
        <f>IFERROR(IF(E1223&gt;0,(F1223/E1223)*1000,""),"")</f>
        <v/>
      </c>
      <c r="H1223" s="139">
        <f>IFERROR(IF(E1223&gt;0,E1223*IF(ISNUMBER(J1223),J1223,IF(C1223="Futures",$C$6,$C$5)),""),"")</f>
        <v/>
      </c>
      <c r="I1223" s="139">
        <f>IFERROR(IF(AND(ISNUMBER(F1223),ISNUMBER(H1223)),F1223-H1223,""),"")</f>
        <v/>
      </c>
      <c r="J1223" s="114" t="n"/>
      <c r="K1223" s="139">
        <f>IFERROR(IF(H1223&gt;0,H1223*$C$7,""),"")</f>
        <v/>
      </c>
      <c r="L1223" s="139">
        <f>IFERROR(IF(ISNUMBER(F1223),F1223-IF(ISNUMBER(K1223),K1223,0),""),"")</f>
        <v/>
      </c>
    </row>
    <row r="1224" ht="24" customHeight="1" s="63">
      <c r="E1224" s="139" t="n"/>
      <c r="F1224" s="139" t="n"/>
      <c r="G1224" s="140">
        <f>IFERROR(IF(E1224&gt;0,(F1224/E1224)*1000,""),"")</f>
        <v/>
      </c>
      <c r="H1224" s="139">
        <f>IFERROR(IF(E1224&gt;0,E1224*IF(ISNUMBER(J1224),J1224,IF(C1224="Futures",$C$6,$C$5)),""),"")</f>
        <v/>
      </c>
      <c r="I1224" s="139">
        <f>IFERROR(IF(AND(ISNUMBER(F1224),ISNUMBER(H1224)),F1224-H1224,""),"")</f>
        <v/>
      </c>
      <c r="J1224" s="114" t="n"/>
      <c r="K1224" s="139">
        <f>IFERROR(IF(H1224&gt;0,H1224*$C$7,""),"")</f>
        <v/>
      </c>
      <c r="L1224" s="139">
        <f>IFERROR(IF(ISNUMBER(F1224),F1224-IF(ISNUMBER(K1224),K1224,0),""),"")</f>
        <v/>
      </c>
    </row>
    <row r="1225" ht="24" customHeight="1" s="63">
      <c r="E1225" s="139" t="n"/>
      <c r="F1225" s="139" t="n"/>
      <c r="G1225" s="140">
        <f>IFERROR(IF(E1225&gt;0,(F1225/E1225)*1000,""),"")</f>
        <v/>
      </c>
      <c r="H1225" s="139">
        <f>IFERROR(IF(E1225&gt;0,E1225*IF(ISNUMBER(J1225),J1225,IF(C1225="Futures",$C$6,$C$5)),""),"")</f>
        <v/>
      </c>
      <c r="I1225" s="139">
        <f>IFERROR(IF(AND(ISNUMBER(F1225),ISNUMBER(H1225)),F1225-H1225,""),"")</f>
        <v/>
      </c>
      <c r="J1225" s="114" t="n"/>
      <c r="K1225" s="139">
        <f>IFERROR(IF(H1225&gt;0,H1225*$C$7,""),"")</f>
        <v/>
      </c>
      <c r="L1225" s="139">
        <f>IFERROR(IF(ISNUMBER(F1225),F1225-IF(ISNUMBER(K1225),K1225,0),""),"")</f>
        <v/>
      </c>
    </row>
    <row r="1226" ht="24" customHeight="1" s="63">
      <c r="E1226" s="139" t="n"/>
      <c r="F1226" s="139" t="n"/>
      <c r="G1226" s="140">
        <f>IFERROR(IF(E1226&gt;0,(F1226/E1226)*1000,""),"")</f>
        <v/>
      </c>
      <c r="H1226" s="139">
        <f>IFERROR(IF(E1226&gt;0,E1226*IF(ISNUMBER(J1226),J1226,IF(C1226="Futures",$C$6,$C$5)),""),"")</f>
        <v/>
      </c>
      <c r="I1226" s="139">
        <f>IFERROR(IF(AND(ISNUMBER(F1226),ISNUMBER(H1226)),F1226-H1226,""),"")</f>
        <v/>
      </c>
      <c r="J1226" s="114" t="n"/>
      <c r="K1226" s="139">
        <f>IFERROR(IF(H1226&gt;0,H1226*$C$7,""),"")</f>
        <v/>
      </c>
      <c r="L1226" s="139">
        <f>IFERROR(IF(ISNUMBER(F1226),F1226-IF(ISNUMBER(K1226),K1226,0),""),"")</f>
        <v/>
      </c>
    </row>
    <row r="1227" ht="24" customHeight="1" s="63">
      <c r="E1227" s="139" t="n"/>
      <c r="F1227" s="139" t="n"/>
      <c r="G1227" s="140">
        <f>IFERROR(IF(E1227&gt;0,(F1227/E1227)*1000,""),"")</f>
        <v/>
      </c>
      <c r="H1227" s="139">
        <f>IFERROR(IF(E1227&gt;0,E1227*IF(ISNUMBER(J1227),J1227,IF(C1227="Futures",$C$6,$C$5)),""),"")</f>
        <v/>
      </c>
      <c r="I1227" s="139">
        <f>IFERROR(IF(AND(ISNUMBER(F1227),ISNUMBER(H1227)),F1227-H1227,""),"")</f>
        <v/>
      </c>
      <c r="J1227" s="114" t="n"/>
      <c r="K1227" s="139">
        <f>IFERROR(IF(H1227&gt;0,H1227*$C$7,""),"")</f>
        <v/>
      </c>
      <c r="L1227" s="139">
        <f>IFERROR(IF(ISNUMBER(F1227),F1227-IF(ISNUMBER(K1227),K1227,0),""),"")</f>
        <v/>
      </c>
    </row>
    <row r="1228" ht="24" customHeight="1" s="63">
      <c r="E1228" s="139" t="n"/>
      <c r="F1228" s="139" t="n"/>
      <c r="G1228" s="140">
        <f>IFERROR(IF(E1228&gt;0,(F1228/E1228)*1000,""),"")</f>
        <v/>
      </c>
      <c r="H1228" s="139">
        <f>IFERROR(IF(E1228&gt;0,E1228*IF(ISNUMBER(J1228),J1228,IF(C1228="Futures",$C$6,$C$5)),""),"")</f>
        <v/>
      </c>
      <c r="I1228" s="139">
        <f>IFERROR(IF(AND(ISNUMBER(F1228),ISNUMBER(H1228)),F1228-H1228,""),"")</f>
        <v/>
      </c>
      <c r="J1228" s="114" t="n"/>
      <c r="K1228" s="139">
        <f>IFERROR(IF(H1228&gt;0,H1228*$C$7,""),"")</f>
        <v/>
      </c>
      <c r="L1228" s="139">
        <f>IFERROR(IF(ISNUMBER(F1228),F1228-IF(ISNUMBER(K1228),K1228,0),""),"")</f>
        <v/>
      </c>
    </row>
    <row r="1229" ht="24" customHeight="1" s="63">
      <c r="E1229" s="139" t="n"/>
      <c r="F1229" s="139" t="n"/>
      <c r="G1229" s="140">
        <f>IFERROR(IF(E1229&gt;0,(F1229/E1229)*1000,""),"")</f>
        <v/>
      </c>
      <c r="H1229" s="139">
        <f>IFERROR(IF(E1229&gt;0,E1229*IF(ISNUMBER(J1229),J1229,IF(C1229="Futures",$C$6,$C$5)),""),"")</f>
        <v/>
      </c>
      <c r="I1229" s="139">
        <f>IFERROR(IF(AND(ISNUMBER(F1229),ISNUMBER(H1229)),F1229-H1229,""),"")</f>
        <v/>
      </c>
      <c r="J1229" s="114" t="n"/>
      <c r="K1229" s="139">
        <f>IFERROR(IF(H1229&gt;0,H1229*$C$7,""),"")</f>
        <v/>
      </c>
      <c r="L1229" s="139">
        <f>IFERROR(IF(ISNUMBER(F1229),F1229-IF(ISNUMBER(K1229),K1229,0),""),"")</f>
        <v/>
      </c>
    </row>
    <row r="1230" ht="24" customHeight="1" s="63">
      <c r="E1230" s="139" t="n"/>
      <c r="F1230" s="139" t="n"/>
      <c r="G1230" s="140">
        <f>IFERROR(IF(E1230&gt;0,(F1230/E1230)*1000,""),"")</f>
        <v/>
      </c>
      <c r="H1230" s="139">
        <f>IFERROR(IF(E1230&gt;0,E1230*IF(ISNUMBER(J1230),J1230,IF(C1230="Futures",$C$6,$C$5)),""),"")</f>
        <v/>
      </c>
      <c r="I1230" s="139">
        <f>IFERROR(IF(AND(ISNUMBER(F1230),ISNUMBER(H1230)),F1230-H1230,""),"")</f>
        <v/>
      </c>
      <c r="J1230" s="114" t="n"/>
      <c r="K1230" s="139">
        <f>IFERROR(IF(H1230&gt;0,H1230*$C$7,""),"")</f>
        <v/>
      </c>
      <c r="L1230" s="139">
        <f>IFERROR(IF(ISNUMBER(F1230),F1230-IF(ISNUMBER(K1230),K1230,0),""),"")</f>
        <v/>
      </c>
    </row>
    <row r="1231" ht="24" customHeight="1" s="63">
      <c r="E1231" s="139" t="n"/>
      <c r="F1231" s="139" t="n"/>
      <c r="G1231" s="140">
        <f>IFERROR(IF(E1231&gt;0,(F1231/E1231)*1000,""),"")</f>
        <v/>
      </c>
      <c r="H1231" s="139">
        <f>IFERROR(IF(E1231&gt;0,E1231*IF(ISNUMBER(J1231),J1231,IF(C1231="Futures",$C$6,$C$5)),""),"")</f>
        <v/>
      </c>
      <c r="I1231" s="139">
        <f>IFERROR(IF(AND(ISNUMBER(F1231),ISNUMBER(H1231)),F1231-H1231,""),"")</f>
        <v/>
      </c>
      <c r="J1231" s="114" t="n"/>
      <c r="K1231" s="139">
        <f>IFERROR(IF(H1231&gt;0,H1231*$C$7,""),"")</f>
        <v/>
      </c>
      <c r="L1231" s="139">
        <f>IFERROR(IF(ISNUMBER(F1231),F1231-IF(ISNUMBER(K1231),K1231,0),""),"")</f>
        <v/>
      </c>
    </row>
    <row r="1232" ht="24" customHeight="1" s="63">
      <c r="E1232" s="139" t="n"/>
      <c r="F1232" s="139" t="n"/>
      <c r="G1232" s="140">
        <f>IFERROR(IF(E1232&gt;0,(F1232/E1232)*1000,""),"")</f>
        <v/>
      </c>
      <c r="H1232" s="139">
        <f>IFERROR(IF(E1232&gt;0,E1232*IF(ISNUMBER(J1232),J1232,IF(C1232="Futures",$C$6,$C$5)),""),"")</f>
        <v/>
      </c>
      <c r="I1232" s="139">
        <f>IFERROR(IF(AND(ISNUMBER(F1232),ISNUMBER(H1232)),F1232-H1232,""),"")</f>
        <v/>
      </c>
      <c r="J1232" s="114" t="n"/>
      <c r="K1232" s="139">
        <f>IFERROR(IF(H1232&gt;0,H1232*$C$7,""),"")</f>
        <v/>
      </c>
      <c r="L1232" s="139">
        <f>IFERROR(IF(ISNUMBER(F1232),F1232-IF(ISNUMBER(K1232),K1232,0),""),"")</f>
        <v/>
      </c>
    </row>
    <row r="1233" ht="24" customHeight="1" s="63">
      <c r="E1233" s="139" t="n"/>
      <c r="F1233" s="139" t="n"/>
      <c r="G1233" s="140">
        <f>IFERROR(IF(E1233&gt;0,(F1233/E1233)*1000,""),"")</f>
        <v/>
      </c>
      <c r="H1233" s="139">
        <f>IFERROR(IF(E1233&gt;0,E1233*IF(ISNUMBER(J1233),J1233,IF(C1233="Futures",$C$6,$C$5)),""),"")</f>
        <v/>
      </c>
      <c r="I1233" s="139">
        <f>IFERROR(IF(AND(ISNUMBER(F1233),ISNUMBER(H1233)),F1233-H1233,""),"")</f>
        <v/>
      </c>
      <c r="J1233" s="114" t="n"/>
      <c r="K1233" s="139">
        <f>IFERROR(IF(H1233&gt;0,H1233*$C$7,""),"")</f>
        <v/>
      </c>
      <c r="L1233" s="139">
        <f>IFERROR(IF(ISNUMBER(F1233),F1233-IF(ISNUMBER(K1233),K1233,0),""),"")</f>
        <v/>
      </c>
    </row>
    <row r="1234" ht="24" customHeight="1" s="63">
      <c r="E1234" s="139" t="n"/>
      <c r="F1234" s="139" t="n"/>
      <c r="G1234" s="140">
        <f>IFERROR(IF(E1234&gt;0,(F1234/E1234)*1000,""),"")</f>
        <v/>
      </c>
      <c r="H1234" s="139">
        <f>IFERROR(IF(E1234&gt;0,E1234*IF(ISNUMBER(J1234),J1234,IF(C1234="Futures",$C$6,$C$5)),""),"")</f>
        <v/>
      </c>
      <c r="I1234" s="139">
        <f>IFERROR(IF(AND(ISNUMBER(F1234),ISNUMBER(H1234)),F1234-H1234,""),"")</f>
        <v/>
      </c>
      <c r="J1234" s="114" t="n"/>
      <c r="K1234" s="139">
        <f>IFERROR(IF(H1234&gt;0,H1234*$C$7,""),"")</f>
        <v/>
      </c>
      <c r="L1234" s="139">
        <f>IFERROR(IF(ISNUMBER(F1234),F1234-IF(ISNUMBER(K1234),K1234,0),""),"")</f>
        <v/>
      </c>
    </row>
    <row r="1235" ht="24" customHeight="1" s="63">
      <c r="E1235" s="139" t="n"/>
      <c r="F1235" s="139" t="n"/>
      <c r="G1235" s="140">
        <f>IFERROR(IF(E1235&gt;0,(F1235/E1235)*1000,""),"")</f>
        <v/>
      </c>
      <c r="H1235" s="139">
        <f>IFERROR(IF(E1235&gt;0,E1235*IF(ISNUMBER(J1235),J1235,IF(C1235="Futures",$C$6,$C$5)),""),"")</f>
        <v/>
      </c>
      <c r="I1235" s="139">
        <f>IFERROR(IF(AND(ISNUMBER(F1235),ISNUMBER(H1235)),F1235-H1235,""),"")</f>
        <v/>
      </c>
      <c r="J1235" s="114" t="n"/>
      <c r="K1235" s="139">
        <f>IFERROR(IF(H1235&gt;0,H1235*$C$7,""),"")</f>
        <v/>
      </c>
      <c r="L1235" s="139">
        <f>IFERROR(IF(ISNUMBER(F1235),F1235-IF(ISNUMBER(K1235),K1235,0),""),"")</f>
        <v/>
      </c>
    </row>
    <row r="1236" ht="24" customHeight="1" s="63">
      <c r="E1236" s="139" t="n"/>
      <c r="F1236" s="139" t="n"/>
      <c r="G1236" s="140">
        <f>IFERROR(IF(E1236&gt;0,(F1236/E1236)*1000,""),"")</f>
        <v/>
      </c>
      <c r="H1236" s="139">
        <f>IFERROR(IF(E1236&gt;0,E1236*IF(ISNUMBER(J1236),J1236,IF(C1236="Futures",$C$6,$C$5)),""),"")</f>
        <v/>
      </c>
      <c r="I1236" s="139">
        <f>IFERROR(IF(AND(ISNUMBER(F1236),ISNUMBER(H1236)),F1236-H1236,""),"")</f>
        <v/>
      </c>
      <c r="J1236" s="114" t="n"/>
      <c r="K1236" s="139">
        <f>IFERROR(IF(H1236&gt;0,H1236*$C$7,""),"")</f>
        <v/>
      </c>
      <c r="L1236" s="139">
        <f>IFERROR(IF(ISNUMBER(F1236),F1236-IF(ISNUMBER(K1236),K1236,0),""),"")</f>
        <v/>
      </c>
    </row>
    <row r="1237" ht="24" customHeight="1" s="63">
      <c r="E1237" s="139" t="n"/>
      <c r="F1237" s="139" t="n"/>
      <c r="G1237" s="140">
        <f>IFERROR(IF(E1237&gt;0,(F1237/E1237)*1000,""),"")</f>
        <v/>
      </c>
      <c r="H1237" s="139">
        <f>IFERROR(IF(E1237&gt;0,E1237*IF(ISNUMBER(J1237),J1237,IF(C1237="Futures",$C$6,$C$5)),""),"")</f>
        <v/>
      </c>
      <c r="I1237" s="139">
        <f>IFERROR(IF(AND(ISNUMBER(F1237),ISNUMBER(H1237)),F1237-H1237,""),"")</f>
        <v/>
      </c>
      <c r="J1237" s="114" t="n"/>
      <c r="K1237" s="139">
        <f>IFERROR(IF(H1237&gt;0,H1237*$C$7,""),"")</f>
        <v/>
      </c>
      <c r="L1237" s="139">
        <f>IFERROR(IF(ISNUMBER(F1237),F1237-IF(ISNUMBER(K1237),K1237,0),""),"")</f>
        <v/>
      </c>
    </row>
    <row r="1238" ht="24" customHeight="1" s="63">
      <c r="E1238" s="139" t="n"/>
      <c r="F1238" s="139" t="n"/>
      <c r="G1238" s="140">
        <f>IFERROR(IF(E1238&gt;0,(F1238/E1238)*1000,""),"")</f>
        <v/>
      </c>
      <c r="H1238" s="139">
        <f>IFERROR(IF(E1238&gt;0,E1238*IF(ISNUMBER(J1238),J1238,IF(C1238="Futures",$C$6,$C$5)),""),"")</f>
        <v/>
      </c>
      <c r="I1238" s="139">
        <f>IFERROR(IF(AND(ISNUMBER(F1238),ISNUMBER(H1238)),F1238-H1238,""),"")</f>
        <v/>
      </c>
      <c r="J1238" s="114" t="n"/>
      <c r="K1238" s="139">
        <f>IFERROR(IF(H1238&gt;0,H1238*$C$7,""),"")</f>
        <v/>
      </c>
      <c r="L1238" s="139">
        <f>IFERROR(IF(ISNUMBER(F1238),F1238-IF(ISNUMBER(K1238),K1238,0),""),"")</f>
        <v/>
      </c>
    </row>
    <row r="1239" ht="24" customHeight="1" s="63">
      <c r="E1239" s="139" t="n"/>
      <c r="F1239" s="139" t="n"/>
      <c r="G1239" s="140">
        <f>IFERROR(IF(E1239&gt;0,(F1239/E1239)*1000,""),"")</f>
        <v/>
      </c>
      <c r="H1239" s="139">
        <f>IFERROR(IF(E1239&gt;0,E1239*IF(ISNUMBER(J1239),J1239,IF(C1239="Futures",$C$6,$C$5)),""),"")</f>
        <v/>
      </c>
      <c r="I1239" s="139">
        <f>IFERROR(IF(AND(ISNUMBER(F1239),ISNUMBER(H1239)),F1239-H1239,""),"")</f>
        <v/>
      </c>
      <c r="J1239" s="114" t="n"/>
      <c r="K1239" s="139">
        <f>IFERROR(IF(H1239&gt;0,H1239*$C$7,""),"")</f>
        <v/>
      </c>
      <c r="L1239" s="139">
        <f>IFERROR(IF(ISNUMBER(F1239),F1239-IF(ISNUMBER(K1239),K1239,0),""),"")</f>
        <v/>
      </c>
    </row>
    <row r="1240" ht="24" customHeight="1" s="63">
      <c r="E1240" s="139" t="n"/>
      <c r="F1240" s="139" t="n"/>
      <c r="G1240" s="140">
        <f>IFERROR(IF(E1240&gt;0,(F1240/E1240)*1000,""),"")</f>
        <v/>
      </c>
      <c r="H1240" s="139">
        <f>IFERROR(IF(E1240&gt;0,E1240*IF(ISNUMBER(J1240),J1240,IF(C1240="Futures",$C$6,$C$5)),""),"")</f>
        <v/>
      </c>
      <c r="I1240" s="139">
        <f>IFERROR(IF(AND(ISNUMBER(F1240),ISNUMBER(H1240)),F1240-H1240,""),"")</f>
        <v/>
      </c>
      <c r="J1240" s="114" t="n"/>
      <c r="K1240" s="139">
        <f>IFERROR(IF(H1240&gt;0,H1240*$C$7,""),"")</f>
        <v/>
      </c>
      <c r="L1240" s="139">
        <f>IFERROR(IF(ISNUMBER(F1240),F1240-IF(ISNUMBER(K1240),K1240,0),""),"")</f>
        <v/>
      </c>
    </row>
    <row r="1241" ht="24" customHeight="1" s="63">
      <c r="E1241" s="139" t="n"/>
      <c r="F1241" s="139" t="n"/>
      <c r="G1241" s="140">
        <f>IFERROR(IF(E1241&gt;0,(F1241/E1241)*1000,""),"")</f>
        <v/>
      </c>
      <c r="H1241" s="139">
        <f>IFERROR(IF(E1241&gt;0,E1241*IF(ISNUMBER(J1241),J1241,IF(C1241="Futures",$C$6,$C$5)),""),"")</f>
        <v/>
      </c>
      <c r="I1241" s="139">
        <f>IFERROR(IF(AND(ISNUMBER(F1241),ISNUMBER(H1241)),F1241-H1241,""),"")</f>
        <v/>
      </c>
      <c r="J1241" s="114" t="n"/>
      <c r="K1241" s="139">
        <f>IFERROR(IF(H1241&gt;0,H1241*$C$7,""),"")</f>
        <v/>
      </c>
      <c r="L1241" s="139">
        <f>IFERROR(IF(ISNUMBER(F1241),F1241-IF(ISNUMBER(K1241),K1241,0),""),"")</f>
        <v/>
      </c>
    </row>
    <row r="1242" ht="24" customHeight="1" s="63">
      <c r="E1242" s="139" t="n"/>
      <c r="F1242" s="139" t="n"/>
      <c r="G1242" s="140">
        <f>IFERROR(IF(E1242&gt;0,(F1242/E1242)*1000,""),"")</f>
        <v/>
      </c>
      <c r="H1242" s="139">
        <f>IFERROR(IF(E1242&gt;0,E1242*IF(ISNUMBER(J1242),J1242,IF(C1242="Futures",$C$6,$C$5)),""),"")</f>
        <v/>
      </c>
      <c r="I1242" s="139">
        <f>IFERROR(IF(AND(ISNUMBER(F1242),ISNUMBER(H1242)),F1242-H1242,""),"")</f>
        <v/>
      </c>
      <c r="J1242" s="114" t="n"/>
      <c r="K1242" s="139">
        <f>IFERROR(IF(H1242&gt;0,H1242*$C$7,""),"")</f>
        <v/>
      </c>
      <c r="L1242" s="139">
        <f>IFERROR(IF(ISNUMBER(F1242),F1242-IF(ISNUMBER(K1242),K1242,0),""),"")</f>
        <v/>
      </c>
    </row>
    <row r="1243" ht="24" customHeight="1" s="63">
      <c r="E1243" s="139" t="n"/>
      <c r="F1243" s="139" t="n"/>
      <c r="G1243" s="140">
        <f>IFERROR(IF(E1243&gt;0,(F1243/E1243)*1000,""),"")</f>
        <v/>
      </c>
      <c r="H1243" s="139">
        <f>IFERROR(IF(E1243&gt;0,E1243*IF(ISNUMBER(J1243),J1243,IF(C1243="Futures",$C$6,$C$5)),""),"")</f>
        <v/>
      </c>
      <c r="I1243" s="139">
        <f>IFERROR(IF(AND(ISNUMBER(F1243),ISNUMBER(H1243)),F1243-H1243,""),"")</f>
        <v/>
      </c>
      <c r="J1243" s="114" t="n"/>
      <c r="K1243" s="139">
        <f>IFERROR(IF(H1243&gt;0,H1243*$C$7,""),"")</f>
        <v/>
      </c>
      <c r="L1243" s="139">
        <f>IFERROR(IF(ISNUMBER(F1243),F1243-IF(ISNUMBER(K1243),K1243,0),""),"")</f>
        <v/>
      </c>
    </row>
    <row r="1244" ht="24" customHeight="1" s="63">
      <c r="E1244" s="139" t="n"/>
      <c r="F1244" s="139" t="n"/>
      <c r="G1244" s="140">
        <f>IFERROR(IF(E1244&gt;0,(F1244/E1244)*1000,""),"")</f>
        <v/>
      </c>
      <c r="H1244" s="139">
        <f>IFERROR(IF(E1244&gt;0,E1244*IF(ISNUMBER(J1244),J1244,IF(C1244="Futures",$C$6,$C$5)),""),"")</f>
        <v/>
      </c>
      <c r="I1244" s="139">
        <f>IFERROR(IF(AND(ISNUMBER(F1244),ISNUMBER(H1244)),F1244-H1244,""),"")</f>
        <v/>
      </c>
      <c r="J1244" s="114" t="n"/>
      <c r="K1244" s="139">
        <f>IFERROR(IF(H1244&gt;0,H1244*$C$7,""),"")</f>
        <v/>
      </c>
      <c r="L1244" s="139">
        <f>IFERROR(IF(ISNUMBER(F1244),F1244-IF(ISNUMBER(K1244),K1244,0),""),"")</f>
        <v/>
      </c>
    </row>
    <row r="1245" ht="24" customHeight="1" s="63">
      <c r="E1245" s="139" t="n"/>
      <c r="F1245" s="139" t="n"/>
      <c r="G1245" s="140">
        <f>IFERROR(IF(E1245&gt;0,(F1245/E1245)*1000,""),"")</f>
        <v/>
      </c>
      <c r="H1245" s="139">
        <f>IFERROR(IF(E1245&gt;0,E1245*IF(ISNUMBER(J1245),J1245,IF(C1245="Futures",$C$6,$C$5)),""),"")</f>
        <v/>
      </c>
      <c r="I1245" s="139">
        <f>IFERROR(IF(AND(ISNUMBER(F1245),ISNUMBER(H1245)),F1245-H1245,""),"")</f>
        <v/>
      </c>
      <c r="J1245" s="114" t="n"/>
      <c r="K1245" s="139">
        <f>IFERROR(IF(H1245&gt;0,H1245*$C$7,""),"")</f>
        <v/>
      </c>
      <c r="L1245" s="139">
        <f>IFERROR(IF(ISNUMBER(F1245),F1245-IF(ISNUMBER(K1245),K1245,0),""),"")</f>
        <v/>
      </c>
    </row>
    <row r="1246" ht="24" customHeight="1" s="63">
      <c r="E1246" s="139" t="n"/>
      <c r="F1246" s="139" t="n"/>
      <c r="G1246" s="140">
        <f>IFERROR(IF(E1246&gt;0,(F1246/E1246)*1000,""),"")</f>
        <v/>
      </c>
      <c r="H1246" s="139">
        <f>IFERROR(IF(E1246&gt;0,E1246*IF(ISNUMBER(J1246),J1246,IF(C1246="Futures",$C$6,$C$5)),""),"")</f>
        <v/>
      </c>
      <c r="I1246" s="139">
        <f>IFERROR(IF(AND(ISNUMBER(F1246),ISNUMBER(H1246)),F1246-H1246,""),"")</f>
        <v/>
      </c>
      <c r="J1246" s="114" t="n"/>
      <c r="K1246" s="139">
        <f>IFERROR(IF(H1246&gt;0,H1246*$C$7,""),"")</f>
        <v/>
      </c>
      <c r="L1246" s="139">
        <f>IFERROR(IF(ISNUMBER(F1246),F1246-IF(ISNUMBER(K1246),K1246,0),""),"")</f>
        <v/>
      </c>
    </row>
    <row r="1247" ht="24" customHeight="1" s="63">
      <c r="E1247" s="139" t="n"/>
      <c r="F1247" s="139" t="n"/>
      <c r="G1247" s="140">
        <f>IFERROR(IF(E1247&gt;0,(F1247/E1247)*1000,""),"")</f>
        <v/>
      </c>
      <c r="H1247" s="139">
        <f>IFERROR(IF(E1247&gt;0,E1247*IF(ISNUMBER(J1247),J1247,IF(C1247="Futures",$C$6,$C$5)),""),"")</f>
        <v/>
      </c>
      <c r="I1247" s="139">
        <f>IFERROR(IF(AND(ISNUMBER(F1247),ISNUMBER(H1247)),F1247-H1247,""),"")</f>
        <v/>
      </c>
      <c r="J1247" s="114" t="n"/>
      <c r="K1247" s="139">
        <f>IFERROR(IF(H1247&gt;0,H1247*$C$7,""),"")</f>
        <v/>
      </c>
      <c r="L1247" s="139">
        <f>IFERROR(IF(ISNUMBER(F1247),F1247-IF(ISNUMBER(K1247),K1247,0),""),"")</f>
        <v/>
      </c>
    </row>
    <row r="1248" ht="24" customHeight="1" s="63">
      <c r="E1248" s="139" t="n"/>
      <c r="F1248" s="139" t="n"/>
      <c r="G1248" s="140">
        <f>IFERROR(IF(E1248&gt;0,(F1248/E1248)*1000,""),"")</f>
        <v/>
      </c>
      <c r="H1248" s="139">
        <f>IFERROR(IF(E1248&gt;0,E1248*IF(ISNUMBER(J1248),J1248,IF(C1248="Futures",$C$6,$C$5)),""),"")</f>
        <v/>
      </c>
      <c r="I1248" s="139">
        <f>IFERROR(IF(AND(ISNUMBER(F1248),ISNUMBER(H1248)),F1248-H1248,""),"")</f>
        <v/>
      </c>
      <c r="J1248" s="114" t="n"/>
      <c r="K1248" s="139">
        <f>IFERROR(IF(H1248&gt;0,H1248*$C$7,""),"")</f>
        <v/>
      </c>
      <c r="L1248" s="139">
        <f>IFERROR(IF(ISNUMBER(F1248),F1248-IF(ISNUMBER(K1248),K1248,0),""),"")</f>
        <v/>
      </c>
    </row>
    <row r="1249" ht="24" customHeight="1" s="63">
      <c r="E1249" s="139" t="n"/>
      <c r="F1249" s="139" t="n"/>
      <c r="G1249" s="140">
        <f>IFERROR(IF(E1249&gt;0,(F1249/E1249)*1000,""),"")</f>
        <v/>
      </c>
      <c r="H1249" s="139">
        <f>IFERROR(IF(E1249&gt;0,E1249*IF(ISNUMBER(J1249),J1249,IF(C1249="Futures",$C$6,$C$5)),""),"")</f>
        <v/>
      </c>
      <c r="I1249" s="139">
        <f>IFERROR(IF(AND(ISNUMBER(F1249),ISNUMBER(H1249)),F1249-H1249,""),"")</f>
        <v/>
      </c>
      <c r="J1249" s="114" t="n"/>
      <c r="K1249" s="139">
        <f>IFERROR(IF(H1249&gt;0,H1249*$C$7,""),"")</f>
        <v/>
      </c>
      <c r="L1249" s="139">
        <f>IFERROR(IF(ISNUMBER(F1249),F1249-IF(ISNUMBER(K1249),K1249,0),""),"")</f>
        <v/>
      </c>
    </row>
    <row r="1250" ht="24" customHeight="1" s="63">
      <c r="E1250" s="139" t="n"/>
      <c r="F1250" s="139" t="n"/>
      <c r="G1250" s="140">
        <f>IFERROR(IF(E1250&gt;0,(F1250/E1250)*1000,""),"")</f>
        <v/>
      </c>
      <c r="H1250" s="139">
        <f>IFERROR(IF(E1250&gt;0,E1250*IF(ISNUMBER(J1250),J1250,IF(C1250="Futures",$C$6,$C$5)),""),"")</f>
        <v/>
      </c>
      <c r="I1250" s="139">
        <f>IFERROR(IF(AND(ISNUMBER(F1250),ISNUMBER(H1250)),F1250-H1250,""),"")</f>
        <v/>
      </c>
      <c r="J1250" s="114" t="n"/>
      <c r="K1250" s="139">
        <f>IFERROR(IF(H1250&gt;0,H1250*$C$7,""),"")</f>
        <v/>
      </c>
      <c r="L1250" s="139">
        <f>IFERROR(IF(ISNUMBER(F1250),F1250-IF(ISNUMBER(K1250),K1250,0),""),"")</f>
        <v/>
      </c>
    </row>
    <row r="1251" ht="24" customHeight="1" s="63">
      <c r="E1251" s="139" t="n"/>
      <c r="F1251" s="139" t="n"/>
      <c r="G1251" s="140">
        <f>IFERROR(IF(E1251&gt;0,(F1251/E1251)*1000,""),"")</f>
        <v/>
      </c>
      <c r="H1251" s="139">
        <f>IFERROR(IF(E1251&gt;0,E1251*IF(ISNUMBER(J1251),J1251,IF(C1251="Futures",$C$6,$C$5)),""),"")</f>
        <v/>
      </c>
      <c r="I1251" s="139">
        <f>IFERROR(IF(AND(ISNUMBER(F1251),ISNUMBER(H1251)),F1251-H1251,""),"")</f>
        <v/>
      </c>
      <c r="J1251" s="114" t="n"/>
      <c r="K1251" s="139">
        <f>IFERROR(IF(H1251&gt;0,H1251*$C$7,""),"")</f>
        <v/>
      </c>
      <c r="L1251" s="139">
        <f>IFERROR(IF(ISNUMBER(F1251),F1251-IF(ISNUMBER(K1251),K1251,0),""),"")</f>
        <v/>
      </c>
    </row>
    <row r="1252" ht="24" customHeight="1" s="63">
      <c r="E1252" s="139" t="n"/>
      <c r="F1252" s="139" t="n"/>
      <c r="G1252" s="140">
        <f>IFERROR(IF(E1252&gt;0,(F1252/E1252)*1000,""),"")</f>
        <v/>
      </c>
      <c r="H1252" s="139">
        <f>IFERROR(IF(E1252&gt;0,E1252*IF(ISNUMBER(J1252),J1252,IF(C1252="Futures",$C$6,$C$5)),""),"")</f>
        <v/>
      </c>
      <c r="I1252" s="139">
        <f>IFERROR(IF(AND(ISNUMBER(F1252),ISNUMBER(H1252)),F1252-H1252,""),"")</f>
        <v/>
      </c>
      <c r="J1252" s="114" t="n"/>
      <c r="K1252" s="139">
        <f>IFERROR(IF(H1252&gt;0,H1252*$C$7,""),"")</f>
        <v/>
      </c>
      <c r="L1252" s="139">
        <f>IFERROR(IF(ISNUMBER(F1252),F1252-IF(ISNUMBER(K1252),K1252,0),""),"")</f>
        <v/>
      </c>
    </row>
    <row r="1253" ht="24" customHeight="1" s="63">
      <c r="E1253" s="139" t="n"/>
      <c r="F1253" s="139" t="n"/>
      <c r="G1253" s="140">
        <f>IFERROR(IF(E1253&gt;0,(F1253/E1253)*1000,""),"")</f>
        <v/>
      </c>
      <c r="H1253" s="139">
        <f>IFERROR(IF(E1253&gt;0,E1253*IF(ISNUMBER(J1253),J1253,IF(C1253="Futures",$C$6,$C$5)),""),"")</f>
        <v/>
      </c>
      <c r="I1253" s="139">
        <f>IFERROR(IF(AND(ISNUMBER(F1253),ISNUMBER(H1253)),F1253-H1253,""),"")</f>
        <v/>
      </c>
      <c r="J1253" s="114" t="n"/>
      <c r="K1253" s="139">
        <f>IFERROR(IF(H1253&gt;0,H1253*$C$7,""),"")</f>
        <v/>
      </c>
      <c r="L1253" s="139">
        <f>IFERROR(IF(ISNUMBER(F1253),F1253-IF(ISNUMBER(K1253),K1253,0),""),"")</f>
        <v/>
      </c>
    </row>
    <row r="1254" ht="24" customHeight="1" s="63">
      <c r="E1254" s="139" t="n"/>
      <c r="F1254" s="139" t="n"/>
      <c r="G1254" s="140">
        <f>IFERROR(IF(E1254&gt;0,(F1254/E1254)*1000,""),"")</f>
        <v/>
      </c>
      <c r="H1254" s="139">
        <f>IFERROR(IF(E1254&gt;0,E1254*IF(ISNUMBER(J1254),J1254,IF(C1254="Futures",$C$6,$C$5)),""),"")</f>
        <v/>
      </c>
      <c r="I1254" s="139">
        <f>IFERROR(IF(AND(ISNUMBER(F1254),ISNUMBER(H1254)),F1254-H1254,""),"")</f>
        <v/>
      </c>
      <c r="J1254" s="114" t="n"/>
      <c r="K1254" s="139">
        <f>IFERROR(IF(H1254&gt;0,H1254*$C$7,""),"")</f>
        <v/>
      </c>
      <c r="L1254" s="139">
        <f>IFERROR(IF(ISNUMBER(F1254),F1254-IF(ISNUMBER(K1254),K1254,0),""),"")</f>
        <v/>
      </c>
    </row>
    <row r="1255" ht="24" customHeight="1" s="63">
      <c r="E1255" s="139" t="n"/>
      <c r="F1255" s="139" t="n"/>
      <c r="G1255" s="140">
        <f>IFERROR(IF(E1255&gt;0,(F1255/E1255)*1000,""),"")</f>
        <v/>
      </c>
      <c r="H1255" s="139">
        <f>IFERROR(IF(E1255&gt;0,E1255*IF(ISNUMBER(J1255),J1255,IF(C1255="Futures",$C$6,$C$5)),""),"")</f>
        <v/>
      </c>
      <c r="I1255" s="139">
        <f>IFERROR(IF(AND(ISNUMBER(F1255),ISNUMBER(H1255)),F1255-H1255,""),"")</f>
        <v/>
      </c>
      <c r="J1255" s="114" t="n"/>
      <c r="K1255" s="139">
        <f>IFERROR(IF(H1255&gt;0,H1255*$C$7,""),"")</f>
        <v/>
      </c>
      <c r="L1255" s="139">
        <f>IFERROR(IF(ISNUMBER(F1255),F1255-IF(ISNUMBER(K1255),K1255,0),""),"")</f>
        <v/>
      </c>
    </row>
    <row r="1256" ht="24" customHeight="1" s="63">
      <c r="E1256" s="139" t="n"/>
      <c r="F1256" s="139" t="n"/>
      <c r="G1256" s="140">
        <f>IFERROR(IF(E1256&gt;0,(F1256/E1256)*1000,""),"")</f>
        <v/>
      </c>
      <c r="H1256" s="139">
        <f>IFERROR(IF(E1256&gt;0,E1256*IF(ISNUMBER(J1256),J1256,IF(C1256="Futures",$C$6,$C$5)),""),"")</f>
        <v/>
      </c>
      <c r="I1256" s="139">
        <f>IFERROR(IF(AND(ISNUMBER(F1256),ISNUMBER(H1256)),F1256-H1256,""),"")</f>
        <v/>
      </c>
      <c r="J1256" s="114" t="n"/>
      <c r="K1256" s="139">
        <f>IFERROR(IF(H1256&gt;0,H1256*$C$7,""),"")</f>
        <v/>
      </c>
      <c r="L1256" s="139">
        <f>IFERROR(IF(ISNUMBER(F1256),F1256-IF(ISNUMBER(K1256),K1256,0),""),"")</f>
        <v/>
      </c>
    </row>
    <row r="1257" ht="24" customHeight="1" s="63">
      <c r="E1257" s="139" t="n"/>
      <c r="F1257" s="139" t="n"/>
      <c r="G1257" s="140">
        <f>IFERROR(IF(E1257&gt;0,(F1257/E1257)*1000,""),"")</f>
        <v/>
      </c>
      <c r="H1257" s="139">
        <f>IFERROR(IF(E1257&gt;0,E1257*IF(ISNUMBER(J1257),J1257,IF(C1257="Futures",$C$6,$C$5)),""),"")</f>
        <v/>
      </c>
      <c r="I1257" s="139">
        <f>IFERROR(IF(AND(ISNUMBER(F1257),ISNUMBER(H1257)),F1257-H1257,""),"")</f>
        <v/>
      </c>
      <c r="J1257" s="114" t="n"/>
      <c r="K1257" s="139">
        <f>IFERROR(IF(H1257&gt;0,H1257*$C$7,""),"")</f>
        <v/>
      </c>
      <c r="L1257" s="139">
        <f>IFERROR(IF(ISNUMBER(F1257),F1257-IF(ISNUMBER(K1257),K1257,0),""),"")</f>
        <v/>
      </c>
    </row>
    <row r="1258" ht="24" customHeight="1" s="63">
      <c r="E1258" s="139" t="n"/>
      <c r="F1258" s="139" t="n"/>
      <c r="G1258" s="140">
        <f>IFERROR(IF(E1258&gt;0,(F1258/E1258)*1000,""),"")</f>
        <v/>
      </c>
      <c r="H1258" s="139">
        <f>IFERROR(IF(E1258&gt;0,E1258*IF(ISNUMBER(J1258),J1258,IF(C1258="Futures",$C$6,$C$5)),""),"")</f>
        <v/>
      </c>
      <c r="I1258" s="139">
        <f>IFERROR(IF(AND(ISNUMBER(F1258),ISNUMBER(H1258)),F1258-H1258,""),"")</f>
        <v/>
      </c>
      <c r="J1258" s="114" t="n"/>
      <c r="K1258" s="139">
        <f>IFERROR(IF(H1258&gt;0,H1258*$C$7,""),"")</f>
        <v/>
      </c>
      <c r="L1258" s="139">
        <f>IFERROR(IF(ISNUMBER(F1258),F1258-IF(ISNUMBER(K1258),K1258,0),""),"")</f>
        <v/>
      </c>
    </row>
    <row r="1259" ht="24" customHeight="1" s="63">
      <c r="E1259" s="139" t="n"/>
      <c r="F1259" s="139" t="n"/>
      <c r="G1259" s="140">
        <f>IFERROR(IF(E1259&gt;0,(F1259/E1259)*1000,""),"")</f>
        <v/>
      </c>
      <c r="H1259" s="139">
        <f>IFERROR(IF(E1259&gt;0,E1259*IF(ISNUMBER(J1259),J1259,IF(C1259="Futures",$C$6,$C$5)),""),"")</f>
        <v/>
      </c>
      <c r="I1259" s="139">
        <f>IFERROR(IF(AND(ISNUMBER(F1259),ISNUMBER(H1259)),F1259-H1259,""),"")</f>
        <v/>
      </c>
      <c r="J1259" s="114" t="n"/>
      <c r="K1259" s="139">
        <f>IFERROR(IF(H1259&gt;0,H1259*$C$7,""),"")</f>
        <v/>
      </c>
      <c r="L1259" s="139">
        <f>IFERROR(IF(ISNUMBER(F1259),F1259-IF(ISNUMBER(K1259),K1259,0),""),"")</f>
        <v/>
      </c>
    </row>
    <row r="1260" ht="24" customHeight="1" s="63">
      <c r="E1260" s="139" t="n"/>
      <c r="F1260" s="139" t="n"/>
      <c r="G1260" s="140">
        <f>IFERROR(IF(E1260&gt;0,(F1260/E1260)*1000,""),"")</f>
        <v/>
      </c>
      <c r="H1260" s="139">
        <f>IFERROR(IF(E1260&gt;0,E1260*IF(ISNUMBER(J1260),J1260,IF(C1260="Futures",$C$6,$C$5)),""),"")</f>
        <v/>
      </c>
      <c r="I1260" s="139">
        <f>IFERROR(IF(AND(ISNUMBER(F1260),ISNUMBER(H1260)),F1260-H1260,""),"")</f>
        <v/>
      </c>
      <c r="J1260" s="114" t="n"/>
      <c r="K1260" s="139">
        <f>IFERROR(IF(H1260&gt;0,H1260*$C$7,""),"")</f>
        <v/>
      </c>
      <c r="L1260" s="139">
        <f>IFERROR(IF(ISNUMBER(F1260),F1260-IF(ISNUMBER(K1260),K1260,0),""),"")</f>
        <v/>
      </c>
    </row>
    <row r="1261" ht="24" customHeight="1" s="63">
      <c r="E1261" s="139" t="n"/>
      <c r="F1261" s="139" t="n"/>
      <c r="G1261" s="140">
        <f>IFERROR(IF(E1261&gt;0,(F1261/E1261)*1000,""),"")</f>
        <v/>
      </c>
      <c r="H1261" s="139">
        <f>IFERROR(IF(E1261&gt;0,E1261*IF(ISNUMBER(J1261),J1261,IF(C1261="Futures",$C$6,$C$5)),""),"")</f>
        <v/>
      </c>
      <c r="I1261" s="139">
        <f>IFERROR(IF(AND(ISNUMBER(F1261),ISNUMBER(H1261)),F1261-H1261,""),"")</f>
        <v/>
      </c>
      <c r="J1261" s="114" t="n"/>
      <c r="K1261" s="139">
        <f>IFERROR(IF(H1261&gt;0,H1261*$C$7,""),"")</f>
        <v/>
      </c>
      <c r="L1261" s="139">
        <f>IFERROR(IF(ISNUMBER(F1261),F1261-IF(ISNUMBER(K1261),K1261,0),""),"")</f>
        <v/>
      </c>
    </row>
    <row r="1262" ht="24" customHeight="1" s="63">
      <c r="E1262" s="139" t="n"/>
      <c r="F1262" s="139" t="n"/>
      <c r="G1262" s="140">
        <f>IFERROR(IF(E1262&gt;0,(F1262/E1262)*1000,""),"")</f>
        <v/>
      </c>
      <c r="H1262" s="139">
        <f>IFERROR(IF(E1262&gt;0,E1262*IF(ISNUMBER(J1262),J1262,IF(C1262="Futures",$C$6,$C$5)),""),"")</f>
        <v/>
      </c>
      <c r="I1262" s="139">
        <f>IFERROR(IF(AND(ISNUMBER(F1262),ISNUMBER(H1262)),F1262-H1262,""),"")</f>
        <v/>
      </c>
      <c r="J1262" s="114" t="n"/>
      <c r="K1262" s="139">
        <f>IFERROR(IF(H1262&gt;0,H1262*$C$7,""),"")</f>
        <v/>
      </c>
      <c r="L1262" s="139">
        <f>IFERROR(IF(ISNUMBER(F1262),F1262-IF(ISNUMBER(K1262),K1262,0),""),"")</f>
        <v/>
      </c>
    </row>
    <row r="1263" ht="24" customHeight="1" s="63">
      <c r="E1263" s="139" t="n"/>
      <c r="F1263" s="139" t="n"/>
      <c r="G1263" s="140">
        <f>IFERROR(IF(E1263&gt;0,(F1263/E1263)*1000,""),"")</f>
        <v/>
      </c>
      <c r="H1263" s="139">
        <f>IFERROR(IF(E1263&gt;0,E1263*IF(ISNUMBER(J1263),J1263,IF(C1263="Futures",$C$6,$C$5)),""),"")</f>
        <v/>
      </c>
      <c r="I1263" s="139">
        <f>IFERROR(IF(AND(ISNUMBER(F1263),ISNUMBER(H1263)),F1263-H1263,""),"")</f>
        <v/>
      </c>
      <c r="J1263" s="114" t="n"/>
      <c r="K1263" s="139">
        <f>IFERROR(IF(H1263&gt;0,H1263*$C$7,""),"")</f>
        <v/>
      </c>
      <c r="L1263" s="139">
        <f>IFERROR(IF(ISNUMBER(F1263),F1263-IF(ISNUMBER(K1263),K1263,0),""),"")</f>
        <v/>
      </c>
    </row>
    <row r="1264" ht="24" customHeight="1" s="63">
      <c r="E1264" s="139" t="n"/>
      <c r="F1264" s="139" t="n"/>
      <c r="G1264" s="140">
        <f>IFERROR(IF(E1264&gt;0,(F1264/E1264)*1000,""),"")</f>
        <v/>
      </c>
      <c r="H1264" s="139">
        <f>IFERROR(IF(E1264&gt;0,E1264*IF(ISNUMBER(J1264),J1264,IF(C1264="Futures",$C$6,$C$5)),""),"")</f>
        <v/>
      </c>
      <c r="I1264" s="139">
        <f>IFERROR(IF(AND(ISNUMBER(F1264),ISNUMBER(H1264)),F1264-H1264,""),"")</f>
        <v/>
      </c>
      <c r="J1264" s="114" t="n"/>
      <c r="K1264" s="139">
        <f>IFERROR(IF(H1264&gt;0,H1264*$C$7,""),"")</f>
        <v/>
      </c>
      <c r="L1264" s="139">
        <f>IFERROR(IF(ISNUMBER(F1264),F1264-IF(ISNUMBER(K1264),K1264,0),""),"")</f>
        <v/>
      </c>
    </row>
    <row r="1265" ht="24" customHeight="1" s="63">
      <c r="E1265" s="139" t="n"/>
      <c r="F1265" s="139" t="n"/>
      <c r="G1265" s="140">
        <f>IFERROR(IF(E1265&gt;0,(F1265/E1265)*1000,""),"")</f>
        <v/>
      </c>
      <c r="H1265" s="139">
        <f>IFERROR(IF(E1265&gt;0,E1265*IF(ISNUMBER(J1265),J1265,IF(C1265="Futures",$C$6,$C$5)),""),"")</f>
        <v/>
      </c>
      <c r="I1265" s="139">
        <f>IFERROR(IF(AND(ISNUMBER(F1265),ISNUMBER(H1265)),F1265-H1265,""),"")</f>
        <v/>
      </c>
      <c r="J1265" s="114" t="n"/>
      <c r="K1265" s="139">
        <f>IFERROR(IF(H1265&gt;0,H1265*$C$7,""),"")</f>
        <v/>
      </c>
      <c r="L1265" s="139">
        <f>IFERROR(IF(ISNUMBER(F1265),F1265-IF(ISNUMBER(K1265),K1265,0),""),"")</f>
        <v/>
      </c>
    </row>
    <row r="1266" ht="24" customHeight="1" s="63">
      <c r="E1266" s="139" t="n"/>
      <c r="F1266" s="139" t="n"/>
      <c r="G1266" s="140">
        <f>IFERROR(IF(E1266&gt;0,(F1266/E1266)*1000,""),"")</f>
        <v/>
      </c>
      <c r="H1266" s="139">
        <f>IFERROR(IF(E1266&gt;0,E1266*IF(ISNUMBER(J1266),J1266,IF(C1266="Futures",$C$6,$C$5)),""),"")</f>
        <v/>
      </c>
      <c r="I1266" s="139">
        <f>IFERROR(IF(AND(ISNUMBER(F1266),ISNUMBER(H1266)),F1266-H1266,""),"")</f>
        <v/>
      </c>
      <c r="J1266" s="114" t="n"/>
      <c r="K1266" s="139">
        <f>IFERROR(IF(H1266&gt;0,H1266*$C$7,""),"")</f>
        <v/>
      </c>
      <c r="L1266" s="139">
        <f>IFERROR(IF(ISNUMBER(F1266),F1266-IF(ISNUMBER(K1266),K1266,0),""),"")</f>
        <v/>
      </c>
    </row>
    <row r="1267" ht="24" customHeight="1" s="63">
      <c r="E1267" s="139" t="n"/>
      <c r="F1267" s="139" t="n"/>
      <c r="G1267" s="140">
        <f>IFERROR(IF(E1267&gt;0,(F1267/E1267)*1000,""),"")</f>
        <v/>
      </c>
      <c r="H1267" s="139">
        <f>IFERROR(IF(E1267&gt;0,E1267*IF(ISNUMBER(J1267),J1267,IF(C1267="Futures",$C$6,$C$5)),""),"")</f>
        <v/>
      </c>
      <c r="I1267" s="139">
        <f>IFERROR(IF(AND(ISNUMBER(F1267),ISNUMBER(H1267)),F1267-H1267,""),"")</f>
        <v/>
      </c>
      <c r="J1267" s="114" t="n"/>
      <c r="K1267" s="139">
        <f>IFERROR(IF(H1267&gt;0,H1267*$C$7,""),"")</f>
        <v/>
      </c>
      <c r="L1267" s="139">
        <f>IFERROR(IF(ISNUMBER(F1267),F1267-IF(ISNUMBER(K1267),K1267,0),""),"")</f>
        <v/>
      </c>
    </row>
    <row r="1268" ht="24" customHeight="1" s="63">
      <c r="E1268" s="139" t="n"/>
      <c r="F1268" s="139" t="n"/>
      <c r="G1268" s="140">
        <f>IFERROR(IF(E1268&gt;0,(F1268/E1268)*1000,""),"")</f>
        <v/>
      </c>
      <c r="H1268" s="139">
        <f>IFERROR(IF(E1268&gt;0,E1268*IF(ISNUMBER(J1268),J1268,IF(C1268="Futures",$C$6,$C$5)),""),"")</f>
        <v/>
      </c>
      <c r="I1268" s="139">
        <f>IFERROR(IF(AND(ISNUMBER(F1268),ISNUMBER(H1268)),F1268-H1268,""),"")</f>
        <v/>
      </c>
      <c r="J1268" s="114" t="n"/>
      <c r="K1268" s="139">
        <f>IFERROR(IF(H1268&gt;0,H1268*$C$7,""),"")</f>
        <v/>
      </c>
      <c r="L1268" s="139">
        <f>IFERROR(IF(ISNUMBER(F1268),F1268-IF(ISNUMBER(K1268),K1268,0),""),"")</f>
        <v/>
      </c>
    </row>
    <row r="1269" ht="24" customHeight="1" s="63">
      <c r="E1269" s="139" t="n"/>
      <c r="F1269" s="139" t="n"/>
      <c r="G1269" s="140">
        <f>IFERROR(IF(E1269&gt;0,(F1269/E1269)*1000,""),"")</f>
        <v/>
      </c>
      <c r="H1269" s="139">
        <f>IFERROR(IF(E1269&gt;0,E1269*IF(ISNUMBER(J1269),J1269,IF(C1269="Futures",$C$6,$C$5)),""),"")</f>
        <v/>
      </c>
      <c r="I1269" s="139">
        <f>IFERROR(IF(AND(ISNUMBER(F1269),ISNUMBER(H1269)),F1269-H1269,""),"")</f>
        <v/>
      </c>
      <c r="J1269" s="114" t="n"/>
      <c r="K1269" s="139">
        <f>IFERROR(IF(H1269&gt;0,H1269*$C$7,""),"")</f>
        <v/>
      </c>
      <c r="L1269" s="139">
        <f>IFERROR(IF(ISNUMBER(F1269),F1269-IF(ISNUMBER(K1269),K1269,0),""),"")</f>
        <v/>
      </c>
    </row>
    <row r="1270" ht="24" customHeight="1" s="63">
      <c r="E1270" s="139" t="n"/>
      <c r="F1270" s="139" t="n"/>
      <c r="G1270" s="140">
        <f>IFERROR(IF(E1270&gt;0,(F1270/E1270)*1000,""),"")</f>
        <v/>
      </c>
      <c r="H1270" s="139">
        <f>IFERROR(IF(E1270&gt;0,E1270*IF(ISNUMBER(J1270),J1270,IF(C1270="Futures",$C$6,$C$5)),""),"")</f>
        <v/>
      </c>
      <c r="I1270" s="139">
        <f>IFERROR(IF(AND(ISNUMBER(F1270),ISNUMBER(H1270)),F1270-H1270,""),"")</f>
        <v/>
      </c>
      <c r="J1270" s="114" t="n"/>
      <c r="K1270" s="139">
        <f>IFERROR(IF(H1270&gt;0,H1270*$C$7,""),"")</f>
        <v/>
      </c>
      <c r="L1270" s="139">
        <f>IFERROR(IF(ISNUMBER(F1270),F1270-IF(ISNUMBER(K1270),K1270,0),""),"")</f>
        <v/>
      </c>
    </row>
    <row r="1271" ht="24" customHeight="1" s="63">
      <c r="E1271" s="139" t="n"/>
      <c r="F1271" s="139" t="n"/>
      <c r="G1271" s="140">
        <f>IFERROR(IF(E1271&gt;0,(F1271/E1271)*1000,""),"")</f>
        <v/>
      </c>
      <c r="H1271" s="139">
        <f>IFERROR(IF(E1271&gt;0,E1271*IF(ISNUMBER(J1271),J1271,IF(C1271="Futures",$C$6,$C$5)),""),"")</f>
        <v/>
      </c>
      <c r="I1271" s="139">
        <f>IFERROR(IF(AND(ISNUMBER(F1271),ISNUMBER(H1271)),F1271-H1271,""),"")</f>
        <v/>
      </c>
      <c r="J1271" s="114" t="n"/>
      <c r="K1271" s="139">
        <f>IFERROR(IF(H1271&gt;0,H1271*$C$7,""),"")</f>
        <v/>
      </c>
      <c r="L1271" s="139">
        <f>IFERROR(IF(ISNUMBER(F1271),F1271-IF(ISNUMBER(K1271),K1271,0),""),"")</f>
        <v/>
      </c>
    </row>
    <row r="1272" ht="24" customHeight="1" s="63">
      <c r="E1272" s="139" t="n"/>
      <c r="F1272" s="139" t="n"/>
      <c r="G1272" s="140">
        <f>IFERROR(IF(E1272&gt;0,(F1272/E1272)*1000,""),"")</f>
        <v/>
      </c>
      <c r="H1272" s="139">
        <f>IFERROR(IF(E1272&gt;0,E1272*IF(ISNUMBER(J1272),J1272,IF(C1272="Futures",$C$6,$C$5)),""),"")</f>
        <v/>
      </c>
      <c r="I1272" s="139">
        <f>IFERROR(IF(AND(ISNUMBER(F1272),ISNUMBER(H1272)),F1272-H1272,""),"")</f>
        <v/>
      </c>
      <c r="J1272" s="114" t="n"/>
      <c r="K1272" s="139">
        <f>IFERROR(IF(H1272&gt;0,H1272*$C$7,""),"")</f>
        <v/>
      </c>
      <c r="L1272" s="139">
        <f>IFERROR(IF(ISNUMBER(F1272),F1272-IF(ISNUMBER(K1272),K1272,0),""),"")</f>
        <v/>
      </c>
    </row>
    <row r="1273" ht="24" customHeight="1" s="63">
      <c r="E1273" s="139" t="n"/>
      <c r="F1273" s="139" t="n"/>
      <c r="G1273" s="140">
        <f>IFERROR(IF(E1273&gt;0,(F1273/E1273)*1000,""),"")</f>
        <v/>
      </c>
      <c r="H1273" s="139">
        <f>IFERROR(IF(E1273&gt;0,E1273*IF(ISNUMBER(J1273),J1273,IF(C1273="Futures",$C$6,$C$5)),""),"")</f>
        <v/>
      </c>
      <c r="I1273" s="139">
        <f>IFERROR(IF(AND(ISNUMBER(F1273),ISNUMBER(H1273)),F1273-H1273,""),"")</f>
        <v/>
      </c>
      <c r="J1273" s="114" t="n"/>
      <c r="K1273" s="139">
        <f>IFERROR(IF(H1273&gt;0,H1273*$C$7,""),"")</f>
        <v/>
      </c>
      <c r="L1273" s="139">
        <f>IFERROR(IF(ISNUMBER(F1273),F1273-IF(ISNUMBER(K1273),K1273,0),""),"")</f>
        <v/>
      </c>
    </row>
    <row r="1274" ht="24" customHeight="1" s="63">
      <c r="E1274" s="139" t="n"/>
      <c r="F1274" s="139" t="n"/>
      <c r="G1274" s="140">
        <f>IFERROR(IF(E1274&gt;0,(F1274/E1274)*1000,""),"")</f>
        <v/>
      </c>
      <c r="H1274" s="139">
        <f>IFERROR(IF(E1274&gt;0,E1274*IF(ISNUMBER(J1274),J1274,IF(C1274="Futures",$C$6,$C$5)),""),"")</f>
        <v/>
      </c>
      <c r="I1274" s="139">
        <f>IFERROR(IF(AND(ISNUMBER(F1274),ISNUMBER(H1274)),F1274-H1274,""),"")</f>
        <v/>
      </c>
      <c r="J1274" s="114" t="n"/>
      <c r="K1274" s="139">
        <f>IFERROR(IF(H1274&gt;0,H1274*$C$7,""),"")</f>
        <v/>
      </c>
      <c r="L1274" s="139">
        <f>IFERROR(IF(ISNUMBER(F1274),F1274-IF(ISNUMBER(K1274),K1274,0),""),"")</f>
        <v/>
      </c>
    </row>
    <row r="1275" ht="24" customHeight="1" s="63">
      <c r="E1275" s="139" t="n"/>
      <c r="F1275" s="139" t="n"/>
      <c r="G1275" s="140">
        <f>IFERROR(IF(E1275&gt;0,(F1275/E1275)*1000,""),"")</f>
        <v/>
      </c>
      <c r="H1275" s="139">
        <f>IFERROR(IF(E1275&gt;0,E1275*IF(ISNUMBER(J1275),J1275,IF(C1275="Futures",$C$6,$C$5)),""),"")</f>
        <v/>
      </c>
      <c r="I1275" s="139">
        <f>IFERROR(IF(AND(ISNUMBER(F1275),ISNUMBER(H1275)),F1275-H1275,""),"")</f>
        <v/>
      </c>
      <c r="J1275" s="114" t="n"/>
      <c r="K1275" s="139">
        <f>IFERROR(IF(H1275&gt;0,H1275*$C$7,""),"")</f>
        <v/>
      </c>
      <c r="L1275" s="139">
        <f>IFERROR(IF(ISNUMBER(F1275),F1275-IF(ISNUMBER(K1275),K1275,0),""),"")</f>
        <v/>
      </c>
    </row>
    <row r="1276" ht="24" customHeight="1" s="63">
      <c r="E1276" s="139" t="n"/>
      <c r="F1276" s="139" t="n"/>
      <c r="G1276" s="140">
        <f>IFERROR(IF(E1276&gt;0,(F1276/E1276)*1000,""),"")</f>
        <v/>
      </c>
      <c r="H1276" s="139">
        <f>IFERROR(IF(E1276&gt;0,E1276*IF(ISNUMBER(J1276),J1276,IF(C1276="Futures",$C$6,$C$5)),""),"")</f>
        <v/>
      </c>
      <c r="I1276" s="139">
        <f>IFERROR(IF(AND(ISNUMBER(F1276),ISNUMBER(H1276)),F1276-H1276,""),"")</f>
        <v/>
      </c>
      <c r="J1276" s="114" t="n"/>
      <c r="K1276" s="139">
        <f>IFERROR(IF(H1276&gt;0,H1276*$C$7,""),"")</f>
        <v/>
      </c>
      <c r="L1276" s="139">
        <f>IFERROR(IF(ISNUMBER(F1276),F1276-IF(ISNUMBER(K1276),K1276,0),""),"")</f>
        <v/>
      </c>
    </row>
    <row r="1277" ht="24" customHeight="1" s="63">
      <c r="E1277" s="139" t="n"/>
      <c r="F1277" s="139" t="n"/>
      <c r="G1277" s="140">
        <f>IFERROR(IF(E1277&gt;0,(F1277/E1277)*1000,""),"")</f>
        <v/>
      </c>
      <c r="H1277" s="139">
        <f>IFERROR(IF(E1277&gt;0,E1277*IF(ISNUMBER(J1277),J1277,IF(C1277="Futures",$C$6,$C$5)),""),"")</f>
        <v/>
      </c>
      <c r="I1277" s="139">
        <f>IFERROR(IF(AND(ISNUMBER(F1277),ISNUMBER(H1277)),F1277-H1277,""),"")</f>
        <v/>
      </c>
      <c r="J1277" s="114" t="n"/>
      <c r="K1277" s="139">
        <f>IFERROR(IF(H1277&gt;0,H1277*$C$7,""),"")</f>
        <v/>
      </c>
      <c r="L1277" s="139">
        <f>IFERROR(IF(ISNUMBER(F1277),F1277-IF(ISNUMBER(K1277),K1277,0),""),"")</f>
        <v/>
      </c>
    </row>
    <row r="1278" ht="24" customHeight="1" s="63">
      <c r="E1278" s="139" t="n"/>
      <c r="F1278" s="139" t="n"/>
      <c r="G1278" s="140">
        <f>IFERROR(IF(E1278&gt;0,(F1278/E1278)*1000,""),"")</f>
        <v/>
      </c>
      <c r="H1278" s="139">
        <f>IFERROR(IF(E1278&gt;0,E1278*IF(ISNUMBER(J1278),J1278,IF(C1278="Futures",$C$6,$C$5)),""),"")</f>
        <v/>
      </c>
      <c r="I1278" s="139">
        <f>IFERROR(IF(AND(ISNUMBER(F1278),ISNUMBER(H1278)),F1278-H1278,""),"")</f>
        <v/>
      </c>
      <c r="J1278" s="114" t="n"/>
      <c r="K1278" s="139">
        <f>IFERROR(IF(H1278&gt;0,H1278*$C$7,""),"")</f>
        <v/>
      </c>
      <c r="L1278" s="139">
        <f>IFERROR(IF(ISNUMBER(F1278),F1278-IF(ISNUMBER(K1278),K1278,0),""),"")</f>
        <v/>
      </c>
    </row>
    <row r="1279" ht="24" customHeight="1" s="63">
      <c r="E1279" s="139" t="n"/>
      <c r="F1279" s="139" t="n"/>
      <c r="G1279" s="140">
        <f>IFERROR(IF(E1279&gt;0,(F1279/E1279)*1000,""),"")</f>
        <v/>
      </c>
      <c r="H1279" s="139">
        <f>IFERROR(IF(E1279&gt;0,E1279*IF(ISNUMBER(J1279),J1279,IF(C1279="Futures",$C$6,$C$5)),""),"")</f>
        <v/>
      </c>
      <c r="I1279" s="139">
        <f>IFERROR(IF(AND(ISNUMBER(F1279),ISNUMBER(H1279)),F1279-H1279,""),"")</f>
        <v/>
      </c>
      <c r="J1279" s="114" t="n"/>
      <c r="K1279" s="139">
        <f>IFERROR(IF(H1279&gt;0,H1279*$C$7,""),"")</f>
        <v/>
      </c>
      <c r="L1279" s="139">
        <f>IFERROR(IF(ISNUMBER(F1279),F1279-IF(ISNUMBER(K1279),K1279,0),""),"")</f>
        <v/>
      </c>
    </row>
    <row r="1280" ht="24" customHeight="1" s="63">
      <c r="E1280" s="139" t="n"/>
      <c r="F1280" s="139" t="n"/>
      <c r="G1280" s="140">
        <f>IFERROR(IF(E1280&gt;0,(F1280/E1280)*1000,""),"")</f>
        <v/>
      </c>
      <c r="H1280" s="139">
        <f>IFERROR(IF(E1280&gt;0,E1280*IF(ISNUMBER(J1280),J1280,IF(C1280="Futures",$C$6,$C$5)),""),"")</f>
        <v/>
      </c>
      <c r="I1280" s="139">
        <f>IFERROR(IF(AND(ISNUMBER(F1280),ISNUMBER(H1280)),F1280-H1280,""),"")</f>
        <v/>
      </c>
      <c r="J1280" s="114" t="n"/>
      <c r="K1280" s="139">
        <f>IFERROR(IF(H1280&gt;0,H1280*$C$7,""),"")</f>
        <v/>
      </c>
      <c r="L1280" s="139">
        <f>IFERROR(IF(ISNUMBER(F1280),F1280-IF(ISNUMBER(K1280),K1280,0),""),"")</f>
        <v/>
      </c>
    </row>
    <row r="1281" ht="24" customHeight="1" s="63">
      <c r="E1281" s="139" t="n"/>
      <c r="F1281" s="139" t="n"/>
      <c r="G1281" s="140">
        <f>IFERROR(IF(E1281&gt;0,(F1281/E1281)*1000,""),"")</f>
        <v/>
      </c>
      <c r="H1281" s="139">
        <f>IFERROR(IF(E1281&gt;0,E1281*IF(ISNUMBER(J1281),J1281,IF(C1281="Futures",$C$6,$C$5)),""),"")</f>
        <v/>
      </c>
      <c r="I1281" s="139">
        <f>IFERROR(IF(AND(ISNUMBER(F1281),ISNUMBER(H1281)),F1281-H1281,""),"")</f>
        <v/>
      </c>
      <c r="J1281" s="114" t="n"/>
      <c r="K1281" s="139">
        <f>IFERROR(IF(H1281&gt;0,H1281*$C$7,""),"")</f>
        <v/>
      </c>
      <c r="L1281" s="139">
        <f>IFERROR(IF(ISNUMBER(F1281),F1281-IF(ISNUMBER(K1281),K1281,0),""),"")</f>
        <v/>
      </c>
    </row>
    <row r="1282" ht="24" customHeight="1" s="63">
      <c r="E1282" s="139" t="n"/>
      <c r="F1282" s="139" t="n"/>
      <c r="G1282" s="140">
        <f>IFERROR(IF(E1282&gt;0,(F1282/E1282)*1000,""),"")</f>
        <v/>
      </c>
      <c r="H1282" s="139">
        <f>IFERROR(IF(E1282&gt;0,E1282*IF(ISNUMBER(J1282),J1282,IF(C1282="Futures",$C$6,$C$5)),""),"")</f>
        <v/>
      </c>
      <c r="I1282" s="139">
        <f>IFERROR(IF(AND(ISNUMBER(F1282),ISNUMBER(H1282)),F1282-H1282,""),"")</f>
        <v/>
      </c>
      <c r="J1282" s="114" t="n"/>
      <c r="K1282" s="139">
        <f>IFERROR(IF(H1282&gt;0,H1282*$C$7,""),"")</f>
        <v/>
      </c>
      <c r="L1282" s="139">
        <f>IFERROR(IF(ISNUMBER(F1282),F1282-IF(ISNUMBER(K1282),K1282,0),""),"")</f>
        <v/>
      </c>
    </row>
    <row r="1283" ht="24" customHeight="1" s="63">
      <c r="E1283" s="139" t="n"/>
      <c r="F1283" s="139" t="n"/>
      <c r="G1283" s="140">
        <f>IFERROR(IF(E1283&gt;0,(F1283/E1283)*1000,""),"")</f>
        <v/>
      </c>
      <c r="H1283" s="139">
        <f>IFERROR(IF(E1283&gt;0,E1283*IF(ISNUMBER(J1283),J1283,IF(C1283="Futures",$C$6,$C$5)),""),"")</f>
        <v/>
      </c>
      <c r="I1283" s="139">
        <f>IFERROR(IF(AND(ISNUMBER(F1283),ISNUMBER(H1283)),F1283-H1283,""),"")</f>
        <v/>
      </c>
      <c r="J1283" s="114" t="n"/>
      <c r="K1283" s="139">
        <f>IFERROR(IF(H1283&gt;0,H1283*$C$7,""),"")</f>
        <v/>
      </c>
      <c r="L1283" s="139">
        <f>IFERROR(IF(ISNUMBER(F1283),F1283-IF(ISNUMBER(K1283),K1283,0),""),"")</f>
        <v/>
      </c>
    </row>
    <row r="1284" ht="24" customHeight="1" s="63">
      <c r="E1284" s="139" t="n"/>
      <c r="F1284" s="139" t="n"/>
      <c r="G1284" s="140">
        <f>IFERROR(IF(E1284&gt;0,(F1284/E1284)*1000,""),"")</f>
        <v/>
      </c>
      <c r="H1284" s="139">
        <f>IFERROR(IF(E1284&gt;0,E1284*IF(ISNUMBER(J1284),J1284,IF(C1284="Futures",$C$6,$C$5)),""),"")</f>
        <v/>
      </c>
      <c r="I1284" s="139">
        <f>IFERROR(IF(AND(ISNUMBER(F1284),ISNUMBER(H1284)),F1284-H1284,""),"")</f>
        <v/>
      </c>
      <c r="J1284" s="114" t="n"/>
      <c r="K1284" s="139">
        <f>IFERROR(IF(H1284&gt;0,H1284*$C$7,""),"")</f>
        <v/>
      </c>
      <c r="L1284" s="139">
        <f>IFERROR(IF(ISNUMBER(F1284),F1284-IF(ISNUMBER(K1284),K1284,0),""),"")</f>
        <v/>
      </c>
    </row>
    <row r="1285" ht="24" customHeight="1" s="63">
      <c r="E1285" s="139" t="n"/>
      <c r="F1285" s="139" t="n"/>
      <c r="G1285" s="140">
        <f>IFERROR(IF(E1285&gt;0,(F1285/E1285)*1000,""),"")</f>
        <v/>
      </c>
      <c r="H1285" s="139">
        <f>IFERROR(IF(E1285&gt;0,E1285*IF(ISNUMBER(J1285),J1285,IF(C1285="Futures",$C$6,$C$5)),""),"")</f>
        <v/>
      </c>
      <c r="I1285" s="139">
        <f>IFERROR(IF(AND(ISNUMBER(F1285),ISNUMBER(H1285)),F1285-H1285,""),"")</f>
        <v/>
      </c>
      <c r="J1285" s="114" t="n"/>
      <c r="K1285" s="139">
        <f>IFERROR(IF(H1285&gt;0,H1285*$C$7,""),"")</f>
        <v/>
      </c>
      <c r="L1285" s="139">
        <f>IFERROR(IF(ISNUMBER(F1285),F1285-IF(ISNUMBER(K1285),K1285,0),""),"")</f>
        <v/>
      </c>
    </row>
    <row r="1286" ht="24" customHeight="1" s="63">
      <c r="E1286" s="139" t="n"/>
      <c r="F1286" s="139" t="n"/>
      <c r="G1286" s="140">
        <f>IFERROR(IF(E1286&gt;0,(F1286/E1286)*1000,""),"")</f>
        <v/>
      </c>
      <c r="H1286" s="139">
        <f>IFERROR(IF(E1286&gt;0,E1286*IF(ISNUMBER(J1286),J1286,IF(C1286="Futures",$C$6,$C$5)),""),"")</f>
        <v/>
      </c>
      <c r="I1286" s="139">
        <f>IFERROR(IF(AND(ISNUMBER(F1286),ISNUMBER(H1286)),F1286-H1286,""),"")</f>
        <v/>
      </c>
      <c r="J1286" s="114" t="n"/>
      <c r="K1286" s="139">
        <f>IFERROR(IF(H1286&gt;0,H1286*$C$7,""),"")</f>
        <v/>
      </c>
      <c r="L1286" s="139">
        <f>IFERROR(IF(ISNUMBER(F1286),F1286-IF(ISNUMBER(K1286),K1286,0),""),"")</f>
        <v/>
      </c>
    </row>
    <row r="1287" ht="24" customHeight="1" s="63">
      <c r="E1287" s="139" t="n"/>
      <c r="F1287" s="139" t="n"/>
      <c r="G1287" s="140">
        <f>IFERROR(IF(E1287&gt;0,(F1287/E1287)*1000,""),"")</f>
        <v/>
      </c>
      <c r="H1287" s="139">
        <f>IFERROR(IF(E1287&gt;0,E1287*IF(ISNUMBER(J1287),J1287,IF(C1287="Futures",$C$6,$C$5)),""),"")</f>
        <v/>
      </c>
      <c r="I1287" s="139">
        <f>IFERROR(IF(AND(ISNUMBER(F1287),ISNUMBER(H1287)),F1287-H1287,""),"")</f>
        <v/>
      </c>
      <c r="J1287" s="114" t="n"/>
      <c r="K1287" s="139">
        <f>IFERROR(IF(H1287&gt;0,H1287*$C$7,""),"")</f>
        <v/>
      </c>
      <c r="L1287" s="139">
        <f>IFERROR(IF(ISNUMBER(F1287),F1287-IF(ISNUMBER(K1287),K1287,0),""),"")</f>
        <v/>
      </c>
    </row>
    <row r="1288" ht="24" customHeight="1" s="63">
      <c r="E1288" s="139" t="n"/>
      <c r="F1288" s="139" t="n"/>
      <c r="G1288" s="140">
        <f>IFERROR(IF(E1288&gt;0,(F1288/E1288)*1000,""),"")</f>
        <v/>
      </c>
      <c r="H1288" s="139">
        <f>IFERROR(IF(E1288&gt;0,E1288*IF(ISNUMBER(J1288),J1288,IF(C1288="Futures",$C$6,$C$5)),""),"")</f>
        <v/>
      </c>
      <c r="I1288" s="139">
        <f>IFERROR(IF(AND(ISNUMBER(F1288),ISNUMBER(H1288)),F1288-H1288,""),"")</f>
        <v/>
      </c>
      <c r="J1288" s="114" t="n"/>
      <c r="K1288" s="139">
        <f>IFERROR(IF(H1288&gt;0,H1288*$C$7,""),"")</f>
        <v/>
      </c>
      <c r="L1288" s="139">
        <f>IFERROR(IF(ISNUMBER(F1288),F1288-IF(ISNUMBER(K1288),K1288,0),""),"")</f>
        <v/>
      </c>
    </row>
    <row r="1289" ht="24" customHeight="1" s="63">
      <c r="E1289" s="139" t="n"/>
      <c r="F1289" s="139" t="n"/>
      <c r="G1289" s="140">
        <f>IFERROR(IF(E1289&gt;0,(F1289/E1289)*1000,""),"")</f>
        <v/>
      </c>
      <c r="H1289" s="139">
        <f>IFERROR(IF(E1289&gt;0,E1289*IF(ISNUMBER(J1289),J1289,IF(C1289="Futures",$C$6,$C$5)),""),"")</f>
        <v/>
      </c>
      <c r="I1289" s="139">
        <f>IFERROR(IF(AND(ISNUMBER(F1289),ISNUMBER(H1289)),F1289-H1289,""),"")</f>
        <v/>
      </c>
      <c r="J1289" s="114" t="n"/>
      <c r="K1289" s="139">
        <f>IFERROR(IF(H1289&gt;0,H1289*$C$7,""),"")</f>
        <v/>
      </c>
      <c r="L1289" s="139">
        <f>IFERROR(IF(ISNUMBER(F1289),F1289-IF(ISNUMBER(K1289),K1289,0),""),"")</f>
        <v/>
      </c>
    </row>
    <row r="1290" ht="24" customHeight="1" s="63">
      <c r="E1290" s="139" t="n"/>
      <c r="F1290" s="139" t="n"/>
      <c r="G1290" s="140">
        <f>IFERROR(IF(E1290&gt;0,(F1290/E1290)*1000,""),"")</f>
        <v/>
      </c>
      <c r="H1290" s="139">
        <f>IFERROR(IF(E1290&gt;0,E1290*IF(ISNUMBER(J1290),J1290,IF(C1290="Futures",$C$6,$C$5)),""),"")</f>
        <v/>
      </c>
      <c r="I1290" s="139">
        <f>IFERROR(IF(AND(ISNUMBER(F1290),ISNUMBER(H1290)),F1290-H1290,""),"")</f>
        <v/>
      </c>
      <c r="J1290" s="114" t="n"/>
      <c r="K1290" s="139">
        <f>IFERROR(IF(H1290&gt;0,H1290*$C$7,""),"")</f>
        <v/>
      </c>
      <c r="L1290" s="139">
        <f>IFERROR(IF(ISNUMBER(F1290),F1290-IF(ISNUMBER(K1290),K1290,0),""),"")</f>
        <v/>
      </c>
    </row>
    <row r="1291" ht="24" customHeight="1" s="63">
      <c r="E1291" s="139" t="n"/>
      <c r="F1291" s="139" t="n"/>
      <c r="G1291" s="140">
        <f>IFERROR(IF(E1291&gt;0,(F1291/E1291)*1000,""),"")</f>
        <v/>
      </c>
      <c r="H1291" s="139">
        <f>IFERROR(IF(E1291&gt;0,E1291*IF(ISNUMBER(J1291),J1291,IF(C1291="Futures",$C$6,$C$5)),""),"")</f>
        <v/>
      </c>
      <c r="I1291" s="139">
        <f>IFERROR(IF(AND(ISNUMBER(F1291),ISNUMBER(H1291)),F1291-H1291,""),"")</f>
        <v/>
      </c>
      <c r="J1291" s="114" t="n"/>
      <c r="K1291" s="139">
        <f>IFERROR(IF(H1291&gt;0,H1291*$C$7,""),"")</f>
        <v/>
      </c>
      <c r="L1291" s="139">
        <f>IFERROR(IF(ISNUMBER(F1291),F1291-IF(ISNUMBER(K1291),K1291,0),""),"")</f>
        <v/>
      </c>
    </row>
    <row r="1292" ht="24" customHeight="1" s="63">
      <c r="E1292" s="139" t="n"/>
      <c r="F1292" s="139" t="n"/>
      <c r="G1292" s="140">
        <f>IFERROR(IF(E1292&gt;0,(F1292/E1292)*1000,""),"")</f>
        <v/>
      </c>
      <c r="H1292" s="139">
        <f>IFERROR(IF(E1292&gt;0,E1292*IF(ISNUMBER(J1292),J1292,IF(C1292="Futures",$C$6,$C$5)),""),"")</f>
        <v/>
      </c>
      <c r="I1292" s="139">
        <f>IFERROR(IF(AND(ISNUMBER(F1292),ISNUMBER(H1292)),F1292-H1292,""),"")</f>
        <v/>
      </c>
      <c r="J1292" s="114" t="n"/>
      <c r="K1292" s="139">
        <f>IFERROR(IF(H1292&gt;0,H1292*$C$7,""),"")</f>
        <v/>
      </c>
      <c r="L1292" s="139">
        <f>IFERROR(IF(ISNUMBER(F1292),F1292-IF(ISNUMBER(K1292),K1292,0),""),"")</f>
        <v/>
      </c>
    </row>
    <row r="1293" ht="24" customHeight="1" s="63">
      <c r="E1293" s="139" t="n"/>
      <c r="F1293" s="139" t="n"/>
      <c r="G1293" s="140">
        <f>IFERROR(IF(E1293&gt;0,(F1293/E1293)*1000,""),"")</f>
        <v/>
      </c>
      <c r="H1293" s="139">
        <f>IFERROR(IF(E1293&gt;0,E1293*IF(ISNUMBER(J1293),J1293,IF(C1293="Futures",$C$6,$C$5)),""),"")</f>
        <v/>
      </c>
      <c r="I1293" s="139">
        <f>IFERROR(IF(AND(ISNUMBER(F1293),ISNUMBER(H1293)),F1293-H1293,""),"")</f>
        <v/>
      </c>
      <c r="J1293" s="114" t="n"/>
      <c r="K1293" s="139">
        <f>IFERROR(IF(H1293&gt;0,H1293*$C$7,""),"")</f>
        <v/>
      </c>
      <c r="L1293" s="139">
        <f>IFERROR(IF(ISNUMBER(F1293),F1293-IF(ISNUMBER(K1293),K1293,0),""),"")</f>
        <v/>
      </c>
    </row>
    <row r="1294" ht="24" customHeight="1" s="63">
      <c r="E1294" s="139" t="n"/>
      <c r="F1294" s="139" t="n"/>
      <c r="G1294" s="140">
        <f>IFERROR(IF(E1294&gt;0,(F1294/E1294)*1000,""),"")</f>
        <v/>
      </c>
      <c r="H1294" s="139">
        <f>IFERROR(IF(E1294&gt;0,E1294*IF(ISNUMBER(J1294),J1294,IF(C1294="Futures",$C$6,$C$5)),""),"")</f>
        <v/>
      </c>
      <c r="I1294" s="139">
        <f>IFERROR(IF(AND(ISNUMBER(F1294),ISNUMBER(H1294)),F1294-H1294,""),"")</f>
        <v/>
      </c>
      <c r="J1294" s="114" t="n"/>
      <c r="K1294" s="139">
        <f>IFERROR(IF(H1294&gt;0,H1294*$C$7,""),"")</f>
        <v/>
      </c>
      <c r="L1294" s="139">
        <f>IFERROR(IF(ISNUMBER(F1294),F1294-IF(ISNUMBER(K1294),K1294,0),""),"")</f>
        <v/>
      </c>
    </row>
    <row r="1295" ht="24" customHeight="1" s="63">
      <c r="E1295" s="139" t="n"/>
      <c r="F1295" s="139" t="n"/>
      <c r="G1295" s="140">
        <f>IFERROR(IF(E1295&gt;0,(F1295/E1295)*1000,""),"")</f>
        <v/>
      </c>
      <c r="H1295" s="139">
        <f>IFERROR(IF(E1295&gt;0,E1295*IF(ISNUMBER(J1295),J1295,IF(C1295="Futures",$C$6,$C$5)),""),"")</f>
        <v/>
      </c>
      <c r="I1295" s="139">
        <f>IFERROR(IF(AND(ISNUMBER(F1295),ISNUMBER(H1295)),F1295-H1295,""),"")</f>
        <v/>
      </c>
      <c r="J1295" s="114" t="n"/>
      <c r="K1295" s="139">
        <f>IFERROR(IF(H1295&gt;0,H1295*$C$7,""),"")</f>
        <v/>
      </c>
      <c r="L1295" s="139">
        <f>IFERROR(IF(ISNUMBER(F1295),F1295-IF(ISNUMBER(K1295),K1295,0),""),"")</f>
        <v/>
      </c>
    </row>
    <row r="1296" ht="24" customHeight="1" s="63">
      <c r="E1296" s="139" t="n"/>
      <c r="F1296" s="139" t="n"/>
      <c r="G1296" s="140">
        <f>IFERROR(IF(E1296&gt;0,(F1296/E1296)*1000,""),"")</f>
        <v/>
      </c>
      <c r="H1296" s="139">
        <f>IFERROR(IF(E1296&gt;0,E1296*IF(ISNUMBER(J1296),J1296,IF(C1296="Futures",$C$6,$C$5)),""),"")</f>
        <v/>
      </c>
      <c r="I1296" s="139">
        <f>IFERROR(IF(AND(ISNUMBER(F1296),ISNUMBER(H1296)),F1296-H1296,""),"")</f>
        <v/>
      </c>
      <c r="J1296" s="114" t="n"/>
      <c r="K1296" s="139">
        <f>IFERROR(IF(H1296&gt;0,H1296*$C$7,""),"")</f>
        <v/>
      </c>
      <c r="L1296" s="139">
        <f>IFERROR(IF(ISNUMBER(F1296),F1296-IF(ISNUMBER(K1296),K1296,0),""),"")</f>
        <v/>
      </c>
    </row>
    <row r="1297" ht="24" customHeight="1" s="63">
      <c r="E1297" s="139" t="n"/>
      <c r="F1297" s="139" t="n"/>
      <c r="G1297" s="140">
        <f>IFERROR(IF(E1297&gt;0,(F1297/E1297)*1000,""),"")</f>
        <v/>
      </c>
      <c r="H1297" s="139">
        <f>IFERROR(IF(E1297&gt;0,E1297*IF(ISNUMBER(J1297),J1297,IF(C1297="Futures",$C$6,$C$5)),""),"")</f>
        <v/>
      </c>
      <c r="I1297" s="139">
        <f>IFERROR(IF(AND(ISNUMBER(F1297),ISNUMBER(H1297)),F1297-H1297,""),"")</f>
        <v/>
      </c>
      <c r="J1297" s="114" t="n"/>
      <c r="K1297" s="139">
        <f>IFERROR(IF(H1297&gt;0,H1297*$C$7,""),"")</f>
        <v/>
      </c>
      <c r="L1297" s="139">
        <f>IFERROR(IF(ISNUMBER(F1297),F1297-IF(ISNUMBER(K1297),K1297,0),""),"")</f>
        <v/>
      </c>
    </row>
    <row r="1298" ht="24" customHeight="1" s="63">
      <c r="E1298" s="139" t="n"/>
      <c r="F1298" s="139" t="n"/>
      <c r="G1298" s="140">
        <f>IFERROR(IF(E1298&gt;0,(F1298/E1298)*1000,""),"")</f>
        <v/>
      </c>
      <c r="H1298" s="139">
        <f>IFERROR(IF(E1298&gt;0,E1298*IF(ISNUMBER(J1298),J1298,IF(C1298="Futures",$C$6,$C$5)),""),"")</f>
        <v/>
      </c>
      <c r="I1298" s="139">
        <f>IFERROR(IF(AND(ISNUMBER(F1298),ISNUMBER(H1298)),F1298-H1298,""),"")</f>
        <v/>
      </c>
      <c r="J1298" s="114" t="n"/>
      <c r="K1298" s="139">
        <f>IFERROR(IF(H1298&gt;0,H1298*$C$7,""),"")</f>
        <v/>
      </c>
      <c r="L1298" s="139">
        <f>IFERROR(IF(ISNUMBER(F1298),F1298-IF(ISNUMBER(K1298),K1298,0),""),"")</f>
        <v/>
      </c>
    </row>
    <row r="1299" ht="24" customHeight="1" s="63">
      <c r="E1299" s="139" t="n"/>
      <c r="F1299" s="139" t="n"/>
      <c r="G1299" s="140">
        <f>IFERROR(IF(E1299&gt;0,(F1299/E1299)*1000,""),"")</f>
        <v/>
      </c>
      <c r="H1299" s="139">
        <f>IFERROR(IF(E1299&gt;0,E1299*IF(ISNUMBER(J1299),J1299,IF(C1299="Futures",$C$6,$C$5)),""),"")</f>
        <v/>
      </c>
      <c r="I1299" s="139">
        <f>IFERROR(IF(AND(ISNUMBER(F1299),ISNUMBER(H1299)),F1299-H1299,""),"")</f>
        <v/>
      </c>
      <c r="J1299" s="114" t="n"/>
      <c r="K1299" s="139">
        <f>IFERROR(IF(H1299&gt;0,H1299*$C$7,""),"")</f>
        <v/>
      </c>
      <c r="L1299" s="139">
        <f>IFERROR(IF(ISNUMBER(F1299),F1299-IF(ISNUMBER(K1299),K1299,0),""),"")</f>
        <v/>
      </c>
    </row>
    <row r="1300" ht="24" customHeight="1" s="63">
      <c r="E1300" s="139" t="n"/>
      <c r="F1300" s="139" t="n"/>
      <c r="G1300" s="140">
        <f>IFERROR(IF(E1300&gt;0,(F1300/E1300)*1000,""),"")</f>
        <v/>
      </c>
      <c r="H1300" s="139">
        <f>IFERROR(IF(E1300&gt;0,E1300*IF(ISNUMBER(J1300),J1300,IF(C1300="Futures",$C$6,$C$5)),""),"")</f>
        <v/>
      </c>
      <c r="I1300" s="139">
        <f>IFERROR(IF(AND(ISNUMBER(F1300),ISNUMBER(H1300)),F1300-H1300,""),"")</f>
        <v/>
      </c>
      <c r="J1300" s="114" t="n"/>
      <c r="K1300" s="139">
        <f>IFERROR(IF(H1300&gt;0,H1300*$C$7,""),"")</f>
        <v/>
      </c>
      <c r="L1300" s="139">
        <f>IFERROR(IF(ISNUMBER(F1300),F1300-IF(ISNUMBER(K1300),K1300,0),""),"")</f>
        <v/>
      </c>
    </row>
    <row r="1301" ht="24" customHeight="1" s="63">
      <c r="E1301" s="139" t="n"/>
      <c r="F1301" s="139" t="n"/>
      <c r="G1301" s="140">
        <f>IFERROR(IF(E1301&gt;0,(F1301/E1301)*1000,""),"")</f>
        <v/>
      </c>
      <c r="H1301" s="139">
        <f>IFERROR(IF(E1301&gt;0,E1301*IF(ISNUMBER(J1301),J1301,IF(C1301="Futures",$C$6,$C$5)),""),"")</f>
        <v/>
      </c>
      <c r="I1301" s="139">
        <f>IFERROR(IF(AND(ISNUMBER(F1301),ISNUMBER(H1301)),F1301-H1301,""),"")</f>
        <v/>
      </c>
      <c r="J1301" s="114" t="n"/>
      <c r="K1301" s="139">
        <f>IFERROR(IF(H1301&gt;0,H1301*$C$7,""),"")</f>
        <v/>
      </c>
      <c r="L1301" s="139">
        <f>IFERROR(IF(ISNUMBER(F1301),F1301-IF(ISNUMBER(K1301),K1301,0),""),"")</f>
        <v/>
      </c>
    </row>
    <row r="1302" ht="24" customHeight="1" s="63">
      <c r="E1302" s="139" t="n"/>
      <c r="F1302" s="139" t="n"/>
      <c r="G1302" s="140">
        <f>IFERROR(IF(E1302&gt;0,(F1302/E1302)*1000,""),"")</f>
        <v/>
      </c>
      <c r="H1302" s="139">
        <f>IFERROR(IF(E1302&gt;0,E1302*IF(ISNUMBER(J1302),J1302,IF(C1302="Futures",$C$6,$C$5)),""),"")</f>
        <v/>
      </c>
      <c r="I1302" s="139">
        <f>IFERROR(IF(AND(ISNUMBER(F1302),ISNUMBER(H1302)),F1302-H1302,""),"")</f>
        <v/>
      </c>
      <c r="J1302" s="114" t="n"/>
      <c r="K1302" s="139">
        <f>IFERROR(IF(H1302&gt;0,H1302*$C$7,""),"")</f>
        <v/>
      </c>
      <c r="L1302" s="139">
        <f>IFERROR(IF(ISNUMBER(F1302),F1302-IF(ISNUMBER(K1302),K1302,0),""),"")</f>
        <v/>
      </c>
    </row>
    <row r="1303" ht="24" customHeight="1" s="63">
      <c r="E1303" s="139" t="n"/>
      <c r="F1303" s="139" t="n"/>
      <c r="G1303" s="140">
        <f>IFERROR(IF(E1303&gt;0,(F1303/E1303)*1000,""),"")</f>
        <v/>
      </c>
      <c r="H1303" s="139">
        <f>IFERROR(IF(E1303&gt;0,E1303*IF(ISNUMBER(J1303),J1303,IF(C1303="Futures",$C$6,$C$5)),""),"")</f>
        <v/>
      </c>
      <c r="I1303" s="139">
        <f>IFERROR(IF(AND(ISNUMBER(F1303),ISNUMBER(H1303)),F1303-H1303,""),"")</f>
        <v/>
      </c>
      <c r="J1303" s="114" t="n"/>
      <c r="K1303" s="139">
        <f>IFERROR(IF(H1303&gt;0,H1303*$C$7,""),"")</f>
        <v/>
      </c>
      <c r="L1303" s="139">
        <f>IFERROR(IF(ISNUMBER(F1303),F1303-IF(ISNUMBER(K1303),K1303,0),""),"")</f>
        <v/>
      </c>
    </row>
    <row r="1304" ht="24" customHeight="1" s="63">
      <c r="E1304" s="139" t="n"/>
      <c r="F1304" s="139" t="n"/>
      <c r="G1304" s="140">
        <f>IFERROR(IF(E1304&gt;0,(F1304/E1304)*1000,""),"")</f>
        <v/>
      </c>
      <c r="H1304" s="139">
        <f>IFERROR(IF(E1304&gt;0,E1304*IF(ISNUMBER(J1304),J1304,IF(C1304="Futures",$C$6,$C$5)),""),"")</f>
        <v/>
      </c>
      <c r="I1304" s="139">
        <f>IFERROR(IF(AND(ISNUMBER(F1304),ISNUMBER(H1304)),F1304-H1304,""),"")</f>
        <v/>
      </c>
      <c r="J1304" s="114" t="n"/>
      <c r="K1304" s="139">
        <f>IFERROR(IF(H1304&gt;0,H1304*$C$7,""),"")</f>
        <v/>
      </c>
      <c r="L1304" s="139">
        <f>IFERROR(IF(ISNUMBER(F1304),F1304-IF(ISNUMBER(K1304),K1304,0),""),"")</f>
        <v/>
      </c>
    </row>
    <row r="1305" ht="24" customHeight="1" s="63">
      <c r="E1305" s="139" t="n"/>
      <c r="F1305" s="139" t="n"/>
      <c r="G1305" s="140">
        <f>IFERROR(IF(E1305&gt;0,(F1305/E1305)*1000,""),"")</f>
        <v/>
      </c>
      <c r="H1305" s="139">
        <f>IFERROR(IF(E1305&gt;0,E1305*IF(ISNUMBER(J1305),J1305,IF(C1305="Futures",$C$6,$C$5)),""),"")</f>
        <v/>
      </c>
      <c r="I1305" s="139">
        <f>IFERROR(IF(AND(ISNUMBER(F1305),ISNUMBER(H1305)),F1305-H1305,""),"")</f>
        <v/>
      </c>
      <c r="J1305" s="114" t="n"/>
      <c r="K1305" s="139">
        <f>IFERROR(IF(H1305&gt;0,H1305*$C$7,""),"")</f>
        <v/>
      </c>
      <c r="L1305" s="139">
        <f>IFERROR(IF(ISNUMBER(F1305),F1305-IF(ISNUMBER(K1305),K1305,0),""),"")</f>
        <v/>
      </c>
    </row>
    <row r="1306" ht="24" customHeight="1" s="63">
      <c r="E1306" s="139" t="n"/>
      <c r="F1306" s="139" t="n"/>
      <c r="G1306" s="140">
        <f>IFERROR(IF(E1306&gt;0,(F1306/E1306)*1000,""),"")</f>
        <v/>
      </c>
      <c r="H1306" s="139">
        <f>IFERROR(IF(E1306&gt;0,E1306*IF(ISNUMBER(J1306),J1306,IF(C1306="Futures",$C$6,$C$5)),""),"")</f>
        <v/>
      </c>
      <c r="I1306" s="139">
        <f>IFERROR(IF(AND(ISNUMBER(F1306),ISNUMBER(H1306)),F1306-H1306,""),"")</f>
        <v/>
      </c>
      <c r="J1306" s="114" t="n"/>
      <c r="K1306" s="139">
        <f>IFERROR(IF(H1306&gt;0,H1306*$C$7,""),"")</f>
        <v/>
      </c>
      <c r="L1306" s="139">
        <f>IFERROR(IF(ISNUMBER(F1306),F1306-IF(ISNUMBER(K1306),K1306,0),""),"")</f>
        <v/>
      </c>
    </row>
    <row r="1307" ht="24" customHeight="1" s="63">
      <c r="E1307" s="139" t="n"/>
      <c r="F1307" s="139" t="n"/>
      <c r="G1307" s="140">
        <f>IFERROR(IF(E1307&gt;0,(F1307/E1307)*1000,""),"")</f>
        <v/>
      </c>
      <c r="H1307" s="139">
        <f>IFERROR(IF(E1307&gt;0,E1307*IF(ISNUMBER(J1307),J1307,IF(C1307="Futures",$C$6,$C$5)),""),"")</f>
        <v/>
      </c>
      <c r="I1307" s="139">
        <f>IFERROR(IF(AND(ISNUMBER(F1307),ISNUMBER(H1307)),F1307-H1307,""),"")</f>
        <v/>
      </c>
      <c r="J1307" s="114" t="n"/>
      <c r="K1307" s="139">
        <f>IFERROR(IF(H1307&gt;0,H1307*$C$7,""),"")</f>
        <v/>
      </c>
      <c r="L1307" s="139">
        <f>IFERROR(IF(ISNUMBER(F1307),F1307-IF(ISNUMBER(K1307),K1307,0),""),"")</f>
        <v/>
      </c>
    </row>
    <row r="1308" ht="24" customHeight="1" s="63">
      <c r="E1308" s="139" t="n"/>
      <c r="F1308" s="139" t="n"/>
      <c r="G1308" s="140">
        <f>IFERROR(IF(E1308&gt;0,(F1308/E1308)*1000,""),"")</f>
        <v/>
      </c>
      <c r="H1308" s="139">
        <f>IFERROR(IF(E1308&gt;0,E1308*IF(ISNUMBER(J1308),J1308,IF(C1308="Futures",$C$6,$C$5)),""),"")</f>
        <v/>
      </c>
      <c r="I1308" s="139">
        <f>IFERROR(IF(AND(ISNUMBER(F1308),ISNUMBER(H1308)),F1308-H1308,""),"")</f>
        <v/>
      </c>
      <c r="J1308" s="114" t="n"/>
      <c r="K1308" s="139">
        <f>IFERROR(IF(H1308&gt;0,H1308*$C$7,""),"")</f>
        <v/>
      </c>
      <c r="L1308" s="139">
        <f>IFERROR(IF(ISNUMBER(F1308),F1308-IF(ISNUMBER(K1308),K1308,0),""),"")</f>
        <v/>
      </c>
    </row>
    <row r="1309" ht="24" customHeight="1" s="63">
      <c r="E1309" s="139" t="n"/>
      <c r="F1309" s="139" t="n"/>
      <c r="G1309" s="140">
        <f>IFERROR(IF(E1309&gt;0,(F1309/E1309)*1000,""),"")</f>
        <v/>
      </c>
      <c r="H1309" s="139">
        <f>IFERROR(IF(E1309&gt;0,E1309*IF(ISNUMBER(J1309),J1309,IF(C1309="Futures",$C$6,$C$5)),""),"")</f>
        <v/>
      </c>
      <c r="I1309" s="139">
        <f>IFERROR(IF(AND(ISNUMBER(F1309),ISNUMBER(H1309)),F1309-H1309,""),"")</f>
        <v/>
      </c>
      <c r="J1309" s="114" t="n"/>
      <c r="K1309" s="139">
        <f>IFERROR(IF(H1309&gt;0,H1309*$C$7,""),"")</f>
        <v/>
      </c>
      <c r="L1309" s="139">
        <f>IFERROR(IF(ISNUMBER(F1309),F1309-IF(ISNUMBER(K1309),K1309,0),""),"")</f>
        <v/>
      </c>
    </row>
    <row r="1310" ht="24" customHeight="1" s="63">
      <c r="E1310" s="139" t="n"/>
      <c r="F1310" s="139" t="n"/>
      <c r="G1310" s="140">
        <f>IFERROR(IF(E1310&gt;0,(F1310/E1310)*1000,""),"")</f>
        <v/>
      </c>
      <c r="H1310" s="139">
        <f>IFERROR(IF(E1310&gt;0,E1310*IF(ISNUMBER(J1310),J1310,IF(C1310="Futures",$C$6,$C$5)),""),"")</f>
        <v/>
      </c>
      <c r="I1310" s="139">
        <f>IFERROR(IF(AND(ISNUMBER(F1310),ISNUMBER(H1310)),F1310-H1310,""),"")</f>
        <v/>
      </c>
      <c r="J1310" s="114" t="n"/>
      <c r="K1310" s="139">
        <f>IFERROR(IF(H1310&gt;0,H1310*$C$7,""),"")</f>
        <v/>
      </c>
      <c r="L1310" s="139">
        <f>IFERROR(IF(ISNUMBER(F1310),F1310-IF(ISNUMBER(K1310),K1310,0),""),"")</f>
        <v/>
      </c>
    </row>
    <row r="1311" ht="24" customHeight="1" s="63">
      <c r="E1311" s="139" t="n"/>
      <c r="F1311" s="139" t="n"/>
      <c r="G1311" s="140">
        <f>IFERROR(IF(E1311&gt;0,(F1311/E1311)*1000,""),"")</f>
        <v/>
      </c>
      <c r="H1311" s="139">
        <f>IFERROR(IF(E1311&gt;0,E1311*IF(ISNUMBER(J1311),J1311,IF(C1311="Futures",$C$6,$C$5)),""),"")</f>
        <v/>
      </c>
      <c r="I1311" s="139">
        <f>IFERROR(IF(AND(ISNUMBER(F1311),ISNUMBER(H1311)),F1311-H1311,""),"")</f>
        <v/>
      </c>
      <c r="J1311" s="114" t="n"/>
      <c r="K1311" s="139">
        <f>IFERROR(IF(H1311&gt;0,H1311*$C$7,""),"")</f>
        <v/>
      </c>
      <c r="L1311" s="139">
        <f>IFERROR(IF(ISNUMBER(F1311),F1311-IF(ISNUMBER(K1311),K1311,0),""),"")</f>
        <v/>
      </c>
    </row>
    <row r="1312" ht="24" customHeight="1" s="63">
      <c r="E1312" s="139" t="n"/>
      <c r="F1312" s="139" t="n"/>
      <c r="G1312" s="140">
        <f>IFERROR(IF(E1312&gt;0,(F1312/E1312)*1000,""),"")</f>
        <v/>
      </c>
      <c r="H1312" s="139">
        <f>IFERROR(IF(E1312&gt;0,E1312*IF(ISNUMBER(J1312),J1312,IF(C1312="Futures",$C$6,$C$5)),""),"")</f>
        <v/>
      </c>
      <c r="I1312" s="139">
        <f>IFERROR(IF(AND(ISNUMBER(F1312),ISNUMBER(H1312)),F1312-H1312,""),"")</f>
        <v/>
      </c>
      <c r="J1312" s="114" t="n"/>
      <c r="K1312" s="139">
        <f>IFERROR(IF(H1312&gt;0,H1312*$C$7,""),"")</f>
        <v/>
      </c>
      <c r="L1312" s="139">
        <f>IFERROR(IF(ISNUMBER(F1312),F1312-IF(ISNUMBER(K1312),K1312,0),""),"")</f>
        <v/>
      </c>
    </row>
    <row r="1313" ht="24" customHeight="1" s="63">
      <c r="E1313" s="139" t="n"/>
      <c r="F1313" s="139" t="n"/>
      <c r="G1313" s="140">
        <f>IFERROR(IF(E1313&gt;0,(F1313/E1313)*1000,""),"")</f>
        <v/>
      </c>
      <c r="H1313" s="139">
        <f>IFERROR(IF(E1313&gt;0,E1313*IF(ISNUMBER(J1313),J1313,IF(C1313="Futures",$C$6,$C$5)),""),"")</f>
        <v/>
      </c>
      <c r="I1313" s="139">
        <f>IFERROR(IF(AND(ISNUMBER(F1313),ISNUMBER(H1313)),F1313-H1313,""),"")</f>
        <v/>
      </c>
      <c r="J1313" s="114" t="n"/>
      <c r="K1313" s="139">
        <f>IFERROR(IF(H1313&gt;0,H1313*$C$7,""),"")</f>
        <v/>
      </c>
      <c r="L1313" s="139">
        <f>IFERROR(IF(ISNUMBER(F1313),F1313-IF(ISNUMBER(K1313),K1313,0),""),"")</f>
        <v/>
      </c>
    </row>
    <row r="1314" ht="24" customHeight="1" s="63">
      <c r="E1314" s="139" t="n"/>
      <c r="F1314" s="139" t="n"/>
      <c r="G1314" s="140">
        <f>IFERROR(IF(E1314&gt;0,(F1314/E1314)*1000,""),"")</f>
        <v/>
      </c>
      <c r="H1314" s="139">
        <f>IFERROR(IF(E1314&gt;0,E1314*IF(ISNUMBER(J1314),J1314,IF(C1314="Futures",$C$6,$C$5)),""),"")</f>
        <v/>
      </c>
      <c r="I1314" s="139">
        <f>IFERROR(IF(AND(ISNUMBER(F1314),ISNUMBER(H1314)),F1314-H1314,""),"")</f>
        <v/>
      </c>
      <c r="J1314" s="114" t="n"/>
      <c r="K1314" s="139">
        <f>IFERROR(IF(H1314&gt;0,H1314*$C$7,""),"")</f>
        <v/>
      </c>
      <c r="L1314" s="139">
        <f>IFERROR(IF(ISNUMBER(F1314),F1314-IF(ISNUMBER(K1314),K1314,0),""),"")</f>
        <v/>
      </c>
    </row>
    <row r="1315" ht="24" customHeight="1" s="63">
      <c r="E1315" s="139" t="n"/>
      <c r="F1315" s="139" t="n"/>
      <c r="G1315" s="140">
        <f>IFERROR(IF(E1315&gt;0,(F1315/E1315)*1000,""),"")</f>
        <v/>
      </c>
      <c r="H1315" s="139">
        <f>IFERROR(IF(E1315&gt;0,E1315*IF(ISNUMBER(J1315),J1315,IF(C1315="Futures",$C$6,$C$5)),""),"")</f>
        <v/>
      </c>
      <c r="I1315" s="139">
        <f>IFERROR(IF(AND(ISNUMBER(F1315),ISNUMBER(H1315)),F1315-H1315,""),"")</f>
        <v/>
      </c>
      <c r="J1315" s="114" t="n"/>
      <c r="K1315" s="139">
        <f>IFERROR(IF(H1315&gt;0,H1315*$C$7,""),"")</f>
        <v/>
      </c>
      <c r="L1315" s="139">
        <f>IFERROR(IF(ISNUMBER(F1315),F1315-IF(ISNUMBER(K1315),K1315,0),""),"")</f>
        <v/>
      </c>
    </row>
    <row r="1316" ht="24" customHeight="1" s="63">
      <c r="E1316" s="139" t="n"/>
      <c r="F1316" s="139" t="n"/>
      <c r="G1316" s="140">
        <f>IFERROR(IF(E1316&gt;0,(F1316/E1316)*1000,""),"")</f>
        <v/>
      </c>
      <c r="H1316" s="139">
        <f>IFERROR(IF(E1316&gt;0,E1316*IF(ISNUMBER(J1316),J1316,IF(C1316="Futures",$C$6,$C$5)),""),"")</f>
        <v/>
      </c>
      <c r="I1316" s="139">
        <f>IFERROR(IF(AND(ISNUMBER(F1316),ISNUMBER(H1316)),F1316-H1316,""),"")</f>
        <v/>
      </c>
      <c r="J1316" s="114" t="n"/>
      <c r="K1316" s="139">
        <f>IFERROR(IF(H1316&gt;0,H1316*$C$7,""),"")</f>
        <v/>
      </c>
      <c r="L1316" s="139">
        <f>IFERROR(IF(ISNUMBER(F1316),F1316-IF(ISNUMBER(K1316),K1316,0),""),"")</f>
        <v/>
      </c>
    </row>
    <row r="1317" ht="24" customHeight="1" s="63">
      <c r="E1317" s="139" t="n"/>
      <c r="F1317" s="139" t="n"/>
      <c r="G1317" s="140">
        <f>IFERROR(IF(E1317&gt;0,(F1317/E1317)*1000,""),"")</f>
        <v/>
      </c>
      <c r="H1317" s="139">
        <f>IFERROR(IF(E1317&gt;0,E1317*IF(ISNUMBER(J1317),J1317,IF(C1317="Futures",$C$6,$C$5)),""),"")</f>
        <v/>
      </c>
      <c r="I1317" s="139">
        <f>IFERROR(IF(AND(ISNUMBER(F1317),ISNUMBER(H1317)),F1317-H1317,""),"")</f>
        <v/>
      </c>
      <c r="J1317" s="114" t="n"/>
      <c r="K1317" s="139">
        <f>IFERROR(IF(H1317&gt;0,H1317*$C$7,""),"")</f>
        <v/>
      </c>
      <c r="L1317" s="139">
        <f>IFERROR(IF(ISNUMBER(F1317),F1317-IF(ISNUMBER(K1317),K1317,0),""),"")</f>
        <v/>
      </c>
    </row>
    <row r="1318" ht="24" customHeight="1" s="63">
      <c r="E1318" s="139" t="n"/>
      <c r="F1318" s="139" t="n"/>
      <c r="G1318" s="140">
        <f>IFERROR(IF(E1318&gt;0,(F1318/E1318)*1000,""),"")</f>
        <v/>
      </c>
      <c r="H1318" s="139">
        <f>IFERROR(IF(E1318&gt;0,E1318*IF(ISNUMBER(J1318),J1318,IF(C1318="Futures",$C$6,$C$5)),""),"")</f>
        <v/>
      </c>
      <c r="I1318" s="139">
        <f>IFERROR(IF(AND(ISNUMBER(F1318),ISNUMBER(H1318)),F1318-H1318,""),"")</f>
        <v/>
      </c>
      <c r="J1318" s="114" t="n"/>
      <c r="K1318" s="139">
        <f>IFERROR(IF(H1318&gt;0,H1318*$C$7,""),"")</f>
        <v/>
      </c>
      <c r="L1318" s="139">
        <f>IFERROR(IF(ISNUMBER(F1318),F1318-IF(ISNUMBER(K1318),K1318,0),""),"")</f>
        <v/>
      </c>
    </row>
    <row r="1319" ht="24" customHeight="1" s="63">
      <c r="E1319" s="139" t="n"/>
      <c r="F1319" s="139" t="n"/>
      <c r="G1319" s="140">
        <f>IFERROR(IF(E1319&gt;0,(F1319/E1319)*1000,""),"")</f>
        <v/>
      </c>
      <c r="H1319" s="139">
        <f>IFERROR(IF(E1319&gt;0,E1319*IF(ISNUMBER(J1319),J1319,IF(C1319="Futures",$C$6,$C$5)),""),"")</f>
        <v/>
      </c>
      <c r="I1319" s="139">
        <f>IFERROR(IF(AND(ISNUMBER(F1319),ISNUMBER(H1319)),F1319-H1319,""),"")</f>
        <v/>
      </c>
      <c r="J1319" s="114" t="n"/>
      <c r="K1319" s="139">
        <f>IFERROR(IF(H1319&gt;0,H1319*$C$7,""),"")</f>
        <v/>
      </c>
      <c r="L1319" s="139">
        <f>IFERROR(IF(ISNUMBER(F1319),F1319-IF(ISNUMBER(K1319),K1319,0),""),"")</f>
        <v/>
      </c>
    </row>
    <row r="1320" ht="24" customHeight="1" s="63">
      <c r="E1320" s="139" t="n"/>
      <c r="F1320" s="139" t="n"/>
      <c r="G1320" s="140">
        <f>IFERROR(IF(E1320&gt;0,(F1320/E1320)*1000,""),"")</f>
        <v/>
      </c>
      <c r="H1320" s="139">
        <f>IFERROR(IF(E1320&gt;0,E1320*IF(ISNUMBER(J1320),J1320,IF(C1320="Futures",$C$6,$C$5)),""),"")</f>
        <v/>
      </c>
      <c r="I1320" s="139">
        <f>IFERROR(IF(AND(ISNUMBER(F1320),ISNUMBER(H1320)),F1320-H1320,""),"")</f>
        <v/>
      </c>
      <c r="J1320" s="114" t="n"/>
      <c r="K1320" s="139">
        <f>IFERROR(IF(H1320&gt;0,H1320*$C$7,""),"")</f>
        <v/>
      </c>
      <c r="L1320" s="139">
        <f>IFERROR(IF(ISNUMBER(F1320),F1320-IF(ISNUMBER(K1320),K1320,0),""),"")</f>
        <v/>
      </c>
    </row>
    <row r="1321" ht="24" customHeight="1" s="63">
      <c r="E1321" s="139" t="n"/>
      <c r="F1321" s="139" t="n"/>
      <c r="G1321" s="140">
        <f>IFERROR(IF(E1321&gt;0,(F1321/E1321)*1000,""),"")</f>
        <v/>
      </c>
      <c r="H1321" s="139">
        <f>IFERROR(IF(E1321&gt;0,E1321*IF(ISNUMBER(J1321),J1321,IF(C1321="Futures",$C$6,$C$5)),""),"")</f>
        <v/>
      </c>
      <c r="I1321" s="139">
        <f>IFERROR(IF(AND(ISNUMBER(F1321),ISNUMBER(H1321)),F1321-H1321,""),"")</f>
        <v/>
      </c>
      <c r="J1321" s="114" t="n"/>
      <c r="K1321" s="139">
        <f>IFERROR(IF(H1321&gt;0,H1321*$C$7,""),"")</f>
        <v/>
      </c>
      <c r="L1321" s="139">
        <f>IFERROR(IF(ISNUMBER(F1321),F1321-IF(ISNUMBER(K1321),K1321,0),""),"")</f>
        <v/>
      </c>
    </row>
    <row r="1322" ht="24" customHeight="1" s="63">
      <c r="E1322" s="139" t="n"/>
      <c r="F1322" s="139" t="n"/>
      <c r="G1322" s="140">
        <f>IFERROR(IF(E1322&gt;0,(F1322/E1322)*1000,""),"")</f>
        <v/>
      </c>
      <c r="H1322" s="139">
        <f>IFERROR(IF(E1322&gt;0,E1322*IF(ISNUMBER(J1322),J1322,IF(C1322="Futures",$C$6,$C$5)),""),"")</f>
        <v/>
      </c>
      <c r="I1322" s="139">
        <f>IFERROR(IF(AND(ISNUMBER(F1322),ISNUMBER(H1322)),F1322-H1322,""),"")</f>
        <v/>
      </c>
      <c r="J1322" s="114" t="n"/>
      <c r="K1322" s="139">
        <f>IFERROR(IF(H1322&gt;0,H1322*$C$7,""),"")</f>
        <v/>
      </c>
      <c r="L1322" s="139">
        <f>IFERROR(IF(ISNUMBER(F1322),F1322-IF(ISNUMBER(K1322),K1322,0),""),"")</f>
        <v/>
      </c>
    </row>
    <row r="1323" ht="24" customHeight="1" s="63">
      <c r="E1323" s="139" t="n"/>
      <c r="F1323" s="139" t="n"/>
      <c r="G1323" s="140">
        <f>IFERROR(IF(E1323&gt;0,(F1323/E1323)*1000,""),"")</f>
        <v/>
      </c>
      <c r="H1323" s="139">
        <f>IFERROR(IF(E1323&gt;0,E1323*IF(ISNUMBER(J1323),J1323,IF(C1323="Futures",$C$6,$C$5)),""),"")</f>
        <v/>
      </c>
      <c r="I1323" s="139">
        <f>IFERROR(IF(AND(ISNUMBER(F1323),ISNUMBER(H1323)),F1323-H1323,""),"")</f>
        <v/>
      </c>
      <c r="J1323" s="114" t="n"/>
      <c r="K1323" s="139">
        <f>IFERROR(IF(H1323&gt;0,H1323*$C$7,""),"")</f>
        <v/>
      </c>
      <c r="L1323" s="139">
        <f>IFERROR(IF(ISNUMBER(F1323),F1323-IF(ISNUMBER(K1323),K1323,0),""),"")</f>
        <v/>
      </c>
    </row>
    <row r="1324" ht="24" customHeight="1" s="63">
      <c r="E1324" s="139" t="n"/>
      <c r="F1324" s="139" t="n"/>
      <c r="G1324" s="140">
        <f>IFERROR(IF(E1324&gt;0,(F1324/E1324)*1000,""),"")</f>
        <v/>
      </c>
      <c r="H1324" s="139">
        <f>IFERROR(IF(E1324&gt;0,E1324*IF(ISNUMBER(J1324),J1324,IF(C1324="Futures",$C$6,$C$5)),""),"")</f>
        <v/>
      </c>
      <c r="I1324" s="139">
        <f>IFERROR(IF(AND(ISNUMBER(F1324),ISNUMBER(H1324)),F1324-H1324,""),"")</f>
        <v/>
      </c>
      <c r="J1324" s="114" t="n"/>
      <c r="K1324" s="139">
        <f>IFERROR(IF(H1324&gt;0,H1324*$C$7,""),"")</f>
        <v/>
      </c>
      <c r="L1324" s="139">
        <f>IFERROR(IF(ISNUMBER(F1324),F1324-IF(ISNUMBER(K1324),K1324,0),""),"")</f>
        <v/>
      </c>
    </row>
    <row r="1325" ht="24" customHeight="1" s="63">
      <c r="E1325" s="139" t="n"/>
      <c r="F1325" s="139" t="n"/>
      <c r="G1325" s="140">
        <f>IFERROR(IF(E1325&gt;0,(F1325/E1325)*1000,""),"")</f>
        <v/>
      </c>
      <c r="H1325" s="139">
        <f>IFERROR(IF(E1325&gt;0,E1325*IF(ISNUMBER(J1325),J1325,IF(C1325="Futures",$C$6,$C$5)),""),"")</f>
        <v/>
      </c>
      <c r="I1325" s="139">
        <f>IFERROR(IF(AND(ISNUMBER(F1325),ISNUMBER(H1325)),F1325-H1325,""),"")</f>
        <v/>
      </c>
      <c r="J1325" s="114" t="n"/>
      <c r="K1325" s="139">
        <f>IFERROR(IF(H1325&gt;0,H1325*$C$7,""),"")</f>
        <v/>
      </c>
      <c r="L1325" s="139">
        <f>IFERROR(IF(ISNUMBER(F1325),F1325-IF(ISNUMBER(K1325),K1325,0),""),"")</f>
        <v/>
      </c>
    </row>
    <row r="1326" ht="24" customHeight="1" s="63">
      <c r="E1326" s="139" t="n"/>
      <c r="F1326" s="139" t="n"/>
      <c r="G1326" s="140">
        <f>IFERROR(IF(E1326&gt;0,(F1326/E1326)*1000,""),"")</f>
        <v/>
      </c>
      <c r="H1326" s="139">
        <f>IFERROR(IF(E1326&gt;0,E1326*IF(ISNUMBER(J1326),J1326,IF(C1326="Futures",$C$6,$C$5)),""),"")</f>
        <v/>
      </c>
      <c r="I1326" s="139">
        <f>IFERROR(IF(AND(ISNUMBER(F1326),ISNUMBER(H1326)),F1326-H1326,""),"")</f>
        <v/>
      </c>
      <c r="J1326" s="114" t="n"/>
      <c r="K1326" s="139">
        <f>IFERROR(IF(H1326&gt;0,H1326*$C$7,""),"")</f>
        <v/>
      </c>
      <c r="L1326" s="139">
        <f>IFERROR(IF(ISNUMBER(F1326),F1326-IF(ISNUMBER(K1326),K1326,0),""),"")</f>
        <v/>
      </c>
    </row>
    <row r="1327" ht="24" customHeight="1" s="63">
      <c r="E1327" s="139" t="n"/>
      <c r="F1327" s="139" t="n"/>
      <c r="G1327" s="140">
        <f>IFERROR(IF(E1327&gt;0,(F1327/E1327)*1000,""),"")</f>
        <v/>
      </c>
      <c r="H1327" s="139">
        <f>IFERROR(IF(E1327&gt;0,E1327*IF(ISNUMBER(J1327),J1327,IF(C1327="Futures",$C$6,$C$5)),""),"")</f>
        <v/>
      </c>
      <c r="I1327" s="139">
        <f>IFERROR(IF(AND(ISNUMBER(F1327),ISNUMBER(H1327)),F1327-H1327,""),"")</f>
        <v/>
      </c>
      <c r="J1327" s="114" t="n"/>
      <c r="K1327" s="139">
        <f>IFERROR(IF(H1327&gt;0,H1327*$C$7,""),"")</f>
        <v/>
      </c>
      <c r="L1327" s="139">
        <f>IFERROR(IF(ISNUMBER(F1327),F1327-IF(ISNUMBER(K1327),K1327,0),""),"")</f>
        <v/>
      </c>
    </row>
    <row r="1328" ht="24" customHeight="1" s="63">
      <c r="E1328" s="139" t="n"/>
      <c r="F1328" s="139" t="n"/>
      <c r="G1328" s="140">
        <f>IFERROR(IF(E1328&gt;0,(F1328/E1328)*1000,""),"")</f>
        <v/>
      </c>
      <c r="H1328" s="139">
        <f>IFERROR(IF(E1328&gt;0,E1328*IF(ISNUMBER(J1328),J1328,IF(C1328="Futures",$C$6,$C$5)),""),"")</f>
        <v/>
      </c>
      <c r="I1328" s="139">
        <f>IFERROR(IF(AND(ISNUMBER(F1328),ISNUMBER(H1328)),F1328-H1328,""),"")</f>
        <v/>
      </c>
      <c r="J1328" s="114" t="n"/>
      <c r="K1328" s="139">
        <f>IFERROR(IF(H1328&gt;0,H1328*$C$7,""),"")</f>
        <v/>
      </c>
      <c r="L1328" s="139">
        <f>IFERROR(IF(ISNUMBER(F1328),F1328-IF(ISNUMBER(K1328),K1328,0),""),"")</f>
        <v/>
      </c>
    </row>
    <row r="1329" ht="24" customHeight="1" s="63">
      <c r="E1329" s="139" t="n"/>
      <c r="F1329" s="139" t="n"/>
      <c r="G1329" s="140">
        <f>IFERROR(IF(E1329&gt;0,(F1329/E1329)*1000,""),"")</f>
        <v/>
      </c>
      <c r="H1329" s="139">
        <f>IFERROR(IF(E1329&gt;0,E1329*IF(ISNUMBER(J1329),J1329,IF(C1329="Futures",$C$6,$C$5)),""),"")</f>
        <v/>
      </c>
      <c r="I1329" s="139">
        <f>IFERROR(IF(AND(ISNUMBER(F1329),ISNUMBER(H1329)),F1329-H1329,""),"")</f>
        <v/>
      </c>
      <c r="J1329" s="114" t="n"/>
      <c r="K1329" s="139">
        <f>IFERROR(IF(H1329&gt;0,H1329*$C$7,""),"")</f>
        <v/>
      </c>
      <c r="L1329" s="139">
        <f>IFERROR(IF(ISNUMBER(F1329),F1329-IF(ISNUMBER(K1329),K1329,0),""),"")</f>
        <v/>
      </c>
    </row>
    <row r="1330" ht="24" customHeight="1" s="63">
      <c r="E1330" s="139" t="n"/>
      <c r="F1330" s="139" t="n"/>
      <c r="G1330" s="140">
        <f>IFERROR(IF(E1330&gt;0,(F1330/E1330)*1000,""),"")</f>
        <v/>
      </c>
      <c r="H1330" s="139">
        <f>IFERROR(IF(E1330&gt;0,E1330*IF(ISNUMBER(J1330),J1330,IF(C1330="Futures",$C$6,$C$5)),""),"")</f>
        <v/>
      </c>
      <c r="I1330" s="139">
        <f>IFERROR(IF(AND(ISNUMBER(F1330),ISNUMBER(H1330)),F1330-H1330,""),"")</f>
        <v/>
      </c>
      <c r="J1330" s="114" t="n"/>
      <c r="K1330" s="139">
        <f>IFERROR(IF(H1330&gt;0,H1330*$C$7,""),"")</f>
        <v/>
      </c>
      <c r="L1330" s="139">
        <f>IFERROR(IF(ISNUMBER(F1330),F1330-IF(ISNUMBER(K1330),K1330,0),""),"")</f>
        <v/>
      </c>
    </row>
    <row r="1331" ht="24" customHeight="1" s="63">
      <c r="E1331" s="139" t="n"/>
      <c r="F1331" s="139" t="n"/>
      <c r="G1331" s="140">
        <f>IFERROR(IF(E1331&gt;0,(F1331/E1331)*1000,""),"")</f>
        <v/>
      </c>
      <c r="H1331" s="139">
        <f>IFERROR(IF(E1331&gt;0,E1331*IF(ISNUMBER(J1331),J1331,IF(C1331="Futures",$C$6,$C$5)),""),"")</f>
        <v/>
      </c>
      <c r="I1331" s="139">
        <f>IFERROR(IF(AND(ISNUMBER(F1331),ISNUMBER(H1331)),F1331-H1331,""),"")</f>
        <v/>
      </c>
      <c r="J1331" s="114" t="n"/>
      <c r="K1331" s="139">
        <f>IFERROR(IF(H1331&gt;0,H1331*$C$7,""),"")</f>
        <v/>
      </c>
      <c r="L1331" s="139">
        <f>IFERROR(IF(ISNUMBER(F1331),F1331-IF(ISNUMBER(K1331),K1331,0),""),"")</f>
        <v/>
      </c>
    </row>
    <row r="1332" ht="24" customHeight="1" s="63">
      <c r="E1332" s="139" t="n"/>
      <c r="F1332" s="139" t="n"/>
      <c r="G1332" s="140">
        <f>IFERROR(IF(E1332&gt;0,(F1332/E1332)*1000,""),"")</f>
        <v/>
      </c>
      <c r="H1332" s="139">
        <f>IFERROR(IF(E1332&gt;0,E1332*IF(ISNUMBER(J1332),J1332,IF(C1332="Futures",$C$6,$C$5)),""),"")</f>
        <v/>
      </c>
      <c r="I1332" s="139">
        <f>IFERROR(IF(AND(ISNUMBER(F1332),ISNUMBER(H1332)),F1332-H1332,""),"")</f>
        <v/>
      </c>
      <c r="J1332" s="114" t="n"/>
      <c r="K1332" s="139">
        <f>IFERROR(IF(H1332&gt;0,H1332*$C$7,""),"")</f>
        <v/>
      </c>
      <c r="L1332" s="139">
        <f>IFERROR(IF(ISNUMBER(F1332),F1332-IF(ISNUMBER(K1332),K1332,0),""),"")</f>
        <v/>
      </c>
    </row>
    <row r="1333" ht="24" customHeight="1" s="63">
      <c r="E1333" s="139" t="n"/>
      <c r="F1333" s="139" t="n"/>
      <c r="G1333" s="140">
        <f>IFERROR(IF(E1333&gt;0,(F1333/E1333)*1000,""),"")</f>
        <v/>
      </c>
      <c r="H1333" s="139">
        <f>IFERROR(IF(E1333&gt;0,E1333*IF(ISNUMBER(J1333),J1333,IF(C1333="Futures",$C$6,$C$5)),""),"")</f>
        <v/>
      </c>
      <c r="I1333" s="139">
        <f>IFERROR(IF(AND(ISNUMBER(F1333),ISNUMBER(H1333)),F1333-H1333,""),"")</f>
        <v/>
      </c>
      <c r="J1333" s="114" t="n"/>
      <c r="K1333" s="139">
        <f>IFERROR(IF(H1333&gt;0,H1333*$C$7,""),"")</f>
        <v/>
      </c>
      <c r="L1333" s="139">
        <f>IFERROR(IF(ISNUMBER(F1333),F1333-IF(ISNUMBER(K1333),K1333,0),""),"")</f>
        <v/>
      </c>
    </row>
    <row r="1334" ht="24" customHeight="1" s="63">
      <c r="E1334" s="139" t="n"/>
      <c r="F1334" s="139" t="n"/>
      <c r="G1334" s="140">
        <f>IFERROR(IF(E1334&gt;0,(F1334/E1334)*1000,""),"")</f>
        <v/>
      </c>
      <c r="H1334" s="139">
        <f>IFERROR(IF(E1334&gt;0,E1334*IF(ISNUMBER(J1334),J1334,IF(C1334="Futures",$C$6,$C$5)),""),"")</f>
        <v/>
      </c>
      <c r="I1334" s="139">
        <f>IFERROR(IF(AND(ISNUMBER(F1334),ISNUMBER(H1334)),F1334-H1334,""),"")</f>
        <v/>
      </c>
      <c r="J1334" s="114" t="n"/>
      <c r="K1334" s="139">
        <f>IFERROR(IF(H1334&gt;0,H1334*$C$7,""),"")</f>
        <v/>
      </c>
      <c r="L1334" s="139">
        <f>IFERROR(IF(ISNUMBER(F1334),F1334-IF(ISNUMBER(K1334),K1334,0),""),"")</f>
        <v/>
      </c>
    </row>
    <row r="1335" ht="24" customHeight="1" s="63">
      <c r="E1335" s="139" t="n"/>
      <c r="F1335" s="139" t="n"/>
      <c r="G1335" s="140">
        <f>IFERROR(IF(E1335&gt;0,(F1335/E1335)*1000,""),"")</f>
        <v/>
      </c>
      <c r="H1335" s="139">
        <f>IFERROR(IF(E1335&gt;0,E1335*IF(ISNUMBER(J1335),J1335,IF(C1335="Futures",$C$6,$C$5)),""),"")</f>
        <v/>
      </c>
      <c r="I1335" s="139">
        <f>IFERROR(IF(AND(ISNUMBER(F1335),ISNUMBER(H1335)),F1335-H1335,""),"")</f>
        <v/>
      </c>
      <c r="J1335" s="114" t="n"/>
      <c r="K1335" s="139">
        <f>IFERROR(IF(H1335&gt;0,H1335*$C$7,""),"")</f>
        <v/>
      </c>
      <c r="L1335" s="139">
        <f>IFERROR(IF(ISNUMBER(F1335),F1335-IF(ISNUMBER(K1335),K1335,0),""),"")</f>
        <v/>
      </c>
    </row>
    <row r="1336" ht="24" customHeight="1" s="63">
      <c r="E1336" s="139" t="n"/>
      <c r="F1336" s="139" t="n"/>
      <c r="G1336" s="140">
        <f>IFERROR(IF(E1336&gt;0,(F1336/E1336)*1000,""),"")</f>
        <v/>
      </c>
      <c r="H1336" s="139">
        <f>IFERROR(IF(E1336&gt;0,E1336*IF(ISNUMBER(J1336),J1336,IF(C1336="Futures",$C$6,$C$5)),""),"")</f>
        <v/>
      </c>
      <c r="I1336" s="139">
        <f>IFERROR(IF(AND(ISNUMBER(F1336),ISNUMBER(H1336)),F1336-H1336,""),"")</f>
        <v/>
      </c>
      <c r="J1336" s="114" t="n"/>
      <c r="K1336" s="139">
        <f>IFERROR(IF(H1336&gt;0,H1336*$C$7,""),"")</f>
        <v/>
      </c>
      <c r="L1336" s="139">
        <f>IFERROR(IF(ISNUMBER(F1336),F1336-IF(ISNUMBER(K1336),K1336,0),""),"")</f>
        <v/>
      </c>
    </row>
    <row r="1337" ht="24" customHeight="1" s="63">
      <c r="E1337" s="139" t="n"/>
      <c r="F1337" s="139" t="n"/>
      <c r="G1337" s="140">
        <f>IFERROR(IF(E1337&gt;0,(F1337/E1337)*1000,""),"")</f>
        <v/>
      </c>
      <c r="H1337" s="139">
        <f>IFERROR(IF(E1337&gt;0,E1337*IF(ISNUMBER(J1337),J1337,IF(C1337="Futures",$C$6,$C$5)),""),"")</f>
        <v/>
      </c>
      <c r="I1337" s="139">
        <f>IFERROR(IF(AND(ISNUMBER(F1337),ISNUMBER(H1337)),F1337-H1337,""),"")</f>
        <v/>
      </c>
      <c r="J1337" s="114" t="n"/>
      <c r="K1337" s="139">
        <f>IFERROR(IF(H1337&gt;0,H1337*$C$7,""),"")</f>
        <v/>
      </c>
      <c r="L1337" s="139">
        <f>IFERROR(IF(ISNUMBER(F1337),F1337-IF(ISNUMBER(K1337),K1337,0),""),"")</f>
        <v/>
      </c>
    </row>
    <row r="1338" ht="24" customHeight="1" s="63">
      <c r="E1338" s="139" t="n"/>
      <c r="F1338" s="139" t="n"/>
      <c r="G1338" s="140">
        <f>IFERROR(IF(E1338&gt;0,(F1338/E1338)*1000,""),"")</f>
        <v/>
      </c>
      <c r="H1338" s="139">
        <f>IFERROR(IF(E1338&gt;0,E1338*IF(ISNUMBER(J1338),J1338,IF(C1338="Futures",$C$6,$C$5)),""),"")</f>
        <v/>
      </c>
      <c r="I1338" s="139">
        <f>IFERROR(IF(AND(ISNUMBER(F1338),ISNUMBER(H1338)),F1338-H1338,""),"")</f>
        <v/>
      </c>
      <c r="J1338" s="114" t="n"/>
      <c r="K1338" s="139">
        <f>IFERROR(IF(H1338&gt;0,H1338*$C$7,""),"")</f>
        <v/>
      </c>
      <c r="L1338" s="139">
        <f>IFERROR(IF(ISNUMBER(F1338),F1338-IF(ISNUMBER(K1338),K1338,0),""),"")</f>
        <v/>
      </c>
    </row>
    <row r="1339" ht="24" customHeight="1" s="63">
      <c r="E1339" s="139" t="n"/>
      <c r="F1339" s="139" t="n"/>
      <c r="G1339" s="140">
        <f>IFERROR(IF(E1339&gt;0,(F1339/E1339)*1000,""),"")</f>
        <v/>
      </c>
      <c r="H1339" s="139">
        <f>IFERROR(IF(E1339&gt;0,E1339*IF(ISNUMBER(J1339),J1339,IF(C1339="Futures",$C$6,$C$5)),""),"")</f>
        <v/>
      </c>
      <c r="I1339" s="139">
        <f>IFERROR(IF(AND(ISNUMBER(F1339),ISNUMBER(H1339)),F1339-H1339,""),"")</f>
        <v/>
      </c>
      <c r="J1339" s="114" t="n"/>
      <c r="K1339" s="139">
        <f>IFERROR(IF(H1339&gt;0,H1339*$C$7,""),"")</f>
        <v/>
      </c>
      <c r="L1339" s="139">
        <f>IFERROR(IF(ISNUMBER(F1339),F1339-IF(ISNUMBER(K1339),K1339,0),""),"")</f>
        <v/>
      </c>
    </row>
    <row r="1340" ht="24" customHeight="1" s="63">
      <c r="E1340" s="139" t="n"/>
      <c r="F1340" s="139" t="n"/>
      <c r="G1340" s="140">
        <f>IFERROR(IF(E1340&gt;0,(F1340/E1340)*1000,""),"")</f>
        <v/>
      </c>
      <c r="H1340" s="139">
        <f>IFERROR(IF(E1340&gt;0,E1340*IF(ISNUMBER(J1340),J1340,IF(C1340="Futures",$C$6,$C$5)),""),"")</f>
        <v/>
      </c>
      <c r="I1340" s="139">
        <f>IFERROR(IF(AND(ISNUMBER(F1340),ISNUMBER(H1340)),F1340-H1340,""),"")</f>
        <v/>
      </c>
      <c r="J1340" s="114" t="n"/>
      <c r="K1340" s="139">
        <f>IFERROR(IF(H1340&gt;0,H1340*$C$7,""),"")</f>
        <v/>
      </c>
      <c r="L1340" s="139">
        <f>IFERROR(IF(ISNUMBER(F1340),F1340-IF(ISNUMBER(K1340),K1340,0),""),"")</f>
        <v/>
      </c>
    </row>
    <row r="1341" ht="24" customHeight="1" s="63">
      <c r="E1341" s="139" t="n"/>
      <c r="F1341" s="139" t="n"/>
      <c r="G1341" s="140">
        <f>IFERROR(IF(E1341&gt;0,(F1341/E1341)*1000,""),"")</f>
        <v/>
      </c>
      <c r="H1341" s="139">
        <f>IFERROR(IF(E1341&gt;0,E1341*IF(ISNUMBER(J1341),J1341,IF(C1341="Futures",$C$6,$C$5)),""),"")</f>
        <v/>
      </c>
      <c r="I1341" s="139">
        <f>IFERROR(IF(AND(ISNUMBER(F1341),ISNUMBER(H1341)),F1341-H1341,""),"")</f>
        <v/>
      </c>
      <c r="J1341" s="114" t="n"/>
      <c r="K1341" s="139">
        <f>IFERROR(IF(H1341&gt;0,H1341*$C$7,""),"")</f>
        <v/>
      </c>
      <c r="L1341" s="139">
        <f>IFERROR(IF(ISNUMBER(F1341),F1341-IF(ISNUMBER(K1341),K1341,0),""),"")</f>
        <v/>
      </c>
    </row>
    <row r="1342" ht="24" customHeight="1" s="63">
      <c r="E1342" s="139" t="n"/>
      <c r="F1342" s="139" t="n"/>
      <c r="G1342" s="140">
        <f>IFERROR(IF(E1342&gt;0,(F1342/E1342)*1000,""),"")</f>
        <v/>
      </c>
      <c r="H1342" s="139">
        <f>IFERROR(IF(E1342&gt;0,E1342*IF(ISNUMBER(J1342),J1342,IF(C1342="Futures",$C$6,$C$5)),""),"")</f>
        <v/>
      </c>
      <c r="I1342" s="139">
        <f>IFERROR(IF(AND(ISNUMBER(F1342),ISNUMBER(H1342)),F1342-H1342,""),"")</f>
        <v/>
      </c>
      <c r="J1342" s="114" t="n"/>
      <c r="K1342" s="139">
        <f>IFERROR(IF(H1342&gt;0,H1342*$C$7,""),"")</f>
        <v/>
      </c>
      <c r="L1342" s="139">
        <f>IFERROR(IF(ISNUMBER(F1342),F1342-IF(ISNUMBER(K1342),K1342,0),""),"")</f>
        <v/>
      </c>
    </row>
    <row r="1343" ht="24" customHeight="1" s="63">
      <c r="E1343" s="139" t="n"/>
      <c r="F1343" s="139" t="n"/>
      <c r="G1343" s="140">
        <f>IFERROR(IF(E1343&gt;0,(F1343/E1343)*1000,""),"")</f>
        <v/>
      </c>
      <c r="H1343" s="139">
        <f>IFERROR(IF(E1343&gt;0,E1343*IF(ISNUMBER(J1343),J1343,IF(C1343="Futures",$C$6,$C$5)),""),"")</f>
        <v/>
      </c>
      <c r="I1343" s="139">
        <f>IFERROR(IF(AND(ISNUMBER(F1343),ISNUMBER(H1343)),F1343-H1343,""),"")</f>
        <v/>
      </c>
      <c r="J1343" s="114" t="n"/>
      <c r="K1343" s="139">
        <f>IFERROR(IF(H1343&gt;0,H1343*$C$7,""),"")</f>
        <v/>
      </c>
      <c r="L1343" s="139">
        <f>IFERROR(IF(ISNUMBER(F1343),F1343-IF(ISNUMBER(K1343),K1343,0),""),"")</f>
        <v/>
      </c>
    </row>
    <row r="1344" ht="24" customHeight="1" s="63">
      <c r="E1344" s="139" t="n"/>
      <c r="F1344" s="139" t="n"/>
      <c r="G1344" s="140">
        <f>IFERROR(IF(E1344&gt;0,(F1344/E1344)*1000,""),"")</f>
        <v/>
      </c>
      <c r="H1344" s="139">
        <f>IFERROR(IF(E1344&gt;0,E1344*IF(ISNUMBER(J1344),J1344,IF(C1344="Futures",$C$6,$C$5)),""),"")</f>
        <v/>
      </c>
      <c r="I1344" s="139">
        <f>IFERROR(IF(AND(ISNUMBER(F1344),ISNUMBER(H1344)),F1344-H1344,""),"")</f>
        <v/>
      </c>
      <c r="J1344" s="114" t="n"/>
      <c r="K1344" s="139">
        <f>IFERROR(IF(H1344&gt;0,H1344*$C$7,""),"")</f>
        <v/>
      </c>
      <c r="L1344" s="139">
        <f>IFERROR(IF(ISNUMBER(F1344),F1344-IF(ISNUMBER(K1344),K1344,0),""),"")</f>
        <v/>
      </c>
    </row>
    <row r="1345" ht="24" customHeight="1" s="63">
      <c r="E1345" s="139" t="n"/>
      <c r="F1345" s="139" t="n"/>
      <c r="G1345" s="140">
        <f>IFERROR(IF(E1345&gt;0,(F1345/E1345)*1000,""),"")</f>
        <v/>
      </c>
      <c r="H1345" s="139">
        <f>IFERROR(IF(E1345&gt;0,E1345*IF(ISNUMBER(J1345),J1345,IF(C1345="Futures",$C$6,$C$5)),""),"")</f>
        <v/>
      </c>
      <c r="I1345" s="139">
        <f>IFERROR(IF(AND(ISNUMBER(F1345),ISNUMBER(H1345)),F1345-H1345,""),"")</f>
        <v/>
      </c>
      <c r="J1345" s="114" t="n"/>
      <c r="K1345" s="139">
        <f>IFERROR(IF(H1345&gt;0,H1345*$C$7,""),"")</f>
        <v/>
      </c>
      <c r="L1345" s="139">
        <f>IFERROR(IF(ISNUMBER(F1345),F1345-IF(ISNUMBER(K1345),K1345,0),""),"")</f>
        <v/>
      </c>
    </row>
    <row r="1346" ht="24" customHeight="1" s="63">
      <c r="E1346" s="139" t="n"/>
      <c r="F1346" s="139" t="n"/>
      <c r="G1346" s="140">
        <f>IFERROR(IF(E1346&gt;0,(F1346/E1346)*1000,""),"")</f>
        <v/>
      </c>
      <c r="H1346" s="139">
        <f>IFERROR(IF(E1346&gt;0,E1346*IF(ISNUMBER(J1346),J1346,IF(C1346="Futures",$C$6,$C$5)),""),"")</f>
        <v/>
      </c>
      <c r="I1346" s="139">
        <f>IFERROR(IF(AND(ISNUMBER(F1346),ISNUMBER(H1346)),F1346-H1346,""),"")</f>
        <v/>
      </c>
      <c r="J1346" s="114" t="n"/>
      <c r="K1346" s="139">
        <f>IFERROR(IF(H1346&gt;0,H1346*$C$7,""),"")</f>
        <v/>
      </c>
      <c r="L1346" s="139">
        <f>IFERROR(IF(ISNUMBER(F1346),F1346-IF(ISNUMBER(K1346),K1346,0),""),"")</f>
        <v/>
      </c>
    </row>
    <row r="1347" ht="24" customHeight="1" s="63">
      <c r="E1347" s="139" t="n"/>
      <c r="F1347" s="139" t="n"/>
      <c r="G1347" s="140">
        <f>IFERROR(IF(E1347&gt;0,(F1347/E1347)*1000,""),"")</f>
        <v/>
      </c>
      <c r="H1347" s="139">
        <f>IFERROR(IF(E1347&gt;0,E1347*IF(ISNUMBER(J1347),J1347,IF(C1347="Futures",$C$6,$C$5)),""),"")</f>
        <v/>
      </c>
      <c r="I1347" s="139">
        <f>IFERROR(IF(AND(ISNUMBER(F1347),ISNUMBER(H1347)),F1347-H1347,""),"")</f>
        <v/>
      </c>
      <c r="J1347" s="114" t="n"/>
      <c r="K1347" s="139">
        <f>IFERROR(IF(H1347&gt;0,H1347*$C$7,""),"")</f>
        <v/>
      </c>
      <c r="L1347" s="139">
        <f>IFERROR(IF(ISNUMBER(F1347),F1347-IF(ISNUMBER(K1347),K1347,0),""),"")</f>
        <v/>
      </c>
    </row>
    <row r="1348" ht="24" customHeight="1" s="63">
      <c r="E1348" s="139" t="n"/>
      <c r="F1348" s="139" t="n"/>
      <c r="G1348" s="140">
        <f>IFERROR(IF(E1348&gt;0,(F1348/E1348)*1000,""),"")</f>
        <v/>
      </c>
      <c r="H1348" s="139">
        <f>IFERROR(IF(E1348&gt;0,E1348*IF(ISNUMBER(J1348),J1348,IF(C1348="Futures",$C$6,$C$5)),""),"")</f>
        <v/>
      </c>
      <c r="I1348" s="139">
        <f>IFERROR(IF(AND(ISNUMBER(F1348),ISNUMBER(H1348)),F1348-H1348,""),"")</f>
        <v/>
      </c>
      <c r="J1348" s="114" t="n"/>
      <c r="K1348" s="139">
        <f>IFERROR(IF(H1348&gt;0,H1348*$C$7,""),"")</f>
        <v/>
      </c>
      <c r="L1348" s="139">
        <f>IFERROR(IF(ISNUMBER(F1348),F1348-IF(ISNUMBER(K1348),K1348,0),""),"")</f>
        <v/>
      </c>
    </row>
    <row r="1349" ht="24" customHeight="1" s="63">
      <c r="E1349" s="139" t="n"/>
      <c r="F1349" s="139" t="n"/>
      <c r="G1349" s="140">
        <f>IFERROR(IF(E1349&gt;0,(F1349/E1349)*1000,""),"")</f>
        <v/>
      </c>
      <c r="H1349" s="139">
        <f>IFERROR(IF(E1349&gt;0,E1349*IF(ISNUMBER(J1349),J1349,IF(C1349="Futures",$C$6,$C$5)),""),"")</f>
        <v/>
      </c>
      <c r="I1349" s="139">
        <f>IFERROR(IF(AND(ISNUMBER(F1349),ISNUMBER(H1349)),F1349-H1349,""),"")</f>
        <v/>
      </c>
      <c r="J1349" s="114" t="n"/>
      <c r="K1349" s="139">
        <f>IFERROR(IF(H1349&gt;0,H1349*$C$7,""),"")</f>
        <v/>
      </c>
      <c r="L1349" s="139">
        <f>IFERROR(IF(ISNUMBER(F1349),F1349-IF(ISNUMBER(K1349),K1349,0),""),"")</f>
        <v/>
      </c>
    </row>
    <row r="1350" ht="24" customHeight="1" s="63">
      <c r="E1350" s="139" t="n"/>
      <c r="F1350" s="139" t="n"/>
      <c r="G1350" s="140">
        <f>IFERROR(IF(E1350&gt;0,(F1350/E1350)*1000,""),"")</f>
        <v/>
      </c>
      <c r="H1350" s="139">
        <f>IFERROR(IF(E1350&gt;0,E1350*IF(ISNUMBER(J1350),J1350,IF(C1350="Futures",$C$6,$C$5)),""),"")</f>
        <v/>
      </c>
      <c r="I1350" s="139">
        <f>IFERROR(IF(AND(ISNUMBER(F1350),ISNUMBER(H1350)),F1350-H1350,""),"")</f>
        <v/>
      </c>
      <c r="J1350" s="114" t="n"/>
      <c r="K1350" s="139">
        <f>IFERROR(IF(H1350&gt;0,H1350*$C$7,""),"")</f>
        <v/>
      </c>
      <c r="L1350" s="139">
        <f>IFERROR(IF(ISNUMBER(F1350),F1350-IF(ISNUMBER(K1350),K1350,0),""),"")</f>
        <v/>
      </c>
    </row>
    <row r="1351" ht="24" customHeight="1" s="63">
      <c r="E1351" s="139" t="n"/>
      <c r="F1351" s="139" t="n"/>
      <c r="G1351" s="140">
        <f>IFERROR(IF(E1351&gt;0,(F1351/E1351)*1000,""),"")</f>
        <v/>
      </c>
      <c r="H1351" s="139">
        <f>IFERROR(IF(E1351&gt;0,E1351*IF(ISNUMBER(J1351),J1351,IF(C1351="Futures",$C$6,$C$5)),""),"")</f>
        <v/>
      </c>
      <c r="I1351" s="139">
        <f>IFERROR(IF(AND(ISNUMBER(F1351),ISNUMBER(H1351)),F1351-H1351,""),"")</f>
        <v/>
      </c>
      <c r="J1351" s="114" t="n"/>
      <c r="K1351" s="139">
        <f>IFERROR(IF(H1351&gt;0,H1351*$C$7,""),"")</f>
        <v/>
      </c>
      <c r="L1351" s="139">
        <f>IFERROR(IF(ISNUMBER(F1351),F1351-IF(ISNUMBER(K1351),K1351,0),""),"")</f>
        <v/>
      </c>
    </row>
    <row r="1352" ht="24" customHeight="1" s="63">
      <c r="E1352" s="139" t="n"/>
      <c r="F1352" s="139" t="n"/>
      <c r="G1352" s="140">
        <f>IFERROR(IF(E1352&gt;0,(F1352/E1352)*1000,""),"")</f>
        <v/>
      </c>
      <c r="H1352" s="139">
        <f>IFERROR(IF(E1352&gt;0,E1352*IF(ISNUMBER(J1352),J1352,IF(C1352="Futures",$C$6,$C$5)),""),"")</f>
        <v/>
      </c>
      <c r="I1352" s="139">
        <f>IFERROR(IF(AND(ISNUMBER(F1352),ISNUMBER(H1352)),F1352-H1352,""),"")</f>
        <v/>
      </c>
      <c r="J1352" s="114" t="n"/>
      <c r="K1352" s="139">
        <f>IFERROR(IF(H1352&gt;0,H1352*$C$7,""),"")</f>
        <v/>
      </c>
      <c r="L1352" s="139">
        <f>IFERROR(IF(ISNUMBER(F1352),F1352-IF(ISNUMBER(K1352),K1352,0),""),"")</f>
        <v/>
      </c>
    </row>
    <row r="1353" ht="24" customHeight="1" s="63">
      <c r="E1353" s="139" t="n"/>
      <c r="F1353" s="139" t="n"/>
      <c r="G1353" s="140">
        <f>IFERROR(IF(E1353&gt;0,(F1353/E1353)*1000,""),"")</f>
        <v/>
      </c>
      <c r="H1353" s="139">
        <f>IFERROR(IF(E1353&gt;0,E1353*IF(ISNUMBER(J1353),J1353,IF(C1353="Futures",$C$6,$C$5)),""),"")</f>
        <v/>
      </c>
      <c r="I1353" s="139">
        <f>IFERROR(IF(AND(ISNUMBER(F1353),ISNUMBER(H1353)),F1353-H1353,""),"")</f>
        <v/>
      </c>
      <c r="J1353" s="114" t="n"/>
      <c r="K1353" s="139">
        <f>IFERROR(IF(H1353&gt;0,H1353*$C$7,""),"")</f>
        <v/>
      </c>
      <c r="L1353" s="139">
        <f>IFERROR(IF(ISNUMBER(F1353),F1353-IF(ISNUMBER(K1353),K1353,0),""),"")</f>
        <v/>
      </c>
    </row>
    <row r="1354" ht="24" customHeight="1" s="63">
      <c r="E1354" s="139" t="n"/>
      <c r="F1354" s="139" t="n"/>
      <c r="G1354" s="140">
        <f>IFERROR(IF(E1354&gt;0,(F1354/E1354)*1000,""),"")</f>
        <v/>
      </c>
      <c r="H1354" s="139">
        <f>IFERROR(IF(E1354&gt;0,E1354*IF(ISNUMBER(J1354),J1354,IF(C1354="Futures",$C$6,$C$5)),""),"")</f>
        <v/>
      </c>
      <c r="I1354" s="139">
        <f>IFERROR(IF(AND(ISNUMBER(F1354),ISNUMBER(H1354)),F1354-H1354,""),"")</f>
        <v/>
      </c>
      <c r="J1354" s="114" t="n"/>
      <c r="K1354" s="139">
        <f>IFERROR(IF(H1354&gt;0,H1354*$C$7,""),"")</f>
        <v/>
      </c>
      <c r="L1354" s="139">
        <f>IFERROR(IF(ISNUMBER(F1354),F1354-IF(ISNUMBER(K1354),K1354,0),""),"")</f>
        <v/>
      </c>
    </row>
    <row r="1355" ht="24" customHeight="1" s="63">
      <c r="E1355" s="139" t="n"/>
      <c r="F1355" s="139" t="n"/>
      <c r="G1355" s="140">
        <f>IFERROR(IF(E1355&gt;0,(F1355/E1355)*1000,""),"")</f>
        <v/>
      </c>
      <c r="H1355" s="139">
        <f>IFERROR(IF(E1355&gt;0,E1355*IF(ISNUMBER(J1355),J1355,IF(C1355="Futures",$C$6,$C$5)),""),"")</f>
        <v/>
      </c>
      <c r="I1355" s="139">
        <f>IFERROR(IF(AND(ISNUMBER(F1355),ISNUMBER(H1355)),F1355-H1355,""),"")</f>
        <v/>
      </c>
      <c r="J1355" s="114" t="n"/>
      <c r="K1355" s="139">
        <f>IFERROR(IF(H1355&gt;0,H1355*$C$7,""),"")</f>
        <v/>
      </c>
      <c r="L1355" s="139">
        <f>IFERROR(IF(ISNUMBER(F1355),F1355-IF(ISNUMBER(K1355),K1355,0),""),"")</f>
        <v/>
      </c>
    </row>
    <row r="1356" ht="24" customHeight="1" s="63">
      <c r="E1356" s="139" t="n"/>
      <c r="F1356" s="139" t="n"/>
      <c r="G1356" s="140">
        <f>IFERROR(IF(E1356&gt;0,(F1356/E1356)*1000,""),"")</f>
        <v/>
      </c>
      <c r="H1356" s="139">
        <f>IFERROR(IF(E1356&gt;0,E1356*IF(ISNUMBER(J1356),J1356,IF(C1356="Futures",$C$6,$C$5)),""),"")</f>
        <v/>
      </c>
      <c r="I1356" s="139">
        <f>IFERROR(IF(AND(ISNUMBER(F1356),ISNUMBER(H1356)),F1356-H1356,""),"")</f>
        <v/>
      </c>
      <c r="J1356" s="114" t="n"/>
      <c r="K1356" s="139">
        <f>IFERROR(IF(H1356&gt;0,H1356*$C$7,""),"")</f>
        <v/>
      </c>
      <c r="L1356" s="139">
        <f>IFERROR(IF(ISNUMBER(F1356),F1356-IF(ISNUMBER(K1356),K1356,0),""),"")</f>
        <v/>
      </c>
    </row>
    <row r="1357" ht="24" customHeight="1" s="63">
      <c r="E1357" s="139" t="n"/>
      <c r="F1357" s="139" t="n"/>
      <c r="G1357" s="140">
        <f>IFERROR(IF(E1357&gt;0,(F1357/E1357)*1000,""),"")</f>
        <v/>
      </c>
      <c r="H1357" s="139">
        <f>IFERROR(IF(E1357&gt;0,E1357*IF(ISNUMBER(J1357),J1357,IF(C1357="Futures",$C$6,$C$5)),""),"")</f>
        <v/>
      </c>
      <c r="I1357" s="139">
        <f>IFERROR(IF(AND(ISNUMBER(F1357),ISNUMBER(H1357)),F1357-H1357,""),"")</f>
        <v/>
      </c>
      <c r="J1357" s="114" t="n"/>
      <c r="K1357" s="139">
        <f>IFERROR(IF(H1357&gt;0,H1357*$C$7,""),"")</f>
        <v/>
      </c>
      <c r="L1357" s="139">
        <f>IFERROR(IF(ISNUMBER(F1357),F1357-IF(ISNUMBER(K1357),K1357,0),""),"")</f>
        <v/>
      </c>
    </row>
    <row r="1358" ht="24" customHeight="1" s="63">
      <c r="E1358" s="139" t="n"/>
      <c r="F1358" s="139" t="n"/>
      <c r="G1358" s="140">
        <f>IFERROR(IF(E1358&gt;0,(F1358/E1358)*1000,""),"")</f>
        <v/>
      </c>
      <c r="H1358" s="139">
        <f>IFERROR(IF(E1358&gt;0,E1358*IF(ISNUMBER(J1358),J1358,IF(C1358="Futures",$C$6,$C$5)),""),"")</f>
        <v/>
      </c>
      <c r="I1358" s="139">
        <f>IFERROR(IF(AND(ISNUMBER(F1358),ISNUMBER(H1358)),F1358-H1358,""),"")</f>
        <v/>
      </c>
      <c r="J1358" s="114" t="n"/>
      <c r="K1358" s="139">
        <f>IFERROR(IF(H1358&gt;0,H1358*$C$7,""),"")</f>
        <v/>
      </c>
      <c r="L1358" s="139">
        <f>IFERROR(IF(ISNUMBER(F1358),F1358-IF(ISNUMBER(K1358),K1358,0),""),"")</f>
        <v/>
      </c>
    </row>
    <row r="1359" ht="24" customHeight="1" s="63">
      <c r="E1359" s="139" t="n"/>
      <c r="F1359" s="139" t="n"/>
      <c r="G1359" s="140">
        <f>IFERROR(IF(E1359&gt;0,(F1359/E1359)*1000,""),"")</f>
        <v/>
      </c>
      <c r="H1359" s="139">
        <f>IFERROR(IF(E1359&gt;0,E1359*IF(ISNUMBER(J1359),J1359,IF(C1359="Futures",$C$6,$C$5)),""),"")</f>
        <v/>
      </c>
      <c r="I1359" s="139">
        <f>IFERROR(IF(AND(ISNUMBER(F1359),ISNUMBER(H1359)),F1359-H1359,""),"")</f>
        <v/>
      </c>
      <c r="J1359" s="114" t="n"/>
      <c r="K1359" s="139">
        <f>IFERROR(IF(H1359&gt;0,H1359*$C$7,""),"")</f>
        <v/>
      </c>
      <c r="L1359" s="139">
        <f>IFERROR(IF(ISNUMBER(F1359),F1359-IF(ISNUMBER(K1359),K1359,0),""),"")</f>
        <v/>
      </c>
    </row>
    <row r="1360" ht="24" customHeight="1" s="63">
      <c r="E1360" s="139" t="n"/>
      <c r="F1360" s="139" t="n"/>
      <c r="G1360" s="140">
        <f>IFERROR(IF(E1360&gt;0,(F1360/E1360)*1000,""),"")</f>
        <v/>
      </c>
      <c r="H1360" s="139">
        <f>IFERROR(IF(E1360&gt;0,E1360*IF(ISNUMBER(J1360),J1360,IF(C1360="Futures",$C$6,$C$5)),""),"")</f>
        <v/>
      </c>
      <c r="I1360" s="139">
        <f>IFERROR(IF(AND(ISNUMBER(F1360),ISNUMBER(H1360)),F1360-H1360,""),"")</f>
        <v/>
      </c>
      <c r="J1360" s="114" t="n"/>
      <c r="K1360" s="139">
        <f>IFERROR(IF(H1360&gt;0,H1360*$C$7,""),"")</f>
        <v/>
      </c>
      <c r="L1360" s="139">
        <f>IFERROR(IF(ISNUMBER(F1360),F1360-IF(ISNUMBER(K1360),K1360,0),""),"")</f>
        <v/>
      </c>
    </row>
    <row r="1361" ht="24" customHeight="1" s="63">
      <c r="E1361" s="139" t="n"/>
      <c r="F1361" s="139" t="n"/>
      <c r="G1361" s="140">
        <f>IFERROR(IF(E1361&gt;0,(F1361/E1361)*1000,""),"")</f>
        <v/>
      </c>
      <c r="H1361" s="139">
        <f>IFERROR(IF(E1361&gt;0,E1361*IF(ISNUMBER(J1361),J1361,IF(C1361="Futures",$C$6,$C$5)),""),"")</f>
        <v/>
      </c>
      <c r="I1361" s="139">
        <f>IFERROR(IF(AND(ISNUMBER(F1361),ISNUMBER(H1361)),F1361-H1361,""),"")</f>
        <v/>
      </c>
      <c r="J1361" s="114" t="n"/>
      <c r="K1361" s="139">
        <f>IFERROR(IF(H1361&gt;0,H1361*$C$7,""),"")</f>
        <v/>
      </c>
      <c r="L1361" s="139">
        <f>IFERROR(IF(ISNUMBER(F1361),F1361-IF(ISNUMBER(K1361),K1361,0),""),"")</f>
        <v/>
      </c>
    </row>
    <row r="1362" ht="24" customHeight="1" s="63">
      <c r="E1362" s="139" t="n"/>
      <c r="F1362" s="139" t="n"/>
      <c r="G1362" s="140">
        <f>IFERROR(IF(E1362&gt;0,(F1362/E1362)*1000,""),"")</f>
        <v/>
      </c>
      <c r="H1362" s="139">
        <f>IFERROR(IF(E1362&gt;0,E1362*IF(ISNUMBER(J1362),J1362,IF(C1362="Futures",$C$6,$C$5)),""),"")</f>
        <v/>
      </c>
      <c r="I1362" s="139">
        <f>IFERROR(IF(AND(ISNUMBER(F1362),ISNUMBER(H1362)),F1362-H1362,""),"")</f>
        <v/>
      </c>
      <c r="J1362" s="114" t="n"/>
      <c r="K1362" s="139">
        <f>IFERROR(IF(H1362&gt;0,H1362*$C$7,""),"")</f>
        <v/>
      </c>
      <c r="L1362" s="139">
        <f>IFERROR(IF(ISNUMBER(F1362),F1362-IF(ISNUMBER(K1362),K1362,0),""),"")</f>
        <v/>
      </c>
    </row>
    <row r="1363" ht="24" customHeight="1" s="63">
      <c r="E1363" s="139" t="n"/>
      <c r="F1363" s="139" t="n"/>
      <c r="G1363" s="140">
        <f>IFERROR(IF(E1363&gt;0,(F1363/E1363)*1000,""),"")</f>
        <v/>
      </c>
      <c r="H1363" s="139">
        <f>IFERROR(IF(E1363&gt;0,E1363*IF(ISNUMBER(J1363),J1363,IF(C1363="Futures",$C$6,$C$5)),""),"")</f>
        <v/>
      </c>
      <c r="I1363" s="139">
        <f>IFERROR(IF(AND(ISNUMBER(F1363),ISNUMBER(H1363)),F1363-H1363,""),"")</f>
        <v/>
      </c>
      <c r="J1363" s="114" t="n"/>
      <c r="K1363" s="139">
        <f>IFERROR(IF(H1363&gt;0,H1363*$C$7,""),"")</f>
        <v/>
      </c>
      <c r="L1363" s="139">
        <f>IFERROR(IF(ISNUMBER(F1363),F1363-IF(ISNUMBER(K1363),K1363,0),""),"")</f>
        <v/>
      </c>
    </row>
    <row r="1364" ht="24" customHeight="1" s="63">
      <c r="E1364" s="139" t="n"/>
      <c r="F1364" s="139" t="n"/>
      <c r="G1364" s="140">
        <f>IFERROR(IF(E1364&gt;0,(F1364/E1364)*1000,""),"")</f>
        <v/>
      </c>
      <c r="H1364" s="139">
        <f>IFERROR(IF(E1364&gt;0,E1364*IF(ISNUMBER(J1364),J1364,IF(C1364="Futures",$C$6,$C$5)),""),"")</f>
        <v/>
      </c>
      <c r="I1364" s="139">
        <f>IFERROR(IF(AND(ISNUMBER(F1364),ISNUMBER(H1364)),F1364-H1364,""),"")</f>
        <v/>
      </c>
      <c r="J1364" s="114" t="n"/>
      <c r="K1364" s="139">
        <f>IFERROR(IF(H1364&gt;0,H1364*$C$7,""),"")</f>
        <v/>
      </c>
      <c r="L1364" s="139">
        <f>IFERROR(IF(ISNUMBER(F1364),F1364-IF(ISNUMBER(K1364),K1364,0),""),"")</f>
        <v/>
      </c>
    </row>
    <row r="1365" ht="24" customHeight="1" s="63">
      <c r="E1365" s="139" t="n"/>
      <c r="F1365" s="139" t="n"/>
      <c r="G1365" s="140">
        <f>IFERROR(IF(E1365&gt;0,(F1365/E1365)*1000,""),"")</f>
        <v/>
      </c>
      <c r="H1365" s="139">
        <f>IFERROR(IF(E1365&gt;0,E1365*IF(ISNUMBER(J1365),J1365,IF(C1365="Futures",$C$6,$C$5)),""),"")</f>
        <v/>
      </c>
      <c r="I1365" s="139">
        <f>IFERROR(IF(AND(ISNUMBER(F1365),ISNUMBER(H1365)),F1365-H1365,""),"")</f>
        <v/>
      </c>
      <c r="J1365" s="114" t="n"/>
      <c r="K1365" s="139">
        <f>IFERROR(IF(H1365&gt;0,H1365*$C$7,""),"")</f>
        <v/>
      </c>
      <c r="L1365" s="139">
        <f>IFERROR(IF(ISNUMBER(F1365),F1365-IF(ISNUMBER(K1365),K1365,0),""),"")</f>
        <v/>
      </c>
    </row>
    <row r="1366" ht="24" customHeight="1" s="63">
      <c r="E1366" s="139" t="n"/>
      <c r="F1366" s="139" t="n"/>
      <c r="G1366" s="140">
        <f>IFERROR(IF(E1366&gt;0,(F1366/E1366)*1000,""),"")</f>
        <v/>
      </c>
      <c r="H1366" s="139">
        <f>IFERROR(IF(E1366&gt;0,E1366*IF(ISNUMBER(J1366),J1366,IF(C1366="Futures",$C$6,$C$5)),""),"")</f>
        <v/>
      </c>
      <c r="I1366" s="139">
        <f>IFERROR(IF(AND(ISNUMBER(F1366),ISNUMBER(H1366)),F1366-H1366,""),"")</f>
        <v/>
      </c>
      <c r="J1366" s="114" t="n"/>
      <c r="K1366" s="139">
        <f>IFERROR(IF(H1366&gt;0,H1366*$C$7,""),"")</f>
        <v/>
      </c>
      <c r="L1366" s="139">
        <f>IFERROR(IF(ISNUMBER(F1366),F1366-IF(ISNUMBER(K1366),K1366,0),""),"")</f>
        <v/>
      </c>
    </row>
    <row r="1367" ht="24" customHeight="1" s="63">
      <c r="E1367" s="139" t="n"/>
      <c r="F1367" s="139" t="n"/>
      <c r="G1367" s="140">
        <f>IFERROR(IF(E1367&gt;0,(F1367/E1367)*1000,""),"")</f>
        <v/>
      </c>
      <c r="H1367" s="139">
        <f>IFERROR(IF(E1367&gt;0,E1367*IF(ISNUMBER(J1367),J1367,IF(C1367="Futures",$C$6,$C$5)),""),"")</f>
        <v/>
      </c>
      <c r="I1367" s="139">
        <f>IFERROR(IF(AND(ISNUMBER(F1367),ISNUMBER(H1367)),F1367-H1367,""),"")</f>
        <v/>
      </c>
      <c r="J1367" s="114" t="n"/>
      <c r="K1367" s="139">
        <f>IFERROR(IF(H1367&gt;0,H1367*$C$7,""),"")</f>
        <v/>
      </c>
      <c r="L1367" s="139">
        <f>IFERROR(IF(ISNUMBER(F1367),F1367-IF(ISNUMBER(K1367),K1367,0),""),"")</f>
        <v/>
      </c>
    </row>
    <row r="1368" ht="24" customHeight="1" s="63">
      <c r="E1368" s="139" t="n"/>
      <c r="F1368" s="139" t="n"/>
      <c r="G1368" s="140">
        <f>IFERROR(IF(E1368&gt;0,(F1368/E1368)*1000,""),"")</f>
        <v/>
      </c>
      <c r="H1368" s="139">
        <f>IFERROR(IF(E1368&gt;0,E1368*IF(ISNUMBER(J1368),J1368,IF(C1368="Futures",$C$6,$C$5)),""),"")</f>
        <v/>
      </c>
      <c r="I1368" s="139">
        <f>IFERROR(IF(AND(ISNUMBER(F1368),ISNUMBER(H1368)),F1368-H1368,""),"")</f>
        <v/>
      </c>
      <c r="J1368" s="114" t="n"/>
      <c r="K1368" s="139">
        <f>IFERROR(IF(H1368&gt;0,H1368*$C$7,""),"")</f>
        <v/>
      </c>
      <c r="L1368" s="139">
        <f>IFERROR(IF(ISNUMBER(F1368),F1368-IF(ISNUMBER(K1368),K1368,0),""),"")</f>
        <v/>
      </c>
    </row>
    <row r="1369" ht="24" customHeight="1" s="63">
      <c r="E1369" s="139" t="n"/>
      <c r="F1369" s="139" t="n"/>
      <c r="G1369" s="140">
        <f>IFERROR(IF(E1369&gt;0,(F1369/E1369)*1000,""),"")</f>
        <v/>
      </c>
      <c r="H1369" s="139">
        <f>IFERROR(IF(E1369&gt;0,E1369*IF(ISNUMBER(J1369),J1369,IF(C1369="Futures",$C$6,$C$5)),""),"")</f>
        <v/>
      </c>
      <c r="I1369" s="139">
        <f>IFERROR(IF(AND(ISNUMBER(F1369),ISNUMBER(H1369)),F1369-H1369,""),"")</f>
        <v/>
      </c>
      <c r="J1369" s="114" t="n"/>
      <c r="K1369" s="139">
        <f>IFERROR(IF(H1369&gt;0,H1369*$C$7,""),"")</f>
        <v/>
      </c>
      <c r="L1369" s="139">
        <f>IFERROR(IF(ISNUMBER(F1369),F1369-IF(ISNUMBER(K1369),K1369,0),""),"")</f>
        <v/>
      </c>
    </row>
    <row r="1370" ht="24" customHeight="1" s="63">
      <c r="E1370" s="139" t="n"/>
      <c r="F1370" s="139" t="n"/>
      <c r="G1370" s="140">
        <f>IFERROR(IF(E1370&gt;0,(F1370/E1370)*1000,""),"")</f>
        <v/>
      </c>
      <c r="H1370" s="139">
        <f>IFERROR(IF(E1370&gt;0,E1370*IF(ISNUMBER(J1370),J1370,IF(C1370="Futures",$C$6,$C$5)),""),"")</f>
        <v/>
      </c>
      <c r="I1370" s="139">
        <f>IFERROR(IF(AND(ISNUMBER(F1370),ISNUMBER(H1370)),F1370-H1370,""),"")</f>
        <v/>
      </c>
      <c r="J1370" s="114" t="n"/>
      <c r="K1370" s="139">
        <f>IFERROR(IF(H1370&gt;0,H1370*$C$7,""),"")</f>
        <v/>
      </c>
      <c r="L1370" s="139">
        <f>IFERROR(IF(ISNUMBER(F1370),F1370-IF(ISNUMBER(K1370),K1370,0),""),"")</f>
        <v/>
      </c>
    </row>
    <row r="1371" ht="24" customHeight="1" s="63">
      <c r="E1371" s="139" t="n"/>
      <c r="F1371" s="139" t="n"/>
      <c r="G1371" s="140">
        <f>IFERROR(IF(E1371&gt;0,(F1371/E1371)*1000,""),"")</f>
        <v/>
      </c>
      <c r="H1371" s="139">
        <f>IFERROR(IF(E1371&gt;0,E1371*IF(ISNUMBER(J1371),J1371,IF(C1371="Futures",$C$6,$C$5)),""),"")</f>
        <v/>
      </c>
      <c r="I1371" s="139">
        <f>IFERROR(IF(AND(ISNUMBER(F1371),ISNUMBER(H1371)),F1371-H1371,""),"")</f>
        <v/>
      </c>
      <c r="J1371" s="114" t="n"/>
      <c r="K1371" s="139">
        <f>IFERROR(IF(H1371&gt;0,H1371*$C$7,""),"")</f>
        <v/>
      </c>
      <c r="L1371" s="139">
        <f>IFERROR(IF(ISNUMBER(F1371),F1371-IF(ISNUMBER(K1371),K1371,0),""),"")</f>
        <v/>
      </c>
    </row>
    <row r="1372" ht="24" customHeight="1" s="63">
      <c r="E1372" s="139" t="n"/>
      <c r="F1372" s="139" t="n"/>
      <c r="G1372" s="140">
        <f>IFERROR(IF(E1372&gt;0,(F1372/E1372)*1000,""),"")</f>
        <v/>
      </c>
      <c r="H1372" s="139">
        <f>IFERROR(IF(E1372&gt;0,E1372*IF(ISNUMBER(J1372),J1372,IF(C1372="Futures",$C$6,$C$5)),""),"")</f>
        <v/>
      </c>
      <c r="I1372" s="139">
        <f>IFERROR(IF(AND(ISNUMBER(F1372),ISNUMBER(H1372)),F1372-H1372,""),"")</f>
        <v/>
      </c>
      <c r="J1372" s="114" t="n"/>
      <c r="K1372" s="139">
        <f>IFERROR(IF(H1372&gt;0,H1372*$C$7,""),"")</f>
        <v/>
      </c>
      <c r="L1372" s="139">
        <f>IFERROR(IF(ISNUMBER(F1372),F1372-IF(ISNUMBER(K1372),K1372,0),""),"")</f>
        <v/>
      </c>
    </row>
    <row r="1373" ht="24" customHeight="1" s="63">
      <c r="E1373" s="139" t="n"/>
      <c r="F1373" s="139" t="n"/>
      <c r="G1373" s="140">
        <f>IFERROR(IF(E1373&gt;0,(F1373/E1373)*1000,""),"")</f>
        <v/>
      </c>
      <c r="H1373" s="139">
        <f>IFERROR(IF(E1373&gt;0,E1373*IF(ISNUMBER(J1373),J1373,IF(C1373="Futures",$C$6,$C$5)),""),"")</f>
        <v/>
      </c>
      <c r="I1373" s="139">
        <f>IFERROR(IF(AND(ISNUMBER(F1373),ISNUMBER(H1373)),F1373-H1373,""),"")</f>
        <v/>
      </c>
      <c r="J1373" s="114" t="n"/>
      <c r="K1373" s="139">
        <f>IFERROR(IF(H1373&gt;0,H1373*$C$7,""),"")</f>
        <v/>
      </c>
      <c r="L1373" s="139">
        <f>IFERROR(IF(ISNUMBER(F1373),F1373-IF(ISNUMBER(K1373),K1373,0),""),"")</f>
        <v/>
      </c>
    </row>
    <row r="1374" ht="24" customHeight="1" s="63">
      <c r="E1374" s="139" t="n"/>
      <c r="F1374" s="139" t="n"/>
      <c r="G1374" s="140">
        <f>IFERROR(IF(E1374&gt;0,(F1374/E1374)*1000,""),"")</f>
        <v/>
      </c>
      <c r="H1374" s="139">
        <f>IFERROR(IF(E1374&gt;0,E1374*IF(ISNUMBER(J1374),J1374,IF(C1374="Futures",$C$6,$C$5)),""),"")</f>
        <v/>
      </c>
      <c r="I1374" s="139">
        <f>IFERROR(IF(AND(ISNUMBER(F1374),ISNUMBER(H1374)),F1374-H1374,""),"")</f>
        <v/>
      </c>
      <c r="J1374" s="114" t="n"/>
      <c r="K1374" s="139">
        <f>IFERROR(IF(H1374&gt;0,H1374*$C$7,""),"")</f>
        <v/>
      </c>
      <c r="L1374" s="139">
        <f>IFERROR(IF(ISNUMBER(F1374),F1374-IF(ISNUMBER(K1374),K1374,0),""),"")</f>
        <v/>
      </c>
    </row>
    <row r="1375" ht="24" customHeight="1" s="63">
      <c r="E1375" s="139" t="n"/>
      <c r="F1375" s="139" t="n"/>
      <c r="G1375" s="140">
        <f>IFERROR(IF(E1375&gt;0,(F1375/E1375)*1000,""),"")</f>
        <v/>
      </c>
      <c r="H1375" s="139">
        <f>IFERROR(IF(E1375&gt;0,E1375*IF(ISNUMBER(J1375),J1375,IF(C1375="Futures",$C$6,$C$5)),""),"")</f>
        <v/>
      </c>
      <c r="I1375" s="139">
        <f>IFERROR(IF(AND(ISNUMBER(F1375),ISNUMBER(H1375)),F1375-H1375,""),"")</f>
        <v/>
      </c>
      <c r="J1375" s="114" t="n"/>
      <c r="K1375" s="139">
        <f>IFERROR(IF(H1375&gt;0,H1375*$C$7,""),"")</f>
        <v/>
      </c>
      <c r="L1375" s="139">
        <f>IFERROR(IF(ISNUMBER(F1375),F1375-IF(ISNUMBER(K1375),K1375,0),""),"")</f>
        <v/>
      </c>
    </row>
    <row r="1376" ht="24" customHeight="1" s="63">
      <c r="E1376" s="139" t="n"/>
      <c r="F1376" s="139" t="n"/>
      <c r="G1376" s="140">
        <f>IFERROR(IF(E1376&gt;0,(F1376/E1376)*1000,""),"")</f>
        <v/>
      </c>
      <c r="H1376" s="139">
        <f>IFERROR(IF(E1376&gt;0,E1376*IF(ISNUMBER(J1376),J1376,IF(C1376="Futures",$C$6,$C$5)),""),"")</f>
        <v/>
      </c>
      <c r="I1376" s="139">
        <f>IFERROR(IF(AND(ISNUMBER(F1376),ISNUMBER(H1376)),F1376-H1376,""),"")</f>
        <v/>
      </c>
      <c r="J1376" s="114" t="n"/>
      <c r="K1376" s="139">
        <f>IFERROR(IF(H1376&gt;0,H1376*$C$7,""),"")</f>
        <v/>
      </c>
      <c r="L1376" s="139">
        <f>IFERROR(IF(ISNUMBER(F1376),F1376-IF(ISNUMBER(K1376),K1376,0),""),"")</f>
        <v/>
      </c>
    </row>
    <row r="1377" ht="24" customHeight="1" s="63">
      <c r="E1377" s="139" t="n"/>
      <c r="F1377" s="139" t="n"/>
      <c r="G1377" s="140">
        <f>IFERROR(IF(E1377&gt;0,(F1377/E1377)*1000,""),"")</f>
        <v/>
      </c>
      <c r="H1377" s="139">
        <f>IFERROR(IF(E1377&gt;0,E1377*IF(ISNUMBER(J1377),J1377,IF(C1377="Futures",$C$6,$C$5)),""),"")</f>
        <v/>
      </c>
      <c r="I1377" s="139">
        <f>IFERROR(IF(AND(ISNUMBER(F1377),ISNUMBER(H1377)),F1377-H1377,""),"")</f>
        <v/>
      </c>
      <c r="J1377" s="114" t="n"/>
      <c r="K1377" s="139">
        <f>IFERROR(IF(H1377&gt;0,H1377*$C$7,""),"")</f>
        <v/>
      </c>
      <c r="L1377" s="139">
        <f>IFERROR(IF(ISNUMBER(F1377),F1377-IF(ISNUMBER(K1377),K1377,0),""),"")</f>
        <v/>
      </c>
    </row>
    <row r="1378" ht="24" customHeight="1" s="63">
      <c r="E1378" s="139" t="n"/>
      <c r="F1378" s="139" t="n"/>
      <c r="G1378" s="140">
        <f>IFERROR(IF(E1378&gt;0,(F1378/E1378)*1000,""),"")</f>
        <v/>
      </c>
      <c r="H1378" s="139">
        <f>IFERROR(IF(E1378&gt;0,E1378*IF(ISNUMBER(J1378),J1378,IF(C1378="Futures",$C$6,$C$5)),""),"")</f>
        <v/>
      </c>
      <c r="I1378" s="139">
        <f>IFERROR(IF(AND(ISNUMBER(F1378),ISNUMBER(H1378)),F1378-H1378,""),"")</f>
        <v/>
      </c>
      <c r="J1378" s="114" t="n"/>
      <c r="K1378" s="139">
        <f>IFERROR(IF(H1378&gt;0,H1378*$C$7,""),"")</f>
        <v/>
      </c>
      <c r="L1378" s="139">
        <f>IFERROR(IF(ISNUMBER(F1378),F1378-IF(ISNUMBER(K1378),K1378,0),""),"")</f>
        <v/>
      </c>
    </row>
    <row r="1379" ht="24" customHeight="1" s="63">
      <c r="E1379" s="139" t="n"/>
      <c r="F1379" s="139" t="n"/>
      <c r="G1379" s="140">
        <f>IFERROR(IF(E1379&gt;0,(F1379/E1379)*1000,""),"")</f>
        <v/>
      </c>
      <c r="H1379" s="139">
        <f>IFERROR(IF(E1379&gt;0,E1379*IF(ISNUMBER(J1379),J1379,IF(C1379="Futures",$C$6,$C$5)),""),"")</f>
        <v/>
      </c>
      <c r="I1379" s="139">
        <f>IFERROR(IF(AND(ISNUMBER(F1379),ISNUMBER(H1379)),F1379-H1379,""),"")</f>
        <v/>
      </c>
      <c r="J1379" s="114" t="n"/>
      <c r="K1379" s="139">
        <f>IFERROR(IF(H1379&gt;0,H1379*$C$7,""),"")</f>
        <v/>
      </c>
      <c r="L1379" s="139">
        <f>IFERROR(IF(ISNUMBER(F1379),F1379-IF(ISNUMBER(K1379),K1379,0),""),"")</f>
        <v/>
      </c>
    </row>
    <row r="1380" ht="24" customHeight="1" s="63">
      <c r="E1380" s="139" t="n"/>
      <c r="F1380" s="139" t="n"/>
      <c r="G1380" s="140">
        <f>IFERROR(IF(E1380&gt;0,(F1380/E1380)*1000,""),"")</f>
        <v/>
      </c>
      <c r="H1380" s="139">
        <f>IFERROR(IF(E1380&gt;0,E1380*IF(ISNUMBER(J1380),J1380,IF(C1380="Futures",$C$6,$C$5)),""),"")</f>
        <v/>
      </c>
      <c r="I1380" s="139">
        <f>IFERROR(IF(AND(ISNUMBER(F1380),ISNUMBER(H1380)),F1380-H1380,""),"")</f>
        <v/>
      </c>
      <c r="J1380" s="114" t="n"/>
      <c r="K1380" s="139">
        <f>IFERROR(IF(H1380&gt;0,H1380*$C$7,""),"")</f>
        <v/>
      </c>
      <c r="L1380" s="139">
        <f>IFERROR(IF(ISNUMBER(F1380),F1380-IF(ISNUMBER(K1380),K1380,0),""),"")</f>
        <v/>
      </c>
    </row>
    <row r="1381" ht="24" customHeight="1" s="63">
      <c r="E1381" s="139" t="n"/>
      <c r="F1381" s="139" t="n"/>
      <c r="G1381" s="140">
        <f>IFERROR(IF(E1381&gt;0,(F1381/E1381)*1000,""),"")</f>
        <v/>
      </c>
      <c r="H1381" s="139">
        <f>IFERROR(IF(E1381&gt;0,E1381*IF(ISNUMBER(J1381),J1381,IF(C1381="Futures",$C$6,$C$5)),""),"")</f>
        <v/>
      </c>
      <c r="I1381" s="139">
        <f>IFERROR(IF(AND(ISNUMBER(F1381),ISNUMBER(H1381)),F1381-H1381,""),"")</f>
        <v/>
      </c>
      <c r="J1381" s="114" t="n"/>
      <c r="K1381" s="139">
        <f>IFERROR(IF(H1381&gt;0,H1381*$C$7,""),"")</f>
        <v/>
      </c>
      <c r="L1381" s="139">
        <f>IFERROR(IF(ISNUMBER(F1381),F1381-IF(ISNUMBER(K1381),K1381,0),""),"")</f>
        <v/>
      </c>
    </row>
    <row r="1382" ht="24" customHeight="1" s="63">
      <c r="E1382" s="139" t="n"/>
      <c r="F1382" s="139" t="n"/>
      <c r="G1382" s="140">
        <f>IFERROR(IF(E1382&gt;0,(F1382/E1382)*1000,""),"")</f>
        <v/>
      </c>
      <c r="H1382" s="139">
        <f>IFERROR(IF(E1382&gt;0,E1382*IF(ISNUMBER(J1382),J1382,IF(C1382="Futures",$C$6,$C$5)),""),"")</f>
        <v/>
      </c>
      <c r="I1382" s="139">
        <f>IFERROR(IF(AND(ISNUMBER(F1382),ISNUMBER(H1382)),F1382-H1382,""),"")</f>
        <v/>
      </c>
      <c r="J1382" s="114" t="n"/>
      <c r="K1382" s="139">
        <f>IFERROR(IF(H1382&gt;0,H1382*$C$7,""),"")</f>
        <v/>
      </c>
      <c r="L1382" s="139">
        <f>IFERROR(IF(ISNUMBER(F1382),F1382-IF(ISNUMBER(K1382),K1382,0),""),"")</f>
        <v/>
      </c>
    </row>
    <row r="1383" ht="24" customHeight="1" s="63">
      <c r="E1383" s="139" t="n"/>
      <c r="F1383" s="139" t="n"/>
      <c r="G1383" s="140">
        <f>IFERROR(IF(E1383&gt;0,(F1383/E1383)*1000,""),"")</f>
        <v/>
      </c>
      <c r="H1383" s="139">
        <f>IFERROR(IF(E1383&gt;0,E1383*IF(ISNUMBER(J1383),J1383,IF(C1383="Futures",$C$6,$C$5)),""),"")</f>
        <v/>
      </c>
      <c r="I1383" s="139">
        <f>IFERROR(IF(AND(ISNUMBER(F1383),ISNUMBER(H1383)),F1383-H1383,""),"")</f>
        <v/>
      </c>
      <c r="J1383" s="114" t="n"/>
      <c r="K1383" s="139">
        <f>IFERROR(IF(H1383&gt;0,H1383*$C$7,""),"")</f>
        <v/>
      </c>
      <c r="L1383" s="139">
        <f>IFERROR(IF(ISNUMBER(F1383),F1383-IF(ISNUMBER(K1383),K1383,0),""),"")</f>
        <v/>
      </c>
    </row>
    <row r="1384" ht="24" customHeight="1" s="63">
      <c r="E1384" s="139" t="n"/>
      <c r="F1384" s="139" t="n"/>
      <c r="G1384" s="140">
        <f>IFERROR(IF(E1384&gt;0,(F1384/E1384)*1000,""),"")</f>
        <v/>
      </c>
      <c r="H1384" s="139">
        <f>IFERROR(IF(E1384&gt;0,E1384*IF(ISNUMBER(J1384),J1384,IF(C1384="Futures",$C$6,$C$5)),""),"")</f>
        <v/>
      </c>
      <c r="I1384" s="139">
        <f>IFERROR(IF(AND(ISNUMBER(F1384),ISNUMBER(H1384)),F1384-H1384,""),"")</f>
        <v/>
      </c>
      <c r="J1384" s="114" t="n"/>
      <c r="K1384" s="139">
        <f>IFERROR(IF(H1384&gt;0,H1384*$C$7,""),"")</f>
        <v/>
      </c>
      <c r="L1384" s="139">
        <f>IFERROR(IF(ISNUMBER(F1384),F1384-IF(ISNUMBER(K1384),K1384,0),""),"")</f>
        <v/>
      </c>
    </row>
    <row r="1385" ht="24" customHeight="1" s="63">
      <c r="E1385" s="139" t="n"/>
      <c r="F1385" s="139" t="n"/>
      <c r="G1385" s="140">
        <f>IFERROR(IF(E1385&gt;0,(F1385/E1385)*1000,""),"")</f>
        <v/>
      </c>
      <c r="H1385" s="139">
        <f>IFERROR(IF(E1385&gt;0,E1385*IF(ISNUMBER(J1385),J1385,IF(C1385="Futures",$C$6,$C$5)),""),"")</f>
        <v/>
      </c>
      <c r="I1385" s="139">
        <f>IFERROR(IF(AND(ISNUMBER(F1385),ISNUMBER(H1385)),F1385-H1385,""),"")</f>
        <v/>
      </c>
      <c r="J1385" s="114" t="n"/>
      <c r="K1385" s="139">
        <f>IFERROR(IF(H1385&gt;0,H1385*$C$7,""),"")</f>
        <v/>
      </c>
      <c r="L1385" s="139">
        <f>IFERROR(IF(ISNUMBER(F1385),F1385-IF(ISNUMBER(K1385),K1385,0),""),"")</f>
        <v/>
      </c>
    </row>
    <row r="1386" ht="24" customHeight="1" s="63">
      <c r="E1386" s="139" t="n"/>
      <c r="F1386" s="139" t="n"/>
      <c r="G1386" s="140">
        <f>IFERROR(IF(E1386&gt;0,(F1386/E1386)*1000,""),"")</f>
        <v/>
      </c>
      <c r="H1386" s="139">
        <f>IFERROR(IF(E1386&gt;0,E1386*IF(ISNUMBER(J1386),J1386,IF(C1386="Futures",$C$6,$C$5)),""),"")</f>
        <v/>
      </c>
      <c r="I1386" s="139">
        <f>IFERROR(IF(AND(ISNUMBER(F1386),ISNUMBER(H1386)),F1386-H1386,""),"")</f>
        <v/>
      </c>
      <c r="J1386" s="114" t="n"/>
      <c r="K1386" s="139">
        <f>IFERROR(IF(H1386&gt;0,H1386*$C$7,""),"")</f>
        <v/>
      </c>
      <c r="L1386" s="139">
        <f>IFERROR(IF(ISNUMBER(F1386),F1386-IF(ISNUMBER(K1386),K1386,0),""),"")</f>
        <v/>
      </c>
    </row>
    <row r="1387" ht="24" customHeight="1" s="63">
      <c r="E1387" s="139" t="n"/>
      <c r="F1387" s="139" t="n"/>
      <c r="G1387" s="140">
        <f>IFERROR(IF(E1387&gt;0,(F1387/E1387)*1000,""),"")</f>
        <v/>
      </c>
      <c r="H1387" s="139">
        <f>IFERROR(IF(E1387&gt;0,E1387*IF(ISNUMBER(J1387),J1387,IF(C1387="Futures",$C$6,$C$5)),""),"")</f>
        <v/>
      </c>
      <c r="I1387" s="139">
        <f>IFERROR(IF(AND(ISNUMBER(F1387),ISNUMBER(H1387)),F1387-H1387,""),"")</f>
        <v/>
      </c>
      <c r="J1387" s="114" t="n"/>
      <c r="K1387" s="139">
        <f>IFERROR(IF(H1387&gt;0,H1387*$C$7,""),"")</f>
        <v/>
      </c>
      <c r="L1387" s="139">
        <f>IFERROR(IF(ISNUMBER(F1387),F1387-IF(ISNUMBER(K1387),K1387,0),""),"")</f>
        <v/>
      </c>
    </row>
    <row r="1388" ht="24" customHeight="1" s="63">
      <c r="E1388" s="139" t="n"/>
      <c r="F1388" s="139" t="n"/>
      <c r="G1388" s="140">
        <f>IFERROR(IF(E1388&gt;0,(F1388/E1388)*1000,""),"")</f>
        <v/>
      </c>
      <c r="H1388" s="139">
        <f>IFERROR(IF(E1388&gt;0,E1388*IF(ISNUMBER(J1388),J1388,IF(C1388="Futures",$C$6,$C$5)),""),"")</f>
        <v/>
      </c>
      <c r="I1388" s="139">
        <f>IFERROR(IF(AND(ISNUMBER(F1388),ISNUMBER(H1388)),F1388-H1388,""),"")</f>
        <v/>
      </c>
      <c r="J1388" s="114" t="n"/>
      <c r="K1388" s="139">
        <f>IFERROR(IF(H1388&gt;0,H1388*$C$7,""),"")</f>
        <v/>
      </c>
      <c r="L1388" s="139">
        <f>IFERROR(IF(ISNUMBER(F1388),F1388-IF(ISNUMBER(K1388),K1388,0),""),"")</f>
        <v/>
      </c>
    </row>
    <row r="1389" ht="24" customHeight="1" s="63">
      <c r="E1389" s="139" t="n"/>
      <c r="F1389" s="139" t="n"/>
      <c r="G1389" s="140">
        <f>IFERROR(IF(E1389&gt;0,(F1389/E1389)*1000,""),"")</f>
        <v/>
      </c>
      <c r="H1389" s="139">
        <f>IFERROR(IF(E1389&gt;0,E1389*IF(ISNUMBER(J1389),J1389,IF(C1389="Futures",$C$6,$C$5)),""),"")</f>
        <v/>
      </c>
      <c r="I1389" s="139">
        <f>IFERROR(IF(AND(ISNUMBER(F1389),ISNUMBER(H1389)),F1389-H1389,""),"")</f>
        <v/>
      </c>
      <c r="J1389" s="114" t="n"/>
      <c r="K1389" s="139">
        <f>IFERROR(IF(H1389&gt;0,H1389*$C$7,""),"")</f>
        <v/>
      </c>
      <c r="L1389" s="139">
        <f>IFERROR(IF(ISNUMBER(F1389),F1389-IF(ISNUMBER(K1389),K1389,0),""),"")</f>
        <v/>
      </c>
    </row>
    <row r="1390" ht="24" customHeight="1" s="63">
      <c r="E1390" s="139" t="n"/>
      <c r="F1390" s="139" t="n"/>
      <c r="G1390" s="140">
        <f>IFERROR(IF(E1390&gt;0,(F1390/E1390)*1000,""),"")</f>
        <v/>
      </c>
      <c r="H1390" s="139">
        <f>IFERROR(IF(E1390&gt;0,E1390*IF(ISNUMBER(J1390),J1390,IF(C1390="Futures",$C$6,$C$5)),""),"")</f>
        <v/>
      </c>
      <c r="I1390" s="139">
        <f>IFERROR(IF(AND(ISNUMBER(F1390),ISNUMBER(H1390)),F1390-H1390,""),"")</f>
        <v/>
      </c>
      <c r="J1390" s="114" t="n"/>
      <c r="K1390" s="139">
        <f>IFERROR(IF(H1390&gt;0,H1390*$C$7,""),"")</f>
        <v/>
      </c>
      <c r="L1390" s="139">
        <f>IFERROR(IF(ISNUMBER(F1390),F1390-IF(ISNUMBER(K1390),K1390,0),""),"")</f>
        <v/>
      </c>
    </row>
    <row r="1391" ht="24" customHeight="1" s="63">
      <c r="E1391" s="139" t="n"/>
      <c r="F1391" s="139" t="n"/>
      <c r="G1391" s="140">
        <f>IFERROR(IF(E1391&gt;0,(F1391/E1391)*1000,""),"")</f>
        <v/>
      </c>
      <c r="H1391" s="139">
        <f>IFERROR(IF(E1391&gt;0,E1391*IF(ISNUMBER(J1391),J1391,IF(C1391="Futures",$C$6,$C$5)),""),"")</f>
        <v/>
      </c>
      <c r="I1391" s="139">
        <f>IFERROR(IF(AND(ISNUMBER(F1391),ISNUMBER(H1391)),F1391-H1391,""),"")</f>
        <v/>
      </c>
      <c r="J1391" s="114" t="n"/>
      <c r="K1391" s="139">
        <f>IFERROR(IF(H1391&gt;0,H1391*$C$7,""),"")</f>
        <v/>
      </c>
      <c r="L1391" s="139">
        <f>IFERROR(IF(ISNUMBER(F1391),F1391-IF(ISNUMBER(K1391),K1391,0),""),"")</f>
        <v/>
      </c>
    </row>
    <row r="1392" ht="24" customHeight="1" s="63">
      <c r="E1392" s="139" t="n"/>
      <c r="F1392" s="139" t="n"/>
      <c r="G1392" s="140">
        <f>IFERROR(IF(E1392&gt;0,(F1392/E1392)*1000,""),"")</f>
        <v/>
      </c>
      <c r="H1392" s="139">
        <f>IFERROR(IF(E1392&gt;0,E1392*IF(ISNUMBER(J1392),J1392,IF(C1392="Futures",$C$6,$C$5)),""),"")</f>
        <v/>
      </c>
      <c r="I1392" s="139">
        <f>IFERROR(IF(AND(ISNUMBER(F1392),ISNUMBER(H1392)),F1392-H1392,""),"")</f>
        <v/>
      </c>
      <c r="J1392" s="114" t="n"/>
      <c r="K1392" s="139">
        <f>IFERROR(IF(H1392&gt;0,H1392*$C$7,""),"")</f>
        <v/>
      </c>
      <c r="L1392" s="139">
        <f>IFERROR(IF(ISNUMBER(F1392),F1392-IF(ISNUMBER(K1392),K1392,0),""),"")</f>
        <v/>
      </c>
    </row>
    <row r="1393" ht="24" customHeight="1" s="63">
      <c r="E1393" s="139" t="n"/>
      <c r="F1393" s="139" t="n"/>
      <c r="G1393" s="140">
        <f>IFERROR(IF(E1393&gt;0,(F1393/E1393)*1000,""),"")</f>
        <v/>
      </c>
      <c r="H1393" s="139">
        <f>IFERROR(IF(E1393&gt;0,E1393*IF(ISNUMBER(J1393),J1393,IF(C1393="Futures",$C$6,$C$5)),""),"")</f>
        <v/>
      </c>
      <c r="I1393" s="139">
        <f>IFERROR(IF(AND(ISNUMBER(F1393),ISNUMBER(H1393)),F1393-H1393,""),"")</f>
        <v/>
      </c>
      <c r="J1393" s="114" t="n"/>
      <c r="K1393" s="139">
        <f>IFERROR(IF(H1393&gt;0,H1393*$C$7,""),"")</f>
        <v/>
      </c>
      <c r="L1393" s="139">
        <f>IFERROR(IF(ISNUMBER(F1393),F1393-IF(ISNUMBER(K1393),K1393,0),""),"")</f>
        <v/>
      </c>
    </row>
    <row r="1394" ht="24" customHeight="1" s="63">
      <c r="E1394" s="139" t="n"/>
      <c r="F1394" s="139" t="n"/>
      <c r="G1394" s="140">
        <f>IFERROR(IF(E1394&gt;0,(F1394/E1394)*1000,""),"")</f>
        <v/>
      </c>
      <c r="H1394" s="139">
        <f>IFERROR(IF(E1394&gt;0,E1394*IF(ISNUMBER(J1394),J1394,IF(C1394="Futures",$C$6,$C$5)),""),"")</f>
        <v/>
      </c>
      <c r="I1394" s="139">
        <f>IFERROR(IF(AND(ISNUMBER(F1394),ISNUMBER(H1394)),F1394-H1394,""),"")</f>
        <v/>
      </c>
      <c r="J1394" s="114" t="n"/>
      <c r="K1394" s="139">
        <f>IFERROR(IF(H1394&gt;0,H1394*$C$7,""),"")</f>
        <v/>
      </c>
      <c r="L1394" s="139">
        <f>IFERROR(IF(ISNUMBER(F1394),F1394-IF(ISNUMBER(K1394),K1394,0),""),"")</f>
        <v/>
      </c>
    </row>
    <row r="1395" ht="24" customHeight="1" s="63">
      <c r="E1395" s="139" t="n"/>
      <c r="F1395" s="139" t="n"/>
      <c r="G1395" s="140">
        <f>IFERROR(IF(E1395&gt;0,(F1395/E1395)*1000,""),"")</f>
        <v/>
      </c>
      <c r="H1395" s="139">
        <f>IFERROR(IF(E1395&gt;0,E1395*IF(ISNUMBER(J1395),J1395,IF(C1395="Futures",$C$6,$C$5)),""),"")</f>
        <v/>
      </c>
      <c r="I1395" s="139">
        <f>IFERROR(IF(AND(ISNUMBER(F1395),ISNUMBER(H1395)),F1395-H1395,""),"")</f>
        <v/>
      </c>
      <c r="J1395" s="114" t="n"/>
      <c r="K1395" s="139">
        <f>IFERROR(IF(H1395&gt;0,H1395*$C$7,""),"")</f>
        <v/>
      </c>
      <c r="L1395" s="139">
        <f>IFERROR(IF(ISNUMBER(F1395),F1395-IF(ISNUMBER(K1395),K1395,0),""),"")</f>
        <v/>
      </c>
    </row>
    <row r="1396" ht="24" customHeight="1" s="63">
      <c r="E1396" s="139" t="n"/>
      <c r="F1396" s="139" t="n"/>
      <c r="G1396" s="140">
        <f>IFERROR(IF(E1396&gt;0,(F1396/E1396)*1000,""),"")</f>
        <v/>
      </c>
      <c r="H1396" s="139">
        <f>IFERROR(IF(E1396&gt;0,E1396*IF(ISNUMBER(J1396),J1396,IF(C1396="Futures",$C$6,$C$5)),""),"")</f>
        <v/>
      </c>
      <c r="I1396" s="139">
        <f>IFERROR(IF(AND(ISNUMBER(F1396),ISNUMBER(H1396)),F1396-H1396,""),"")</f>
        <v/>
      </c>
      <c r="J1396" s="114" t="n"/>
      <c r="K1396" s="139">
        <f>IFERROR(IF(H1396&gt;0,H1396*$C$7,""),"")</f>
        <v/>
      </c>
      <c r="L1396" s="139">
        <f>IFERROR(IF(ISNUMBER(F1396),F1396-IF(ISNUMBER(K1396),K1396,0),""),"")</f>
        <v/>
      </c>
    </row>
    <row r="1397" ht="24" customHeight="1" s="63">
      <c r="E1397" s="139" t="n"/>
      <c r="F1397" s="139" t="n"/>
      <c r="G1397" s="140">
        <f>IFERROR(IF(E1397&gt;0,(F1397/E1397)*1000,""),"")</f>
        <v/>
      </c>
      <c r="H1397" s="139">
        <f>IFERROR(IF(E1397&gt;0,E1397*IF(ISNUMBER(J1397),J1397,IF(C1397="Futures",$C$6,$C$5)),""),"")</f>
        <v/>
      </c>
      <c r="I1397" s="139">
        <f>IFERROR(IF(AND(ISNUMBER(F1397),ISNUMBER(H1397)),F1397-H1397,""),"")</f>
        <v/>
      </c>
      <c r="J1397" s="114" t="n"/>
      <c r="K1397" s="139">
        <f>IFERROR(IF(H1397&gt;0,H1397*$C$7,""),"")</f>
        <v/>
      </c>
      <c r="L1397" s="139">
        <f>IFERROR(IF(ISNUMBER(F1397),F1397-IF(ISNUMBER(K1397),K1397,0),""),"")</f>
        <v/>
      </c>
    </row>
    <row r="1398" ht="24" customHeight="1" s="63">
      <c r="E1398" s="139" t="n"/>
      <c r="F1398" s="139" t="n"/>
      <c r="G1398" s="140">
        <f>IFERROR(IF(E1398&gt;0,(F1398/E1398)*1000,""),"")</f>
        <v/>
      </c>
      <c r="H1398" s="139">
        <f>IFERROR(IF(E1398&gt;0,E1398*IF(ISNUMBER(J1398),J1398,IF(C1398="Futures",$C$6,$C$5)),""),"")</f>
        <v/>
      </c>
      <c r="I1398" s="139">
        <f>IFERROR(IF(AND(ISNUMBER(F1398),ISNUMBER(H1398)),F1398-H1398,""),"")</f>
        <v/>
      </c>
      <c r="J1398" s="114" t="n"/>
      <c r="K1398" s="139">
        <f>IFERROR(IF(H1398&gt;0,H1398*$C$7,""),"")</f>
        <v/>
      </c>
      <c r="L1398" s="139">
        <f>IFERROR(IF(ISNUMBER(F1398),F1398-IF(ISNUMBER(K1398),K1398,0),""),"")</f>
        <v/>
      </c>
    </row>
    <row r="1399" ht="24" customHeight="1" s="63">
      <c r="E1399" s="139" t="n"/>
      <c r="F1399" s="139" t="n"/>
      <c r="G1399" s="140">
        <f>IFERROR(IF(E1399&gt;0,(F1399/E1399)*1000,""),"")</f>
        <v/>
      </c>
      <c r="H1399" s="139">
        <f>IFERROR(IF(E1399&gt;0,E1399*IF(ISNUMBER(J1399),J1399,IF(C1399="Futures",$C$6,$C$5)),""),"")</f>
        <v/>
      </c>
      <c r="I1399" s="139">
        <f>IFERROR(IF(AND(ISNUMBER(F1399),ISNUMBER(H1399)),F1399-H1399,""),"")</f>
        <v/>
      </c>
      <c r="J1399" s="114" t="n"/>
      <c r="K1399" s="139">
        <f>IFERROR(IF(H1399&gt;0,H1399*$C$7,""),"")</f>
        <v/>
      </c>
      <c r="L1399" s="139">
        <f>IFERROR(IF(ISNUMBER(F1399),F1399-IF(ISNUMBER(K1399),K1399,0),""),"")</f>
        <v/>
      </c>
    </row>
    <row r="1400" ht="24" customHeight="1" s="63">
      <c r="E1400" s="139" t="n"/>
      <c r="F1400" s="139" t="n"/>
      <c r="G1400" s="140">
        <f>IFERROR(IF(E1400&gt;0,(F1400/E1400)*1000,""),"")</f>
        <v/>
      </c>
      <c r="H1400" s="139">
        <f>IFERROR(IF(E1400&gt;0,E1400*IF(ISNUMBER(J1400),J1400,IF(C1400="Futures",$C$6,$C$5)),""),"")</f>
        <v/>
      </c>
      <c r="I1400" s="139">
        <f>IFERROR(IF(AND(ISNUMBER(F1400),ISNUMBER(H1400)),F1400-H1400,""),"")</f>
        <v/>
      </c>
      <c r="J1400" s="114" t="n"/>
      <c r="K1400" s="139">
        <f>IFERROR(IF(H1400&gt;0,H1400*$C$7,""),"")</f>
        <v/>
      </c>
      <c r="L1400" s="139">
        <f>IFERROR(IF(ISNUMBER(F1400),F1400-IF(ISNUMBER(K1400),K1400,0),""),"")</f>
        <v/>
      </c>
    </row>
    <row r="1401" ht="24" customHeight="1" s="63">
      <c r="E1401" s="139" t="n"/>
      <c r="F1401" s="139" t="n"/>
      <c r="G1401" s="140">
        <f>IFERROR(IF(E1401&gt;0,(F1401/E1401)*1000,""),"")</f>
        <v/>
      </c>
      <c r="H1401" s="139">
        <f>IFERROR(IF(E1401&gt;0,E1401*IF(ISNUMBER(J1401),J1401,IF(C1401="Futures",$C$6,$C$5)),""),"")</f>
        <v/>
      </c>
      <c r="I1401" s="139">
        <f>IFERROR(IF(AND(ISNUMBER(F1401),ISNUMBER(H1401)),F1401-H1401,""),"")</f>
        <v/>
      </c>
      <c r="J1401" s="114" t="n"/>
      <c r="K1401" s="139">
        <f>IFERROR(IF(H1401&gt;0,H1401*$C$7,""),"")</f>
        <v/>
      </c>
      <c r="L1401" s="139">
        <f>IFERROR(IF(ISNUMBER(F1401),F1401-IF(ISNUMBER(K1401),K1401,0),""),"")</f>
        <v/>
      </c>
    </row>
    <row r="1402" ht="24" customHeight="1" s="63">
      <c r="E1402" s="139" t="n"/>
      <c r="F1402" s="139" t="n"/>
      <c r="G1402" s="140">
        <f>IFERROR(IF(E1402&gt;0,(F1402/E1402)*1000,""),"")</f>
        <v/>
      </c>
      <c r="H1402" s="139">
        <f>IFERROR(IF(E1402&gt;0,E1402*IF(ISNUMBER(J1402),J1402,IF(C1402="Futures",$C$6,$C$5)),""),"")</f>
        <v/>
      </c>
      <c r="I1402" s="139">
        <f>IFERROR(IF(AND(ISNUMBER(F1402),ISNUMBER(H1402)),F1402-H1402,""),"")</f>
        <v/>
      </c>
      <c r="J1402" s="114" t="n"/>
      <c r="K1402" s="139">
        <f>IFERROR(IF(H1402&gt;0,H1402*$C$7,""),"")</f>
        <v/>
      </c>
      <c r="L1402" s="139">
        <f>IFERROR(IF(ISNUMBER(F1402),F1402-IF(ISNUMBER(K1402),K1402,0),""),"")</f>
        <v/>
      </c>
    </row>
    <row r="1403" ht="24" customHeight="1" s="63">
      <c r="E1403" s="139" t="n"/>
      <c r="F1403" s="139" t="n"/>
      <c r="G1403" s="140">
        <f>IFERROR(IF(E1403&gt;0,(F1403/E1403)*1000,""),"")</f>
        <v/>
      </c>
      <c r="H1403" s="139">
        <f>IFERROR(IF(E1403&gt;0,E1403*IF(ISNUMBER(J1403),J1403,IF(C1403="Futures",$C$6,$C$5)),""),"")</f>
        <v/>
      </c>
      <c r="I1403" s="139">
        <f>IFERROR(IF(AND(ISNUMBER(F1403),ISNUMBER(H1403)),F1403-H1403,""),"")</f>
        <v/>
      </c>
      <c r="J1403" s="114" t="n"/>
      <c r="K1403" s="139">
        <f>IFERROR(IF(H1403&gt;0,H1403*$C$7,""),"")</f>
        <v/>
      </c>
      <c r="L1403" s="139">
        <f>IFERROR(IF(ISNUMBER(F1403),F1403-IF(ISNUMBER(K1403),K1403,0),""),"")</f>
        <v/>
      </c>
    </row>
    <row r="1404" ht="24" customHeight="1" s="63">
      <c r="E1404" s="139" t="n"/>
      <c r="F1404" s="139" t="n"/>
      <c r="G1404" s="140">
        <f>IFERROR(IF(E1404&gt;0,(F1404/E1404)*1000,""),"")</f>
        <v/>
      </c>
      <c r="H1404" s="139">
        <f>IFERROR(IF(E1404&gt;0,E1404*IF(ISNUMBER(J1404),J1404,IF(C1404="Futures",$C$6,$C$5)),""),"")</f>
        <v/>
      </c>
      <c r="I1404" s="139">
        <f>IFERROR(IF(AND(ISNUMBER(F1404),ISNUMBER(H1404)),F1404-H1404,""),"")</f>
        <v/>
      </c>
      <c r="J1404" s="114" t="n"/>
      <c r="K1404" s="139">
        <f>IFERROR(IF(H1404&gt;0,H1404*$C$7,""),"")</f>
        <v/>
      </c>
      <c r="L1404" s="139">
        <f>IFERROR(IF(ISNUMBER(F1404),F1404-IF(ISNUMBER(K1404),K1404,0),""),"")</f>
        <v/>
      </c>
    </row>
    <row r="1405" ht="24" customHeight="1" s="63">
      <c r="E1405" s="139" t="n"/>
      <c r="F1405" s="139" t="n"/>
      <c r="G1405" s="140">
        <f>IFERROR(IF(E1405&gt;0,(F1405/E1405)*1000,""),"")</f>
        <v/>
      </c>
      <c r="H1405" s="139">
        <f>IFERROR(IF(E1405&gt;0,E1405*IF(ISNUMBER(J1405),J1405,IF(C1405="Futures",$C$6,$C$5)),""),"")</f>
        <v/>
      </c>
      <c r="I1405" s="139">
        <f>IFERROR(IF(AND(ISNUMBER(F1405),ISNUMBER(H1405)),F1405-H1405,""),"")</f>
        <v/>
      </c>
      <c r="J1405" s="114" t="n"/>
      <c r="K1405" s="139">
        <f>IFERROR(IF(H1405&gt;0,H1405*$C$7,""),"")</f>
        <v/>
      </c>
      <c r="L1405" s="139">
        <f>IFERROR(IF(ISNUMBER(F1405),F1405-IF(ISNUMBER(K1405),K1405,0),""),"")</f>
        <v/>
      </c>
    </row>
    <row r="1406" ht="24" customHeight="1" s="63">
      <c r="E1406" s="139" t="n"/>
      <c r="F1406" s="139" t="n"/>
      <c r="G1406" s="140">
        <f>IFERROR(IF(E1406&gt;0,(F1406/E1406)*1000,""),"")</f>
        <v/>
      </c>
      <c r="H1406" s="139">
        <f>IFERROR(IF(E1406&gt;0,E1406*IF(ISNUMBER(J1406),J1406,IF(C1406="Futures",$C$6,$C$5)),""),"")</f>
        <v/>
      </c>
      <c r="I1406" s="139">
        <f>IFERROR(IF(AND(ISNUMBER(F1406),ISNUMBER(H1406)),F1406-H1406,""),"")</f>
        <v/>
      </c>
      <c r="J1406" s="114" t="n"/>
      <c r="K1406" s="139">
        <f>IFERROR(IF(H1406&gt;0,H1406*$C$7,""),"")</f>
        <v/>
      </c>
      <c r="L1406" s="139">
        <f>IFERROR(IF(ISNUMBER(F1406),F1406-IF(ISNUMBER(K1406),K1406,0),""),"")</f>
        <v/>
      </c>
    </row>
    <row r="1407" ht="24" customHeight="1" s="63">
      <c r="E1407" s="139" t="n"/>
      <c r="F1407" s="139" t="n"/>
      <c r="G1407" s="140">
        <f>IFERROR(IF(E1407&gt;0,(F1407/E1407)*1000,""),"")</f>
        <v/>
      </c>
      <c r="H1407" s="139">
        <f>IFERROR(IF(E1407&gt;0,E1407*IF(ISNUMBER(J1407),J1407,IF(C1407="Futures",$C$6,$C$5)),""),"")</f>
        <v/>
      </c>
      <c r="I1407" s="139">
        <f>IFERROR(IF(AND(ISNUMBER(F1407),ISNUMBER(H1407)),F1407-H1407,""),"")</f>
        <v/>
      </c>
      <c r="J1407" s="114" t="n"/>
      <c r="K1407" s="139">
        <f>IFERROR(IF(H1407&gt;0,H1407*$C$7,""),"")</f>
        <v/>
      </c>
      <c r="L1407" s="139">
        <f>IFERROR(IF(ISNUMBER(F1407),F1407-IF(ISNUMBER(K1407),K1407,0),""),"")</f>
        <v/>
      </c>
    </row>
    <row r="1408" ht="24" customHeight="1" s="63">
      <c r="E1408" s="139" t="n"/>
      <c r="F1408" s="139" t="n"/>
      <c r="G1408" s="140">
        <f>IFERROR(IF(E1408&gt;0,(F1408/E1408)*1000,""),"")</f>
        <v/>
      </c>
      <c r="H1408" s="139">
        <f>IFERROR(IF(E1408&gt;0,E1408*IF(ISNUMBER(J1408),J1408,IF(C1408="Futures",$C$6,$C$5)),""),"")</f>
        <v/>
      </c>
      <c r="I1408" s="139">
        <f>IFERROR(IF(AND(ISNUMBER(F1408),ISNUMBER(H1408)),F1408-H1408,""),"")</f>
        <v/>
      </c>
      <c r="J1408" s="114" t="n"/>
      <c r="K1408" s="139">
        <f>IFERROR(IF(H1408&gt;0,H1408*$C$7,""),"")</f>
        <v/>
      </c>
      <c r="L1408" s="139">
        <f>IFERROR(IF(ISNUMBER(F1408),F1408-IF(ISNUMBER(K1408),K1408,0),""),"")</f>
        <v/>
      </c>
    </row>
    <row r="1409" ht="24" customHeight="1" s="63">
      <c r="E1409" s="139" t="n"/>
      <c r="F1409" s="139" t="n"/>
      <c r="G1409" s="140">
        <f>IFERROR(IF(E1409&gt;0,(F1409/E1409)*1000,""),"")</f>
        <v/>
      </c>
      <c r="H1409" s="139">
        <f>IFERROR(IF(E1409&gt;0,E1409*IF(ISNUMBER(J1409),J1409,IF(C1409="Futures",$C$6,$C$5)),""),"")</f>
        <v/>
      </c>
      <c r="I1409" s="139">
        <f>IFERROR(IF(AND(ISNUMBER(F1409),ISNUMBER(H1409)),F1409-H1409,""),"")</f>
        <v/>
      </c>
      <c r="J1409" s="114" t="n"/>
      <c r="K1409" s="139">
        <f>IFERROR(IF(H1409&gt;0,H1409*$C$7,""),"")</f>
        <v/>
      </c>
      <c r="L1409" s="139">
        <f>IFERROR(IF(ISNUMBER(F1409),F1409-IF(ISNUMBER(K1409),K1409,0),""),"")</f>
        <v/>
      </c>
    </row>
    <row r="1410" ht="24" customHeight="1" s="63">
      <c r="E1410" s="139" t="n"/>
      <c r="F1410" s="139" t="n"/>
      <c r="G1410" s="140">
        <f>IFERROR(IF(E1410&gt;0,(F1410/E1410)*1000,""),"")</f>
        <v/>
      </c>
      <c r="H1410" s="139">
        <f>IFERROR(IF(E1410&gt;0,E1410*IF(ISNUMBER(J1410),J1410,IF(C1410="Futures",$C$6,$C$5)),""),"")</f>
        <v/>
      </c>
      <c r="I1410" s="139">
        <f>IFERROR(IF(AND(ISNUMBER(F1410),ISNUMBER(H1410)),F1410-H1410,""),"")</f>
        <v/>
      </c>
      <c r="J1410" s="114" t="n"/>
      <c r="K1410" s="139">
        <f>IFERROR(IF(H1410&gt;0,H1410*$C$7,""),"")</f>
        <v/>
      </c>
      <c r="L1410" s="139">
        <f>IFERROR(IF(ISNUMBER(F1410),F1410-IF(ISNUMBER(K1410),K1410,0),""),"")</f>
        <v/>
      </c>
    </row>
    <row r="1411" ht="24" customHeight="1" s="63">
      <c r="E1411" s="139" t="n"/>
      <c r="F1411" s="139" t="n"/>
      <c r="G1411" s="140">
        <f>IFERROR(IF(E1411&gt;0,(F1411/E1411)*1000,""),"")</f>
        <v/>
      </c>
      <c r="H1411" s="139">
        <f>IFERROR(IF(E1411&gt;0,E1411*IF(ISNUMBER(J1411),J1411,IF(C1411="Futures",$C$6,$C$5)),""),"")</f>
        <v/>
      </c>
      <c r="I1411" s="139">
        <f>IFERROR(IF(AND(ISNUMBER(F1411),ISNUMBER(H1411)),F1411-H1411,""),"")</f>
        <v/>
      </c>
      <c r="J1411" s="114" t="n"/>
      <c r="K1411" s="139">
        <f>IFERROR(IF(H1411&gt;0,H1411*$C$7,""),"")</f>
        <v/>
      </c>
      <c r="L1411" s="139">
        <f>IFERROR(IF(ISNUMBER(F1411),F1411-IF(ISNUMBER(K1411),K1411,0),""),"")</f>
        <v/>
      </c>
    </row>
    <row r="1412" ht="24" customHeight="1" s="63">
      <c r="E1412" s="139" t="n"/>
      <c r="F1412" s="139" t="n"/>
      <c r="G1412" s="140">
        <f>IFERROR(IF(E1412&gt;0,(F1412/E1412)*1000,""),"")</f>
        <v/>
      </c>
      <c r="H1412" s="139">
        <f>IFERROR(IF(E1412&gt;0,E1412*IF(ISNUMBER(J1412),J1412,IF(C1412="Futures",$C$6,$C$5)),""),"")</f>
        <v/>
      </c>
      <c r="I1412" s="139">
        <f>IFERROR(IF(AND(ISNUMBER(F1412),ISNUMBER(H1412)),F1412-H1412,""),"")</f>
        <v/>
      </c>
      <c r="J1412" s="114" t="n"/>
      <c r="K1412" s="139">
        <f>IFERROR(IF(H1412&gt;0,H1412*$C$7,""),"")</f>
        <v/>
      </c>
      <c r="L1412" s="139">
        <f>IFERROR(IF(ISNUMBER(F1412),F1412-IF(ISNUMBER(K1412),K1412,0),""),"")</f>
        <v/>
      </c>
    </row>
    <row r="1413" ht="24" customHeight="1" s="63">
      <c r="E1413" s="139" t="n"/>
      <c r="F1413" s="139" t="n"/>
      <c r="G1413" s="140">
        <f>IFERROR(IF(E1413&gt;0,(F1413/E1413)*1000,""),"")</f>
        <v/>
      </c>
      <c r="H1413" s="139">
        <f>IFERROR(IF(E1413&gt;0,E1413*IF(ISNUMBER(J1413),J1413,IF(C1413="Futures",$C$6,$C$5)),""),"")</f>
        <v/>
      </c>
      <c r="I1413" s="139">
        <f>IFERROR(IF(AND(ISNUMBER(F1413),ISNUMBER(H1413)),F1413-H1413,""),"")</f>
        <v/>
      </c>
      <c r="J1413" s="114" t="n"/>
      <c r="K1413" s="139">
        <f>IFERROR(IF(H1413&gt;0,H1413*$C$7,""),"")</f>
        <v/>
      </c>
      <c r="L1413" s="139">
        <f>IFERROR(IF(ISNUMBER(F1413),F1413-IF(ISNUMBER(K1413),K1413,0),""),"")</f>
        <v/>
      </c>
    </row>
    <row r="1414" ht="24" customHeight="1" s="63">
      <c r="E1414" s="139" t="n"/>
      <c r="F1414" s="139" t="n"/>
      <c r="G1414" s="140">
        <f>IFERROR(IF(E1414&gt;0,(F1414/E1414)*1000,""),"")</f>
        <v/>
      </c>
      <c r="H1414" s="139">
        <f>IFERROR(IF(E1414&gt;0,E1414*IF(ISNUMBER(J1414),J1414,IF(C1414="Futures",$C$6,$C$5)),""),"")</f>
        <v/>
      </c>
      <c r="I1414" s="139">
        <f>IFERROR(IF(AND(ISNUMBER(F1414),ISNUMBER(H1414)),F1414-H1414,""),"")</f>
        <v/>
      </c>
      <c r="J1414" s="114" t="n"/>
      <c r="K1414" s="139">
        <f>IFERROR(IF(H1414&gt;0,H1414*$C$7,""),"")</f>
        <v/>
      </c>
      <c r="L1414" s="139">
        <f>IFERROR(IF(ISNUMBER(F1414),F1414-IF(ISNUMBER(K1414),K1414,0),""),"")</f>
        <v/>
      </c>
    </row>
    <row r="1415" ht="24" customHeight="1" s="63">
      <c r="E1415" s="139" t="n"/>
      <c r="F1415" s="139" t="n"/>
      <c r="G1415" s="140">
        <f>IFERROR(IF(E1415&gt;0,(F1415/E1415)*1000,""),"")</f>
        <v/>
      </c>
      <c r="H1415" s="139">
        <f>IFERROR(IF(E1415&gt;0,E1415*IF(ISNUMBER(J1415),J1415,IF(C1415="Futures",$C$6,$C$5)),""),"")</f>
        <v/>
      </c>
      <c r="I1415" s="139">
        <f>IFERROR(IF(AND(ISNUMBER(F1415),ISNUMBER(H1415)),F1415-H1415,""),"")</f>
        <v/>
      </c>
      <c r="J1415" s="114" t="n"/>
      <c r="K1415" s="139">
        <f>IFERROR(IF(H1415&gt;0,H1415*$C$7,""),"")</f>
        <v/>
      </c>
      <c r="L1415" s="139">
        <f>IFERROR(IF(ISNUMBER(F1415),F1415-IF(ISNUMBER(K1415),K1415,0),""),"")</f>
        <v/>
      </c>
    </row>
    <row r="1416" ht="24" customHeight="1" s="63">
      <c r="E1416" s="139" t="n"/>
      <c r="F1416" s="139" t="n"/>
      <c r="G1416" s="140">
        <f>IFERROR(IF(E1416&gt;0,(F1416/E1416)*1000,""),"")</f>
        <v/>
      </c>
      <c r="H1416" s="139">
        <f>IFERROR(IF(E1416&gt;0,E1416*IF(ISNUMBER(J1416),J1416,IF(C1416="Futures",$C$6,$C$5)),""),"")</f>
        <v/>
      </c>
      <c r="I1416" s="139">
        <f>IFERROR(IF(AND(ISNUMBER(F1416),ISNUMBER(H1416)),F1416-H1416,""),"")</f>
        <v/>
      </c>
      <c r="J1416" s="114" t="n"/>
      <c r="K1416" s="139">
        <f>IFERROR(IF(H1416&gt;0,H1416*$C$7,""),"")</f>
        <v/>
      </c>
      <c r="L1416" s="139">
        <f>IFERROR(IF(ISNUMBER(F1416),F1416-IF(ISNUMBER(K1416),K1416,0),""),"")</f>
        <v/>
      </c>
    </row>
    <row r="1417" ht="24" customHeight="1" s="63">
      <c r="E1417" s="139" t="n"/>
      <c r="F1417" s="139" t="n"/>
      <c r="G1417" s="140">
        <f>IFERROR(IF(E1417&gt;0,(F1417/E1417)*1000,""),"")</f>
        <v/>
      </c>
      <c r="H1417" s="139">
        <f>IFERROR(IF(E1417&gt;0,E1417*IF(ISNUMBER(J1417),J1417,IF(C1417="Futures",$C$6,$C$5)),""),"")</f>
        <v/>
      </c>
      <c r="I1417" s="139">
        <f>IFERROR(IF(AND(ISNUMBER(F1417),ISNUMBER(H1417)),F1417-H1417,""),"")</f>
        <v/>
      </c>
      <c r="J1417" s="114" t="n"/>
      <c r="K1417" s="139">
        <f>IFERROR(IF(H1417&gt;0,H1417*$C$7,""),"")</f>
        <v/>
      </c>
      <c r="L1417" s="139">
        <f>IFERROR(IF(ISNUMBER(F1417),F1417-IF(ISNUMBER(K1417),K1417,0),""),"")</f>
        <v/>
      </c>
    </row>
    <row r="1418" ht="24" customHeight="1" s="63">
      <c r="E1418" s="139" t="n"/>
      <c r="F1418" s="139" t="n"/>
      <c r="G1418" s="140">
        <f>IFERROR(IF(E1418&gt;0,(F1418/E1418)*1000,""),"")</f>
        <v/>
      </c>
      <c r="H1418" s="139">
        <f>IFERROR(IF(E1418&gt;0,E1418*IF(ISNUMBER(J1418),J1418,IF(C1418="Futures",$C$6,$C$5)),""),"")</f>
        <v/>
      </c>
      <c r="I1418" s="139">
        <f>IFERROR(IF(AND(ISNUMBER(F1418),ISNUMBER(H1418)),F1418-H1418,""),"")</f>
        <v/>
      </c>
      <c r="J1418" s="114" t="n"/>
      <c r="K1418" s="139">
        <f>IFERROR(IF(H1418&gt;0,H1418*$C$7,""),"")</f>
        <v/>
      </c>
      <c r="L1418" s="139">
        <f>IFERROR(IF(ISNUMBER(F1418),F1418-IF(ISNUMBER(K1418),K1418,0),""),"")</f>
        <v/>
      </c>
    </row>
    <row r="1419" ht="24" customHeight="1" s="63">
      <c r="E1419" s="139" t="n"/>
      <c r="F1419" s="139" t="n"/>
      <c r="G1419" s="140">
        <f>IFERROR(IF(E1419&gt;0,(F1419/E1419)*1000,""),"")</f>
        <v/>
      </c>
      <c r="H1419" s="139">
        <f>IFERROR(IF(E1419&gt;0,E1419*IF(ISNUMBER(J1419),J1419,IF(C1419="Futures",$C$6,$C$5)),""),"")</f>
        <v/>
      </c>
      <c r="I1419" s="139">
        <f>IFERROR(IF(AND(ISNUMBER(F1419),ISNUMBER(H1419)),F1419-H1419,""),"")</f>
        <v/>
      </c>
      <c r="J1419" s="114" t="n"/>
      <c r="K1419" s="139">
        <f>IFERROR(IF(H1419&gt;0,H1419*$C$7,""),"")</f>
        <v/>
      </c>
      <c r="L1419" s="139">
        <f>IFERROR(IF(ISNUMBER(F1419),F1419-IF(ISNUMBER(K1419),K1419,0),""),"")</f>
        <v/>
      </c>
    </row>
    <row r="1420" ht="24" customHeight="1" s="63">
      <c r="E1420" s="139" t="n"/>
      <c r="F1420" s="139" t="n"/>
      <c r="G1420" s="140">
        <f>IFERROR(IF(E1420&gt;0,(F1420/E1420)*1000,""),"")</f>
        <v/>
      </c>
      <c r="H1420" s="139">
        <f>IFERROR(IF(E1420&gt;0,E1420*IF(ISNUMBER(J1420),J1420,IF(C1420="Futures",$C$6,$C$5)),""),"")</f>
        <v/>
      </c>
      <c r="I1420" s="139">
        <f>IFERROR(IF(AND(ISNUMBER(F1420),ISNUMBER(H1420)),F1420-H1420,""),"")</f>
        <v/>
      </c>
      <c r="J1420" s="114" t="n"/>
      <c r="K1420" s="139">
        <f>IFERROR(IF(H1420&gt;0,H1420*$C$7,""),"")</f>
        <v/>
      </c>
      <c r="L1420" s="139">
        <f>IFERROR(IF(ISNUMBER(F1420),F1420-IF(ISNUMBER(K1420),K1420,0),""),"")</f>
        <v/>
      </c>
    </row>
    <row r="1421" ht="24" customHeight="1" s="63">
      <c r="E1421" s="139" t="n"/>
      <c r="F1421" s="139" t="n"/>
      <c r="G1421" s="140">
        <f>IFERROR(IF(E1421&gt;0,(F1421/E1421)*1000,""),"")</f>
        <v/>
      </c>
      <c r="H1421" s="139">
        <f>IFERROR(IF(E1421&gt;0,E1421*IF(ISNUMBER(J1421),J1421,IF(C1421="Futures",$C$6,$C$5)),""),"")</f>
        <v/>
      </c>
      <c r="I1421" s="139">
        <f>IFERROR(IF(AND(ISNUMBER(F1421),ISNUMBER(H1421)),F1421-H1421,""),"")</f>
        <v/>
      </c>
      <c r="J1421" s="114" t="n"/>
      <c r="K1421" s="139">
        <f>IFERROR(IF(H1421&gt;0,H1421*$C$7,""),"")</f>
        <v/>
      </c>
      <c r="L1421" s="139">
        <f>IFERROR(IF(ISNUMBER(F1421),F1421-IF(ISNUMBER(K1421),K1421,0),""),"")</f>
        <v/>
      </c>
    </row>
    <row r="1422" ht="24" customHeight="1" s="63">
      <c r="E1422" s="139" t="n"/>
      <c r="F1422" s="139" t="n"/>
      <c r="G1422" s="140">
        <f>IFERROR(IF(E1422&gt;0,(F1422/E1422)*1000,""),"")</f>
        <v/>
      </c>
      <c r="H1422" s="139">
        <f>IFERROR(IF(E1422&gt;0,E1422*IF(ISNUMBER(J1422),J1422,IF(C1422="Futures",$C$6,$C$5)),""),"")</f>
        <v/>
      </c>
      <c r="I1422" s="139">
        <f>IFERROR(IF(AND(ISNUMBER(F1422),ISNUMBER(H1422)),F1422-H1422,""),"")</f>
        <v/>
      </c>
      <c r="J1422" s="114" t="n"/>
      <c r="K1422" s="139">
        <f>IFERROR(IF(H1422&gt;0,H1422*$C$7,""),"")</f>
        <v/>
      </c>
      <c r="L1422" s="139">
        <f>IFERROR(IF(ISNUMBER(F1422),F1422-IF(ISNUMBER(K1422),K1422,0),""),"")</f>
        <v/>
      </c>
    </row>
    <row r="1423" ht="24" customHeight="1" s="63">
      <c r="E1423" s="139" t="n"/>
      <c r="F1423" s="139" t="n"/>
      <c r="G1423" s="140">
        <f>IFERROR(IF(E1423&gt;0,(F1423/E1423)*1000,""),"")</f>
        <v/>
      </c>
      <c r="H1423" s="139">
        <f>IFERROR(IF(E1423&gt;0,E1423*IF(ISNUMBER(J1423),J1423,IF(C1423="Futures",$C$6,$C$5)),""),"")</f>
        <v/>
      </c>
      <c r="I1423" s="139">
        <f>IFERROR(IF(AND(ISNUMBER(F1423),ISNUMBER(H1423)),F1423-H1423,""),"")</f>
        <v/>
      </c>
      <c r="J1423" s="114" t="n"/>
      <c r="K1423" s="139">
        <f>IFERROR(IF(H1423&gt;0,H1423*$C$7,""),"")</f>
        <v/>
      </c>
      <c r="L1423" s="139">
        <f>IFERROR(IF(ISNUMBER(F1423),F1423-IF(ISNUMBER(K1423),K1423,0),""),"")</f>
        <v/>
      </c>
    </row>
    <row r="1424" ht="24" customHeight="1" s="63">
      <c r="E1424" s="139" t="n"/>
      <c r="F1424" s="139" t="n"/>
      <c r="G1424" s="140">
        <f>IFERROR(IF(E1424&gt;0,(F1424/E1424)*1000,""),"")</f>
        <v/>
      </c>
      <c r="H1424" s="139">
        <f>IFERROR(IF(E1424&gt;0,E1424*IF(ISNUMBER(J1424),J1424,IF(C1424="Futures",$C$6,$C$5)),""),"")</f>
        <v/>
      </c>
      <c r="I1424" s="139">
        <f>IFERROR(IF(AND(ISNUMBER(F1424),ISNUMBER(H1424)),F1424-H1424,""),"")</f>
        <v/>
      </c>
      <c r="J1424" s="114" t="n"/>
      <c r="K1424" s="139">
        <f>IFERROR(IF(H1424&gt;0,H1424*$C$7,""),"")</f>
        <v/>
      </c>
      <c r="L1424" s="139">
        <f>IFERROR(IF(ISNUMBER(F1424),F1424-IF(ISNUMBER(K1424),K1424,0),""),"")</f>
        <v/>
      </c>
    </row>
    <row r="1425" ht="24" customHeight="1" s="63">
      <c r="E1425" s="139" t="n"/>
      <c r="F1425" s="139" t="n"/>
      <c r="G1425" s="140">
        <f>IFERROR(IF(E1425&gt;0,(F1425/E1425)*1000,""),"")</f>
        <v/>
      </c>
      <c r="H1425" s="139">
        <f>IFERROR(IF(E1425&gt;0,E1425*IF(ISNUMBER(J1425),J1425,IF(C1425="Futures",$C$6,$C$5)),""),"")</f>
        <v/>
      </c>
      <c r="I1425" s="139">
        <f>IFERROR(IF(AND(ISNUMBER(F1425),ISNUMBER(H1425)),F1425-H1425,""),"")</f>
        <v/>
      </c>
      <c r="J1425" s="114" t="n"/>
      <c r="K1425" s="139">
        <f>IFERROR(IF(H1425&gt;0,H1425*$C$7,""),"")</f>
        <v/>
      </c>
      <c r="L1425" s="139">
        <f>IFERROR(IF(ISNUMBER(F1425),F1425-IF(ISNUMBER(K1425),K1425,0),""),"")</f>
        <v/>
      </c>
    </row>
    <row r="1426" ht="24" customHeight="1" s="63">
      <c r="E1426" s="139" t="n"/>
      <c r="F1426" s="139" t="n"/>
      <c r="G1426" s="140">
        <f>IFERROR(IF(E1426&gt;0,(F1426/E1426)*1000,""),"")</f>
        <v/>
      </c>
      <c r="H1426" s="139">
        <f>IFERROR(IF(E1426&gt;0,E1426*IF(ISNUMBER(J1426),J1426,IF(C1426="Futures",$C$6,$C$5)),""),"")</f>
        <v/>
      </c>
      <c r="I1426" s="139">
        <f>IFERROR(IF(AND(ISNUMBER(F1426),ISNUMBER(H1426)),F1426-H1426,""),"")</f>
        <v/>
      </c>
      <c r="J1426" s="114" t="n"/>
      <c r="K1426" s="139">
        <f>IFERROR(IF(H1426&gt;0,H1426*$C$7,""),"")</f>
        <v/>
      </c>
      <c r="L1426" s="139">
        <f>IFERROR(IF(ISNUMBER(F1426),F1426-IF(ISNUMBER(K1426),K1426,0),""),"")</f>
        <v/>
      </c>
    </row>
    <row r="1427" ht="24" customHeight="1" s="63">
      <c r="E1427" s="139" t="n"/>
      <c r="F1427" s="139" t="n"/>
      <c r="G1427" s="140">
        <f>IFERROR(IF(E1427&gt;0,(F1427/E1427)*1000,""),"")</f>
        <v/>
      </c>
      <c r="H1427" s="139">
        <f>IFERROR(IF(E1427&gt;0,E1427*IF(ISNUMBER(J1427),J1427,IF(C1427="Futures",$C$6,$C$5)),""),"")</f>
        <v/>
      </c>
      <c r="I1427" s="139">
        <f>IFERROR(IF(AND(ISNUMBER(F1427),ISNUMBER(H1427)),F1427-H1427,""),"")</f>
        <v/>
      </c>
      <c r="J1427" s="114" t="n"/>
      <c r="K1427" s="139">
        <f>IFERROR(IF(H1427&gt;0,H1427*$C$7,""),"")</f>
        <v/>
      </c>
      <c r="L1427" s="139">
        <f>IFERROR(IF(ISNUMBER(F1427),F1427-IF(ISNUMBER(K1427),K1427,0),""),"")</f>
        <v/>
      </c>
    </row>
    <row r="1428" ht="24" customHeight="1" s="63">
      <c r="E1428" s="139" t="n"/>
      <c r="F1428" s="139" t="n"/>
      <c r="G1428" s="140">
        <f>IFERROR(IF(E1428&gt;0,(F1428/E1428)*1000,""),"")</f>
        <v/>
      </c>
      <c r="H1428" s="139">
        <f>IFERROR(IF(E1428&gt;0,E1428*IF(ISNUMBER(J1428),J1428,IF(C1428="Futures",$C$6,$C$5)),""),"")</f>
        <v/>
      </c>
      <c r="I1428" s="139">
        <f>IFERROR(IF(AND(ISNUMBER(F1428),ISNUMBER(H1428)),F1428-H1428,""),"")</f>
        <v/>
      </c>
      <c r="J1428" s="114" t="n"/>
      <c r="K1428" s="139">
        <f>IFERROR(IF(H1428&gt;0,H1428*$C$7,""),"")</f>
        <v/>
      </c>
      <c r="L1428" s="139">
        <f>IFERROR(IF(ISNUMBER(F1428),F1428-IF(ISNUMBER(K1428),K1428,0),""),"")</f>
        <v/>
      </c>
    </row>
    <row r="1429" ht="24" customHeight="1" s="63">
      <c r="E1429" s="139" t="n"/>
      <c r="F1429" s="139" t="n"/>
      <c r="G1429" s="140">
        <f>IFERROR(IF(E1429&gt;0,(F1429/E1429)*1000,""),"")</f>
        <v/>
      </c>
      <c r="H1429" s="139">
        <f>IFERROR(IF(E1429&gt;0,E1429*IF(ISNUMBER(J1429),J1429,IF(C1429="Futures",$C$6,$C$5)),""),"")</f>
        <v/>
      </c>
      <c r="I1429" s="139">
        <f>IFERROR(IF(AND(ISNUMBER(F1429),ISNUMBER(H1429)),F1429-H1429,""),"")</f>
        <v/>
      </c>
      <c r="J1429" s="114" t="n"/>
      <c r="K1429" s="139">
        <f>IFERROR(IF(H1429&gt;0,H1429*$C$7,""),"")</f>
        <v/>
      </c>
      <c r="L1429" s="139">
        <f>IFERROR(IF(ISNUMBER(F1429),F1429-IF(ISNUMBER(K1429),K1429,0),""),"")</f>
        <v/>
      </c>
    </row>
    <row r="1430" ht="24" customHeight="1" s="63">
      <c r="E1430" s="139" t="n"/>
      <c r="F1430" s="139" t="n"/>
      <c r="G1430" s="140">
        <f>IFERROR(IF(E1430&gt;0,(F1430/E1430)*1000,""),"")</f>
        <v/>
      </c>
      <c r="H1430" s="139">
        <f>IFERROR(IF(E1430&gt;0,E1430*IF(ISNUMBER(J1430),J1430,IF(C1430="Futures",$C$6,$C$5)),""),"")</f>
        <v/>
      </c>
      <c r="I1430" s="139">
        <f>IFERROR(IF(AND(ISNUMBER(F1430),ISNUMBER(H1430)),F1430-H1430,""),"")</f>
        <v/>
      </c>
      <c r="J1430" s="114" t="n"/>
      <c r="K1430" s="139">
        <f>IFERROR(IF(H1430&gt;0,H1430*$C$7,""),"")</f>
        <v/>
      </c>
      <c r="L1430" s="139">
        <f>IFERROR(IF(ISNUMBER(F1430),F1430-IF(ISNUMBER(K1430),K1430,0),""),"")</f>
        <v/>
      </c>
    </row>
    <row r="1431" ht="24" customHeight="1" s="63">
      <c r="E1431" s="139" t="n"/>
      <c r="F1431" s="139" t="n"/>
      <c r="G1431" s="140">
        <f>IFERROR(IF(E1431&gt;0,(F1431/E1431)*1000,""),"")</f>
        <v/>
      </c>
      <c r="H1431" s="139">
        <f>IFERROR(IF(E1431&gt;0,E1431*IF(ISNUMBER(J1431),J1431,IF(C1431="Futures",$C$6,$C$5)),""),"")</f>
        <v/>
      </c>
      <c r="I1431" s="139">
        <f>IFERROR(IF(AND(ISNUMBER(F1431),ISNUMBER(H1431)),F1431-H1431,""),"")</f>
        <v/>
      </c>
      <c r="J1431" s="114" t="n"/>
      <c r="K1431" s="139">
        <f>IFERROR(IF(H1431&gt;0,H1431*$C$7,""),"")</f>
        <v/>
      </c>
      <c r="L1431" s="139">
        <f>IFERROR(IF(ISNUMBER(F1431),F1431-IF(ISNUMBER(K1431),K1431,0),""),"")</f>
        <v/>
      </c>
    </row>
    <row r="1432" ht="24" customHeight="1" s="63">
      <c r="E1432" s="139" t="n"/>
      <c r="F1432" s="139" t="n"/>
      <c r="G1432" s="140">
        <f>IFERROR(IF(E1432&gt;0,(F1432/E1432)*1000,""),"")</f>
        <v/>
      </c>
      <c r="H1432" s="139">
        <f>IFERROR(IF(E1432&gt;0,E1432*IF(ISNUMBER(J1432),J1432,IF(C1432="Futures",$C$6,$C$5)),""),"")</f>
        <v/>
      </c>
      <c r="I1432" s="139">
        <f>IFERROR(IF(AND(ISNUMBER(F1432),ISNUMBER(H1432)),F1432-H1432,""),"")</f>
        <v/>
      </c>
      <c r="J1432" s="114" t="n"/>
      <c r="K1432" s="139">
        <f>IFERROR(IF(H1432&gt;0,H1432*$C$7,""),"")</f>
        <v/>
      </c>
      <c r="L1432" s="139">
        <f>IFERROR(IF(ISNUMBER(F1432),F1432-IF(ISNUMBER(K1432),K1432,0),""),"")</f>
        <v/>
      </c>
    </row>
    <row r="1433" ht="24" customHeight="1" s="63">
      <c r="E1433" s="139" t="n"/>
      <c r="F1433" s="139" t="n"/>
      <c r="G1433" s="140">
        <f>IFERROR(IF(E1433&gt;0,(F1433/E1433)*1000,""),"")</f>
        <v/>
      </c>
      <c r="H1433" s="139">
        <f>IFERROR(IF(E1433&gt;0,E1433*IF(ISNUMBER(J1433),J1433,IF(C1433="Futures",$C$6,$C$5)),""),"")</f>
        <v/>
      </c>
      <c r="I1433" s="139">
        <f>IFERROR(IF(AND(ISNUMBER(F1433),ISNUMBER(H1433)),F1433-H1433,""),"")</f>
        <v/>
      </c>
      <c r="J1433" s="114" t="n"/>
      <c r="K1433" s="139">
        <f>IFERROR(IF(H1433&gt;0,H1433*$C$7,""),"")</f>
        <v/>
      </c>
      <c r="L1433" s="139">
        <f>IFERROR(IF(ISNUMBER(F1433),F1433-IF(ISNUMBER(K1433),K1433,0),""),"")</f>
        <v/>
      </c>
    </row>
    <row r="1434" ht="24" customHeight="1" s="63">
      <c r="E1434" s="139" t="n"/>
      <c r="F1434" s="139" t="n"/>
      <c r="G1434" s="140">
        <f>IFERROR(IF(E1434&gt;0,(F1434/E1434)*1000,""),"")</f>
        <v/>
      </c>
      <c r="H1434" s="139">
        <f>IFERROR(IF(E1434&gt;0,E1434*IF(ISNUMBER(J1434),J1434,IF(C1434="Futures",$C$6,$C$5)),""),"")</f>
        <v/>
      </c>
      <c r="I1434" s="139">
        <f>IFERROR(IF(AND(ISNUMBER(F1434),ISNUMBER(H1434)),F1434-H1434,""),"")</f>
        <v/>
      </c>
      <c r="J1434" s="114" t="n"/>
      <c r="K1434" s="139">
        <f>IFERROR(IF(H1434&gt;0,H1434*$C$7,""),"")</f>
        <v/>
      </c>
      <c r="L1434" s="139">
        <f>IFERROR(IF(ISNUMBER(F1434),F1434-IF(ISNUMBER(K1434),K1434,0),""),"")</f>
        <v/>
      </c>
    </row>
    <row r="1435" ht="24" customHeight="1" s="63">
      <c r="E1435" s="139" t="n"/>
      <c r="F1435" s="139" t="n"/>
      <c r="G1435" s="140">
        <f>IFERROR(IF(E1435&gt;0,(F1435/E1435)*1000,""),"")</f>
        <v/>
      </c>
      <c r="H1435" s="139">
        <f>IFERROR(IF(E1435&gt;0,E1435*IF(ISNUMBER(J1435),J1435,IF(C1435="Futures",$C$6,$C$5)),""),"")</f>
        <v/>
      </c>
      <c r="I1435" s="139">
        <f>IFERROR(IF(AND(ISNUMBER(F1435),ISNUMBER(H1435)),F1435-H1435,""),"")</f>
        <v/>
      </c>
      <c r="J1435" s="114" t="n"/>
      <c r="K1435" s="139">
        <f>IFERROR(IF(H1435&gt;0,H1435*$C$7,""),"")</f>
        <v/>
      </c>
      <c r="L1435" s="139">
        <f>IFERROR(IF(ISNUMBER(F1435),F1435-IF(ISNUMBER(K1435),K1435,0),""),"")</f>
        <v/>
      </c>
    </row>
    <row r="1436" ht="24" customHeight="1" s="63">
      <c r="E1436" s="139" t="n"/>
      <c r="F1436" s="139" t="n"/>
      <c r="G1436" s="140">
        <f>IFERROR(IF(E1436&gt;0,(F1436/E1436)*1000,""),"")</f>
        <v/>
      </c>
      <c r="H1436" s="139">
        <f>IFERROR(IF(E1436&gt;0,E1436*IF(ISNUMBER(J1436),J1436,IF(C1436="Futures",$C$6,$C$5)),""),"")</f>
        <v/>
      </c>
      <c r="I1436" s="139">
        <f>IFERROR(IF(AND(ISNUMBER(F1436),ISNUMBER(H1436)),F1436-H1436,""),"")</f>
        <v/>
      </c>
      <c r="J1436" s="114" t="n"/>
      <c r="K1436" s="139">
        <f>IFERROR(IF(H1436&gt;0,H1436*$C$7,""),"")</f>
        <v/>
      </c>
      <c r="L1436" s="139">
        <f>IFERROR(IF(ISNUMBER(F1436),F1436-IF(ISNUMBER(K1436),K1436,0),""),"")</f>
        <v/>
      </c>
    </row>
    <row r="1437" ht="24" customHeight="1" s="63">
      <c r="E1437" s="139" t="n"/>
      <c r="F1437" s="139" t="n"/>
      <c r="G1437" s="140">
        <f>IFERROR(IF(E1437&gt;0,(F1437/E1437)*1000,""),"")</f>
        <v/>
      </c>
      <c r="H1437" s="139">
        <f>IFERROR(IF(E1437&gt;0,E1437*IF(ISNUMBER(J1437),J1437,IF(C1437="Futures",$C$6,$C$5)),""),"")</f>
        <v/>
      </c>
      <c r="I1437" s="139">
        <f>IFERROR(IF(AND(ISNUMBER(F1437),ISNUMBER(H1437)),F1437-H1437,""),"")</f>
        <v/>
      </c>
      <c r="J1437" s="114" t="n"/>
      <c r="K1437" s="139">
        <f>IFERROR(IF(H1437&gt;0,H1437*$C$7,""),"")</f>
        <v/>
      </c>
      <c r="L1437" s="139">
        <f>IFERROR(IF(ISNUMBER(F1437),F1437-IF(ISNUMBER(K1437),K1437,0),""),"")</f>
        <v/>
      </c>
    </row>
    <row r="1438" ht="24" customHeight="1" s="63">
      <c r="E1438" s="139" t="n"/>
      <c r="F1438" s="139" t="n"/>
      <c r="G1438" s="140">
        <f>IFERROR(IF(E1438&gt;0,(F1438/E1438)*1000,""),"")</f>
        <v/>
      </c>
      <c r="H1438" s="139">
        <f>IFERROR(IF(E1438&gt;0,E1438*IF(ISNUMBER(J1438),J1438,IF(C1438="Futures",$C$6,$C$5)),""),"")</f>
        <v/>
      </c>
      <c r="I1438" s="139">
        <f>IFERROR(IF(AND(ISNUMBER(F1438),ISNUMBER(H1438)),F1438-H1438,""),"")</f>
        <v/>
      </c>
      <c r="J1438" s="114" t="n"/>
      <c r="K1438" s="139">
        <f>IFERROR(IF(H1438&gt;0,H1438*$C$7,""),"")</f>
        <v/>
      </c>
      <c r="L1438" s="139">
        <f>IFERROR(IF(ISNUMBER(F1438),F1438-IF(ISNUMBER(K1438),K1438,0),""),"")</f>
        <v/>
      </c>
    </row>
    <row r="1439" ht="24" customHeight="1" s="63">
      <c r="E1439" s="139" t="n"/>
      <c r="F1439" s="139" t="n"/>
      <c r="G1439" s="140">
        <f>IFERROR(IF(E1439&gt;0,(F1439/E1439)*1000,""),"")</f>
        <v/>
      </c>
      <c r="H1439" s="139">
        <f>IFERROR(IF(E1439&gt;0,E1439*IF(ISNUMBER(J1439),J1439,IF(C1439="Futures",$C$6,$C$5)),""),"")</f>
        <v/>
      </c>
      <c r="I1439" s="139">
        <f>IFERROR(IF(AND(ISNUMBER(F1439),ISNUMBER(H1439)),F1439-H1439,""),"")</f>
        <v/>
      </c>
      <c r="J1439" s="114" t="n"/>
      <c r="K1439" s="139">
        <f>IFERROR(IF(H1439&gt;0,H1439*$C$7,""),"")</f>
        <v/>
      </c>
      <c r="L1439" s="139">
        <f>IFERROR(IF(ISNUMBER(F1439),F1439-IF(ISNUMBER(K1439),K1439,0),""),"")</f>
        <v/>
      </c>
    </row>
    <row r="1440" ht="24" customHeight="1" s="63">
      <c r="E1440" s="139" t="n"/>
      <c r="F1440" s="139" t="n"/>
      <c r="G1440" s="140">
        <f>IFERROR(IF(E1440&gt;0,(F1440/E1440)*1000,""),"")</f>
        <v/>
      </c>
      <c r="H1440" s="139">
        <f>IFERROR(IF(E1440&gt;0,E1440*IF(ISNUMBER(J1440),J1440,IF(C1440="Futures",$C$6,$C$5)),""),"")</f>
        <v/>
      </c>
      <c r="I1440" s="139">
        <f>IFERROR(IF(AND(ISNUMBER(F1440),ISNUMBER(H1440)),F1440-H1440,""),"")</f>
        <v/>
      </c>
      <c r="J1440" s="114" t="n"/>
      <c r="K1440" s="139">
        <f>IFERROR(IF(H1440&gt;0,H1440*$C$7,""),"")</f>
        <v/>
      </c>
      <c r="L1440" s="139">
        <f>IFERROR(IF(ISNUMBER(F1440),F1440-IF(ISNUMBER(K1440),K1440,0),""),"")</f>
        <v/>
      </c>
    </row>
    <row r="1441" ht="24" customHeight="1" s="63">
      <c r="E1441" s="139" t="n"/>
      <c r="F1441" s="139" t="n"/>
      <c r="G1441" s="140">
        <f>IFERROR(IF(E1441&gt;0,(F1441/E1441)*1000,""),"")</f>
        <v/>
      </c>
      <c r="H1441" s="139">
        <f>IFERROR(IF(E1441&gt;0,E1441*IF(ISNUMBER(J1441),J1441,IF(C1441="Futures",$C$6,$C$5)),""),"")</f>
        <v/>
      </c>
      <c r="I1441" s="139">
        <f>IFERROR(IF(AND(ISNUMBER(F1441),ISNUMBER(H1441)),F1441-H1441,""),"")</f>
        <v/>
      </c>
      <c r="J1441" s="114" t="n"/>
      <c r="K1441" s="139">
        <f>IFERROR(IF(H1441&gt;0,H1441*$C$7,""),"")</f>
        <v/>
      </c>
      <c r="L1441" s="139">
        <f>IFERROR(IF(ISNUMBER(F1441),F1441-IF(ISNUMBER(K1441),K1441,0),""),"")</f>
        <v/>
      </c>
    </row>
    <row r="1442" ht="24" customHeight="1" s="63">
      <c r="E1442" s="139" t="n"/>
      <c r="F1442" s="139" t="n"/>
      <c r="G1442" s="140">
        <f>IFERROR(IF(E1442&gt;0,(F1442/E1442)*1000,""),"")</f>
        <v/>
      </c>
      <c r="H1442" s="139">
        <f>IFERROR(IF(E1442&gt;0,E1442*IF(ISNUMBER(J1442),J1442,IF(C1442="Futures",$C$6,$C$5)),""),"")</f>
        <v/>
      </c>
      <c r="I1442" s="139">
        <f>IFERROR(IF(AND(ISNUMBER(F1442),ISNUMBER(H1442)),F1442-H1442,""),"")</f>
        <v/>
      </c>
      <c r="J1442" s="114" t="n"/>
      <c r="K1442" s="139">
        <f>IFERROR(IF(H1442&gt;0,H1442*$C$7,""),"")</f>
        <v/>
      </c>
      <c r="L1442" s="139">
        <f>IFERROR(IF(ISNUMBER(F1442),F1442-IF(ISNUMBER(K1442),K1442,0),""),"")</f>
        <v/>
      </c>
    </row>
    <row r="1443" ht="24" customHeight="1" s="63">
      <c r="E1443" s="139" t="n"/>
      <c r="F1443" s="139" t="n"/>
      <c r="G1443" s="140">
        <f>IFERROR(IF(E1443&gt;0,(F1443/E1443)*1000,""),"")</f>
        <v/>
      </c>
      <c r="H1443" s="139">
        <f>IFERROR(IF(E1443&gt;0,E1443*IF(ISNUMBER(J1443),J1443,IF(C1443="Futures",$C$6,$C$5)),""),"")</f>
        <v/>
      </c>
      <c r="I1443" s="139">
        <f>IFERROR(IF(AND(ISNUMBER(F1443),ISNUMBER(H1443)),F1443-H1443,""),"")</f>
        <v/>
      </c>
      <c r="J1443" s="114" t="n"/>
      <c r="K1443" s="139">
        <f>IFERROR(IF(H1443&gt;0,H1443*$C$7,""),"")</f>
        <v/>
      </c>
      <c r="L1443" s="139">
        <f>IFERROR(IF(ISNUMBER(F1443),F1443-IF(ISNUMBER(K1443),K1443,0),""),"")</f>
        <v/>
      </c>
    </row>
    <row r="1444" ht="24" customHeight="1" s="63">
      <c r="E1444" s="139" t="n"/>
      <c r="F1444" s="139" t="n"/>
      <c r="G1444" s="140">
        <f>IFERROR(IF(E1444&gt;0,(F1444/E1444)*1000,""),"")</f>
        <v/>
      </c>
      <c r="H1444" s="139">
        <f>IFERROR(IF(E1444&gt;0,E1444*IF(ISNUMBER(J1444),J1444,IF(C1444="Futures",$C$6,$C$5)),""),"")</f>
        <v/>
      </c>
      <c r="I1444" s="139">
        <f>IFERROR(IF(AND(ISNUMBER(F1444),ISNUMBER(H1444)),F1444-H1444,""),"")</f>
        <v/>
      </c>
      <c r="J1444" s="114" t="n"/>
      <c r="K1444" s="139">
        <f>IFERROR(IF(H1444&gt;0,H1444*$C$7,""),"")</f>
        <v/>
      </c>
      <c r="L1444" s="139">
        <f>IFERROR(IF(ISNUMBER(F1444),F1444-IF(ISNUMBER(K1444),K1444,0),""),"")</f>
        <v/>
      </c>
    </row>
    <row r="1445" ht="24" customHeight="1" s="63">
      <c r="E1445" s="139" t="n"/>
      <c r="F1445" s="139" t="n"/>
      <c r="G1445" s="140">
        <f>IFERROR(IF(E1445&gt;0,(F1445/E1445)*1000,""),"")</f>
        <v/>
      </c>
      <c r="H1445" s="139">
        <f>IFERROR(IF(E1445&gt;0,E1445*IF(ISNUMBER(J1445),J1445,IF(C1445="Futures",$C$6,$C$5)),""),"")</f>
        <v/>
      </c>
      <c r="I1445" s="139">
        <f>IFERROR(IF(AND(ISNUMBER(F1445),ISNUMBER(H1445)),F1445-H1445,""),"")</f>
        <v/>
      </c>
      <c r="J1445" s="114" t="n"/>
      <c r="K1445" s="139">
        <f>IFERROR(IF(H1445&gt;0,H1445*$C$7,""),"")</f>
        <v/>
      </c>
      <c r="L1445" s="139">
        <f>IFERROR(IF(ISNUMBER(F1445),F1445-IF(ISNUMBER(K1445),K1445,0),""),"")</f>
        <v/>
      </c>
    </row>
    <row r="1446" ht="24" customHeight="1" s="63">
      <c r="E1446" s="139" t="n"/>
      <c r="F1446" s="139" t="n"/>
      <c r="G1446" s="140">
        <f>IFERROR(IF(E1446&gt;0,(F1446/E1446)*1000,""),"")</f>
        <v/>
      </c>
      <c r="H1446" s="139">
        <f>IFERROR(IF(E1446&gt;0,E1446*IF(ISNUMBER(J1446),J1446,IF(C1446="Futures",$C$6,$C$5)),""),"")</f>
        <v/>
      </c>
      <c r="I1446" s="139">
        <f>IFERROR(IF(AND(ISNUMBER(F1446),ISNUMBER(H1446)),F1446-H1446,""),"")</f>
        <v/>
      </c>
      <c r="J1446" s="114" t="n"/>
      <c r="K1446" s="139">
        <f>IFERROR(IF(H1446&gt;0,H1446*$C$7,""),"")</f>
        <v/>
      </c>
      <c r="L1446" s="139">
        <f>IFERROR(IF(ISNUMBER(F1446),F1446-IF(ISNUMBER(K1446),K1446,0),""),"")</f>
        <v/>
      </c>
    </row>
    <row r="1447" ht="24" customHeight="1" s="63">
      <c r="E1447" s="139" t="n"/>
      <c r="F1447" s="139" t="n"/>
      <c r="G1447" s="140">
        <f>IFERROR(IF(E1447&gt;0,(F1447/E1447)*1000,""),"")</f>
        <v/>
      </c>
      <c r="H1447" s="139">
        <f>IFERROR(IF(E1447&gt;0,E1447*IF(ISNUMBER(J1447),J1447,IF(C1447="Futures",$C$6,$C$5)),""),"")</f>
        <v/>
      </c>
      <c r="I1447" s="139">
        <f>IFERROR(IF(AND(ISNUMBER(F1447),ISNUMBER(H1447)),F1447-H1447,""),"")</f>
        <v/>
      </c>
      <c r="J1447" s="114" t="n"/>
      <c r="K1447" s="139">
        <f>IFERROR(IF(H1447&gt;0,H1447*$C$7,""),"")</f>
        <v/>
      </c>
      <c r="L1447" s="139">
        <f>IFERROR(IF(ISNUMBER(F1447),F1447-IF(ISNUMBER(K1447),K1447,0),""),"")</f>
        <v/>
      </c>
    </row>
    <row r="1448" ht="24" customHeight="1" s="63">
      <c r="E1448" s="139" t="n"/>
      <c r="F1448" s="139" t="n"/>
      <c r="G1448" s="140">
        <f>IFERROR(IF(E1448&gt;0,(F1448/E1448)*1000,""),"")</f>
        <v/>
      </c>
      <c r="H1448" s="139">
        <f>IFERROR(IF(E1448&gt;0,E1448*IF(ISNUMBER(J1448),J1448,IF(C1448="Futures",$C$6,$C$5)),""),"")</f>
        <v/>
      </c>
      <c r="I1448" s="139">
        <f>IFERROR(IF(AND(ISNUMBER(F1448),ISNUMBER(H1448)),F1448-H1448,""),"")</f>
        <v/>
      </c>
      <c r="J1448" s="114" t="n"/>
      <c r="K1448" s="139">
        <f>IFERROR(IF(H1448&gt;0,H1448*$C$7,""),"")</f>
        <v/>
      </c>
      <c r="L1448" s="139">
        <f>IFERROR(IF(ISNUMBER(F1448),F1448-IF(ISNUMBER(K1448),K1448,0),""),"")</f>
        <v/>
      </c>
    </row>
    <row r="1449" ht="24" customHeight="1" s="63">
      <c r="E1449" s="139" t="n"/>
      <c r="F1449" s="139" t="n"/>
      <c r="G1449" s="140">
        <f>IFERROR(IF(E1449&gt;0,(F1449/E1449)*1000,""),"")</f>
        <v/>
      </c>
      <c r="H1449" s="139">
        <f>IFERROR(IF(E1449&gt;0,E1449*IF(ISNUMBER(J1449),J1449,IF(C1449="Futures",$C$6,$C$5)),""),"")</f>
        <v/>
      </c>
      <c r="I1449" s="139">
        <f>IFERROR(IF(AND(ISNUMBER(F1449),ISNUMBER(H1449)),F1449-H1449,""),"")</f>
        <v/>
      </c>
      <c r="J1449" s="114" t="n"/>
      <c r="K1449" s="139">
        <f>IFERROR(IF(H1449&gt;0,H1449*$C$7,""),"")</f>
        <v/>
      </c>
      <c r="L1449" s="139">
        <f>IFERROR(IF(ISNUMBER(F1449),F1449-IF(ISNUMBER(K1449),K1449,0),""),"")</f>
        <v/>
      </c>
    </row>
    <row r="1450" ht="24" customHeight="1" s="63">
      <c r="E1450" s="139" t="n"/>
      <c r="F1450" s="139" t="n"/>
      <c r="G1450" s="140">
        <f>IFERROR(IF(E1450&gt;0,(F1450/E1450)*1000,""),"")</f>
        <v/>
      </c>
      <c r="H1450" s="139">
        <f>IFERROR(IF(E1450&gt;0,E1450*IF(ISNUMBER(J1450),J1450,IF(C1450="Futures",$C$6,$C$5)),""),"")</f>
        <v/>
      </c>
      <c r="I1450" s="139">
        <f>IFERROR(IF(AND(ISNUMBER(F1450),ISNUMBER(H1450)),F1450-H1450,""),"")</f>
        <v/>
      </c>
      <c r="J1450" s="114" t="n"/>
      <c r="K1450" s="139">
        <f>IFERROR(IF(H1450&gt;0,H1450*$C$7,""),"")</f>
        <v/>
      </c>
      <c r="L1450" s="139">
        <f>IFERROR(IF(ISNUMBER(F1450),F1450-IF(ISNUMBER(K1450),K1450,0),""),"")</f>
        <v/>
      </c>
    </row>
    <row r="1451" ht="24" customHeight="1" s="63">
      <c r="E1451" s="139" t="n"/>
      <c r="F1451" s="139" t="n"/>
      <c r="G1451" s="140">
        <f>IFERROR(IF(E1451&gt;0,(F1451/E1451)*1000,""),"")</f>
        <v/>
      </c>
      <c r="H1451" s="139">
        <f>IFERROR(IF(E1451&gt;0,E1451*IF(ISNUMBER(J1451),J1451,IF(C1451="Futures",$C$6,$C$5)),""),"")</f>
        <v/>
      </c>
      <c r="I1451" s="139">
        <f>IFERROR(IF(AND(ISNUMBER(F1451),ISNUMBER(H1451)),F1451-H1451,""),"")</f>
        <v/>
      </c>
      <c r="J1451" s="114" t="n"/>
      <c r="K1451" s="139">
        <f>IFERROR(IF(H1451&gt;0,H1451*$C$7,""),"")</f>
        <v/>
      </c>
      <c r="L1451" s="139">
        <f>IFERROR(IF(ISNUMBER(F1451),F1451-IF(ISNUMBER(K1451),K1451,0),""),"")</f>
        <v/>
      </c>
    </row>
    <row r="1452" ht="24" customHeight="1" s="63">
      <c r="E1452" s="139" t="n"/>
      <c r="F1452" s="139" t="n"/>
      <c r="G1452" s="140">
        <f>IFERROR(IF(E1452&gt;0,(F1452/E1452)*1000,""),"")</f>
        <v/>
      </c>
      <c r="H1452" s="139">
        <f>IFERROR(IF(E1452&gt;0,E1452*IF(ISNUMBER(J1452),J1452,IF(C1452="Futures",$C$6,$C$5)),""),"")</f>
        <v/>
      </c>
      <c r="I1452" s="139">
        <f>IFERROR(IF(AND(ISNUMBER(F1452),ISNUMBER(H1452)),F1452-H1452,""),"")</f>
        <v/>
      </c>
      <c r="J1452" s="114" t="n"/>
      <c r="K1452" s="139">
        <f>IFERROR(IF(H1452&gt;0,H1452*$C$7,""),"")</f>
        <v/>
      </c>
      <c r="L1452" s="139">
        <f>IFERROR(IF(ISNUMBER(F1452),F1452-IF(ISNUMBER(K1452),K1452,0),""),"")</f>
        <v/>
      </c>
    </row>
    <row r="1453" ht="24" customHeight="1" s="63">
      <c r="E1453" s="139" t="n"/>
      <c r="F1453" s="139" t="n"/>
      <c r="G1453" s="140">
        <f>IFERROR(IF(E1453&gt;0,(F1453/E1453)*1000,""),"")</f>
        <v/>
      </c>
      <c r="H1453" s="139">
        <f>IFERROR(IF(E1453&gt;0,E1453*IF(ISNUMBER(J1453),J1453,IF(C1453="Futures",$C$6,$C$5)),""),"")</f>
        <v/>
      </c>
      <c r="I1453" s="139">
        <f>IFERROR(IF(AND(ISNUMBER(F1453),ISNUMBER(H1453)),F1453-H1453,""),"")</f>
        <v/>
      </c>
      <c r="J1453" s="114" t="n"/>
      <c r="K1453" s="139">
        <f>IFERROR(IF(H1453&gt;0,H1453*$C$7,""),"")</f>
        <v/>
      </c>
      <c r="L1453" s="139">
        <f>IFERROR(IF(ISNUMBER(F1453),F1453-IF(ISNUMBER(K1453),K1453,0),""),"")</f>
        <v/>
      </c>
    </row>
    <row r="1454" ht="24" customHeight="1" s="63">
      <c r="E1454" s="139" t="n"/>
      <c r="F1454" s="139" t="n"/>
      <c r="G1454" s="140">
        <f>IFERROR(IF(E1454&gt;0,(F1454/E1454)*1000,""),"")</f>
        <v/>
      </c>
      <c r="H1454" s="139">
        <f>IFERROR(IF(E1454&gt;0,E1454*IF(ISNUMBER(J1454),J1454,IF(C1454="Futures",$C$6,$C$5)),""),"")</f>
        <v/>
      </c>
      <c r="I1454" s="139">
        <f>IFERROR(IF(AND(ISNUMBER(F1454),ISNUMBER(H1454)),F1454-H1454,""),"")</f>
        <v/>
      </c>
      <c r="J1454" s="114" t="n"/>
      <c r="K1454" s="139">
        <f>IFERROR(IF(H1454&gt;0,H1454*$C$7,""),"")</f>
        <v/>
      </c>
      <c r="L1454" s="139">
        <f>IFERROR(IF(ISNUMBER(F1454),F1454-IF(ISNUMBER(K1454),K1454,0),""),"")</f>
        <v/>
      </c>
    </row>
    <row r="1455" ht="24" customHeight="1" s="63">
      <c r="E1455" s="139" t="n"/>
      <c r="F1455" s="139" t="n"/>
      <c r="G1455" s="140">
        <f>IFERROR(IF(E1455&gt;0,(F1455/E1455)*1000,""),"")</f>
        <v/>
      </c>
      <c r="H1455" s="139">
        <f>IFERROR(IF(E1455&gt;0,E1455*IF(ISNUMBER(J1455),J1455,IF(C1455="Futures",$C$6,$C$5)),""),"")</f>
        <v/>
      </c>
      <c r="I1455" s="139">
        <f>IFERROR(IF(AND(ISNUMBER(F1455),ISNUMBER(H1455)),F1455-H1455,""),"")</f>
        <v/>
      </c>
      <c r="J1455" s="114" t="n"/>
      <c r="K1455" s="139">
        <f>IFERROR(IF(H1455&gt;0,H1455*$C$7,""),"")</f>
        <v/>
      </c>
      <c r="L1455" s="139">
        <f>IFERROR(IF(ISNUMBER(F1455),F1455-IF(ISNUMBER(K1455),K1455,0),""),"")</f>
        <v/>
      </c>
    </row>
    <row r="1456" ht="24" customHeight="1" s="63">
      <c r="E1456" s="139" t="n"/>
      <c r="F1456" s="139" t="n"/>
      <c r="G1456" s="140">
        <f>IFERROR(IF(E1456&gt;0,(F1456/E1456)*1000,""),"")</f>
        <v/>
      </c>
      <c r="H1456" s="139">
        <f>IFERROR(IF(E1456&gt;0,E1456*IF(ISNUMBER(J1456),J1456,IF(C1456="Futures",$C$6,$C$5)),""),"")</f>
        <v/>
      </c>
      <c r="I1456" s="139">
        <f>IFERROR(IF(AND(ISNUMBER(F1456),ISNUMBER(H1456)),F1456-H1456,""),"")</f>
        <v/>
      </c>
      <c r="J1456" s="114" t="n"/>
      <c r="K1456" s="139">
        <f>IFERROR(IF(H1456&gt;0,H1456*$C$7,""),"")</f>
        <v/>
      </c>
      <c r="L1456" s="139">
        <f>IFERROR(IF(ISNUMBER(F1456),F1456-IF(ISNUMBER(K1456),K1456,0),""),"")</f>
        <v/>
      </c>
    </row>
    <row r="1457" ht="24" customHeight="1" s="63">
      <c r="E1457" s="139" t="n"/>
      <c r="F1457" s="139" t="n"/>
      <c r="G1457" s="140">
        <f>IFERROR(IF(E1457&gt;0,(F1457/E1457)*1000,""),"")</f>
        <v/>
      </c>
      <c r="H1457" s="139">
        <f>IFERROR(IF(E1457&gt;0,E1457*IF(ISNUMBER(J1457),J1457,IF(C1457="Futures",$C$6,$C$5)),""),"")</f>
        <v/>
      </c>
      <c r="I1457" s="139">
        <f>IFERROR(IF(AND(ISNUMBER(F1457),ISNUMBER(H1457)),F1457-H1457,""),"")</f>
        <v/>
      </c>
      <c r="J1457" s="114" t="n"/>
      <c r="K1457" s="139">
        <f>IFERROR(IF(H1457&gt;0,H1457*$C$7,""),"")</f>
        <v/>
      </c>
      <c r="L1457" s="139">
        <f>IFERROR(IF(ISNUMBER(F1457),F1457-IF(ISNUMBER(K1457),K1457,0),""),"")</f>
        <v/>
      </c>
    </row>
    <row r="1458" ht="24" customHeight="1" s="63">
      <c r="E1458" s="139" t="n"/>
      <c r="F1458" s="139" t="n"/>
      <c r="G1458" s="140">
        <f>IFERROR(IF(E1458&gt;0,(F1458/E1458)*1000,""),"")</f>
        <v/>
      </c>
      <c r="H1458" s="139">
        <f>IFERROR(IF(E1458&gt;0,E1458*IF(ISNUMBER(J1458),J1458,IF(C1458="Futures",$C$6,$C$5)),""),"")</f>
        <v/>
      </c>
      <c r="I1458" s="139">
        <f>IFERROR(IF(AND(ISNUMBER(F1458),ISNUMBER(H1458)),F1458-H1458,""),"")</f>
        <v/>
      </c>
      <c r="J1458" s="114" t="n"/>
      <c r="K1458" s="139">
        <f>IFERROR(IF(H1458&gt;0,H1458*$C$7,""),"")</f>
        <v/>
      </c>
      <c r="L1458" s="139">
        <f>IFERROR(IF(ISNUMBER(F1458),F1458-IF(ISNUMBER(K1458),K1458,0),""),"")</f>
        <v/>
      </c>
    </row>
    <row r="1459" ht="24" customHeight="1" s="63">
      <c r="E1459" s="139" t="n"/>
      <c r="F1459" s="139" t="n"/>
      <c r="G1459" s="140">
        <f>IFERROR(IF(E1459&gt;0,(F1459/E1459)*1000,""),"")</f>
        <v/>
      </c>
      <c r="H1459" s="139">
        <f>IFERROR(IF(E1459&gt;0,E1459*IF(ISNUMBER(J1459),J1459,IF(C1459="Futures",$C$6,$C$5)),""),"")</f>
        <v/>
      </c>
      <c r="I1459" s="139">
        <f>IFERROR(IF(AND(ISNUMBER(F1459),ISNUMBER(H1459)),F1459-H1459,""),"")</f>
        <v/>
      </c>
      <c r="J1459" s="114" t="n"/>
      <c r="K1459" s="139">
        <f>IFERROR(IF(H1459&gt;0,H1459*$C$7,""),"")</f>
        <v/>
      </c>
      <c r="L1459" s="139">
        <f>IFERROR(IF(ISNUMBER(F1459),F1459-IF(ISNUMBER(K1459),K1459,0),""),"")</f>
        <v/>
      </c>
    </row>
    <row r="1460" ht="24" customHeight="1" s="63">
      <c r="E1460" s="139" t="n"/>
      <c r="F1460" s="139" t="n"/>
      <c r="G1460" s="140">
        <f>IFERROR(IF(E1460&gt;0,(F1460/E1460)*1000,""),"")</f>
        <v/>
      </c>
      <c r="H1460" s="139">
        <f>IFERROR(IF(E1460&gt;0,E1460*IF(ISNUMBER(J1460),J1460,IF(C1460="Futures",$C$6,$C$5)),""),"")</f>
        <v/>
      </c>
      <c r="I1460" s="139">
        <f>IFERROR(IF(AND(ISNUMBER(F1460),ISNUMBER(H1460)),F1460-H1460,""),"")</f>
        <v/>
      </c>
      <c r="J1460" s="114" t="n"/>
      <c r="K1460" s="139">
        <f>IFERROR(IF(H1460&gt;0,H1460*$C$7,""),"")</f>
        <v/>
      </c>
      <c r="L1460" s="139">
        <f>IFERROR(IF(ISNUMBER(F1460),F1460-IF(ISNUMBER(K1460),K1460,0),""),"")</f>
        <v/>
      </c>
    </row>
    <row r="1461" ht="24" customHeight="1" s="63">
      <c r="E1461" s="139" t="n"/>
      <c r="F1461" s="139" t="n"/>
      <c r="G1461" s="140">
        <f>IFERROR(IF(E1461&gt;0,(F1461/E1461)*1000,""),"")</f>
        <v/>
      </c>
      <c r="H1461" s="139">
        <f>IFERROR(IF(E1461&gt;0,E1461*IF(ISNUMBER(J1461),J1461,IF(C1461="Futures",$C$6,$C$5)),""),"")</f>
        <v/>
      </c>
      <c r="I1461" s="139">
        <f>IFERROR(IF(AND(ISNUMBER(F1461),ISNUMBER(H1461)),F1461-H1461,""),"")</f>
        <v/>
      </c>
      <c r="J1461" s="114" t="n"/>
      <c r="K1461" s="139">
        <f>IFERROR(IF(H1461&gt;0,H1461*$C$7,""),"")</f>
        <v/>
      </c>
      <c r="L1461" s="139">
        <f>IFERROR(IF(ISNUMBER(F1461),F1461-IF(ISNUMBER(K1461),K1461,0),""),"")</f>
        <v/>
      </c>
    </row>
    <row r="1462" ht="24" customHeight="1" s="63">
      <c r="E1462" s="139" t="n"/>
      <c r="F1462" s="139" t="n"/>
      <c r="G1462" s="140">
        <f>IFERROR(IF(E1462&gt;0,(F1462/E1462)*1000,""),"")</f>
        <v/>
      </c>
      <c r="H1462" s="139">
        <f>IFERROR(IF(E1462&gt;0,E1462*IF(ISNUMBER(J1462),J1462,IF(C1462="Futures",$C$6,$C$5)),""),"")</f>
        <v/>
      </c>
      <c r="I1462" s="139">
        <f>IFERROR(IF(AND(ISNUMBER(F1462),ISNUMBER(H1462)),F1462-H1462,""),"")</f>
        <v/>
      </c>
      <c r="J1462" s="114" t="n"/>
      <c r="K1462" s="139">
        <f>IFERROR(IF(H1462&gt;0,H1462*$C$7,""),"")</f>
        <v/>
      </c>
      <c r="L1462" s="139">
        <f>IFERROR(IF(ISNUMBER(F1462),F1462-IF(ISNUMBER(K1462),K1462,0),""),"")</f>
        <v/>
      </c>
    </row>
    <row r="1463" ht="24" customHeight="1" s="63">
      <c r="E1463" s="139" t="n"/>
      <c r="F1463" s="139" t="n"/>
      <c r="G1463" s="140">
        <f>IFERROR(IF(E1463&gt;0,(F1463/E1463)*1000,""),"")</f>
        <v/>
      </c>
      <c r="H1463" s="139">
        <f>IFERROR(IF(E1463&gt;0,E1463*IF(ISNUMBER(J1463),J1463,IF(C1463="Futures",$C$6,$C$5)),""),"")</f>
        <v/>
      </c>
      <c r="I1463" s="139">
        <f>IFERROR(IF(AND(ISNUMBER(F1463),ISNUMBER(H1463)),F1463-H1463,""),"")</f>
        <v/>
      </c>
      <c r="J1463" s="114" t="n"/>
      <c r="K1463" s="139">
        <f>IFERROR(IF(H1463&gt;0,H1463*$C$7,""),"")</f>
        <v/>
      </c>
      <c r="L1463" s="139">
        <f>IFERROR(IF(ISNUMBER(F1463),F1463-IF(ISNUMBER(K1463),K1463,0),""),"")</f>
        <v/>
      </c>
    </row>
    <row r="1464" ht="24" customHeight="1" s="63">
      <c r="E1464" s="139" t="n"/>
      <c r="F1464" s="139" t="n"/>
      <c r="G1464" s="140">
        <f>IFERROR(IF(E1464&gt;0,(F1464/E1464)*1000,""),"")</f>
        <v/>
      </c>
      <c r="H1464" s="139">
        <f>IFERROR(IF(E1464&gt;0,E1464*IF(ISNUMBER(J1464),J1464,IF(C1464="Futures",$C$6,$C$5)),""),"")</f>
        <v/>
      </c>
      <c r="I1464" s="139">
        <f>IFERROR(IF(AND(ISNUMBER(F1464),ISNUMBER(H1464)),F1464-H1464,""),"")</f>
        <v/>
      </c>
      <c r="J1464" s="114" t="n"/>
      <c r="K1464" s="139">
        <f>IFERROR(IF(H1464&gt;0,H1464*$C$7,""),"")</f>
        <v/>
      </c>
      <c r="L1464" s="139">
        <f>IFERROR(IF(ISNUMBER(F1464),F1464-IF(ISNUMBER(K1464),K1464,0),""),"")</f>
        <v/>
      </c>
    </row>
    <row r="1465" ht="24" customHeight="1" s="63">
      <c r="E1465" s="139" t="n"/>
      <c r="F1465" s="139" t="n"/>
      <c r="G1465" s="140">
        <f>IFERROR(IF(E1465&gt;0,(F1465/E1465)*1000,""),"")</f>
        <v/>
      </c>
      <c r="H1465" s="139">
        <f>IFERROR(IF(E1465&gt;0,E1465*IF(ISNUMBER(J1465),J1465,IF(C1465="Futures",$C$6,$C$5)),""),"")</f>
        <v/>
      </c>
      <c r="I1465" s="139">
        <f>IFERROR(IF(AND(ISNUMBER(F1465),ISNUMBER(H1465)),F1465-H1465,""),"")</f>
        <v/>
      </c>
      <c r="J1465" s="114" t="n"/>
      <c r="K1465" s="139">
        <f>IFERROR(IF(H1465&gt;0,H1465*$C$7,""),"")</f>
        <v/>
      </c>
      <c r="L1465" s="139">
        <f>IFERROR(IF(ISNUMBER(F1465),F1465-IF(ISNUMBER(K1465),K1465,0),""),"")</f>
        <v/>
      </c>
    </row>
    <row r="1466" ht="24" customHeight="1" s="63">
      <c r="E1466" s="139" t="n"/>
      <c r="F1466" s="139" t="n"/>
      <c r="G1466" s="140">
        <f>IFERROR(IF(E1466&gt;0,(F1466/E1466)*1000,""),"")</f>
        <v/>
      </c>
      <c r="H1466" s="139">
        <f>IFERROR(IF(E1466&gt;0,E1466*IF(ISNUMBER(J1466),J1466,IF(C1466="Futures",$C$6,$C$5)),""),"")</f>
        <v/>
      </c>
      <c r="I1466" s="139">
        <f>IFERROR(IF(AND(ISNUMBER(F1466),ISNUMBER(H1466)),F1466-H1466,""),"")</f>
        <v/>
      </c>
      <c r="J1466" s="114" t="n"/>
      <c r="K1466" s="139">
        <f>IFERROR(IF(H1466&gt;0,H1466*$C$7,""),"")</f>
        <v/>
      </c>
      <c r="L1466" s="139">
        <f>IFERROR(IF(ISNUMBER(F1466),F1466-IF(ISNUMBER(K1466),K1466,0),""),"")</f>
        <v/>
      </c>
    </row>
    <row r="1467" ht="24" customHeight="1" s="63">
      <c r="E1467" s="139" t="n"/>
      <c r="F1467" s="139" t="n"/>
      <c r="G1467" s="140">
        <f>IFERROR(IF(E1467&gt;0,(F1467/E1467)*1000,""),"")</f>
        <v/>
      </c>
      <c r="H1467" s="139">
        <f>IFERROR(IF(E1467&gt;0,E1467*IF(ISNUMBER(J1467),J1467,IF(C1467="Futures",$C$6,$C$5)),""),"")</f>
        <v/>
      </c>
      <c r="I1467" s="139">
        <f>IFERROR(IF(AND(ISNUMBER(F1467),ISNUMBER(H1467)),F1467-H1467,""),"")</f>
        <v/>
      </c>
      <c r="J1467" s="114" t="n"/>
      <c r="K1467" s="139">
        <f>IFERROR(IF(H1467&gt;0,H1467*$C$7,""),"")</f>
        <v/>
      </c>
      <c r="L1467" s="139">
        <f>IFERROR(IF(ISNUMBER(F1467),F1467-IF(ISNUMBER(K1467),K1467,0),""),"")</f>
        <v/>
      </c>
    </row>
    <row r="1468" ht="24" customHeight="1" s="63">
      <c r="E1468" s="139" t="n"/>
      <c r="F1468" s="139" t="n"/>
      <c r="G1468" s="140">
        <f>IFERROR(IF(E1468&gt;0,(F1468/E1468)*1000,""),"")</f>
        <v/>
      </c>
      <c r="H1468" s="139">
        <f>IFERROR(IF(E1468&gt;0,E1468*IF(ISNUMBER(J1468),J1468,IF(C1468="Futures",$C$6,$C$5)),""),"")</f>
        <v/>
      </c>
      <c r="I1468" s="139">
        <f>IFERROR(IF(AND(ISNUMBER(F1468),ISNUMBER(H1468)),F1468-H1468,""),"")</f>
        <v/>
      </c>
      <c r="J1468" s="114" t="n"/>
      <c r="K1468" s="139">
        <f>IFERROR(IF(H1468&gt;0,H1468*$C$7,""),"")</f>
        <v/>
      </c>
      <c r="L1468" s="139">
        <f>IFERROR(IF(ISNUMBER(F1468),F1468-IF(ISNUMBER(K1468),K1468,0),""),"")</f>
        <v/>
      </c>
    </row>
    <row r="1469" ht="24" customHeight="1" s="63">
      <c r="E1469" s="139" t="n"/>
      <c r="F1469" s="139" t="n"/>
      <c r="G1469" s="140">
        <f>IFERROR(IF(E1469&gt;0,(F1469/E1469)*1000,""),"")</f>
        <v/>
      </c>
      <c r="H1469" s="139">
        <f>IFERROR(IF(E1469&gt;0,E1469*IF(ISNUMBER(J1469),J1469,IF(C1469="Futures",$C$6,$C$5)),""),"")</f>
        <v/>
      </c>
      <c r="I1469" s="139">
        <f>IFERROR(IF(AND(ISNUMBER(F1469),ISNUMBER(H1469)),F1469-H1469,""),"")</f>
        <v/>
      </c>
      <c r="J1469" s="114" t="n"/>
      <c r="K1469" s="139">
        <f>IFERROR(IF(H1469&gt;0,H1469*$C$7,""),"")</f>
        <v/>
      </c>
      <c r="L1469" s="139">
        <f>IFERROR(IF(ISNUMBER(F1469),F1469-IF(ISNUMBER(K1469),K1469,0),""),"")</f>
        <v/>
      </c>
    </row>
    <row r="1470" ht="24" customHeight="1" s="63">
      <c r="E1470" s="139" t="n"/>
      <c r="F1470" s="139" t="n"/>
      <c r="G1470" s="140">
        <f>IFERROR(IF(E1470&gt;0,(F1470/E1470)*1000,""),"")</f>
        <v/>
      </c>
      <c r="H1470" s="139">
        <f>IFERROR(IF(E1470&gt;0,E1470*IF(ISNUMBER(J1470),J1470,IF(C1470="Futures",$C$6,$C$5)),""),"")</f>
        <v/>
      </c>
      <c r="I1470" s="139">
        <f>IFERROR(IF(AND(ISNUMBER(F1470),ISNUMBER(H1470)),F1470-H1470,""),"")</f>
        <v/>
      </c>
      <c r="J1470" s="114" t="n"/>
      <c r="K1470" s="139">
        <f>IFERROR(IF(H1470&gt;0,H1470*$C$7,""),"")</f>
        <v/>
      </c>
      <c r="L1470" s="139">
        <f>IFERROR(IF(ISNUMBER(F1470),F1470-IF(ISNUMBER(K1470),K1470,0),""),"")</f>
        <v/>
      </c>
    </row>
    <row r="1471" ht="24" customHeight="1" s="63">
      <c r="E1471" s="139" t="n"/>
      <c r="F1471" s="139" t="n"/>
      <c r="G1471" s="140">
        <f>IFERROR(IF(E1471&gt;0,(F1471/E1471)*1000,""),"")</f>
        <v/>
      </c>
      <c r="H1471" s="139">
        <f>IFERROR(IF(E1471&gt;0,E1471*IF(ISNUMBER(J1471),J1471,IF(C1471="Futures",$C$6,$C$5)),""),"")</f>
        <v/>
      </c>
      <c r="I1471" s="139">
        <f>IFERROR(IF(AND(ISNUMBER(F1471),ISNUMBER(H1471)),F1471-H1471,""),"")</f>
        <v/>
      </c>
      <c r="J1471" s="114" t="n"/>
      <c r="K1471" s="139">
        <f>IFERROR(IF(H1471&gt;0,H1471*$C$7,""),"")</f>
        <v/>
      </c>
      <c r="L1471" s="139">
        <f>IFERROR(IF(ISNUMBER(F1471),F1471-IF(ISNUMBER(K1471),K1471,0),""),"")</f>
        <v/>
      </c>
    </row>
    <row r="1472" ht="24" customHeight="1" s="63">
      <c r="E1472" s="139" t="n"/>
      <c r="F1472" s="139" t="n"/>
      <c r="G1472" s="140">
        <f>IFERROR(IF(E1472&gt;0,(F1472/E1472)*1000,""),"")</f>
        <v/>
      </c>
      <c r="H1472" s="139">
        <f>IFERROR(IF(E1472&gt;0,E1472*IF(ISNUMBER(J1472),J1472,IF(C1472="Futures",$C$6,$C$5)),""),"")</f>
        <v/>
      </c>
      <c r="I1472" s="139">
        <f>IFERROR(IF(AND(ISNUMBER(F1472),ISNUMBER(H1472)),F1472-H1472,""),"")</f>
        <v/>
      </c>
      <c r="J1472" s="114" t="n"/>
      <c r="K1472" s="139">
        <f>IFERROR(IF(H1472&gt;0,H1472*$C$7,""),"")</f>
        <v/>
      </c>
      <c r="L1472" s="139">
        <f>IFERROR(IF(ISNUMBER(F1472),F1472-IF(ISNUMBER(K1472),K1472,0),""),"")</f>
        <v/>
      </c>
    </row>
    <row r="1473" ht="24" customHeight="1" s="63">
      <c r="E1473" s="139" t="n"/>
      <c r="F1473" s="139" t="n"/>
      <c r="G1473" s="140">
        <f>IFERROR(IF(E1473&gt;0,(F1473/E1473)*1000,""),"")</f>
        <v/>
      </c>
      <c r="H1473" s="139">
        <f>IFERROR(IF(E1473&gt;0,E1473*IF(ISNUMBER(J1473),J1473,IF(C1473="Futures",$C$6,$C$5)),""),"")</f>
        <v/>
      </c>
      <c r="I1473" s="139">
        <f>IFERROR(IF(AND(ISNUMBER(F1473),ISNUMBER(H1473)),F1473-H1473,""),"")</f>
        <v/>
      </c>
      <c r="J1473" s="114" t="n"/>
      <c r="K1473" s="139">
        <f>IFERROR(IF(H1473&gt;0,H1473*$C$7,""),"")</f>
        <v/>
      </c>
      <c r="L1473" s="139">
        <f>IFERROR(IF(ISNUMBER(F1473),F1473-IF(ISNUMBER(K1473),K1473,0),""),"")</f>
        <v/>
      </c>
    </row>
    <row r="1474" ht="24" customHeight="1" s="63">
      <c r="E1474" s="139" t="n"/>
      <c r="F1474" s="139" t="n"/>
      <c r="G1474" s="140">
        <f>IFERROR(IF(E1474&gt;0,(F1474/E1474)*1000,""),"")</f>
        <v/>
      </c>
      <c r="H1474" s="139">
        <f>IFERROR(IF(E1474&gt;0,E1474*IF(ISNUMBER(J1474),J1474,IF(C1474="Futures",$C$6,$C$5)),""),"")</f>
        <v/>
      </c>
      <c r="I1474" s="139">
        <f>IFERROR(IF(AND(ISNUMBER(F1474),ISNUMBER(H1474)),F1474-H1474,""),"")</f>
        <v/>
      </c>
      <c r="J1474" s="114" t="n"/>
      <c r="K1474" s="139">
        <f>IFERROR(IF(H1474&gt;0,H1474*$C$7,""),"")</f>
        <v/>
      </c>
      <c r="L1474" s="139">
        <f>IFERROR(IF(ISNUMBER(F1474),F1474-IF(ISNUMBER(K1474),K1474,0),""),"")</f>
        <v/>
      </c>
    </row>
    <row r="1475" ht="24" customHeight="1" s="63">
      <c r="E1475" s="139" t="n"/>
      <c r="F1475" s="139" t="n"/>
      <c r="G1475" s="140">
        <f>IFERROR(IF(E1475&gt;0,(F1475/E1475)*1000,""),"")</f>
        <v/>
      </c>
      <c r="H1475" s="139">
        <f>IFERROR(IF(E1475&gt;0,E1475*IF(ISNUMBER(J1475),J1475,IF(C1475="Futures",$C$6,$C$5)),""),"")</f>
        <v/>
      </c>
      <c r="I1475" s="139">
        <f>IFERROR(IF(AND(ISNUMBER(F1475),ISNUMBER(H1475)),F1475-H1475,""),"")</f>
        <v/>
      </c>
      <c r="J1475" s="114" t="n"/>
      <c r="K1475" s="139">
        <f>IFERROR(IF(H1475&gt;0,H1475*$C$7,""),"")</f>
        <v/>
      </c>
      <c r="L1475" s="139">
        <f>IFERROR(IF(ISNUMBER(F1475),F1475-IF(ISNUMBER(K1475),K1475,0),""),"")</f>
        <v/>
      </c>
    </row>
    <row r="1476" ht="24" customHeight="1" s="63">
      <c r="E1476" s="139" t="n"/>
      <c r="F1476" s="139" t="n"/>
      <c r="G1476" s="140">
        <f>IFERROR(IF(E1476&gt;0,(F1476/E1476)*1000,""),"")</f>
        <v/>
      </c>
      <c r="H1476" s="139">
        <f>IFERROR(IF(E1476&gt;0,E1476*IF(ISNUMBER(J1476),J1476,IF(C1476="Futures",$C$6,$C$5)),""),"")</f>
        <v/>
      </c>
      <c r="I1476" s="139">
        <f>IFERROR(IF(AND(ISNUMBER(F1476),ISNUMBER(H1476)),F1476-H1476,""),"")</f>
        <v/>
      </c>
      <c r="J1476" s="114" t="n"/>
      <c r="K1476" s="139">
        <f>IFERROR(IF(H1476&gt;0,H1476*$C$7,""),"")</f>
        <v/>
      </c>
      <c r="L1476" s="139">
        <f>IFERROR(IF(ISNUMBER(F1476),F1476-IF(ISNUMBER(K1476),K1476,0),""),"")</f>
        <v/>
      </c>
    </row>
    <row r="1477" ht="24" customHeight="1" s="63">
      <c r="E1477" s="139" t="n"/>
      <c r="F1477" s="139" t="n"/>
      <c r="G1477" s="140">
        <f>IFERROR(IF(E1477&gt;0,(F1477/E1477)*1000,""),"")</f>
        <v/>
      </c>
      <c r="H1477" s="139">
        <f>IFERROR(IF(E1477&gt;0,E1477*IF(ISNUMBER(J1477),J1477,IF(C1477="Futures",$C$6,$C$5)),""),"")</f>
        <v/>
      </c>
      <c r="I1477" s="139">
        <f>IFERROR(IF(AND(ISNUMBER(F1477),ISNUMBER(H1477)),F1477-H1477,""),"")</f>
        <v/>
      </c>
      <c r="J1477" s="114" t="n"/>
      <c r="K1477" s="139">
        <f>IFERROR(IF(H1477&gt;0,H1477*$C$7,""),"")</f>
        <v/>
      </c>
      <c r="L1477" s="139">
        <f>IFERROR(IF(ISNUMBER(F1477),F1477-IF(ISNUMBER(K1477),K1477,0),""),"")</f>
        <v/>
      </c>
    </row>
    <row r="1478" ht="24" customHeight="1" s="63">
      <c r="E1478" s="139" t="n"/>
      <c r="F1478" s="139" t="n"/>
      <c r="G1478" s="140">
        <f>IFERROR(IF(E1478&gt;0,(F1478/E1478)*1000,""),"")</f>
        <v/>
      </c>
      <c r="H1478" s="139">
        <f>IFERROR(IF(E1478&gt;0,E1478*IF(ISNUMBER(J1478),J1478,IF(C1478="Futures",$C$6,$C$5)),""),"")</f>
        <v/>
      </c>
      <c r="I1478" s="139">
        <f>IFERROR(IF(AND(ISNUMBER(F1478),ISNUMBER(H1478)),F1478-H1478,""),"")</f>
        <v/>
      </c>
      <c r="J1478" s="114" t="n"/>
      <c r="K1478" s="139">
        <f>IFERROR(IF(H1478&gt;0,H1478*$C$7,""),"")</f>
        <v/>
      </c>
      <c r="L1478" s="139">
        <f>IFERROR(IF(ISNUMBER(F1478),F1478-IF(ISNUMBER(K1478),K1478,0),""),"")</f>
        <v/>
      </c>
    </row>
    <row r="1479" ht="24" customHeight="1" s="63">
      <c r="E1479" s="139" t="n"/>
      <c r="F1479" s="139" t="n"/>
      <c r="G1479" s="140">
        <f>IFERROR(IF(E1479&gt;0,(F1479/E1479)*1000,""),"")</f>
        <v/>
      </c>
      <c r="H1479" s="139">
        <f>IFERROR(IF(E1479&gt;0,E1479*IF(ISNUMBER(J1479),J1479,IF(C1479="Futures",$C$6,$C$5)),""),"")</f>
        <v/>
      </c>
      <c r="I1479" s="139">
        <f>IFERROR(IF(AND(ISNUMBER(F1479),ISNUMBER(H1479)),F1479-H1479,""),"")</f>
        <v/>
      </c>
      <c r="J1479" s="114" t="n"/>
      <c r="K1479" s="139">
        <f>IFERROR(IF(H1479&gt;0,H1479*$C$7,""),"")</f>
        <v/>
      </c>
      <c r="L1479" s="139">
        <f>IFERROR(IF(ISNUMBER(F1479),F1479-IF(ISNUMBER(K1479),K1479,0),""),"")</f>
        <v/>
      </c>
    </row>
    <row r="1480" ht="24" customHeight="1" s="63">
      <c r="E1480" s="139" t="n"/>
      <c r="F1480" s="139" t="n"/>
      <c r="G1480" s="140">
        <f>IFERROR(IF(E1480&gt;0,(F1480/E1480)*1000,""),"")</f>
        <v/>
      </c>
      <c r="H1480" s="139">
        <f>IFERROR(IF(E1480&gt;0,E1480*IF(ISNUMBER(J1480),J1480,IF(C1480="Futures",$C$6,$C$5)),""),"")</f>
        <v/>
      </c>
      <c r="I1480" s="139">
        <f>IFERROR(IF(AND(ISNUMBER(F1480),ISNUMBER(H1480)),F1480-H1480,""),"")</f>
        <v/>
      </c>
      <c r="J1480" s="114" t="n"/>
      <c r="K1480" s="139">
        <f>IFERROR(IF(H1480&gt;0,H1480*$C$7,""),"")</f>
        <v/>
      </c>
      <c r="L1480" s="139">
        <f>IFERROR(IF(ISNUMBER(F1480),F1480-IF(ISNUMBER(K1480),K1480,0),""),"")</f>
        <v/>
      </c>
    </row>
    <row r="1481" ht="24" customHeight="1" s="63">
      <c r="E1481" s="139" t="n"/>
      <c r="F1481" s="139" t="n"/>
      <c r="G1481" s="140">
        <f>IFERROR(IF(E1481&gt;0,(F1481/E1481)*1000,""),"")</f>
        <v/>
      </c>
      <c r="H1481" s="139">
        <f>IFERROR(IF(E1481&gt;0,E1481*IF(ISNUMBER(J1481),J1481,IF(C1481="Futures",$C$6,$C$5)),""),"")</f>
        <v/>
      </c>
      <c r="I1481" s="139">
        <f>IFERROR(IF(AND(ISNUMBER(F1481),ISNUMBER(H1481)),F1481-H1481,""),"")</f>
        <v/>
      </c>
      <c r="J1481" s="114" t="n"/>
      <c r="K1481" s="139">
        <f>IFERROR(IF(H1481&gt;0,H1481*$C$7,""),"")</f>
        <v/>
      </c>
      <c r="L1481" s="139">
        <f>IFERROR(IF(ISNUMBER(F1481),F1481-IF(ISNUMBER(K1481),K1481,0),""),"")</f>
        <v/>
      </c>
    </row>
    <row r="1482" ht="24" customHeight="1" s="63">
      <c r="E1482" s="139" t="n"/>
      <c r="F1482" s="139" t="n"/>
      <c r="G1482" s="140">
        <f>IFERROR(IF(E1482&gt;0,(F1482/E1482)*1000,""),"")</f>
        <v/>
      </c>
      <c r="H1482" s="139">
        <f>IFERROR(IF(E1482&gt;0,E1482*IF(ISNUMBER(J1482),J1482,IF(C1482="Futures",$C$6,$C$5)),""),"")</f>
        <v/>
      </c>
      <c r="I1482" s="139">
        <f>IFERROR(IF(AND(ISNUMBER(F1482),ISNUMBER(H1482)),F1482-H1482,""),"")</f>
        <v/>
      </c>
      <c r="J1482" s="114" t="n"/>
      <c r="K1482" s="139">
        <f>IFERROR(IF(H1482&gt;0,H1482*$C$7,""),"")</f>
        <v/>
      </c>
      <c r="L1482" s="139">
        <f>IFERROR(IF(ISNUMBER(F1482),F1482-IF(ISNUMBER(K1482),K1482,0),""),"")</f>
        <v/>
      </c>
    </row>
    <row r="1483" ht="24" customHeight="1" s="63">
      <c r="E1483" s="139" t="n"/>
      <c r="F1483" s="139" t="n"/>
      <c r="G1483" s="140">
        <f>IFERROR(IF(E1483&gt;0,(F1483/E1483)*1000,""),"")</f>
        <v/>
      </c>
      <c r="H1483" s="139">
        <f>IFERROR(IF(E1483&gt;0,E1483*IF(ISNUMBER(J1483),J1483,IF(C1483="Futures",$C$6,$C$5)),""),"")</f>
        <v/>
      </c>
      <c r="I1483" s="139">
        <f>IFERROR(IF(AND(ISNUMBER(F1483),ISNUMBER(H1483)),F1483-H1483,""),"")</f>
        <v/>
      </c>
      <c r="J1483" s="114" t="n"/>
      <c r="K1483" s="139">
        <f>IFERROR(IF(H1483&gt;0,H1483*$C$7,""),"")</f>
        <v/>
      </c>
      <c r="L1483" s="139">
        <f>IFERROR(IF(ISNUMBER(F1483),F1483-IF(ISNUMBER(K1483),K1483,0),""),"")</f>
        <v/>
      </c>
    </row>
    <row r="1484" ht="24" customHeight="1" s="63">
      <c r="E1484" s="139" t="n"/>
      <c r="F1484" s="139" t="n"/>
      <c r="G1484" s="140">
        <f>IFERROR(IF(E1484&gt;0,(F1484/E1484)*1000,""),"")</f>
        <v/>
      </c>
      <c r="H1484" s="139">
        <f>IFERROR(IF(E1484&gt;0,E1484*IF(ISNUMBER(J1484),J1484,IF(C1484="Futures",$C$6,$C$5)),""),"")</f>
        <v/>
      </c>
      <c r="I1484" s="139">
        <f>IFERROR(IF(AND(ISNUMBER(F1484),ISNUMBER(H1484)),F1484-H1484,""),"")</f>
        <v/>
      </c>
      <c r="J1484" s="114" t="n"/>
      <c r="K1484" s="139">
        <f>IFERROR(IF(H1484&gt;0,H1484*$C$7,""),"")</f>
        <v/>
      </c>
      <c r="L1484" s="139">
        <f>IFERROR(IF(ISNUMBER(F1484),F1484-IF(ISNUMBER(K1484),K1484,0),""),"")</f>
        <v/>
      </c>
    </row>
    <row r="1485" ht="24" customHeight="1" s="63">
      <c r="E1485" s="139" t="n"/>
      <c r="F1485" s="139" t="n"/>
      <c r="G1485" s="140">
        <f>IFERROR(IF(E1485&gt;0,(F1485/E1485)*1000,""),"")</f>
        <v/>
      </c>
      <c r="H1485" s="139">
        <f>IFERROR(IF(E1485&gt;0,E1485*IF(ISNUMBER(J1485),J1485,IF(C1485="Futures",$C$6,$C$5)),""),"")</f>
        <v/>
      </c>
      <c r="I1485" s="139">
        <f>IFERROR(IF(AND(ISNUMBER(F1485),ISNUMBER(H1485)),F1485-H1485,""),"")</f>
        <v/>
      </c>
      <c r="J1485" s="114" t="n"/>
      <c r="K1485" s="139">
        <f>IFERROR(IF(H1485&gt;0,H1485*$C$7,""),"")</f>
        <v/>
      </c>
      <c r="L1485" s="139">
        <f>IFERROR(IF(ISNUMBER(F1485),F1485-IF(ISNUMBER(K1485),K1485,0),""),"")</f>
        <v/>
      </c>
    </row>
    <row r="1486" ht="24" customHeight="1" s="63">
      <c r="E1486" s="139" t="n"/>
      <c r="F1486" s="139" t="n"/>
      <c r="G1486" s="140">
        <f>IFERROR(IF(E1486&gt;0,(F1486/E1486)*1000,""),"")</f>
        <v/>
      </c>
      <c r="H1486" s="139">
        <f>IFERROR(IF(E1486&gt;0,E1486*IF(ISNUMBER(J1486),J1486,IF(C1486="Futures",$C$6,$C$5)),""),"")</f>
        <v/>
      </c>
      <c r="I1486" s="139">
        <f>IFERROR(IF(AND(ISNUMBER(F1486),ISNUMBER(H1486)),F1486-H1486,""),"")</f>
        <v/>
      </c>
      <c r="J1486" s="114" t="n"/>
      <c r="K1486" s="139">
        <f>IFERROR(IF(H1486&gt;0,H1486*$C$7,""),"")</f>
        <v/>
      </c>
      <c r="L1486" s="139">
        <f>IFERROR(IF(ISNUMBER(F1486),F1486-IF(ISNUMBER(K1486),K1486,0),""),"")</f>
        <v/>
      </c>
    </row>
    <row r="1487" ht="24" customHeight="1" s="63">
      <c r="E1487" s="139" t="n"/>
      <c r="F1487" s="139" t="n"/>
      <c r="G1487" s="140">
        <f>IFERROR(IF(E1487&gt;0,(F1487/E1487)*1000,""),"")</f>
        <v/>
      </c>
      <c r="H1487" s="139">
        <f>IFERROR(IF(E1487&gt;0,E1487*IF(ISNUMBER(J1487),J1487,IF(C1487="Futures",$C$6,$C$5)),""),"")</f>
        <v/>
      </c>
      <c r="I1487" s="139">
        <f>IFERROR(IF(AND(ISNUMBER(F1487),ISNUMBER(H1487)),F1487-H1487,""),"")</f>
        <v/>
      </c>
      <c r="J1487" s="114" t="n"/>
      <c r="K1487" s="139">
        <f>IFERROR(IF(H1487&gt;0,H1487*$C$7,""),"")</f>
        <v/>
      </c>
      <c r="L1487" s="139">
        <f>IFERROR(IF(ISNUMBER(F1487),F1487-IF(ISNUMBER(K1487),K1487,0),""),"")</f>
        <v/>
      </c>
    </row>
    <row r="1488" ht="24" customHeight="1" s="63">
      <c r="E1488" s="139" t="n"/>
      <c r="F1488" s="139" t="n"/>
      <c r="G1488" s="140">
        <f>IFERROR(IF(E1488&gt;0,(F1488/E1488)*1000,""),"")</f>
        <v/>
      </c>
      <c r="H1488" s="139">
        <f>IFERROR(IF(E1488&gt;0,E1488*IF(ISNUMBER(J1488),J1488,IF(C1488="Futures",$C$6,$C$5)),""),"")</f>
        <v/>
      </c>
      <c r="I1488" s="139">
        <f>IFERROR(IF(AND(ISNUMBER(F1488),ISNUMBER(H1488)),F1488-H1488,""),"")</f>
        <v/>
      </c>
      <c r="J1488" s="114" t="n"/>
      <c r="K1488" s="139">
        <f>IFERROR(IF(H1488&gt;0,H1488*$C$7,""),"")</f>
        <v/>
      </c>
      <c r="L1488" s="139">
        <f>IFERROR(IF(ISNUMBER(F1488),F1488-IF(ISNUMBER(K1488),K1488,0),""),"")</f>
        <v/>
      </c>
    </row>
    <row r="1489" ht="24" customHeight="1" s="63">
      <c r="E1489" s="139" t="n"/>
      <c r="F1489" s="139" t="n"/>
      <c r="G1489" s="140">
        <f>IFERROR(IF(E1489&gt;0,(F1489/E1489)*1000,""),"")</f>
        <v/>
      </c>
      <c r="H1489" s="139">
        <f>IFERROR(IF(E1489&gt;0,E1489*IF(ISNUMBER(J1489),J1489,IF(C1489="Futures",$C$6,$C$5)),""),"")</f>
        <v/>
      </c>
      <c r="I1489" s="139">
        <f>IFERROR(IF(AND(ISNUMBER(F1489),ISNUMBER(H1489)),F1489-H1489,""),"")</f>
        <v/>
      </c>
      <c r="J1489" s="114" t="n"/>
      <c r="K1489" s="139">
        <f>IFERROR(IF(H1489&gt;0,H1489*$C$7,""),"")</f>
        <v/>
      </c>
      <c r="L1489" s="139">
        <f>IFERROR(IF(ISNUMBER(F1489),F1489-IF(ISNUMBER(K1489),K1489,0),""),"")</f>
        <v/>
      </c>
    </row>
    <row r="1490" ht="24" customHeight="1" s="63">
      <c r="E1490" s="139" t="n"/>
      <c r="F1490" s="139" t="n"/>
      <c r="G1490" s="140">
        <f>IFERROR(IF(E1490&gt;0,(F1490/E1490)*1000,""),"")</f>
        <v/>
      </c>
      <c r="H1490" s="139">
        <f>IFERROR(IF(E1490&gt;0,E1490*IF(ISNUMBER(J1490),J1490,IF(C1490="Futures",$C$6,$C$5)),""),"")</f>
        <v/>
      </c>
      <c r="I1490" s="139">
        <f>IFERROR(IF(AND(ISNUMBER(F1490),ISNUMBER(H1490)),F1490-H1490,""),"")</f>
        <v/>
      </c>
      <c r="J1490" s="114" t="n"/>
      <c r="K1490" s="139">
        <f>IFERROR(IF(H1490&gt;0,H1490*$C$7,""),"")</f>
        <v/>
      </c>
      <c r="L1490" s="139">
        <f>IFERROR(IF(ISNUMBER(F1490),F1490-IF(ISNUMBER(K1490),K1490,0),""),"")</f>
        <v/>
      </c>
    </row>
    <row r="1491" ht="24" customHeight="1" s="63">
      <c r="E1491" s="139" t="n"/>
      <c r="F1491" s="139" t="n"/>
      <c r="G1491" s="140">
        <f>IFERROR(IF(E1491&gt;0,(F1491/E1491)*1000,""),"")</f>
        <v/>
      </c>
      <c r="H1491" s="139">
        <f>IFERROR(IF(E1491&gt;0,E1491*IF(ISNUMBER(J1491),J1491,IF(C1491="Futures",$C$6,$C$5)),""),"")</f>
        <v/>
      </c>
      <c r="I1491" s="139">
        <f>IFERROR(IF(AND(ISNUMBER(F1491),ISNUMBER(H1491)),F1491-H1491,""),"")</f>
        <v/>
      </c>
      <c r="J1491" s="114" t="n"/>
      <c r="K1491" s="139">
        <f>IFERROR(IF(H1491&gt;0,H1491*$C$7,""),"")</f>
        <v/>
      </c>
      <c r="L1491" s="139">
        <f>IFERROR(IF(ISNUMBER(F1491),F1491-IF(ISNUMBER(K1491),K1491,0),""),"")</f>
        <v/>
      </c>
    </row>
    <row r="1492" ht="24" customHeight="1" s="63">
      <c r="E1492" s="139" t="n"/>
      <c r="F1492" s="139" t="n"/>
      <c r="G1492" s="140">
        <f>IFERROR(IF(E1492&gt;0,(F1492/E1492)*1000,""),"")</f>
        <v/>
      </c>
      <c r="H1492" s="139">
        <f>IFERROR(IF(E1492&gt;0,E1492*IF(ISNUMBER(J1492),J1492,IF(C1492="Futures",$C$6,$C$5)),""),"")</f>
        <v/>
      </c>
      <c r="I1492" s="139">
        <f>IFERROR(IF(AND(ISNUMBER(F1492),ISNUMBER(H1492)),F1492-H1492,""),"")</f>
        <v/>
      </c>
      <c r="J1492" s="114" t="n"/>
      <c r="K1492" s="139">
        <f>IFERROR(IF(H1492&gt;0,H1492*$C$7,""),"")</f>
        <v/>
      </c>
      <c r="L1492" s="139">
        <f>IFERROR(IF(ISNUMBER(F1492),F1492-IF(ISNUMBER(K1492),K1492,0),""),"")</f>
        <v/>
      </c>
    </row>
    <row r="1493" ht="24" customHeight="1" s="63">
      <c r="E1493" s="139" t="n"/>
      <c r="F1493" s="139" t="n"/>
      <c r="G1493" s="140">
        <f>IFERROR(IF(E1493&gt;0,(F1493/E1493)*1000,""),"")</f>
        <v/>
      </c>
      <c r="H1493" s="139">
        <f>IFERROR(IF(E1493&gt;0,E1493*IF(ISNUMBER(J1493),J1493,IF(C1493="Futures",$C$6,$C$5)),""),"")</f>
        <v/>
      </c>
      <c r="I1493" s="139">
        <f>IFERROR(IF(AND(ISNUMBER(F1493),ISNUMBER(H1493)),F1493-H1493,""),"")</f>
        <v/>
      </c>
      <c r="J1493" s="114" t="n"/>
      <c r="K1493" s="139">
        <f>IFERROR(IF(H1493&gt;0,H1493*$C$7,""),"")</f>
        <v/>
      </c>
      <c r="L1493" s="139">
        <f>IFERROR(IF(ISNUMBER(F1493),F1493-IF(ISNUMBER(K1493),K1493,0),""),"")</f>
        <v/>
      </c>
    </row>
    <row r="1494" ht="24" customHeight="1" s="63">
      <c r="E1494" s="139" t="n"/>
      <c r="F1494" s="139" t="n"/>
      <c r="G1494" s="140">
        <f>IFERROR(IF(E1494&gt;0,(F1494/E1494)*1000,""),"")</f>
        <v/>
      </c>
      <c r="H1494" s="139">
        <f>IFERROR(IF(E1494&gt;0,E1494*IF(ISNUMBER(J1494),J1494,IF(C1494="Futures",$C$6,$C$5)),""),"")</f>
        <v/>
      </c>
      <c r="I1494" s="139">
        <f>IFERROR(IF(AND(ISNUMBER(F1494),ISNUMBER(H1494)),F1494-H1494,""),"")</f>
        <v/>
      </c>
      <c r="J1494" s="114" t="n"/>
      <c r="K1494" s="139">
        <f>IFERROR(IF(H1494&gt;0,H1494*$C$7,""),"")</f>
        <v/>
      </c>
      <c r="L1494" s="139">
        <f>IFERROR(IF(ISNUMBER(F1494),F1494-IF(ISNUMBER(K1494),K1494,0),""),"")</f>
        <v/>
      </c>
    </row>
    <row r="1495" ht="24" customHeight="1" s="63">
      <c r="E1495" s="139" t="n"/>
      <c r="F1495" s="139" t="n"/>
      <c r="G1495" s="140">
        <f>IFERROR(IF(E1495&gt;0,(F1495/E1495)*1000,""),"")</f>
        <v/>
      </c>
      <c r="H1495" s="139">
        <f>IFERROR(IF(E1495&gt;0,E1495*IF(ISNUMBER(J1495),J1495,IF(C1495="Futures",$C$6,$C$5)),""),"")</f>
        <v/>
      </c>
      <c r="I1495" s="139">
        <f>IFERROR(IF(AND(ISNUMBER(F1495),ISNUMBER(H1495)),F1495-H1495,""),"")</f>
        <v/>
      </c>
      <c r="J1495" s="114" t="n"/>
      <c r="K1495" s="139">
        <f>IFERROR(IF(H1495&gt;0,H1495*$C$7,""),"")</f>
        <v/>
      </c>
      <c r="L1495" s="139">
        <f>IFERROR(IF(ISNUMBER(F1495),F1495-IF(ISNUMBER(K1495),K1495,0),""),"")</f>
        <v/>
      </c>
    </row>
    <row r="1496" ht="24" customHeight="1" s="63">
      <c r="E1496" s="139" t="n"/>
      <c r="F1496" s="139" t="n"/>
      <c r="G1496" s="140">
        <f>IFERROR(IF(E1496&gt;0,(F1496/E1496)*1000,""),"")</f>
        <v/>
      </c>
      <c r="H1496" s="139">
        <f>IFERROR(IF(E1496&gt;0,E1496*IF(ISNUMBER(J1496),J1496,IF(C1496="Futures",$C$6,$C$5)),""),"")</f>
        <v/>
      </c>
      <c r="I1496" s="139">
        <f>IFERROR(IF(AND(ISNUMBER(F1496),ISNUMBER(H1496)),F1496-H1496,""),"")</f>
        <v/>
      </c>
      <c r="J1496" s="114" t="n"/>
      <c r="K1496" s="139">
        <f>IFERROR(IF(H1496&gt;0,H1496*$C$7,""),"")</f>
        <v/>
      </c>
      <c r="L1496" s="139">
        <f>IFERROR(IF(ISNUMBER(F1496),F1496-IF(ISNUMBER(K1496),K1496,0),""),"")</f>
        <v/>
      </c>
    </row>
    <row r="1497" ht="24" customHeight="1" s="63">
      <c r="E1497" s="139" t="n"/>
      <c r="F1497" s="139" t="n"/>
      <c r="G1497" s="140">
        <f>IFERROR(IF(E1497&gt;0,(F1497/E1497)*1000,""),"")</f>
        <v/>
      </c>
      <c r="H1497" s="139">
        <f>IFERROR(IF(E1497&gt;0,E1497*IF(ISNUMBER(J1497),J1497,IF(C1497="Futures",$C$6,$C$5)),""),"")</f>
        <v/>
      </c>
      <c r="I1497" s="139">
        <f>IFERROR(IF(AND(ISNUMBER(F1497),ISNUMBER(H1497)),F1497-H1497,""),"")</f>
        <v/>
      </c>
      <c r="J1497" s="114" t="n"/>
      <c r="K1497" s="139">
        <f>IFERROR(IF(H1497&gt;0,H1497*$C$7,""),"")</f>
        <v/>
      </c>
      <c r="L1497" s="139">
        <f>IFERROR(IF(ISNUMBER(F1497),F1497-IF(ISNUMBER(K1497),K1497,0),""),"")</f>
        <v/>
      </c>
    </row>
    <row r="1498" ht="24" customHeight="1" s="63">
      <c r="E1498" s="139" t="n"/>
      <c r="F1498" s="139" t="n"/>
      <c r="G1498" s="140">
        <f>IFERROR(IF(E1498&gt;0,(F1498/E1498)*1000,""),"")</f>
        <v/>
      </c>
      <c r="H1498" s="139">
        <f>IFERROR(IF(E1498&gt;0,E1498*IF(ISNUMBER(J1498),J1498,IF(C1498="Futures",$C$6,$C$5)),""),"")</f>
        <v/>
      </c>
      <c r="I1498" s="139">
        <f>IFERROR(IF(AND(ISNUMBER(F1498),ISNUMBER(H1498)),F1498-H1498,""),"")</f>
        <v/>
      </c>
      <c r="J1498" s="114" t="n"/>
      <c r="K1498" s="139">
        <f>IFERROR(IF(H1498&gt;0,H1498*$C$7,""),"")</f>
        <v/>
      </c>
      <c r="L1498" s="139">
        <f>IFERROR(IF(ISNUMBER(F1498),F1498-IF(ISNUMBER(K1498),K1498,0),""),"")</f>
        <v/>
      </c>
    </row>
    <row r="1499" ht="24" customHeight="1" s="63">
      <c r="E1499" s="139" t="n"/>
      <c r="F1499" s="139" t="n"/>
      <c r="G1499" s="140">
        <f>IFERROR(IF(E1499&gt;0,(F1499/E1499)*1000,""),"")</f>
        <v/>
      </c>
      <c r="H1499" s="139">
        <f>IFERROR(IF(E1499&gt;0,E1499*IF(ISNUMBER(J1499),J1499,IF(C1499="Futures",$C$6,$C$5)),""),"")</f>
        <v/>
      </c>
      <c r="I1499" s="139">
        <f>IFERROR(IF(AND(ISNUMBER(F1499),ISNUMBER(H1499)),F1499-H1499,""),"")</f>
        <v/>
      </c>
      <c r="J1499" s="114" t="n"/>
      <c r="K1499" s="139">
        <f>IFERROR(IF(H1499&gt;0,H1499*$C$7,""),"")</f>
        <v/>
      </c>
      <c r="L1499" s="139">
        <f>IFERROR(IF(ISNUMBER(F1499),F1499-IF(ISNUMBER(K1499),K1499,0),""),"")</f>
        <v/>
      </c>
    </row>
    <row r="1500" ht="24" customHeight="1" s="63">
      <c r="E1500" s="139" t="n"/>
      <c r="F1500" s="139" t="n"/>
      <c r="G1500" s="140">
        <f>IFERROR(IF(E1500&gt;0,(F1500/E1500)*1000,""),"")</f>
        <v/>
      </c>
      <c r="H1500" s="139">
        <f>IFERROR(IF(E1500&gt;0,E1500*IF(ISNUMBER(J1500),J1500,IF(C1500="Futures",$C$6,$C$5)),""),"")</f>
        <v/>
      </c>
      <c r="I1500" s="139">
        <f>IFERROR(IF(AND(ISNUMBER(F1500),ISNUMBER(H1500)),F1500-H1500,""),"")</f>
        <v/>
      </c>
      <c r="J1500" s="114" t="n"/>
      <c r="K1500" s="139">
        <f>IFERROR(IF(H1500&gt;0,H1500*$C$7,""),"")</f>
        <v/>
      </c>
      <c r="L1500" s="139">
        <f>IFERROR(IF(ISNUMBER(F1500),F1500-IF(ISNUMBER(K1500),K1500,0),""),"")</f>
        <v/>
      </c>
    </row>
    <row r="1501" ht="24" customHeight="1" s="63">
      <c r="E1501" s="139" t="n"/>
      <c r="F1501" s="139" t="n"/>
      <c r="G1501" s="140">
        <f>IFERROR(IF(E1501&gt;0,(F1501/E1501)*1000,""),"")</f>
        <v/>
      </c>
      <c r="H1501" s="139">
        <f>IFERROR(IF(E1501&gt;0,E1501*IF(ISNUMBER(J1501),J1501,IF(C1501="Futures",$C$6,$C$5)),""),"")</f>
        <v/>
      </c>
      <c r="I1501" s="139">
        <f>IFERROR(IF(AND(ISNUMBER(F1501),ISNUMBER(H1501)),F1501-H1501,""),"")</f>
        <v/>
      </c>
      <c r="J1501" s="114" t="n"/>
      <c r="K1501" s="139">
        <f>IFERROR(IF(H1501&gt;0,H1501*$C$7,""),"")</f>
        <v/>
      </c>
      <c r="L1501" s="139">
        <f>IFERROR(IF(ISNUMBER(F1501),F1501-IF(ISNUMBER(K1501),K1501,0),""),"")</f>
        <v/>
      </c>
    </row>
    <row r="1502" ht="24" customHeight="1" s="63">
      <c r="E1502" s="139" t="n"/>
      <c r="F1502" s="139" t="n"/>
      <c r="G1502" s="140">
        <f>IFERROR(IF(E1502&gt;0,(F1502/E1502)*1000,""),"")</f>
        <v/>
      </c>
      <c r="H1502" s="139">
        <f>IFERROR(IF(E1502&gt;0,E1502*IF(ISNUMBER(J1502),J1502,IF(C1502="Futures",$C$6,$C$5)),""),"")</f>
        <v/>
      </c>
      <c r="I1502" s="139">
        <f>IFERROR(IF(AND(ISNUMBER(F1502),ISNUMBER(H1502)),F1502-H1502,""),"")</f>
        <v/>
      </c>
      <c r="J1502" s="114" t="n"/>
      <c r="K1502" s="139">
        <f>IFERROR(IF(H1502&gt;0,H1502*$C$7,""),"")</f>
        <v/>
      </c>
      <c r="L1502" s="139">
        <f>IFERROR(IF(ISNUMBER(F1502),F1502-IF(ISNUMBER(K1502),K1502,0),""),"")</f>
        <v/>
      </c>
    </row>
    <row r="1503" ht="24" customHeight="1" s="63">
      <c r="E1503" s="139" t="n"/>
      <c r="F1503" s="139" t="n"/>
      <c r="G1503" s="140">
        <f>IFERROR(IF(E1503&gt;0,(F1503/E1503)*1000,""),"")</f>
        <v/>
      </c>
      <c r="H1503" s="139">
        <f>IFERROR(IF(E1503&gt;0,E1503*IF(ISNUMBER(J1503),J1503,IF(C1503="Futures",$C$6,$C$5)),""),"")</f>
        <v/>
      </c>
      <c r="I1503" s="139">
        <f>IFERROR(IF(AND(ISNUMBER(F1503),ISNUMBER(H1503)),F1503-H1503,""),"")</f>
        <v/>
      </c>
      <c r="J1503" s="114" t="n"/>
      <c r="K1503" s="139">
        <f>IFERROR(IF(H1503&gt;0,H1503*$C$7,""),"")</f>
        <v/>
      </c>
      <c r="L1503" s="139">
        <f>IFERROR(IF(ISNUMBER(F1503),F1503-IF(ISNUMBER(K1503),K1503,0),""),"")</f>
        <v/>
      </c>
    </row>
    <row r="1504" ht="24" customHeight="1" s="63">
      <c r="E1504" s="139" t="n"/>
      <c r="F1504" s="139" t="n"/>
      <c r="G1504" s="140">
        <f>IFERROR(IF(E1504&gt;0,(F1504/E1504)*1000,""),"")</f>
        <v/>
      </c>
      <c r="H1504" s="139">
        <f>IFERROR(IF(E1504&gt;0,E1504*IF(ISNUMBER(J1504),J1504,IF(C1504="Futures",$C$6,$C$5)),""),"")</f>
        <v/>
      </c>
      <c r="I1504" s="139">
        <f>IFERROR(IF(AND(ISNUMBER(F1504),ISNUMBER(H1504)),F1504-H1504,""),"")</f>
        <v/>
      </c>
      <c r="J1504" s="114" t="n"/>
      <c r="K1504" s="139">
        <f>IFERROR(IF(H1504&gt;0,H1504*$C$7,""),"")</f>
        <v/>
      </c>
      <c r="L1504" s="139">
        <f>IFERROR(IF(ISNUMBER(F1504),F1504-IF(ISNUMBER(K1504),K1504,0),""),"")</f>
        <v/>
      </c>
    </row>
    <row r="1505" ht="24" customHeight="1" s="63">
      <c r="E1505" s="139" t="n"/>
      <c r="F1505" s="139" t="n"/>
      <c r="G1505" s="140">
        <f>IFERROR(IF(E1505&gt;0,(F1505/E1505)*1000,""),"")</f>
        <v/>
      </c>
      <c r="H1505" s="139">
        <f>IFERROR(IF(E1505&gt;0,E1505*IF(ISNUMBER(J1505),J1505,IF(C1505="Futures",$C$6,$C$5)),""),"")</f>
        <v/>
      </c>
      <c r="I1505" s="139">
        <f>IFERROR(IF(AND(ISNUMBER(F1505),ISNUMBER(H1505)),F1505-H1505,""),"")</f>
        <v/>
      </c>
      <c r="J1505" s="114" t="n"/>
      <c r="K1505" s="139">
        <f>IFERROR(IF(H1505&gt;0,H1505*$C$7,""),"")</f>
        <v/>
      </c>
      <c r="L1505" s="139">
        <f>IFERROR(IF(ISNUMBER(F1505),F1505-IF(ISNUMBER(K1505),K1505,0),""),"")</f>
        <v/>
      </c>
    </row>
    <row r="1506" ht="24" customHeight="1" s="63">
      <c r="E1506" s="139" t="n"/>
      <c r="F1506" s="139" t="n"/>
      <c r="G1506" s="140">
        <f>IFERROR(IF(E1506&gt;0,(F1506/E1506)*1000,""),"")</f>
        <v/>
      </c>
      <c r="H1506" s="139">
        <f>IFERROR(IF(E1506&gt;0,E1506*IF(ISNUMBER(J1506),J1506,IF(C1506="Futures",$C$6,$C$5)),""),"")</f>
        <v/>
      </c>
      <c r="I1506" s="139">
        <f>IFERROR(IF(AND(ISNUMBER(F1506),ISNUMBER(H1506)),F1506-H1506,""),"")</f>
        <v/>
      </c>
      <c r="J1506" s="114" t="n"/>
      <c r="K1506" s="139">
        <f>IFERROR(IF(H1506&gt;0,H1506*$C$7,""),"")</f>
        <v/>
      </c>
      <c r="L1506" s="139">
        <f>IFERROR(IF(ISNUMBER(F1506),F1506-IF(ISNUMBER(K1506),K1506,0),""),"")</f>
        <v/>
      </c>
    </row>
    <row r="1507" ht="24" customHeight="1" s="63">
      <c r="E1507" s="139" t="n"/>
      <c r="F1507" s="139" t="n"/>
      <c r="G1507" s="140">
        <f>IFERROR(IF(E1507&gt;0,(F1507/E1507)*1000,""),"")</f>
        <v/>
      </c>
      <c r="H1507" s="139">
        <f>IFERROR(IF(E1507&gt;0,E1507*IF(ISNUMBER(J1507),J1507,IF(C1507="Futures",$C$6,$C$5)),""),"")</f>
        <v/>
      </c>
      <c r="I1507" s="139">
        <f>IFERROR(IF(AND(ISNUMBER(F1507),ISNUMBER(H1507)),F1507-H1507,""),"")</f>
        <v/>
      </c>
      <c r="J1507" s="114" t="n"/>
      <c r="K1507" s="139">
        <f>IFERROR(IF(H1507&gt;0,H1507*$C$7,""),"")</f>
        <v/>
      </c>
      <c r="L1507" s="139">
        <f>IFERROR(IF(ISNUMBER(F1507),F1507-IF(ISNUMBER(K1507),K1507,0),""),"")</f>
        <v/>
      </c>
    </row>
    <row r="1508" ht="24" customHeight="1" s="63">
      <c r="E1508" s="139" t="n"/>
      <c r="F1508" s="139" t="n"/>
      <c r="G1508" s="140">
        <f>IFERROR(IF(E1508&gt;0,(F1508/E1508)*1000,""),"")</f>
        <v/>
      </c>
      <c r="H1508" s="139">
        <f>IFERROR(IF(E1508&gt;0,E1508*IF(ISNUMBER(J1508),J1508,IF(C1508="Futures",$C$6,$C$5)),""),"")</f>
        <v/>
      </c>
      <c r="I1508" s="139">
        <f>IFERROR(IF(AND(ISNUMBER(F1508),ISNUMBER(H1508)),F1508-H1508,""),"")</f>
        <v/>
      </c>
      <c r="J1508" s="114" t="n"/>
      <c r="K1508" s="139">
        <f>IFERROR(IF(H1508&gt;0,H1508*$C$7,""),"")</f>
        <v/>
      </c>
      <c r="L1508" s="139">
        <f>IFERROR(IF(ISNUMBER(F1508),F1508-IF(ISNUMBER(K1508),K1508,0),""),"")</f>
        <v/>
      </c>
    </row>
    <row r="1509" ht="24" customHeight="1" s="63">
      <c r="E1509" s="139" t="n"/>
      <c r="F1509" s="139" t="n"/>
      <c r="G1509" s="140">
        <f>IFERROR(IF(E1509&gt;0,(F1509/E1509)*1000,""),"")</f>
        <v/>
      </c>
      <c r="H1509" s="139">
        <f>IFERROR(IF(E1509&gt;0,E1509*IF(ISNUMBER(J1509),J1509,IF(C1509="Futures",$C$6,$C$5)),""),"")</f>
        <v/>
      </c>
      <c r="I1509" s="139">
        <f>IFERROR(IF(AND(ISNUMBER(F1509),ISNUMBER(H1509)),F1509-H1509,""),"")</f>
        <v/>
      </c>
      <c r="J1509" s="114" t="n"/>
      <c r="K1509" s="139">
        <f>IFERROR(IF(H1509&gt;0,H1509*$C$7,""),"")</f>
        <v/>
      </c>
      <c r="L1509" s="139">
        <f>IFERROR(IF(ISNUMBER(F1509),F1509-IF(ISNUMBER(K1509),K1509,0),""),"")</f>
        <v/>
      </c>
    </row>
    <row r="1510" ht="24" customHeight="1" s="63">
      <c r="E1510" s="139" t="n"/>
      <c r="F1510" s="139" t="n"/>
      <c r="G1510" s="140">
        <f>IFERROR(IF(E1510&gt;0,(F1510/E1510)*1000,""),"")</f>
        <v/>
      </c>
      <c r="H1510" s="139">
        <f>IFERROR(IF(E1510&gt;0,E1510*IF(ISNUMBER(J1510),J1510,IF(C1510="Futures",$C$6,$C$5)),""),"")</f>
        <v/>
      </c>
      <c r="I1510" s="139">
        <f>IFERROR(IF(AND(ISNUMBER(F1510),ISNUMBER(H1510)),F1510-H1510,""),"")</f>
        <v/>
      </c>
      <c r="J1510" s="114" t="n"/>
      <c r="K1510" s="139">
        <f>IFERROR(IF(H1510&gt;0,H1510*$C$7,""),"")</f>
        <v/>
      </c>
      <c r="L1510" s="139">
        <f>IFERROR(IF(ISNUMBER(F1510),F1510-IF(ISNUMBER(K1510),K1510,0),""),"")</f>
        <v/>
      </c>
    </row>
    <row r="1511" ht="24" customHeight="1" s="63">
      <c r="E1511" s="139" t="n"/>
      <c r="F1511" s="139" t="n"/>
      <c r="G1511" s="140">
        <f>IFERROR(IF(E1511&gt;0,(F1511/E1511)*1000,""),"")</f>
        <v/>
      </c>
      <c r="H1511" s="139">
        <f>IFERROR(IF(E1511&gt;0,E1511*IF(ISNUMBER(J1511),J1511,IF(C1511="Futures",$C$6,$C$5)),""),"")</f>
        <v/>
      </c>
      <c r="I1511" s="139">
        <f>IFERROR(IF(AND(ISNUMBER(F1511),ISNUMBER(H1511)),F1511-H1511,""),"")</f>
        <v/>
      </c>
      <c r="J1511" s="114" t="n"/>
      <c r="K1511" s="139">
        <f>IFERROR(IF(H1511&gt;0,H1511*$C$7,""),"")</f>
        <v/>
      </c>
      <c r="L1511" s="139">
        <f>IFERROR(IF(ISNUMBER(F1511),F1511-IF(ISNUMBER(K1511),K1511,0),""),"")</f>
        <v/>
      </c>
    </row>
    <row r="1512" ht="24" customHeight="1" s="63">
      <c r="E1512" s="139" t="n"/>
      <c r="F1512" s="139" t="n"/>
      <c r="G1512" s="140">
        <f>IFERROR(IF(E1512&gt;0,(F1512/E1512)*1000,""),"")</f>
        <v/>
      </c>
      <c r="H1512" s="139">
        <f>IFERROR(IF(E1512&gt;0,E1512*IF(ISNUMBER(J1512),J1512,IF(C1512="Futures",$C$6,$C$5)),""),"")</f>
        <v/>
      </c>
      <c r="I1512" s="139">
        <f>IFERROR(IF(AND(ISNUMBER(F1512),ISNUMBER(H1512)),F1512-H1512,""),"")</f>
        <v/>
      </c>
      <c r="J1512" s="114" t="n"/>
      <c r="K1512" s="139">
        <f>IFERROR(IF(H1512&gt;0,H1512*$C$7,""),"")</f>
        <v/>
      </c>
      <c r="L1512" s="139">
        <f>IFERROR(IF(ISNUMBER(F1512),F1512-IF(ISNUMBER(K1512),K1512,0),""),"")</f>
        <v/>
      </c>
    </row>
    <row r="1513" ht="24" customHeight="1" s="63">
      <c r="E1513" s="139" t="n"/>
      <c r="F1513" s="139" t="n"/>
      <c r="G1513" s="140">
        <f>IFERROR(IF(E1513&gt;0,(F1513/E1513)*1000,""),"")</f>
        <v/>
      </c>
      <c r="H1513" s="139">
        <f>IFERROR(IF(E1513&gt;0,E1513*IF(ISNUMBER(J1513),J1513,IF(C1513="Futures",$C$6,$C$5)),""),"")</f>
        <v/>
      </c>
      <c r="I1513" s="139">
        <f>IFERROR(IF(AND(ISNUMBER(F1513),ISNUMBER(H1513)),F1513-H1513,""),"")</f>
        <v/>
      </c>
      <c r="J1513" s="114" t="n"/>
      <c r="K1513" s="139">
        <f>IFERROR(IF(H1513&gt;0,H1513*$C$7,""),"")</f>
        <v/>
      </c>
      <c r="L1513" s="139">
        <f>IFERROR(IF(ISNUMBER(F1513),F1513-IF(ISNUMBER(K1513),K1513,0),""),"")</f>
        <v/>
      </c>
    </row>
    <row r="1514" ht="24" customHeight="1" s="63">
      <c r="E1514" s="139" t="n"/>
      <c r="F1514" s="139" t="n"/>
      <c r="G1514" s="140">
        <f>IFERROR(IF(E1514&gt;0,(F1514/E1514)*1000,""),"")</f>
        <v/>
      </c>
      <c r="H1514" s="139">
        <f>IFERROR(IF(E1514&gt;0,E1514*IF(ISNUMBER(J1514),J1514,IF(C1514="Futures",$C$6,$C$5)),""),"")</f>
        <v/>
      </c>
      <c r="I1514" s="139">
        <f>IFERROR(IF(AND(ISNUMBER(F1514),ISNUMBER(H1514)),F1514-H1514,""),"")</f>
        <v/>
      </c>
      <c r="J1514" s="114" t="n"/>
      <c r="K1514" s="139">
        <f>IFERROR(IF(H1514&gt;0,H1514*$C$7,""),"")</f>
        <v/>
      </c>
      <c r="L1514" s="139">
        <f>IFERROR(IF(ISNUMBER(F1514),F1514-IF(ISNUMBER(K1514),K1514,0),""),"")</f>
        <v/>
      </c>
    </row>
    <row r="1515" ht="24" customHeight="1" s="63">
      <c r="E1515" s="139" t="n"/>
      <c r="F1515" s="139" t="n"/>
      <c r="G1515" s="140">
        <f>IFERROR(IF(E1515&gt;0,(F1515/E1515)*1000,""),"")</f>
        <v/>
      </c>
      <c r="H1515" s="139">
        <f>IFERROR(IF(E1515&gt;0,E1515*IF(ISNUMBER(J1515),J1515,IF(C1515="Futures",$C$6,$C$5)),""),"")</f>
        <v/>
      </c>
      <c r="I1515" s="139">
        <f>IFERROR(IF(AND(ISNUMBER(F1515),ISNUMBER(H1515)),F1515-H1515,""),"")</f>
        <v/>
      </c>
      <c r="J1515" s="114" t="n"/>
      <c r="K1515" s="139">
        <f>IFERROR(IF(H1515&gt;0,H1515*$C$7,""),"")</f>
        <v/>
      </c>
      <c r="L1515" s="139">
        <f>IFERROR(IF(ISNUMBER(F1515),F1515-IF(ISNUMBER(K1515),K1515,0),""),"")</f>
        <v/>
      </c>
    </row>
    <row r="1516" ht="24" customHeight="1" s="63">
      <c r="E1516" s="139" t="n"/>
      <c r="F1516" s="139" t="n"/>
      <c r="G1516" s="140">
        <f>IFERROR(IF(E1516&gt;0,(F1516/E1516)*1000,""),"")</f>
        <v/>
      </c>
      <c r="H1516" s="139">
        <f>IFERROR(IF(E1516&gt;0,E1516*IF(ISNUMBER(J1516),J1516,IF(C1516="Futures",$C$6,$C$5)),""),"")</f>
        <v/>
      </c>
      <c r="I1516" s="139">
        <f>IFERROR(IF(AND(ISNUMBER(F1516),ISNUMBER(H1516)),F1516-H1516,""),"")</f>
        <v/>
      </c>
      <c r="J1516" s="114" t="n"/>
      <c r="K1516" s="139">
        <f>IFERROR(IF(H1516&gt;0,H1516*$C$7,""),"")</f>
        <v/>
      </c>
      <c r="L1516" s="139">
        <f>IFERROR(IF(ISNUMBER(F1516),F1516-IF(ISNUMBER(K1516),K1516,0),""),"")</f>
        <v/>
      </c>
    </row>
    <row r="1517" ht="24" customHeight="1" s="63">
      <c r="E1517" s="139" t="n"/>
      <c r="F1517" s="139" t="n"/>
      <c r="G1517" s="140">
        <f>IFERROR(IF(E1517&gt;0,(F1517/E1517)*1000,""),"")</f>
        <v/>
      </c>
      <c r="H1517" s="139">
        <f>IFERROR(IF(E1517&gt;0,E1517*IF(ISNUMBER(J1517),J1517,IF(C1517="Futures",$C$6,$C$5)),""),"")</f>
        <v/>
      </c>
      <c r="I1517" s="139">
        <f>IFERROR(IF(AND(ISNUMBER(F1517),ISNUMBER(H1517)),F1517-H1517,""),"")</f>
        <v/>
      </c>
      <c r="J1517" s="114" t="n"/>
      <c r="K1517" s="139">
        <f>IFERROR(IF(H1517&gt;0,H1517*$C$7,""),"")</f>
        <v/>
      </c>
      <c r="L1517" s="139">
        <f>IFERROR(IF(ISNUMBER(F1517),F1517-IF(ISNUMBER(K1517),K1517,0),""),"")</f>
        <v/>
      </c>
    </row>
    <row r="1518" ht="24" customHeight="1" s="63">
      <c r="E1518" s="139" t="n"/>
      <c r="F1518" s="139" t="n"/>
      <c r="G1518" s="140">
        <f>IFERROR(IF(E1518&gt;0,(F1518/E1518)*1000,""),"")</f>
        <v/>
      </c>
      <c r="H1518" s="139">
        <f>IFERROR(IF(E1518&gt;0,E1518*IF(ISNUMBER(J1518),J1518,IF(C1518="Futures",$C$6,$C$5)),""),"")</f>
        <v/>
      </c>
      <c r="I1518" s="139">
        <f>IFERROR(IF(AND(ISNUMBER(F1518),ISNUMBER(H1518)),F1518-H1518,""),"")</f>
        <v/>
      </c>
      <c r="J1518" s="114" t="n"/>
      <c r="K1518" s="139">
        <f>IFERROR(IF(H1518&gt;0,H1518*$C$7,""),"")</f>
        <v/>
      </c>
      <c r="L1518" s="139">
        <f>IFERROR(IF(ISNUMBER(F1518),F1518-IF(ISNUMBER(K1518),K1518,0),""),"")</f>
        <v/>
      </c>
    </row>
    <row r="1519" ht="24" customHeight="1" s="63">
      <c r="E1519" s="139" t="n"/>
      <c r="F1519" s="139" t="n"/>
      <c r="G1519" s="140">
        <f>IFERROR(IF(E1519&gt;0,(F1519/E1519)*1000,""),"")</f>
        <v/>
      </c>
      <c r="H1519" s="139">
        <f>IFERROR(IF(E1519&gt;0,E1519*IF(ISNUMBER(J1519),J1519,IF(C1519="Futures",$C$6,$C$5)),""),"")</f>
        <v/>
      </c>
      <c r="I1519" s="139">
        <f>IFERROR(IF(AND(ISNUMBER(F1519),ISNUMBER(H1519)),F1519-H1519,""),"")</f>
        <v/>
      </c>
      <c r="J1519" s="114" t="n"/>
      <c r="K1519" s="139">
        <f>IFERROR(IF(H1519&gt;0,H1519*$C$7,""),"")</f>
        <v/>
      </c>
      <c r="L1519" s="139">
        <f>IFERROR(IF(ISNUMBER(F1519),F1519-IF(ISNUMBER(K1519),K1519,0),""),"")</f>
        <v/>
      </c>
    </row>
    <row r="1520" ht="24" customHeight="1" s="63">
      <c r="E1520" s="139" t="n"/>
      <c r="F1520" s="139" t="n"/>
      <c r="G1520" s="140">
        <f>IFERROR(IF(E1520&gt;0,(F1520/E1520)*1000,""),"")</f>
        <v/>
      </c>
      <c r="H1520" s="139">
        <f>IFERROR(IF(E1520&gt;0,E1520*IF(ISNUMBER(J1520),J1520,IF(C1520="Futures",$C$6,$C$5)),""),"")</f>
        <v/>
      </c>
      <c r="I1520" s="139">
        <f>IFERROR(IF(AND(ISNUMBER(F1520),ISNUMBER(H1520)),F1520-H1520,""),"")</f>
        <v/>
      </c>
      <c r="J1520" s="114" t="n"/>
      <c r="K1520" s="139">
        <f>IFERROR(IF(H1520&gt;0,H1520*$C$7,""),"")</f>
        <v/>
      </c>
      <c r="L1520" s="139">
        <f>IFERROR(IF(ISNUMBER(F1520),F1520-IF(ISNUMBER(K1520),K1520,0),""),"")</f>
        <v/>
      </c>
    </row>
    <row r="1521" ht="24" customHeight="1" s="63">
      <c r="E1521" s="139" t="n"/>
      <c r="F1521" s="139" t="n"/>
      <c r="G1521" s="140">
        <f>IFERROR(IF(E1521&gt;0,(F1521/E1521)*1000,""),"")</f>
        <v/>
      </c>
      <c r="H1521" s="139">
        <f>IFERROR(IF(E1521&gt;0,E1521*IF(ISNUMBER(J1521),J1521,IF(C1521="Futures",$C$6,$C$5)),""),"")</f>
        <v/>
      </c>
      <c r="I1521" s="139">
        <f>IFERROR(IF(AND(ISNUMBER(F1521),ISNUMBER(H1521)),F1521-H1521,""),"")</f>
        <v/>
      </c>
      <c r="J1521" s="114" t="n"/>
      <c r="K1521" s="139">
        <f>IFERROR(IF(H1521&gt;0,H1521*$C$7,""),"")</f>
        <v/>
      </c>
      <c r="L1521" s="139">
        <f>IFERROR(IF(ISNUMBER(F1521),F1521-IF(ISNUMBER(K1521),K1521,0),""),"")</f>
        <v/>
      </c>
    </row>
    <row r="1522" ht="24" customHeight="1" s="63">
      <c r="E1522" s="139" t="n"/>
      <c r="F1522" s="139" t="n"/>
      <c r="G1522" s="140">
        <f>IFERROR(IF(E1522&gt;0,(F1522/E1522)*1000,""),"")</f>
        <v/>
      </c>
      <c r="H1522" s="139">
        <f>IFERROR(IF(E1522&gt;0,E1522*IF(ISNUMBER(J1522),J1522,IF(C1522="Futures",$C$6,$C$5)),""),"")</f>
        <v/>
      </c>
      <c r="I1522" s="139">
        <f>IFERROR(IF(AND(ISNUMBER(F1522),ISNUMBER(H1522)),F1522-H1522,""),"")</f>
        <v/>
      </c>
      <c r="J1522" s="114" t="n"/>
      <c r="K1522" s="139">
        <f>IFERROR(IF(H1522&gt;0,H1522*$C$7,""),"")</f>
        <v/>
      </c>
      <c r="L1522" s="139">
        <f>IFERROR(IF(ISNUMBER(F1522),F1522-IF(ISNUMBER(K1522),K1522,0),""),"")</f>
        <v/>
      </c>
    </row>
    <row r="1523" ht="24" customHeight="1" s="63">
      <c r="E1523" s="139" t="n"/>
      <c r="F1523" s="139" t="n"/>
      <c r="G1523" s="140">
        <f>IFERROR(IF(E1523&gt;0,(F1523/E1523)*1000,""),"")</f>
        <v/>
      </c>
      <c r="H1523" s="139">
        <f>IFERROR(IF(E1523&gt;0,E1523*IF(ISNUMBER(J1523),J1523,IF(C1523="Futures",$C$6,$C$5)),""),"")</f>
        <v/>
      </c>
      <c r="I1523" s="139">
        <f>IFERROR(IF(AND(ISNUMBER(F1523),ISNUMBER(H1523)),F1523-H1523,""),"")</f>
        <v/>
      </c>
      <c r="J1523" s="114" t="n"/>
      <c r="K1523" s="139">
        <f>IFERROR(IF(H1523&gt;0,H1523*$C$7,""),"")</f>
        <v/>
      </c>
      <c r="L1523" s="139">
        <f>IFERROR(IF(ISNUMBER(F1523),F1523-IF(ISNUMBER(K1523),K1523,0),""),"")</f>
        <v/>
      </c>
    </row>
    <row r="1524" ht="24" customHeight="1" s="63">
      <c r="E1524" s="139" t="n"/>
      <c r="F1524" s="139" t="n"/>
      <c r="G1524" s="140">
        <f>IFERROR(IF(E1524&gt;0,(F1524/E1524)*1000,""),"")</f>
        <v/>
      </c>
      <c r="H1524" s="139">
        <f>IFERROR(IF(E1524&gt;0,E1524*IF(ISNUMBER(J1524),J1524,IF(C1524="Futures",$C$6,$C$5)),""),"")</f>
        <v/>
      </c>
      <c r="I1524" s="139">
        <f>IFERROR(IF(AND(ISNUMBER(F1524),ISNUMBER(H1524)),F1524-H1524,""),"")</f>
        <v/>
      </c>
      <c r="J1524" s="114" t="n"/>
      <c r="K1524" s="139">
        <f>IFERROR(IF(H1524&gt;0,H1524*$C$7,""),"")</f>
        <v/>
      </c>
      <c r="L1524" s="139">
        <f>IFERROR(IF(ISNUMBER(F1524),F1524-IF(ISNUMBER(K1524),K1524,0),""),"")</f>
        <v/>
      </c>
    </row>
    <row r="1525" ht="24" customHeight="1" s="63">
      <c r="E1525" s="139" t="n"/>
      <c r="F1525" s="139" t="n"/>
      <c r="G1525" s="140">
        <f>IFERROR(IF(E1525&gt;0,(F1525/E1525)*1000,""),"")</f>
        <v/>
      </c>
      <c r="H1525" s="139">
        <f>IFERROR(IF(E1525&gt;0,E1525*IF(ISNUMBER(J1525),J1525,IF(C1525="Futures",$C$6,$C$5)),""),"")</f>
        <v/>
      </c>
      <c r="I1525" s="139">
        <f>IFERROR(IF(AND(ISNUMBER(F1525),ISNUMBER(H1525)),F1525-H1525,""),"")</f>
        <v/>
      </c>
      <c r="J1525" s="114" t="n"/>
      <c r="K1525" s="139">
        <f>IFERROR(IF(H1525&gt;0,H1525*$C$7,""),"")</f>
        <v/>
      </c>
      <c r="L1525" s="139">
        <f>IFERROR(IF(ISNUMBER(F1525),F1525-IF(ISNUMBER(K1525),K1525,0),""),"")</f>
        <v/>
      </c>
    </row>
    <row r="1526" ht="24" customHeight="1" s="63">
      <c r="E1526" s="139" t="n"/>
      <c r="F1526" s="139" t="n"/>
      <c r="G1526" s="140">
        <f>IFERROR(IF(E1526&gt;0,(F1526/E1526)*1000,""),"")</f>
        <v/>
      </c>
      <c r="H1526" s="139">
        <f>IFERROR(IF(E1526&gt;0,E1526*IF(ISNUMBER(J1526),J1526,IF(C1526="Futures",$C$6,$C$5)),""),"")</f>
        <v/>
      </c>
      <c r="I1526" s="139">
        <f>IFERROR(IF(AND(ISNUMBER(F1526),ISNUMBER(H1526)),F1526-H1526,""),"")</f>
        <v/>
      </c>
      <c r="J1526" s="114" t="n"/>
      <c r="K1526" s="139">
        <f>IFERROR(IF(H1526&gt;0,H1526*$C$7,""),"")</f>
        <v/>
      </c>
      <c r="L1526" s="139">
        <f>IFERROR(IF(ISNUMBER(F1526),F1526-IF(ISNUMBER(K1526),K1526,0),""),"")</f>
        <v/>
      </c>
    </row>
    <row r="1527" ht="24" customHeight="1" s="63">
      <c r="E1527" s="139" t="n"/>
      <c r="F1527" s="139" t="n"/>
      <c r="G1527" s="140">
        <f>IFERROR(IF(E1527&gt;0,(F1527/E1527)*1000,""),"")</f>
        <v/>
      </c>
      <c r="H1527" s="139">
        <f>IFERROR(IF(E1527&gt;0,E1527*IF(ISNUMBER(J1527),J1527,IF(C1527="Futures",$C$6,$C$5)),""),"")</f>
        <v/>
      </c>
      <c r="I1527" s="139">
        <f>IFERROR(IF(AND(ISNUMBER(F1527),ISNUMBER(H1527)),F1527-H1527,""),"")</f>
        <v/>
      </c>
      <c r="J1527" s="114" t="n"/>
      <c r="K1527" s="139">
        <f>IFERROR(IF(H1527&gt;0,H1527*$C$7,""),"")</f>
        <v/>
      </c>
      <c r="L1527" s="139">
        <f>IFERROR(IF(ISNUMBER(F1527),F1527-IF(ISNUMBER(K1527),K1527,0),""),"")</f>
        <v/>
      </c>
    </row>
    <row r="1528" ht="24" customHeight="1" s="63">
      <c r="E1528" s="139" t="n"/>
      <c r="F1528" s="139" t="n"/>
      <c r="G1528" s="140">
        <f>IFERROR(IF(E1528&gt;0,(F1528/E1528)*1000,""),"")</f>
        <v/>
      </c>
      <c r="H1528" s="139">
        <f>IFERROR(IF(E1528&gt;0,E1528*IF(ISNUMBER(J1528),J1528,IF(C1528="Futures",$C$6,$C$5)),""),"")</f>
        <v/>
      </c>
      <c r="I1528" s="139">
        <f>IFERROR(IF(AND(ISNUMBER(F1528),ISNUMBER(H1528)),F1528-H1528,""),"")</f>
        <v/>
      </c>
      <c r="J1528" s="114" t="n"/>
      <c r="K1528" s="139">
        <f>IFERROR(IF(H1528&gt;0,H1528*$C$7,""),"")</f>
        <v/>
      </c>
      <c r="L1528" s="139">
        <f>IFERROR(IF(ISNUMBER(F1528),F1528-IF(ISNUMBER(K1528),K1528,0),""),"")</f>
        <v/>
      </c>
    </row>
    <row r="1529" ht="24" customHeight="1" s="63">
      <c r="E1529" s="139" t="n"/>
      <c r="F1529" s="139" t="n"/>
      <c r="G1529" s="140">
        <f>IFERROR(IF(E1529&gt;0,(F1529/E1529)*1000,""),"")</f>
        <v/>
      </c>
      <c r="H1529" s="139">
        <f>IFERROR(IF(E1529&gt;0,E1529*IF(ISNUMBER(J1529),J1529,IF(C1529="Futures",$C$6,$C$5)),""),"")</f>
        <v/>
      </c>
      <c r="I1529" s="139">
        <f>IFERROR(IF(AND(ISNUMBER(F1529),ISNUMBER(H1529)),F1529-H1529,""),"")</f>
        <v/>
      </c>
      <c r="J1529" s="114" t="n"/>
      <c r="K1529" s="139">
        <f>IFERROR(IF(H1529&gt;0,H1529*$C$7,""),"")</f>
        <v/>
      </c>
      <c r="L1529" s="139">
        <f>IFERROR(IF(ISNUMBER(F1529),F1529-IF(ISNUMBER(K1529),K1529,0),""),"")</f>
        <v/>
      </c>
    </row>
    <row r="1530" ht="24" customHeight="1" s="63">
      <c r="E1530" s="139" t="n"/>
      <c r="F1530" s="139" t="n"/>
      <c r="G1530" s="140">
        <f>IFERROR(IF(E1530&gt;0,(F1530/E1530)*1000,""),"")</f>
        <v/>
      </c>
      <c r="H1530" s="139">
        <f>IFERROR(IF(E1530&gt;0,E1530*IF(ISNUMBER(J1530),J1530,IF(C1530="Futures",$C$6,$C$5)),""),"")</f>
        <v/>
      </c>
      <c r="I1530" s="139">
        <f>IFERROR(IF(AND(ISNUMBER(F1530),ISNUMBER(H1530)),F1530-H1530,""),"")</f>
        <v/>
      </c>
      <c r="J1530" s="114" t="n"/>
      <c r="K1530" s="139">
        <f>IFERROR(IF(H1530&gt;0,H1530*$C$7,""),"")</f>
        <v/>
      </c>
      <c r="L1530" s="139">
        <f>IFERROR(IF(ISNUMBER(F1530),F1530-IF(ISNUMBER(K1530),K1530,0),""),"")</f>
        <v/>
      </c>
    </row>
    <row r="1531" ht="24" customHeight="1" s="63">
      <c r="E1531" s="139" t="n"/>
      <c r="F1531" s="139" t="n"/>
      <c r="G1531" s="140">
        <f>IFERROR(IF(E1531&gt;0,(F1531/E1531)*1000,""),"")</f>
        <v/>
      </c>
      <c r="H1531" s="139">
        <f>IFERROR(IF(E1531&gt;0,E1531*IF(ISNUMBER(J1531),J1531,IF(C1531="Futures",$C$6,$C$5)),""),"")</f>
        <v/>
      </c>
      <c r="I1531" s="139">
        <f>IFERROR(IF(AND(ISNUMBER(F1531),ISNUMBER(H1531)),F1531-H1531,""),"")</f>
        <v/>
      </c>
      <c r="J1531" s="114" t="n"/>
      <c r="K1531" s="139">
        <f>IFERROR(IF(H1531&gt;0,H1531*$C$7,""),"")</f>
        <v/>
      </c>
      <c r="L1531" s="139">
        <f>IFERROR(IF(ISNUMBER(F1531),F1531-IF(ISNUMBER(K1531),K1531,0),""),"")</f>
        <v/>
      </c>
    </row>
    <row r="1532" ht="24" customHeight="1" s="63">
      <c r="E1532" s="139" t="n"/>
      <c r="F1532" s="139" t="n"/>
      <c r="G1532" s="140">
        <f>IFERROR(IF(E1532&gt;0,(F1532/E1532)*1000,""),"")</f>
        <v/>
      </c>
      <c r="H1532" s="139">
        <f>IFERROR(IF(E1532&gt;0,E1532*IF(ISNUMBER(J1532),J1532,IF(C1532="Futures",$C$6,$C$5)),""),"")</f>
        <v/>
      </c>
      <c r="I1532" s="139">
        <f>IFERROR(IF(AND(ISNUMBER(F1532),ISNUMBER(H1532)),F1532-H1532,""),"")</f>
        <v/>
      </c>
      <c r="J1532" s="114" t="n"/>
      <c r="K1532" s="139">
        <f>IFERROR(IF(H1532&gt;0,H1532*$C$7,""),"")</f>
        <v/>
      </c>
      <c r="L1532" s="139">
        <f>IFERROR(IF(ISNUMBER(F1532),F1532-IF(ISNUMBER(K1532),K1532,0),""),"")</f>
        <v/>
      </c>
    </row>
    <row r="1533" ht="24" customHeight="1" s="63">
      <c r="E1533" s="139" t="n"/>
      <c r="F1533" s="139" t="n"/>
      <c r="G1533" s="140">
        <f>IFERROR(IF(E1533&gt;0,(F1533/E1533)*1000,""),"")</f>
        <v/>
      </c>
      <c r="H1533" s="139">
        <f>IFERROR(IF(E1533&gt;0,E1533*IF(ISNUMBER(J1533),J1533,IF(C1533="Futures",$C$6,$C$5)),""),"")</f>
        <v/>
      </c>
      <c r="I1533" s="139">
        <f>IFERROR(IF(AND(ISNUMBER(F1533),ISNUMBER(H1533)),F1533-H1533,""),"")</f>
        <v/>
      </c>
      <c r="J1533" s="114" t="n"/>
      <c r="K1533" s="139">
        <f>IFERROR(IF(H1533&gt;0,H1533*$C$7,""),"")</f>
        <v/>
      </c>
      <c r="L1533" s="139">
        <f>IFERROR(IF(ISNUMBER(F1533),F1533-IF(ISNUMBER(K1533),K1533,0),""),"")</f>
        <v/>
      </c>
    </row>
    <row r="1534" ht="24" customHeight="1" s="63">
      <c r="E1534" s="139" t="n"/>
      <c r="F1534" s="139" t="n"/>
      <c r="G1534" s="140">
        <f>IFERROR(IF(E1534&gt;0,(F1534/E1534)*1000,""),"")</f>
        <v/>
      </c>
      <c r="H1534" s="139">
        <f>IFERROR(IF(E1534&gt;0,E1534*IF(ISNUMBER(J1534),J1534,IF(C1534="Futures",$C$6,$C$5)),""),"")</f>
        <v/>
      </c>
      <c r="I1534" s="139">
        <f>IFERROR(IF(AND(ISNUMBER(F1534),ISNUMBER(H1534)),F1534-H1534,""),"")</f>
        <v/>
      </c>
      <c r="J1534" s="114" t="n"/>
      <c r="K1534" s="139">
        <f>IFERROR(IF(H1534&gt;0,H1534*$C$7,""),"")</f>
        <v/>
      </c>
      <c r="L1534" s="139">
        <f>IFERROR(IF(ISNUMBER(F1534),F1534-IF(ISNUMBER(K1534),K1534,0),""),"")</f>
        <v/>
      </c>
    </row>
    <row r="1535" ht="24" customHeight="1" s="63">
      <c r="E1535" s="139" t="n"/>
      <c r="F1535" s="139" t="n"/>
      <c r="G1535" s="140">
        <f>IFERROR(IF(E1535&gt;0,(F1535/E1535)*1000,""),"")</f>
        <v/>
      </c>
      <c r="H1535" s="139">
        <f>IFERROR(IF(E1535&gt;0,E1535*IF(ISNUMBER(J1535),J1535,IF(C1535="Futures",$C$6,$C$5)),""),"")</f>
        <v/>
      </c>
      <c r="I1535" s="139">
        <f>IFERROR(IF(AND(ISNUMBER(F1535),ISNUMBER(H1535)),F1535-H1535,""),"")</f>
        <v/>
      </c>
      <c r="J1535" s="114" t="n"/>
      <c r="K1535" s="139">
        <f>IFERROR(IF(H1535&gt;0,H1535*$C$7,""),"")</f>
        <v/>
      </c>
      <c r="L1535" s="139">
        <f>IFERROR(IF(ISNUMBER(F1535),F1535-IF(ISNUMBER(K1535),K1535,0),""),"")</f>
        <v/>
      </c>
    </row>
    <row r="1536" ht="24" customHeight="1" s="63">
      <c r="E1536" s="139" t="n"/>
      <c r="F1536" s="139" t="n"/>
      <c r="G1536" s="140">
        <f>IFERROR(IF(E1536&gt;0,(F1536/E1536)*1000,""),"")</f>
        <v/>
      </c>
      <c r="H1536" s="139">
        <f>IFERROR(IF(E1536&gt;0,E1536*IF(ISNUMBER(J1536),J1536,IF(C1536="Futures",$C$6,$C$5)),""),"")</f>
        <v/>
      </c>
      <c r="I1536" s="139">
        <f>IFERROR(IF(AND(ISNUMBER(F1536),ISNUMBER(H1536)),F1536-H1536,""),"")</f>
        <v/>
      </c>
      <c r="J1536" s="114" t="n"/>
      <c r="K1536" s="139">
        <f>IFERROR(IF(H1536&gt;0,H1536*$C$7,""),"")</f>
        <v/>
      </c>
      <c r="L1536" s="139">
        <f>IFERROR(IF(ISNUMBER(F1536),F1536-IF(ISNUMBER(K1536),K1536,0),""),"")</f>
        <v/>
      </c>
    </row>
    <row r="1537" ht="24" customHeight="1" s="63">
      <c r="E1537" s="139" t="n"/>
      <c r="F1537" s="139" t="n"/>
      <c r="G1537" s="140">
        <f>IFERROR(IF(E1537&gt;0,(F1537/E1537)*1000,""),"")</f>
        <v/>
      </c>
      <c r="H1537" s="139">
        <f>IFERROR(IF(E1537&gt;0,E1537*IF(ISNUMBER(J1537),J1537,IF(C1537="Futures",$C$6,$C$5)),""),"")</f>
        <v/>
      </c>
      <c r="I1537" s="139">
        <f>IFERROR(IF(AND(ISNUMBER(F1537),ISNUMBER(H1537)),F1537-H1537,""),"")</f>
        <v/>
      </c>
      <c r="J1537" s="114" t="n"/>
      <c r="K1537" s="139">
        <f>IFERROR(IF(H1537&gt;0,H1537*$C$7,""),"")</f>
        <v/>
      </c>
      <c r="L1537" s="139">
        <f>IFERROR(IF(ISNUMBER(F1537),F1537-IF(ISNUMBER(K1537),K1537,0),""),"")</f>
        <v/>
      </c>
    </row>
    <row r="1538" ht="24" customHeight="1" s="63">
      <c r="E1538" s="139" t="n"/>
      <c r="F1538" s="139" t="n"/>
      <c r="G1538" s="140">
        <f>IFERROR(IF(E1538&gt;0,(F1538/E1538)*1000,""),"")</f>
        <v/>
      </c>
      <c r="H1538" s="139">
        <f>IFERROR(IF(E1538&gt;0,E1538*IF(ISNUMBER(J1538),J1538,IF(C1538="Futures",$C$6,$C$5)),""),"")</f>
        <v/>
      </c>
      <c r="I1538" s="139">
        <f>IFERROR(IF(AND(ISNUMBER(F1538),ISNUMBER(H1538)),F1538-H1538,""),"")</f>
        <v/>
      </c>
      <c r="J1538" s="114" t="n"/>
      <c r="K1538" s="139">
        <f>IFERROR(IF(H1538&gt;0,H1538*$C$7,""),"")</f>
        <v/>
      </c>
      <c r="L1538" s="139">
        <f>IFERROR(IF(ISNUMBER(F1538),F1538-IF(ISNUMBER(K1538),K1538,0),""),"")</f>
        <v/>
      </c>
    </row>
    <row r="1539" ht="24" customHeight="1" s="63">
      <c r="E1539" s="139" t="n"/>
      <c r="F1539" s="139" t="n"/>
      <c r="G1539" s="140">
        <f>IFERROR(IF(E1539&gt;0,(F1539/E1539)*1000,""),"")</f>
        <v/>
      </c>
      <c r="H1539" s="139">
        <f>IFERROR(IF(E1539&gt;0,E1539*IF(ISNUMBER(J1539),J1539,IF(C1539="Futures",$C$6,$C$5)),""),"")</f>
        <v/>
      </c>
      <c r="I1539" s="139">
        <f>IFERROR(IF(AND(ISNUMBER(F1539),ISNUMBER(H1539)),F1539-H1539,""),"")</f>
        <v/>
      </c>
      <c r="J1539" s="114" t="n"/>
      <c r="K1539" s="139">
        <f>IFERROR(IF(H1539&gt;0,H1539*$C$7,""),"")</f>
        <v/>
      </c>
      <c r="L1539" s="139">
        <f>IFERROR(IF(ISNUMBER(F1539),F1539-IF(ISNUMBER(K1539),K1539,0),""),"")</f>
        <v/>
      </c>
    </row>
    <row r="1540" ht="24" customHeight="1" s="63">
      <c r="E1540" s="139" t="n"/>
      <c r="F1540" s="139" t="n"/>
      <c r="G1540" s="140">
        <f>IFERROR(IF(E1540&gt;0,(F1540/E1540)*1000,""),"")</f>
        <v/>
      </c>
      <c r="H1540" s="139">
        <f>IFERROR(IF(E1540&gt;0,E1540*IF(ISNUMBER(J1540),J1540,IF(C1540="Futures",$C$6,$C$5)),""),"")</f>
        <v/>
      </c>
      <c r="I1540" s="139">
        <f>IFERROR(IF(AND(ISNUMBER(F1540),ISNUMBER(H1540)),F1540-H1540,""),"")</f>
        <v/>
      </c>
      <c r="J1540" s="114" t="n"/>
      <c r="K1540" s="139">
        <f>IFERROR(IF(H1540&gt;0,H1540*$C$7,""),"")</f>
        <v/>
      </c>
      <c r="L1540" s="139">
        <f>IFERROR(IF(ISNUMBER(F1540),F1540-IF(ISNUMBER(K1540),K1540,0),""),"")</f>
        <v/>
      </c>
    </row>
    <row r="1541" ht="24" customHeight="1" s="63">
      <c r="E1541" s="139" t="n"/>
      <c r="F1541" s="139" t="n"/>
      <c r="G1541" s="140">
        <f>IFERROR(IF(E1541&gt;0,(F1541/E1541)*1000,""),"")</f>
        <v/>
      </c>
      <c r="H1541" s="139">
        <f>IFERROR(IF(E1541&gt;0,E1541*IF(ISNUMBER(J1541),J1541,IF(C1541="Futures",$C$6,$C$5)),""),"")</f>
        <v/>
      </c>
      <c r="I1541" s="139">
        <f>IFERROR(IF(AND(ISNUMBER(F1541),ISNUMBER(H1541)),F1541-H1541,""),"")</f>
        <v/>
      </c>
      <c r="J1541" s="114" t="n"/>
      <c r="K1541" s="139">
        <f>IFERROR(IF(H1541&gt;0,H1541*$C$7,""),"")</f>
        <v/>
      </c>
      <c r="L1541" s="139">
        <f>IFERROR(IF(ISNUMBER(F1541),F1541-IF(ISNUMBER(K1541),K1541,0),""),"")</f>
        <v/>
      </c>
    </row>
    <row r="1542" ht="24" customHeight="1" s="63">
      <c r="E1542" s="139" t="n"/>
      <c r="F1542" s="139" t="n"/>
      <c r="G1542" s="140">
        <f>IFERROR(IF(E1542&gt;0,(F1542/E1542)*1000,""),"")</f>
        <v/>
      </c>
      <c r="H1542" s="139">
        <f>IFERROR(IF(E1542&gt;0,E1542*IF(ISNUMBER(J1542),J1542,IF(C1542="Futures",$C$6,$C$5)),""),"")</f>
        <v/>
      </c>
      <c r="I1542" s="139">
        <f>IFERROR(IF(AND(ISNUMBER(F1542),ISNUMBER(H1542)),F1542-H1542,""),"")</f>
        <v/>
      </c>
      <c r="J1542" s="114" t="n"/>
      <c r="K1542" s="139">
        <f>IFERROR(IF(H1542&gt;0,H1542*$C$7,""),"")</f>
        <v/>
      </c>
      <c r="L1542" s="139">
        <f>IFERROR(IF(ISNUMBER(F1542),F1542-IF(ISNUMBER(K1542),K1542,0),""),"")</f>
        <v/>
      </c>
    </row>
    <row r="1543" ht="24" customHeight="1" s="63">
      <c r="E1543" s="139" t="n"/>
      <c r="F1543" s="139" t="n"/>
      <c r="G1543" s="140">
        <f>IFERROR(IF(E1543&gt;0,(F1543/E1543)*1000,""),"")</f>
        <v/>
      </c>
      <c r="H1543" s="139">
        <f>IFERROR(IF(E1543&gt;0,E1543*IF(ISNUMBER(J1543),J1543,IF(C1543="Futures",$C$6,$C$5)),""),"")</f>
        <v/>
      </c>
      <c r="I1543" s="139">
        <f>IFERROR(IF(AND(ISNUMBER(F1543),ISNUMBER(H1543)),F1543-H1543,""),"")</f>
        <v/>
      </c>
      <c r="J1543" s="114" t="n"/>
      <c r="K1543" s="139">
        <f>IFERROR(IF(H1543&gt;0,H1543*$C$7,""),"")</f>
        <v/>
      </c>
      <c r="L1543" s="139">
        <f>IFERROR(IF(ISNUMBER(F1543),F1543-IF(ISNUMBER(K1543),K1543,0),""),"")</f>
        <v/>
      </c>
    </row>
    <row r="1544" ht="24" customHeight="1" s="63">
      <c r="E1544" s="139" t="n"/>
      <c r="F1544" s="139" t="n"/>
      <c r="G1544" s="140">
        <f>IFERROR(IF(E1544&gt;0,(F1544/E1544)*1000,""),"")</f>
        <v/>
      </c>
      <c r="H1544" s="139">
        <f>IFERROR(IF(E1544&gt;0,E1544*IF(ISNUMBER(J1544),J1544,IF(C1544="Futures",$C$6,$C$5)),""),"")</f>
        <v/>
      </c>
      <c r="I1544" s="139">
        <f>IFERROR(IF(AND(ISNUMBER(F1544),ISNUMBER(H1544)),F1544-H1544,""),"")</f>
        <v/>
      </c>
      <c r="J1544" s="114" t="n"/>
      <c r="K1544" s="139">
        <f>IFERROR(IF(H1544&gt;0,H1544*$C$7,""),"")</f>
        <v/>
      </c>
      <c r="L1544" s="139">
        <f>IFERROR(IF(ISNUMBER(F1544),F1544-IF(ISNUMBER(K1544),K1544,0),""),"")</f>
        <v/>
      </c>
    </row>
    <row r="1545" ht="24" customHeight="1" s="63">
      <c r="E1545" s="139" t="n"/>
      <c r="F1545" s="139" t="n"/>
      <c r="G1545" s="140">
        <f>IFERROR(IF(E1545&gt;0,(F1545/E1545)*1000,""),"")</f>
        <v/>
      </c>
      <c r="H1545" s="139">
        <f>IFERROR(IF(E1545&gt;0,E1545*IF(ISNUMBER(J1545),J1545,IF(C1545="Futures",$C$6,$C$5)),""),"")</f>
        <v/>
      </c>
      <c r="I1545" s="139">
        <f>IFERROR(IF(AND(ISNUMBER(F1545),ISNUMBER(H1545)),F1545-H1545,""),"")</f>
        <v/>
      </c>
      <c r="J1545" s="114" t="n"/>
      <c r="K1545" s="139">
        <f>IFERROR(IF(H1545&gt;0,H1545*$C$7,""),"")</f>
        <v/>
      </c>
      <c r="L1545" s="139">
        <f>IFERROR(IF(ISNUMBER(F1545),F1545-IF(ISNUMBER(K1545),K1545,0),""),"")</f>
        <v/>
      </c>
    </row>
    <row r="1546" ht="24" customHeight="1" s="63">
      <c r="E1546" s="139" t="n"/>
      <c r="F1546" s="139" t="n"/>
      <c r="G1546" s="140">
        <f>IFERROR(IF(E1546&gt;0,(F1546/E1546)*1000,""),"")</f>
        <v/>
      </c>
      <c r="H1546" s="139">
        <f>IFERROR(IF(E1546&gt;0,E1546*IF(ISNUMBER(J1546),J1546,IF(C1546="Futures",$C$6,$C$5)),""),"")</f>
        <v/>
      </c>
      <c r="I1546" s="139">
        <f>IFERROR(IF(AND(ISNUMBER(F1546),ISNUMBER(H1546)),F1546-H1546,""),"")</f>
        <v/>
      </c>
      <c r="J1546" s="114" t="n"/>
      <c r="K1546" s="139">
        <f>IFERROR(IF(H1546&gt;0,H1546*$C$7,""),"")</f>
        <v/>
      </c>
      <c r="L1546" s="139">
        <f>IFERROR(IF(ISNUMBER(F1546),F1546-IF(ISNUMBER(K1546),K1546,0),""),"")</f>
        <v/>
      </c>
    </row>
    <row r="1547" ht="24" customHeight="1" s="63">
      <c r="E1547" s="139" t="n"/>
      <c r="F1547" s="139" t="n"/>
      <c r="G1547" s="140">
        <f>IFERROR(IF(E1547&gt;0,(F1547/E1547)*1000,""),"")</f>
        <v/>
      </c>
      <c r="H1547" s="139">
        <f>IFERROR(IF(E1547&gt;0,E1547*IF(ISNUMBER(J1547),J1547,IF(C1547="Futures",$C$6,$C$5)),""),"")</f>
        <v/>
      </c>
      <c r="I1547" s="139">
        <f>IFERROR(IF(AND(ISNUMBER(F1547),ISNUMBER(H1547)),F1547-H1547,""),"")</f>
        <v/>
      </c>
      <c r="J1547" s="114" t="n"/>
      <c r="K1547" s="139">
        <f>IFERROR(IF(H1547&gt;0,H1547*$C$7,""),"")</f>
        <v/>
      </c>
      <c r="L1547" s="139">
        <f>IFERROR(IF(ISNUMBER(F1547),F1547-IF(ISNUMBER(K1547),K1547,0),""),"")</f>
        <v/>
      </c>
    </row>
    <row r="1548" ht="24" customHeight="1" s="63">
      <c r="E1548" s="139" t="n"/>
      <c r="F1548" s="139" t="n"/>
      <c r="G1548" s="140">
        <f>IFERROR(IF(E1548&gt;0,(F1548/E1548)*1000,""),"")</f>
        <v/>
      </c>
      <c r="H1548" s="139">
        <f>IFERROR(IF(E1548&gt;0,E1548*IF(ISNUMBER(J1548),J1548,IF(C1548="Futures",$C$6,$C$5)),""),"")</f>
        <v/>
      </c>
      <c r="I1548" s="139">
        <f>IFERROR(IF(AND(ISNUMBER(F1548),ISNUMBER(H1548)),F1548-H1548,""),"")</f>
        <v/>
      </c>
      <c r="J1548" s="114" t="n"/>
      <c r="K1548" s="139">
        <f>IFERROR(IF(H1548&gt;0,H1548*$C$7,""),"")</f>
        <v/>
      </c>
      <c r="L1548" s="139">
        <f>IFERROR(IF(ISNUMBER(F1548),F1548-IF(ISNUMBER(K1548),K1548,0),""),"")</f>
        <v/>
      </c>
    </row>
    <row r="1549" ht="24" customHeight="1" s="63">
      <c r="E1549" s="139" t="n"/>
      <c r="F1549" s="139" t="n"/>
      <c r="G1549" s="140">
        <f>IFERROR(IF(E1549&gt;0,(F1549/E1549)*1000,""),"")</f>
        <v/>
      </c>
      <c r="H1549" s="139">
        <f>IFERROR(IF(E1549&gt;0,E1549*IF(ISNUMBER(J1549),J1549,IF(C1549="Futures",$C$6,$C$5)),""),"")</f>
        <v/>
      </c>
      <c r="I1549" s="139">
        <f>IFERROR(IF(AND(ISNUMBER(F1549),ISNUMBER(H1549)),F1549-H1549,""),"")</f>
        <v/>
      </c>
      <c r="J1549" s="114" t="n"/>
      <c r="K1549" s="139">
        <f>IFERROR(IF(H1549&gt;0,H1549*$C$7,""),"")</f>
        <v/>
      </c>
      <c r="L1549" s="139">
        <f>IFERROR(IF(ISNUMBER(F1549),F1549-IF(ISNUMBER(K1549),K1549,0),""),"")</f>
        <v/>
      </c>
    </row>
    <row r="1550" ht="24" customHeight="1" s="63">
      <c r="E1550" s="139" t="n"/>
      <c r="F1550" s="139" t="n"/>
      <c r="G1550" s="140">
        <f>IFERROR(IF(E1550&gt;0,(F1550/E1550)*1000,""),"")</f>
        <v/>
      </c>
      <c r="H1550" s="139">
        <f>IFERROR(IF(E1550&gt;0,E1550*IF(ISNUMBER(J1550),J1550,IF(C1550="Futures",$C$6,$C$5)),""),"")</f>
        <v/>
      </c>
      <c r="I1550" s="139">
        <f>IFERROR(IF(AND(ISNUMBER(F1550),ISNUMBER(H1550)),F1550-H1550,""),"")</f>
        <v/>
      </c>
      <c r="J1550" s="114" t="n"/>
      <c r="K1550" s="139">
        <f>IFERROR(IF(H1550&gt;0,H1550*$C$7,""),"")</f>
        <v/>
      </c>
      <c r="L1550" s="139">
        <f>IFERROR(IF(ISNUMBER(F1550),F1550-IF(ISNUMBER(K1550),K1550,0),""),"")</f>
        <v/>
      </c>
    </row>
    <row r="1551" ht="24" customHeight="1" s="63">
      <c r="E1551" s="139" t="n"/>
      <c r="F1551" s="139" t="n"/>
      <c r="G1551" s="140">
        <f>IFERROR(IF(E1551&gt;0,(F1551/E1551)*1000,""),"")</f>
        <v/>
      </c>
      <c r="H1551" s="139">
        <f>IFERROR(IF(E1551&gt;0,E1551*IF(ISNUMBER(J1551),J1551,IF(C1551="Futures",$C$6,$C$5)),""),"")</f>
        <v/>
      </c>
      <c r="I1551" s="139">
        <f>IFERROR(IF(AND(ISNUMBER(F1551),ISNUMBER(H1551)),F1551-H1551,""),"")</f>
        <v/>
      </c>
      <c r="J1551" s="114" t="n"/>
      <c r="K1551" s="139">
        <f>IFERROR(IF(H1551&gt;0,H1551*$C$7,""),"")</f>
        <v/>
      </c>
      <c r="L1551" s="139">
        <f>IFERROR(IF(ISNUMBER(F1551),F1551-IF(ISNUMBER(K1551),K1551,0),""),"")</f>
        <v/>
      </c>
    </row>
    <row r="1552" ht="24" customHeight="1" s="63">
      <c r="E1552" s="139" t="n"/>
      <c r="F1552" s="139" t="n"/>
      <c r="G1552" s="140">
        <f>IFERROR(IF(E1552&gt;0,(F1552/E1552)*1000,""),"")</f>
        <v/>
      </c>
      <c r="H1552" s="139">
        <f>IFERROR(IF(E1552&gt;0,E1552*IF(ISNUMBER(J1552),J1552,IF(C1552="Futures",$C$6,$C$5)),""),"")</f>
        <v/>
      </c>
      <c r="I1552" s="139">
        <f>IFERROR(IF(AND(ISNUMBER(F1552),ISNUMBER(H1552)),F1552-H1552,""),"")</f>
        <v/>
      </c>
      <c r="J1552" s="114" t="n"/>
      <c r="K1552" s="139">
        <f>IFERROR(IF(H1552&gt;0,H1552*$C$7,""),"")</f>
        <v/>
      </c>
      <c r="L1552" s="139">
        <f>IFERROR(IF(ISNUMBER(F1552),F1552-IF(ISNUMBER(K1552),K1552,0),""),"")</f>
        <v/>
      </c>
    </row>
    <row r="1553" ht="24" customHeight="1" s="63">
      <c r="E1553" s="139" t="n"/>
      <c r="F1553" s="139" t="n"/>
      <c r="G1553" s="140">
        <f>IFERROR(IF(E1553&gt;0,(F1553/E1553)*1000,""),"")</f>
        <v/>
      </c>
      <c r="H1553" s="139">
        <f>IFERROR(IF(E1553&gt;0,E1553*IF(ISNUMBER(J1553),J1553,IF(C1553="Futures",$C$6,$C$5)),""),"")</f>
        <v/>
      </c>
      <c r="I1553" s="139">
        <f>IFERROR(IF(AND(ISNUMBER(F1553),ISNUMBER(H1553)),F1553-H1553,""),"")</f>
        <v/>
      </c>
      <c r="J1553" s="114" t="n"/>
      <c r="K1553" s="139">
        <f>IFERROR(IF(H1553&gt;0,H1553*$C$7,""),"")</f>
        <v/>
      </c>
      <c r="L1553" s="139">
        <f>IFERROR(IF(ISNUMBER(F1553),F1553-IF(ISNUMBER(K1553),K1553,0),""),"")</f>
        <v/>
      </c>
    </row>
    <row r="1554" ht="24" customHeight="1" s="63">
      <c r="E1554" s="139" t="n"/>
      <c r="F1554" s="139" t="n"/>
      <c r="G1554" s="140">
        <f>IFERROR(IF(E1554&gt;0,(F1554/E1554)*1000,""),"")</f>
        <v/>
      </c>
      <c r="H1554" s="139">
        <f>IFERROR(IF(E1554&gt;0,E1554*IF(ISNUMBER(J1554),J1554,IF(C1554="Futures",$C$6,$C$5)),""),"")</f>
        <v/>
      </c>
      <c r="I1554" s="139">
        <f>IFERROR(IF(AND(ISNUMBER(F1554),ISNUMBER(H1554)),F1554-H1554,""),"")</f>
        <v/>
      </c>
      <c r="J1554" s="114" t="n"/>
      <c r="K1554" s="139">
        <f>IFERROR(IF(H1554&gt;0,H1554*$C$7,""),"")</f>
        <v/>
      </c>
      <c r="L1554" s="139">
        <f>IFERROR(IF(ISNUMBER(F1554),F1554-IF(ISNUMBER(K1554),K1554,0),""),"")</f>
        <v/>
      </c>
    </row>
    <row r="1555" ht="24" customHeight="1" s="63">
      <c r="E1555" s="139" t="n"/>
      <c r="F1555" s="139" t="n"/>
      <c r="G1555" s="140">
        <f>IFERROR(IF(E1555&gt;0,(F1555/E1555)*1000,""),"")</f>
        <v/>
      </c>
      <c r="H1555" s="139">
        <f>IFERROR(IF(E1555&gt;0,E1555*IF(ISNUMBER(J1555),J1555,IF(C1555="Futures",$C$6,$C$5)),""),"")</f>
        <v/>
      </c>
      <c r="I1555" s="139">
        <f>IFERROR(IF(AND(ISNUMBER(F1555),ISNUMBER(H1555)),F1555-H1555,""),"")</f>
        <v/>
      </c>
      <c r="J1555" s="114" t="n"/>
      <c r="K1555" s="139">
        <f>IFERROR(IF(H1555&gt;0,H1555*$C$7,""),"")</f>
        <v/>
      </c>
      <c r="L1555" s="139">
        <f>IFERROR(IF(ISNUMBER(F1555),F1555-IF(ISNUMBER(K1555),K1555,0),""),"")</f>
        <v/>
      </c>
    </row>
    <row r="1556" ht="24" customHeight="1" s="63">
      <c r="E1556" s="139" t="n"/>
      <c r="F1556" s="139" t="n"/>
      <c r="G1556" s="140">
        <f>IFERROR(IF(E1556&gt;0,(F1556/E1556)*1000,""),"")</f>
        <v/>
      </c>
      <c r="H1556" s="139">
        <f>IFERROR(IF(E1556&gt;0,E1556*IF(ISNUMBER(J1556),J1556,IF(C1556="Futures",$C$6,$C$5)),""),"")</f>
        <v/>
      </c>
      <c r="I1556" s="139">
        <f>IFERROR(IF(AND(ISNUMBER(F1556),ISNUMBER(H1556)),F1556-H1556,""),"")</f>
        <v/>
      </c>
      <c r="J1556" s="114" t="n"/>
      <c r="K1556" s="139">
        <f>IFERROR(IF(H1556&gt;0,H1556*$C$7,""),"")</f>
        <v/>
      </c>
      <c r="L1556" s="139">
        <f>IFERROR(IF(ISNUMBER(F1556),F1556-IF(ISNUMBER(K1556),K1556,0),""),"")</f>
        <v/>
      </c>
    </row>
    <row r="1557" ht="24" customHeight="1" s="63">
      <c r="E1557" s="139" t="n"/>
      <c r="F1557" s="139" t="n"/>
      <c r="G1557" s="140">
        <f>IFERROR(IF(E1557&gt;0,(F1557/E1557)*1000,""),"")</f>
        <v/>
      </c>
      <c r="H1557" s="139">
        <f>IFERROR(IF(E1557&gt;0,E1557*IF(ISNUMBER(J1557),J1557,IF(C1557="Futures",$C$6,$C$5)),""),"")</f>
        <v/>
      </c>
      <c r="I1557" s="139">
        <f>IFERROR(IF(AND(ISNUMBER(F1557),ISNUMBER(H1557)),F1557-H1557,""),"")</f>
        <v/>
      </c>
      <c r="J1557" s="114" t="n"/>
      <c r="K1557" s="139">
        <f>IFERROR(IF(H1557&gt;0,H1557*$C$7,""),"")</f>
        <v/>
      </c>
      <c r="L1557" s="139">
        <f>IFERROR(IF(ISNUMBER(F1557),F1557-IF(ISNUMBER(K1557),K1557,0),""),"")</f>
        <v/>
      </c>
    </row>
    <row r="1558" ht="24" customHeight="1" s="63">
      <c r="E1558" s="139" t="n"/>
      <c r="F1558" s="139" t="n"/>
      <c r="G1558" s="140">
        <f>IFERROR(IF(E1558&gt;0,(F1558/E1558)*1000,""),"")</f>
        <v/>
      </c>
      <c r="H1558" s="139">
        <f>IFERROR(IF(E1558&gt;0,E1558*IF(ISNUMBER(J1558),J1558,IF(C1558="Futures",$C$6,$C$5)),""),"")</f>
        <v/>
      </c>
      <c r="I1558" s="139">
        <f>IFERROR(IF(AND(ISNUMBER(F1558),ISNUMBER(H1558)),F1558-H1558,""),"")</f>
        <v/>
      </c>
      <c r="J1558" s="114" t="n"/>
      <c r="K1558" s="139">
        <f>IFERROR(IF(H1558&gt;0,H1558*$C$7,""),"")</f>
        <v/>
      </c>
      <c r="L1558" s="139">
        <f>IFERROR(IF(ISNUMBER(F1558),F1558-IF(ISNUMBER(K1558),K1558,0),""),"")</f>
        <v/>
      </c>
    </row>
    <row r="1559" ht="24" customHeight="1" s="63">
      <c r="E1559" s="139" t="n"/>
      <c r="F1559" s="139" t="n"/>
      <c r="G1559" s="140">
        <f>IFERROR(IF(E1559&gt;0,(F1559/E1559)*1000,""),"")</f>
        <v/>
      </c>
      <c r="H1559" s="139">
        <f>IFERROR(IF(E1559&gt;0,E1559*IF(ISNUMBER(J1559),J1559,IF(C1559="Futures",$C$6,$C$5)),""),"")</f>
        <v/>
      </c>
      <c r="I1559" s="139">
        <f>IFERROR(IF(AND(ISNUMBER(F1559),ISNUMBER(H1559)),F1559-H1559,""),"")</f>
        <v/>
      </c>
      <c r="J1559" s="114" t="n"/>
      <c r="K1559" s="139">
        <f>IFERROR(IF(H1559&gt;0,H1559*$C$7,""),"")</f>
        <v/>
      </c>
      <c r="L1559" s="139">
        <f>IFERROR(IF(ISNUMBER(F1559),F1559-IF(ISNUMBER(K1559),K1559,0),""),"")</f>
        <v/>
      </c>
    </row>
    <row r="1560" ht="24" customHeight="1" s="63">
      <c r="E1560" s="139" t="n"/>
      <c r="F1560" s="139" t="n"/>
      <c r="G1560" s="140">
        <f>IFERROR(IF(E1560&gt;0,(F1560/E1560)*1000,""),"")</f>
        <v/>
      </c>
      <c r="H1560" s="139">
        <f>IFERROR(IF(E1560&gt;0,E1560*IF(ISNUMBER(J1560),J1560,IF(C1560="Futures",$C$6,$C$5)),""),"")</f>
        <v/>
      </c>
      <c r="I1560" s="139">
        <f>IFERROR(IF(AND(ISNUMBER(F1560),ISNUMBER(H1560)),F1560-H1560,""),"")</f>
        <v/>
      </c>
      <c r="J1560" s="114" t="n"/>
      <c r="K1560" s="139">
        <f>IFERROR(IF(H1560&gt;0,H1560*$C$7,""),"")</f>
        <v/>
      </c>
      <c r="L1560" s="139">
        <f>IFERROR(IF(ISNUMBER(F1560),F1560-IF(ISNUMBER(K1560),K1560,0),""),"")</f>
        <v/>
      </c>
    </row>
    <row r="1561" ht="24" customHeight="1" s="63">
      <c r="E1561" s="139" t="n"/>
      <c r="F1561" s="139" t="n"/>
      <c r="G1561" s="140">
        <f>IFERROR(IF(E1561&gt;0,(F1561/E1561)*1000,""),"")</f>
        <v/>
      </c>
      <c r="H1561" s="139">
        <f>IFERROR(IF(E1561&gt;0,E1561*IF(ISNUMBER(J1561),J1561,IF(C1561="Futures",$C$6,$C$5)),""),"")</f>
        <v/>
      </c>
      <c r="I1561" s="139">
        <f>IFERROR(IF(AND(ISNUMBER(F1561),ISNUMBER(H1561)),F1561-H1561,""),"")</f>
        <v/>
      </c>
      <c r="J1561" s="114" t="n"/>
      <c r="K1561" s="139">
        <f>IFERROR(IF(H1561&gt;0,H1561*$C$7,""),"")</f>
        <v/>
      </c>
      <c r="L1561" s="139">
        <f>IFERROR(IF(ISNUMBER(F1561),F1561-IF(ISNUMBER(K1561),K1561,0),""),"")</f>
        <v/>
      </c>
    </row>
    <row r="1562" ht="24" customHeight="1" s="63">
      <c r="E1562" s="139" t="n"/>
      <c r="F1562" s="139" t="n"/>
      <c r="G1562" s="140">
        <f>IFERROR(IF(E1562&gt;0,(F1562/E1562)*1000,""),"")</f>
        <v/>
      </c>
      <c r="H1562" s="139">
        <f>IFERROR(IF(E1562&gt;0,E1562*IF(ISNUMBER(J1562),J1562,IF(C1562="Futures",$C$6,$C$5)),""),"")</f>
        <v/>
      </c>
      <c r="I1562" s="139">
        <f>IFERROR(IF(AND(ISNUMBER(F1562),ISNUMBER(H1562)),F1562-H1562,""),"")</f>
        <v/>
      </c>
      <c r="J1562" s="114" t="n"/>
      <c r="K1562" s="139">
        <f>IFERROR(IF(H1562&gt;0,H1562*$C$7,""),"")</f>
        <v/>
      </c>
      <c r="L1562" s="139">
        <f>IFERROR(IF(ISNUMBER(F1562),F1562-IF(ISNUMBER(K1562),K1562,0),""),"")</f>
        <v/>
      </c>
    </row>
    <row r="1563" ht="24" customHeight="1" s="63">
      <c r="E1563" s="139" t="n"/>
      <c r="F1563" s="139" t="n"/>
      <c r="G1563" s="140">
        <f>IFERROR(IF(E1563&gt;0,(F1563/E1563)*1000,""),"")</f>
        <v/>
      </c>
      <c r="H1563" s="139">
        <f>IFERROR(IF(E1563&gt;0,E1563*IF(ISNUMBER(J1563),J1563,IF(C1563="Futures",$C$6,$C$5)),""),"")</f>
        <v/>
      </c>
      <c r="I1563" s="139">
        <f>IFERROR(IF(AND(ISNUMBER(F1563),ISNUMBER(H1563)),F1563-H1563,""),"")</f>
        <v/>
      </c>
      <c r="J1563" s="114" t="n"/>
      <c r="K1563" s="139">
        <f>IFERROR(IF(H1563&gt;0,H1563*$C$7,""),"")</f>
        <v/>
      </c>
      <c r="L1563" s="139">
        <f>IFERROR(IF(ISNUMBER(F1563),F1563-IF(ISNUMBER(K1563),K1563,0),""),"")</f>
        <v/>
      </c>
    </row>
    <row r="1564" ht="24" customHeight="1" s="63">
      <c r="E1564" s="139" t="n"/>
      <c r="F1564" s="139" t="n"/>
      <c r="G1564" s="140">
        <f>IFERROR(IF(E1564&gt;0,(F1564/E1564)*1000,""),"")</f>
        <v/>
      </c>
      <c r="H1564" s="139">
        <f>IFERROR(IF(E1564&gt;0,E1564*IF(ISNUMBER(J1564),J1564,IF(C1564="Futures",$C$6,$C$5)),""),"")</f>
        <v/>
      </c>
      <c r="I1564" s="139">
        <f>IFERROR(IF(AND(ISNUMBER(F1564),ISNUMBER(H1564)),F1564-H1564,""),"")</f>
        <v/>
      </c>
      <c r="J1564" s="114" t="n"/>
      <c r="K1564" s="139">
        <f>IFERROR(IF(H1564&gt;0,H1564*$C$7,""),"")</f>
        <v/>
      </c>
      <c r="L1564" s="139">
        <f>IFERROR(IF(ISNUMBER(F1564),F1564-IF(ISNUMBER(K1564),K1564,0),""),"")</f>
        <v/>
      </c>
    </row>
    <row r="1565" ht="24" customHeight="1" s="63">
      <c r="E1565" s="139" t="n"/>
      <c r="F1565" s="139" t="n"/>
      <c r="G1565" s="140">
        <f>IFERROR(IF(E1565&gt;0,(F1565/E1565)*1000,""),"")</f>
        <v/>
      </c>
      <c r="H1565" s="139">
        <f>IFERROR(IF(E1565&gt;0,E1565*IF(ISNUMBER(J1565),J1565,IF(C1565="Futures",$C$6,$C$5)),""),"")</f>
        <v/>
      </c>
      <c r="I1565" s="139">
        <f>IFERROR(IF(AND(ISNUMBER(F1565),ISNUMBER(H1565)),F1565-H1565,""),"")</f>
        <v/>
      </c>
      <c r="J1565" s="114" t="n"/>
      <c r="K1565" s="139">
        <f>IFERROR(IF(H1565&gt;0,H1565*$C$7,""),"")</f>
        <v/>
      </c>
      <c r="L1565" s="139">
        <f>IFERROR(IF(ISNUMBER(F1565),F1565-IF(ISNUMBER(K1565),K1565,0),""),"")</f>
        <v/>
      </c>
    </row>
    <row r="1566" ht="24" customHeight="1" s="63">
      <c r="E1566" s="139" t="n"/>
      <c r="F1566" s="139" t="n"/>
      <c r="G1566" s="140">
        <f>IFERROR(IF(E1566&gt;0,(F1566/E1566)*1000,""),"")</f>
        <v/>
      </c>
      <c r="H1566" s="139">
        <f>IFERROR(IF(E1566&gt;0,E1566*IF(ISNUMBER(J1566),J1566,IF(C1566="Futures",$C$6,$C$5)),""),"")</f>
        <v/>
      </c>
      <c r="I1566" s="139">
        <f>IFERROR(IF(AND(ISNUMBER(F1566),ISNUMBER(H1566)),F1566-H1566,""),"")</f>
        <v/>
      </c>
      <c r="J1566" s="114" t="n"/>
      <c r="K1566" s="139">
        <f>IFERROR(IF(H1566&gt;0,H1566*$C$7,""),"")</f>
        <v/>
      </c>
      <c r="L1566" s="139">
        <f>IFERROR(IF(ISNUMBER(F1566),F1566-IF(ISNUMBER(K1566),K1566,0),""),"")</f>
        <v/>
      </c>
    </row>
    <row r="1567" ht="24" customHeight="1" s="63">
      <c r="E1567" s="139" t="n"/>
      <c r="F1567" s="139" t="n"/>
      <c r="G1567" s="140">
        <f>IFERROR(IF(E1567&gt;0,(F1567/E1567)*1000,""),"")</f>
        <v/>
      </c>
      <c r="H1567" s="139">
        <f>IFERROR(IF(E1567&gt;0,E1567*IF(ISNUMBER(J1567),J1567,IF(C1567="Futures",$C$6,$C$5)),""),"")</f>
        <v/>
      </c>
      <c r="I1567" s="139">
        <f>IFERROR(IF(AND(ISNUMBER(F1567),ISNUMBER(H1567)),F1567-H1567,""),"")</f>
        <v/>
      </c>
      <c r="J1567" s="114" t="n"/>
      <c r="K1567" s="139">
        <f>IFERROR(IF(H1567&gt;0,H1567*$C$7,""),"")</f>
        <v/>
      </c>
      <c r="L1567" s="139">
        <f>IFERROR(IF(ISNUMBER(F1567),F1567-IF(ISNUMBER(K1567),K1567,0),""),"")</f>
        <v/>
      </c>
    </row>
    <row r="1568" ht="24" customHeight="1" s="63">
      <c r="E1568" s="139" t="n"/>
      <c r="F1568" s="139" t="n"/>
      <c r="G1568" s="140">
        <f>IFERROR(IF(E1568&gt;0,(F1568/E1568)*1000,""),"")</f>
        <v/>
      </c>
      <c r="H1568" s="139">
        <f>IFERROR(IF(E1568&gt;0,E1568*IF(ISNUMBER(J1568),J1568,IF(C1568="Futures",$C$6,$C$5)),""),"")</f>
        <v/>
      </c>
      <c r="I1568" s="139">
        <f>IFERROR(IF(AND(ISNUMBER(F1568),ISNUMBER(H1568)),F1568-H1568,""),"")</f>
        <v/>
      </c>
      <c r="J1568" s="114" t="n"/>
      <c r="K1568" s="139">
        <f>IFERROR(IF(H1568&gt;0,H1568*$C$7,""),"")</f>
        <v/>
      </c>
      <c r="L1568" s="139">
        <f>IFERROR(IF(ISNUMBER(F1568),F1568-IF(ISNUMBER(K1568),K1568,0),""),"")</f>
        <v/>
      </c>
    </row>
    <row r="1569" ht="24" customHeight="1" s="63">
      <c r="E1569" s="139" t="n"/>
      <c r="F1569" s="139" t="n"/>
      <c r="G1569" s="140">
        <f>IFERROR(IF(E1569&gt;0,(F1569/E1569)*1000,""),"")</f>
        <v/>
      </c>
      <c r="H1569" s="139">
        <f>IFERROR(IF(E1569&gt;0,E1569*IF(ISNUMBER(J1569),J1569,IF(C1569="Futures",$C$6,$C$5)),""),"")</f>
        <v/>
      </c>
      <c r="I1569" s="139">
        <f>IFERROR(IF(AND(ISNUMBER(F1569),ISNUMBER(H1569)),F1569-H1569,""),"")</f>
        <v/>
      </c>
      <c r="J1569" s="114" t="n"/>
      <c r="K1569" s="139">
        <f>IFERROR(IF(H1569&gt;0,H1569*$C$7,""),"")</f>
        <v/>
      </c>
      <c r="L1569" s="139">
        <f>IFERROR(IF(ISNUMBER(F1569),F1569-IF(ISNUMBER(K1569),K1569,0),""),"")</f>
        <v/>
      </c>
    </row>
    <row r="1570" ht="24" customHeight="1" s="63">
      <c r="E1570" s="139" t="n"/>
      <c r="F1570" s="139" t="n"/>
      <c r="G1570" s="140">
        <f>IFERROR(IF(E1570&gt;0,(F1570/E1570)*1000,""),"")</f>
        <v/>
      </c>
      <c r="H1570" s="139">
        <f>IFERROR(IF(E1570&gt;0,E1570*IF(ISNUMBER(J1570),J1570,IF(C1570="Futures",$C$6,$C$5)),""),"")</f>
        <v/>
      </c>
      <c r="I1570" s="139">
        <f>IFERROR(IF(AND(ISNUMBER(F1570),ISNUMBER(H1570)),F1570-H1570,""),"")</f>
        <v/>
      </c>
      <c r="J1570" s="114" t="n"/>
      <c r="K1570" s="139">
        <f>IFERROR(IF(H1570&gt;0,H1570*$C$7,""),"")</f>
        <v/>
      </c>
      <c r="L1570" s="139">
        <f>IFERROR(IF(ISNUMBER(F1570),F1570-IF(ISNUMBER(K1570),K1570,0),""),"")</f>
        <v/>
      </c>
    </row>
    <row r="1571" ht="24" customHeight="1" s="63">
      <c r="E1571" s="139" t="n"/>
      <c r="F1571" s="139" t="n"/>
      <c r="G1571" s="140">
        <f>IFERROR(IF(E1571&gt;0,(F1571/E1571)*1000,""),"")</f>
        <v/>
      </c>
      <c r="H1571" s="139">
        <f>IFERROR(IF(E1571&gt;0,E1571*IF(ISNUMBER(J1571),J1571,IF(C1571="Futures",$C$6,$C$5)),""),"")</f>
        <v/>
      </c>
      <c r="I1571" s="139">
        <f>IFERROR(IF(AND(ISNUMBER(F1571),ISNUMBER(H1571)),F1571-H1571,""),"")</f>
        <v/>
      </c>
      <c r="J1571" s="114" t="n"/>
      <c r="K1571" s="139">
        <f>IFERROR(IF(H1571&gt;0,H1571*$C$7,""),"")</f>
        <v/>
      </c>
      <c r="L1571" s="139">
        <f>IFERROR(IF(ISNUMBER(F1571),F1571-IF(ISNUMBER(K1571),K1571,0),""),"")</f>
        <v/>
      </c>
    </row>
    <row r="1572" ht="24" customHeight="1" s="63">
      <c r="E1572" s="139" t="n"/>
      <c r="F1572" s="139" t="n"/>
      <c r="G1572" s="140">
        <f>IFERROR(IF(E1572&gt;0,(F1572/E1572)*1000,""),"")</f>
        <v/>
      </c>
      <c r="H1572" s="139">
        <f>IFERROR(IF(E1572&gt;0,E1572*IF(ISNUMBER(J1572),J1572,IF(C1572="Futures",$C$6,$C$5)),""),"")</f>
        <v/>
      </c>
      <c r="I1572" s="139">
        <f>IFERROR(IF(AND(ISNUMBER(F1572),ISNUMBER(H1572)),F1572-H1572,""),"")</f>
        <v/>
      </c>
      <c r="J1572" s="114" t="n"/>
      <c r="K1572" s="139">
        <f>IFERROR(IF(H1572&gt;0,H1572*$C$7,""),"")</f>
        <v/>
      </c>
      <c r="L1572" s="139">
        <f>IFERROR(IF(ISNUMBER(F1572),F1572-IF(ISNUMBER(K1572),K1572,0),""),"")</f>
        <v/>
      </c>
    </row>
    <row r="1573" ht="24" customHeight="1" s="63">
      <c r="E1573" s="139" t="n"/>
      <c r="F1573" s="139" t="n"/>
      <c r="G1573" s="140">
        <f>IFERROR(IF(E1573&gt;0,(F1573/E1573)*1000,""),"")</f>
        <v/>
      </c>
      <c r="H1573" s="139">
        <f>IFERROR(IF(E1573&gt;0,E1573*IF(ISNUMBER(J1573),J1573,IF(C1573="Futures",$C$6,$C$5)),""),"")</f>
        <v/>
      </c>
      <c r="I1573" s="139">
        <f>IFERROR(IF(AND(ISNUMBER(F1573),ISNUMBER(H1573)),F1573-H1573,""),"")</f>
        <v/>
      </c>
      <c r="J1573" s="114" t="n"/>
      <c r="K1573" s="139">
        <f>IFERROR(IF(H1573&gt;0,H1573*$C$7,""),"")</f>
        <v/>
      </c>
      <c r="L1573" s="139">
        <f>IFERROR(IF(ISNUMBER(F1573),F1573-IF(ISNUMBER(K1573),K1573,0),""),"")</f>
        <v/>
      </c>
    </row>
    <row r="1574" ht="24" customHeight="1" s="63">
      <c r="E1574" s="139" t="n"/>
      <c r="F1574" s="139" t="n"/>
      <c r="G1574" s="140">
        <f>IFERROR(IF(E1574&gt;0,(F1574/E1574)*1000,""),"")</f>
        <v/>
      </c>
      <c r="H1574" s="139">
        <f>IFERROR(IF(E1574&gt;0,E1574*IF(ISNUMBER(J1574),J1574,IF(C1574="Futures",$C$6,$C$5)),""),"")</f>
        <v/>
      </c>
      <c r="I1574" s="139">
        <f>IFERROR(IF(AND(ISNUMBER(F1574),ISNUMBER(H1574)),F1574-H1574,""),"")</f>
        <v/>
      </c>
      <c r="J1574" s="114" t="n"/>
      <c r="K1574" s="139">
        <f>IFERROR(IF(H1574&gt;0,H1574*$C$7,""),"")</f>
        <v/>
      </c>
      <c r="L1574" s="139">
        <f>IFERROR(IF(ISNUMBER(F1574),F1574-IF(ISNUMBER(K1574),K1574,0),""),"")</f>
        <v/>
      </c>
    </row>
    <row r="1575" ht="24" customHeight="1" s="63">
      <c r="E1575" s="139" t="n"/>
      <c r="F1575" s="139" t="n"/>
      <c r="G1575" s="140">
        <f>IFERROR(IF(E1575&gt;0,(F1575/E1575)*1000,""),"")</f>
        <v/>
      </c>
      <c r="H1575" s="139">
        <f>IFERROR(IF(E1575&gt;0,E1575*IF(ISNUMBER(J1575),J1575,IF(C1575="Futures",$C$6,$C$5)),""),"")</f>
        <v/>
      </c>
      <c r="I1575" s="139">
        <f>IFERROR(IF(AND(ISNUMBER(F1575),ISNUMBER(H1575)),F1575-H1575,""),"")</f>
        <v/>
      </c>
      <c r="J1575" s="114" t="n"/>
      <c r="K1575" s="139">
        <f>IFERROR(IF(H1575&gt;0,H1575*$C$7,""),"")</f>
        <v/>
      </c>
      <c r="L1575" s="139">
        <f>IFERROR(IF(ISNUMBER(F1575),F1575-IF(ISNUMBER(K1575),K1575,0),""),"")</f>
        <v/>
      </c>
    </row>
    <row r="1576" ht="24" customHeight="1" s="63">
      <c r="E1576" s="139" t="n"/>
      <c r="F1576" s="139" t="n"/>
      <c r="G1576" s="140">
        <f>IFERROR(IF(E1576&gt;0,(F1576/E1576)*1000,""),"")</f>
        <v/>
      </c>
      <c r="H1576" s="139">
        <f>IFERROR(IF(E1576&gt;0,E1576*IF(ISNUMBER(J1576),J1576,IF(C1576="Futures",$C$6,$C$5)),""),"")</f>
        <v/>
      </c>
      <c r="I1576" s="139">
        <f>IFERROR(IF(AND(ISNUMBER(F1576),ISNUMBER(H1576)),F1576-H1576,""),"")</f>
        <v/>
      </c>
      <c r="J1576" s="114" t="n"/>
      <c r="K1576" s="139">
        <f>IFERROR(IF(H1576&gt;0,H1576*$C$7,""),"")</f>
        <v/>
      </c>
      <c r="L1576" s="139">
        <f>IFERROR(IF(ISNUMBER(F1576),F1576-IF(ISNUMBER(K1576),K1576,0),""),"")</f>
        <v/>
      </c>
    </row>
    <row r="1577" ht="24" customHeight="1" s="63">
      <c r="E1577" s="139" t="n"/>
      <c r="F1577" s="139" t="n"/>
      <c r="G1577" s="140">
        <f>IFERROR(IF(E1577&gt;0,(F1577/E1577)*1000,""),"")</f>
        <v/>
      </c>
      <c r="H1577" s="139">
        <f>IFERROR(IF(E1577&gt;0,E1577*IF(ISNUMBER(J1577),J1577,IF(C1577="Futures",$C$6,$C$5)),""),"")</f>
        <v/>
      </c>
      <c r="I1577" s="139">
        <f>IFERROR(IF(AND(ISNUMBER(F1577),ISNUMBER(H1577)),F1577-H1577,""),"")</f>
        <v/>
      </c>
      <c r="J1577" s="114" t="n"/>
      <c r="K1577" s="139">
        <f>IFERROR(IF(H1577&gt;0,H1577*$C$7,""),"")</f>
        <v/>
      </c>
      <c r="L1577" s="139">
        <f>IFERROR(IF(ISNUMBER(F1577),F1577-IF(ISNUMBER(K1577),K1577,0),""),"")</f>
        <v/>
      </c>
    </row>
    <row r="1578" ht="24" customHeight="1" s="63">
      <c r="E1578" s="139" t="n"/>
      <c r="F1578" s="139" t="n"/>
      <c r="G1578" s="140">
        <f>IFERROR(IF(E1578&gt;0,(F1578/E1578)*1000,""),"")</f>
        <v/>
      </c>
      <c r="H1578" s="139">
        <f>IFERROR(IF(E1578&gt;0,E1578*IF(ISNUMBER(J1578),J1578,IF(C1578="Futures",$C$6,$C$5)),""),"")</f>
        <v/>
      </c>
      <c r="I1578" s="139">
        <f>IFERROR(IF(AND(ISNUMBER(F1578),ISNUMBER(H1578)),F1578-H1578,""),"")</f>
        <v/>
      </c>
      <c r="J1578" s="114" t="n"/>
      <c r="K1578" s="139">
        <f>IFERROR(IF(H1578&gt;0,H1578*$C$7,""),"")</f>
        <v/>
      </c>
      <c r="L1578" s="139">
        <f>IFERROR(IF(ISNUMBER(F1578),F1578-IF(ISNUMBER(K1578),K1578,0),""),"")</f>
        <v/>
      </c>
    </row>
    <row r="1579" ht="24" customHeight="1" s="63">
      <c r="E1579" s="139" t="n"/>
      <c r="F1579" s="139" t="n"/>
      <c r="G1579" s="140">
        <f>IFERROR(IF(E1579&gt;0,(F1579/E1579)*1000,""),"")</f>
        <v/>
      </c>
      <c r="H1579" s="139">
        <f>IFERROR(IF(E1579&gt;0,E1579*IF(ISNUMBER(J1579),J1579,IF(C1579="Futures",$C$6,$C$5)),""),"")</f>
        <v/>
      </c>
      <c r="I1579" s="139">
        <f>IFERROR(IF(AND(ISNUMBER(F1579),ISNUMBER(H1579)),F1579-H1579,""),"")</f>
        <v/>
      </c>
      <c r="J1579" s="114" t="n"/>
      <c r="K1579" s="139">
        <f>IFERROR(IF(H1579&gt;0,H1579*$C$7,""),"")</f>
        <v/>
      </c>
      <c r="L1579" s="139">
        <f>IFERROR(IF(ISNUMBER(F1579),F1579-IF(ISNUMBER(K1579),K1579,0),""),"")</f>
        <v/>
      </c>
    </row>
    <row r="1580" ht="24" customHeight="1" s="63">
      <c r="E1580" s="139" t="n"/>
      <c r="F1580" s="139" t="n"/>
      <c r="G1580" s="140">
        <f>IFERROR(IF(E1580&gt;0,(F1580/E1580)*1000,""),"")</f>
        <v/>
      </c>
      <c r="H1580" s="139">
        <f>IFERROR(IF(E1580&gt;0,E1580*IF(ISNUMBER(J1580),J1580,IF(C1580="Futures",$C$6,$C$5)),""),"")</f>
        <v/>
      </c>
      <c r="I1580" s="139">
        <f>IFERROR(IF(AND(ISNUMBER(F1580),ISNUMBER(H1580)),F1580-H1580,""),"")</f>
        <v/>
      </c>
      <c r="J1580" s="114" t="n"/>
      <c r="K1580" s="139">
        <f>IFERROR(IF(H1580&gt;0,H1580*$C$7,""),"")</f>
        <v/>
      </c>
      <c r="L1580" s="139">
        <f>IFERROR(IF(ISNUMBER(F1580),F1580-IF(ISNUMBER(K1580),K1580,0),""),"")</f>
        <v/>
      </c>
    </row>
    <row r="1581" ht="24" customHeight="1" s="63">
      <c r="E1581" s="139" t="n"/>
      <c r="F1581" s="139" t="n"/>
      <c r="G1581" s="140">
        <f>IFERROR(IF(E1581&gt;0,(F1581/E1581)*1000,""),"")</f>
        <v/>
      </c>
      <c r="H1581" s="139">
        <f>IFERROR(IF(E1581&gt;0,E1581*IF(ISNUMBER(J1581),J1581,IF(C1581="Futures",$C$6,$C$5)),""),"")</f>
        <v/>
      </c>
      <c r="I1581" s="139">
        <f>IFERROR(IF(AND(ISNUMBER(F1581),ISNUMBER(H1581)),F1581-H1581,""),"")</f>
        <v/>
      </c>
      <c r="J1581" s="114" t="n"/>
      <c r="K1581" s="139">
        <f>IFERROR(IF(H1581&gt;0,H1581*$C$7,""),"")</f>
        <v/>
      </c>
      <c r="L1581" s="139">
        <f>IFERROR(IF(ISNUMBER(F1581),F1581-IF(ISNUMBER(K1581),K1581,0),""),"")</f>
        <v/>
      </c>
    </row>
    <row r="1582" ht="24" customHeight="1" s="63">
      <c r="E1582" s="139" t="n"/>
      <c r="F1582" s="139" t="n"/>
      <c r="G1582" s="140">
        <f>IFERROR(IF(E1582&gt;0,(F1582/E1582)*1000,""),"")</f>
        <v/>
      </c>
      <c r="H1582" s="139">
        <f>IFERROR(IF(E1582&gt;0,E1582*IF(ISNUMBER(J1582),J1582,IF(C1582="Futures",$C$6,$C$5)),""),"")</f>
        <v/>
      </c>
      <c r="I1582" s="139">
        <f>IFERROR(IF(AND(ISNUMBER(F1582),ISNUMBER(H1582)),F1582-H1582,""),"")</f>
        <v/>
      </c>
      <c r="J1582" s="114" t="n"/>
      <c r="K1582" s="139">
        <f>IFERROR(IF(H1582&gt;0,H1582*$C$7,""),"")</f>
        <v/>
      </c>
      <c r="L1582" s="139">
        <f>IFERROR(IF(ISNUMBER(F1582),F1582-IF(ISNUMBER(K1582),K1582,0),""),"")</f>
        <v/>
      </c>
    </row>
    <row r="1583" ht="24" customHeight="1" s="63">
      <c r="E1583" s="139" t="n"/>
      <c r="F1583" s="139" t="n"/>
      <c r="G1583" s="140">
        <f>IFERROR(IF(E1583&gt;0,(F1583/E1583)*1000,""),"")</f>
        <v/>
      </c>
      <c r="H1583" s="139">
        <f>IFERROR(IF(E1583&gt;0,E1583*IF(ISNUMBER(J1583),J1583,IF(C1583="Futures",$C$6,$C$5)),""),"")</f>
        <v/>
      </c>
      <c r="I1583" s="139">
        <f>IFERROR(IF(AND(ISNUMBER(F1583),ISNUMBER(H1583)),F1583-H1583,""),"")</f>
        <v/>
      </c>
      <c r="J1583" s="114" t="n"/>
      <c r="K1583" s="139">
        <f>IFERROR(IF(H1583&gt;0,H1583*$C$7,""),"")</f>
        <v/>
      </c>
      <c r="L1583" s="139">
        <f>IFERROR(IF(ISNUMBER(F1583),F1583-IF(ISNUMBER(K1583),K1583,0),""),"")</f>
        <v/>
      </c>
    </row>
    <row r="1584" ht="24" customHeight="1" s="63">
      <c r="E1584" s="139" t="n"/>
      <c r="F1584" s="139" t="n"/>
      <c r="G1584" s="140">
        <f>IFERROR(IF(E1584&gt;0,(F1584/E1584)*1000,""),"")</f>
        <v/>
      </c>
      <c r="H1584" s="139">
        <f>IFERROR(IF(E1584&gt;0,E1584*IF(ISNUMBER(J1584),J1584,IF(C1584="Futures",$C$6,$C$5)),""),"")</f>
        <v/>
      </c>
      <c r="I1584" s="139">
        <f>IFERROR(IF(AND(ISNUMBER(F1584),ISNUMBER(H1584)),F1584-H1584,""),"")</f>
        <v/>
      </c>
      <c r="J1584" s="114" t="n"/>
      <c r="K1584" s="139">
        <f>IFERROR(IF(H1584&gt;0,H1584*$C$7,""),"")</f>
        <v/>
      </c>
      <c r="L1584" s="139">
        <f>IFERROR(IF(ISNUMBER(F1584),F1584-IF(ISNUMBER(K1584),K1584,0),""),"")</f>
        <v/>
      </c>
    </row>
    <row r="1585" ht="24" customHeight="1" s="63">
      <c r="E1585" s="139" t="n"/>
      <c r="F1585" s="139" t="n"/>
      <c r="G1585" s="140">
        <f>IFERROR(IF(E1585&gt;0,(F1585/E1585)*1000,""),"")</f>
        <v/>
      </c>
      <c r="H1585" s="139">
        <f>IFERROR(IF(E1585&gt;0,E1585*IF(ISNUMBER(J1585),J1585,IF(C1585="Futures",$C$6,$C$5)),""),"")</f>
        <v/>
      </c>
      <c r="I1585" s="139">
        <f>IFERROR(IF(AND(ISNUMBER(F1585),ISNUMBER(H1585)),F1585-H1585,""),"")</f>
        <v/>
      </c>
      <c r="J1585" s="114" t="n"/>
      <c r="K1585" s="139">
        <f>IFERROR(IF(H1585&gt;0,H1585*$C$7,""),"")</f>
        <v/>
      </c>
      <c r="L1585" s="139">
        <f>IFERROR(IF(ISNUMBER(F1585),F1585-IF(ISNUMBER(K1585),K1585,0),""),"")</f>
        <v/>
      </c>
    </row>
    <row r="1586" ht="24" customHeight="1" s="63">
      <c r="E1586" s="139" t="n"/>
      <c r="F1586" s="139" t="n"/>
      <c r="G1586" s="140">
        <f>IFERROR(IF(E1586&gt;0,(F1586/E1586)*1000,""),"")</f>
        <v/>
      </c>
      <c r="H1586" s="139">
        <f>IFERROR(IF(E1586&gt;0,E1586*IF(ISNUMBER(J1586),J1586,IF(C1586="Futures",$C$6,$C$5)),""),"")</f>
        <v/>
      </c>
      <c r="I1586" s="139">
        <f>IFERROR(IF(AND(ISNUMBER(F1586),ISNUMBER(H1586)),F1586-H1586,""),"")</f>
        <v/>
      </c>
      <c r="J1586" s="114" t="n"/>
      <c r="K1586" s="139">
        <f>IFERROR(IF(H1586&gt;0,H1586*$C$7,""),"")</f>
        <v/>
      </c>
      <c r="L1586" s="139">
        <f>IFERROR(IF(ISNUMBER(F1586),F1586-IF(ISNUMBER(K1586),K1586,0),""),"")</f>
        <v/>
      </c>
    </row>
    <row r="1587" ht="24" customHeight="1" s="63">
      <c r="E1587" s="139" t="n"/>
      <c r="F1587" s="139" t="n"/>
      <c r="G1587" s="140">
        <f>IFERROR(IF(E1587&gt;0,(F1587/E1587)*1000,""),"")</f>
        <v/>
      </c>
      <c r="H1587" s="139">
        <f>IFERROR(IF(E1587&gt;0,E1587*IF(ISNUMBER(J1587),J1587,IF(C1587="Futures",$C$6,$C$5)),""),"")</f>
        <v/>
      </c>
      <c r="I1587" s="139">
        <f>IFERROR(IF(AND(ISNUMBER(F1587),ISNUMBER(H1587)),F1587-H1587,""),"")</f>
        <v/>
      </c>
      <c r="J1587" s="114" t="n"/>
      <c r="K1587" s="139">
        <f>IFERROR(IF(H1587&gt;0,H1587*$C$7,""),"")</f>
        <v/>
      </c>
      <c r="L1587" s="139">
        <f>IFERROR(IF(ISNUMBER(F1587),F1587-IF(ISNUMBER(K1587),K1587,0),""),"")</f>
        <v/>
      </c>
    </row>
    <row r="1588" ht="24" customHeight="1" s="63">
      <c r="E1588" s="139" t="n"/>
      <c r="F1588" s="139" t="n"/>
      <c r="G1588" s="140">
        <f>IFERROR(IF(E1588&gt;0,(F1588/E1588)*1000,""),"")</f>
        <v/>
      </c>
      <c r="H1588" s="139">
        <f>IFERROR(IF(E1588&gt;0,E1588*IF(ISNUMBER(J1588),J1588,IF(C1588="Futures",$C$6,$C$5)),""),"")</f>
        <v/>
      </c>
      <c r="I1588" s="139">
        <f>IFERROR(IF(AND(ISNUMBER(F1588),ISNUMBER(H1588)),F1588-H1588,""),"")</f>
        <v/>
      </c>
      <c r="J1588" s="114" t="n"/>
      <c r="K1588" s="139">
        <f>IFERROR(IF(H1588&gt;0,H1588*$C$7,""),"")</f>
        <v/>
      </c>
      <c r="L1588" s="139">
        <f>IFERROR(IF(ISNUMBER(F1588),F1588-IF(ISNUMBER(K1588),K1588,0),""),"")</f>
        <v/>
      </c>
    </row>
    <row r="1589" ht="24" customHeight="1" s="63">
      <c r="E1589" s="139" t="n"/>
      <c r="F1589" s="139" t="n"/>
      <c r="G1589" s="140">
        <f>IFERROR(IF(E1589&gt;0,(F1589/E1589)*1000,""),"")</f>
        <v/>
      </c>
      <c r="H1589" s="139">
        <f>IFERROR(IF(E1589&gt;0,E1589*IF(ISNUMBER(J1589),J1589,IF(C1589="Futures",$C$6,$C$5)),""),"")</f>
        <v/>
      </c>
      <c r="I1589" s="139">
        <f>IFERROR(IF(AND(ISNUMBER(F1589),ISNUMBER(H1589)),F1589-H1589,""),"")</f>
        <v/>
      </c>
      <c r="J1589" s="114" t="n"/>
      <c r="K1589" s="139">
        <f>IFERROR(IF(H1589&gt;0,H1589*$C$7,""),"")</f>
        <v/>
      </c>
      <c r="L1589" s="139">
        <f>IFERROR(IF(ISNUMBER(F1589),F1589-IF(ISNUMBER(K1589),K1589,0),""),"")</f>
        <v/>
      </c>
    </row>
    <row r="1590" ht="24" customHeight="1" s="63">
      <c r="E1590" s="139" t="n"/>
      <c r="F1590" s="139" t="n"/>
      <c r="G1590" s="140">
        <f>IFERROR(IF(E1590&gt;0,(F1590/E1590)*1000,""),"")</f>
        <v/>
      </c>
      <c r="H1590" s="139">
        <f>IFERROR(IF(E1590&gt;0,E1590*IF(ISNUMBER(J1590),J1590,IF(C1590="Futures",$C$6,$C$5)),""),"")</f>
        <v/>
      </c>
      <c r="I1590" s="139">
        <f>IFERROR(IF(AND(ISNUMBER(F1590),ISNUMBER(H1590)),F1590-H1590,""),"")</f>
        <v/>
      </c>
      <c r="J1590" s="114" t="n"/>
      <c r="K1590" s="139">
        <f>IFERROR(IF(H1590&gt;0,H1590*$C$7,""),"")</f>
        <v/>
      </c>
      <c r="L1590" s="139">
        <f>IFERROR(IF(ISNUMBER(F1590),F1590-IF(ISNUMBER(K1590),K1590,0),""),"")</f>
        <v/>
      </c>
    </row>
    <row r="1591" ht="24" customHeight="1" s="63">
      <c r="E1591" s="139" t="n"/>
      <c r="F1591" s="139" t="n"/>
      <c r="G1591" s="140">
        <f>IFERROR(IF(E1591&gt;0,(F1591/E1591)*1000,""),"")</f>
        <v/>
      </c>
      <c r="H1591" s="139">
        <f>IFERROR(IF(E1591&gt;0,E1591*IF(ISNUMBER(J1591),J1591,IF(C1591="Futures",$C$6,$C$5)),""),"")</f>
        <v/>
      </c>
      <c r="I1591" s="139">
        <f>IFERROR(IF(AND(ISNUMBER(F1591),ISNUMBER(H1591)),F1591-H1591,""),"")</f>
        <v/>
      </c>
      <c r="J1591" s="114" t="n"/>
      <c r="K1591" s="139">
        <f>IFERROR(IF(H1591&gt;0,H1591*$C$7,""),"")</f>
        <v/>
      </c>
      <c r="L1591" s="139">
        <f>IFERROR(IF(ISNUMBER(F1591),F1591-IF(ISNUMBER(K1591),K1591,0),""),"")</f>
        <v/>
      </c>
    </row>
    <row r="1592" ht="24" customHeight="1" s="63">
      <c r="E1592" s="139" t="n"/>
      <c r="F1592" s="139" t="n"/>
      <c r="G1592" s="140">
        <f>IFERROR(IF(E1592&gt;0,(F1592/E1592)*1000,""),"")</f>
        <v/>
      </c>
      <c r="H1592" s="139">
        <f>IFERROR(IF(E1592&gt;0,E1592*IF(ISNUMBER(J1592),J1592,IF(C1592="Futures",$C$6,$C$5)),""),"")</f>
        <v/>
      </c>
      <c r="I1592" s="139">
        <f>IFERROR(IF(AND(ISNUMBER(F1592),ISNUMBER(H1592)),F1592-H1592,""),"")</f>
        <v/>
      </c>
      <c r="J1592" s="114" t="n"/>
      <c r="K1592" s="139">
        <f>IFERROR(IF(H1592&gt;0,H1592*$C$7,""),"")</f>
        <v/>
      </c>
      <c r="L1592" s="139">
        <f>IFERROR(IF(ISNUMBER(F1592),F1592-IF(ISNUMBER(K1592),K1592,0),""),"")</f>
        <v/>
      </c>
    </row>
    <row r="1593" ht="24" customHeight="1" s="63">
      <c r="E1593" s="139" t="n"/>
      <c r="F1593" s="139" t="n"/>
      <c r="G1593" s="140">
        <f>IFERROR(IF(E1593&gt;0,(F1593/E1593)*1000,""),"")</f>
        <v/>
      </c>
      <c r="H1593" s="139">
        <f>IFERROR(IF(E1593&gt;0,E1593*IF(ISNUMBER(J1593),J1593,IF(C1593="Futures",$C$6,$C$5)),""),"")</f>
        <v/>
      </c>
      <c r="I1593" s="139">
        <f>IFERROR(IF(AND(ISNUMBER(F1593),ISNUMBER(H1593)),F1593-H1593,""),"")</f>
        <v/>
      </c>
      <c r="J1593" s="114" t="n"/>
      <c r="K1593" s="139">
        <f>IFERROR(IF(H1593&gt;0,H1593*$C$7,""),"")</f>
        <v/>
      </c>
      <c r="L1593" s="139">
        <f>IFERROR(IF(ISNUMBER(F1593),F1593-IF(ISNUMBER(K1593),K1593,0),""),"")</f>
        <v/>
      </c>
    </row>
    <row r="1594" ht="24" customHeight="1" s="63">
      <c r="E1594" s="139" t="n"/>
      <c r="F1594" s="139" t="n"/>
      <c r="G1594" s="140">
        <f>IFERROR(IF(E1594&gt;0,(F1594/E1594)*1000,""),"")</f>
        <v/>
      </c>
      <c r="H1594" s="139">
        <f>IFERROR(IF(E1594&gt;0,E1594*IF(ISNUMBER(J1594),J1594,IF(C1594="Futures",$C$6,$C$5)),""),"")</f>
        <v/>
      </c>
      <c r="I1594" s="139">
        <f>IFERROR(IF(AND(ISNUMBER(F1594),ISNUMBER(H1594)),F1594-H1594,""),"")</f>
        <v/>
      </c>
      <c r="J1594" s="114" t="n"/>
      <c r="K1594" s="139">
        <f>IFERROR(IF(H1594&gt;0,H1594*$C$7,""),"")</f>
        <v/>
      </c>
      <c r="L1594" s="139">
        <f>IFERROR(IF(ISNUMBER(F1594),F1594-IF(ISNUMBER(K1594),K1594,0),""),"")</f>
        <v/>
      </c>
    </row>
    <row r="1595" ht="24" customHeight="1" s="63">
      <c r="E1595" s="139" t="n"/>
      <c r="F1595" s="139" t="n"/>
      <c r="G1595" s="140">
        <f>IFERROR(IF(E1595&gt;0,(F1595/E1595)*1000,""),"")</f>
        <v/>
      </c>
      <c r="H1595" s="139">
        <f>IFERROR(IF(E1595&gt;0,E1595*IF(ISNUMBER(J1595),J1595,IF(C1595="Futures",$C$6,$C$5)),""),"")</f>
        <v/>
      </c>
      <c r="I1595" s="139">
        <f>IFERROR(IF(AND(ISNUMBER(F1595),ISNUMBER(H1595)),F1595-H1595,""),"")</f>
        <v/>
      </c>
      <c r="J1595" s="114" t="n"/>
      <c r="K1595" s="139">
        <f>IFERROR(IF(H1595&gt;0,H1595*$C$7,""),"")</f>
        <v/>
      </c>
      <c r="L1595" s="139">
        <f>IFERROR(IF(ISNUMBER(F1595),F1595-IF(ISNUMBER(K1595),K1595,0),""),"")</f>
        <v/>
      </c>
    </row>
    <row r="1596" ht="24" customHeight="1" s="63">
      <c r="E1596" s="139" t="n"/>
      <c r="F1596" s="139" t="n"/>
      <c r="G1596" s="140">
        <f>IFERROR(IF(E1596&gt;0,(F1596/E1596)*1000,""),"")</f>
        <v/>
      </c>
      <c r="H1596" s="139">
        <f>IFERROR(IF(E1596&gt;0,E1596*IF(ISNUMBER(J1596),J1596,IF(C1596="Futures",$C$6,$C$5)),""),"")</f>
        <v/>
      </c>
      <c r="I1596" s="139">
        <f>IFERROR(IF(AND(ISNUMBER(F1596),ISNUMBER(H1596)),F1596-H1596,""),"")</f>
        <v/>
      </c>
      <c r="J1596" s="114" t="n"/>
      <c r="K1596" s="139">
        <f>IFERROR(IF(H1596&gt;0,H1596*$C$7,""),"")</f>
        <v/>
      </c>
      <c r="L1596" s="139">
        <f>IFERROR(IF(ISNUMBER(F1596),F1596-IF(ISNUMBER(K1596),K1596,0),""),"")</f>
        <v/>
      </c>
    </row>
    <row r="1597" ht="24" customHeight="1" s="63">
      <c r="E1597" s="139" t="n"/>
      <c r="F1597" s="139" t="n"/>
      <c r="G1597" s="140">
        <f>IFERROR(IF(E1597&gt;0,(F1597/E1597)*1000,""),"")</f>
        <v/>
      </c>
      <c r="H1597" s="139">
        <f>IFERROR(IF(E1597&gt;0,E1597*IF(ISNUMBER(J1597),J1597,IF(C1597="Futures",$C$6,$C$5)),""),"")</f>
        <v/>
      </c>
      <c r="I1597" s="139">
        <f>IFERROR(IF(AND(ISNUMBER(F1597),ISNUMBER(H1597)),F1597-H1597,""),"")</f>
        <v/>
      </c>
      <c r="J1597" s="114" t="n"/>
      <c r="K1597" s="139">
        <f>IFERROR(IF(H1597&gt;0,H1597*$C$7,""),"")</f>
        <v/>
      </c>
      <c r="L1597" s="139">
        <f>IFERROR(IF(ISNUMBER(F1597),F1597-IF(ISNUMBER(K1597),K1597,0),""),"")</f>
        <v/>
      </c>
    </row>
    <row r="1598" ht="24" customHeight="1" s="63">
      <c r="E1598" s="139" t="n"/>
      <c r="F1598" s="139" t="n"/>
      <c r="G1598" s="140">
        <f>IFERROR(IF(E1598&gt;0,(F1598/E1598)*1000,""),"")</f>
        <v/>
      </c>
      <c r="H1598" s="139">
        <f>IFERROR(IF(E1598&gt;0,E1598*IF(ISNUMBER(J1598),J1598,IF(C1598="Futures",$C$6,$C$5)),""),"")</f>
        <v/>
      </c>
      <c r="I1598" s="139">
        <f>IFERROR(IF(AND(ISNUMBER(F1598),ISNUMBER(H1598)),F1598-H1598,""),"")</f>
        <v/>
      </c>
      <c r="J1598" s="114" t="n"/>
      <c r="K1598" s="139">
        <f>IFERROR(IF(H1598&gt;0,H1598*$C$7,""),"")</f>
        <v/>
      </c>
      <c r="L1598" s="139">
        <f>IFERROR(IF(ISNUMBER(F1598),F1598-IF(ISNUMBER(K1598),K1598,0),""),"")</f>
        <v/>
      </c>
    </row>
    <row r="1599" ht="24" customHeight="1" s="63">
      <c r="E1599" s="139" t="n"/>
      <c r="F1599" s="139" t="n"/>
      <c r="G1599" s="140">
        <f>IFERROR(IF(E1599&gt;0,(F1599/E1599)*1000,""),"")</f>
        <v/>
      </c>
      <c r="H1599" s="139">
        <f>IFERROR(IF(E1599&gt;0,E1599*IF(ISNUMBER(J1599),J1599,IF(C1599="Futures",$C$6,$C$5)),""),"")</f>
        <v/>
      </c>
      <c r="I1599" s="139">
        <f>IFERROR(IF(AND(ISNUMBER(F1599),ISNUMBER(H1599)),F1599-H1599,""),"")</f>
        <v/>
      </c>
      <c r="J1599" s="114" t="n"/>
      <c r="K1599" s="139">
        <f>IFERROR(IF(H1599&gt;0,H1599*$C$7,""),"")</f>
        <v/>
      </c>
      <c r="L1599" s="139">
        <f>IFERROR(IF(ISNUMBER(F1599),F1599-IF(ISNUMBER(K1599),K1599,0),""),"")</f>
        <v/>
      </c>
    </row>
    <row r="1600" ht="24" customHeight="1" s="63">
      <c r="E1600" s="139" t="n"/>
      <c r="F1600" s="139" t="n"/>
      <c r="G1600" s="140">
        <f>IFERROR(IF(E1600&gt;0,(F1600/E1600)*1000,""),"")</f>
        <v/>
      </c>
      <c r="H1600" s="139">
        <f>IFERROR(IF(E1600&gt;0,E1600*IF(ISNUMBER(J1600),J1600,IF(C1600="Futures",$C$6,$C$5)),""),"")</f>
        <v/>
      </c>
      <c r="I1600" s="139">
        <f>IFERROR(IF(AND(ISNUMBER(F1600),ISNUMBER(H1600)),F1600-H1600,""),"")</f>
        <v/>
      </c>
      <c r="J1600" s="114" t="n"/>
      <c r="K1600" s="139">
        <f>IFERROR(IF(H1600&gt;0,H1600*$C$7,""),"")</f>
        <v/>
      </c>
      <c r="L1600" s="139">
        <f>IFERROR(IF(ISNUMBER(F1600),F1600-IF(ISNUMBER(K1600),K1600,0),""),"")</f>
        <v/>
      </c>
    </row>
    <row r="1601" ht="24" customHeight="1" s="63">
      <c r="E1601" s="139" t="n"/>
      <c r="F1601" s="139" t="n"/>
      <c r="G1601" s="140">
        <f>IFERROR(IF(E1601&gt;0,(F1601/E1601)*1000,""),"")</f>
        <v/>
      </c>
      <c r="H1601" s="139">
        <f>IFERROR(IF(E1601&gt;0,E1601*IF(ISNUMBER(J1601),J1601,IF(C1601="Futures",$C$6,$C$5)),""),"")</f>
        <v/>
      </c>
      <c r="I1601" s="139">
        <f>IFERROR(IF(AND(ISNUMBER(F1601),ISNUMBER(H1601)),F1601-H1601,""),"")</f>
        <v/>
      </c>
      <c r="J1601" s="114" t="n"/>
      <c r="K1601" s="139">
        <f>IFERROR(IF(H1601&gt;0,H1601*$C$7,""),"")</f>
        <v/>
      </c>
      <c r="L1601" s="139">
        <f>IFERROR(IF(ISNUMBER(F1601),F1601-IF(ISNUMBER(K1601),K1601,0),""),"")</f>
        <v/>
      </c>
    </row>
    <row r="1602" ht="24" customHeight="1" s="63">
      <c r="E1602" s="139" t="n"/>
      <c r="F1602" s="139" t="n"/>
      <c r="G1602" s="140">
        <f>IFERROR(IF(E1602&gt;0,(F1602/E1602)*1000,""),"")</f>
        <v/>
      </c>
      <c r="H1602" s="139">
        <f>IFERROR(IF(E1602&gt;0,E1602*IF(ISNUMBER(J1602),J1602,IF(C1602="Futures",$C$6,$C$5)),""),"")</f>
        <v/>
      </c>
      <c r="I1602" s="139">
        <f>IFERROR(IF(AND(ISNUMBER(F1602),ISNUMBER(H1602)),F1602-H1602,""),"")</f>
        <v/>
      </c>
      <c r="J1602" s="114" t="n"/>
      <c r="K1602" s="139">
        <f>IFERROR(IF(H1602&gt;0,H1602*$C$7,""),"")</f>
        <v/>
      </c>
      <c r="L1602" s="139">
        <f>IFERROR(IF(ISNUMBER(F1602),F1602-IF(ISNUMBER(K1602),K1602,0),""),"")</f>
        <v/>
      </c>
    </row>
    <row r="1603" ht="24" customHeight="1" s="63">
      <c r="E1603" s="139" t="n"/>
      <c r="F1603" s="139" t="n"/>
      <c r="G1603" s="140">
        <f>IFERROR(IF(E1603&gt;0,(F1603/E1603)*1000,""),"")</f>
        <v/>
      </c>
      <c r="H1603" s="139">
        <f>IFERROR(IF(E1603&gt;0,E1603*IF(ISNUMBER(J1603),J1603,IF(C1603="Futures",$C$6,$C$5)),""),"")</f>
        <v/>
      </c>
      <c r="I1603" s="139">
        <f>IFERROR(IF(AND(ISNUMBER(F1603),ISNUMBER(H1603)),F1603-H1603,""),"")</f>
        <v/>
      </c>
      <c r="J1603" s="114" t="n"/>
      <c r="K1603" s="139">
        <f>IFERROR(IF(H1603&gt;0,H1603*$C$7,""),"")</f>
        <v/>
      </c>
      <c r="L1603" s="139">
        <f>IFERROR(IF(ISNUMBER(F1603),F1603-IF(ISNUMBER(K1603),K1603,0),""),"")</f>
        <v/>
      </c>
    </row>
    <row r="1604" ht="24" customHeight="1" s="63">
      <c r="E1604" s="139" t="n"/>
      <c r="F1604" s="139" t="n"/>
      <c r="G1604" s="140">
        <f>IFERROR(IF(E1604&gt;0,(F1604/E1604)*1000,""),"")</f>
        <v/>
      </c>
      <c r="H1604" s="139">
        <f>IFERROR(IF(E1604&gt;0,E1604*IF(ISNUMBER(J1604),J1604,IF(C1604="Futures",$C$6,$C$5)),""),"")</f>
        <v/>
      </c>
      <c r="I1604" s="139">
        <f>IFERROR(IF(AND(ISNUMBER(F1604),ISNUMBER(H1604)),F1604-H1604,""),"")</f>
        <v/>
      </c>
      <c r="J1604" s="114" t="n"/>
      <c r="K1604" s="139">
        <f>IFERROR(IF(H1604&gt;0,H1604*$C$7,""),"")</f>
        <v/>
      </c>
      <c r="L1604" s="139">
        <f>IFERROR(IF(ISNUMBER(F1604),F1604-IF(ISNUMBER(K1604),K1604,0),""),"")</f>
        <v/>
      </c>
    </row>
    <row r="1605" ht="24" customHeight="1" s="63">
      <c r="E1605" s="139" t="n"/>
      <c r="F1605" s="139" t="n"/>
      <c r="G1605" s="140">
        <f>IFERROR(IF(E1605&gt;0,(F1605/E1605)*1000,""),"")</f>
        <v/>
      </c>
      <c r="H1605" s="139">
        <f>IFERROR(IF(E1605&gt;0,E1605*IF(ISNUMBER(J1605),J1605,IF(C1605="Futures",$C$6,$C$5)),""),"")</f>
        <v/>
      </c>
      <c r="I1605" s="139">
        <f>IFERROR(IF(AND(ISNUMBER(F1605),ISNUMBER(H1605)),F1605-H1605,""),"")</f>
        <v/>
      </c>
      <c r="J1605" s="114" t="n"/>
      <c r="K1605" s="139">
        <f>IFERROR(IF(H1605&gt;0,H1605*$C$7,""),"")</f>
        <v/>
      </c>
      <c r="L1605" s="139">
        <f>IFERROR(IF(ISNUMBER(F1605),F1605-IF(ISNUMBER(K1605),K1605,0),""),"")</f>
        <v/>
      </c>
    </row>
    <row r="1606" ht="24" customHeight="1" s="63">
      <c r="E1606" s="139" t="n"/>
      <c r="F1606" s="139" t="n"/>
      <c r="G1606" s="140">
        <f>IFERROR(IF(E1606&gt;0,(F1606/E1606)*1000,""),"")</f>
        <v/>
      </c>
      <c r="H1606" s="139">
        <f>IFERROR(IF(E1606&gt;0,E1606*IF(ISNUMBER(J1606),J1606,IF(C1606="Futures",$C$6,$C$5)),""),"")</f>
        <v/>
      </c>
      <c r="I1606" s="139">
        <f>IFERROR(IF(AND(ISNUMBER(F1606),ISNUMBER(H1606)),F1606-H1606,""),"")</f>
        <v/>
      </c>
      <c r="J1606" s="114" t="n"/>
      <c r="K1606" s="139">
        <f>IFERROR(IF(H1606&gt;0,H1606*$C$7,""),"")</f>
        <v/>
      </c>
      <c r="L1606" s="139">
        <f>IFERROR(IF(ISNUMBER(F1606),F1606-IF(ISNUMBER(K1606),K1606,0),""),"")</f>
        <v/>
      </c>
    </row>
    <row r="1607" ht="24" customHeight="1" s="63">
      <c r="E1607" s="139" t="n"/>
      <c r="F1607" s="139" t="n"/>
      <c r="G1607" s="140">
        <f>IFERROR(IF(E1607&gt;0,(F1607/E1607)*1000,""),"")</f>
        <v/>
      </c>
      <c r="H1607" s="139">
        <f>IFERROR(IF(E1607&gt;0,E1607*IF(ISNUMBER(J1607),J1607,IF(C1607="Futures",$C$6,$C$5)),""),"")</f>
        <v/>
      </c>
      <c r="I1607" s="139">
        <f>IFERROR(IF(AND(ISNUMBER(F1607),ISNUMBER(H1607)),F1607-H1607,""),"")</f>
        <v/>
      </c>
      <c r="J1607" s="114" t="n"/>
      <c r="K1607" s="139">
        <f>IFERROR(IF(H1607&gt;0,H1607*$C$7,""),"")</f>
        <v/>
      </c>
      <c r="L1607" s="139">
        <f>IFERROR(IF(ISNUMBER(F1607),F1607-IF(ISNUMBER(K1607),K1607,0),""),"")</f>
        <v/>
      </c>
    </row>
    <row r="1608" ht="24" customHeight="1" s="63">
      <c r="E1608" s="139" t="n"/>
      <c r="F1608" s="139" t="n"/>
      <c r="G1608" s="140">
        <f>IFERROR(IF(E1608&gt;0,(F1608/E1608)*1000,""),"")</f>
        <v/>
      </c>
      <c r="H1608" s="139">
        <f>IFERROR(IF(E1608&gt;0,E1608*IF(ISNUMBER(J1608),J1608,IF(C1608="Futures",$C$6,$C$5)),""),"")</f>
        <v/>
      </c>
      <c r="I1608" s="139">
        <f>IFERROR(IF(AND(ISNUMBER(F1608),ISNUMBER(H1608)),F1608-H1608,""),"")</f>
        <v/>
      </c>
      <c r="J1608" s="114" t="n"/>
      <c r="K1608" s="139">
        <f>IFERROR(IF(H1608&gt;0,H1608*$C$7,""),"")</f>
        <v/>
      </c>
      <c r="L1608" s="139">
        <f>IFERROR(IF(ISNUMBER(F1608),F1608-IF(ISNUMBER(K1608),K1608,0),""),"")</f>
        <v/>
      </c>
    </row>
    <row r="1609" ht="24" customHeight="1" s="63">
      <c r="E1609" s="139" t="n"/>
      <c r="F1609" s="139" t="n"/>
      <c r="G1609" s="140">
        <f>IFERROR(IF(E1609&gt;0,(F1609/E1609)*1000,""),"")</f>
        <v/>
      </c>
      <c r="H1609" s="139">
        <f>IFERROR(IF(E1609&gt;0,E1609*IF(ISNUMBER(J1609),J1609,IF(C1609="Futures",$C$6,$C$5)),""),"")</f>
        <v/>
      </c>
      <c r="I1609" s="139">
        <f>IFERROR(IF(AND(ISNUMBER(F1609),ISNUMBER(H1609)),F1609-H1609,""),"")</f>
        <v/>
      </c>
      <c r="J1609" s="114" t="n"/>
      <c r="K1609" s="139">
        <f>IFERROR(IF(H1609&gt;0,H1609*$C$7,""),"")</f>
        <v/>
      </c>
      <c r="L1609" s="139">
        <f>IFERROR(IF(ISNUMBER(F1609),F1609-IF(ISNUMBER(K1609),K1609,0),""),"")</f>
        <v/>
      </c>
    </row>
    <row r="1610" ht="24" customHeight="1" s="63">
      <c r="E1610" s="139" t="n"/>
      <c r="F1610" s="139" t="n"/>
      <c r="G1610" s="140">
        <f>IFERROR(IF(E1610&gt;0,(F1610/E1610)*1000,""),"")</f>
        <v/>
      </c>
      <c r="H1610" s="139">
        <f>IFERROR(IF(E1610&gt;0,E1610*IF(ISNUMBER(J1610),J1610,IF(C1610="Futures",$C$6,$C$5)),""),"")</f>
        <v/>
      </c>
      <c r="I1610" s="139">
        <f>IFERROR(IF(AND(ISNUMBER(F1610),ISNUMBER(H1610)),F1610-H1610,""),"")</f>
        <v/>
      </c>
      <c r="J1610" s="114" t="n"/>
      <c r="K1610" s="139">
        <f>IFERROR(IF(H1610&gt;0,H1610*$C$7,""),"")</f>
        <v/>
      </c>
      <c r="L1610" s="139">
        <f>IFERROR(IF(ISNUMBER(F1610),F1610-IF(ISNUMBER(K1610),K1610,0),""),"")</f>
        <v/>
      </c>
    </row>
    <row r="1611" ht="24" customHeight="1" s="63">
      <c r="E1611" s="139" t="n"/>
      <c r="F1611" s="139" t="n"/>
      <c r="G1611" s="140">
        <f>IFERROR(IF(E1611&gt;0,(F1611/E1611)*1000,""),"")</f>
        <v/>
      </c>
      <c r="H1611" s="139">
        <f>IFERROR(IF(E1611&gt;0,E1611*IF(ISNUMBER(J1611),J1611,IF(C1611="Futures",$C$6,$C$5)),""),"")</f>
        <v/>
      </c>
      <c r="I1611" s="139">
        <f>IFERROR(IF(AND(ISNUMBER(F1611),ISNUMBER(H1611)),F1611-H1611,""),"")</f>
        <v/>
      </c>
      <c r="J1611" s="114" t="n"/>
      <c r="K1611" s="139">
        <f>IFERROR(IF(H1611&gt;0,H1611*$C$7,""),"")</f>
        <v/>
      </c>
      <c r="L1611" s="139">
        <f>IFERROR(IF(ISNUMBER(F1611),F1611-IF(ISNUMBER(K1611),K1611,0),""),"")</f>
        <v/>
      </c>
    </row>
    <row r="1612" ht="24" customHeight="1" s="63">
      <c r="E1612" s="139" t="n"/>
      <c r="F1612" s="139" t="n"/>
      <c r="G1612" s="140">
        <f>IFERROR(IF(E1612&gt;0,(F1612/E1612)*1000,""),"")</f>
        <v/>
      </c>
      <c r="H1612" s="139">
        <f>IFERROR(IF(E1612&gt;0,E1612*IF(ISNUMBER(J1612),J1612,IF(C1612="Futures",$C$6,$C$5)),""),"")</f>
        <v/>
      </c>
      <c r="I1612" s="139">
        <f>IFERROR(IF(AND(ISNUMBER(F1612),ISNUMBER(H1612)),F1612-H1612,""),"")</f>
        <v/>
      </c>
      <c r="J1612" s="114" t="n"/>
      <c r="K1612" s="139">
        <f>IFERROR(IF(H1612&gt;0,H1612*$C$7,""),"")</f>
        <v/>
      </c>
      <c r="L1612" s="139">
        <f>IFERROR(IF(ISNUMBER(F1612),F1612-IF(ISNUMBER(K1612),K1612,0),""),"")</f>
        <v/>
      </c>
    </row>
    <row r="1613" ht="24" customHeight="1" s="63">
      <c r="E1613" s="139" t="n"/>
      <c r="F1613" s="139" t="n"/>
      <c r="G1613" s="140">
        <f>IFERROR(IF(E1613&gt;0,(F1613/E1613)*1000,""),"")</f>
        <v/>
      </c>
      <c r="H1613" s="139">
        <f>IFERROR(IF(E1613&gt;0,E1613*IF(ISNUMBER(J1613),J1613,IF(C1613="Futures",$C$6,$C$5)),""),"")</f>
        <v/>
      </c>
      <c r="I1613" s="139">
        <f>IFERROR(IF(AND(ISNUMBER(F1613),ISNUMBER(H1613)),F1613-H1613,""),"")</f>
        <v/>
      </c>
      <c r="J1613" s="114" t="n"/>
      <c r="K1613" s="139">
        <f>IFERROR(IF(H1613&gt;0,H1613*$C$7,""),"")</f>
        <v/>
      </c>
      <c r="L1613" s="139">
        <f>IFERROR(IF(ISNUMBER(F1613),F1613-IF(ISNUMBER(K1613),K1613,0),""),"")</f>
        <v/>
      </c>
    </row>
    <row r="1614" ht="24" customHeight="1" s="63">
      <c r="E1614" s="139" t="n"/>
      <c r="F1614" s="139" t="n"/>
      <c r="G1614" s="140">
        <f>IFERROR(IF(E1614&gt;0,(F1614/E1614)*1000,""),"")</f>
        <v/>
      </c>
      <c r="H1614" s="139">
        <f>IFERROR(IF(E1614&gt;0,E1614*IF(ISNUMBER(J1614),J1614,IF(C1614="Futures",$C$6,$C$5)),""),"")</f>
        <v/>
      </c>
      <c r="I1614" s="139">
        <f>IFERROR(IF(AND(ISNUMBER(F1614),ISNUMBER(H1614)),F1614-H1614,""),"")</f>
        <v/>
      </c>
      <c r="J1614" s="114" t="n"/>
      <c r="K1614" s="139">
        <f>IFERROR(IF(H1614&gt;0,H1614*$C$7,""),"")</f>
        <v/>
      </c>
      <c r="L1614" s="139">
        <f>IFERROR(IF(ISNUMBER(F1614),F1614-IF(ISNUMBER(K1614),K1614,0),""),"")</f>
        <v/>
      </c>
    </row>
    <row r="1615" ht="24" customHeight="1" s="63">
      <c r="E1615" s="139" t="n"/>
      <c r="F1615" s="139" t="n"/>
      <c r="G1615" s="140">
        <f>IFERROR(IF(E1615&gt;0,(F1615/E1615)*1000,""),"")</f>
        <v/>
      </c>
      <c r="H1615" s="139">
        <f>IFERROR(IF(E1615&gt;0,E1615*IF(ISNUMBER(J1615),J1615,IF(C1615="Futures",$C$6,$C$5)),""),"")</f>
        <v/>
      </c>
      <c r="I1615" s="139">
        <f>IFERROR(IF(AND(ISNUMBER(F1615),ISNUMBER(H1615)),F1615-H1615,""),"")</f>
        <v/>
      </c>
      <c r="J1615" s="114" t="n"/>
      <c r="K1615" s="139">
        <f>IFERROR(IF(H1615&gt;0,H1615*$C$7,""),"")</f>
        <v/>
      </c>
      <c r="L1615" s="139">
        <f>IFERROR(IF(ISNUMBER(F1615),F1615-IF(ISNUMBER(K1615),K1615,0),""),"")</f>
        <v/>
      </c>
    </row>
    <row r="1616" ht="24" customHeight="1" s="63">
      <c r="E1616" s="139" t="n"/>
      <c r="F1616" s="139" t="n"/>
      <c r="G1616" s="140">
        <f>IFERROR(IF(E1616&gt;0,(F1616/E1616)*1000,""),"")</f>
        <v/>
      </c>
      <c r="H1616" s="139">
        <f>IFERROR(IF(E1616&gt;0,E1616*IF(ISNUMBER(J1616),J1616,IF(C1616="Futures",$C$6,$C$5)),""),"")</f>
        <v/>
      </c>
      <c r="I1616" s="139">
        <f>IFERROR(IF(AND(ISNUMBER(F1616),ISNUMBER(H1616)),F1616-H1616,""),"")</f>
        <v/>
      </c>
      <c r="J1616" s="114" t="n"/>
      <c r="K1616" s="139">
        <f>IFERROR(IF(H1616&gt;0,H1616*$C$7,""),"")</f>
        <v/>
      </c>
      <c r="L1616" s="139">
        <f>IFERROR(IF(ISNUMBER(F1616),F1616-IF(ISNUMBER(K1616),K1616,0),""),"")</f>
        <v/>
      </c>
    </row>
    <row r="1617" ht="24" customHeight="1" s="63">
      <c r="E1617" s="139" t="n"/>
      <c r="F1617" s="139" t="n"/>
      <c r="G1617" s="140">
        <f>IFERROR(IF(E1617&gt;0,(F1617/E1617)*1000,""),"")</f>
        <v/>
      </c>
      <c r="H1617" s="139">
        <f>IFERROR(IF(E1617&gt;0,E1617*IF(ISNUMBER(J1617),J1617,IF(C1617="Futures",$C$6,$C$5)),""),"")</f>
        <v/>
      </c>
      <c r="I1617" s="139">
        <f>IFERROR(IF(AND(ISNUMBER(F1617),ISNUMBER(H1617)),F1617-H1617,""),"")</f>
        <v/>
      </c>
      <c r="J1617" s="114" t="n"/>
      <c r="K1617" s="139">
        <f>IFERROR(IF(H1617&gt;0,H1617*$C$7,""),"")</f>
        <v/>
      </c>
      <c r="L1617" s="139">
        <f>IFERROR(IF(ISNUMBER(F1617),F1617-IF(ISNUMBER(K1617),K1617,0),""),"")</f>
        <v/>
      </c>
    </row>
    <row r="1618" ht="24" customHeight="1" s="63">
      <c r="E1618" s="139" t="n"/>
      <c r="F1618" s="139" t="n"/>
      <c r="G1618" s="140">
        <f>IFERROR(IF(E1618&gt;0,(F1618/E1618)*1000,""),"")</f>
        <v/>
      </c>
      <c r="H1618" s="139">
        <f>IFERROR(IF(E1618&gt;0,E1618*IF(ISNUMBER(J1618),J1618,IF(C1618="Futures",$C$6,$C$5)),""),"")</f>
        <v/>
      </c>
      <c r="I1618" s="139">
        <f>IFERROR(IF(AND(ISNUMBER(F1618),ISNUMBER(H1618)),F1618-H1618,""),"")</f>
        <v/>
      </c>
      <c r="J1618" s="114" t="n"/>
      <c r="K1618" s="139">
        <f>IFERROR(IF(H1618&gt;0,H1618*$C$7,""),"")</f>
        <v/>
      </c>
      <c r="L1618" s="139">
        <f>IFERROR(IF(ISNUMBER(F1618),F1618-IF(ISNUMBER(K1618),K1618,0),""),"")</f>
        <v/>
      </c>
    </row>
    <row r="1619" ht="24" customHeight="1" s="63">
      <c r="E1619" s="139" t="n"/>
      <c r="F1619" s="139" t="n"/>
      <c r="G1619" s="140">
        <f>IFERROR(IF(E1619&gt;0,(F1619/E1619)*1000,""),"")</f>
        <v/>
      </c>
      <c r="H1619" s="139">
        <f>IFERROR(IF(E1619&gt;0,E1619*IF(ISNUMBER(J1619),J1619,IF(C1619="Futures",$C$6,$C$5)),""),"")</f>
        <v/>
      </c>
      <c r="I1619" s="139">
        <f>IFERROR(IF(AND(ISNUMBER(F1619),ISNUMBER(H1619)),F1619-H1619,""),"")</f>
        <v/>
      </c>
      <c r="J1619" s="114" t="n"/>
      <c r="K1619" s="139">
        <f>IFERROR(IF(H1619&gt;0,H1619*$C$7,""),"")</f>
        <v/>
      </c>
      <c r="L1619" s="139">
        <f>IFERROR(IF(ISNUMBER(F1619),F1619-IF(ISNUMBER(K1619),K1619,0),""),"")</f>
        <v/>
      </c>
    </row>
    <row r="1620" ht="24" customHeight="1" s="63">
      <c r="E1620" s="139" t="n"/>
      <c r="F1620" s="139" t="n"/>
      <c r="G1620" s="140">
        <f>IFERROR(IF(E1620&gt;0,(F1620/E1620)*1000,""),"")</f>
        <v/>
      </c>
      <c r="H1620" s="139">
        <f>IFERROR(IF(E1620&gt;0,E1620*IF(ISNUMBER(J1620),J1620,IF(C1620="Futures",$C$6,$C$5)),""),"")</f>
        <v/>
      </c>
      <c r="I1620" s="139">
        <f>IFERROR(IF(AND(ISNUMBER(F1620),ISNUMBER(H1620)),F1620-H1620,""),"")</f>
        <v/>
      </c>
      <c r="J1620" s="114" t="n"/>
      <c r="K1620" s="139">
        <f>IFERROR(IF(H1620&gt;0,H1620*$C$7,""),"")</f>
        <v/>
      </c>
      <c r="L1620" s="139">
        <f>IFERROR(IF(ISNUMBER(F1620),F1620-IF(ISNUMBER(K1620),K1620,0),""),"")</f>
        <v/>
      </c>
    </row>
    <row r="1621" ht="24" customHeight="1" s="63">
      <c r="E1621" s="139" t="n"/>
      <c r="F1621" s="139" t="n"/>
      <c r="G1621" s="140">
        <f>IFERROR(IF(E1621&gt;0,(F1621/E1621)*1000,""),"")</f>
        <v/>
      </c>
      <c r="H1621" s="139">
        <f>IFERROR(IF(E1621&gt;0,E1621*IF(ISNUMBER(J1621),J1621,IF(C1621="Futures",$C$6,$C$5)),""),"")</f>
        <v/>
      </c>
      <c r="I1621" s="139">
        <f>IFERROR(IF(AND(ISNUMBER(F1621),ISNUMBER(H1621)),F1621-H1621,""),"")</f>
        <v/>
      </c>
      <c r="J1621" s="114" t="n"/>
      <c r="K1621" s="139">
        <f>IFERROR(IF(H1621&gt;0,H1621*$C$7,""),"")</f>
        <v/>
      </c>
      <c r="L1621" s="139">
        <f>IFERROR(IF(ISNUMBER(F1621),F1621-IF(ISNUMBER(K1621),K1621,0),""),"")</f>
        <v/>
      </c>
    </row>
    <row r="1622" ht="24" customHeight="1" s="63">
      <c r="E1622" s="139" t="n"/>
      <c r="F1622" s="139" t="n"/>
      <c r="G1622" s="140">
        <f>IFERROR(IF(E1622&gt;0,(F1622/E1622)*1000,""),"")</f>
        <v/>
      </c>
      <c r="H1622" s="139">
        <f>IFERROR(IF(E1622&gt;0,E1622*IF(ISNUMBER(J1622),J1622,IF(C1622="Futures",$C$6,$C$5)),""),"")</f>
        <v/>
      </c>
      <c r="I1622" s="139">
        <f>IFERROR(IF(AND(ISNUMBER(F1622),ISNUMBER(H1622)),F1622-H1622,""),"")</f>
        <v/>
      </c>
      <c r="J1622" s="114" t="n"/>
      <c r="K1622" s="139">
        <f>IFERROR(IF(H1622&gt;0,H1622*$C$7,""),"")</f>
        <v/>
      </c>
      <c r="L1622" s="139">
        <f>IFERROR(IF(ISNUMBER(F1622),F1622-IF(ISNUMBER(K1622),K1622,0),""),"")</f>
        <v/>
      </c>
    </row>
    <row r="1623" ht="24" customHeight="1" s="63">
      <c r="E1623" s="139" t="n"/>
      <c r="F1623" s="139" t="n"/>
      <c r="G1623" s="140">
        <f>IFERROR(IF(E1623&gt;0,(F1623/E1623)*1000,""),"")</f>
        <v/>
      </c>
      <c r="H1623" s="139">
        <f>IFERROR(IF(E1623&gt;0,E1623*IF(ISNUMBER(J1623),J1623,IF(C1623="Futures",$C$6,$C$5)),""),"")</f>
        <v/>
      </c>
      <c r="I1623" s="139">
        <f>IFERROR(IF(AND(ISNUMBER(F1623),ISNUMBER(H1623)),F1623-H1623,""),"")</f>
        <v/>
      </c>
      <c r="J1623" s="114" t="n"/>
      <c r="K1623" s="139">
        <f>IFERROR(IF(H1623&gt;0,H1623*$C$7,""),"")</f>
        <v/>
      </c>
      <c r="L1623" s="139">
        <f>IFERROR(IF(ISNUMBER(F1623),F1623-IF(ISNUMBER(K1623),K1623,0),""),"")</f>
        <v/>
      </c>
    </row>
    <row r="1624" ht="24" customHeight="1" s="63">
      <c r="E1624" s="139" t="n"/>
      <c r="F1624" s="139" t="n"/>
      <c r="G1624" s="140">
        <f>IFERROR(IF(E1624&gt;0,(F1624/E1624)*1000,""),"")</f>
        <v/>
      </c>
      <c r="H1624" s="139">
        <f>IFERROR(IF(E1624&gt;0,E1624*IF(ISNUMBER(J1624),J1624,IF(C1624="Futures",$C$6,$C$5)),""),"")</f>
        <v/>
      </c>
      <c r="I1624" s="139">
        <f>IFERROR(IF(AND(ISNUMBER(F1624),ISNUMBER(H1624)),F1624-H1624,""),"")</f>
        <v/>
      </c>
      <c r="J1624" s="114" t="n"/>
      <c r="K1624" s="139">
        <f>IFERROR(IF(H1624&gt;0,H1624*$C$7,""),"")</f>
        <v/>
      </c>
      <c r="L1624" s="139">
        <f>IFERROR(IF(ISNUMBER(F1624),F1624-IF(ISNUMBER(K1624),K1624,0),""),"")</f>
        <v/>
      </c>
    </row>
    <row r="1625" ht="24" customHeight="1" s="63">
      <c r="E1625" s="139" t="n"/>
      <c r="F1625" s="139" t="n"/>
      <c r="G1625" s="140">
        <f>IFERROR(IF(E1625&gt;0,(F1625/E1625)*1000,""),"")</f>
        <v/>
      </c>
      <c r="H1625" s="139">
        <f>IFERROR(IF(E1625&gt;0,E1625*IF(ISNUMBER(J1625),J1625,IF(C1625="Futures",$C$6,$C$5)),""),"")</f>
        <v/>
      </c>
      <c r="I1625" s="139">
        <f>IFERROR(IF(AND(ISNUMBER(F1625),ISNUMBER(H1625)),F1625-H1625,""),"")</f>
        <v/>
      </c>
      <c r="J1625" s="114" t="n"/>
      <c r="K1625" s="139">
        <f>IFERROR(IF(H1625&gt;0,H1625*$C$7,""),"")</f>
        <v/>
      </c>
      <c r="L1625" s="139">
        <f>IFERROR(IF(ISNUMBER(F1625),F1625-IF(ISNUMBER(K1625),K1625,0),""),"")</f>
        <v/>
      </c>
    </row>
    <row r="1626" ht="24" customHeight="1" s="63">
      <c r="E1626" s="139" t="n"/>
      <c r="F1626" s="139" t="n"/>
      <c r="G1626" s="140">
        <f>IFERROR(IF(E1626&gt;0,(F1626/E1626)*1000,""),"")</f>
        <v/>
      </c>
      <c r="H1626" s="139">
        <f>IFERROR(IF(E1626&gt;0,E1626*IF(ISNUMBER(J1626),J1626,IF(C1626="Futures",$C$6,$C$5)),""),"")</f>
        <v/>
      </c>
      <c r="I1626" s="139">
        <f>IFERROR(IF(AND(ISNUMBER(F1626),ISNUMBER(H1626)),F1626-H1626,""),"")</f>
        <v/>
      </c>
      <c r="J1626" s="114" t="n"/>
      <c r="K1626" s="139">
        <f>IFERROR(IF(H1626&gt;0,H1626*$C$7,""),"")</f>
        <v/>
      </c>
      <c r="L1626" s="139">
        <f>IFERROR(IF(ISNUMBER(F1626),F1626-IF(ISNUMBER(K1626),K1626,0),""),"")</f>
        <v/>
      </c>
    </row>
    <row r="1627" ht="24" customHeight="1" s="63">
      <c r="E1627" s="139" t="n"/>
      <c r="F1627" s="139" t="n"/>
      <c r="G1627" s="140">
        <f>IFERROR(IF(E1627&gt;0,(F1627/E1627)*1000,""),"")</f>
        <v/>
      </c>
      <c r="H1627" s="139">
        <f>IFERROR(IF(E1627&gt;0,E1627*IF(ISNUMBER(J1627),J1627,IF(C1627="Futures",$C$6,$C$5)),""),"")</f>
        <v/>
      </c>
      <c r="I1627" s="139">
        <f>IFERROR(IF(AND(ISNUMBER(F1627),ISNUMBER(H1627)),F1627-H1627,""),"")</f>
        <v/>
      </c>
      <c r="J1627" s="114" t="n"/>
      <c r="K1627" s="139">
        <f>IFERROR(IF(H1627&gt;0,H1627*$C$7,""),"")</f>
        <v/>
      </c>
      <c r="L1627" s="139">
        <f>IFERROR(IF(ISNUMBER(F1627),F1627-IF(ISNUMBER(K1627),K1627,0),""),"")</f>
        <v/>
      </c>
    </row>
    <row r="1628" ht="24" customHeight="1" s="63">
      <c r="E1628" s="139" t="n"/>
      <c r="F1628" s="139" t="n"/>
      <c r="G1628" s="140">
        <f>IFERROR(IF(E1628&gt;0,(F1628/E1628)*1000,""),"")</f>
        <v/>
      </c>
      <c r="H1628" s="139">
        <f>IFERROR(IF(E1628&gt;0,E1628*IF(ISNUMBER(J1628),J1628,IF(C1628="Futures",$C$6,$C$5)),""),"")</f>
        <v/>
      </c>
      <c r="I1628" s="139">
        <f>IFERROR(IF(AND(ISNUMBER(F1628),ISNUMBER(H1628)),F1628-H1628,""),"")</f>
        <v/>
      </c>
      <c r="J1628" s="114" t="n"/>
      <c r="K1628" s="139">
        <f>IFERROR(IF(H1628&gt;0,H1628*$C$7,""),"")</f>
        <v/>
      </c>
      <c r="L1628" s="139">
        <f>IFERROR(IF(ISNUMBER(F1628),F1628-IF(ISNUMBER(K1628),K1628,0),""),"")</f>
        <v/>
      </c>
    </row>
    <row r="1629" ht="24" customHeight="1" s="63">
      <c r="E1629" s="139" t="n"/>
      <c r="F1629" s="139" t="n"/>
      <c r="G1629" s="140">
        <f>IFERROR(IF(E1629&gt;0,(F1629/E1629)*1000,""),"")</f>
        <v/>
      </c>
      <c r="H1629" s="139">
        <f>IFERROR(IF(E1629&gt;0,E1629*IF(ISNUMBER(J1629),J1629,IF(C1629="Futures",$C$6,$C$5)),""),"")</f>
        <v/>
      </c>
      <c r="I1629" s="139">
        <f>IFERROR(IF(AND(ISNUMBER(F1629),ISNUMBER(H1629)),F1629-H1629,""),"")</f>
        <v/>
      </c>
      <c r="J1629" s="114" t="n"/>
      <c r="K1629" s="139">
        <f>IFERROR(IF(H1629&gt;0,H1629*$C$7,""),"")</f>
        <v/>
      </c>
      <c r="L1629" s="139">
        <f>IFERROR(IF(ISNUMBER(F1629),F1629-IF(ISNUMBER(K1629),K1629,0),""),"")</f>
        <v/>
      </c>
    </row>
    <row r="1630" ht="24" customHeight="1" s="63">
      <c r="E1630" s="139" t="n"/>
      <c r="F1630" s="139" t="n"/>
      <c r="G1630" s="140">
        <f>IFERROR(IF(E1630&gt;0,(F1630/E1630)*1000,""),"")</f>
        <v/>
      </c>
      <c r="H1630" s="139">
        <f>IFERROR(IF(E1630&gt;0,E1630*IF(ISNUMBER(J1630),J1630,IF(C1630="Futures",$C$6,$C$5)),""),"")</f>
        <v/>
      </c>
      <c r="I1630" s="139">
        <f>IFERROR(IF(AND(ISNUMBER(F1630),ISNUMBER(H1630)),F1630-H1630,""),"")</f>
        <v/>
      </c>
      <c r="J1630" s="114" t="n"/>
      <c r="K1630" s="139">
        <f>IFERROR(IF(H1630&gt;0,H1630*$C$7,""),"")</f>
        <v/>
      </c>
      <c r="L1630" s="139">
        <f>IFERROR(IF(ISNUMBER(F1630),F1630-IF(ISNUMBER(K1630),K1630,0),""),"")</f>
        <v/>
      </c>
    </row>
    <row r="1631" ht="24" customHeight="1" s="63">
      <c r="E1631" s="139" t="n"/>
      <c r="F1631" s="139" t="n"/>
      <c r="G1631" s="140">
        <f>IFERROR(IF(E1631&gt;0,(F1631/E1631)*1000,""),"")</f>
        <v/>
      </c>
      <c r="H1631" s="139">
        <f>IFERROR(IF(E1631&gt;0,E1631*IF(ISNUMBER(J1631),J1631,IF(C1631="Futures",$C$6,$C$5)),""),"")</f>
        <v/>
      </c>
      <c r="I1631" s="139">
        <f>IFERROR(IF(AND(ISNUMBER(F1631),ISNUMBER(H1631)),F1631-H1631,""),"")</f>
        <v/>
      </c>
      <c r="J1631" s="114" t="n"/>
      <c r="K1631" s="139">
        <f>IFERROR(IF(H1631&gt;0,H1631*$C$7,""),"")</f>
        <v/>
      </c>
      <c r="L1631" s="139">
        <f>IFERROR(IF(ISNUMBER(F1631),F1631-IF(ISNUMBER(K1631),K1631,0),""),"")</f>
        <v/>
      </c>
    </row>
    <row r="1632" ht="24" customHeight="1" s="63">
      <c r="E1632" s="139" t="n"/>
      <c r="F1632" s="139" t="n"/>
      <c r="G1632" s="140">
        <f>IFERROR(IF(E1632&gt;0,(F1632/E1632)*1000,""),"")</f>
        <v/>
      </c>
      <c r="H1632" s="139">
        <f>IFERROR(IF(E1632&gt;0,E1632*IF(ISNUMBER(J1632),J1632,IF(C1632="Futures",$C$6,$C$5)),""),"")</f>
        <v/>
      </c>
      <c r="I1632" s="139">
        <f>IFERROR(IF(AND(ISNUMBER(F1632),ISNUMBER(H1632)),F1632-H1632,""),"")</f>
        <v/>
      </c>
      <c r="J1632" s="114" t="n"/>
      <c r="K1632" s="139">
        <f>IFERROR(IF(H1632&gt;0,H1632*$C$7,""),"")</f>
        <v/>
      </c>
      <c r="L1632" s="139">
        <f>IFERROR(IF(ISNUMBER(F1632),F1632-IF(ISNUMBER(K1632),K1632,0),""),"")</f>
        <v/>
      </c>
    </row>
    <row r="1633" ht="24" customHeight="1" s="63">
      <c r="E1633" s="139" t="n"/>
      <c r="F1633" s="139" t="n"/>
      <c r="G1633" s="140">
        <f>IFERROR(IF(E1633&gt;0,(F1633/E1633)*1000,""),"")</f>
        <v/>
      </c>
      <c r="H1633" s="139">
        <f>IFERROR(IF(E1633&gt;0,E1633*IF(ISNUMBER(J1633),J1633,IF(C1633="Futures",$C$6,$C$5)),""),"")</f>
        <v/>
      </c>
      <c r="I1633" s="139">
        <f>IFERROR(IF(AND(ISNUMBER(F1633),ISNUMBER(H1633)),F1633-H1633,""),"")</f>
        <v/>
      </c>
      <c r="J1633" s="114" t="n"/>
      <c r="K1633" s="139">
        <f>IFERROR(IF(H1633&gt;0,H1633*$C$7,""),"")</f>
        <v/>
      </c>
      <c r="L1633" s="139">
        <f>IFERROR(IF(ISNUMBER(F1633),F1633-IF(ISNUMBER(K1633),K1633,0),""),"")</f>
        <v/>
      </c>
    </row>
    <row r="1634" ht="24" customHeight="1" s="63">
      <c r="E1634" s="139" t="n"/>
      <c r="F1634" s="139" t="n"/>
      <c r="G1634" s="140">
        <f>IFERROR(IF(E1634&gt;0,(F1634/E1634)*1000,""),"")</f>
        <v/>
      </c>
      <c r="H1634" s="139">
        <f>IFERROR(IF(E1634&gt;0,E1634*IF(ISNUMBER(J1634),J1634,IF(C1634="Futures",$C$6,$C$5)),""),"")</f>
        <v/>
      </c>
      <c r="I1634" s="139">
        <f>IFERROR(IF(AND(ISNUMBER(F1634),ISNUMBER(H1634)),F1634-H1634,""),"")</f>
        <v/>
      </c>
      <c r="J1634" s="114" t="n"/>
      <c r="K1634" s="139">
        <f>IFERROR(IF(H1634&gt;0,H1634*$C$7,""),"")</f>
        <v/>
      </c>
      <c r="L1634" s="139">
        <f>IFERROR(IF(ISNUMBER(F1634),F1634-IF(ISNUMBER(K1634),K1634,0),""),"")</f>
        <v/>
      </c>
    </row>
    <row r="1635" ht="24" customHeight="1" s="63">
      <c r="E1635" s="139" t="n"/>
      <c r="F1635" s="139" t="n"/>
      <c r="G1635" s="140">
        <f>IFERROR(IF(E1635&gt;0,(F1635/E1635)*1000,""),"")</f>
        <v/>
      </c>
      <c r="H1635" s="139">
        <f>IFERROR(IF(E1635&gt;0,E1635*IF(ISNUMBER(J1635),J1635,IF(C1635="Futures",$C$6,$C$5)),""),"")</f>
        <v/>
      </c>
      <c r="I1635" s="139">
        <f>IFERROR(IF(AND(ISNUMBER(F1635),ISNUMBER(H1635)),F1635-H1635,""),"")</f>
        <v/>
      </c>
      <c r="J1635" s="114" t="n"/>
      <c r="K1635" s="139">
        <f>IFERROR(IF(H1635&gt;0,H1635*$C$7,""),"")</f>
        <v/>
      </c>
      <c r="L1635" s="139">
        <f>IFERROR(IF(ISNUMBER(F1635),F1635-IF(ISNUMBER(K1635),K1635,0),""),"")</f>
        <v/>
      </c>
    </row>
    <row r="1636" ht="24" customHeight="1" s="63">
      <c r="E1636" s="139" t="n"/>
      <c r="F1636" s="139" t="n"/>
      <c r="G1636" s="140">
        <f>IFERROR(IF(E1636&gt;0,(F1636/E1636)*1000,""),"")</f>
        <v/>
      </c>
      <c r="H1636" s="139">
        <f>IFERROR(IF(E1636&gt;0,E1636*IF(ISNUMBER(J1636),J1636,IF(C1636="Futures",$C$6,$C$5)),""),"")</f>
        <v/>
      </c>
      <c r="I1636" s="139">
        <f>IFERROR(IF(AND(ISNUMBER(F1636),ISNUMBER(H1636)),F1636-H1636,""),"")</f>
        <v/>
      </c>
      <c r="J1636" s="114" t="n"/>
      <c r="K1636" s="139">
        <f>IFERROR(IF(H1636&gt;0,H1636*$C$7,""),"")</f>
        <v/>
      </c>
      <c r="L1636" s="139">
        <f>IFERROR(IF(ISNUMBER(F1636),F1636-IF(ISNUMBER(K1636),K1636,0),""),"")</f>
        <v/>
      </c>
    </row>
    <row r="1637" ht="24" customHeight="1" s="63">
      <c r="E1637" s="139" t="n"/>
      <c r="F1637" s="139" t="n"/>
      <c r="G1637" s="140">
        <f>IFERROR(IF(E1637&gt;0,(F1637/E1637)*1000,""),"")</f>
        <v/>
      </c>
      <c r="H1637" s="139">
        <f>IFERROR(IF(E1637&gt;0,E1637*IF(ISNUMBER(J1637),J1637,IF(C1637="Futures",$C$6,$C$5)),""),"")</f>
        <v/>
      </c>
      <c r="I1637" s="139">
        <f>IFERROR(IF(AND(ISNUMBER(F1637),ISNUMBER(H1637)),F1637-H1637,""),"")</f>
        <v/>
      </c>
      <c r="J1637" s="114" t="n"/>
      <c r="K1637" s="139">
        <f>IFERROR(IF(H1637&gt;0,H1637*$C$7,""),"")</f>
        <v/>
      </c>
      <c r="L1637" s="139">
        <f>IFERROR(IF(ISNUMBER(F1637),F1637-IF(ISNUMBER(K1637),K1637,0),""),"")</f>
        <v/>
      </c>
    </row>
    <row r="1638" ht="24" customHeight="1" s="63">
      <c r="E1638" s="139" t="n"/>
      <c r="F1638" s="139" t="n"/>
      <c r="G1638" s="140">
        <f>IFERROR(IF(E1638&gt;0,(F1638/E1638)*1000,""),"")</f>
        <v/>
      </c>
      <c r="H1638" s="139">
        <f>IFERROR(IF(E1638&gt;0,E1638*IF(ISNUMBER(J1638),J1638,IF(C1638="Futures",$C$6,$C$5)),""),"")</f>
        <v/>
      </c>
      <c r="I1638" s="139">
        <f>IFERROR(IF(AND(ISNUMBER(F1638),ISNUMBER(H1638)),F1638-H1638,""),"")</f>
        <v/>
      </c>
      <c r="J1638" s="114" t="n"/>
      <c r="K1638" s="139">
        <f>IFERROR(IF(H1638&gt;0,H1638*$C$7,""),"")</f>
        <v/>
      </c>
      <c r="L1638" s="139">
        <f>IFERROR(IF(ISNUMBER(F1638),F1638-IF(ISNUMBER(K1638),K1638,0),""),"")</f>
        <v/>
      </c>
    </row>
    <row r="1639" ht="24" customHeight="1" s="63">
      <c r="E1639" s="139" t="n"/>
      <c r="F1639" s="139" t="n"/>
      <c r="G1639" s="140">
        <f>IFERROR(IF(E1639&gt;0,(F1639/E1639)*1000,""),"")</f>
        <v/>
      </c>
      <c r="H1639" s="139">
        <f>IFERROR(IF(E1639&gt;0,E1639*IF(ISNUMBER(J1639),J1639,IF(C1639="Futures",$C$6,$C$5)),""),"")</f>
        <v/>
      </c>
      <c r="I1639" s="139">
        <f>IFERROR(IF(AND(ISNUMBER(F1639),ISNUMBER(H1639)),F1639-H1639,""),"")</f>
        <v/>
      </c>
      <c r="J1639" s="114" t="n"/>
      <c r="K1639" s="139">
        <f>IFERROR(IF(H1639&gt;0,H1639*$C$7,""),"")</f>
        <v/>
      </c>
      <c r="L1639" s="139">
        <f>IFERROR(IF(ISNUMBER(F1639),F1639-IF(ISNUMBER(K1639),K1639,0),""),"")</f>
        <v/>
      </c>
    </row>
    <row r="1640" ht="24" customHeight="1" s="63">
      <c r="E1640" s="139" t="n"/>
      <c r="F1640" s="139" t="n"/>
      <c r="G1640" s="140">
        <f>IFERROR(IF(E1640&gt;0,(F1640/E1640)*1000,""),"")</f>
        <v/>
      </c>
      <c r="H1640" s="139">
        <f>IFERROR(IF(E1640&gt;0,E1640*IF(ISNUMBER(J1640),J1640,IF(C1640="Futures",$C$6,$C$5)),""),"")</f>
        <v/>
      </c>
      <c r="I1640" s="139">
        <f>IFERROR(IF(AND(ISNUMBER(F1640),ISNUMBER(H1640)),F1640-H1640,""),"")</f>
        <v/>
      </c>
      <c r="J1640" s="114" t="n"/>
      <c r="K1640" s="139">
        <f>IFERROR(IF(H1640&gt;0,H1640*$C$7,""),"")</f>
        <v/>
      </c>
      <c r="L1640" s="139">
        <f>IFERROR(IF(ISNUMBER(F1640),F1640-IF(ISNUMBER(K1640),K1640,0),""),"")</f>
        <v/>
      </c>
    </row>
    <row r="1641" ht="24" customHeight="1" s="63">
      <c r="E1641" s="139" t="n"/>
      <c r="F1641" s="139" t="n"/>
      <c r="G1641" s="140">
        <f>IFERROR(IF(E1641&gt;0,(F1641/E1641)*1000,""),"")</f>
        <v/>
      </c>
      <c r="H1641" s="139">
        <f>IFERROR(IF(E1641&gt;0,E1641*IF(ISNUMBER(J1641),J1641,IF(C1641="Futures",$C$6,$C$5)),""),"")</f>
        <v/>
      </c>
      <c r="I1641" s="139">
        <f>IFERROR(IF(AND(ISNUMBER(F1641),ISNUMBER(H1641)),F1641-H1641,""),"")</f>
        <v/>
      </c>
      <c r="J1641" s="114" t="n"/>
      <c r="K1641" s="139">
        <f>IFERROR(IF(H1641&gt;0,H1641*$C$7,""),"")</f>
        <v/>
      </c>
      <c r="L1641" s="139">
        <f>IFERROR(IF(ISNUMBER(F1641),F1641-IF(ISNUMBER(K1641),K1641,0),""),"")</f>
        <v/>
      </c>
    </row>
    <row r="1642" ht="24" customHeight="1" s="63">
      <c r="E1642" s="139" t="n"/>
      <c r="F1642" s="139" t="n"/>
      <c r="G1642" s="140">
        <f>IFERROR(IF(E1642&gt;0,(F1642/E1642)*1000,""),"")</f>
        <v/>
      </c>
      <c r="H1642" s="139">
        <f>IFERROR(IF(E1642&gt;0,E1642*IF(ISNUMBER(J1642),J1642,IF(C1642="Futures",$C$6,$C$5)),""),"")</f>
        <v/>
      </c>
      <c r="I1642" s="139">
        <f>IFERROR(IF(AND(ISNUMBER(F1642),ISNUMBER(H1642)),F1642-H1642,""),"")</f>
        <v/>
      </c>
      <c r="J1642" s="114" t="n"/>
      <c r="K1642" s="139">
        <f>IFERROR(IF(H1642&gt;0,H1642*$C$7,""),"")</f>
        <v/>
      </c>
      <c r="L1642" s="139">
        <f>IFERROR(IF(ISNUMBER(F1642),F1642-IF(ISNUMBER(K1642),K1642,0),""),"")</f>
        <v/>
      </c>
    </row>
    <row r="1643" ht="24" customHeight="1" s="63">
      <c r="E1643" s="139" t="n"/>
      <c r="F1643" s="139" t="n"/>
      <c r="G1643" s="140">
        <f>IFERROR(IF(E1643&gt;0,(F1643/E1643)*1000,""),"")</f>
        <v/>
      </c>
      <c r="H1643" s="139">
        <f>IFERROR(IF(E1643&gt;0,E1643*IF(ISNUMBER(J1643),J1643,IF(C1643="Futures",$C$6,$C$5)),""),"")</f>
        <v/>
      </c>
      <c r="I1643" s="139">
        <f>IFERROR(IF(AND(ISNUMBER(F1643),ISNUMBER(H1643)),F1643-H1643,""),"")</f>
        <v/>
      </c>
      <c r="J1643" s="114" t="n"/>
      <c r="K1643" s="139">
        <f>IFERROR(IF(H1643&gt;0,H1643*$C$7,""),"")</f>
        <v/>
      </c>
      <c r="L1643" s="139">
        <f>IFERROR(IF(ISNUMBER(F1643),F1643-IF(ISNUMBER(K1643),K1643,0),""),"")</f>
        <v/>
      </c>
    </row>
    <row r="1644" ht="24" customHeight="1" s="63">
      <c r="E1644" s="139" t="n"/>
      <c r="F1644" s="139" t="n"/>
      <c r="G1644" s="140">
        <f>IFERROR(IF(E1644&gt;0,(F1644/E1644)*1000,""),"")</f>
        <v/>
      </c>
      <c r="H1644" s="139">
        <f>IFERROR(IF(E1644&gt;0,E1644*IF(ISNUMBER(J1644),J1644,IF(C1644="Futures",$C$6,$C$5)),""),"")</f>
        <v/>
      </c>
      <c r="I1644" s="139">
        <f>IFERROR(IF(AND(ISNUMBER(F1644),ISNUMBER(H1644)),F1644-H1644,""),"")</f>
        <v/>
      </c>
      <c r="J1644" s="114" t="n"/>
      <c r="K1644" s="139">
        <f>IFERROR(IF(H1644&gt;0,H1644*$C$7,""),"")</f>
        <v/>
      </c>
      <c r="L1644" s="139">
        <f>IFERROR(IF(ISNUMBER(F1644),F1644-IF(ISNUMBER(K1644),K1644,0),""),"")</f>
        <v/>
      </c>
    </row>
    <row r="1645" ht="24" customHeight="1" s="63">
      <c r="E1645" s="139" t="n"/>
      <c r="F1645" s="139" t="n"/>
      <c r="G1645" s="140">
        <f>IFERROR(IF(E1645&gt;0,(F1645/E1645)*1000,""),"")</f>
        <v/>
      </c>
      <c r="H1645" s="139">
        <f>IFERROR(IF(E1645&gt;0,E1645*IF(ISNUMBER(J1645),J1645,IF(C1645="Futures",$C$6,$C$5)),""),"")</f>
        <v/>
      </c>
      <c r="I1645" s="139">
        <f>IFERROR(IF(AND(ISNUMBER(F1645),ISNUMBER(H1645)),F1645-H1645,""),"")</f>
        <v/>
      </c>
      <c r="J1645" s="114" t="n"/>
      <c r="K1645" s="139">
        <f>IFERROR(IF(H1645&gt;0,H1645*$C$7,""),"")</f>
        <v/>
      </c>
      <c r="L1645" s="139">
        <f>IFERROR(IF(ISNUMBER(F1645),F1645-IF(ISNUMBER(K1645),K1645,0),""),"")</f>
        <v/>
      </c>
    </row>
    <row r="1646" ht="24" customHeight="1" s="63">
      <c r="E1646" s="139" t="n"/>
      <c r="F1646" s="139" t="n"/>
      <c r="G1646" s="140">
        <f>IFERROR(IF(E1646&gt;0,(F1646/E1646)*1000,""),"")</f>
        <v/>
      </c>
      <c r="H1646" s="139">
        <f>IFERROR(IF(E1646&gt;0,E1646*IF(ISNUMBER(J1646),J1646,IF(C1646="Futures",$C$6,$C$5)),""),"")</f>
        <v/>
      </c>
      <c r="I1646" s="139">
        <f>IFERROR(IF(AND(ISNUMBER(F1646),ISNUMBER(H1646)),F1646-H1646,""),"")</f>
        <v/>
      </c>
      <c r="J1646" s="114" t="n"/>
      <c r="K1646" s="139">
        <f>IFERROR(IF(H1646&gt;0,H1646*$C$7,""),"")</f>
        <v/>
      </c>
      <c r="L1646" s="139">
        <f>IFERROR(IF(ISNUMBER(F1646),F1646-IF(ISNUMBER(K1646),K1646,0),""),"")</f>
        <v/>
      </c>
    </row>
    <row r="1647" ht="24" customHeight="1" s="63">
      <c r="E1647" s="139" t="n"/>
      <c r="F1647" s="139" t="n"/>
      <c r="G1647" s="140">
        <f>IFERROR(IF(E1647&gt;0,(F1647/E1647)*1000,""),"")</f>
        <v/>
      </c>
      <c r="H1647" s="139">
        <f>IFERROR(IF(E1647&gt;0,E1647*IF(ISNUMBER(J1647),J1647,IF(C1647="Futures",$C$6,$C$5)),""),"")</f>
        <v/>
      </c>
      <c r="I1647" s="139">
        <f>IFERROR(IF(AND(ISNUMBER(F1647),ISNUMBER(H1647)),F1647-H1647,""),"")</f>
        <v/>
      </c>
      <c r="J1647" s="114" t="n"/>
      <c r="K1647" s="139">
        <f>IFERROR(IF(H1647&gt;0,H1647*$C$7,""),"")</f>
        <v/>
      </c>
      <c r="L1647" s="139">
        <f>IFERROR(IF(ISNUMBER(F1647),F1647-IF(ISNUMBER(K1647),K1647,0),""),"")</f>
        <v/>
      </c>
    </row>
    <row r="1648" ht="24" customHeight="1" s="63">
      <c r="E1648" s="139" t="n"/>
      <c r="F1648" s="139" t="n"/>
      <c r="G1648" s="140">
        <f>IFERROR(IF(E1648&gt;0,(F1648/E1648)*1000,""),"")</f>
        <v/>
      </c>
      <c r="H1648" s="139">
        <f>IFERROR(IF(E1648&gt;0,E1648*IF(ISNUMBER(J1648),J1648,IF(C1648="Futures",$C$6,$C$5)),""),"")</f>
        <v/>
      </c>
      <c r="I1648" s="139">
        <f>IFERROR(IF(AND(ISNUMBER(F1648),ISNUMBER(H1648)),F1648-H1648,""),"")</f>
        <v/>
      </c>
      <c r="J1648" s="114" t="n"/>
      <c r="K1648" s="139">
        <f>IFERROR(IF(H1648&gt;0,H1648*$C$7,""),"")</f>
        <v/>
      </c>
      <c r="L1648" s="139">
        <f>IFERROR(IF(ISNUMBER(F1648),F1648-IF(ISNUMBER(K1648),K1648,0),""),"")</f>
        <v/>
      </c>
    </row>
    <row r="1649" ht="24" customHeight="1" s="63">
      <c r="E1649" s="139" t="n"/>
      <c r="F1649" s="139" t="n"/>
      <c r="G1649" s="140">
        <f>IFERROR(IF(E1649&gt;0,(F1649/E1649)*1000,""),"")</f>
        <v/>
      </c>
      <c r="H1649" s="139">
        <f>IFERROR(IF(E1649&gt;0,E1649*IF(ISNUMBER(J1649),J1649,IF(C1649="Futures",$C$6,$C$5)),""),"")</f>
        <v/>
      </c>
      <c r="I1649" s="139">
        <f>IFERROR(IF(AND(ISNUMBER(F1649),ISNUMBER(H1649)),F1649-H1649,""),"")</f>
        <v/>
      </c>
      <c r="J1649" s="114" t="n"/>
      <c r="K1649" s="139">
        <f>IFERROR(IF(H1649&gt;0,H1649*$C$7,""),"")</f>
        <v/>
      </c>
      <c r="L1649" s="139">
        <f>IFERROR(IF(ISNUMBER(F1649),F1649-IF(ISNUMBER(K1649),K1649,0),""),"")</f>
        <v/>
      </c>
    </row>
    <row r="1650" ht="24" customHeight="1" s="63">
      <c r="E1650" s="139" t="n"/>
      <c r="F1650" s="139" t="n"/>
      <c r="G1650" s="140">
        <f>IFERROR(IF(E1650&gt;0,(F1650/E1650)*1000,""),"")</f>
        <v/>
      </c>
      <c r="H1650" s="139">
        <f>IFERROR(IF(E1650&gt;0,E1650*IF(ISNUMBER(J1650),J1650,IF(C1650="Futures",$C$6,$C$5)),""),"")</f>
        <v/>
      </c>
      <c r="I1650" s="139">
        <f>IFERROR(IF(AND(ISNUMBER(F1650),ISNUMBER(H1650)),F1650-H1650,""),"")</f>
        <v/>
      </c>
      <c r="J1650" s="114" t="n"/>
      <c r="K1650" s="139">
        <f>IFERROR(IF(H1650&gt;0,H1650*$C$7,""),"")</f>
        <v/>
      </c>
      <c r="L1650" s="139">
        <f>IFERROR(IF(ISNUMBER(F1650),F1650-IF(ISNUMBER(K1650),K1650,0),""),"")</f>
        <v/>
      </c>
    </row>
    <row r="1651" ht="24" customHeight="1" s="63">
      <c r="E1651" s="139" t="n"/>
      <c r="F1651" s="139" t="n"/>
      <c r="G1651" s="140">
        <f>IFERROR(IF(E1651&gt;0,(F1651/E1651)*1000,""),"")</f>
        <v/>
      </c>
      <c r="H1651" s="139">
        <f>IFERROR(IF(E1651&gt;0,E1651*IF(ISNUMBER(J1651),J1651,IF(C1651="Futures",$C$6,$C$5)),""),"")</f>
        <v/>
      </c>
      <c r="I1651" s="139">
        <f>IFERROR(IF(AND(ISNUMBER(F1651),ISNUMBER(H1651)),F1651-H1651,""),"")</f>
        <v/>
      </c>
      <c r="J1651" s="114" t="n"/>
      <c r="K1651" s="139">
        <f>IFERROR(IF(H1651&gt;0,H1651*$C$7,""),"")</f>
        <v/>
      </c>
      <c r="L1651" s="139">
        <f>IFERROR(IF(ISNUMBER(F1651),F1651-IF(ISNUMBER(K1651),K1651,0),""),"")</f>
        <v/>
      </c>
    </row>
    <row r="1652" ht="24" customHeight="1" s="63">
      <c r="E1652" s="139" t="n"/>
      <c r="F1652" s="139" t="n"/>
      <c r="G1652" s="140">
        <f>IFERROR(IF(E1652&gt;0,(F1652/E1652)*1000,""),"")</f>
        <v/>
      </c>
      <c r="H1652" s="139">
        <f>IFERROR(IF(E1652&gt;0,E1652*IF(ISNUMBER(J1652),J1652,IF(C1652="Futures",$C$6,$C$5)),""),"")</f>
        <v/>
      </c>
      <c r="I1652" s="139">
        <f>IFERROR(IF(AND(ISNUMBER(F1652),ISNUMBER(H1652)),F1652-H1652,""),"")</f>
        <v/>
      </c>
      <c r="J1652" s="114" t="n"/>
      <c r="K1652" s="139">
        <f>IFERROR(IF(H1652&gt;0,H1652*$C$7,""),"")</f>
        <v/>
      </c>
      <c r="L1652" s="139">
        <f>IFERROR(IF(ISNUMBER(F1652),F1652-IF(ISNUMBER(K1652),K1652,0),""),"")</f>
        <v/>
      </c>
    </row>
    <row r="1653" ht="24" customHeight="1" s="63">
      <c r="E1653" s="139" t="n"/>
      <c r="F1653" s="139" t="n"/>
      <c r="G1653" s="140">
        <f>IFERROR(IF(E1653&gt;0,(F1653/E1653)*1000,""),"")</f>
        <v/>
      </c>
      <c r="H1653" s="139">
        <f>IFERROR(IF(E1653&gt;0,E1653*IF(ISNUMBER(J1653),J1653,IF(C1653="Futures",$C$6,$C$5)),""),"")</f>
        <v/>
      </c>
      <c r="I1653" s="139">
        <f>IFERROR(IF(AND(ISNUMBER(F1653),ISNUMBER(H1653)),F1653-H1653,""),"")</f>
        <v/>
      </c>
      <c r="J1653" s="114" t="n"/>
      <c r="K1653" s="139">
        <f>IFERROR(IF(H1653&gt;0,H1653*$C$7,""),"")</f>
        <v/>
      </c>
      <c r="L1653" s="139">
        <f>IFERROR(IF(ISNUMBER(F1653),F1653-IF(ISNUMBER(K1653),K1653,0),""),"")</f>
        <v/>
      </c>
    </row>
    <row r="1654" ht="24" customHeight="1" s="63">
      <c r="E1654" s="139" t="n"/>
      <c r="F1654" s="139" t="n"/>
      <c r="G1654" s="140">
        <f>IFERROR(IF(E1654&gt;0,(F1654/E1654)*1000,""),"")</f>
        <v/>
      </c>
      <c r="H1654" s="139">
        <f>IFERROR(IF(E1654&gt;0,E1654*IF(ISNUMBER(J1654),J1654,IF(C1654="Futures",$C$6,$C$5)),""),"")</f>
        <v/>
      </c>
      <c r="I1654" s="139">
        <f>IFERROR(IF(AND(ISNUMBER(F1654),ISNUMBER(H1654)),F1654-H1654,""),"")</f>
        <v/>
      </c>
      <c r="J1654" s="114" t="n"/>
      <c r="K1654" s="139">
        <f>IFERROR(IF(H1654&gt;0,H1654*$C$7,""),"")</f>
        <v/>
      </c>
      <c r="L1654" s="139">
        <f>IFERROR(IF(ISNUMBER(F1654),F1654-IF(ISNUMBER(K1654),K1654,0),""),"")</f>
        <v/>
      </c>
    </row>
    <row r="1655" ht="24" customHeight="1" s="63">
      <c r="E1655" s="139" t="n"/>
      <c r="F1655" s="139" t="n"/>
      <c r="G1655" s="140">
        <f>IFERROR(IF(E1655&gt;0,(F1655/E1655)*1000,""),"")</f>
        <v/>
      </c>
      <c r="H1655" s="139">
        <f>IFERROR(IF(E1655&gt;0,E1655*IF(ISNUMBER(J1655),J1655,IF(C1655="Futures",$C$6,$C$5)),""),"")</f>
        <v/>
      </c>
      <c r="I1655" s="139">
        <f>IFERROR(IF(AND(ISNUMBER(F1655),ISNUMBER(H1655)),F1655-H1655,""),"")</f>
        <v/>
      </c>
      <c r="J1655" s="114" t="n"/>
      <c r="K1655" s="139">
        <f>IFERROR(IF(H1655&gt;0,H1655*$C$7,""),"")</f>
        <v/>
      </c>
      <c r="L1655" s="139">
        <f>IFERROR(IF(ISNUMBER(F1655),F1655-IF(ISNUMBER(K1655),K1655,0),""),"")</f>
        <v/>
      </c>
    </row>
    <row r="1656" ht="24" customHeight="1" s="63">
      <c r="E1656" s="139" t="n"/>
      <c r="F1656" s="139" t="n"/>
      <c r="G1656" s="140">
        <f>IFERROR(IF(E1656&gt;0,(F1656/E1656)*1000,""),"")</f>
        <v/>
      </c>
      <c r="H1656" s="139">
        <f>IFERROR(IF(E1656&gt;0,E1656*IF(ISNUMBER(J1656),J1656,IF(C1656="Futures",$C$6,$C$5)),""),"")</f>
        <v/>
      </c>
      <c r="I1656" s="139">
        <f>IFERROR(IF(AND(ISNUMBER(F1656),ISNUMBER(H1656)),F1656-H1656,""),"")</f>
        <v/>
      </c>
      <c r="J1656" s="114" t="n"/>
      <c r="K1656" s="139">
        <f>IFERROR(IF(H1656&gt;0,H1656*$C$7,""),"")</f>
        <v/>
      </c>
      <c r="L1656" s="139">
        <f>IFERROR(IF(ISNUMBER(F1656),F1656-IF(ISNUMBER(K1656),K1656,0),""),"")</f>
        <v/>
      </c>
    </row>
    <row r="1657" ht="24" customHeight="1" s="63">
      <c r="E1657" s="139" t="n"/>
      <c r="F1657" s="139" t="n"/>
      <c r="G1657" s="140">
        <f>IFERROR(IF(E1657&gt;0,(F1657/E1657)*1000,""),"")</f>
        <v/>
      </c>
      <c r="H1657" s="139">
        <f>IFERROR(IF(E1657&gt;0,E1657*IF(ISNUMBER(J1657),J1657,IF(C1657="Futures",$C$6,$C$5)),""),"")</f>
        <v/>
      </c>
      <c r="I1657" s="139">
        <f>IFERROR(IF(AND(ISNUMBER(F1657),ISNUMBER(H1657)),F1657-H1657,""),"")</f>
        <v/>
      </c>
      <c r="J1657" s="114" t="n"/>
      <c r="K1657" s="139">
        <f>IFERROR(IF(H1657&gt;0,H1657*$C$7,""),"")</f>
        <v/>
      </c>
      <c r="L1657" s="139">
        <f>IFERROR(IF(ISNUMBER(F1657),F1657-IF(ISNUMBER(K1657),K1657,0),""),"")</f>
        <v/>
      </c>
    </row>
    <row r="1658" ht="24" customHeight="1" s="63">
      <c r="E1658" s="139" t="n"/>
      <c r="F1658" s="139" t="n"/>
      <c r="G1658" s="140">
        <f>IFERROR(IF(E1658&gt;0,(F1658/E1658)*1000,""),"")</f>
        <v/>
      </c>
      <c r="H1658" s="139">
        <f>IFERROR(IF(E1658&gt;0,E1658*IF(ISNUMBER(J1658),J1658,IF(C1658="Futures",$C$6,$C$5)),""),"")</f>
        <v/>
      </c>
      <c r="I1658" s="139">
        <f>IFERROR(IF(AND(ISNUMBER(F1658),ISNUMBER(H1658)),F1658-H1658,""),"")</f>
        <v/>
      </c>
      <c r="J1658" s="114" t="n"/>
      <c r="K1658" s="139">
        <f>IFERROR(IF(H1658&gt;0,H1658*$C$7,""),"")</f>
        <v/>
      </c>
      <c r="L1658" s="139">
        <f>IFERROR(IF(ISNUMBER(F1658),F1658-IF(ISNUMBER(K1658),K1658,0),""),"")</f>
        <v/>
      </c>
    </row>
    <row r="1659" ht="24" customHeight="1" s="63">
      <c r="E1659" s="139" t="n"/>
      <c r="F1659" s="139" t="n"/>
      <c r="G1659" s="140">
        <f>IFERROR(IF(E1659&gt;0,(F1659/E1659)*1000,""),"")</f>
        <v/>
      </c>
      <c r="H1659" s="139">
        <f>IFERROR(IF(E1659&gt;0,E1659*IF(ISNUMBER(J1659),J1659,IF(C1659="Futures",$C$6,$C$5)),""),"")</f>
        <v/>
      </c>
      <c r="I1659" s="139">
        <f>IFERROR(IF(AND(ISNUMBER(F1659),ISNUMBER(H1659)),F1659-H1659,""),"")</f>
        <v/>
      </c>
      <c r="J1659" s="114" t="n"/>
      <c r="K1659" s="139">
        <f>IFERROR(IF(H1659&gt;0,H1659*$C$7,""),"")</f>
        <v/>
      </c>
      <c r="L1659" s="139">
        <f>IFERROR(IF(ISNUMBER(F1659),F1659-IF(ISNUMBER(K1659),K1659,0),""),"")</f>
        <v/>
      </c>
    </row>
    <row r="1660" ht="24" customHeight="1" s="63">
      <c r="E1660" s="139" t="n"/>
      <c r="F1660" s="139" t="n"/>
      <c r="G1660" s="140">
        <f>IFERROR(IF(E1660&gt;0,(F1660/E1660)*1000,""),"")</f>
        <v/>
      </c>
      <c r="H1660" s="139">
        <f>IFERROR(IF(E1660&gt;0,E1660*IF(ISNUMBER(J1660),J1660,IF(C1660="Futures",$C$6,$C$5)),""),"")</f>
        <v/>
      </c>
      <c r="I1660" s="139">
        <f>IFERROR(IF(AND(ISNUMBER(F1660),ISNUMBER(H1660)),F1660-H1660,""),"")</f>
        <v/>
      </c>
      <c r="J1660" s="114" t="n"/>
      <c r="K1660" s="139">
        <f>IFERROR(IF(H1660&gt;0,H1660*$C$7,""),"")</f>
        <v/>
      </c>
      <c r="L1660" s="139">
        <f>IFERROR(IF(ISNUMBER(F1660),F1660-IF(ISNUMBER(K1660),K1660,0),""),"")</f>
        <v/>
      </c>
    </row>
    <row r="1661" ht="24" customHeight="1" s="63">
      <c r="E1661" s="139" t="n"/>
      <c r="F1661" s="139" t="n"/>
      <c r="G1661" s="140">
        <f>IFERROR(IF(E1661&gt;0,(F1661/E1661)*1000,""),"")</f>
        <v/>
      </c>
      <c r="H1661" s="139">
        <f>IFERROR(IF(E1661&gt;0,E1661*IF(ISNUMBER(J1661),J1661,IF(C1661="Futures",$C$6,$C$5)),""),"")</f>
        <v/>
      </c>
      <c r="I1661" s="139">
        <f>IFERROR(IF(AND(ISNUMBER(F1661),ISNUMBER(H1661)),F1661-H1661,""),"")</f>
        <v/>
      </c>
      <c r="J1661" s="114" t="n"/>
      <c r="K1661" s="139">
        <f>IFERROR(IF(H1661&gt;0,H1661*$C$7,""),"")</f>
        <v/>
      </c>
      <c r="L1661" s="139">
        <f>IFERROR(IF(ISNUMBER(F1661),F1661-IF(ISNUMBER(K1661),K1661,0),""),"")</f>
        <v/>
      </c>
    </row>
    <row r="1662" ht="24" customHeight="1" s="63">
      <c r="E1662" s="139" t="n"/>
      <c r="F1662" s="139" t="n"/>
      <c r="G1662" s="140">
        <f>IFERROR(IF(E1662&gt;0,(F1662/E1662)*1000,""),"")</f>
        <v/>
      </c>
      <c r="H1662" s="139">
        <f>IFERROR(IF(E1662&gt;0,E1662*IF(ISNUMBER(J1662),J1662,IF(C1662="Futures",$C$6,$C$5)),""),"")</f>
        <v/>
      </c>
      <c r="I1662" s="139">
        <f>IFERROR(IF(AND(ISNUMBER(F1662),ISNUMBER(H1662)),F1662-H1662,""),"")</f>
        <v/>
      </c>
      <c r="J1662" s="114" t="n"/>
      <c r="K1662" s="139">
        <f>IFERROR(IF(H1662&gt;0,H1662*$C$7,""),"")</f>
        <v/>
      </c>
      <c r="L1662" s="139">
        <f>IFERROR(IF(ISNUMBER(F1662),F1662-IF(ISNUMBER(K1662),K1662,0),""),"")</f>
        <v/>
      </c>
    </row>
    <row r="1663" ht="24" customHeight="1" s="63">
      <c r="E1663" s="139" t="n"/>
      <c r="F1663" s="139" t="n"/>
      <c r="G1663" s="140">
        <f>IFERROR(IF(E1663&gt;0,(F1663/E1663)*1000,""),"")</f>
        <v/>
      </c>
      <c r="H1663" s="139">
        <f>IFERROR(IF(E1663&gt;0,E1663*IF(ISNUMBER(J1663),J1663,IF(C1663="Futures",$C$6,$C$5)),""),"")</f>
        <v/>
      </c>
      <c r="I1663" s="139">
        <f>IFERROR(IF(AND(ISNUMBER(F1663),ISNUMBER(H1663)),F1663-H1663,""),"")</f>
        <v/>
      </c>
      <c r="J1663" s="114" t="n"/>
      <c r="K1663" s="139">
        <f>IFERROR(IF(H1663&gt;0,H1663*$C$7,""),"")</f>
        <v/>
      </c>
      <c r="L1663" s="139">
        <f>IFERROR(IF(ISNUMBER(F1663),F1663-IF(ISNUMBER(K1663),K1663,0),""),"")</f>
        <v/>
      </c>
    </row>
    <row r="1664" ht="24" customHeight="1" s="63">
      <c r="E1664" s="139" t="n"/>
      <c r="F1664" s="139" t="n"/>
      <c r="G1664" s="140">
        <f>IFERROR(IF(E1664&gt;0,(F1664/E1664)*1000,""),"")</f>
        <v/>
      </c>
      <c r="H1664" s="139">
        <f>IFERROR(IF(E1664&gt;0,E1664*IF(ISNUMBER(J1664),J1664,IF(C1664="Futures",$C$6,$C$5)),""),"")</f>
        <v/>
      </c>
      <c r="I1664" s="139">
        <f>IFERROR(IF(AND(ISNUMBER(F1664),ISNUMBER(H1664)),F1664-H1664,""),"")</f>
        <v/>
      </c>
      <c r="J1664" s="114" t="n"/>
      <c r="K1664" s="139">
        <f>IFERROR(IF(H1664&gt;0,H1664*$C$7,""),"")</f>
        <v/>
      </c>
      <c r="L1664" s="139">
        <f>IFERROR(IF(ISNUMBER(F1664),F1664-IF(ISNUMBER(K1664),K1664,0),""),"")</f>
        <v/>
      </c>
    </row>
    <row r="1665" ht="24" customHeight="1" s="63">
      <c r="E1665" s="139" t="n"/>
      <c r="F1665" s="139" t="n"/>
      <c r="G1665" s="140">
        <f>IFERROR(IF(E1665&gt;0,(F1665/E1665)*1000,""),"")</f>
        <v/>
      </c>
      <c r="H1665" s="139">
        <f>IFERROR(IF(E1665&gt;0,E1665*IF(ISNUMBER(J1665),J1665,IF(C1665="Futures",$C$6,$C$5)),""),"")</f>
        <v/>
      </c>
      <c r="I1665" s="139">
        <f>IFERROR(IF(AND(ISNUMBER(F1665),ISNUMBER(H1665)),F1665-H1665,""),"")</f>
        <v/>
      </c>
      <c r="J1665" s="114" t="n"/>
      <c r="K1665" s="139">
        <f>IFERROR(IF(H1665&gt;0,H1665*$C$7,""),"")</f>
        <v/>
      </c>
      <c r="L1665" s="139">
        <f>IFERROR(IF(ISNUMBER(F1665),F1665-IF(ISNUMBER(K1665),K1665,0),""),"")</f>
        <v/>
      </c>
    </row>
    <row r="1666" ht="24" customHeight="1" s="63">
      <c r="E1666" s="139" t="n"/>
      <c r="F1666" s="139" t="n"/>
      <c r="G1666" s="140">
        <f>IFERROR(IF(E1666&gt;0,(F1666/E1666)*1000,""),"")</f>
        <v/>
      </c>
      <c r="H1666" s="139">
        <f>IFERROR(IF(E1666&gt;0,E1666*IF(ISNUMBER(J1666),J1666,IF(C1666="Futures",$C$6,$C$5)),""),"")</f>
        <v/>
      </c>
      <c r="I1666" s="139">
        <f>IFERROR(IF(AND(ISNUMBER(F1666),ISNUMBER(H1666)),F1666-H1666,""),"")</f>
        <v/>
      </c>
      <c r="J1666" s="114" t="n"/>
      <c r="K1666" s="139">
        <f>IFERROR(IF(H1666&gt;0,H1666*$C$7,""),"")</f>
        <v/>
      </c>
      <c r="L1666" s="139">
        <f>IFERROR(IF(ISNUMBER(F1666),F1666-IF(ISNUMBER(K1666),K1666,0),""),"")</f>
        <v/>
      </c>
    </row>
    <row r="1667" ht="24" customHeight="1" s="63">
      <c r="E1667" s="139" t="n"/>
      <c r="F1667" s="139" t="n"/>
      <c r="G1667" s="140">
        <f>IFERROR(IF(E1667&gt;0,(F1667/E1667)*1000,""),"")</f>
        <v/>
      </c>
      <c r="H1667" s="139">
        <f>IFERROR(IF(E1667&gt;0,E1667*IF(ISNUMBER(J1667),J1667,IF(C1667="Futures",$C$6,$C$5)),""),"")</f>
        <v/>
      </c>
      <c r="I1667" s="139">
        <f>IFERROR(IF(AND(ISNUMBER(F1667),ISNUMBER(H1667)),F1667-H1667,""),"")</f>
        <v/>
      </c>
      <c r="J1667" s="114" t="n"/>
      <c r="K1667" s="139">
        <f>IFERROR(IF(H1667&gt;0,H1667*$C$7,""),"")</f>
        <v/>
      </c>
      <c r="L1667" s="139">
        <f>IFERROR(IF(ISNUMBER(F1667),F1667-IF(ISNUMBER(K1667),K1667,0),""),"")</f>
        <v/>
      </c>
    </row>
    <row r="1668" ht="24" customHeight="1" s="63">
      <c r="E1668" s="139" t="n"/>
      <c r="F1668" s="139" t="n"/>
      <c r="G1668" s="140">
        <f>IFERROR(IF(E1668&gt;0,(F1668/E1668)*1000,""),"")</f>
        <v/>
      </c>
      <c r="H1668" s="139">
        <f>IFERROR(IF(E1668&gt;0,E1668*IF(ISNUMBER(J1668),J1668,IF(C1668="Futures",$C$6,$C$5)),""),"")</f>
        <v/>
      </c>
      <c r="I1668" s="139">
        <f>IFERROR(IF(AND(ISNUMBER(F1668),ISNUMBER(H1668)),F1668-H1668,""),"")</f>
        <v/>
      </c>
      <c r="J1668" s="114" t="n"/>
      <c r="K1668" s="139">
        <f>IFERROR(IF(H1668&gt;0,H1668*$C$7,""),"")</f>
        <v/>
      </c>
      <c r="L1668" s="139">
        <f>IFERROR(IF(ISNUMBER(F1668),F1668-IF(ISNUMBER(K1668),K1668,0),""),"")</f>
        <v/>
      </c>
    </row>
    <row r="1669" ht="24" customHeight="1" s="63">
      <c r="E1669" s="139" t="n"/>
      <c r="F1669" s="139" t="n"/>
      <c r="G1669" s="140">
        <f>IFERROR(IF(E1669&gt;0,(F1669/E1669)*1000,""),"")</f>
        <v/>
      </c>
      <c r="H1669" s="139">
        <f>IFERROR(IF(E1669&gt;0,E1669*IF(ISNUMBER(J1669),J1669,IF(C1669="Futures",$C$6,$C$5)),""),"")</f>
        <v/>
      </c>
      <c r="I1669" s="139">
        <f>IFERROR(IF(AND(ISNUMBER(F1669),ISNUMBER(H1669)),F1669-H1669,""),"")</f>
        <v/>
      </c>
      <c r="J1669" s="114" t="n"/>
      <c r="K1669" s="139">
        <f>IFERROR(IF(H1669&gt;0,H1669*$C$7,""),"")</f>
        <v/>
      </c>
      <c r="L1669" s="139">
        <f>IFERROR(IF(ISNUMBER(F1669),F1669-IF(ISNUMBER(K1669),K1669,0),""),"")</f>
        <v/>
      </c>
    </row>
    <row r="1670" ht="24" customHeight="1" s="63">
      <c r="E1670" s="139" t="n"/>
      <c r="F1670" s="139" t="n"/>
      <c r="G1670" s="140">
        <f>IFERROR(IF(E1670&gt;0,(F1670/E1670)*1000,""),"")</f>
        <v/>
      </c>
      <c r="H1670" s="139">
        <f>IFERROR(IF(E1670&gt;0,E1670*IF(ISNUMBER(J1670),J1670,IF(C1670="Futures",$C$6,$C$5)),""),"")</f>
        <v/>
      </c>
      <c r="I1670" s="139">
        <f>IFERROR(IF(AND(ISNUMBER(F1670),ISNUMBER(H1670)),F1670-H1670,""),"")</f>
        <v/>
      </c>
      <c r="J1670" s="114" t="n"/>
      <c r="K1670" s="139">
        <f>IFERROR(IF(H1670&gt;0,H1670*$C$7,""),"")</f>
        <v/>
      </c>
      <c r="L1670" s="139">
        <f>IFERROR(IF(ISNUMBER(F1670),F1670-IF(ISNUMBER(K1670),K1670,0),""),"")</f>
        <v/>
      </c>
    </row>
    <row r="1671" ht="24" customHeight="1" s="63">
      <c r="E1671" s="139" t="n"/>
      <c r="F1671" s="139" t="n"/>
      <c r="G1671" s="140">
        <f>IFERROR(IF(E1671&gt;0,(F1671/E1671)*1000,""),"")</f>
        <v/>
      </c>
      <c r="H1671" s="139">
        <f>IFERROR(IF(E1671&gt;0,E1671*IF(ISNUMBER(J1671),J1671,IF(C1671="Futures",$C$6,$C$5)),""),"")</f>
        <v/>
      </c>
      <c r="I1671" s="139">
        <f>IFERROR(IF(AND(ISNUMBER(F1671),ISNUMBER(H1671)),F1671-H1671,""),"")</f>
        <v/>
      </c>
      <c r="J1671" s="114" t="n"/>
      <c r="K1671" s="139">
        <f>IFERROR(IF(H1671&gt;0,H1671*$C$7,""),"")</f>
        <v/>
      </c>
      <c r="L1671" s="139">
        <f>IFERROR(IF(ISNUMBER(F1671),F1671-IF(ISNUMBER(K1671),K1671,0),""),"")</f>
        <v/>
      </c>
    </row>
    <row r="1672" ht="24" customHeight="1" s="63">
      <c r="E1672" s="139" t="n"/>
      <c r="F1672" s="139" t="n"/>
      <c r="G1672" s="140">
        <f>IFERROR(IF(E1672&gt;0,(F1672/E1672)*1000,""),"")</f>
        <v/>
      </c>
      <c r="H1672" s="139">
        <f>IFERROR(IF(E1672&gt;0,E1672*IF(ISNUMBER(J1672),J1672,IF(C1672="Futures",$C$6,$C$5)),""),"")</f>
        <v/>
      </c>
      <c r="I1672" s="139">
        <f>IFERROR(IF(AND(ISNUMBER(F1672),ISNUMBER(H1672)),F1672-H1672,""),"")</f>
        <v/>
      </c>
      <c r="J1672" s="114" t="n"/>
      <c r="K1672" s="139">
        <f>IFERROR(IF(H1672&gt;0,H1672*$C$7,""),"")</f>
        <v/>
      </c>
      <c r="L1672" s="139">
        <f>IFERROR(IF(ISNUMBER(F1672),F1672-IF(ISNUMBER(K1672),K1672,0),""),"")</f>
        <v/>
      </c>
    </row>
    <row r="1673" ht="24" customHeight="1" s="63">
      <c r="E1673" s="139" t="n"/>
      <c r="F1673" s="139" t="n"/>
      <c r="G1673" s="140">
        <f>IFERROR(IF(E1673&gt;0,(F1673/E1673)*1000,""),"")</f>
        <v/>
      </c>
      <c r="H1673" s="139">
        <f>IFERROR(IF(E1673&gt;0,E1673*IF(ISNUMBER(J1673),J1673,IF(C1673="Futures",$C$6,$C$5)),""),"")</f>
        <v/>
      </c>
      <c r="I1673" s="139">
        <f>IFERROR(IF(AND(ISNUMBER(F1673),ISNUMBER(H1673)),F1673-H1673,""),"")</f>
        <v/>
      </c>
      <c r="J1673" s="114" t="n"/>
      <c r="K1673" s="139">
        <f>IFERROR(IF(H1673&gt;0,H1673*$C$7,""),"")</f>
        <v/>
      </c>
      <c r="L1673" s="139">
        <f>IFERROR(IF(ISNUMBER(F1673),F1673-IF(ISNUMBER(K1673),K1673,0),""),"")</f>
        <v/>
      </c>
    </row>
    <row r="1674" ht="24" customHeight="1" s="63">
      <c r="E1674" s="139" t="n"/>
      <c r="F1674" s="139" t="n"/>
      <c r="G1674" s="140">
        <f>IFERROR(IF(E1674&gt;0,(F1674/E1674)*1000,""),"")</f>
        <v/>
      </c>
      <c r="H1674" s="139">
        <f>IFERROR(IF(E1674&gt;0,E1674*IF(ISNUMBER(J1674),J1674,IF(C1674="Futures",$C$6,$C$5)),""),"")</f>
        <v/>
      </c>
      <c r="I1674" s="139">
        <f>IFERROR(IF(AND(ISNUMBER(F1674),ISNUMBER(H1674)),F1674-H1674,""),"")</f>
        <v/>
      </c>
      <c r="J1674" s="114" t="n"/>
      <c r="K1674" s="139">
        <f>IFERROR(IF(H1674&gt;0,H1674*$C$7,""),"")</f>
        <v/>
      </c>
      <c r="L1674" s="139">
        <f>IFERROR(IF(ISNUMBER(F1674),F1674-IF(ISNUMBER(K1674),K1674,0),""),"")</f>
        <v/>
      </c>
    </row>
    <row r="1675" ht="24" customHeight="1" s="63">
      <c r="E1675" s="139" t="n"/>
      <c r="F1675" s="139" t="n"/>
      <c r="G1675" s="140">
        <f>IFERROR(IF(E1675&gt;0,(F1675/E1675)*1000,""),"")</f>
        <v/>
      </c>
      <c r="H1675" s="139">
        <f>IFERROR(IF(E1675&gt;0,E1675*IF(ISNUMBER(J1675),J1675,IF(C1675="Futures",$C$6,$C$5)),""),"")</f>
        <v/>
      </c>
      <c r="I1675" s="139">
        <f>IFERROR(IF(AND(ISNUMBER(F1675),ISNUMBER(H1675)),F1675-H1675,""),"")</f>
        <v/>
      </c>
      <c r="J1675" s="114" t="n"/>
      <c r="K1675" s="139">
        <f>IFERROR(IF(H1675&gt;0,H1675*$C$7,""),"")</f>
        <v/>
      </c>
      <c r="L1675" s="139">
        <f>IFERROR(IF(ISNUMBER(F1675),F1675-IF(ISNUMBER(K1675),K1675,0),""),"")</f>
        <v/>
      </c>
    </row>
    <row r="1676" ht="24" customHeight="1" s="63">
      <c r="E1676" s="139" t="n"/>
      <c r="F1676" s="139" t="n"/>
      <c r="G1676" s="140">
        <f>IFERROR(IF(E1676&gt;0,(F1676/E1676)*1000,""),"")</f>
        <v/>
      </c>
      <c r="H1676" s="139">
        <f>IFERROR(IF(E1676&gt;0,E1676*IF(ISNUMBER(J1676),J1676,IF(C1676="Futures",$C$6,$C$5)),""),"")</f>
        <v/>
      </c>
      <c r="I1676" s="139">
        <f>IFERROR(IF(AND(ISNUMBER(F1676),ISNUMBER(H1676)),F1676-H1676,""),"")</f>
        <v/>
      </c>
      <c r="J1676" s="114" t="n"/>
      <c r="K1676" s="139">
        <f>IFERROR(IF(H1676&gt;0,H1676*$C$7,""),"")</f>
        <v/>
      </c>
      <c r="L1676" s="139">
        <f>IFERROR(IF(ISNUMBER(F1676),F1676-IF(ISNUMBER(K1676),K1676,0),""),"")</f>
        <v/>
      </c>
    </row>
    <row r="1677" ht="24" customHeight="1" s="63">
      <c r="E1677" s="139" t="n"/>
      <c r="F1677" s="139" t="n"/>
      <c r="G1677" s="140">
        <f>IFERROR(IF(E1677&gt;0,(F1677/E1677)*1000,""),"")</f>
        <v/>
      </c>
      <c r="H1677" s="139">
        <f>IFERROR(IF(E1677&gt;0,E1677*IF(ISNUMBER(J1677),J1677,IF(C1677="Futures",$C$6,$C$5)),""),"")</f>
        <v/>
      </c>
      <c r="I1677" s="139">
        <f>IFERROR(IF(AND(ISNUMBER(F1677),ISNUMBER(H1677)),F1677-H1677,""),"")</f>
        <v/>
      </c>
      <c r="J1677" s="114" t="n"/>
      <c r="K1677" s="139">
        <f>IFERROR(IF(H1677&gt;0,H1677*$C$7,""),"")</f>
        <v/>
      </c>
      <c r="L1677" s="139">
        <f>IFERROR(IF(ISNUMBER(F1677),F1677-IF(ISNUMBER(K1677),K1677,0),""),"")</f>
        <v/>
      </c>
    </row>
    <row r="1678" ht="24" customHeight="1" s="63">
      <c r="E1678" s="139" t="n"/>
      <c r="F1678" s="139" t="n"/>
      <c r="G1678" s="140">
        <f>IFERROR(IF(E1678&gt;0,(F1678/E1678)*1000,""),"")</f>
        <v/>
      </c>
      <c r="H1678" s="139">
        <f>IFERROR(IF(E1678&gt;0,E1678*IF(ISNUMBER(J1678),J1678,IF(C1678="Futures",$C$6,$C$5)),""),"")</f>
        <v/>
      </c>
      <c r="I1678" s="139">
        <f>IFERROR(IF(AND(ISNUMBER(F1678),ISNUMBER(H1678)),F1678-H1678,""),"")</f>
        <v/>
      </c>
      <c r="J1678" s="114" t="n"/>
      <c r="K1678" s="139">
        <f>IFERROR(IF(H1678&gt;0,H1678*$C$7,""),"")</f>
        <v/>
      </c>
      <c r="L1678" s="139">
        <f>IFERROR(IF(ISNUMBER(F1678),F1678-IF(ISNUMBER(K1678),K1678,0),""),"")</f>
        <v/>
      </c>
    </row>
    <row r="1679" ht="24" customHeight="1" s="63">
      <c r="E1679" s="139" t="n"/>
      <c r="F1679" s="139" t="n"/>
      <c r="G1679" s="140">
        <f>IFERROR(IF(E1679&gt;0,(F1679/E1679)*1000,""),"")</f>
        <v/>
      </c>
      <c r="H1679" s="139">
        <f>IFERROR(IF(E1679&gt;0,E1679*IF(ISNUMBER(J1679),J1679,IF(C1679="Futures",$C$6,$C$5)),""),"")</f>
        <v/>
      </c>
      <c r="I1679" s="139">
        <f>IFERROR(IF(AND(ISNUMBER(F1679),ISNUMBER(H1679)),F1679-H1679,""),"")</f>
        <v/>
      </c>
      <c r="J1679" s="114" t="n"/>
      <c r="K1679" s="139">
        <f>IFERROR(IF(H1679&gt;0,H1679*$C$7,""),"")</f>
        <v/>
      </c>
      <c r="L1679" s="139">
        <f>IFERROR(IF(ISNUMBER(F1679),F1679-IF(ISNUMBER(K1679),K1679,0),""),"")</f>
        <v/>
      </c>
    </row>
    <row r="1680" ht="24" customHeight="1" s="63">
      <c r="E1680" s="139" t="n"/>
      <c r="F1680" s="139" t="n"/>
      <c r="G1680" s="140">
        <f>IFERROR(IF(E1680&gt;0,(F1680/E1680)*1000,""),"")</f>
        <v/>
      </c>
      <c r="H1680" s="139">
        <f>IFERROR(IF(E1680&gt;0,E1680*IF(ISNUMBER(J1680),J1680,IF(C1680="Futures",$C$6,$C$5)),""),"")</f>
        <v/>
      </c>
      <c r="I1680" s="139">
        <f>IFERROR(IF(AND(ISNUMBER(F1680),ISNUMBER(H1680)),F1680-H1680,""),"")</f>
        <v/>
      </c>
      <c r="J1680" s="114" t="n"/>
      <c r="K1680" s="139">
        <f>IFERROR(IF(H1680&gt;0,H1680*$C$7,""),"")</f>
        <v/>
      </c>
      <c r="L1680" s="139">
        <f>IFERROR(IF(ISNUMBER(F1680),F1680-IF(ISNUMBER(K1680),K1680,0),""),"")</f>
        <v/>
      </c>
    </row>
    <row r="1681" ht="24" customHeight="1" s="63">
      <c r="E1681" s="139" t="n"/>
      <c r="F1681" s="139" t="n"/>
      <c r="G1681" s="140">
        <f>IFERROR(IF(E1681&gt;0,(F1681/E1681)*1000,""),"")</f>
        <v/>
      </c>
      <c r="H1681" s="139">
        <f>IFERROR(IF(E1681&gt;0,E1681*IF(ISNUMBER(J1681),J1681,IF(C1681="Futures",$C$6,$C$5)),""),"")</f>
        <v/>
      </c>
      <c r="I1681" s="139">
        <f>IFERROR(IF(AND(ISNUMBER(F1681),ISNUMBER(H1681)),F1681-H1681,""),"")</f>
        <v/>
      </c>
      <c r="J1681" s="114" t="n"/>
      <c r="K1681" s="139">
        <f>IFERROR(IF(H1681&gt;0,H1681*$C$7,""),"")</f>
        <v/>
      </c>
      <c r="L1681" s="139">
        <f>IFERROR(IF(ISNUMBER(F1681),F1681-IF(ISNUMBER(K1681),K1681,0),""),"")</f>
        <v/>
      </c>
    </row>
    <row r="1682" ht="24" customHeight="1" s="63">
      <c r="E1682" s="139" t="n"/>
      <c r="F1682" s="139" t="n"/>
      <c r="G1682" s="140">
        <f>IFERROR(IF(E1682&gt;0,(F1682/E1682)*1000,""),"")</f>
        <v/>
      </c>
      <c r="H1682" s="139">
        <f>IFERROR(IF(E1682&gt;0,E1682*IF(ISNUMBER(J1682),J1682,IF(C1682="Futures",$C$6,$C$5)),""),"")</f>
        <v/>
      </c>
      <c r="I1682" s="139">
        <f>IFERROR(IF(AND(ISNUMBER(F1682),ISNUMBER(H1682)),F1682-H1682,""),"")</f>
        <v/>
      </c>
      <c r="J1682" s="114" t="n"/>
      <c r="K1682" s="139">
        <f>IFERROR(IF(H1682&gt;0,H1682*$C$7,""),"")</f>
        <v/>
      </c>
      <c r="L1682" s="139">
        <f>IFERROR(IF(ISNUMBER(F1682),F1682-IF(ISNUMBER(K1682),K1682,0),""),"")</f>
        <v/>
      </c>
    </row>
    <row r="1683" ht="24" customHeight="1" s="63">
      <c r="E1683" s="139" t="n"/>
      <c r="F1683" s="139" t="n"/>
      <c r="G1683" s="140">
        <f>IFERROR(IF(E1683&gt;0,(F1683/E1683)*1000,""),"")</f>
        <v/>
      </c>
      <c r="H1683" s="139">
        <f>IFERROR(IF(E1683&gt;0,E1683*IF(ISNUMBER(J1683),J1683,IF(C1683="Futures",$C$6,$C$5)),""),"")</f>
        <v/>
      </c>
      <c r="I1683" s="139">
        <f>IFERROR(IF(AND(ISNUMBER(F1683),ISNUMBER(H1683)),F1683-H1683,""),"")</f>
        <v/>
      </c>
      <c r="J1683" s="114" t="n"/>
      <c r="K1683" s="139">
        <f>IFERROR(IF(H1683&gt;0,H1683*$C$7,""),"")</f>
        <v/>
      </c>
      <c r="L1683" s="139">
        <f>IFERROR(IF(ISNUMBER(F1683),F1683-IF(ISNUMBER(K1683),K1683,0),""),"")</f>
        <v/>
      </c>
    </row>
    <row r="1684" ht="24" customHeight="1" s="63">
      <c r="E1684" s="139" t="n"/>
      <c r="F1684" s="139" t="n"/>
      <c r="G1684" s="140">
        <f>IFERROR(IF(E1684&gt;0,(F1684/E1684)*1000,""),"")</f>
        <v/>
      </c>
      <c r="H1684" s="139">
        <f>IFERROR(IF(E1684&gt;0,E1684*IF(ISNUMBER(J1684),J1684,IF(C1684="Futures",$C$6,$C$5)),""),"")</f>
        <v/>
      </c>
      <c r="I1684" s="139">
        <f>IFERROR(IF(AND(ISNUMBER(F1684),ISNUMBER(H1684)),F1684-H1684,""),"")</f>
        <v/>
      </c>
      <c r="J1684" s="114" t="n"/>
      <c r="K1684" s="139">
        <f>IFERROR(IF(H1684&gt;0,H1684*$C$7,""),"")</f>
        <v/>
      </c>
      <c r="L1684" s="139">
        <f>IFERROR(IF(ISNUMBER(F1684),F1684-IF(ISNUMBER(K1684),K1684,0),""),"")</f>
        <v/>
      </c>
    </row>
    <row r="1685" ht="24" customHeight="1" s="63">
      <c r="E1685" s="139" t="n"/>
      <c r="F1685" s="139" t="n"/>
      <c r="G1685" s="140">
        <f>IFERROR(IF(E1685&gt;0,(F1685/E1685)*1000,""),"")</f>
        <v/>
      </c>
      <c r="H1685" s="139">
        <f>IFERROR(IF(E1685&gt;0,E1685*IF(ISNUMBER(J1685),J1685,IF(C1685="Futures",$C$6,$C$5)),""),"")</f>
        <v/>
      </c>
      <c r="I1685" s="139">
        <f>IFERROR(IF(AND(ISNUMBER(F1685),ISNUMBER(H1685)),F1685-H1685,""),"")</f>
        <v/>
      </c>
      <c r="J1685" s="114" t="n"/>
      <c r="K1685" s="139">
        <f>IFERROR(IF(H1685&gt;0,H1685*$C$7,""),"")</f>
        <v/>
      </c>
      <c r="L1685" s="139">
        <f>IFERROR(IF(ISNUMBER(F1685),F1685-IF(ISNUMBER(K1685),K1685,0),""),"")</f>
        <v/>
      </c>
    </row>
    <row r="1686" ht="24" customHeight="1" s="63">
      <c r="E1686" s="139" t="n"/>
      <c r="F1686" s="139" t="n"/>
      <c r="G1686" s="140">
        <f>IFERROR(IF(E1686&gt;0,(F1686/E1686)*1000,""),"")</f>
        <v/>
      </c>
      <c r="H1686" s="139">
        <f>IFERROR(IF(E1686&gt;0,E1686*IF(ISNUMBER(J1686),J1686,IF(C1686="Futures",$C$6,$C$5)),""),"")</f>
        <v/>
      </c>
      <c r="I1686" s="139">
        <f>IFERROR(IF(AND(ISNUMBER(F1686),ISNUMBER(H1686)),F1686-H1686,""),"")</f>
        <v/>
      </c>
      <c r="J1686" s="114" t="n"/>
      <c r="K1686" s="139">
        <f>IFERROR(IF(H1686&gt;0,H1686*$C$7,""),"")</f>
        <v/>
      </c>
      <c r="L1686" s="139">
        <f>IFERROR(IF(ISNUMBER(F1686),F1686-IF(ISNUMBER(K1686),K1686,0),""),"")</f>
        <v/>
      </c>
    </row>
    <row r="1687" ht="24" customHeight="1" s="63">
      <c r="E1687" s="139" t="n"/>
      <c r="F1687" s="139" t="n"/>
      <c r="G1687" s="140">
        <f>IFERROR(IF(E1687&gt;0,(F1687/E1687)*1000,""),"")</f>
        <v/>
      </c>
      <c r="H1687" s="139">
        <f>IFERROR(IF(E1687&gt;0,E1687*IF(ISNUMBER(J1687),J1687,IF(C1687="Futures",$C$6,$C$5)),""),"")</f>
        <v/>
      </c>
      <c r="I1687" s="139">
        <f>IFERROR(IF(AND(ISNUMBER(F1687),ISNUMBER(H1687)),F1687-H1687,""),"")</f>
        <v/>
      </c>
      <c r="J1687" s="114" t="n"/>
      <c r="K1687" s="139">
        <f>IFERROR(IF(H1687&gt;0,H1687*$C$7,""),"")</f>
        <v/>
      </c>
      <c r="L1687" s="139">
        <f>IFERROR(IF(ISNUMBER(F1687),F1687-IF(ISNUMBER(K1687),K1687,0),""),"")</f>
        <v/>
      </c>
    </row>
    <row r="1688" ht="24" customHeight="1" s="63">
      <c r="E1688" s="139" t="n"/>
      <c r="F1688" s="139" t="n"/>
      <c r="G1688" s="140">
        <f>IFERROR(IF(E1688&gt;0,(F1688/E1688)*1000,""),"")</f>
        <v/>
      </c>
      <c r="H1688" s="139">
        <f>IFERROR(IF(E1688&gt;0,E1688*IF(ISNUMBER(J1688),J1688,IF(C1688="Futures",$C$6,$C$5)),""),"")</f>
        <v/>
      </c>
      <c r="I1688" s="139">
        <f>IFERROR(IF(AND(ISNUMBER(F1688),ISNUMBER(H1688)),F1688-H1688,""),"")</f>
        <v/>
      </c>
      <c r="J1688" s="114" t="n"/>
      <c r="K1688" s="139">
        <f>IFERROR(IF(H1688&gt;0,H1688*$C$7,""),"")</f>
        <v/>
      </c>
      <c r="L1688" s="139">
        <f>IFERROR(IF(ISNUMBER(F1688),F1688-IF(ISNUMBER(K1688),K1688,0),""),"")</f>
        <v/>
      </c>
    </row>
    <row r="1689" ht="24" customHeight="1" s="63">
      <c r="E1689" s="139" t="n"/>
      <c r="F1689" s="139" t="n"/>
      <c r="G1689" s="140">
        <f>IFERROR(IF(E1689&gt;0,(F1689/E1689)*1000,""),"")</f>
        <v/>
      </c>
      <c r="H1689" s="139">
        <f>IFERROR(IF(E1689&gt;0,E1689*IF(ISNUMBER(J1689),J1689,IF(C1689="Futures",$C$6,$C$5)),""),"")</f>
        <v/>
      </c>
      <c r="I1689" s="139">
        <f>IFERROR(IF(AND(ISNUMBER(F1689),ISNUMBER(H1689)),F1689-H1689,""),"")</f>
        <v/>
      </c>
      <c r="J1689" s="114" t="n"/>
      <c r="K1689" s="139">
        <f>IFERROR(IF(H1689&gt;0,H1689*$C$7,""),"")</f>
        <v/>
      </c>
      <c r="L1689" s="139">
        <f>IFERROR(IF(ISNUMBER(F1689),F1689-IF(ISNUMBER(K1689),K1689,0),""),"")</f>
        <v/>
      </c>
    </row>
    <row r="1690" ht="24" customHeight="1" s="63">
      <c r="E1690" s="139" t="n"/>
      <c r="F1690" s="139" t="n"/>
      <c r="G1690" s="140">
        <f>IFERROR(IF(E1690&gt;0,(F1690/E1690)*1000,""),"")</f>
        <v/>
      </c>
      <c r="H1690" s="139">
        <f>IFERROR(IF(E1690&gt;0,E1690*IF(ISNUMBER(J1690),J1690,IF(C1690="Futures",$C$6,$C$5)),""),"")</f>
        <v/>
      </c>
      <c r="I1690" s="139">
        <f>IFERROR(IF(AND(ISNUMBER(F1690),ISNUMBER(H1690)),F1690-H1690,""),"")</f>
        <v/>
      </c>
      <c r="J1690" s="114" t="n"/>
      <c r="K1690" s="139">
        <f>IFERROR(IF(H1690&gt;0,H1690*$C$7,""),"")</f>
        <v/>
      </c>
      <c r="L1690" s="139">
        <f>IFERROR(IF(ISNUMBER(F1690),F1690-IF(ISNUMBER(K1690),K1690,0),""),"")</f>
        <v/>
      </c>
    </row>
    <row r="1691" ht="24" customHeight="1" s="63">
      <c r="E1691" s="139" t="n"/>
      <c r="F1691" s="139" t="n"/>
      <c r="G1691" s="140">
        <f>IFERROR(IF(E1691&gt;0,(F1691/E1691)*1000,""),"")</f>
        <v/>
      </c>
      <c r="H1691" s="139">
        <f>IFERROR(IF(E1691&gt;0,E1691*IF(ISNUMBER(J1691),J1691,IF(C1691="Futures",$C$6,$C$5)),""),"")</f>
        <v/>
      </c>
      <c r="I1691" s="139">
        <f>IFERROR(IF(AND(ISNUMBER(F1691),ISNUMBER(H1691)),F1691-H1691,""),"")</f>
        <v/>
      </c>
      <c r="J1691" s="114" t="n"/>
      <c r="K1691" s="139">
        <f>IFERROR(IF(H1691&gt;0,H1691*$C$7,""),"")</f>
        <v/>
      </c>
      <c r="L1691" s="139">
        <f>IFERROR(IF(ISNUMBER(F1691),F1691-IF(ISNUMBER(K1691),K1691,0),""),"")</f>
        <v/>
      </c>
    </row>
    <row r="1692" ht="24" customHeight="1" s="63">
      <c r="E1692" s="139" t="n"/>
      <c r="F1692" s="139" t="n"/>
      <c r="G1692" s="140">
        <f>IFERROR(IF(E1692&gt;0,(F1692/E1692)*1000,""),"")</f>
        <v/>
      </c>
      <c r="H1692" s="139">
        <f>IFERROR(IF(E1692&gt;0,E1692*IF(ISNUMBER(J1692),J1692,IF(C1692="Futures",$C$6,$C$5)),""),"")</f>
        <v/>
      </c>
      <c r="I1692" s="139">
        <f>IFERROR(IF(AND(ISNUMBER(F1692),ISNUMBER(H1692)),F1692-H1692,""),"")</f>
        <v/>
      </c>
      <c r="J1692" s="114" t="n"/>
      <c r="K1692" s="139">
        <f>IFERROR(IF(H1692&gt;0,H1692*$C$7,""),"")</f>
        <v/>
      </c>
      <c r="L1692" s="139">
        <f>IFERROR(IF(ISNUMBER(F1692),F1692-IF(ISNUMBER(K1692),K1692,0),""),"")</f>
        <v/>
      </c>
    </row>
    <row r="1693" ht="24" customHeight="1" s="63">
      <c r="E1693" s="139" t="n"/>
      <c r="F1693" s="139" t="n"/>
      <c r="G1693" s="140">
        <f>IFERROR(IF(E1693&gt;0,(F1693/E1693)*1000,""),"")</f>
        <v/>
      </c>
      <c r="H1693" s="139">
        <f>IFERROR(IF(E1693&gt;0,E1693*IF(ISNUMBER(J1693),J1693,IF(C1693="Futures",$C$6,$C$5)),""),"")</f>
        <v/>
      </c>
      <c r="I1693" s="139">
        <f>IFERROR(IF(AND(ISNUMBER(F1693),ISNUMBER(H1693)),F1693-H1693,""),"")</f>
        <v/>
      </c>
      <c r="J1693" s="114" t="n"/>
      <c r="K1693" s="139">
        <f>IFERROR(IF(H1693&gt;0,H1693*$C$7,""),"")</f>
        <v/>
      </c>
      <c r="L1693" s="139">
        <f>IFERROR(IF(ISNUMBER(F1693),F1693-IF(ISNUMBER(K1693),K1693,0),""),"")</f>
        <v/>
      </c>
    </row>
    <row r="1694" ht="24" customHeight="1" s="63">
      <c r="E1694" s="139" t="n"/>
      <c r="F1694" s="139" t="n"/>
      <c r="G1694" s="140">
        <f>IFERROR(IF(E1694&gt;0,(F1694/E1694)*1000,""),"")</f>
        <v/>
      </c>
      <c r="H1694" s="139">
        <f>IFERROR(IF(E1694&gt;0,E1694*IF(ISNUMBER(J1694),J1694,IF(C1694="Futures",$C$6,$C$5)),""),"")</f>
        <v/>
      </c>
      <c r="I1694" s="139">
        <f>IFERROR(IF(AND(ISNUMBER(F1694),ISNUMBER(H1694)),F1694-H1694,""),"")</f>
        <v/>
      </c>
      <c r="J1694" s="114" t="n"/>
      <c r="K1694" s="139">
        <f>IFERROR(IF(H1694&gt;0,H1694*$C$7,""),"")</f>
        <v/>
      </c>
      <c r="L1694" s="139">
        <f>IFERROR(IF(ISNUMBER(F1694),F1694-IF(ISNUMBER(K1694),K1694,0),""),"")</f>
        <v/>
      </c>
    </row>
    <row r="1695" ht="24" customHeight="1" s="63">
      <c r="E1695" s="139" t="n"/>
      <c r="F1695" s="139" t="n"/>
      <c r="G1695" s="140">
        <f>IFERROR(IF(E1695&gt;0,(F1695/E1695)*1000,""),"")</f>
        <v/>
      </c>
      <c r="H1695" s="139">
        <f>IFERROR(IF(E1695&gt;0,E1695*IF(ISNUMBER(J1695),J1695,IF(C1695="Futures",$C$6,$C$5)),""),"")</f>
        <v/>
      </c>
      <c r="I1695" s="139">
        <f>IFERROR(IF(AND(ISNUMBER(F1695),ISNUMBER(H1695)),F1695-H1695,""),"")</f>
        <v/>
      </c>
      <c r="J1695" s="114" t="n"/>
      <c r="K1695" s="139">
        <f>IFERROR(IF(H1695&gt;0,H1695*$C$7,""),"")</f>
        <v/>
      </c>
      <c r="L1695" s="139">
        <f>IFERROR(IF(ISNUMBER(F1695),F1695-IF(ISNUMBER(K1695),K1695,0),""),"")</f>
        <v/>
      </c>
    </row>
    <row r="1696" ht="24" customHeight="1" s="63">
      <c r="E1696" s="139" t="n"/>
      <c r="F1696" s="139" t="n"/>
      <c r="G1696" s="140">
        <f>IFERROR(IF(E1696&gt;0,(F1696/E1696)*1000,""),"")</f>
        <v/>
      </c>
      <c r="H1696" s="139">
        <f>IFERROR(IF(E1696&gt;0,E1696*IF(ISNUMBER(J1696),J1696,IF(C1696="Futures",$C$6,$C$5)),""),"")</f>
        <v/>
      </c>
      <c r="I1696" s="139">
        <f>IFERROR(IF(AND(ISNUMBER(F1696),ISNUMBER(H1696)),F1696-H1696,""),"")</f>
        <v/>
      </c>
      <c r="J1696" s="114" t="n"/>
      <c r="K1696" s="139">
        <f>IFERROR(IF(H1696&gt;0,H1696*$C$7,""),"")</f>
        <v/>
      </c>
      <c r="L1696" s="139">
        <f>IFERROR(IF(ISNUMBER(F1696),F1696-IF(ISNUMBER(K1696),K1696,0),""),"")</f>
        <v/>
      </c>
    </row>
    <row r="1697" ht="24" customHeight="1" s="63">
      <c r="E1697" s="139" t="n"/>
      <c r="F1697" s="139" t="n"/>
      <c r="G1697" s="140">
        <f>IFERROR(IF(E1697&gt;0,(F1697/E1697)*1000,""),"")</f>
        <v/>
      </c>
      <c r="H1697" s="139">
        <f>IFERROR(IF(E1697&gt;0,E1697*IF(ISNUMBER(J1697),J1697,IF(C1697="Futures",$C$6,$C$5)),""),"")</f>
        <v/>
      </c>
      <c r="I1697" s="139">
        <f>IFERROR(IF(AND(ISNUMBER(F1697),ISNUMBER(H1697)),F1697-H1697,""),"")</f>
        <v/>
      </c>
      <c r="J1697" s="114" t="n"/>
      <c r="K1697" s="139">
        <f>IFERROR(IF(H1697&gt;0,H1697*$C$7,""),"")</f>
        <v/>
      </c>
      <c r="L1697" s="139">
        <f>IFERROR(IF(ISNUMBER(F1697),F1697-IF(ISNUMBER(K1697),K1697,0),""),"")</f>
        <v/>
      </c>
    </row>
    <row r="1698" ht="24" customHeight="1" s="63">
      <c r="E1698" s="139" t="n"/>
      <c r="F1698" s="139" t="n"/>
      <c r="G1698" s="140">
        <f>IFERROR(IF(E1698&gt;0,(F1698/E1698)*1000,""),"")</f>
        <v/>
      </c>
      <c r="H1698" s="139">
        <f>IFERROR(IF(E1698&gt;0,E1698*IF(ISNUMBER(J1698),J1698,IF(C1698="Futures",$C$6,$C$5)),""),"")</f>
        <v/>
      </c>
      <c r="I1698" s="139">
        <f>IFERROR(IF(AND(ISNUMBER(F1698),ISNUMBER(H1698)),F1698-H1698,""),"")</f>
        <v/>
      </c>
      <c r="J1698" s="114" t="n"/>
      <c r="K1698" s="139">
        <f>IFERROR(IF(H1698&gt;0,H1698*$C$7,""),"")</f>
        <v/>
      </c>
      <c r="L1698" s="139">
        <f>IFERROR(IF(ISNUMBER(F1698),F1698-IF(ISNUMBER(K1698),K1698,0),""),"")</f>
        <v/>
      </c>
    </row>
    <row r="1699" ht="24" customHeight="1" s="63">
      <c r="E1699" s="139" t="n"/>
      <c r="F1699" s="139" t="n"/>
      <c r="G1699" s="140">
        <f>IFERROR(IF(E1699&gt;0,(F1699/E1699)*1000,""),"")</f>
        <v/>
      </c>
      <c r="H1699" s="139">
        <f>IFERROR(IF(E1699&gt;0,E1699*IF(ISNUMBER(J1699),J1699,IF(C1699="Futures",$C$6,$C$5)),""),"")</f>
        <v/>
      </c>
      <c r="I1699" s="139">
        <f>IFERROR(IF(AND(ISNUMBER(F1699),ISNUMBER(H1699)),F1699-H1699,""),"")</f>
        <v/>
      </c>
      <c r="J1699" s="114" t="n"/>
      <c r="K1699" s="139">
        <f>IFERROR(IF(H1699&gt;0,H1699*$C$7,""),"")</f>
        <v/>
      </c>
      <c r="L1699" s="139">
        <f>IFERROR(IF(ISNUMBER(F1699),F1699-IF(ISNUMBER(K1699),K1699,0),""),"")</f>
        <v/>
      </c>
    </row>
    <row r="1700" ht="24" customHeight="1" s="63">
      <c r="E1700" s="139" t="n"/>
      <c r="F1700" s="139" t="n"/>
      <c r="G1700" s="140">
        <f>IFERROR(IF(E1700&gt;0,(F1700/E1700)*1000,""),"")</f>
        <v/>
      </c>
      <c r="H1700" s="139">
        <f>IFERROR(IF(E1700&gt;0,E1700*IF(ISNUMBER(J1700),J1700,IF(C1700="Futures",$C$6,$C$5)),""),"")</f>
        <v/>
      </c>
      <c r="I1700" s="139">
        <f>IFERROR(IF(AND(ISNUMBER(F1700),ISNUMBER(H1700)),F1700-H1700,""),"")</f>
        <v/>
      </c>
      <c r="J1700" s="114" t="n"/>
      <c r="K1700" s="139">
        <f>IFERROR(IF(H1700&gt;0,H1700*$C$7,""),"")</f>
        <v/>
      </c>
      <c r="L1700" s="139">
        <f>IFERROR(IF(ISNUMBER(F1700),F1700-IF(ISNUMBER(K1700),K1700,0),""),"")</f>
        <v/>
      </c>
    </row>
    <row r="1701" ht="24" customHeight="1" s="63">
      <c r="E1701" s="139" t="n"/>
      <c r="F1701" s="139" t="n"/>
      <c r="G1701" s="140">
        <f>IFERROR(IF(E1701&gt;0,(F1701/E1701)*1000,""),"")</f>
        <v/>
      </c>
      <c r="H1701" s="139">
        <f>IFERROR(IF(E1701&gt;0,E1701*IF(ISNUMBER(J1701),J1701,IF(C1701="Futures",$C$6,$C$5)),""),"")</f>
        <v/>
      </c>
      <c r="I1701" s="139">
        <f>IFERROR(IF(AND(ISNUMBER(F1701),ISNUMBER(H1701)),F1701-H1701,""),"")</f>
        <v/>
      </c>
      <c r="J1701" s="114" t="n"/>
      <c r="K1701" s="139">
        <f>IFERROR(IF(H1701&gt;0,H1701*$C$7,""),"")</f>
        <v/>
      </c>
      <c r="L1701" s="139">
        <f>IFERROR(IF(ISNUMBER(F1701),F1701-IF(ISNUMBER(K1701),K1701,0),""),"")</f>
        <v/>
      </c>
    </row>
    <row r="1702" ht="24" customHeight="1" s="63">
      <c r="E1702" s="139" t="n"/>
      <c r="F1702" s="139" t="n"/>
      <c r="G1702" s="140">
        <f>IFERROR(IF(E1702&gt;0,(F1702/E1702)*1000,""),"")</f>
        <v/>
      </c>
      <c r="H1702" s="139">
        <f>IFERROR(IF(E1702&gt;0,E1702*IF(ISNUMBER(J1702),J1702,IF(C1702="Futures",$C$6,$C$5)),""),"")</f>
        <v/>
      </c>
      <c r="I1702" s="139">
        <f>IFERROR(IF(AND(ISNUMBER(F1702),ISNUMBER(H1702)),F1702-H1702,""),"")</f>
        <v/>
      </c>
      <c r="J1702" s="114" t="n"/>
      <c r="K1702" s="139">
        <f>IFERROR(IF(H1702&gt;0,H1702*$C$7,""),"")</f>
        <v/>
      </c>
      <c r="L1702" s="139">
        <f>IFERROR(IF(ISNUMBER(F1702),F1702-IF(ISNUMBER(K1702),K1702,0),""),"")</f>
        <v/>
      </c>
    </row>
    <row r="1703" ht="24" customHeight="1" s="63">
      <c r="E1703" s="139" t="n"/>
      <c r="F1703" s="139" t="n"/>
      <c r="G1703" s="140">
        <f>IFERROR(IF(E1703&gt;0,(F1703/E1703)*1000,""),"")</f>
        <v/>
      </c>
      <c r="H1703" s="139">
        <f>IFERROR(IF(E1703&gt;0,E1703*IF(ISNUMBER(J1703),J1703,IF(C1703="Futures",$C$6,$C$5)),""),"")</f>
        <v/>
      </c>
      <c r="I1703" s="139">
        <f>IFERROR(IF(AND(ISNUMBER(F1703),ISNUMBER(H1703)),F1703-H1703,""),"")</f>
        <v/>
      </c>
      <c r="J1703" s="114" t="n"/>
      <c r="K1703" s="139">
        <f>IFERROR(IF(H1703&gt;0,H1703*$C$7,""),"")</f>
        <v/>
      </c>
      <c r="L1703" s="139">
        <f>IFERROR(IF(ISNUMBER(F1703),F1703-IF(ISNUMBER(K1703),K1703,0),""),"")</f>
        <v/>
      </c>
    </row>
    <row r="1704" ht="24" customHeight="1" s="63">
      <c r="E1704" s="139" t="n"/>
      <c r="F1704" s="139" t="n"/>
      <c r="G1704" s="140">
        <f>IFERROR(IF(E1704&gt;0,(F1704/E1704)*1000,""),"")</f>
        <v/>
      </c>
      <c r="H1704" s="139">
        <f>IFERROR(IF(E1704&gt;0,E1704*IF(ISNUMBER(J1704),J1704,IF(C1704="Futures",$C$6,$C$5)),""),"")</f>
        <v/>
      </c>
      <c r="I1704" s="139">
        <f>IFERROR(IF(AND(ISNUMBER(F1704),ISNUMBER(H1704)),F1704-H1704,""),"")</f>
        <v/>
      </c>
      <c r="J1704" s="114" t="n"/>
      <c r="K1704" s="139">
        <f>IFERROR(IF(H1704&gt;0,H1704*$C$7,""),"")</f>
        <v/>
      </c>
      <c r="L1704" s="139">
        <f>IFERROR(IF(ISNUMBER(F1704),F1704-IF(ISNUMBER(K1704),K1704,0),""),"")</f>
        <v/>
      </c>
    </row>
    <row r="1705" ht="24" customHeight="1" s="63">
      <c r="E1705" s="139" t="n"/>
      <c r="F1705" s="139" t="n"/>
      <c r="G1705" s="140">
        <f>IFERROR(IF(E1705&gt;0,(F1705/E1705)*1000,""),"")</f>
        <v/>
      </c>
      <c r="H1705" s="139">
        <f>IFERROR(IF(E1705&gt;0,E1705*IF(ISNUMBER(J1705),J1705,IF(C1705="Futures",$C$6,$C$5)),""),"")</f>
        <v/>
      </c>
      <c r="I1705" s="139">
        <f>IFERROR(IF(AND(ISNUMBER(F1705),ISNUMBER(H1705)),F1705-H1705,""),"")</f>
        <v/>
      </c>
      <c r="J1705" s="114" t="n"/>
      <c r="K1705" s="139">
        <f>IFERROR(IF(H1705&gt;0,H1705*$C$7,""),"")</f>
        <v/>
      </c>
      <c r="L1705" s="139">
        <f>IFERROR(IF(ISNUMBER(F1705),F1705-IF(ISNUMBER(K1705),K1705,0),""),"")</f>
        <v/>
      </c>
    </row>
    <row r="1706" ht="24" customHeight="1" s="63">
      <c r="E1706" s="139" t="n"/>
      <c r="F1706" s="139" t="n"/>
      <c r="G1706" s="140">
        <f>IFERROR(IF(E1706&gt;0,(F1706/E1706)*1000,""),"")</f>
        <v/>
      </c>
      <c r="H1706" s="139">
        <f>IFERROR(IF(E1706&gt;0,E1706*IF(ISNUMBER(J1706),J1706,IF(C1706="Futures",$C$6,$C$5)),""),"")</f>
        <v/>
      </c>
      <c r="I1706" s="139">
        <f>IFERROR(IF(AND(ISNUMBER(F1706),ISNUMBER(H1706)),F1706-H1706,""),"")</f>
        <v/>
      </c>
      <c r="J1706" s="114" t="n"/>
      <c r="K1706" s="139">
        <f>IFERROR(IF(H1706&gt;0,H1706*$C$7,""),"")</f>
        <v/>
      </c>
      <c r="L1706" s="139">
        <f>IFERROR(IF(ISNUMBER(F1706),F1706-IF(ISNUMBER(K1706),K1706,0),""),"")</f>
        <v/>
      </c>
    </row>
    <row r="1707" ht="24" customHeight="1" s="63">
      <c r="E1707" s="139" t="n"/>
      <c r="F1707" s="139" t="n"/>
      <c r="G1707" s="140">
        <f>IFERROR(IF(E1707&gt;0,(F1707/E1707)*1000,""),"")</f>
        <v/>
      </c>
      <c r="H1707" s="139">
        <f>IFERROR(IF(E1707&gt;0,E1707*IF(ISNUMBER(J1707),J1707,IF(C1707="Futures",$C$6,$C$5)),""),"")</f>
        <v/>
      </c>
      <c r="I1707" s="139">
        <f>IFERROR(IF(AND(ISNUMBER(F1707),ISNUMBER(H1707)),F1707-H1707,""),"")</f>
        <v/>
      </c>
      <c r="J1707" s="114" t="n"/>
      <c r="K1707" s="139">
        <f>IFERROR(IF(H1707&gt;0,H1707*$C$7,""),"")</f>
        <v/>
      </c>
      <c r="L1707" s="139">
        <f>IFERROR(IF(ISNUMBER(F1707),F1707-IF(ISNUMBER(K1707),K1707,0),""),"")</f>
        <v/>
      </c>
    </row>
    <row r="1708" ht="24" customHeight="1" s="63">
      <c r="E1708" s="139" t="n"/>
      <c r="F1708" s="139" t="n"/>
      <c r="G1708" s="140">
        <f>IFERROR(IF(E1708&gt;0,(F1708/E1708)*1000,""),"")</f>
        <v/>
      </c>
      <c r="H1708" s="139">
        <f>IFERROR(IF(E1708&gt;0,E1708*IF(ISNUMBER(J1708),J1708,IF(C1708="Futures",$C$6,$C$5)),""),"")</f>
        <v/>
      </c>
      <c r="I1708" s="139">
        <f>IFERROR(IF(AND(ISNUMBER(F1708),ISNUMBER(H1708)),F1708-H1708,""),"")</f>
        <v/>
      </c>
      <c r="J1708" s="114" t="n"/>
      <c r="K1708" s="139">
        <f>IFERROR(IF(H1708&gt;0,H1708*$C$7,""),"")</f>
        <v/>
      </c>
      <c r="L1708" s="139">
        <f>IFERROR(IF(ISNUMBER(F1708),F1708-IF(ISNUMBER(K1708),K1708,0),""),"")</f>
        <v/>
      </c>
    </row>
    <row r="1709" ht="24" customHeight="1" s="63">
      <c r="E1709" s="139" t="n"/>
      <c r="F1709" s="139" t="n"/>
      <c r="G1709" s="140">
        <f>IFERROR(IF(E1709&gt;0,(F1709/E1709)*1000,""),"")</f>
        <v/>
      </c>
      <c r="H1709" s="139">
        <f>IFERROR(IF(E1709&gt;0,E1709*IF(ISNUMBER(J1709),J1709,IF(C1709="Futures",$C$6,$C$5)),""),"")</f>
        <v/>
      </c>
      <c r="I1709" s="139">
        <f>IFERROR(IF(AND(ISNUMBER(F1709),ISNUMBER(H1709)),F1709-H1709,""),"")</f>
        <v/>
      </c>
      <c r="J1709" s="114" t="n"/>
      <c r="K1709" s="139">
        <f>IFERROR(IF(H1709&gt;0,H1709*$C$7,""),"")</f>
        <v/>
      </c>
      <c r="L1709" s="139">
        <f>IFERROR(IF(ISNUMBER(F1709),F1709-IF(ISNUMBER(K1709),K1709,0),""),"")</f>
        <v/>
      </c>
    </row>
    <row r="1710" ht="24" customHeight="1" s="63">
      <c r="E1710" s="139" t="n"/>
      <c r="F1710" s="139" t="n"/>
      <c r="G1710" s="140">
        <f>IFERROR(IF(E1710&gt;0,(F1710/E1710)*1000,""),"")</f>
        <v/>
      </c>
      <c r="H1710" s="139">
        <f>IFERROR(IF(E1710&gt;0,E1710*IF(ISNUMBER(J1710),J1710,IF(C1710="Futures",$C$6,$C$5)),""),"")</f>
        <v/>
      </c>
      <c r="I1710" s="139">
        <f>IFERROR(IF(AND(ISNUMBER(F1710),ISNUMBER(H1710)),F1710-H1710,""),"")</f>
        <v/>
      </c>
      <c r="J1710" s="114" t="n"/>
      <c r="K1710" s="139">
        <f>IFERROR(IF(H1710&gt;0,H1710*$C$7,""),"")</f>
        <v/>
      </c>
      <c r="L1710" s="139">
        <f>IFERROR(IF(ISNUMBER(F1710),F1710-IF(ISNUMBER(K1710),K1710,0),""),"")</f>
        <v/>
      </c>
    </row>
    <row r="1711" ht="24" customHeight="1" s="63">
      <c r="E1711" s="139" t="n"/>
      <c r="F1711" s="139" t="n"/>
      <c r="G1711" s="140">
        <f>IFERROR(IF(E1711&gt;0,(F1711/E1711)*1000,""),"")</f>
        <v/>
      </c>
      <c r="H1711" s="139">
        <f>IFERROR(IF(E1711&gt;0,E1711*IF(ISNUMBER(J1711),J1711,IF(C1711="Futures",$C$6,$C$5)),""),"")</f>
        <v/>
      </c>
      <c r="I1711" s="139">
        <f>IFERROR(IF(AND(ISNUMBER(F1711),ISNUMBER(H1711)),F1711-H1711,""),"")</f>
        <v/>
      </c>
      <c r="J1711" s="114" t="n"/>
      <c r="K1711" s="139">
        <f>IFERROR(IF(H1711&gt;0,H1711*$C$7,""),"")</f>
        <v/>
      </c>
      <c r="L1711" s="139">
        <f>IFERROR(IF(ISNUMBER(F1711),F1711-IF(ISNUMBER(K1711),K1711,0),""),"")</f>
        <v/>
      </c>
    </row>
    <row r="1712" ht="24" customHeight="1" s="63">
      <c r="E1712" s="139" t="n"/>
      <c r="F1712" s="139" t="n"/>
      <c r="G1712" s="140">
        <f>IFERROR(IF(E1712&gt;0,(F1712/E1712)*1000,""),"")</f>
        <v/>
      </c>
      <c r="H1712" s="139">
        <f>IFERROR(IF(E1712&gt;0,E1712*IF(ISNUMBER(J1712),J1712,IF(C1712="Futures",$C$6,$C$5)),""),"")</f>
        <v/>
      </c>
      <c r="I1712" s="139">
        <f>IFERROR(IF(AND(ISNUMBER(F1712),ISNUMBER(H1712)),F1712-H1712,""),"")</f>
        <v/>
      </c>
      <c r="J1712" s="114" t="n"/>
      <c r="K1712" s="139">
        <f>IFERROR(IF(H1712&gt;0,H1712*$C$7,""),"")</f>
        <v/>
      </c>
      <c r="L1712" s="139">
        <f>IFERROR(IF(ISNUMBER(F1712),F1712-IF(ISNUMBER(K1712),K1712,0),""),"")</f>
        <v/>
      </c>
    </row>
    <row r="1713" ht="24" customHeight="1" s="63">
      <c r="E1713" s="139" t="n"/>
      <c r="F1713" s="139" t="n"/>
      <c r="G1713" s="140">
        <f>IFERROR(IF(E1713&gt;0,(F1713/E1713)*1000,""),"")</f>
        <v/>
      </c>
      <c r="H1713" s="139">
        <f>IFERROR(IF(E1713&gt;0,E1713*IF(ISNUMBER(J1713),J1713,IF(C1713="Futures",$C$6,$C$5)),""),"")</f>
        <v/>
      </c>
      <c r="I1713" s="139">
        <f>IFERROR(IF(AND(ISNUMBER(F1713),ISNUMBER(H1713)),F1713-H1713,""),"")</f>
        <v/>
      </c>
      <c r="J1713" s="114" t="n"/>
      <c r="K1713" s="139">
        <f>IFERROR(IF(H1713&gt;0,H1713*$C$7,""),"")</f>
        <v/>
      </c>
      <c r="L1713" s="139">
        <f>IFERROR(IF(ISNUMBER(F1713),F1713-IF(ISNUMBER(K1713),K1713,0),""),"")</f>
        <v/>
      </c>
    </row>
    <row r="1714" ht="24" customHeight="1" s="63">
      <c r="E1714" s="139" t="n"/>
      <c r="F1714" s="139" t="n"/>
      <c r="G1714" s="140">
        <f>IFERROR(IF(E1714&gt;0,(F1714/E1714)*1000,""),"")</f>
        <v/>
      </c>
      <c r="H1714" s="139">
        <f>IFERROR(IF(E1714&gt;0,E1714*IF(ISNUMBER(J1714),J1714,IF(C1714="Futures",$C$6,$C$5)),""),"")</f>
        <v/>
      </c>
      <c r="I1714" s="139">
        <f>IFERROR(IF(AND(ISNUMBER(F1714),ISNUMBER(H1714)),F1714-H1714,""),"")</f>
        <v/>
      </c>
      <c r="J1714" s="114" t="n"/>
      <c r="K1714" s="139">
        <f>IFERROR(IF(H1714&gt;0,H1714*$C$7,""),"")</f>
        <v/>
      </c>
      <c r="L1714" s="139">
        <f>IFERROR(IF(ISNUMBER(F1714),F1714-IF(ISNUMBER(K1714),K1714,0),""),"")</f>
        <v/>
      </c>
    </row>
    <row r="1715" ht="24" customHeight="1" s="63">
      <c r="E1715" s="139" t="n"/>
      <c r="F1715" s="139" t="n"/>
      <c r="G1715" s="140">
        <f>IFERROR(IF(E1715&gt;0,(F1715/E1715)*1000,""),"")</f>
        <v/>
      </c>
      <c r="H1715" s="139">
        <f>IFERROR(IF(E1715&gt;0,E1715*IF(ISNUMBER(J1715),J1715,IF(C1715="Futures",$C$6,$C$5)),""),"")</f>
        <v/>
      </c>
      <c r="I1715" s="139">
        <f>IFERROR(IF(AND(ISNUMBER(F1715),ISNUMBER(H1715)),F1715-H1715,""),"")</f>
        <v/>
      </c>
      <c r="J1715" s="114" t="n"/>
      <c r="K1715" s="139">
        <f>IFERROR(IF(H1715&gt;0,H1715*$C$7,""),"")</f>
        <v/>
      </c>
      <c r="L1715" s="139">
        <f>IFERROR(IF(ISNUMBER(F1715),F1715-IF(ISNUMBER(K1715),K1715,0),""),"")</f>
        <v/>
      </c>
    </row>
    <row r="1716" ht="24" customHeight="1" s="63">
      <c r="E1716" s="139" t="n"/>
      <c r="F1716" s="139" t="n"/>
      <c r="G1716" s="140">
        <f>IFERROR(IF(E1716&gt;0,(F1716/E1716)*1000,""),"")</f>
        <v/>
      </c>
      <c r="H1716" s="139">
        <f>IFERROR(IF(E1716&gt;0,E1716*IF(ISNUMBER(J1716),J1716,IF(C1716="Futures",$C$6,$C$5)),""),"")</f>
        <v/>
      </c>
      <c r="I1716" s="139">
        <f>IFERROR(IF(AND(ISNUMBER(F1716),ISNUMBER(H1716)),F1716-H1716,""),"")</f>
        <v/>
      </c>
      <c r="J1716" s="114" t="n"/>
      <c r="K1716" s="139">
        <f>IFERROR(IF(H1716&gt;0,H1716*$C$7,""),"")</f>
        <v/>
      </c>
      <c r="L1716" s="139">
        <f>IFERROR(IF(ISNUMBER(F1716),F1716-IF(ISNUMBER(K1716),K1716,0),""),"")</f>
        <v/>
      </c>
    </row>
    <row r="1717" ht="24" customHeight="1" s="63">
      <c r="E1717" s="139" t="n"/>
      <c r="F1717" s="139" t="n"/>
      <c r="G1717" s="140">
        <f>IFERROR(IF(E1717&gt;0,(F1717/E1717)*1000,""),"")</f>
        <v/>
      </c>
      <c r="H1717" s="139">
        <f>IFERROR(IF(E1717&gt;0,E1717*IF(ISNUMBER(J1717),J1717,IF(C1717="Futures",$C$6,$C$5)),""),"")</f>
        <v/>
      </c>
      <c r="I1717" s="139">
        <f>IFERROR(IF(AND(ISNUMBER(F1717),ISNUMBER(H1717)),F1717-H1717,""),"")</f>
        <v/>
      </c>
      <c r="J1717" s="114" t="n"/>
      <c r="K1717" s="139">
        <f>IFERROR(IF(H1717&gt;0,H1717*$C$7,""),"")</f>
        <v/>
      </c>
      <c r="L1717" s="139">
        <f>IFERROR(IF(ISNUMBER(F1717),F1717-IF(ISNUMBER(K1717),K1717,0),""),"")</f>
        <v/>
      </c>
    </row>
    <row r="1718" ht="24" customHeight="1" s="63">
      <c r="E1718" s="139" t="n"/>
      <c r="F1718" s="139" t="n"/>
      <c r="G1718" s="140">
        <f>IFERROR(IF(E1718&gt;0,(F1718/E1718)*1000,""),"")</f>
        <v/>
      </c>
      <c r="H1718" s="139">
        <f>IFERROR(IF(E1718&gt;0,E1718*IF(ISNUMBER(J1718),J1718,IF(C1718="Futures",$C$6,$C$5)),""),"")</f>
        <v/>
      </c>
      <c r="I1718" s="139">
        <f>IFERROR(IF(AND(ISNUMBER(F1718),ISNUMBER(H1718)),F1718-H1718,""),"")</f>
        <v/>
      </c>
      <c r="J1718" s="114" t="n"/>
      <c r="K1718" s="139">
        <f>IFERROR(IF(H1718&gt;0,H1718*$C$7,""),"")</f>
        <v/>
      </c>
      <c r="L1718" s="139">
        <f>IFERROR(IF(ISNUMBER(F1718),F1718-IF(ISNUMBER(K1718),K1718,0),""),"")</f>
        <v/>
      </c>
    </row>
    <row r="1719" ht="24" customHeight="1" s="63">
      <c r="E1719" s="139" t="n"/>
      <c r="F1719" s="139" t="n"/>
      <c r="G1719" s="140">
        <f>IFERROR(IF(E1719&gt;0,(F1719/E1719)*1000,""),"")</f>
        <v/>
      </c>
      <c r="H1719" s="139">
        <f>IFERROR(IF(E1719&gt;0,E1719*IF(ISNUMBER(J1719),J1719,IF(C1719="Futures",$C$6,$C$5)),""),"")</f>
        <v/>
      </c>
      <c r="I1719" s="139">
        <f>IFERROR(IF(AND(ISNUMBER(F1719),ISNUMBER(H1719)),F1719-H1719,""),"")</f>
        <v/>
      </c>
      <c r="J1719" s="114" t="n"/>
      <c r="K1719" s="139">
        <f>IFERROR(IF(H1719&gt;0,H1719*$C$7,""),"")</f>
        <v/>
      </c>
      <c r="L1719" s="139">
        <f>IFERROR(IF(ISNUMBER(F1719),F1719-IF(ISNUMBER(K1719),K1719,0),""),"")</f>
        <v/>
      </c>
    </row>
    <row r="1720" ht="24" customHeight="1" s="63">
      <c r="E1720" s="139" t="n"/>
      <c r="F1720" s="139" t="n"/>
      <c r="G1720" s="140">
        <f>IFERROR(IF(E1720&gt;0,(F1720/E1720)*1000,""),"")</f>
        <v/>
      </c>
      <c r="H1720" s="139">
        <f>IFERROR(IF(E1720&gt;0,E1720*IF(ISNUMBER(J1720),J1720,IF(C1720="Futures",$C$6,$C$5)),""),"")</f>
        <v/>
      </c>
      <c r="I1720" s="139">
        <f>IFERROR(IF(AND(ISNUMBER(F1720),ISNUMBER(H1720)),F1720-H1720,""),"")</f>
        <v/>
      </c>
      <c r="J1720" s="114" t="n"/>
      <c r="K1720" s="139">
        <f>IFERROR(IF(H1720&gt;0,H1720*$C$7,""),"")</f>
        <v/>
      </c>
      <c r="L1720" s="139">
        <f>IFERROR(IF(ISNUMBER(F1720),F1720-IF(ISNUMBER(K1720),K1720,0),""),"")</f>
        <v/>
      </c>
    </row>
    <row r="1721" ht="24" customHeight="1" s="63">
      <c r="E1721" s="139" t="n"/>
      <c r="F1721" s="139" t="n"/>
      <c r="G1721" s="140">
        <f>IFERROR(IF(E1721&gt;0,(F1721/E1721)*1000,""),"")</f>
        <v/>
      </c>
      <c r="H1721" s="139">
        <f>IFERROR(IF(E1721&gt;0,E1721*IF(ISNUMBER(J1721),J1721,IF(C1721="Futures",$C$6,$C$5)),""),"")</f>
        <v/>
      </c>
      <c r="I1721" s="139">
        <f>IFERROR(IF(AND(ISNUMBER(F1721),ISNUMBER(H1721)),F1721-H1721,""),"")</f>
        <v/>
      </c>
      <c r="J1721" s="114" t="n"/>
      <c r="K1721" s="139">
        <f>IFERROR(IF(H1721&gt;0,H1721*$C$7,""),"")</f>
        <v/>
      </c>
      <c r="L1721" s="139">
        <f>IFERROR(IF(ISNUMBER(F1721),F1721-IF(ISNUMBER(K1721),K1721,0),""),"")</f>
        <v/>
      </c>
    </row>
    <row r="1722" ht="24" customHeight="1" s="63">
      <c r="E1722" s="139" t="n"/>
      <c r="F1722" s="139" t="n"/>
      <c r="G1722" s="140">
        <f>IFERROR(IF(E1722&gt;0,(F1722/E1722)*1000,""),"")</f>
        <v/>
      </c>
      <c r="H1722" s="139">
        <f>IFERROR(IF(E1722&gt;0,E1722*IF(ISNUMBER(J1722),J1722,IF(C1722="Futures",$C$6,$C$5)),""),"")</f>
        <v/>
      </c>
      <c r="I1722" s="139">
        <f>IFERROR(IF(AND(ISNUMBER(F1722),ISNUMBER(H1722)),F1722-H1722,""),"")</f>
        <v/>
      </c>
      <c r="J1722" s="114" t="n"/>
      <c r="K1722" s="139">
        <f>IFERROR(IF(H1722&gt;0,H1722*$C$7,""),"")</f>
        <v/>
      </c>
      <c r="L1722" s="139">
        <f>IFERROR(IF(ISNUMBER(F1722),F1722-IF(ISNUMBER(K1722),K1722,0),""),"")</f>
        <v/>
      </c>
    </row>
    <row r="1723" ht="24" customHeight="1" s="63">
      <c r="E1723" s="139" t="n"/>
      <c r="F1723" s="139" t="n"/>
      <c r="G1723" s="140">
        <f>IFERROR(IF(E1723&gt;0,(F1723/E1723)*1000,""),"")</f>
        <v/>
      </c>
      <c r="H1723" s="139">
        <f>IFERROR(IF(E1723&gt;0,E1723*IF(ISNUMBER(J1723),J1723,IF(C1723="Futures",$C$6,$C$5)),""),"")</f>
        <v/>
      </c>
      <c r="I1723" s="139">
        <f>IFERROR(IF(AND(ISNUMBER(F1723),ISNUMBER(H1723)),F1723-H1723,""),"")</f>
        <v/>
      </c>
      <c r="J1723" s="114" t="n"/>
      <c r="K1723" s="139">
        <f>IFERROR(IF(H1723&gt;0,H1723*$C$7,""),"")</f>
        <v/>
      </c>
      <c r="L1723" s="139">
        <f>IFERROR(IF(ISNUMBER(F1723),F1723-IF(ISNUMBER(K1723),K1723,0),""),"")</f>
        <v/>
      </c>
    </row>
    <row r="1724" ht="24" customHeight="1" s="63">
      <c r="E1724" s="139" t="n"/>
      <c r="F1724" s="139" t="n"/>
      <c r="G1724" s="140">
        <f>IFERROR(IF(E1724&gt;0,(F1724/E1724)*1000,""),"")</f>
        <v/>
      </c>
      <c r="H1724" s="139">
        <f>IFERROR(IF(E1724&gt;0,E1724*IF(ISNUMBER(J1724),J1724,IF(C1724="Futures",$C$6,$C$5)),""),"")</f>
        <v/>
      </c>
      <c r="I1724" s="139">
        <f>IFERROR(IF(AND(ISNUMBER(F1724),ISNUMBER(H1724)),F1724-H1724,""),"")</f>
        <v/>
      </c>
      <c r="J1724" s="114" t="n"/>
      <c r="K1724" s="139">
        <f>IFERROR(IF(H1724&gt;0,H1724*$C$7,""),"")</f>
        <v/>
      </c>
      <c r="L1724" s="139">
        <f>IFERROR(IF(ISNUMBER(F1724),F1724-IF(ISNUMBER(K1724),K1724,0),""),"")</f>
        <v/>
      </c>
    </row>
    <row r="1725" ht="24" customHeight="1" s="63">
      <c r="E1725" s="139" t="n"/>
      <c r="F1725" s="139" t="n"/>
      <c r="G1725" s="140">
        <f>IFERROR(IF(E1725&gt;0,(F1725/E1725)*1000,""),"")</f>
        <v/>
      </c>
      <c r="H1725" s="139">
        <f>IFERROR(IF(E1725&gt;0,E1725*IF(ISNUMBER(J1725),J1725,IF(C1725="Futures",$C$6,$C$5)),""),"")</f>
        <v/>
      </c>
      <c r="I1725" s="139">
        <f>IFERROR(IF(AND(ISNUMBER(F1725),ISNUMBER(H1725)),F1725-H1725,""),"")</f>
        <v/>
      </c>
      <c r="J1725" s="114" t="n"/>
      <c r="K1725" s="139">
        <f>IFERROR(IF(H1725&gt;0,H1725*$C$7,""),"")</f>
        <v/>
      </c>
      <c r="L1725" s="139">
        <f>IFERROR(IF(ISNUMBER(F1725),F1725-IF(ISNUMBER(K1725),K1725,0),""),"")</f>
        <v/>
      </c>
    </row>
    <row r="1726" ht="24" customHeight="1" s="63">
      <c r="E1726" s="139" t="n"/>
      <c r="F1726" s="139" t="n"/>
      <c r="G1726" s="140">
        <f>IFERROR(IF(E1726&gt;0,(F1726/E1726)*1000,""),"")</f>
        <v/>
      </c>
      <c r="H1726" s="139">
        <f>IFERROR(IF(E1726&gt;0,E1726*IF(ISNUMBER(J1726),J1726,IF(C1726="Futures",$C$6,$C$5)),""),"")</f>
        <v/>
      </c>
      <c r="I1726" s="139">
        <f>IFERROR(IF(AND(ISNUMBER(F1726),ISNUMBER(H1726)),F1726-H1726,""),"")</f>
        <v/>
      </c>
      <c r="J1726" s="114" t="n"/>
      <c r="K1726" s="139">
        <f>IFERROR(IF(H1726&gt;0,H1726*$C$7,""),"")</f>
        <v/>
      </c>
      <c r="L1726" s="139">
        <f>IFERROR(IF(ISNUMBER(F1726),F1726-IF(ISNUMBER(K1726),K1726,0),""),"")</f>
        <v/>
      </c>
    </row>
    <row r="1727" ht="24" customHeight="1" s="63">
      <c r="E1727" s="139" t="n"/>
      <c r="F1727" s="139" t="n"/>
      <c r="G1727" s="140">
        <f>IFERROR(IF(E1727&gt;0,(F1727/E1727)*1000,""),"")</f>
        <v/>
      </c>
      <c r="H1727" s="139">
        <f>IFERROR(IF(E1727&gt;0,E1727*IF(ISNUMBER(J1727),J1727,IF(C1727="Futures",$C$6,$C$5)),""),"")</f>
        <v/>
      </c>
      <c r="I1727" s="139">
        <f>IFERROR(IF(AND(ISNUMBER(F1727),ISNUMBER(H1727)),F1727-H1727,""),"")</f>
        <v/>
      </c>
      <c r="J1727" s="114" t="n"/>
      <c r="K1727" s="139">
        <f>IFERROR(IF(H1727&gt;0,H1727*$C$7,""),"")</f>
        <v/>
      </c>
      <c r="L1727" s="139">
        <f>IFERROR(IF(ISNUMBER(F1727),F1727-IF(ISNUMBER(K1727),K1727,0),""),"")</f>
        <v/>
      </c>
    </row>
    <row r="1728" ht="24" customHeight="1" s="63">
      <c r="E1728" s="139" t="n"/>
      <c r="F1728" s="139" t="n"/>
      <c r="G1728" s="140">
        <f>IFERROR(IF(E1728&gt;0,(F1728/E1728)*1000,""),"")</f>
        <v/>
      </c>
      <c r="H1728" s="139">
        <f>IFERROR(IF(E1728&gt;0,E1728*IF(ISNUMBER(J1728),J1728,IF(C1728="Futures",$C$6,$C$5)),""),"")</f>
        <v/>
      </c>
      <c r="I1728" s="139">
        <f>IFERROR(IF(AND(ISNUMBER(F1728),ISNUMBER(H1728)),F1728-H1728,""),"")</f>
        <v/>
      </c>
      <c r="J1728" s="114" t="n"/>
      <c r="K1728" s="139">
        <f>IFERROR(IF(H1728&gt;0,H1728*$C$7,""),"")</f>
        <v/>
      </c>
      <c r="L1728" s="139">
        <f>IFERROR(IF(ISNUMBER(F1728),F1728-IF(ISNUMBER(K1728),K1728,0),""),"")</f>
        <v/>
      </c>
    </row>
    <row r="1729" ht="24" customHeight="1" s="63">
      <c r="E1729" s="139" t="n"/>
      <c r="F1729" s="139" t="n"/>
      <c r="G1729" s="140">
        <f>IFERROR(IF(E1729&gt;0,(F1729/E1729)*1000,""),"")</f>
        <v/>
      </c>
      <c r="H1729" s="139">
        <f>IFERROR(IF(E1729&gt;0,E1729*IF(ISNUMBER(J1729),J1729,IF(C1729="Futures",$C$6,$C$5)),""),"")</f>
        <v/>
      </c>
      <c r="I1729" s="139">
        <f>IFERROR(IF(AND(ISNUMBER(F1729),ISNUMBER(H1729)),F1729-H1729,""),"")</f>
        <v/>
      </c>
      <c r="J1729" s="114" t="n"/>
      <c r="K1729" s="139">
        <f>IFERROR(IF(H1729&gt;0,H1729*$C$7,""),"")</f>
        <v/>
      </c>
      <c r="L1729" s="139">
        <f>IFERROR(IF(ISNUMBER(F1729),F1729-IF(ISNUMBER(K1729),K1729,0),""),"")</f>
        <v/>
      </c>
    </row>
    <row r="1730" ht="24" customHeight="1" s="63">
      <c r="E1730" s="139" t="n"/>
      <c r="F1730" s="139" t="n"/>
      <c r="G1730" s="140">
        <f>IFERROR(IF(E1730&gt;0,(F1730/E1730)*1000,""),"")</f>
        <v/>
      </c>
      <c r="H1730" s="139">
        <f>IFERROR(IF(E1730&gt;0,E1730*IF(ISNUMBER(J1730),J1730,IF(C1730="Futures",$C$6,$C$5)),""),"")</f>
        <v/>
      </c>
      <c r="I1730" s="139">
        <f>IFERROR(IF(AND(ISNUMBER(F1730),ISNUMBER(H1730)),F1730-H1730,""),"")</f>
        <v/>
      </c>
      <c r="J1730" s="114" t="n"/>
      <c r="K1730" s="139">
        <f>IFERROR(IF(H1730&gt;0,H1730*$C$7,""),"")</f>
        <v/>
      </c>
      <c r="L1730" s="139">
        <f>IFERROR(IF(ISNUMBER(F1730),F1730-IF(ISNUMBER(K1730),K1730,0),""),"")</f>
        <v/>
      </c>
    </row>
    <row r="1731" ht="24" customHeight="1" s="63">
      <c r="E1731" s="139" t="n"/>
      <c r="F1731" s="139" t="n"/>
      <c r="G1731" s="140">
        <f>IFERROR(IF(E1731&gt;0,(F1731/E1731)*1000,""),"")</f>
        <v/>
      </c>
      <c r="H1731" s="139">
        <f>IFERROR(IF(E1731&gt;0,E1731*IF(ISNUMBER(J1731),J1731,IF(C1731="Futures",$C$6,$C$5)),""),"")</f>
        <v/>
      </c>
      <c r="I1731" s="139">
        <f>IFERROR(IF(AND(ISNUMBER(F1731),ISNUMBER(H1731)),F1731-H1731,""),"")</f>
        <v/>
      </c>
      <c r="J1731" s="114" t="n"/>
      <c r="K1731" s="139">
        <f>IFERROR(IF(H1731&gt;0,H1731*$C$7,""),"")</f>
        <v/>
      </c>
      <c r="L1731" s="139">
        <f>IFERROR(IF(ISNUMBER(F1731),F1731-IF(ISNUMBER(K1731),K1731,0),""),"")</f>
        <v/>
      </c>
    </row>
    <row r="1732" ht="24" customHeight="1" s="63">
      <c r="E1732" s="139" t="n"/>
      <c r="F1732" s="139" t="n"/>
      <c r="G1732" s="140">
        <f>IFERROR(IF(E1732&gt;0,(F1732/E1732)*1000,""),"")</f>
        <v/>
      </c>
      <c r="H1732" s="139">
        <f>IFERROR(IF(E1732&gt;0,E1732*IF(ISNUMBER(J1732),J1732,IF(C1732="Futures",$C$6,$C$5)),""),"")</f>
        <v/>
      </c>
      <c r="I1732" s="139">
        <f>IFERROR(IF(AND(ISNUMBER(F1732),ISNUMBER(H1732)),F1732-H1732,""),"")</f>
        <v/>
      </c>
      <c r="J1732" s="114" t="n"/>
      <c r="K1732" s="139">
        <f>IFERROR(IF(H1732&gt;0,H1732*$C$7,""),"")</f>
        <v/>
      </c>
      <c r="L1732" s="139">
        <f>IFERROR(IF(ISNUMBER(F1732),F1732-IF(ISNUMBER(K1732),K1732,0),""),"")</f>
        <v/>
      </c>
    </row>
    <row r="1733" ht="24" customHeight="1" s="63">
      <c r="E1733" s="139" t="n"/>
      <c r="F1733" s="139" t="n"/>
      <c r="G1733" s="140">
        <f>IFERROR(IF(E1733&gt;0,(F1733/E1733)*1000,""),"")</f>
        <v/>
      </c>
      <c r="H1733" s="139">
        <f>IFERROR(IF(E1733&gt;0,E1733*IF(ISNUMBER(J1733),J1733,IF(C1733="Futures",$C$6,$C$5)),""),"")</f>
        <v/>
      </c>
      <c r="I1733" s="139">
        <f>IFERROR(IF(AND(ISNUMBER(F1733),ISNUMBER(H1733)),F1733-H1733,""),"")</f>
        <v/>
      </c>
      <c r="J1733" s="114" t="n"/>
      <c r="K1733" s="139">
        <f>IFERROR(IF(H1733&gt;0,H1733*$C$7,""),"")</f>
        <v/>
      </c>
      <c r="L1733" s="139">
        <f>IFERROR(IF(ISNUMBER(F1733),F1733-IF(ISNUMBER(K1733),K1733,0),""),"")</f>
        <v/>
      </c>
    </row>
    <row r="1734" ht="24" customHeight="1" s="63">
      <c r="E1734" s="139" t="n"/>
      <c r="F1734" s="139" t="n"/>
      <c r="G1734" s="140">
        <f>IFERROR(IF(E1734&gt;0,(F1734/E1734)*1000,""),"")</f>
        <v/>
      </c>
      <c r="H1734" s="139">
        <f>IFERROR(IF(E1734&gt;0,E1734*IF(ISNUMBER(J1734),J1734,IF(C1734="Futures",$C$6,$C$5)),""),"")</f>
        <v/>
      </c>
      <c r="I1734" s="139">
        <f>IFERROR(IF(AND(ISNUMBER(F1734),ISNUMBER(H1734)),F1734-H1734,""),"")</f>
        <v/>
      </c>
      <c r="J1734" s="114" t="n"/>
      <c r="K1734" s="139">
        <f>IFERROR(IF(H1734&gt;0,H1734*$C$7,""),"")</f>
        <v/>
      </c>
      <c r="L1734" s="139">
        <f>IFERROR(IF(ISNUMBER(F1734),F1734-IF(ISNUMBER(K1734),K1734,0),""),"")</f>
        <v/>
      </c>
    </row>
    <row r="1735" ht="24" customHeight="1" s="63">
      <c r="E1735" s="139" t="n"/>
      <c r="F1735" s="139" t="n"/>
      <c r="G1735" s="140">
        <f>IFERROR(IF(E1735&gt;0,(F1735/E1735)*1000,""),"")</f>
        <v/>
      </c>
      <c r="H1735" s="139">
        <f>IFERROR(IF(E1735&gt;0,E1735*IF(ISNUMBER(J1735),J1735,IF(C1735="Futures",$C$6,$C$5)),""),"")</f>
        <v/>
      </c>
      <c r="I1735" s="139">
        <f>IFERROR(IF(AND(ISNUMBER(F1735),ISNUMBER(H1735)),F1735-H1735,""),"")</f>
        <v/>
      </c>
      <c r="J1735" s="114" t="n"/>
      <c r="K1735" s="139">
        <f>IFERROR(IF(H1735&gt;0,H1735*$C$7,""),"")</f>
        <v/>
      </c>
      <c r="L1735" s="139">
        <f>IFERROR(IF(ISNUMBER(F1735),F1735-IF(ISNUMBER(K1735),K1735,0),""),"")</f>
        <v/>
      </c>
    </row>
    <row r="1736" ht="24" customHeight="1" s="63">
      <c r="E1736" s="139" t="n"/>
      <c r="F1736" s="139" t="n"/>
      <c r="G1736" s="140">
        <f>IFERROR(IF(E1736&gt;0,(F1736/E1736)*1000,""),"")</f>
        <v/>
      </c>
      <c r="H1736" s="139">
        <f>IFERROR(IF(E1736&gt;0,E1736*IF(ISNUMBER(J1736),J1736,IF(C1736="Futures",$C$6,$C$5)),""),"")</f>
        <v/>
      </c>
      <c r="I1736" s="139">
        <f>IFERROR(IF(AND(ISNUMBER(F1736),ISNUMBER(H1736)),F1736-H1736,""),"")</f>
        <v/>
      </c>
      <c r="J1736" s="114" t="n"/>
      <c r="K1736" s="139">
        <f>IFERROR(IF(H1736&gt;0,H1736*$C$7,""),"")</f>
        <v/>
      </c>
      <c r="L1736" s="139">
        <f>IFERROR(IF(ISNUMBER(F1736),F1736-IF(ISNUMBER(K1736),K1736,0),""),"")</f>
        <v/>
      </c>
    </row>
    <row r="1737" ht="24" customHeight="1" s="63">
      <c r="E1737" s="139" t="n"/>
      <c r="F1737" s="139" t="n"/>
      <c r="G1737" s="140">
        <f>IFERROR(IF(E1737&gt;0,(F1737/E1737)*1000,""),"")</f>
        <v/>
      </c>
      <c r="H1737" s="139">
        <f>IFERROR(IF(E1737&gt;0,E1737*IF(ISNUMBER(J1737),J1737,IF(C1737="Futures",$C$6,$C$5)),""),"")</f>
        <v/>
      </c>
      <c r="I1737" s="139">
        <f>IFERROR(IF(AND(ISNUMBER(F1737),ISNUMBER(H1737)),F1737-H1737,""),"")</f>
        <v/>
      </c>
      <c r="J1737" s="114" t="n"/>
      <c r="K1737" s="139">
        <f>IFERROR(IF(H1737&gt;0,H1737*$C$7,""),"")</f>
        <v/>
      </c>
      <c r="L1737" s="139">
        <f>IFERROR(IF(ISNUMBER(F1737),F1737-IF(ISNUMBER(K1737),K1737,0),""),"")</f>
        <v/>
      </c>
    </row>
    <row r="1738" ht="24" customHeight="1" s="63">
      <c r="E1738" s="139" t="n"/>
      <c r="F1738" s="139" t="n"/>
      <c r="G1738" s="140">
        <f>IFERROR(IF(E1738&gt;0,(F1738/E1738)*1000,""),"")</f>
        <v/>
      </c>
      <c r="H1738" s="139">
        <f>IFERROR(IF(E1738&gt;0,E1738*IF(ISNUMBER(J1738),J1738,IF(C1738="Futures",$C$6,$C$5)),""),"")</f>
        <v/>
      </c>
      <c r="I1738" s="139">
        <f>IFERROR(IF(AND(ISNUMBER(F1738),ISNUMBER(H1738)),F1738-H1738,""),"")</f>
        <v/>
      </c>
      <c r="J1738" s="114" t="n"/>
      <c r="K1738" s="139">
        <f>IFERROR(IF(H1738&gt;0,H1738*$C$7,""),"")</f>
        <v/>
      </c>
      <c r="L1738" s="139">
        <f>IFERROR(IF(ISNUMBER(F1738),F1738-IF(ISNUMBER(K1738),K1738,0),""),"")</f>
        <v/>
      </c>
    </row>
    <row r="1739" ht="24" customHeight="1" s="63">
      <c r="E1739" s="139" t="n"/>
      <c r="F1739" s="139" t="n"/>
      <c r="G1739" s="140">
        <f>IFERROR(IF(E1739&gt;0,(F1739/E1739)*1000,""),"")</f>
        <v/>
      </c>
      <c r="H1739" s="139">
        <f>IFERROR(IF(E1739&gt;0,E1739*IF(ISNUMBER(J1739),J1739,IF(C1739="Futures",$C$6,$C$5)),""),"")</f>
        <v/>
      </c>
      <c r="I1739" s="139">
        <f>IFERROR(IF(AND(ISNUMBER(F1739),ISNUMBER(H1739)),F1739-H1739,""),"")</f>
        <v/>
      </c>
      <c r="J1739" s="114" t="n"/>
      <c r="K1739" s="139">
        <f>IFERROR(IF(H1739&gt;0,H1739*$C$7,""),"")</f>
        <v/>
      </c>
      <c r="L1739" s="139">
        <f>IFERROR(IF(ISNUMBER(F1739),F1739-IF(ISNUMBER(K1739),K1739,0),""),"")</f>
        <v/>
      </c>
    </row>
    <row r="1740" ht="24" customHeight="1" s="63">
      <c r="E1740" s="139" t="n"/>
      <c r="F1740" s="139" t="n"/>
      <c r="G1740" s="140">
        <f>IFERROR(IF(E1740&gt;0,(F1740/E1740)*1000,""),"")</f>
        <v/>
      </c>
      <c r="H1740" s="139">
        <f>IFERROR(IF(E1740&gt;0,E1740*IF(ISNUMBER(J1740),J1740,IF(C1740="Futures",$C$6,$C$5)),""),"")</f>
        <v/>
      </c>
      <c r="I1740" s="139">
        <f>IFERROR(IF(AND(ISNUMBER(F1740),ISNUMBER(H1740)),F1740-H1740,""),"")</f>
        <v/>
      </c>
      <c r="J1740" s="114" t="n"/>
      <c r="K1740" s="139">
        <f>IFERROR(IF(H1740&gt;0,H1740*$C$7,""),"")</f>
        <v/>
      </c>
      <c r="L1740" s="139">
        <f>IFERROR(IF(ISNUMBER(F1740),F1740-IF(ISNUMBER(K1740),K1740,0),""),"")</f>
        <v/>
      </c>
    </row>
    <row r="1741" ht="24" customHeight="1" s="63">
      <c r="E1741" s="139" t="n"/>
      <c r="F1741" s="139" t="n"/>
      <c r="G1741" s="140">
        <f>IFERROR(IF(E1741&gt;0,(F1741/E1741)*1000,""),"")</f>
        <v/>
      </c>
      <c r="H1741" s="139">
        <f>IFERROR(IF(E1741&gt;0,E1741*IF(ISNUMBER(J1741),J1741,IF(C1741="Futures",$C$6,$C$5)),""),"")</f>
        <v/>
      </c>
      <c r="I1741" s="139">
        <f>IFERROR(IF(AND(ISNUMBER(F1741),ISNUMBER(H1741)),F1741-H1741,""),"")</f>
        <v/>
      </c>
      <c r="J1741" s="114" t="n"/>
      <c r="K1741" s="139">
        <f>IFERROR(IF(H1741&gt;0,H1741*$C$7,""),"")</f>
        <v/>
      </c>
      <c r="L1741" s="139">
        <f>IFERROR(IF(ISNUMBER(F1741),F1741-IF(ISNUMBER(K1741),K1741,0),""),"")</f>
        <v/>
      </c>
    </row>
    <row r="1742" ht="24" customHeight="1" s="63">
      <c r="E1742" s="139" t="n"/>
      <c r="F1742" s="139" t="n"/>
      <c r="G1742" s="140">
        <f>IFERROR(IF(E1742&gt;0,(F1742/E1742)*1000,""),"")</f>
        <v/>
      </c>
      <c r="H1742" s="139">
        <f>IFERROR(IF(E1742&gt;0,E1742*IF(ISNUMBER(J1742),J1742,IF(C1742="Futures",$C$6,$C$5)),""),"")</f>
        <v/>
      </c>
      <c r="I1742" s="139">
        <f>IFERROR(IF(AND(ISNUMBER(F1742),ISNUMBER(H1742)),F1742-H1742,""),"")</f>
        <v/>
      </c>
      <c r="J1742" s="114" t="n"/>
      <c r="K1742" s="139">
        <f>IFERROR(IF(H1742&gt;0,H1742*$C$7,""),"")</f>
        <v/>
      </c>
      <c r="L1742" s="139">
        <f>IFERROR(IF(ISNUMBER(F1742),F1742-IF(ISNUMBER(K1742),K1742,0),""),"")</f>
        <v/>
      </c>
    </row>
    <row r="1743" ht="24" customHeight="1" s="63">
      <c r="E1743" s="139" t="n"/>
      <c r="F1743" s="139" t="n"/>
      <c r="G1743" s="140">
        <f>IFERROR(IF(E1743&gt;0,(F1743/E1743)*1000,""),"")</f>
        <v/>
      </c>
      <c r="H1743" s="139">
        <f>IFERROR(IF(E1743&gt;0,E1743*IF(ISNUMBER(J1743),J1743,IF(C1743="Futures",$C$6,$C$5)),""),"")</f>
        <v/>
      </c>
      <c r="I1743" s="139">
        <f>IFERROR(IF(AND(ISNUMBER(F1743),ISNUMBER(H1743)),F1743-H1743,""),"")</f>
        <v/>
      </c>
      <c r="J1743" s="114" t="n"/>
      <c r="K1743" s="139">
        <f>IFERROR(IF(H1743&gt;0,H1743*$C$7,""),"")</f>
        <v/>
      </c>
      <c r="L1743" s="139">
        <f>IFERROR(IF(ISNUMBER(F1743),F1743-IF(ISNUMBER(K1743),K1743,0),""),"")</f>
        <v/>
      </c>
    </row>
    <row r="1744" ht="24" customHeight="1" s="63">
      <c r="E1744" s="139" t="n"/>
      <c r="F1744" s="139" t="n"/>
      <c r="G1744" s="140">
        <f>IFERROR(IF(E1744&gt;0,(F1744/E1744)*1000,""),"")</f>
        <v/>
      </c>
      <c r="H1744" s="139">
        <f>IFERROR(IF(E1744&gt;0,E1744*IF(ISNUMBER(J1744),J1744,IF(C1744="Futures",$C$6,$C$5)),""),"")</f>
        <v/>
      </c>
      <c r="I1744" s="139">
        <f>IFERROR(IF(AND(ISNUMBER(F1744),ISNUMBER(H1744)),F1744-H1744,""),"")</f>
        <v/>
      </c>
      <c r="J1744" s="114" t="n"/>
      <c r="K1744" s="139">
        <f>IFERROR(IF(H1744&gt;0,H1744*$C$7,""),"")</f>
        <v/>
      </c>
      <c r="L1744" s="139">
        <f>IFERROR(IF(ISNUMBER(F1744),F1744-IF(ISNUMBER(K1744),K1744,0),""),"")</f>
        <v/>
      </c>
    </row>
    <row r="1745" ht="24" customHeight="1" s="63">
      <c r="E1745" s="139" t="n"/>
      <c r="F1745" s="139" t="n"/>
      <c r="G1745" s="140">
        <f>IFERROR(IF(E1745&gt;0,(F1745/E1745)*1000,""),"")</f>
        <v/>
      </c>
      <c r="H1745" s="139">
        <f>IFERROR(IF(E1745&gt;0,E1745*IF(ISNUMBER(J1745),J1745,IF(C1745="Futures",$C$6,$C$5)),""),"")</f>
        <v/>
      </c>
      <c r="I1745" s="139">
        <f>IFERROR(IF(AND(ISNUMBER(F1745),ISNUMBER(H1745)),F1745-H1745,""),"")</f>
        <v/>
      </c>
      <c r="J1745" s="114" t="n"/>
      <c r="K1745" s="139">
        <f>IFERROR(IF(H1745&gt;0,H1745*$C$7,""),"")</f>
        <v/>
      </c>
      <c r="L1745" s="139">
        <f>IFERROR(IF(ISNUMBER(F1745),F1745-IF(ISNUMBER(K1745),K1745,0),""),"")</f>
        <v/>
      </c>
    </row>
    <row r="1746" ht="24" customHeight="1" s="63">
      <c r="E1746" s="139" t="n"/>
      <c r="F1746" s="139" t="n"/>
      <c r="G1746" s="140">
        <f>IFERROR(IF(E1746&gt;0,(F1746/E1746)*1000,""),"")</f>
        <v/>
      </c>
      <c r="H1746" s="139">
        <f>IFERROR(IF(E1746&gt;0,E1746*IF(ISNUMBER(J1746),J1746,IF(C1746="Futures",$C$6,$C$5)),""),"")</f>
        <v/>
      </c>
      <c r="I1746" s="139">
        <f>IFERROR(IF(AND(ISNUMBER(F1746),ISNUMBER(H1746)),F1746-H1746,""),"")</f>
        <v/>
      </c>
      <c r="J1746" s="114" t="n"/>
      <c r="K1746" s="139">
        <f>IFERROR(IF(H1746&gt;0,H1746*$C$7,""),"")</f>
        <v/>
      </c>
      <c r="L1746" s="139">
        <f>IFERROR(IF(ISNUMBER(F1746),F1746-IF(ISNUMBER(K1746),K1746,0),""),"")</f>
        <v/>
      </c>
    </row>
    <row r="1747" ht="24" customHeight="1" s="63">
      <c r="E1747" s="139" t="n"/>
      <c r="F1747" s="139" t="n"/>
      <c r="G1747" s="140">
        <f>IFERROR(IF(E1747&gt;0,(F1747/E1747)*1000,""),"")</f>
        <v/>
      </c>
      <c r="H1747" s="139">
        <f>IFERROR(IF(E1747&gt;0,E1747*IF(ISNUMBER(J1747),J1747,IF(C1747="Futures",$C$6,$C$5)),""),"")</f>
        <v/>
      </c>
      <c r="I1747" s="139">
        <f>IFERROR(IF(AND(ISNUMBER(F1747),ISNUMBER(H1747)),F1747-H1747,""),"")</f>
        <v/>
      </c>
      <c r="J1747" s="114" t="n"/>
      <c r="K1747" s="139">
        <f>IFERROR(IF(H1747&gt;0,H1747*$C$7,""),"")</f>
        <v/>
      </c>
      <c r="L1747" s="139">
        <f>IFERROR(IF(ISNUMBER(F1747),F1747-IF(ISNUMBER(K1747),K1747,0),""),"")</f>
        <v/>
      </c>
    </row>
    <row r="1748" ht="24" customHeight="1" s="63">
      <c r="E1748" s="139" t="n"/>
      <c r="F1748" s="139" t="n"/>
      <c r="G1748" s="140">
        <f>IFERROR(IF(E1748&gt;0,(F1748/E1748)*1000,""),"")</f>
        <v/>
      </c>
      <c r="H1748" s="139">
        <f>IFERROR(IF(E1748&gt;0,E1748*IF(ISNUMBER(J1748),J1748,IF(C1748="Futures",$C$6,$C$5)),""),"")</f>
        <v/>
      </c>
      <c r="I1748" s="139">
        <f>IFERROR(IF(AND(ISNUMBER(F1748),ISNUMBER(H1748)),F1748-H1748,""),"")</f>
        <v/>
      </c>
      <c r="J1748" s="114" t="n"/>
      <c r="K1748" s="139">
        <f>IFERROR(IF(H1748&gt;0,H1748*$C$7,""),"")</f>
        <v/>
      </c>
      <c r="L1748" s="139">
        <f>IFERROR(IF(ISNUMBER(F1748),F1748-IF(ISNUMBER(K1748),K1748,0),""),"")</f>
        <v/>
      </c>
    </row>
    <row r="1749" ht="24" customHeight="1" s="63">
      <c r="E1749" s="139" t="n"/>
      <c r="F1749" s="139" t="n"/>
      <c r="G1749" s="140">
        <f>IFERROR(IF(E1749&gt;0,(F1749/E1749)*1000,""),"")</f>
        <v/>
      </c>
      <c r="H1749" s="139">
        <f>IFERROR(IF(E1749&gt;0,E1749*IF(ISNUMBER(J1749),J1749,IF(C1749="Futures",$C$6,$C$5)),""),"")</f>
        <v/>
      </c>
      <c r="I1749" s="139">
        <f>IFERROR(IF(AND(ISNUMBER(F1749),ISNUMBER(H1749)),F1749-H1749,""),"")</f>
        <v/>
      </c>
      <c r="J1749" s="114" t="n"/>
      <c r="K1749" s="139">
        <f>IFERROR(IF(H1749&gt;0,H1749*$C$7,""),"")</f>
        <v/>
      </c>
      <c r="L1749" s="139">
        <f>IFERROR(IF(ISNUMBER(F1749),F1749-IF(ISNUMBER(K1749),K1749,0),""),"")</f>
        <v/>
      </c>
    </row>
    <row r="1750" ht="24" customHeight="1" s="63">
      <c r="E1750" s="139" t="n"/>
      <c r="F1750" s="139" t="n"/>
      <c r="G1750" s="140">
        <f>IFERROR(IF(E1750&gt;0,(F1750/E1750)*1000,""),"")</f>
        <v/>
      </c>
      <c r="H1750" s="139">
        <f>IFERROR(IF(E1750&gt;0,E1750*IF(ISNUMBER(J1750),J1750,IF(C1750="Futures",$C$6,$C$5)),""),"")</f>
        <v/>
      </c>
      <c r="I1750" s="139">
        <f>IFERROR(IF(AND(ISNUMBER(F1750),ISNUMBER(H1750)),F1750-H1750,""),"")</f>
        <v/>
      </c>
      <c r="J1750" s="114" t="n"/>
      <c r="K1750" s="139">
        <f>IFERROR(IF(H1750&gt;0,H1750*$C$7,""),"")</f>
        <v/>
      </c>
      <c r="L1750" s="139">
        <f>IFERROR(IF(ISNUMBER(F1750),F1750-IF(ISNUMBER(K1750),K1750,0),""),"")</f>
        <v/>
      </c>
    </row>
    <row r="1751" ht="24" customHeight="1" s="63">
      <c r="E1751" s="139" t="n"/>
      <c r="F1751" s="139" t="n"/>
      <c r="G1751" s="140">
        <f>IFERROR(IF(E1751&gt;0,(F1751/E1751)*1000,""),"")</f>
        <v/>
      </c>
      <c r="H1751" s="139">
        <f>IFERROR(IF(E1751&gt;0,E1751*IF(ISNUMBER(J1751),J1751,IF(C1751="Futures",$C$6,$C$5)),""),"")</f>
        <v/>
      </c>
      <c r="I1751" s="139">
        <f>IFERROR(IF(AND(ISNUMBER(F1751),ISNUMBER(H1751)),F1751-H1751,""),"")</f>
        <v/>
      </c>
      <c r="J1751" s="114" t="n"/>
      <c r="K1751" s="139">
        <f>IFERROR(IF(H1751&gt;0,H1751*$C$7,""),"")</f>
        <v/>
      </c>
      <c r="L1751" s="139">
        <f>IFERROR(IF(ISNUMBER(F1751),F1751-IF(ISNUMBER(K1751),K1751,0),""),"")</f>
        <v/>
      </c>
    </row>
    <row r="1752" ht="24" customHeight="1" s="63">
      <c r="E1752" s="139" t="n"/>
      <c r="F1752" s="139" t="n"/>
      <c r="G1752" s="140">
        <f>IFERROR(IF(E1752&gt;0,(F1752/E1752)*1000,""),"")</f>
        <v/>
      </c>
      <c r="H1752" s="139">
        <f>IFERROR(IF(E1752&gt;0,E1752*IF(ISNUMBER(J1752),J1752,IF(C1752="Futures",$C$6,$C$5)),""),"")</f>
        <v/>
      </c>
      <c r="I1752" s="139">
        <f>IFERROR(IF(AND(ISNUMBER(F1752),ISNUMBER(H1752)),F1752-H1752,""),"")</f>
        <v/>
      </c>
      <c r="J1752" s="114" t="n"/>
      <c r="K1752" s="139">
        <f>IFERROR(IF(H1752&gt;0,H1752*$C$7,""),"")</f>
        <v/>
      </c>
      <c r="L1752" s="139">
        <f>IFERROR(IF(ISNUMBER(F1752),F1752-IF(ISNUMBER(K1752),K1752,0),""),"")</f>
        <v/>
      </c>
    </row>
    <row r="1753" ht="24" customHeight="1" s="63">
      <c r="E1753" s="139" t="n"/>
      <c r="F1753" s="139" t="n"/>
      <c r="G1753" s="140">
        <f>IFERROR(IF(E1753&gt;0,(F1753/E1753)*1000,""),"")</f>
        <v/>
      </c>
      <c r="H1753" s="139">
        <f>IFERROR(IF(E1753&gt;0,E1753*IF(ISNUMBER(J1753),J1753,IF(C1753="Futures",$C$6,$C$5)),""),"")</f>
        <v/>
      </c>
      <c r="I1753" s="139">
        <f>IFERROR(IF(AND(ISNUMBER(F1753),ISNUMBER(H1753)),F1753-H1753,""),"")</f>
        <v/>
      </c>
      <c r="J1753" s="114" t="n"/>
      <c r="K1753" s="139">
        <f>IFERROR(IF(H1753&gt;0,H1753*$C$7,""),"")</f>
        <v/>
      </c>
      <c r="L1753" s="139">
        <f>IFERROR(IF(ISNUMBER(F1753),F1753-IF(ISNUMBER(K1753),K1753,0),""),"")</f>
        <v/>
      </c>
    </row>
    <row r="1754" ht="24" customHeight="1" s="63">
      <c r="E1754" s="139" t="n"/>
      <c r="F1754" s="139" t="n"/>
      <c r="G1754" s="140">
        <f>IFERROR(IF(E1754&gt;0,(F1754/E1754)*1000,""),"")</f>
        <v/>
      </c>
      <c r="H1754" s="139">
        <f>IFERROR(IF(E1754&gt;0,E1754*IF(ISNUMBER(J1754),J1754,IF(C1754="Futures",$C$6,$C$5)),""),"")</f>
        <v/>
      </c>
      <c r="I1754" s="139">
        <f>IFERROR(IF(AND(ISNUMBER(F1754),ISNUMBER(H1754)),F1754-H1754,""),"")</f>
        <v/>
      </c>
      <c r="J1754" s="114" t="n"/>
      <c r="K1754" s="139">
        <f>IFERROR(IF(H1754&gt;0,H1754*$C$7,""),"")</f>
        <v/>
      </c>
      <c r="L1754" s="139">
        <f>IFERROR(IF(ISNUMBER(F1754),F1754-IF(ISNUMBER(K1754),K1754,0),""),"")</f>
        <v/>
      </c>
    </row>
    <row r="1755" ht="24" customHeight="1" s="63">
      <c r="E1755" s="139" t="n"/>
      <c r="F1755" s="139" t="n"/>
      <c r="G1755" s="140">
        <f>IFERROR(IF(E1755&gt;0,(F1755/E1755)*1000,""),"")</f>
        <v/>
      </c>
      <c r="H1755" s="139">
        <f>IFERROR(IF(E1755&gt;0,E1755*IF(ISNUMBER(J1755),J1755,IF(C1755="Futures",$C$6,$C$5)),""),"")</f>
        <v/>
      </c>
      <c r="I1755" s="139">
        <f>IFERROR(IF(AND(ISNUMBER(F1755),ISNUMBER(H1755)),F1755-H1755,""),"")</f>
        <v/>
      </c>
      <c r="J1755" s="114" t="n"/>
      <c r="K1755" s="139">
        <f>IFERROR(IF(H1755&gt;0,H1755*$C$7,""),"")</f>
        <v/>
      </c>
      <c r="L1755" s="139">
        <f>IFERROR(IF(ISNUMBER(F1755),F1755-IF(ISNUMBER(K1755),K1755,0),""),"")</f>
        <v/>
      </c>
    </row>
    <row r="1756" ht="24" customHeight="1" s="63">
      <c r="E1756" s="139" t="n"/>
      <c r="F1756" s="139" t="n"/>
      <c r="G1756" s="140">
        <f>IFERROR(IF(E1756&gt;0,(F1756/E1756)*1000,""),"")</f>
        <v/>
      </c>
      <c r="H1756" s="139">
        <f>IFERROR(IF(E1756&gt;0,E1756*IF(ISNUMBER(J1756),J1756,IF(C1756="Futures",$C$6,$C$5)),""),"")</f>
        <v/>
      </c>
      <c r="I1756" s="139">
        <f>IFERROR(IF(AND(ISNUMBER(F1756),ISNUMBER(H1756)),F1756-H1756,""),"")</f>
        <v/>
      </c>
      <c r="J1756" s="114" t="n"/>
      <c r="K1756" s="139">
        <f>IFERROR(IF(H1756&gt;0,H1756*$C$7,""),"")</f>
        <v/>
      </c>
      <c r="L1756" s="139">
        <f>IFERROR(IF(ISNUMBER(F1756),F1756-IF(ISNUMBER(K1756),K1756,0),""),"")</f>
        <v/>
      </c>
    </row>
    <row r="1757" ht="24" customHeight="1" s="63">
      <c r="E1757" s="139" t="n"/>
      <c r="F1757" s="139" t="n"/>
      <c r="G1757" s="140">
        <f>IFERROR(IF(E1757&gt;0,(F1757/E1757)*1000,""),"")</f>
        <v/>
      </c>
      <c r="H1757" s="139">
        <f>IFERROR(IF(E1757&gt;0,E1757*IF(ISNUMBER(J1757),J1757,IF(C1757="Futures",$C$6,$C$5)),""),"")</f>
        <v/>
      </c>
      <c r="I1757" s="139">
        <f>IFERROR(IF(AND(ISNUMBER(F1757),ISNUMBER(H1757)),F1757-H1757,""),"")</f>
        <v/>
      </c>
      <c r="J1757" s="114" t="n"/>
      <c r="K1757" s="139">
        <f>IFERROR(IF(H1757&gt;0,H1757*$C$7,""),"")</f>
        <v/>
      </c>
      <c r="L1757" s="139">
        <f>IFERROR(IF(ISNUMBER(F1757),F1757-IF(ISNUMBER(K1757),K1757,0),""),"")</f>
        <v/>
      </c>
    </row>
    <row r="1758" ht="24" customHeight="1" s="63">
      <c r="E1758" s="139" t="n"/>
      <c r="F1758" s="139" t="n"/>
      <c r="G1758" s="140">
        <f>IFERROR(IF(E1758&gt;0,(F1758/E1758)*1000,""),"")</f>
        <v/>
      </c>
      <c r="H1758" s="139">
        <f>IFERROR(IF(E1758&gt;0,E1758*IF(ISNUMBER(J1758),J1758,IF(C1758="Futures",$C$6,$C$5)),""),"")</f>
        <v/>
      </c>
      <c r="I1758" s="139">
        <f>IFERROR(IF(AND(ISNUMBER(F1758),ISNUMBER(H1758)),F1758-H1758,""),"")</f>
        <v/>
      </c>
      <c r="J1758" s="114" t="n"/>
      <c r="K1758" s="139">
        <f>IFERROR(IF(H1758&gt;0,H1758*$C$7,""),"")</f>
        <v/>
      </c>
      <c r="L1758" s="139">
        <f>IFERROR(IF(ISNUMBER(F1758),F1758-IF(ISNUMBER(K1758),K1758,0),""),"")</f>
        <v/>
      </c>
    </row>
    <row r="1759" ht="24" customHeight="1" s="63">
      <c r="E1759" s="139" t="n"/>
      <c r="F1759" s="139" t="n"/>
      <c r="G1759" s="140">
        <f>IFERROR(IF(E1759&gt;0,(F1759/E1759)*1000,""),"")</f>
        <v/>
      </c>
      <c r="H1759" s="139">
        <f>IFERROR(IF(E1759&gt;0,E1759*IF(ISNUMBER(J1759),J1759,IF(C1759="Futures",$C$6,$C$5)),""),"")</f>
        <v/>
      </c>
      <c r="I1759" s="139">
        <f>IFERROR(IF(AND(ISNUMBER(F1759),ISNUMBER(H1759)),F1759-H1759,""),"")</f>
        <v/>
      </c>
      <c r="J1759" s="114" t="n"/>
      <c r="K1759" s="139">
        <f>IFERROR(IF(H1759&gt;0,H1759*$C$7,""),"")</f>
        <v/>
      </c>
      <c r="L1759" s="139">
        <f>IFERROR(IF(ISNUMBER(F1759),F1759-IF(ISNUMBER(K1759),K1759,0),""),"")</f>
        <v/>
      </c>
    </row>
    <row r="1760" ht="24" customHeight="1" s="63">
      <c r="E1760" s="139" t="n"/>
      <c r="F1760" s="139" t="n"/>
      <c r="G1760" s="140">
        <f>IFERROR(IF(E1760&gt;0,(F1760/E1760)*1000,""),"")</f>
        <v/>
      </c>
      <c r="H1760" s="139">
        <f>IFERROR(IF(E1760&gt;0,E1760*IF(ISNUMBER(J1760),J1760,IF(C1760="Futures",$C$6,$C$5)),""),"")</f>
        <v/>
      </c>
      <c r="I1760" s="139">
        <f>IFERROR(IF(AND(ISNUMBER(F1760),ISNUMBER(H1760)),F1760-H1760,""),"")</f>
        <v/>
      </c>
      <c r="J1760" s="114" t="n"/>
      <c r="K1760" s="139">
        <f>IFERROR(IF(H1760&gt;0,H1760*$C$7,""),"")</f>
        <v/>
      </c>
      <c r="L1760" s="139">
        <f>IFERROR(IF(ISNUMBER(F1760),F1760-IF(ISNUMBER(K1760),K1760,0),""),"")</f>
        <v/>
      </c>
    </row>
    <row r="1761" ht="24" customHeight="1" s="63">
      <c r="E1761" s="139" t="n"/>
      <c r="F1761" s="139" t="n"/>
      <c r="G1761" s="140">
        <f>IFERROR(IF(E1761&gt;0,(F1761/E1761)*1000,""),"")</f>
        <v/>
      </c>
      <c r="H1761" s="139">
        <f>IFERROR(IF(E1761&gt;0,E1761*IF(ISNUMBER(J1761),J1761,IF(C1761="Futures",$C$6,$C$5)),""),"")</f>
        <v/>
      </c>
      <c r="I1761" s="139">
        <f>IFERROR(IF(AND(ISNUMBER(F1761),ISNUMBER(H1761)),F1761-H1761,""),"")</f>
        <v/>
      </c>
      <c r="J1761" s="114" t="n"/>
      <c r="K1761" s="139">
        <f>IFERROR(IF(H1761&gt;0,H1761*$C$7,""),"")</f>
        <v/>
      </c>
      <c r="L1761" s="139">
        <f>IFERROR(IF(ISNUMBER(F1761),F1761-IF(ISNUMBER(K1761),K1761,0),""),"")</f>
        <v/>
      </c>
    </row>
    <row r="1762" ht="24" customHeight="1" s="63">
      <c r="E1762" s="139" t="n"/>
      <c r="F1762" s="139" t="n"/>
      <c r="G1762" s="140">
        <f>IFERROR(IF(E1762&gt;0,(F1762/E1762)*1000,""),"")</f>
        <v/>
      </c>
      <c r="H1762" s="139">
        <f>IFERROR(IF(E1762&gt;0,E1762*IF(ISNUMBER(J1762),J1762,IF(C1762="Futures",$C$6,$C$5)),""),"")</f>
        <v/>
      </c>
      <c r="I1762" s="139">
        <f>IFERROR(IF(AND(ISNUMBER(F1762),ISNUMBER(H1762)),F1762-H1762,""),"")</f>
        <v/>
      </c>
      <c r="J1762" s="114" t="n"/>
      <c r="K1762" s="139">
        <f>IFERROR(IF(H1762&gt;0,H1762*$C$7,""),"")</f>
        <v/>
      </c>
      <c r="L1762" s="139">
        <f>IFERROR(IF(ISNUMBER(F1762),F1762-IF(ISNUMBER(K1762),K1762,0),""),"")</f>
        <v/>
      </c>
    </row>
    <row r="1763" ht="24" customHeight="1" s="63">
      <c r="E1763" s="139" t="n"/>
      <c r="F1763" s="139" t="n"/>
      <c r="G1763" s="140">
        <f>IFERROR(IF(E1763&gt;0,(F1763/E1763)*1000,""),"")</f>
        <v/>
      </c>
      <c r="H1763" s="139">
        <f>IFERROR(IF(E1763&gt;0,E1763*IF(ISNUMBER(J1763),J1763,IF(C1763="Futures",$C$6,$C$5)),""),"")</f>
        <v/>
      </c>
      <c r="I1763" s="139">
        <f>IFERROR(IF(AND(ISNUMBER(F1763),ISNUMBER(H1763)),F1763-H1763,""),"")</f>
        <v/>
      </c>
      <c r="J1763" s="114" t="n"/>
      <c r="K1763" s="139">
        <f>IFERROR(IF(H1763&gt;0,H1763*$C$7,""),"")</f>
        <v/>
      </c>
      <c r="L1763" s="139">
        <f>IFERROR(IF(ISNUMBER(F1763),F1763-IF(ISNUMBER(K1763),K1763,0),""),"")</f>
        <v/>
      </c>
    </row>
    <row r="1764" ht="24" customHeight="1" s="63">
      <c r="E1764" s="139" t="n"/>
      <c r="F1764" s="139" t="n"/>
      <c r="G1764" s="140">
        <f>IFERROR(IF(E1764&gt;0,(F1764/E1764)*1000,""),"")</f>
        <v/>
      </c>
      <c r="H1764" s="139">
        <f>IFERROR(IF(E1764&gt;0,E1764*IF(ISNUMBER(J1764),J1764,IF(C1764="Futures",$C$6,$C$5)),""),"")</f>
        <v/>
      </c>
      <c r="I1764" s="139">
        <f>IFERROR(IF(AND(ISNUMBER(F1764),ISNUMBER(H1764)),F1764-H1764,""),"")</f>
        <v/>
      </c>
      <c r="J1764" s="114" t="n"/>
      <c r="K1764" s="139">
        <f>IFERROR(IF(H1764&gt;0,H1764*$C$7,""),"")</f>
        <v/>
      </c>
      <c r="L1764" s="139">
        <f>IFERROR(IF(ISNUMBER(F1764),F1764-IF(ISNUMBER(K1764),K1764,0),""),"")</f>
        <v/>
      </c>
    </row>
    <row r="1765" ht="24" customHeight="1" s="63">
      <c r="E1765" s="139" t="n"/>
      <c r="F1765" s="139" t="n"/>
      <c r="G1765" s="140">
        <f>IFERROR(IF(E1765&gt;0,(F1765/E1765)*1000,""),"")</f>
        <v/>
      </c>
      <c r="H1765" s="139">
        <f>IFERROR(IF(E1765&gt;0,E1765*IF(ISNUMBER(J1765),J1765,IF(C1765="Futures",$C$6,$C$5)),""),"")</f>
        <v/>
      </c>
      <c r="I1765" s="139">
        <f>IFERROR(IF(AND(ISNUMBER(F1765),ISNUMBER(H1765)),F1765-H1765,""),"")</f>
        <v/>
      </c>
      <c r="J1765" s="114" t="n"/>
      <c r="K1765" s="139">
        <f>IFERROR(IF(H1765&gt;0,H1765*$C$7,""),"")</f>
        <v/>
      </c>
      <c r="L1765" s="139">
        <f>IFERROR(IF(ISNUMBER(F1765),F1765-IF(ISNUMBER(K1765),K1765,0),""),"")</f>
        <v/>
      </c>
    </row>
    <row r="1766" ht="24" customHeight="1" s="63">
      <c r="E1766" s="139" t="n"/>
      <c r="F1766" s="139" t="n"/>
      <c r="G1766" s="140">
        <f>IFERROR(IF(E1766&gt;0,(F1766/E1766)*1000,""),"")</f>
        <v/>
      </c>
      <c r="H1766" s="139">
        <f>IFERROR(IF(E1766&gt;0,E1766*IF(ISNUMBER(J1766),J1766,IF(C1766="Futures",$C$6,$C$5)),""),"")</f>
        <v/>
      </c>
      <c r="I1766" s="139">
        <f>IFERROR(IF(AND(ISNUMBER(F1766),ISNUMBER(H1766)),F1766-H1766,""),"")</f>
        <v/>
      </c>
      <c r="J1766" s="114" t="n"/>
      <c r="K1766" s="139">
        <f>IFERROR(IF(H1766&gt;0,H1766*$C$7,""),"")</f>
        <v/>
      </c>
      <c r="L1766" s="139">
        <f>IFERROR(IF(ISNUMBER(F1766),F1766-IF(ISNUMBER(K1766),K1766,0),""),"")</f>
        <v/>
      </c>
    </row>
    <row r="1767" ht="24" customHeight="1" s="63">
      <c r="E1767" s="139" t="n"/>
      <c r="F1767" s="139" t="n"/>
      <c r="G1767" s="140">
        <f>IFERROR(IF(E1767&gt;0,(F1767/E1767)*1000,""),"")</f>
        <v/>
      </c>
      <c r="H1767" s="139">
        <f>IFERROR(IF(E1767&gt;0,E1767*IF(ISNUMBER(J1767),J1767,IF(C1767="Futures",$C$6,$C$5)),""),"")</f>
        <v/>
      </c>
      <c r="I1767" s="139">
        <f>IFERROR(IF(AND(ISNUMBER(F1767),ISNUMBER(H1767)),F1767-H1767,""),"")</f>
        <v/>
      </c>
      <c r="J1767" s="114" t="n"/>
      <c r="K1767" s="139">
        <f>IFERROR(IF(H1767&gt;0,H1767*$C$7,""),"")</f>
        <v/>
      </c>
      <c r="L1767" s="139">
        <f>IFERROR(IF(ISNUMBER(F1767),F1767-IF(ISNUMBER(K1767),K1767,0),""),"")</f>
        <v/>
      </c>
    </row>
    <row r="1768" ht="24" customHeight="1" s="63">
      <c r="E1768" s="139" t="n"/>
      <c r="F1768" s="139" t="n"/>
      <c r="G1768" s="140">
        <f>IFERROR(IF(E1768&gt;0,(F1768/E1768)*1000,""),"")</f>
        <v/>
      </c>
      <c r="H1768" s="139">
        <f>IFERROR(IF(E1768&gt;0,E1768*IF(ISNUMBER(J1768),J1768,IF(C1768="Futures",$C$6,$C$5)),""),"")</f>
        <v/>
      </c>
      <c r="I1768" s="139">
        <f>IFERROR(IF(AND(ISNUMBER(F1768),ISNUMBER(H1768)),F1768-H1768,""),"")</f>
        <v/>
      </c>
      <c r="J1768" s="114" t="n"/>
      <c r="K1768" s="139">
        <f>IFERROR(IF(H1768&gt;0,H1768*$C$7,""),"")</f>
        <v/>
      </c>
      <c r="L1768" s="139">
        <f>IFERROR(IF(ISNUMBER(F1768),F1768-IF(ISNUMBER(K1768),K1768,0),""),"")</f>
        <v/>
      </c>
    </row>
    <row r="1769" ht="24" customHeight="1" s="63">
      <c r="E1769" s="139" t="n"/>
      <c r="F1769" s="139" t="n"/>
      <c r="G1769" s="140">
        <f>IFERROR(IF(E1769&gt;0,(F1769/E1769)*1000,""),"")</f>
        <v/>
      </c>
      <c r="H1769" s="139">
        <f>IFERROR(IF(E1769&gt;0,E1769*IF(ISNUMBER(J1769),J1769,IF(C1769="Futures",$C$6,$C$5)),""),"")</f>
        <v/>
      </c>
      <c r="I1769" s="139">
        <f>IFERROR(IF(AND(ISNUMBER(F1769),ISNUMBER(H1769)),F1769-H1769,""),"")</f>
        <v/>
      </c>
      <c r="J1769" s="114" t="n"/>
      <c r="K1769" s="139">
        <f>IFERROR(IF(H1769&gt;0,H1769*$C$7,""),"")</f>
        <v/>
      </c>
      <c r="L1769" s="139">
        <f>IFERROR(IF(ISNUMBER(F1769),F1769-IF(ISNUMBER(K1769),K1769,0),""),"")</f>
        <v/>
      </c>
    </row>
    <row r="1770" ht="24" customHeight="1" s="63">
      <c r="E1770" s="139" t="n"/>
      <c r="F1770" s="139" t="n"/>
      <c r="G1770" s="140">
        <f>IFERROR(IF(E1770&gt;0,(F1770/E1770)*1000,""),"")</f>
        <v/>
      </c>
      <c r="H1770" s="139">
        <f>IFERROR(IF(E1770&gt;0,E1770*IF(ISNUMBER(J1770),J1770,IF(C1770="Futures",$C$6,$C$5)),""),"")</f>
        <v/>
      </c>
      <c r="I1770" s="139">
        <f>IFERROR(IF(AND(ISNUMBER(F1770),ISNUMBER(H1770)),F1770-H1770,""),"")</f>
        <v/>
      </c>
      <c r="J1770" s="114" t="n"/>
      <c r="K1770" s="139">
        <f>IFERROR(IF(H1770&gt;0,H1770*$C$7,""),"")</f>
        <v/>
      </c>
      <c r="L1770" s="139">
        <f>IFERROR(IF(ISNUMBER(F1770),F1770-IF(ISNUMBER(K1770),K1770,0),""),"")</f>
        <v/>
      </c>
    </row>
    <row r="1771" ht="24" customHeight="1" s="63">
      <c r="E1771" s="139" t="n"/>
      <c r="F1771" s="139" t="n"/>
      <c r="G1771" s="140">
        <f>IFERROR(IF(E1771&gt;0,(F1771/E1771)*1000,""),"")</f>
        <v/>
      </c>
      <c r="H1771" s="139">
        <f>IFERROR(IF(E1771&gt;0,E1771*IF(ISNUMBER(J1771),J1771,IF(C1771="Futures",$C$6,$C$5)),""),"")</f>
        <v/>
      </c>
      <c r="I1771" s="139">
        <f>IFERROR(IF(AND(ISNUMBER(F1771),ISNUMBER(H1771)),F1771-H1771,""),"")</f>
        <v/>
      </c>
      <c r="J1771" s="114" t="n"/>
      <c r="K1771" s="139">
        <f>IFERROR(IF(H1771&gt;0,H1771*$C$7,""),"")</f>
        <v/>
      </c>
      <c r="L1771" s="139">
        <f>IFERROR(IF(ISNUMBER(F1771),F1771-IF(ISNUMBER(K1771),K1771,0),""),"")</f>
        <v/>
      </c>
    </row>
    <row r="1772" ht="24" customHeight="1" s="63">
      <c r="E1772" s="139" t="n"/>
      <c r="F1772" s="139" t="n"/>
      <c r="G1772" s="140">
        <f>IFERROR(IF(E1772&gt;0,(F1772/E1772)*1000,""),"")</f>
        <v/>
      </c>
      <c r="H1772" s="139">
        <f>IFERROR(IF(E1772&gt;0,E1772*IF(ISNUMBER(J1772),J1772,IF(C1772="Futures",$C$6,$C$5)),""),"")</f>
        <v/>
      </c>
      <c r="I1772" s="139">
        <f>IFERROR(IF(AND(ISNUMBER(F1772),ISNUMBER(H1772)),F1772-H1772,""),"")</f>
        <v/>
      </c>
      <c r="J1772" s="114" t="n"/>
      <c r="K1772" s="139">
        <f>IFERROR(IF(H1772&gt;0,H1772*$C$7,""),"")</f>
        <v/>
      </c>
      <c r="L1772" s="139">
        <f>IFERROR(IF(ISNUMBER(F1772),F1772-IF(ISNUMBER(K1772),K1772,0),""),"")</f>
        <v/>
      </c>
    </row>
    <row r="1773" ht="24" customHeight="1" s="63">
      <c r="E1773" s="139" t="n"/>
      <c r="F1773" s="139" t="n"/>
      <c r="G1773" s="140">
        <f>IFERROR(IF(E1773&gt;0,(F1773/E1773)*1000,""),"")</f>
        <v/>
      </c>
      <c r="H1773" s="139">
        <f>IFERROR(IF(E1773&gt;0,E1773*IF(ISNUMBER(J1773),J1773,IF(C1773="Futures",$C$6,$C$5)),""),"")</f>
        <v/>
      </c>
      <c r="I1773" s="139">
        <f>IFERROR(IF(AND(ISNUMBER(F1773),ISNUMBER(H1773)),F1773-H1773,""),"")</f>
        <v/>
      </c>
      <c r="J1773" s="114" t="n"/>
      <c r="K1773" s="139">
        <f>IFERROR(IF(H1773&gt;0,H1773*$C$7,""),"")</f>
        <v/>
      </c>
      <c r="L1773" s="139">
        <f>IFERROR(IF(ISNUMBER(F1773),F1773-IF(ISNUMBER(K1773),K1773,0),""),"")</f>
        <v/>
      </c>
    </row>
    <row r="1774" ht="24" customHeight="1" s="63">
      <c r="E1774" s="139" t="n"/>
      <c r="F1774" s="139" t="n"/>
      <c r="G1774" s="140">
        <f>IFERROR(IF(E1774&gt;0,(F1774/E1774)*1000,""),"")</f>
        <v/>
      </c>
      <c r="H1774" s="139">
        <f>IFERROR(IF(E1774&gt;0,E1774*IF(ISNUMBER(J1774),J1774,IF(C1774="Futures",$C$6,$C$5)),""),"")</f>
        <v/>
      </c>
      <c r="I1774" s="139">
        <f>IFERROR(IF(AND(ISNUMBER(F1774),ISNUMBER(H1774)),F1774-H1774,""),"")</f>
        <v/>
      </c>
      <c r="J1774" s="114" t="n"/>
      <c r="K1774" s="139">
        <f>IFERROR(IF(H1774&gt;0,H1774*$C$7,""),"")</f>
        <v/>
      </c>
      <c r="L1774" s="139">
        <f>IFERROR(IF(ISNUMBER(F1774),F1774-IF(ISNUMBER(K1774),K1774,0),""),"")</f>
        <v/>
      </c>
    </row>
    <row r="1775" ht="24" customHeight="1" s="63">
      <c r="E1775" s="139" t="n"/>
      <c r="F1775" s="139" t="n"/>
      <c r="G1775" s="140">
        <f>IFERROR(IF(E1775&gt;0,(F1775/E1775)*1000,""),"")</f>
        <v/>
      </c>
      <c r="H1775" s="139">
        <f>IFERROR(IF(E1775&gt;0,E1775*IF(ISNUMBER(J1775),J1775,IF(C1775="Futures",$C$6,$C$5)),""),"")</f>
        <v/>
      </c>
      <c r="I1775" s="139">
        <f>IFERROR(IF(AND(ISNUMBER(F1775),ISNUMBER(H1775)),F1775-H1775,""),"")</f>
        <v/>
      </c>
      <c r="J1775" s="114" t="n"/>
      <c r="K1775" s="139">
        <f>IFERROR(IF(H1775&gt;0,H1775*$C$7,""),"")</f>
        <v/>
      </c>
      <c r="L1775" s="139">
        <f>IFERROR(IF(ISNUMBER(F1775),F1775-IF(ISNUMBER(K1775),K1775,0),""),"")</f>
        <v/>
      </c>
    </row>
    <row r="1776" ht="24" customHeight="1" s="63">
      <c r="E1776" s="139" t="n"/>
      <c r="F1776" s="139" t="n"/>
      <c r="G1776" s="140">
        <f>IFERROR(IF(E1776&gt;0,(F1776/E1776)*1000,""),"")</f>
        <v/>
      </c>
      <c r="H1776" s="139">
        <f>IFERROR(IF(E1776&gt;0,E1776*IF(ISNUMBER(J1776),J1776,IF(C1776="Futures",$C$6,$C$5)),""),"")</f>
        <v/>
      </c>
      <c r="I1776" s="139">
        <f>IFERROR(IF(AND(ISNUMBER(F1776),ISNUMBER(H1776)),F1776-H1776,""),"")</f>
        <v/>
      </c>
      <c r="J1776" s="114" t="n"/>
      <c r="K1776" s="139">
        <f>IFERROR(IF(H1776&gt;0,H1776*$C$7,""),"")</f>
        <v/>
      </c>
      <c r="L1776" s="139">
        <f>IFERROR(IF(ISNUMBER(F1776),F1776-IF(ISNUMBER(K1776),K1776,0),""),"")</f>
        <v/>
      </c>
    </row>
    <row r="1777" ht="24" customHeight="1" s="63">
      <c r="E1777" s="139" t="n"/>
      <c r="F1777" s="139" t="n"/>
      <c r="G1777" s="140">
        <f>IFERROR(IF(E1777&gt;0,(F1777/E1777)*1000,""),"")</f>
        <v/>
      </c>
      <c r="H1777" s="139">
        <f>IFERROR(IF(E1777&gt;0,E1777*IF(ISNUMBER(J1777),J1777,IF(C1777="Futures",$C$6,$C$5)),""),"")</f>
        <v/>
      </c>
      <c r="I1777" s="139">
        <f>IFERROR(IF(AND(ISNUMBER(F1777),ISNUMBER(H1777)),F1777-H1777,""),"")</f>
        <v/>
      </c>
      <c r="J1777" s="114" t="n"/>
      <c r="K1777" s="139">
        <f>IFERROR(IF(H1777&gt;0,H1777*$C$7,""),"")</f>
        <v/>
      </c>
      <c r="L1777" s="139">
        <f>IFERROR(IF(ISNUMBER(F1777),F1777-IF(ISNUMBER(K1777),K1777,0),""),"")</f>
        <v/>
      </c>
    </row>
    <row r="1778" ht="24" customHeight="1" s="63">
      <c r="E1778" s="139" t="n"/>
      <c r="F1778" s="139" t="n"/>
      <c r="G1778" s="140">
        <f>IFERROR(IF(E1778&gt;0,(F1778/E1778)*1000,""),"")</f>
        <v/>
      </c>
      <c r="H1778" s="139">
        <f>IFERROR(IF(E1778&gt;0,E1778*IF(ISNUMBER(J1778),J1778,IF(C1778="Futures",$C$6,$C$5)),""),"")</f>
        <v/>
      </c>
      <c r="I1778" s="139">
        <f>IFERROR(IF(AND(ISNUMBER(F1778),ISNUMBER(H1778)),F1778-H1778,""),"")</f>
        <v/>
      </c>
      <c r="J1778" s="114" t="n"/>
      <c r="K1778" s="139">
        <f>IFERROR(IF(H1778&gt;0,H1778*$C$7,""),"")</f>
        <v/>
      </c>
      <c r="L1778" s="139">
        <f>IFERROR(IF(ISNUMBER(F1778),F1778-IF(ISNUMBER(K1778),K1778,0),""),"")</f>
        <v/>
      </c>
    </row>
    <row r="1779" ht="24" customHeight="1" s="63">
      <c r="E1779" s="139" t="n"/>
      <c r="F1779" s="139" t="n"/>
      <c r="G1779" s="140">
        <f>IFERROR(IF(E1779&gt;0,(F1779/E1779)*1000,""),"")</f>
        <v/>
      </c>
      <c r="H1779" s="139">
        <f>IFERROR(IF(E1779&gt;0,E1779*IF(ISNUMBER(J1779),J1779,IF(C1779="Futures",$C$6,$C$5)),""),"")</f>
        <v/>
      </c>
      <c r="I1779" s="139">
        <f>IFERROR(IF(AND(ISNUMBER(F1779),ISNUMBER(H1779)),F1779-H1779,""),"")</f>
        <v/>
      </c>
      <c r="J1779" s="114" t="n"/>
      <c r="K1779" s="139">
        <f>IFERROR(IF(H1779&gt;0,H1779*$C$7,""),"")</f>
        <v/>
      </c>
      <c r="L1779" s="139">
        <f>IFERROR(IF(ISNUMBER(F1779),F1779-IF(ISNUMBER(K1779),K1779,0),""),"")</f>
        <v/>
      </c>
    </row>
    <row r="1780" ht="24" customHeight="1" s="63">
      <c r="E1780" s="139" t="n"/>
      <c r="F1780" s="139" t="n"/>
      <c r="G1780" s="140">
        <f>IFERROR(IF(E1780&gt;0,(F1780/E1780)*1000,""),"")</f>
        <v/>
      </c>
      <c r="H1780" s="139">
        <f>IFERROR(IF(E1780&gt;0,E1780*IF(ISNUMBER(J1780),J1780,IF(C1780="Futures",$C$6,$C$5)),""),"")</f>
        <v/>
      </c>
      <c r="I1780" s="139">
        <f>IFERROR(IF(AND(ISNUMBER(F1780),ISNUMBER(H1780)),F1780-H1780,""),"")</f>
        <v/>
      </c>
      <c r="J1780" s="114" t="n"/>
      <c r="K1780" s="139">
        <f>IFERROR(IF(H1780&gt;0,H1780*$C$7,""),"")</f>
        <v/>
      </c>
      <c r="L1780" s="139">
        <f>IFERROR(IF(ISNUMBER(F1780),F1780-IF(ISNUMBER(K1780),K1780,0),""),"")</f>
        <v/>
      </c>
    </row>
    <row r="1781" ht="24" customHeight="1" s="63">
      <c r="E1781" s="139" t="n"/>
      <c r="F1781" s="139" t="n"/>
      <c r="G1781" s="140">
        <f>IFERROR(IF(E1781&gt;0,(F1781/E1781)*1000,""),"")</f>
        <v/>
      </c>
      <c r="H1781" s="139">
        <f>IFERROR(IF(E1781&gt;0,E1781*IF(ISNUMBER(J1781),J1781,IF(C1781="Futures",$C$6,$C$5)),""),"")</f>
        <v/>
      </c>
      <c r="I1781" s="139">
        <f>IFERROR(IF(AND(ISNUMBER(F1781),ISNUMBER(H1781)),F1781-H1781,""),"")</f>
        <v/>
      </c>
      <c r="J1781" s="114" t="n"/>
      <c r="K1781" s="139">
        <f>IFERROR(IF(H1781&gt;0,H1781*$C$7,""),"")</f>
        <v/>
      </c>
      <c r="L1781" s="139">
        <f>IFERROR(IF(ISNUMBER(F1781),F1781-IF(ISNUMBER(K1781),K1781,0),""),"")</f>
        <v/>
      </c>
    </row>
    <row r="1782" ht="24" customHeight="1" s="63">
      <c r="E1782" s="139" t="n"/>
      <c r="F1782" s="139" t="n"/>
      <c r="G1782" s="140">
        <f>IFERROR(IF(E1782&gt;0,(F1782/E1782)*1000,""),"")</f>
        <v/>
      </c>
      <c r="H1782" s="139">
        <f>IFERROR(IF(E1782&gt;0,E1782*IF(ISNUMBER(J1782),J1782,IF(C1782="Futures",$C$6,$C$5)),""),"")</f>
        <v/>
      </c>
      <c r="I1782" s="139">
        <f>IFERROR(IF(AND(ISNUMBER(F1782),ISNUMBER(H1782)),F1782-H1782,""),"")</f>
        <v/>
      </c>
      <c r="J1782" s="114" t="n"/>
      <c r="K1782" s="139">
        <f>IFERROR(IF(H1782&gt;0,H1782*$C$7,""),"")</f>
        <v/>
      </c>
      <c r="L1782" s="139">
        <f>IFERROR(IF(ISNUMBER(F1782),F1782-IF(ISNUMBER(K1782),K1782,0),""),"")</f>
        <v/>
      </c>
    </row>
    <row r="1783" ht="24" customHeight="1" s="63">
      <c r="E1783" s="139" t="n"/>
      <c r="F1783" s="139" t="n"/>
      <c r="G1783" s="140">
        <f>IFERROR(IF(E1783&gt;0,(F1783/E1783)*1000,""),"")</f>
        <v/>
      </c>
      <c r="H1783" s="139">
        <f>IFERROR(IF(E1783&gt;0,E1783*IF(ISNUMBER(J1783),J1783,IF(C1783="Futures",$C$6,$C$5)),""),"")</f>
        <v/>
      </c>
      <c r="I1783" s="139">
        <f>IFERROR(IF(AND(ISNUMBER(F1783),ISNUMBER(H1783)),F1783-H1783,""),"")</f>
        <v/>
      </c>
      <c r="J1783" s="114" t="n"/>
      <c r="K1783" s="139">
        <f>IFERROR(IF(H1783&gt;0,H1783*$C$7,""),"")</f>
        <v/>
      </c>
      <c r="L1783" s="139">
        <f>IFERROR(IF(ISNUMBER(F1783),F1783-IF(ISNUMBER(K1783),K1783,0),""),"")</f>
        <v/>
      </c>
    </row>
    <row r="1784" ht="24" customHeight="1" s="63">
      <c r="E1784" s="139" t="n"/>
      <c r="F1784" s="139" t="n"/>
      <c r="G1784" s="140">
        <f>IFERROR(IF(E1784&gt;0,(F1784/E1784)*1000,""),"")</f>
        <v/>
      </c>
      <c r="H1784" s="139">
        <f>IFERROR(IF(E1784&gt;0,E1784*IF(ISNUMBER(J1784),J1784,IF(C1784="Futures",$C$6,$C$5)),""),"")</f>
        <v/>
      </c>
      <c r="I1784" s="139">
        <f>IFERROR(IF(AND(ISNUMBER(F1784),ISNUMBER(H1784)),F1784-H1784,""),"")</f>
        <v/>
      </c>
      <c r="J1784" s="114" t="n"/>
      <c r="K1784" s="139">
        <f>IFERROR(IF(H1784&gt;0,H1784*$C$7,""),"")</f>
        <v/>
      </c>
      <c r="L1784" s="139">
        <f>IFERROR(IF(ISNUMBER(F1784),F1784-IF(ISNUMBER(K1784),K1784,0),""),"")</f>
        <v/>
      </c>
    </row>
    <row r="1785" ht="24" customHeight="1" s="63">
      <c r="E1785" s="139" t="n"/>
      <c r="F1785" s="139" t="n"/>
      <c r="G1785" s="140">
        <f>IFERROR(IF(E1785&gt;0,(F1785/E1785)*1000,""),"")</f>
        <v/>
      </c>
      <c r="H1785" s="139">
        <f>IFERROR(IF(E1785&gt;0,E1785*IF(ISNUMBER(J1785),J1785,IF(C1785="Futures",$C$6,$C$5)),""),"")</f>
        <v/>
      </c>
      <c r="I1785" s="139">
        <f>IFERROR(IF(AND(ISNUMBER(F1785),ISNUMBER(H1785)),F1785-H1785,""),"")</f>
        <v/>
      </c>
      <c r="J1785" s="114" t="n"/>
      <c r="K1785" s="139">
        <f>IFERROR(IF(H1785&gt;0,H1785*$C$7,""),"")</f>
        <v/>
      </c>
      <c r="L1785" s="139">
        <f>IFERROR(IF(ISNUMBER(F1785),F1785-IF(ISNUMBER(K1785),K1785,0),""),"")</f>
        <v/>
      </c>
    </row>
    <row r="1786" ht="24" customHeight="1" s="63">
      <c r="E1786" s="139" t="n"/>
      <c r="F1786" s="139" t="n"/>
      <c r="G1786" s="140">
        <f>IFERROR(IF(E1786&gt;0,(F1786/E1786)*1000,""),"")</f>
        <v/>
      </c>
      <c r="H1786" s="139">
        <f>IFERROR(IF(E1786&gt;0,E1786*IF(ISNUMBER(J1786),J1786,IF(C1786="Futures",$C$6,$C$5)),""),"")</f>
        <v/>
      </c>
      <c r="I1786" s="139">
        <f>IFERROR(IF(AND(ISNUMBER(F1786),ISNUMBER(H1786)),F1786-H1786,""),"")</f>
        <v/>
      </c>
      <c r="J1786" s="114" t="n"/>
      <c r="K1786" s="139">
        <f>IFERROR(IF(H1786&gt;0,H1786*$C$7,""),"")</f>
        <v/>
      </c>
      <c r="L1786" s="139">
        <f>IFERROR(IF(ISNUMBER(F1786),F1786-IF(ISNUMBER(K1786),K1786,0),""),"")</f>
        <v/>
      </c>
    </row>
    <row r="1787" ht="24" customHeight="1" s="63">
      <c r="E1787" s="139" t="n"/>
      <c r="F1787" s="139" t="n"/>
      <c r="G1787" s="140">
        <f>IFERROR(IF(E1787&gt;0,(F1787/E1787)*1000,""),"")</f>
        <v/>
      </c>
      <c r="H1787" s="139">
        <f>IFERROR(IF(E1787&gt;0,E1787*IF(ISNUMBER(J1787),J1787,IF(C1787="Futures",$C$6,$C$5)),""),"")</f>
        <v/>
      </c>
      <c r="I1787" s="139">
        <f>IFERROR(IF(AND(ISNUMBER(F1787),ISNUMBER(H1787)),F1787-H1787,""),"")</f>
        <v/>
      </c>
      <c r="J1787" s="114" t="n"/>
      <c r="K1787" s="139">
        <f>IFERROR(IF(H1787&gt;0,H1787*$C$7,""),"")</f>
        <v/>
      </c>
      <c r="L1787" s="139">
        <f>IFERROR(IF(ISNUMBER(F1787),F1787-IF(ISNUMBER(K1787),K1787,0),""),"")</f>
        <v/>
      </c>
    </row>
    <row r="1788" ht="24" customHeight="1" s="63">
      <c r="E1788" s="139" t="n"/>
      <c r="F1788" s="139" t="n"/>
      <c r="G1788" s="140">
        <f>IFERROR(IF(E1788&gt;0,(F1788/E1788)*1000,""),"")</f>
        <v/>
      </c>
      <c r="H1788" s="139">
        <f>IFERROR(IF(E1788&gt;0,E1788*IF(ISNUMBER(J1788),J1788,IF(C1788="Futures",$C$6,$C$5)),""),"")</f>
        <v/>
      </c>
      <c r="I1788" s="139">
        <f>IFERROR(IF(AND(ISNUMBER(F1788),ISNUMBER(H1788)),F1788-H1788,""),"")</f>
        <v/>
      </c>
      <c r="J1788" s="114" t="n"/>
      <c r="K1788" s="139">
        <f>IFERROR(IF(H1788&gt;0,H1788*$C$7,""),"")</f>
        <v/>
      </c>
      <c r="L1788" s="139">
        <f>IFERROR(IF(ISNUMBER(F1788),F1788-IF(ISNUMBER(K1788),K1788,0),""),"")</f>
        <v/>
      </c>
    </row>
    <row r="1789" ht="24" customHeight="1" s="63">
      <c r="E1789" s="139" t="n"/>
      <c r="F1789" s="139" t="n"/>
      <c r="G1789" s="140">
        <f>IFERROR(IF(E1789&gt;0,(F1789/E1789)*1000,""),"")</f>
        <v/>
      </c>
      <c r="H1789" s="139">
        <f>IFERROR(IF(E1789&gt;0,E1789*IF(ISNUMBER(J1789),J1789,IF(C1789="Futures",$C$6,$C$5)),""),"")</f>
        <v/>
      </c>
      <c r="I1789" s="139">
        <f>IFERROR(IF(AND(ISNUMBER(F1789),ISNUMBER(H1789)),F1789-H1789,""),"")</f>
        <v/>
      </c>
      <c r="J1789" s="114" t="n"/>
      <c r="K1789" s="139">
        <f>IFERROR(IF(H1789&gt;0,H1789*$C$7,""),"")</f>
        <v/>
      </c>
      <c r="L1789" s="139">
        <f>IFERROR(IF(ISNUMBER(F1789),F1789-IF(ISNUMBER(K1789),K1789,0),""),"")</f>
        <v/>
      </c>
    </row>
    <row r="1790" ht="24" customHeight="1" s="63">
      <c r="E1790" s="139" t="n"/>
      <c r="F1790" s="139" t="n"/>
      <c r="G1790" s="140">
        <f>IFERROR(IF(E1790&gt;0,(F1790/E1790)*1000,""),"")</f>
        <v/>
      </c>
      <c r="H1790" s="139">
        <f>IFERROR(IF(E1790&gt;0,E1790*IF(ISNUMBER(J1790),J1790,IF(C1790="Futures",$C$6,$C$5)),""),"")</f>
        <v/>
      </c>
      <c r="I1790" s="139">
        <f>IFERROR(IF(AND(ISNUMBER(F1790),ISNUMBER(H1790)),F1790-H1790,""),"")</f>
        <v/>
      </c>
      <c r="J1790" s="114" t="n"/>
      <c r="K1790" s="139">
        <f>IFERROR(IF(H1790&gt;0,H1790*$C$7,""),"")</f>
        <v/>
      </c>
      <c r="L1790" s="139">
        <f>IFERROR(IF(ISNUMBER(F1790),F1790-IF(ISNUMBER(K1790),K1790,0),""),"")</f>
        <v/>
      </c>
    </row>
    <row r="1791" ht="24" customHeight="1" s="63">
      <c r="E1791" s="139" t="n"/>
      <c r="F1791" s="139" t="n"/>
      <c r="G1791" s="140">
        <f>IFERROR(IF(E1791&gt;0,(F1791/E1791)*1000,""),"")</f>
        <v/>
      </c>
      <c r="H1791" s="139">
        <f>IFERROR(IF(E1791&gt;0,E1791*IF(ISNUMBER(J1791),J1791,IF(C1791="Futures",$C$6,$C$5)),""),"")</f>
        <v/>
      </c>
      <c r="I1791" s="139">
        <f>IFERROR(IF(AND(ISNUMBER(F1791),ISNUMBER(H1791)),F1791-H1791,""),"")</f>
        <v/>
      </c>
      <c r="J1791" s="114" t="n"/>
      <c r="K1791" s="139">
        <f>IFERROR(IF(H1791&gt;0,H1791*$C$7,""),"")</f>
        <v/>
      </c>
      <c r="L1791" s="139">
        <f>IFERROR(IF(ISNUMBER(F1791),F1791-IF(ISNUMBER(K1791),K1791,0),""),"")</f>
        <v/>
      </c>
    </row>
    <row r="1792" ht="24" customHeight="1" s="63">
      <c r="E1792" s="139" t="n"/>
      <c r="F1792" s="139" t="n"/>
      <c r="G1792" s="140">
        <f>IFERROR(IF(E1792&gt;0,(F1792/E1792)*1000,""),"")</f>
        <v/>
      </c>
      <c r="H1792" s="139">
        <f>IFERROR(IF(E1792&gt;0,E1792*IF(ISNUMBER(J1792),J1792,IF(C1792="Futures",$C$6,$C$5)),""),"")</f>
        <v/>
      </c>
      <c r="I1792" s="139">
        <f>IFERROR(IF(AND(ISNUMBER(F1792),ISNUMBER(H1792)),F1792-H1792,""),"")</f>
        <v/>
      </c>
      <c r="J1792" s="114" t="n"/>
      <c r="K1792" s="139">
        <f>IFERROR(IF(H1792&gt;0,H1792*$C$7,""),"")</f>
        <v/>
      </c>
      <c r="L1792" s="139">
        <f>IFERROR(IF(ISNUMBER(F1792),F1792-IF(ISNUMBER(K1792),K1792,0),""),"")</f>
        <v/>
      </c>
    </row>
    <row r="1793" ht="24" customHeight="1" s="63">
      <c r="E1793" s="139" t="n"/>
      <c r="F1793" s="139" t="n"/>
      <c r="G1793" s="140">
        <f>IFERROR(IF(E1793&gt;0,(F1793/E1793)*1000,""),"")</f>
        <v/>
      </c>
      <c r="H1793" s="139">
        <f>IFERROR(IF(E1793&gt;0,E1793*IF(ISNUMBER(J1793),J1793,IF(C1793="Futures",$C$6,$C$5)),""),"")</f>
        <v/>
      </c>
      <c r="I1793" s="139">
        <f>IFERROR(IF(AND(ISNUMBER(F1793),ISNUMBER(H1793)),F1793-H1793,""),"")</f>
        <v/>
      </c>
      <c r="J1793" s="114" t="n"/>
      <c r="K1793" s="139">
        <f>IFERROR(IF(H1793&gt;0,H1793*$C$7,""),"")</f>
        <v/>
      </c>
      <c r="L1793" s="139">
        <f>IFERROR(IF(ISNUMBER(F1793),F1793-IF(ISNUMBER(K1793),K1793,0),""),"")</f>
        <v/>
      </c>
    </row>
    <row r="1794" ht="24" customHeight="1" s="63">
      <c r="E1794" s="139" t="n"/>
      <c r="F1794" s="139" t="n"/>
      <c r="G1794" s="140">
        <f>IFERROR(IF(E1794&gt;0,(F1794/E1794)*1000,""),"")</f>
        <v/>
      </c>
      <c r="H1794" s="139">
        <f>IFERROR(IF(E1794&gt;0,E1794*IF(ISNUMBER(J1794),J1794,IF(C1794="Futures",$C$6,$C$5)),""),"")</f>
        <v/>
      </c>
      <c r="I1794" s="139">
        <f>IFERROR(IF(AND(ISNUMBER(F1794),ISNUMBER(H1794)),F1794-H1794,""),"")</f>
        <v/>
      </c>
      <c r="J1794" s="114" t="n"/>
      <c r="K1794" s="139">
        <f>IFERROR(IF(H1794&gt;0,H1794*$C$7,""),"")</f>
        <v/>
      </c>
      <c r="L1794" s="139">
        <f>IFERROR(IF(ISNUMBER(F1794),F1794-IF(ISNUMBER(K1794),K1794,0),""),"")</f>
        <v/>
      </c>
    </row>
    <row r="1795" ht="24" customHeight="1" s="63">
      <c r="E1795" s="139" t="n"/>
      <c r="F1795" s="139" t="n"/>
      <c r="G1795" s="140">
        <f>IFERROR(IF(E1795&gt;0,(F1795/E1795)*1000,""),"")</f>
        <v/>
      </c>
      <c r="H1795" s="139">
        <f>IFERROR(IF(E1795&gt;0,E1795*IF(ISNUMBER(J1795),J1795,IF(C1795="Futures",$C$6,$C$5)),""),"")</f>
        <v/>
      </c>
      <c r="I1795" s="139">
        <f>IFERROR(IF(AND(ISNUMBER(F1795),ISNUMBER(H1795)),F1795-H1795,""),"")</f>
        <v/>
      </c>
      <c r="J1795" s="114" t="n"/>
      <c r="K1795" s="139">
        <f>IFERROR(IF(H1795&gt;0,H1795*$C$7,""),"")</f>
        <v/>
      </c>
      <c r="L1795" s="139">
        <f>IFERROR(IF(ISNUMBER(F1795),F1795-IF(ISNUMBER(K1795),K1795,0),""),"")</f>
        <v/>
      </c>
    </row>
    <row r="1796" ht="24" customHeight="1" s="63">
      <c r="E1796" s="139" t="n"/>
      <c r="F1796" s="139" t="n"/>
      <c r="G1796" s="140">
        <f>IFERROR(IF(E1796&gt;0,(F1796/E1796)*1000,""),"")</f>
        <v/>
      </c>
      <c r="H1796" s="139">
        <f>IFERROR(IF(E1796&gt;0,E1796*IF(ISNUMBER(J1796),J1796,IF(C1796="Futures",$C$6,$C$5)),""),"")</f>
        <v/>
      </c>
      <c r="I1796" s="139">
        <f>IFERROR(IF(AND(ISNUMBER(F1796),ISNUMBER(H1796)),F1796-H1796,""),"")</f>
        <v/>
      </c>
      <c r="J1796" s="114" t="n"/>
      <c r="K1796" s="139">
        <f>IFERROR(IF(H1796&gt;0,H1796*$C$7,""),"")</f>
        <v/>
      </c>
      <c r="L1796" s="139">
        <f>IFERROR(IF(ISNUMBER(F1796),F1796-IF(ISNUMBER(K1796),K1796,0),""),"")</f>
        <v/>
      </c>
    </row>
    <row r="1797" ht="24" customHeight="1" s="63">
      <c r="E1797" s="139" t="n"/>
      <c r="F1797" s="139" t="n"/>
      <c r="G1797" s="140">
        <f>IFERROR(IF(E1797&gt;0,(F1797/E1797)*1000,""),"")</f>
        <v/>
      </c>
      <c r="H1797" s="139">
        <f>IFERROR(IF(E1797&gt;0,E1797*IF(ISNUMBER(J1797),J1797,IF(C1797="Futures",$C$6,$C$5)),""),"")</f>
        <v/>
      </c>
      <c r="I1797" s="139">
        <f>IFERROR(IF(AND(ISNUMBER(F1797),ISNUMBER(H1797)),F1797-H1797,""),"")</f>
        <v/>
      </c>
      <c r="J1797" s="114" t="n"/>
      <c r="K1797" s="139">
        <f>IFERROR(IF(H1797&gt;0,H1797*$C$7,""),"")</f>
        <v/>
      </c>
      <c r="L1797" s="139">
        <f>IFERROR(IF(ISNUMBER(F1797),F1797-IF(ISNUMBER(K1797),K1797,0),""),"")</f>
        <v/>
      </c>
    </row>
    <row r="1798" ht="24" customHeight="1" s="63">
      <c r="E1798" s="139" t="n"/>
      <c r="F1798" s="139" t="n"/>
      <c r="G1798" s="140">
        <f>IFERROR(IF(E1798&gt;0,(F1798/E1798)*1000,""),"")</f>
        <v/>
      </c>
      <c r="H1798" s="139">
        <f>IFERROR(IF(E1798&gt;0,E1798*IF(ISNUMBER(J1798),J1798,IF(C1798="Futures",$C$6,$C$5)),""),"")</f>
        <v/>
      </c>
      <c r="I1798" s="139">
        <f>IFERROR(IF(AND(ISNUMBER(F1798),ISNUMBER(H1798)),F1798-H1798,""),"")</f>
        <v/>
      </c>
      <c r="J1798" s="114" t="n"/>
      <c r="K1798" s="139">
        <f>IFERROR(IF(H1798&gt;0,H1798*$C$7,""),"")</f>
        <v/>
      </c>
      <c r="L1798" s="139">
        <f>IFERROR(IF(ISNUMBER(F1798),F1798-IF(ISNUMBER(K1798),K1798,0),""),"")</f>
        <v/>
      </c>
    </row>
    <row r="1799" ht="24" customHeight="1" s="63">
      <c r="E1799" s="139" t="n"/>
      <c r="F1799" s="139" t="n"/>
      <c r="G1799" s="140">
        <f>IFERROR(IF(E1799&gt;0,(F1799/E1799)*1000,""),"")</f>
        <v/>
      </c>
      <c r="H1799" s="139">
        <f>IFERROR(IF(E1799&gt;0,E1799*IF(ISNUMBER(J1799),J1799,IF(C1799="Futures",$C$6,$C$5)),""),"")</f>
        <v/>
      </c>
      <c r="I1799" s="139">
        <f>IFERROR(IF(AND(ISNUMBER(F1799),ISNUMBER(H1799)),F1799-H1799,""),"")</f>
        <v/>
      </c>
      <c r="J1799" s="114" t="n"/>
      <c r="K1799" s="139">
        <f>IFERROR(IF(H1799&gt;0,H1799*$C$7,""),"")</f>
        <v/>
      </c>
      <c r="L1799" s="139">
        <f>IFERROR(IF(ISNUMBER(F1799),F1799-IF(ISNUMBER(K1799),K1799,0),""),"")</f>
        <v/>
      </c>
    </row>
    <row r="1800" ht="24" customHeight="1" s="63">
      <c r="E1800" s="139" t="n"/>
      <c r="F1800" s="139" t="n"/>
      <c r="G1800" s="140">
        <f>IFERROR(IF(E1800&gt;0,(F1800/E1800)*1000,""),"")</f>
        <v/>
      </c>
      <c r="H1800" s="139">
        <f>IFERROR(IF(E1800&gt;0,E1800*IF(ISNUMBER(J1800),J1800,IF(C1800="Futures",$C$6,$C$5)),""),"")</f>
        <v/>
      </c>
      <c r="I1800" s="139">
        <f>IFERROR(IF(AND(ISNUMBER(F1800),ISNUMBER(H1800)),F1800-H1800,""),"")</f>
        <v/>
      </c>
      <c r="J1800" s="114" t="n"/>
      <c r="K1800" s="139">
        <f>IFERROR(IF(H1800&gt;0,H1800*$C$7,""),"")</f>
        <v/>
      </c>
      <c r="L1800" s="139">
        <f>IFERROR(IF(ISNUMBER(F1800),F1800-IF(ISNUMBER(K1800),K1800,0),""),"")</f>
        <v/>
      </c>
    </row>
    <row r="1801" ht="24" customHeight="1" s="63">
      <c r="E1801" s="139" t="n"/>
      <c r="F1801" s="139" t="n"/>
      <c r="G1801" s="140">
        <f>IFERROR(IF(E1801&gt;0,(F1801/E1801)*1000,""),"")</f>
        <v/>
      </c>
      <c r="H1801" s="139">
        <f>IFERROR(IF(E1801&gt;0,E1801*IF(ISNUMBER(J1801),J1801,IF(C1801="Futures",$C$6,$C$5)),""),"")</f>
        <v/>
      </c>
      <c r="I1801" s="139">
        <f>IFERROR(IF(AND(ISNUMBER(F1801),ISNUMBER(H1801)),F1801-H1801,""),"")</f>
        <v/>
      </c>
      <c r="J1801" s="114" t="n"/>
      <c r="K1801" s="139">
        <f>IFERROR(IF(H1801&gt;0,H1801*$C$7,""),"")</f>
        <v/>
      </c>
      <c r="L1801" s="139">
        <f>IFERROR(IF(ISNUMBER(F1801),F1801-IF(ISNUMBER(K1801),K1801,0),""),"")</f>
        <v/>
      </c>
    </row>
    <row r="1802" ht="24" customHeight="1" s="63">
      <c r="E1802" s="139" t="n"/>
      <c r="F1802" s="139" t="n"/>
      <c r="G1802" s="140">
        <f>IFERROR(IF(E1802&gt;0,(F1802/E1802)*1000,""),"")</f>
        <v/>
      </c>
      <c r="H1802" s="139">
        <f>IFERROR(IF(E1802&gt;0,E1802*IF(ISNUMBER(J1802),J1802,IF(C1802="Futures",$C$6,$C$5)),""),"")</f>
        <v/>
      </c>
      <c r="I1802" s="139">
        <f>IFERROR(IF(AND(ISNUMBER(F1802),ISNUMBER(H1802)),F1802-H1802,""),"")</f>
        <v/>
      </c>
      <c r="J1802" s="114" t="n"/>
      <c r="K1802" s="139">
        <f>IFERROR(IF(H1802&gt;0,H1802*$C$7,""),"")</f>
        <v/>
      </c>
      <c r="L1802" s="139">
        <f>IFERROR(IF(ISNUMBER(F1802),F1802-IF(ISNUMBER(K1802),K1802,0),""),"")</f>
        <v/>
      </c>
    </row>
    <row r="1803" ht="24" customHeight="1" s="63">
      <c r="E1803" s="139" t="n"/>
      <c r="F1803" s="139" t="n"/>
      <c r="G1803" s="140">
        <f>IFERROR(IF(E1803&gt;0,(F1803/E1803)*1000,""),"")</f>
        <v/>
      </c>
      <c r="H1803" s="139">
        <f>IFERROR(IF(E1803&gt;0,E1803*IF(ISNUMBER(J1803),J1803,IF(C1803="Futures",$C$6,$C$5)),""),"")</f>
        <v/>
      </c>
      <c r="I1803" s="139">
        <f>IFERROR(IF(AND(ISNUMBER(F1803),ISNUMBER(H1803)),F1803-H1803,""),"")</f>
        <v/>
      </c>
      <c r="J1803" s="114" t="n"/>
      <c r="K1803" s="139">
        <f>IFERROR(IF(H1803&gt;0,H1803*$C$7,""),"")</f>
        <v/>
      </c>
      <c r="L1803" s="139">
        <f>IFERROR(IF(ISNUMBER(F1803),F1803-IF(ISNUMBER(K1803),K1803,0),""),"")</f>
        <v/>
      </c>
    </row>
    <row r="1804" ht="24" customHeight="1" s="63">
      <c r="E1804" s="139" t="n"/>
      <c r="F1804" s="139" t="n"/>
      <c r="G1804" s="140">
        <f>IFERROR(IF(E1804&gt;0,(F1804/E1804)*1000,""),"")</f>
        <v/>
      </c>
      <c r="H1804" s="139">
        <f>IFERROR(IF(E1804&gt;0,E1804*IF(ISNUMBER(J1804),J1804,IF(C1804="Futures",$C$6,$C$5)),""),"")</f>
        <v/>
      </c>
      <c r="I1804" s="139">
        <f>IFERROR(IF(AND(ISNUMBER(F1804),ISNUMBER(H1804)),F1804-H1804,""),"")</f>
        <v/>
      </c>
      <c r="J1804" s="114" t="n"/>
      <c r="K1804" s="139">
        <f>IFERROR(IF(H1804&gt;0,H1804*$C$7,""),"")</f>
        <v/>
      </c>
      <c r="L1804" s="139">
        <f>IFERROR(IF(ISNUMBER(F1804),F1804-IF(ISNUMBER(K1804),K1804,0),""),"")</f>
        <v/>
      </c>
    </row>
    <row r="1805" ht="24" customHeight="1" s="63">
      <c r="E1805" s="139" t="n"/>
      <c r="F1805" s="139" t="n"/>
      <c r="G1805" s="140">
        <f>IFERROR(IF(E1805&gt;0,(F1805/E1805)*1000,""),"")</f>
        <v/>
      </c>
      <c r="H1805" s="139">
        <f>IFERROR(IF(E1805&gt;0,E1805*IF(ISNUMBER(J1805),J1805,IF(C1805="Futures",$C$6,$C$5)),""),"")</f>
        <v/>
      </c>
      <c r="I1805" s="139">
        <f>IFERROR(IF(AND(ISNUMBER(F1805),ISNUMBER(H1805)),F1805-H1805,""),"")</f>
        <v/>
      </c>
      <c r="J1805" s="114" t="n"/>
      <c r="K1805" s="139">
        <f>IFERROR(IF(H1805&gt;0,H1805*$C$7,""),"")</f>
        <v/>
      </c>
      <c r="L1805" s="139">
        <f>IFERROR(IF(ISNUMBER(F1805),F1805-IF(ISNUMBER(K1805),K1805,0),""),"")</f>
        <v/>
      </c>
    </row>
    <row r="1806" ht="24" customHeight="1" s="63">
      <c r="E1806" s="139" t="n"/>
      <c r="F1806" s="139" t="n"/>
      <c r="G1806" s="140">
        <f>IFERROR(IF(E1806&gt;0,(F1806/E1806)*1000,""),"")</f>
        <v/>
      </c>
      <c r="H1806" s="139">
        <f>IFERROR(IF(E1806&gt;0,E1806*IF(ISNUMBER(J1806),J1806,IF(C1806="Futures",$C$6,$C$5)),""),"")</f>
        <v/>
      </c>
      <c r="I1806" s="139">
        <f>IFERROR(IF(AND(ISNUMBER(F1806),ISNUMBER(H1806)),F1806-H1806,""),"")</f>
        <v/>
      </c>
      <c r="J1806" s="114" t="n"/>
      <c r="K1806" s="139">
        <f>IFERROR(IF(H1806&gt;0,H1806*$C$7,""),"")</f>
        <v/>
      </c>
      <c r="L1806" s="139">
        <f>IFERROR(IF(ISNUMBER(F1806),F1806-IF(ISNUMBER(K1806),K1806,0),""),"")</f>
        <v/>
      </c>
    </row>
    <row r="1807" ht="24" customHeight="1" s="63">
      <c r="E1807" s="139" t="n"/>
      <c r="F1807" s="139" t="n"/>
      <c r="G1807" s="140">
        <f>IFERROR(IF(E1807&gt;0,(F1807/E1807)*1000,""),"")</f>
        <v/>
      </c>
      <c r="H1807" s="139">
        <f>IFERROR(IF(E1807&gt;0,E1807*IF(ISNUMBER(J1807),J1807,IF(C1807="Futures",$C$6,$C$5)),""),"")</f>
        <v/>
      </c>
      <c r="I1807" s="139">
        <f>IFERROR(IF(AND(ISNUMBER(F1807),ISNUMBER(H1807)),F1807-H1807,""),"")</f>
        <v/>
      </c>
      <c r="J1807" s="114" t="n"/>
      <c r="K1807" s="139">
        <f>IFERROR(IF(H1807&gt;0,H1807*$C$7,""),"")</f>
        <v/>
      </c>
      <c r="L1807" s="139">
        <f>IFERROR(IF(ISNUMBER(F1807),F1807-IF(ISNUMBER(K1807),K1807,0),""),"")</f>
        <v/>
      </c>
    </row>
    <row r="1808" ht="24" customHeight="1" s="63">
      <c r="E1808" s="139" t="n"/>
      <c r="F1808" s="139" t="n"/>
      <c r="G1808" s="140">
        <f>IFERROR(IF(E1808&gt;0,(F1808/E1808)*1000,""),"")</f>
        <v/>
      </c>
      <c r="H1808" s="139">
        <f>IFERROR(IF(E1808&gt;0,E1808*IF(ISNUMBER(J1808),J1808,IF(C1808="Futures",$C$6,$C$5)),""),"")</f>
        <v/>
      </c>
      <c r="I1808" s="139">
        <f>IFERROR(IF(AND(ISNUMBER(F1808),ISNUMBER(H1808)),F1808-H1808,""),"")</f>
        <v/>
      </c>
      <c r="J1808" s="114" t="n"/>
      <c r="K1808" s="139">
        <f>IFERROR(IF(H1808&gt;0,H1808*$C$7,""),"")</f>
        <v/>
      </c>
      <c r="L1808" s="139">
        <f>IFERROR(IF(ISNUMBER(F1808),F1808-IF(ISNUMBER(K1808),K1808,0),""),"")</f>
        <v/>
      </c>
    </row>
    <row r="1809" ht="24" customHeight="1" s="63">
      <c r="E1809" s="139" t="n"/>
      <c r="F1809" s="139" t="n"/>
      <c r="G1809" s="140">
        <f>IFERROR(IF(E1809&gt;0,(F1809/E1809)*1000,""),"")</f>
        <v/>
      </c>
      <c r="H1809" s="139">
        <f>IFERROR(IF(E1809&gt;0,E1809*IF(ISNUMBER(J1809),J1809,IF(C1809="Futures",$C$6,$C$5)),""),"")</f>
        <v/>
      </c>
      <c r="I1809" s="139">
        <f>IFERROR(IF(AND(ISNUMBER(F1809),ISNUMBER(H1809)),F1809-H1809,""),"")</f>
        <v/>
      </c>
      <c r="J1809" s="114" t="n"/>
      <c r="K1809" s="139">
        <f>IFERROR(IF(H1809&gt;0,H1809*$C$7,""),"")</f>
        <v/>
      </c>
      <c r="L1809" s="139">
        <f>IFERROR(IF(ISNUMBER(F1809),F1809-IF(ISNUMBER(K1809),K1809,0),""),"")</f>
        <v/>
      </c>
    </row>
    <row r="1810" ht="24" customHeight="1" s="63">
      <c r="E1810" s="139" t="n"/>
      <c r="F1810" s="139" t="n"/>
      <c r="G1810" s="140">
        <f>IFERROR(IF(E1810&gt;0,(F1810/E1810)*1000,""),"")</f>
        <v/>
      </c>
      <c r="H1810" s="139">
        <f>IFERROR(IF(E1810&gt;0,E1810*IF(ISNUMBER(J1810),J1810,IF(C1810="Futures",$C$6,$C$5)),""),"")</f>
        <v/>
      </c>
      <c r="I1810" s="139">
        <f>IFERROR(IF(AND(ISNUMBER(F1810),ISNUMBER(H1810)),F1810-H1810,""),"")</f>
        <v/>
      </c>
      <c r="J1810" s="114" t="n"/>
      <c r="K1810" s="139">
        <f>IFERROR(IF(H1810&gt;0,H1810*$C$7,""),"")</f>
        <v/>
      </c>
      <c r="L1810" s="139">
        <f>IFERROR(IF(ISNUMBER(F1810),F1810-IF(ISNUMBER(K1810),K1810,0),""),"")</f>
        <v/>
      </c>
    </row>
    <row r="1811" ht="24" customHeight="1" s="63">
      <c r="E1811" s="139" t="n"/>
      <c r="F1811" s="139" t="n"/>
      <c r="G1811" s="140">
        <f>IFERROR(IF(E1811&gt;0,(F1811/E1811)*1000,""),"")</f>
        <v/>
      </c>
      <c r="H1811" s="139">
        <f>IFERROR(IF(E1811&gt;0,E1811*IF(ISNUMBER(J1811),J1811,IF(C1811="Futures",$C$6,$C$5)),""),"")</f>
        <v/>
      </c>
      <c r="I1811" s="139">
        <f>IFERROR(IF(AND(ISNUMBER(F1811),ISNUMBER(H1811)),F1811-H1811,""),"")</f>
        <v/>
      </c>
      <c r="J1811" s="114" t="n"/>
      <c r="K1811" s="139">
        <f>IFERROR(IF(H1811&gt;0,H1811*$C$7,""),"")</f>
        <v/>
      </c>
      <c r="L1811" s="139">
        <f>IFERROR(IF(ISNUMBER(F1811),F1811-IF(ISNUMBER(K1811),K1811,0),""),"")</f>
        <v/>
      </c>
    </row>
    <row r="1812" ht="24" customHeight="1" s="63">
      <c r="E1812" s="139" t="n"/>
      <c r="F1812" s="139" t="n"/>
      <c r="G1812" s="140">
        <f>IFERROR(IF(E1812&gt;0,(F1812/E1812)*1000,""),"")</f>
        <v/>
      </c>
      <c r="H1812" s="139">
        <f>IFERROR(IF(E1812&gt;0,E1812*IF(ISNUMBER(J1812),J1812,IF(C1812="Futures",$C$6,$C$5)),""),"")</f>
        <v/>
      </c>
      <c r="I1812" s="139">
        <f>IFERROR(IF(AND(ISNUMBER(F1812),ISNUMBER(H1812)),F1812-H1812,""),"")</f>
        <v/>
      </c>
      <c r="J1812" s="114" t="n"/>
      <c r="K1812" s="139">
        <f>IFERROR(IF(H1812&gt;0,H1812*$C$7,""),"")</f>
        <v/>
      </c>
      <c r="L1812" s="139">
        <f>IFERROR(IF(ISNUMBER(F1812),F1812-IF(ISNUMBER(K1812),K1812,0),""),"")</f>
        <v/>
      </c>
    </row>
    <row r="1813" ht="24" customHeight="1" s="63">
      <c r="E1813" s="139" t="n"/>
      <c r="F1813" s="139" t="n"/>
      <c r="G1813" s="140">
        <f>IFERROR(IF(E1813&gt;0,(F1813/E1813)*1000,""),"")</f>
        <v/>
      </c>
      <c r="H1813" s="139">
        <f>IFERROR(IF(E1813&gt;0,E1813*IF(ISNUMBER(J1813),J1813,IF(C1813="Futures",$C$6,$C$5)),""),"")</f>
        <v/>
      </c>
      <c r="I1813" s="139">
        <f>IFERROR(IF(AND(ISNUMBER(F1813),ISNUMBER(H1813)),F1813-H1813,""),"")</f>
        <v/>
      </c>
      <c r="J1813" s="114" t="n"/>
      <c r="K1813" s="139">
        <f>IFERROR(IF(H1813&gt;0,H1813*$C$7,""),"")</f>
        <v/>
      </c>
      <c r="L1813" s="139">
        <f>IFERROR(IF(ISNUMBER(F1813),F1813-IF(ISNUMBER(K1813),K1813,0),""),"")</f>
        <v/>
      </c>
    </row>
    <row r="1814" ht="24" customHeight="1" s="63">
      <c r="E1814" s="139" t="n"/>
      <c r="F1814" s="139" t="n"/>
      <c r="G1814" s="140">
        <f>IFERROR(IF(E1814&gt;0,(F1814/E1814)*1000,""),"")</f>
        <v/>
      </c>
      <c r="H1814" s="139">
        <f>IFERROR(IF(E1814&gt;0,E1814*IF(ISNUMBER(J1814),J1814,IF(C1814="Futures",$C$6,$C$5)),""),"")</f>
        <v/>
      </c>
      <c r="I1814" s="139">
        <f>IFERROR(IF(AND(ISNUMBER(F1814),ISNUMBER(H1814)),F1814-H1814,""),"")</f>
        <v/>
      </c>
      <c r="J1814" s="114" t="n"/>
      <c r="K1814" s="139">
        <f>IFERROR(IF(H1814&gt;0,H1814*$C$7,""),"")</f>
        <v/>
      </c>
      <c r="L1814" s="139">
        <f>IFERROR(IF(ISNUMBER(F1814),F1814-IF(ISNUMBER(K1814),K1814,0),""),"")</f>
        <v/>
      </c>
    </row>
    <row r="1815" ht="24" customHeight="1" s="63">
      <c r="E1815" s="139" t="n"/>
      <c r="F1815" s="139" t="n"/>
      <c r="G1815" s="140">
        <f>IFERROR(IF(E1815&gt;0,(F1815/E1815)*1000,""),"")</f>
        <v/>
      </c>
      <c r="H1815" s="139">
        <f>IFERROR(IF(E1815&gt;0,E1815*IF(ISNUMBER(J1815),J1815,IF(C1815="Futures",$C$6,$C$5)),""),"")</f>
        <v/>
      </c>
      <c r="I1815" s="139">
        <f>IFERROR(IF(AND(ISNUMBER(F1815),ISNUMBER(H1815)),F1815-H1815,""),"")</f>
        <v/>
      </c>
      <c r="J1815" s="114" t="n"/>
      <c r="K1815" s="139">
        <f>IFERROR(IF(H1815&gt;0,H1815*$C$7,""),"")</f>
        <v/>
      </c>
      <c r="L1815" s="139">
        <f>IFERROR(IF(ISNUMBER(F1815),F1815-IF(ISNUMBER(K1815),K1815,0),""),"")</f>
        <v/>
      </c>
    </row>
    <row r="1816" ht="24" customHeight="1" s="63">
      <c r="E1816" s="139" t="n"/>
      <c r="F1816" s="139" t="n"/>
      <c r="G1816" s="140">
        <f>IFERROR(IF(E1816&gt;0,(F1816/E1816)*1000,""),"")</f>
        <v/>
      </c>
      <c r="H1816" s="139">
        <f>IFERROR(IF(E1816&gt;0,E1816*IF(ISNUMBER(J1816),J1816,IF(C1816="Futures",$C$6,$C$5)),""),"")</f>
        <v/>
      </c>
      <c r="I1816" s="139">
        <f>IFERROR(IF(AND(ISNUMBER(F1816),ISNUMBER(H1816)),F1816-H1816,""),"")</f>
        <v/>
      </c>
      <c r="J1816" s="114" t="n"/>
      <c r="K1816" s="139">
        <f>IFERROR(IF(H1816&gt;0,H1816*$C$7,""),"")</f>
        <v/>
      </c>
      <c r="L1816" s="139">
        <f>IFERROR(IF(ISNUMBER(F1816),F1816-IF(ISNUMBER(K1816),K1816,0),""),"")</f>
        <v/>
      </c>
    </row>
    <row r="1817" ht="24" customHeight="1" s="63">
      <c r="E1817" s="139" t="n"/>
      <c r="F1817" s="139" t="n"/>
      <c r="G1817" s="140">
        <f>IFERROR(IF(E1817&gt;0,(F1817/E1817)*1000,""),"")</f>
        <v/>
      </c>
      <c r="H1817" s="139">
        <f>IFERROR(IF(E1817&gt;0,E1817*IF(ISNUMBER(J1817),J1817,IF(C1817="Futures",$C$6,$C$5)),""),"")</f>
        <v/>
      </c>
      <c r="I1817" s="139">
        <f>IFERROR(IF(AND(ISNUMBER(F1817),ISNUMBER(H1817)),F1817-H1817,""),"")</f>
        <v/>
      </c>
      <c r="J1817" s="114" t="n"/>
      <c r="K1817" s="139">
        <f>IFERROR(IF(H1817&gt;0,H1817*$C$7,""),"")</f>
        <v/>
      </c>
      <c r="L1817" s="139">
        <f>IFERROR(IF(ISNUMBER(F1817),F1817-IF(ISNUMBER(K1817),K1817,0),""),"")</f>
        <v/>
      </c>
    </row>
    <row r="1818" ht="24" customHeight="1" s="63">
      <c r="E1818" s="139" t="n"/>
      <c r="F1818" s="139" t="n"/>
      <c r="G1818" s="140">
        <f>IFERROR(IF(E1818&gt;0,(F1818/E1818)*1000,""),"")</f>
        <v/>
      </c>
      <c r="H1818" s="139">
        <f>IFERROR(IF(E1818&gt;0,E1818*IF(ISNUMBER(J1818),J1818,IF(C1818="Futures",$C$6,$C$5)),""),"")</f>
        <v/>
      </c>
      <c r="I1818" s="139">
        <f>IFERROR(IF(AND(ISNUMBER(F1818),ISNUMBER(H1818)),F1818-H1818,""),"")</f>
        <v/>
      </c>
      <c r="J1818" s="114" t="n"/>
      <c r="K1818" s="139">
        <f>IFERROR(IF(H1818&gt;0,H1818*$C$7,""),"")</f>
        <v/>
      </c>
      <c r="L1818" s="139">
        <f>IFERROR(IF(ISNUMBER(F1818),F1818-IF(ISNUMBER(K1818),K1818,0),""),"")</f>
        <v/>
      </c>
    </row>
    <row r="1819" ht="24" customHeight="1" s="63">
      <c r="E1819" s="139" t="n"/>
      <c r="F1819" s="139" t="n"/>
      <c r="G1819" s="140">
        <f>IFERROR(IF(E1819&gt;0,(F1819/E1819)*1000,""),"")</f>
        <v/>
      </c>
      <c r="H1819" s="139">
        <f>IFERROR(IF(E1819&gt;0,E1819*IF(ISNUMBER(J1819),J1819,IF(C1819="Futures",$C$6,$C$5)),""),"")</f>
        <v/>
      </c>
      <c r="I1819" s="139">
        <f>IFERROR(IF(AND(ISNUMBER(F1819),ISNUMBER(H1819)),F1819-H1819,""),"")</f>
        <v/>
      </c>
      <c r="J1819" s="114" t="n"/>
      <c r="K1819" s="139">
        <f>IFERROR(IF(H1819&gt;0,H1819*$C$7,""),"")</f>
        <v/>
      </c>
      <c r="L1819" s="139">
        <f>IFERROR(IF(ISNUMBER(F1819),F1819-IF(ISNUMBER(K1819),K1819,0),""),"")</f>
        <v/>
      </c>
    </row>
    <row r="1820" ht="24" customHeight="1" s="63">
      <c r="E1820" s="139" t="n"/>
      <c r="F1820" s="139" t="n"/>
      <c r="G1820" s="140">
        <f>IFERROR(IF(E1820&gt;0,(F1820/E1820)*1000,""),"")</f>
        <v/>
      </c>
      <c r="H1820" s="139">
        <f>IFERROR(IF(E1820&gt;0,E1820*IF(ISNUMBER(J1820),J1820,IF(C1820="Futures",$C$6,$C$5)),""),"")</f>
        <v/>
      </c>
      <c r="I1820" s="139">
        <f>IFERROR(IF(AND(ISNUMBER(F1820),ISNUMBER(H1820)),F1820-H1820,""),"")</f>
        <v/>
      </c>
      <c r="J1820" s="114" t="n"/>
      <c r="K1820" s="139">
        <f>IFERROR(IF(H1820&gt;0,H1820*$C$7,""),"")</f>
        <v/>
      </c>
      <c r="L1820" s="139">
        <f>IFERROR(IF(ISNUMBER(F1820),F1820-IF(ISNUMBER(K1820),K1820,0),""),"")</f>
        <v/>
      </c>
    </row>
    <row r="1821" ht="24" customHeight="1" s="63">
      <c r="E1821" s="139" t="n"/>
      <c r="F1821" s="139" t="n"/>
      <c r="G1821" s="140">
        <f>IFERROR(IF(E1821&gt;0,(F1821/E1821)*1000,""),"")</f>
        <v/>
      </c>
      <c r="H1821" s="139">
        <f>IFERROR(IF(E1821&gt;0,E1821*IF(ISNUMBER(J1821),J1821,IF(C1821="Futures",$C$6,$C$5)),""),"")</f>
        <v/>
      </c>
      <c r="I1821" s="139">
        <f>IFERROR(IF(AND(ISNUMBER(F1821),ISNUMBER(H1821)),F1821-H1821,""),"")</f>
        <v/>
      </c>
      <c r="J1821" s="114" t="n"/>
      <c r="K1821" s="139">
        <f>IFERROR(IF(H1821&gt;0,H1821*$C$7,""),"")</f>
        <v/>
      </c>
      <c r="L1821" s="139">
        <f>IFERROR(IF(ISNUMBER(F1821),F1821-IF(ISNUMBER(K1821),K1821,0),""),"")</f>
        <v/>
      </c>
    </row>
    <row r="1822" ht="24" customHeight="1" s="63">
      <c r="E1822" s="139" t="n"/>
      <c r="F1822" s="139" t="n"/>
      <c r="G1822" s="140">
        <f>IFERROR(IF(E1822&gt;0,(F1822/E1822)*1000,""),"")</f>
        <v/>
      </c>
      <c r="H1822" s="139">
        <f>IFERROR(IF(E1822&gt;0,E1822*IF(ISNUMBER(J1822),J1822,IF(C1822="Futures",$C$6,$C$5)),""),"")</f>
        <v/>
      </c>
      <c r="I1822" s="139">
        <f>IFERROR(IF(AND(ISNUMBER(F1822),ISNUMBER(H1822)),F1822-H1822,""),"")</f>
        <v/>
      </c>
      <c r="J1822" s="114" t="n"/>
      <c r="K1822" s="139">
        <f>IFERROR(IF(H1822&gt;0,H1822*$C$7,""),"")</f>
        <v/>
      </c>
      <c r="L1822" s="139">
        <f>IFERROR(IF(ISNUMBER(F1822),F1822-IF(ISNUMBER(K1822),K1822,0),""),"")</f>
        <v/>
      </c>
    </row>
    <row r="1823" ht="24" customHeight="1" s="63">
      <c r="E1823" s="139" t="n"/>
      <c r="F1823" s="139" t="n"/>
      <c r="G1823" s="140">
        <f>IFERROR(IF(E1823&gt;0,(F1823/E1823)*1000,""),"")</f>
        <v/>
      </c>
      <c r="H1823" s="139">
        <f>IFERROR(IF(E1823&gt;0,E1823*IF(ISNUMBER(J1823),J1823,IF(C1823="Futures",$C$6,$C$5)),""),"")</f>
        <v/>
      </c>
      <c r="I1823" s="139">
        <f>IFERROR(IF(AND(ISNUMBER(F1823),ISNUMBER(H1823)),F1823-H1823,""),"")</f>
        <v/>
      </c>
      <c r="J1823" s="114" t="n"/>
      <c r="K1823" s="139">
        <f>IFERROR(IF(H1823&gt;0,H1823*$C$7,""),"")</f>
        <v/>
      </c>
      <c r="L1823" s="139">
        <f>IFERROR(IF(ISNUMBER(F1823),F1823-IF(ISNUMBER(K1823),K1823,0),""),"")</f>
        <v/>
      </c>
    </row>
    <row r="1824" ht="24" customHeight="1" s="63">
      <c r="E1824" s="139" t="n"/>
      <c r="F1824" s="139" t="n"/>
      <c r="G1824" s="140">
        <f>IFERROR(IF(E1824&gt;0,(F1824/E1824)*1000,""),"")</f>
        <v/>
      </c>
      <c r="H1824" s="139">
        <f>IFERROR(IF(E1824&gt;0,E1824*IF(ISNUMBER(J1824),J1824,IF(C1824="Futures",$C$6,$C$5)),""),"")</f>
        <v/>
      </c>
      <c r="I1824" s="139">
        <f>IFERROR(IF(AND(ISNUMBER(F1824),ISNUMBER(H1824)),F1824-H1824,""),"")</f>
        <v/>
      </c>
      <c r="J1824" s="114" t="n"/>
      <c r="K1824" s="139">
        <f>IFERROR(IF(H1824&gt;0,H1824*$C$7,""),"")</f>
        <v/>
      </c>
      <c r="L1824" s="139">
        <f>IFERROR(IF(ISNUMBER(F1824),F1824-IF(ISNUMBER(K1824),K1824,0),""),"")</f>
        <v/>
      </c>
    </row>
    <row r="1825" ht="24" customHeight="1" s="63">
      <c r="E1825" s="139" t="n"/>
      <c r="F1825" s="139" t="n"/>
      <c r="G1825" s="140">
        <f>IFERROR(IF(E1825&gt;0,(F1825/E1825)*1000,""),"")</f>
        <v/>
      </c>
      <c r="H1825" s="139">
        <f>IFERROR(IF(E1825&gt;0,E1825*IF(ISNUMBER(J1825),J1825,IF(C1825="Futures",$C$6,$C$5)),""),"")</f>
        <v/>
      </c>
      <c r="I1825" s="139">
        <f>IFERROR(IF(AND(ISNUMBER(F1825),ISNUMBER(H1825)),F1825-H1825,""),"")</f>
        <v/>
      </c>
      <c r="J1825" s="114" t="n"/>
      <c r="K1825" s="139">
        <f>IFERROR(IF(H1825&gt;0,H1825*$C$7,""),"")</f>
        <v/>
      </c>
      <c r="L1825" s="139">
        <f>IFERROR(IF(ISNUMBER(F1825),F1825-IF(ISNUMBER(K1825),K1825,0),""),"")</f>
        <v/>
      </c>
    </row>
    <row r="1826" ht="24" customHeight="1" s="63">
      <c r="E1826" s="139" t="n"/>
      <c r="F1826" s="139" t="n"/>
      <c r="G1826" s="140">
        <f>IFERROR(IF(E1826&gt;0,(F1826/E1826)*1000,""),"")</f>
        <v/>
      </c>
      <c r="H1826" s="139">
        <f>IFERROR(IF(E1826&gt;0,E1826*IF(ISNUMBER(J1826),J1826,IF(C1826="Futures",$C$6,$C$5)),""),"")</f>
        <v/>
      </c>
      <c r="I1826" s="139">
        <f>IFERROR(IF(AND(ISNUMBER(F1826),ISNUMBER(H1826)),F1826-H1826,""),"")</f>
        <v/>
      </c>
      <c r="J1826" s="114" t="n"/>
      <c r="K1826" s="139">
        <f>IFERROR(IF(H1826&gt;0,H1826*$C$7,""),"")</f>
        <v/>
      </c>
      <c r="L1826" s="139">
        <f>IFERROR(IF(ISNUMBER(F1826),F1826-IF(ISNUMBER(K1826),K1826,0),""),"")</f>
        <v/>
      </c>
    </row>
    <row r="1827" ht="24" customHeight="1" s="63">
      <c r="E1827" s="139" t="n"/>
      <c r="F1827" s="139" t="n"/>
      <c r="G1827" s="140">
        <f>IFERROR(IF(E1827&gt;0,(F1827/E1827)*1000,""),"")</f>
        <v/>
      </c>
      <c r="H1827" s="139">
        <f>IFERROR(IF(E1827&gt;0,E1827*IF(ISNUMBER(J1827),J1827,IF(C1827="Futures",$C$6,$C$5)),""),"")</f>
        <v/>
      </c>
      <c r="I1827" s="139">
        <f>IFERROR(IF(AND(ISNUMBER(F1827),ISNUMBER(H1827)),F1827-H1827,""),"")</f>
        <v/>
      </c>
      <c r="J1827" s="114" t="n"/>
      <c r="K1827" s="139">
        <f>IFERROR(IF(H1827&gt;0,H1827*$C$7,""),"")</f>
        <v/>
      </c>
      <c r="L1827" s="139">
        <f>IFERROR(IF(ISNUMBER(F1827),F1827-IF(ISNUMBER(K1827),K1827,0),""),"")</f>
        <v/>
      </c>
    </row>
    <row r="1828" ht="24" customHeight="1" s="63">
      <c r="E1828" s="139" t="n"/>
      <c r="F1828" s="139" t="n"/>
      <c r="G1828" s="140">
        <f>IFERROR(IF(E1828&gt;0,(F1828/E1828)*1000,""),"")</f>
        <v/>
      </c>
      <c r="H1828" s="139">
        <f>IFERROR(IF(E1828&gt;0,E1828*IF(ISNUMBER(J1828),J1828,IF(C1828="Futures",$C$6,$C$5)),""),"")</f>
        <v/>
      </c>
      <c r="I1828" s="139">
        <f>IFERROR(IF(AND(ISNUMBER(F1828),ISNUMBER(H1828)),F1828-H1828,""),"")</f>
        <v/>
      </c>
      <c r="J1828" s="114" t="n"/>
      <c r="K1828" s="139">
        <f>IFERROR(IF(H1828&gt;0,H1828*$C$7,""),"")</f>
        <v/>
      </c>
      <c r="L1828" s="139">
        <f>IFERROR(IF(ISNUMBER(F1828),F1828-IF(ISNUMBER(K1828),K1828,0),""),"")</f>
        <v/>
      </c>
    </row>
    <row r="1829" ht="24" customHeight="1" s="63">
      <c r="E1829" s="139" t="n"/>
      <c r="F1829" s="139" t="n"/>
      <c r="G1829" s="140">
        <f>IFERROR(IF(E1829&gt;0,(F1829/E1829)*1000,""),"")</f>
        <v/>
      </c>
      <c r="H1829" s="139">
        <f>IFERROR(IF(E1829&gt;0,E1829*IF(ISNUMBER(J1829),J1829,IF(C1829="Futures",$C$6,$C$5)),""),"")</f>
        <v/>
      </c>
      <c r="I1829" s="139">
        <f>IFERROR(IF(AND(ISNUMBER(F1829),ISNUMBER(H1829)),F1829-H1829,""),"")</f>
        <v/>
      </c>
      <c r="J1829" s="114" t="n"/>
      <c r="K1829" s="139">
        <f>IFERROR(IF(H1829&gt;0,H1829*$C$7,""),"")</f>
        <v/>
      </c>
      <c r="L1829" s="139">
        <f>IFERROR(IF(ISNUMBER(F1829),F1829-IF(ISNUMBER(K1829),K1829,0),""),"")</f>
        <v/>
      </c>
    </row>
    <row r="1830" ht="24" customHeight="1" s="63">
      <c r="E1830" s="139" t="n"/>
      <c r="F1830" s="139" t="n"/>
      <c r="G1830" s="140">
        <f>IFERROR(IF(E1830&gt;0,(F1830/E1830)*1000,""),"")</f>
        <v/>
      </c>
      <c r="H1830" s="139">
        <f>IFERROR(IF(E1830&gt;0,E1830*IF(ISNUMBER(J1830),J1830,IF(C1830="Futures",$C$6,$C$5)),""),"")</f>
        <v/>
      </c>
      <c r="I1830" s="139">
        <f>IFERROR(IF(AND(ISNUMBER(F1830),ISNUMBER(H1830)),F1830-H1830,""),"")</f>
        <v/>
      </c>
      <c r="J1830" s="114" t="n"/>
      <c r="K1830" s="139">
        <f>IFERROR(IF(H1830&gt;0,H1830*$C$7,""),"")</f>
        <v/>
      </c>
      <c r="L1830" s="139">
        <f>IFERROR(IF(ISNUMBER(F1830),F1830-IF(ISNUMBER(K1830),K1830,0),""),"")</f>
        <v/>
      </c>
    </row>
    <row r="1831" ht="24" customHeight="1" s="63">
      <c r="E1831" s="139" t="n"/>
      <c r="F1831" s="139" t="n"/>
      <c r="G1831" s="140">
        <f>IFERROR(IF(E1831&gt;0,(F1831/E1831)*1000,""),"")</f>
        <v/>
      </c>
      <c r="H1831" s="139">
        <f>IFERROR(IF(E1831&gt;0,E1831*IF(ISNUMBER(J1831),J1831,IF(C1831="Futures",$C$6,$C$5)),""),"")</f>
        <v/>
      </c>
      <c r="I1831" s="139">
        <f>IFERROR(IF(AND(ISNUMBER(F1831),ISNUMBER(H1831)),F1831-H1831,""),"")</f>
        <v/>
      </c>
      <c r="J1831" s="114" t="n"/>
      <c r="K1831" s="139">
        <f>IFERROR(IF(H1831&gt;0,H1831*$C$7,""),"")</f>
        <v/>
      </c>
      <c r="L1831" s="139">
        <f>IFERROR(IF(ISNUMBER(F1831),F1831-IF(ISNUMBER(K1831),K1831,0),""),"")</f>
        <v/>
      </c>
    </row>
    <row r="1832" ht="24" customHeight="1" s="63">
      <c r="E1832" s="139" t="n"/>
      <c r="F1832" s="139" t="n"/>
      <c r="G1832" s="140">
        <f>IFERROR(IF(E1832&gt;0,(F1832/E1832)*1000,""),"")</f>
        <v/>
      </c>
      <c r="H1832" s="139">
        <f>IFERROR(IF(E1832&gt;0,E1832*IF(ISNUMBER(J1832),J1832,IF(C1832="Futures",$C$6,$C$5)),""),"")</f>
        <v/>
      </c>
      <c r="I1832" s="139">
        <f>IFERROR(IF(AND(ISNUMBER(F1832),ISNUMBER(H1832)),F1832-H1832,""),"")</f>
        <v/>
      </c>
      <c r="J1832" s="114" t="n"/>
      <c r="K1832" s="139">
        <f>IFERROR(IF(H1832&gt;0,H1832*$C$7,""),"")</f>
        <v/>
      </c>
      <c r="L1832" s="139">
        <f>IFERROR(IF(ISNUMBER(F1832),F1832-IF(ISNUMBER(K1832),K1832,0),""),"")</f>
        <v/>
      </c>
    </row>
    <row r="1833" ht="24" customHeight="1" s="63">
      <c r="E1833" s="139" t="n"/>
      <c r="F1833" s="139" t="n"/>
      <c r="G1833" s="140">
        <f>IFERROR(IF(E1833&gt;0,(F1833/E1833)*1000,""),"")</f>
        <v/>
      </c>
      <c r="H1833" s="139">
        <f>IFERROR(IF(E1833&gt;0,E1833*IF(ISNUMBER(J1833),J1833,IF(C1833="Futures",$C$6,$C$5)),""),"")</f>
        <v/>
      </c>
      <c r="I1833" s="139">
        <f>IFERROR(IF(AND(ISNUMBER(F1833),ISNUMBER(H1833)),F1833-H1833,""),"")</f>
        <v/>
      </c>
      <c r="J1833" s="114" t="n"/>
      <c r="K1833" s="139">
        <f>IFERROR(IF(H1833&gt;0,H1833*$C$7,""),"")</f>
        <v/>
      </c>
      <c r="L1833" s="139">
        <f>IFERROR(IF(ISNUMBER(F1833),F1833-IF(ISNUMBER(K1833),K1833,0),""),"")</f>
        <v/>
      </c>
    </row>
    <row r="1834" ht="24" customHeight="1" s="63">
      <c r="E1834" s="139" t="n"/>
      <c r="F1834" s="139" t="n"/>
      <c r="G1834" s="140">
        <f>IFERROR(IF(E1834&gt;0,(F1834/E1834)*1000,""),"")</f>
        <v/>
      </c>
      <c r="H1834" s="139">
        <f>IFERROR(IF(E1834&gt;0,E1834*IF(ISNUMBER(J1834),J1834,IF(C1834="Futures",$C$6,$C$5)),""),"")</f>
        <v/>
      </c>
      <c r="I1834" s="139">
        <f>IFERROR(IF(AND(ISNUMBER(F1834),ISNUMBER(H1834)),F1834-H1834,""),"")</f>
        <v/>
      </c>
      <c r="J1834" s="114" t="n"/>
      <c r="K1834" s="139">
        <f>IFERROR(IF(H1834&gt;0,H1834*$C$7,""),"")</f>
        <v/>
      </c>
      <c r="L1834" s="139">
        <f>IFERROR(IF(ISNUMBER(F1834),F1834-IF(ISNUMBER(K1834),K1834,0),""),"")</f>
        <v/>
      </c>
    </row>
    <row r="1835" ht="24" customHeight="1" s="63">
      <c r="E1835" s="139" t="n"/>
      <c r="F1835" s="139" t="n"/>
      <c r="G1835" s="140">
        <f>IFERROR(IF(E1835&gt;0,(F1835/E1835)*1000,""),"")</f>
        <v/>
      </c>
      <c r="H1835" s="139">
        <f>IFERROR(IF(E1835&gt;0,E1835*IF(ISNUMBER(J1835),J1835,IF(C1835="Futures",$C$6,$C$5)),""),"")</f>
        <v/>
      </c>
      <c r="I1835" s="139">
        <f>IFERROR(IF(AND(ISNUMBER(F1835),ISNUMBER(H1835)),F1835-H1835,""),"")</f>
        <v/>
      </c>
      <c r="J1835" s="114" t="n"/>
      <c r="K1835" s="139">
        <f>IFERROR(IF(H1835&gt;0,H1835*$C$7,""),"")</f>
        <v/>
      </c>
      <c r="L1835" s="139">
        <f>IFERROR(IF(ISNUMBER(F1835),F1835-IF(ISNUMBER(K1835),K1835,0),""),"")</f>
        <v/>
      </c>
    </row>
    <row r="1836" ht="24" customHeight="1" s="63">
      <c r="E1836" s="139" t="n"/>
      <c r="F1836" s="139" t="n"/>
      <c r="G1836" s="140">
        <f>IFERROR(IF(E1836&gt;0,(F1836/E1836)*1000,""),"")</f>
        <v/>
      </c>
      <c r="H1836" s="139">
        <f>IFERROR(IF(E1836&gt;0,E1836*IF(ISNUMBER(J1836),J1836,IF(C1836="Futures",$C$6,$C$5)),""),"")</f>
        <v/>
      </c>
      <c r="I1836" s="139">
        <f>IFERROR(IF(AND(ISNUMBER(F1836),ISNUMBER(H1836)),F1836-H1836,""),"")</f>
        <v/>
      </c>
      <c r="J1836" s="114" t="n"/>
      <c r="K1836" s="139">
        <f>IFERROR(IF(H1836&gt;0,H1836*$C$7,""),"")</f>
        <v/>
      </c>
      <c r="L1836" s="139">
        <f>IFERROR(IF(ISNUMBER(F1836),F1836-IF(ISNUMBER(K1836),K1836,0),""),"")</f>
        <v/>
      </c>
    </row>
    <row r="1837" ht="24" customHeight="1" s="63">
      <c r="E1837" s="139" t="n"/>
      <c r="F1837" s="139" t="n"/>
      <c r="G1837" s="140">
        <f>IFERROR(IF(E1837&gt;0,(F1837/E1837)*1000,""),"")</f>
        <v/>
      </c>
      <c r="H1837" s="139">
        <f>IFERROR(IF(E1837&gt;0,E1837*IF(ISNUMBER(J1837),J1837,IF(C1837="Futures",$C$6,$C$5)),""),"")</f>
        <v/>
      </c>
      <c r="I1837" s="139">
        <f>IFERROR(IF(AND(ISNUMBER(F1837),ISNUMBER(H1837)),F1837-H1837,""),"")</f>
        <v/>
      </c>
      <c r="J1837" s="114" t="n"/>
      <c r="K1837" s="139">
        <f>IFERROR(IF(H1837&gt;0,H1837*$C$7,""),"")</f>
        <v/>
      </c>
      <c r="L1837" s="139">
        <f>IFERROR(IF(ISNUMBER(F1837),F1837-IF(ISNUMBER(K1837),K1837,0),""),"")</f>
        <v/>
      </c>
    </row>
    <row r="1838" ht="24" customHeight="1" s="63">
      <c r="E1838" s="139" t="n"/>
      <c r="F1838" s="139" t="n"/>
      <c r="G1838" s="140">
        <f>IFERROR(IF(E1838&gt;0,(F1838/E1838)*1000,""),"")</f>
        <v/>
      </c>
      <c r="H1838" s="139">
        <f>IFERROR(IF(E1838&gt;0,E1838*IF(ISNUMBER(J1838),J1838,IF(C1838="Futures",$C$6,$C$5)),""),"")</f>
        <v/>
      </c>
      <c r="I1838" s="139">
        <f>IFERROR(IF(AND(ISNUMBER(F1838),ISNUMBER(H1838)),F1838-H1838,""),"")</f>
        <v/>
      </c>
      <c r="J1838" s="114" t="n"/>
      <c r="K1838" s="139">
        <f>IFERROR(IF(H1838&gt;0,H1838*$C$7,""),"")</f>
        <v/>
      </c>
      <c r="L1838" s="139">
        <f>IFERROR(IF(ISNUMBER(F1838),F1838-IF(ISNUMBER(K1838),K1838,0),""),"")</f>
        <v/>
      </c>
    </row>
    <row r="1839" ht="24" customHeight="1" s="63">
      <c r="E1839" s="139" t="n"/>
      <c r="F1839" s="139" t="n"/>
      <c r="G1839" s="140">
        <f>IFERROR(IF(E1839&gt;0,(F1839/E1839)*1000,""),"")</f>
        <v/>
      </c>
      <c r="H1839" s="139">
        <f>IFERROR(IF(E1839&gt;0,E1839*IF(ISNUMBER(J1839),J1839,IF(C1839="Futures",$C$6,$C$5)),""),"")</f>
        <v/>
      </c>
      <c r="I1839" s="139">
        <f>IFERROR(IF(AND(ISNUMBER(F1839),ISNUMBER(H1839)),F1839-H1839,""),"")</f>
        <v/>
      </c>
      <c r="J1839" s="114" t="n"/>
      <c r="K1839" s="139">
        <f>IFERROR(IF(H1839&gt;0,H1839*$C$7,""),"")</f>
        <v/>
      </c>
      <c r="L1839" s="139">
        <f>IFERROR(IF(ISNUMBER(F1839),F1839-IF(ISNUMBER(K1839),K1839,0),""),"")</f>
        <v/>
      </c>
    </row>
    <row r="1840" ht="24" customHeight="1" s="63">
      <c r="E1840" s="139" t="n"/>
      <c r="F1840" s="139" t="n"/>
      <c r="G1840" s="140">
        <f>IFERROR(IF(E1840&gt;0,(F1840/E1840)*1000,""),"")</f>
        <v/>
      </c>
      <c r="H1840" s="139">
        <f>IFERROR(IF(E1840&gt;0,E1840*IF(ISNUMBER(J1840),J1840,IF(C1840="Futures",$C$6,$C$5)),""),"")</f>
        <v/>
      </c>
      <c r="I1840" s="139">
        <f>IFERROR(IF(AND(ISNUMBER(F1840),ISNUMBER(H1840)),F1840-H1840,""),"")</f>
        <v/>
      </c>
      <c r="J1840" s="114" t="n"/>
      <c r="K1840" s="139">
        <f>IFERROR(IF(H1840&gt;0,H1840*$C$7,""),"")</f>
        <v/>
      </c>
      <c r="L1840" s="139">
        <f>IFERROR(IF(ISNUMBER(F1840),F1840-IF(ISNUMBER(K1840),K1840,0),""),"")</f>
        <v/>
      </c>
    </row>
    <row r="1841" ht="24" customHeight="1" s="63">
      <c r="E1841" s="139" t="n"/>
      <c r="F1841" s="139" t="n"/>
      <c r="G1841" s="140">
        <f>IFERROR(IF(E1841&gt;0,(F1841/E1841)*1000,""),"")</f>
        <v/>
      </c>
      <c r="H1841" s="139">
        <f>IFERROR(IF(E1841&gt;0,E1841*IF(ISNUMBER(J1841),J1841,IF(C1841="Futures",$C$6,$C$5)),""),"")</f>
        <v/>
      </c>
      <c r="I1841" s="139">
        <f>IFERROR(IF(AND(ISNUMBER(F1841),ISNUMBER(H1841)),F1841-H1841,""),"")</f>
        <v/>
      </c>
      <c r="J1841" s="114" t="n"/>
      <c r="K1841" s="139">
        <f>IFERROR(IF(H1841&gt;0,H1841*$C$7,""),"")</f>
        <v/>
      </c>
      <c r="L1841" s="139">
        <f>IFERROR(IF(ISNUMBER(F1841),F1841-IF(ISNUMBER(K1841),K1841,0),""),"")</f>
        <v/>
      </c>
    </row>
    <row r="1842" ht="24" customHeight="1" s="63">
      <c r="E1842" s="139" t="n"/>
      <c r="F1842" s="139" t="n"/>
      <c r="G1842" s="140">
        <f>IFERROR(IF(E1842&gt;0,(F1842/E1842)*1000,""),"")</f>
        <v/>
      </c>
      <c r="H1842" s="139">
        <f>IFERROR(IF(E1842&gt;0,E1842*IF(ISNUMBER(J1842),J1842,IF(C1842="Futures",$C$6,$C$5)),""),"")</f>
        <v/>
      </c>
      <c r="I1842" s="139">
        <f>IFERROR(IF(AND(ISNUMBER(F1842),ISNUMBER(H1842)),F1842-H1842,""),"")</f>
        <v/>
      </c>
      <c r="J1842" s="114" t="n"/>
      <c r="K1842" s="139">
        <f>IFERROR(IF(H1842&gt;0,H1842*$C$7,""),"")</f>
        <v/>
      </c>
      <c r="L1842" s="139">
        <f>IFERROR(IF(ISNUMBER(F1842),F1842-IF(ISNUMBER(K1842),K1842,0),""),"")</f>
        <v/>
      </c>
    </row>
    <row r="1843" ht="24" customHeight="1" s="63">
      <c r="E1843" s="139" t="n"/>
      <c r="F1843" s="139" t="n"/>
      <c r="G1843" s="140">
        <f>IFERROR(IF(E1843&gt;0,(F1843/E1843)*1000,""),"")</f>
        <v/>
      </c>
      <c r="H1843" s="139">
        <f>IFERROR(IF(E1843&gt;0,E1843*IF(ISNUMBER(J1843),J1843,IF(C1843="Futures",$C$6,$C$5)),""),"")</f>
        <v/>
      </c>
      <c r="I1843" s="139">
        <f>IFERROR(IF(AND(ISNUMBER(F1843),ISNUMBER(H1843)),F1843-H1843,""),"")</f>
        <v/>
      </c>
      <c r="J1843" s="114" t="n"/>
      <c r="K1843" s="139">
        <f>IFERROR(IF(H1843&gt;0,H1843*$C$7,""),"")</f>
        <v/>
      </c>
      <c r="L1843" s="139">
        <f>IFERROR(IF(ISNUMBER(F1843),F1843-IF(ISNUMBER(K1843),K1843,0),""),"")</f>
        <v/>
      </c>
    </row>
    <row r="1844" ht="24" customHeight="1" s="63">
      <c r="E1844" s="139" t="n"/>
      <c r="F1844" s="139" t="n"/>
      <c r="G1844" s="140">
        <f>IFERROR(IF(E1844&gt;0,(F1844/E1844)*1000,""),"")</f>
        <v/>
      </c>
      <c r="H1844" s="139">
        <f>IFERROR(IF(E1844&gt;0,E1844*IF(ISNUMBER(J1844),J1844,IF(C1844="Futures",$C$6,$C$5)),""),"")</f>
        <v/>
      </c>
      <c r="I1844" s="139">
        <f>IFERROR(IF(AND(ISNUMBER(F1844),ISNUMBER(H1844)),F1844-H1844,""),"")</f>
        <v/>
      </c>
      <c r="J1844" s="114" t="n"/>
      <c r="K1844" s="139">
        <f>IFERROR(IF(H1844&gt;0,H1844*$C$7,""),"")</f>
        <v/>
      </c>
      <c r="L1844" s="139">
        <f>IFERROR(IF(ISNUMBER(F1844),F1844-IF(ISNUMBER(K1844),K1844,0),""),"")</f>
        <v/>
      </c>
    </row>
    <row r="1845" ht="24" customHeight="1" s="63">
      <c r="E1845" s="139" t="n"/>
      <c r="F1845" s="139" t="n"/>
      <c r="G1845" s="140">
        <f>IFERROR(IF(E1845&gt;0,(F1845/E1845)*1000,""),"")</f>
        <v/>
      </c>
      <c r="H1845" s="139">
        <f>IFERROR(IF(E1845&gt;0,E1845*IF(ISNUMBER(J1845),J1845,IF(C1845="Futures",$C$6,$C$5)),""),"")</f>
        <v/>
      </c>
      <c r="I1845" s="139">
        <f>IFERROR(IF(AND(ISNUMBER(F1845),ISNUMBER(H1845)),F1845-H1845,""),"")</f>
        <v/>
      </c>
      <c r="J1845" s="114" t="n"/>
      <c r="K1845" s="139">
        <f>IFERROR(IF(H1845&gt;0,H1845*$C$7,""),"")</f>
        <v/>
      </c>
      <c r="L1845" s="139">
        <f>IFERROR(IF(ISNUMBER(F1845),F1845-IF(ISNUMBER(K1845),K1845,0),""),"")</f>
        <v/>
      </c>
    </row>
    <row r="1846" ht="24" customHeight="1" s="63">
      <c r="E1846" s="139" t="n"/>
      <c r="F1846" s="139" t="n"/>
      <c r="G1846" s="140">
        <f>IFERROR(IF(E1846&gt;0,(F1846/E1846)*1000,""),"")</f>
        <v/>
      </c>
      <c r="H1846" s="139">
        <f>IFERROR(IF(E1846&gt;0,E1846*IF(ISNUMBER(J1846),J1846,IF(C1846="Futures",$C$6,$C$5)),""),"")</f>
        <v/>
      </c>
      <c r="I1846" s="139">
        <f>IFERROR(IF(AND(ISNUMBER(F1846),ISNUMBER(H1846)),F1846-H1846,""),"")</f>
        <v/>
      </c>
      <c r="J1846" s="114" t="n"/>
      <c r="K1846" s="139">
        <f>IFERROR(IF(H1846&gt;0,H1846*$C$7,""),"")</f>
        <v/>
      </c>
      <c r="L1846" s="139">
        <f>IFERROR(IF(ISNUMBER(F1846),F1846-IF(ISNUMBER(K1846),K1846,0),""),"")</f>
        <v/>
      </c>
    </row>
    <row r="1847" ht="24" customHeight="1" s="63">
      <c r="E1847" s="139" t="n"/>
      <c r="F1847" s="139" t="n"/>
      <c r="G1847" s="140">
        <f>IFERROR(IF(E1847&gt;0,(F1847/E1847)*1000,""),"")</f>
        <v/>
      </c>
      <c r="H1847" s="139">
        <f>IFERROR(IF(E1847&gt;0,E1847*IF(ISNUMBER(J1847),J1847,IF(C1847="Futures",$C$6,$C$5)),""),"")</f>
        <v/>
      </c>
      <c r="I1847" s="139">
        <f>IFERROR(IF(AND(ISNUMBER(F1847),ISNUMBER(H1847)),F1847-H1847,""),"")</f>
        <v/>
      </c>
      <c r="J1847" s="114" t="n"/>
      <c r="K1847" s="139">
        <f>IFERROR(IF(H1847&gt;0,H1847*$C$7,""),"")</f>
        <v/>
      </c>
      <c r="L1847" s="139">
        <f>IFERROR(IF(ISNUMBER(F1847),F1847-IF(ISNUMBER(K1847),K1847,0),""),"")</f>
        <v/>
      </c>
    </row>
    <row r="1848" ht="24" customHeight="1" s="63">
      <c r="E1848" s="139" t="n"/>
      <c r="F1848" s="139" t="n"/>
      <c r="G1848" s="140">
        <f>IFERROR(IF(E1848&gt;0,(F1848/E1848)*1000,""),"")</f>
        <v/>
      </c>
      <c r="H1848" s="139">
        <f>IFERROR(IF(E1848&gt;0,E1848*IF(ISNUMBER(J1848),J1848,IF(C1848="Futures",$C$6,$C$5)),""),"")</f>
        <v/>
      </c>
      <c r="I1848" s="139">
        <f>IFERROR(IF(AND(ISNUMBER(F1848),ISNUMBER(H1848)),F1848-H1848,""),"")</f>
        <v/>
      </c>
      <c r="J1848" s="114" t="n"/>
      <c r="K1848" s="139">
        <f>IFERROR(IF(H1848&gt;0,H1848*$C$7,""),"")</f>
        <v/>
      </c>
      <c r="L1848" s="139">
        <f>IFERROR(IF(ISNUMBER(F1848),F1848-IF(ISNUMBER(K1848),K1848,0),""),"")</f>
        <v/>
      </c>
    </row>
    <row r="1849" ht="24" customHeight="1" s="63">
      <c r="E1849" s="139" t="n"/>
      <c r="F1849" s="139" t="n"/>
      <c r="G1849" s="140">
        <f>IFERROR(IF(E1849&gt;0,(F1849/E1849)*1000,""),"")</f>
        <v/>
      </c>
      <c r="H1849" s="139">
        <f>IFERROR(IF(E1849&gt;0,E1849*IF(ISNUMBER(J1849),J1849,IF(C1849="Futures",$C$6,$C$5)),""),"")</f>
        <v/>
      </c>
      <c r="I1849" s="139">
        <f>IFERROR(IF(AND(ISNUMBER(F1849),ISNUMBER(H1849)),F1849-H1849,""),"")</f>
        <v/>
      </c>
      <c r="J1849" s="114" t="n"/>
      <c r="K1849" s="139">
        <f>IFERROR(IF(H1849&gt;0,H1849*$C$7,""),"")</f>
        <v/>
      </c>
      <c r="L1849" s="139">
        <f>IFERROR(IF(ISNUMBER(F1849),F1849-IF(ISNUMBER(K1849),K1849,0),""),"")</f>
        <v/>
      </c>
    </row>
    <row r="1850" ht="24" customHeight="1" s="63">
      <c r="E1850" s="139" t="n"/>
      <c r="F1850" s="139" t="n"/>
      <c r="G1850" s="140">
        <f>IFERROR(IF(E1850&gt;0,(F1850/E1850)*1000,""),"")</f>
        <v/>
      </c>
      <c r="H1850" s="139">
        <f>IFERROR(IF(E1850&gt;0,E1850*IF(ISNUMBER(J1850),J1850,IF(C1850="Futures",$C$6,$C$5)),""),"")</f>
        <v/>
      </c>
      <c r="I1850" s="139">
        <f>IFERROR(IF(AND(ISNUMBER(F1850),ISNUMBER(H1850)),F1850-H1850,""),"")</f>
        <v/>
      </c>
      <c r="J1850" s="114" t="n"/>
      <c r="K1850" s="139">
        <f>IFERROR(IF(H1850&gt;0,H1850*$C$7,""),"")</f>
        <v/>
      </c>
      <c r="L1850" s="139">
        <f>IFERROR(IF(ISNUMBER(F1850),F1850-IF(ISNUMBER(K1850),K1850,0),""),"")</f>
        <v/>
      </c>
    </row>
    <row r="1851" ht="24" customHeight="1" s="63">
      <c r="E1851" s="139" t="n"/>
      <c r="F1851" s="139" t="n"/>
      <c r="G1851" s="140">
        <f>IFERROR(IF(E1851&gt;0,(F1851/E1851)*1000,""),"")</f>
        <v/>
      </c>
      <c r="H1851" s="139">
        <f>IFERROR(IF(E1851&gt;0,E1851*IF(ISNUMBER(J1851),J1851,IF(C1851="Futures",$C$6,$C$5)),""),"")</f>
        <v/>
      </c>
      <c r="I1851" s="139">
        <f>IFERROR(IF(AND(ISNUMBER(F1851),ISNUMBER(H1851)),F1851-H1851,""),"")</f>
        <v/>
      </c>
      <c r="J1851" s="114" t="n"/>
      <c r="K1851" s="139">
        <f>IFERROR(IF(H1851&gt;0,H1851*$C$7,""),"")</f>
        <v/>
      </c>
      <c r="L1851" s="139">
        <f>IFERROR(IF(ISNUMBER(F1851),F1851-IF(ISNUMBER(K1851),K1851,0),""),"")</f>
        <v/>
      </c>
    </row>
    <row r="1852" ht="24" customHeight="1" s="63">
      <c r="E1852" s="139" t="n"/>
      <c r="F1852" s="139" t="n"/>
      <c r="G1852" s="140">
        <f>IFERROR(IF(E1852&gt;0,(F1852/E1852)*1000,""),"")</f>
        <v/>
      </c>
      <c r="H1852" s="139">
        <f>IFERROR(IF(E1852&gt;0,E1852*IF(ISNUMBER(J1852),J1852,IF(C1852="Futures",$C$6,$C$5)),""),"")</f>
        <v/>
      </c>
      <c r="I1852" s="139">
        <f>IFERROR(IF(AND(ISNUMBER(F1852),ISNUMBER(H1852)),F1852-H1852,""),"")</f>
        <v/>
      </c>
      <c r="J1852" s="114" t="n"/>
      <c r="K1852" s="139">
        <f>IFERROR(IF(H1852&gt;0,H1852*$C$7,""),"")</f>
        <v/>
      </c>
      <c r="L1852" s="139">
        <f>IFERROR(IF(ISNUMBER(F1852),F1852-IF(ISNUMBER(K1852),K1852,0),""),"")</f>
        <v/>
      </c>
    </row>
    <row r="1853" ht="24" customHeight="1" s="63">
      <c r="E1853" s="139" t="n"/>
      <c r="F1853" s="139" t="n"/>
      <c r="G1853" s="140">
        <f>IFERROR(IF(E1853&gt;0,(F1853/E1853)*1000,""),"")</f>
        <v/>
      </c>
      <c r="H1853" s="139">
        <f>IFERROR(IF(E1853&gt;0,E1853*IF(ISNUMBER(J1853),J1853,IF(C1853="Futures",$C$6,$C$5)),""),"")</f>
        <v/>
      </c>
      <c r="I1853" s="139">
        <f>IFERROR(IF(AND(ISNUMBER(F1853),ISNUMBER(H1853)),F1853-H1853,""),"")</f>
        <v/>
      </c>
      <c r="J1853" s="114" t="n"/>
      <c r="K1853" s="139">
        <f>IFERROR(IF(H1853&gt;0,H1853*$C$7,""),"")</f>
        <v/>
      </c>
      <c r="L1853" s="139">
        <f>IFERROR(IF(ISNUMBER(F1853),F1853-IF(ISNUMBER(K1853),K1853,0),""),"")</f>
        <v/>
      </c>
    </row>
    <row r="1854" ht="24" customHeight="1" s="63">
      <c r="E1854" s="139" t="n"/>
      <c r="F1854" s="139" t="n"/>
      <c r="G1854" s="140">
        <f>IFERROR(IF(E1854&gt;0,(F1854/E1854)*1000,""),"")</f>
        <v/>
      </c>
      <c r="H1854" s="139">
        <f>IFERROR(IF(E1854&gt;0,E1854*IF(ISNUMBER(J1854),J1854,IF(C1854="Futures",$C$6,$C$5)),""),"")</f>
        <v/>
      </c>
      <c r="I1854" s="139">
        <f>IFERROR(IF(AND(ISNUMBER(F1854),ISNUMBER(H1854)),F1854-H1854,""),"")</f>
        <v/>
      </c>
      <c r="J1854" s="114" t="n"/>
      <c r="K1854" s="139">
        <f>IFERROR(IF(H1854&gt;0,H1854*$C$7,""),"")</f>
        <v/>
      </c>
      <c r="L1854" s="139">
        <f>IFERROR(IF(ISNUMBER(F1854),F1854-IF(ISNUMBER(K1854),K1854,0),""),"")</f>
        <v/>
      </c>
    </row>
    <row r="1855" ht="24" customHeight="1" s="63">
      <c r="E1855" s="139" t="n"/>
      <c r="F1855" s="139" t="n"/>
      <c r="G1855" s="140">
        <f>IFERROR(IF(E1855&gt;0,(F1855/E1855)*1000,""),"")</f>
        <v/>
      </c>
      <c r="H1855" s="139">
        <f>IFERROR(IF(E1855&gt;0,E1855*IF(ISNUMBER(J1855),J1855,IF(C1855="Futures",$C$6,$C$5)),""),"")</f>
        <v/>
      </c>
      <c r="I1855" s="139">
        <f>IFERROR(IF(AND(ISNUMBER(F1855),ISNUMBER(H1855)),F1855-H1855,""),"")</f>
        <v/>
      </c>
      <c r="J1855" s="114" t="n"/>
      <c r="K1855" s="139">
        <f>IFERROR(IF(H1855&gt;0,H1855*$C$7,""),"")</f>
        <v/>
      </c>
      <c r="L1855" s="139">
        <f>IFERROR(IF(ISNUMBER(F1855),F1855-IF(ISNUMBER(K1855),K1855,0),""),"")</f>
        <v/>
      </c>
    </row>
    <row r="1856" ht="24" customHeight="1" s="63">
      <c r="E1856" s="139" t="n"/>
      <c r="F1856" s="139" t="n"/>
      <c r="G1856" s="140">
        <f>IFERROR(IF(E1856&gt;0,(F1856/E1856)*1000,""),"")</f>
        <v/>
      </c>
      <c r="H1856" s="139">
        <f>IFERROR(IF(E1856&gt;0,E1856*IF(ISNUMBER(J1856),J1856,IF(C1856="Futures",$C$6,$C$5)),""),"")</f>
        <v/>
      </c>
      <c r="I1856" s="139">
        <f>IFERROR(IF(AND(ISNUMBER(F1856),ISNUMBER(H1856)),F1856-H1856,""),"")</f>
        <v/>
      </c>
      <c r="J1856" s="114" t="n"/>
      <c r="K1856" s="139">
        <f>IFERROR(IF(H1856&gt;0,H1856*$C$7,""),"")</f>
        <v/>
      </c>
      <c r="L1856" s="139">
        <f>IFERROR(IF(ISNUMBER(F1856),F1856-IF(ISNUMBER(K1856),K1856,0),""),"")</f>
        <v/>
      </c>
    </row>
    <row r="1857" ht="24" customHeight="1" s="63">
      <c r="E1857" s="139" t="n"/>
      <c r="F1857" s="139" t="n"/>
      <c r="G1857" s="140">
        <f>IFERROR(IF(E1857&gt;0,(F1857/E1857)*1000,""),"")</f>
        <v/>
      </c>
      <c r="H1857" s="139">
        <f>IFERROR(IF(E1857&gt;0,E1857*IF(ISNUMBER(J1857),J1857,IF(C1857="Futures",$C$6,$C$5)),""),"")</f>
        <v/>
      </c>
      <c r="I1857" s="139">
        <f>IFERROR(IF(AND(ISNUMBER(F1857),ISNUMBER(H1857)),F1857-H1857,""),"")</f>
        <v/>
      </c>
      <c r="J1857" s="114" t="n"/>
      <c r="K1857" s="139">
        <f>IFERROR(IF(H1857&gt;0,H1857*$C$7,""),"")</f>
        <v/>
      </c>
      <c r="L1857" s="139">
        <f>IFERROR(IF(ISNUMBER(F1857),F1857-IF(ISNUMBER(K1857),K1857,0),""),"")</f>
        <v/>
      </c>
    </row>
    <row r="1858" ht="24" customHeight="1" s="63">
      <c r="E1858" s="139" t="n"/>
      <c r="F1858" s="139" t="n"/>
      <c r="G1858" s="140">
        <f>IFERROR(IF(E1858&gt;0,(F1858/E1858)*1000,""),"")</f>
        <v/>
      </c>
      <c r="H1858" s="139">
        <f>IFERROR(IF(E1858&gt;0,E1858*IF(ISNUMBER(J1858),J1858,IF(C1858="Futures",$C$6,$C$5)),""),"")</f>
        <v/>
      </c>
      <c r="I1858" s="139">
        <f>IFERROR(IF(AND(ISNUMBER(F1858),ISNUMBER(H1858)),F1858-H1858,""),"")</f>
        <v/>
      </c>
      <c r="J1858" s="114" t="n"/>
      <c r="K1858" s="139">
        <f>IFERROR(IF(H1858&gt;0,H1858*$C$7,""),"")</f>
        <v/>
      </c>
      <c r="L1858" s="139">
        <f>IFERROR(IF(ISNUMBER(F1858),F1858-IF(ISNUMBER(K1858),K1858,0),""),"")</f>
        <v/>
      </c>
    </row>
    <row r="1859" ht="24" customHeight="1" s="63">
      <c r="E1859" s="139" t="n"/>
      <c r="F1859" s="139" t="n"/>
      <c r="G1859" s="140">
        <f>IFERROR(IF(E1859&gt;0,(F1859/E1859)*1000,""),"")</f>
        <v/>
      </c>
      <c r="H1859" s="139">
        <f>IFERROR(IF(E1859&gt;0,E1859*IF(ISNUMBER(J1859),J1859,IF(C1859="Futures",$C$6,$C$5)),""),"")</f>
        <v/>
      </c>
      <c r="I1859" s="139">
        <f>IFERROR(IF(AND(ISNUMBER(F1859),ISNUMBER(H1859)),F1859-H1859,""),"")</f>
        <v/>
      </c>
      <c r="J1859" s="114" t="n"/>
      <c r="K1859" s="139">
        <f>IFERROR(IF(H1859&gt;0,H1859*$C$7,""),"")</f>
        <v/>
      </c>
      <c r="L1859" s="139">
        <f>IFERROR(IF(ISNUMBER(F1859),F1859-IF(ISNUMBER(K1859),K1859,0),""),"")</f>
        <v/>
      </c>
    </row>
    <row r="1860" ht="24" customHeight="1" s="63">
      <c r="E1860" s="139" t="n"/>
      <c r="F1860" s="139" t="n"/>
      <c r="G1860" s="140">
        <f>IFERROR(IF(E1860&gt;0,(F1860/E1860)*1000,""),"")</f>
        <v/>
      </c>
      <c r="H1860" s="139">
        <f>IFERROR(IF(E1860&gt;0,E1860*IF(ISNUMBER(J1860),J1860,IF(C1860="Futures",$C$6,$C$5)),""),"")</f>
        <v/>
      </c>
      <c r="I1860" s="139">
        <f>IFERROR(IF(AND(ISNUMBER(F1860),ISNUMBER(H1860)),F1860-H1860,""),"")</f>
        <v/>
      </c>
      <c r="J1860" s="114" t="n"/>
      <c r="K1860" s="139">
        <f>IFERROR(IF(H1860&gt;0,H1860*$C$7,""),"")</f>
        <v/>
      </c>
      <c r="L1860" s="139">
        <f>IFERROR(IF(ISNUMBER(F1860),F1860-IF(ISNUMBER(K1860),K1860,0),""),"")</f>
        <v/>
      </c>
    </row>
    <row r="1861" ht="24" customHeight="1" s="63">
      <c r="E1861" s="139" t="n"/>
      <c r="F1861" s="139" t="n"/>
      <c r="G1861" s="140">
        <f>IFERROR(IF(E1861&gt;0,(F1861/E1861)*1000,""),"")</f>
        <v/>
      </c>
      <c r="H1861" s="139">
        <f>IFERROR(IF(E1861&gt;0,E1861*IF(ISNUMBER(J1861),J1861,IF(C1861="Futures",$C$6,$C$5)),""),"")</f>
        <v/>
      </c>
      <c r="I1861" s="139">
        <f>IFERROR(IF(AND(ISNUMBER(F1861),ISNUMBER(H1861)),F1861-H1861,""),"")</f>
        <v/>
      </c>
      <c r="J1861" s="114" t="n"/>
      <c r="K1861" s="139">
        <f>IFERROR(IF(H1861&gt;0,H1861*$C$7,""),"")</f>
        <v/>
      </c>
      <c r="L1861" s="139">
        <f>IFERROR(IF(ISNUMBER(F1861),F1861-IF(ISNUMBER(K1861),K1861,0),""),"")</f>
        <v/>
      </c>
    </row>
    <row r="1862" ht="24" customHeight="1" s="63">
      <c r="E1862" s="139" t="n"/>
      <c r="F1862" s="139" t="n"/>
      <c r="G1862" s="140">
        <f>IFERROR(IF(E1862&gt;0,(F1862/E1862)*1000,""),"")</f>
        <v/>
      </c>
      <c r="H1862" s="139">
        <f>IFERROR(IF(E1862&gt;0,E1862*IF(ISNUMBER(J1862),J1862,IF(C1862="Futures",$C$6,$C$5)),""),"")</f>
        <v/>
      </c>
      <c r="I1862" s="139">
        <f>IFERROR(IF(AND(ISNUMBER(F1862),ISNUMBER(H1862)),F1862-H1862,""),"")</f>
        <v/>
      </c>
      <c r="J1862" s="114" t="n"/>
      <c r="K1862" s="139">
        <f>IFERROR(IF(H1862&gt;0,H1862*$C$7,""),"")</f>
        <v/>
      </c>
      <c r="L1862" s="139">
        <f>IFERROR(IF(ISNUMBER(F1862),F1862-IF(ISNUMBER(K1862),K1862,0),""),"")</f>
        <v/>
      </c>
    </row>
    <row r="1863" ht="24" customHeight="1" s="63">
      <c r="E1863" s="139" t="n"/>
      <c r="F1863" s="139" t="n"/>
      <c r="G1863" s="140">
        <f>IFERROR(IF(E1863&gt;0,(F1863/E1863)*1000,""),"")</f>
        <v/>
      </c>
      <c r="H1863" s="139">
        <f>IFERROR(IF(E1863&gt;0,E1863*IF(ISNUMBER(J1863),J1863,IF(C1863="Futures",$C$6,$C$5)),""),"")</f>
        <v/>
      </c>
      <c r="I1863" s="139">
        <f>IFERROR(IF(AND(ISNUMBER(F1863),ISNUMBER(H1863)),F1863-H1863,""),"")</f>
        <v/>
      </c>
      <c r="J1863" s="114" t="n"/>
      <c r="K1863" s="139">
        <f>IFERROR(IF(H1863&gt;0,H1863*$C$7,""),"")</f>
        <v/>
      </c>
      <c r="L1863" s="139">
        <f>IFERROR(IF(ISNUMBER(F1863),F1863-IF(ISNUMBER(K1863),K1863,0),""),"")</f>
        <v/>
      </c>
    </row>
    <row r="1864" ht="24" customHeight="1" s="63">
      <c r="E1864" s="139" t="n"/>
      <c r="F1864" s="139" t="n"/>
      <c r="G1864" s="140">
        <f>IFERROR(IF(E1864&gt;0,(F1864/E1864)*1000,""),"")</f>
        <v/>
      </c>
      <c r="H1864" s="139">
        <f>IFERROR(IF(E1864&gt;0,E1864*IF(ISNUMBER(J1864),J1864,IF(C1864="Futures",$C$6,$C$5)),""),"")</f>
        <v/>
      </c>
      <c r="I1864" s="139">
        <f>IFERROR(IF(AND(ISNUMBER(F1864),ISNUMBER(H1864)),F1864-H1864,""),"")</f>
        <v/>
      </c>
      <c r="J1864" s="114" t="n"/>
      <c r="K1864" s="139">
        <f>IFERROR(IF(H1864&gt;0,H1864*$C$7,""),"")</f>
        <v/>
      </c>
      <c r="L1864" s="139">
        <f>IFERROR(IF(ISNUMBER(F1864),F1864-IF(ISNUMBER(K1864),K1864,0),""),"")</f>
        <v/>
      </c>
    </row>
    <row r="1865" ht="24" customHeight="1" s="63">
      <c r="E1865" s="139" t="n"/>
      <c r="F1865" s="139" t="n"/>
      <c r="G1865" s="140">
        <f>IFERROR(IF(E1865&gt;0,(F1865/E1865)*1000,""),"")</f>
        <v/>
      </c>
      <c r="H1865" s="139">
        <f>IFERROR(IF(E1865&gt;0,E1865*IF(ISNUMBER(J1865),J1865,IF(C1865="Futures",$C$6,$C$5)),""),"")</f>
        <v/>
      </c>
      <c r="I1865" s="139">
        <f>IFERROR(IF(AND(ISNUMBER(F1865),ISNUMBER(H1865)),F1865-H1865,""),"")</f>
        <v/>
      </c>
      <c r="J1865" s="114" t="n"/>
      <c r="K1865" s="139">
        <f>IFERROR(IF(H1865&gt;0,H1865*$C$7,""),"")</f>
        <v/>
      </c>
      <c r="L1865" s="139">
        <f>IFERROR(IF(ISNUMBER(F1865),F1865-IF(ISNUMBER(K1865),K1865,0),""),"")</f>
        <v/>
      </c>
    </row>
    <row r="1866" ht="24" customHeight="1" s="63">
      <c r="E1866" s="139" t="n"/>
      <c r="F1866" s="139" t="n"/>
      <c r="G1866" s="140">
        <f>IFERROR(IF(E1866&gt;0,(F1866/E1866)*1000,""),"")</f>
        <v/>
      </c>
      <c r="H1866" s="139">
        <f>IFERROR(IF(E1866&gt;0,E1866*IF(ISNUMBER(J1866),J1866,IF(C1866="Futures",$C$6,$C$5)),""),"")</f>
        <v/>
      </c>
      <c r="I1866" s="139">
        <f>IFERROR(IF(AND(ISNUMBER(F1866),ISNUMBER(H1866)),F1866-H1866,""),"")</f>
        <v/>
      </c>
      <c r="J1866" s="114" t="n"/>
      <c r="K1866" s="139">
        <f>IFERROR(IF(H1866&gt;0,H1866*$C$7,""),"")</f>
        <v/>
      </c>
      <c r="L1866" s="139">
        <f>IFERROR(IF(ISNUMBER(F1866),F1866-IF(ISNUMBER(K1866),K1866,0),""),"")</f>
        <v/>
      </c>
    </row>
    <row r="1867" ht="24" customHeight="1" s="63">
      <c r="E1867" s="139" t="n"/>
      <c r="F1867" s="139" t="n"/>
      <c r="G1867" s="140">
        <f>IFERROR(IF(E1867&gt;0,(F1867/E1867)*1000,""),"")</f>
        <v/>
      </c>
      <c r="H1867" s="139">
        <f>IFERROR(IF(E1867&gt;0,E1867*IF(ISNUMBER(J1867),J1867,IF(C1867="Futures",$C$6,$C$5)),""),"")</f>
        <v/>
      </c>
      <c r="I1867" s="139">
        <f>IFERROR(IF(AND(ISNUMBER(F1867),ISNUMBER(H1867)),F1867-H1867,""),"")</f>
        <v/>
      </c>
      <c r="J1867" s="114" t="n"/>
      <c r="K1867" s="139">
        <f>IFERROR(IF(H1867&gt;0,H1867*$C$7,""),"")</f>
        <v/>
      </c>
      <c r="L1867" s="139">
        <f>IFERROR(IF(ISNUMBER(F1867),F1867-IF(ISNUMBER(K1867),K1867,0),""),"")</f>
        <v/>
      </c>
    </row>
    <row r="1868" ht="24" customHeight="1" s="63">
      <c r="E1868" s="139" t="n"/>
      <c r="F1868" s="139" t="n"/>
      <c r="G1868" s="140">
        <f>IFERROR(IF(E1868&gt;0,(F1868/E1868)*1000,""),"")</f>
        <v/>
      </c>
      <c r="H1868" s="139">
        <f>IFERROR(IF(E1868&gt;0,E1868*IF(ISNUMBER(J1868),J1868,IF(C1868="Futures",$C$6,$C$5)),""),"")</f>
        <v/>
      </c>
      <c r="I1868" s="139">
        <f>IFERROR(IF(AND(ISNUMBER(F1868),ISNUMBER(H1868)),F1868-H1868,""),"")</f>
        <v/>
      </c>
      <c r="J1868" s="114" t="n"/>
      <c r="K1868" s="139">
        <f>IFERROR(IF(H1868&gt;0,H1868*$C$7,""),"")</f>
        <v/>
      </c>
      <c r="L1868" s="139">
        <f>IFERROR(IF(ISNUMBER(F1868),F1868-IF(ISNUMBER(K1868),K1868,0),""),"")</f>
        <v/>
      </c>
    </row>
    <row r="1869" ht="24" customHeight="1" s="63">
      <c r="E1869" s="139" t="n"/>
      <c r="F1869" s="139" t="n"/>
      <c r="G1869" s="140">
        <f>IFERROR(IF(E1869&gt;0,(F1869/E1869)*1000,""),"")</f>
        <v/>
      </c>
      <c r="H1869" s="139">
        <f>IFERROR(IF(E1869&gt;0,E1869*IF(ISNUMBER(J1869),J1869,IF(C1869="Futures",$C$6,$C$5)),""),"")</f>
        <v/>
      </c>
      <c r="I1869" s="139">
        <f>IFERROR(IF(AND(ISNUMBER(F1869),ISNUMBER(H1869)),F1869-H1869,""),"")</f>
        <v/>
      </c>
      <c r="J1869" s="114" t="n"/>
      <c r="K1869" s="139">
        <f>IFERROR(IF(H1869&gt;0,H1869*$C$7,""),"")</f>
        <v/>
      </c>
      <c r="L1869" s="139">
        <f>IFERROR(IF(ISNUMBER(F1869),F1869-IF(ISNUMBER(K1869),K1869,0),""),"")</f>
        <v/>
      </c>
    </row>
    <row r="1870" ht="24" customHeight="1" s="63">
      <c r="E1870" s="139" t="n"/>
      <c r="F1870" s="139" t="n"/>
      <c r="G1870" s="140">
        <f>IFERROR(IF(E1870&gt;0,(F1870/E1870)*1000,""),"")</f>
        <v/>
      </c>
      <c r="H1870" s="139">
        <f>IFERROR(IF(E1870&gt;0,E1870*IF(ISNUMBER(J1870),J1870,IF(C1870="Futures",$C$6,$C$5)),""),"")</f>
        <v/>
      </c>
      <c r="I1870" s="139">
        <f>IFERROR(IF(AND(ISNUMBER(F1870),ISNUMBER(H1870)),F1870-H1870,""),"")</f>
        <v/>
      </c>
      <c r="J1870" s="114" t="n"/>
      <c r="K1870" s="139">
        <f>IFERROR(IF(H1870&gt;0,H1870*$C$7,""),"")</f>
        <v/>
      </c>
      <c r="L1870" s="139">
        <f>IFERROR(IF(ISNUMBER(F1870),F1870-IF(ISNUMBER(K1870),K1870,0),""),"")</f>
        <v/>
      </c>
    </row>
    <row r="1871" ht="24" customHeight="1" s="63">
      <c r="E1871" s="139" t="n"/>
      <c r="F1871" s="139" t="n"/>
      <c r="G1871" s="140">
        <f>IFERROR(IF(E1871&gt;0,(F1871/E1871)*1000,""),"")</f>
        <v/>
      </c>
      <c r="H1871" s="139">
        <f>IFERROR(IF(E1871&gt;0,E1871*IF(ISNUMBER(J1871),J1871,IF(C1871="Futures",$C$6,$C$5)),""),"")</f>
        <v/>
      </c>
      <c r="I1871" s="139">
        <f>IFERROR(IF(AND(ISNUMBER(F1871),ISNUMBER(H1871)),F1871-H1871,""),"")</f>
        <v/>
      </c>
      <c r="J1871" s="114" t="n"/>
      <c r="K1871" s="139">
        <f>IFERROR(IF(H1871&gt;0,H1871*$C$7,""),"")</f>
        <v/>
      </c>
      <c r="L1871" s="139">
        <f>IFERROR(IF(ISNUMBER(F1871),F1871-IF(ISNUMBER(K1871),K1871,0),""),"")</f>
        <v/>
      </c>
    </row>
    <row r="1872" ht="24" customHeight="1" s="63">
      <c r="E1872" s="139" t="n"/>
      <c r="F1872" s="139" t="n"/>
      <c r="G1872" s="140">
        <f>IFERROR(IF(E1872&gt;0,(F1872/E1872)*1000,""),"")</f>
        <v/>
      </c>
      <c r="H1872" s="139">
        <f>IFERROR(IF(E1872&gt;0,E1872*IF(ISNUMBER(J1872),J1872,IF(C1872="Futures",$C$6,$C$5)),""),"")</f>
        <v/>
      </c>
      <c r="I1872" s="139">
        <f>IFERROR(IF(AND(ISNUMBER(F1872),ISNUMBER(H1872)),F1872-H1872,""),"")</f>
        <v/>
      </c>
      <c r="J1872" s="114" t="n"/>
      <c r="K1872" s="139">
        <f>IFERROR(IF(H1872&gt;0,H1872*$C$7,""),"")</f>
        <v/>
      </c>
      <c r="L1872" s="139">
        <f>IFERROR(IF(ISNUMBER(F1872),F1872-IF(ISNUMBER(K1872),K1872,0),""),"")</f>
        <v/>
      </c>
    </row>
    <row r="1873" ht="24" customHeight="1" s="63">
      <c r="E1873" s="139" t="n"/>
      <c r="F1873" s="139" t="n"/>
      <c r="G1873" s="140">
        <f>IFERROR(IF(E1873&gt;0,(F1873/E1873)*1000,""),"")</f>
        <v/>
      </c>
      <c r="H1873" s="139">
        <f>IFERROR(IF(E1873&gt;0,E1873*IF(ISNUMBER(J1873),J1873,IF(C1873="Futures",$C$6,$C$5)),""),"")</f>
        <v/>
      </c>
      <c r="I1873" s="139">
        <f>IFERROR(IF(AND(ISNUMBER(F1873),ISNUMBER(H1873)),F1873-H1873,""),"")</f>
        <v/>
      </c>
      <c r="J1873" s="114" t="n"/>
      <c r="K1873" s="139">
        <f>IFERROR(IF(H1873&gt;0,H1873*$C$7,""),"")</f>
        <v/>
      </c>
      <c r="L1873" s="139">
        <f>IFERROR(IF(ISNUMBER(F1873),F1873-IF(ISNUMBER(K1873),K1873,0),""),"")</f>
        <v/>
      </c>
    </row>
    <row r="1874" ht="24" customHeight="1" s="63">
      <c r="E1874" s="139" t="n"/>
      <c r="F1874" s="139" t="n"/>
      <c r="G1874" s="140">
        <f>IFERROR(IF(E1874&gt;0,(F1874/E1874)*1000,""),"")</f>
        <v/>
      </c>
      <c r="H1874" s="139">
        <f>IFERROR(IF(E1874&gt;0,E1874*IF(ISNUMBER(J1874),J1874,IF(C1874="Futures",$C$6,$C$5)),""),"")</f>
        <v/>
      </c>
      <c r="I1874" s="139">
        <f>IFERROR(IF(AND(ISNUMBER(F1874),ISNUMBER(H1874)),F1874-H1874,""),"")</f>
        <v/>
      </c>
      <c r="J1874" s="114" t="n"/>
      <c r="K1874" s="139">
        <f>IFERROR(IF(H1874&gt;0,H1874*$C$7,""),"")</f>
        <v/>
      </c>
      <c r="L1874" s="139">
        <f>IFERROR(IF(ISNUMBER(F1874),F1874-IF(ISNUMBER(K1874),K1874,0),""),"")</f>
        <v/>
      </c>
    </row>
    <row r="1875" ht="24" customHeight="1" s="63">
      <c r="E1875" s="139" t="n"/>
      <c r="F1875" s="139" t="n"/>
      <c r="G1875" s="140">
        <f>IFERROR(IF(E1875&gt;0,(F1875/E1875)*1000,""),"")</f>
        <v/>
      </c>
      <c r="H1875" s="139">
        <f>IFERROR(IF(E1875&gt;0,E1875*IF(ISNUMBER(J1875),J1875,IF(C1875="Futures",$C$6,$C$5)),""),"")</f>
        <v/>
      </c>
      <c r="I1875" s="139">
        <f>IFERROR(IF(AND(ISNUMBER(F1875),ISNUMBER(H1875)),F1875-H1875,""),"")</f>
        <v/>
      </c>
      <c r="J1875" s="114" t="n"/>
      <c r="K1875" s="139">
        <f>IFERROR(IF(H1875&gt;0,H1875*$C$7,""),"")</f>
        <v/>
      </c>
      <c r="L1875" s="139">
        <f>IFERROR(IF(ISNUMBER(F1875),F1875-IF(ISNUMBER(K1875),K1875,0),""),"")</f>
        <v/>
      </c>
    </row>
    <row r="1876" ht="24" customHeight="1" s="63">
      <c r="E1876" s="139" t="n"/>
      <c r="F1876" s="139" t="n"/>
      <c r="G1876" s="140">
        <f>IFERROR(IF(E1876&gt;0,(F1876/E1876)*1000,""),"")</f>
        <v/>
      </c>
      <c r="H1876" s="139">
        <f>IFERROR(IF(E1876&gt;0,E1876*IF(ISNUMBER(J1876),J1876,IF(C1876="Futures",$C$6,$C$5)),""),"")</f>
        <v/>
      </c>
      <c r="I1876" s="139">
        <f>IFERROR(IF(AND(ISNUMBER(F1876),ISNUMBER(H1876)),F1876-H1876,""),"")</f>
        <v/>
      </c>
      <c r="J1876" s="114" t="n"/>
      <c r="K1876" s="139">
        <f>IFERROR(IF(H1876&gt;0,H1876*$C$7,""),"")</f>
        <v/>
      </c>
      <c r="L1876" s="139">
        <f>IFERROR(IF(ISNUMBER(F1876),F1876-IF(ISNUMBER(K1876),K1876,0),""),"")</f>
        <v/>
      </c>
    </row>
    <row r="1877" ht="24" customHeight="1" s="63">
      <c r="E1877" s="139" t="n"/>
      <c r="F1877" s="139" t="n"/>
      <c r="G1877" s="140">
        <f>IFERROR(IF(E1877&gt;0,(F1877/E1877)*1000,""),"")</f>
        <v/>
      </c>
      <c r="H1877" s="139">
        <f>IFERROR(IF(E1877&gt;0,E1877*IF(ISNUMBER(J1877),J1877,IF(C1877="Futures",$C$6,$C$5)),""),"")</f>
        <v/>
      </c>
      <c r="I1877" s="139">
        <f>IFERROR(IF(AND(ISNUMBER(F1877),ISNUMBER(H1877)),F1877-H1877,""),"")</f>
        <v/>
      </c>
      <c r="J1877" s="114" t="n"/>
      <c r="K1877" s="139">
        <f>IFERROR(IF(H1877&gt;0,H1877*$C$7,""),"")</f>
        <v/>
      </c>
      <c r="L1877" s="139">
        <f>IFERROR(IF(ISNUMBER(F1877),F1877-IF(ISNUMBER(K1877),K1877,0),""),"")</f>
        <v/>
      </c>
    </row>
    <row r="1878" ht="24" customHeight="1" s="63">
      <c r="E1878" s="139" t="n"/>
      <c r="F1878" s="139" t="n"/>
      <c r="G1878" s="140">
        <f>IFERROR(IF(E1878&gt;0,(F1878/E1878)*1000,""),"")</f>
        <v/>
      </c>
      <c r="H1878" s="139">
        <f>IFERROR(IF(E1878&gt;0,E1878*IF(ISNUMBER(J1878),J1878,IF(C1878="Futures",$C$6,$C$5)),""),"")</f>
        <v/>
      </c>
      <c r="I1878" s="139">
        <f>IFERROR(IF(AND(ISNUMBER(F1878),ISNUMBER(H1878)),F1878-H1878,""),"")</f>
        <v/>
      </c>
      <c r="J1878" s="114" t="n"/>
      <c r="K1878" s="139">
        <f>IFERROR(IF(H1878&gt;0,H1878*$C$7,""),"")</f>
        <v/>
      </c>
      <c r="L1878" s="139">
        <f>IFERROR(IF(ISNUMBER(F1878),F1878-IF(ISNUMBER(K1878),K1878,0),""),"")</f>
        <v/>
      </c>
    </row>
    <row r="1879" ht="24" customHeight="1" s="63">
      <c r="E1879" s="139" t="n"/>
      <c r="F1879" s="139" t="n"/>
      <c r="G1879" s="140">
        <f>IFERROR(IF(E1879&gt;0,(F1879/E1879)*1000,""),"")</f>
        <v/>
      </c>
      <c r="H1879" s="139">
        <f>IFERROR(IF(E1879&gt;0,E1879*IF(ISNUMBER(J1879),J1879,IF(C1879="Futures",$C$6,$C$5)),""),"")</f>
        <v/>
      </c>
      <c r="I1879" s="139">
        <f>IFERROR(IF(AND(ISNUMBER(F1879),ISNUMBER(H1879)),F1879-H1879,""),"")</f>
        <v/>
      </c>
      <c r="J1879" s="114" t="n"/>
      <c r="K1879" s="139">
        <f>IFERROR(IF(H1879&gt;0,H1879*$C$7,""),"")</f>
        <v/>
      </c>
      <c r="L1879" s="139">
        <f>IFERROR(IF(ISNUMBER(F1879),F1879-IF(ISNUMBER(K1879),K1879,0),""),"")</f>
        <v/>
      </c>
    </row>
    <row r="1880" ht="24" customHeight="1" s="63">
      <c r="E1880" s="139" t="n"/>
      <c r="F1880" s="139" t="n"/>
      <c r="G1880" s="140">
        <f>IFERROR(IF(E1880&gt;0,(F1880/E1880)*1000,""),"")</f>
        <v/>
      </c>
      <c r="H1880" s="139">
        <f>IFERROR(IF(E1880&gt;0,E1880*IF(ISNUMBER(J1880),J1880,IF(C1880="Futures",$C$6,$C$5)),""),"")</f>
        <v/>
      </c>
      <c r="I1880" s="139">
        <f>IFERROR(IF(AND(ISNUMBER(F1880),ISNUMBER(H1880)),F1880-H1880,""),"")</f>
        <v/>
      </c>
      <c r="J1880" s="114" t="n"/>
      <c r="K1880" s="139">
        <f>IFERROR(IF(H1880&gt;0,H1880*$C$7,""),"")</f>
        <v/>
      </c>
      <c r="L1880" s="139">
        <f>IFERROR(IF(ISNUMBER(F1880),F1880-IF(ISNUMBER(K1880),K1880,0),""),"")</f>
        <v/>
      </c>
    </row>
    <row r="1881" ht="24" customHeight="1" s="63">
      <c r="E1881" s="139" t="n"/>
      <c r="F1881" s="139" t="n"/>
      <c r="G1881" s="140">
        <f>IFERROR(IF(E1881&gt;0,(F1881/E1881)*1000,""),"")</f>
        <v/>
      </c>
      <c r="H1881" s="139">
        <f>IFERROR(IF(E1881&gt;0,E1881*IF(ISNUMBER(J1881),J1881,IF(C1881="Futures",$C$6,$C$5)),""),"")</f>
        <v/>
      </c>
      <c r="I1881" s="139">
        <f>IFERROR(IF(AND(ISNUMBER(F1881),ISNUMBER(H1881)),F1881-H1881,""),"")</f>
        <v/>
      </c>
      <c r="J1881" s="114" t="n"/>
      <c r="K1881" s="139">
        <f>IFERROR(IF(H1881&gt;0,H1881*$C$7,""),"")</f>
        <v/>
      </c>
      <c r="L1881" s="139">
        <f>IFERROR(IF(ISNUMBER(F1881),F1881-IF(ISNUMBER(K1881),K1881,0),""),"")</f>
        <v/>
      </c>
    </row>
    <row r="1882" ht="24" customHeight="1" s="63">
      <c r="E1882" s="139" t="n"/>
      <c r="F1882" s="139" t="n"/>
      <c r="G1882" s="140">
        <f>IFERROR(IF(E1882&gt;0,(F1882/E1882)*1000,""),"")</f>
        <v/>
      </c>
      <c r="H1882" s="139">
        <f>IFERROR(IF(E1882&gt;0,E1882*IF(ISNUMBER(J1882),J1882,IF(C1882="Futures",$C$6,$C$5)),""),"")</f>
        <v/>
      </c>
      <c r="I1882" s="139">
        <f>IFERROR(IF(AND(ISNUMBER(F1882),ISNUMBER(H1882)),F1882-H1882,""),"")</f>
        <v/>
      </c>
      <c r="J1882" s="114" t="n"/>
      <c r="K1882" s="139">
        <f>IFERROR(IF(H1882&gt;0,H1882*$C$7,""),"")</f>
        <v/>
      </c>
      <c r="L1882" s="139">
        <f>IFERROR(IF(ISNUMBER(F1882),F1882-IF(ISNUMBER(K1882),K1882,0),""),"")</f>
        <v/>
      </c>
    </row>
    <row r="1883" ht="24" customHeight="1" s="63">
      <c r="E1883" s="139" t="n"/>
      <c r="F1883" s="139" t="n"/>
      <c r="G1883" s="140">
        <f>IFERROR(IF(E1883&gt;0,(F1883/E1883)*1000,""),"")</f>
        <v/>
      </c>
      <c r="H1883" s="139">
        <f>IFERROR(IF(E1883&gt;0,E1883*IF(ISNUMBER(J1883),J1883,IF(C1883="Futures",$C$6,$C$5)),""),"")</f>
        <v/>
      </c>
      <c r="I1883" s="139">
        <f>IFERROR(IF(AND(ISNUMBER(F1883),ISNUMBER(H1883)),F1883-H1883,""),"")</f>
        <v/>
      </c>
      <c r="J1883" s="114" t="n"/>
      <c r="K1883" s="139">
        <f>IFERROR(IF(H1883&gt;0,H1883*$C$7,""),"")</f>
        <v/>
      </c>
      <c r="L1883" s="139">
        <f>IFERROR(IF(ISNUMBER(F1883),F1883-IF(ISNUMBER(K1883),K1883,0),""),"")</f>
        <v/>
      </c>
    </row>
    <row r="1884" ht="24" customHeight="1" s="63">
      <c r="E1884" s="139" t="n"/>
      <c r="F1884" s="139" t="n"/>
      <c r="G1884" s="140">
        <f>IFERROR(IF(E1884&gt;0,(F1884/E1884)*1000,""),"")</f>
        <v/>
      </c>
      <c r="H1884" s="139">
        <f>IFERROR(IF(E1884&gt;0,E1884*IF(ISNUMBER(J1884),J1884,IF(C1884="Futures",$C$6,$C$5)),""),"")</f>
        <v/>
      </c>
      <c r="I1884" s="139">
        <f>IFERROR(IF(AND(ISNUMBER(F1884),ISNUMBER(H1884)),F1884-H1884,""),"")</f>
        <v/>
      </c>
      <c r="J1884" s="114" t="n"/>
      <c r="K1884" s="139">
        <f>IFERROR(IF(H1884&gt;0,H1884*$C$7,""),"")</f>
        <v/>
      </c>
      <c r="L1884" s="139">
        <f>IFERROR(IF(ISNUMBER(F1884),F1884-IF(ISNUMBER(K1884),K1884,0),""),"")</f>
        <v/>
      </c>
    </row>
    <row r="1885" ht="24" customHeight="1" s="63">
      <c r="E1885" s="139" t="n"/>
      <c r="F1885" s="139" t="n"/>
      <c r="G1885" s="140">
        <f>IFERROR(IF(E1885&gt;0,(F1885/E1885)*1000,""),"")</f>
        <v/>
      </c>
      <c r="H1885" s="139">
        <f>IFERROR(IF(E1885&gt;0,E1885*IF(ISNUMBER(J1885),J1885,IF(C1885="Futures",$C$6,$C$5)),""),"")</f>
        <v/>
      </c>
      <c r="I1885" s="139">
        <f>IFERROR(IF(AND(ISNUMBER(F1885),ISNUMBER(H1885)),F1885-H1885,""),"")</f>
        <v/>
      </c>
      <c r="J1885" s="114" t="n"/>
      <c r="K1885" s="139">
        <f>IFERROR(IF(H1885&gt;0,H1885*$C$7,""),"")</f>
        <v/>
      </c>
      <c r="L1885" s="139">
        <f>IFERROR(IF(ISNUMBER(F1885),F1885-IF(ISNUMBER(K1885),K1885,0),""),"")</f>
        <v/>
      </c>
    </row>
    <row r="1886" ht="24" customHeight="1" s="63">
      <c r="E1886" s="139" t="n"/>
      <c r="F1886" s="139" t="n"/>
      <c r="G1886" s="140">
        <f>IFERROR(IF(E1886&gt;0,(F1886/E1886)*1000,""),"")</f>
        <v/>
      </c>
      <c r="H1886" s="139">
        <f>IFERROR(IF(E1886&gt;0,E1886*IF(ISNUMBER(J1886),J1886,IF(C1886="Futures",$C$6,$C$5)),""),"")</f>
        <v/>
      </c>
      <c r="I1886" s="139">
        <f>IFERROR(IF(AND(ISNUMBER(F1886),ISNUMBER(H1886)),F1886-H1886,""),"")</f>
        <v/>
      </c>
      <c r="J1886" s="114" t="n"/>
      <c r="K1886" s="139">
        <f>IFERROR(IF(H1886&gt;0,H1886*$C$7,""),"")</f>
        <v/>
      </c>
      <c r="L1886" s="139">
        <f>IFERROR(IF(ISNUMBER(F1886),F1886-IF(ISNUMBER(K1886),K1886,0),""),"")</f>
        <v/>
      </c>
    </row>
    <row r="1887" ht="24" customHeight="1" s="63">
      <c r="E1887" s="139" t="n"/>
      <c r="F1887" s="139" t="n"/>
      <c r="G1887" s="140">
        <f>IFERROR(IF(E1887&gt;0,(F1887/E1887)*1000,""),"")</f>
        <v/>
      </c>
      <c r="H1887" s="139">
        <f>IFERROR(IF(E1887&gt;0,E1887*IF(ISNUMBER(J1887),J1887,IF(C1887="Futures",$C$6,$C$5)),""),"")</f>
        <v/>
      </c>
      <c r="I1887" s="139">
        <f>IFERROR(IF(AND(ISNUMBER(F1887),ISNUMBER(H1887)),F1887-H1887,""),"")</f>
        <v/>
      </c>
      <c r="J1887" s="114" t="n"/>
      <c r="K1887" s="139">
        <f>IFERROR(IF(H1887&gt;0,H1887*$C$7,""),"")</f>
        <v/>
      </c>
      <c r="L1887" s="139">
        <f>IFERROR(IF(ISNUMBER(F1887),F1887-IF(ISNUMBER(K1887),K1887,0),""),"")</f>
        <v/>
      </c>
    </row>
    <row r="1888" ht="24" customHeight="1" s="63">
      <c r="E1888" s="139" t="n"/>
      <c r="F1888" s="139" t="n"/>
      <c r="G1888" s="140">
        <f>IFERROR(IF(E1888&gt;0,(F1888/E1888)*1000,""),"")</f>
        <v/>
      </c>
      <c r="H1888" s="139">
        <f>IFERROR(IF(E1888&gt;0,E1888*IF(ISNUMBER(J1888),J1888,IF(C1888="Futures",$C$6,$C$5)),""),"")</f>
        <v/>
      </c>
      <c r="I1888" s="139">
        <f>IFERROR(IF(AND(ISNUMBER(F1888),ISNUMBER(H1888)),F1888-H1888,""),"")</f>
        <v/>
      </c>
      <c r="J1888" s="114" t="n"/>
      <c r="K1888" s="139">
        <f>IFERROR(IF(H1888&gt;0,H1888*$C$7,""),"")</f>
        <v/>
      </c>
      <c r="L1888" s="139">
        <f>IFERROR(IF(ISNUMBER(F1888),F1888-IF(ISNUMBER(K1888),K1888,0),""),"")</f>
        <v/>
      </c>
    </row>
    <row r="1889" ht="24" customHeight="1" s="63">
      <c r="E1889" s="139" t="n"/>
      <c r="F1889" s="139" t="n"/>
      <c r="G1889" s="140">
        <f>IFERROR(IF(E1889&gt;0,(F1889/E1889)*1000,""),"")</f>
        <v/>
      </c>
      <c r="H1889" s="139">
        <f>IFERROR(IF(E1889&gt;0,E1889*IF(ISNUMBER(J1889),J1889,IF(C1889="Futures",$C$6,$C$5)),""),"")</f>
        <v/>
      </c>
      <c r="I1889" s="139">
        <f>IFERROR(IF(AND(ISNUMBER(F1889),ISNUMBER(H1889)),F1889-H1889,""),"")</f>
        <v/>
      </c>
      <c r="J1889" s="114" t="n"/>
      <c r="K1889" s="139">
        <f>IFERROR(IF(H1889&gt;0,H1889*$C$7,""),"")</f>
        <v/>
      </c>
      <c r="L1889" s="139">
        <f>IFERROR(IF(ISNUMBER(F1889),F1889-IF(ISNUMBER(K1889),K1889,0),""),"")</f>
        <v/>
      </c>
    </row>
    <row r="1890" ht="24" customHeight="1" s="63">
      <c r="E1890" s="139" t="n"/>
      <c r="F1890" s="139" t="n"/>
      <c r="G1890" s="140">
        <f>IFERROR(IF(E1890&gt;0,(F1890/E1890)*1000,""),"")</f>
        <v/>
      </c>
      <c r="H1890" s="139">
        <f>IFERROR(IF(E1890&gt;0,E1890*IF(ISNUMBER(J1890),J1890,IF(C1890="Futures",$C$6,$C$5)),""),"")</f>
        <v/>
      </c>
      <c r="I1890" s="139">
        <f>IFERROR(IF(AND(ISNUMBER(F1890),ISNUMBER(H1890)),F1890-H1890,""),"")</f>
        <v/>
      </c>
      <c r="J1890" s="114" t="n"/>
      <c r="K1890" s="139">
        <f>IFERROR(IF(H1890&gt;0,H1890*$C$7,""),"")</f>
        <v/>
      </c>
      <c r="L1890" s="139">
        <f>IFERROR(IF(ISNUMBER(F1890),F1890-IF(ISNUMBER(K1890),K1890,0),""),"")</f>
        <v/>
      </c>
    </row>
    <row r="1891" ht="24" customHeight="1" s="63">
      <c r="E1891" s="139" t="n"/>
      <c r="F1891" s="139" t="n"/>
      <c r="G1891" s="140">
        <f>IFERROR(IF(E1891&gt;0,(F1891/E1891)*1000,""),"")</f>
        <v/>
      </c>
      <c r="H1891" s="139">
        <f>IFERROR(IF(E1891&gt;0,E1891*IF(ISNUMBER(J1891),J1891,IF(C1891="Futures",$C$6,$C$5)),""),"")</f>
        <v/>
      </c>
      <c r="I1891" s="139">
        <f>IFERROR(IF(AND(ISNUMBER(F1891),ISNUMBER(H1891)),F1891-H1891,""),"")</f>
        <v/>
      </c>
      <c r="J1891" s="114" t="n"/>
      <c r="K1891" s="139">
        <f>IFERROR(IF(H1891&gt;0,H1891*$C$7,""),"")</f>
        <v/>
      </c>
      <c r="L1891" s="139">
        <f>IFERROR(IF(ISNUMBER(F1891),F1891-IF(ISNUMBER(K1891),K1891,0),""),"")</f>
        <v/>
      </c>
    </row>
    <row r="1892" ht="24" customHeight="1" s="63">
      <c r="E1892" s="139" t="n"/>
      <c r="F1892" s="139" t="n"/>
      <c r="G1892" s="140">
        <f>IFERROR(IF(E1892&gt;0,(F1892/E1892)*1000,""),"")</f>
        <v/>
      </c>
      <c r="H1892" s="139">
        <f>IFERROR(IF(E1892&gt;0,E1892*IF(ISNUMBER(J1892),J1892,IF(C1892="Futures",$C$6,$C$5)),""),"")</f>
        <v/>
      </c>
      <c r="I1892" s="139">
        <f>IFERROR(IF(AND(ISNUMBER(F1892),ISNUMBER(H1892)),F1892-H1892,""),"")</f>
        <v/>
      </c>
      <c r="J1892" s="114" t="n"/>
      <c r="K1892" s="139">
        <f>IFERROR(IF(H1892&gt;0,H1892*$C$7,""),"")</f>
        <v/>
      </c>
      <c r="L1892" s="139">
        <f>IFERROR(IF(ISNUMBER(F1892),F1892-IF(ISNUMBER(K1892),K1892,0),""),"")</f>
        <v/>
      </c>
    </row>
    <row r="1893" ht="24" customHeight="1" s="63">
      <c r="E1893" s="139" t="n"/>
      <c r="F1893" s="139" t="n"/>
      <c r="G1893" s="140">
        <f>IFERROR(IF(E1893&gt;0,(F1893/E1893)*1000,""),"")</f>
        <v/>
      </c>
      <c r="H1893" s="139">
        <f>IFERROR(IF(E1893&gt;0,E1893*IF(ISNUMBER(J1893),J1893,IF(C1893="Futures",$C$6,$C$5)),""),"")</f>
        <v/>
      </c>
      <c r="I1893" s="139">
        <f>IFERROR(IF(AND(ISNUMBER(F1893),ISNUMBER(H1893)),F1893-H1893,""),"")</f>
        <v/>
      </c>
      <c r="J1893" s="114" t="n"/>
      <c r="K1893" s="139">
        <f>IFERROR(IF(H1893&gt;0,H1893*$C$7,""),"")</f>
        <v/>
      </c>
      <c r="L1893" s="139">
        <f>IFERROR(IF(ISNUMBER(F1893),F1893-IF(ISNUMBER(K1893),K1893,0),""),"")</f>
        <v/>
      </c>
    </row>
    <row r="1894" ht="24" customHeight="1" s="63">
      <c r="E1894" s="139" t="n"/>
      <c r="F1894" s="139" t="n"/>
      <c r="G1894" s="140">
        <f>IFERROR(IF(E1894&gt;0,(F1894/E1894)*1000,""),"")</f>
        <v/>
      </c>
      <c r="H1894" s="139">
        <f>IFERROR(IF(E1894&gt;0,E1894*IF(ISNUMBER(J1894),J1894,IF(C1894="Futures",$C$6,$C$5)),""),"")</f>
        <v/>
      </c>
      <c r="I1894" s="139">
        <f>IFERROR(IF(AND(ISNUMBER(F1894),ISNUMBER(H1894)),F1894-H1894,""),"")</f>
        <v/>
      </c>
      <c r="J1894" s="114" t="n"/>
      <c r="K1894" s="139">
        <f>IFERROR(IF(H1894&gt;0,H1894*$C$7,""),"")</f>
        <v/>
      </c>
      <c r="L1894" s="139">
        <f>IFERROR(IF(ISNUMBER(F1894),F1894-IF(ISNUMBER(K1894),K1894,0),""),"")</f>
        <v/>
      </c>
    </row>
    <row r="1895" ht="24" customHeight="1" s="63">
      <c r="E1895" s="139" t="n"/>
      <c r="F1895" s="139" t="n"/>
      <c r="G1895" s="140">
        <f>IFERROR(IF(E1895&gt;0,(F1895/E1895)*1000,""),"")</f>
        <v/>
      </c>
      <c r="H1895" s="139">
        <f>IFERROR(IF(E1895&gt;0,E1895*IF(ISNUMBER(J1895),J1895,IF(C1895="Futures",$C$6,$C$5)),""),"")</f>
        <v/>
      </c>
      <c r="I1895" s="139">
        <f>IFERROR(IF(AND(ISNUMBER(F1895),ISNUMBER(H1895)),F1895-H1895,""),"")</f>
        <v/>
      </c>
      <c r="J1895" s="114" t="n"/>
      <c r="K1895" s="139">
        <f>IFERROR(IF(H1895&gt;0,H1895*$C$7,""),"")</f>
        <v/>
      </c>
      <c r="L1895" s="139">
        <f>IFERROR(IF(ISNUMBER(F1895),F1895-IF(ISNUMBER(K1895),K1895,0),""),"")</f>
        <v/>
      </c>
    </row>
    <row r="1896" ht="24" customHeight="1" s="63">
      <c r="E1896" s="139" t="n"/>
      <c r="F1896" s="139" t="n"/>
      <c r="G1896" s="140">
        <f>IFERROR(IF(E1896&gt;0,(F1896/E1896)*1000,""),"")</f>
        <v/>
      </c>
      <c r="H1896" s="139">
        <f>IFERROR(IF(E1896&gt;0,E1896*IF(ISNUMBER(J1896),J1896,IF(C1896="Futures",$C$6,$C$5)),""),"")</f>
        <v/>
      </c>
      <c r="I1896" s="139">
        <f>IFERROR(IF(AND(ISNUMBER(F1896),ISNUMBER(H1896)),F1896-H1896,""),"")</f>
        <v/>
      </c>
      <c r="J1896" s="114" t="n"/>
      <c r="K1896" s="139">
        <f>IFERROR(IF(H1896&gt;0,H1896*$C$7,""),"")</f>
        <v/>
      </c>
      <c r="L1896" s="139">
        <f>IFERROR(IF(ISNUMBER(F1896),F1896-IF(ISNUMBER(K1896),K1896,0),""),"")</f>
        <v/>
      </c>
    </row>
    <row r="1897" ht="24" customHeight="1" s="63">
      <c r="E1897" s="139" t="n"/>
      <c r="F1897" s="139" t="n"/>
      <c r="G1897" s="140">
        <f>IFERROR(IF(E1897&gt;0,(F1897/E1897)*1000,""),"")</f>
        <v/>
      </c>
      <c r="H1897" s="139">
        <f>IFERROR(IF(E1897&gt;0,E1897*IF(ISNUMBER(J1897),J1897,IF(C1897="Futures",$C$6,$C$5)),""),"")</f>
        <v/>
      </c>
      <c r="I1897" s="139">
        <f>IFERROR(IF(AND(ISNUMBER(F1897),ISNUMBER(H1897)),F1897-H1897,""),"")</f>
        <v/>
      </c>
      <c r="J1897" s="114" t="n"/>
      <c r="K1897" s="139">
        <f>IFERROR(IF(H1897&gt;0,H1897*$C$7,""),"")</f>
        <v/>
      </c>
      <c r="L1897" s="139">
        <f>IFERROR(IF(ISNUMBER(F1897),F1897-IF(ISNUMBER(K1897),K1897,0),""),"")</f>
        <v/>
      </c>
    </row>
    <row r="1898" ht="24" customHeight="1" s="63">
      <c r="E1898" s="139" t="n"/>
      <c r="F1898" s="139" t="n"/>
      <c r="G1898" s="140">
        <f>IFERROR(IF(E1898&gt;0,(F1898/E1898)*1000,""),"")</f>
        <v/>
      </c>
      <c r="H1898" s="139">
        <f>IFERROR(IF(E1898&gt;0,E1898*IF(ISNUMBER(J1898),J1898,IF(C1898="Futures",$C$6,$C$5)),""),"")</f>
        <v/>
      </c>
      <c r="I1898" s="139">
        <f>IFERROR(IF(AND(ISNUMBER(F1898),ISNUMBER(H1898)),F1898-H1898,""),"")</f>
        <v/>
      </c>
      <c r="J1898" s="114" t="n"/>
      <c r="K1898" s="139">
        <f>IFERROR(IF(H1898&gt;0,H1898*$C$7,""),"")</f>
        <v/>
      </c>
      <c r="L1898" s="139">
        <f>IFERROR(IF(ISNUMBER(F1898),F1898-IF(ISNUMBER(K1898),K1898,0),""),"")</f>
        <v/>
      </c>
    </row>
    <row r="1899" ht="24" customHeight="1" s="63">
      <c r="E1899" s="139" t="n"/>
      <c r="F1899" s="139" t="n"/>
      <c r="G1899" s="140">
        <f>IFERROR(IF(E1899&gt;0,(F1899/E1899)*1000,""),"")</f>
        <v/>
      </c>
      <c r="H1899" s="139">
        <f>IFERROR(IF(E1899&gt;0,E1899*IF(ISNUMBER(J1899),J1899,IF(C1899="Futures",$C$6,$C$5)),""),"")</f>
        <v/>
      </c>
      <c r="I1899" s="139">
        <f>IFERROR(IF(AND(ISNUMBER(F1899),ISNUMBER(H1899)),F1899-H1899,""),"")</f>
        <v/>
      </c>
      <c r="J1899" s="114" t="n"/>
      <c r="K1899" s="139">
        <f>IFERROR(IF(H1899&gt;0,H1899*$C$7,""),"")</f>
        <v/>
      </c>
      <c r="L1899" s="139">
        <f>IFERROR(IF(ISNUMBER(F1899),F1899-IF(ISNUMBER(K1899),K1899,0),""),"")</f>
        <v/>
      </c>
    </row>
    <row r="1900" ht="24" customHeight="1" s="63">
      <c r="E1900" s="139" t="n"/>
      <c r="F1900" s="139" t="n"/>
      <c r="G1900" s="140">
        <f>IFERROR(IF(E1900&gt;0,(F1900/E1900)*1000,""),"")</f>
        <v/>
      </c>
      <c r="H1900" s="139">
        <f>IFERROR(IF(E1900&gt;0,E1900*IF(ISNUMBER(J1900),J1900,IF(C1900="Futures",$C$6,$C$5)),""),"")</f>
        <v/>
      </c>
      <c r="I1900" s="139">
        <f>IFERROR(IF(AND(ISNUMBER(F1900),ISNUMBER(H1900)),F1900-H1900,""),"")</f>
        <v/>
      </c>
      <c r="J1900" s="114" t="n"/>
      <c r="K1900" s="139">
        <f>IFERROR(IF(H1900&gt;0,H1900*$C$7,""),"")</f>
        <v/>
      </c>
      <c r="L1900" s="139">
        <f>IFERROR(IF(ISNUMBER(F1900),F1900-IF(ISNUMBER(K1900),K1900,0),""),"")</f>
        <v/>
      </c>
    </row>
    <row r="1901" ht="24" customHeight="1" s="63">
      <c r="E1901" s="139" t="n"/>
      <c r="F1901" s="139" t="n"/>
      <c r="G1901" s="140">
        <f>IFERROR(IF(E1901&gt;0,(F1901/E1901)*1000,""),"")</f>
        <v/>
      </c>
      <c r="H1901" s="139">
        <f>IFERROR(IF(E1901&gt;0,E1901*IF(ISNUMBER(J1901),J1901,IF(C1901="Futures",$C$6,$C$5)),""),"")</f>
        <v/>
      </c>
      <c r="I1901" s="139">
        <f>IFERROR(IF(AND(ISNUMBER(F1901),ISNUMBER(H1901)),F1901-H1901,""),"")</f>
        <v/>
      </c>
      <c r="J1901" s="114" t="n"/>
      <c r="K1901" s="139">
        <f>IFERROR(IF(H1901&gt;0,H1901*$C$7,""),"")</f>
        <v/>
      </c>
      <c r="L1901" s="139">
        <f>IFERROR(IF(ISNUMBER(F1901),F1901-IF(ISNUMBER(K1901),K1901,0),""),"")</f>
        <v/>
      </c>
    </row>
    <row r="1902" ht="24" customHeight="1" s="63">
      <c r="E1902" s="139" t="n"/>
      <c r="F1902" s="139" t="n"/>
      <c r="G1902" s="140">
        <f>IFERROR(IF(E1902&gt;0,(F1902/E1902)*1000,""),"")</f>
        <v/>
      </c>
      <c r="H1902" s="139">
        <f>IFERROR(IF(E1902&gt;0,E1902*IF(ISNUMBER(J1902),J1902,IF(C1902="Futures",$C$6,$C$5)),""),"")</f>
        <v/>
      </c>
      <c r="I1902" s="139">
        <f>IFERROR(IF(AND(ISNUMBER(F1902),ISNUMBER(H1902)),F1902-H1902,""),"")</f>
        <v/>
      </c>
      <c r="J1902" s="114" t="n"/>
      <c r="K1902" s="139">
        <f>IFERROR(IF(H1902&gt;0,H1902*$C$7,""),"")</f>
        <v/>
      </c>
      <c r="L1902" s="139">
        <f>IFERROR(IF(ISNUMBER(F1902),F1902-IF(ISNUMBER(K1902),K1902,0),""),"")</f>
        <v/>
      </c>
    </row>
    <row r="1903" ht="24" customHeight="1" s="63">
      <c r="E1903" s="139" t="n"/>
      <c r="F1903" s="139" t="n"/>
      <c r="G1903" s="140">
        <f>IFERROR(IF(E1903&gt;0,(F1903/E1903)*1000,""),"")</f>
        <v/>
      </c>
      <c r="H1903" s="139">
        <f>IFERROR(IF(E1903&gt;0,E1903*IF(ISNUMBER(J1903),J1903,IF(C1903="Futures",$C$6,$C$5)),""),"")</f>
        <v/>
      </c>
      <c r="I1903" s="139">
        <f>IFERROR(IF(AND(ISNUMBER(F1903),ISNUMBER(H1903)),F1903-H1903,""),"")</f>
        <v/>
      </c>
      <c r="J1903" s="114" t="n"/>
      <c r="K1903" s="139">
        <f>IFERROR(IF(H1903&gt;0,H1903*$C$7,""),"")</f>
        <v/>
      </c>
      <c r="L1903" s="139">
        <f>IFERROR(IF(ISNUMBER(F1903),F1903-IF(ISNUMBER(K1903),K1903,0),""),"")</f>
        <v/>
      </c>
    </row>
    <row r="1904" ht="24" customHeight="1" s="63">
      <c r="E1904" s="139" t="n"/>
      <c r="F1904" s="139" t="n"/>
      <c r="G1904" s="140">
        <f>IFERROR(IF(E1904&gt;0,(F1904/E1904)*1000,""),"")</f>
        <v/>
      </c>
      <c r="H1904" s="139">
        <f>IFERROR(IF(E1904&gt;0,E1904*IF(ISNUMBER(J1904),J1904,IF(C1904="Futures",$C$6,$C$5)),""),"")</f>
        <v/>
      </c>
      <c r="I1904" s="139">
        <f>IFERROR(IF(AND(ISNUMBER(F1904),ISNUMBER(H1904)),F1904-H1904,""),"")</f>
        <v/>
      </c>
      <c r="J1904" s="114" t="n"/>
      <c r="K1904" s="139">
        <f>IFERROR(IF(H1904&gt;0,H1904*$C$7,""),"")</f>
        <v/>
      </c>
      <c r="L1904" s="139">
        <f>IFERROR(IF(ISNUMBER(F1904),F1904-IF(ISNUMBER(K1904),K1904,0),""),"")</f>
        <v/>
      </c>
    </row>
    <row r="1905" ht="24" customHeight="1" s="63">
      <c r="E1905" s="139" t="n"/>
      <c r="F1905" s="139" t="n"/>
      <c r="G1905" s="140">
        <f>IFERROR(IF(E1905&gt;0,(F1905/E1905)*1000,""),"")</f>
        <v/>
      </c>
      <c r="H1905" s="139">
        <f>IFERROR(IF(E1905&gt;0,E1905*IF(ISNUMBER(J1905),J1905,IF(C1905="Futures",$C$6,$C$5)),""),"")</f>
        <v/>
      </c>
      <c r="I1905" s="139">
        <f>IFERROR(IF(AND(ISNUMBER(F1905),ISNUMBER(H1905)),F1905-H1905,""),"")</f>
        <v/>
      </c>
      <c r="J1905" s="114" t="n"/>
      <c r="K1905" s="139">
        <f>IFERROR(IF(H1905&gt;0,H1905*$C$7,""),"")</f>
        <v/>
      </c>
      <c r="L1905" s="139">
        <f>IFERROR(IF(ISNUMBER(F1905),F1905-IF(ISNUMBER(K1905),K1905,0),""),"")</f>
        <v/>
      </c>
    </row>
    <row r="1906" ht="24" customHeight="1" s="63">
      <c r="E1906" s="139" t="n"/>
      <c r="F1906" s="139" t="n"/>
      <c r="G1906" s="140">
        <f>IFERROR(IF(E1906&gt;0,(F1906/E1906)*1000,""),"")</f>
        <v/>
      </c>
      <c r="H1906" s="139">
        <f>IFERROR(IF(E1906&gt;0,E1906*IF(ISNUMBER(J1906),J1906,IF(C1906="Futures",$C$6,$C$5)),""),"")</f>
        <v/>
      </c>
      <c r="I1906" s="139">
        <f>IFERROR(IF(AND(ISNUMBER(F1906),ISNUMBER(H1906)),F1906-H1906,""),"")</f>
        <v/>
      </c>
      <c r="J1906" s="114" t="n"/>
      <c r="K1906" s="139">
        <f>IFERROR(IF(H1906&gt;0,H1906*$C$7,""),"")</f>
        <v/>
      </c>
      <c r="L1906" s="139">
        <f>IFERROR(IF(ISNUMBER(F1906),F1906-IF(ISNUMBER(K1906),K1906,0),""),"")</f>
        <v/>
      </c>
    </row>
    <row r="1907" ht="24" customHeight="1" s="63">
      <c r="E1907" s="139" t="n"/>
      <c r="F1907" s="139" t="n"/>
      <c r="G1907" s="140">
        <f>IFERROR(IF(E1907&gt;0,(F1907/E1907)*1000,""),"")</f>
        <v/>
      </c>
      <c r="H1907" s="139">
        <f>IFERROR(IF(E1907&gt;0,E1907*IF(ISNUMBER(J1907),J1907,IF(C1907="Futures",$C$6,$C$5)),""),"")</f>
        <v/>
      </c>
      <c r="I1907" s="139">
        <f>IFERROR(IF(AND(ISNUMBER(F1907),ISNUMBER(H1907)),F1907-H1907,""),"")</f>
        <v/>
      </c>
      <c r="J1907" s="114" t="n"/>
      <c r="K1907" s="139">
        <f>IFERROR(IF(H1907&gt;0,H1907*$C$7,""),"")</f>
        <v/>
      </c>
      <c r="L1907" s="139">
        <f>IFERROR(IF(ISNUMBER(F1907),F1907-IF(ISNUMBER(K1907),K1907,0),""),"")</f>
        <v/>
      </c>
    </row>
    <row r="1908" ht="24" customHeight="1" s="63">
      <c r="E1908" s="139" t="n"/>
      <c r="F1908" s="139" t="n"/>
      <c r="G1908" s="140">
        <f>IFERROR(IF(E1908&gt;0,(F1908/E1908)*1000,""),"")</f>
        <v/>
      </c>
      <c r="H1908" s="139">
        <f>IFERROR(IF(E1908&gt;0,E1908*IF(ISNUMBER(J1908),J1908,IF(C1908="Futures",$C$6,$C$5)),""),"")</f>
        <v/>
      </c>
      <c r="I1908" s="139">
        <f>IFERROR(IF(AND(ISNUMBER(F1908),ISNUMBER(H1908)),F1908-H1908,""),"")</f>
        <v/>
      </c>
      <c r="J1908" s="114" t="n"/>
      <c r="K1908" s="139">
        <f>IFERROR(IF(H1908&gt;0,H1908*$C$7,""),"")</f>
        <v/>
      </c>
      <c r="L1908" s="139">
        <f>IFERROR(IF(ISNUMBER(F1908),F1908-IF(ISNUMBER(K1908),K1908,0),""),"")</f>
        <v/>
      </c>
    </row>
    <row r="1909" ht="24" customHeight="1" s="63">
      <c r="E1909" s="139" t="n"/>
      <c r="F1909" s="139" t="n"/>
      <c r="G1909" s="140">
        <f>IFERROR(IF(E1909&gt;0,(F1909/E1909)*1000,""),"")</f>
        <v/>
      </c>
      <c r="H1909" s="139">
        <f>IFERROR(IF(E1909&gt;0,E1909*IF(ISNUMBER(J1909),J1909,IF(C1909="Futures",$C$6,$C$5)),""),"")</f>
        <v/>
      </c>
      <c r="I1909" s="139">
        <f>IFERROR(IF(AND(ISNUMBER(F1909),ISNUMBER(H1909)),F1909-H1909,""),"")</f>
        <v/>
      </c>
      <c r="J1909" s="114" t="n"/>
      <c r="K1909" s="139">
        <f>IFERROR(IF(H1909&gt;0,H1909*$C$7,""),"")</f>
        <v/>
      </c>
      <c r="L1909" s="139">
        <f>IFERROR(IF(ISNUMBER(F1909),F1909-IF(ISNUMBER(K1909),K1909,0),""),"")</f>
        <v/>
      </c>
    </row>
    <row r="1910" ht="24" customHeight="1" s="63">
      <c r="E1910" s="139" t="n"/>
      <c r="F1910" s="139" t="n"/>
      <c r="G1910" s="140">
        <f>IFERROR(IF(E1910&gt;0,(F1910/E1910)*1000,""),"")</f>
        <v/>
      </c>
      <c r="H1910" s="139">
        <f>IFERROR(IF(E1910&gt;0,E1910*IF(ISNUMBER(J1910),J1910,IF(C1910="Futures",$C$6,$C$5)),""),"")</f>
        <v/>
      </c>
      <c r="I1910" s="139">
        <f>IFERROR(IF(AND(ISNUMBER(F1910),ISNUMBER(H1910)),F1910-H1910,""),"")</f>
        <v/>
      </c>
      <c r="J1910" s="114" t="n"/>
      <c r="K1910" s="139">
        <f>IFERROR(IF(H1910&gt;0,H1910*$C$7,""),"")</f>
        <v/>
      </c>
      <c r="L1910" s="139">
        <f>IFERROR(IF(ISNUMBER(F1910),F1910-IF(ISNUMBER(K1910),K1910,0),""),"")</f>
        <v/>
      </c>
    </row>
    <row r="1911" ht="24" customHeight="1" s="63">
      <c r="E1911" s="139" t="n"/>
      <c r="F1911" s="139" t="n"/>
      <c r="G1911" s="140">
        <f>IFERROR(IF(E1911&gt;0,(F1911/E1911)*1000,""),"")</f>
        <v/>
      </c>
      <c r="H1911" s="139">
        <f>IFERROR(IF(E1911&gt;0,E1911*IF(ISNUMBER(J1911),J1911,IF(C1911="Futures",$C$6,$C$5)),""),"")</f>
        <v/>
      </c>
      <c r="I1911" s="139">
        <f>IFERROR(IF(AND(ISNUMBER(F1911),ISNUMBER(H1911)),F1911-H1911,""),"")</f>
        <v/>
      </c>
      <c r="J1911" s="114" t="n"/>
      <c r="K1911" s="139">
        <f>IFERROR(IF(H1911&gt;0,H1911*$C$7,""),"")</f>
        <v/>
      </c>
      <c r="L1911" s="139">
        <f>IFERROR(IF(ISNUMBER(F1911),F1911-IF(ISNUMBER(K1911),K1911,0),""),"")</f>
        <v/>
      </c>
    </row>
    <row r="1912" ht="24" customHeight="1" s="63">
      <c r="E1912" s="139" t="n"/>
      <c r="F1912" s="139" t="n"/>
      <c r="G1912" s="140">
        <f>IFERROR(IF(E1912&gt;0,(F1912/E1912)*1000,""),"")</f>
        <v/>
      </c>
      <c r="H1912" s="139">
        <f>IFERROR(IF(E1912&gt;0,E1912*IF(ISNUMBER(J1912),J1912,IF(C1912="Futures",$C$6,$C$5)),""),"")</f>
        <v/>
      </c>
      <c r="I1912" s="139">
        <f>IFERROR(IF(AND(ISNUMBER(F1912),ISNUMBER(H1912)),F1912-H1912,""),"")</f>
        <v/>
      </c>
      <c r="J1912" s="114" t="n"/>
      <c r="K1912" s="139">
        <f>IFERROR(IF(H1912&gt;0,H1912*$C$7,""),"")</f>
        <v/>
      </c>
      <c r="L1912" s="139">
        <f>IFERROR(IF(ISNUMBER(F1912),F1912-IF(ISNUMBER(K1912),K1912,0),""),"")</f>
        <v/>
      </c>
    </row>
    <row r="1913" ht="24" customHeight="1" s="63">
      <c r="E1913" s="139" t="n"/>
      <c r="F1913" s="139" t="n"/>
      <c r="G1913" s="140">
        <f>IFERROR(IF(E1913&gt;0,(F1913/E1913)*1000,""),"")</f>
        <v/>
      </c>
      <c r="H1913" s="139">
        <f>IFERROR(IF(E1913&gt;0,E1913*IF(ISNUMBER(J1913),J1913,IF(C1913="Futures",$C$6,$C$5)),""),"")</f>
        <v/>
      </c>
      <c r="I1913" s="139">
        <f>IFERROR(IF(AND(ISNUMBER(F1913),ISNUMBER(H1913)),F1913-H1913,""),"")</f>
        <v/>
      </c>
      <c r="J1913" s="114" t="n"/>
      <c r="K1913" s="139">
        <f>IFERROR(IF(H1913&gt;0,H1913*$C$7,""),"")</f>
        <v/>
      </c>
      <c r="L1913" s="139">
        <f>IFERROR(IF(ISNUMBER(F1913),F1913-IF(ISNUMBER(K1913),K1913,0),""),"")</f>
        <v/>
      </c>
    </row>
    <row r="1914" ht="24" customHeight="1" s="63">
      <c r="E1914" s="139" t="n"/>
      <c r="F1914" s="139" t="n"/>
      <c r="G1914" s="140">
        <f>IFERROR(IF(E1914&gt;0,(F1914/E1914)*1000,""),"")</f>
        <v/>
      </c>
      <c r="H1914" s="139">
        <f>IFERROR(IF(E1914&gt;0,E1914*IF(ISNUMBER(J1914),J1914,IF(C1914="Futures",$C$6,$C$5)),""),"")</f>
        <v/>
      </c>
      <c r="I1914" s="139">
        <f>IFERROR(IF(AND(ISNUMBER(F1914),ISNUMBER(H1914)),F1914-H1914,""),"")</f>
        <v/>
      </c>
      <c r="J1914" s="114" t="n"/>
      <c r="K1914" s="139">
        <f>IFERROR(IF(H1914&gt;0,H1914*$C$7,""),"")</f>
        <v/>
      </c>
      <c r="L1914" s="139">
        <f>IFERROR(IF(ISNUMBER(F1914),F1914-IF(ISNUMBER(K1914),K1914,0),""),"")</f>
        <v/>
      </c>
    </row>
    <row r="1915" ht="24" customHeight="1" s="63">
      <c r="E1915" s="139" t="n"/>
      <c r="F1915" s="139" t="n"/>
      <c r="G1915" s="140">
        <f>IFERROR(IF(E1915&gt;0,(F1915/E1915)*1000,""),"")</f>
        <v/>
      </c>
      <c r="H1915" s="139">
        <f>IFERROR(IF(E1915&gt;0,E1915*IF(ISNUMBER(J1915),J1915,IF(C1915="Futures",$C$6,$C$5)),""),"")</f>
        <v/>
      </c>
      <c r="I1915" s="139">
        <f>IFERROR(IF(AND(ISNUMBER(F1915),ISNUMBER(H1915)),F1915-H1915,""),"")</f>
        <v/>
      </c>
      <c r="J1915" s="114" t="n"/>
      <c r="K1915" s="139">
        <f>IFERROR(IF(H1915&gt;0,H1915*$C$7,""),"")</f>
        <v/>
      </c>
      <c r="L1915" s="139">
        <f>IFERROR(IF(ISNUMBER(F1915),F1915-IF(ISNUMBER(K1915),K1915,0),""),"")</f>
        <v/>
      </c>
    </row>
    <row r="1916" ht="24" customHeight="1" s="63">
      <c r="E1916" s="139" t="n"/>
      <c r="F1916" s="139" t="n"/>
      <c r="G1916" s="140">
        <f>IFERROR(IF(E1916&gt;0,(F1916/E1916)*1000,""),"")</f>
        <v/>
      </c>
      <c r="H1916" s="139">
        <f>IFERROR(IF(E1916&gt;0,E1916*IF(ISNUMBER(J1916),J1916,IF(C1916="Futures",$C$6,$C$5)),""),"")</f>
        <v/>
      </c>
      <c r="I1916" s="139">
        <f>IFERROR(IF(AND(ISNUMBER(F1916),ISNUMBER(H1916)),F1916-H1916,""),"")</f>
        <v/>
      </c>
      <c r="J1916" s="114" t="n"/>
      <c r="K1916" s="139">
        <f>IFERROR(IF(H1916&gt;0,H1916*$C$7,""),"")</f>
        <v/>
      </c>
      <c r="L1916" s="139">
        <f>IFERROR(IF(ISNUMBER(F1916),F1916-IF(ISNUMBER(K1916),K1916,0),""),"")</f>
        <v/>
      </c>
    </row>
    <row r="1917" ht="24" customHeight="1" s="63">
      <c r="E1917" s="139" t="n"/>
      <c r="F1917" s="139" t="n"/>
      <c r="G1917" s="140">
        <f>IFERROR(IF(E1917&gt;0,(F1917/E1917)*1000,""),"")</f>
        <v/>
      </c>
      <c r="H1917" s="139">
        <f>IFERROR(IF(E1917&gt;0,E1917*IF(ISNUMBER(J1917),J1917,IF(C1917="Futures",$C$6,$C$5)),""),"")</f>
        <v/>
      </c>
      <c r="I1917" s="139">
        <f>IFERROR(IF(AND(ISNUMBER(F1917),ISNUMBER(H1917)),F1917-H1917,""),"")</f>
        <v/>
      </c>
      <c r="J1917" s="114" t="n"/>
      <c r="K1917" s="139">
        <f>IFERROR(IF(H1917&gt;0,H1917*$C$7,""),"")</f>
        <v/>
      </c>
      <c r="L1917" s="139">
        <f>IFERROR(IF(ISNUMBER(F1917),F1917-IF(ISNUMBER(K1917),K1917,0),""),"")</f>
        <v/>
      </c>
    </row>
    <row r="1918" ht="24" customHeight="1" s="63">
      <c r="E1918" s="139" t="n"/>
      <c r="F1918" s="139" t="n"/>
      <c r="G1918" s="140">
        <f>IFERROR(IF(E1918&gt;0,(F1918/E1918)*1000,""),"")</f>
        <v/>
      </c>
      <c r="H1918" s="139">
        <f>IFERROR(IF(E1918&gt;0,E1918*IF(ISNUMBER(J1918),J1918,IF(C1918="Futures",$C$6,$C$5)),""),"")</f>
        <v/>
      </c>
      <c r="I1918" s="139">
        <f>IFERROR(IF(AND(ISNUMBER(F1918),ISNUMBER(H1918)),F1918-H1918,""),"")</f>
        <v/>
      </c>
      <c r="J1918" s="114" t="n"/>
      <c r="K1918" s="139">
        <f>IFERROR(IF(H1918&gt;0,H1918*$C$7,""),"")</f>
        <v/>
      </c>
      <c r="L1918" s="139">
        <f>IFERROR(IF(ISNUMBER(F1918),F1918-IF(ISNUMBER(K1918),K1918,0),""),"")</f>
        <v/>
      </c>
    </row>
    <row r="1919" ht="24" customHeight="1" s="63">
      <c r="E1919" s="139" t="n"/>
      <c r="F1919" s="139" t="n"/>
      <c r="G1919" s="140">
        <f>IFERROR(IF(E1919&gt;0,(F1919/E1919)*1000,""),"")</f>
        <v/>
      </c>
      <c r="H1919" s="139">
        <f>IFERROR(IF(E1919&gt;0,E1919*IF(ISNUMBER(J1919),J1919,IF(C1919="Futures",$C$6,$C$5)),""),"")</f>
        <v/>
      </c>
      <c r="I1919" s="139">
        <f>IFERROR(IF(AND(ISNUMBER(F1919),ISNUMBER(H1919)),F1919-H1919,""),"")</f>
        <v/>
      </c>
      <c r="J1919" s="114" t="n"/>
      <c r="K1919" s="139">
        <f>IFERROR(IF(H1919&gt;0,H1919*$C$7,""),"")</f>
        <v/>
      </c>
      <c r="L1919" s="139">
        <f>IFERROR(IF(ISNUMBER(F1919),F1919-IF(ISNUMBER(K1919),K1919,0),""),"")</f>
        <v/>
      </c>
    </row>
    <row r="1920" ht="24" customHeight="1" s="63">
      <c r="E1920" s="139" t="n"/>
      <c r="F1920" s="139" t="n"/>
      <c r="G1920" s="140">
        <f>IFERROR(IF(E1920&gt;0,(F1920/E1920)*1000,""),"")</f>
        <v/>
      </c>
      <c r="H1920" s="139">
        <f>IFERROR(IF(E1920&gt;0,E1920*IF(ISNUMBER(J1920),J1920,IF(C1920="Futures",$C$6,$C$5)),""),"")</f>
        <v/>
      </c>
      <c r="I1920" s="139">
        <f>IFERROR(IF(AND(ISNUMBER(F1920),ISNUMBER(H1920)),F1920-H1920,""),"")</f>
        <v/>
      </c>
      <c r="J1920" s="114" t="n"/>
      <c r="K1920" s="139">
        <f>IFERROR(IF(H1920&gt;0,H1920*$C$7,""),"")</f>
        <v/>
      </c>
      <c r="L1920" s="139">
        <f>IFERROR(IF(ISNUMBER(F1920),F1920-IF(ISNUMBER(K1920),K1920,0),""),"")</f>
        <v/>
      </c>
    </row>
    <row r="1921" ht="24" customHeight="1" s="63">
      <c r="E1921" s="139" t="n"/>
      <c r="F1921" s="139" t="n"/>
      <c r="G1921" s="140">
        <f>IFERROR(IF(E1921&gt;0,(F1921/E1921)*1000,""),"")</f>
        <v/>
      </c>
      <c r="H1921" s="139">
        <f>IFERROR(IF(E1921&gt;0,E1921*IF(ISNUMBER(J1921),J1921,IF(C1921="Futures",$C$6,$C$5)),""),"")</f>
        <v/>
      </c>
      <c r="I1921" s="139">
        <f>IFERROR(IF(AND(ISNUMBER(F1921),ISNUMBER(H1921)),F1921-H1921,""),"")</f>
        <v/>
      </c>
      <c r="J1921" s="114" t="n"/>
      <c r="K1921" s="139">
        <f>IFERROR(IF(H1921&gt;0,H1921*$C$7,""),"")</f>
        <v/>
      </c>
      <c r="L1921" s="139">
        <f>IFERROR(IF(ISNUMBER(F1921),F1921-IF(ISNUMBER(K1921),K1921,0),""),"")</f>
        <v/>
      </c>
    </row>
    <row r="1922" ht="24" customHeight="1" s="63">
      <c r="E1922" s="139" t="n"/>
      <c r="F1922" s="139" t="n"/>
      <c r="G1922" s="140">
        <f>IFERROR(IF(E1922&gt;0,(F1922/E1922)*1000,""),"")</f>
        <v/>
      </c>
      <c r="H1922" s="139">
        <f>IFERROR(IF(E1922&gt;0,E1922*IF(ISNUMBER(J1922),J1922,IF(C1922="Futures",$C$6,$C$5)),""),"")</f>
        <v/>
      </c>
      <c r="I1922" s="139">
        <f>IFERROR(IF(AND(ISNUMBER(F1922),ISNUMBER(H1922)),F1922-H1922,""),"")</f>
        <v/>
      </c>
      <c r="J1922" s="114" t="n"/>
      <c r="K1922" s="139">
        <f>IFERROR(IF(H1922&gt;0,H1922*$C$7,""),"")</f>
        <v/>
      </c>
      <c r="L1922" s="139">
        <f>IFERROR(IF(ISNUMBER(F1922),F1922-IF(ISNUMBER(K1922),K1922,0),""),"")</f>
        <v/>
      </c>
    </row>
    <row r="1923" ht="24" customHeight="1" s="63">
      <c r="E1923" s="139" t="n"/>
      <c r="F1923" s="139" t="n"/>
      <c r="G1923" s="140">
        <f>IFERROR(IF(E1923&gt;0,(F1923/E1923)*1000,""),"")</f>
        <v/>
      </c>
      <c r="H1923" s="139">
        <f>IFERROR(IF(E1923&gt;0,E1923*IF(ISNUMBER(J1923),J1923,IF(C1923="Futures",$C$6,$C$5)),""),"")</f>
        <v/>
      </c>
      <c r="I1923" s="139">
        <f>IFERROR(IF(AND(ISNUMBER(F1923),ISNUMBER(H1923)),F1923-H1923,""),"")</f>
        <v/>
      </c>
      <c r="J1923" s="114" t="n"/>
      <c r="K1923" s="139">
        <f>IFERROR(IF(H1923&gt;0,H1923*$C$7,""),"")</f>
        <v/>
      </c>
      <c r="L1923" s="139">
        <f>IFERROR(IF(ISNUMBER(F1923),F1923-IF(ISNUMBER(K1923),K1923,0),""),"")</f>
        <v/>
      </c>
    </row>
    <row r="1924" ht="24" customHeight="1" s="63">
      <c r="E1924" s="139" t="n"/>
      <c r="F1924" s="139" t="n"/>
      <c r="G1924" s="140">
        <f>IFERROR(IF(E1924&gt;0,(F1924/E1924)*1000,""),"")</f>
        <v/>
      </c>
      <c r="H1924" s="139">
        <f>IFERROR(IF(E1924&gt;0,E1924*IF(ISNUMBER(J1924),J1924,IF(C1924="Futures",$C$6,$C$5)),""),"")</f>
        <v/>
      </c>
      <c r="I1924" s="139">
        <f>IFERROR(IF(AND(ISNUMBER(F1924),ISNUMBER(H1924)),F1924-H1924,""),"")</f>
        <v/>
      </c>
      <c r="J1924" s="114" t="n"/>
      <c r="K1924" s="139">
        <f>IFERROR(IF(H1924&gt;0,H1924*$C$7,""),"")</f>
        <v/>
      </c>
      <c r="L1924" s="139">
        <f>IFERROR(IF(ISNUMBER(F1924),F1924-IF(ISNUMBER(K1924),K1924,0),""),"")</f>
        <v/>
      </c>
    </row>
    <row r="1925" ht="24" customHeight="1" s="63">
      <c r="E1925" s="139" t="n"/>
      <c r="F1925" s="139" t="n"/>
      <c r="G1925" s="140">
        <f>IFERROR(IF(E1925&gt;0,(F1925/E1925)*1000,""),"")</f>
        <v/>
      </c>
      <c r="H1925" s="139">
        <f>IFERROR(IF(E1925&gt;0,E1925*IF(ISNUMBER(J1925),J1925,IF(C1925="Futures",$C$6,$C$5)),""),"")</f>
        <v/>
      </c>
      <c r="I1925" s="139">
        <f>IFERROR(IF(AND(ISNUMBER(F1925),ISNUMBER(H1925)),F1925-H1925,""),"")</f>
        <v/>
      </c>
      <c r="J1925" s="114" t="n"/>
      <c r="K1925" s="139">
        <f>IFERROR(IF(H1925&gt;0,H1925*$C$7,""),"")</f>
        <v/>
      </c>
      <c r="L1925" s="139">
        <f>IFERROR(IF(ISNUMBER(F1925),F1925-IF(ISNUMBER(K1925),K1925,0),""),"")</f>
        <v/>
      </c>
    </row>
    <row r="1926" ht="24" customHeight="1" s="63">
      <c r="E1926" s="139" t="n"/>
      <c r="F1926" s="139" t="n"/>
      <c r="G1926" s="140">
        <f>IFERROR(IF(E1926&gt;0,(F1926/E1926)*1000,""),"")</f>
        <v/>
      </c>
      <c r="H1926" s="139">
        <f>IFERROR(IF(E1926&gt;0,E1926*IF(ISNUMBER(J1926),J1926,IF(C1926="Futures",$C$6,$C$5)),""),"")</f>
        <v/>
      </c>
      <c r="I1926" s="139">
        <f>IFERROR(IF(AND(ISNUMBER(F1926),ISNUMBER(H1926)),F1926-H1926,""),"")</f>
        <v/>
      </c>
      <c r="J1926" s="114" t="n"/>
      <c r="K1926" s="139">
        <f>IFERROR(IF(H1926&gt;0,H1926*$C$7,""),"")</f>
        <v/>
      </c>
      <c r="L1926" s="139">
        <f>IFERROR(IF(ISNUMBER(F1926),F1926-IF(ISNUMBER(K1926),K1926,0),""),"")</f>
        <v/>
      </c>
    </row>
    <row r="1927" ht="24" customHeight="1" s="63">
      <c r="E1927" s="139" t="n"/>
      <c r="F1927" s="139" t="n"/>
      <c r="G1927" s="140">
        <f>IFERROR(IF(E1927&gt;0,(F1927/E1927)*1000,""),"")</f>
        <v/>
      </c>
      <c r="H1927" s="139">
        <f>IFERROR(IF(E1927&gt;0,E1927*IF(ISNUMBER(J1927),J1927,IF(C1927="Futures",$C$6,$C$5)),""),"")</f>
        <v/>
      </c>
      <c r="I1927" s="139">
        <f>IFERROR(IF(AND(ISNUMBER(F1927),ISNUMBER(H1927)),F1927-H1927,""),"")</f>
        <v/>
      </c>
      <c r="J1927" s="114" t="n"/>
      <c r="K1927" s="139">
        <f>IFERROR(IF(H1927&gt;0,H1927*$C$7,""),"")</f>
        <v/>
      </c>
      <c r="L1927" s="139">
        <f>IFERROR(IF(ISNUMBER(F1927),F1927-IF(ISNUMBER(K1927),K1927,0),""),"")</f>
        <v/>
      </c>
    </row>
    <row r="1928" ht="24" customHeight="1" s="63">
      <c r="E1928" s="139" t="n"/>
      <c r="F1928" s="139" t="n"/>
      <c r="G1928" s="140">
        <f>IFERROR(IF(E1928&gt;0,(F1928/E1928)*1000,""),"")</f>
        <v/>
      </c>
      <c r="H1928" s="139">
        <f>IFERROR(IF(E1928&gt;0,E1928*IF(ISNUMBER(J1928),J1928,IF(C1928="Futures",$C$6,$C$5)),""),"")</f>
        <v/>
      </c>
      <c r="I1928" s="139">
        <f>IFERROR(IF(AND(ISNUMBER(F1928),ISNUMBER(H1928)),F1928-H1928,""),"")</f>
        <v/>
      </c>
      <c r="J1928" s="114" t="n"/>
      <c r="K1928" s="139">
        <f>IFERROR(IF(H1928&gt;0,H1928*$C$7,""),"")</f>
        <v/>
      </c>
      <c r="L1928" s="139">
        <f>IFERROR(IF(ISNUMBER(F1928),F1928-IF(ISNUMBER(K1928),K1928,0),""),"")</f>
        <v/>
      </c>
    </row>
    <row r="1929" ht="24" customHeight="1" s="63">
      <c r="E1929" s="139" t="n"/>
      <c r="F1929" s="139" t="n"/>
      <c r="G1929" s="140">
        <f>IFERROR(IF(E1929&gt;0,(F1929/E1929)*1000,""),"")</f>
        <v/>
      </c>
      <c r="H1929" s="139">
        <f>IFERROR(IF(E1929&gt;0,E1929*IF(ISNUMBER(J1929),J1929,IF(C1929="Futures",$C$6,$C$5)),""),"")</f>
        <v/>
      </c>
      <c r="I1929" s="139">
        <f>IFERROR(IF(AND(ISNUMBER(F1929),ISNUMBER(H1929)),F1929-H1929,""),"")</f>
        <v/>
      </c>
      <c r="J1929" s="114" t="n"/>
      <c r="K1929" s="139">
        <f>IFERROR(IF(H1929&gt;0,H1929*$C$7,""),"")</f>
        <v/>
      </c>
      <c r="L1929" s="139">
        <f>IFERROR(IF(ISNUMBER(F1929),F1929-IF(ISNUMBER(K1929),K1929,0),""),"")</f>
        <v/>
      </c>
    </row>
    <row r="1930" ht="24" customHeight="1" s="63">
      <c r="E1930" s="139" t="n"/>
      <c r="F1930" s="139" t="n"/>
      <c r="G1930" s="140">
        <f>IFERROR(IF(E1930&gt;0,(F1930/E1930)*1000,""),"")</f>
        <v/>
      </c>
      <c r="H1930" s="139">
        <f>IFERROR(IF(E1930&gt;0,E1930*IF(ISNUMBER(J1930),J1930,IF(C1930="Futures",$C$6,$C$5)),""),"")</f>
        <v/>
      </c>
      <c r="I1930" s="139">
        <f>IFERROR(IF(AND(ISNUMBER(F1930),ISNUMBER(H1930)),F1930-H1930,""),"")</f>
        <v/>
      </c>
      <c r="J1930" s="114" t="n"/>
      <c r="K1930" s="139">
        <f>IFERROR(IF(H1930&gt;0,H1930*$C$7,""),"")</f>
        <v/>
      </c>
      <c r="L1930" s="139">
        <f>IFERROR(IF(ISNUMBER(F1930),F1930-IF(ISNUMBER(K1930),K1930,0),""),"")</f>
        <v/>
      </c>
    </row>
    <row r="1931" ht="24" customHeight="1" s="63">
      <c r="E1931" s="139" t="n"/>
      <c r="F1931" s="139" t="n"/>
      <c r="G1931" s="140">
        <f>IFERROR(IF(E1931&gt;0,(F1931/E1931)*1000,""),"")</f>
        <v/>
      </c>
      <c r="H1931" s="139">
        <f>IFERROR(IF(E1931&gt;0,E1931*IF(ISNUMBER(J1931),J1931,IF(C1931="Futures",$C$6,$C$5)),""),"")</f>
        <v/>
      </c>
      <c r="I1931" s="139">
        <f>IFERROR(IF(AND(ISNUMBER(F1931),ISNUMBER(H1931)),F1931-H1931,""),"")</f>
        <v/>
      </c>
      <c r="J1931" s="114" t="n"/>
      <c r="K1931" s="139">
        <f>IFERROR(IF(H1931&gt;0,H1931*$C$7,""),"")</f>
        <v/>
      </c>
      <c r="L1931" s="139">
        <f>IFERROR(IF(ISNUMBER(F1931),F1931-IF(ISNUMBER(K1931),K1931,0),""),"")</f>
        <v/>
      </c>
    </row>
    <row r="1932" ht="24" customHeight="1" s="63">
      <c r="E1932" s="139" t="n"/>
      <c r="F1932" s="139" t="n"/>
      <c r="G1932" s="140">
        <f>IFERROR(IF(E1932&gt;0,(F1932/E1932)*1000,""),"")</f>
        <v/>
      </c>
      <c r="H1932" s="139">
        <f>IFERROR(IF(E1932&gt;0,E1932*IF(ISNUMBER(J1932),J1932,IF(C1932="Futures",$C$6,$C$5)),""),"")</f>
        <v/>
      </c>
      <c r="I1932" s="139">
        <f>IFERROR(IF(AND(ISNUMBER(F1932),ISNUMBER(H1932)),F1932-H1932,""),"")</f>
        <v/>
      </c>
      <c r="J1932" s="114" t="n"/>
      <c r="K1932" s="139">
        <f>IFERROR(IF(H1932&gt;0,H1932*$C$7,""),"")</f>
        <v/>
      </c>
      <c r="L1932" s="139">
        <f>IFERROR(IF(ISNUMBER(F1932),F1932-IF(ISNUMBER(K1932),K1932,0),""),"")</f>
        <v/>
      </c>
    </row>
    <row r="1933" ht="24" customHeight="1" s="63">
      <c r="E1933" s="139" t="n"/>
      <c r="F1933" s="139" t="n"/>
      <c r="G1933" s="140">
        <f>IFERROR(IF(E1933&gt;0,(F1933/E1933)*1000,""),"")</f>
        <v/>
      </c>
      <c r="H1933" s="139">
        <f>IFERROR(IF(E1933&gt;0,E1933*IF(ISNUMBER(J1933),J1933,IF(C1933="Futures",$C$6,$C$5)),""),"")</f>
        <v/>
      </c>
      <c r="I1933" s="139">
        <f>IFERROR(IF(AND(ISNUMBER(F1933),ISNUMBER(H1933)),F1933-H1933,""),"")</f>
        <v/>
      </c>
      <c r="J1933" s="114" t="n"/>
      <c r="K1933" s="139">
        <f>IFERROR(IF(H1933&gt;0,H1933*$C$7,""),"")</f>
        <v/>
      </c>
      <c r="L1933" s="139">
        <f>IFERROR(IF(ISNUMBER(F1933),F1933-IF(ISNUMBER(K1933),K1933,0),""),"")</f>
        <v/>
      </c>
    </row>
    <row r="1934" ht="24" customHeight="1" s="63">
      <c r="E1934" s="139" t="n"/>
      <c r="F1934" s="139" t="n"/>
      <c r="G1934" s="140">
        <f>IFERROR(IF(E1934&gt;0,(F1934/E1934)*1000,""),"")</f>
        <v/>
      </c>
      <c r="H1934" s="139">
        <f>IFERROR(IF(E1934&gt;0,E1934*IF(ISNUMBER(J1934),J1934,IF(C1934="Futures",$C$6,$C$5)),""),"")</f>
        <v/>
      </c>
      <c r="I1934" s="139">
        <f>IFERROR(IF(AND(ISNUMBER(F1934),ISNUMBER(H1934)),F1934-H1934,""),"")</f>
        <v/>
      </c>
      <c r="J1934" s="114" t="n"/>
      <c r="K1934" s="139">
        <f>IFERROR(IF(H1934&gt;0,H1934*$C$7,""),"")</f>
        <v/>
      </c>
      <c r="L1934" s="139">
        <f>IFERROR(IF(ISNUMBER(F1934),F1934-IF(ISNUMBER(K1934),K1934,0),""),"")</f>
        <v/>
      </c>
    </row>
    <row r="1935" ht="24" customHeight="1" s="63">
      <c r="E1935" s="139" t="n"/>
      <c r="F1935" s="139" t="n"/>
      <c r="G1935" s="140">
        <f>IFERROR(IF(E1935&gt;0,(F1935/E1935)*1000,""),"")</f>
        <v/>
      </c>
      <c r="H1935" s="139">
        <f>IFERROR(IF(E1935&gt;0,E1935*IF(ISNUMBER(J1935),J1935,IF(C1935="Futures",$C$6,$C$5)),""),"")</f>
        <v/>
      </c>
      <c r="I1935" s="139">
        <f>IFERROR(IF(AND(ISNUMBER(F1935),ISNUMBER(H1935)),F1935-H1935,""),"")</f>
        <v/>
      </c>
      <c r="J1935" s="114" t="n"/>
      <c r="K1935" s="139">
        <f>IFERROR(IF(H1935&gt;0,H1935*$C$7,""),"")</f>
        <v/>
      </c>
      <c r="L1935" s="139">
        <f>IFERROR(IF(ISNUMBER(F1935),F1935-IF(ISNUMBER(K1935),K1935,0),""),"")</f>
        <v/>
      </c>
    </row>
    <row r="1936" ht="24" customHeight="1" s="63">
      <c r="E1936" s="139" t="n"/>
      <c r="F1936" s="139" t="n"/>
      <c r="G1936" s="140">
        <f>IFERROR(IF(E1936&gt;0,(F1936/E1936)*1000,""),"")</f>
        <v/>
      </c>
      <c r="H1936" s="139">
        <f>IFERROR(IF(E1936&gt;0,E1936*IF(ISNUMBER(J1936),J1936,IF(C1936="Futures",$C$6,$C$5)),""),"")</f>
        <v/>
      </c>
      <c r="I1936" s="139">
        <f>IFERROR(IF(AND(ISNUMBER(F1936),ISNUMBER(H1936)),F1936-H1936,""),"")</f>
        <v/>
      </c>
      <c r="J1936" s="114" t="n"/>
      <c r="K1936" s="139">
        <f>IFERROR(IF(H1936&gt;0,H1936*$C$7,""),"")</f>
        <v/>
      </c>
      <c r="L1936" s="139">
        <f>IFERROR(IF(ISNUMBER(F1936),F1936-IF(ISNUMBER(K1936),K1936,0),""),"")</f>
        <v/>
      </c>
    </row>
    <row r="1937" ht="24" customHeight="1" s="63">
      <c r="E1937" s="139" t="n"/>
      <c r="F1937" s="139" t="n"/>
      <c r="G1937" s="140">
        <f>IFERROR(IF(E1937&gt;0,(F1937/E1937)*1000,""),"")</f>
        <v/>
      </c>
      <c r="H1937" s="139">
        <f>IFERROR(IF(E1937&gt;0,E1937*IF(ISNUMBER(J1937),J1937,IF(C1937="Futures",$C$6,$C$5)),""),"")</f>
        <v/>
      </c>
      <c r="I1937" s="139">
        <f>IFERROR(IF(AND(ISNUMBER(F1937),ISNUMBER(H1937)),F1937-H1937,""),"")</f>
        <v/>
      </c>
      <c r="J1937" s="114" t="n"/>
      <c r="K1937" s="139">
        <f>IFERROR(IF(H1937&gt;0,H1937*$C$7,""),"")</f>
        <v/>
      </c>
      <c r="L1937" s="139">
        <f>IFERROR(IF(ISNUMBER(F1937),F1937-IF(ISNUMBER(K1937),K1937,0),""),"")</f>
        <v/>
      </c>
    </row>
    <row r="1938" ht="24" customHeight="1" s="63">
      <c r="E1938" s="139" t="n"/>
      <c r="F1938" s="139" t="n"/>
      <c r="G1938" s="140">
        <f>IFERROR(IF(E1938&gt;0,(F1938/E1938)*1000,""),"")</f>
        <v/>
      </c>
      <c r="H1938" s="139">
        <f>IFERROR(IF(E1938&gt;0,E1938*IF(ISNUMBER(J1938),J1938,IF(C1938="Futures",$C$6,$C$5)),""),"")</f>
        <v/>
      </c>
      <c r="I1938" s="139">
        <f>IFERROR(IF(AND(ISNUMBER(F1938),ISNUMBER(H1938)),F1938-H1938,""),"")</f>
        <v/>
      </c>
      <c r="J1938" s="114" t="n"/>
      <c r="K1938" s="139">
        <f>IFERROR(IF(H1938&gt;0,H1938*$C$7,""),"")</f>
        <v/>
      </c>
      <c r="L1938" s="139">
        <f>IFERROR(IF(ISNUMBER(F1938),F1938-IF(ISNUMBER(K1938),K1938,0),""),"")</f>
        <v/>
      </c>
    </row>
    <row r="1939" ht="24" customHeight="1" s="63">
      <c r="E1939" s="139" t="n"/>
      <c r="F1939" s="139" t="n"/>
      <c r="G1939" s="140">
        <f>IFERROR(IF(E1939&gt;0,(F1939/E1939)*1000,""),"")</f>
        <v/>
      </c>
      <c r="H1939" s="139">
        <f>IFERROR(IF(E1939&gt;0,E1939*IF(ISNUMBER(J1939),J1939,IF(C1939="Futures",$C$6,$C$5)),""),"")</f>
        <v/>
      </c>
      <c r="I1939" s="139">
        <f>IFERROR(IF(AND(ISNUMBER(F1939),ISNUMBER(H1939)),F1939-H1939,""),"")</f>
        <v/>
      </c>
      <c r="J1939" s="114" t="n"/>
      <c r="K1939" s="139">
        <f>IFERROR(IF(H1939&gt;0,H1939*$C$7,""),"")</f>
        <v/>
      </c>
      <c r="L1939" s="139">
        <f>IFERROR(IF(ISNUMBER(F1939),F1939-IF(ISNUMBER(K1939),K1939,0),""),"")</f>
        <v/>
      </c>
    </row>
    <row r="1940" ht="24" customHeight="1" s="63">
      <c r="E1940" s="139" t="n"/>
      <c r="F1940" s="139" t="n"/>
      <c r="G1940" s="140">
        <f>IFERROR(IF(E1940&gt;0,(F1940/E1940)*1000,""),"")</f>
        <v/>
      </c>
      <c r="H1940" s="139">
        <f>IFERROR(IF(E1940&gt;0,E1940*IF(ISNUMBER(J1940),J1940,IF(C1940="Futures",$C$6,$C$5)),""),"")</f>
        <v/>
      </c>
      <c r="I1940" s="139">
        <f>IFERROR(IF(AND(ISNUMBER(F1940),ISNUMBER(H1940)),F1940-H1940,""),"")</f>
        <v/>
      </c>
      <c r="J1940" s="114" t="n"/>
      <c r="K1940" s="139">
        <f>IFERROR(IF(H1940&gt;0,H1940*$C$7,""),"")</f>
        <v/>
      </c>
      <c r="L1940" s="139">
        <f>IFERROR(IF(ISNUMBER(F1940),F1940-IF(ISNUMBER(K1940),K1940,0),""),"")</f>
        <v/>
      </c>
    </row>
    <row r="1941" ht="24" customHeight="1" s="63">
      <c r="E1941" s="139" t="n"/>
      <c r="F1941" s="139" t="n"/>
      <c r="G1941" s="140">
        <f>IFERROR(IF(E1941&gt;0,(F1941/E1941)*1000,""),"")</f>
        <v/>
      </c>
      <c r="H1941" s="139">
        <f>IFERROR(IF(E1941&gt;0,E1941*IF(ISNUMBER(J1941),J1941,IF(C1941="Futures",$C$6,$C$5)),""),"")</f>
        <v/>
      </c>
      <c r="I1941" s="139">
        <f>IFERROR(IF(AND(ISNUMBER(F1941),ISNUMBER(H1941)),F1941-H1941,""),"")</f>
        <v/>
      </c>
      <c r="J1941" s="114" t="n"/>
      <c r="K1941" s="139">
        <f>IFERROR(IF(H1941&gt;0,H1941*$C$7,""),"")</f>
        <v/>
      </c>
      <c r="L1941" s="139">
        <f>IFERROR(IF(ISNUMBER(F1941),F1941-IF(ISNUMBER(K1941),K1941,0),""),"")</f>
        <v/>
      </c>
    </row>
    <row r="1942" ht="24" customHeight="1" s="63">
      <c r="E1942" s="139" t="n"/>
      <c r="F1942" s="139" t="n"/>
      <c r="G1942" s="140">
        <f>IFERROR(IF(E1942&gt;0,(F1942/E1942)*1000,""),"")</f>
        <v/>
      </c>
      <c r="H1942" s="139">
        <f>IFERROR(IF(E1942&gt;0,E1942*IF(ISNUMBER(J1942),J1942,IF(C1942="Futures",$C$6,$C$5)),""),"")</f>
        <v/>
      </c>
      <c r="I1942" s="139">
        <f>IFERROR(IF(AND(ISNUMBER(F1942),ISNUMBER(H1942)),F1942-H1942,""),"")</f>
        <v/>
      </c>
      <c r="J1942" s="114" t="n"/>
      <c r="K1942" s="139">
        <f>IFERROR(IF(H1942&gt;0,H1942*$C$7,""),"")</f>
        <v/>
      </c>
      <c r="L1942" s="139">
        <f>IFERROR(IF(ISNUMBER(F1942),F1942-IF(ISNUMBER(K1942),K1942,0),""),"")</f>
        <v/>
      </c>
    </row>
    <row r="1943" ht="24" customHeight="1" s="63">
      <c r="E1943" s="139" t="n"/>
      <c r="F1943" s="139" t="n"/>
      <c r="G1943" s="140">
        <f>IFERROR(IF(E1943&gt;0,(F1943/E1943)*1000,""),"")</f>
        <v/>
      </c>
      <c r="H1943" s="139">
        <f>IFERROR(IF(E1943&gt;0,E1943*IF(ISNUMBER(J1943),J1943,IF(C1943="Futures",$C$6,$C$5)),""),"")</f>
        <v/>
      </c>
      <c r="I1943" s="139">
        <f>IFERROR(IF(AND(ISNUMBER(F1943),ISNUMBER(H1943)),F1943-H1943,""),"")</f>
        <v/>
      </c>
      <c r="J1943" s="114" t="n"/>
      <c r="K1943" s="139">
        <f>IFERROR(IF(H1943&gt;0,H1943*$C$7,""),"")</f>
        <v/>
      </c>
      <c r="L1943" s="139">
        <f>IFERROR(IF(ISNUMBER(F1943),F1943-IF(ISNUMBER(K1943),K1943,0),""),"")</f>
        <v/>
      </c>
    </row>
    <row r="1944" ht="24" customHeight="1" s="63">
      <c r="E1944" s="139" t="n"/>
      <c r="F1944" s="139" t="n"/>
      <c r="G1944" s="140">
        <f>IFERROR(IF(E1944&gt;0,(F1944/E1944)*1000,""),"")</f>
        <v/>
      </c>
      <c r="H1944" s="139">
        <f>IFERROR(IF(E1944&gt;0,E1944*IF(ISNUMBER(J1944),J1944,IF(C1944="Futures",$C$6,$C$5)),""),"")</f>
        <v/>
      </c>
      <c r="I1944" s="139">
        <f>IFERROR(IF(AND(ISNUMBER(F1944),ISNUMBER(H1944)),F1944-H1944,""),"")</f>
        <v/>
      </c>
      <c r="J1944" s="114" t="n"/>
      <c r="K1944" s="139">
        <f>IFERROR(IF(H1944&gt;0,H1944*$C$7,""),"")</f>
        <v/>
      </c>
      <c r="L1944" s="139">
        <f>IFERROR(IF(ISNUMBER(F1944),F1944-IF(ISNUMBER(K1944),K1944,0),""),"")</f>
        <v/>
      </c>
    </row>
    <row r="1945" ht="24" customHeight="1" s="63">
      <c r="E1945" s="139" t="n"/>
      <c r="F1945" s="139" t="n"/>
      <c r="G1945" s="140">
        <f>IFERROR(IF(E1945&gt;0,(F1945/E1945)*1000,""),"")</f>
        <v/>
      </c>
      <c r="H1945" s="139">
        <f>IFERROR(IF(E1945&gt;0,E1945*IF(ISNUMBER(J1945),J1945,IF(C1945="Futures",$C$6,$C$5)),""),"")</f>
        <v/>
      </c>
      <c r="I1945" s="139">
        <f>IFERROR(IF(AND(ISNUMBER(F1945),ISNUMBER(H1945)),F1945-H1945,""),"")</f>
        <v/>
      </c>
      <c r="J1945" s="114" t="n"/>
      <c r="K1945" s="139">
        <f>IFERROR(IF(H1945&gt;0,H1945*$C$7,""),"")</f>
        <v/>
      </c>
      <c r="L1945" s="139">
        <f>IFERROR(IF(ISNUMBER(F1945),F1945-IF(ISNUMBER(K1945),K1945,0),""),"")</f>
        <v/>
      </c>
    </row>
    <row r="1946" ht="24" customHeight="1" s="63">
      <c r="E1946" s="139" t="n"/>
      <c r="F1946" s="139" t="n"/>
      <c r="G1946" s="140">
        <f>IFERROR(IF(E1946&gt;0,(F1946/E1946)*1000,""),"")</f>
        <v/>
      </c>
      <c r="H1946" s="139">
        <f>IFERROR(IF(E1946&gt;0,E1946*IF(ISNUMBER(J1946),J1946,IF(C1946="Futures",$C$6,$C$5)),""),"")</f>
        <v/>
      </c>
      <c r="I1946" s="139">
        <f>IFERROR(IF(AND(ISNUMBER(F1946),ISNUMBER(H1946)),F1946-H1946,""),"")</f>
        <v/>
      </c>
      <c r="J1946" s="114" t="n"/>
      <c r="K1946" s="139">
        <f>IFERROR(IF(H1946&gt;0,H1946*$C$7,""),"")</f>
        <v/>
      </c>
      <c r="L1946" s="139">
        <f>IFERROR(IF(ISNUMBER(F1946),F1946-IF(ISNUMBER(K1946),K1946,0),""),"")</f>
        <v/>
      </c>
    </row>
    <row r="1947" ht="24" customHeight="1" s="63">
      <c r="E1947" s="139" t="n"/>
      <c r="F1947" s="139" t="n"/>
      <c r="G1947" s="140">
        <f>IFERROR(IF(E1947&gt;0,(F1947/E1947)*1000,""),"")</f>
        <v/>
      </c>
      <c r="H1947" s="139">
        <f>IFERROR(IF(E1947&gt;0,E1947*IF(ISNUMBER(J1947),J1947,IF(C1947="Futures",$C$6,$C$5)),""),"")</f>
        <v/>
      </c>
      <c r="I1947" s="139">
        <f>IFERROR(IF(AND(ISNUMBER(F1947),ISNUMBER(H1947)),F1947-H1947,""),"")</f>
        <v/>
      </c>
      <c r="J1947" s="114" t="n"/>
      <c r="K1947" s="139">
        <f>IFERROR(IF(H1947&gt;0,H1947*$C$7,""),"")</f>
        <v/>
      </c>
      <c r="L1947" s="139">
        <f>IFERROR(IF(ISNUMBER(F1947),F1947-IF(ISNUMBER(K1947),K1947,0),""),"")</f>
        <v/>
      </c>
    </row>
    <row r="1948" ht="24" customHeight="1" s="63">
      <c r="E1948" s="139" t="n"/>
      <c r="F1948" s="139" t="n"/>
      <c r="G1948" s="140">
        <f>IFERROR(IF(E1948&gt;0,(F1948/E1948)*1000,""),"")</f>
        <v/>
      </c>
      <c r="H1948" s="139">
        <f>IFERROR(IF(E1948&gt;0,E1948*IF(ISNUMBER(J1948),J1948,IF(C1948="Futures",$C$6,$C$5)),""),"")</f>
        <v/>
      </c>
      <c r="I1948" s="139">
        <f>IFERROR(IF(AND(ISNUMBER(F1948),ISNUMBER(H1948)),F1948-H1948,""),"")</f>
        <v/>
      </c>
      <c r="J1948" s="114" t="n"/>
      <c r="K1948" s="139">
        <f>IFERROR(IF(H1948&gt;0,H1948*$C$7,""),"")</f>
        <v/>
      </c>
      <c r="L1948" s="139">
        <f>IFERROR(IF(ISNUMBER(F1948),F1948-IF(ISNUMBER(K1948),K1948,0),""),"")</f>
        <v/>
      </c>
    </row>
    <row r="1949" ht="24" customHeight="1" s="63">
      <c r="E1949" s="139" t="n"/>
      <c r="F1949" s="139" t="n"/>
      <c r="G1949" s="140">
        <f>IFERROR(IF(E1949&gt;0,(F1949/E1949)*1000,""),"")</f>
        <v/>
      </c>
      <c r="H1949" s="139">
        <f>IFERROR(IF(E1949&gt;0,E1949*IF(ISNUMBER(J1949),J1949,IF(C1949="Futures",$C$6,$C$5)),""),"")</f>
        <v/>
      </c>
      <c r="I1949" s="139">
        <f>IFERROR(IF(AND(ISNUMBER(F1949),ISNUMBER(H1949)),F1949-H1949,""),"")</f>
        <v/>
      </c>
      <c r="J1949" s="114" t="n"/>
      <c r="K1949" s="139">
        <f>IFERROR(IF(H1949&gt;0,H1949*$C$7,""),"")</f>
        <v/>
      </c>
      <c r="L1949" s="139">
        <f>IFERROR(IF(ISNUMBER(F1949),F1949-IF(ISNUMBER(K1949),K1949,0),""),"")</f>
        <v/>
      </c>
    </row>
    <row r="1950" ht="24" customHeight="1" s="63">
      <c r="E1950" s="139" t="n"/>
      <c r="F1950" s="139" t="n"/>
      <c r="G1950" s="140">
        <f>IFERROR(IF(E1950&gt;0,(F1950/E1950)*1000,""),"")</f>
        <v/>
      </c>
      <c r="H1950" s="139">
        <f>IFERROR(IF(E1950&gt;0,E1950*IF(ISNUMBER(J1950),J1950,IF(C1950="Futures",$C$6,$C$5)),""),"")</f>
        <v/>
      </c>
      <c r="I1950" s="139">
        <f>IFERROR(IF(AND(ISNUMBER(F1950),ISNUMBER(H1950)),F1950-H1950,""),"")</f>
        <v/>
      </c>
      <c r="J1950" s="114" t="n"/>
      <c r="K1950" s="139">
        <f>IFERROR(IF(H1950&gt;0,H1950*$C$7,""),"")</f>
        <v/>
      </c>
      <c r="L1950" s="139">
        <f>IFERROR(IF(ISNUMBER(F1950),F1950-IF(ISNUMBER(K1950),K1950,0),""),"")</f>
        <v/>
      </c>
    </row>
    <row r="1951" ht="24" customHeight="1" s="63">
      <c r="E1951" s="139" t="n"/>
      <c r="F1951" s="139" t="n"/>
      <c r="G1951" s="140">
        <f>IFERROR(IF(E1951&gt;0,(F1951/E1951)*1000,""),"")</f>
        <v/>
      </c>
      <c r="H1951" s="139">
        <f>IFERROR(IF(E1951&gt;0,E1951*IF(ISNUMBER(J1951),J1951,IF(C1951="Futures",$C$6,$C$5)),""),"")</f>
        <v/>
      </c>
      <c r="I1951" s="139">
        <f>IFERROR(IF(AND(ISNUMBER(F1951),ISNUMBER(H1951)),F1951-H1951,""),"")</f>
        <v/>
      </c>
      <c r="J1951" s="114" t="n"/>
      <c r="K1951" s="139">
        <f>IFERROR(IF(H1951&gt;0,H1951*$C$7,""),"")</f>
        <v/>
      </c>
      <c r="L1951" s="139">
        <f>IFERROR(IF(ISNUMBER(F1951),F1951-IF(ISNUMBER(K1951),K1951,0),""),"")</f>
        <v/>
      </c>
    </row>
    <row r="1952" ht="24" customHeight="1" s="63">
      <c r="E1952" s="139" t="n"/>
      <c r="F1952" s="139" t="n"/>
      <c r="G1952" s="140">
        <f>IFERROR(IF(E1952&gt;0,(F1952/E1952)*1000,""),"")</f>
        <v/>
      </c>
      <c r="H1952" s="139">
        <f>IFERROR(IF(E1952&gt;0,E1952*IF(ISNUMBER(J1952),J1952,IF(C1952="Futures",$C$6,$C$5)),""),"")</f>
        <v/>
      </c>
      <c r="I1952" s="139">
        <f>IFERROR(IF(AND(ISNUMBER(F1952),ISNUMBER(H1952)),F1952-H1952,""),"")</f>
        <v/>
      </c>
      <c r="J1952" s="114" t="n"/>
      <c r="K1952" s="139">
        <f>IFERROR(IF(H1952&gt;0,H1952*$C$7,""),"")</f>
        <v/>
      </c>
      <c r="L1952" s="139">
        <f>IFERROR(IF(ISNUMBER(F1952),F1952-IF(ISNUMBER(K1952),K1952,0),""),"")</f>
        <v/>
      </c>
    </row>
    <row r="1953" ht="24" customHeight="1" s="63">
      <c r="E1953" s="139" t="n"/>
      <c r="F1953" s="139" t="n"/>
      <c r="G1953" s="140">
        <f>IFERROR(IF(E1953&gt;0,(F1953/E1953)*1000,""),"")</f>
        <v/>
      </c>
      <c r="H1953" s="139">
        <f>IFERROR(IF(E1953&gt;0,E1953*IF(ISNUMBER(J1953),J1953,IF(C1953="Futures",$C$6,$C$5)),""),"")</f>
        <v/>
      </c>
      <c r="I1953" s="139">
        <f>IFERROR(IF(AND(ISNUMBER(F1953),ISNUMBER(H1953)),F1953-H1953,""),"")</f>
        <v/>
      </c>
      <c r="J1953" s="114" t="n"/>
      <c r="K1953" s="139">
        <f>IFERROR(IF(H1953&gt;0,H1953*$C$7,""),"")</f>
        <v/>
      </c>
      <c r="L1953" s="139">
        <f>IFERROR(IF(ISNUMBER(F1953),F1953-IF(ISNUMBER(K1953),K1953,0),""),"")</f>
        <v/>
      </c>
    </row>
    <row r="1954" ht="24" customHeight="1" s="63">
      <c r="E1954" s="139" t="n"/>
      <c r="F1954" s="139" t="n"/>
      <c r="G1954" s="140">
        <f>IFERROR(IF(E1954&gt;0,(F1954/E1954)*1000,""),"")</f>
        <v/>
      </c>
      <c r="H1954" s="139">
        <f>IFERROR(IF(E1954&gt;0,E1954*IF(ISNUMBER(J1954),J1954,IF(C1954="Futures",$C$6,$C$5)),""),"")</f>
        <v/>
      </c>
      <c r="I1954" s="139">
        <f>IFERROR(IF(AND(ISNUMBER(F1954),ISNUMBER(H1954)),F1954-H1954,""),"")</f>
        <v/>
      </c>
      <c r="J1954" s="114" t="n"/>
      <c r="K1954" s="139">
        <f>IFERROR(IF(H1954&gt;0,H1954*$C$7,""),"")</f>
        <v/>
      </c>
      <c r="L1954" s="139">
        <f>IFERROR(IF(ISNUMBER(F1954),F1954-IF(ISNUMBER(K1954),K1954,0),""),"")</f>
        <v/>
      </c>
    </row>
    <row r="1955" ht="24" customHeight="1" s="63">
      <c r="E1955" s="139" t="n"/>
      <c r="F1955" s="139" t="n"/>
      <c r="G1955" s="140">
        <f>IFERROR(IF(E1955&gt;0,(F1955/E1955)*1000,""),"")</f>
        <v/>
      </c>
      <c r="H1955" s="139">
        <f>IFERROR(IF(E1955&gt;0,E1955*IF(ISNUMBER(J1955),J1955,IF(C1955="Futures",$C$6,$C$5)),""),"")</f>
        <v/>
      </c>
      <c r="I1955" s="139">
        <f>IFERROR(IF(AND(ISNUMBER(F1955),ISNUMBER(H1955)),F1955-H1955,""),"")</f>
        <v/>
      </c>
      <c r="J1955" s="114" t="n"/>
      <c r="K1955" s="139">
        <f>IFERROR(IF(H1955&gt;0,H1955*$C$7,""),"")</f>
        <v/>
      </c>
      <c r="L1955" s="139">
        <f>IFERROR(IF(ISNUMBER(F1955),F1955-IF(ISNUMBER(K1955),K1955,0),""),"")</f>
        <v/>
      </c>
    </row>
    <row r="1956" ht="24" customHeight="1" s="63">
      <c r="E1956" s="139" t="n"/>
      <c r="F1956" s="139" t="n"/>
      <c r="G1956" s="140">
        <f>IFERROR(IF(E1956&gt;0,(F1956/E1956)*1000,""),"")</f>
        <v/>
      </c>
      <c r="H1956" s="139">
        <f>IFERROR(IF(E1956&gt;0,E1956*IF(ISNUMBER(J1956),J1956,IF(C1956="Futures",$C$6,$C$5)),""),"")</f>
        <v/>
      </c>
      <c r="I1956" s="139">
        <f>IFERROR(IF(AND(ISNUMBER(F1956),ISNUMBER(H1956)),F1956-H1956,""),"")</f>
        <v/>
      </c>
      <c r="J1956" s="114" t="n"/>
      <c r="K1956" s="139">
        <f>IFERROR(IF(H1956&gt;0,H1956*$C$7,""),"")</f>
        <v/>
      </c>
      <c r="L1956" s="139">
        <f>IFERROR(IF(ISNUMBER(F1956),F1956-IF(ISNUMBER(K1956),K1956,0),""),"")</f>
        <v/>
      </c>
    </row>
    <row r="1957" ht="24" customHeight="1" s="63">
      <c r="E1957" s="139" t="n"/>
      <c r="F1957" s="139" t="n"/>
      <c r="G1957" s="140">
        <f>IFERROR(IF(E1957&gt;0,(F1957/E1957)*1000,""),"")</f>
        <v/>
      </c>
      <c r="H1957" s="139">
        <f>IFERROR(IF(E1957&gt;0,E1957*IF(ISNUMBER(J1957),J1957,IF(C1957="Futures",$C$6,$C$5)),""),"")</f>
        <v/>
      </c>
      <c r="I1957" s="139">
        <f>IFERROR(IF(AND(ISNUMBER(F1957),ISNUMBER(H1957)),F1957-H1957,""),"")</f>
        <v/>
      </c>
      <c r="J1957" s="114" t="n"/>
      <c r="K1957" s="139">
        <f>IFERROR(IF(H1957&gt;0,H1957*$C$7,""),"")</f>
        <v/>
      </c>
      <c r="L1957" s="139">
        <f>IFERROR(IF(ISNUMBER(F1957),F1957-IF(ISNUMBER(K1957),K1957,0),""),"")</f>
        <v/>
      </c>
    </row>
    <row r="1958" ht="24" customHeight="1" s="63">
      <c r="E1958" s="139" t="n"/>
      <c r="F1958" s="139" t="n"/>
      <c r="G1958" s="140">
        <f>IFERROR(IF(E1958&gt;0,(F1958/E1958)*1000,""),"")</f>
        <v/>
      </c>
      <c r="H1958" s="139">
        <f>IFERROR(IF(E1958&gt;0,E1958*IF(ISNUMBER(J1958),J1958,IF(C1958="Futures",$C$6,$C$5)),""),"")</f>
        <v/>
      </c>
      <c r="I1958" s="139">
        <f>IFERROR(IF(AND(ISNUMBER(F1958),ISNUMBER(H1958)),F1958-H1958,""),"")</f>
        <v/>
      </c>
      <c r="J1958" s="114" t="n"/>
      <c r="K1958" s="139">
        <f>IFERROR(IF(H1958&gt;0,H1958*$C$7,""),"")</f>
        <v/>
      </c>
      <c r="L1958" s="139">
        <f>IFERROR(IF(ISNUMBER(F1958),F1958-IF(ISNUMBER(K1958),K1958,0),""),"")</f>
        <v/>
      </c>
    </row>
    <row r="1959" ht="24" customHeight="1" s="63">
      <c r="E1959" s="139" t="n"/>
      <c r="F1959" s="139" t="n"/>
      <c r="G1959" s="140">
        <f>IFERROR(IF(E1959&gt;0,(F1959/E1959)*1000,""),"")</f>
        <v/>
      </c>
      <c r="H1959" s="139">
        <f>IFERROR(IF(E1959&gt;0,E1959*IF(ISNUMBER(J1959),J1959,IF(C1959="Futures",$C$6,$C$5)),""),"")</f>
        <v/>
      </c>
      <c r="I1959" s="139">
        <f>IFERROR(IF(AND(ISNUMBER(F1959),ISNUMBER(H1959)),F1959-H1959,""),"")</f>
        <v/>
      </c>
      <c r="J1959" s="114" t="n"/>
      <c r="K1959" s="139">
        <f>IFERROR(IF(H1959&gt;0,H1959*$C$7,""),"")</f>
        <v/>
      </c>
      <c r="L1959" s="139">
        <f>IFERROR(IF(ISNUMBER(F1959),F1959-IF(ISNUMBER(K1959),K1959,0),""),"")</f>
        <v/>
      </c>
    </row>
    <row r="1960" ht="24" customHeight="1" s="63">
      <c r="E1960" s="139" t="n"/>
      <c r="F1960" s="139" t="n"/>
      <c r="G1960" s="140">
        <f>IFERROR(IF(E1960&gt;0,(F1960/E1960)*1000,""),"")</f>
        <v/>
      </c>
      <c r="H1960" s="139">
        <f>IFERROR(IF(E1960&gt;0,E1960*IF(ISNUMBER(J1960),J1960,IF(C1960="Futures",$C$6,$C$5)),""),"")</f>
        <v/>
      </c>
      <c r="I1960" s="139">
        <f>IFERROR(IF(AND(ISNUMBER(F1960),ISNUMBER(H1960)),F1960-H1960,""),"")</f>
        <v/>
      </c>
      <c r="J1960" s="114" t="n"/>
      <c r="K1960" s="139">
        <f>IFERROR(IF(H1960&gt;0,H1960*$C$7,""),"")</f>
        <v/>
      </c>
      <c r="L1960" s="139">
        <f>IFERROR(IF(ISNUMBER(F1960),F1960-IF(ISNUMBER(K1960),K1960,0),""),"")</f>
        <v/>
      </c>
    </row>
    <row r="1961" ht="24" customHeight="1" s="63">
      <c r="E1961" s="139" t="n"/>
      <c r="F1961" s="139" t="n"/>
      <c r="G1961" s="140">
        <f>IFERROR(IF(E1961&gt;0,(F1961/E1961)*1000,""),"")</f>
        <v/>
      </c>
      <c r="H1961" s="139">
        <f>IFERROR(IF(E1961&gt;0,E1961*IF(ISNUMBER(J1961),J1961,IF(C1961="Futures",$C$6,$C$5)),""),"")</f>
        <v/>
      </c>
      <c r="I1961" s="139">
        <f>IFERROR(IF(AND(ISNUMBER(F1961),ISNUMBER(H1961)),F1961-H1961,""),"")</f>
        <v/>
      </c>
      <c r="J1961" s="114" t="n"/>
      <c r="K1961" s="139">
        <f>IFERROR(IF(H1961&gt;0,H1961*$C$7,""),"")</f>
        <v/>
      </c>
      <c r="L1961" s="139">
        <f>IFERROR(IF(ISNUMBER(F1961),F1961-IF(ISNUMBER(K1961),K1961,0),""),"")</f>
        <v/>
      </c>
    </row>
    <row r="1962" ht="24" customHeight="1" s="63">
      <c r="E1962" s="139" t="n"/>
      <c r="F1962" s="139" t="n"/>
      <c r="G1962" s="140">
        <f>IFERROR(IF(E1962&gt;0,(F1962/E1962)*1000,""),"")</f>
        <v/>
      </c>
      <c r="H1962" s="139">
        <f>IFERROR(IF(E1962&gt;0,E1962*IF(ISNUMBER(J1962),J1962,IF(C1962="Futures",$C$6,$C$5)),""),"")</f>
        <v/>
      </c>
      <c r="I1962" s="139">
        <f>IFERROR(IF(AND(ISNUMBER(F1962),ISNUMBER(H1962)),F1962-H1962,""),"")</f>
        <v/>
      </c>
      <c r="J1962" s="114" t="n"/>
      <c r="K1962" s="139">
        <f>IFERROR(IF(H1962&gt;0,H1962*$C$7,""),"")</f>
        <v/>
      </c>
      <c r="L1962" s="139">
        <f>IFERROR(IF(ISNUMBER(F1962),F1962-IF(ISNUMBER(K1962),K1962,0),""),"")</f>
        <v/>
      </c>
    </row>
    <row r="1963" ht="24" customHeight="1" s="63">
      <c r="E1963" s="139" t="n"/>
      <c r="F1963" s="139" t="n"/>
      <c r="G1963" s="140">
        <f>IFERROR(IF(E1963&gt;0,(F1963/E1963)*1000,""),"")</f>
        <v/>
      </c>
      <c r="H1963" s="139">
        <f>IFERROR(IF(E1963&gt;0,E1963*IF(ISNUMBER(J1963),J1963,IF(C1963="Futures",$C$6,$C$5)),""),"")</f>
        <v/>
      </c>
      <c r="I1963" s="139">
        <f>IFERROR(IF(AND(ISNUMBER(F1963),ISNUMBER(H1963)),F1963-H1963,""),"")</f>
        <v/>
      </c>
      <c r="J1963" s="114" t="n"/>
      <c r="K1963" s="139">
        <f>IFERROR(IF(H1963&gt;0,H1963*$C$7,""),"")</f>
        <v/>
      </c>
      <c r="L1963" s="139">
        <f>IFERROR(IF(ISNUMBER(F1963),F1963-IF(ISNUMBER(K1963),K1963,0),""),"")</f>
        <v/>
      </c>
    </row>
    <row r="1964" ht="24" customHeight="1" s="63">
      <c r="E1964" s="139" t="n"/>
      <c r="F1964" s="139" t="n"/>
      <c r="G1964" s="140">
        <f>IFERROR(IF(E1964&gt;0,(F1964/E1964)*1000,""),"")</f>
        <v/>
      </c>
      <c r="H1964" s="139">
        <f>IFERROR(IF(E1964&gt;0,E1964*IF(ISNUMBER(J1964),J1964,IF(C1964="Futures",$C$6,$C$5)),""),"")</f>
        <v/>
      </c>
      <c r="I1964" s="139">
        <f>IFERROR(IF(AND(ISNUMBER(F1964),ISNUMBER(H1964)),F1964-H1964,""),"")</f>
        <v/>
      </c>
      <c r="J1964" s="114" t="n"/>
      <c r="K1964" s="139">
        <f>IFERROR(IF(H1964&gt;0,H1964*$C$7,""),"")</f>
        <v/>
      </c>
      <c r="L1964" s="139">
        <f>IFERROR(IF(ISNUMBER(F1964),F1964-IF(ISNUMBER(K1964),K1964,0),""),"")</f>
        <v/>
      </c>
    </row>
    <row r="1965" ht="24" customHeight="1" s="63">
      <c r="E1965" s="139" t="n"/>
      <c r="F1965" s="139" t="n"/>
      <c r="G1965" s="140">
        <f>IFERROR(IF(E1965&gt;0,(F1965/E1965)*1000,""),"")</f>
        <v/>
      </c>
      <c r="H1965" s="139">
        <f>IFERROR(IF(E1965&gt;0,E1965*IF(ISNUMBER(J1965),J1965,IF(C1965="Futures",$C$6,$C$5)),""),"")</f>
        <v/>
      </c>
      <c r="I1965" s="139">
        <f>IFERROR(IF(AND(ISNUMBER(F1965),ISNUMBER(H1965)),F1965-H1965,""),"")</f>
        <v/>
      </c>
      <c r="J1965" s="114" t="n"/>
      <c r="K1965" s="139">
        <f>IFERROR(IF(H1965&gt;0,H1965*$C$7,""),"")</f>
        <v/>
      </c>
      <c r="L1965" s="139">
        <f>IFERROR(IF(ISNUMBER(F1965),F1965-IF(ISNUMBER(K1965),K1965,0),""),"")</f>
        <v/>
      </c>
    </row>
    <row r="1966" ht="24" customHeight="1" s="63">
      <c r="E1966" s="139" t="n"/>
      <c r="F1966" s="139" t="n"/>
      <c r="G1966" s="140">
        <f>IFERROR(IF(E1966&gt;0,(F1966/E1966)*1000,""),"")</f>
        <v/>
      </c>
      <c r="H1966" s="139">
        <f>IFERROR(IF(E1966&gt;0,E1966*IF(ISNUMBER(J1966),J1966,IF(C1966="Futures",$C$6,$C$5)),""),"")</f>
        <v/>
      </c>
      <c r="I1966" s="139">
        <f>IFERROR(IF(AND(ISNUMBER(F1966),ISNUMBER(H1966)),F1966-H1966,""),"")</f>
        <v/>
      </c>
      <c r="J1966" s="114" t="n"/>
      <c r="K1966" s="139">
        <f>IFERROR(IF(H1966&gt;0,H1966*$C$7,""),"")</f>
        <v/>
      </c>
      <c r="L1966" s="139">
        <f>IFERROR(IF(ISNUMBER(F1966),F1966-IF(ISNUMBER(K1966),K1966,0),""),"")</f>
        <v/>
      </c>
    </row>
    <row r="1967" ht="24" customHeight="1" s="63">
      <c r="E1967" s="139" t="n"/>
      <c r="F1967" s="139" t="n"/>
      <c r="G1967" s="140">
        <f>IFERROR(IF(E1967&gt;0,(F1967/E1967)*1000,""),"")</f>
        <v/>
      </c>
      <c r="H1967" s="139">
        <f>IFERROR(IF(E1967&gt;0,E1967*IF(ISNUMBER(J1967),J1967,IF(C1967="Futures",$C$6,$C$5)),""),"")</f>
        <v/>
      </c>
      <c r="I1967" s="139">
        <f>IFERROR(IF(AND(ISNUMBER(F1967),ISNUMBER(H1967)),F1967-H1967,""),"")</f>
        <v/>
      </c>
      <c r="J1967" s="114" t="n"/>
      <c r="K1967" s="139">
        <f>IFERROR(IF(H1967&gt;0,H1967*$C$7,""),"")</f>
        <v/>
      </c>
      <c r="L1967" s="139">
        <f>IFERROR(IF(ISNUMBER(F1967),F1967-IF(ISNUMBER(K1967),K1967,0),""),"")</f>
        <v/>
      </c>
    </row>
    <row r="1968" ht="24" customHeight="1" s="63">
      <c r="E1968" s="139" t="n"/>
      <c r="F1968" s="139" t="n"/>
      <c r="G1968" s="140">
        <f>IFERROR(IF(E1968&gt;0,(F1968/E1968)*1000,""),"")</f>
        <v/>
      </c>
      <c r="H1968" s="139">
        <f>IFERROR(IF(E1968&gt;0,E1968*IF(ISNUMBER(J1968),J1968,IF(C1968="Futures",$C$6,$C$5)),""),"")</f>
        <v/>
      </c>
      <c r="I1968" s="139">
        <f>IFERROR(IF(AND(ISNUMBER(F1968),ISNUMBER(H1968)),F1968-H1968,""),"")</f>
        <v/>
      </c>
      <c r="J1968" s="114" t="n"/>
      <c r="K1968" s="139">
        <f>IFERROR(IF(H1968&gt;0,H1968*$C$7,""),"")</f>
        <v/>
      </c>
      <c r="L1968" s="139">
        <f>IFERROR(IF(ISNUMBER(F1968),F1968-IF(ISNUMBER(K1968),K1968,0),""),"")</f>
        <v/>
      </c>
    </row>
    <row r="1969" ht="24" customHeight="1" s="63">
      <c r="E1969" s="139" t="n"/>
      <c r="F1969" s="139" t="n"/>
      <c r="G1969" s="140">
        <f>IFERROR(IF(E1969&gt;0,(F1969/E1969)*1000,""),"")</f>
        <v/>
      </c>
      <c r="H1969" s="139">
        <f>IFERROR(IF(E1969&gt;0,E1969*IF(ISNUMBER(J1969),J1969,IF(C1969="Futures",$C$6,$C$5)),""),"")</f>
        <v/>
      </c>
      <c r="I1969" s="139">
        <f>IFERROR(IF(AND(ISNUMBER(F1969),ISNUMBER(H1969)),F1969-H1969,""),"")</f>
        <v/>
      </c>
      <c r="J1969" s="114" t="n"/>
      <c r="K1969" s="139">
        <f>IFERROR(IF(H1969&gt;0,H1969*$C$7,""),"")</f>
        <v/>
      </c>
      <c r="L1969" s="139">
        <f>IFERROR(IF(ISNUMBER(F1969),F1969-IF(ISNUMBER(K1969),K1969,0),""),"")</f>
        <v/>
      </c>
    </row>
    <row r="1970" ht="24" customHeight="1" s="63">
      <c r="E1970" s="139" t="n"/>
      <c r="F1970" s="139" t="n"/>
      <c r="G1970" s="140">
        <f>IFERROR(IF(E1970&gt;0,(F1970/E1970)*1000,""),"")</f>
        <v/>
      </c>
      <c r="H1970" s="139">
        <f>IFERROR(IF(E1970&gt;0,E1970*IF(ISNUMBER(J1970),J1970,IF(C1970="Futures",$C$6,$C$5)),""),"")</f>
        <v/>
      </c>
      <c r="I1970" s="139">
        <f>IFERROR(IF(AND(ISNUMBER(F1970),ISNUMBER(H1970)),F1970-H1970,""),"")</f>
        <v/>
      </c>
      <c r="J1970" s="114" t="n"/>
      <c r="K1970" s="139">
        <f>IFERROR(IF(H1970&gt;0,H1970*$C$7,""),"")</f>
        <v/>
      </c>
      <c r="L1970" s="139">
        <f>IFERROR(IF(ISNUMBER(F1970),F1970-IF(ISNUMBER(K1970),K1970,0),""),"")</f>
        <v/>
      </c>
    </row>
    <row r="1971" ht="24" customHeight="1" s="63">
      <c r="E1971" s="139" t="n"/>
      <c r="F1971" s="139" t="n"/>
      <c r="G1971" s="140">
        <f>IFERROR(IF(E1971&gt;0,(F1971/E1971)*1000,""),"")</f>
        <v/>
      </c>
      <c r="H1971" s="139">
        <f>IFERROR(IF(E1971&gt;0,E1971*IF(ISNUMBER(J1971),J1971,IF(C1971="Futures",$C$6,$C$5)),""),"")</f>
        <v/>
      </c>
      <c r="I1971" s="139">
        <f>IFERROR(IF(AND(ISNUMBER(F1971),ISNUMBER(H1971)),F1971-H1971,""),"")</f>
        <v/>
      </c>
      <c r="J1971" s="114" t="n"/>
      <c r="K1971" s="139">
        <f>IFERROR(IF(H1971&gt;0,H1971*$C$7,""),"")</f>
        <v/>
      </c>
      <c r="L1971" s="139">
        <f>IFERROR(IF(ISNUMBER(F1971),F1971-IF(ISNUMBER(K1971),K1971,0),""),"")</f>
        <v/>
      </c>
    </row>
    <row r="1972" ht="24" customHeight="1" s="63">
      <c r="E1972" s="139" t="n"/>
      <c r="F1972" s="139" t="n"/>
      <c r="G1972" s="140">
        <f>IFERROR(IF(E1972&gt;0,(F1972/E1972)*1000,""),"")</f>
        <v/>
      </c>
      <c r="H1972" s="139">
        <f>IFERROR(IF(E1972&gt;0,E1972*IF(ISNUMBER(J1972),J1972,IF(C1972="Futures",$C$6,$C$5)),""),"")</f>
        <v/>
      </c>
      <c r="I1972" s="139">
        <f>IFERROR(IF(AND(ISNUMBER(F1972),ISNUMBER(H1972)),F1972-H1972,""),"")</f>
        <v/>
      </c>
      <c r="J1972" s="114" t="n"/>
      <c r="K1972" s="139">
        <f>IFERROR(IF(H1972&gt;0,H1972*$C$7,""),"")</f>
        <v/>
      </c>
      <c r="L1972" s="139">
        <f>IFERROR(IF(ISNUMBER(F1972),F1972-IF(ISNUMBER(K1972),K1972,0),""),"")</f>
        <v/>
      </c>
    </row>
    <row r="1973" ht="24" customHeight="1" s="63">
      <c r="E1973" s="139" t="n"/>
      <c r="F1973" s="139" t="n"/>
      <c r="G1973" s="140">
        <f>IFERROR(IF(E1973&gt;0,(F1973/E1973)*1000,""),"")</f>
        <v/>
      </c>
      <c r="H1973" s="139">
        <f>IFERROR(IF(E1973&gt;0,E1973*IF(ISNUMBER(J1973),J1973,IF(C1973="Futures",$C$6,$C$5)),""),"")</f>
        <v/>
      </c>
      <c r="I1973" s="139">
        <f>IFERROR(IF(AND(ISNUMBER(F1973),ISNUMBER(H1973)),F1973-H1973,""),"")</f>
        <v/>
      </c>
      <c r="J1973" s="114" t="n"/>
      <c r="K1973" s="139">
        <f>IFERROR(IF(H1973&gt;0,H1973*$C$7,""),"")</f>
        <v/>
      </c>
      <c r="L1973" s="139">
        <f>IFERROR(IF(ISNUMBER(F1973),F1973-IF(ISNUMBER(K1973),K1973,0),""),"")</f>
        <v/>
      </c>
    </row>
    <row r="1974" ht="24" customHeight="1" s="63">
      <c r="E1974" s="139" t="n"/>
      <c r="F1974" s="139" t="n"/>
      <c r="G1974" s="140">
        <f>IFERROR(IF(E1974&gt;0,(F1974/E1974)*1000,""),"")</f>
        <v/>
      </c>
      <c r="H1974" s="139">
        <f>IFERROR(IF(E1974&gt;0,E1974*IF(ISNUMBER(J1974),J1974,IF(C1974="Futures",$C$6,$C$5)),""),"")</f>
        <v/>
      </c>
      <c r="I1974" s="139">
        <f>IFERROR(IF(AND(ISNUMBER(F1974),ISNUMBER(H1974)),F1974-H1974,""),"")</f>
        <v/>
      </c>
      <c r="J1974" s="114" t="n"/>
      <c r="K1974" s="139">
        <f>IFERROR(IF(H1974&gt;0,H1974*$C$7,""),"")</f>
        <v/>
      </c>
      <c r="L1974" s="139">
        <f>IFERROR(IF(ISNUMBER(F1974),F1974-IF(ISNUMBER(K1974),K1974,0),""),"")</f>
        <v/>
      </c>
    </row>
    <row r="1975" ht="24" customHeight="1" s="63">
      <c r="E1975" s="139" t="n"/>
      <c r="F1975" s="139" t="n"/>
      <c r="G1975" s="140">
        <f>IFERROR(IF(E1975&gt;0,(F1975/E1975)*1000,""),"")</f>
        <v/>
      </c>
      <c r="H1975" s="139">
        <f>IFERROR(IF(E1975&gt;0,E1975*IF(ISNUMBER(J1975),J1975,IF(C1975="Futures",$C$6,$C$5)),""),"")</f>
        <v/>
      </c>
      <c r="I1975" s="139">
        <f>IFERROR(IF(AND(ISNUMBER(F1975),ISNUMBER(H1975)),F1975-H1975,""),"")</f>
        <v/>
      </c>
      <c r="J1975" s="114" t="n"/>
      <c r="K1975" s="139">
        <f>IFERROR(IF(H1975&gt;0,H1975*$C$7,""),"")</f>
        <v/>
      </c>
      <c r="L1975" s="139">
        <f>IFERROR(IF(ISNUMBER(F1975),F1975-IF(ISNUMBER(K1975),K1975,0),""),"")</f>
        <v/>
      </c>
    </row>
    <row r="1976" ht="24" customHeight="1" s="63">
      <c r="E1976" s="139" t="n"/>
      <c r="F1976" s="139" t="n"/>
      <c r="G1976" s="140">
        <f>IFERROR(IF(E1976&gt;0,(F1976/E1976)*1000,""),"")</f>
        <v/>
      </c>
      <c r="H1976" s="139">
        <f>IFERROR(IF(E1976&gt;0,E1976*IF(ISNUMBER(J1976),J1976,IF(C1976="Futures",$C$6,$C$5)),""),"")</f>
        <v/>
      </c>
      <c r="I1976" s="139">
        <f>IFERROR(IF(AND(ISNUMBER(F1976),ISNUMBER(H1976)),F1976-H1976,""),"")</f>
        <v/>
      </c>
      <c r="J1976" s="114" t="n"/>
      <c r="K1976" s="139">
        <f>IFERROR(IF(H1976&gt;0,H1976*$C$7,""),"")</f>
        <v/>
      </c>
      <c r="L1976" s="139">
        <f>IFERROR(IF(ISNUMBER(F1976),F1976-IF(ISNUMBER(K1976),K1976,0),""),"")</f>
        <v/>
      </c>
    </row>
    <row r="1977" ht="24" customHeight="1" s="63">
      <c r="E1977" s="139" t="n"/>
      <c r="F1977" s="139" t="n"/>
      <c r="G1977" s="140">
        <f>IFERROR(IF(E1977&gt;0,(F1977/E1977)*1000,""),"")</f>
        <v/>
      </c>
      <c r="H1977" s="139">
        <f>IFERROR(IF(E1977&gt;0,E1977*IF(ISNUMBER(J1977),J1977,IF(C1977="Futures",$C$6,$C$5)),""),"")</f>
        <v/>
      </c>
      <c r="I1977" s="139">
        <f>IFERROR(IF(AND(ISNUMBER(F1977),ISNUMBER(H1977)),F1977-H1977,""),"")</f>
        <v/>
      </c>
      <c r="J1977" s="114" t="n"/>
      <c r="K1977" s="139">
        <f>IFERROR(IF(H1977&gt;0,H1977*$C$7,""),"")</f>
        <v/>
      </c>
      <c r="L1977" s="139">
        <f>IFERROR(IF(ISNUMBER(F1977),F1977-IF(ISNUMBER(K1977),K1977,0),""),"")</f>
        <v/>
      </c>
    </row>
    <row r="1978" ht="24" customHeight="1" s="63">
      <c r="E1978" s="139" t="n"/>
      <c r="F1978" s="139" t="n"/>
      <c r="G1978" s="140">
        <f>IFERROR(IF(E1978&gt;0,(F1978/E1978)*1000,""),"")</f>
        <v/>
      </c>
      <c r="H1978" s="139">
        <f>IFERROR(IF(E1978&gt;0,E1978*IF(ISNUMBER(J1978),J1978,IF(C1978="Futures",$C$6,$C$5)),""),"")</f>
        <v/>
      </c>
      <c r="I1978" s="139">
        <f>IFERROR(IF(AND(ISNUMBER(F1978),ISNUMBER(H1978)),F1978-H1978,""),"")</f>
        <v/>
      </c>
      <c r="J1978" s="114" t="n"/>
      <c r="K1978" s="139">
        <f>IFERROR(IF(H1978&gt;0,H1978*$C$7,""),"")</f>
        <v/>
      </c>
      <c r="L1978" s="139">
        <f>IFERROR(IF(ISNUMBER(F1978),F1978-IF(ISNUMBER(K1978),K1978,0),""),"")</f>
        <v/>
      </c>
    </row>
    <row r="1979" ht="24" customHeight="1" s="63">
      <c r="E1979" s="139" t="n"/>
      <c r="F1979" s="139" t="n"/>
      <c r="G1979" s="140">
        <f>IFERROR(IF(E1979&gt;0,(F1979/E1979)*1000,""),"")</f>
        <v/>
      </c>
      <c r="H1979" s="139">
        <f>IFERROR(IF(E1979&gt;0,E1979*IF(ISNUMBER(J1979),J1979,IF(C1979="Futures",$C$6,$C$5)),""),"")</f>
        <v/>
      </c>
      <c r="I1979" s="139">
        <f>IFERROR(IF(AND(ISNUMBER(F1979),ISNUMBER(H1979)),F1979-H1979,""),"")</f>
        <v/>
      </c>
      <c r="J1979" s="114" t="n"/>
      <c r="K1979" s="139">
        <f>IFERROR(IF(H1979&gt;0,H1979*$C$7,""),"")</f>
        <v/>
      </c>
      <c r="L1979" s="139">
        <f>IFERROR(IF(ISNUMBER(F1979),F1979-IF(ISNUMBER(K1979),K1979,0),""),"")</f>
        <v/>
      </c>
    </row>
    <row r="1980" ht="24" customHeight="1" s="63">
      <c r="E1980" s="139" t="n"/>
      <c r="F1980" s="139" t="n"/>
      <c r="G1980" s="140">
        <f>IFERROR(IF(E1980&gt;0,(F1980/E1980)*1000,""),"")</f>
        <v/>
      </c>
      <c r="H1980" s="139">
        <f>IFERROR(IF(E1980&gt;0,E1980*IF(ISNUMBER(J1980),J1980,IF(C1980="Futures",$C$6,$C$5)),""),"")</f>
        <v/>
      </c>
      <c r="I1980" s="139">
        <f>IFERROR(IF(AND(ISNUMBER(F1980),ISNUMBER(H1980)),F1980-H1980,""),"")</f>
        <v/>
      </c>
      <c r="J1980" s="114" t="n"/>
      <c r="K1980" s="139">
        <f>IFERROR(IF(H1980&gt;0,H1980*$C$7,""),"")</f>
        <v/>
      </c>
      <c r="L1980" s="139">
        <f>IFERROR(IF(ISNUMBER(F1980),F1980-IF(ISNUMBER(K1980),K1980,0),""),"")</f>
        <v/>
      </c>
    </row>
    <row r="1981" ht="24" customHeight="1" s="63">
      <c r="E1981" s="139" t="n"/>
      <c r="F1981" s="139" t="n"/>
      <c r="G1981" s="140">
        <f>IFERROR(IF(E1981&gt;0,(F1981/E1981)*1000,""),"")</f>
        <v/>
      </c>
      <c r="H1981" s="139">
        <f>IFERROR(IF(E1981&gt;0,E1981*IF(ISNUMBER(J1981),J1981,IF(C1981="Futures",$C$6,$C$5)),""),"")</f>
        <v/>
      </c>
      <c r="I1981" s="139">
        <f>IFERROR(IF(AND(ISNUMBER(F1981),ISNUMBER(H1981)),F1981-H1981,""),"")</f>
        <v/>
      </c>
      <c r="J1981" s="114" t="n"/>
      <c r="K1981" s="139">
        <f>IFERROR(IF(H1981&gt;0,H1981*$C$7,""),"")</f>
        <v/>
      </c>
      <c r="L1981" s="139">
        <f>IFERROR(IF(ISNUMBER(F1981),F1981-IF(ISNUMBER(K1981),K1981,0),""),"")</f>
        <v/>
      </c>
    </row>
    <row r="1982" ht="24" customHeight="1" s="63">
      <c r="E1982" s="139" t="n"/>
      <c r="F1982" s="139" t="n"/>
      <c r="G1982" s="140">
        <f>IFERROR(IF(E1982&gt;0,(F1982/E1982)*1000,""),"")</f>
        <v/>
      </c>
      <c r="H1982" s="139">
        <f>IFERROR(IF(E1982&gt;0,E1982*IF(ISNUMBER(J1982),J1982,IF(C1982="Futures",$C$6,$C$5)),""),"")</f>
        <v/>
      </c>
      <c r="I1982" s="139">
        <f>IFERROR(IF(AND(ISNUMBER(F1982),ISNUMBER(H1982)),F1982-H1982,""),"")</f>
        <v/>
      </c>
      <c r="J1982" s="114" t="n"/>
      <c r="K1982" s="139">
        <f>IFERROR(IF(H1982&gt;0,H1982*$C$7,""),"")</f>
        <v/>
      </c>
      <c r="L1982" s="139">
        <f>IFERROR(IF(ISNUMBER(F1982),F1982-IF(ISNUMBER(K1982),K1982,0),""),"")</f>
        <v/>
      </c>
    </row>
    <row r="1983" ht="24" customHeight="1" s="63">
      <c r="E1983" s="139" t="n"/>
      <c r="F1983" s="139" t="n"/>
      <c r="G1983" s="140">
        <f>IFERROR(IF(E1983&gt;0,(F1983/E1983)*1000,""),"")</f>
        <v/>
      </c>
      <c r="H1983" s="139">
        <f>IFERROR(IF(E1983&gt;0,E1983*IF(ISNUMBER(J1983),J1983,IF(C1983="Futures",$C$6,$C$5)),""),"")</f>
        <v/>
      </c>
      <c r="I1983" s="139">
        <f>IFERROR(IF(AND(ISNUMBER(F1983),ISNUMBER(H1983)),F1983-H1983,""),"")</f>
        <v/>
      </c>
      <c r="J1983" s="114" t="n"/>
      <c r="K1983" s="139">
        <f>IFERROR(IF(H1983&gt;0,H1983*$C$7,""),"")</f>
        <v/>
      </c>
      <c r="L1983" s="139">
        <f>IFERROR(IF(ISNUMBER(F1983),F1983-IF(ISNUMBER(K1983),K1983,0),""),"")</f>
        <v/>
      </c>
    </row>
    <row r="1984" ht="24" customHeight="1" s="63">
      <c r="E1984" s="139" t="n"/>
      <c r="F1984" s="139" t="n"/>
      <c r="G1984" s="140">
        <f>IFERROR(IF(E1984&gt;0,(F1984/E1984)*1000,""),"")</f>
        <v/>
      </c>
      <c r="H1984" s="139">
        <f>IFERROR(IF(E1984&gt;0,E1984*IF(ISNUMBER(J1984),J1984,IF(C1984="Futures",$C$6,$C$5)),""),"")</f>
        <v/>
      </c>
      <c r="I1984" s="139">
        <f>IFERROR(IF(AND(ISNUMBER(F1984),ISNUMBER(H1984)),F1984-H1984,""),"")</f>
        <v/>
      </c>
      <c r="J1984" s="114" t="n"/>
      <c r="K1984" s="139">
        <f>IFERROR(IF(H1984&gt;0,H1984*$C$7,""),"")</f>
        <v/>
      </c>
      <c r="L1984" s="139">
        <f>IFERROR(IF(ISNUMBER(F1984),F1984-IF(ISNUMBER(K1984),K1984,0),""),"")</f>
        <v/>
      </c>
    </row>
    <row r="1985" ht="24" customHeight="1" s="63">
      <c r="E1985" s="139" t="n"/>
      <c r="F1985" s="139" t="n"/>
      <c r="G1985" s="140">
        <f>IFERROR(IF(E1985&gt;0,(F1985/E1985)*1000,""),"")</f>
        <v/>
      </c>
      <c r="H1985" s="139">
        <f>IFERROR(IF(E1985&gt;0,E1985*IF(ISNUMBER(J1985),J1985,IF(C1985="Futures",$C$6,$C$5)),""),"")</f>
        <v/>
      </c>
      <c r="I1985" s="139">
        <f>IFERROR(IF(AND(ISNUMBER(F1985),ISNUMBER(H1985)),F1985-H1985,""),"")</f>
        <v/>
      </c>
      <c r="J1985" s="114" t="n"/>
      <c r="K1985" s="139">
        <f>IFERROR(IF(H1985&gt;0,H1985*$C$7,""),"")</f>
        <v/>
      </c>
      <c r="L1985" s="139">
        <f>IFERROR(IF(ISNUMBER(F1985),F1985-IF(ISNUMBER(K1985),K1985,0),""),"")</f>
        <v/>
      </c>
    </row>
    <row r="1986" ht="24" customHeight="1" s="63">
      <c r="E1986" s="139" t="n"/>
      <c r="F1986" s="139" t="n"/>
      <c r="G1986" s="140">
        <f>IFERROR(IF(E1986&gt;0,(F1986/E1986)*1000,""),"")</f>
        <v/>
      </c>
      <c r="H1986" s="139">
        <f>IFERROR(IF(E1986&gt;0,E1986*IF(ISNUMBER(J1986),J1986,IF(C1986="Futures",$C$6,$C$5)),""),"")</f>
        <v/>
      </c>
      <c r="I1986" s="139">
        <f>IFERROR(IF(AND(ISNUMBER(F1986),ISNUMBER(H1986)),F1986-H1986,""),"")</f>
        <v/>
      </c>
      <c r="J1986" s="114" t="n"/>
      <c r="K1986" s="139">
        <f>IFERROR(IF(H1986&gt;0,H1986*$C$7,""),"")</f>
        <v/>
      </c>
      <c r="L1986" s="139">
        <f>IFERROR(IF(ISNUMBER(F1986),F1986-IF(ISNUMBER(K1986),K1986,0),""),"")</f>
        <v/>
      </c>
    </row>
    <row r="1987" ht="24" customHeight="1" s="63">
      <c r="E1987" s="139" t="n"/>
      <c r="F1987" s="139" t="n"/>
      <c r="G1987" s="140">
        <f>IFERROR(IF(E1987&gt;0,(F1987/E1987)*1000,""),"")</f>
        <v/>
      </c>
      <c r="H1987" s="139">
        <f>IFERROR(IF(E1987&gt;0,E1987*IF(ISNUMBER(J1987),J1987,IF(C1987="Futures",$C$6,$C$5)),""),"")</f>
        <v/>
      </c>
      <c r="I1987" s="139">
        <f>IFERROR(IF(AND(ISNUMBER(F1987),ISNUMBER(H1987)),F1987-H1987,""),"")</f>
        <v/>
      </c>
      <c r="J1987" s="114" t="n"/>
      <c r="K1987" s="139">
        <f>IFERROR(IF(H1987&gt;0,H1987*$C$7,""),"")</f>
        <v/>
      </c>
      <c r="L1987" s="139">
        <f>IFERROR(IF(ISNUMBER(F1987),F1987-IF(ISNUMBER(K1987),K1987,0),""),"")</f>
        <v/>
      </c>
    </row>
    <row r="1988" ht="24" customHeight="1" s="63">
      <c r="E1988" s="139" t="n"/>
      <c r="F1988" s="139" t="n"/>
      <c r="G1988" s="140">
        <f>IFERROR(IF(E1988&gt;0,(F1988/E1988)*1000,""),"")</f>
        <v/>
      </c>
      <c r="H1988" s="139">
        <f>IFERROR(IF(E1988&gt;0,E1988*IF(ISNUMBER(J1988),J1988,IF(C1988="Futures",$C$6,$C$5)),""),"")</f>
        <v/>
      </c>
      <c r="I1988" s="139">
        <f>IFERROR(IF(AND(ISNUMBER(F1988),ISNUMBER(H1988)),F1988-H1988,""),"")</f>
        <v/>
      </c>
      <c r="J1988" s="114" t="n"/>
      <c r="K1988" s="139">
        <f>IFERROR(IF(H1988&gt;0,H1988*$C$7,""),"")</f>
        <v/>
      </c>
      <c r="L1988" s="139">
        <f>IFERROR(IF(ISNUMBER(F1988),F1988-IF(ISNUMBER(K1988),K1988,0),""),"")</f>
        <v/>
      </c>
    </row>
    <row r="1989" ht="24" customHeight="1" s="63">
      <c r="E1989" s="139" t="n"/>
      <c r="F1989" s="139" t="n"/>
      <c r="G1989" s="140">
        <f>IFERROR(IF(E1989&gt;0,(F1989/E1989)*1000,""),"")</f>
        <v/>
      </c>
      <c r="H1989" s="139">
        <f>IFERROR(IF(E1989&gt;0,E1989*IF(ISNUMBER(J1989),J1989,IF(C1989="Futures",$C$6,$C$5)),""),"")</f>
        <v/>
      </c>
      <c r="I1989" s="139">
        <f>IFERROR(IF(AND(ISNUMBER(F1989),ISNUMBER(H1989)),F1989-H1989,""),"")</f>
        <v/>
      </c>
      <c r="J1989" s="114" t="n"/>
      <c r="K1989" s="139">
        <f>IFERROR(IF(H1989&gt;0,H1989*$C$7,""),"")</f>
        <v/>
      </c>
      <c r="L1989" s="139">
        <f>IFERROR(IF(ISNUMBER(F1989),F1989-IF(ISNUMBER(K1989),K1989,0),""),"")</f>
        <v/>
      </c>
    </row>
    <row r="1990" ht="24" customHeight="1" s="63">
      <c r="E1990" s="139" t="n"/>
      <c r="F1990" s="139" t="n"/>
      <c r="G1990" s="140">
        <f>IFERROR(IF(E1990&gt;0,(F1990/E1990)*1000,""),"")</f>
        <v/>
      </c>
      <c r="H1990" s="139">
        <f>IFERROR(IF(E1990&gt;0,E1990*IF(ISNUMBER(J1990),J1990,IF(C1990="Futures",$C$6,$C$5)),""),"")</f>
        <v/>
      </c>
      <c r="I1990" s="139">
        <f>IFERROR(IF(AND(ISNUMBER(F1990),ISNUMBER(H1990)),F1990-H1990,""),"")</f>
        <v/>
      </c>
      <c r="J1990" s="114" t="n"/>
      <c r="K1990" s="139">
        <f>IFERROR(IF(H1990&gt;0,H1990*$C$7,""),"")</f>
        <v/>
      </c>
      <c r="L1990" s="139">
        <f>IFERROR(IF(ISNUMBER(F1990),F1990-IF(ISNUMBER(K1990),K1990,0),""),"")</f>
        <v/>
      </c>
    </row>
    <row r="1991" ht="24" customHeight="1" s="63">
      <c r="E1991" s="139" t="n"/>
      <c r="F1991" s="139" t="n"/>
      <c r="G1991" s="140">
        <f>IFERROR(IF(E1991&gt;0,(F1991/E1991)*1000,""),"")</f>
        <v/>
      </c>
      <c r="H1991" s="139">
        <f>IFERROR(IF(E1991&gt;0,E1991*IF(ISNUMBER(J1991),J1991,IF(C1991="Futures",$C$6,$C$5)),""),"")</f>
        <v/>
      </c>
      <c r="I1991" s="139">
        <f>IFERROR(IF(AND(ISNUMBER(F1991),ISNUMBER(H1991)),F1991-H1991,""),"")</f>
        <v/>
      </c>
      <c r="J1991" s="114" t="n"/>
      <c r="K1991" s="139">
        <f>IFERROR(IF(H1991&gt;0,H1991*$C$7,""),"")</f>
        <v/>
      </c>
      <c r="L1991" s="139">
        <f>IFERROR(IF(ISNUMBER(F1991),F1991-IF(ISNUMBER(K1991),K1991,0),""),"")</f>
        <v/>
      </c>
    </row>
    <row r="1992" ht="24" customHeight="1" s="63">
      <c r="E1992" s="139" t="n"/>
      <c r="F1992" s="139" t="n"/>
      <c r="G1992" s="140">
        <f>IFERROR(IF(E1992&gt;0,(F1992/E1992)*1000,""),"")</f>
        <v/>
      </c>
      <c r="H1992" s="139">
        <f>IFERROR(IF(E1992&gt;0,E1992*IF(ISNUMBER(J1992),J1992,IF(C1992="Futures",$C$6,$C$5)),""),"")</f>
        <v/>
      </c>
      <c r="I1992" s="139">
        <f>IFERROR(IF(AND(ISNUMBER(F1992),ISNUMBER(H1992)),F1992-H1992,""),"")</f>
        <v/>
      </c>
      <c r="J1992" s="114" t="n"/>
      <c r="K1992" s="139">
        <f>IFERROR(IF(H1992&gt;0,H1992*$C$7,""),"")</f>
        <v/>
      </c>
      <c r="L1992" s="139">
        <f>IFERROR(IF(ISNUMBER(F1992),F1992-IF(ISNUMBER(K1992),K1992,0),""),"")</f>
        <v/>
      </c>
    </row>
    <row r="1993" ht="24" customHeight="1" s="63">
      <c r="E1993" s="139" t="n"/>
      <c r="F1993" s="139" t="n"/>
      <c r="G1993" s="140">
        <f>IFERROR(IF(E1993&gt;0,(F1993/E1993)*1000,""),"")</f>
        <v/>
      </c>
      <c r="H1993" s="139">
        <f>IFERROR(IF(E1993&gt;0,E1993*IF(ISNUMBER(J1993),J1993,IF(C1993="Futures",$C$6,$C$5)),""),"")</f>
        <v/>
      </c>
      <c r="I1993" s="139">
        <f>IFERROR(IF(AND(ISNUMBER(F1993),ISNUMBER(H1993)),F1993-H1993,""),"")</f>
        <v/>
      </c>
      <c r="J1993" s="114" t="n"/>
      <c r="K1993" s="139">
        <f>IFERROR(IF(H1993&gt;0,H1993*$C$7,""),"")</f>
        <v/>
      </c>
      <c r="L1993" s="139">
        <f>IFERROR(IF(ISNUMBER(F1993),F1993-IF(ISNUMBER(K1993),K1993,0),""),"")</f>
        <v/>
      </c>
    </row>
    <row r="1994" ht="24" customHeight="1" s="63">
      <c r="E1994" s="139" t="n"/>
      <c r="F1994" s="139" t="n"/>
      <c r="G1994" s="140">
        <f>IFERROR(IF(E1994&gt;0,(F1994/E1994)*1000,""),"")</f>
        <v/>
      </c>
      <c r="H1994" s="139">
        <f>IFERROR(IF(E1994&gt;0,E1994*IF(ISNUMBER(J1994),J1994,IF(C1994="Futures",$C$6,$C$5)),""),"")</f>
        <v/>
      </c>
      <c r="I1994" s="139">
        <f>IFERROR(IF(AND(ISNUMBER(F1994),ISNUMBER(H1994)),F1994-H1994,""),"")</f>
        <v/>
      </c>
      <c r="J1994" s="114" t="n"/>
      <c r="K1994" s="139">
        <f>IFERROR(IF(H1994&gt;0,H1994*$C$7,""),"")</f>
        <v/>
      </c>
      <c r="L1994" s="139">
        <f>IFERROR(IF(ISNUMBER(F1994),F1994-IF(ISNUMBER(K1994),K1994,0),""),"")</f>
        <v/>
      </c>
    </row>
    <row r="1995" ht="24" customHeight="1" s="63">
      <c r="E1995" s="139" t="n"/>
      <c r="F1995" s="139" t="n"/>
      <c r="G1995" s="140">
        <f>IFERROR(IF(E1995&gt;0,(F1995/E1995)*1000,""),"")</f>
        <v/>
      </c>
      <c r="H1995" s="139">
        <f>IFERROR(IF(E1995&gt;0,E1995*IF(ISNUMBER(J1995),J1995,IF(C1995="Futures",$C$6,$C$5)),""),"")</f>
        <v/>
      </c>
      <c r="I1995" s="139">
        <f>IFERROR(IF(AND(ISNUMBER(F1995),ISNUMBER(H1995)),F1995-H1995,""),"")</f>
        <v/>
      </c>
      <c r="J1995" s="114" t="n"/>
      <c r="K1995" s="139">
        <f>IFERROR(IF(H1995&gt;0,H1995*$C$7,""),"")</f>
        <v/>
      </c>
      <c r="L1995" s="139">
        <f>IFERROR(IF(ISNUMBER(F1995),F1995-IF(ISNUMBER(K1995),K1995,0),""),"")</f>
        <v/>
      </c>
    </row>
    <row r="1996" ht="24" customHeight="1" s="63">
      <c r="E1996" s="139" t="n"/>
      <c r="F1996" s="139" t="n"/>
      <c r="G1996" s="140">
        <f>IFERROR(IF(E1996&gt;0,(F1996/E1996)*1000,""),"")</f>
        <v/>
      </c>
      <c r="H1996" s="139">
        <f>IFERROR(IF(E1996&gt;0,E1996*IF(ISNUMBER(J1996),J1996,IF(C1996="Futures",$C$6,$C$5)),""),"")</f>
        <v/>
      </c>
      <c r="I1996" s="139">
        <f>IFERROR(IF(AND(ISNUMBER(F1996),ISNUMBER(H1996)),F1996-H1996,""),"")</f>
        <v/>
      </c>
      <c r="J1996" s="114" t="n"/>
      <c r="K1996" s="139">
        <f>IFERROR(IF(H1996&gt;0,H1996*$C$7,""),"")</f>
        <v/>
      </c>
      <c r="L1996" s="139">
        <f>IFERROR(IF(ISNUMBER(F1996),F1996-IF(ISNUMBER(K1996),K1996,0),""),"")</f>
        <v/>
      </c>
    </row>
    <row r="1997" ht="24" customHeight="1" s="63">
      <c r="E1997" s="139" t="n"/>
      <c r="F1997" s="139" t="n"/>
      <c r="G1997" s="140">
        <f>IFERROR(IF(E1997&gt;0,(F1997/E1997)*1000,""),"")</f>
        <v/>
      </c>
      <c r="H1997" s="139">
        <f>IFERROR(IF(E1997&gt;0,E1997*IF(ISNUMBER(J1997),J1997,IF(C1997="Futures",$C$6,$C$5)),""),"")</f>
        <v/>
      </c>
      <c r="I1997" s="139">
        <f>IFERROR(IF(AND(ISNUMBER(F1997),ISNUMBER(H1997)),F1997-H1997,""),"")</f>
        <v/>
      </c>
      <c r="J1997" s="114" t="n"/>
      <c r="K1997" s="139">
        <f>IFERROR(IF(H1997&gt;0,H1997*$C$7,""),"")</f>
        <v/>
      </c>
      <c r="L1997" s="139">
        <f>IFERROR(IF(ISNUMBER(F1997),F1997-IF(ISNUMBER(K1997),K1997,0),""),"")</f>
        <v/>
      </c>
    </row>
    <row r="1998" ht="24" customHeight="1" s="63">
      <c r="E1998" s="139" t="n"/>
      <c r="F1998" s="139" t="n"/>
      <c r="G1998" s="140">
        <f>IFERROR(IF(E1998&gt;0,(F1998/E1998)*1000,""),"")</f>
        <v/>
      </c>
      <c r="H1998" s="139">
        <f>IFERROR(IF(E1998&gt;0,E1998*IF(ISNUMBER(J1998),J1998,IF(C1998="Futures",$C$6,$C$5)),""),"")</f>
        <v/>
      </c>
      <c r="I1998" s="139">
        <f>IFERROR(IF(AND(ISNUMBER(F1998),ISNUMBER(H1998)),F1998-H1998,""),"")</f>
        <v/>
      </c>
      <c r="J1998" s="114" t="n"/>
      <c r="K1998" s="139">
        <f>IFERROR(IF(H1998&gt;0,H1998*$C$7,""),"")</f>
        <v/>
      </c>
      <c r="L1998" s="139">
        <f>IFERROR(IF(ISNUMBER(F1998),F1998-IF(ISNUMBER(K1998),K1998,0),""),"")</f>
        <v/>
      </c>
    </row>
    <row r="1999" ht="24" customHeight="1" s="63">
      <c r="E1999" s="139" t="n"/>
      <c r="F1999" s="139" t="n"/>
      <c r="G1999" s="140">
        <f>IFERROR(IF(E1999&gt;0,(F1999/E1999)*1000,""),"")</f>
        <v/>
      </c>
      <c r="H1999" s="139">
        <f>IFERROR(IF(E1999&gt;0,E1999*IF(ISNUMBER(J1999),J1999,IF(C1999="Futures",$C$6,$C$5)),""),"")</f>
        <v/>
      </c>
      <c r="I1999" s="139">
        <f>IFERROR(IF(AND(ISNUMBER(F1999),ISNUMBER(H1999)),F1999-H1999,""),"")</f>
        <v/>
      </c>
      <c r="J1999" s="114" t="n"/>
      <c r="K1999" s="139">
        <f>IFERROR(IF(H1999&gt;0,H1999*$C$7,""),"")</f>
        <v/>
      </c>
      <c r="L1999" s="139">
        <f>IFERROR(IF(ISNUMBER(F1999),F1999-IF(ISNUMBER(K1999),K1999,0),""),"")</f>
        <v/>
      </c>
    </row>
    <row r="2000" ht="24" customHeight="1" s="63">
      <c r="E2000" s="139" t="n"/>
      <c r="F2000" s="139" t="n"/>
      <c r="G2000" s="140">
        <f>IFERROR(IF(E2000&gt;0,(F2000/E2000)*1000,""),"")</f>
        <v/>
      </c>
      <c r="H2000" s="139">
        <f>IFERROR(IF(E2000&gt;0,E2000*IF(ISNUMBER(J2000),J2000,IF(C2000="Futures",$C$6,$C$5)),""),"")</f>
        <v/>
      </c>
      <c r="I2000" s="139">
        <f>IFERROR(IF(AND(ISNUMBER(F2000),ISNUMBER(H2000)),F2000-H2000,""),"")</f>
        <v/>
      </c>
      <c r="J2000" s="114" t="n"/>
      <c r="K2000" s="139">
        <f>IFERROR(IF(H2000&gt;0,H2000*$C$7,""),"")</f>
        <v/>
      </c>
      <c r="L2000" s="139">
        <f>IFERROR(IF(ISNUMBER(F2000),F2000-IF(ISNUMBER(K2000),K2000,0),""),"")</f>
        <v/>
      </c>
    </row>
    <row r="2001" ht="24" customHeight="1" s="63">
      <c r="E2001" s="139" t="n"/>
      <c r="F2001" s="139" t="n"/>
      <c r="G2001" s="140">
        <f>IFERROR(IF(E2001&gt;0,(F2001/E2001)*1000,""),"")</f>
        <v/>
      </c>
      <c r="H2001" s="139">
        <f>IFERROR(IF(E2001&gt;0,E2001*IF(ISNUMBER(J2001),J2001,IF(C2001="Futures",$C$6,$C$5)),""),"")</f>
        <v/>
      </c>
      <c r="I2001" s="139">
        <f>IFERROR(IF(AND(ISNUMBER(F2001),ISNUMBER(H2001)),F2001-H2001,""),"")</f>
        <v/>
      </c>
      <c r="J2001" s="114" t="n"/>
      <c r="K2001" s="139">
        <f>IFERROR(IF(H2001&gt;0,H2001*$C$7,""),"")</f>
        <v/>
      </c>
      <c r="L2001" s="139">
        <f>IFERROR(IF(ISNUMBER(F2001),F2001-IF(ISNUMBER(K2001),K2001,0),""),"")</f>
        <v/>
      </c>
    </row>
    <row r="2002" ht="24" customHeight="1" s="63">
      <c r="E2002" s="139" t="n"/>
      <c r="F2002" s="139" t="n"/>
      <c r="G2002" s="140">
        <f>IFERROR(IF(E2002&gt;0,(F2002/E2002)*1000,""),"")</f>
        <v/>
      </c>
      <c r="H2002" s="139">
        <f>IFERROR(IF(E2002&gt;0,E2002*IF(ISNUMBER(J2002),J2002,IF(C2002="Futures",$C$6,$C$5)),""),"")</f>
        <v/>
      </c>
      <c r="I2002" s="139">
        <f>IFERROR(IF(AND(ISNUMBER(F2002),ISNUMBER(H2002)),F2002-H2002,""),"")</f>
        <v/>
      </c>
      <c r="J2002" s="114" t="n"/>
      <c r="K2002" s="139">
        <f>IFERROR(IF(H2002&gt;0,H2002*$C$7,""),"")</f>
        <v/>
      </c>
      <c r="L2002" s="139">
        <f>IFERROR(IF(ISNUMBER(F2002),F2002-IF(ISNUMBER(K2002),K2002,0),""),"")</f>
        <v/>
      </c>
    </row>
    <row r="2003" ht="24" customHeight="1" s="63">
      <c r="E2003" s="139" t="n"/>
      <c r="F2003" s="139" t="n"/>
      <c r="G2003" s="140">
        <f>IFERROR(IF(E2003&gt;0,(F2003/E2003)*1000,""),"")</f>
        <v/>
      </c>
      <c r="H2003" s="139">
        <f>IFERROR(IF(E2003&gt;0,E2003*IF(ISNUMBER(J2003),J2003,IF(C2003="Futures",$C$6,$C$5)),""),"")</f>
        <v/>
      </c>
      <c r="I2003" s="139">
        <f>IFERROR(IF(AND(ISNUMBER(F2003),ISNUMBER(H2003)),F2003-H2003,""),"")</f>
        <v/>
      </c>
      <c r="J2003" s="114" t="n"/>
      <c r="K2003" s="139">
        <f>IFERROR(IF(H2003&gt;0,H2003*$C$7,""),"")</f>
        <v/>
      </c>
      <c r="L2003" s="139">
        <f>IFERROR(IF(ISNUMBER(F2003),F2003-IF(ISNUMBER(K2003),K2003,0),""),"")</f>
        <v/>
      </c>
    </row>
    <row r="2004" ht="24" customHeight="1" s="63">
      <c r="E2004" s="139" t="n"/>
      <c r="F2004" s="139" t="n"/>
      <c r="G2004" s="140">
        <f>IFERROR(IF(E2004&gt;0,(F2004/E2004)*1000,""),"")</f>
        <v/>
      </c>
      <c r="H2004" s="139">
        <f>IFERROR(IF(E2004&gt;0,E2004*IF(ISNUMBER(J2004),J2004,IF(C2004="Futures",$C$6,$C$5)),""),"")</f>
        <v/>
      </c>
      <c r="I2004" s="139">
        <f>IFERROR(IF(AND(ISNUMBER(F2004),ISNUMBER(H2004)),F2004-H2004,""),"")</f>
        <v/>
      </c>
      <c r="J2004" s="114" t="n"/>
      <c r="K2004" s="139">
        <f>IFERROR(IF(H2004&gt;0,H2004*$C$7,""),"")</f>
        <v/>
      </c>
      <c r="L2004" s="139">
        <f>IFERROR(IF(ISNUMBER(F2004),F2004-IF(ISNUMBER(K2004),K2004,0),""),"")</f>
        <v/>
      </c>
    </row>
    <row r="2005" ht="24" customHeight="1" s="63">
      <c r="E2005" s="139" t="n"/>
      <c r="F2005" s="139" t="n"/>
      <c r="G2005" s="140">
        <f>IFERROR(IF(E2005&gt;0,(F2005/E2005)*1000,""),"")</f>
        <v/>
      </c>
      <c r="H2005" s="139">
        <f>IFERROR(IF(E2005&gt;0,E2005*IF(ISNUMBER(J2005),J2005,IF(C2005="Futures",$C$6,$C$5)),""),"")</f>
        <v/>
      </c>
      <c r="I2005" s="139">
        <f>IFERROR(IF(AND(ISNUMBER(F2005),ISNUMBER(H2005)),F2005-H2005,""),"")</f>
        <v/>
      </c>
      <c r="J2005" s="114" t="n"/>
      <c r="K2005" s="139">
        <f>IFERROR(IF(H2005&gt;0,H2005*$C$7,""),"")</f>
        <v/>
      </c>
      <c r="L2005" s="139">
        <f>IFERROR(IF(ISNUMBER(F2005),F2005-IF(ISNUMBER(K2005),K2005,0),""),"")</f>
        <v/>
      </c>
    </row>
    <row r="2006" ht="24" customHeight="1" s="63">
      <c r="E2006" s="139" t="n"/>
      <c r="F2006" s="139" t="n"/>
      <c r="G2006" s="140">
        <f>IFERROR(IF(E2006&gt;0,(F2006/E2006)*1000,""),"")</f>
        <v/>
      </c>
      <c r="H2006" s="139">
        <f>IFERROR(IF(E2006&gt;0,E2006*IF(ISNUMBER(J2006),J2006,IF(C2006="Futures",$C$6,$C$5)),""),"")</f>
        <v/>
      </c>
      <c r="I2006" s="139">
        <f>IFERROR(IF(AND(ISNUMBER(F2006),ISNUMBER(H2006)),F2006-H2006,""),"")</f>
        <v/>
      </c>
      <c r="J2006" s="114" t="n"/>
      <c r="K2006" s="139">
        <f>IFERROR(IF(H2006&gt;0,H2006*$C$7,""),"")</f>
        <v/>
      </c>
      <c r="L2006" s="139">
        <f>IFERROR(IF(ISNUMBER(F2006),F2006-IF(ISNUMBER(K2006),K2006,0),""),"")</f>
        <v/>
      </c>
    </row>
    <row r="2007" ht="24" customHeight="1" s="63">
      <c r="E2007" s="139" t="n"/>
      <c r="F2007" s="139" t="n"/>
      <c r="G2007" s="140">
        <f>IFERROR(IF(E2007&gt;0,(F2007/E2007)*1000,""),"")</f>
        <v/>
      </c>
      <c r="H2007" s="139">
        <f>IFERROR(IF(E2007&gt;0,E2007*IF(ISNUMBER(J2007),J2007,IF(C2007="Futures",$C$6,$C$5)),""),"")</f>
        <v/>
      </c>
      <c r="I2007" s="139">
        <f>IFERROR(IF(AND(ISNUMBER(F2007),ISNUMBER(H2007)),F2007-H2007,""),"")</f>
        <v/>
      </c>
      <c r="J2007" s="114" t="n"/>
      <c r="K2007" s="139">
        <f>IFERROR(IF(H2007&gt;0,H2007*$C$7,""),"")</f>
        <v/>
      </c>
      <c r="L2007" s="139">
        <f>IFERROR(IF(ISNUMBER(F2007),F2007-IF(ISNUMBER(K2007),K2007,0),""),"")</f>
        <v/>
      </c>
    </row>
    <row r="2008" ht="24" customHeight="1" s="63">
      <c r="E2008" s="139" t="n"/>
      <c r="F2008" s="139" t="n"/>
      <c r="G2008" s="140">
        <f>IFERROR(IF(E2008&gt;0,(F2008/E2008)*1000,""),"")</f>
        <v/>
      </c>
      <c r="H2008" s="139">
        <f>IFERROR(IF(E2008&gt;0,E2008*IF(ISNUMBER(J2008),J2008,IF(C2008="Futures",$C$6,$C$5)),""),"")</f>
        <v/>
      </c>
      <c r="I2008" s="139">
        <f>IFERROR(IF(AND(ISNUMBER(F2008),ISNUMBER(H2008)),F2008-H2008,""),"")</f>
        <v/>
      </c>
      <c r="J2008" s="114" t="n"/>
      <c r="K2008" s="139">
        <f>IFERROR(IF(H2008&gt;0,H2008*$C$7,""),"")</f>
        <v/>
      </c>
      <c r="L2008" s="139">
        <f>IFERROR(IF(ISNUMBER(F2008),F2008-IF(ISNUMBER(K2008),K2008,0),""),"")</f>
        <v/>
      </c>
    </row>
    <row r="2009" ht="24" customHeight="1" s="63">
      <c r="E2009" s="139" t="n"/>
      <c r="F2009" s="139" t="n"/>
      <c r="G2009" s="140">
        <f>IFERROR(IF(E2009&gt;0,(F2009/E2009)*1000,""),"")</f>
        <v/>
      </c>
      <c r="H2009" s="139">
        <f>IFERROR(IF(E2009&gt;0,E2009*IF(ISNUMBER(J2009),J2009,IF(C2009="Futures",$C$6,$C$5)),""),"")</f>
        <v/>
      </c>
      <c r="I2009" s="139">
        <f>IFERROR(IF(AND(ISNUMBER(F2009),ISNUMBER(H2009)),F2009-H2009,""),"")</f>
        <v/>
      </c>
      <c r="J2009" s="114" t="n"/>
      <c r="K2009" s="139">
        <f>IFERROR(IF(H2009&gt;0,H2009*$C$7,""),"")</f>
        <v/>
      </c>
      <c r="L2009" s="139">
        <f>IFERROR(IF(ISNUMBER(F2009),F2009-IF(ISNUMBER(K2009),K2009,0),""),"")</f>
        <v/>
      </c>
    </row>
    <row r="2010" ht="24" customHeight="1" s="63">
      <c r="E2010" s="139" t="n"/>
      <c r="F2010" s="139" t="n"/>
      <c r="G2010" s="140">
        <f>IFERROR(IF(E2010&gt;0,(F2010/E2010)*1000,""),"")</f>
        <v/>
      </c>
      <c r="H2010" s="139">
        <f>IFERROR(IF(E2010&gt;0,E2010*IF(ISNUMBER(J2010),J2010,IF(C2010="Futures",$C$6,$C$5)),""),"")</f>
        <v/>
      </c>
      <c r="I2010" s="139">
        <f>IFERROR(IF(AND(ISNUMBER(F2010),ISNUMBER(H2010)),F2010-H2010,""),"")</f>
        <v/>
      </c>
      <c r="J2010" s="114" t="n"/>
      <c r="K2010" s="139">
        <f>IFERROR(IF(H2010&gt;0,H2010*$C$7,""),"")</f>
        <v/>
      </c>
      <c r="L2010" s="139">
        <f>IFERROR(IF(ISNUMBER(F2010),F2010-IF(ISNUMBER(K2010),K2010,0),""),"")</f>
        <v/>
      </c>
    </row>
    <row r="2011" ht="24" customHeight="1" s="63">
      <c r="E2011" s="139" t="n"/>
      <c r="F2011" s="139" t="n"/>
      <c r="G2011" s="140">
        <f>IFERROR(IF(E2011&gt;0,(F2011/E2011)*1000,""),"")</f>
        <v/>
      </c>
      <c r="H2011" s="139">
        <f>IFERROR(IF(E2011&gt;0,E2011*IF(ISNUMBER(J2011),J2011,IF(C2011="Futures",$C$6,$C$5)),""),"")</f>
        <v/>
      </c>
      <c r="I2011" s="139">
        <f>IFERROR(IF(AND(ISNUMBER(F2011),ISNUMBER(H2011)),F2011-H2011,""),"")</f>
        <v/>
      </c>
      <c r="J2011" s="114" t="n"/>
      <c r="K2011" s="139">
        <f>IFERROR(IF(H2011&gt;0,H2011*$C$7,""),"")</f>
        <v/>
      </c>
      <c r="L2011" s="139">
        <f>IFERROR(IF(ISNUMBER(F2011),F2011-IF(ISNUMBER(K2011),K2011,0),""),"")</f>
        <v/>
      </c>
    </row>
    <row r="2012" ht="24" customHeight="1" s="63">
      <c r="E2012" s="139" t="n"/>
      <c r="F2012" s="139" t="n"/>
      <c r="G2012" s="140">
        <f>IFERROR(IF(E2012&gt;0,(F2012/E2012)*1000,""),"")</f>
        <v/>
      </c>
      <c r="H2012" s="139">
        <f>IFERROR(IF(E2012&gt;0,E2012*IF(ISNUMBER(J2012),J2012,IF(C2012="Futures",$C$6,$C$5)),""),"")</f>
        <v/>
      </c>
      <c r="I2012" s="139">
        <f>IFERROR(IF(AND(ISNUMBER(F2012),ISNUMBER(H2012)),F2012-H2012,""),"")</f>
        <v/>
      </c>
      <c r="J2012" s="114" t="n"/>
      <c r="K2012" s="139">
        <f>IFERROR(IF(H2012&gt;0,H2012*$C$7,""),"")</f>
        <v/>
      </c>
      <c r="L2012" s="139">
        <f>IFERROR(IF(ISNUMBER(F2012),F2012-IF(ISNUMBER(K2012),K2012,0),""),"")</f>
        <v/>
      </c>
    </row>
    <row r="2013" ht="24" customHeight="1" s="63">
      <c r="E2013" s="139" t="n"/>
      <c r="F2013" s="139" t="n"/>
      <c r="G2013" s="140">
        <f>IFERROR(IF(E2013&gt;0,(F2013/E2013)*1000,""),"")</f>
        <v/>
      </c>
      <c r="H2013" s="139">
        <f>IFERROR(IF(E2013&gt;0,E2013*IF(ISNUMBER(J2013),J2013,IF(C2013="Futures",$C$6,$C$5)),""),"")</f>
        <v/>
      </c>
      <c r="I2013" s="139">
        <f>IFERROR(IF(AND(ISNUMBER(F2013),ISNUMBER(H2013)),F2013-H2013,""),"")</f>
        <v/>
      </c>
      <c r="J2013" s="114" t="n"/>
      <c r="K2013" s="139">
        <f>IFERROR(IF(H2013&gt;0,H2013*$C$7,""),"")</f>
        <v/>
      </c>
      <c r="L2013" s="139">
        <f>IFERROR(IF(ISNUMBER(F2013),F2013-IF(ISNUMBER(K2013),K2013,0),""),"")</f>
        <v/>
      </c>
    </row>
    <row r="2014" ht="24" customHeight="1" s="63">
      <c r="E2014" s="139" t="n"/>
      <c r="F2014" s="139" t="n"/>
      <c r="G2014" s="140">
        <f>IFERROR(IF(E2014&gt;0,(F2014/E2014)*1000,""),"")</f>
        <v/>
      </c>
      <c r="H2014" s="139">
        <f>IFERROR(IF(E2014&gt;0,E2014*IF(ISNUMBER(J2014),J2014,IF(C2014="Futures",$C$6,$C$5)),""),"")</f>
        <v/>
      </c>
      <c r="I2014" s="139">
        <f>IFERROR(IF(AND(ISNUMBER(F2014),ISNUMBER(H2014)),F2014-H2014,""),"")</f>
        <v/>
      </c>
      <c r="J2014" s="114" t="n"/>
      <c r="K2014" s="139">
        <f>IFERROR(IF(H2014&gt;0,H2014*$C$7,""),"")</f>
        <v/>
      </c>
      <c r="L2014" s="139">
        <f>IFERROR(IF(ISNUMBER(F2014),F2014-IF(ISNUMBER(K2014),K2014,0),""),"")</f>
        <v/>
      </c>
    </row>
    <row r="2015" ht="24" customHeight="1" s="63">
      <c r="E2015" s="139" t="n"/>
      <c r="F2015" s="139" t="n"/>
      <c r="G2015" s="140">
        <f>IFERROR(IF(E2015&gt;0,(F2015/E2015)*1000,""),"")</f>
        <v/>
      </c>
      <c r="H2015" s="139">
        <f>IFERROR(IF(E2015&gt;0,E2015*IF(ISNUMBER(J2015),J2015,IF(C2015="Futures",$C$6,$C$5)),""),"")</f>
        <v/>
      </c>
      <c r="I2015" s="139">
        <f>IFERROR(IF(AND(ISNUMBER(F2015),ISNUMBER(H2015)),F2015-H2015,""),"")</f>
        <v/>
      </c>
      <c r="J2015" s="114" t="n"/>
      <c r="K2015" s="139">
        <f>IFERROR(IF(H2015&gt;0,H2015*$C$7,""),"")</f>
        <v/>
      </c>
      <c r="L2015" s="139">
        <f>IFERROR(IF(ISNUMBER(F2015),F2015-IF(ISNUMBER(K2015),K2015,0),""),"")</f>
        <v/>
      </c>
    </row>
    <row r="2016" ht="24" customHeight="1" s="63">
      <c r="E2016" s="139" t="n"/>
      <c r="F2016" s="139" t="n"/>
      <c r="G2016" s="140">
        <f>IFERROR(IF(E2016&gt;0,(F2016/E2016)*1000,""),"")</f>
        <v/>
      </c>
      <c r="H2016" s="139">
        <f>IFERROR(IF(E2016&gt;0,E2016*IF(ISNUMBER(J2016),J2016,IF(C2016="Futures",$C$6,$C$5)),""),"")</f>
        <v/>
      </c>
      <c r="I2016" s="139">
        <f>IFERROR(IF(AND(ISNUMBER(F2016),ISNUMBER(H2016)),F2016-H2016,""),"")</f>
        <v/>
      </c>
      <c r="J2016" s="114" t="n"/>
      <c r="K2016" s="139">
        <f>IFERROR(IF(H2016&gt;0,H2016*$C$7,""),"")</f>
        <v/>
      </c>
      <c r="L2016" s="139">
        <f>IFERROR(IF(ISNUMBER(F2016),F2016-IF(ISNUMBER(K2016),K2016,0),""),"")</f>
        <v/>
      </c>
    </row>
    <row r="2017" ht="24" customHeight="1" s="63">
      <c r="E2017" s="139" t="n"/>
      <c r="F2017" s="139" t="n"/>
      <c r="G2017" s="140">
        <f>IFERROR(IF(E2017&gt;0,(F2017/E2017)*1000,""),"")</f>
        <v/>
      </c>
      <c r="H2017" s="139">
        <f>IFERROR(IF(E2017&gt;0,E2017*IF(ISNUMBER(J2017),J2017,IF(C2017="Futures",$C$6,$C$5)),""),"")</f>
        <v/>
      </c>
      <c r="I2017" s="139">
        <f>IFERROR(IF(AND(ISNUMBER(F2017),ISNUMBER(H2017)),F2017-H2017,""),"")</f>
        <v/>
      </c>
      <c r="J2017" s="114" t="n"/>
      <c r="K2017" s="139">
        <f>IFERROR(IF(H2017&gt;0,H2017*$C$7,""),"")</f>
        <v/>
      </c>
      <c r="L2017" s="139">
        <f>IFERROR(IF(ISNUMBER(F2017),F2017-IF(ISNUMBER(K2017),K2017,0),""),"")</f>
        <v/>
      </c>
    </row>
    <row r="2018" ht="24" customHeight="1" s="63">
      <c r="E2018" s="139" t="n"/>
      <c r="F2018" s="139" t="n"/>
      <c r="G2018" s="140">
        <f>IFERROR(IF(E2018&gt;0,(F2018/E2018)*1000,""),"")</f>
        <v/>
      </c>
      <c r="H2018" s="139">
        <f>IFERROR(IF(E2018&gt;0,E2018*IF(ISNUMBER(J2018),J2018,IF(C2018="Futures",$C$6,$C$5)),""),"")</f>
        <v/>
      </c>
      <c r="I2018" s="139">
        <f>IFERROR(IF(AND(ISNUMBER(F2018),ISNUMBER(H2018)),F2018-H2018,""),"")</f>
        <v/>
      </c>
      <c r="J2018" s="114" t="n"/>
      <c r="K2018" s="139">
        <f>IFERROR(IF(H2018&gt;0,H2018*$C$7,""),"")</f>
        <v/>
      </c>
      <c r="L2018" s="139">
        <f>IFERROR(IF(ISNUMBER(F2018),F2018-IF(ISNUMBER(K2018),K2018,0),""),"")</f>
        <v/>
      </c>
    </row>
    <row r="2019" ht="24" customHeight="1" s="63">
      <c r="E2019" s="139" t="n"/>
      <c r="F2019" s="139" t="n"/>
      <c r="G2019" s="140">
        <f>IFERROR(IF(E2019&gt;0,(F2019/E2019)*1000,""),"")</f>
        <v/>
      </c>
      <c r="H2019" s="139">
        <f>IFERROR(IF(E2019&gt;0,E2019*IF(ISNUMBER(J2019),J2019,IF(C2019="Futures",$C$6,$C$5)),""),"")</f>
        <v/>
      </c>
      <c r="I2019" s="139">
        <f>IFERROR(IF(AND(ISNUMBER(F2019),ISNUMBER(H2019)),F2019-H2019,""),"")</f>
        <v/>
      </c>
      <c r="J2019" s="114" t="n"/>
      <c r="K2019" s="139">
        <f>IFERROR(IF(H2019&gt;0,H2019*$C$7,""),"")</f>
        <v/>
      </c>
      <c r="L2019" s="139">
        <f>IFERROR(IF(ISNUMBER(F2019),F2019-IF(ISNUMBER(K2019),K2019,0),""),"")</f>
        <v/>
      </c>
    </row>
    <row r="2020" ht="24" customHeight="1" s="63">
      <c r="E2020" s="139" t="n"/>
      <c r="F2020" s="139" t="n"/>
      <c r="G2020" s="140">
        <f>IFERROR(IF(E2020&gt;0,(F2020/E2020)*1000,""),"")</f>
        <v/>
      </c>
      <c r="H2020" s="139">
        <f>IFERROR(IF(E2020&gt;0,E2020*IF(ISNUMBER(J2020),J2020,IF(C2020="Futures",$C$6,$C$5)),""),"")</f>
        <v/>
      </c>
      <c r="I2020" s="139">
        <f>IFERROR(IF(AND(ISNUMBER(F2020),ISNUMBER(H2020)),F2020-H2020,""),"")</f>
        <v/>
      </c>
      <c r="J2020" s="114" t="n"/>
      <c r="K2020" s="139">
        <f>IFERROR(IF(H2020&gt;0,H2020*$C$7,""),"")</f>
        <v/>
      </c>
      <c r="L2020" s="139">
        <f>IFERROR(IF(ISNUMBER(F2020),F2020-IF(ISNUMBER(K2020),K2020,0),""),"")</f>
        <v/>
      </c>
    </row>
    <row r="2021" ht="24" customHeight="1" s="63">
      <c r="E2021" s="139" t="n"/>
      <c r="F2021" s="139" t="n"/>
      <c r="G2021" s="140">
        <f>IFERROR(IF(E2021&gt;0,(F2021/E2021)*1000,""),"")</f>
        <v/>
      </c>
      <c r="H2021" s="139">
        <f>IFERROR(IF(E2021&gt;0,E2021*IF(ISNUMBER(J2021),J2021,IF(C2021="Futures",$C$6,$C$5)),""),"")</f>
        <v/>
      </c>
      <c r="I2021" s="139">
        <f>IFERROR(IF(AND(ISNUMBER(F2021),ISNUMBER(H2021)),F2021-H2021,""),"")</f>
        <v/>
      </c>
      <c r="J2021" s="114" t="n"/>
      <c r="K2021" s="139">
        <f>IFERROR(IF(H2021&gt;0,H2021*$C$7,""),"")</f>
        <v/>
      </c>
      <c r="L2021" s="139">
        <f>IFERROR(IF(ISNUMBER(F2021),F2021-IF(ISNUMBER(K2021),K2021,0),""),"")</f>
        <v/>
      </c>
    </row>
    <row r="2022" ht="24" customHeight="1" s="63">
      <c r="E2022" s="139" t="n"/>
      <c r="F2022" s="139" t="n"/>
      <c r="G2022" s="140">
        <f>IFERROR(IF(E2022&gt;0,(F2022/E2022)*1000,""),"")</f>
        <v/>
      </c>
      <c r="H2022" s="139">
        <f>IFERROR(IF(E2022&gt;0,E2022*IF(ISNUMBER(J2022),J2022,IF(C2022="Futures",$C$6,$C$5)),""),"")</f>
        <v/>
      </c>
      <c r="I2022" s="139">
        <f>IFERROR(IF(AND(ISNUMBER(F2022),ISNUMBER(H2022)),F2022-H2022,""),"")</f>
        <v/>
      </c>
      <c r="J2022" s="114" t="n"/>
      <c r="K2022" s="139">
        <f>IFERROR(IF(H2022&gt;0,H2022*$C$7,""),"")</f>
        <v/>
      </c>
      <c r="L2022" s="139">
        <f>IFERROR(IF(ISNUMBER(F2022),F2022-IF(ISNUMBER(K2022),K2022,0),""),"")</f>
        <v/>
      </c>
    </row>
    <row r="2023" ht="24" customHeight="1" s="63">
      <c r="E2023" s="139" t="n"/>
      <c r="F2023" s="139" t="n"/>
      <c r="G2023" s="140">
        <f>IFERROR(IF(E2023&gt;0,(F2023/E2023)*1000,""),"")</f>
        <v/>
      </c>
      <c r="H2023" s="139">
        <f>IFERROR(IF(E2023&gt;0,E2023*IF(ISNUMBER(J2023),J2023,IF(C2023="Futures",$C$6,$C$5)),""),"")</f>
        <v/>
      </c>
      <c r="I2023" s="139">
        <f>IFERROR(IF(AND(ISNUMBER(F2023),ISNUMBER(H2023)),F2023-H2023,""),"")</f>
        <v/>
      </c>
      <c r="J2023" s="114" t="n"/>
      <c r="K2023" s="139">
        <f>IFERROR(IF(H2023&gt;0,H2023*$C$7,""),"")</f>
        <v/>
      </c>
      <c r="L2023" s="139">
        <f>IFERROR(IF(ISNUMBER(F2023),F2023-IF(ISNUMBER(K2023),K2023,0),""),"")</f>
        <v/>
      </c>
    </row>
    <row r="2024" ht="24" customHeight="1" s="63">
      <c r="E2024" s="139" t="n"/>
      <c r="F2024" s="139" t="n"/>
      <c r="G2024" s="140">
        <f>IFERROR(IF(E2024&gt;0,(F2024/E2024)*1000,""),"")</f>
        <v/>
      </c>
      <c r="H2024" s="139">
        <f>IFERROR(IF(E2024&gt;0,E2024*IF(ISNUMBER(J2024),J2024,IF(C2024="Futures",$C$6,$C$5)),""),"")</f>
        <v/>
      </c>
      <c r="I2024" s="139">
        <f>IFERROR(IF(AND(ISNUMBER(F2024),ISNUMBER(H2024)),F2024-H2024,""),"")</f>
        <v/>
      </c>
      <c r="J2024" s="114" t="n"/>
      <c r="K2024" s="139">
        <f>IFERROR(IF(H2024&gt;0,H2024*$C$7,""),"")</f>
        <v/>
      </c>
      <c r="L2024" s="139">
        <f>IFERROR(IF(ISNUMBER(F2024),F2024-IF(ISNUMBER(K2024),K2024,0),""),"")</f>
        <v/>
      </c>
    </row>
    <row r="2025" ht="24" customHeight="1" s="63">
      <c r="E2025" s="139" t="n"/>
      <c r="F2025" s="139" t="n"/>
      <c r="G2025" s="140">
        <f>IFERROR(IF(E2025&gt;0,(F2025/E2025)*1000,""),"")</f>
        <v/>
      </c>
      <c r="H2025" s="139">
        <f>IFERROR(IF(E2025&gt;0,E2025*IF(ISNUMBER(J2025),J2025,IF(C2025="Futures",$C$6,$C$5)),""),"")</f>
        <v/>
      </c>
      <c r="I2025" s="139">
        <f>IFERROR(IF(AND(ISNUMBER(F2025),ISNUMBER(H2025)),F2025-H2025,""),"")</f>
        <v/>
      </c>
      <c r="J2025" s="114" t="n"/>
      <c r="K2025" s="139">
        <f>IFERROR(IF(H2025&gt;0,H2025*$C$7,""),"")</f>
        <v/>
      </c>
      <c r="L2025" s="139">
        <f>IFERROR(IF(ISNUMBER(F2025),F2025-IF(ISNUMBER(K2025),K2025,0),""),"")</f>
        <v/>
      </c>
    </row>
    <row r="2026" ht="24" customHeight="1" s="63">
      <c r="E2026" s="139" t="n"/>
      <c r="F2026" s="139" t="n"/>
      <c r="G2026" s="140">
        <f>IFERROR(IF(E2026&gt;0,(F2026/E2026)*1000,""),"")</f>
        <v/>
      </c>
      <c r="H2026" s="139">
        <f>IFERROR(IF(E2026&gt;0,E2026*IF(ISNUMBER(J2026),J2026,IF(C2026="Futures",$C$6,$C$5)),""),"")</f>
        <v/>
      </c>
      <c r="I2026" s="139">
        <f>IFERROR(IF(AND(ISNUMBER(F2026),ISNUMBER(H2026)),F2026-H2026,""),"")</f>
        <v/>
      </c>
      <c r="J2026" s="114" t="n"/>
      <c r="K2026" s="139">
        <f>IFERROR(IF(H2026&gt;0,H2026*$C$7,""),"")</f>
        <v/>
      </c>
      <c r="L2026" s="139">
        <f>IFERROR(IF(ISNUMBER(F2026),F2026-IF(ISNUMBER(K2026),K2026,0),""),"")</f>
        <v/>
      </c>
    </row>
    <row r="2027" ht="24" customHeight="1" s="63">
      <c r="E2027" s="139" t="n"/>
      <c r="F2027" s="139" t="n"/>
      <c r="G2027" s="140">
        <f>IFERROR(IF(E2027&gt;0,(F2027/E2027)*1000,""),"")</f>
        <v/>
      </c>
      <c r="H2027" s="139">
        <f>IFERROR(IF(E2027&gt;0,E2027*IF(ISNUMBER(J2027),J2027,IF(C2027="Futures",$C$6,$C$5)),""),"")</f>
        <v/>
      </c>
      <c r="I2027" s="139">
        <f>IFERROR(IF(AND(ISNUMBER(F2027),ISNUMBER(H2027)),F2027-H2027,""),"")</f>
        <v/>
      </c>
      <c r="J2027" s="114" t="n"/>
      <c r="K2027" s="139">
        <f>IFERROR(IF(H2027&gt;0,H2027*$C$7,""),"")</f>
        <v/>
      </c>
      <c r="L2027" s="139">
        <f>IFERROR(IF(ISNUMBER(F2027),F2027-IF(ISNUMBER(K2027),K2027,0),""),"")</f>
        <v/>
      </c>
    </row>
    <row r="2028" ht="24" customHeight="1" s="63">
      <c r="E2028" s="139" t="n"/>
      <c r="F2028" s="139" t="n"/>
      <c r="G2028" s="140">
        <f>IFERROR(IF(E2028&gt;0,(F2028/E2028)*1000,""),"")</f>
        <v/>
      </c>
      <c r="H2028" s="139">
        <f>IFERROR(IF(E2028&gt;0,E2028*IF(ISNUMBER(J2028),J2028,IF(C2028="Futures",$C$6,$C$5)),""),"")</f>
        <v/>
      </c>
      <c r="I2028" s="139">
        <f>IFERROR(IF(AND(ISNUMBER(F2028),ISNUMBER(H2028)),F2028-H2028,""),"")</f>
        <v/>
      </c>
      <c r="J2028" s="114" t="n"/>
      <c r="K2028" s="139">
        <f>IFERROR(IF(H2028&gt;0,H2028*$C$7,""),"")</f>
        <v/>
      </c>
      <c r="L2028" s="139">
        <f>IFERROR(IF(ISNUMBER(F2028),F2028-IF(ISNUMBER(K2028),K2028,0),""),"")</f>
        <v/>
      </c>
    </row>
    <row r="2029" ht="24" customHeight="1" s="63">
      <c r="E2029" s="139" t="n"/>
      <c r="F2029" s="139" t="n"/>
      <c r="G2029" s="140">
        <f>IFERROR(IF(E2029&gt;0,(F2029/E2029)*1000,""),"")</f>
        <v/>
      </c>
      <c r="H2029" s="139">
        <f>IFERROR(IF(E2029&gt;0,E2029*IF(ISNUMBER(J2029),J2029,IF(C2029="Futures",$C$6,$C$5)),""),"")</f>
        <v/>
      </c>
      <c r="I2029" s="139">
        <f>IFERROR(IF(AND(ISNUMBER(F2029),ISNUMBER(H2029)),F2029-H2029,""),"")</f>
        <v/>
      </c>
      <c r="J2029" s="114" t="n"/>
      <c r="K2029" s="139">
        <f>IFERROR(IF(H2029&gt;0,H2029*$C$7,""),"")</f>
        <v/>
      </c>
      <c r="L2029" s="139">
        <f>IFERROR(IF(ISNUMBER(F2029),F2029-IF(ISNUMBER(K2029),K2029,0),""),"")</f>
        <v/>
      </c>
    </row>
    <row r="2030" ht="24" customHeight="1" s="63">
      <c r="E2030" s="139" t="n"/>
      <c r="F2030" s="139" t="n"/>
      <c r="G2030" s="140">
        <f>IFERROR(IF(E2030&gt;0,(F2030/E2030)*1000,""),"")</f>
        <v/>
      </c>
      <c r="H2030" s="139">
        <f>IFERROR(IF(E2030&gt;0,E2030*IF(ISNUMBER(J2030),J2030,IF(C2030="Futures",$C$6,$C$5)),""),"")</f>
        <v/>
      </c>
      <c r="I2030" s="139">
        <f>IFERROR(IF(AND(ISNUMBER(F2030),ISNUMBER(H2030)),F2030-H2030,""),"")</f>
        <v/>
      </c>
      <c r="J2030" s="114" t="n"/>
      <c r="K2030" s="139">
        <f>IFERROR(IF(H2030&gt;0,H2030*$C$7,""),"")</f>
        <v/>
      </c>
      <c r="L2030" s="139">
        <f>IFERROR(IF(ISNUMBER(F2030),F2030-IF(ISNUMBER(K2030),K2030,0),""),"")</f>
        <v/>
      </c>
    </row>
    <row r="2031" ht="24" customHeight="1" s="63">
      <c r="E2031" s="139" t="n"/>
      <c r="F2031" s="139" t="n"/>
      <c r="G2031" s="140">
        <f>IFERROR(IF(E2031&gt;0,(F2031/E2031)*1000,""),"")</f>
        <v/>
      </c>
      <c r="H2031" s="139">
        <f>IFERROR(IF(E2031&gt;0,E2031*IF(ISNUMBER(J2031),J2031,IF(C2031="Futures",$C$6,$C$5)),""),"")</f>
        <v/>
      </c>
      <c r="I2031" s="139">
        <f>IFERROR(IF(AND(ISNUMBER(F2031),ISNUMBER(H2031)),F2031-H2031,""),"")</f>
        <v/>
      </c>
      <c r="J2031" s="114" t="n"/>
      <c r="K2031" s="139">
        <f>IFERROR(IF(H2031&gt;0,H2031*$C$7,""),"")</f>
        <v/>
      </c>
      <c r="L2031" s="139">
        <f>IFERROR(IF(ISNUMBER(F2031),F2031-IF(ISNUMBER(K2031),K2031,0),""),"")</f>
        <v/>
      </c>
    </row>
    <row r="2032" ht="24" customHeight="1" s="63">
      <c r="E2032" s="139" t="n"/>
      <c r="F2032" s="139" t="n"/>
      <c r="G2032" s="140">
        <f>IFERROR(IF(E2032&gt;0,(F2032/E2032)*1000,""),"")</f>
        <v/>
      </c>
      <c r="H2032" s="139">
        <f>IFERROR(IF(E2032&gt;0,E2032*IF(ISNUMBER(J2032),J2032,IF(C2032="Futures",$C$6,$C$5)),""),"")</f>
        <v/>
      </c>
      <c r="I2032" s="139">
        <f>IFERROR(IF(AND(ISNUMBER(F2032),ISNUMBER(H2032)),F2032-H2032,""),"")</f>
        <v/>
      </c>
      <c r="J2032" s="114" t="n"/>
      <c r="K2032" s="139">
        <f>IFERROR(IF(H2032&gt;0,H2032*$C$7,""),"")</f>
        <v/>
      </c>
      <c r="L2032" s="139">
        <f>IFERROR(IF(ISNUMBER(F2032),F2032-IF(ISNUMBER(K2032),K2032,0),""),"")</f>
        <v/>
      </c>
    </row>
    <row r="2033" ht="24" customHeight="1" s="63">
      <c r="E2033" s="139" t="n"/>
      <c r="F2033" s="139" t="n"/>
      <c r="G2033" s="140">
        <f>IFERROR(IF(E2033&gt;0,(F2033/E2033)*1000,""),"")</f>
        <v/>
      </c>
      <c r="H2033" s="139">
        <f>IFERROR(IF(E2033&gt;0,E2033*IF(ISNUMBER(J2033),J2033,IF(C2033="Futures",$C$6,$C$5)),""),"")</f>
        <v/>
      </c>
      <c r="I2033" s="139">
        <f>IFERROR(IF(AND(ISNUMBER(F2033),ISNUMBER(H2033)),F2033-H2033,""),"")</f>
        <v/>
      </c>
      <c r="J2033" s="114" t="n"/>
      <c r="K2033" s="139">
        <f>IFERROR(IF(H2033&gt;0,H2033*$C$7,""),"")</f>
        <v/>
      </c>
      <c r="L2033" s="139">
        <f>IFERROR(IF(ISNUMBER(F2033),F2033-IF(ISNUMBER(K2033),K2033,0),""),"")</f>
        <v/>
      </c>
    </row>
    <row r="2034" ht="24" customHeight="1" s="63">
      <c r="E2034" s="139" t="n"/>
      <c r="F2034" s="139" t="n"/>
      <c r="G2034" s="140">
        <f>IFERROR(IF(E2034&gt;0,(F2034/E2034)*1000,""),"")</f>
        <v/>
      </c>
      <c r="H2034" s="139">
        <f>IFERROR(IF(E2034&gt;0,E2034*IF(ISNUMBER(J2034),J2034,IF(C2034="Futures",$C$6,$C$5)),""),"")</f>
        <v/>
      </c>
      <c r="I2034" s="139">
        <f>IFERROR(IF(AND(ISNUMBER(F2034),ISNUMBER(H2034)),F2034-H2034,""),"")</f>
        <v/>
      </c>
      <c r="J2034" s="114" t="n"/>
      <c r="K2034" s="139">
        <f>IFERROR(IF(H2034&gt;0,H2034*$C$7,""),"")</f>
        <v/>
      </c>
      <c r="L2034" s="139">
        <f>IFERROR(IF(ISNUMBER(F2034),F2034-IF(ISNUMBER(K2034),K2034,0),""),"")</f>
        <v/>
      </c>
    </row>
    <row r="2035" ht="24" customHeight="1" s="63">
      <c r="E2035" s="139" t="n"/>
      <c r="F2035" s="139" t="n"/>
      <c r="G2035" s="140">
        <f>IFERROR(IF(E2035&gt;0,(F2035/E2035)*1000,""),"")</f>
        <v/>
      </c>
      <c r="H2035" s="139">
        <f>IFERROR(IF(E2035&gt;0,E2035*IF(ISNUMBER(J2035),J2035,IF(C2035="Futures",$C$6,$C$5)),""),"")</f>
        <v/>
      </c>
      <c r="I2035" s="139">
        <f>IFERROR(IF(AND(ISNUMBER(F2035),ISNUMBER(H2035)),F2035-H2035,""),"")</f>
        <v/>
      </c>
      <c r="J2035" s="114" t="n"/>
      <c r="K2035" s="139">
        <f>IFERROR(IF(H2035&gt;0,H2035*$C$7,""),"")</f>
        <v/>
      </c>
      <c r="L2035" s="139">
        <f>IFERROR(IF(ISNUMBER(F2035),F2035-IF(ISNUMBER(K2035),K2035,0),""),"")</f>
        <v/>
      </c>
    </row>
    <row r="2036" ht="24" customHeight="1" s="63">
      <c r="E2036" s="139" t="n"/>
      <c r="F2036" s="139" t="n"/>
      <c r="G2036" s="140">
        <f>IFERROR(IF(E2036&gt;0,(F2036/E2036)*1000,""),"")</f>
        <v/>
      </c>
      <c r="H2036" s="139">
        <f>IFERROR(IF(E2036&gt;0,E2036*IF(ISNUMBER(J2036),J2036,IF(C2036="Futures",$C$6,$C$5)),""),"")</f>
        <v/>
      </c>
      <c r="I2036" s="139">
        <f>IFERROR(IF(AND(ISNUMBER(F2036),ISNUMBER(H2036)),F2036-H2036,""),"")</f>
        <v/>
      </c>
      <c r="J2036" s="114" t="n"/>
      <c r="K2036" s="139">
        <f>IFERROR(IF(H2036&gt;0,H2036*$C$7,""),"")</f>
        <v/>
      </c>
      <c r="L2036" s="139">
        <f>IFERROR(IF(ISNUMBER(F2036),F2036-IF(ISNUMBER(K2036),K2036,0),""),"")</f>
        <v/>
      </c>
    </row>
    <row r="2037" ht="24" customHeight="1" s="63">
      <c r="E2037" s="139" t="n"/>
      <c r="F2037" s="139" t="n"/>
      <c r="G2037" s="140">
        <f>IFERROR(IF(E2037&gt;0,(F2037/E2037)*1000,""),"")</f>
        <v/>
      </c>
      <c r="H2037" s="139">
        <f>IFERROR(IF(E2037&gt;0,E2037*IF(ISNUMBER(J2037),J2037,IF(C2037="Futures",$C$6,$C$5)),""),"")</f>
        <v/>
      </c>
      <c r="I2037" s="139">
        <f>IFERROR(IF(AND(ISNUMBER(F2037),ISNUMBER(H2037)),F2037-H2037,""),"")</f>
        <v/>
      </c>
      <c r="J2037" s="114" t="n"/>
      <c r="K2037" s="139">
        <f>IFERROR(IF(H2037&gt;0,H2037*$C$7,""),"")</f>
        <v/>
      </c>
      <c r="L2037" s="139">
        <f>IFERROR(IF(ISNUMBER(F2037),F2037-IF(ISNUMBER(K2037),K2037,0),""),"")</f>
        <v/>
      </c>
    </row>
    <row r="2038" ht="24" customHeight="1" s="63">
      <c r="E2038" s="139" t="n"/>
      <c r="F2038" s="139" t="n"/>
      <c r="G2038" s="140">
        <f>IFERROR(IF(E2038&gt;0,(F2038/E2038)*1000,""),"")</f>
        <v/>
      </c>
      <c r="H2038" s="139">
        <f>IFERROR(IF(E2038&gt;0,E2038*IF(ISNUMBER(J2038),J2038,IF(C2038="Futures",$C$6,$C$5)),""),"")</f>
        <v/>
      </c>
      <c r="I2038" s="139">
        <f>IFERROR(IF(AND(ISNUMBER(F2038),ISNUMBER(H2038)),F2038-H2038,""),"")</f>
        <v/>
      </c>
      <c r="J2038" s="114" t="n"/>
      <c r="K2038" s="139">
        <f>IFERROR(IF(H2038&gt;0,H2038*$C$7,""),"")</f>
        <v/>
      </c>
      <c r="L2038" s="139">
        <f>IFERROR(IF(ISNUMBER(F2038),F2038-IF(ISNUMBER(K2038),K2038,0),""),"")</f>
        <v/>
      </c>
    </row>
    <row r="2039" ht="24" customHeight="1" s="63">
      <c r="E2039" s="139" t="n"/>
      <c r="F2039" s="139" t="n"/>
      <c r="G2039" s="140">
        <f>IFERROR(IF(E2039&gt;0,(F2039/E2039)*1000,""),"")</f>
        <v/>
      </c>
      <c r="H2039" s="139">
        <f>IFERROR(IF(E2039&gt;0,E2039*IF(ISNUMBER(J2039),J2039,IF(C2039="Futures",$C$6,$C$5)),""),"")</f>
        <v/>
      </c>
      <c r="I2039" s="139">
        <f>IFERROR(IF(AND(ISNUMBER(F2039),ISNUMBER(H2039)),F2039-H2039,""),"")</f>
        <v/>
      </c>
      <c r="J2039" s="114" t="n"/>
      <c r="K2039" s="139">
        <f>IFERROR(IF(H2039&gt;0,H2039*$C$7,""),"")</f>
        <v/>
      </c>
      <c r="L2039" s="139">
        <f>IFERROR(IF(ISNUMBER(F2039),F2039-IF(ISNUMBER(K2039),K2039,0),""),"")</f>
        <v/>
      </c>
    </row>
    <row r="2040" ht="24" customHeight="1" s="63">
      <c r="E2040" s="139" t="n"/>
      <c r="F2040" s="139" t="n"/>
      <c r="G2040" s="140">
        <f>IFERROR(IF(E2040&gt;0,(F2040/E2040)*1000,""),"")</f>
        <v/>
      </c>
      <c r="H2040" s="139">
        <f>IFERROR(IF(E2040&gt;0,E2040*IF(ISNUMBER(J2040),J2040,IF(C2040="Futures",$C$6,$C$5)),""),"")</f>
        <v/>
      </c>
      <c r="I2040" s="139">
        <f>IFERROR(IF(AND(ISNUMBER(F2040),ISNUMBER(H2040)),F2040-H2040,""),"")</f>
        <v/>
      </c>
      <c r="J2040" s="114" t="n"/>
      <c r="K2040" s="139">
        <f>IFERROR(IF(H2040&gt;0,H2040*$C$7,""),"")</f>
        <v/>
      </c>
      <c r="L2040" s="139">
        <f>IFERROR(IF(ISNUMBER(F2040),F2040-IF(ISNUMBER(K2040),K2040,0),""),"")</f>
        <v/>
      </c>
    </row>
    <row r="2041" ht="24" customHeight="1" s="63">
      <c r="E2041" s="139" t="n"/>
      <c r="F2041" s="139" t="n"/>
      <c r="G2041" s="140">
        <f>IFERROR(IF(E2041&gt;0,(F2041/E2041)*1000,""),"")</f>
        <v/>
      </c>
      <c r="H2041" s="139">
        <f>IFERROR(IF(E2041&gt;0,E2041*IF(ISNUMBER(J2041),J2041,IF(C2041="Futures",$C$6,$C$5)),""),"")</f>
        <v/>
      </c>
      <c r="I2041" s="139">
        <f>IFERROR(IF(AND(ISNUMBER(F2041),ISNUMBER(H2041)),F2041-H2041,""),"")</f>
        <v/>
      </c>
      <c r="J2041" s="114" t="n"/>
      <c r="K2041" s="139">
        <f>IFERROR(IF(H2041&gt;0,H2041*$C$7,""),"")</f>
        <v/>
      </c>
      <c r="L2041" s="139">
        <f>IFERROR(IF(ISNUMBER(F2041),F2041-IF(ISNUMBER(K2041),K2041,0),""),"")</f>
        <v/>
      </c>
    </row>
    <row r="2042" ht="24" customHeight="1" s="63">
      <c r="E2042" s="139" t="n"/>
      <c r="F2042" s="139" t="n"/>
      <c r="G2042" s="140">
        <f>IFERROR(IF(E2042&gt;0,(F2042/E2042)*1000,""),"")</f>
        <v/>
      </c>
      <c r="H2042" s="139">
        <f>IFERROR(IF(E2042&gt;0,E2042*IF(ISNUMBER(J2042),J2042,IF(C2042="Futures",$C$6,$C$5)),""),"")</f>
        <v/>
      </c>
      <c r="I2042" s="139">
        <f>IFERROR(IF(AND(ISNUMBER(F2042),ISNUMBER(H2042)),F2042-H2042,""),"")</f>
        <v/>
      </c>
      <c r="J2042" s="114" t="n"/>
      <c r="K2042" s="139">
        <f>IFERROR(IF(H2042&gt;0,H2042*$C$7,""),"")</f>
        <v/>
      </c>
      <c r="L2042" s="139">
        <f>IFERROR(IF(ISNUMBER(F2042),F2042-IF(ISNUMBER(K2042),K2042,0),""),"")</f>
        <v/>
      </c>
    </row>
    <row r="2043" ht="24" customHeight="1" s="63">
      <c r="E2043" s="139" t="n"/>
      <c r="F2043" s="139" t="n"/>
      <c r="G2043" s="140">
        <f>IFERROR(IF(E2043&gt;0,(F2043/E2043)*1000,""),"")</f>
        <v/>
      </c>
      <c r="H2043" s="139">
        <f>IFERROR(IF(E2043&gt;0,E2043*IF(ISNUMBER(J2043),J2043,IF(C2043="Futures",$C$6,$C$5)),""),"")</f>
        <v/>
      </c>
      <c r="I2043" s="139">
        <f>IFERROR(IF(AND(ISNUMBER(F2043),ISNUMBER(H2043)),F2043-H2043,""),"")</f>
        <v/>
      </c>
      <c r="J2043" s="114" t="n"/>
      <c r="K2043" s="139">
        <f>IFERROR(IF(H2043&gt;0,H2043*$C$7,""),"")</f>
        <v/>
      </c>
      <c r="L2043" s="139">
        <f>IFERROR(IF(ISNUMBER(F2043),F2043-IF(ISNUMBER(K2043),K2043,0),""),"")</f>
        <v/>
      </c>
    </row>
    <row r="2044" ht="24" customHeight="1" s="63">
      <c r="E2044" s="139" t="n"/>
      <c r="F2044" s="139" t="n"/>
      <c r="G2044" s="140">
        <f>IFERROR(IF(E2044&gt;0,(F2044/E2044)*1000,""),"")</f>
        <v/>
      </c>
      <c r="H2044" s="139">
        <f>IFERROR(IF(E2044&gt;0,E2044*IF(ISNUMBER(J2044),J2044,IF(C2044="Futures",$C$6,$C$5)),""),"")</f>
        <v/>
      </c>
      <c r="I2044" s="139">
        <f>IFERROR(IF(AND(ISNUMBER(F2044),ISNUMBER(H2044)),F2044-H2044,""),"")</f>
        <v/>
      </c>
      <c r="J2044" s="114" t="n"/>
      <c r="K2044" s="139">
        <f>IFERROR(IF(H2044&gt;0,H2044*$C$7,""),"")</f>
        <v/>
      </c>
      <c r="L2044" s="139">
        <f>IFERROR(IF(ISNUMBER(F2044),F2044-IF(ISNUMBER(K2044),K2044,0),""),"")</f>
        <v/>
      </c>
    </row>
    <row r="2045" ht="24" customHeight="1" s="63">
      <c r="E2045" s="139" t="n"/>
      <c r="F2045" s="139" t="n"/>
      <c r="G2045" s="140">
        <f>IFERROR(IF(E2045&gt;0,(F2045/E2045)*1000,""),"")</f>
        <v/>
      </c>
      <c r="H2045" s="139">
        <f>IFERROR(IF(E2045&gt;0,E2045*IF(ISNUMBER(J2045),J2045,IF(C2045="Futures",$C$6,$C$5)),""),"")</f>
        <v/>
      </c>
      <c r="I2045" s="139">
        <f>IFERROR(IF(AND(ISNUMBER(F2045),ISNUMBER(H2045)),F2045-H2045,""),"")</f>
        <v/>
      </c>
      <c r="J2045" s="114" t="n"/>
      <c r="K2045" s="139">
        <f>IFERROR(IF(H2045&gt;0,H2045*$C$7,""),"")</f>
        <v/>
      </c>
      <c r="L2045" s="139">
        <f>IFERROR(IF(ISNUMBER(F2045),F2045-IF(ISNUMBER(K2045),K2045,0),""),"")</f>
        <v/>
      </c>
    </row>
    <row r="2046" ht="24" customHeight="1" s="63">
      <c r="E2046" s="139" t="n"/>
      <c r="F2046" s="139" t="n"/>
      <c r="G2046" s="140">
        <f>IFERROR(IF(E2046&gt;0,(F2046/E2046)*1000,""),"")</f>
        <v/>
      </c>
      <c r="H2046" s="139">
        <f>IFERROR(IF(E2046&gt;0,E2046*IF(ISNUMBER(J2046),J2046,IF(C2046="Futures",$C$6,$C$5)),""),"")</f>
        <v/>
      </c>
      <c r="I2046" s="139">
        <f>IFERROR(IF(AND(ISNUMBER(F2046),ISNUMBER(H2046)),F2046-H2046,""),"")</f>
        <v/>
      </c>
      <c r="J2046" s="114" t="n"/>
      <c r="K2046" s="139">
        <f>IFERROR(IF(H2046&gt;0,H2046*$C$7,""),"")</f>
        <v/>
      </c>
      <c r="L2046" s="139">
        <f>IFERROR(IF(ISNUMBER(F2046),F2046-IF(ISNUMBER(K2046),K2046,0),""),"")</f>
        <v/>
      </c>
    </row>
    <row r="2047" ht="24" customHeight="1" s="63">
      <c r="E2047" s="139" t="n"/>
      <c r="F2047" s="139" t="n"/>
      <c r="G2047" s="140">
        <f>IFERROR(IF(E2047&gt;0,(F2047/E2047)*1000,""),"")</f>
        <v/>
      </c>
      <c r="H2047" s="139">
        <f>IFERROR(IF(E2047&gt;0,E2047*IF(ISNUMBER(J2047),J2047,IF(C2047="Futures",$C$6,$C$5)),""),"")</f>
        <v/>
      </c>
      <c r="I2047" s="139">
        <f>IFERROR(IF(AND(ISNUMBER(F2047),ISNUMBER(H2047)),F2047-H2047,""),"")</f>
        <v/>
      </c>
      <c r="J2047" s="114" t="n"/>
      <c r="K2047" s="139">
        <f>IFERROR(IF(H2047&gt;0,H2047*$C$7,""),"")</f>
        <v/>
      </c>
      <c r="L2047" s="139">
        <f>IFERROR(IF(ISNUMBER(F2047),F2047-IF(ISNUMBER(K2047),K2047,0),""),"")</f>
        <v/>
      </c>
    </row>
    <row r="2048" ht="24" customHeight="1" s="63">
      <c r="E2048" s="139" t="n"/>
      <c r="F2048" s="139" t="n"/>
      <c r="G2048" s="140">
        <f>IFERROR(IF(E2048&gt;0,(F2048/E2048)*1000,""),"")</f>
        <v/>
      </c>
      <c r="H2048" s="139">
        <f>IFERROR(IF(E2048&gt;0,E2048*IF(ISNUMBER(J2048),J2048,IF(C2048="Futures",$C$6,$C$5)),""),"")</f>
        <v/>
      </c>
      <c r="I2048" s="139">
        <f>IFERROR(IF(AND(ISNUMBER(F2048),ISNUMBER(H2048)),F2048-H2048,""),"")</f>
        <v/>
      </c>
      <c r="J2048" s="114" t="n"/>
      <c r="K2048" s="139">
        <f>IFERROR(IF(H2048&gt;0,H2048*$C$7,""),"")</f>
        <v/>
      </c>
      <c r="L2048" s="139">
        <f>IFERROR(IF(ISNUMBER(F2048),F2048-IF(ISNUMBER(K2048),K2048,0),""),"")</f>
        <v/>
      </c>
    </row>
    <row r="2049" ht="24" customHeight="1" s="63">
      <c r="E2049" s="139" t="n"/>
      <c r="F2049" s="139" t="n"/>
      <c r="G2049" s="140">
        <f>IFERROR(IF(E2049&gt;0,(F2049/E2049)*1000,""),"")</f>
        <v/>
      </c>
      <c r="H2049" s="139">
        <f>IFERROR(IF(E2049&gt;0,E2049*IF(ISNUMBER(J2049),J2049,IF(C2049="Futures",$C$6,$C$5)),""),"")</f>
        <v/>
      </c>
      <c r="I2049" s="139">
        <f>IFERROR(IF(AND(ISNUMBER(F2049),ISNUMBER(H2049)),F2049-H2049,""),"")</f>
        <v/>
      </c>
      <c r="J2049" s="114" t="n"/>
      <c r="K2049" s="139">
        <f>IFERROR(IF(H2049&gt;0,H2049*$C$7,""),"")</f>
        <v/>
      </c>
      <c r="L2049" s="139">
        <f>IFERROR(IF(ISNUMBER(F2049),F2049-IF(ISNUMBER(K2049),K2049,0),""),"")</f>
        <v/>
      </c>
    </row>
    <row r="2050" ht="24" customHeight="1" s="63">
      <c r="E2050" s="139" t="n"/>
      <c r="F2050" s="139" t="n"/>
      <c r="G2050" s="140">
        <f>IFERROR(IF(E2050&gt;0,(F2050/E2050)*1000,""),"")</f>
        <v/>
      </c>
      <c r="H2050" s="139">
        <f>IFERROR(IF(E2050&gt;0,E2050*IF(ISNUMBER(J2050),J2050,IF(C2050="Futures",$C$6,$C$5)),""),"")</f>
        <v/>
      </c>
      <c r="I2050" s="139">
        <f>IFERROR(IF(AND(ISNUMBER(F2050),ISNUMBER(H2050)),F2050-H2050,""),"")</f>
        <v/>
      </c>
      <c r="J2050" s="114" t="n"/>
      <c r="K2050" s="139">
        <f>IFERROR(IF(H2050&gt;0,H2050*$C$7,""),"")</f>
        <v/>
      </c>
      <c r="L2050" s="139">
        <f>IFERROR(IF(ISNUMBER(F2050),F2050-IF(ISNUMBER(K2050),K2050,0),""),"")</f>
        <v/>
      </c>
    </row>
    <row r="2051" ht="24" customHeight="1" s="63">
      <c r="E2051" s="139" t="n"/>
      <c r="F2051" s="139" t="n"/>
      <c r="G2051" s="140">
        <f>IFERROR(IF(E2051&gt;0,(F2051/E2051)*1000,""),"")</f>
        <v/>
      </c>
      <c r="H2051" s="139">
        <f>IFERROR(IF(E2051&gt;0,E2051*IF(ISNUMBER(J2051),J2051,IF(C2051="Futures",$C$6,$C$5)),""),"")</f>
        <v/>
      </c>
      <c r="I2051" s="139">
        <f>IFERROR(IF(AND(ISNUMBER(F2051),ISNUMBER(H2051)),F2051-H2051,""),"")</f>
        <v/>
      </c>
      <c r="J2051" s="114" t="n"/>
      <c r="K2051" s="139">
        <f>IFERROR(IF(H2051&gt;0,H2051*$C$7,""),"")</f>
        <v/>
      </c>
      <c r="L2051" s="139">
        <f>IFERROR(IF(ISNUMBER(F2051),F2051-IF(ISNUMBER(K2051),K2051,0),""),"")</f>
        <v/>
      </c>
    </row>
    <row r="2052" ht="24" customHeight="1" s="63">
      <c r="E2052" s="139" t="n"/>
      <c r="F2052" s="139" t="n"/>
      <c r="G2052" s="140">
        <f>IFERROR(IF(E2052&gt;0,(F2052/E2052)*1000,""),"")</f>
        <v/>
      </c>
      <c r="H2052" s="139">
        <f>IFERROR(IF(E2052&gt;0,E2052*IF(ISNUMBER(J2052),J2052,IF(C2052="Futures",$C$6,$C$5)),""),"")</f>
        <v/>
      </c>
      <c r="I2052" s="139">
        <f>IFERROR(IF(AND(ISNUMBER(F2052),ISNUMBER(H2052)),F2052-H2052,""),"")</f>
        <v/>
      </c>
      <c r="J2052" s="114" t="n"/>
      <c r="K2052" s="139">
        <f>IFERROR(IF(H2052&gt;0,H2052*$C$7,""),"")</f>
        <v/>
      </c>
      <c r="L2052" s="139">
        <f>IFERROR(IF(ISNUMBER(F2052),F2052-IF(ISNUMBER(K2052),K2052,0),""),"")</f>
        <v/>
      </c>
    </row>
    <row r="2053" ht="24" customHeight="1" s="63">
      <c r="E2053" s="139" t="n"/>
      <c r="F2053" s="139" t="n"/>
      <c r="G2053" s="140">
        <f>IFERROR(IF(E2053&gt;0,(F2053/E2053)*1000,""),"")</f>
        <v/>
      </c>
      <c r="H2053" s="139">
        <f>IFERROR(IF(E2053&gt;0,E2053*IF(ISNUMBER(J2053),J2053,IF(C2053="Futures",$C$6,$C$5)),""),"")</f>
        <v/>
      </c>
      <c r="I2053" s="139">
        <f>IFERROR(IF(AND(ISNUMBER(F2053),ISNUMBER(H2053)),F2053-H2053,""),"")</f>
        <v/>
      </c>
      <c r="J2053" s="114" t="n"/>
      <c r="K2053" s="139">
        <f>IFERROR(IF(H2053&gt;0,H2053*$C$7,""),"")</f>
        <v/>
      </c>
      <c r="L2053" s="139">
        <f>IFERROR(IF(ISNUMBER(F2053),F2053-IF(ISNUMBER(K2053),K2053,0),""),"")</f>
        <v/>
      </c>
    </row>
    <row r="2054" ht="24" customHeight="1" s="63">
      <c r="E2054" s="139" t="n"/>
      <c r="F2054" s="139" t="n"/>
      <c r="G2054" s="140">
        <f>IFERROR(IF(E2054&gt;0,(F2054/E2054)*1000,""),"")</f>
        <v/>
      </c>
      <c r="H2054" s="139">
        <f>IFERROR(IF(E2054&gt;0,E2054*IF(ISNUMBER(J2054),J2054,IF(C2054="Futures",$C$6,$C$5)),""),"")</f>
        <v/>
      </c>
      <c r="I2054" s="139">
        <f>IFERROR(IF(AND(ISNUMBER(F2054),ISNUMBER(H2054)),F2054-H2054,""),"")</f>
        <v/>
      </c>
      <c r="J2054" s="114" t="n"/>
      <c r="K2054" s="139">
        <f>IFERROR(IF(H2054&gt;0,H2054*$C$7,""),"")</f>
        <v/>
      </c>
      <c r="L2054" s="139">
        <f>IFERROR(IF(ISNUMBER(F2054),F2054-IF(ISNUMBER(K2054),K2054,0),""),"")</f>
        <v/>
      </c>
    </row>
    <row r="2055" ht="24" customHeight="1" s="63">
      <c r="E2055" s="139" t="n"/>
      <c r="F2055" s="139" t="n"/>
      <c r="G2055" s="140">
        <f>IFERROR(IF(E2055&gt;0,(F2055/E2055)*1000,""),"")</f>
        <v/>
      </c>
      <c r="H2055" s="139">
        <f>IFERROR(IF(E2055&gt;0,E2055*IF(ISNUMBER(J2055),J2055,IF(C2055="Futures",$C$6,$C$5)),""),"")</f>
        <v/>
      </c>
      <c r="I2055" s="139">
        <f>IFERROR(IF(AND(ISNUMBER(F2055),ISNUMBER(H2055)),F2055-H2055,""),"")</f>
        <v/>
      </c>
      <c r="J2055" s="114" t="n"/>
      <c r="K2055" s="139">
        <f>IFERROR(IF(H2055&gt;0,H2055*$C$7,""),"")</f>
        <v/>
      </c>
      <c r="L2055" s="139">
        <f>IFERROR(IF(ISNUMBER(F2055),F2055-IF(ISNUMBER(K2055),K2055,0),""),"")</f>
        <v/>
      </c>
    </row>
    <row r="2056" ht="24" customHeight="1" s="63">
      <c r="E2056" s="139" t="n"/>
      <c r="F2056" s="139" t="n"/>
      <c r="G2056" s="140">
        <f>IFERROR(IF(E2056&gt;0,(F2056/E2056)*1000,""),"")</f>
        <v/>
      </c>
      <c r="H2056" s="139">
        <f>IFERROR(IF(E2056&gt;0,E2056*IF(ISNUMBER(J2056),J2056,IF(C2056="Futures",$C$6,$C$5)),""),"")</f>
        <v/>
      </c>
      <c r="I2056" s="139">
        <f>IFERROR(IF(AND(ISNUMBER(F2056),ISNUMBER(H2056)),F2056-H2056,""),"")</f>
        <v/>
      </c>
      <c r="J2056" s="114" t="n"/>
      <c r="K2056" s="139">
        <f>IFERROR(IF(H2056&gt;0,H2056*$C$7,""),"")</f>
        <v/>
      </c>
      <c r="L2056" s="139">
        <f>IFERROR(IF(ISNUMBER(F2056),F2056-IF(ISNUMBER(K2056),K2056,0),""),"")</f>
        <v/>
      </c>
    </row>
    <row r="2057" ht="24" customHeight="1" s="63">
      <c r="E2057" s="139" t="n"/>
      <c r="F2057" s="139" t="n"/>
      <c r="G2057" s="140">
        <f>IFERROR(IF(E2057&gt;0,(F2057/E2057)*1000,""),"")</f>
        <v/>
      </c>
      <c r="H2057" s="139">
        <f>IFERROR(IF(E2057&gt;0,E2057*IF(ISNUMBER(J2057),J2057,IF(C2057="Futures",$C$6,$C$5)),""),"")</f>
        <v/>
      </c>
      <c r="I2057" s="139">
        <f>IFERROR(IF(AND(ISNUMBER(F2057),ISNUMBER(H2057)),F2057-H2057,""),"")</f>
        <v/>
      </c>
      <c r="J2057" s="114" t="n"/>
      <c r="K2057" s="139">
        <f>IFERROR(IF(H2057&gt;0,H2057*$C$7,""),"")</f>
        <v/>
      </c>
      <c r="L2057" s="139">
        <f>IFERROR(IF(ISNUMBER(F2057),F2057-IF(ISNUMBER(K2057),K2057,0),""),"")</f>
        <v/>
      </c>
    </row>
    <row r="2058" ht="24" customHeight="1" s="63">
      <c r="E2058" s="139" t="n"/>
      <c r="F2058" s="139" t="n"/>
      <c r="G2058" s="140">
        <f>IFERROR(IF(E2058&gt;0,(F2058/E2058)*1000,""),"")</f>
        <v/>
      </c>
      <c r="H2058" s="139">
        <f>IFERROR(IF(E2058&gt;0,E2058*IF(ISNUMBER(J2058),J2058,IF(C2058="Futures",$C$6,$C$5)),""),"")</f>
        <v/>
      </c>
      <c r="I2058" s="139">
        <f>IFERROR(IF(AND(ISNUMBER(F2058),ISNUMBER(H2058)),F2058-H2058,""),"")</f>
        <v/>
      </c>
      <c r="J2058" s="114" t="n"/>
      <c r="K2058" s="139">
        <f>IFERROR(IF(H2058&gt;0,H2058*$C$7,""),"")</f>
        <v/>
      </c>
      <c r="L2058" s="139">
        <f>IFERROR(IF(ISNUMBER(F2058),F2058-IF(ISNUMBER(K2058),K2058,0),""),"")</f>
        <v/>
      </c>
    </row>
    <row r="2059" ht="24" customHeight="1" s="63">
      <c r="E2059" s="139" t="n"/>
      <c r="F2059" s="139" t="n"/>
      <c r="G2059" s="140">
        <f>IFERROR(IF(E2059&gt;0,(F2059/E2059)*1000,""),"")</f>
        <v/>
      </c>
      <c r="H2059" s="139">
        <f>IFERROR(IF(E2059&gt;0,E2059*IF(ISNUMBER(J2059),J2059,IF(C2059="Futures",$C$6,$C$5)),""),"")</f>
        <v/>
      </c>
      <c r="I2059" s="139">
        <f>IFERROR(IF(AND(ISNUMBER(F2059),ISNUMBER(H2059)),F2059-H2059,""),"")</f>
        <v/>
      </c>
      <c r="J2059" s="114" t="n"/>
      <c r="K2059" s="139">
        <f>IFERROR(IF(H2059&gt;0,H2059*$C$7,""),"")</f>
        <v/>
      </c>
      <c r="L2059" s="139">
        <f>IFERROR(IF(ISNUMBER(F2059),F2059-IF(ISNUMBER(K2059),K2059,0),""),"")</f>
        <v/>
      </c>
    </row>
    <row r="2060" ht="24" customHeight="1" s="63">
      <c r="E2060" s="139" t="n"/>
      <c r="F2060" s="139" t="n"/>
      <c r="G2060" s="140">
        <f>IFERROR(IF(E2060&gt;0,(F2060/E2060)*1000,""),"")</f>
        <v/>
      </c>
      <c r="H2060" s="139">
        <f>IFERROR(IF(E2060&gt;0,E2060*IF(ISNUMBER(J2060),J2060,IF(C2060="Futures",$C$6,$C$5)),""),"")</f>
        <v/>
      </c>
      <c r="I2060" s="139">
        <f>IFERROR(IF(AND(ISNUMBER(F2060),ISNUMBER(H2060)),F2060-H2060,""),"")</f>
        <v/>
      </c>
      <c r="J2060" s="114" t="n"/>
      <c r="K2060" s="139">
        <f>IFERROR(IF(H2060&gt;0,H2060*$C$7,""),"")</f>
        <v/>
      </c>
      <c r="L2060" s="139">
        <f>IFERROR(IF(ISNUMBER(F2060),F2060-IF(ISNUMBER(K2060),K2060,0),""),"")</f>
        <v/>
      </c>
    </row>
    <row r="2061" ht="24" customHeight="1" s="63">
      <c r="E2061" s="139" t="n"/>
      <c r="F2061" s="139" t="n"/>
      <c r="G2061" s="140">
        <f>IFERROR(IF(E2061&gt;0,(F2061/E2061)*1000,""),"")</f>
        <v/>
      </c>
      <c r="H2061" s="139">
        <f>IFERROR(IF(E2061&gt;0,E2061*IF(ISNUMBER(J2061),J2061,IF(C2061="Futures",$C$6,$C$5)),""),"")</f>
        <v/>
      </c>
      <c r="I2061" s="139">
        <f>IFERROR(IF(AND(ISNUMBER(F2061),ISNUMBER(H2061)),F2061-H2061,""),"")</f>
        <v/>
      </c>
      <c r="J2061" s="114" t="n"/>
      <c r="K2061" s="139">
        <f>IFERROR(IF(H2061&gt;0,H2061*$C$7,""),"")</f>
        <v/>
      </c>
      <c r="L2061" s="139">
        <f>IFERROR(IF(ISNUMBER(F2061),F2061-IF(ISNUMBER(K2061),K2061,0),""),"")</f>
        <v/>
      </c>
    </row>
    <row r="2062" ht="24" customHeight="1" s="63">
      <c r="E2062" s="139" t="n"/>
      <c r="F2062" s="139" t="n"/>
      <c r="G2062" s="140">
        <f>IFERROR(IF(E2062&gt;0,(F2062/E2062)*1000,""),"")</f>
        <v/>
      </c>
      <c r="H2062" s="139">
        <f>IFERROR(IF(E2062&gt;0,E2062*IF(ISNUMBER(J2062),J2062,IF(C2062="Futures",$C$6,$C$5)),""),"")</f>
        <v/>
      </c>
      <c r="I2062" s="139">
        <f>IFERROR(IF(AND(ISNUMBER(F2062),ISNUMBER(H2062)),F2062-H2062,""),"")</f>
        <v/>
      </c>
      <c r="J2062" s="114" t="n"/>
      <c r="K2062" s="139">
        <f>IFERROR(IF(H2062&gt;0,H2062*$C$7,""),"")</f>
        <v/>
      </c>
      <c r="L2062" s="139">
        <f>IFERROR(IF(ISNUMBER(F2062),F2062-IF(ISNUMBER(K2062),K2062,0),""),"")</f>
        <v/>
      </c>
    </row>
    <row r="2063" ht="24" customHeight="1" s="63">
      <c r="E2063" s="139" t="n"/>
      <c r="F2063" s="139" t="n"/>
      <c r="G2063" s="140">
        <f>IFERROR(IF(E2063&gt;0,(F2063/E2063)*1000,""),"")</f>
        <v/>
      </c>
      <c r="H2063" s="139">
        <f>IFERROR(IF(E2063&gt;0,E2063*IF(ISNUMBER(J2063),J2063,IF(C2063="Futures",$C$6,$C$5)),""),"")</f>
        <v/>
      </c>
      <c r="I2063" s="139">
        <f>IFERROR(IF(AND(ISNUMBER(F2063),ISNUMBER(H2063)),F2063-H2063,""),"")</f>
        <v/>
      </c>
      <c r="J2063" s="114" t="n"/>
      <c r="K2063" s="139">
        <f>IFERROR(IF(H2063&gt;0,H2063*$C$7,""),"")</f>
        <v/>
      </c>
      <c r="L2063" s="139">
        <f>IFERROR(IF(ISNUMBER(F2063),F2063-IF(ISNUMBER(K2063),K2063,0),""),"")</f>
        <v/>
      </c>
    </row>
    <row r="2064" ht="24" customHeight="1" s="63">
      <c r="E2064" s="139" t="n"/>
      <c r="F2064" s="139" t="n"/>
      <c r="G2064" s="140">
        <f>IFERROR(IF(E2064&gt;0,(F2064/E2064)*1000,""),"")</f>
        <v/>
      </c>
      <c r="H2064" s="139">
        <f>IFERROR(IF(E2064&gt;0,E2064*IF(ISNUMBER(J2064),J2064,IF(C2064="Futures",$C$6,$C$5)),""),"")</f>
        <v/>
      </c>
      <c r="I2064" s="139">
        <f>IFERROR(IF(AND(ISNUMBER(F2064),ISNUMBER(H2064)),F2064-H2064,""),"")</f>
        <v/>
      </c>
      <c r="J2064" s="114" t="n"/>
      <c r="K2064" s="139">
        <f>IFERROR(IF(H2064&gt;0,H2064*$C$7,""),"")</f>
        <v/>
      </c>
      <c r="L2064" s="139">
        <f>IFERROR(IF(ISNUMBER(F2064),F2064-IF(ISNUMBER(K2064),K2064,0),""),"")</f>
        <v/>
      </c>
    </row>
    <row r="2065" ht="24" customHeight="1" s="63">
      <c r="E2065" s="139" t="n"/>
      <c r="F2065" s="139" t="n"/>
      <c r="G2065" s="140">
        <f>IFERROR(IF(E2065&gt;0,(F2065/E2065)*1000,""),"")</f>
        <v/>
      </c>
      <c r="H2065" s="139">
        <f>IFERROR(IF(E2065&gt;0,E2065*IF(ISNUMBER(J2065),J2065,IF(C2065="Futures",$C$6,$C$5)),""),"")</f>
        <v/>
      </c>
      <c r="I2065" s="139">
        <f>IFERROR(IF(AND(ISNUMBER(F2065),ISNUMBER(H2065)),F2065-H2065,""),"")</f>
        <v/>
      </c>
      <c r="J2065" s="114" t="n"/>
      <c r="K2065" s="139">
        <f>IFERROR(IF(H2065&gt;0,H2065*$C$7,""),"")</f>
        <v/>
      </c>
      <c r="L2065" s="139">
        <f>IFERROR(IF(ISNUMBER(F2065),F2065-IF(ISNUMBER(K2065),K2065,0),""),"")</f>
        <v/>
      </c>
    </row>
    <row r="2066" ht="24" customHeight="1" s="63">
      <c r="E2066" s="139" t="n"/>
      <c r="F2066" s="139" t="n"/>
      <c r="G2066" s="140">
        <f>IFERROR(IF(E2066&gt;0,(F2066/E2066)*1000,""),"")</f>
        <v/>
      </c>
      <c r="H2066" s="139">
        <f>IFERROR(IF(E2066&gt;0,E2066*IF(ISNUMBER(J2066),J2066,IF(C2066="Futures",$C$6,$C$5)),""),"")</f>
        <v/>
      </c>
      <c r="I2066" s="139">
        <f>IFERROR(IF(AND(ISNUMBER(F2066),ISNUMBER(H2066)),F2066-H2066,""),"")</f>
        <v/>
      </c>
      <c r="J2066" s="114" t="n"/>
      <c r="K2066" s="139">
        <f>IFERROR(IF(H2066&gt;0,H2066*$C$7,""),"")</f>
        <v/>
      </c>
      <c r="L2066" s="139">
        <f>IFERROR(IF(ISNUMBER(F2066),F2066-IF(ISNUMBER(K2066),K2066,0),""),"")</f>
        <v/>
      </c>
    </row>
    <row r="2067" ht="24" customHeight="1" s="63">
      <c r="E2067" s="139" t="n"/>
      <c r="F2067" s="139" t="n"/>
      <c r="G2067" s="140">
        <f>IFERROR(IF(E2067&gt;0,(F2067/E2067)*1000,""),"")</f>
        <v/>
      </c>
      <c r="H2067" s="139">
        <f>IFERROR(IF(E2067&gt;0,E2067*IF(ISNUMBER(J2067),J2067,IF(C2067="Futures",$C$6,$C$5)),""),"")</f>
        <v/>
      </c>
      <c r="I2067" s="139">
        <f>IFERROR(IF(AND(ISNUMBER(F2067),ISNUMBER(H2067)),F2067-H2067,""),"")</f>
        <v/>
      </c>
      <c r="J2067" s="114" t="n"/>
      <c r="K2067" s="139">
        <f>IFERROR(IF(H2067&gt;0,H2067*$C$7,""),"")</f>
        <v/>
      </c>
      <c r="L2067" s="139">
        <f>IFERROR(IF(ISNUMBER(F2067),F2067-IF(ISNUMBER(K2067),K2067,0),""),"")</f>
        <v/>
      </c>
    </row>
    <row r="2068" ht="24" customHeight="1" s="63">
      <c r="E2068" s="139" t="n"/>
      <c r="F2068" s="139" t="n"/>
      <c r="G2068" s="140">
        <f>IFERROR(IF(E2068&gt;0,(F2068/E2068)*1000,""),"")</f>
        <v/>
      </c>
      <c r="H2068" s="139">
        <f>IFERROR(IF(E2068&gt;0,E2068*IF(ISNUMBER(J2068),J2068,IF(C2068="Futures",$C$6,$C$5)),""),"")</f>
        <v/>
      </c>
      <c r="I2068" s="139">
        <f>IFERROR(IF(AND(ISNUMBER(F2068),ISNUMBER(H2068)),F2068-H2068,""),"")</f>
        <v/>
      </c>
      <c r="J2068" s="114" t="n"/>
      <c r="K2068" s="139">
        <f>IFERROR(IF(H2068&gt;0,H2068*$C$7,""),"")</f>
        <v/>
      </c>
      <c r="L2068" s="139">
        <f>IFERROR(IF(ISNUMBER(F2068),F2068-IF(ISNUMBER(K2068),K2068,0),""),"")</f>
        <v/>
      </c>
    </row>
    <row r="2069" ht="24" customHeight="1" s="63">
      <c r="E2069" s="139" t="n"/>
      <c r="F2069" s="139" t="n"/>
      <c r="G2069" s="140">
        <f>IFERROR(IF(E2069&gt;0,(F2069/E2069)*1000,""),"")</f>
        <v/>
      </c>
      <c r="H2069" s="139">
        <f>IFERROR(IF(E2069&gt;0,E2069*IF(ISNUMBER(J2069),J2069,IF(C2069="Futures",$C$6,$C$5)),""),"")</f>
        <v/>
      </c>
      <c r="I2069" s="139">
        <f>IFERROR(IF(AND(ISNUMBER(F2069),ISNUMBER(H2069)),F2069-H2069,""),"")</f>
        <v/>
      </c>
      <c r="J2069" s="114" t="n"/>
      <c r="K2069" s="139">
        <f>IFERROR(IF(H2069&gt;0,H2069*$C$7,""),"")</f>
        <v/>
      </c>
      <c r="L2069" s="139">
        <f>IFERROR(IF(ISNUMBER(F2069),F2069-IF(ISNUMBER(K2069),K2069,0),""),"")</f>
        <v/>
      </c>
    </row>
    <row r="2070" ht="24" customHeight="1" s="63">
      <c r="E2070" s="139" t="n"/>
      <c r="F2070" s="139" t="n"/>
      <c r="G2070" s="140">
        <f>IFERROR(IF(E2070&gt;0,(F2070/E2070)*1000,""),"")</f>
        <v/>
      </c>
      <c r="H2070" s="139">
        <f>IFERROR(IF(E2070&gt;0,E2070*IF(ISNUMBER(J2070),J2070,IF(C2070="Futures",$C$6,$C$5)),""),"")</f>
        <v/>
      </c>
      <c r="I2070" s="139">
        <f>IFERROR(IF(AND(ISNUMBER(F2070),ISNUMBER(H2070)),F2070-H2070,""),"")</f>
        <v/>
      </c>
      <c r="J2070" s="114" t="n"/>
      <c r="K2070" s="139">
        <f>IFERROR(IF(H2070&gt;0,H2070*$C$7,""),"")</f>
        <v/>
      </c>
      <c r="L2070" s="139">
        <f>IFERROR(IF(ISNUMBER(F2070),F2070-IF(ISNUMBER(K2070),K2070,0),""),"")</f>
        <v/>
      </c>
    </row>
    <row r="2071" ht="24" customHeight="1" s="63">
      <c r="E2071" s="139" t="n"/>
      <c r="F2071" s="139" t="n"/>
      <c r="G2071" s="140">
        <f>IFERROR(IF(E2071&gt;0,(F2071/E2071)*1000,""),"")</f>
        <v/>
      </c>
      <c r="H2071" s="139">
        <f>IFERROR(IF(E2071&gt;0,E2071*IF(ISNUMBER(J2071),J2071,IF(C2071="Futures",$C$6,$C$5)),""),"")</f>
        <v/>
      </c>
      <c r="I2071" s="139">
        <f>IFERROR(IF(AND(ISNUMBER(F2071),ISNUMBER(H2071)),F2071-H2071,""),"")</f>
        <v/>
      </c>
      <c r="J2071" s="114" t="n"/>
      <c r="K2071" s="139">
        <f>IFERROR(IF(H2071&gt;0,H2071*$C$7,""),"")</f>
        <v/>
      </c>
      <c r="L2071" s="139">
        <f>IFERROR(IF(ISNUMBER(F2071),F2071-IF(ISNUMBER(K2071),K2071,0),""),"")</f>
        <v/>
      </c>
    </row>
    <row r="2072" ht="24" customHeight="1" s="63">
      <c r="E2072" s="139" t="n"/>
      <c r="F2072" s="139" t="n"/>
      <c r="G2072" s="140">
        <f>IFERROR(IF(E2072&gt;0,(F2072/E2072)*1000,""),"")</f>
        <v/>
      </c>
      <c r="H2072" s="139">
        <f>IFERROR(IF(E2072&gt;0,E2072*IF(ISNUMBER(J2072),J2072,IF(C2072="Futures",$C$6,$C$5)),""),"")</f>
        <v/>
      </c>
      <c r="I2072" s="139">
        <f>IFERROR(IF(AND(ISNUMBER(F2072),ISNUMBER(H2072)),F2072-H2072,""),"")</f>
        <v/>
      </c>
      <c r="J2072" s="114" t="n"/>
      <c r="K2072" s="139">
        <f>IFERROR(IF(H2072&gt;0,H2072*$C$7,""),"")</f>
        <v/>
      </c>
      <c r="L2072" s="139">
        <f>IFERROR(IF(ISNUMBER(F2072),F2072-IF(ISNUMBER(K2072),K2072,0),""),"")</f>
        <v/>
      </c>
    </row>
    <row r="2073" ht="24" customHeight="1" s="63">
      <c r="E2073" s="139" t="n"/>
      <c r="F2073" s="139" t="n"/>
      <c r="G2073" s="140">
        <f>IFERROR(IF(E2073&gt;0,(F2073/E2073)*1000,""),"")</f>
        <v/>
      </c>
      <c r="H2073" s="139">
        <f>IFERROR(IF(E2073&gt;0,E2073*IF(ISNUMBER(J2073),J2073,IF(C2073="Futures",$C$6,$C$5)),""),"")</f>
        <v/>
      </c>
      <c r="I2073" s="139">
        <f>IFERROR(IF(AND(ISNUMBER(F2073),ISNUMBER(H2073)),F2073-H2073,""),"")</f>
        <v/>
      </c>
      <c r="J2073" s="114" t="n"/>
      <c r="K2073" s="139">
        <f>IFERROR(IF(H2073&gt;0,H2073*$C$7,""),"")</f>
        <v/>
      </c>
      <c r="L2073" s="139">
        <f>IFERROR(IF(ISNUMBER(F2073),F2073-IF(ISNUMBER(K2073),K2073,0),""),"")</f>
        <v/>
      </c>
    </row>
    <row r="2074" ht="24" customHeight="1" s="63">
      <c r="E2074" s="139" t="n"/>
      <c r="F2074" s="139" t="n"/>
      <c r="G2074" s="140">
        <f>IFERROR(IF(E2074&gt;0,(F2074/E2074)*1000,""),"")</f>
        <v/>
      </c>
      <c r="H2074" s="139">
        <f>IFERROR(IF(E2074&gt;0,E2074*IF(ISNUMBER(J2074),J2074,IF(C2074="Futures",$C$6,$C$5)),""),"")</f>
        <v/>
      </c>
      <c r="I2074" s="139">
        <f>IFERROR(IF(AND(ISNUMBER(F2074),ISNUMBER(H2074)),F2074-H2074,""),"")</f>
        <v/>
      </c>
      <c r="J2074" s="114" t="n"/>
      <c r="K2074" s="139">
        <f>IFERROR(IF(H2074&gt;0,H2074*$C$7,""),"")</f>
        <v/>
      </c>
      <c r="L2074" s="139">
        <f>IFERROR(IF(ISNUMBER(F2074),F2074-IF(ISNUMBER(K2074),K2074,0),""),"")</f>
        <v/>
      </c>
    </row>
    <row r="2075" ht="24" customHeight="1" s="63">
      <c r="E2075" s="139" t="n"/>
      <c r="F2075" s="139" t="n"/>
      <c r="G2075" s="140">
        <f>IFERROR(IF(E2075&gt;0,(F2075/E2075)*1000,""),"")</f>
        <v/>
      </c>
      <c r="H2075" s="139">
        <f>IFERROR(IF(E2075&gt;0,E2075*IF(ISNUMBER(J2075),J2075,IF(C2075="Futures",$C$6,$C$5)),""),"")</f>
        <v/>
      </c>
      <c r="I2075" s="139">
        <f>IFERROR(IF(AND(ISNUMBER(F2075),ISNUMBER(H2075)),F2075-H2075,""),"")</f>
        <v/>
      </c>
      <c r="J2075" s="114" t="n"/>
      <c r="K2075" s="139">
        <f>IFERROR(IF(H2075&gt;0,H2075*$C$7,""),"")</f>
        <v/>
      </c>
      <c r="L2075" s="139">
        <f>IFERROR(IF(ISNUMBER(F2075),F2075-IF(ISNUMBER(K2075),K2075,0),""),"")</f>
        <v/>
      </c>
    </row>
    <row r="2076" ht="24" customHeight="1" s="63">
      <c r="E2076" s="139" t="n"/>
      <c r="F2076" s="139" t="n"/>
      <c r="G2076" s="140">
        <f>IFERROR(IF(E2076&gt;0,(F2076/E2076)*1000,""),"")</f>
        <v/>
      </c>
      <c r="H2076" s="139">
        <f>IFERROR(IF(E2076&gt;0,E2076*IF(ISNUMBER(J2076),J2076,IF(C2076="Futures",$C$6,$C$5)),""),"")</f>
        <v/>
      </c>
      <c r="I2076" s="139">
        <f>IFERROR(IF(AND(ISNUMBER(F2076),ISNUMBER(H2076)),F2076-H2076,""),"")</f>
        <v/>
      </c>
      <c r="J2076" s="114" t="n"/>
      <c r="K2076" s="139">
        <f>IFERROR(IF(H2076&gt;0,H2076*$C$7,""),"")</f>
        <v/>
      </c>
      <c r="L2076" s="139">
        <f>IFERROR(IF(ISNUMBER(F2076),F2076-IF(ISNUMBER(K2076),K2076,0),""),"")</f>
        <v/>
      </c>
    </row>
    <row r="2077" ht="24" customHeight="1" s="63">
      <c r="E2077" s="139" t="n"/>
      <c r="F2077" s="139" t="n"/>
      <c r="G2077" s="140">
        <f>IFERROR(IF(E2077&gt;0,(F2077/E2077)*1000,""),"")</f>
        <v/>
      </c>
      <c r="H2077" s="139">
        <f>IFERROR(IF(E2077&gt;0,E2077*IF(ISNUMBER(J2077),J2077,IF(C2077="Futures",$C$6,$C$5)),""),"")</f>
        <v/>
      </c>
      <c r="I2077" s="139">
        <f>IFERROR(IF(AND(ISNUMBER(F2077),ISNUMBER(H2077)),F2077-H2077,""),"")</f>
        <v/>
      </c>
      <c r="J2077" s="114" t="n"/>
      <c r="K2077" s="139">
        <f>IFERROR(IF(H2077&gt;0,H2077*$C$7,""),"")</f>
        <v/>
      </c>
      <c r="L2077" s="139">
        <f>IFERROR(IF(ISNUMBER(F2077),F2077-IF(ISNUMBER(K2077),K2077,0),""),"")</f>
        <v/>
      </c>
    </row>
    <row r="2078" ht="24" customHeight="1" s="63">
      <c r="E2078" s="139" t="n"/>
      <c r="F2078" s="139" t="n"/>
      <c r="G2078" s="140">
        <f>IFERROR(IF(E2078&gt;0,(F2078/E2078)*1000,""),"")</f>
        <v/>
      </c>
      <c r="H2078" s="139">
        <f>IFERROR(IF(E2078&gt;0,E2078*IF(ISNUMBER(J2078),J2078,IF(C2078="Futures",$C$6,$C$5)),""),"")</f>
        <v/>
      </c>
      <c r="I2078" s="139">
        <f>IFERROR(IF(AND(ISNUMBER(F2078),ISNUMBER(H2078)),F2078-H2078,""),"")</f>
        <v/>
      </c>
      <c r="J2078" s="114" t="n"/>
      <c r="K2078" s="139">
        <f>IFERROR(IF(H2078&gt;0,H2078*$C$7,""),"")</f>
        <v/>
      </c>
      <c r="L2078" s="139">
        <f>IFERROR(IF(ISNUMBER(F2078),F2078-IF(ISNUMBER(K2078),K2078,0),""),"")</f>
        <v/>
      </c>
    </row>
    <row r="2079" ht="24" customHeight="1" s="63">
      <c r="E2079" s="139" t="n"/>
      <c r="F2079" s="139" t="n"/>
      <c r="G2079" s="140">
        <f>IFERROR(IF(E2079&gt;0,(F2079/E2079)*1000,""),"")</f>
        <v/>
      </c>
      <c r="H2079" s="139">
        <f>IFERROR(IF(E2079&gt;0,E2079*IF(ISNUMBER(J2079),J2079,IF(C2079="Futures",$C$6,$C$5)),""),"")</f>
        <v/>
      </c>
      <c r="I2079" s="139">
        <f>IFERROR(IF(AND(ISNUMBER(F2079),ISNUMBER(H2079)),F2079-H2079,""),"")</f>
        <v/>
      </c>
      <c r="J2079" s="114" t="n"/>
      <c r="K2079" s="139">
        <f>IFERROR(IF(H2079&gt;0,H2079*$C$7,""),"")</f>
        <v/>
      </c>
      <c r="L2079" s="139">
        <f>IFERROR(IF(ISNUMBER(F2079),F2079-IF(ISNUMBER(K2079),K2079,0),""),"")</f>
        <v/>
      </c>
    </row>
    <row r="2080" ht="24" customHeight="1" s="63">
      <c r="E2080" s="139" t="n"/>
      <c r="F2080" s="139" t="n"/>
      <c r="G2080" s="140">
        <f>IFERROR(IF(E2080&gt;0,(F2080/E2080)*1000,""),"")</f>
        <v/>
      </c>
      <c r="H2080" s="139">
        <f>IFERROR(IF(E2080&gt;0,E2080*IF(ISNUMBER(J2080),J2080,IF(C2080="Futures",$C$6,$C$5)),""),"")</f>
        <v/>
      </c>
      <c r="I2080" s="139">
        <f>IFERROR(IF(AND(ISNUMBER(F2080),ISNUMBER(H2080)),F2080-H2080,""),"")</f>
        <v/>
      </c>
      <c r="J2080" s="114" t="n"/>
      <c r="K2080" s="139">
        <f>IFERROR(IF(H2080&gt;0,H2080*$C$7,""),"")</f>
        <v/>
      </c>
      <c r="L2080" s="139">
        <f>IFERROR(IF(ISNUMBER(F2080),F2080-IF(ISNUMBER(K2080),K2080,0),""),"")</f>
        <v/>
      </c>
    </row>
    <row r="2081" ht="24" customHeight="1" s="63">
      <c r="E2081" s="139" t="n"/>
      <c r="F2081" s="139" t="n"/>
      <c r="G2081" s="140">
        <f>IFERROR(IF(E2081&gt;0,(F2081/E2081)*1000,""),"")</f>
        <v/>
      </c>
      <c r="H2081" s="139">
        <f>IFERROR(IF(E2081&gt;0,E2081*IF(ISNUMBER(J2081),J2081,IF(C2081="Futures",$C$6,$C$5)),""),"")</f>
        <v/>
      </c>
      <c r="I2081" s="139">
        <f>IFERROR(IF(AND(ISNUMBER(F2081),ISNUMBER(H2081)),F2081-H2081,""),"")</f>
        <v/>
      </c>
      <c r="J2081" s="114" t="n"/>
      <c r="K2081" s="139">
        <f>IFERROR(IF(H2081&gt;0,H2081*$C$7,""),"")</f>
        <v/>
      </c>
      <c r="L2081" s="139">
        <f>IFERROR(IF(ISNUMBER(F2081),F2081-IF(ISNUMBER(K2081),K2081,0),""),"")</f>
        <v/>
      </c>
    </row>
    <row r="2082" ht="24" customHeight="1" s="63">
      <c r="E2082" s="139" t="n"/>
      <c r="F2082" s="139" t="n"/>
      <c r="G2082" s="140">
        <f>IFERROR(IF(E2082&gt;0,(F2082/E2082)*1000,""),"")</f>
        <v/>
      </c>
      <c r="H2082" s="139">
        <f>IFERROR(IF(E2082&gt;0,E2082*IF(ISNUMBER(J2082),J2082,IF(C2082="Futures",$C$6,$C$5)),""),"")</f>
        <v/>
      </c>
      <c r="I2082" s="139">
        <f>IFERROR(IF(AND(ISNUMBER(F2082),ISNUMBER(H2082)),F2082-H2082,""),"")</f>
        <v/>
      </c>
      <c r="J2082" s="114" t="n"/>
      <c r="K2082" s="139">
        <f>IFERROR(IF(H2082&gt;0,H2082*$C$7,""),"")</f>
        <v/>
      </c>
      <c r="L2082" s="139">
        <f>IFERROR(IF(ISNUMBER(F2082),F2082-IF(ISNUMBER(K2082),K2082,0),""),"")</f>
        <v/>
      </c>
    </row>
    <row r="2083" ht="24" customHeight="1" s="63">
      <c r="E2083" s="139" t="n"/>
      <c r="F2083" s="139" t="n"/>
      <c r="G2083" s="140">
        <f>IFERROR(IF(E2083&gt;0,(F2083/E2083)*1000,""),"")</f>
        <v/>
      </c>
      <c r="H2083" s="139">
        <f>IFERROR(IF(E2083&gt;0,E2083*IF(ISNUMBER(J2083),J2083,IF(C2083="Futures",$C$6,$C$5)),""),"")</f>
        <v/>
      </c>
      <c r="I2083" s="139">
        <f>IFERROR(IF(AND(ISNUMBER(F2083),ISNUMBER(H2083)),F2083-H2083,""),"")</f>
        <v/>
      </c>
      <c r="J2083" s="114" t="n"/>
      <c r="K2083" s="139">
        <f>IFERROR(IF(H2083&gt;0,H2083*$C$7,""),"")</f>
        <v/>
      </c>
      <c r="L2083" s="139">
        <f>IFERROR(IF(ISNUMBER(F2083),F2083-IF(ISNUMBER(K2083),K2083,0),""),"")</f>
        <v/>
      </c>
    </row>
    <row r="2084" ht="24" customHeight="1" s="63">
      <c r="E2084" s="139" t="n"/>
      <c r="F2084" s="139" t="n"/>
      <c r="G2084" s="140">
        <f>IFERROR(IF(E2084&gt;0,(F2084/E2084)*1000,""),"")</f>
        <v/>
      </c>
      <c r="H2084" s="139">
        <f>IFERROR(IF(E2084&gt;0,E2084*IF(ISNUMBER(J2084),J2084,IF(C2084="Futures",$C$6,$C$5)),""),"")</f>
        <v/>
      </c>
      <c r="I2084" s="139">
        <f>IFERROR(IF(AND(ISNUMBER(F2084),ISNUMBER(H2084)),F2084-H2084,""),"")</f>
        <v/>
      </c>
      <c r="J2084" s="114" t="n"/>
      <c r="K2084" s="139">
        <f>IFERROR(IF(H2084&gt;0,H2084*$C$7,""),"")</f>
        <v/>
      </c>
      <c r="L2084" s="139">
        <f>IFERROR(IF(ISNUMBER(F2084),F2084-IF(ISNUMBER(K2084),K2084,0),""),"")</f>
        <v/>
      </c>
    </row>
    <row r="2085" ht="24" customHeight="1" s="63">
      <c r="E2085" s="139" t="n"/>
      <c r="F2085" s="139" t="n"/>
      <c r="G2085" s="140">
        <f>IFERROR(IF(E2085&gt;0,(F2085/E2085)*1000,""),"")</f>
        <v/>
      </c>
      <c r="H2085" s="139">
        <f>IFERROR(IF(E2085&gt;0,E2085*IF(ISNUMBER(J2085),J2085,IF(C2085="Futures",$C$6,$C$5)),""),"")</f>
        <v/>
      </c>
      <c r="I2085" s="139">
        <f>IFERROR(IF(AND(ISNUMBER(F2085),ISNUMBER(H2085)),F2085-H2085,""),"")</f>
        <v/>
      </c>
      <c r="J2085" s="114" t="n"/>
      <c r="K2085" s="139">
        <f>IFERROR(IF(H2085&gt;0,H2085*$C$7,""),"")</f>
        <v/>
      </c>
      <c r="L2085" s="139">
        <f>IFERROR(IF(ISNUMBER(F2085),F2085-IF(ISNUMBER(K2085),K2085,0),""),"")</f>
        <v/>
      </c>
    </row>
    <row r="2086" ht="24" customHeight="1" s="63">
      <c r="E2086" s="139" t="n"/>
      <c r="F2086" s="139" t="n"/>
      <c r="G2086" s="140">
        <f>IFERROR(IF(E2086&gt;0,(F2086/E2086)*1000,""),"")</f>
        <v/>
      </c>
      <c r="H2086" s="139">
        <f>IFERROR(IF(E2086&gt;0,E2086*IF(ISNUMBER(J2086),J2086,IF(C2086="Futures",$C$6,$C$5)),""),"")</f>
        <v/>
      </c>
      <c r="I2086" s="139">
        <f>IFERROR(IF(AND(ISNUMBER(F2086),ISNUMBER(H2086)),F2086-H2086,""),"")</f>
        <v/>
      </c>
      <c r="J2086" s="114" t="n"/>
      <c r="K2086" s="139">
        <f>IFERROR(IF(H2086&gt;0,H2086*$C$7,""),"")</f>
        <v/>
      </c>
      <c r="L2086" s="139">
        <f>IFERROR(IF(ISNUMBER(F2086),F2086-IF(ISNUMBER(K2086),K2086,0),""),"")</f>
        <v/>
      </c>
    </row>
    <row r="2087" ht="24" customHeight="1" s="63">
      <c r="E2087" s="139" t="n"/>
      <c r="F2087" s="139" t="n"/>
      <c r="G2087" s="140">
        <f>IFERROR(IF(E2087&gt;0,(F2087/E2087)*1000,""),"")</f>
        <v/>
      </c>
      <c r="H2087" s="139">
        <f>IFERROR(IF(E2087&gt;0,E2087*IF(ISNUMBER(J2087),J2087,IF(C2087="Futures",$C$6,$C$5)),""),"")</f>
        <v/>
      </c>
      <c r="I2087" s="139">
        <f>IFERROR(IF(AND(ISNUMBER(F2087),ISNUMBER(H2087)),F2087-H2087,""),"")</f>
        <v/>
      </c>
      <c r="J2087" s="114" t="n"/>
      <c r="K2087" s="139">
        <f>IFERROR(IF(H2087&gt;0,H2087*$C$7,""),"")</f>
        <v/>
      </c>
      <c r="L2087" s="139">
        <f>IFERROR(IF(ISNUMBER(F2087),F2087-IF(ISNUMBER(K2087),K2087,0),""),"")</f>
        <v/>
      </c>
    </row>
    <row r="2088" ht="24" customHeight="1" s="63">
      <c r="E2088" s="139" t="n"/>
      <c r="F2088" s="139" t="n"/>
      <c r="G2088" s="140">
        <f>IFERROR(IF(E2088&gt;0,(F2088/E2088)*1000,""),"")</f>
        <v/>
      </c>
      <c r="H2088" s="139">
        <f>IFERROR(IF(E2088&gt;0,E2088*IF(ISNUMBER(J2088),J2088,IF(C2088="Futures",$C$6,$C$5)),""),"")</f>
        <v/>
      </c>
      <c r="I2088" s="139">
        <f>IFERROR(IF(AND(ISNUMBER(F2088),ISNUMBER(H2088)),F2088-H2088,""),"")</f>
        <v/>
      </c>
      <c r="J2088" s="114" t="n"/>
      <c r="K2088" s="139">
        <f>IFERROR(IF(H2088&gt;0,H2088*$C$7,""),"")</f>
        <v/>
      </c>
      <c r="L2088" s="139">
        <f>IFERROR(IF(ISNUMBER(F2088),F2088-IF(ISNUMBER(K2088),K2088,0),""),"")</f>
        <v/>
      </c>
    </row>
    <row r="2089" ht="24" customHeight="1" s="63">
      <c r="E2089" s="139" t="n"/>
      <c r="F2089" s="139" t="n"/>
      <c r="G2089" s="140">
        <f>IFERROR(IF(E2089&gt;0,(F2089/E2089)*1000,""),"")</f>
        <v/>
      </c>
      <c r="H2089" s="139">
        <f>IFERROR(IF(E2089&gt;0,E2089*IF(ISNUMBER(J2089),J2089,IF(C2089="Futures",$C$6,$C$5)),""),"")</f>
        <v/>
      </c>
      <c r="I2089" s="139">
        <f>IFERROR(IF(AND(ISNUMBER(F2089),ISNUMBER(H2089)),F2089-H2089,""),"")</f>
        <v/>
      </c>
      <c r="J2089" s="114" t="n"/>
      <c r="K2089" s="139">
        <f>IFERROR(IF(H2089&gt;0,H2089*$C$7,""),"")</f>
        <v/>
      </c>
      <c r="L2089" s="139">
        <f>IFERROR(IF(ISNUMBER(F2089),F2089-IF(ISNUMBER(K2089),K2089,0),""),"")</f>
        <v/>
      </c>
    </row>
    <row r="2090" ht="24" customHeight="1" s="63">
      <c r="E2090" s="139" t="n"/>
      <c r="F2090" s="139" t="n"/>
      <c r="G2090" s="140">
        <f>IFERROR(IF(E2090&gt;0,(F2090/E2090)*1000,""),"")</f>
        <v/>
      </c>
      <c r="H2090" s="139">
        <f>IFERROR(IF(E2090&gt;0,E2090*IF(ISNUMBER(J2090),J2090,IF(C2090="Futures",$C$6,$C$5)),""),"")</f>
        <v/>
      </c>
      <c r="I2090" s="139">
        <f>IFERROR(IF(AND(ISNUMBER(F2090),ISNUMBER(H2090)),F2090-H2090,""),"")</f>
        <v/>
      </c>
      <c r="J2090" s="114" t="n"/>
      <c r="K2090" s="139">
        <f>IFERROR(IF(H2090&gt;0,H2090*$C$7,""),"")</f>
        <v/>
      </c>
      <c r="L2090" s="139">
        <f>IFERROR(IF(ISNUMBER(F2090),F2090-IF(ISNUMBER(K2090),K2090,0),""),"")</f>
        <v/>
      </c>
    </row>
    <row r="2091" ht="24" customHeight="1" s="63">
      <c r="E2091" s="139" t="n"/>
      <c r="F2091" s="139" t="n"/>
      <c r="G2091" s="140">
        <f>IFERROR(IF(E2091&gt;0,(F2091/E2091)*1000,""),"")</f>
        <v/>
      </c>
      <c r="H2091" s="139">
        <f>IFERROR(IF(E2091&gt;0,E2091*IF(ISNUMBER(J2091),J2091,IF(C2091="Futures",$C$6,$C$5)),""),"")</f>
        <v/>
      </c>
      <c r="I2091" s="139">
        <f>IFERROR(IF(AND(ISNUMBER(F2091),ISNUMBER(H2091)),F2091-H2091,""),"")</f>
        <v/>
      </c>
      <c r="J2091" s="114" t="n"/>
      <c r="K2091" s="139">
        <f>IFERROR(IF(H2091&gt;0,H2091*$C$7,""),"")</f>
        <v/>
      </c>
      <c r="L2091" s="139">
        <f>IFERROR(IF(ISNUMBER(F2091),F2091-IF(ISNUMBER(K2091),K2091,0),""),"")</f>
        <v/>
      </c>
    </row>
    <row r="2092" ht="24" customHeight="1" s="63">
      <c r="E2092" s="139" t="n"/>
      <c r="F2092" s="139" t="n"/>
      <c r="G2092" s="140">
        <f>IFERROR(IF(E2092&gt;0,(F2092/E2092)*1000,""),"")</f>
        <v/>
      </c>
      <c r="H2092" s="139">
        <f>IFERROR(IF(E2092&gt;0,E2092*IF(ISNUMBER(J2092),J2092,IF(C2092="Futures",$C$6,$C$5)),""),"")</f>
        <v/>
      </c>
      <c r="I2092" s="139">
        <f>IFERROR(IF(AND(ISNUMBER(F2092),ISNUMBER(H2092)),F2092-H2092,""),"")</f>
        <v/>
      </c>
      <c r="J2092" s="114" t="n"/>
      <c r="K2092" s="139">
        <f>IFERROR(IF(H2092&gt;0,H2092*$C$7,""),"")</f>
        <v/>
      </c>
      <c r="L2092" s="139">
        <f>IFERROR(IF(ISNUMBER(F2092),F2092-IF(ISNUMBER(K2092),K2092,0),""),"")</f>
        <v/>
      </c>
    </row>
    <row r="2093" ht="24" customHeight="1" s="63">
      <c r="E2093" s="139" t="n"/>
      <c r="F2093" s="139" t="n"/>
      <c r="G2093" s="140">
        <f>IFERROR(IF(E2093&gt;0,(F2093/E2093)*1000,""),"")</f>
        <v/>
      </c>
      <c r="H2093" s="139">
        <f>IFERROR(IF(E2093&gt;0,E2093*IF(ISNUMBER(J2093),J2093,IF(C2093="Futures",$C$6,$C$5)),""),"")</f>
        <v/>
      </c>
      <c r="I2093" s="139">
        <f>IFERROR(IF(AND(ISNUMBER(F2093),ISNUMBER(H2093)),F2093-H2093,""),"")</f>
        <v/>
      </c>
      <c r="J2093" s="114" t="n"/>
      <c r="K2093" s="139">
        <f>IFERROR(IF(H2093&gt;0,H2093*$C$7,""),"")</f>
        <v/>
      </c>
      <c r="L2093" s="139">
        <f>IFERROR(IF(ISNUMBER(F2093),F2093-IF(ISNUMBER(K2093),K2093,0),""),"")</f>
        <v/>
      </c>
    </row>
    <row r="2094" ht="24" customHeight="1" s="63">
      <c r="E2094" s="139" t="n"/>
      <c r="F2094" s="139" t="n"/>
      <c r="G2094" s="140">
        <f>IFERROR(IF(E2094&gt;0,(F2094/E2094)*1000,""),"")</f>
        <v/>
      </c>
      <c r="H2094" s="139">
        <f>IFERROR(IF(E2094&gt;0,E2094*IF(ISNUMBER(J2094),J2094,IF(C2094="Futures",$C$6,$C$5)),""),"")</f>
        <v/>
      </c>
      <c r="I2094" s="139">
        <f>IFERROR(IF(AND(ISNUMBER(F2094),ISNUMBER(H2094)),F2094-H2094,""),"")</f>
        <v/>
      </c>
      <c r="J2094" s="114" t="n"/>
      <c r="K2094" s="139">
        <f>IFERROR(IF(H2094&gt;0,H2094*$C$7,""),"")</f>
        <v/>
      </c>
      <c r="L2094" s="139">
        <f>IFERROR(IF(ISNUMBER(F2094),F2094-IF(ISNUMBER(K2094),K2094,0),""),"")</f>
        <v/>
      </c>
    </row>
    <row r="2095" ht="24" customHeight="1" s="63">
      <c r="E2095" s="139" t="n"/>
      <c r="F2095" s="139" t="n"/>
      <c r="G2095" s="140">
        <f>IFERROR(IF(E2095&gt;0,(F2095/E2095)*1000,""),"")</f>
        <v/>
      </c>
      <c r="H2095" s="139">
        <f>IFERROR(IF(E2095&gt;0,E2095*IF(ISNUMBER(J2095),J2095,IF(C2095="Futures",$C$6,$C$5)),""),"")</f>
        <v/>
      </c>
      <c r="I2095" s="139">
        <f>IFERROR(IF(AND(ISNUMBER(F2095),ISNUMBER(H2095)),F2095-H2095,""),"")</f>
        <v/>
      </c>
      <c r="J2095" s="114" t="n"/>
      <c r="K2095" s="139">
        <f>IFERROR(IF(H2095&gt;0,H2095*$C$7,""),"")</f>
        <v/>
      </c>
      <c r="L2095" s="139">
        <f>IFERROR(IF(ISNUMBER(F2095),F2095-IF(ISNUMBER(K2095),K2095,0),""),"")</f>
        <v/>
      </c>
    </row>
    <row r="2096" ht="24" customHeight="1" s="63">
      <c r="E2096" s="139" t="n"/>
      <c r="F2096" s="139" t="n"/>
      <c r="G2096" s="140">
        <f>IFERROR(IF(E2096&gt;0,(F2096/E2096)*1000,""),"")</f>
        <v/>
      </c>
      <c r="H2096" s="139">
        <f>IFERROR(IF(E2096&gt;0,E2096*IF(ISNUMBER(J2096),J2096,IF(C2096="Futures",$C$6,$C$5)),""),"")</f>
        <v/>
      </c>
      <c r="I2096" s="139">
        <f>IFERROR(IF(AND(ISNUMBER(F2096),ISNUMBER(H2096)),F2096-H2096,""),"")</f>
        <v/>
      </c>
      <c r="J2096" s="114" t="n"/>
      <c r="K2096" s="139">
        <f>IFERROR(IF(H2096&gt;0,H2096*$C$7,""),"")</f>
        <v/>
      </c>
      <c r="L2096" s="139">
        <f>IFERROR(IF(ISNUMBER(F2096),F2096-IF(ISNUMBER(K2096),K2096,0),""),"")</f>
        <v/>
      </c>
    </row>
    <row r="2097" ht="24" customHeight="1" s="63">
      <c r="E2097" s="139" t="n"/>
      <c r="F2097" s="139" t="n"/>
      <c r="G2097" s="140">
        <f>IFERROR(IF(E2097&gt;0,(F2097/E2097)*1000,""),"")</f>
        <v/>
      </c>
      <c r="H2097" s="139">
        <f>IFERROR(IF(E2097&gt;0,E2097*IF(ISNUMBER(J2097),J2097,IF(C2097="Futures",$C$6,$C$5)),""),"")</f>
        <v/>
      </c>
      <c r="I2097" s="139">
        <f>IFERROR(IF(AND(ISNUMBER(F2097),ISNUMBER(H2097)),F2097-H2097,""),"")</f>
        <v/>
      </c>
      <c r="J2097" s="114" t="n"/>
      <c r="K2097" s="139">
        <f>IFERROR(IF(H2097&gt;0,H2097*$C$7,""),"")</f>
        <v/>
      </c>
      <c r="L2097" s="139">
        <f>IFERROR(IF(ISNUMBER(F2097),F2097-IF(ISNUMBER(K2097),K2097,0),""),"")</f>
        <v/>
      </c>
    </row>
    <row r="2098" ht="24" customHeight="1" s="63">
      <c r="E2098" s="139" t="n"/>
      <c r="F2098" s="139" t="n"/>
      <c r="G2098" s="140">
        <f>IFERROR(IF(E2098&gt;0,(F2098/E2098)*1000,""),"")</f>
        <v/>
      </c>
      <c r="H2098" s="139">
        <f>IFERROR(IF(E2098&gt;0,E2098*IF(ISNUMBER(J2098),J2098,IF(C2098="Futures",$C$6,$C$5)),""),"")</f>
        <v/>
      </c>
      <c r="I2098" s="139">
        <f>IFERROR(IF(AND(ISNUMBER(F2098),ISNUMBER(H2098)),F2098-H2098,""),"")</f>
        <v/>
      </c>
      <c r="J2098" s="114" t="n"/>
      <c r="K2098" s="139">
        <f>IFERROR(IF(H2098&gt;0,H2098*$C$7,""),"")</f>
        <v/>
      </c>
      <c r="L2098" s="139">
        <f>IFERROR(IF(ISNUMBER(F2098),F2098-IF(ISNUMBER(K2098),K2098,0),""),"")</f>
        <v/>
      </c>
    </row>
    <row r="2099" ht="24" customHeight="1" s="63">
      <c r="E2099" s="139" t="n"/>
      <c r="F2099" s="139" t="n"/>
      <c r="G2099" s="140">
        <f>IFERROR(IF(E2099&gt;0,(F2099/E2099)*1000,""),"")</f>
        <v/>
      </c>
      <c r="H2099" s="139">
        <f>IFERROR(IF(E2099&gt;0,E2099*IF(ISNUMBER(J2099),J2099,IF(C2099="Futures",$C$6,$C$5)),""),"")</f>
        <v/>
      </c>
      <c r="I2099" s="139">
        <f>IFERROR(IF(AND(ISNUMBER(F2099),ISNUMBER(H2099)),F2099-H2099,""),"")</f>
        <v/>
      </c>
      <c r="J2099" s="114" t="n"/>
      <c r="K2099" s="139">
        <f>IFERROR(IF(H2099&gt;0,H2099*$C$7,""),"")</f>
        <v/>
      </c>
      <c r="L2099" s="139">
        <f>IFERROR(IF(ISNUMBER(F2099),F2099-IF(ISNUMBER(K2099),K2099,0),""),"")</f>
        <v/>
      </c>
    </row>
    <row r="2100" ht="24" customHeight="1" s="63">
      <c r="E2100" s="139" t="n"/>
      <c r="F2100" s="139" t="n"/>
      <c r="G2100" s="140">
        <f>IFERROR(IF(E2100&gt;0,(F2100/E2100)*1000,""),"")</f>
        <v/>
      </c>
      <c r="H2100" s="139">
        <f>IFERROR(IF(E2100&gt;0,E2100*IF(ISNUMBER(J2100),J2100,IF(C2100="Futures",$C$6,$C$5)),""),"")</f>
        <v/>
      </c>
      <c r="I2100" s="139">
        <f>IFERROR(IF(AND(ISNUMBER(F2100),ISNUMBER(H2100)),F2100-H2100,""),"")</f>
        <v/>
      </c>
      <c r="J2100" s="114" t="n"/>
      <c r="K2100" s="139">
        <f>IFERROR(IF(H2100&gt;0,H2100*$C$7,""),"")</f>
        <v/>
      </c>
      <c r="L2100" s="139">
        <f>IFERROR(IF(ISNUMBER(F2100),F2100-IF(ISNUMBER(K2100),K2100,0),""),"")</f>
        <v/>
      </c>
    </row>
    <row r="2101" ht="24" customHeight="1" s="63">
      <c r="E2101" s="139" t="n"/>
      <c r="F2101" s="139" t="n"/>
      <c r="G2101" s="140">
        <f>IFERROR(IF(E2101&gt;0,(F2101/E2101)*1000,""),"")</f>
        <v/>
      </c>
      <c r="H2101" s="139">
        <f>IFERROR(IF(E2101&gt;0,E2101*IF(ISNUMBER(J2101),J2101,IF(C2101="Futures",$C$6,$C$5)),""),"")</f>
        <v/>
      </c>
      <c r="I2101" s="139">
        <f>IFERROR(IF(AND(ISNUMBER(F2101),ISNUMBER(H2101)),F2101-H2101,""),"")</f>
        <v/>
      </c>
      <c r="J2101" s="114" t="n"/>
      <c r="K2101" s="139">
        <f>IFERROR(IF(H2101&gt;0,H2101*$C$7,""),"")</f>
        <v/>
      </c>
      <c r="L2101" s="139">
        <f>IFERROR(IF(ISNUMBER(F2101),F2101-IF(ISNUMBER(K2101),K2101,0),""),"")</f>
        <v/>
      </c>
    </row>
    <row r="2102" ht="24" customHeight="1" s="63">
      <c r="E2102" s="139" t="n"/>
      <c r="F2102" s="139" t="n"/>
      <c r="G2102" s="140">
        <f>IFERROR(IF(E2102&gt;0,(F2102/E2102)*1000,""),"")</f>
        <v/>
      </c>
      <c r="H2102" s="139">
        <f>IFERROR(IF(E2102&gt;0,E2102*IF(ISNUMBER(J2102),J2102,IF(C2102="Futures",$C$6,$C$5)),""),"")</f>
        <v/>
      </c>
      <c r="I2102" s="139">
        <f>IFERROR(IF(AND(ISNUMBER(F2102),ISNUMBER(H2102)),F2102-H2102,""),"")</f>
        <v/>
      </c>
      <c r="J2102" s="114" t="n"/>
      <c r="K2102" s="139">
        <f>IFERROR(IF(H2102&gt;0,H2102*$C$7,""),"")</f>
        <v/>
      </c>
      <c r="L2102" s="139">
        <f>IFERROR(IF(ISNUMBER(F2102),F2102-IF(ISNUMBER(K2102),K2102,0),""),"")</f>
        <v/>
      </c>
    </row>
    <row r="2103" ht="24" customHeight="1" s="63">
      <c r="E2103" s="139" t="n"/>
      <c r="F2103" s="139" t="n"/>
      <c r="G2103" s="140">
        <f>IFERROR(IF(E2103&gt;0,(F2103/E2103)*1000,""),"")</f>
        <v/>
      </c>
      <c r="H2103" s="139">
        <f>IFERROR(IF(E2103&gt;0,E2103*IF(ISNUMBER(J2103),J2103,IF(C2103="Futures",$C$6,$C$5)),""),"")</f>
        <v/>
      </c>
      <c r="I2103" s="139">
        <f>IFERROR(IF(AND(ISNUMBER(F2103),ISNUMBER(H2103)),F2103-H2103,""),"")</f>
        <v/>
      </c>
      <c r="J2103" s="114" t="n"/>
      <c r="K2103" s="139">
        <f>IFERROR(IF(H2103&gt;0,H2103*$C$7,""),"")</f>
        <v/>
      </c>
      <c r="L2103" s="139">
        <f>IFERROR(IF(ISNUMBER(F2103),F2103-IF(ISNUMBER(K2103),K2103,0),""),"")</f>
        <v/>
      </c>
    </row>
    <row r="2104" ht="24" customHeight="1" s="63">
      <c r="E2104" s="139" t="n"/>
      <c r="F2104" s="139" t="n"/>
      <c r="G2104" s="140">
        <f>IFERROR(IF(E2104&gt;0,(F2104/E2104)*1000,""),"")</f>
        <v/>
      </c>
      <c r="H2104" s="139">
        <f>IFERROR(IF(E2104&gt;0,E2104*IF(ISNUMBER(J2104),J2104,IF(C2104="Futures",$C$6,$C$5)),""),"")</f>
        <v/>
      </c>
      <c r="I2104" s="139">
        <f>IFERROR(IF(AND(ISNUMBER(F2104),ISNUMBER(H2104)),F2104-H2104,""),"")</f>
        <v/>
      </c>
      <c r="J2104" s="114" t="n"/>
      <c r="K2104" s="139">
        <f>IFERROR(IF(H2104&gt;0,H2104*$C$7,""),"")</f>
        <v/>
      </c>
      <c r="L2104" s="139">
        <f>IFERROR(IF(ISNUMBER(F2104),F2104-IF(ISNUMBER(K2104),K2104,0),""),"")</f>
        <v/>
      </c>
    </row>
    <row r="2105" ht="24" customHeight="1" s="63">
      <c r="E2105" s="139" t="n"/>
      <c r="F2105" s="139" t="n"/>
      <c r="G2105" s="140">
        <f>IFERROR(IF(E2105&gt;0,(F2105/E2105)*1000,""),"")</f>
        <v/>
      </c>
      <c r="H2105" s="139">
        <f>IFERROR(IF(E2105&gt;0,E2105*IF(ISNUMBER(J2105),J2105,IF(C2105="Futures",$C$6,$C$5)),""),"")</f>
        <v/>
      </c>
      <c r="I2105" s="139">
        <f>IFERROR(IF(AND(ISNUMBER(F2105),ISNUMBER(H2105)),F2105-H2105,""),"")</f>
        <v/>
      </c>
      <c r="J2105" s="114" t="n"/>
      <c r="K2105" s="139">
        <f>IFERROR(IF(H2105&gt;0,H2105*$C$7,""),"")</f>
        <v/>
      </c>
      <c r="L2105" s="139">
        <f>IFERROR(IF(ISNUMBER(F2105),F2105-IF(ISNUMBER(K2105),K2105,0),""),"")</f>
        <v/>
      </c>
    </row>
    <row r="2106" ht="24" customHeight="1" s="63">
      <c r="E2106" s="139" t="n"/>
      <c r="F2106" s="139" t="n"/>
      <c r="G2106" s="140">
        <f>IFERROR(IF(E2106&gt;0,(F2106/E2106)*1000,""),"")</f>
        <v/>
      </c>
      <c r="H2106" s="139">
        <f>IFERROR(IF(E2106&gt;0,E2106*IF(ISNUMBER(J2106),J2106,IF(C2106="Futures",$C$6,$C$5)),""),"")</f>
        <v/>
      </c>
      <c r="I2106" s="139">
        <f>IFERROR(IF(AND(ISNUMBER(F2106),ISNUMBER(H2106)),F2106-H2106,""),"")</f>
        <v/>
      </c>
      <c r="J2106" s="114" t="n"/>
      <c r="K2106" s="139">
        <f>IFERROR(IF(H2106&gt;0,H2106*$C$7,""),"")</f>
        <v/>
      </c>
      <c r="L2106" s="139">
        <f>IFERROR(IF(ISNUMBER(F2106),F2106-IF(ISNUMBER(K2106),K2106,0),""),"")</f>
        <v/>
      </c>
    </row>
    <row r="2107" ht="24" customHeight="1" s="63">
      <c r="E2107" s="139" t="n"/>
      <c r="F2107" s="139" t="n"/>
      <c r="G2107" s="140">
        <f>IFERROR(IF(E2107&gt;0,(F2107/E2107)*1000,""),"")</f>
        <v/>
      </c>
      <c r="H2107" s="139">
        <f>IFERROR(IF(E2107&gt;0,E2107*IF(ISNUMBER(J2107),J2107,IF(C2107="Futures",$C$6,$C$5)),""),"")</f>
        <v/>
      </c>
      <c r="I2107" s="139">
        <f>IFERROR(IF(AND(ISNUMBER(F2107),ISNUMBER(H2107)),F2107-H2107,""),"")</f>
        <v/>
      </c>
      <c r="J2107" s="114" t="n"/>
      <c r="K2107" s="139">
        <f>IFERROR(IF(H2107&gt;0,H2107*$C$7,""),"")</f>
        <v/>
      </c>
      <c r="L2107" s="139">
        <f>IFERROR(IF(ISNUMBER(F2107),F2107-IF(ISNUMBER(K2107),K2107,0),""),"")</f>
        <v/>
      </c>
    </row>
    <row r="2108" ht="24" customHeight="1" s="63">
      <c r="E2108" s="139" t="n"/>
      <c r="F2108" s="139" t="n"/>
      <c r="G2108" s="140">
        <f>IFERROR(IF(E2108&gt;0,(F2108/E2108)*1000,""),"")</f>
        <v/>
      </c>
      <c r="H2108" s="139">
        <f>IFERROR(IF(E2108&gt;0,E2108*IF(ISNUMBER(J2108),J2108,IF(C2108="Futures",$C$6,$C$5)),""),"")</f>
        <v/>
      </c>
      <c r="I2108" s="139">
        <f>IFERROR(IF(AND(ISNUMBER(F2108),ISNUMBER(H2108)),F2108-H2108,""),"")</f>
        <v/>
      </c>
      <c r="J2108" s="114" t="n"/>
      <c r="K2108" s="139">
        <f>IFERROR(IF(H2108&gt;0,H2108*$C$7,""),"")</f>
        <v/>
      </c>
      <c r="L2108" s="139">
        <f>IFERROR(IF(ISNUMBER(F2108),F2108-IF(ISNUMBER(K2108),K2108,0),""),"")</f>
        <v/>
      </c>
    </row>
    <row r="2109" ht="24" customHeight="1" s="63">
      <c r="E2109" s="139" t="n"/>
      <c r="F2109" s="139" t="n"/>
      <c r="G2109" s="140">
        <f>IFERROR(IF(E2109&gt;0,(F2109/E2109)*1000,""),"")</f>
        <v/>
      </c>
      <c r="H2109" s="139">
        <f>IFERROR(IF(E2109&gt;0,E2109*IF(ISNUMBER(J2109),J2109,IF(C2109="Futures",$C$6,$C$5)),""),"")</f>
        <v/>
      </c>
      <c r="I2109" s="139">
        <f>IFERROR(IF(AND(ISNUMBER(F2109),ISNUMBER(H2109)),F2109-H2109,""),"")</f>
        <v/>
      </c>
      <c r="J2109" s="114" t="n"/>
      <c r="K2109" s="139">
        <f>IFERROR(IF(H2109&gt;0,H2109*$C$7,""),"")</f>
        <v/>
      </c>
      <c r="L2109" s="139">
        <f>IFERROR(IF(ISNUMBER(F2109),F2109-IF(ISNUMBER(K2109),K2109,0),""),"")</f>
        <v/>
      </c>
    </row>
    <row r="2110" ht="24" customHeight="1" s="63">
      <c r="E2110" s="139" t="n"/>
      <c r="F2110" s="139" t="n"/>
      <c r="G2110" s="140">
        <f>IFERROR(IF(E2110&gt;0,(F2110/E2110)*1000,""),"")</f>
        <v/>
      </c>
      <c r="H2110" s="139">
        <f>IFERROR(IF(E2110&gt;0,E2110*IF(ISNUMBER(J2110),J2110,IF(C2110="Futures",$C$6,$C$5)),""),"")</f>
        <v/>
      </c>
      <c r="I2110" s="139">
        <f>IFERROR(IF(AND(ISNUMBER(F2110),ISNUMBER(H2110)),F2110-H2110,""),"")</f>
        <v/>
      </c>
      <c r="J2110" s="114" t="n"/>
      <c r="K2110" s="139">
        <f>IFERROR(IF(H2110&gt;0,H2110*$C$7,""),"")</f>
        <v/>
      </c>
      <c r="L2110" s="139">
        <f>IFERROR(IF(ISNUMBER(F2110),F2110-IF(ISNUMBER(K2110),K2110,0),""),"")</f>
        <v/>
      </c>
    </row>
    <row r="2111" ht="24" customHeight="1" s="63">
      <c r="E2111" s="139" t="n"/>
      <c r="F2111" s="139" t="n"/>
      <c r="G2111" s="140">
        <f>IFERROR(IF(E2111&gt;0,(F2111/E2111)*1000,""),"")</f>
        <v/>
      </c>
      <c r="H2111" s="139">
        <f>IFERROR(IF(E2111&gt;0,E2111*IF(ISNUMBER(J2111),J2111,IF(C2111="Futures",$C$6,$C$5)),""),"")</f>
        <v/>
      </c>
      <c r="I2111" s="139">
        <f>IFERROR(IF(AND(ISNUMBER(F2111),ISNUMBER(H2111)),F2111-H2111,""),"")</f>
        <v/>
      </c>
      <c r="J2111" s="114" t="n"/>
      <c r="K2111" s="139">
        <f>IFERROR(IF(H2111&gt;0,H2111*$C$7,""),"")</f>
        <v/>
      </c>
      <c r="L2111" s="139">
        <f>IFERROR(IF(ISNUMBER(F2111),F2111-IF(ISNUMBER(K2111),K2111,0),""),"")</f>
        <v/>
      </c>
    </row>
    <row r="2112" ht="24" customHeight="1" s="63">
      <c r="E2112" s="139" t="n"/>
      <c r="F2112" s="139" t="n"/>
      <c r="G2112" s="140">
        <f>IFERROR(IF(E2112&gt;0,(F2112/E2112)*1000,""),"")</f>
        <v/>
      </c>
      <c r="H2112" s="139">
        <f>IFERROR(IF(E2112&gt;0,E2112*IF(ISNUMBER(J2112),J2112,IF(C2112="Futures",$C$6,$C$5)),""),"")</f>
        <v/>
      </c>
      <c r="I2112" s="139">
        <f>IFERROR(IF(AND(ISNUMBER(F2112),ISNUMBER(H2112)),F2112-H2112,""),"")</f>
        <v/>
      </c>
      <c r="J2112" s="114" t="n"/>
      <c r="K2112" s="139">
        <f>IFERROR(IF(H2112&gt;0,H2112*$C$7,""),"")</f>
        <v/>
      </c>
      <c r="L2112" s="139">
        <f>IFERROR(IF(ISNUMBER(F2112),F2112-IF(ISNUMBER(K2112),K2112,0),""),"")</f>
        <v/>
      </c>
    </row>
    <row r="2113" ht="24" customHeight="1" s="63">
      <c r="E2113" s="139" t="n"/>
      <c r="F2113" s="139" t="n"/>
      <c r="G2113" s="140">
        <f>IFERROR(IF(E2113&gt;0,(F2113/E2113)*1000,""),"")</f>
        <v/>
      </c>
      <c r="H2113" s="139">
        <f>IFERROR(IF(E2113&gt;0,E2113*IF(ISNUMBER(J2113),J2113,IF(C2113="Futures",$C$6,$C$5)),""),"")</f>
        <v/>
      </c>
      <c r="I2113" s="139">
        <f>IFERROR(IF(AND(ISNUMBER(F2113),ISNUMBER(H2113)),F2113-H2113,""),"")</f>
        <v/>
      </c>
      <c r="J2113" s="114" t="n"/>
      <c r="K2113" s="139">
        <f>IFERROR(IF(H2113&gt;0,H2113*$C$7,""),"")</f>
        <v/>
      </c>
      <c r="L2113" s="139">
        <f>IFERROR(IF(ISNUMBER(F2113),F2113-IF(ISNUMBER(K2113),K2113,0),""),"")</f>
        <v/>
      </c>
    </row>
    <row r="2114" ht="24" customHeight="1" s="63">
      <c r="E2114" s="139" t="n"/>
      <c r="F2114" s="139" t="n"/>
      <c r="G2114" s="140">
        <f>IFERROR(IF(E2114&gt;0,(F2114/E2114)*1000,""),"")</f>
        <v/>
      </c>
      <c r="H2114" s="139">
        <f>IFERROR(IF(E2114&gt;0,E2114*IF(ISNUMBER(J2114),J2114,IF(C2114="Futures",$C$6,$C$5)),""),"")</f>
        <v/>
      </c>
      <c r="I2114" s="139">
        <f>IFERROR(IF(AND(ISNUMBER(F2114),ISNUMBER(H2114)),F2114-H2114,""),"")</f>
        <v/>
      </c>
      <c r="J2114" s="114" t="n"/>
      <c r="K2114" s="139">
        <f>IFERROR(IF(H2114&gt;0,H2114*$C$7,""),"")</f>
        <v/>
      </c>
      <c r="L2114" s="139">
        <f>IFERROR(IF(ISNUMBER(F2114),F2114-IF(ISNUMBER(K2114),K2114,0),""),"")</f>
        <v/>
      </c>
    </row>
    <row r="2115" ht="24" customHeight="1" s="63">
      <c r="E2115" s="139" t="n"/>
      <c r="F2115" s="139" t="n"/>
      <c r="G2115" s="140">
        <f>IFERROR(IF(E2115&gt;0,(F2115/E2115)*1000,""),"")</f>
        <v/>
      </c>
      <c r="H2115" s="139">
        <f>IFERROR(IF(E2115&gt;0,E2115*IF(ISNUMBER(J2115),J2115,IF(C2115="Futures",$C$6,$C$5)),""),"")</f>
        <v/>
      </c>
      <c r="I2115" s="139">
        <f>IFERROR(IF(AND(ISNUMBER(F2115),ISNUMBER(H2115)),F2115-H2115,""),"")</f>
        <v/>
      </c>
      <c r="J2115" s="114" t="n"/>
      <c r="K2115" s="139">
        <f>IFERROR(IF(H2115&gt;0,H2115*$C$7,""),"")</f>
        <v/>
      </c>
      <c r="L2115" s="139">
        <f>IFERROR(IF(ISNUMBER(F2115),F2115-IF(ISNUMBER(K2115),K2115,0),""),"")</f>
        <v/>
      </c>
    </row>
    <row r="2116" ht="24" customHeight="1" s="63">
      <c r="E2116" s="139" t="n"/>
      <c r="F2116" s="139" t="n"/>
      <c r="G2116" s="140">
        <f>IFERROR(IF(E2116&gt;0,(F2116/E2116)*1000,""),"")</f>
        <v/>
      </c>
      <c r="H2116" s="139">
        <f>IFERROR(IF(E2116&gt;0,E2116*IF(ISNUMBER(J2116),J2116,IF(C2116="Futures",$C$6,$C$5)),""),"")</f>
        <v/>
      </c>
      <c r="I2116" s="139">
        <f>IFERROR(IF(AND(ISNUMBER(F2116),ISNUMBER(H2116)),F2116-H2116,""),"")</f>
        <v/>
      </c>
      <c r="J2116" s="114" t="n"/>
      <c r="K2116" s="139">
        <f>IFERROR(IF(H2116&gt;0,H2116*$C$7,""),"")</f>
        <v/>
      </c>
      <c r="L2116" s="139">
        <f>IFERROR(IF(ISNUMBER(F2116),F2116-IF(ISNUMBER(K2116),K2116,0),""),"")</f>
        <v/>
      </c>
    </row>
    <row r="2117" ht="24" customHeight="1" s="63">
      <c r="E2117" s="139" t="n"/>
      <c r="F2117" s="139" t="n"/>
      <c r="G2117" s="140">
        <f>IFERROR(IF(E2117&gt;0,(F2117/E2117)*1000,""),"")</f>
        <v/>
      </c>
      <c r="H2117" s="139">
        <f>IFERROR(IF(E2117&gt;0,E2117*IF(ISNUMBER(J2117),J2117,IF(C2117="Futures",$C$6,$C$5)),""),"")</f>
        <v/>
      </c>
      <c r="I2117" s="139">
        <f>IFERROR(IF(AND(ISNUMBER(F2117),ISNUMBER(H2117)),F2117-H2117,""),"")</f>
        <v/>
      </c>
      <c r="J2117" s="114" t="n"/>
      <c r="K2117" s="139">
        <f>IFERROR(IF(H2117&gt;0,H2117*$C$7,""),"")</f>
        <v/>
      </c>
      <c r="L2117" s="139">
        <f>IFERROR(IF(ISNUMBER(F2117),F2117-IF(ISNUMBER(K2117),K2117,0),""),"")</f>
        <v/>
      </c>
    </row>
    <row r="2118" ht="24" customHeight="1" s="63">
      <c r="E2118" s="139" t="n"/>
      <c r="F2118" s="139" t="n"/>
      <c r="G2118" s="140">
        <f>IFERROR(IF(E2118&gt;0,(F2118/E2118)*1000,""),"")</f>
        <v/>
      </c>
      <c r="H2118" s="139">
        <f>IFERROR(IF(E2118&gt;0,E2118*IF(ISNUMBER(J2118),J2118,IF(C2118="Futures",$C$6,$C$5)),""),"")</f>
        <v/>
      </c>
      <c r="I2118" s="139">
        <f>IFERROR(IF(AND(ISNUMBER(F2118),ISNUMBER(H2118)),F2118-H2118,""),"")</f>
        <v/>
      </c>
      <c r="J2118" s="114" t="n"/>
      <c r="K2118" s="139">
        <f>IFERROR(IF(H2118&gt;0,H2118*$C$7,""),"")</f>
        <v/>
      </c>
      <c r="L2118" s="139">
        <f>IFERROR(IF(ISNUMBER(F2118),F2118-IF(ISNUMBER(K2118),K2118,0),""),"")</f>
        <v/>
      </c>
    </row>
    <row r="2119" ht="24" customHeight="1" s="63">
      <c r="E2119" s="139" t="n"/>
      <c r="F2119" s="139" t="n"/>
      <c r="G2119" s="140">
        <f>IFERROR(IF(E2119&gt;0,(F2119/E2119)*1000,""),"")</f>
        <v/>
      </c>
      <c r="H2119" s="139">
        <f>IFERROR(IF(E2119&gt;0,E2119*IF(ISNUMBER(J2119),J2119,IF(C2119="Futures",$C$6,$C$5)),""),"")</f>
        <v/>
      </c>
      <c r="I2119" s="139">
        <f>IFERROR(IF(AND(ISNUMBER(F2119),ISNUMBER(H2119)),F2119-H2119,""),"")</f>
        <v/>
      </c>
      <c r="J2119" s="114" t="n"/>
      <c r="K2119" s="139">
        <f>IFERROR(IF(H2119&gt;0,H2119*$C$7,""),"")</f>
        <v/>
      </c>
      <c r="L2119" s="139">
        <f>IFERROR(IF(ISNUMBER(F2119),F2119-IF(ISNUMBER(K2119),K2119,0),""),"")</f>
        <v/>
      </c>
    </row>
    <row r="2120" ht="24" customHeight="1" s="63">
      <c r="E2120" s="139" t="n"/>
      <c r="F2120" s="139" t="n"/>
      <c r="G2120" s="140">
        <f>IFERROR(IF(E2120&gt;0,(F2120/E2120)*1000,""),"")</f>
        <v/>
      </c>
      <c r="H2120" s="139">
        <f>IFERROR(IF(E2120&gt;0,E2120*IF(ISNUMBER(J2120),J2120,IF(C2120="Futures",$C$6,$C$5)),""),"")</f>
        <v/>
      </c>
      <c r="I2120" s="139">
        <f>IFERROR(IF(AND(ISNUMBER(F2120),ISNUMBER(H2120)),F2120-H2120,""),"")</f>
        <v/>
      </c>
      <c r="J2120" s="114" t="n"/>
      <c r="K2120" s="139">
        <f>IFERROR(IF(H2120&gt;0,H2120*$C$7,""),"")</f>
        <v/>
      </c>
      <c r="L2120" s="139">
        <f>IFERROR(IF(ISNUMBER(F2120),F2120-IF(ISNUMBER(K2120),K2120,0),""),"")</f>
        <v/>
      </c>
    </row>
    <row r="2121" ht="24" customHeight="1" s="63">
      <c r="E2121" s="139" t="n"/>
      <c r="F2121" s="139" t="n"/>
      <c r="G2121" s="140">
        <f>IFERROR(IF(E2121&gt;0,(F2121/E2121)*1000,""),"")</f>
        <v/>
      </c>
      <c r="H2121" s="139">
        <f>IFERROR(IF(E2121&gt;0,E2121*IF(ISNUMBER(J2121),J2121,IF(C2121="Futures",$C$6,$C$5)),""),"")</f>
        <v/>
      </c>
      <c r="I2121" s="139">
        <f>IFERROR(IF(AND(ISNUMBER(F2121),ISNUMBER(H2121)),F2121-H2121,""),"")</f>
        <v/>
      </c>
      <c r="J2121" s="114" t="n"/>
      <c r="K2121" s="139">
        <f>IFERROR(IF(H2121&gt;0,H2121*$C$7,""),"")</f>
        <v/>
      </c>
      <c r="L2121" s="139">
        <f>IFERROR(IF(ISNUMBER(F2121),F2121-IF(ISNUMBER(K2121),K2121,0),""),"")</f>
        <v/>
      </c>
    </row>
    <row r="2122" ht="24" customHeight="1" s="63">
      <c r="E2122" s="139" t="n"/>
      <c r="F2122" s="139" t="n"/>
      <c r="G2122" s="140">
        <f>IFERROR(IF(E2122&gt;0,(F2122/E2122)*1000,""),"")</f>
        <v/>
      </c>
      <c r="H2122" s="139">
        <f>IFERROR(IF(E2122&gt;0,E2122*IF(ISNUMBER(J2122),J2122,IF(C2122="Futures",$C$6,$C$5)),""),"")</f>
        <v/>
      </c>
      <c r="I2122" s="139">
        <f>IFERROR(IF(AND(ISNUMBER(F2122),ISNUMBER(H2122)),F2122-H2122,""),"")</f>
        <v/>
      </c>
      <c r="J2122" s="114" t="n"/>
      <c r="K2122" s="139">
        <f>IFERROR(IF(H2122&gt;0,H2122*$C$7,""),"")</f>
        <v/>
      </c>
      <c r="L2122" s="139">
        <f>IFERROR(IF(ISNUMBER(F2122),F2122-IF(ISNUMBER(K2122),K2122,0),""),"")</f>
        <v/>
      </c>
    </row>
    <row r="2123" ht="24" customHeight="1" s="63">
      <c r="E2123" s="139" t="n"/>
      <c r="F2123" s="139" t="n"/>
      <c r="G2123" s="140">
        <f>IFERROR(IF(E2123&gt;0,(F2123/E2123)*1000,""),"")</f>
        <v/>
      </c>
      <c r="H2123" s="139">
        <f>IFERROR(IF(E2123&gt;0,E2123*IF(ISNUMBER(J2123),J2123,IF(C2123="Futures",$C$6,$C$5)),""),"")</f>
        <v/>
      </c>
      <c r="I2123" s="139">
        <f>IFERROR(IF(AND(ISNUMBER(F2123),ISNUMBER(H2123)),F2123-H2123,""),"")</f>
        <v/>
      </c>
      <c r="J2123" s="114" t="n"/>
      <c r="K2123" s="139">
        <f>IFERROR(IF(H2123&gt;0,H2123*$C$7,""),"")</f>
        <v/>
      </c>
      <c r="L2123" s="139">
        <f>IFERROR(IF(ISNUMBER(F2123),F2123-IF(ISNUMBER(K2123),K2123,0),""),"")</f>
        <v/>
      </c>
    </row>
    <row r="2124" ht="24" customHeight="1" s="63">
      <c r="E2124" s="139" t="n"/>
      <c r="F2124" s="139" t="n"/>
      <c r="G2124" s="140">
        <f>IFERROR(IF(E2124&gt;0,(F2124/E2124)*1000,""),"")</f>
        <v/>
      </c>
      <c r="H2124" s="139">
        <f>IFERROR(IF(E2124&gt;0,E2124*IF(ISNUMBER(J2124),J2124,IF(C2124="Futures",$C$6,$C$5)),""),"")</f>
        <v/>
      </c>
      <c r="I2124" s="139">
        <f>IFERROR(IF(AND(ISNUMBER(F2124),ISNUMBER(H2124)),F2124-H2124,""),"")</f>
        <v/>
      </c>
      <c r="J2124" s="114" t="n"/>
      <c r="K2124" s="139">
        <f>IFERROR(IF(H2124&gt;0,H2124*$C$7,""),"")</f>
        <v/>
      </c>
      <c r="L2124" s="139">
        <f>IFERROR(IF(ISNUMBER(F2124),F2124-IF(ISNUMBER(K2124),K2124,0),""),"")</f>
        <v/>
      </c>
    </row>
    <row r="2125" ht="24" customHeight="1" s="63">
      <c r="E2125" s="139" t="n"/>
      <c r="F2125" s="139" t="n"/>
      <c r="G2125" s="140">
        <f>IFERROR(IF(E2125&gt;0,(F2125/E2125)*1000,""),"")</f>
        <v/>
      </c>
      <c r="H2125" s="139">
        <f>IFERROR(IF(E2125&gt;0,E2125*IF(ISNUMBER(J2125),J2125,IF(C2125="Futures",$C$6,$C$5)),""),"")</f>
        <v/>
      </c>
      <c r="I2125" s="139">
        <f>IFERROR(IF(AND(ISNUMBER(F2125),ISNUMBER(H2125)),F2125-H2125,""),"")</f>
        <v/>
      </c>
      <c r="J2125" s="114" t="n"/>
      <c r="K2125" s="139">
        <f>IFERROR(IF(H2125&gt;0,H2125*$C$7,""),"")</f>
        <v/>
      </c>
      <c r="L2125" s="139">
        <f>IFERROR(IF(ISNUMBER(F2125),F2125-IF(ISNUMBER(K2125),K2125,0),""),"")</f>
        <v/>
      </c>
    </row>
    <row r="2126" ht="24" customHeight="1" s="63">
      <c r="E2126" s="139" t="n"/>
      <c r="F2126" s="139" t="n"/>
      <c r="G2126" s="140">
        <f>IFERROR(IF(E2126&gt;0,(F2126/E2126)*1000,""),"")</f>
        <v/>
      </c>
      <c r="H2126" s="139">
        <f>IFERROR(IF(E2126&gt;0,E2126*IF(ISNUMBER(J2126),J2126,IF(C2126="Futures",$C$6,$C$5)),""),"")</f>
        <v/>
      </c>
      <c r="I2126" s="139">
        <f>IFERROR(IF(AND(ISNUMBER(F2126),ISNUMBER(H2126)),F2126-H2126,""),"")</f>
        <v/>
      </c>
      <c r="J2126" s="114" t="n"/>
      <c r="K2126" s="139">
        <f>IFERROR(IF(H2126&gt;0,H2126*$C$7,""),"")</f>
        <v/>
      </c>
      <c r="L2126" s="139">
        <f>IFERROR(IF(ISNUMBER(F2126),F2126-IF(ISNUMBER(K2126),K2126,0),""),"")</f>
        <v/>
      </c>
    </row>
    <row r="2127" ht="24" customHeight="1" s="63">
      <c r="E2127" s="139" t="n"/>
      <c r="F2127" s="139" t="n"/>
      <c r="G2127" s="140">
        <f>IFERROR(IF(E2127&gt;0,(F2127/E2127)*1000,""),"")</f>
        <v/>
      </c>
      <c r="H2127" s="139">
        <f>IFERROR(IF(E2127&gt;0,E2127*IF(ISNUMBER(J2127),J2127,IF(C2127="Futures",$C$6,$C$5)),""),"")</f>
        <v/>
      </c>
      <c r="I2127" s="139">
        <f>IFERROR(IF(AND(ISNUMBER(F2127),ISNUMBER(H2127)),F2127-H2127,""),"")</f>
        <v/>
      </c>
      <c r="J2127" s="114" t="n"/>
      <c r="K2127" s="139">
        <f>IFERROR(IF(H2127&gt;0,H2127*$C$7,""),"")</f>
        <v/>
      </c>
      <c r="L2127" s="139">
        <f>IFERROR(IF(ISNUMBER(F2127),F2127-IF(ISNUMBER(K2127),K2127,0),""),"")</f>
        <v/>
      </c>
    </row>
    <row r="2128" ht="24" customHeight="1" s="63">
      <c r="E2128" s="139" t="n"/>
      <c r="F2128" s="139" t="n"/>
      <c r="G2128" s="140">
        <f>IFERROR(IF(E2128&gt;0,(F2128/E2128)*1000,""),"")</f>
        <v/>
      </c>
      <c r="H2128" s="139">
        <f>IFERROR(IF(E2128&gt;0,E2128*IF(ISNUMBER(J2128),J2128,IF(C2128="Futures",$C$6,$C$5)),""),"")</f>
        <v/>
      </c>
      <c r="I2128" s="139">
        <f>IFERROR(IF(AND(ISNUMBER(F2128),ISNUMBER(H2128)),F2128-H2128,""),"")</f>
        <v/>
      </c>
      <c r="J2128" s="114" t="n"/>
      <c r="K2128" s="139">
        <f>IFERROR(IF(H2128&gt;0,H2128*$C$7,""),"")</f>
        <v/>
      </c>
      <c r="L2128" s="139">
        <f>IFERROR(IF(ISNUMBER(F2128),F2128-IF(ISNUMBER(K2128),K2128,0),""),"")</f>
        <v/>
      </c>
    </row>
    <row r="2129" ht="24" customHeight="1" s="63">
      <c r="E2129" s="139" t="n"/>
      <c r="F2129" s="139" t="n"/>
      <c r="G2129" s="140">
        <f>IFERROR(IF(E2129&gt;0,(F2129/E2129)*1000,""),"")</f>
        <v/>
      </c>
      <c r="H2129" s="139">
        <f>IFERROR(IF(E2129&gt;0,E2129*IF(ISNUMBER(J2129),J2129,IF(C2129="Futures",$C$6,$C$5)),""),"")</f>
        <v/>
      </c>
      <c r="I2129" s="139">
        <f>IFERROR(IF(AND(ISNUMBER(F2129),ISNUMBER(H2129)),F2129-H2129,""),"")</f>
        <v/>
      </c>
      <c r="J2129" s="114" t="n"/>
      <c r="K2129" s="139">
        <f>IFERROR(IF(H2129&gt;0,H2129*$C$7,""),"")</f>
        <v/>
      </c>
      <c r="L2129" s="139">
        <f>IFERROR(IF(ISNUMBER(F2129),F2129-IF(ISNUMBER(K2129),K2129,0),""),"")</f>
        <v/>
      </c>
    </row>
    <row r="2130" ht="24" customHeight="1" s="63">
      <c r="E2130" s="139" t="n"/>
      <c r="F2130" s="139" t="n"/>
      <c r="G2130" s="140">
        <f>IFERROR(IF(E2130&gt;0,(F2130/E2130)*1000,""),"")</f>
        <v/>
      </c>
      <c r="H2130" s="139">
        <f>IFERROR(IF(E2130&gt;0,E2130*IF(ISNUMBER(J2130),J2130,IF(C2130="Futures",$C$6,$C$5)),""),"")</f>
        <v/>
      </c>
      <c r="I2130" s="139">
        <f>IFERROR(IF(AND(ISNUMBER(F2130),ISNUMBER(H2130)),F2130-H2130,""),"")</f>
        <v/>
      </c>
      <c r="J2130" s="114" t="n"/>
      <c r="K2130" s="139">
        <f>IFERROR(IF(H2130&gt;0,H2130*$C$7,""),"")</f>
        <v/>
      </c>
      <c r="L2130" s="139">
        <f>IFERROR(IF(ISNUMBER(F2130),F2130-IF(ISNUMBER(K2130),K2130,0),""),"")</f>
        <v/>
      </c>
    </row>
    <row r="2131" ht="24" customHeight="1" s="63">
      <c r="E2131" s="139" t="n"/>
      <c r="F2131" s="139" t="n"/>
      <c r="G2131" s="140">
        <f>IFERROR(IF(E2131&gt;0,(F2131/E2131)*1000,""),"")</f>
        <v/>
      </c>
      <c r="H2131" s="139">
        <f>IFERROR(IF(E2131&gt;0,E2131*IF(ISNUMBER(J2131),J2131,IF(C2131="Futures",$C$6,$C$5)),""),"")</f>
        <v/>
      </c>
      <c r="I2131" s="139">
        <f>IFERROR(IF(AND(ISNUMBER(F2131),ISNUMBER(H2131)),F2131-H2131,""),"")</f>
        <v/>
      </c>
      <c r="J2131" s="114" t="n"/>
      <c r="K2131" s="139">
        <f>IFERROR(IF(H2131&gt;0,H2131*$C$7,""),"")</f>
        <v/>
      </c>
      <c r="L2131" s="139">
        <f>IFERROR(IF(ISNUMBER(F2131),F2131-IF(ISNUMBER(K2131),K2131,0),""),"")</f>
        <v/>
      </c>
    </row>
    <row r="2132" ht="24" customHeight="1" s="63">
      <c r="E2132" s="139" t="n"/>
      <c r="F2132" s="139" t="n"/>
      <c r="G2132" s="140">
        <f>IFERROR(IF(E2132&gt;0,(F2132/E2132)*1000,""),"")</f>
        <v/>
      </c>
      <c r="H2132" s="139">
        <f>IFERROR(IF(E2132&gt;0,E2132*IF(ISNUMBER(J2132),J2132,IF(C2132="Futures",$C$6,$C$5)),""),"")</f>
        <v/>
      </c>
      <c r="I2132" s="139">
        <f>IFERROR(IF(AND(ISNUMBER(F2132),ISNUMBER(H2132)),F2132-H2132,""),"")</f>
        <v/>
      </c>
      <c r="J2132" s="114" t="n"/>
      <c r="K2132" s="139">
        <f>IFERROR(IF(H2132&gt;0,H2132*$C$7,""),"")</f>
        <v/>
      </c>
      <c r="L2132" s="139">
        <f>IFERROR(IF(ISNUMBER(F2132),F2132-IF(ISNUMBER(K2132),K2132,0),""),"")</f>
        <v/>
      </c>
    </row>
    <row r="2133" ht="24" customHeight="1" s="63">
      <c r="E2133" s="139" t="n"/>
      <c r="F2133" s="139" t="n"/>
      <c r="G2133" s="140">
        <f>IFERROR(IF(E2133&gt;0,(F2133/E2133)*1000,""),"")</f>
        <v/>
      </c>
      <c r="H2133" s="139">
        <f>IFERROR(IF(E2133&gt;0,E2133*IF(ISNUMBER(J2133),J2133,IF(C2133="Futures",$C$6,$C$5)),""),"")</f>
        <v/>
      </c>
      <c r="I2133" s="139">
        <f>IFERROR(IF(AND(ISNUMBER(F2133),ISNUMBER(H2133)),F2133-H2133,""),"")</f>
        <v/>
      </c>
      <c r="J2133" s="114" t="n"/>
      <c r="K2133" s="139">
        <f>IFERROR(IF(H2133&gt;0,H2133*$C$7,""),"")</f>
        <v/>
      </c>
      <c r="L2133" s="139">
        <f>IFERROR(IF(ISNUMBER(F2133),F2133-IF(ISNUMBER(K2133),K2133,0),""),"")</f>
        <v/>
      </c>
    </row>
    <row r="2134" ht="24" customHeight="1" s="63">
      <c r="E2134" s="139" t="n"/>
      <c r="F2134" s="139" t="n"/>
      <c r="G2134" s="140">
        <f>IFERROR(IF(E2134&gt;0,(F2134/E2134)*1000,""),"")</f>
        <v/>
      </c>
      <c r="H2134" s="139">
        <f>IFERROR(IF(E2134&gt;0,E2134*IF(ISNUMBER(J2134),J2134,IF(C2134="Futures",$C$6,$C$5)),""),"")</f>
        <v/>
      </c>
      <c r="I2134" s="139">
        <f>IFERROR(IF(AND(ISNUMBER(F2134),ISNUMBER(H2134)),F2134-H2134,""),"")</f>
        <v/>
      </c>
      <c r="J2134" s="114" t="n"/>
      <c r="K2134" s="139">
        <f>IFERROR(IF(H2134&gt;0,H2134*$C$7,""),"")</f>
        <v/>
      </c>
      <c r="L2134" s="139">
        <f>IFERROR(IF(ISNUMBER(F2134),F2134-IF(ISNUMBER(K2134),K2134,0),""),"")</f>
        <v/>
      </c>
    </row>
    <row r="2135" ht="24" customHeight="1" s="63">
      <c r="E2135" s="139" t="n"/>
      <c r="F2135" s="139" t="n"/>
      <c r="G2135" s="140">
        <f>IFERROR(IF(E2135&gt;0,(F2135/E2135)*1000,""),"")</f>
        <v/>
      </c>
      <c r="H2135" s="139">
        <f>IFERROR(IF(E2135&gt;0,E2135*IF(ISNUMBER(J2135),J2135,IF(C2135="Futures",$C$6,$C$5)),""),"")</f>
        <v/>
      </c>
      <c r="I2135" s="139">
        <f>IFERROR(IF(AND(ISNUMBER(F2135),ISNUMBER(H2135)),F2135-H2135,""),"")</f>
        <v/>
      </c>
      <c r="J2135" s="114" t="n"/>
      <c r="K2135" s="139">
        <f>IFERROR(IF(H2135&gt;0,H2135*$C$7,""),"")</f>
        <v/>
      </c>
      <c r="L2135" s="139">
        <f>IFERROR(IF(ISNUMBER(F2135),F2135-IF(ISNUMBER(K2135),K2135,0),""),"")</f>
        <v/>
      </c>
    </row>
    <row r="2136" ht="24" customHeight="1" s="63">
      <c r="E2136" s="139" t="n"/>
      <c r="F2136" s="139" t="n"/>
      <c r="G2136" s="140">
        <f>IFERROR(IF(E2136&gt;0,(F2136/E2136)*1000,""),"")</f>
        <v/>
      </c>
      <c r="H2136" s="139">
        <f>IFERROR(IF(E2136&gt;0,E2136*IF(ISNUMBER(J2136),J2136,IF(C2136="Futures",$C$6,$C$5)),""),"")</f>
        <v/>
      </c>
      <c r="I2136" s="139">
        <f>IFERROR(IF(AND(ISNUMBER(F2136),ISNUMBER(H2136)),F2136-H2136,""),"")</f>
        <v/>
      </c>
      <c r="J2136" s="114" t="n"/>
      <c r="K2136" s="139">
        <f>IFERROR(IF(H2136&gt;0,H2136*$C$7,""),"")</f>
        <v/>
      </c>
      <c r="L2136" s="139">
        <f>IFERROR(IF(ISNUMBER(F2136),F2136-IF(ISNUMBER(K2136),K2136,0),""),"")</f>
        <v/>
      </c>
    </row>
    <row r="2137" ht="24" customHeight="1" s="63">
      <c r="E2137" s="139" t="n"/>
      <c r="F2137" s="139" t="n"/>
      <c r="G2137" s="140">
        <f>IFERROR(IF(E2137&gt;0,(F2137/E2137)*1000,""),"")</f>
        <v/>
      </c>
      <c r="H2137" s="139">
        <f>IFERROR(IF(E2137&gt;0,E2137*IF(ISNUMBER(J2137),J2137,IF(C2137="Futures",$C$6,$C$5)),""),"")</f>
        <v/>
      </c>
      <c r="I2137" s="139">
        <f>IFERROR(IF(AND(ISNUMBER(F2137),ISNUMBER(H2137)),F2137-H2137,""),"")</f>
        <v/>
      </c>
      <c r="J2137" s="114" t="n"/>
      <c r="K2137" s="139">
        <f>IFERROR(IF(H2137&gt;0,H2137*$C$7,""),"")</f>
        <v/>
      </c>
      <c r="L2137" s="139">
        <f>IFERROR(IF(ISNUMBER(F2137),F2137-IF(ISNUMBER(K2137),K2137,0),""),"")</f>
        <v/>
      </c>
    </row>
    <row r="2138" ht="24" customHeight="1" s="63">
      <c r="E2138" s="139" t="n"/>
      <c r="F2138" s="139" t="n"/>
      <c r="G2138" s="140">
        <f>IFERROR(IF(E2138&gt;0,(F2138/E2138)*1000,""),"")</f>
        <v/>
      </c>
      <c r="H2138" s="139">
        <f>IFERROR(IF(E2138&gt;0,E2138*IF(ISNUMBER(J2138),J2138,IF(C2138="Futures",$C$6,$C$5)),""),"")</f>
        <v/>
      </c>
      <c r="I2138" s="139">
        <f>IFERROR(IF(AND(ISNUMBER(F2138),ISNUMBER(H2138)),F2138-H2138,""),"")</f>
        <v/>
      </c>
      <c r="J2138" s="114" t="n"/>
      <c r="K2138" s="139">
        <f>IFERROR(IF(H2138&gt;0,H2138*$C$7,""),"")</f>
        <v/>
      </c>
      <c r="L2138" s="139">
        <f>IFERROR(IF(ISNUMBER(F2138),F2138-IF(ISNUMBER(K2138),K2138,0),""),"")</f>
        <v/>
      </c>
    </row>
    <row r="2139" ht="24" customHeight="1" s="63">
      <c r="E2139" s="139" t="n"/>
      <c r="F2139" s="139" t="n"/>
      <c r="G2139" s="140">
        <f>IFERROR(IF(E2139&gt;0,(F2139/E2139)*1000,""),"")</f>
        <v/>
      </c>
      <c r="H2139" s="139">
        <f>IFERROR(IF(E2139&gt;0,E2139*IF(ISNUMBER(J2139),J2139,IF(C2139="Futures",$C$6,$C$5)),""),"")</f>
        <v/>
      </c>
      <c r="I2139" s="139">
        <f>IFERROR(IF(AND(ISNUMBER(F2139),ISNUMBER(H2139)),F2139-H2139,""),"")</f>
        <v/>
      </c>
      <c r="J2139" s="114" t="n"/>
      <c r="K2139" s="139">
        <f>IFERROR(IF(H2139&gt;0,H2139*$C$7,""),"")</f>
        <v/>
      </c>
      <c r="L2139" s="139">
        <f>IFERROR(IF(ISNUMBER(F2139),F2139-IF(ISNUMBER(K2139),K2139,0),""),"")</f>
        <v/>
      </c>
    </row>
    <row r="2140" ht="24" customHeight="1" s="63">
      <c r="E2140" s="139" t="n"/>
      <c r="F2140" s="139" t="n"/>
      <c r="G2140" s="140">
        <f>IFERROR(IF(E2140&gt;0,(F2140/E2140)*1000,""),"")</f>
        <v/>
      </c>
      <c r="H2140" s="139">
        <f>IFERROR(IF(E2140&gt;0,E2140*IF(ISNUMBER(J2140),J2140,IF(C2140="Futures",$C$6,$C$5)),""),"")</f>
        <v/>
      </c>
      <c r="I2140" s="139">
        <f>IFERROR(IF(AND(ISNUMBER(F2140),ISNUMBER(H2140)),F2140-H2140,""),"")</f>
        <v/>
      </c>
      <c r="J2140" s="114" t="n"/>
      <c r="K2140" s="139">
        <f>IFERROR(IF(H2140&gt;0,H2140*$C$7,""),"")</f>
        <v/>
      </c>
      <c r="L2140" s="139">
        <f>IFERROR(IF(ISNUMBER(F2140),F2140-IF(ISNUMBER(K2140),K2140,0),""),"")</f>
        <v/>
      </c>
    </row>
    <row r="2141" ht="24" customHeight="1" s="63">
      <c r="E2141" s="139" t="n"/>
      <c r="F2141" s="139" t="n"/>
      <c r="G2141" s="140">
        <f>IFERROR(IF(E2141&gt;0,(F2141/E2141)*1000,""),"")</f>
        <v/>
      </c>
      <c r="H2141" s="139">
        <f>IFERROR(IF(E2141&gt;0,E2141*IF(ISNUMBER(J2141),J2141,IF(C2141="Futures",$C$6,$C$5)),""),"")</f>
        <v/>
      </c>
      <c r="I2141" s="139">
        <f>IFERROR(IF(AND(ISNUMBER(F2141),ISNUMBER(H2141)),F2141-H2141,""),"")</f>
        <v/>
      </c>
      <c r="J2141" s="114" t="n"/>
      <c r="K2141" s="139">
        <f>IFERROR(IF(H2141&gt;0,H2141*$C$7,""),"")</f>
        <v/>
      </c>
      <c r="L2141" s="139">
        <f>IFERROR(IF(ISNUMBER(F2141),F2141-IF(ISNUMBER(K2141),K2141,0),""),"")</f>
        <v/>
      </c>
    </row>
    <row r="2142" ht="24" customHeight="1" s="63">
      <c r="E2142" s="139" t="n"/>
      <c r="F2142" s="139" t="n"/>
      <c r="G2142" s="140">
        <f>IFERROR(IF(E2142&gt;0,(F2142/E2142)*1000,""),"")</f>
        <v/>
      </c>
      <c r="H2142" s="139">
        <f>IFERROR(IF(E2142&gt;0,E2142*IF(ISNUMBER(J2142),J2142,IF(C2142="Futures",$C$6,$C$5)),""),"")</f>
        <v/>
      </c>
      <c r="I2142" s="139">
        <f>IFERROR(IF(AND(ISNUMBER(F2142),ISNUMBER(H2142)),F2142-H2142,""),"")</f>
        <v/>
      </c>
      <c r="J2142" s="114" t="n"/>
      <c r="K2142" s="139">
        <f>IFERROR(IF(H2142&gt;0,H2142*$C$7,""),"")</f>
        <v/>
      </c>
      <c r="L2142" s="139">
        <f>IFERROR(IF(ISNUMBER(F2142),F2142-IF(ISNUMBER(K2142),K2142,0),""),"")</f>
        <v/>
      </c>
    </row>
    <row r="2143" ht="24" customHeight="1" s="63">
      <c r="E2143" s="139" t="n"/>
      <c r="F2143" s="139" t="n"/>
      <c r="G2143" s="140">
        <f>IFERROR(IF(E2143&gt;0,(F2143/E2143)*1000,""),"")</f>
        <v/>
      </c>
      <c r="H2143" s="139">
        <f>IFERROR(IF(E2143&gt;0,E2143*IF(ISNUMBER(J2143),J2143,IF(C2143="Futures",$C$6,$C$5)),""),"")</f>
        <v/>
      </c>
      <c r="I2143" s="139">
        <f>IFERROR(IF(AND(ISNUMBER(F2143),ISNUMBER(H2143)),F2143-H2143,""),"")</f>
        <v/>
      </c>
      <c r="J2143" s="114" t="n"/>
      <c r="K2143" s="139">
        <f>IFERROR(IF(H2143&gt;0,H2143*$C$7,""),"")</f>
        <v/>
      </c>
      <c r="L2143" s="139">
        <f>IFERROR(IF(ISNUMBER(F2143),F2143-IF(ISNUMBER(K2143),K2143,0),""),"")</f>
        <v/>
      </c>
    </row>
    <row r="2144" ht="24" customHeight="1" s="63">
      <c r="E2144" s="139" t="n"/>
      <c r="F2144" s="139" t="n"/>
      <c r="G2144" s="140">
        <f>IFERROR(IF(E2144&gt;0,(F2144/E2144)*1000,""),"")</f>
        <v/>
      </c>
      <c r="H2144" s="139">
        <f>IFERROR(IF(E2144&gt;0,E2144*IF(ISNUMBER(J2144),J2144,IF(C2144="Futures",$C$6,$C$5)),""),"")</f>
        <v/>
      </c>
      <c r="I2144" s="139">
        <f>IFERROR(IF(AND(ISNUMBER(F2144),ISNUMBER(H2144)),F2144-H2144,""),"")</f>
        <v/>
      </c>
      <c r="J2144" s="114" t="n"/>
      <c r="K2144" s="139">
        <f>IFERROR(IF(H2144&gt;0,H2144*$C$7,""),"")</f>
        <v/>
      </c>
      <c r="L2144" s="139">
        <f>IFERROR(IF(ISNUMBER(F2144),F2144-IF(ISNUMBER(K2144),K2144,0),""),"")</f>
        <v/>
      </c>
    </row>
    <row r="2145" ht="24" customHeight="1" s="63">
      <c r="E2145" s="139" t="n"/>
      <c r="F2145" s="139" t="n"/>
      <c r="G2145" s="140">
        <f>IFERROR(IF(E2145&gt;0,(F2145/E2145)*1000,""),"")</f>
        <v/>
      </c>
      <c r="H2145" s="139">
        <f>IFERROR(IF(E2145&gt;0,E2145*IF(ISNUMBER(J2145),J2145,IF(C2145="Futures",$C$6,$C$5)),""),"")</f>
        <v/>
      </c>
      <c r="I2145" s="139">
        <f>IFERROR(IF(AND(ISNUMBER(F2145),ISNUMBER(H2145)),F2145-H2145,""),"")</f>
        <v/>
      </c>
      <c r="J2145" s="114" t="n"/>
      <c r="K2145" s="139">
        <f>IFERROR(IF(H2145&gt;0,H2145*$C$7,""),"")</f>
        <v/>
      </c>
      <c r="L2145" s="139">
        <f>IFERROR(IF(ISNUMBER(F2145),F2145-IF(ISNUMBER(K2145),K2145,0),""),"")</f>
        <v/>
      </c>
    </row>
    <row r="2146" ht="24" customHeight="1" s="63">
      <c r="E2146" s="139" t="n"/>
      <c r="F2146" s="139" t="n"/>
      <c r="G2146" s="140">
        <f>IFERROR(IF(E2146&gt;0,(F2146/E2146)*1000,""),"")</f>
        <v/>
      </c>
      <c r="H2146" s="139">
        <f>IFERROR(IF(E2146&gt;0,E2146*IF(ISNUMBER(J2146),J2146,IF(C2146="Futures",$C$6,$C$5)),""),"")</f>
        <v/>
      </c>
      <c r="I2146" s="139">
        <f>IFERROR(IF(AND(ISNUMBER(F2146),ISNUMBER(H2146)),F2146-H2146,""),"")</f>
        <v/>
      </c>
      <c r="J2146" s="114" t="n"/>
      <c r="K2146" s="139">
        <f>IFERROR(IF(H2146&gt;0,H2146*$C$7,""),"")</f>
        <v/>
      </c>
      <c r="L2146" s="139">
        <f>IFERROR(IF(ISNUMBER(F2146),F2146-IF(ISNUMBER(K2146),K2146,0),""),"")</f>
        <v/>
      </c>
    </row>
    <row r="2147" ht="24" customHeight="1" s="63">
      <c r="E2147" s="139" t="n"/>
      <c r="F2147" s="139" t="n"/>
      <c r="G2147" s="140">
        <f>IFERROR(IF(E2147&gt;0,(F2147/E2147)*1000,""),"")</f>
        <v/>
      </c>
      <c r="H2147" s="139">
        <f>IFERROR(IF(E2147&gt;0,E2147*IF(ISNUMBER(J2147),J2147,IF(C2147="Futures",$C$6,$C$5)),""),"")</f>
        <v/>
      </c>
      <c r="I2147" s="139">
        <f>IFERROR(IF(AND(ISNUMBER(F2147),ISNUMBER(H2147)),F2147-H2147,""),"")</f>
        <v/>
      </c>
      <c r="J2147" s="114" t="n"/>
      <c r="K2147" s="139">
        <f>IFERROR(IF(H2147&gt;0,H2147*$C$7,""),"")</f>
        <v/>
      </c>
      <c r="L2147" s="139">
        <f>IFERROR(IF(ISNUMBER(F2147),F2147-IF(ISNUMBER(K2147),K2147,0),""),"")</f>
        <v/>
      </c>
    </row>
    <row r="2148" ht="24" customHeight="1" s="63">
      <c r="E2148" s="139" t="n"/>
      <c r="F2148" s="139" t="n"/>
      <c r="G2148" s="140">
        <f>IFERROR(IF(E2148&gt;0,(F2148/E2148)*1000,""),"")</f>
        <v/>
      </c>
      <c r="H2148" s="139">
        <f>IFERROR(IF(E2148&gt;0,E2148*IF(ISNUMBER(J2148),J2148,IF(C2148="Futures",$C$6,$C$5)),""),"")</f>
        <v/>
      </c>
      <c r="I2148" s="139">
        <f>IFERROR(IF(AND(ISNUMBER(F2148),ISNUMBER(H2148)),F2148-H2148,""),"")</f>
        <v/>
      </c>
      <c r="J2148" s="114" t="n"/>
      <c r="K2148" s="139">
        <f>IFERROR(IF(H2148&gt;0,H2148*$C$7,""),"")</f>
        <v/>
      </c>
      <c r="L2148" s="139">
        <f>IFERROR(IF(ISNUMBER(F2148),F2148-IF(ISNUMBER(K2148),K2148,0),""),"")</f>
        <v/>
      </c>
    </row>
    <row r="2149" ht="24" customHeight="1" s="63">
      <c r="E2149" s="139" t="n"/>
      <c r="F2149" s="139" t="n"/>
      <c r="G2149" s="140">
        <f>IFERROR(IF(E2149&gt;0,(F2149/E2149)*1000,""),"")</f>
        <v/>
      </c>
      <c r="H2149" s="139">
        <f>IFERROR(IF(E2149&gt;0,E2149*IF(ISNUMBER(J2149),J2149,IF(C2149="Futures",$C$6,$C$5)),""),"")</f>
        <v/>
      </c>
      <c r="I2149" s="139">
        <f>IFERROR(IF(AND(ISNUMBER(F2149),ISNUMBER(H2149)),F2149-H2149,""),"")</f>
        <v/>
      </c>
      <c r="J2149" s="114" t="n"/>
      <c r="K2149" s="139">
        <f>IFERROR(IF(H2149&gt;0,H2149*$C$7,""),"")</f>
        <v/>
      </c>
      <c r="L2149" s="139">
        <f>IFERROR(IF(ISNUMBER(F2149),F2149-IF(ISNUMBER(K2149),K2149,0),""),"")</f>
        <v/>
      </c>
    </row>
    <row r="2150" ht="24" customHeight="1" s="63">
      <c r="E2150" s="139" t="n"/>
      <c r="F2150" s="139" t="n"/>
      <c r="G2150" s="140">
        <f>IFERROR(IF(E2150&gt;0,(F2150/E2150)*1000,""),"")</f>
        <v/>
      </c>
      <c r="H2150" s="139">
        <f>IFERROR(IF(E2150&gt;0,E2150*IF(ISNUMBER(J2150),J2150,IF(C2150="Futures",$C$6,$C$5)),""),"")</f>
        <v/>
      </c>
      <c r="I2150" s="139">
        <f>IFERROR(IF(AND(ISNUMBER(F2150),ISNUMBER(H2150)),F2150-H2150,""),"")</f>
        <v/>
      </c>
      <c r="J2150" s="114" t="n"/>
      <c r="K2150" s="139">
        <f>IFERROR(IF(H2150&gt;0,H2150*$C$7,""),"")</f>
        <v/>
      </c>
      <c r="L2150" s="139">
        <f>IFERROR(IF(ISNUMBER(F2150),F2150-IF(ISNUMBER(K2150),K2150,0),""),"")</f>
        <v/>
      </c>
    </row>
    <row r="2151" ht="24" customHeight="1" s="63">
      <c r="E2151" s="139" t="n"/>
      <c r="F2151" s="139" t="n"/>
      <c r="G2151" s="140">
        <f>IFERROR(IF(E2151&gt;0,(F2151/E2151)*1000,""),"")</f>
        <v/>
      </c>
      <c r="H2151" s="139">
        <f>IFERROR(IF(E2151&gt;0,E2151*IF(ISNUMBER(J2151),J2151,IF(C2151="Futures",$C$6,$C$5)),""),"")</f>
        <v/>
      </c>
      <c r="I2151" s="139">
        <f>IFERROR(IF(AND(ISNUMBER(F2151),ISNUMBER(H2151)),F2151-H2151,""),"")</f>
        <v/>
      </c>
      <c r="J2151" s="114" t="n"/>
      <c r="K2151" s="139">
        <f>IFERROR(IF(H2151&gt;0,H2151*$C$7,""),"")</f>
        <v/>
      </c>
      <c r="L2151" s="139">
        <f>IFERROR(IF(ISNUMBER(F2151),F2151-IF(ISNUMBER(K2151),K2151,0),""),"")</f>
        <v/>
      </c>
    </row>
    <row r="2152" ht="24" customHeight="1" s="63">
      <c r="E2152" s="139" t="n"/>
      <c r="F2152" s="139" t="n"/>
      <c r="G2152" s="140">
        <f>IFERROR(IF(E2152&gt;0,(F2152/E2152)*1000,""),"")</f>
        <v/>
      </c>
      <c r="H2152" s="139">
        <f>IFERROR(IF(E2152&gt;0,E2152*IF(ISNUMBER(J2152),J2152,IF(C2152="Futures",$C$6,$C$5)),""),"")</f>
        <v/>
      </c>
      <c r="I2152" s="139">
        <f>IFERROR(IF(AND(ISNUMBER(F2152),ISNUMBER(H2152)),F2152-H2152,""),"")</f>
        <v/>
      </c>
      <c r="J2152" s="114" t="n"/>
      <c r="K2152" s="139">
        <f>IFERROR(IF(H2152&gt;0,H2152*$C$7,""),"")</f>
        <v/>
      </c>
      <c r="L2152" s="139">
        <f>IFERROR(IF(ISNUMBER(F2152),F2152-IF(ISNUMBER(K2152),K2152,0),""),"")</f>
        <v/>
      </c>
    </row>
    <row r="2153" ht="24" customHeight="1" s="63">
      <c r="E2153" s="139" t="n"/>
      <c r="F2153" s="139" t="n"/>
      <c r="G2153" s="140">
        <f>IFERROR(IF(E2153&gt;0,(F2153/E2153)*1000,""),"")</f>
        <v/>
      </c>
      <c r="H2153" s="139">
        <f>IFERROR(IF(E2153&gt;0,E2153*IF(ISNUMBER(J2153),J2153,IF(C2153="Futures",$C$6,$C$5)),""),"")</f>
        <v/>
      </c>
      <c r="I2153" s="139">
        <f>IFERROR(IF(AND(ISNUMBER(F2153),ISNUMBER(H2153)),F2153-H2153,""),"")</f>
        <v/>
      </c>
      <c r="J2153" s="114" t="n"/>
      <c r="K2153" s="139">
        <f>IFERROR(IF(H2153&gt;0,H2153*$C$7,""),"")</f>
        <v/>
      </c>
      <c r="L2153" s="139">
        <f>IFERROR(IF(ISNUMBER(F2153),F2153-IF(ISNUMBER(K2153),K2153,0),""),"")</f>
        <v/>
      </c>
    </row>
    <row r="2154" ht="24" customHeight="1" s="63">
      <c r="E2154" s="139" t="n"/>
      <c r="F2154" s="139" t="n"/>
      <c r="G2154" s="140">
        <f>IFERROR(IF(E2154&gt;0,(F2154/E2154)*1000,""),"")</f>
        <v/>
      </c>
      <c r="H2154" s="139">
        <f>IFERROR(IF(E2154&gt;0,E2154*IF(ISNUMBER(J2154),J2154,IF(C2154="Futures",$C$6,$C$5)),""),"")</f>
        <v/>
      </c>
      <c r="I2154" s="139">
        <f>IFERROR(IF(AND(ISNUMBER(F2154),ISNUMBER(H2154)),F2154-H2154,""),"")</f>
        <v/>
      </c>
      <c r="J2154" s="114" t="n"/>
      <c r="K2154" s="139">
        <f>IFERROR(IF(H2154&gt;0,H2154*$C$7,""),"")</f>
        <v/>
      </c>
      <c r="L2154" s="139">
        <f>IFERROR(IF(ISNUMBER(F2154),F2154-IF(ISNUMBER(K2154),K2154,0),""),"")</f>
        <v/>
      </c>
    </row>
    <row r="2155" ht="24" customHeight="1" s="63">
      <c r="E2155" s="139" t="n"/>
      <c r="F2155" s="139" t="n"/>
      <c r="G2155" s="140">
        <f>IFERROR(IF(E2155&gt;0,(F2155/E2155)*1000,""),"")</f>
        <v/>
      </c>
      <c r="H2155" s="139">
        <f>IFERROR(IF(E2155&gt;0,E2155*IF(ISNUMBER(J2155),J2155,IF(C2155="Futures",$C$6,$C$5)),""),"")</f>
        <v/>
      </c>
      <c r="I2155" s="139">
        <f>IFERROR(IF(AND(ISNUMBER(F2155),ISNUMBER(H2155)),F2155-H2155,""),"")</f>
        <v/>
      </c>
      <c r="J2155" s="114" t="n"/>
      <c r="K2155" s="139">
        <f>IFERROR(IF(H2155&gt;0,H2155*$C$7,""),"")</f>
        <v/>
      </c>
      <c r="L2155" s="139">
        <f>IFERROR(IF(ISNUMBER(F2155),F2155-IF(ISNUMBER(K2155),K2155,0),""),"")</f>
        <v/>
      </c>
    </row>
    <row r="2156" ht="24" customHeight="1" s="63">
      <c r="E2156" s="139" t="n"/>
      <c r="F2156" s="139" t="n"/>
      <c r="G2156" s="140">
        <f>IFERROR(IF(E2156&gt;0,(F2156/E2156)*1000,""),"")</f>
        <v/>
      </c>
      <c r="H2156" s="139">
        <f>IFERROR(IF(E2156&gt;0,E2156*IF(ISNUMBER(J2156),J2156,IF(C2156="Futures",$C$6,$C$5)),""),"")</f>
        <v/>
      </c>
      <c r="I2156" s="139">
        <f>IFERROR(IF(AND(ISNUMBER(F2156),ISNUMBER(H2156)),F2156-H2156,""),"")</f>
        <v/>
      </c>
      <c r="J2156" s="114" t="n"/>
      <c r="K2156" s="139">
        <f>IFERROR(IF(H2156&gt;0,H2156*$C$7,""),"")</f>
        <v/>
      </c>
      <c r="L2156" s="139">
        <f>IFERROR(IF(ISNUMBER(F2156),F2156-IF(ISNUMBER(K2156),K2156,0),""),"")</f>
        <v/>
      </c>
    </row>
    <row r="2157" ht="24" customHeight="1" s="63">
      <c r="E2157" s="139" t="n"/>
      <c r="F2157" s="139" t="n"/>
      <c r="G2157" s="140">
        <f>IFERROR(IF(E2157&gt;0,(F2157/E2157)*1000,""),"")</f>
        <v/>
      </c>
      <c r="H2157" s="139">
        <f>IFERROR(IF(E2157&gt;0,E2157*IF(ISNUMBER(J2157),J2157,IF(C2157="Futures",$C$6,$C$5)),""),"")</f>
        <v/>
      </c>
      <c r="I2157" s="139">
        <f>IFERROR(IF(AND(ISNUMBER(F2157),ISNUMBER(H2157)),F2157-H2157,""),"")</f>
        <v/>
      </c>
      <c r="J2157" s="114" t="n"/>
      <c r="K2157" s="139">
        <f>IFERROR(IF(H2157&gt;0,H2157*$C$7,""),"")</f>
        <v/>
      </c>
      <c r="L2157" s="139">
        <f>IFERROR(IF(ISNUMBER(F2157),F2157-IF(ISNUMBER(K2157),K2157,0),""),"")</f>
        <v/>
      </c>
    </row>
    <row r="2158" ht="24" customHeight="1" s="63">
      <c r="E2158" s="139" t="n"/>
      <c r="F2158" s="139" t="n"/>
      <c r="G2158" s="140">
        <f>IFERROR(IF(E2158&gt;0,(F2158/E2158)*1000,""),"")</f>
        <v/>
      </c>
      <c r="H2158" s="139">
        <f>IFERROR(IF(E2158&gt;0,E2158*IF(ISNUMBER(J2158),J2158,IF(C2158="Futures",$C$6,$C$5)),""),"")</f>
        <v/>
      </c>
      <c r="I2158" s="139">
        <f>IFERROR(IF(AND(ISNUMBER(F2158),ISNUMBER(H2158)),F2158-H2158,""),"")</f>
        <v/>
      </c>
      <c r="J2158" s="114" t="n"/>
      <c r="K2158" s="139">
        <f>IFERROR(IF(H2158&gt;0,H2158*$C$7,""),"")</f>
        <v/>
      </c>
      <c r="L2158" s="139">
        <f>IFERROR(IF(ISNUMBER(F2158),F2158-IF(ISNUMBER(K2158),K2158,0),""),"")</f>
        <v/>
      </c>
    </row>
    <row r="2159" ht="24" customHeight="1" s="63">
      <c r="E2159" s="139" t="n"/>
      <c r="F2159" s="139" t="n"/>
      <c r="G2159" s="140">
        <f>IFERROR(IF(E2159&gt;0,(F2159/E2159)*1000,""),"")</f>
        <v/>
      </c>
      <c r="H2159" s="139">
        <f>IFERROR(IF(E2159&gt;0,E2159*IF(ISNUMBER(J2159),J2159,IF(C2159="Futures",$C$6,$C$5)),""),"")</f>
        <v/>
      </c>
      <c r="I2159" s="139">
        <f>IFERROR(IF(AND(ISNUMBER(F2159),ISNUMBER(H2159)),F2159-H2159,""),"")</f>
        <v/>
      </c>
      <c r="J2159" s="114" t="n"/>
      <c r="K2159" s="139">
        <f>IFERROR(IF(H2159&gt;0,H2159*$C$7,""),"")</f>
        <v/>
      </c>
      <c r="L2159" s="139">
        <f>IFERROR(IF(ISNUMBER(F2159),F2159-IF(ISNUMBER(K2159),K2159,0),""),"")</f>
        <v/>
      </c>
    </row>
    <row r="2160" ht="24" customHeight="1" s="63">
      <c r="E2160" s="139" t="n"/>
      <c r="F2160" s="139" t="n"/>
      <c r="G2160" s="140">
        <f>IFERROR(IF(E2160&gt;0,(F2160/E2160)*1000,""),"")</f>
        <v/>
      </c>
      <c r="H2160" s="139">
        <f>IFERROR(IF(E2160&gt;0,E2160*IF(ISNUMBER(J2160),J2160,IF(C2160="Futures",$C$6,$C$5)),""),"")</f>
        <v/>
      </c>
      <c r="I2160" s="139">
        <f>IFERROR(IF(AND(ISNUMBER(F2160),ISNUMBER(H2160)),F2160-H2160,""),"")</f>
        <v/>
      </c>
      <c r="J2160" s="114" t="n"/>
      <c r="K2160" s="139">
        <f>IFERROR(IF(H2160&gt;0,H2160*$C$7,""),"")</f>
        <v/>
      </c>
      <c r="L2160" s="139">
        <f>IFERROR(IF(ISNUMBER(F2160),F2160-IF(ISNUMBER(K2160),K2160,0),""),"")</f>
        <v/>
      </c>
    </row>
    <row r="2161" ht="24" customHeight="1" s="63">
      <c r="E2161" s="139" t="n"/>
      <c r="F2161" s="139" t="n"/>
      <c r="G2161" s="140">
        <f>IFERROR(IF(E2161&gt;0,(F2161/E2161)*1000,""),"")</f>
        <v/>
      </c>
      <c r="H2161" s="139">
        <f>IFERROR(IF(E2161&gt;0,E2161*IF(ISNUMBER(J2161),J2161,IF(C2161="Futures",$C$6,$C$5)),""),"")</f>
        <v/>
      </c>
      <c r="I2161" s="139">
        <f>IFERROR(IF(AND(ISNUMBER(F2161),ISNUMBER(H2161)),F2161-H2161,""),"")</f>
        <v/>
      </c>
      <c r="J2161" s="114" t="n"/>
      <c r="K2161" s="139">
        <f>IFERROR(IF(H2161&gt;0,H2161*$C$7,""),"")</f>
        <v/>
      </c>
      <c r="L2161" s="139">
        <f>IFERROR(IF(ISNUMBER(F2161),F2161-IF(ISNUMBER(K2161),K2161,0),""),"")</f>
        <v/>
      </c>
    </row>
    <row r="2162" ht="24" customHeight="1" s="63">
      <c r="E2162" s="139" t="n"/>
      <c r="F2162" s="139" t="n"/>
      <c r="G2162" s="140">
        <f>IFERROR(IF(E2162&gt;0,(F2162/E2162)*1000,""),"")</f>
        <v/>
      </c>
      <c r="H2162" s="139">
        <f>IFERROR(IF(E2162&gt;0,E2162*IF(ISNUMBER(J2162),J2162,IF(C2162="Futures",$C$6,$C$5)),""),"")</f>
        <v/>
      </c>
      <c r="I2162" s="139">
        <f>IFERROR(IF(AND(ISNUMBER(F2162),ISNUMBER(H2162)),F2162-H2162,""),"")</f>
        <v/>
      </c>
      <c r="J2162" s="114" t="n"/>
      <c r="K2162" s="139">
        <f>IFERROR(IF(H2162&gt;0,H2162*$C$7,""),"")</f>
        <v/>
      </c>
      <c r="L2162" s="139">
        <f>IFERROR(IF(ISNUMBER(F2162),F2162-IF(ISNUMBER(K2162),K2162,0),""),"")</f>
        <v/>
      </c>
    </row>
    <row r="2163" ht="24" customHeight="1" s="63">
      <c r="E2163" s="139" t="n"/>
      <c r="F2163" s="139" t="n"/>
      <c r="G2163" s="140">
        <f>IFERROR(IF(E2163&gt;0,(F2163/E2163)*1000,""),"")</f>
        <v/>
      </c>
      <c r="H2163" s="139">
        <f>IFERROR(IF(E2163&gt;0,E2163*IF(ISNUMBER(J2163),J2163,IF(C2163="Futures",$C$6,$C$5)),""),"")</f>
        <v/>
      </c>
      <c r="I2163" s="139">
        <f>IFERROR(IF(AND(ISNUMBER(F2163),ISNUMBER(H2163)),F2163-H2163,""),"")</f>
        <v/>
      </c>
      <c r="J2163" s="114" t="n"/>
      <c r="K2163" s="139">
        <f>IFERROR(IF(H2163&gt;0,H2163*$C$7,""),"")</f>
        <v/>
      </c>
      <c r="L2163" s="139">
        <f>IFERROR(IF(ISNUMBER(F2163),F2163-IF(ISNUMBER(K2163),K2163,0),""),"")</f>
        <v/>
      </c>
    </row>
    <row r="2164" ht="24" customHeight="1" s="63">
      <c r="E2164" s="139" t="n"/>
      <c r="F2164" s="139" t="n"/>
      <c r="G2164" s="140">
        <f>IFERROR(IF(E2164&gt;0,(F2164/E2164)*1000,""),"")</f>
        <v/>
      </c>
      <c r="H2164" s="139">
        <f>IFERROR(IF(E2164&gt;0,E2164*IF(ISNUMBER(J2164),J2164,IF(C2164="Futures",$C$6,$C$5)),""),"")</f>
        <v/>
      </c>
      <c r="I2164" s="139">
        <f>IFERROR(IF(AND(ISNUMBER(F2164),ISNUMBER(H2164)),F2164-H2164,""),"")</f>
        <v/>
      </c>
      <c r="J2164" s="114" t="n"/>
      <c r="K2164" s="139">
        <f>IFERROR(IF(H2164&gt;0,H2164*$C$7,""),"")</f>
        <v/>
      </c>
      <c r="L2164" s="139">
        <f>IFERROR(IF(ISNUMBER(F2164),F2164-IF(ISNUMBER(K2164),K2164,0),""),"")</f>
        <v/>
      </c>
    </row>
    <row r="2165" ht="24" customHeight="1" s="63">
      <c r="E2165" s="139" t="n"/>
      <c r="F2165" s="139" t="n"/>
      <c r="G2165" s="140">
        <f>IFERROR(IF(E2165&gt;0,(F2165/E2165)*1000,""),"")</f>
        <v/>
      </c>
      <c r="H2165" s="139">
        <f>IFERROR(IF(E2165&gt;0,E2165*IF(ISNUMBER(J2165),J2165,IF(C2165="Futures",$C$6,$C$5)),""),"")</f>
        <v/>
      </c>
      <c r="I2165" s="139">
        <f>IFERROR(IF(AND(ISNUMBER(F2165),ISNUMBER(H2165)),F2165-H2165,""),"")</f>
        <v/>
      </c>
      <c r="J2165" s="114" t="n"/>
      <c r="K2165" s="139">
        <f>IFERROR(IF(H2165&gt;0,H2165*$C$7,""),"")</f>
        <v/>
      </c>
      <c r="L2165" s="139">
        <f>IFERROR(IF(ISNUMBER(F2165),F2165-IF(ISNUMBER(K2165),K2165,0),""),"")</f>
        <v/>
      </c>
    </row>
    <row r="2166" ht="24" customHeight="1" s="63">
      <c r="E2166" s="139" t="n"/>
      <c r="F2166" s="139" t="n"/>
      <c r="G2166" s="140">
        <f>IFERROR(IF(E2166&gt;0,(F2166/E2166)*1000,""),"")</f>
        <v/>
      </c>
      <c r="H2166" s="139">
        <f>IFERROR(IF(E2166&gt;0,E2166*IF(ISNUMBER(J2166),J2166,IF(C2166="Futures",$C$6,$C$5)),""),"")</f>
        <v/>
      </c>
      <c r="I2166" s="139">
        <f>IFERROR(IF(AND(ISNUMBER(F2166),ISNUMBER(H2166)),F2166-H2166,""),"")</f>
        <v/>
      </c>
      <c r="J2166" s="114" t="n"/>
      <c r="K2166" s="139">
        <f>IFERROR(IF(H2166&gt;0,H2166*$C$7,""),"")</f>
        <v/>
      </c>
      <c r="L2166" s="139">
        <f>IFERROR(IF(ISNUMBER(F2166),F2166-IF(ISNUMBER(K2166),K2166,0),""),"")</f>
        <v/>
      </c>
    </row>
    <row r="2167" ht="24" customHeight="1" s="63">
      <c r="E2167" s="139" t="n"/>
      <c r="F2167" s="139" t="n"/>
      <c r="G2167" s="140">
        <f>IFERROR(IF(E2167&gt;0,(F2167/E2167)*1000,""),"")</f>
        <v/>
      </c>
      <c r="H2167" s="139">
        <f>IFERROR(IF(E2167&gt;0,E2167*IF(ISNUMBER(J2167),J2167,IF(C2167="Futures",$C$6,$C$5)),""),"")</f>
        <v/>
      </c>
      <c r="I2167" s="139">
        <f>IFERROR(IF(AND(ISNUMBER(F2167),ISNUMBER(H2167)),F2167-H2167,""),"")</f>
        <v/>
      </c>
      <c r="J2167" s="114" t="n"/>
      <c r="K2167" s="139">
        <f>IFERROR(IF(H2167&gt;0,H2167*$C$7,""),"")</f>
        <v/>
      </c>
      <c r="L2167" s="139">
        <f>IFERROR(IF(ISNUMBER(F2167),F2167-IF(ISNUMBER(K2167),K2167,0),""),"")</f>
        <v/>
      </c>
    </row>
    <row r="2168" ht="24" customHeight="1" s="63">
      <c r="E2168" s="139" t="n"/>
      <c r="F2168" s="139" t="n"/>
      <c r="G2168" s="140">
        <f>IFERROR(IF(E2168&gt;0,(F2168/E2168)*1000,""),"")</f>
        <v/>
      </c>
      <c r="H2168" s="139">
        <f>IFERROR(IF(E2168&gt;0,E2168*IF(ISNUMBER(J2168),J2168,IF(C2168="Futures",$C$6,$C$5)),""),"")</f>
        <v/>
      </c>
      <c r="I2168" s="139">
        <f>IFERROR(IF(AND(ISNUMBER(F2168),ISNUMBER(H2168)),F2168-H2168,""),"")</f>
        <v/>
      </c>
      <c r="J2168" s="114" t="n"/>
      <c r="K2168" s="139">
        <f>IFERROR(IF(H2168&gt;0,H2168*$C$7,""),"")</f>
        <v/>
      </c>
      <c r="L2168" s="139">
        <f>IFERROR(IF(ISNUMBER(F2168),F2168-IF(ISNUMBER(K2168),K2168,0),""),"")</f>
        <v/>
      </c>
    </row>
    <row r="2169" ht="24" customHeight="1" s="63">
      <c r="E2169" s="139" t="n"/>
      <c r="F2169" s="139" t="n"/>
      <c r="G2169" s="140">
        <f>IFERROR(IF(E2169&gt;0,(F2169/E2169)*1000,""),"")</f>
        <v/>
      </c>
      <c r="H2169" s="139">
        <f>IFERROR(IF(E2169&gt;0,E2169*IF(ISNUMBER(J2169),J2169,IF(C2169="Futures",$C$6,$C$5)),""),"")</f>
        <v/>
      </c>
      <c r="I2169" s="139">
        <f>IFERROR(IF(AND(ISNUMBER(F2169),ISNUMBER(H2169)),F2169-H2169,""),"")</f>
        <v/>
      </c>
      <c r="J2169" s="114" t="n"/>
      <c r="K2169" s="139">
        <f>IFERROR(IF(H2169&gt;0,H2169*$C$7,""),"")</f>
        <v/>
      </c>
      <c r="L2169" s="139">
        <f>IFERROR(IF(ISNUMBER(F2169),F2169-IF(ISNUMBER(K2169),K2169,0),""),"")</f>
        <v/>
      </c>
    </row>
    <row r="2170" ht="24" customHeight="1" s="63">
      <c r="E2170" s="139" t="n"/>
      <c r="F2170" s="139" t="n"/>
      <c r="G2170" s="140">
        <f>IFERROR(IF(E2170&gt;0,(F2170/E2170)*1000,""),"")</f>
        <v/>
      </c>
      <c r="H2170" s="139">
        <f>IFERROR(IF(E2170&gt;0,E2170*IF(ISNUMBER(J2170),J2170,IF(C2170="Futures",$C$6,$C$5)),""),"")</f>
        <v/>
      </c>
      <c r="I2170" s="139">
        <f>IFERROR(IF(AND(ISNUMBER(F2170),ISNUMBER(H2170)),F2170-H2170,""),"")</f>
        <v/>
      </c>
      <c r="J2170" s="114" t="n"/>
      <c r="K2170" s="139">
        <f>IFERROR(IF(H2170&gt;0,H2170*$C$7,""),"")</f>
        <v/>
      </c>
      <c r="L2170" s="139">
        <f>IFERROR(IF(ISNUMBER(F2170),F2170-IF(ISNUMBER(K2170),K2170,0),""),"")</f>
        <v/>
      </c>
    </row>
    <row r="2171" ht="24" customHeight="1" s="63">
      <c r="E2171" s="139" t="n"/>
      <c r="F2171" s="139" t="n"/>
      <c r="G2171" s="140">
        <f>IFERROR(IF(E2171&gt;0,(F2171/E2171)*1000,""),"")</f>
        <v/>
      </c>
      <c r="H2171" s="139">
        <f>IFERROR(IF(E2171&gt;0,E2171*IF(ISNUMBER(J2171),J2171,IF(C2171="Futures",$C$6,$C$5)),""),"")</f>
        <v/>
      </c>
      <c r="I2171" s="139">
        <f>IFERROR(IF(AND(ISNUMBER(F2171),ISNUMBER(H2171)),F2171-H2171,""),"")</f>
        <v/>
      </c>
      <c r="J2171" s="114" t="n"/>
      <c r="K2171" s="139">
        <f>IFERROR(IF(H2171&gt;0,H2171*$C$7,""),"")</f>
        <v/>
      </c>
      <c r="L2171" s="139">
        <f>IFERROR(IF(ISNUMBER(F2171),F2171-IF(ISNUMBER(K2171),K2171,0),""),"")</f>
        <v/>
      </c>
    </row>
    <row r="2172" ht="24" customHeight="1" s="63">
      <c r="E2172" s="139" t="n"/>
      <c r="F2172" s="139" t="n"/>
      <c r="G2172" s="140">
        <f>IFERROR(IF(E2172&gt;0,(F2172/E2172)*1000,""),"")</f>
        <v/>
      </c>
      <c r="H2172" s="139">
        <f>IFERROR(IF(E2172&gt;0,E2172*IF(ISNUMBER(J2172),J2172,IF(C2172="Futures",$C$6,$C$5)),""),"")</f>
        <v/>
      </c>
      <c r="I2172" s="139">
        <f>IFERROR(IF(AND(ISNUMBER(F2172),ISNUMBER(H2172)),F2172-H2172,""),"")</f>
        <v/>
      </c>
      <c r="J2172" s="114" t="n"/>
      <c r="K2172" s="139">
        <f>IFERROR(IF(H2172&gt;0,H2172*$C$7,""),"")</f>
        <v/>
      </c>
      <c r="L2172" s="139">
        <f>IFERROR(IF(ISNUMBER(F2172),F2172-IF(ISNUMBER(K2172),K2172,0),""),"")</f>
        <v/>
      </c>
    </row>
    <row r="2173" ht="24" customHeight="1" s="63">
      <c r="E2173" s="139" t="n"/>
      <c r="F2173" s="139" t="n"/>
      <c r="G2173" s="140">
        <f>IFERROR(IF(E2173&gt;0,(F2173/E2173)*1000,""),"")</f>
        <v/>
      </c>
      <c r="H2173" s="139">
        <f>IFERROR(IF(E2173&gt;0,E2173*IF(ISNUMBER(J2173),J2173,IF(C2173="Futures",$C$6,$C$5)),""),"")</f>
        <v/>
      </c>
      <c r="I2173" s="139">
        <f>IFERROR(IF(AND(ISNUMBER(F2173),ISNUMBER(H2173)),F2173-H2173,""),"")</f>
        <v/>
      </c>
      <c r="J2173" s="114" t="n"/>
      <c r="K2173" s="139">
        <f>IFERROR(IF(H2173&gt;0,H2173*$C$7,""),"")</f>
        <v/>
      </c>
      <c r="L2173" s="139">
        <f>IFERROR(IF(ISNUMBER(F2173),F2173-IF(ISNUMBER(K2173),K2173,0),""),"")</f>
        <v/>
      </c>
    </row>
    <row r="2174" ht="24" customHeight="1" s="63">
      <c r="E2174" s="139" t="n"/>
      <c r="F2174" s="139" t="n"/>
      <c r="G2174" s="140">
        <f>IFERROR(IF(E2174&gt;0,(F2174/E2174)*1000,""),"")</f>
        <v/>
      </c>
      <c r="H2174" s="139">
        <f>IFERROR(IF(E2174&gt;0,E2174*IF(ISNUMBER(J2174),J2174,IF(C2174="Futures",$C$6,$C$5)),""),"")</f>
        <v/>
      </c>
      <c r="I2174" s="139">
        <f>IFERROR(IF(AND(ISNUMBER(F2174),ISNUMBER(H2174)),F2174-H2174,""),"")</f>
        <v/>
      </c>
      <c r="J2174" s="114" t="n"/>
      <c r="K2174" s="139">
        <f>IFERROR(IF(H2174&gt;0,H2174*$C$7,""),"")</f>
        <v/>
      </c>
      <c r="L2174" s="139">
        <f>IFERROR(IF(ISNUMBER(F2174),F2174-IF(ISNUMBER(K2174),K2174,0),""),"")</f>
        <v/>
      </c>
    </row>
    <row r="2175" ht="24" customHeight="1" s="63">
      <c r="E2175" s="139" t="n"/>
      <c r="F2175" s="139" t="n"/>
      <c r="G2175" s="140">
        <f>IFERROR(IF(E2175&gt;0,(F2175/E2175)*1000,""),"")</f>
        <v/>
      </c>
      <c r="H2175" s="139">
        <f>IFERROR(IF(E2175&gt;0,E2175*IF(ISNUMBER(J2175),J2175,IF(C2175="Futures",$C$6,$C$5)),""),"")</f>
        <v/>
      </c>
      <c r="I2175" s="139">
        <f>IFERROR(IF(AND(ISNUMBER(F2175),ISNUMBER(H2175)),F2175-H2175,""),"")</f>
        <v/>
      </c>
      <c r="J2175" s="114" t="n"/>
      <c r="K2175" s="139">
        <f>IFERROR(IF(H2175&gt;0,H2175*$C$7,""),"")</f>
        <v/>
      </c>
      <c r="L2175" s="139">
        <f>IFERROR(IF(ISNUMBER(F2175),F2175-IF(ISNUMBER(K2175),K2175,0),""),"")</f>
        <v/>
      </c>
    </row>
    <row r="2176" ht="24" customHeight="1" s="63">
      <c r="E2176" s="139" t="n"/>
      <c r="F2176" s="139" t="n"/>
      <c r="G2176" s="140">
        <f>IFERROR(IF(E2176&gt;0,(F2176/E2176)*1000,""),"")</f>
        <v/>
      </c>
      <c r="H2176" s="139">
        <f>IFERROR(IF(E2176&gt;0,E2176*IF(ISNUMBER(J2176),J2176,IF(C2176="Futures",$C$6,$C$5)),""),"")</f>
        <v/>
      </c>
      <c r="I2176" s="139">
        <f>IFERROR(IF(AND(ISNUMBER(F2176),ISNUMBER(H2176)),F2176-H2176,""),"")</f>
        <v/>
      </c>
      <c r="J2176" s="114" t="n"/>
      <c r="K2176" s="139">
        <f>IFERROR(IF(H2176&gt;0,H2176*$C$7,""),"")</f>
        <v/>
      </c>
      <c r="L2176" s="139">
        <f>IFERROR(IF(ISNUMBER(F2176),F2176-IF(ISNUMBER(K2176),K2176,0),""),"")</f>
        <v/>
      </c>
    </row>
    <row r="2177" ht="24" customHeight="1" s="63">
      <c r="E2177" s="139" t="n"/>
      <c r="F2177" s="139" t="n"/>
      <c r="G2177" s="140">
        <f>IFERROR(IF(E2177&gt;0,(F2177/E2177)*1000,""),"")</f>
        <v/>
      </c>
      <c r="H2177" s="139">
        <f>IFERROR(IF(E2177&gt;0,E2177*IF(ISNUMBER(J2177),J2177,IF(C2177="Futures",$C$6,$C$5)),""),"")</f>
        <v/>
      </c>
      <c r="I2177" s="139">
        <f>IFERROR(IF(AND(ISNUMBER(F2177),ISNUMBER(H2177)),F2177-H2177,""),"")</f>
        <v/>
      </c>
      <c r="J2177" s="114" t="n"/>
      <c r="K2177" s="139">
        <f>IFERROR(IF(H2177&gt;0,H2177*$C$7,""),"")</f>
        <v/>
      </c>
      <c r="L2177" s="139">
        <f>IFERROR(IF(ISNUMBER(F2177),F2177-IF(ISNUMBER(K2177),K2177,0),""),"")</f>
        <v/>
      </c>
    </row>
    <row r="2178" ht="24" customHeight="1" s="63">
      <c r="E2178" s="139" t="n"/>
      <c r="F2178" s="139" t="n"/>
      <c r="G2178" s="140">
        <f>IFERROR(IF(E2178&gt;0,(F2178/E2178)*1000,""),"")</f>
        <v/>
      </c>
      <c r="H2178" s="139">
        <f>IFERROR(IF(E2178&gt;0,E2178*IF(ISNUMBER(J2178),J2178,IF(C2178="Futures",$C$6,$C$5)),""),"")</f>
        <v/>
      </c>
      <c r="I2178" s="139">
        <f>IFERROR(IF(AND(ISNUMBER(F2178),ISNUMBER(H2178)),F2178-H2178,""),"")</f>
        <v/>
      </c>
      <c r="J2178" s="114" t="n"/>
      <c r="K2178" s="139">
        <f>IFERROR(IF(H2178&gt;0,H2178*$C$7,""),"")</f>
        <v/>
      </c>
      <c r="L2178" s="139">
        <f>IFERROR(IF(ISNUMBER(F2178),F2178-IF(ISNUMBER(K2178),K2178,0),""),"")</f>
        <v/>
      </c>
    </row>
    <row r="2179" ht="24" customHeight="1" s="63">
      <c r="E2179" s="139" t="n"/>
      <c r="F2179" s="139" t="n"/>
      <c r="G2179" s="140">
        <f>IFERROR(IF(E2179&gt;0,(F2179/E2179)*1000,""),"")</f>
        <v/>
      </c>
      <c r="H2179" s="139">
        <f>IFERROR(IF(E2179&gt;0,E2179*IF(ISNUMBER(J2179),J2179,IF(C2179="Futures",$C$6,$C$5)),""),"")</f>
        <v/>
      </c>
      <c r="I2179" s="139">
        <f>IFERROR(IF(AND(ISNUMBER(F2179),ISNUMBER(H2179)),F2179-H2179,""),"")</f>
        <v/>
      </c>
      <c r="J2179" s="114" t="n"/>
      <c r="K2179" s="139">
        <f>IFERROR(IF(H2179&gt;0,H2179*$C$7,""),"")</f>
        <v/>
      </c>
      <c r="L2179" s="139">
        <f>IFERROR(IF(ISNUMBER(F2179),F2179-IF(ISNUMBER(K2179),K2179,0),""),"")</f>
        <v/>
      </c>
    </row>
    <row r="2180" ht="24" customHeight="1" s="63">
      <c r="E2180" s="139" t="n"/>
      <c r="F2180" s="139" t="n"/>
      <c r="G2180" s="140">
        <f>IFERROR(IF(E2180&gt;0,(F2180/E2180)*1000,""),"")</f>
        <v/>
      </c>
      <c r="H2180" s="139">
        <f>IFERROR(IF(E2180&gt;0,E2180*IF(ISNUMBER(J2180),J2180,IF(C2180="Futures",$C$6,$C$5)),""),"")</f>
        <v/>
      </c>
      <c r="I2180" s="139">
        <f>IFERROR(IF(AND(ISNUMBER(F2180),ISNUMBER(H2180)),F2180-H2180,""),"")</f>
        <v/>
      </c>
      <c r="J2180" s="114" t="n"/>
      <c r="K2180" s="139">
        <f>IFERROR(IF(H2180&gt;0,H2180*$C$7,""),"")</f>
        <v/>
      </c>
      <c r="L2180" s="139">
        <f>IFERROR(IF(ISNUMBER(F2180),F2180-IF(ISNUMBER(K2180),K2180,0),""),"")</f>
        <v/>
      </c>
    </row>
    <row r="2181" ht="24" customHeight="1" s="63">
      <c r="E2181" s="139" t="n"/>
      <c r="F2181" s="139" t="n"/>
      <c r="G2181" s="140">
        <f>IFERROR(IF(E2181&gt;0,(F2181/E2181)*1000,""),"")</f>
        <v/>
      </c>
      <c r="H2181" s="139">
        <f>IFERROR(IF(E2181&gt;0,E2181*IF(ISNUMBER(J2181),J2181,IF(C2181="Futures",$C$6,$C$5)),""),"")</f>
        <v/>
      </c>
      <c r="I2181" s="139">
        <f>IFERROR(IF(AND(ISNUMBER(F2181),ISNUMBER(H2181)),F2181-H2181,""),"")</f>
        <v/>
      </c>
      <c r="J2181" s="114" t="n"/>
      <c r="K2181" s="139">
        <f>IFERROR(IF(H2181&gt;0,H2181*$C$7,""),"")</f>
        <v/>
      </c>
      <c r="L2181" s="139">
        <f>IFERROR(IF(ISNUMBER(F2181),F2181-IF(ISNUMBER(K2181),K2181,0),""),"")</f>
        <v/>
      </c>
    </row>
    <row r="2182" ht="24" customHeight="1" s="63">
      <c r="E2182" s="139" t="n"/>
      <c r="F2182" s="139" t="n"/>
      <c r="G2182" s="140">
        <f>IFERROR(IF(E2182&gt;0,(F2182/E2182)*1000,""),"")</f>
        <v/>
      </c>
      <c r="H2182" s="139">
        <f>IFERROR(IF(E2182&gt;0,E2182*IF(ISNUMBER(J2182),J2182,IF(C2182="Futures",$C$6,$C$5)),""),"")</f>
        <v/>
      </c>
      <c r="I2182" s="139">
        <f>IFERROR(IF(AND(ISNUMBER(F2182),ISNUMBER(H2182)),F2182-H2182,""),"")</f>
        <v/>
      </c>
      <c r="J2182" s="114" t="n"/>
      <c r="K2182" s="139">
        <f>IFERROR(IF(H2182&gt;0,H2182*$C$7,""),"")</f>
        <v/>
      </c>
      <c r="L2182" s="139">
        <f>IFERROR(IF(ISNUMBER(F2182),F2182-IF(ISNUMBER(K2182),K2182,0),""),"")</f>
        <v/>
      </c>
    </row>
    <row r="2183" ht="24" customHeight="1" s="63">
      <c r="E2183" s="139" t="n"/>
      <c r="F2183" s="139" t="n"/>
      <c r="G2183" s="140">
        <f>IFERROR(IF(E2183&gt;0,(F2183/E2183)*1000,""),"")</f>
        <v/>
      </c>
      <c r="H2183" s="139">
        <f>IFERROR(IF(E2183&gt;0,E2183*IF(ISNUMBER(J2183),J2183,IF(C2183="Futures",$C$6,$C$5)),""),"")</f>
        <v/>
      </c>
      <c r="I2183" s="139">
        <f>IFERROR(IF(AND(ISNUMBER(F2183),ISNUMBER(H2183)),F2183-H2183,""),"")</f>
        <v/>
      </c>
      <c r="J2183" s="114" t="n"/>
      <c r="K2183" s="139">
        <f>IFERROR(IF(H2183&gt;0,H2183*$C$7,""),"")</f>
        <v/>
      </c>
      <c r="L2183" s="139">
        <f>IFERROR(IF(ISNUMBER(F2183),F2183-IF(ISNUMBER(K2183),K2183,0),""),"")</f>
        <v/>
      </c>
    </row>
    <row r="2184" ht="24" customHeight="1" s="63">
      <c r="E2184" s="139" t="n"/>
      <c r="F2184" s="139" t="n"/>
      <c r="G2184" s="140">
        <f>IFERROR(IF(E2184&gt;0,(F2184/E2184)*1000,""),"")</f>
        <v/>
      </c>
      <c r="H2184" s="139">
        <f>IFERROR(IF(E2184&gt;0,E2184*IF(ISNUMBER(J2184),J2184,IF(C2184="Futures",$C$6,$C$5)),""),"")</f>
        <v/>
      </c>
      <c r="I2184" s="139">
        <f>IFERROR(IF(AND(ISNUMBER(F2184),ISNUMBER(H2184)),F2184-H2184,""),"")</f>
        <v/>
      </c>
      <c r="J2184" s="114" t="n"/>
      <c r="K2184" s="139">
        <f>IFERROR(IF(H2184&gt;0,H2184*$C$7,""),"")</f>
        <v/>
      </c>
      <c r="L2184" s="139">
        <f>IFERROR(IF(ISNUMBER(F2184),F2184-IF(ISNUMBER(K2184),K2184,0),""),"")</f>
        <v/>
      </c>
    </row>
    <row r="2185" ht="24" customHeight="1" s="63">
      <c r="E2185" s="139" t="n"/>
      <c r="F2185" s="139" t="n"/>
      <c r="G2185" s="140">
        <f>IFERROR(IF(E2185&gt;0,(F2185/E2185)*1000,""),"")</f>
        <v/>
      </c>
      <c r="H2185" s="139">
        <f>IFERROR(IF(E2185&gt;0,E2185*IF(ISNUMBER(J2185),J2185,IF(C2185="Futures",$C$6,$C$5)),""),"")</f>
        <v/>
      </c>
      <c r="I2185" s="139">
        <f>IFERROR(IF(AND(ISNUMBER(F2185),ISNUMBER(H2185)),F2185-H2185,""),"")</f>
        <v/>
      </c>
      <c r="J2185" s="114" t="n"/>
      <c r="K2185" s="139">
        <f>IFERROR(IF(H2185&gt;0,H2185*$C$7,""),"")</f>
        <v/>
      </c>
      <c r="L2185" s="139">
        <f>IFERROR(IF(ISNUMBER(F2185),F2185-IF(ISNUMBER(K2185),K2185,0),""),"")</f>
        <v/>
      </c>
    </row>
    <row r="2186" ht="24" customHeight="1" s="63">
      <c r="E2186" s="139" t="n"/>
      <c r="F2186" s="139" t="n"/>
      <c r="G2186" s="140">
        <f>IFERROR(IF(E2186&gt;0,(F2186/E2186)*1000,""),"")</f>
        <v/>
      </c>
      <c r="H2186" s="139">
        <f>IFERROR(IF(E2186&gt;0,E2186*IF(ISNUMBER(J2186),J2186,IF(C2186="Futures",$C$6,$C$5)),""),"")</f>
        <v/>
      </c>
      <c r="I2186" s="139">
        <f>IFERROR(IF(AND(ISNUMBER(F2186),ISNUMBER(H2186)),F2186-H2186,""),"")</f>
        <v/>
      </c>
      <c r="J2186" s="114" t="n"/>
      <c r="K2186" s="139">
        <f>IFERROR(IF(H2186&gt;0,H2186*$C$7,""),"")</f>
        <v/>
      </c>
      <c r="L2186" s="139">
        <f>IFERROR(IF(ISNUMBER(F2186),F2186-IF(ISNUMBER(K2186),K2186,0),""),"")</f>
        <v/>
      </c>
    </row>
    <row r="2187" ht="24" customHeight="1" s="63">
      <c r="E2187" s="139" t="n"/>
      <c r="F2187" s="139" t="n"/>
      <c r="G2187" s="140">
        <f>IFERROR(IF(E2187&gt;0,(F2187/E2187)*1000,""),"")</f>
        <v/>
      </c>
      <c r="H2187" s="139">
        <f>IFERROR(IF(E2187&gt;0,E2187*IF(ISNUMBER(J2187),J2187,IF(C2187="Futures",$C$6,$C$5)),""),"")</f>
        <v/>
      </c>
      <c r="I2187" s="139">
        <f>IFERROR(IF(AND(ISNUMBER(F2187),ISNUMBER(H2187)),F2187-H2187,""),"")</f>
        <v/>
      </c>
      <c r="J2187" s="114" t="n"/>
      <c r="K2187" s="139">
        <f>IFERROR(IF(H2187&gt;0,H2187*$C$7,""),"")</f>
        <v/>
      </c>
      <c r="L2187" s="139">
        <f>IFERROR(IF(ISNUMBER(F2187),F2187-IF(ISNUMBER(K2187),K2187,0),""),"")</f>
        <v/>
      </c>
    </row>
    <row r="2188" ht="24" customHeight="1" s="63">
      <c r="E2188" s="139" t="n"/>
      <c r="F2188" s="139" t="n"/>
      <c r="G2188" s="140">
        <f>IFERROR(IF(E2188&gt;0,(F2188/E2188)*1000,""),"")</f>
        <v/>
      </c>
      <c r="H2188" s="139">
        <f>IFERROR(IF(E2188&gt;0,E2188*IF(ISNUMBER(J2188),J2188,IF(C2188="Futures",$C$6,$C$5)),""),"")</f>
        <v/>
      </c>
      <c r="I2188" s="139">
        <f>IFERROR(IF(AND(ISNUMBER(F2188),ISNUMBER(H2188)),F2188-H2188,""),"")</f>
        <v/>
      </c>
      <c r="J2188" s="114" t="n"/>
      <c r="K2188" s="139">
        <f>IFERROR(IF(H2188&gt;0,H2188*$C$7,""),"")</f>
        <v/>
      </c>
      <c r="L2188" s="139">
        <f>IFERROR(IF(ISNUMBER(F2188),F2188-IF(ISNUMBER(K2188),K2188,0),""),"")</f>
        <v/>
      </c>
    </row>
    <row r="2189" ht="24" customHeight="1" s="63">
      <c r="E2189" s="139" t="n"/>
      <c r="F2189" s="139" t="n"/>
      <c r="G2189" s="140">
        <f>IFERROR(IF(E2189&gt;0,(F2189/E2189)*1000,""),"")</f>
        <v/>
      </c>
      <c r="H2189" s="139">
        <f>IFERROR(IF(E2189&gt;0,E2189*IF(ISNUMBER(J2189),J2189,IF(C2189="Futures",$C$6,$C$5)),""),"")</f>
        <v/>
      </c>
      <c r="I2189" s="139">
        <f>IFERROR(IF(AND(ISNUMBER(F2189),ISNUMBER(H2189)),F2189-H2189,""),"")</f>
        <v/>
      </c>
      <c r="J2189" s="114" t="n"/>
      <c r="K2189" s="139">
        <f>IFERROR(IF(H2189&gt;0,H2189*$C$7,""),"")</f>
        <v/>
      </c>
      <c r="L2189" s="139">
        <f>IFERROR(IF(ISNUMBER(F2189),F2189-IF(ISNUMBER(K2189),K2189,0),""),"")</f>
        <v/>
      </c>
    </row>
    <row r="2190" ht="24" customHeight="1" s="63">
      <c r="E2190" s="139" t="n"/>
      <c r="F2190" s="139" t="n"/>
      <c r="G2190" s="140">
        <f>IFERROR(IF(E2190&gt;0,(F2190/E2190)*1000,""),"")</f>
        <v/>
      </c>
      <c r="H2190" s="139">
        <f>IFERROR(IF(E2190&gt;0,E2190*IF(ISNUMBER(J2190),J2190,IF(C2190="Futures",$C$6,$C$5)),""),"")</f>
        <v/>
      </c>
      <c r="I2190" s="139">
        <f>IFERROR(IF(AND(ISNUMBER(F2190),ISNUMBER(H2190)),F2190-H2190,""),"")</f>
        <v/>
      </c>
      <c r="J2190" s="114" t="n"/>
      <c r="K2190" s="139">
        <f>IFERROR(IF(H2190&gt;0,H2190*$C$7,""),"")</f>
        <v/>
      </c>
      <c r="L2190" s="139">
        <f>IFERROR(IF(ISNUMBER(F2190),F2190-IF(ISNUMBER(K2190),K2190,0),""),"")</f>
        <v/>
      </c>
    </row>
    <row r="2191" ht="24" customHeight="1" s="63">
      <c r="E2191" s="139" t="n"/>
      <c r="F2191" s="139" t="n"/>
      <c r="G2191" s="140">
        <f>IFERROR(IF(E2191&gt;0,(F2191/E2191)*1000,""),"")</f>
        <v/>
      </c>
      <c r="H2191" s="139">
        <f>IFERROR(IF(E2191&gt;0,E2191*IF(ISNUMBER(J2191),J2191,IF(C2191="Futures",$C$6,$C$5)),""),"")</f>
        <v/>
      </c>
      <c r="I2191" s="139">
        <f>IFERROR(IF(AND(ISNUMBER(F2191),ISNUMBER(H2191)),F2191-H2191,""),"")</f>
        <v/>
      </c>
      <c r="J2191" s="114" t="n"/>
      <c r="K2191" s="139">
        <f>IFERROR(IF(H2191&gt;0,H2191*$C$7,""),"")</f>
        <v/>
      </c>
      <c r="L2191" s="139">
        <f>IFERROR(IF(ISNUMBER(F2191),F2191-IF(ISNUMBER(K2191),K2191,0),""),"")</f>
        <v/>
      </c>
    </row>
    <row r="2192" ht="24" customHeight="1" s="63">
      <c r="E2192" s="139" t="n"/>
      <c r="F2192" s="139" t="n"/>
      <c r="G2192" s="140">
        <f>IFERROR(IF(E2192&gt;0,(F2192/E2192)*1000,""),"")</f>
        <v/>
      </c>
      <c r="H2192" s="139">
        <f>IFERROR(IF(E2192&gt;0,E2192*IF(ISNUMBER(J2192),J2192,IF(C2192="Futures",$C$6,$C$5)),""),"")</f>
        <v/>
      </c>
      <c r="I2192" s="139">
        <f>IFERROR(IF(AND(ISNUMBER(F2192),ISNUMBER(H2192)),F2192-H2192,""),"")</f>
        <v/>
      </c>
      <c r="J2192" s="114" t="n"/>
      <c r="K2192" s="139">
        <f>IFERROR(IF(H2192&gt;0,H2192*$C$7,""),"")</f>
        <v/>
      </c>
      <c r="L2192" s="139">
        <f>IFERROR(IF(ISNUMBER(F2192),F2192-IF(ISNUMBER(K2192),K2192,0),""),"")</f>
        <v/>
      </c>
    </row>
    <row r="2193" ht="24" customHeight="1" s="63">
      <c r="E2193" s="139" t="n"/>
      <c r="F2193" s="139" t="n"/>
      <c r="G2193" s="140">
        <f>IFERROR(IF(E2193&gt;0,(F2193/E2193)*1000,""),"")</f>
        <v/>
      </c>
      <c r="H2193" s="139">
        <f>IFERROR(IF(E2193&gt;0,E2193*IF(ISNUMBER(J2193),J2193,IF(C2193="Futures",$C$6,$C$5)),""),"")</f>
        <v/>
      </c>
      <c r="I2193" s="139">
        <f>IFERROR(IF(AND(ISNUMBER(F2193),ISNUMBER(H2193)),F2193-H2193,""),"")</f>
        <v/>
      </c>
      <c r="J2193" s="114" t="n"/>
      <c r="K2193" s="139">
        <f>IFERROR(IF(H2193&gt;0,H2193*$C$7,""),"")</f>
        <v/>
      </c>
      <c r="L2193" s="139">
        <f>IFERROR(IF(ISNUMBER(F2193),F2193-IF(ISNUMBER(K2193),K2193,0),""),"")</f>
        <v/>
      </c>
    </row>
    <row r="2194" ht="24" customHeight="1" s="63">
      <c r="E2194" s="139" t="n"/>
      <c r="F2194" s="139" t="n"/>
      <c r="G2194" s="140">
        <f>IFERROR(IF(E2194&gt;0,(F2194/E2194)*1000,""),"")</f>
        <v/>
      </c>
      <c r="H2194" s="139">
        <f>IFERROR(IF(E2194&gt;0,E2194*IF(ISNUMBER(J2194),J2194,IF(C2194="Futures",$C$6,$C$5)),""),"")</f>
        <v/>
      </c>
      <c r="I2194" s="139">
        <f>IFERROR(IF(AND(ISNUMBER(F2194),ISNUMBER(H2194)),F2194-H2194,""),"")</f>
        <v/>
      </c>
      <c r="J2194" s="114" t="n"/>
      <c r="K2194" s="139">
        <f>IFERROR(IF(H2194&gt;0,H2194*$C$7,""),"")</f>
        <v/>
      </c>
      <c r="L2194" s="139">
        <f>IFERROR(IF(ISNUMBER(F2194),F2194-IF(ISNUMBER(K2194),K2194,0),""),"")</f>
        <v/>
      </c>
    </row>
    <row r="2195" ht="24" customHeight="1" s="63">
      <c r="E2195" s="139" t="n"/>
      <c r="F2195" s="139" t="n"/>
      <c r="G2195" s="140">
        <f>IFERROR(IF(E2195&gt;0,(F2195/E2195)*1000,""),"")</f>
        <v/>
      </c>
      <c r="H2195" s="139">
        <f>IFERROR(IF(E2195&gt;0,E2195*IF(ISNUMBER(J2195),J2195,IF(C2195="Futures",$C$6,$C$5)),""),"")</f>
        <v/>
      </c>
      <c r="I2195" s="139">
        <f>IFERROR(IF(AND(ISNUMBER(F2195),ISNUMBER(H2195)),F2195-H2195,""),"")</f>
        <v/>
      </c>
      <c r="J2195" s="114" t="n"/>
      <c r="K2195" s="139">
        <f>IFERROR(IF(H2195&gt;0,H2195*$C$7,""),"")</f>
        <v/>
      </c>
      <c r="L2195" s="139">
        <f>IFERROR(IF(ISNUMBER(F2195),F2195-IF(ISNUMBER(K2195),K2195,0),""),"")</f>
        <v/>
      </c>
    </row>
    <row r="2196" ht="24" customHeight="1" s="63">
      <c r="E2196" s="139" t="n"/>
      <c r="F2196" s="139" t="n"/>
      <c r="G2196" s="140">
        <f>IFERROR(IF(E2196&gt;0,(F2196/E2196)*1000,""),"")</f>
        <v/>
      </c>
      <c r="H2196" s="139">
        <f>IFERROR(IF(E2196&gt;0,E2196*IF(ISNUMBER(J2196),J2196,IF(C2196="Futures",$C$6,$C$5)),""),"")</f>
        <v/>
      </c>
      <c r="I2196" s="139">
        <f>IFERROR(IF(AND(ISNUMBER(F2196),ISNUMBER(H2196)),F2196-H2196,""),"")</f>
        <v/>
      </c>
      <c r="J2196" s="114" t="n"/>
      <c r="K2196" s="139">
        <f>IFERROR(IF(H2196&gt;0,H2196*$C$7,""),"")</f>
        <v/>
      </c>
      <c r="L2196" s="139">
        <f>IFERROR(IF(ISNUMBER(F2196),F2196-IF(ISNUMBER(K2196),K2196,0),""),"")</f>
        <v/>
      </c>
    </row>
    <row r="2197" ht="24" customHeight="1" s="63">
      <c r="E2197" s="139" t="n"/>
      <c r="F2197" s="139" t="n"/>
      <c r="G2197" s="140">
        <f>IFERROR(IF(E2197&gt;0,(F2197/E2197)*1000,""),"")</f>
        <v/>
      </c>
      <c r="H2197" s="139">
        <f>IFERROR(IF(E2197&gt;0,E2197*IF(ISNUMBER(J2197),J2197,IF(C2197="Futures",$C$6,$C$5)),""),"")</f>
        <v/>
      </c>
      <c r="I2197" s="139">
        <f>IFERROR(IF(AND(ISNUMBER(F2197),ISNUMBER(H2197)),F2197-H2197,""),"")</f>
        <v/>
      </c>
      <c r="J2197" s="114" t="n"/>
      <c r="K2197" s="139">
        <f>IFERROR(IF(H2197&gt;0,H2197*$C$7,""),"")</f>
        <v/>
      </c>
      <c r="L2197" s="139">
        <f>IFERROR(IF(ISNUMBER(F2197),F2197-IF(ISNUMBER(K2197),K2197,0),""),"")</f>
        <v/>
      </c>
    </row>
    <row r="2198" ht="24" customHeight="1" s="63">
      <c r="E2198" s="139" t="n"/>
      <c r="F2198" s="139" t="n"/>
      <c r="G2198" s="140">
        <f>IFERROR(IF(E2198&gt;0,(F2198/E2198)*1000,""),"")</f>
        <v/>
      </c>
      <c r="H2198" s="139">
        <f>IFERROR(IF(E2198&gt;0,E2198*IF(ISNUMBER(J2198),J2198,IF(C2198="Futures",$C$6,$C$5)),""),"")</f>
        <v/>
      </c>
      <c r="I2198" s="139">
        <f>IFERROR(IF(AND(ISNUMBER(F2198),ISNUMBER(H2198)),F2198-H2198,""),"")</f>
        <v/>
      </c>
      <c r="J2198" s="114" t="n"/>
      <c r="K2198" s="139">
        <f>IFERROR(IF(H2198&gt;0,H2198*$C$7,""),"")</f>
        <v/>
      </c>
      <c r="L2198" s="139">
        <f>IFERROR(IF(ISNUMBER(F2198),F2198-IF(ISNUMBER(K2198),K2198,0),""),"")</f>
        <v/>
      </c>
    </row>
    <row r="2199" ht="24" customHeight="1" s="63">
      <c r="E2199" s="139" t="n"/>
      <c r="F2199" s="139" t="n"/>
      <c r="G2199" s="140">
        <f>IFERROR(IF(E2199&gt;0,(F2199/E2199)*1000,""),"")</f>
        <v/>
      </c>
      <c r="H2199" s="139">
        <f>IFERROR(IF(E2199&gt;0,E2199*IF(ISNUMBER(J2199),J2199,IF(C2199="Futures",$C$6,$C$5)),""),"")</f>
        <v/>
      </c>
      <c r="I2199" s="139">
        <f>IFERROR(IF(AND(ISNUMBER(F2199),ISNUMBER(H2199)),F2199-H2199,""),"")</f>
        <v/>
      </c>
      <c r="J2199" s="114" t="n"/>
      <c r="K2199" s="139">
        <f>IFERROR(IF(H2199&gt;0,H2199*$C$7,""),"")</f>
        <v/>
      </c>
      <c r="L2199" s="139">
        <f>IFERROR(IF(ISNUMBER(F2199),F2199-IF(ISNUMBER(K2199),K2199,0),""),"")</f>
        <v/>
      </c>
    </row>
    <row r="2200" ht="24" customHeight="1" s="63">
      <c r="E2200" s="139" t="n"/>
      <c r="F2200" s="139" t="n"/>
      <c r="G2200" s="140">
        <f>IFERROR(IF(E2200&gt;0,(F2200/E2200)*1000,""),"")</f>
        <v/>
      </c>
      <c r="H2200" s="139">
        <f>IFERROR(IF(E2200&gt;0,E2200*IF(ISNUMBER(J2200),J2200,IF(C2200="Futures",$C$6,$C$5)),""),"")</f>
        <v/>
      </c>
      <c r="I2200" s="139">
        <f>IFERROR(IF(AND(ISNUMBER(F2200),ISNUMBER(H2200)),F2200-H2200,""),"")</f>
        <v/>
      </c>
      <c r="J2200" s="114" t="n"/>
      <c r="K2200" s="139">
        <f>IFERROR(IF(H2200&gt;0,H2200*$C$7,""),"")</f>
        <v/>
      </c>
      <c r="L2200" s="139">
        <f>IFERROR(IF(ISNUMBER(F2200),F2200-IF(ISNUMBER(K2200),K2200,0),""),"")</f>
        <v/>
      </c>
    </row>
    <row r="2201" ht="24" customHeight="1" s="63">
      <c r="E2201" s="139" t="n"/>
      <c r="F2201" s="139" t="n"/>
      <c r="G2201" s="140">
        <f>IFERROR(IF(E2201&gt;0,(F2201/E2201)*1000,""),"")</f>
        <v/>
      </c>
      <c r="H2201" s="139">
        <f>IFERROR(IF(E2201&gt;0,E2201*IF(ISNUMBER(J2201),J2201,IF(C2201="Futures",$C$6,$C$5)),""),"")</f>
        <v/>
      </c>
      <c r="I2201" s="139">
        <f>IFERROR(IF(AND(ISNUMBER(F2201),ISNUMBER(H2201)),F2201-H2201,""),"")</f>
        <v/>
      </c>
      <c r="J2201" s="114" t="n"/>
      <c r="K2201" s="139">
        <f>IFERROR(IF(H2201&gt;0,H2201*$C$7,""),"")</f>
        <v/>
      </c>
      <c r="L2201" s="139">
        <f>IFERROR(IF(ISNUMBER(F2201),F2201-IF(ISNUMBER(K2201),K2201,0),""),"")</f>
        <v/>
      </c>
    </row>
    <row r="2202" ht="24" customHeight="1" s="63">
      <c r="E2202" s="139" t="n"/>
      <c r="F2202" s="139" t="n"/>
      <c r="G2202" s="140">
        <f>IFERROR(IF(E2202&gt;0,(F2202/E2202)*1000,""),"")</f>
        <v/>
      </c>
      <c r="H2202" s="139">
        <f>IFERROR(IF(E2202&gt;0,E2202*IF(ISNUMBER(J2202),J2202,IF(C2202="Futures",$C$6,$C$5)),""),"")</f>
        <v/>
      </c>
      <c r="I2202" s="139">
        <f>IFERROR(IF(AND(ISNUMBER(F2202),ISNUMBER(H2202)),F2202-H2202,""),"")</f>
        <v/>
      </c>
      <c r="J2202" s="114" t="n"/>
      <c r="K2202" s="139">
        <f>IFERROR(IF(H2202&gt;0,H2202*$C$7,""),"")</f>
        <v/>
      </c>
      <c r="L2202" s="139">
        <f>IFERROR(IF(ISNUMBER(F2202),F2202-IF(ISNUMBER(K2202),K2202,0),""),"")</f>
        <v/>
      </c>
    </row>
    <row r="2203" ht="24" customHeight="1" s="63">
      <c r="E2203" s="139" t="n"/>
      <c r="F2203" s="139" t="n"/>
      <c r="G2203" s="140">
        <f>IFERROR(IF(E2203&gt;0,(F2203/E2203)*1000,""),"")</f>
        <v/>
      </c>
      <c r="H2203" s="139">
        <f>IFERROR(IF(E2203&gt;0,E2203*IF(ISNUMBER(J2203),J2203,IF(C2203="Futures",$C$6,$C$5)),""),"")</f>
        <v/>
      </c>
      <c r="I2203" s="139">
        <f>IFERROR(IF(AND(ISNUMBER(F2203),ISNUMBER(H2203)),F2203-H2203,""),"")</f>
        <v/>
      </c>
      <c r="J2203" s="114" t="n"/>
      <c r="K2203" s="139">
        <f>IFERROR(IF(H2203&gt;0,H2203*$C$7,""),"")</f>
        <v/>
      </c>
      <c r="L2203" s="139">
        <f>IFERROR(IF(ISNUMBER(F2203),F2203-IF(ISNUMBER(K2203),K2203,0),""),"")</f>
        <v/>
      </c>
    </row>
    <row r="2204" ht="24" customHeight="1" s="63">
      <c r="E2204" s="139" t="n"/>
      <c r="F2204" s="139" t="n"/>
      <c r="G2204" s="140">
        <f>IFERROR(IF(E2204&gt;0,(F2204/E2204)*1000,""),"")</f>
        <v/>
      </c>
      <c r="H2204" s="139">
        <f>IFERROR(IF(E2204&gt;0,E2204*IF(ISNUMBER(J2204),J2204,IF(C2204="Futures",$C$6,$C$5)),""),"")</f>
        <v/>
      </c>
      <c r="I2204" s="139">
        <f>IFERROR(IF(AND(ISNUMBER(F2204),ISNUMBER(H2204)),F2204-H2204,""),"")</f>
        <v/>
      </c>
      <c r="J2204" s="114" t="n"/>
      <c r="K2204" s="139">
        <f>IFERROR(IF(H2204&gt;0,H2204*$C$7,""),"")</f>
        <v/>
      </c>
      <c r="L2204" s="139">
        <f>IFERROR(IF(ISNUMBER(F2204),F2204-IF(ISNUMBER(K2204),K2204,0),""),"")</f>
        <v/>
      </c>
    </row>
    <row r="2205" ht="24" customHeight="1" s="63">
      <c r="E2205" s="139" t="n"/>
      <c r="F2205" s="139" t="n"/>
      <c r="G2205" s="140">
        <f>IFERROR(IF(E2205&gt;0,(F2205/E2205)*1000,""),"")</f>
        <v/>
      </c>
      <c r="H2205" s="139">
        <f>IFERROR(IF(E2205&gt;0,E2205*IF(ISNUMBER(J2205),J2205,IF(C2205="Futures",$C$6,$C$5)),""),"")</f>
        <v/>
      </c>
      <c r="I2205" s="139">
        <f>IFERROR(IF(AND(ISNUMBER(F2205),ISNUMBER(H2205)),F2205-H2205,""),"")</f>
        <v/>
      </c>
      <c r="J2205" s="114" t="n"/>
      <c r="K2205" s="139">
        <f>IFERROR(IF(H2205&gt;0,H2205*$C$7,""),"")</f>
        <v/>
      </c>
      <c r="L2205" s="139">
        <f>IFERROR(IF(ISNUMBER(F2205),F2205-IF(ISNUMBER(K2205),K2205,0),""),"")</f>
        <v/>
      </c>
    </row>
    <row r="2206" ht="24" customHeight="1" s="63">
      <c r="E2206" s="139" t="n"/>
      <c r="F2206" s="139" t="n"/>
      <c r="G2206" s="140">
        <f>IFERROR(IF(E2206&gt;0,(F2206/E2206)*1000,""),"")</f>
        <v/>
      </c>
      <c r="H2206" s="139">
        <f>IFERROR(IF(E2206&gt;0,E2206*IF(ISNUMBER(J2206),J2206,IF(C2206="Futures",$C$6,$C$5)),""),"")</f>
        <v/>
      </c>
      <c r="I2206" s="139">
        <f>IFERROR(IF(AND(ISNUMBER(F2206),ISNUMBER(H2206)),F2206-H2206,""),"")</f>
        <v/>
      </c>
      <c r="J2206" s="114" t="n"/>
      <c r="K2206" s="139">
        <f>IFERROR(IF(H2206&gt;0,H2206*$C$7,""),"")</f>
        <v/>
      </c>
      <c r="L2206" s="139">
        <f>IFERROR(IF(ISNUMBER(F2206),F2206-IF(ISNUMBER(K2206),K2206,0),""),"")</f>
        <v/>
      </c>
    </row>
    <row r="2207" ht="24" customHeight="1" s="63">
      <c r="E2207" s="139" t="n"/>
      <c r="F2207" s="139" t="n"/>
      <c r="G2207" s="140">
        <f>IFERROR(IF(E2207&gt;0,(F2207/E2207)*1000,""),"")</f>
        <v/>
      </c>
      <c r="H2207" s="139">
        <f>IFERROR(IF(E2207&gt;0,E2207*IF(ISNUMBER(J2207),J2207,IF(C2207="Futures",$C$6,$C$5)),""),"")</f>
        <v/>
      </c>
      <c r="I2207" s="139">
        <f>IFERROR(IF(AND(ISNUMBER(F2207),ISNUMBER(H2207)),F2207-H2207,""),"")</f>
        <v/>
      </c>
      <c r="J2207" s="114" t="n"/>
      <c r="K2207" s="139">
        <f>IFERROR(IF(H2207&gt;0,H2207*$C$7,""),"")</f>
        <v/>
      </c>
      <c r="L2207" s="139">
        <f>IFERROR(IF(ISNUMBER(F2207),F2207-IF(ISNUMBER(K2207),K2207,0),""),"")</f>
        <v/>
      </c>
    </row>
    <row r="2208" ht="24" customHeight="1" s="63">
      <c r="E2208" s="139" t="n"/>
      <c r="F2208" s="139" t="n"/>
      <c r="G2208" s="140">
        <f>IFERROR(IF(E2208&gt;0,(F2208/E2208)*1000,""),"")</f>
        <v/>
      </c>
      <c r="H2208" s="139">
        <f>IFERROR(IF(E2208&gt;0,E2208*IF(ISNUMBER(J2208),J2208,IF(C2208="Futures",$C$6,$C$5)),""),"")</f>
        <v/>
      </c>
      <c r="I2208" s="139">
        <f>IFERROR(IF(AND(ISNUMBER(F2208),ISNUMBER(H2208)),F2208-H2208,""),"")</f>
        <v/>
      </c>
      <c r="J2208" s="114" t="n"/>
      <c r="K2208" s="139">
        <f>IFERROR(IF(H2208&gt;0,H2208*$C$7,""),"")</f>
        <v/>
      </c>
      <c r="L2208" s="139">
        <f>IFERROR(IF(ISNUMBER(F2208),F2208-IF(ISNUMBER(K2208),K2208,0),""),"")</f>
        <v/>
      </c>
    </row>
    <row r="2209" ht="24" customHeight="1" s="63">
      <c r="E2209" s="139" t="n"/>
      <c r="F2209" s="139" t="n"/>
      <c r="G2209" s="140">
        <f>IFERROR(IF(E2209&gt;0,(F2209/E2209)*1000,""),"")</f>
        <v/>
      </c>
      <c r="H2209" s="139">
        <f>IFERROR(IF(E2209&gt;0,E2209*IF(ISNUMBER(J2209),J2209,IF(C2209="Futures",$C$6,$C$5)),""),"")</f>
        <v/>
      </c>
      <c r="I2209" s="139">
        <f>IFERROR(IF(AND(ISNUMBER(F2209),ISNUMBER(H2209)),F2209-H2209,""),"")</f>
        <v/>
      </c>
      <c r="J2209" s="114" t="n"/>
      <c r="K2209" s="139">
        <f>IFERROR(IF(H2209&gt;0,H2209*$C$7,""),"")</f>
        <v/>
      </c>
      <c r="L2209" s="139">
        <f>IFERROR(IF(ISNUMBER(F2209),F2209-IF(ISNUMBER(K2209),K2209,0),""),"")</f>
        <v/>
      </c>
    </row>
    <row r="2210" ht="24" customHeight="1" s="63">
      <c r="E2210" s="139" t="n"/>
      <c r="F2210" s="139" t="n"/>
      <c r="G2210" s="140">
        <f>IFERROR(IF(E2210&gt;0,(F2210/E2210)*1000,""),"")</f>
        <v/>
      </c>
      <c r="H2210" s="139">
        <f>IFERROR(IF(E2210&gt;0,E2210*IF(ISNUMBER(J2210),J2210,IF(C2210="Futures",$C$6,$C$5)),""),"")</f>
        <v/>
      </c>
      <c r="I2210" s="139">
        <f>IFERROR(IF(AND(ISNUMBER(F2210),ISNUMBER(H2210)),F2210-H2210,""),"")</f>
        <v/>
      </c>
      <c r="J2210" s="114" t="n"/>
      <c r="K2210" s="139">
        <f>IFERROR(IF(H2210&gt;0,H2210*$C$7,""),"")</f>
        <v/>
      </c>
      <c r="L2210" s="139">
        <f>IFERROR(IF(ISNUMBER(F2210),F2210-IF(ISNUMBER(K2210),K2210,0),""),"")</f>
        <v/>
      </c>
    </row>
    <row r="2211" ht="24" customHeight="1" s="63">
      <c r="E2211" s="139" t="n"/>
      <c r="F2211" s="139" t="n"/>
      <c r="G2211" s="140">
        <f>IFERROR(IF(E2211&gt;0,(F2211/E2211)*1000,""),"")</f>
        <v/>
      </c>
      <c r="H2211" s="139">
        <f>IFERROR(IF(E2211&gt;0,E2211*IF(ISNUMBER(J2211),J2211,IF(C2211="Futures",$C$6,$C$5)),""),"")</f>
        <v/>
      </c>
      <c r="I2211" s="139">
        <f>IFERROR(IF(AND(ISNUMBER(F2211),ISNUMBER(H2211)),F2211-H2211,""),"")</f>
        <v/>
      </c>
      <c r="J2211" s="114" t="n"/>
      <c r="K2211" s="139">
        <f>IFERROR(IF(H2211&gt;0,H2211*$C$7,""),"")</f>
        <v/>
      </c>
      <c r="L2211" s="139">
        <f>IFERROR(IF(ISNUMBER(F2211),F2211-IF(ISNUMBER(K2211),K2211,0),""),"")</f>
        <v/>
      </c>
    </row>
    <row r="2212" ht="24" customHeight="1" s="63">
      <c r="E2212" s="139" t="n"/>
      <c r="F2212" s="139" t="n"/>
      <c r="G2212" s="140">
        <f>IFERROR(IF(E2212&gt;0,(F2212/E2212)*1000,""),"")</f>
        <v/>
      </c>
      <c r="H2212" s="139">
        <f>IFERROR(IF(E2212&gt;0,E2212*IF(ISNUMBER(J2212),J2212,IF(C2212="Futures",$C$6,$C$5)),""),"")</f>
        <v/>
      </c>
      <c r="I2212" s="139">
        <f>IFERROR(IF(AND(ISNUMBER(F2212),ISNUMBER(H2212)),F2212-H2212,""),"")</f>
        <v/>
      </c>
      <c r="J2212" s="114" t="n"/>
      <c r="K2212" s="139">
        <f>IFERROR(IF(H2212&gt;0,H2212*$C$7,""),"")</f>
        <v/>
      </c>
      <c r="L2212" s="139">
        <f>IFERROR(IF(ISNUMBER(F2212),F2212-IF(ISNUMBER(K2212),K2212,0),""),"")</f>
        <v/>
      </c>
    </row>
    <row r="2213" ht="24" customHeight="1" s="63">
      <c r="E2213" s="139" t="n"/>
      <c r="F2213" s="139" t="n"/>
      <c r="G2213" s="140">
        <f>IFERROR(IF(E2213&gt;0,(F2213/E2213)*1000,""),"")</f>
        <v/>
      </c>
      <c r="H2213" s="139">
        <f>IFERROR(IF(E2213&gt;0,E2213*IF(ISNUMBER(J2213),J2213,IF(C2213="Futures",$C$6,$C$5)),""),"")</f>
        <v/>
      </c>
      <c r="I2213" s="139">
        <f>IFERROR(IF(AND(ISNUMBER(F2213),ISNUMBER(H2213)),F2213-H2213,""),"")</f>
        <v/>
      </c>
      <c r="J2213" s="114" t="n"/>
      <c r="K2213" s="139">
        <f>IFERROR(IF(H2213&gt;0,H2213*$C$7,""),"")</f>
        <v/>
      </c>
      <c r="L2213" s="139">
        <f>IFERROR(IF(ISNUMBER(F2213),F2213-IF(ISNUMBER(K2213),K2213,0),""),"")</f>
        <v/>
      </c>
    </row>
    <row r="2214" ht="24" customHeight="1" s="63">
      <c r="E2214" s="139" t="n"/>
      <c r="F2214" s="139" t="n"/>
      <c r="G2214" s="140">
        <f>IFERROR(IF(E2214&gt;0,(F2214/E2214)*1000,""),"")</f>
        <v/>
      </c>
      <c r="H2214" s="139">
        <f>IFERROR(IF(E2214&gt;0,E2214*IF(ISNUMBER(J2214),J2214,IF(C2214="Futures",$C$6,$C$5)),""),"")</f>
        <v/>
      </c>
      <c r="I2214" s="139">
        <f>IFERROR(IF(AND(ISNUMBER(F2214),ISNUMBER(H2214)),F2214-H2214,""),"")</f>
        <v/>
      </c>
      <c r="J2214" s="114" t="n"/>
      <c r="K2214" s="139">
        <f>IFERROR(IF(H2214&gt;0,H2214*$C$7,""),"")</f>
        <v/>
      </c>
      <c r="L2214" s="139">
        <f>IFERROR(IF(ISNUMBER(F2214),F2214-IF(ISNUMBER(K2214),K2214,0),""),"")</f>
        <v/>
      </c>
    </row>
    <row r="2215" ht="24" customHeight="1" s="63">
      <c r="E2215" s="139" t="n"/>
      <c r="F2215" s="139" t="n"/>
      <c r="G2215" s="140">
        <f>IFERROR(IF(E2215&gt;0,(F2215/E2215)*1000,""),"")</f>
        <v/>
      </c>
      <c r="H2215" s="139">
        <f>IFERROR(IF(E2215&gt;0,E2215*IF(ISNUMBER(J2215),J2215,IF(C2215="Futures",$C$6,$C$5)),""),"")</f>
        <v/>
      </c>
      <c r="I2215" s="139">
        <f>IFERROR(IF(AND(ISNUMBER(F2215),ISNUMBER(H2215)),F2215-H2215,""),"")</f>
        <v/>
      </c>
      <c r="J2215" s="114" t="n"/>
      <c r="K2215" s="139">
        <f>IFERROR(IF(H2215&gt;0,H2215*$C$7,""),"")</f>
        <v/>
      </c>
      <c r="L2215" s="139">
        <f>IFERROR(IF(ISNUMBER(F2215),F2215-IF(ISNUMBER(K2215),K2215,0),""),"")</f>
        <v/>
      </c>
    </row>
    <row r="2216" ht="24" customHeight="1" s="63">
      <c r="E2216" s="139" t="n"/>
      <c r="F2216" s="139" t="n"/>
      <c r="G2216" s="140">
        <f>IFERROR(IF(E2216&gt;0,(F2216/E2216)*1000,""),"")</f>
        <v/>
      </c>
      <c r="H2216" s="139">
        <f>IFERROR(IF(E2216&gt;0,E2216*IF(ISNUMBER(J2216),J2216,IF(C2216="Futures",$C$6,$C$5)),""),"")</f>
        <v/>
      </c>
      <c r="I2216" s="139">
        <f>IFERROR(IF(AND(ISNUMBER(F2216),ISNUMBER(H2216)),F2216-H2216,""),"")</f>
        <v/>
      </c>
      <c r="J2216" s="114" t="n"/>
      <c r="K2216" s="139">
        <f>IFERROR(IF(H2216&gt;0,H2216*$C$7,""),"")</f>
        <v/>
      </c>
      <c r="L2216" s="139">
        <f>IFERROR(IF(ISNUMBER(F2216),F2216-IF(ISNUMBER(K2216),K2216,0),""),"")</f>
        <v/>
      </c>
    </row>
    <row r="2217" ht="24" customHeight="1" s="63">
      <c r="E2217" s="139" t="n"/>
      <c r="F2217" s="139" t="n"/>
      <c r="G2217" s="140">
        <f>IFERROR(IF(E2217&gt;0,(F2217/E2217)*1000,""),"")</f>
        <v/>
      </c>
      <c r="H2217" s="139">
        <f>IFERROR(IF(E2217&gt;0,E2217*IF(ISNUMBER(J2217),J2217,IF(C2217="Futures",$C$6,$C$5)),""),"")</f>
        <v/>
      </c>
      <c r="I2217" s="139">
        <f>IFERROR(IF(AND(ISNUMBER(F2217),ISNUMBER(H2217)),F2217-H2217,""),"")</f>
        <v/>
      </c>
      <c r="J2217" s="114" t="n"/>
      <c r="K2217" s="139">
        <f>IFERROR(IF(H2217&gt;0,H2217*$C$7,""),"")</f>
        <v/>
      </c>
      <c r="L2217" s="139">
        <f>IFERROR(IF(ISNUMBER(F2217),F2217-IF(ISNUMBER(K2217),K2217,0),""),"")</f>
        <v/>
      </c>
    </row>
    <row r="2218" ht="24" customHeight="1" s="63">
      <c r="E2218" s="139" t="n"/>
      <c r="F2218" s="139" t="n"/>
      <c r="G2218" s="140">
        <f>IFERROR(IF(E2218&gt;0,(F2218/E2218)*1000,""),"")</f>
        <v/>
      </c>
      <c r="H2218" s="139">
        <f>IFERROR(IF(E2218&gt;0,E2218*IF(ISNUMBER(J2218),J2218,IF(C2218="Futures",$C$6,$C$5)),""),"")</f>
        <v/>
      </c>
      <c r="I2218" s="139">
        <f>IFERROR(IF(AND(ISNUMBER(F2218),ISNUMBER(H2218)),F2218-H2218,""),"")</f>
        <v/>
      </c>
      <c r="J2218" s="114" t="n"/>
      <c r="K2218" s="139">
        <f>IFERROR(IF(H2218&gt;0,H2218*$C$7,""),"")</f>
        <v/>
      </c>
      <c r="L2218" s="139">
        <f>IFERROR(IF(ISNUMBER(F2218),F2218-IF(ISNUMBER(K2218),K2218,0),""),"")</f>
        <v/>
      </c>
    </row>
    <row r="2219" ht="24" customHeight="1" s="63">
      <c r="E2219" s="139" t="n"/>
      <c r="F2219" s="139" t="n"/>
      <c r="G2219" s="140">
        <f>IFERROR(IF(E2219&gt;0,(F2219/E2219)*1000,""),"")</f>
        <v/>
      </c>
      <c r="H2219" s="139">
        <f>IFERROR(IF(E2219&gt;0,E2219*IF(ISNUMBER(J2219),J2219,IF(C2219="Futures",$C$6,$C$5)),""),"")</f>
        <v/>
      </c>
      <c r="I2219" s="139">
        <f>IFERROR(IF(AND(ISNUMBER(F2219),ISNUMBER(H2219)),F2219-H2219,""),"")</f>
        <v/>
      </c>
      <c r="J2219" s="114" t="n"/>
      <c r="K2219" s="139">
        <f>IFERROR(IF(H2219&gt;0,H2219*$C$7,""),"")</f>
        <v/>
      </c>
      <c r="L2219" s="139">
        <f>IFERROR(IF(ISNUMBER(F2219),F2219-IF(ISNUMBER(K2219),K2219,0),""),"")</f>
        <v/>
      </c>
    </row>
    <row r="2220" ht="24" customHeight="1" s="63">
      <c r="E2220" s="139" t="n"/>
      <c r="F2220" s="139" t="n"/>
      <c r="G2220" s="140">
        <f>IFERROR(IF(E2220&gt;0,(F2220/E2220)*1000,""),"")</f>
        <v/>
      </c>
      <c r="H2220" s="139">
        <f>IFERROR(IF(E2220&gt;0,E2220*IF(ISNUMBER(J2220),J2220,IF(C2220="Futures",$C$6,$C$5)),""),"")</f>
        <v/>
      </c>
      <c r="I2220" s="139">
        <f>IFERROR(IF(AND(ISNUMBER(F2220),ISNUMBER(H2220)),F2220-H2220,""),"")</f>
        <v/>
      </c>
      <c r="J2220" s="114" t="n"/>
      <c r="K2220" s="139">
        <f>IFERROR(IF(H2220&gt;0,H2220*$C$7,""),"")</f>
        <v/>
      </c>
      <c r="L2220" s="139">
        <f>IFERROR(IF(ISNUMBER(F2220),F2220-IF(ISNUMBER(K2220),K2220,0),""),"")</f>
        <v/>
      </c>
    </row>
    <row r="2221" ht="24" customHeight="1" s="63">
      <c r="E2221" s="139" t="n"/>
      <c r="F2221" s="139" t="n"/>
      <c r="G2221" s="140">
        <f>IFERROR(IF(E2221&gt;0,(F2221/E2221)*1000,""),"")</f>
        <v/>
      </c>
      <c r="H2221" s="139">
        <f>IFERROR(IF(E2221&gt;0,E2221*IF(ISNUMBER(J2221),J2221,IF(C2221="Futures",$C$6,$C$5)),""),"")</f>
        <v/>
      </c>
      <c r="I2221" s="139">
        <f>IFERROR(IF(AND(ISNUMBER(F2221),ISNUMBER(H2221)),F2221-H2221,""),"")</f>
        <v/>
      </c>
      <c r="J2221" s="114" t="n"/>
      <c r="K2221" s="139">
        <f>IFERROR(IF(H2221&gt;0,H2221*$C$7,""),"")</f>
        <v/>
      </c>
      <c r="L2221" s="139">
        <f>IFERROR(IF(ISNUMBER(F2221),F2221-IF(ISNUMBER(K2221),K2221,0),""),"")</f>
        <v/>
      </c>
    </row>
    <row r="2222" ht="24" customHeight="1" s="63">
      <c r="E2222" s="139" t="n"/>
      <c r="F2222" s="139" t="n"/>
      <c r="G2222" s="140">
        <f>IFERROR(IF(E2222&gt;0,(F2222/E2222)*1000,""),"")</f>
        <v/>
      </c>
      <c r="H2222" s="139">
        <f>IFERROR(IF(E2222&gt;0,E2222*IF(ISNUMBER(J2222),J2222,IF(C2222="Futures",$C$6,$C$5)),""),"")</f>
        <v/>
      </c>
      <c r="I2222" s="139">
        <f>IFERROR(IF(AND(ISNUMBER(F2222),ISNUMBER(H2222)),F2222-H2222,""),"")</f>
        <v/>
      </c>
      <c r="J2222" s="114" t="n"/>
      <c r="K2222" s="139">
        <f>IFERROR(IF(H2222&gt;0,H2222*$C$7,""),"")</f>
        <v/>
      </c>
      <c r="L2222" s="139">
        <f>IFERROR(IF(ISNUMBER(F2222),F2222-IF(ISNUMBER(K2222),K2222,0),""),"")</f>
        <v/>
      </c>
    </row>
    <row r="2223" ht="24" customHeight="1" s="63">
      <c r="E2223" s="139" t="n"/>
      <c r="F2223" s="139" t="n"/>
      <c r="G2223" s="140">
        <f>IFERROR(IF(E2223&gt;0,(F2223/E2223)*1000,""),"")</f>
        <v/>
      </c>
      <c r="H2223" s="139">
        <f>IFERROR(IF(E2223&gt;0,E2223*IF(ISNUMBER(J2223),J2223,IF(C2223="Futures",$C$6,$C$5)),""),"")</f>
        <v/>
      </c>
      <c r="I2223" s="139">
        <f>IFERROR(IF(AND(ISNUMBER(F2223),ISNUMBER(H2223)),F2223-H2223,""),"")</f>
        <v/>
      </c>
      <c r="J2223" s="114" t="n"/>
      <c r="K2223" s="139">
        <f>IFERROR(IF(H2223&gt;0,H2223*$C$7,""),"")</f>
        <v/>
      </c>
      <c r="L2223" s="139">
        <f>IFERROR(IF(ISNUMBER(F2223),F2223-IF(ISNUMBER(K2223),K2223,0),""),"")</f>
        <v/>
      </c>
    </row>
    <row r="2224" ht="24" customHeight="1" s="63">
      <c r="E2224" s="139" t="n"/>
      <c r="F2224" s="139" t="n"/>
      <c r="G2224" s="140">
        <f>IFERROR(IF(E2224&gt;0,(F2224/E2224)*1000,""),"")</f>
        <v/>
      </c>
      <c r="H2224" s="139">
        <f>IFERROR(IF(E2224&gt;0,E2224*IF(ISNUMBER(J2224),J2224,IF(C2224="Futures",$C$6,$C$5)),""),"")</f>
        <v/>
      </c>
      <c r="I2224" s="139">
        <f>IFERROR(IF(AND(ISNUMBER(F2224),ISNUMBER(H2224)),F2224-H2224,""),"")</f>
        <v/>
      </c>
      <c r="J2224" s="114" t="n"/>
      <c r="K2224" s="139">
        <f>IFERROR(IF(H2224&gt;0,H2224*$C$7,""),"")</f>
        <v/>
      </c>
      <c r="L2224" s="139">
        <f>IFERROR(IF(ISNUMBER(F2224),F2224-IF(ISNUMBER(K2224),K2224,0),""),"")</f>
        <v/>
      </c>
    </row>
    <row r="2225" ht="24" customHeight="1" s="63">
      <c r="E2225" s="139" t="n"/>
      <c r="F2225" s="139" t="n"/>
      <c r="G2225" s="140">
        <f>IFERROR(IF(E2225&gt;0,(F2225/E2225)*1000,""),"")</f>
        <v/>
      </c>
      <c r="H2225" s="139">
        <f>IFERROR(IF(E2225&gt;0,E2225*IF(ISNUMBER(J2225),J2225,IF(C2225="Futures",$C$6,$C$5)),""),"")</f>
        <v/>
      </c>
      <c r="I2225" s="139">
        <f>IFERROR(IF(AND(ISNUMBER(F2225),ISNUMBER(H2225)),F2225-H2225,""),"")</f>
        <v/>
      </c>
      <c r="J2225" s="114" t="n"/>
      <c r="K2225" s="139">
        <f>IFERROR(IF(H2225&gt;0,H2225*$C$7,""),"")</f>
        <v/>
      </c>
      <c r="L2225" s="139">
        <f>IFERROR(IF(ISNUMBER(F2225),F2225-IF(ISNUMBER(K2225),K2225,0),""),"")</f>
        <v/>
      </c>
    </row>
    <row r="2226" ht="24" customHeight="1" s="63">
      <c r="E2226" s="139" t="n"/>
      <c r="F2226" s="139" t="n"/>
      <c r="G2226" s="140">
        <f>IFERROR(IF(E2226&gt;0,(F2226/E2226)*1000,""),"")</f>
        <v/>
      </c>
      <c r="H2226" s="139">
        <f>IFERROR(IF(E2226&gt;0,E2226*IF(ISNUMBER(J2226),J2226,IF(C2226="Futures",$C$6,$C$5)),""),"")</f>
        <v/>
      </c>
      <c r="I2226" s="139">
        <f>IFERROR(IF(AND(ISNUMBER(F2226),ISNUMBER(H2226)),F2226-H2226,""),"")</f>
        <v/>
      </c>
      <c r="J2226" s="114" t="n"/>
      <c r="K2226" s="139">
        <f>IFERROR(IF(H2226&gt;0,H2226*$C$7,""),"")</f>
        <v/>
      </c>
      <c r="L2226" s="139">
        <f>IFERROR(IF(ISNUMBER(F2226),F2226-IF(ISNUMBER(K2226),K2226,0),""),"")</f>
        <v/>
      </c>
    </row>
    <row r="2227" ht="24" customHeight="1" s="63">
      <c r="E2227" s="139" t="n"/>
      <c r="F2227" s="139" t="n"/>
      <c r="G2227" s="140">
        <f>IFERROR(IF(E2227&gt;0,(F2227/E2227)*1000,""),"")</f>
        <v/>
      </c>
      <c r="H2227" s="139">
        <f>IFERROR(IF(E2227&gt;0,E2227*IF(ISNUMBER(J2227),J2227,IF(C2227="Futures",$C$6,$C$5)),""),"")</f>
        <v/>
      </c>
      <c r="I2227" s="139">
        <f>IFERROR(IF(AND(ISNUMBER(F2227),ISNUMBER(H2227)),F2227-H2227,""),"")</f>
        <v/>
      </c>
      <c r="J2227" s="114" t="n"/>
      <c r="K2227" s="139">
        <f>IFERROR(IF(H2227&gt;0,H2227*$C$7,""),"")</f>
        <v/>
      </c>
      <c r="L2227" s="139">
        <f>IFERROR(IF(ISNUMBER(F2227),F2227-IF(ISNUMBER(K2227),K2227,0),""),"")</f>
        <v/>
      </c>
    </row>
    <row r="2228" ht="24" customHeight="1" s="63">
      <c r="E2228" s="139" t="n"/>
      <c r="F2228" s="139" t="n"/>
      <c r="G2228" s="140">
        <f>IFERROR(IF(E2228&gt;0,(F2228/E2228)*1000,""),"")</f>
        <v/>
      </c>
      <c r="H2228" s="139">
        <f>IFERROR(IF(E2228&gt;0,E2228*IF(ISNUMBER(J2228),J2228,IF(C2228="Futures",$C$6,$C$5)),""),"")</f>
        <v/>
      </c>
      <c r="I2228" s="139">
        <f>IFERROR(IF(AND(ISNUMBER(F2228),ISNUMBER(H2228)),F2228-H2228,""),"")</f>
        <v/>
      </c>
      <c r="J2228" s="114" t="n"/>
      <c r="K2228" s="139">
        <f>IFERROR(IF(H2228&gt;0,H2228*$C$7,""),"")</f>
        <v/>
      </c>
      <c r="L2228" s="139">
        <f>IFERROR(IF(ISNUMBER(F2228),F2228-IF(ISNUMBER(K2228),K2228,0),""),"")</f>
        <v/>
      </c>
    </row>
    <row r="2229" ht="24" customHeight="1" s="63">
      <c r="E2229" s="139" t="n"/>
      <c r="F2229" s="139" t="n"/>
      <c r="G2229" s="140">
        <f>IFERROR(IF(E2229&gt;0,(F2229/E2229)*1000,""),"")</f>
        <v/>
      </c>
      <c r="H2229" s="139">
        <f>IFERROR(IF(E2229&gt;0,E2229*IF(ISNUMBER(J2229),J2229,IF(C2229="Futures",$C$6,$C$5)),""),"")</f>
        <v/>
      </c>
      <c r="I2229" s="139">
        <f>IFERROR(IF(AND(ISNUMBER(F2229),ISNUMBER(H2229)),F2229-H2229,""),"")</f>
        <v/>
      </c>
      <c r="J2229" s="114" t="n"/>
      <c r="K2229" s="139">
        <f>IFERROR(IF(H2229&gt;0,H2229*$C$7,""),"")</f>
        <v/>
      </c>
      <c r="L2229" s="139">
        <f>IFERROR(IF(ISNUMBER(F2229),F2229-IF(ISNUMBER(K2229),K2229,0),""),"")</f>
        <v/>
      </c>
    </row>
    <row r="2230" ht="24" customHeight="1" s="63">
      <c r="E2230" s="139" t="n"/>
      <c r="F2230" s="139" t="n"/>
      <c r="G2230" s="140">
        <f>IFERROR(IF(E2230&gt;0,(F2230/E2230)*1000,""),"")</f>
        <v/>
      </c>
      <c r="H2230" s="139">
        <f>IFERROR(IF(E2230&gt;0,E2230*IF(ISNUMBER(J2230),J2230,IF(C2230="Futures",$C$6,$C$5)),""),"")</f>
        <v/>
      </c>
      <c r="I2230" s="139">
        <f>IFERROR(IF(AND(ISNUMBER(F2230),ISNUMBER(H2230)),F2230-H2230,""),"")</f>
        <v/>
      </c>
      <c r="J2230" s="114" t="n"/>
      <c r="K2230" s="139">
        <f>IFERROR(IF(H2230&gt;0,H2230*$C$7,""),"")</f>
        <v/>
      </c>
      <c r="L2230" s="139">
        <f>IFERROR(IF(ISNUMBER(F2230),F2230-IF(ISNUMBER(K2230),K2230,0),""),"")</f>
        <v/>
      </c>
    </row>
    <row r="2231" ht="24" customHeight="1" s="63">
      <c r="E2231" s="139" t="n"/>
      <c r="F2231" s="139" t="n"/>
      <c r="G2231" s="140">
        <f>IFERROR(IF(E2231&gt;0,(F2231/E2231)*1000,""),"")</f>
        <v/>
      </c>
      <c r="H2231" s="139">
        <f>IFERROR(IF(E2231&gt;0,E2231*IF(ISNUMBER(J2231),J2231,IF(C2231="Futures",$C$6,$C$5)),""),"")</f>
        <v/>
      </c>
      <c r="I2231" s="139">
        <f>IFERROR(IF(AND(ISNUMBER(F2231),ISNUMBER(H2231)),F2231-H2231,""),"")</f>
        <v/>
      </c>
      <c r="J2231" s="114" t="n"/>
      <c r="K2231" s="139">
        <f>IFERROR(IF(H2231&gt;0,H2231*$C$7,""),"")</f>
        <v/>
      </c>
      <c r="L2231" s="139">
        <f>IFERROR(IF(ISNUMBER(F2231),F2231-IF(ISNUMBER(K2231),K2231,0),""),"")</f>
        <v/>
      </c>
    </row>
    <row r="2232" ht="24" customHeight="1" s="63">
      <c r="E2232" s="139" t="n"/>
      <c r="F2232" s="139" t="n"/>
      <c r="G2232" s="140">
        <f>IFERROR(IF(E2232&gt;0,(F2232/E2232)*1000,""),"")</f>
        <v/>
      </c>
      <c r="H2232" s="139">
        <f>IFERROR(IF(E2232&gt;0,E2232*IF(ISNUMBER(J2232),J2232,IF(C2232="Futures",$C$6,$C$5)),""),"")</f>
        <v/>
      </c>
      <c r="I2232" s="139">
        <f>IFERROR(IF(AND(ISNUMBER(F2232),ISNUMBER(H2232)),F2232-H2232,""),"")</f>
        <v/>
      </c>
      <c r="J2232" s="114" t="n"/>
      <c r="K2232" s="139">
        <f>IFERROR(IF(H2232&gt;0,H2232*$C$7,""),"")</f>
        <v/>
      </c>
      <c r="L2232" s="139">
        <f>IFERROR(IF(ISNUMBER(F2232),F2232-IF(ISNUMBER(K2232),K2232,0),""),"")</f>
        <v/>
      </c>
    </row>
    <row r="2233" ht="24" customHeight="1" s="63">
      <c r="E2233" s="139" t="n"/>
      <c r="F2233" s="139" t="n"/>
      <c r="G2233" s="140">
        <f>IFERROR(IF(E2233&gt;0,(F2233/E2233)*1000,""),"")</f>
        <v/>
      </c>
      <c r="H2233" s="139">
        <f>IFERROR(IF(E2233&gt;0,E2233*IF(ISNUMBER(J2233),J2233,IF(C2233="Futures",$C$6,$C$5)),""),"")</f>
        <v/>
      </c>
      <c r="I2233" s="139">
        <f>IFERROR(IF(AND(ISNUMBER(F2233),ISNUMBER(H2233)),F2233-H2233,""),"")</f>
        <v/>
      </c>
      <c r="J2233" s="114" t="n"/>
      <c r="K2233" s="139">
        <f>IFERROR(IF(H2233&gt;0,H2233*$C$7,""),"")</f>
        <v/>
      </c>
      <c r="L2233" s="139">
        <f>IFERROR(IF(ISNUMBER(F2233),F2233-IF(ISNUMBER(K2233),K2233,0),""),"")</f>
        <v/>
      </c>
    </row>
    <row r="2234" ht="24" customHeight="1" s="63">
      <c r="E2234" s="139" t="n"/>
      <c r="F2234" s="139" t="n"/>
      <c r="G2234" s="140">
        <f>IFERROR(IF(E2234&gt;0,(F2234/E2234)*1000,""),"")</f>
        <v/>
      </c>
      <c r="H2234" s="139">
        <f>IFERROR(IF(E2234&gt;0,E2234*IF(ISNUMBER(J2234),J2234,IF(C2234="Futures",$C$6,$C$5)),""),"")</f>
        <v/>
      </c>
      <c r="I2234" s="139">
        <f>IFERROR(IF(AND(ISNUMBER(F2234),ISNUMBER(H2234)),F2234-H2234,""),"")</f>
        <v/>
      </c>
      <c r="J2234" s="114" t="n"/>
      <c r="K2234" s="139">
        <f>IFERROR(IF(H2234&gt;0,H2234*$C$7,""),"")</f>
        <v/>
      </c>
      <c r="L2234" s="139">
        <f>IFERROR(IF(ISNUMBER(F2234),F2234-IF(ISNUMBER(K2234),K2234,0),""),"")</f>
        <v/>
      </c>
    </row>
    <row r="2235" ht="24" customHeight="1" s="63">
      <c r="E2235" s="139" t="n"/>
      <c r="F2235" s="139" t="n"/>
      <c r="G2235" s="140">
        <f>IFERROR(IF(E2235&gt;0,(F2235/E2235)*1000,""),"")</f>
        <v/>
      </c>
      <c r="H2235" s="139">
        <f>IFERROR(IF(E2235&gt;0,E2235*IF(ISNUMBER(J2235),J2235,IF(C2235="Futures",$C$6,$C$5)),""),"")</f>
        <v/>
      </c>
      <c r="I2235" s="139">
        <f>IFERROR(IF(AND(ISNUMBER(F2235),ISNUMBER(H2235)),F2235-H2235,""),"")</f>
        <v/>
      </c>
      <c r="J2235" s="114" t="n"/>
      <c r="K2235" s="139">
        <f>IFERROR(IF(H2235&gt;0,H2235*$C$7,""),"")</f>
        <v/>
      </c>
      <c r="L2235" s="139">
        <f>IFERROR(IF(ISNUMBER(F2235),F2235-IF(ISNUMBER(K2235),K2235,0),""),"")</f>
        <v/>
      </c>
    </row>
    <row r="2236" ht="24" customHeight="1" s="63">
      <c r="E2236" s="139" t="n"/>
      <c r="F2236" s="139" t="n"/>
      <c r="G2236" s="140">
        <f>IFERROR(IF(E2236&gt;0,(F2236/E2236)*1000,""),"")</f>
        <v/>
      </c>
      <c r="H2236" s="139">
        <f>IFERROR(IF(E2236&gt;0,E2236*IF(ISNUMBER(J2236),J2236,IF(C2236="Futures",$C$6,$C$5)),""),"")</f>
        <v/>
      </c>
      <c r="I2236" s="139">
        <f>IFERROR(IF(AND(ISNUMBER(F2236),ISNUMBER(H2236)),F2236-H2236,""),"")</f>
        <v/>
      </c>
      <c r="J2236" s="114" t="n"/>
      <c r="K2236" s="139">
        <f>IFERROR(IF(H2236&gt;0,H2236*$C$7,""),"")</f>
        <v/>
      </c>
      <c r="L2236" s="139">
        <f>IFERROR(IF(ISNUMBER(F2236),F2236-IF(ISNUMBER(K2236),K2236,0),""),"")</f>
        <v/>
      </c>
    </row>
    <row r="2237" ht="24" customHeight="1" s="63">
      <c r="E2237" s="139" t="n"/>
      <c r="F2237" s="139" t="n"/>
      <c r="G2237" s="140">
        <f>IFERROR(IF(E2237&gt;0,(F2237/E2237)*1000,""),"")</f>
        <v/>
      </c>
      <c r="H2237" s="139">
        <f>IFERROR(IF(E2237&gt;0,E2237*IF(ISNUMBER(J2237),J2237,IF(C2237="Futures",$C$6,$C$5)),""),"")</f>
        <v/>
      </c>
      <c r="I2237" s="139">
        <f>IFERROR(IF(AND(ISNUMBER(F2237),ISNUMBER(H2237)),F2237-H2237,""),"")</f>
        <v/>
      </c>
      <c r="J2237" s="114" t="n"/>
      <c r="K2237" s="139">
        <f>IFERROR(IF(H2237&gt;0,H2237*$C$7,""),"")</f>
        <v/>
      </c>
      <c r="L2237" s="139">
        <f>IFERROR(IF(ISNUMBER(F2237),F2237-IF(ISNUMBER(K2237),K2237,0),""),"")</f>
        <v/>
      </c>
    </row>
    <row r="2238" ht="24" customHeight="1" s="63">
      <c r="E2238" s="139" t="n"/>
      <c r="F2238" s="139" t="n"/>
      <c r="G2238" s="140">
        <f>IFERROR(IF(E2238&gt;0,(F2238/E2238)*1000,""),"")</f>
        <v/>
      </c>
      <c r="H2238" s="139">
        <f>IFERROR(IF(E2238&gt;0,E2238*IF(ISNUMBER(J2238),J2238,IF(C2238="Futures",$C$6,$C$5)),""),"")</f>
        <v/>
      </c>
      <c r="I2238" s="139">
        <f>IFERROR(IF(AND(ISNUMBER(F2238),ISNUMBER(H2238)),F2238-H2238,""),"")</f>
        <v/>
      </c>
      <c r="J2238" s="114" t="n"/>
      <c r="K2238" s="139">
        <f>IFERROR(IF(H2238&gt;0,H2238*$C$7,""),"")</f>
        <v/>
      </c>
      <c r="L2238" s="139">
        <f>IFERROR(IF(ISNUMBER(F2238),F2238-IF(ISNUMBER(K2238),K2238,0),""),"")</f>
        <v/>
      </c>
    </row>
    <row r="2239" ht="24" customHeight="1" s="63">
      <c r="E2239" s="139" t="n"/>
      <c r="F2239" s="139" t="n"/>
      <c r="G2239" s="140">
        <f>IFERROR(IF(E2239&gt;0,(F2239/E2239)*1000,""),"")</f>
        <v/>
      </c>
      <c r="H2239" s="139">
        <f>IFERROR(IF(E2239&gt;0,E2239*IF(ISNUMBER(J2239),J2239,IF(C2239="Futures",$C$6,$C$5)),""),"")</f>
        <v/>
      </c>
      <c r="I2239" s="139">
        <f>IFERROR(IF(AND(ISNUMBER(F2239),ISNUMBER(H2239)),F2239-H2239,""),"")</f>
        <v/>
      </c>
      <c r="J2239" s="114" t="n"/>
      <c r="K2239" s="139">
        <f>IFERROR(IF(H2239&gt;0,H2239*$C$7,""),"")</f>
        <v/>
      </c>
      <c r="L2239" s="139">
        <f>IFERROR(IF(ISNUMBER(F2239),F2239-IF(ISNUMBER(K2239),K2239,0),""),"")</f>
        <v/>
      </c>
    </row>
    <row r="2240" ht="24" customHeight="1" s="63">
      <c r="E2240" s="139" t="n"/>
      <c r="F2240" s="139" t="n"/>
      <c r="G2240" s="140">
        <f>IFERROR(IF(E2240&gt;0,(F2240/E2240)*1000,""),"")</f>
        <v/>
      </c>
      <c r="H2240" s="139">
        <f>IFERROR(IF(E2240&gt;0,E2240*IF(ISNUMBER(J2240),J2240,IF(C2240="Futures",$C$6,$C$5)),""),"")</f>
        <v/>
      </c>
      <c r="I2240" s="139">
        <f>IFERROR(IF(AND(ISNUMBER(F2240),ISNUMBER(H2240)),F2240-H2240,""),"")</f>
        <v/>
      </c>
      <c r="J2240" s="114" t="n"/>
      <c r="K2240" s="139">
        <f>IFERROR(IF(H2240&gt;0,H2240*$C$7,""),"")</f>
        <v/>
      </c>
      <c r="L2240" s="139">
        <f>IFERROR(IF(ISNUMBER(F2240),F2240-IF(ISNUMBER(K2240),K2240,0),""),"")</f>
        <v/>
      </c>
    </row>
    <row r="2241" ht="24" customHeight="1" s="63">
      <c r="E2241" s="139" t="n"/>
      <c r="F2241" s="139" t="n"/>
      <c r="G2241" s="140">
        <f>IFERROR(IF(E2241&gt;0,(F2241/E2241)*1000,""),"")</f>
        <v/>
      </c>
      <c r="H2241" s="139">
        <f>IFERROR(IF(E2241&gt;0,E2241*IF(ISNUMBER(J2241),J2241,IF(C2241="Futures",$C$6,$C$5)),""),"")</f>
        <v/>
      </c>
      <c r="I2241" s="139">
        <f>IFERROR(IF(AND(ISNUMBER(F2241),ISNUMBER(H2241)),F2241-H2241,""),"")</f>
        <v/>
      </c>
      <c r="J2241" s="114" t="n"/>
      <c r="K2241" s="139">
        <f>IFERROR(IF(H2241&gt;0,H2241*$C$7,""),"")</f>
        <v/>
      </c>
      <c r="L2241" s="139">
        <f>IFERROR(IF(ISNUMBER(F2241),F2241-IF(ISNUMBER(K2241),K2241,0),""),"")</f>
        <v/>
      </c>
    </row>
    <row r="2242" ht="24" customHeight="1" s="63">
      <c r="E2242" s="139" t="n"/>
      <c r="F2242" s="139" t="n"/>
      <c r="G2242" s="140">
        <f>IFERROR(IF(E2242&gt;0,(F2242/E2242)*1000,""),"")</f>
        <v/>
      </c>
      <c r="H2242" s="139">
        <f>IFERROR(IF(E2242&gt;0,E2242*IF(ISNUMBER(J2242),J2242,IF(C2242="Futures",$C$6,$C$5)),""),"")</f>
        <v/>
      </c>
      <c r="I2242" s="139">
        <f>IFERROR(IF(AND(ISNUMBER(F2242),ISNUMBER(H2242)),F2242-H2242,""),"")</f>
        <v/>
      </c>
      <c r="J2242" s="114" t="n"/>
      <c r="K2242" s="139">
        <f>IFERROR(IF(H2242&gt;0,H2242*$C$7,""),"")</f>
        <v/>
      </c>
      <c r="L2242" s="139">
        <f>IFERROR(IF(ISNUMBER(F2242),F2242-IF(ISNUMBER(K2242),K2242,0),""),"")</f>
        <v/>
      </c>
    </row>
    <row r="2243" ht="24" customHeight="1" s="63">
      <c r="E2243" s="139" t="n"/>
      <c r="F2243" s="139" t="n"/>
      <c r="G2243" s="140">
        <f>IFERROR(IF(E2243&gt;0,(F2243/E2243)*1000,""),"")</f>
        <v/>
      </c>
      <c r="H2243" s="139">
        <f>IFERROR(IF(E2243&gt;0,E2243*IF(ISNUMBER(J2243),J2243,IF(C2243="Futures",$C$6,$C$5)),""),"")</f>
        <v/>
      </c>
      <c r="I2243" s="139">
        <f>IFERROR(IF(AND(ISNUMBER(F2243),ISNUMBER(H2243)),F2243-H2243,""),"")</f>
        <v/>
      </c>
      <c r="J2243" s="114" t="n"/>
      <c r="K2243" s="139">
        <f>IFERROR(IF(H2243&gt;0,H2243*$C$7,""),"")</f>
        <v/>
      </c>
      <c r="L2243" s="139">
        <f>IFERROR(IF(ISNUMBER(F2243),F2243-IF(ISNUMBER(K2243),K2243,0),""),"")</f>
        <v/>
      </c>
    </row>
    <row r="2244" ht="24" customHeight="1" s="63">
      <c r="E2244" s="139" t="n"/>
      <c r="F2244" s="139" t="n"/>
      <c r="G2244" s="140">
        <f>IFERROR(IF(E2244&gt;0,(F2244/E2244)*1000,""),"")</f>
        <v/>
      </c>
      <c r="H2244" s="139">
        <f>IFERROR(IF(E2244&gt;0,E2244*IF(ISNUMBER(J2244),J2244,IF(C2244="Futures",$C$6,$C$5)),""),"")</f>
        <v/>
      </c>
      <c r="I2244" s="139">
        <f>IFERROR(IF(AND(ISNUMBER(F2244),ISNUMBER(H2244)),F2244-H2244,""),"")</f>
        <v/>
      </c>
      <c r="J2244" s="114" t="n"/>
      <c r="K2244" s="139">
        <f>IFERROR(IF(H2244&gt;0,H2244*$C$7,""),"")</f>
        <v/>
      </c>
      <c r="L2244" s="139">
        <f>IFERROR(IF(ISNUMBER(F2244),F2244-IF(ISNUMBER(K2244),K2244,0),""),"")</f>
        <v/>
      </c>
    </row>
    <row r="2245" ht="24" customHeight="1" s="63">
      <c r="E2245" s="139" t="n"/>
      <c r="F2245" s="139" t="n"/>
      <c r="G2245" s="140">
        <f>IFERROR(IF(E2245&gt;0,(F2245/E2245)*1000,""),"")</f>
        <v/>
      </c>
      <c r="H2245" s="139">
        <f>IFERROR(IF(E2245&gt;0,E2245*IF(ISNUMBER(J2245),J2245,IF(C2245="Futures",$C$6,$C$5)),""),"")</f>
        <v/>
      </c>
      <c r="I2245" s="139">
        <f>IFERROR(IF(AND(ISNUMBER(F2245),ISNUMBER(H2245)),F2245-H2245,""),"")</f>
        <v/>
      </c>
      <c r="J2245" s="114" t="n"/>
      <c r="K2245" s="139">
        <f>IFERROR(IF(H2245&gt;0,H2245*$C$7,""),"")</f>
        <v/>
      </c>
      <c r="L2245" s="139">
        <f>IFERROR(IF(ISNUMBER(F2245),F2245-IF(ISNUMBER(K2245),K2245,0),""),"")</f>
        <v/>
      </c>
    </row>
    <row r="2246" ht="24" customHeight="1" s="63">
      <c r="E2246" s="139" t="n"/>
      <c r="F2246" s="139" t="n"/>
      <c r="G2246" s="140">
        <f>IFERROR(IF(E2246&gt;0,(F2246/E2246)*1000,""),"")</f>
        <v/>
      </c>
      <c r="H2246" s="139">
        <f>IFERROR(IF(E2246&gt;0,E2246*IF(ISNUMBER(J2246),J2246,IF(C2246="Futures",$C$6,$C$5)),""),"")</f>
        <v/>
      </c>
      <c r="I2246" s="139">
        <f>IFERROR(IF(AND(ISNUMBER(F2246),ISNUMBER(H2246)),F2246-H2246,""),"")</f>
        <v/>
      </c>
      <c r="J2246" s="114" t="n"/>
      <c r="K2246" s="139">
        <f>IFERROR(IF(H2246&gt;0,H2246*$C$7,""),"")</f>
        <v/>
      </c>
      <c r="L2246" s="139">
        <f>IFERROR(IF(ISNUMBER(F2246),F2246-IF(ISNUMBER(K2246),K2246,0),""),"")</f>
        <v/>
      </c>
    </row>
    <row r="2247" ht="24" customHeight="1" s="63">
      <c r="E2247" s="139" t="n"/>
      <c r="F2247" s="139" t="n"/>
      <c r="G2247" s="140">
        <f>IFERROR(IF(E2247&gt;0,(F2247/E2247)*1000,""),"")</f>
        <v/>
      </c>
      <c r="H2247" s="139">
        <f>IFERROR(IF(E2247&gt;0,E2247*IF(ISNUMBER(J2247),J2247,IF(C2247="Futures",$C$6,$C$5)),""),"")</f>
        <v/>
      </c>
      <c r="I2247" s="139">
        <f>IFERROR(IF(AND(ISNUMBER(F2247),ISNUMBER(H2247)),F2247-H2247,""),"")</f>
        <v/>
      </c>
      <c r="J2247" s="114" t="n"/>
      <c r="K2247" s="139">
        <f>IFERROR(IF(H2247&gt;0,H2247*$C$7,""),"")</f>
        <v/>
      </c>
      <c r="L2247" s="139">
        <f>IFERROR(IF(ISNUMBER(F2247),F2247-IF(ISNUMBER(K2247),K2247,0),""),"")</f>
        <v/>
      </c>
    </row>
    <row r="2248" ht="24" customHeight="1" s="63">
      <c r="E2248" s="139" t="n"/>
      <c r="F2248" s="139" t="n"/>
      <c r="G2248" s="140">
        <f>IFERROR(IF(E2248&gt;0,(F2248/E2248)*1000,""),"")</f>
        <v/>
      </c>
      <c r="H2248" s="139">
        <f>IFERROR(IF(E2248&gt;0,E2248*IF(ISNUMBER(J2248),J2248,IF(C2248="Futures",$C$6,$C$5)),""),"")</f>
        <v/>
      </c>
      <c r="I2248" s="139">
        <f>IFERROR(IF(AND(ISNUMBER(F2248),ISNUMBER(H2248)),F2248-H2248,""),"")</f>
        <v/>
      </c>
      <c r="J2248" s="114" t="n"/>
      <c r="K2248" s="139">
        <f>IFERROR(IF(H2248&gt;0,H2248*$C$7,""),"")</f>
        <v/>
      </c>
      <c r="L2248" s="139">
        <f>IFERROR(IF(ISNUMBER(F2248),F2248-IF(ISNUMBER(K2248),K2248,0),""),"")</f>
        <v/>
      </c>
    </row>
    <row r="2249" ht="24" customHeight="1" s="63">
      <c r="E2249" s="139" t="n"/>
      <c r="F2249" s="139" t="n"/>
      <c r="G2249" s="140">
        <f>IFERROR(IF(E2249&gt;0,(F2249/E2249)*1000,""),"")</f>
        <v/>
      </c>
      <c r="H2249" s="139">
        <f>IFERROR(IF(E2249&gt;0,E2249*IF(ISNUMBER(J2249),J2249,IF(C2249="Futures",$C$6,$C$5)),""),"")</f>
        <v/>
      </c>
      <c r="I2249" s="139">
        <f>IFERROR(IF(AND(ISNUMBER(F2249),ISNUMBER(H2249)),F2249-H2249,""),"")</f>
        <v/>
      </c>
      <c r="J2249" s="114" t="n"/>
      <c r="K2249" s="139">
        <f>IFERROR(IF(H2249&gt;0,H2249*$C$7,""),"")</f>
        <v/>
      </c>
      <c r="L2249" s="139">
        <f>IFERROR(IF(ISNUMBER(F2249),F2249-IF(ISNUMBER(K2249),K2249,0),""),"")</f>
        <v/>
      </c>
    </row>
    <row r="2250" ht="24" customHeight="1" s="63">
      <c r="E2250" s="139" t="n"/>
      <c r="F2250" s="139" t="n"/>
      <c r="G2250" s="140">
        <f>IFERROR(IF(E2250&gt;0,(F2250/E2250)*1000,""),"")</f>
        <v/>
      </c>
      <c r="H2250" s="139">
        <f>IFERROR(IF(E2250&gt;0,E2250*IF(ISNUMBER(J2250),J2250,IF(C2250="Futures",$C$6,$C$5)),""),"")</f>
        <v/>
      </c>
      <c r="I2250" s="139">
        <f>IFERROR(IF(AND(ISNUMBER(F2250),ISNUMBER(H2250)),F2250-H2250,""),"")</f>
        <v/>
      </c>
      <c r="J2250" s="114" t="n"/>
      <c r="K2250" s="139">
        <f>IFERROR(IF(H2250&gt;0,H2250*$C$7,""),"")</f>
        <v/>
      </c>
      <c r="L2250" s="139">
        <f>IFERROR(IF(ISNUMBER(F2250),F2250-IF(ISNUMBER(K2250),K2250,0),""),"")</f>
        <v/>
      </c>
    </row>
    <row r="2251" ht="24" customHeight="1" s="63">
      <c r="E2251" s="139" t="n"/>
      <c r="F2251" s="139" t="n"/>
      <c r="G2251" s="140">
        <f>IFERROR(IF(E2251&gt;0,(F2251/E2251)*1000,""),"")</f>
        <v/>
      </c>
      <c r="H2251" s="139">
        <f>IFERROR(IF(E2251&gt;0,E2251*IF(ISNUMBER(J2251),J2251,IF(C2251="Futures",$C$6,$C$5)),""),"")</f>
        <v/>
      </c>
      <c r="I2251" s="139">
        <f>IFERROR(IF(AND(ISNUMBER(F2251),ISNUMBER(H2251)),F2251-H2251,""),"")</f>
        <v/>
      </c>
      <c r="J2251" s="114" t="n"/>
      <c r="K2251" s="139">
        <f>IFERROR(IF(H2251&gt;0,H2251*$C$7,""),"")</f>
        <v/>
      </c>
      <c r="L2251" s="139">
        <f>IFERROR(IF(ISNUMBER(F2251),F2251-IF(ISNUMBER(K2251),K2251,0),""),"")</f>
        <v/>
      </c>
    </row>
    <row r="2252" ht="24" customHeight="1" s="63">
      <c r="E2252" s="139" t="n"/>
      <c r="F2252" s="139" t="n"/>
      <c r="G2252" s="140">
        <f>IFERROR(IF(E2252&gt;0,(F2252/E2252)*1000,""),"")</f>
        <v/>
      </c>
      <c r="H2252" s="139">
        <f>IFERROR(IF(E2252&gt;0,E2252*IF(ISNUMBER(J2252),J2252,IF(C2252="Futures",$C$6,$C$5)),""),"")</f>
        <v/>
      </c>
      <c r="I2252" s="139">
        <f>IFERROR(IF(AND(ISNUMBER(F2252),ISNUMBER(H2252)),F2252-H2252,""),"")</f>
        <v/>
      </c>
      <c r="J2252" s="114" t="n"/>
      <c r="K2252" s="139">
        <f>IFERROR(IF(H2252&gt;0,H2252*$C$7,""),"")</f>
        <v/>
      </c>
      <c r="L2252" s="139">
        <f>IFERROR(IF(ISNUMBER(F2252),F2252-IF(ISNUMBER(K2252),K2252,0),""),"")</f>
        <v/>
      </c>
    </row>
    <row r="2253" ht="24" customHeight="1" s="63">
      <c r="E2253" s="139" t="n"/>
      <c r="F2253" s="139" t="n"/>
      <c r="G2253" s="140">
        <f>IFERROR(IF(E2253&gt;0,(F2253/E2253)*1000,""),"")</f>
        <v/>
      </c>
      <c r="H2253" s="139">
        <f>IFERROR(IF(E2253&gt;0,E2253*IF(ISNUMBER(J2253),J2253,IF(C2253="Futures",$C$6,$C$5)),""),"")</f>
        <v/>
      </c>
      <c r="I2253" s="139">
        <f>IFERROR(IF(AND(ISNUMBER(F2253),ISNUMBER(H2253)),F2253-H2253,""),"")</f>
        <v/>
      </c>
      <c r="J2253" s="114" t="n"/>
      <c r="K2253" s="139">
        <f>IFERROR(IF(H2253&gt;0,H2253*$C$7,""),"")</f>
        <v/>
      </c>
      <c r="L2253" s="139">
        <f>IFERROR(IF(ISNUMBER(F2253),F2253-IF(ISNUMBER(K2253),K2253,0),""),"")</f>
        <v/>
      </c>
    </row>
    <row r="2254" ht="24" customHeight="1" s="63">
      <c r="E2254" s="139" t="n"/>
      <c r="F2254" s="139" t="n"/>
      <c r="G2254" s="140">
        <f>IFERROR(IF(E2254&gt;0,(F2254/E2254)*1000,""),"")</f>
        <v/>
      </c>
      <c r="H2254" s="139">
        <f>IFERROR(IF(E2254&gt;0,E2254*IF(ISNUMBER(J2254),J2254,IF(C2254="Futures",$C$6,$C$5)),""),"")</f>
        <v/>
      </c>
      <c r="I2254" s="139">
        <f>IFERROR(IF(AND(ISNUMBER(F2254),ISNUMBER(H2254)),F2254-H2254,""),"")</f>
        <v/>
      </c>
      <c r="J2254" s="114" t="n"/>
      <c r="K2254" s="139">
        <f>IFERROR(IF(H2254&gt;0,H2254*$C$7,""),"")</f>
        <v/>
      </c>
      <c r="L2254" s="139">
        <f>IFERROR(IF(ISNUMBER(F2254),F2254-IF(ISNUMBER(K2254),K2254,0),""),"")</f>
        <v/>
      </c>
    </row>
    <row r="2255" ht="24" customHeight="1" s="63">
      <c r="E2255" s="139" t="n"/>
      <c r="F2255" s="139" t="n"/>
      <c r="G2255" s="140">
        <f>IFERROR(IF(E2255&gt;0,(F2255/E2255)*1000,""),"")</f>
        <v/>
      </c>
      <c r="H2255" s="139">
        <f>IFERROR(IF(E2255&gt;0,E2255*IF(ISNUMBER(J2255),J2255,IF(C2255="Futures",$C$6,$C$5)),""),"")</f>
        <v/>
      </c>
      <c r="I2255" s="139">
        <f>IFERROR(IF(AND(ISNUMBER(F2255),ISNUMBER(H2255)),F2255-H2255,""),"")</f>
        <v/>
      </c>
      <c r="J2255" s="114" t="n"/>
      <c r="K2255" s="139">
        <f>IFERROR(IF(H2255&gt;0,H2255*$C$7,""),"")</f>
        <v/>
      </c>
      <c r="L2255" s="139">
        <f>IFERROR(IF(ISNUMBER(F2255),F2255-IF(ISNUMBER(K2255),K2255,0),""),"")</f>
        <v/>
      </c>
    </row>
    <row r="2256" ht="24" customHeight="1" s="63">
      <c r="E2256" s="139" t="n"/>
      <c r="F2256" s="139" t="n"/>
      <c r="G2256" s="140">
        <f>IFERROR(IF(E2256&gt;0,(F2256/E2256)*1000,""),"")</f>
        <v/>
      </c>
      <c r="H2256" s="139">
        <f>IFERROR(IF(E2256&gt;0,E2256*IF(ISNUMBER(J2256),J2256,IF(C2256="Futures",$C$6,$C$5)),""),"")</f>
        <v/>
      </c>
      <c r="I2256" s="139">
        <f>IFERROR(IF(AND(ISNUMBER(F2256),ISNUMBER(H2256)),F2256-H2256,""),"")</f>
        <v/>
      </c>
      <c r="J2256" s="114" t="n"/>
      <c r="K2256" s="139">
        <f>IFERROR(IF(H2256&gt;0,H2256*$C$7,""),"")</f>
        <v/>
      </c>
      <c r="L2256" s="139">
        <f>IFERROR(IF(ISNUMBER(F2256),F2256-IF(ISNUMBER(K2256),K2256,0),""),"")</f>
        <v/>
      </c>
    </row>
    <row r="2257" ht="24" customHeight="1" s="63">
      <c r="E2257" s="139" t="n"/>
      <c r="F2257" s="139" t="n"/>
      <c r="G2257" s="140">
        <f>IFERROR(IF(E2257&gt;0,(F2257/E2257)*1000,""),"")</f>
        <v/>
      </c>
      <c r="H2257" s="139">
        <f>IFERROR(IF(E2257&gt;0,E2257*IF(ISNUMBER(J2257),J2257,IF(C2257="Futures",$C$6,$C$5)),""),"")</f>
        <v/>
      </c>
      <c r="I2257" s="139">
        <f>IFERROR(IF(AND(ISNUMBER(F2257),ISNUMBER(H2257)),F2257-H2257,""),"")</f>
        <v/>
      </c>
      <c r="J2257" s="114" t="n"/>
      <c r="K2257" s="139">
        <f>IFERROR(IF(H2257&gt;0,H2257*$C$7,""),"")</f>
        <v/>
      </c>
      <c r="L2257" s="139">
        <f>IFERROR(IF(ISNUMBER(F2257),F2257-IF(ISNUMBER(K2257),K2257,0),""),"")</f>
        <v/>
      </c>
    </row>
    <row r="2258" ht="24" customHeight="1" s="63">
      <c r="E2258" s="139" t="n"/>
      <c r="F2258" s="139" t="n"/>
      <c r="G2258" s="140">
        <f>IFERROR(IF(E2258&gt;0,(F2258/E2258)*1000,""),"")</f>
        <v/>
      </c>
      <c r="H2258" s="139">
        <f>IFERROR(IF(E2258&gt;0,E2258*IF(ISNUMBER(J2258),J2258,IF(C2258="Futures",$C$6,$C$5)),""),"")</f>
        <v/>
      </c>
      <c r="I2258" s="139">
        <f>IFERROR(IF(AND(ISNUMBER(F2258),ISNUMBER(H2258)),F2258-H2258,""),"")</f>
        <v/>
      </c>
      <c r="J2258" s="114" t="n"/>
      <c r="K2258" s="139">
        <f>IFERROR(IF(H2258&gt;0,H2258*$C$7,""),"")</f>
        <v/>
      </c>
      <c r="L2258" s="139">
        <f>IFERROR(IF(ISNUMBER(F2258),F2258-IF(ISNUMBER(K2258),K2258,0),""),"")</f>
        <v/>
      </c>
    </row>
    <row r="2259" ht="24" customHeight="1" s="63">
      <c r="E2259" s="139" t="n"/>
      <c r="F2259" s="139" t="n"/>
      <c r="G2259" s="140">
        <f>IFERROR(IF(E2259&gt;0,(F2259/E2259)*1000,""),"")</f>
        <v/>
      </c>
      <c r="H2259" s="139">
        <f>IFERROR(IF(E2259&gt;0,E2259*IF(ISNUMBER(J2259),J2259,IF(C2259="Futures",$C$6,$C$5)),""),"")</f>
        <v/>
      </c>
      <c r="I2259" s="139">
        <f>IFERROR(IF(AND(ISNUMBER(F2259),ISNUMBER(H2259)),F2259-H2259,""),"")</f>
        <v/>
      </c>
      <c r="J2259" s="114" t="n"/>
      <c r="K2259" s="139">
        <f>IFERROR(IF(H2259&gt;0,H2259*$C$7,""),"")</f>
        <v/>
      </c>
      <c r="L2259" s="139">
        <f>IFERROR(IF(ISNUMBER(F2259),F2259-IF(ISNUMBER(K2259),K2259,0),""),"")</f>
        <v/>
      </c>
    </row>
    <row r="2260" ht="24" customHeight="1" s="63">
      <c r="E2260" s="139" t="n"/>
      <c r="F2260" s="139" t="n"/>
      <c r="G2260" s="140">
        <f>IFERROR(IF(E2260&gt;0,(F2260/E2260)*1000,""),"")</f>
        <v/>
      </c>
      <c r="H2260" s="139">
        <f>IFERROR(IF(E2260&gt;0,E2260*IF(ISNUMBER(J2260),J2260,IF(C2260="Futures",$C$6,$C$5)),""),"")</f>
        <v/>
      </c>
      <c r="I2260" s="139">
        <f>IFERROR(IF(AND(ISNUMBER(F2260),ISNUMBER(H2260)),F2260-H2260,""),"")</f>
        <v/>
      </c>
      <c r="J2260" s="114" t="n"/>
      <c r="K2260" s="139">
        <f>IFERROR(IF(H2260&gt;0,H2260*$C$7,""),"")</f>
        <v/>
      </c>
      <c r="L2260" s="139">
        <f>IFERROR(IF(ISNUMBER(F2260),F2260-IF(ISNUMBER(K2260),K2260,0),""),"")</f>
        <v/>
      </c>
    </row>
    <row r="2261" ht="24" customHeight="1" s="63">
      <c r="E2261" s="139" t="n"/>
      <c r="F2261" s="139" t="n"/>
      <c r="G2261" s="140">
        <f>IFERROR(IF(E2261&gt;0,(F2261/E2261)*1000,""),"")</f>
        <v/>
      </c>
      <c r="H2261" s="139">
        <f>IFERROR(IF(E2261&gt;0,E2261*IF(ISNUMBER(J2261),J2261,IF(C2261="Futures",$C$6,$C$5)),""),"")</f>
        <v/>
      </c>
      <c r="I2261" s="139">
        <f>IFERROR(IF(AND(ISNUMBER(F2261),ISNUMBER(H2261)),F2261-H2261,""),"")</f>
        <v/>
      </c>
      <c r="J2261" s="114" t="n"/>
      <c r="K2261" s="139">
        <f>IFERROR(IF(H2261&gt;0,H2261*$C$7,""),"")</f>
        <v/>
      </c>
      <c r="L2261" s="139">
        <f>IFERROR(IF(ISNUMBER(F2261),F2261-IF(ISNUMBER(K2261),K2261,0),""),"")</f>
        <v/>
      </c>
    </row>
    <row r="2262" ht="24" customHeight="1" s="63">
      <c r="E2262" s="139" t="n"/>
      <c r="F2262" s="139" t="n"/>
      <c r="G2262" s="140">
        <f>IFERROR(IF(E2262&gt;0,(F2262/E2262)*1000,""),"")</f>
        <v/>
      </c>
      <c r="H2262" s="139">
        <f>IFERROR(IF(E2262&gt;0,E2262*IF(ISNUMBER(J2262),J2262,IF(C2262="Futures",$C$6,$C$5)),""),"")</f>
        <v/>
      </c>
      <c r="I2262" s="139">
        <f>IFERROR(IF(AND(ISNUMBER(F2262),ISNUMBER(H2262)),F2262-H2262,""),"")</f>
        <v/>
      </c>
      <c r="J2262" s="114" t="n"/>
      <c r="K2262" s="139">
        <f>IFERROR(IF(H2262&gt;0,H2262*$C$7,""),"")</f>
        <v/>
      </c>
      <c r="L2262" s="139">
        <f>IFERROR(IF(ISNUMBER(F2262),F2262-IF(ISNUMBER(K2262),K2262,0),""),"")</f>
        <v/>
      </c>
    </row>
    <row r="2263" ht="24" customHeight="1" s="63">
      <c r="E2263" s="139" t="n"/>
      <c r="F2263" s="139" t="n"/>
      <c r="G2263" s="140">
        <f>IFERROR(IF(E2263&gt;0,(F2263/E2263)*1000,""),"")</f>
        <v/>
      </c>
      <c r="H2263" s="139">
        <f>IFERROR(IF(E2263&gt;0,E2263*IF(ISNUMBER(J2263),J2263,IF(C2263="Futures",$C$6,$C$5)),""),"")</f>
        <v/>
      </c>
      <c r="I2263" s="139">
        <f>IFERROR(IF(AND(ISNUMBER(F2263),ISNUMBER(H2263)),F2263-H2263,""),"")</f>
        <v/>
      </c>
      <c r="J2263" s="114" t="n"/>
      <c r="K2263" s="139">
        <f>IFERROR(IF(H2263&gt;0,H2263*$C$7,""),"")</f>
        <v/>
      </c>
      <c r="L2263" s="139">
        <f>IFERROR(IF(ISNUMBER(F2263),F2263-IF(ISNUMBER(K2263),K2263,0),""),"")</f>
        <v/>
      </c>
    </row>
    <row r="2264" ht="24" customHeight="1" s="63">
      <c r="E2264" s="139" t="n"/>
      <c r="F2264" s="139" t="n"/>
      <c r="G2264" s="140">
        <f>IFERROR(IF(E2264&gt;0,(F2264/E2264)*1000,""),"")</f>
        <v/>
      </c>
      <c r="H2264" s="139">
        <f>IFERROR(IF(E2264&gt;0,E2264*IF(ISNUMBER(J2264),J2264,IF(C2264="Futures",$C$6,$C$5)),""),"")</f>
        <v/>
      </c>
      <c r="I2264" s="139">
        <f>IFERROR(IF(AND(ISNUMBER(F2264),ISNUMBER(H2264)),F2264-H2264,""),"")</f>
        <v/>
      </c>
      <c r="J2264" s="114" t="n"/>
      <c r="K2264" s="139">
        <f>IFERROR(IF(H2264&gt;0,H2264*$C$7,""),"")</f>
        <v/>
      </c>
      <c r="L2264" s="139">
        <f>IFERROR(IF(ISNUMBER(F2264),F2264-IF(ISNUMBER(K2264),K2264,0),""),"")</f>
        <v/>
      </c>
    </row>
    <row r="2265" ht="24" customHeight="1" s="63">
      <c r="E2265" s="139" t="n"/>
      <c r="F2265" s="139" t="n"/>
      <c r="G2265" s="140">
        <f>IFERROR(IF(E2265&gt;0,(F2265/E2265)*1000,""),"")</f>
        <v/>
      </c>
      <c r="H2265" s="139">
        <f>IFERROR(IF(E2265&gt;0,E2265*IF(ISNUMBER(J2265),J2265,IF(C2265="Futures",$C$6,$C$5)),""),"")</f>
        <v/>
      </c>
      <c r="I2265" s="139">
        <f>IFERROR(IF(AND(ISNUMBER(F2265),ISNUMBER(H2265)),F2265-H2265,""),"")</f>
        <v/>
      </c>
      <c r="J2265" s="114" t="n"/>
      <c r="K2265" s="139">
        <f>IFERROR(IF(H2265&gt;0,H2265*$C$7,""),"")</f>
        <v/>
      </c>
      <c r="L2265" s="139">
        <f>IFERROR(IF(ISNUMBER(F2265),F2265-IF(ISNUMBER(K2265),K2265,0),""),"")</f>
        <v/>
      </c>
    </row>
    <row r="2266" ht="24" customHeight="1" s="63">
      <c r="E2266" s="139" t="n"/>
      <c r="F2266" s="139" t="n"/>
      <c r="G2266" s="140">
        <f>IFERROR(IF(E2266&gt;0,(F2266/E2266)*1000,""),"")</f>
        <v/>
      </c>
      <c r="H2266" s="139">
        <f>IFERROR(IF(E2266&gt;0,E2266*IF(ISNUMBER(J2266),J2266,IF(C2266="Futures",$C$6,$C$5)),""),"")</f>
        <v/>
      </c>
      <c r="I2266" s="139">
        <f>IFERROR(IF(AND(ISNUMBER(F2266),ISNUMBER(H2266)),F2266-H2266,""),"")</f>
        <v/>
      </c>
      <c r="J2266" s="114" t="n"/>
      <c r="K2266" s="139">
        <f>IFERROR(IF(H2266&gt;0,H2266*$C$7,""),"")</f>
        <v/>
      </c>
      <c r="L2266" s="139">
        <f>IFERROR(IF(ISNUMBER(F2266),F2266-IF(ISNUMBER(K2266),K2266,0),""),"")</f>
        <v/>
      </c>
    </row>
    <row r="2267" ht="24" customHeight="1" s="63">
      <c r="E2267" s="139" t="n"/>
      <c r="F2267" s="139" t="n"/>
      <c r="G2267" s="140">
        <f>IFERROR(IF(E2267&gt;0,(F2267/E2267)*1000,""),"")</f>
        <v/>
      </c>
      <c r="H2267" s="139">
        <f>IFERROR(IF(E2267&gt;0,E2267*IF(ISNUMBER(J2267),J2267,IF(C2267="Futures",$C$6,$C$5)),""),"")</f>
        <v/>
      </c>
      <c r="I2267" s="139">
        <f>IFERROR(IF(AND(ISNUMBER(F2267),ISNUMBER(H2267)),F2267-H2267,""),"")</f>
        <v/>
      </c>
      <c r="J2267" s="114" t="n"/>
      <c r="K2267" s="139">
        <f>IFERROR(IF(H2267&gt;0,H2267*$C$7,""),"")</f>
        <v/>
      </c>
      <c r="L2267" s="139">
        <f>IFERROR(IF(ISNUMBER(F2267),F2267-IF(ISNUMBER(K2267),K2267,0),""),"")</f>
        <v/>
      </c>
    </row>
    <row r="2268" ht="24" customHeight="1" s="63">
      <c r="E2268" s="139" t="n"/>
      <c r="F2268" s="139" t="n"/>
      <c r="G2268" s="140">
        <f>IFERROR(IF(E2268&gt;0,(F2268/E2268)*1000,""),"")</f>
        <v/>
      </c>
      <c r="H2268" s="139">
        <f>IFERROR(IF(E2268&gt;0,E2268*IF(ISNUMBER(J2268),J2268,IF(C2268="Futures",$C$6,$C$5)),""),"")</f>
        <v/>
      </c>
      <c r="I2268" s="139">
        <f>IFERROR(IF(AND(ISNUMBER(F2268),ISNUMBER(H2268)),F2268-H2268,""),"")</f>
        <v/>
      </c>
      <c r="J2268" s="114" t="n"/>
      <c r="K2268" s="139">
        <f>IFERROR(IF(H2268&gt;0,H2268*$C$7,""),"")</f>
        <v/>
      </c>
      <c r="L2268" s="139">
        <f>IFERROR(IF(ISNUMBER(F2268),F2268-IF(ISNUMBER(K2268),K2268,0),""),"")</f>
        <v/>
      </c>
    </row>
    <row r="2269" ht="24" customHeight="1" s="63">
      <c r="E2269" s="139" t="n"/>
      <c r="F2269" s="139" t="n"/>
      <c r="G2269" s="140">
        <f>IFERROR(IF(E2269&gt;0,(F2269/E2269)*1000,""),"")</f>
        <v/>
      </c>
      <c r="H2269" s="139">
        <f>IFERROR(IF(E2269&gt;0,E2269*IF(ISNUMBER(J2269),J2269,IF(C2269="Futures",$C$6,$C$5)),""),"")</f>
        <v/>
      </c>
      <c r="I2269" s="139">
        <f>IFERROR(IF(AND(ISNUMBER(F2269),ISNUMBER(H2269)),F2269-H2269,""),"")</f>
        <v/>
      </c>
      <c r="J2269" s="114" t="n"/>
      <c r="K2269" s="139">
        <f>IFERROR(IF(H2269&gt;0,H2269*$C$7,""),"")</f>
        <v/>
      </c>
      <c r="L2269" s="139">
        <f>IFERROR(IF(ISNUMBER(F2269),F2269-IF(ISNUMBER(K2269),K2269,0),""),"")</f>
        <v/>
      </c>
    </row>
    <row r="2270" ht="24" customHeight="1" s="63">
      <c r="E2270" s="139" t="n"/>
      <c r="F2270" s="139" t="n"/>
      <c r="G2270" s="140">
        <f>IFERROR(IF(E2270&gt;0,(F2270/E2270)*1000,""),"")</f>
        <v/>
      </c>
      <c r="H2270" s="139">
        <f>IFERROR(IF(E2270&gt;0,E2270*IF(ISNUMBER(J2270),J2270,IF(C2270="Futures",$C$6,$C$5)),""),"")</f>
        <v/>
      </c>
      <c r="I2270" s="139">
        <f>IFERROR(IF(AND(ISNUMBER(F2270),ISNUMBER(H2270)),F2270-H2270,""),"")</f>
        <v/>
      </c>
      <c r="J2270" s="114" t="n"/>
      <c r="K2270" s="139">
        <f>IFERROR(IF(H2270&gt;0,H2270*$C$7,""),"")</f>
        <v/>
      </c>
      <c r="L2270" s="139">
        <f>IFERROR(IF(ISNUMBER(F2270),F2270-IF(ISNUMBER(K2270),K2270,0),""),"")</f>
        <v/>
      </c>
    </row>
    <row r="2271" ht="24" customHeight="1" s="63">
      <c r="E2271" s="139" t="n"/>
      <c r="F2271" s="139" t="n"/>
      <c r="G2271" s="140">
        <f>IFERROR(IF(E2271&gt;0,(F2271/E2271)*1000,""),"")</f>
        <v/>
      </c>
      <c r="H2271" s="139">
        <f>IFERROR(IF(E2271&gt;0,E2271*IF(ISNUMBER(J2271),J2271,IF(C2271="Futures",$C$6,$C$5)),""),"")</f>
        <v/>
      </c>
      <c r="I2271" s="139">
        <f>IFERROR(IF(AND(ISNUMBER(F2271),ISNUMBER(H2271)),F2271-H2271,""),"")</f>
        <v/>
      </c>
      <c r="J2271" s="114" t="n"/>
      <c r="K2271" s="139">
        <f>IFERROR(IF(H2271&gt;0,H2271*$C$7,""),"")</f>
        <v/>
      </c>
      <c r="L2271" s="139">
        <f>IFERROR(IF(ISNUMBER(F2271),F2271-IF(ISNUMBER(K2271),K2271,0),""),"")</f>
        <v/>
      </c>
    </row>
    <row r="2272" ht="24" customHeight="1" s="63">
      <c r="E2272" s="139" t="n"/>
      <c r="F2272" s="139" t="n"/>
      <c r="G2272" s="140">
        <f>IFERROR(IF(E2272&gt;0,(F2272/E2272)*1000,""),"")</f>
        <v/>
      </c>
      <c r="H2272" s="139">
        <f>IFERROR(IF(E2272&gt;0,E2272*IF(ISNUMBER(J2272),J2272,IF(C2272="Futures",$C$6,$C$5)),""),"")</f>
        <v/>
      </c>
      <c r="I2272" s="139">
        <f>IFERROR(IF(AND(ISNUMBER(F2272),ISNUMBER(H2272)),F2272-H2272,""),"")</f>
        <v/>
      </c>
      <c r="J2272" s="114" t="n"/>
      <c r="K2272" s="139">
        <f>IFERROR(IF(H2272&gt;0,H2272*$C$7,""),"")</f>
        <v/>
      </c>
      <c r="L2272" s="139">
        <f>IFERROR(IF(ISNUMBER(F2272),F2272-IF(ISNUMBER(K2272),K2272,0),""),"")</f>
        <v/>
      </c>
    </row>
    <row r="2273" ht="24" customHeight="1" s="63">
      <c r="E2273" s="139" t="n"/>
      <c r="F2273" s="139" t="n"/>
      <c r="G2273" s="140">
        <f>IFERROR(IF(E2273&gt;0,(F2273/E2273)*1000,""),"")</f>
        <v/>
      </c>
      <c r="H2273" s="139">
        <f>IFERROR(IF(E2273&gt;0,E2273*IF(ISNUMBER(J2273),J2273,IF(C2273="Futures",$C$6,$C$5)),""),"")</f>
        <v/>
      </c>
      <c r="I2273" s="139">
        <f>IFERROR(IF(AND(ISNUMBER(F2273),ISNUMBER(H2273)),F2273-H2273,""),"")</f>
        <v/>
      </c>
      <c r="J2273" s="114" t="n"/>
      <c r="K2273" s="139">
        <f>IFERROR(IF(H2273&gt;0,H2273*$C$7,""),"")</f>
        <v/>
      </c>
      <c r="L2273" s="139">
        <f>IFERROR(IF(ISNUMBER(F2273),F2273-IF(ISNUMBER(K2273),K2273,0),""),"")</f>
        <v/>
      </c>
    </row>
    <row r="2274" ht="24" customHeight="1" s="63">
      <c r="E2274" s="139" t="n"/>
      <c r="F2274" s="139" t="n"/>
      <c r="G2274" s="140">
        <f>IFERROR(IF(E2274&gt;0,(F2274/E2274)*1000,""),"")</f>
        <v/>
      </c>
      <c r="H2274" s="139">
        <f>IFERROR(IF(E2274&gt;0,E2274*IF(ISNUMBER(J2274),J2274,IF(C2274="Futures",$C$6,$C$5)),""),"")</f>
        <v/>
      </c>
      <c r="I2274" s="139">
        <f>IFERROR(IF(AND(ISNUMBER(F2274),ISNUMBER(H2274)),F2274-H2274,""),"")</f>
        <v/>
      </c>
      <c r="J2274" s="114" t="n"/>
      <c r="K2274" s="139">
        <f>IFERROR(IF(H2274&gt;0,H2274*$C$7,""),"")</f>
        <v/>
      </c>
      <c r="L2274" s="139">
        <f>IFERROR(IF(ISNUMBER(F2274),F2274-IF(ISNUMBER(K2274),K2274,0),""),"")</f>
        <v/>
      </c>
    </row>
    <row r="2275" ht="24" customHeight="1" s="63">
      <c r="E2275" s="139" t="n"/>
      <c r="F2275" s="139" t="n"/>
      <c r="G2275" s="140">
        <f>IFERROR(IF(E2275&gt;0,(F2275/E2275)*1000,""),"")</f>
        <v/>
      </c>
      <c r="H2275" s="139">
        <f>IFERROR(IF(E2275&gt;0,E2275*IF(ISNUMBER(J2275),J2275,IF(C2275="Futures",$C$6,$C$5)),""),"")</f>
        <v/>
      </c>
      <c r="I2275" s="139">
        <f>IFERROR(IF(AND(ISNUMBER(F2275),ISNUMBER(H2275)),F2275-H2275,""),"")</f>
        <v/>
      </c>
      <c r="J2275" s="114" t="n"/>
      <c r="K2275" s="139">
        <f>IFERROR(IF(H2275&gt;0,H2275*$C$7,""),"")</f>
        <v/>
      </c>
      <c r="L2275" s="139">
        <f>IFERROR(IF(ISNUMBER(F2275),F2275-IF(ISNUMBER(K2275),K2275,0),""),"")</f>
        <v/>
      </c>
    </row>
    <row r="2276" ht="24" customHeight="1" s="63">
      <c r="E2276" s="139" t="n"/>
      <c r="F2276" s="139" t="n"/>
      <c r="G2276" s="140">
        <f>IFERROR(IF(E2276&gt;0,(F2276/E2276)*1000,""),"")</f>
        <v/>
      </c>
      <c r="H2276" s="139">
        <f>IFERROR(IF(E2276&gt;0,E2276*IF(ISNUMBER(J2276),J2276,IF(C2276="Futures",$C$6,$C$5)),""),"")</f>
        <v/>
      </c>
      <c r="I2276" s="139">
        <f>IFERROR(IF(AND(ISNUMBER(F2276),ISNUMBER(H2276)),F2276-H2276,""),"")</f>
        <v/>
      </c>
      <c r="J2276" s="114" t="n"/>
      <c r="K2276" s="139">
        <f>IFERROR(IF(H2276&gt;0,H2276*$C$7,""),"")</f>
        <v/>
      </c>
      <c r="L2276" s="139">
        <f>IFERROR(IF(ISNUMBER(F2276),F2276-IF(ISNUMBER(K2276),K2276,0),""),"")</f>
        <v/>
      </c>
    </row>
    <row r="2277" ht="24" customHeight="1" s="63">
      <c r="E2277" s="139" t="n"/>
      <c r="F2277" s="139" t="n"/>
      <c r="G2277" s="140">
        <f>IFERROR(IF(E2277&gt;0,(F2277/E2277)*1000,""),"")</f>
        <v/>
      </c>
      <c r="H2277" s="139">
        <f>IFERROR(IF(E2277&gt;0,E2277*IF(ISNUMBER(J2277),J2277,IF(C2277="Futures",$C$6,$C$5)),""),"")</f>
        <v/>
      </c>
      <c r="I2277" s="139">
        <f>IFERROR(IF(AND(ISNUMBER(F2277),ISNUMBER(H2277)),F2277-H2277,""),"")</f>
        <v/>
      </c>
      <c r="J2277" s="114" t="n"/>
      <c r="K2277" s="139">
        <f>IFERROR(IF(H2277&gt;0,H2277*$C$7,""),"")</f>
        <v/>
      </c>
      <c r="L2277" s="139">
        <f>IFERROR(IF(ISNUMBER(F2277),F2277-IF(ISNUMBER(K2277),K2277,0),""),"")</f>
        <v/>
      </c>
    </row>
    <row r="2278" ht="24" customHeight="1" s="63">
      <c r="E2278" s="139" t="n"/>
      <c r="F2278" s="139" t="n"/>
      <c r="G2278" s="140">
        <f>IFERROR(IF(E2278&gt;0,(F2278/E2278)*1000,""),"")</f>
        <v/>
      </c>
      <c r="H2278" s="139">
        <f>IFERROR(IF(E2278&gt;0,E2278*IF(ISNUMBER(J2278),J2278,IF(C2278="Futures",$C$6,$C$5)),""),"")</f>
        <v/>
      </c>
      <c r="I2278" s="139">
        <f>IFERROR(IF(AND(ISNUMBER(F2278),ISNUMBER(H2278)),F2278-H2278,""),"")</f>
        <v/>
      </c>
      <c r="J2278" s="114" t="n"/>
      <c r="K2278" s="139">
        <f>IFERROR(IF(H2278&gt;0,H2278*$C$7,""),"")</f>
        <v/>
      </c>
      <c r="L2278" s="139">
        <f>IFERROR(IF(ISNUMBER(F2278),F2278-IF(ISNUMBER(K2278),K2278,0),""),"")</f>
        <v/>
      </c>
    </row>
    <row r="2279" ht="24" customHeight="1" s="63">
      <c r="E2279" s="139" t="n"/>
      <c r="F2279" s="139" t="n"/>
      <c r="G2279" s="140">
        <f>IFERROR(IF(E2279&gt;0,(F2279/E2279)*1000,""),"")</f>
        <v/>
      </c>
      <c r="H2279" s="139">
        <f>IFERROR(IF(E2279&gt;0,E2279*IF(ISNUMBER(J2279),J2279,IF(C2279="Futures",$C$6,$C$5)),""),"")</f>
        <v/>
      </c>
      <c r="I2279" s="139">
        <f>IFERROR(IF(AND(ISNUMBER(F2279),ISNUMBER(H2279)),F2279-H2279,""),"")</f>
        <v/>
      </c>
      <c r="J2279" s="114" t="n"/>
      <c r="K2279" s="139">
        <f>IFERROR(IF(H2279&gt;0,H2279*$C$7,""),"")</f>
        <v/>
      </c>
      <c r="L2279" s="139">
        <f>IFERROR(IF(ISNUMBER(F2279),F2279-IF(ISNUMBER(K2279),K2279,0),""),"")</f>
        <v/>
      </c>
    </row>
    <row r="2280" ht="24" customHeight="1" s="63">
      <c r="E2280" s="139" t="n"/>
      <c r="F2280" s="139" t="n"/>
      <c r="G2280" s="140">
        <f>IFERROR(IF(E2280&gt;0,(F2280/E2280)*1000,""),"")</f>
        <v/>
      </c>
      <c r="H2280" s="139">
        <f>IFERROR(IF(E2280&gt;0,E2280*IF(ISNUMBER(J2280),J2280,IF(C2280="Futures",$C$6,$C$5)),""),"")</f>
        <v/>
      </c>
      <c r="I2280" s="139">
        <f>IFERROR(IF(AND(ISNUMBER(F2280),ISNUMBER(H2280)),F2280-H2280,""),"")</f>
        <v/>
      </c>
      <c r="J2280" s="114" t="n"/>
      <c r="K2280" s="139">
        <f>IFERROR(IF(H2280&gt;0,H2280*$C$7,""),"")</f>
        <v/>
      </c>
      <c r="L2280" s="139">
        <f>IFERROR(IF(ISNUMBER(F2280),F2280-IF(ISNUMBER(K2280),K2280,0),""),"")</f>
        <v/>
      </c>
    </row>
    <row r="2281" ht="24" customHeight="1" s="63">
      <c r="E2281" s="139" t="n"/>
      <c r="F2281" s="139" t="n"/>
      <c r="G2281" s="140">
        <f>IFERROR(IF(E2281&gt;0,(F2281/E2281)*1000,""),"")</f>
        <v/>
      </c>
      <c r="H2281" s="139">
        <f>IFERROR(IF(E2281&gt;0,E2281*IF(ISNUMBER(J2281),J2281,IF(C2281="Futures",$C$6,$C$5)),""),"")</f>
        <v/>
      </c>
      <c r="I2281" s="139">
        <f>IFERROR(IF(AND(ISNUMBER(F2281),ISNUMBER(H2281)),F2281-H2281,""),"")</f>
        <v/>
      </c>
      <c r="J2281" s="114" t="n"/>
      <c r="K2281" s="139">
        <f>IFERROR(IF(H2281&gt;0,H2281*$C$7,""),"")</f>
        <v/>
      </c>
      <c r="L2281" s="139">
        <f>IFERROR(IF(ISNUMBER(F2281),F2281-IF(ISNUMBER(K2281),K2281,0),""),"")</f>
        <v/>
      </c>
    </row>
    <row r="2282" ht="24" customHeight="1" s="63">
      <c r="E2282" s="139" t="n"/>
      <c r="F2282" s="139" t="n"/>
      <c r="G2282" s="140">
        <f>IFERROR(IF(E2282&gt;0,(F2282/E2282)*1000,""),"")</f>
        <v/>
      </c>
      <c r="H2282" s="139">
        <f>IFERROR(IF(E2282&gt;0,E2282*IF(ISNUMBER(J2282),J2282,IF(C2282="Futures",$C$6,$C$5)),""),"")</f>
        <v/>
      </c>
      <c r="I2282" s="139">
        <f>IFERROR(IF(AND(ISNUMBER(F2282),ISNUMBER(H2282)),F2282-H2282,""),"")</f>
        <v/>
      </c>
      <c r="J2282" s="114" t="n"/>
      <c r="K2282" s="139">
        <f>IFERROR(IF(H2282&gt;0,H2282*$C$7,""),"")</f>
        <v/>
      </c>
      <c r="L2282" s="139">
        <f>IFERROR(IF(ISNUMBER(F2282),F2282-IF(ISNUMBER(K2282),K2282,0),""),"")</f>
        <v/>
      </c>
    </row>
    <row r="2283" ht="24" customHeight="1" s="63">
      <c r="E2283" s="139" t="n"/>
      <c r="F2283" s="139" t="n"/>
      <c r="G2283" s="140">
        <f>IFERROR(IF(E2283&gt;0,(F2283/E2283)*1000,""),"")</f>
        <v/>
      </c>
      <c r="H2283" s="139">
        <f>IFERROR(IF(E2283&gt;0,E2283*IF(ISNUMBER(J2283),J2283,IF(C2283="Futures",$C$6,$C$5)),""),"")</f>
        <v/>
      </c>
      <c r="I2283" s="139">
        <f>IFERROR(IF(AND(ISNUMBER(F2283),ISNUMBER(H2283)),F2283-H2283,""),"")</f>
        <v/>
      </c>
      <c r="J2283" s="114" t="n"/>
      <c r="K2283" s="139">
        <f>IFERROR(IF(H2283&gt;0,H2283*$C$7,""),"")</f>
        <v/>
      </c>
      <c r="L2283" s="139">
        <f>IFERROR(IF(ISNUMBER(F2283),F2283-IF(ISNUMBER(K2283),K2283,0),""),"")</f>
        <v/>
      </c>
    </row>
    <row r="2284" ht="24" customHeight="1" s="63">
      <c r="E2284" s="139" t="n"/>
      <c r="F2284" s="139" t="n"/>
      <c r="G2284" s="140">
        <f>IFERROR(IF(E2284&gt;0,(F2284/E2284)*1000,""),"")</f>
        <v/>
      </c>
      <c r="H2284" s="139">
        <f>IFERROR(IF(E2284&gt;0,E2284*IF(ISNUMBER(J2284),J2284,IF(C2284="Futures",$C$6,$C$5)),""),"")</f>
        <v/>
      </c>
      <c r="I2284" s="139">
        <f>IFERROR(IF(AND(ISNUMBER(F2284),ISNUMBER(H2284)),F2284-H2284,""),"")</f>
        <v/>
      </c>
      <c r="J2284" s="114" t="n"/>
      <c r="K2284" s="139">
        <f>IFERROR(IF(H2284&gt;0,H2284*$C$7,""),"")</f>
        <v/>
      </c>
      <c r="L2284" s="139">
        <f>IFERROR(IF(ISNUMBER(F2284),F2284-IF(ISNUMBER(K2284),K2284,0),""),"")</f>
        <v/>
      </c>
    </row>
    <row r="2285" ht="24" customHeight="1" s="63">
      <c r="E2285" s="139" t="n"/>
      <c r="F2285" s="139" t="n"/>
      <c r="G2285" s="140">
        <f>IFERROR(IF(E2285&gt;0,(F2285/E2285)*1000,""),"")</f>
        <v/>
      </c>
      <c r="H2285" s="139">
        <f>IFERROR(IF(E2285&gt;0,E2285*IF(ISNUMBER(J2285),J2285,IF(C2285="Futures",$C$6,$C$5)),""),"")</f>
        <v/>
      </c>
      <c r="I2285" s="139">
        <f>IFERROR(IF(AND(ISNUMBER(F2285),ISNUMBER(H2285)),F2285-H2285,""),"")</f>
        <v/>
      </c>
      <c r="J2285" s="114" t="n"/>
      <c r="K2285" s="139">
        <f>IFERROR(IF(H2285&gt;0,H2285*$C$7,""),"")</f>
        <v/>
      </c>
      <c r="L2285" s="139">
        <f>IFERROR(IF(ISNUMBER(F2285),F2285-IF(ISNUMBER(K2285),K2285,0),""),"")</f>
        <v/>
      </c>
    </row>
    <row r="2286" ht="24" customHeight="1" s="63">
      <c r="E2286" s="139" t="n"/>
      <c r="F2286" s="139" t="n"/>
      <c r="G2286" s="140">
        <f>IFERROR(IF(E2286&gt;0,(F2286/E2286)*1000,""),"")</f>
        <v/>
      </c>
      <c r="H2286" s="139">
        <f>IFERROR(IF(E2286&gt;0,E2286*IF(ISNUMBER(J2286),J2286,IF(C2286="Futures",$C$6,$C$5)),""),"")</f>
        <v/>
      </c>
      <c r="I2286" s="139">
        <f>IFERROR(IF(AND(ISNUMBER(F2286),ISNUMBER(H2286)),F2286-H2286,""),"")</f>
        <v/>
      </c>
      <c r="J2286" s="114" t="n"/>
      <c r="K2286" s="139">
        <f>IFERROR(IF(H2286&gt;0,H2286*$C$7,""),"")</f>
        <v/>
      </c>
      <c r="L2286" s="139">
        <f>IFERROR(IF(ISNUMBER(F2286),F2286-IF(ISNUMBER(K2286),K2286,0),""),"")</f>
        <v/>
      </c>
    </row>
    <row r="2287" ht="24" customHeight="1" s="63">
      <c r="E2287" s="139" t="n"/>
      <c r="F2287" s="139" t="n"/>
      <c r="G2287" s="140">
        <f>IFERROR(IF(E2287&gt;0,(F2287/E2287)*1000,""),"")</f>
        <v/>
      </c>
      <c r="H2287" s="139">
        <f>IFERROR(IF(E2287&gt;0,E2287*IF(ISNUMBER(J2287),J2287,IF(C2287="Futures",$C$6,$C$5)),""),"")</f>
        <v/>
      </c>
      <c r="I2287" s="139">
        <f>IFERROR(IF(AND(ISNUMBER(F2287),ISNUMBER(H2287)),F2287-H2287,""),"")</f>
        <v/>
      </c>
      <c r="J2287" s="114" t="n"/>
      <c r="K2287" s="139">
        <f>IFERROR(IF(H2287&gt;0,H2287*$C$7,""),"")</f>
        <v/>
      </c>
      <c r="L2287" s="139">
        <f>IFERROR(IF(ISNUMBER(F2287),F2287-IF(ISNUMBER(K2287),K2287,0),""),"")</f>
        <v/>
      </c>
    </row>
    <row r="2288" ht="24" customHeight="1" s="63">
      <c r="E2288" s="139" t="n"/>
      <c r="F2288" s="139" t="n"/>
      <c r="G2288" s="140">
        <f>IFERROR(IF(E2288&gt;0,(F2288/E2288)*1000,""),"")</f>
        <v/>
      </c>
      <c r="H2288" s="139">
        <f>IFERROR(IF(E2288&gt;0,E2288*IF(ISNUMBER(J2288),J2288,IF(C2288="Futures",$C$6,$C$5)),""),"")</f>
        <v/>
      </c>
      <c r="I2288" s="139">
        <f>IFERROR(IF(AND(ISNUMBER(F2288),ISNUMBER(H2288)),F2288-H2288,""),"")</f>
        <v/>
      </c>
      <c r="J2288" s="114" t="n"/>
      <c r="K2288" s="139">
        <f>IFERROR(IF(H2288&gt;0,H2288*$C$7,""),"")</f>
        <v/>
      </c>
      <c r="L2288" s="139">
        <f>IFERROR(IF(ISNUMBER(F2288),F2288-IF(ISNUMBER(K2288),K2288,0),""),"")</f>
        <v/>
      </c>
    </row>
    <row r="2289" ht="24" customHeight="1" s="63">
      <c r="E2289" s="139" t="n"/>
      <c r="F2289" s="139" t="n"/>
      <c r="G2289" s="140">
        <f>IFERROR(IF(E2289&gt;0,(F2289/E2289)*1000,""),"")</f>
        <v/>
      </c>
      <c r="H2289" s="139">
        <f>IFERROR(IF(E2289&gt;0,E2289*IF(ISNUMBER(J2289),J2289,IF(C2289="Futures",$C$6,$C$5)),""),"")</f>
        <v/>
      </c>
      <c r="I2289" s="139">
        <f>IFERROR(IF(AND(ISNUMBER(F2289),ISNUMBER(H2289)),F2289-H2289,""),"")</f>
        <v/>
      </c>
      <c r="J2289" s="114" t="n"/>
      <c r="K2289" s="139">
        <f>IFERROR(IF(H2289&gt;0,H2289*$C$7,""),"")</f>
        <v/>
      </c>
      <c r="L2289" s="139">
        <f>IFERROR(IF(ISNUMBER(F2289),F2289-IF(ISNUMBER(K2289),K2289,0),""),"")</f>
        <v/>
      </c>
    </row>
    <row r="2290" ht="24" customHeight="1" s="63">
      <c r="E2290" s="139" t="n"/>
      <c r="F2290" s="139" t="n"/>
      <c r="G2290" s="140">
        <f>IFERROR(IF(E2290&gt;0,(F2290/E2290)*1000,""),"")</f>
        <v/>
      </c>
      <c r="H2290" s="139">
        <f>IFERROR(IF(E2290&gt;0,E2290*IF(ISNUMBER(J2290),J2290,IF(C2290="Futures",$C$6,$C$5)),""),"")</f>
        <v/>
      </c>
      <c r="I2290" s="139">
        <f>IFERROR(IF(AND(ISNUMBER(F2290),ISNUMBER(H2290)),F2290-H2290,""),"")</f>
        <v/>
      </c>
      <c r="J2290" s="114" t="n"/>
      <c r="K2290" s="139">
        <f>IFERROR(IF(H2290&gt;0,H2290*$C$7,""),"")</f>
        <v/>
      </c>
      <c r="L2290" s="139">
        <f>IFERROR(IF(ISNUMBER(F2290),F2290-IF(ISNUMBER(K2290),K2290,0),""),"")</f>
        <v/>
      </c>
    </row>
    <row r="2291" ht="24" customHeight="1" s="63">
      <c r="E2291" s="139" t="n"/>
      <c r="F2291" s="139" t="n"/>
      <c r="G2291" s="140">
        <f>IFERROR(IF(E2291&gt;0,(F2291/E2291)*1000,""),"")</f>
        <v/>
      </c>
      <c r="H2291" s="139">
        <f>IFERROR(IF(E2291&gt;0,E2291*IF(ISNUMBER(J2291),J2291,IF(C2291="Futures",$C$6,$C$5)),""),"")</f>
        <v/>
      </c>
      <c r="I2291" s="139">
        <f>IFERROR(IF(AND(ISNUMBER(F2291),ISNUMBER(H2291)),F2291-H2291,""),"")</f>
        <v/>
      </c>
      <c r="J2291" s="114" t="n"/>
      <c r="K2291" s="139">
        <f>IFERROR(IF(H2291&gt;0,H2291*$C$7,""),"")</f>
        <v/>
      </c>
      <c r="L2291" s="139">
        <f>IFERROR(IF(ISNUMBER(F2291),F2291-IF(ISNUMBER(K2291),K2291,0),""),"")</f>
        <v/>
      </c>
    </row>
    <row r="2292" ht="24" customHeight="1" s="63">
      <c r="E2292" s="139" t="n"/>
      <c r="F2292" s="139" t="n"/>
      <c r="G2292" s="140">
        <f>IFERROR(IF(E2292&gt;0,(F2292/E2292)*1000,""),"")</f>
        <v/>
      </c>
      <c r="H2292" s="139">
        <f>IFERROR(IF(E2292&gt;0,E2292*IF(ISNUMBER(J2292),J2292,IF(C2292="Futures",$C$6,$C$5)),""),"")</f>
        <v/>
      </c>
      <c r="I2292" s="139">
        <f>IFERROR(IF(AND(ISNUMBER(F2292),ISNUMBER(H2292)),F2292-H2292,""),"")</f>
        <v/>
      </c>
      <c r="J2292" s="114" t="n"/>
      <c r="K2292" s="139">
        <f>IFERROR(IF(H2292&gt;0,H2292*$C$7,""),"")</f>
        <v/>
      </c>
      <c r="L2292" s="139">
        <f>IFERROR(IF(ISNUMBER(F2292),F2292-IF(ISNUMBER(K2292),K2292,0),""),"")</f>
        <v/>
      </c>
    </row>
    <row r="2293" ht="24" customHeight="1" s="63">
      <c r="E2293" s="139" t="n"/>
      <c r="F2293" s="139" t="n"/>
      <c r="G2293" s="140">
        <f>IFERROR(IF(E2293&gt;0,(F2293/E2293)*1000,""),"")</f>
        <v/>
      </c>
      <c r="H2293" s="139">
        <f>IFERROR(IF(E2293&gt;0,E2293*IF(ISNUMBER(J2293),J2293,IF(C2293="Futures",$C$6,$C$5)),""),"")</f>
        <v/>
      </c>
      <c r="I2293" s="139">
        <f>IFERROR(IF(AND(ISNUMBER(F2293),ISNUMBER(H2293)),F2293-H2293,""),"")</f>
        <v/>
      </c>
      <c r="J2293" s="114" t="n"/>
      <c r="K2293" s="139">
        <f>IFERROR(IF(H2293&gt;0,H2293*$C$7,""),"")</f>
        <v/>
      </c>
      <c r="L2293" s="139">
        <f>IFERROR(IF(ISNUMBER(F2293),F2293-IF(ISNUMBER(K2293),K2293,0),""),"")</f>
        <v/>
      </c>
    </row>
    <row r="2294" ht="24" customHeight="1" s="63">
      <c r="E2294" s="139" t="n"/>
      <c r="F2294" s="139" t="n"/>
      <c r="G2294" s="140">
        <f>IFERROR(IF(E2294&gt;0,(F2294/E2294)*1000,""),"")</f>
        <v/>
      </c>
      <c r="H2294" s="139">
        <f>IFERROR(IF(E2294&gt;0,E2294*IF(ISNUMBER(J2294),J2294,IF(C2294="Futures",$C$6,$C$5)),""),"")</f>
        <v/>
      </c>
      <c r="I2294" s="139">
        <f>IFERROR(IF(AND(ISNUMBER(F2294),ISNUMBER(H2294)),F2294-H2294,""),"")</f>
        <v/>
      </c>
      <c r="J2294" s="114" t="n"/>
      <c r="K2294" s="139">
        <f>IFERROR(IF(H2294&gt;0,H2294*$C$7,""),"")</f>
        <v/>
      </c>
      <c r="L2294" s="139">
        <f>IFERROR(IF(ISNUMBER(F2294),F2294-IF(ISNUMBER(K2294),K2294,0),""),"")</f>
        <v/>
      </c>
    </row>
    <row r="2295" ht="24" customHeight="1" s="63">
      <c r="E2295" s="139" t="n"/>
      <c r="F2295" s="139" t="n"/>
      <c r="G2295" s="140">
        <f>IFERROR(IF(E2295&gt;0,(F2295/E2295)*1000,""),"")</f>
        <v/>
      </c>
      <c r="H2295" s="139">
        <f>IFERROR(IF(E2295&gt;0,E2295*IF(ISNUMBER(J2295),J2295,IF(C2295="Futures",$C$6,$C$5)),""),"")</f>
        <v/>
      </c>
      <c r="I2295" s="139">
        <f>IFERROR(IF(AND(ISNUMBER(F2295),ISNUMBER(H2295)),F2295-H2295,""),"")</f>
        <v/>
      </c>
      <c r="J2295" s="114" t="n"/>
      <c r="K2295" s="139">
        <f>IFERROR(IF(H2295&gt;0,H2295*$C$7,""),"")</f>
        <v/>
      </c>
      <c r="L2295" s="139">
        <f>IFERROR(IF(ISNUMBER(F2295),F2295-IF(ISNUMBER(K2295),K2295,0),""),"")</f>
        <v/>
      </c>
    </row>
    <row r="2296" ht="24" customHeight="1" s="63">
      <c r="E2296" s="139" t="n"/>
      <c r="F2296" s="139" t="n"/>
      <c r="G2296" s="140">
        <f>IFERROR(IF(E2296&gt;0,(F2296/E2296)*1000,""),"")</f>
        <v/>
      </c>
      <c r="H2296" s="139">
        <f>IFERROR(IF(E2296&gt;0,E2296*IF(ISNUMBER(J2296),J2296,IF(C2296="Futures",$C$6,$C$5)),""),"")</f>
        <v/>
      </c>
      <c r="I2296" s="139">
        <f>IFERROR(IF(AND(ISNUMBER(F2296),ISNUMBER(H2296)),F2296-H2296,""),"")</f>
        <v/>
      </c>
      <c r="J2296" s="114" t="n"/>
      <c r="K2296" s="139">
        <f>IFERROR(IF(H2296&gt;0,H2296*$C$7,""),"")</f>
        <v/>
      </c>
      <c r="L2296" s="139">
        <f>IFERROR(IF(ISNUMBER(F2296),F2296-IF(ISNUMBER(K2296),K2296,0),""),"")</f>
        <v/>
      </c>
    </row>
    <row r="2297" ht="24" customHeight="1" s="63">
      <c r="E2297" s="139" t="n"/>
      <c r="F2297" s="139" t="n"/>
      <c r="G2297" s="140">
        <f>IFERROR(IF(E2297&gt;0,(F2297/E2297)*1000,""),"")</f>
        <v/>
      </c>
      <c r="H2297" s="139">
        <f>IFERROR(IF(E2297&gt;0,E2297*IF(ISNUMBER(J2297),J2297,IF(C2297="Futures",$C$6,$C$5)),""),"")</f>
        <v/>
      </c>
      <c r="I2297" s="139">
        <f>IFERROR(IF(AND(ISNUMBER(F2297),ISNUMBER(H2297)),F2297-H2297,""),"")</f>
        <v/>
      </c>
      <c r="J2297" s="114" t="n"/>
      <c r="K2297" s="139">
        <f>IFERROR(IF(H2297&gt;0,H2297*$C$7,""),"")</f>
        <v/>
      </c>
      <c r="L2297" s="139">
        <f>IFERROR(IF(ISNUMBER(F2297),F2297-IF(ISNUMBER(K2297),K2297,0),""),"")</f>
        <v/>
      </c>
    </row>
    <row r="2298" ht="24" customHeight="1" s="63">
      <c r="E2298" s="139" t="n"/>
      <c r="F2298" s="139" t="n"/>
      <c r="G2298" s="140">
        <f>IFERROR(IF(E2298&gt;0,(F2298/E2298)*1000,""),"")</f>
        <v/>
      </c>
      <c r="H2298" s="139">
        <f>IFERROR(IF(E2298&gt;0,E2298*IF(ISNUMBER(J2298),J2298,IF(C2298="Futures",$C$6,$C$5)),""),"")</f>
        <v/>
      </c>
      <c r="I2298" s="139">
        <f>IFERROR(IF(AND(ISNUMBER(F2298),ISNUMBER(H2298)),F2298-H2298,""),"")</f>
        <v/>
      </c>
      <c r="J2298" s="114" t="n"/>
      <c r="K2298" s="139">
        <f>IFERROR(IF(H2298&gt;0,H2298*$C$7,""),"")</f>
        <v/>
      </c>
      <c r="L2298" s="139">
        <f>IFERROR(IF(ISNUMBER(F2298),F2298-IF(ISNUMBER(K2298),K2298,0),""),"")</f>
        <v/>
      </c>
    </row>
    <row r="2299" ht="24" customHeight="1" s="63">
      <c r="E2299" s="139" t="n"/>
      <c r="F2299" s="139" t="n"/>
      <c r="G2299" s="140">
        <f>IFERROR(IF(E2299&gt;0,(F2299/E2299)*1000,""),"")</f>
        <v/>
      </c>
      <c r="H2299" s="139">
        <f>IFERROR(IF(E2299&gt;0,E2299*IF(ISNUMBER(J2299),J2299,IF(C2299="Futures",$C$6,$C$5)),""),"")</f>
        <v/>
      </c>
      <c r="I2299" s="139">
        <f>IFERROR(IF(AND(ISNUMBER(F2299),ISNUMBER(H2299)),F2299-H2299,""),"")</f>
        <v/>
      </c>
      <c r="J2299" s="114" t="n"/>
      <c r="K2299" s="139">
        <f>IFERROR(IF(H2299&gt;0,H2299*$C$7,""),"")</f>
        <v/>
      </c>
      <c r="L2299" s="139">
        <f>IFERROR(IF(ISNUMBER(F2299),F2299-IF(ISNUMBER(K2299),K2299,0),""),"")</f>
        <v/>
      </c>
    </row>
    <row r="2300" ht="24" customHeight="1" s="63">
      <c r="E2300" s="139" t="n"/>
      <c r="F2300" s="139" t="n"/>
      <c r="G2300" s="140">
        <f>IFERROR(IF(E2300&gt;0,(F2300/E2300)*1000,""),"")</f>
        <v/>
      </c>
      <c r="H2300" s="139">
        <f>IFERROR(IF(E2300&gt;0,E2300*IF(ISNUMBER(J2300),J2300,IF(C2300="Futures",$C$6,$C$5)),""),"")</f>
        <v/>
      </c>
      <c r="I2300" s="139">
        <f>IFERROR(IF(AND(ISNUMBER(F2300),ISNUMBER(H2300)),F2300-H2300,""),"")</f>
        <v/>
      </c>
      <c r="J2300" s="114" t="n"/>
      <c r="K2300" s="139">
        <f>IFERROR(IF(H2300&gt;0,H2300*$C$7,""),"")</f>
        <v/>
      </c>
      <c r="L2300" s="139">
        <f>IFERROR(IF(ISNUMBER(F2300),F2300-IF(ISNUMBER(K2300),K2300,0),""),"")</f>
        <v/>
      </c>
    </row>
    <row r="2301" ht="24" customHeight="1" s="63">
      <c r="E2301" s="139" t="n"/>
      <c r="F2301" s="139" t="n"/>
      <c r="G2301" s="140">
        <f>IFERROR(IF(E2301&gt;0,(F2301/E2301)*1000,""),"")</f>
        <v/>
      </c>
      <c r="H2301" s="139">
        <f>IFERROR(IF(E2301&gt;0,E2301*IF(ISNUMBER(J2301),J2301,IF(C2301="Futures",$C$6,$C$5)),""),"")</f>
        <v/>
      </c>
      <c r="I2301" s="139">
        <f>IFERROR(IF(AND(ISNUMBER(F2301),ISNUMBER(H2301)),F2301-H2301,""),"")</f>
        <v/>
      </c>
      <c r="J2301" s="114" t="n"/>
      <c r="K2301" s="139">
        <f>IFERROR(IF(H2301&gt;0,H2301*$C$7,""),"")</f>
        <v/>
      </c>
      <c r="L2301" s="139">
        <f>IFERROR(IF(ISNUMBER(F2301),F2301-IF(ISNUMBER(K2301),K2301,0),""),"")</f>
        <v/>
      </c>
    </row>
    <row r="2302" ht="24" customHeight="1" s="63">
      <c r="E2302" s="139" t="n"/>
      <c r="F2302" s="139" t="n"/>
      <c r="G2302" s="140">
        <f>IFERROR(IF(E2302&gt;0,(F2302/E2302)*1000,""),"")</f>
        <v/>
      </c>
      <c r="H2302" s="139">
        <f>IFERROR(IF(E2302&gt;0,E2302*IF(ISNUMBER(J2302),J2302,IF(C2302="Futures",$C$6,$C$5)),""),"")</f>
        <v/>
      </c>
      <c r="I2302" s="139">
        <f>IFERROR(IF(AND(ISNUMBER(F2302),ISNUMBER(H2302)),F2302-H2302,""),"")</f>
        <v/>
      </c>
      <c r="J2302" s="114" t="n"/>
      <c r="K2302" s="139">
        <f>IFERROR(IF(H2302&gt;0,H2302*$C$7,""),"")</f>
        <v/>
      </c>
      <c r="L2302" s="139">
        <f>IFERROR(IF(ISNUMBER(F2302),F2302-IF(ISNUMBER(K2302),K2302,0),""),"")</f>
        <v/>
      </c>
    </row>
    <row r="2303" ht="24" customHeight="1" s="63">
      <c r="E2303" s="139" t="n"/>
      <c r="F2303" s="139" t="n"/>
      <c r="G2303" s="140">
        <f>IFERROR(IF(E2303&gt;0,(F2303/E2303)*1000,""),"")</f>
        <v/>
      </c>
      <c r="H2303" s="139">
        <f>IFERROR(IF(E2303&gt;0,E2303*IF(ISNUMBER(J2303),J2303,IF(C2303="Futures",$C$6,$C$5)),""),"")</f>
        <v/>
      </c>
      <c r="I2303" s="139">
        <f>IFERROR(IF(AND(ISNUMBER(F2303),ISNUMBER(H2303)),F2303-H2303,""),"")</f>
        <v/>
      </c>
      <c r="J2303" s="114" t="n"/>
      <c r="K2303" s="139">
        <f>IFERROR(IF(H2303&gt;0,H2303*$C$7,""),"")</f>
        <v/>
      </c>
      <c r="L2303" s="139">
        <f>IFERROR(IF(ISNUMBER(F2303),F2303-IF(ISNUMBER(K2303),K2303,0),""),"")</f>
        <v/>
      </c>
    </row>
    <row r="2304" ht="24" customHeight="1" s="63">
      <c r="E2304" s="139" t="n"/>
      <c r="F2304" s="139" t="n"/>
      <c r="G2304" s="140">
        <f>IFERROR(IF(E2304&gt;0,(F2304/E2304)*1000,""),"")</f>
        <v/>
      </c>
      <c r="H2304" s="139">
        <f>IFERROR(IF(E2304&gt;0,E2304*IF(ISNUMBER(J2304),J2304,IF(C2304="Futures",$C$6,$C$5)),""),"")</f>
        <v/>
      </c>
      <c r="I2304" s="139">
        <f>IFERROR(IF(AND(ISNUMBER(F2304),ISNUMBER(H2304)),F2304-H2304,""),"")</f>
        <v/>
      </c>
      <c r="J2304" s="114" t="n"/>
      <c r="K2304" s="139">
        <f>IFERROR(IF(H2304&gt;0,H2304*$C$7,""),"")</f>
        <v/>
      </c>
      <c r="L2304" s="139">
        <f>IFERROR(IF(ISNUMBER(F2304),F2304-IF(ISNUMBER(K2304),K2304,0),""),"")</f>
        <v/>
      </c>
    </row>
    <row r="2305" ht="24" customHeight="1" s="63">
      <c r="E2305" s="139" t="n"/>
      <c r="F2305" s="139" t="n"/>
      <c r="G2305" s="140">
        <f>IFERROR(IF(E2305&gt;0,(F2305/E2305)*1000,""),"")</f>
        <v/>
      </c>
      <c r="H2305" s="139">
        <f>IFERROR(IF(E2305&gt;0,E2305*IF(ISNUMBER(J2305),J2305,IF(C2305="Futures",$C$6,$C$5)),""),"")</f>
        <v/>
      </c>
      <c r="I2305" s="139">
        <f>IFERROR(IF(AND(ISNUMBER(F2305),ISNUMBER(H2305)),F2305-H2305,""),"")</f>
        <v/>
      </c>
      <c r="J2305" s="114" t="n"/>
      <c r="K2305" s="139">
        <f>IFERROR(IF(H2305&gt;0,H2305*$C$7,""),"")</f>
        <v/>
      </c>
      <c r="L2305" s="139">
        <f>IFERROR(IF(ISNUMBER(F2305),F2305-IF(ISNUMBER(K2305),K2305,0),""),"")</f>
        <v/>
      </c>
    </row>
    <row r="2306" ht="24" customHeight="1" s="63">
      <c r="E2306" s="139" t="n"/>
      <c r="F2306" s="139" t="n"/>
      <c r="G2306" s="140">
        <f>IFERROR(IF(E2306&gt;0,(F2306/E2306)*1000,""),"")</f>
        <v/>
      </c>
      <c r="H2306" s="139">
        <f>IFERROR(IF(E2306&gt;0,E2306*IF(ISNUMBER(J2306),J2306,IF(C2306="Futures",$C$6,$C$5)),""),"")</f>
        <v/>
      </c>
      <c r="I2306" s="139">
        <f>IFERROR(IF(AND(ISNUMBER(F2306),ISNUMBER(H2306)),F2306-H2306,""),"")</f>
        <v/>
      </c>
      <c r="J2306" s="114" t="n"/>
      <c r="K2306" s="139">
        <f>IFERROR(IF(H2306&gt;0,H2306*$C$7,""),"")</f>
        <v/>
      </c>
      <c r="L2306" s="139">
        <f>IFERROR(IF(ISNUMBER(F2306),F2306-IF(ISNUMBER(K2306),K2306,0),""),"")</f>
        <v/>
      </c>
    </row>
    <row r="2307" ht="24" customHeight="1" s="63">
      <c r="E2307" s="139" t="n"/>
      <c r="F2307" s="139" t="n"/>
      <c r="G2307" s="140">
        <f>IFERROR(IF(E2307&gt;0,(F2307/E2307)*1000,""),"")</f>
        <v/>
      </c>
      <c r="H2307" s="139">
        <f>IFERROR(IF(E2307&gt;0,E2307*IF(ISNUMBER(J2307),J2307,IF(C2307="Futures",$C$6,$C$5)),""),"")</f>
        <v/>
      </c>
      <c r="I2307" s="139">
        <f>IFERROR(IF(AND(ISNUMBER(F2307),ISNUMBER(H2307)),F2307-H2307,""),"")</f>
        <v/>
      </c>
      <c r="J2307" s="114" t="n"/>
      <c r="K2307" s="139">
        <f>IFERROR(IF(H2307&gt;0,H2307*$C$7,""),"")</f>
        <v/>
      </c>
      <c r="L2307" s="139">
        <f>IFERROR(IF(ISNUMBER(F2307),F2307-IF(ISNUMBER(K2307),K2307,0),""),"")</f>
        <v/>
      </c>
    </row>
    <row r="2308" ht="24" customHeight="1" s="63">
      <c r="E2308" s="139" t="n"/>
      <c r="F2308" s="139" t="n"/>
      <c r="G2308" s="140">
        <f>IFERROR(IF(E2308&gt;0,(F2308/E2308)*1000,""),"")</f>
        <v/>
      </c>
      <c r="H2308" s="139">
        <f>IFERROR(IF(E2308&gt;0,E2308*IF(ISNUMBER(J2308),J2308,IF(C2308="Futures",$C$6,$C$5)),""),"")</f>
        <v/>
      </c>
      <c r="I2308" s="139">
        <f>IFERROR(IF(AND(ISNUMBER(F2308),ISNUMBER(H2308)),F2308-H2308,""),"")</f>
        <v/>
      </c>
      <c r="J2308" s="114" t="n"/>
      <c r="K2308" s="139">
        <f>IFERROR(IF(H2308&gt;0,H2308*$C$7,""),"")</f>
        <v/>
      </c>
      <c r="L2308" s="139">
        <f>IFERROR(IF(ISNUMBER(F2308),F2308-IF(ISNUMBER(K2308),K2308,0),""),"")</f>
        <v/>
      </c>
    </row>
    <row r="2309" ht="24" customHeight="1" s="63">
      <c r="E2309" s="139" t="n"/>
      <c r="F2309" s="139" t="n"/>
      <c r="G2309" s="140">
        <f>IFERROR(IF(E2309&gt;0,(F2309/E2309)*1000,""),"")</f>
        <v/>
      </c>
      <c r="H2309" s="139">
        <f>IFERROR(IF(E2309&gt;0,E2309*IF(ISNUMBER(J2309),J2309,IF(C2309="Futures",$C$6,$C$5)),""),"")</f>
        <v/>
      </c>
      <c r="I2309" s="139">
        <f>IFERROR(IF(AND(ISNUMBER(F2309),ISNUMBER(H2309)),F2309-H2309,""),"")</f>
        <v/>
      </c>
      <c r="J2309" s="114" t="n"/>
      <c r="K2309" s="139">
        <f>IFERROR(IF(H2309&gt;0,H2309*$C$7,""),"")</f>
        <v/>
      </c>
      <c r="L2309" s="139">
        <f>IFERROR(IF(ISNUMBER(F2309),F2309-IF(ISNUMBER(K2309),K2309,0),""),"")</f>
        <v/>
      </c>
    </row>
    <row r="2310" ht="24" customHeight="1" s="63">
      <c r="E2310" s="139" t="n"/>
      <c r="F2310" s="139" t="n"/>
      <c r="G2310" s="140">
        <f>IFERROR(IF(E2310&gt;0,(F2310/E2310)*1000,""),"")</f>
        <v/>
      </c>
      <c r="H2310" s="139">
        <f>IFERROR(IF(E2310&gt;0,E2310*IF(ISNUMBER(J2310),J2310,IF(C2310="Futures",$C$6,$C$5)),""),"")</f>
        <v/>
      </c>
      <c r="I2310" s="139">
        <f>IFERROR(IF(AND(ISNUMBER(F2310),ISNUMBER(H2310)),F2310-H2310,""),"")</f>
        <v/>
      </c>
      <c r="J2310" s="114" t="n"/>
      <c r="K2310" s="139">
        <f>IFERROR(IF(H2310&gt;0,H2310*$C$7,""),"")</f>
        <v/>
      </c>
      <c r="L2310" s="139">
        <f>IFERROR(IF(ISNUMBER(F2310),F2310-IF(ISNUMBER(K2310),K2310,0),""),"")</f>
        <v/>
      </c>
    </row>
    <row r="2311" ht="24" customHeight="1" s="63">
      <c r="E2311" s="139" t="n"/>
      <c r="F2311" s="139" t="n"/>
      <c r="G2311" s="140">
        <f>IFERROR(IF(E2311&gt;0,(F2311/E2311)*1000,""),"")</f>
        <v/>
      </c>
      <c r="H2311" s="139">
        <f>IFERROR(IF(E2311&gt;0,E2311*IF(ISNUMBER(J2311),J2311,IF(C2311="Futures",$C$6,$C$5)),""),"")</f>
        <v/>
      </c>
      <c r="I2311" s="139">
        <f>IFERROR(IF(AND(ISNUMBER(F2311),ISNUMBER(H2311)),F2311-H2311,""),"")</f>
        <v/>
      </c>
      <c r="J2311" s="114" t="n"/>
      <c r="K2311" s="139">
        <f>IFERROR(IF(H2311&gt;0,H2311*$C$7,""),"")</f>
        <v/>
      </c>
      <c r="L2311" s="139">
        <f>IFERROR(IF(ISNUMBER(F2311),F2311-IF(ISNUMBER(K2311),K2311,0),""),"")</f>
        <v/>
      </c>
    </row>
    <row r="2312" ht="24" customHeight="1" s="63">
      <c r="E2312" s="139" t="n"/>
      <c r="F2312" s="139" t="n"/>
      <c r="G2312" s="140">
        <f>IFERROR(IF(E2312&gt;0,(F2312/E2312)*1000,""),"")</f>
        <v/>
      </c>
      <c r="H2312" s="139">
        <f>IFERROR(IF(E2312&gt;0,E2312*IF(ISNUMBER(J2312),J2312,IF(C2312="Futures",$C$6,$C$5)),""),"")</f>
        <v/>
      </c>
      <c r="I2312" s="139">
        <f>IFERROR(IF(AND(ISNUMBER(F2312),ISNUMBER(H2312)),F2312-H2312,""),"")</f>
        <v/>
      </c>
      <c r="J2312" s="114" t="n"/>
      <c r="K2312" s="139">
        <f>IFERROR(IF(H2312&gt;0,H2312*$C$7,""),"")</f>
        <v/>
      </c>
      <c r="L2312" s="139">
        <f>IFERROR(IF(ISNUMBER(F2312),F2312-IF(ISNUMBER(K2312),K2312,0),""),"")</f>
        <v/>
      </c>
    </row>
    <row r="2313" ht="24" customHeight="1" s="63">
      <c r="E2313" s="139" t="n"/>
      <c r="F2313" s="139" t="n"/>
      <c r="G2313" s="140">
        <f>IFERROR(IF(E2313&gt;0,(F2313/E2313)*1000,""),"")</f>
        <v/>
      </c>
      <c r="H2313" s="139">
        <f>IFERROR(IF(E2313&gt;0,E2313*IF(ISNUMBER(J2313),J2313,IF(C2313="Futures",$C$6,$C$5)),""),"")</f>
        <v/>
      </c>
      <c r="I2313" s="139">
        <f>IFERROR(IF(AND(ISNUMBER(F2313),ISNUMBER(H2313)),F2313-H2313,""),"")</f>
        <v/>
      </c>
      <c r="J2313" s="114" t="n"/>
      <c r="K2313" s="139">
        <f>IFERROR(IF(H2313&gt;0,H2313*$C$7,""),"")</f>
        <v/>
      </c>
      <c r="L2313" s="139">
        <f>IFERROR(IF(ISNUMBER(F2313),F2313-IF(ISNUMBER(K2313),K2313,0),""),"")</f>
        <v/>
      </c>
    </row>
    <row r="2314" ht="24" customHeight="1" s="63">
      <c r="E2314" s="139" t="n"/>
      <c r="F2314" s="139" t="n"/>
      <c r="G2314" s="140">
        <f>IFERROR(IF(E2314&gt;0,(F2314/E2314)*1000,""),"")</f>
        <v/>
      </c>
      <c r="H2314" s="139">
        <f>IFERROR(IF(E2314&gt;0,E2314*IF(ISNUMBER(J2314),J2314,IF(C2314="Futures",$C$6,$C$5)),""),"")</f>
        <v/>
      </c>
      <c r="I2314" s="139">
        <f>IFERROR(IF(AND(ISNUMBER(F2314),ISNUMBER(H2314)),F2314-H2314,""),"")</f>
        <v/>
      </c>
      <c r="J2314" s="114" t="n"/>
      <c r="K2314" s="139">
        <f>IFERROR(IF(H2314&gt;0,H2314*$C$7,""),"")</f>
        <v/>
      </c>
      <c r="L2314" s="139">
        <f>IFERROR(IF(ISNUMBER(F2314),F2314-IF(ISNUMBER(K2314),K2314,0),""),"")</f>
        <v/>
      </c>
    </row>
    <row r="2315" ht="24" customHeight="1" s="63">
      <c r="E2315" s="139" t="n"/>
      <c r="F2315" s="139" t="n"/>
      <c r="G2315" s="140">
        <f>IFERROR(IF(E2315&gt;0,(F2315/E2315)*1000,""),"")</f>
        <v/>
      </c>
      <c r="H2315" s="139">
        <f>IFERROR(IF(E2315&gt;0,E2315*IF(ISNUMBER(J2315),J2315,IF(C2315="Futures",$C$6,$C$5)),""),"")</f>
        <v/>
      </c>
      <c r="I2315" s="139">
        <f>IFERROR(IF(AND(ISNUMBER(F2315),ISNUMBER(H2315)),F2315-H2315,""),"")</f>
        <v/>
      </c>
      <c r="J2315" s="114" t="n"/>
      <c r="K2315" s="139">
        <f>IFERROR(IF(H2315&gt;0,H2315*$C$7,""),"")</f>
        <v/>
      </c>
      <c r="L2315" s="139">
        <f>IFERROR(IF(ISNUMBER(F2315),F2315-IF(ISNUMBER(K2315),K2315,0),""),"")</f>
        <v/>
      </c>
    </row>
    <row r="2316" ht="24" customHeight="1" s="63">
      <c r="E2316" s="139" t="n"/>
      <c r="F2316" s="139" t="n"/>
      <c r="G2316" s="140">
        <f>IFERROR(IF(E2316&gt;0,(F2316/E2316)*1000,""),"")</f>
        <v/>
      </c>
      <c r="H2316" s="139">
        <f>IFERROR(IF(E2316&gt;0,E2316*IF(ISNUMBER(J2316),J2316,IF(C2316="Futures",$C$6,$C$5)),""),"")</f>
        <v/>
      </c>
      <c r="I2316" s="139">
        <f>IFERROR(IF(AND(ISNUMBER(F2316),ISNUMBER(H2316)),F2316-H2316,""),"")</f>
        <v/>
      </c>
      <c r="J2316" s="114" t="n"/>
      <c r="K2316" s="139">
        <f>IFERROR(IF(H2316&gt;0,H2316*$C$7,""),"")</f>
        <v/>
      </c>
      <c r="L2316" s="139">
        <f>IFERROR(IF(ISNUMBER(F2316),F2316-IF(ISNUMBER(K2316),K2316,0),""),"")</f>
        <v/>
      </c>
    </row>
    <row r="2317" ht="24" customHeight="1" s="63">
      <c r="E2317" s="139" t="n"/>
      <c r="F2317" s="139" t="n"/>
      <c r="G2317" s="140">
        <f>IFERROR(IF(E2317&gt;0,(F2317/E2317)*1000,""),"")</f>
        <v/>
      </c>
      <c r="H2317" s="139">
        <f>IFERROR(IF(E2317&gt;0,E2317*IF(ISNUMBER(J2317),J2317,IF(C2317="Futures",$C$6,$C$5)),""),"")</f>
        <v/>
      </c>
      <c r="I2317" s="139">
        <f>IFERROR(IF(AND(ISNUMBER(F2317),ISNUMBER(H2317)),F2317-H2317,""),"")</f>
        <v/>
      </c>
      <c r="J2317" s="114" t="n"/>
      <c r="K2317" s="139">
        <f>IFERROR(IF(H2317&gt;0,H2317*$C$7,""),"")</f>
        <v/>
      </c>
      <c r="L2317" s="139">
        <f>IFERROR(IF(ISNUMBER(F2317),F2317-IF(ISNUMBER(K2317),K2317,0),""),"")</f>
        <v/>
      </c>
    </row>
    <row r="2318" ht="24" customHeight="1" s="63">
      <c r="E2318" s="139" t="n"/>
      <c r="F2318" s="139" t="n"/>
      <c r="G2318" s="140">
        <f>IFERROR(IF(E2318&gt;0,(F2318/E2318)*1000,""),"")</f>
        <v/>
      </c>
      <c r="H2318" s="139">
        <f>IFERROR(IF(E2318&gt;0,E2318*IF(ISNUMBER(J2318),J2318,IF(C2318="Futures",$C$6,$C$5)),""),"")</f>
        <v/>
      </c>
      <c r="I2318" s="139">
        <f>IFERROR(IF(AND(ISNUMBER(F2318),ISNUMBER(H2318)),F2318-H2318,""),"")</f>
        <v/>
      </c>
      <c r="J2318" s="114" t="n"/>
      <c r="K2318" s="139">
        <f>IFERROR(IF(H2318&gt;0,H2318*$C$7,""),"")</f>
        <v/>
      </c>
      <c r="L2318" s="139">
        <f>IFERROR(IF(ISNUMBER(F2318),F2318-IF(ISNUMBER(K2318),K2318,0),""),"")</f>
        <v/>
      </c>
    </row>
    <row r="2319" ht="24" customHeight="1" s="63">
      <c r="E2319" s="139" t="n"/>
      <c r="F2319" s="139" t="n"/>
      <c r="G2319" s="140">
        <f>IFERROR(IF(E2319&gt;0,(F2319/E2319)*1000,""),"")</f>
        <v/>
      </c>
      <c r="H2319" s="139">
        <f>IFERROR(IF(E2319&gt;0,E2319*IF(ISNUMBER(J2319),J2319,IF(C2319="Futures",$C$6,$C$5)),""),"")</f>
        <v/>
      </c>
      <c r="I2319" s="139">
        <f>IFERROR(IF(AND(ISNUMBER(F2319),ISNUMBER(H2319)),F2319-H2319,""),"")</f>
        <v/>
      </c>
      <c r="J2319" s="114" t="n"/>
      <c r="K2319" s="139">
        <f>IFERROR(IF(H2319&gt;0,H2319*$C$7,""),"")</f>
        <v/>
      </c>
      <c r="L2319" s="139">
        <f>IFERROR(IF(ISNUMBER(F2319),F2319-IF(ISNUMBER(K2319),K2319,0),""),"")</f>
        <v/>
      </c>
    </row>
    <row r="2320" ht="24" customHeight="1" s="63">
      <c r="E2320" s="139" t="n"/>
      <c r="F2320" s="139" t="n"/>
      <c r="G2320" s="140">
        <f>IFERROR(IF(E2320&gt;0,(F2320/E2320)*1000,""),"")</f>
        <v/>
      </c>
      <c r="H2320" s="139">
        <f>IFERROR(IF(E2320&gt;0,E2320*IF(ISNUMBER(J2320),J2320,IF(C2320="Futures",$C$6,$C$5)),""),"")</f>
        <v/>
      </c>
      <c r="I2320" s="139">
        <f>IFERROR(IF(AND(ISNUMBER(F2320),ISNUMBER(H2320)),F2320-H2320,""),"")</f>
        <v/>
      </c>
      <c r="J2320" s="114" t="n"/>
      <c r="K2320" s="139">
        <f>IFERROR(IF(H2320&gt;0,H2320*$C$7,""),"")</f>
        <v/>
      </c>
      <c r="L2320" s="139">
        <f>IFERROR(IF(ISNUMBER(F2320),F2320-IF(ISNUMBER(K2320),K2320,0),""),"")</f>
        <v/>
      </c>
    </row>
    <row r="2321" ht="24" customHeight="1" s="63">
      <c r="E2321" s="139" t="n"/>
      <c r="F2321" s="139" t="n"/>
      <c r="G2321" s="140">
        <f>IFERROR(IF(E2321&gt;0,(F2321/E2321)*1000,""),"")</f>
        <v/>
      </c>
      <c r="H2321" s="139">
        <f>IFERROR(IF(E2321&gt;0,E2321*IF(ISNUMBER(J2321),J2321,IF(C2321="Futures",$C$6,$C$5)),""),"")</f>
        <v/>
      </c>
      <c r="I2321" s="139">
        <f>IFERROR(IF(AND(ISNUMBER(F2321),ISNUMBER(H2321)),F2321-H2321,""),"")</f>
        <v/>
      </c>
      <c r="J2321" s="114" t="n"/>
      <c r="K2321" s="139">
        <f>IFERROR(IF(H2321&gt;0,H2321*$C$7,""),"")</f>
        <v/>
      </c>
      <c r="L2321" s="139">
        <f>IFERROR(IF(ISNUMBER(F2321),F2321-IF(ISNUMBER(K2321),K2321,0),""),"")</f>
        <v/>
      </c>
    </row>
    <row r="2322" ht="24" customHeight="1" s="63">
      <c r="E2322" s="139" t="n"/>
      <c r="F2322" s="139" t="n"/>
      <c r="G2322" s="140">
        <f>IFERROR(IF(E2322&gt;0,(F2322/E2322)*1000,""),"")</f>
        <v/>
      </c>
      <c r="H2322" s="139">
        <f>IFERROR(IF(E2322&gt;0,E2322*IF(ISNUMBER(J2322),J2322,IF(C2322="Futures",$C$6,$C$5)),""),"")</f>
        <v/>
      </c>
      <c r="I2322" s="139">
        <f>IFERROR(IF(AND(ISNUMBER(F2322),ISNUMBER(H2322)),F2322-H2322,""),"")</f>
        <v/>
      </c>
      <c r="J2322" s="114" t="n"/>
      <c r="K2322" s="139">
        <f>IFERROR(IF(H2322&gt;0,H2322*$C$7,""),"")</f>
        <v/>
      </c>
      <c r="L2322" s="139">
        <f>IFERROR(IF(ISNUMBER(F2322),F2322-IF(ISNUMBER(K2322),K2322,0),""),"")</f>
        <v/>
      </c>
    </row>
    <row r="2323" ht="24" customHeight="1" s="63">
      <c r="E2323" s="139" t="n"/>
      <c r="F2323" s="139" t="n"/>
      <c r="G2323" s="140">
        <f>IFERROR(IF(E2323&gt;0,(F2323/E2323)*1000,""),"")</f>
        <v/>
      </c>
      <c r="H2323" s="139">
        <f>IFERROR(IF(E2323&gt;0,E2323*IF(ISNUMBER(J2323),J2323,IF(C2323="Futures",$C$6,$C$5)),""),"")</f>
        <v/>
      </c>
      <c r="I2323" s="139">
        <f>IFERROR(IF(AND(ISNUMBER(F2323),ISNUMBER(H2323)),F2323-H2323,""),"")</f>
        <v/>
      </c>
      <c r="J2323" s="114" t="n"/>
      <c r="K2323" s="139">
        <f>IFERROR(IF(H2323&gt;0,H2323*$C$7,""),"")</f>
        <v/>
      </c>
      <c r="L2323" s="139">
        <f>IFERROR(IF(ISNUMBER(F2323),F2323-IF(ISNUMBER(K2323),K2323,0),""),"")</f>
        <v/>
      </c>
    </row>
    <row r="2324" ht="24" customHeight="1" s="63">
      <c r="E2324" s="139" t="n"/>
      <c r="F2324" s="139" t="n"/>
      <c r="G2324" s="140">
        <f>IFERROR(IF(E2324&gt;0,(F2324/E2324)*1000,""),"")</f>
        <v/>
      </c>
      <c r="H2324" s="139">
        <f>IFERROR(IF(E2324&gt;0,E2324*IF(ISNUMBER(J2324),J2324,IF(C2324="Futures",$C$6,$C$5)),""),"")</f>
        <v/>
      </c>
      <c r="I2324" s="139">
        <f>IFERROR(IF(AND(ISNUMBER(F2324),ISNUMBER(H2324)),F2324-H2324,""),"")</f>
        <v/>
      </c>
      <c r="J2324" s="114" t="n"/>
      <c r="K2324" s="139">
        <f>IFERROR(IF(H2324&gt;0,H2324*$C$7,""),"")</f>
        <v/>
      </c>
      <c r="L2324" s="139">
        <f>IFERROR(IF(ISNUMBER(F2324),F2324-IF(ISNUMBER(K2324),K2324,0),""),"")</f>
        <v/>
      </c>
    </row>
    <row r="2325" ht="24" customHeight="1" s="63">
      <c r="E2325" s="139" t="n"/>
      <c r="F2325" s="139" t="n"/>
      <c r="G2325" s="140">
        <f>IFERROR(IF(E2325&gt;0,(F2325/E2325)*1000,""),"")</f>
        <v/>
      </c>
      <c r="H2325" s="139">
        <f>IFERROR(IF(E2325&gt;0,E2325*IF(ISNUMBER(J2325),J2325,IF(C2325="Futures",$C$6,$C$5)),""),"")</f>
        <v/>
      </c>
      <c r="I2325" s="139">
        <f>IFERROR(IF(AND(ISNUMBER(F2325),ISNUMBER(H2325)),F2325-H2325,""),"")</f>
        <v/>
      </c>
      <c r="J2325" s="114" t="n"/>
      <c r="K2325" s="139">
        <f>IFERROR(IF(H2325&gt;0,H2325*$C$7,""),"")</f>
        <v/>
      </c>
      <c r="L2325" s="139">
        <f>IFERROR(IF(ISNUMBER(F2325),F2325-IF(ISNUMBER(K2325),K2325,0),""),"")</f>
        <v/>
      </c>
    </row>
    <row r="2326" ht="24" customHeight="1" s="63">
      <c r="E2326" s="139" t="n"/>
      <c r="F2326" s="139" t="n"/>
      <c r="G2326" s="140">
        <f>IFERROR(IF(E2326&gt;0,(F2326/E2326)*1000,""),"")</f>
        <v/>
      </c>
      <c r="H2326" s="139">
        <f>IFERROR(IF(E2326&gt;0,E2326*IF(ISNUMBER(J2326),J2326,IF(C2326="Futures",$C$6,$C$5)),""),"")</f>
        <v/>
      </c>
      <c r="I2326" s="139">
        <f>IFERROR(IF(AND(ISNUMBER(F2326),ISNUMBER(H2326)),F2326-H2326,""),"")</f>
        <v/>
      </c>
      <c r="J2326" s="114" t="n"/>
      <c r="K2326" s="139">
        <f>IFERROR(IF(H2326&gt;0,H2326*$C$7,""),"")</f>
        <v/>
      </c>
      <c r="L2326" s="139">
        <f>IFERROR(IF(ISNUMBER(F2326),F2326-IF(ISNUMBER(K2326),K2326,0),""),"")</f>
        <v/>
      </c>
    </row>
    <row r="2327" ht="24" customHeight="1" s="63">
      <c r="E2327" s="139" t="n"/>
      <c r="F2327" s="139" t="n"/>
      <c r="G2327" s="140">
        <f>IFERROR(IF(E2327&gt;0,(F2327/E2327)*1000,""),"")</f>
        <v/>
      </c>
      <c r="H2327" s="139">
        <f>IFERROR(IF(E2327&gt;0,E2327*IF(ISNUMBER(J2327),J2327,IF(C2327="Futures",$C$6,$C$5)),""),"")</f>
        <v/>
      </c>
      <c r="I2327" s="139">
        <f>IFERROR(IF(AND(ISNUMBER(F2327),ISNUMBER(H2327)),F2327-H2327,""),"")</f>
        <v/>
      </c>
      <c r="J2327" s="114" t="n"/>
      <c r="K2327" s="139">
        <f>IFERROR(IF(H2327&gt;0,H2327*$C$7,""),"")</f>
        <v/>
      </c>
      <c r="L2327" s="139">
        <f>IFERROR(IF(ISNUMBER(F2327),F2327-IF(ISNUMBER(K2327),K2327,0),""),"")</f>
        <v/>
      </c>
    </row>
    <row r="2328" ht="24" customHeight="1" s="63">
      <c r="E2328" s="139" t="n"/>
      <c r="F2328" s="139" t="n"/>
      <c r="G2328" s="140">
        <f>IFERROR(IF(E2328&gt;0,(F2328/E2328)*1000,""),"")</f>
        <v/>
      </c>
      <c r="H2328" s="139">
        <f>IFERROR(IF(E2328&gt;0,E2328*IF(ISNUMBER(J2328),J2328,IF(C2328="Futures",$C$6,$C$5)),""),"")</f>
        <v/>
      </c>
      <c r="I2328" s="139">
        <f>IFERROR(IF(AND(ISNUMBER(F2328),ISNUMBER(H2328)),F2328-H2328,""),"")</f>
        <v/>
      </c>
      <c r="J2328" s="114" t="n"/>
      <c r="K2328" s="139">
        <f>IFERROR(IF(H2328&gt;0,H2328*$C$7,""),"")</f>
        <v/>
      </c>
      <c r="L2328" s="139">
        <f>IFERROR(IF(ISNUMBER(F2328),F2328-IF(ISNUMBER(K2328),K2328,0),""),"")</f>
        <v/>
      </c>
    </row>
    <row r="2329" ht="24" customHeight="1" s="63">
      <c r="E2329" s="139" t="n"/>
      <c r="F2329" s="139" t="n"/>
      <c r="G2329" s="140">
        <f>IFERROR(IF(E2329&gt;0,(F2329/E2329)*1000,""),"")</f>
        <v/>
      </c>
      <c r="H2329" s="139">
        <f>IFERROR(IF(E2329&gt;0,E2329*IF(ISNUMBER(J2329),J2329,IF(C2329="Futures",$C$6,$C$5)),""),"")</f>
        <v/>
      </c>
      <c r="I2329" s="139">
        <f>IFERROR(IF(AND(ISNUMBER(F2329),ISNUMBER(H2329)),F2329-H2329,""),"")</f>
        <v/>
      </c>
      <c r="J2329" s="114" t="n"/>
      <c r="K2329" s="139">
        <f>IFERROR(IF(H2329&gt;0,H2329*$C$7,""),"")</f>
        <v/>
      </c>
      <c r="L2329" s="139">
        <f>IFERROR(IF(ISNUMBER(F2329),F2329-IF(ISNUMBER(K2329),K2329,0),""),"")</f>
        <v/>
      </c>
    </row>
    <row r="2330" ht="24" customHeight="1" s="63">
      <c r="E2330" s="139" t="n"/>
      <c r="F2330" s="139" t="n"/>
      <c r="G2330" s="140">
        <f>IFERROR(IF(E2330&gt;0,(F2330/E2330)*1000,""),"")</f>
        <v/>
      </c>
      <c r="H2330" s="139">
        <f>IFERROR(IF(E2330&gt;0,E2330*IF(ISNUMBER(J2330),J2330,IF(C2330="Futures",$C$6,$C$5)),""),"")</f>
        <v/>
      </c>
      <c r="I2330" s="139">
        <f>IFERROR(IF(AND(ISNUMBER(F2330),ISNUMBER(H2330)),F2330-H2330,""),"")</f>
        <v/>
      </c>
      <c r="J2330" s="114" t="n"/>
      <c r="K2330" s="139">
        <f>IFERROR(IF(H2330&gt;0,H2330*$C$7,""),"")</f>
        <v/>
      </c>
      <c r="L2330" s="139">
        <f>IFERROR(IF(ISNUMBER(F2330),F2330-IF(ISNUMBER(K2330),K2330,0),""),"")</f>
        <v/>
      </c>
    </row>
    <row r="2331" ht="24" customHeight="1" s="63">
      <c r="E2331" s="139" t="n"/>
      <c r="F2331" s="139" t="n"/>
      <c r="G2331" s="140">
        <f>IFERROR(IF(E2331&gt;0,(F2331/E2331)*1000,""),"")</f>
        <v/>
      </c>
      <c r="H2331" s="139">
        <f>IFERROR(IF(E2331&gt;0,E2331*IF(ISNUMBER(J2331),J2331,IF(C2331="Futures",$C$6,$C$5)),""),"")</f>
        <v/>
      </c>
      <c r="I2331" s="139">
        <f>IFERROR(IF(AND(ISNUMBER(F2331),ISNUMBER(H2331)),F2331-H2331,""),"")</f>
        <v/>
      </c>
      <c r="J2331" s="114" t="n"/>
      <c r="K2331" s="139">
        <f>IFERROR(IF(H2331&gt;0,H2331*$C$7,""),"")</f>
        <v/>
      </c>
      <c r="L2331" s="139">
        <f>IFERROR(IF(ISNUMBER(F2331),F2331-IF(ISNUMBER(K2331),K2331,0),""),"")</f>
        <v/>
      </c>
    </row>
    <row r="2332" ht="24" customHeight="1" s="63">
      <c r="E2332" s="139" t="n"/>
      <c r="F2332" s="139" t="n"/>
      <c r="G2332" s="140">
        <f>IFERROR(IF(E2332&gt;0,(F2332/E2332)*1000,""),"")</f>
        <v/>
      </c>
      <c r="H2332" s="139">
        <f>IFERROR(IF(E2332&gt;0,E2332*IF(ISNUMBER(J2332),J2332,IF(C2332="Futures",$C$6,$C$5)),""),"")</f>
        <v/>
      </c>
      <c r="I2332" s="139">
        <f>IFERROR(IF(AND(ISNUMBER(F2332),ISNUMBER(H2332)),F2332-H2332,""),"")</f>
        <v/>
      </c>
      <c r="J2332" s="114" t="n"/>
      <c r="K2332" s="139">
        <f>IFERROR(IF(H2332&gt;0,H2332*$C$7,""),"")</f>
        <v/>
      </c>
      <c r="L2332" s="139">
        <f>IFERROR(IF(ISNUMBER(F2332),F2332-IF(ISNUMBER(K2332),K2332,0),""),"")</f>
        <v/>
      </c>
    </row>
    <row r="2333" ht="24" customHeight="1" s="63">
      <c r="E2333" s="139" t="n"/>
      <c r="F2333" s="139" t="n"/>
      <c r="G2333" s="140">
        <f>IFERROR(IF(E2333&gt;0,(F2333/E2333)*1000,""),"")</f>
        <v/>
      </c>
      <c r="H2333" s="139">
        <f>IFERROR(IF(E2333&gt;0,E2333*IF(ISNUMBER(J2333),J2333,IF(C2333="Futures",$C$6,$C$5)),""),"")</f>
        <v/>
      </c>
      <c r="I2333" s="139">
        <f>IFERROR(IF(AND(ISNUMBER(F2333),ISNUMBER(H2333)),F2333-H2333,""),"")</f>
        <v/>
      </c>
      <c r="J2333" s="114" t="n"/>
      <c r="K2333" s="139">
        <f>IFERROR(IF(H2333&gt;0,H2333*$C$7,""),"")</f>
        <v/>
      </c>
      <c r="L2333" s="139">
        <f>IFERROR(IF(ISNUMBER(F2333),F2333-IF(ISNUMBER(K2333),K2333,0),""),"")</f>
        <v/>
      </c>
    </row>
    <row r="2334" ht="24" customHeight="1" s="63">
      <c r="E2334" s="139" t="n"/>
      <c r="F2334" s="139" t="n"/>
      <c r="G2334" s="140">
        <f>IFERROR(IF(E2334&gt;0,(F2334/E2334)*1000,""),"")</f>
        <v/>
      </c>
      <c r="H2334" s="139">
        <f>IFERROR(IF(E2334&gt;0,E2334*IF(ISNUMBER(J2334),J2334,IF(C2334="Futures",$C$6,$C$5)),""),"")</f>
        <v/>
      </c>
      <c r="I2334" s="139">
        <f>IFERROR(IF(AND(ISNUMBER(F2334),ISNUMBER(H2334)),F2334-H2334,""),"")</f>
        <v/>
      </c>
      <c r="J2334" s="114" t="n"/>
      <c r="K2334" s="139">
        <f>IFERROR(IF(H2334&gt;0,H2334*$C$7,""),"")</f>
        <v/>
      </c>
      <c r="L2334" s="139">
        <f>IFERROR(IF(ISNUMBER(F2334),F2334-IF(ISNUMBER(K2334),K2334,0),""),"")</f>
        <v/>
      </c>
    </row>
    <row r="2335" ht="24" customHeight="1" s="63">
      <c r="E2335" s="139" t="n"/>
      <c r="F2335" s="139" t="n"/>
      <c r="G2335" s="140">
        <f>IFERROR(IF(E2335&gt;0,(F2335/E2335)*1000,""),"")</f>
        <v/>
      </c>
      <c r="H2335" s="139">
        <f>IFERROR(IF(E2335&gt;0,E2335*IF(ISNUMBER(J2335),J2335,IF(C2335="Futures",$C$6,$C$5)),""),"")</f>
        <v/>
      </c>
      <c r="I2335" s="139">
        <f>IFERROR(IF(AND(ISNUMBER(F2335),ISNUMBER(H2335)),F2335-H2335,""),"")</f>
        <v/>
      </c>
      <c r="J2335" s="114" t="n"/>
      <c r="K2335" s="139">
        <f>IFERROR(IF(H2335&gt;0,H2335*$C$7,""),"")</f>
        <v/>
      </c>
      <c r="L2335" s="139">
        <f>IFERROR(IF(ISNUMBER(F2335),F2335-IF(ISNUMBER(K2335),K2335,0),""),"")</f>
        <v/>
      </c>
    </row>
    <row r="2336" ht="24" customHeight="1" s="63">
      <c r="E2336" s="139" t="n"/>
      <c r="F2336" s="139" t="n"/>
      <c r="G2336" s="140">
        <f>IFERROR(IF(E2336&gt;0,(F2336/E2336)*1000,""),"")</f>
        <v/>
      </c>
      <c r="H2336" s="139">
        <f>IFERROR(IF(E2336&gt;0,E2336*IF(ISNUMBER(J2336),J2336,IF(C2336="Futures",$C$6,$C$5)),""),"")</f>
        <v/>
      </c>
      <c r="I2336" s="139">
        <f>IFERROR(IF(AND(ISNUMBER(F2336),ISNUMBER(H2336)),F2336-H2336,""),"")</f>
        <v/>
      </c>
      <c r="J2336" s="114" t="n"/>
      <c r="K2336" s="139">
        <f>IFERROR(IF(H2336&gt;0,H2336*$C$7,""),"")</f>
        <v/>
      </c>
      <c r="L2336" s="139">
        <f>IFERROR(IF(ISNUMBER(F2336),F2336-IF(ISNUMBER(K2336),K2336,0),""),"")</f>
        <v/>
      </c>
    </row>
    <row r="2337" ht="24" customHeight="1" s="63">
      <c r="E2337" s="139" t="n"/>
      <c r="F2337" s="139" t="n"/>
      <c r="G2337" s="140">
        <f>IFERROR(IF(E2337&gt;0,(F2337/E2337)*1000,""),"")</f>
        <v/>
      </c>
      <c r="H2337" s="139">
        <f>IFERROR(IF(E2337&gt;0,E2337*IF(ISNUMBER(J2337),J2337,IF(C2337="Futures",$C$6,$C$5)),""),"")</f>
        <v/>
      </c>
      <c r="I2337" s="139">
        <f>IFERROR(IF(AND(ISNUMBER(F2337),ISNUMBER(H2337)),F2337-H2337,""),"")</f>
        <v/>
      </c>
      <c r="J2337" s="114" t="n"/>
      <c r="K2337" s="139">
        <f>IFERROR(IF(H2337&gt;0,H2337*$C$7,""),"")</f>
        <v/>
      </c>
      <c r="L2337" s="139">
        <f>IFERROR(IF(ISNUMBER(F2337),F2337-IF(ISNUMBER(K2337),K2337,0),""),"")</f>
        <v/>
      </c>
    </row>
    <row r="2338" ht="24" customHeight="1" s="63">
      <c r="E2338" s="139" t="n"/>
      <c r="F2338" s="139" t="n"/>
      <c r="G2338" s="140">
        <f>IFERROR(IF(E2338&gt;0,(F2338/E2338)*1000,""),"")</f>
        <v/>
      </c>
      <c r="H2338" s="139">
        <f>IFERROR(IF(E2338&gt;0,E2338*IF(ISNUMBER(J2338),J2338,IF(C2338="Futures",$C$6,$C$5)),""),"")</f>
        <v/>
      </c>
      <c r="I2338" s="139">
        <f>IFERROR(IF(AND(ISNUMBER(F2338),ISNUMBER(H2338)),F2338-H2338,""),"")</f>
        <v/>
      </c>
      <c r="J2338" s="114" t="n"/>
      <c r="K2338" s="139">
        <f>IFERROR(IF(H2338&gt;0,H2338*$C$7,""),"")</f>
        <v/>
      </c>
      <c r="L2338" s="139">
        <f>IFERROR(IF(ISNUMBER(F2338),F2338-IF(ISNUMBER(K2338),K2338,0),""),"")</f>
        <v/>
      </c>
    </row>
    <row r="2339" ht="24" customHeight="1" s="63">
      <c r="E2339" s="139" t="n"/>
      <c r="F2339" s="139" t="n"/>
      <c r="G2339" s="140">
        <f>IFERROR(IF(E2339&gt;0,(F2339/E2339)*1000,""),"")</f>
        <v/>
      </c>
      <c r="H2339" s="139">
        <f>IFERROR(IF(E2339&gt;0,E2339*IF(ISNUMBER(J2339),J2339,IF(C2339="Futures",$C$6,$C$5)),""),"")</f>
        <v/>
      </c>
      <c r="I2339" s="139">
        <f>IFERROR(IF(AND(ISNUMBER(F2339),ISNUMBER(H2339)),F2339-H2339,""),"")</f>
        <v/>
      </c>
      <c r="J2339" s="114" t="n"/>
      <c r="K2339" s="139">
        <f>IFERROR(IF(H2339&gt;0,H2339*$C$7,""),"")</f>
        <v/>
      </c>
      <c r="L2339" s="139">
        <f>IFERROR(IF(ISNUMBER(F2339),F2339-IF(ISNUMBER(K2339),K2339,0),""),"")</f>
        <v/>
      </c>
    </row>
    <row r="2340" ht="24" customHeight="1" s="63">
      <c r="E2340" s="139" t="n"/>
      <c r="F2340" s="139" t="n"/>
      <c r="G2340" s="140">
        <f>IFERROR(IF(E2340&gt;0,(F2340/E2340)*1000,""),"")</f>
        <v/>
      </c>
      <c r="H2340" s="139">
        <f>IFERROR(IF(E2340&gt;0,E2340*IF(ISNUMBER(J2340),J2340,IF(C2340="Futures",$C$6,$C$5)),""),"")</f>
        <v/>
      </c>
      <c r="I2340" s="139">
        <f>IFERROR(IF(AND(ISNUMBER(F2340),ISNUMBER(H2340)),F2340-H2340,""),"")</f>
        <v/>
      </c>
      <c r="J2340" s="114" t="n"/>
      <c r="K2340" s="139">
        <f>IFERROR(IF(H2340&gt;0,H2340*$C$7,""),"")</f>
        <v/>
      </c>
      <c r="L2340" s="139">
        <f>IFERROR(IF(ISNUMBER(F2340),F2340-IF(ISNUMBER(K2340),K2340,0),""),"")</f>
        <v/>
      </c>
    </row>
    <row r="2341" ht="24" customHeight="1" s="63">
      <c r="E2341" s="139" t="n"/>
      <c r="F2341" s="139" t="n"/>
      <c r="G2341" s="140">
        <f>IFERROR(IF(E2341&gt;0,(F2341/E2341)*1000,""),"")</f>
        <v/>
      </c>
      <c r="H2341" s="139">
        <f>IFERROR(IF(E2341&gt;0,E2341*IF(ISNUMBER(J2341),J2341,IF(C2341="Futures",$C$6,$C$5)),""),"")</f>
        <v/>
      </c>
      <c r="I2341" s="139">
        <f>IFERROR(IF(AND(ISNUMBER(F2341),ISNUMBER(H2341)),F2341-H2341,""),"")</f>
        <v/>
      </c>
      <c r="J2341" s="114" t="n"/>
      <c r="K2341" s="139">
        <f>IFERROR(IF(H2341&gt;0,H2341*$C$7,""),"")</f>
        <v/>
      </c>
      <c r="L2341" s="139">
        <f>IFERROR(IF(ISNUMBER(F2341),F2341-IF(ISNUMBER(K2341),K2341,0),""),"")</f>
        <v/>
      </c>
    </row>
    <row r="2342" ht="24" customHeight="1" s="63">
      <c r="E2342" s="139" t="n"/>
      <c r="F2342" s="139" t="n"/>
      <c r="G2342" s="140">
        <f>IFERROR(IF(E2342&gt;0,(F2342/E2342)*1000,""),"")</f>
        <v/>
      </c>
      <c r="H2342" s="139">
        <f>IFERROR(IF(E2342&gt;0,E2342*IF(ISNUMBER(J2342),J2342,IF(C2342="Futures",$C$6,$C$5)),""),"")</f>
        <v/>
      </c>
      <c r="I2342" s="139">
        <f>IFERROR(IF(AND(ISNUMBER(F2342),ISNUMBER(H2342)),F2342-H2342,""),"")</f>
        <v/>
      </c>
      <c r="J2342" s="114" t="n"/>
      <c r="K2342" s="139">
        <f>IFERROR(IF(H2342&gt;0,H2342*$C$7,""),"")</f>
        <v/>
      </c>
      <c r="L2342" s="139">
        <f>IFERROR(IF(ISNUMBER(F2342),F2342-IF(ISNUMBER(K2342),K2342,0),""),"")</f>
        <v/>
      </c>
    </row>
    <row r="2343" ht="24" customHeight="1" s="63">
      <c r="E2343" s="139" t="n"/>
      <c r="F2343" s="139" t="n"/>
      <c r="G2343" s="140">
        <f>IFERROR(IF(E2343&gt;0,(F2343/E2343)*1000,""),"")</f>
        <v/>
      </c>
      <c r="H2343" s="139">
        <f>IFERROR(IF(E2343&gt;0,E2343*IF(ISNUMBER(J2343),J2343,IF(C2343="Futures",$C$6,$C$5)),""),"")</f>
        <v/>
      </c>
      <c r="I2343" s="139">
        <f>IFERROR(IF(AND(ISNUMBER(F2343),ISNUMBER(H2343)),F2343-H2343,""),"")</f>
        <v/>
      </c>
      <c r="J2343" s="114" t="n"/>
      <c r="K2343" s="139">
        <f>IFERROR(IF(H2343&gt;0,H2343*$C$7,""),"")</f>
        <v/>
      </c>
      <c r="L2343" s="139">
        <f>IFERROR(IF(ISNUMBER(F2343),F2343-IF(ISNUMBER(K2343),K2343,0),""),"")</f>
        <v/>
      </c>
    </row>
    <row r="2344" ht="24" customHeight="1" s="63">
      <c r="E2344" s="139" t="n"/>
      <c r="F2344" s="139" t="n"/>
      <c r="G2344" s="140">
        <f>IFERROR(IF(E2344&gt;0,(F2344/E2344)*1000,""),"")</f>
        <v/>
      </c>
      <c r="H2344" s="139">
        <f>IFERROR(IF(E2344&gt;0,E2344*IF(ISNUMBER(J2344),J2344,IF(C2344="Futures",$C$6,$C$5)),""),"")</f>
        <v/>
      </c>
      <c r="I2344" s="139">
        <f>IFERROR(IF(AND(ISNUMBER(F2344),ISNUMBER(H2344)),F2344-H2344,""),"")</f>
        <v/>
      </c>
      <c r="J2344" s="114" t="n"/>
      <c r="K2344" s="139">
        <f>IFERROR(IF(H2344&gt;0,H2344*$C$7,""),"")</f>
        <v/>
      </c>
      <c r="L2344" s="139">
        <f>IFERROR(IF(ISNUMBER(F2344),F2344-IF(ISNUMBER(K2344),K2344,0),""),"")</f>
        <v/>
      </c>
    </row>
    <row r="2345" ht="24" customHeight="1" s="63">
      <c r="E2345" s="139" t="n"/>
      <c r="F2345" s="139" t="n"/>
      <c r="G2345" s="140">
        <f>IFERROR(IF(E2345&gt;0,(F2345/E2345)*1000,""),"")</f>
        <v/>
      </c>
      <c r="H2345" s="139">
        <f>IFERROR(IF(E2345&gt;0,E2345*IF(ISNUMBER(J2345),J2345,IF(C2345="Futures",$C$6,$C$5)),""),"")</f>
        <v/>
      </c>
      <c r="I2345" s="139">
        <f>IFERROR(IF(AND(ISNUMBER(F2345),ISNUMBER(H2345)),F2345-H2345,""),"")</f>
        <v/>
      </c>
      <c r="J2345" s="114" t="n"/>
      <c r="K2345" s="139">
        <f>IFERROR(IF(H2345&gt;0,H2345*$C$7,""),"")</f>
        <v/>
      </c>
      <c r="L2345" s="139">
        <f>IFERROR(IF(ISNUMBER(F2345),F2345-IF(ISNUMBER(K2345),K2345,0),""),"")</f>
        <v/>
      </c>
    </row>
    <row r="2346" ht="24" customHeight="1" s="63">
      <c r="E2346" s="139" t="n"/>
      <c r="F2346" s="139" t="n"/>
      <c r="G2346" s="140">
        <f>IFERROR(IF(E2346&gt;0,(F2346/E2346)*1000,""),"")</f>
        <v/>
      </c>
      <c r="H2346" s="139">
        <f>IFERROR(IF(E2346&gt;0,E2346*IF(ISNUMBER(J2346),J2346,IF(C2346="Futures",$C$6,$C$5)),""),"")</f>
        <v/>
      </c>
      <c r="I2346" s="139">
        <f>IFERROR(IF(AND(ISNUMBER(F2346),ISNUMBER(H2346)),F2346-H2346,""),"")</f>
        <v/>
      </c>
      <c r="J2346" s="114" t="n"/>
      <c r="K2346" s="139">
        <f>IFERROR(IF(H2346&gt;0,H2346*$C$7,""),"")</f>
        <v/>
      </c>
      <c r="L2346" s="139">
        <f>IFERROR(IF(ISNUMBER(F2346),F2346-IF(ISNUMBER(K2346),K2346,0),""),"")</f>
        <v/>
      </c>
    </row>
    <row r="2347" ht="24" customHeight="1" s="63">
      <c r="E2347" s="139" t="n"/>
      <c r="F2347" s="139" t="n"/>
      <c r="G2347" s="140">
        <f>IFERROR(IF(E2347&gt;0,(F2347/E2347)*1000,""),"")</f>
        <v/>
      </c>
      <c r="H2347" s="139">
        <f>IFERROR(IF(E2347&gt;0,E2347*IF(ISNUMBER(J2347),J2347,IF(C2347="Futures",$C$6,$C$5)),""),"")</f>
        <v/>
      </c>
      <c r="I2347" s="139">
        <f>IFERROR(IF(AND(ISNUMBER(F2347),ISNUMBER(H2347)),F2347-H2347,""),"")</f>
        <v/>
      </c>
      <c r="J2347" s="114" t="n"/>
      <c r="K2347" s="139">
        <f>IFERROR(IF(H2347&gt;0,H2347*$C$7,""),"")</f>
        <v/>
      </c>
      <c r="L2347" s="139">
        <f>IFERROR(IF(ISNUMBER(F2347),F2347-IF(ISNUMBER(K2347),K2347,0),""),"")</f>
        <v/>
      </c>
    </row>
    <row r="2348" ht="24" customHeight="1" s="63">
      <c r="E2348" s="139" t="n"/>
      <c r="F2348" s="139" t="n"/>
      <c r="G2348" s="140">
        <f>IFERROR(IF(E2348&gt;0,(F2348/E2348)*1000,""),"")</f>
        <v/>
      </c>
      <c r="H2348" s="139">
        <f>IFERROR(IF(E2348&gt;0,E2348*IF(ISNUMBER(J2348),J2348,IF(C2348="Futures",$C$6,$C$5)),""),"")</f>
        <v/>
      </c>
      <c r="I2348" s="139">
        <f>IFERROR(IF(AND(ISNUMBER(F2348),ISNUMBER(H2348)),F2348-H2348,""),"")</f>
        <v/>
      </c>
      <c r="J2348" s="114" t="n"/>
      <c r="K2348" s="139">
        <f>IFERROR(IF(H2348&gt;0,H2348*$C$7,""),"")</f>
        <v/>
      </c>
      <c r="L2348" s="139">
        <f>IFERROR(IF(ISNUMBER(F2348),F2348-IF(ISNUMBER(K2348),K2348,0),""),"")</f>
        <v/>
      </c>
    </row>
    <row r="2349" ht="24" customHeight="1" s="63">
      <c r="E2349" s="139" t="n"/>
      <c r="F2349" s="139" t="n"/>
      <c r="G2349" s="140">
        <f>IFERROR(IF(E2349&gt;0,(F2349/E2349)*1000,""),"")</f>
        <v/>
      </c>
      <c r="H2349" s="139">
        <f>IFERROR(IF(E2349&gt;0,E2349*IF(ISNUMBER(J2349),J2349,IF(C2349="Futures",$C$6,$C$5)),""),"")</f>
        <v/>
      </c>
      <c r="I2349" s="139">
        <f>IFERROR(IF(AND(ISNUMBER(F2349),ISNUMBER(H2349)),F2349-H2349,""),"")</f>
        <v/>
      </c>
      <c r="J2349" s="114" t="n"/>
      <c r="K2349" s="139">
        <f>IFERROR(IF(H2349&gt;0,H2349*$C$7,""),"")</f>
        <v/>
      </c>
      <c r="L2349" s="139">
        <f>IFERROR(IF(ISNUMBER(F2349),F2349-IF(ISNUMBER(K2349),K2349,0),""),"")</f>
        <v/>
      </c>
    </row>
    <row r="2350" ht="24" customHeight="1" s="63">
      <c r="E2350" s="139" t="n"/>
      <c r="F2350" s="139" t="n"/>
      <c r="G2350" s="140">
        <f>IFERROR(IF(E2350&gt;0,(F2350/E2350)*1000,""),"")</f>
        <v/>
      </c>
      <c r="H2350" s="139">
        <f>IFERROR(IF(E2350&gt;0,E2350*IF(ISNUMBER(J2350),J2350,IF(C2350="Futures",$C$6,$C$5)),""),"")</f>
        <v/>
      </c>
      <c r="I2350" s="139">
        <f>IFERROR(IF(AND(ISNUMBER(F2350),ISNUMBER(H2350)),F2350-H2350,""),"")</f>
        <v/>
      </c>
      <c r="J2350" s="114" t="n"/>
      <c r="K2350" s="139">
        <f>IFERROR(IF(H2350&gt;0,H2350*$C$7,""),"")</f>
        <v/>
      </c>
      <c r="L2350" s="139">
        <f>IFERROR(IF(ISNUMBER(F2350),F2350-IF(ISNUMBER(K2350),K2350,0),""),"")</f>
        <v/>
      </c>
    </row>
    <row r="2351" ht="24" customHeight="1" s="63">
      <c r="E2351" s="139" t="n"/>
      <c r="F2351" s="139" t="n"/>
      <c r="G2351" s="140">
        <f>IFERROR(IF(E2351&gt;0,(F2351/E2351)*1000,""),"")</f>
        <v/>
      </c>
      <c r="H2351" s="139">
        <f>IFERROR(IF(E2351&gt;0,E2351*IF(ISNUMBER(J2351),J2351,IF(C2351="Futures",$C$6,$C$5)),""),"")</f>
        <v/>
      </c>
      <c r="I2351" s="139">
        <f>IFERROR(IF(AND(ISNUMBER(F2351),ISNUMBER(H2351)),F2351-H2351,""),"")</f>
        <v/>
      </c>
      <c r="J2351" s="114" t="n"/>
      <c r="K2351" s="139">
        <f>IFERROR(IF(H2351&gt;0,H2351*$C$7,""),"")</f>
        <v/>
      </c>
      <c r="L2351" s="139">
        <f>IFERROR(IF(ISNUMBER(F2351),F2351-IF(ISNUMBER(K2351),K2351,0),""),"")</f>
        <v/>
      </c>
    </row>
    <row r="2352" ht="24" customHeight="1" s="63">
      <c r="E2352" s="139" t="n"/>
      <c r="F2352" s="139" t="n"/>
      <c r="G2352" s="140">
        <f>IFERROR(IF(E2352&gt;0,(F2352/E2352)*1000,""),"")</f>
        <v/>
      </c>
      <c r="H2352" s="139">
        <f>IFERROR(IF(E2352&gt;0,E2352*IF(ISNUMBER(J2352),J2352,IF(C2352="Futures",$C$6,$C$5)),""),"")</f>
        <v/>
      </c>
      <c r="I2352" s="139">
        <f>IFERROR(IF(AND(ISNUMBER(F2352),ISNUMBER(H2352)),F2352-H2352,""),"")</f>
        <v/>
      </c>
      <c r="J2352" s="114" t="n"/>
      <c r="K2352" s="139">
        <f>IFERROR(IF(H2352&gt;0,H2352*$C$7,""),"")</f>
        <v/>
      </c>
      <c r="L2352" s="139">
        <f>IFERROR(IF(ISNUMBER(F2352),F2352-IF(ISNUMBER(K2352),K2352,0),""),"")</f>
        <v/>
      </c>
    </row>
    <row r="2353" ht="24" customHeight="1" s="63">
      <c r="E2353" s="139" t="n"/>
      <c r="F2353" s="139" t="n"/>
      <c r="G2353" s="140">
        <f>IFERROR(IF(E2353&gt;0,(F2353/E2353)*1000,""),"")</f>
        <v/>
      </c>
      <c r="H2353" s="139">
        <f>IFERROR(IF(E2353&gt;0,E2353*IF(ISNUMBER(J2353),J2353,IF(C2353="Futures",$C$6,$C$5)),""),"")</f>
        <v/>
      </c>
      <c r="I2353" s="139">
        <f>IFERROR(IF(AND(ISNUMBER(F2353),ISNUMBER(H2353)),F2353-H2353,""),"")</f>
        <v/>
      </c>
      <c r="J2353" s="114" t="n"/>
      <c r="K2353" s="139">
        <f>IFERROR(IF(H2353&gt;0,H2353*$C$7,""),"")</f>
        <v/>
      </c>
      <c r="L2353" s="139">
        <f>IFERROR(IF(ISNUMBER(F2353),F2353-IF(ISNUMBER(K2353),K2353,0),""),"")</f>
        <v/>
      </c>
    </row>
    <row r="2354" ht="24" customHeight="1" s="63">
      <c r="E2354" s="139" t="n"/>
      <c r="F2354" s="139" t="n"/>
      <c r="G2354" s="140">
        <f>IFERROR(IF(E2354&gt;0,(F2354/E2354)*1000,""),"")</f>
        <v/>
      </c>
      <c r="H2354" s="139">
        <f>IFERROR(IF(E2354&gt;0,E2354*IF(ISNUMBER(J2354),J2354,IF(C2354="Futures",$C$6,$C$5)),""),"")</f>
        <v/>
      </c>
      <c r="I2354" s="139">
        <f>IFERROR(IF(AND(ISNUMBER(F2354),ISNUMBER(H2354)),F2354-H2354,""),"")</f>
        <v/>
      </c>
      <c r="J2354" s="114" t="n"/>
      <c r="K2354" s="139">
        <f>IFERROR(IF(H2354&gt;0,H2354*$C$7,""),"")</f>
        <v/>
      </c>
      <c r="L2354" s="139">
        <f>IFERROR(IF(ISNUMBER(F2354),F2354-IF(ISNUMBER(K2354),K2354,0),""),"")</f>
        <v/>
      </c>
    </row>
    <row r="2355" ht="24" customHeight="1" s="63">
      <c r="E2355" s="139" t="n"/>
      <c r="F2355" s="139" t="n"/>
      <c r="G2355" s="140">
        <f>IFERROR(IF(E2355&gt;0,(F2355/E2355)*1000,""),"")</f>
        <v/>
      </c>
      <c r="H2355" s="139">
        <f>IFERROR(IF(E2355&gt;0,E2355*IF(ISNUMBER(J2355),J2355,IF(C2355="Futures",$C$6,$C$5)),""),"")</f>
        <v/>
      </c>
      <c r="I2355" s="139">
        <f>IFERROR(IF(AND(ISNUMBER(F2355),ISNUMBER(H2355)),F2355-H2355,""),"")</f>
        <v/>
      </c>
      <c r="J2355" s="114" t="n"/>
      <c r="K2355" s="139">
        <f>IFERROR(IF(H2355&gt;0,H2355*$C$7,""),"")</f>
        <v/>
      </c>
      <c r="L2355" s="139">
        <f>IFERROR(IF(ISNUMBER(F2355),F2355-IF(ISNUMBER(K2355),K2355,0),""),"")</f>
        <v/>
      </c>
    </row>
    <row r="2356" ht="24" customHeight="1" s="63">
      <c r="E2356" s="139" t="n"/>
      <c r="F2356" s="139" t="n"/>
      <c r="G2356" s="140">
        <f>IFERROR(IF(E2356&gt;0,(F2356/E2356)*1000,""),"")</f>
        <v/>
      </c>
      <c r="H2356" s="139">
        <f>IFERROR(IF(E2356&gt;0,E2356*IF(ISNUMBER(J2356),J2356,IF(C2356="Futures",$C$6,$C$5)),""),"")</f>
        <v/>
      </c>
      <c r="I2356" s="139">
        <f>IFERROR(IF(AND(ISNUMBER(F2356),ISNUMBER(H2356)),F2356-H2356,""),"")</f>
        <v/>
      </c>
      <c r="J2356" s="114" t="n"/>
      <c r="K2356" s="139">
        <f>IFERROR(IF(H2356&gt;0,H2356*$C$7,""),"")</f>
        <v/>
      </c>
      <c r="L2356" s="139">
        <f>IFERROR(IF(ISNUMBER(F2356),F2356-IF(ISNUMBER(K2356),K2356,0),""),"")</f>
        <v/>
      </c>
    </row>
    <row r="2357" ht="24" customHeight="1" s="63">
      <c r="E2357" s="139" t="n"/>
      <c r="F2357" s="139" t="n"/>
      <c r="G2357" s="140">
        <f>IFERROR(IF(E2357&gt;0,(F2357/E2357)*1000,""),"")</f>
        <v/>
      </c>
      <c r="H2357" s="139">
        <f>IFERROR(IF(E2357&gt;0,E2357*IF(ISNUMBER(J2357),J2357,IF(C2357="Futures",$C$6,$C$5)),""),"")</f>
        <v/>
      </c>
      <c r="I2357" s="139">
        <f>IFERROR(IF(AND(ISNUMBER(F2357),ISNUMBER(H2357)),F2357-H2357,""),"")</f>
        <v/>
      </c>
      <c r="J2357" s="114" t="n"/>
      <c r="K2357" s="139">
        <f>IFERROR(IF(H2357&gt;0,H2357*$C$7,""),"")</f>
        <v/>
      </c>
      <c r="L2357" s="139">
        <f>IFERROR(IF(ISNUMBER(F2357),F2357-IF(ISNUMBER(K2357),K2357,0),""),"")</f>
        <v/>
      </c>
    </row>
    <row r="2358" ht="24" customHeight="1" s="63">
      <c r="E2358" s="139" t="n"/>
      <c r="F2358" s="139" t="n"/>
      <c r="G2358" s="140">
        <f>IFERROR(IF(E2358&gt;0,(F2358/E2358)*1000,""),"")</f>
        <v/>
      </c>
      <c r="H2358" s="139">
        <f>IFERROR(IF(E2358&gt;0,E2358*IF(ISNUMBER(J2358),J2358,IF(C2358="Futures",$C$6,$C$5)),""),"")</f>
        <v/>
      </c>
      <c r="I2358" s="139">
        <f>IFERROR(IF(AND(ISNUMBER(F2358),ISNUMBER(H2358)),F2358-H2358,""),"")</f>
        <v/>
      </c>
      <c r="J2358" s="114" t="n"/>
      <c r="K2358" s="139">
        <f>IFERROR(IF(H2358&gt;0,H2358*$C$7,""),"")</f>
        <v/>
      </c>
      <c r="L2358" s="139">
        <f>IFERROR(IF(ISNUMBER(F2358),F2358-IF(ISNUMBER(K2358),K2358,0),""),"")</f>
        <v/>
      </c>
    </row>
    <row r="2359" ht="24" customHeight="1" s="63">
      <c r="E2359" s="139" t="n"/>
      <c r="F2359" s="139" t="n"/>
      <c r="G2359" s="140">
        <f>IFERROR(IF(E2359&gt;0,(F2359/E2359)*1000,""),"")</f>
        <v/>
      </c>
      <c r="H2359" s="139">
        <f>IFERROR(IF(E2359&gt;0,E2359*IF(ISNUMBER(J2359),J2359,IF(C2359="Futures",$C$6,$C$5)),""),"")</f>
        <v/>
      </c>
      <c r="I2359" s="139">
        <f>IFERROR(IF(AND(ISNUMBER(F2359),ISNUMBER(H2359)),F2359-H2359,""),"")</f>
        <v/>
      </c>
      <c r="J2359" s="114" t="n"/>
      <c r="K2359" s="139">
        <f>IFERROR(IF(H2359&gt;0,H2359*$C$7,""),"")</f>
        <v/>
      </c>
      <c r="L2359" s="139">
        <f>IFERROR(IF(ISNUMBER(F2359),F2359-IF(ISNUMBER(K2359),K2359,0),""),"")</f>
        <v/>
      </c>
    </row>
    <row r="2360" ht="24" customHeight="1" s="63">
      <c r="E2360" s="139" t="n"/>
      <c r="F2360" s="139" t="n"/>
      <c r="G2360" s="140">
        <f>IFERROR(IF(E2360&gt;0,(F2360/E2360)*1000,""),"")</f>
        <v/>
      </c>
      <c r="H2360" s="139">
        <f>IFERROR(IF(E2360&gt;0,E2360*IF(ISNUMBER(J2360),J2360,IF(C2360="Futures",$C$6,$C$5)),""),"")</f>
        <v/>
      </c>
      <c r="I2360" s="139">
        <f>IFERROR(IF(AND(ISNUMBER(F2360),ISNUMBER(H2360)),F2360-H2360,""),"")</f>
        <v/>
      </c>
      <c r="J2360" s="114" t="n"/>
      <c r="K2360" s="139">
        <f>IFERROR(IF(H2360&gt;0,H2360*$C$7,""),"")</f>
        <v/>
      </c>
      <c r="L2360" s="139">
        <f>IFERROR(IF(ISNUMBER(F2360),F2360-IF(ISNUMBER(K2360),K2360,0),""),"")</f>
        <v/>
      </c>
    </row>
    <row r="2361" ht="24" customHeight="1" s="63">
      <c r="E2361" s="139" t="n"/>
      <c r="F2361" s="139" t="n"/>
      <c r="G2361" s="140">
        <f>IFERROR(IF(E2361&gt;0,(F2361/E2361)*1000,""),"")</f>
        <v/>
      </c>
      <c r="H2361" s="139">
        <f>IFERROR(IF(E2361&gt;0,E2361*IF(ISNUMBER(J2361),J2361,IF(C2361="Futures",$C$6,$C$5)),""),"")</f>
        <v/>
      </c>
      <c r="I2361" s="139">
        <f>IFERROR(IF(AND(ISNUMBER(F2361),ISNUMBER(H2361)),F2361-H2361,""),"")</f>
        <v/>
      </c>
      <c r="J2361" s="114" t="n"/>
      <c r="K2361" s="139">
        <f>IFERROR(IF(H2361&gt;0,H2361*$C$7,""),"")</f>
        <v/>
      </c>
      <c r="L2361" s="139">
        <f>IFERROR(IF(ISNUMBER(F2361),F2361-IF(ISNUMBER(K2361),K2361,0),""),"")</f>
        <v/>
      </c>
    </row>
    <row r="2362" ht="24" customHeight="1" s="63">
      <c r="E2362" s="139" t="n"/>
      <c r="F2362" s="139" t="n"/>
      <c r="G2362" s="140">
        <f>IFERROR(IF(E2362&gt;0,(F2362/E2362)*1000,""),"")</f>
        <v/>
      </c>
      <c r="H2362" s="139">
        <f>IFERROR(IF(E2362&gt;0,E2362*IF(ISNUMBER(J2362),J2362,IF(C2362="Futures",$C$6,$C$5)),""),"")</f>
        <v/>
      </c>
      <c r="I2362" s="139">
        <f>IFERROR(IF(AND(ISNUMBER(F2362),ISNUMBER(H2362)),F2362-H2362,""),"")</f>
        <v/>
      </c>
      <c r="J2362" s="114" t="n"/>
      <c r="K2362" s="139">
        <f>IFERROR(IF(H2362&gt;0,H2362*$C$7,""),"")</f>
        <v/>
      </c>
      <c r="L2362" s="139">
        <f>IFERROR(IF(ISNUMBER(F2362),F2362-IF(ISNUMBER(K2362),K2362,0),""),"")</f>
        <v/>
      </c>
    </row>
    <row r="2363" ht="24" customHeight="1" s="63">
      <c r="E2363" s="139" t="n"/>
      <c r="F2363" s="139" t="n"/>
      <c r="G2363" s="140">
        <f>IFERROR(IF(E2363&gt;0,(F2363/E2363)*1000,""),"")</f>
        <v/>
      </c>
      <c r="H2363" s="139">
        <f>IFERROR(IF(E2363&gt;0,E2363*IF(ISNUMBER(J2363),J2363,IF(C2363="Futures",$C$6,$C$5)),""),"")</f>
        <v/>
      </c>
      <c r="I2363" s="139">
        <f>IFERROR(IF(AND(ISNUMBER(F2363),ISNUMBER(H2363)),F2363-H2363,""),"")</f>
        <v/>
      </c>
      <c r="J2363" s="114" t="n"/>
      <c r="K2363" s="139">
        <f>IFERROR(IF(H2363&gt;0,H2363*$C$7,""),"")</f>
        <v/>
      </c>
      <c r="L2363" s="139">
        <f>IFERROR(IF(ISNUMBER(F2363),F2363-IF(ISNUMBER(K2363),K2363,0),""),"")</f>
        <v/>
      </c>
    </row>
    <row r="2364" ht="24" customHeight="1" s="63">
      <c r="E2364" s="139" t="n"/>
      <c r="F2364" s="139" t="n"/>
      <c r="G2364" s="140">
        <f>IFERROR(IF(E2364&gt;0,(F2364/E2364)*1000,""),"")</f>
        <v/>
      </c>
      <c r="H2364" s="139">
        <f>IFERROR(IF(E2364&gt;0,E2364*IF(ISNUMBER(J2364),J2364,IF(C2364="Futures",$C$6,$C$5)),""),"")</f>
        <v/>
      </c>
      <c r="I2364" s="139">
        <f>IFERROR(IF(AND(ISNUMBER(F2364),ISNUMBER(H2364)),F2364-H2364,""),"")</f>
        <v/>
      </c>
      <c r="J2364" s="114" t="n"/>
      <c r="K2364" s="139">
        <f>IFERROR(IF(H2364&gt;0,H2364*$C$7,""),"")</f>
        <v/>
      </c>
      <c r="L2364" s="139">
        <f>IFERROR(IF(ISNUMBER(F2364),F2364-IF(ISNUMBER(K2364),K2364,0),""),"")</f>
        <v/>
      </c>
    </row>
    <row r="2365" ht="24" customHeight="1" s="63">
      <c r="E2365" s="139" t="n"/>
      <c r="F2365" s="139" t="n"/>
      <c r="G2365" s="140">
        <f>IFERROR(IF(E2365&gt;0,(F2365/E2365)*1000,""),"")</f>
        <v/>
      </c>
      <c r="H2365" s="139">
        <f>IFERROR(IF(E2365&gt;0,E2365*IF(ISNUMBER(J2365),J2365,IF(C2365="Futures",$C$6,$C$5)),""),"")</f>
        <v/>
      </c>
      <c r="I2365" s="139">
        <f>IFERROR(IF(AND(ISNUMBER(F2365),ISNUMBER(H2365)),F2365-H2365,""),"")</f>
        <v/>
      </c>
      <c r="J2365" s="114" t="n"/>
      <c r="K2365" s="139">
        <f>IFERROR(IF(H2365&gt;0,H2365*$C$7,""),"")</f>
        <v/>
      </c>
      <c r="L2365" s="139">
        <f>IFERROR(IF(ISNUMBER(F2365),F2365-IF(ISNUMBER(K2365),K2365,0),""),"")</f>
        <v/>
      </c>
    </row>
    <row r="2366" ht="24" customHeight="1" s="63">
      <c r="E2366" s="139" t="n"/>
      <c r="F2366" s="139" t="n"/>
      <c r="G2366" s="140">
        <f>IFERROR(IF(E2366&gt;0,(F2366/E2366)*1000,""),"")</f>
        <v/>
      </c>
      <c r="H2366" s="139">
        <f>IFERROR(IF(E2366&gt;0,E2366*IF(ISNUMBER(J2366),J2366,IF(C2366="Futures",$C$6,$C$5)),""),"")</f>
        <v/>
      </c>
      <c r="I2366" s="139">
        <f>IFERROR(IF(AND(ISNUMBER(F2366),ISNUMBER(H2366)),F2366-H2366,""),"")</f>
        <v/>
      </c>
      <c r="J2366" s="114" t="n"/>
      <c r="K2366" s="139">
        <f>IFERROR(IF(H2366&gt;0,H2366*$C$7,""),"")</f>
        <v/>
      </c>
      <c r="L2366" s="139">
        <f>IFERROR(IF(ISNUMBER(F2366),F2366-IF(ISNUMBER(K2366),K2366,0),""),"")</f>
        <v/>
      </c>
    </row>
    <row r="2367" ht="24" customHeight="1" s="63">
      <c r="E2367" s="139" t="n"/>
      <c r="F2367" s="139" t="n"/>
      <c r="G2367" s="140">
        <f>IFERROR(IF(E2367&gt;0,(F2367/E2367)*1000,""),"")</f>
        <v/>
      </c>
      <c r="H2367" s="139">
        <f>IFERROR(IF(E2367&gt;0,E2367*IF(ISNUMBER(J2367),J2367,IF(C2367="Futures",$C$6,$C$5)),""),"")</f>
        <v/>
      </c>
      <c r="I2367" s="139">
        <f>IFERROR(IF(AND(ISNUMBER(F2367),ISNUMBER(H2367)),F2367-H2367,""),"")</f>
        <v/>
      </c>
      <c r="J2367" s="114" t="n"/>
      <c r="K2367" s="139">
        <f>IFERROR(IF(H2367&gt;0,H2367*$C$7,""),"")</f>
        <v/>
      </c>
      <c r="L2367" s="139">
        <f>IFERROR(IF(ISNUMBER(F2367),F2367-IF(ISNUMBER(K2367),K2367,0),""),"")</f>
        <v/>
      </c>
    </row>
    <row r="2368" ht="24" customHeight="1" s="63">
      <c r="E2368" s="139" t="n"/>
      <c r="F2368" s="139" t="n"/>
      <c r="G2368" s="140">
        <f>IFERROR(IF(E2368&gt;0,(F2368/E2368)*1000,""),"")</f>
        <v/>
      </c>
      <c r="H2368" s="139">
        <f>IFERROR(IF(E2368&gt;0,E2368*IF(ISNUMBER(J2368),J2368,IF(C2368="Futures",$C$6,$C$5)),""),"")</f>
        <v/>
      </c>
      <c r="I2368" s="139">
        <f>IFERROR(IF(AND(ISNUMBER(F2368),ISNUMBER(H2368)),F2368-H2368,""),"")</f>
        <v/>
      </c>
      <c r="J2368" s="114" t="n"/>
      <c r="K2368" s="139">
        <f>IFERROR(IF(H2368&gt;0,H2368*$C$7,""),"")</f>
        <v/>
      </c>
      <c r="L2368" s="139">
        <f>IFERROR(IF(ISNUMBER(F2368),F2368-IF(ISNUMBER(K2368),K2368,0),""),"")</f>
        <v/>
      </c>
    </row>
    <row r="2369" ht="24" customHeight="1" s="63">
      <c r="E2369" s="139" t="n"/>
      <c r="F2369" s="139" t="n"/>
      <c r="G2369" s="140">
        <f>IFERROR(IF(E2369&gt;0,(F2369/E2369)*1000,""),"")</f>
        <v/>
      </c>
      <c r="H2369" s="139">
        <f>IFERROR(IF(E2369&gt;0,E2369*IF(ISNUMBER(J2369),J2369,IF(C2369="Futures",$C$6,$C$5)),""),"")</f>
        <v/>
      </c>
      <c r="I2369" s="139">
        <f>IFERROR(IF(AND(ISNUMBER(F2369),ISNUMBER(H2369)),F2369-H2369,""),"")</f>
        <v/>
      </c>
      <c r="J2369" s="114" t="n"/>
      <c r="K2369" s="139">
        <f>IFERROR(IF(H2369&gt;0,H2369*$C$7,""),"")</f>
        <v/>
      </c>
      <c r="L2369" s="139">
        <f>IFERROR(IF(ISNUMBER(F2369),F2369-IF(ISNUMBER(K2369),K2369,0),""),"")</f>
        <v/>
      </c>
    </row>
    <row r="2370" ht="24" customHeight="1" s="63">
      <c r="E2370" s="139" t="n"/>
      <c r="F2370" s="139" t="n"/>
      <c r="G2370" s="140">
        <f>IFERROR(IF(E2370&gt;0,(F2370/E2370)*1000,""),"")</f>
        <v/>
      </c>
      <c r="H2370" s="139">
        <f>IFERROR(IF(E2370&gt;0,E2370*IF(ISNUMBER(J2370),J2370,IF(C2370="Futures",$C$6,$C$5)),""),"")</f>
        <v/>
      </c>
      <c r="I2370" s="139">
        <f>IFERROR(IF(AND(ISNUMBER(F2370),ISNUMBER(H2370)),F2370-H2370,""),"")</f>
        <v/>
      </c>
      <c r="J2370" s="114" t="n"/>
      <c r="K2370" s="139">
        <f>IFERROR(IF(H2370&gt;0,H2370*$C$7,""),"")</f>
        <v/>
      </c>
      <c r="L2370" s="139">
        <f>IFERROR(IF(ISNUMBER(F2370),F2370-IF(ISNUMBER(K2370),K2370,0),""),"")</f>
        <v/>
      </c>
    </row>
    <row r="2371" ht="24" customHeight="1" s="63">
      <c r="E2371" s="139" t="n"/>
      <c r="F2371" s="139" t="n"/>
      <c r="G2371" s="140">
        <f>IFERROR(IF(E2371&gt;0,(F2371/E2371)*1000,""),"")</f>
        <v/>
      </c>
      <c r="H2371" s="139">
        <f>IFERROR(IF(E2371&gt;0,E2371*IF(ISNUMBER(J2371),J2371,IF(C2371="Futures",$C$6,$C$5)),""),"")</f>
        <v/>
      </c>
      <c r="I2371" s="139">
        <f>IFERROR(IF(AND(ISNUMBER(F2371),ISNUMBER(H2371)),F2371-H2371,""),"")</f>
        <v/>
      </c>
      <c r="J2371" s="114" t="n"/>
      <c r="K2371" s="139">
        <f>IFERROR(IF(H2371&gt;0,H2371*$C$7,""),"")</f>
        <v/>
      </c>
      <c r="L2371" s="139">
        <f>IFERROR(IF(ISNUMBER(F2371),F2371-IF(ISNUMBER(K2371),K2371,0),""),"")</f>
        <v/>
      </c>
    </row>
    <row r="2372" ht="24" customHeight="1" s="63">
      <c r="E2372" s="139" t="n"/>
      <c r="F2372" s="139" t="n"/>
      <c r="G2372" s="140">
        <f>IFERROR(IF(E2372&gt;0,(F2372/E2372)*1000,""),"")</f>
        <v/>
      </c>
      <c r="H2372" s="139">
        <f>IFERROR(IF(E2372&gt;0,E2372*IF(ISNUMBER(J2372),J2372,IF(C2372="Futures",$C$6,$C$5)),""),"")</f>
        <v/>
      </c>
      <c r="I2372" s="139">
        <f>IFERROR(IF(AND(ISNUMBER(F2372),ISNUMBER(H2372)),F2372-H2372,""),"")</f>
        <v/>
      </c>
      <c r="J2372" s="114" t="n"/>
      <c r="K2372" s="139">
        <f>IFERROR(IF(H2372&gt;0,H2372*$C$7,""),"")</f>
        <v/>
      </c>
      <c r="L2372" s="139">
        <f>IFERROR(IF(ISNUMBER(F2372),F2372-IF(ISNUMBER(K2372),K2372,0),""),"")</f>
        <v/>
      </c>
    </row>
    <row r="2373" ht="24" customHeight="1" s="63">
      <c r="E2373" s="139" t="n"/>
      <c r="F2373" s="139" t="n"/>
      <c r="G2373" s="140">
        <f>IFERROR(IF(E2373&gt;0,(F2373/E2373)*1000,""),"")</f>
        <v/>
      </c>
      <c r="H2373" s="139">
        <f>IFERROR(IF(E2373&gt;0,E2373*IF(ISNUMBER(J2373),J2373,IF(C2373="Futures",$C$6,$C$5)),""),"")</f>
        <v/>
      </c>
      <c r="I2373" s="139">
        <f>IFERROR(IF(AND(ISNUMBER(F2373),ISNUMBER(H2373)),F2373-H2373,""),"")</f>
        <v/>
      </c>
      <c r="J2373" s="114" t="n"/>
      <c r="K2373" s="139">
        <f>IFERROR(IF(H2373&gt;0,H2373*$C$7,""),"")</f>
        <v/>
      </c>
      <c r="L2373" s="139">
        <f>IFERROR(IF(ISNUMBER(F2373),F2373-IF(ISNUMBER(K2373),K2373,0),""),"")</f>
        <v/>
      </c>
    </row>
    <row r="2374" ht="24" customHeight="1" s="63">
      <c r="E2374" s="139" t="n"/>
      <c r="F2374" s="139" t="n"/>
      <c r="G2374" s="140">
        <f>IFERROR(IF(E2374&gt;0,(F2374/E2374)*1000,""),"")</f>
        <v/>
      </c>
      <c r="H2374" s="139">
        <f>IFERROR(IF(E2374&gt;0,E2374*IF(ISNUMBER(J2374),J2374,IF(C2374="Futures",$C$6,$C$5)),""),"")</f>
        <v/>
      </c>
      <c r="I2374" s="139">
        <f>IFERROR(IF(AND(ISNUMBER(F2374),ISNUMBER(H2374)),F2374-H2374,""),"")</f>
        <v/>
      </c>
      <c r="J2374" s="114" t="n"/>
      <c r="K2374" s="139">
        <f>IFERROR(IF(H2374&gt;0,H2374*$C$7,""),"")</f>
        <v/>
      </c>
      <c r="L2374" s="139">
        <f>IFERROR(IF(ISNUMBER(F2374),F2374-IF(ISNUMBER(K2374),K2374,0),""),"")</f>
        <v/>
      </c>
    </row>
    <row r="2375" ht="24" customHeight="1" s="63">
      <c r="E2375" s="139" t="n"/>
      <c r="F2375" s="139" t="n"/>
      <c r="G2375" s="140">
        <f>IFERROR(IF(E2375&gt;0,(F2375/E2375)*1000,""),"")</f>
        <v/>
      </c>
      <c r="H2375" s="139">
        <f>IFERROR(IF(E2375&gt;0,E2375*IF(ISNUMBER(J2375),J2375,IF(C2375="Futures",$C$6,$C$5)),""),"")</f>
        <v/>
      </c>
      <c r="I2375" s="139">
        <f>IFERROR(IF(AND(ISNUMBER(F2375),ISNUMBER(H2375)),F2375-H2375,""),"")</f>
        <v/>
      </c>
      <c r="J2375" s="114" t="n"/>
      <c r="K2375" s="139">
        <f>IFERROR(IF(H2375&gt;0,H2375*$C$7,""),"")</f>
        <v/>
      </c>
      <c r="L2375" s="139">
        <f>IFERROR(IF(ISNUMBER(F2375),F2375-IF(ISNUMBER(K2375),K2375,0),""),"")</f>
        <v/>
      </c>
    </row>
    <row r="2376" ht="24" customHeight="1" s="63">
      <c r="E2376" s="139" t="n"/>
      <c r="F2376" s="139" t="n"/>
      <c r="G2376" s="140">
        <f>IFERROR(IF(E2376&gt;0,(F2376/E2376)*1000,""),"")</f>
        <v/>
      </c>
      <c r="H2376" s="139">
        <f>IFERROR(IF(E2376&gt;0,E2376*IF(ISNUMBER(J2376),J2376,IF(C2376="Futures",$C$6,$C$5)),""),"")</f>
        <v/>
      </c>
      <c r="I2376" s="139">
        <f>IFERROR(IF(AND(ISNUMBER(F2376),ISNUMBER(H2376)),F2376-H2376,""),"")</f>
        <v/>
      </c>
      <c r="J2376" s="114" t="n"/>
      <c r="K2376" s="139">
        <f>IFERROR(IF(H2376&gt;0,H2376*$C$7,""),"")</f>
        <v/>
      </c>
      <c r="L2376" s="139">
        <f>IFERROR(IF(ISNUMBER(F2376),F2376-IF(ISNUMBER(K2376),K2376,0),""),"")</f>
        <v/>
      </c>
    </row>
    <row r="2377" ht="24" customHeight="1" s="63">
      <c r="E2377" s="139" t="n"/>
      <c r="F2377" s="139" t="n"/>
      <c r="G2377" s="140">
        <f>IFERROR(IF(E2377&gt;0,(F2377/E2377)*1000,""),"")</f>
        <v/>
      </c>
      <c r="H2377" s="139">
        <f>IFERROR(IF(E2377&gt;0,E2377*IF(ISNUMBER(J2377),J2377,IF(C2377="Futures",$C$6,$C$5)),""),"")</f>
        <v/>
      </c>
      <c r="I2377" s="139">
        <f>IFERROR(IF(AND(ISNUMBER(F2377),ISNUMBER(H2377)),F2377-H2377,""),"")</f>
        <v/>
      </c>
      <c r="J2377" s="114" t="n"/>
      <c r="K2377" s="139">
        <f>IFERROR(IF(H2377&gt;0,H2377*$C$7,""),"")</f>
        <v/>
      </c>
      <c r="L2377" s="139">
        <f>IFERROR(IF(ISNUMBER(F2377),F2377-IF(ISNUMBER(K2377),K2377,0),""),"")</f>
        <v/>
      </c>
    </row>
    <row r="2378" ht="24" customHeight="1" s="63">
      <c r="E2378" s="139" t="n"/>
      <c r="F2378" s="139" t="n"/>
      <c r="G2378" s="140">
        <f>IFERROR(IF(E2378&gt;0,(F2378/E2378)*1000,""),"")</f>
        <v/>
      </c>
      <c r="H2378" s="139">
        <f>IFERROR(IF(E2378&gt;0,E2378*IF(ISNUMBER(J2378),J2378,IF(C2378="Futures",$C$6,$C$5)),""),"")</f>
        <v/>
      </c>
      <c r="I2378" s="139">
        <f>IFERROR(IF(AND(ISNUMBER(F2378),ISNUMBER(H2378)),F2378-H2378,""),"")</f>
        <v/>
      </c>
      <c r="J2378" s="114" t="n"/>
      <c r="K2378" s="139">
        <f>IFERROR(IF(H2378&gt;0,H2378*$C$7,""),"")</f>
        <v/>
      </c>
      <c r="L2378" s="139">
        <f>IFERROR(IF(ISNUMBER(F2378),F2378-IF(ISNUMBER(K2378),K2378,0),""),"")</f>
        <v/>
      </c>
    </row>
    <row r="2379" ht="24" customHeight="1" s="63">
      <c r="E2379" s="139" t="n"/>
      <c r="F2379" s="139" t="n"/>
      <c r="G2379" s="140">
        <f>IFERROR(IF(E2379&gt;0,(F2379/E2379)*1000,""),"")</f>
        <v/>
      </c>
      <c r="H2379" s="139">
        <f>IFERROR(IF(E2379&gt;0,E2379*IF(ISNUMBER(J2379),J2379,IF(C2379="Futures",$C$6,$C$5)),""),"")</f>
        <v/>
      </c>
      <c r="I2379" s="139">
        <f>IFERROR(IF(AND(ISNUMBER(F2379),ISNUMBER(H2379)),F2379-H2379,""),"")</f>
        <v/>
      </c>
      <c r="J2379" s="114" t="n"/>
      <c r="K2379" s="139">
        <f>IFERROR(IF(H2379&gt;0,H2379*$C$7,""),"")</f>
        <v/>
      </c>
      <c r="L2379" s="139">
        <f>IFERROR(IF(ISNUMBER(F2379),F2379-IF(ISNUMBER(K2379),K2379,0),""),"")</f>
        <v/>
      </c>
    </row>
    <row r="2380" ht="24" customHeight="1" s="63">
      <c r="E2380" s="139" t="n"/>
      <c r="F2380" s="139" t="n"/>
      <c r="G2380" s="140">
        <f>IFERROR(IF(E2380&gt;0,(F2380/E2380)*1000,""),"")</f>
        <v/>
      </c>
      <c r="H2380" s="139">
        <f>IFERROR(IF(E2380&gt;0,E2380*IF(ISNUMBER(J2380),J2380,IF(C2380="Futures",$C$6,$C$5)),""),"")</f>
        <v/>
      </c>
      <c r="I2380" s="139">
        <f>IFERROR(IF(AND(ISNUMBER(F2380),ISNUMBER(H2380)),F2380-H2380,""),"")</f>
        <v/>
      </c>
      <c r="J2380" s="114" t="n"/>
      <c r="K2380" s="139">
        <f>IFERROR(IF(H2380&gt;0,H2380*$C$7,""),"")</f>
        <v/>
      </c>
      <c r="L2380" s="139">
        <f>IFERROR(IF(ISNUMBER(F2380),F2380-IF(ISNUMBER(K2380),K2380,0),""),"")</f>
        <v/>
      </c>
    </row>
    <row r="2381" ht="24" customHeight="1" s="63">
      <c r="E2381" s="139" t="n"/>
      <c r="F2381" s="139" t="n"/>
      <c r="G2381" s="140">
        <f>IFERROR(IF(E2381&gt;0,(F2381/E2381)*1000,""),"")</f>
        <v/>
      </c>
      <c r="H2381" s="139">
        <f>IFERROR(IF(E2381&gt;0,E2381*IF(ISNUMBER(J2381),J2381,IF(C2381="Futures",$C$6,$C$5)),""),"")</f>
        <v/>
      </c>
      <c r="I2381" s="139">
        <f>IFERROR(IF(AND(ISNUMBER(F2381),ISNUMBER(H2381)),F2381-H2381,""),"")</f>
        <v/>
      </c>
      <c r="J2381" s="114" t="n"/>
      <c r="K2381" s="139">
        <f>IFERROR(IF(H2381&gt;0,H2381*$C$7,""),"")</f>
        <v/>
      </c>
      <c r="L2381" s="139">
        <f>IFERROR(IF(ISNUMBER(F2381),F2381-IF(ISNUMBER(K2381),K2381,0),""),"")</f>
        <v/>
      </c>
    </row>
    <row r="2382" ht="24" customHeight="1" s="63">
      <c r="E2382" s="139" t="n"/>
      <c r="F2382" s="139" t="n"/>
      <c r="G2382" s="140">
        <f>IFERROR(IF(E2382&gt;0,(F2382/E2382)*1000,""),"")</f>
        <v/>
      </c>
      <c r="H2382" s="139">
        <f>IFERROR(IF(E2382&gt;0,E2382*IF(ISNUMBER(J2382),J2382,IF(C2382="Futures",$C$6,$C$5)),""),"")</f>
        <v/>
      </c>
      <c r="I2382" s="139">
        <f>IFERROR(IF(AND(ISNUMBER(F2382),ISNUMBER(H2382)),F2382-H2382,""),"")</f>
        <v/>
      </c>
      <c r="J2382" s="114" t="n"/>
      <c r="K2382" s="139">
        <f>IFERROR(IF(H2382&gt;0,H2382*$C$7,""),"")</f>
        <v/>
      </c>
      <c r="L2382" s="139">
        <f>IFERROR(IF(ISNUMBER(F2382),F2382-IF(ISNUMBER(K2382),K2382,0),""),"")</f>
        <v/>
      </c>
    </row>
    <row r="2383" ht="24" customHeight="1" s="63">
      <c r="E2383" s="139" t="n"/>
      <c r="F2383" s="139" t="n"/>
      <c r="G2383" s="140">
        <f>IFERROR(IF(E2383&gt;0,(F2383/E2383)*1000,""),"")</f>
        <v/>
      </c>
      <c r="H2383" s="139">
        <f>IFERROR(IF(E2383&gt;0,E2383*IF(ISNUMBER(J2383),J2383,IF(C2383="Futures",$C$6,$C$5)),""),"")</f>
        <v/>
      </c>
      <c r="I2383" s="139">
        <f>IFERROR(IF(AND(ISNUMBER(F2383),ISNUMBER(H2383)),F2383-H2383,""),"")</f>
        <v/>
      </c>
      <c r="J2383" s="114" t="n"/>
      <c r="K2383" s="139">
        <f>IFERROR(IF(H2383&gt;0,H2383*$C$7,""),"")</f>
        <v/>
      </c>
      <c r="L2383" s="139">
        <f>IFERROR(IF(ISNUMBER(F2383),F2383-IF(ISNUMBER(K2383),K2383,0),""),"")</f>
        <v/>
      </c>
    </row>
    <row r="2384" ht="24" customHeight="1" s="63">
      <c r="E2384" s="139" t="n"/>
      <c r="F2384" s="139" t="n"/>
      <c r="G2384" s="140">
        <f>IFERROR(IF(E2384&gt;0,(F2384/E2384)*1000,""),"")</f>
        <v/>
      </c>
      <c r="H2384" s="139">
        <f>IFERROR(IF(E2384&gt;0,E2384*IF(ISNUMBER(J2384),J2384,IF(C2384="Futures",$C$6,$C$5)),""),"")</f>
        <v/>
      </c>
      <c r="I2384" s="139">
        <f>IFERROR(IF(AND(ISNUMBER(F2384),ISNUMBER(H2384)),F2384-H2384,""),"")</f>
        <v/>
      </c>
      <c r="J2384" s="114" t="n"/>
      <c r="K2384" s="139">
        <f>IFERROR(IF(H2384&gt;0,H2384*$C$7,""),"")</f>
        <v/>
      </c>
      <c r="L2384" s="139">
        <f>IFERROR(IF(ISNUMBER(F2384),F2384-IF(ISNUMBER(K2384),K2384,0),""),"")</f>
        <v/>
      </c>
    </row>
    <row r="2385" ht="24" customHeight="1" s="63">
      <c r="E2385" s="139" t="n"/>
      <c r="F2385" s="139" t="n"/>
      <c r="G2385" s="140">
        <f>IFERROR(IF(E2385&gt;0,(F2385/E2385)*1000,""),"")</f>
        <v/>
      </c>
      <c r="H2385" s="139">
        <f>IFERROR(IF(E2385&gt;0,E2385*IF(ISNUMBER(J2385),J2385,IF(C2385="Futures",$C$6,$C$5)),""),"")</f>
        <v/>
      </c>
      <c r="I2385" s="139">
        <f>IFERROR(IF(AND(ISNUMBER(F2385),ISNUMBER(H2385)),F2385-H2385,""),"")</f>
        <v/>
      </c>
      <c r="J2385" s="114" t="n"/>
      <c r="K2385" s="139">
        <f>IFERROR(IF(H2385&gt;0,H2385*$C$7,""),"")</f>
        <v/>
      </c>
      <c r="L2385" s="139">
        <f>IFERROR(IF(ISNUMBER(F2385),F2385-IF(ISNUMBER(K2385),K2385,0),""),"")</f>
        <v/>
      </c>
    </row>
    <row r="2386" ht="24" customHeight="1" s="63">
      <c r="E2386" s="139" t="n"/>
      <c r="F2386" s="139" t="n"/>
      <c r="G2386" s="140">
        <f>IFERROR(IF(E2386&gt;0,(F2386/E2386)*1000,""),"")</f>
        <v/>
      </c>
      <c r="H2386" s="139">
        <f>IFERROR(IF(E2386&gt;0,E2386*IF(ISNUMBER(J2386),J2386,IF(C2386="Futures",$C$6,$C$5)),""),"")</f>
        <v/>
      </c>
      <c r="I2386" s="139">
        <f>IFERROR(IF(AND(ISNUMBER(F2386),ISNUMBER(H2386)),F2386-H2386,""),"")</f>
        <v/>
      </c>
      <c r="J2386" s="114" t="n"/>
      <c r="K2386" s="139">
        <f>IFERROR(IF(H2386&gt;0,H2386*$C$7,""),"")</f>
        <v/>
      </c>
      <c r="L2386" s="139">
        <f>IFERROR(IF(ISNUMBER(F2386),F2386-IF(ISNUMBER(K2386),K2386,0),""),"")</f>
        <v/>
      </c>
    </row>
    <row r="2387" ht="24" customHeight="1" s="63">
      <c r="E2387" s="139" t="n"/>
      <c r="F2387" s="139" t="n"/>
      <c r="G2387" s="140">
        <f>IFERROR(IF(E2387&gt;0,(F2387/E2387)*1000,""),"")</f>
        <v/>
      </c>
      <c r="H2387" s="139">
        <f>IFERROR(IF(E2387&gt;0,E2387*IF(ISNUMBER(J2387),J2387,IF(C2387="Futures",$C$6,$C$5)),""),"")</f>
        <v/>
      </c>
      <c r="I2387" s="139">
        <f>IFERROR(IF(AND(ISNUMBER(F2387),ISNUMBER(H2387)),F2387-H2387,""),"")</f>
        <v/>
      </c>
      <c r="J2387" s="114" t="n"/>
      <c r="K2387" s="139">
        <f>IFERROR(IF(H2387&gt;0,H2387*$C$7,""),"")</f>
        <v/>
      </c>
      <c r="L2387" s="139">
        <f>IFERROR(IF(ISNUMBER(F2387),F2387-IF(ISNUMBER(K2387),K2387,0),""),"")</f>
        <v/>
      </c>
    </row>
    <row r="2388" ht="24" customHeight="1" s="63">
      <c r="E2388" s="139" t="n"/>
      <c r="F2388" s="139" t="n"/>
      <c r="G2388" s="140">
        <f>IFERROR(IF(E2388&gt;0,(F2388/E2388)*1000,""),"")</f>
        <v/>
      </c>
      <c r="H2388" s="139">
        <f>IFERROR(IF(E2388&gt;0,E2388*IF(ISNUMBER(J2388),J2388,IF(C2388="Futures",$C$6,$C$5)),""),"")</f>
        <v/>
      </c>
      <c r="I2388" s="139">
        <f>IFERROR(IF(AND(ISNUMBER(F2388),ISNUMBER(H2388)),F2388-H2388,""),"")</f>
        <v/>
      </c>
      <c r="J2388" s="114" t="n"/>
      <c r="K2388" s="139">
        <f>IFERROR(IF(H2388&gt;0,H2388*$C$7,""),"")</f>
        <v/>
      </c>
      <c r="L2388" s="139">
        <f>IFERROR(IF(ISNUMBER(F2388),F2388-IF(ISNUMBER(K2388),K2388,0),""),"")</f>
        <v/>
      </c>
    </row>
    <row r="2389" ht="24" customHeight="1" s="63">
      <c r="E2389" s="139" t="n"/>
      <c r="F2389" s="139" t="n"/>
      <c r="G2389" s="140">
        <f>IFERROR(IF(E2389&gt;0,(F2389/E2389)*1000,""),"")</f>
        <v/>
      </c>
      <c r="H2389" s="139">
        <f>IFERROR(IF(E2389&gt;0,E2389*IF(ISNUMBER(J2389),J2389,IF(C2389="Futures",$C$6,$C$5)),""),"")</f>
        <v/>
      </c>
      <c r="I2389" s="139">
        <f>IFERROR(IF(AND(ISNUMBER(F2389),ISNUMBER(H2389)),F2389-H2389,""),"")</f>
        <v/>
      </c>
      <c r="J2389" s="114" t="n"/>
      <c r="K2389" s="139">
        <f>IFERROR(IF(H2389&gt;0,H2389*$C$7,""),"")</f>
        <v/>
      </c>
      <c r="L2389" s="139">
        <f>IFERROR(IF(ISNUMBER(F2389),F2389-IF(ISNUMBER(K2389),K2389,0),""),"")</f>
        <v/>
      </c>
    </row>
    <row r="2390" ht="24" customHeight="1" s="63">
      <c r="E2390" s="139" t="n"/>
      <c r="F2390" s="139" t="n"/>
      <c r="G2390" s="140">
        <f>IFERROR(IF(E2390&gt;0,(F2390/E2390)*1000,""),"")</f>
        <v/>
      </c>
      <c r="H2390" s="139">
        <f>IFERROR(IF(E2390&gt;0,E2390*IF(ISNUMBER(J2390),J2390,IF(C2390="Futures",$C$6,$C$5)),""),"")</f>
        <v/>
      </c>
      <c r="I2390" s="139">
        <f>IFERROR(IF(AND(ISNUMBER(F2390),ISNUMBER(H2390)),F2390-H2390,""),"")</f>
        <v/>
      </c>
      <c r="J2390" s="114" t="n"/>
      <c r="K2390" s="139">
        <f>IFERROR(IF(H2390&gt;0,H2390*$C$7,""),"")</f>
        <v/>
      </c>
      <c r="L2390" s="139">
        <f>IFERROR(IF(ISNUMBER(F2390),F2390-IF(ISNUMBER(K2390),K2390,0),""),"")</f>
        <v/>
      </c>
    </row>
    <row r="2391" ht="24" customHeight="1" s="63">
      <c r="E2391" s="139" t="n"/>
      <c r="F2391" s="139" t="n"/>
      <c r="G2391" s="140">
        <f>IFERROR(IF(E2391&gt;0,(F2391/E2391)*1000,""),"")</f>
        <v/>
      </c>
      <c r="H2391" s="139">
        <f>IFERROR(IF(E2391&gt;0,E2391*IF(ISNUMBER(J2391),J2391,IF(C2391="Futures",$C$6,$C$5)),""),"")</f>
        <v/>
      </c>
      <c r="I2391" s="139">
        <f>IFERROR(IF(AND(ISNUMBER(F2391),ISNUMBER(H2391)),F2391-H2391,""),"")</f>
        <v/>
      </c>
      <c r="J2391" s="114" t="n"/>
      <c r="K2391" s="139">
        <f>IFERROR(IF(H2391&gt;0,H2391*$C$7,""),"")</f>
        <v/>
      </c>
      <c r="L2391" s="139">
        <f>IFERROR(IF(ISNUMBER(F2391),F2391-IF(ISNUMBER(K2391),K2391,0),""),"")</f>
        <v/>
      </c>
    </row>
    <row r="2392" ht="24" customHeight="1" s="63">
      <c r="E2392" s="139" t="n"/>
      <c r="F2392" s="139" t="n"/>
      <c r="G2392" s="140">
        <f>IFERROR(IF(E2392&gt;0,(F2392/E2392)*1000,""),"")</f>
        <v/>
      </c>
      <c r="H2392" s="139">
        <f>IFERROR(IF(E2392&gt;0,E2392*IF(ISNUMBER(J2392),J2392,IF(C2392="Futures",$C$6,$C$5)),""),"")</f>
        <v/>
      </c>
      <c r="I2392" s="139">
        <f>IFERROR(IF(AND(ISNUMBER(F2392),ISNUMBER(H2392)),F2392-H2392,""),"")</f>
        <v/>
      </c>
      <c r="J2392" s="114" t="n"/>
      <c r="K2392" s="139">
        <f>IFERROR(IF(H2392&gt;0,H2392*$C$7,""),"")</f>
        <v/>
      </c>
      <c r="L2392" s="139">
        <f>IFERROR(IF(ISNUMBER(F2392),F2392-IF(ISNUMBER(K2392),K2392,0),""),"")</f>
        <v/>
      </c>
    </row>
    <row r="2393" ht="24" customHeight="1" s="63">
      <c r="E2393" s="139" t="n"/>
      <c r="F2393" s="139" t="n"/>
      <c r="G2393" s="140">
        <f>IFERROR(IF(E2393&gt;0,(F2393/E2393)*1000,""),"")</f>
        <v/>
      </c>
      <c r="H2393" s="139">
        <f>IFERROR(IF(E2393&gt;0,E2393*IF(ISNUMBER(J2393),J2393,IF(C2393="Futures",$C$6,$C$5)),""),"")</f>
        <v/>
      </c>
      <c r="I2393" s="139">
        <f>IFERROR(IF(AND(ISNUMBER(F2393),ISNUMBER(H2393)),F2393-H2393,""),"")</f>
        <v/>
      </c>
      <c r="J2393" s="114" t="n"/>
      <c r="K2393" s="139">
        <f>IFERROR(IF(H2393&gt;0,H2393*$C$7,""),"")</f>
        <v/>
      </c>
      <c r="L2393" s="139">
        <f>IFERROR(IF(ISNUMBER(F2393),F2393-IF(ISNUMBER(K2393),K2393,0),""),"")</f>
        <v/>
      </c>
    </row>
    <row r="2394" ht="24" customHeight="1" s="63">
      <c r="E2394" s="139" t="n"/>
      <c r="F2394" s="139" t="n"/>
      <c r="G2394" s="140">
        <f>IFERROR(IF(E2394&gt;0,(F2394/E2394)*1000,""),"")</f>
        <v/>
      </c>
      <c r="H2394" s="139">
        <f>IFERROR(IF(E2394&gt;0,E2394*IF(ISNUMBER(J2394),J2394,IF(C2394="Futures",$C$6,$C$5)),""),"")</f>
        <v/>
      </c>
      <c r="I2394" s="139">
        <f>IFERROR(IF(AND(ISNUMBER(F2394),ISNUMBER(H2394)),F2394-H2394,""),"")</f>
        <v/>
      </c>
      <c r="J2394" s="114" t="n"/>
      <c r="K2394" s="139">
        <f>IFERROR(IF(H2394&gt;0,H2394*$C$7,""),"")</f>
        <v/>
      </c>
      <c r="L2394" s="139">
        <f>IFERROR(IF(ISNUMBER(F2394),F2394-IF(ISNUMBER(K2394),K2394,0),""),"")</f>
        <v/>
      </c>
    </row>
    <row r="2395" ht="24" customHeight="1" s="63">
      <c r="E2395" s="139" t="n"/>
      <c r="F2395" s="139" t="n"/>
      <c r="G2395" s="140">
        <f>IFERROR(IF(E2395&gt;0,(F2395/E2395)*1000,""),"")</f>
        <v/>
      </c>
      <c r="H2395" s="139">
        <f>IFERROR(IF(E2395&gt;0,E2395*IF(ISNUMBER(J2395),J2395,IF(C2395="Futures",$C$6,$C$5)),""),"")</f>
        <v/>
      </c>
      <c r="I2395" s="139">
        <f>IFERROR(IF(AND(ISNUMBER(F2395),ISNUMBER(H2395)),F2395-H2395,""),"")</f>
        <v/>
      </c>
      <c r="J2395" s="114" t="n"/>
      <c r="K2395" s="139">
        <f>IFERROR(IF(H2395&gt;0,H2395*$C$7,""),"")</f>
        <v/>
      </c>
      <c r="L2395" s="139">
        <f>IFERROR(IF(ISNUMBER(F2395),F2395-IF(ISNUMBER(K2395),K2395,0),""),"")</f>
        <v/>
      </c>
    </row>
    <row r="2396" ht="24" customHeight="1" s="63">
      <c r="E2396" s="139" t="n"/>
      <c r="F2396" s="139" t="n"/>
      <c r="G2396" s="140">
        <f>IFERROR(IF(E2396&gt;0,(F2396/E2396)*1000,""),"")</f>
        <v/>
      </c>
      <c r="H2396" s="139">
        <f>IFERROR(IF(E2396&gt;0,E2396*IF(ISNUMBER(J2396),J2396,IF(C2396="Futures",$C$6,$C$5)),""),"")</f>
        <v/>
      </c>
      <c r="I2396" s="139">
        <f>IFERROR(IF(AND(ISNUMBER(F2396),ISNUMBER(H2396)),F2396-H2396,""),"")</f>
        <v/>
      </c>
      <c r="J2396" s="114" t="n"/>
      <c r="K2396" s="139">
        <f>IFERROR(IF(H2396&gt;0,H2396*$C$7,""),"")</f>
        <v/>
      </c>
      <c r="L2396" s="139">
        <f>IFERROR(IF(ISNUMBER(F2396),F2396-IF(ISNUMBER(K2396),K2396,0),""),"")</f>
        <v/>
      </c>
    </row>
    <row r="2397" ht="24" customHeight="1" s="63">
      <c r="E2397" s="139" t="n"/>
      <c r="F2397" s="139" t="n"/>
      <c r="G2397" s="140">
        <f>IFERROR(IF(E2397&gt;0,(F2397/E2397)*1000,""),"")</f>
        <v/>
      </c>
      <c r="H2397" s="139">
        <f>IFERROR(IF(E2397&gt;0,E2397*IF(ISNUMBER(J2397),J2397,IF(C2397="Futures",$C$6,$C$5)),""),"")</f>
        <v/>
      </c>
      <c r="I2397" s="139">
        <f>IFERROR(IF(AND(ISNUMBER(F2397),ISNUMBER(H2397)),F2397-H2397,""),"")</f>
        <v/>
      </c>
      <c r="J2397" s="114" t="n"/>
      <c r="K2397" s="139">
        <f>IFERROR(IF(H2397&gt;0,H2397*$C$7,""),"")</f>
        <v/>
      </c>
      <c r="L2397" s="139">
        <f>IFERROR(IF(ISNUMBER(F2397),F2397-IF(ISNUMBER(K2397),K2397,0),""),"")</f>
        <v/>
      </c>
    </row>
    <row r="2398" ht="24" customHeight="1" s="63">
      <c r="E2398" s="139" t="n"/>
      <c r="F2398" s="139" t="n"/>
      <c r="G2398" s="140">
        <f>IFERROR(IF(E2398&gt;0,(F2398/E2398)*1000,""),"")</f>
        <v/>
      </c>
      <c r="H2398" s="139">
        <f>IFERROR(IF(E2398&gt;0,E2398*IF(ISNUMBER(J2398),J2398,IF(C2398="Futures",$C$6,$C$5)),""),"")</f>
        <v/>
      </c>
      <c r="I2398" s="139">
        <f>IFERROR(IF(AND(ISNUMBER(F2398),ISNUMBER(H2398)),F2398-H2398,""),"")</f>
        <v/>
      </c>
      <c r="J2398" s="114" t="n"/>
      <c r="K2398" s="139">
        <f>IFERROR(IF(H2398&gt;0,H2398*$C$7,""),"")</f>
        <v/>
      </c>
      <c r="L2398" s="139">
        <f>IFERROR(IF(ISNUMBER(F2398),F2398-IF(ISNUMBER(K2398),K2398,0),""),"")</f>
        <v/>
      </c>
    </row>
    <row r="2399" ht="24" customHeight="1" s="63">
      <c r="E2399" s="139" t="n"/>
      <c r="F2399" s="139" t="n"/>
      <c r="G2399" s="140">
        <f>IFERROR(IF(E2399&gt;0,(F2399/E2399)*1000,""),"")</f>
        <v/>
      </c>
      <c r="H2399" s="139">
        <f>IFERROR(IF(E2399&gt;0,E2399*IF(ISNUMBER(J2399),J2399,IF(C2399="Futures",$C$6,$C$5)),""),"")</f>
        <v/>
      </c>
      <c r="I2399" s="139">
        <f>IFERROR(IF(AND(ISNUMBER(F2399),ISNUMBER(H2399)),F2399-H2399,""),"")</f>
        <v/>
      </c>
      <c r="J2399" s="114" t="n"/>
      <c r="K2399" s="139">
        <f>IFERROR(IF(H2399&gt;0,H2399*$C$7,""),"")</f>
        <v/>
      </c>
      <c r="L2399" s="139">
        <f>IFERROR(IF(ISNUMBER(F2399),F2399-IF(ISNUMBER(K2399),K2399,0),""),"")</f>
        <v/>
      </c>
    </row>
    <row r="2400" ht="24" customHeight="1" s="63">
      <c r="E2400" s="139" t="n"/>
      <c r="F2400" s="139" t="n"/>
      <c r="G2400" s="140">
        <f>IFERROR(IF(E2400&gt;0,(F2400/E2400)*1000,""),"")</f>
        <v/>
      </c>
      <c r="H2400" s="139">
        <f>IFERROR(IF(E2400&gt;0,E2400*IF(ISNUMBER(J2400),J2400,IF(C2400="Futures",$C$6,$C$5)),""),"")</f>
        <v/>
      </c>
      <c r="I2400" s="139">
        <f>IFERROR(IF(AND(ISNUMBER(F2400),ISNUMBER(H2400)),F2400-H2400,""),"")</f>
        <v/>
      </c>
      <c r="J2400" s="114" t="n"/>
      <c r="K2400" s="139">
        <f>IFERROR(IF(H2400&gt;0,H2400*$C$7,""),"")</f>
        <v/>
      </c>
      <c r="L2400" s="139">
        <f>IFERROR(IF(ISNUMBER(F2400),F2400-IF(ISNUMBER(K2400),K2400,0),""),"")</f>
        <v/>
      </c>
    </row>
    <row r="2401" ht="24" customHeight="1" s="63">
      <c r="E2401" s="139" t="n"/>
      <c r="F2401" s="139" t="n"/>
      <c r="G2401" s="140">
        <f>IFERROR(IF(E2401&gt;0,(F2401/E2401)*1000,""),"")</f>
        <v/>
      </c>
      <c r="H2401" s="139">
        <f>IFERROR(IF(E2401&gt;0,E2401*IF(ISNUMBER(J2401),J2401,IF(C2401="Futures",$C$6,$C$5)),""),"")</f>
        <v/>
      </c>
      <c r="I2401" s="139">
        <f>IFERROR(IF(AND(ISNUMBER(F2401),ISNUMBER(H2401)),F2401-H2401,""),"")</f>
        <v/>
      </c>
      <c r="J2401" s="114" t="n"/>
      <c r="K2401" s="139">
        <f>IFERROR(IF(H2401&gt;0,H2401*$C$7,""),"")</f>
        <v/>
      </c>
      <c r="L2401" s="139">
        <f>IFERROR(IF(ISNUMBER(F2401),F2401-IF(ISNUMBER(K2401),K2401,0),""),"")</f>
        <v/>
      </c>
    </row>
    <row r="2402" ht="24" customHeight="1" s="63">
      <c r="E2402" s="139" t="n"/>
      <c r="F2402" s="139" t="n"/>
      <c r="G2402" s="140">
        <f>IFERROR(IF(E2402&gt;0,(F2402/E2402)*1000,""),"")</f>
        <v/>
      </c>
      <c r="H2402" s="139">
        <f>IFERROR(IF(E2402&gt;0,E2402*IF(ISNUMBER(J2402),J2402,IF(C2402="Futures",$C$6,$C$5)),""),"")</f>
        <v/>
      </c>
      <c r="I2402" s="139">
        <f>IFERROR(IF(AND(ISNUMBER(F2402),ISNUMBER(H2402)),F2402-H2402,""),"")</f>
        <v/>
      </c>
      <c r="J2402" s="114" t="n"/>
      <c r="K2402" s="139">
        <f>IFERROR(IF(H2402&gt;0,H2402*$C$7,""),"")</f>
        <v/>
      </c>
      <c r="L2402" s="139">
        <f>IFERROR(IF(ISNUMBER(F2402),F2402-IF(ISNUMBER(K2402),K2402,0),""),"")</f>
        <v/>
      </c>
    </row>
    <row r="2403" ht="24" customHeight="1" s="63">
      <c r="E2403" s="139" t="n"/>
      <c r="F2403" s="139" t="n"/>
      <c r="G2403" s="140">
        <f>IFERROR(IF(E2403&gt;0,(F2403/E2403)*1000,""),"")</f>
        <v/>
      </c>
      <c r="H2403" s="139">
        <f>IFERROR(IF(E2403&gt;0,E2403*IF(ISNUMBER(J2403),J2403,IF(C2403="Futures",$C$6,$C$5)),""),"")</f>
        <v/>
      </c>
      <c r="I2403" s="139">
        <f>IFERROR(IF(AND(ISNUMBER(F2403),ISNUMBER(H2403)),F2403-H2403,""),"")</f>
        <v/>
      </c>
      <c r="J2403" s="114" t="n"/>
      <c r="K2403" s="139">
        <f>IFERROR(IF(H2403&gt;0,H2403*$C$7,""),"")</f>
        <v/>
      </c>
      <c r="L2403" s="139">
        <f>IFERROR(IF(ISNUMBER(F2403),F2403-IF(ISNUMBER(K2403),K2403,0),""),"")</f>
        <v/>
      </c>
    </row>
    <row r="2404" ht="24" customHeight="1" s="63">
      <c r="E2404" s="139" t="n"/>
      <c r="F2404" s="139" t="n"/>
      <c r="G2404" s="140">
        <f>IFERROR(IF(E2404&gt;0,(F2404/E2404)*1000,""),"")</f>
        <v/>
      </c>
      <c r="H2404" s="139">
        <f>IFERROR(IF(E2404&gt;0,E2404*IF(ISNUMBER(J2404),J2404,IF(C2404="Futures",$C$6,$C$5)),""),"")</f>
        <v/>
      </c>
      <c r="I2404" s="139">
        <f>IFERROR(IF(AND(ISNUMBER(F2404),ISNUMBER(H2404)),F2404-H2404,""),"")</f>
        <v/>
      </c>
      <c r="J2404" s="114" t="n"/>
      <c r="K2404" s="139">
        <f>IFERROR(IF(H2404&gt;0,H2404*$C$7,""),"")</f>
        <v/>
      </c>
      <c r="L2404" s="139">
        <f>IFERROR(IF(ISNUMBER(F2404),F2404-IF(ISNUMBER(K2404),K2404,0),""),"")</f>
        <v/>
      </c>
    </row>
    <row r="2405" ht="24" customHeight="1" s="63">
      <c r="E2405" s="139" t="n"/>
      <c r="F2405" s="139" t="n"/>
      <c r="G2405" s="140">
        <f>IFERROR(IF(E2405&gt;0,(F2405/E2405)*1000,""),"")</f>
        <v/>
      </c>
      <c r="H2405" s="139">
        <f>IFERROR(IF(E2405&gt;0,E2405*IF(ISNUMBER(J2405),J2405,IF(C2405="Futures",$C$6,$C$5)),""),"")</f>
        <v/>
      </c>
      <c r="I2405" s="139">
        <f>IFERROR(IF(AND(ISNUMBER(F2405),ISNUMBER(H2405)),F2405-H2405,""),"")</f>
        <v/>
      </c>
      <c r="J2405" s="114" t="n"/>
      <c r="K2405" s="139">
        <f>IFERROR(IF(H2405&gt;0,H2405*$C$7,""),"")</f>
        <v/>
      </c>
      <c r="L2405" s="139">
        <f>IFERROR(IF(ISNUMBER(F2405),F2405-IF(ISNUMBER(K2405),K2405,0),""),"")</f>
        <v/>
      </c>
    </row>
    <row r="2406" ht="24" customHeight="1" s="63">
      <c r="E2406" s="139" t="n"/>
      <c r="F2406" s="139" t="n"/>
      <c r="G2406" s="140">
        <f>IFERROR(IF(E2406&gt;0,(F2406/E2406)*1000,""),"")</f>
        <v/>
      </c>
      <c r="H2406" s="139">
        <f>IFERROR(IF(E2406&gt;0,E2406*IF(ISNUMBER(J2406),J2406,IF(C2406="Futures",$C$6,$C$5)),""),"")</f>
        <v/>
      </c>
      <c r="I2406" s="139">
        <f>IFERROR(IF(AND(ISNUMBER(F2406),ISNUMBER(H2406)),F2406-H2406,""),"")</f>
        <v/>
      </c>
      <c r="J2406" s="114" t="n"/>
      <c r="K2406" s="139">
        <f>IFERROR(IF(H2406&gt;0,H2406*$C$7,""),"")</f>
        <v/>
      </c>
      <c r="L2406" s="139">
        <f>IFERROR(IF(ISNUMBER(F2406),F2406-IF(ISNUMBER(K2406),K2406,0),""),"")</f>
        <v/>
      </c>
    </row>
    <row r="2407" ht="24" customHeight="1" s="63">
      <c r="E2407" s="139" t="n"/>
      <c r="F2407" s="139" t="n"/>
      <c r="G2407" s="140">
        <f>IFERROR(IF(E2407&gt;0,(F2407/E2407)*1000,""),"")</f>
        <v/>
      </c>
      <c r="H2407" s="139">
        <f>IFERROR(IF(E2407&gt;0,E2407*IF(ISNUMBER(J2407),J2407,IF(C2407="Futures",$C$6,$C$5)),""),"")</f>
        <v/>
      </c>
      <c r="I2407" s="139">
        <f>IFERROR(IF(AND(ISNUMBER(F2407),ISNUMBER(H2407)),F2407-H2407,""),"")</f>
        <v/>
      </c>
      <c r="J2407" s="114" t="n"/>
      <c r="K2407" s="139">
        <f>IFERROR(IF(H2407&gt;0,H2407*$C$7,""),"")</f>
        <v/>
      </c>
      <c r="L2407" s="139">
        <f>IFERROR(IF(ISNUMBER(F2407),F2407-IF(ISNUMBER(K2407),K2407,0),""),"")</f>
        <v/>
      </c>
    </row>
    <row r="2408" ht="24" customHeight="1" s="63">
      <c r="E2408" s="139" t="n"/>
      <c r="F2408" s="139" t="n"/>
      <c r="G2408" s="140">
        <f>IFERROR(IF(E2408&gt;0,(F2408/E2408)*1000,""),"")</f>
        <v/>
      </c>
      <c r="H2408" s="139">
        <f>IFERROR(IF(E2408&gt;0,E2408*IF(ISNUMBER(J2408),J2408,IF(C2408="Futures",$C$6,$C$5)),""),"")</f>
        <v/>
      </c>
      <c r="I2408" s="139">
        <f>IFERROR(IF(AND(ISNUMBER(F2408),ISNUMBER(H2408)),F2408-H2408,""),"")</f>
        <v/>
      </c>
      <c r="J2408" s="114" t="n"/>
      <c r="K2408" s="139">
        <f>IFERROR(IF(H2408&gt;0,H2408*$C$7,""),"")</f>
        <v/>
      </c>
      <c r="L2408" s="139">
        <f>IFERROR(IF(ISNUMBER(F2408),F2408-IF(ISNUMBER(K2408),K2408,0),""),"")</f>
        <v/>
      </c>
    </row>
    <row r="2409" ht="24" customHeight="1" s="63">
      <c r="E2409" s="139" t="n"/>
      <c r="F2409" s="139" t="n"/>
      <c r="G2409" s="140">
        <f>IFERROR(IF(E2409&gt;0,(F2409/E2409)*1000,""),"")</f>
        <v/>
      </c>
      <c r="H2409" s="139">
        <f>IFERROR(IF(E2409&gt;0,E2409*IF(ISNUMBER(J2409),J2409,IF(C2409="Futures",$C$6,$C$5)),""),"")</f>
        <v/>
      </c>
      <c r="I2409" s="139">
        <f>IFERROR(IF(AND(ISNUMBER(F2409),ISNUMBER(H2409)),F2409-H2409,""),"")</f>
        <v/>
      </c>
      <c r="J2409" s="114" t="n"/>
      <c r="K2409" s="139">
        <f>IFERROR(IF(H2409&gt;0,H2409*$C$7,""),"")</f>
        <v/>
      </c>
      <c r="L2409" s="139">
        <f>IFERROR(IF(ISNUMBER(F2409),F2409-IF(ISNUMBER(K2409),K2409,0),""),"")</f>
        <v/>
      </c>
    </row>
    <row r="2410" ht="24" customHeight="1" s="63">
      <c r="E2410" s="139" t="n"/>
      <c r="F2410" s="139" t="n"/>
      <c r="G2410" s="140">
        <f>IFERROR(IF(E2410&gt;0,(F2410/E2410)*1000,""),"")</f>
        <v/>
      </c>
      <c r="H2410" s="139">
        <f>IFERROR(IF(E2410&gt;0,E2410*IF(ISNUMBER(J2410),J2410,IF(C2410="Futures",$C$6,$C$5)),""),"")</f>
        <v/>
      </c>
      <c r="I2410" s="139">
        <f>IFERROR(IF(AND(ISNUMBER(F2410),ISNUMBER(H2410)),F2410-H2410,""),"")</f>
        <v/>
      </c>
      <c r="J2410" s="114" t="n"/>
      <c r="K2410" s="139">
        <f>IFERROR(IF(H2410&gt;0,H2410*$C$7,""),"")</f>
        <v/>
      </c>
      <c r="L2410" s="139">
        <f>IFERROR(IF(ISNUMBER(F2410),F2410-IF(ISNUMBER(K2410),K2410,0),""),"")</f>
        <v/>
      </c>
    </row>
    <row r="2411" ht="24" customHeight="1" s="63">
      <c r="E2411" s="139" t="n"/>
      <c r="F2411" s="139" t="n"/>
      <c r="G2411" s="140">
        <f>IFERROR(IF(E2411&gt;0,(F2411/E2411)*1000,""),"")</f>
        <v/>
      </c>
      <c r="H2411" s="139">
        <f>IFERROR(IF(E2411&gt;0,E2411*IF(ISNUMBER(J2411),J2411,IF(C2411="Futures",$C$6,$C$5)),""),"")</f>
        <v/>
      </c>
      <c r="I2411" s="139">
        <f>IFERROR(IF(AND(ISNUMBER(F2411),ISNUMBER(H2411)),F2411-H2411,""),"")</f>
        <v/>
      </c>
      <c r="J2411" s="114" t="n"/>
      <c r="K2411" s="139">
        <f>IFERROR(IF(H2411&gt;0,H2411*$C$7,""),"")</f>
        <v/>
      </c>
      <c r="L2411" s="139">
        <f>IFERROR(IF(ISNUMBER(F2411),F2411-IF(ISNUMBER(K2411),K2411,0),""),"")</f>
        <v/>
      </c>
    </row>
    <row r="2412" ht="24" customHeight="1" s="63">
      <c r="E2412" s="139" t="n"/>
      <c r="F2412" s="139" t="n"/>
      <c r="G2412" s="140">
        <f>IFERROR(IF(E2412&gt;0,(F2412/E2412)*1000,""),"")</f>
        <v/>
      </c>
      <c r="H2412" s="139">
        <f>IFERROR(IF(E2412&gt;0,E2412*IF(ISNUMBER(J2412),J2412,IF(C2412="Futures",$C$6,$C$5)),""),"")</f>
        <v/>
      </c>
      <c r="I2412" s="139">
        <f>IFERROR(IF(AND(ISNUMBER(F2412),ISNUMBER(H2412)),F2412-H2412,""),"")</f>
        <v/>
      </c>
      <c r="J2412" s="114" t="n"/>
      <c r="K2412" s="139">
        <f>IFERROR(IF(H2412&gt;0,H2412*$C$7,""),"")</f>
        <v/>
      </c>
      <c r="L2412" s="139">
        <f>IFERROR(IF(ISNUMBER(F2412),F2412-IF(ISNUMBER(K2412),K2412,0),""),"")</f>
        <v/>
      </c>
    </row>
    <row r="2413" ht="24" customHeight="1" s="63">
      <c r="E2413" s="139" t="n"/>
      <c r="F2413" s="139" t="n"/>
      <c r="G2413" s="140">
        <f>IFERROR(IF(E2413&gt;0,(F2413/E2413)*1000,""),"")</f>
        <v/>
      </c>
      <c r="H2413" s="139">
        <f>IFERROR(IF(E2413&gt;0,E2413*IF(ISNUMBER(J2413),J2413,IF(C2413="Futures",$C$6,$C$5)),""),"")</f>
        <v/>
      </c>
      <c r="I2413" s="139">
        <f>IFERROR(IF(AND(ISNUMBER(F2413),ISNUMBER(H2413)),F2413-H2413,""),"")</f>
        <v/>
      </c>
      <c r="J2413" s="114" t="n"/>
      <c r="K2413" s="139">
        <f>IFERROR(IF(H2413&gt;0,H2413*$C$7,""),"")</f>
        <v/>
      </c>
      <c r="L2413" s="139">
        <f>IFERROR(IF(ISNUMBER(F2413),F2413-IF(ISNUMBER(K2413),K2413,0),""),"")</f>
        <v/>
      </c>
    </row>
    <row r="2414" ht="24" customHeight="1" s="63">
      <c r="E2414" s="139" t="n"/>
      <c r="F2414" s="139" t="n"/>
      <c r="G2414" s="140">
        <f>IFERROR(IF(E2414&gt;0,(F2414/E2414)*1000,""),"")</f>
        <v/>
      </c>
      <c r="H2414" s="139">
        <f>IFERROR(IF(E2414&gt;0,E2414*IF(ISNUMBER(J2414),J2414,IF(C2414="Futures",$C$6,$C$5)),""),"")</f>
        <v/>
      </c>
      <c r="I2414" s="139">
        <f>IFERROR(IF(AND(ISNUMBER(F2414),ISNUMBER(H2414)),F2414-H2414,""),"")</f>
        <v/>
      </c>
      <c r="J2414" s="114" t="n"/>
      <c r="K2414" s="139">
        <f>IFERROR(IF(H2414&gt;0,H2414*$C$7,""),"")</f>
        <v/>
      </c>
      <c r="L2414" s="139">
        <f>IFERROR(IF(ISNUMBER(F2414),F2414-IF(ISNUMBER(K2414),K2414,0),""),"")</f>
        <v/>
      </c>
    </row>
    <row r="2415" ht="24" customHeight="1" s="63">
      <c r="E2415" s="139" t="n"/>
      <c r="F2415" s="139" t="n"/>
      <c r="G2415" s="140">
        <f>IFERROR(IF(E2415&gt;0,(F2415/E2415)*1000,""),"")</f>
        <v/>
      </c>
      <c r="H2415" s="139">
        <f>IFERROR(IF(E2415&gt;0,E2415*IF(ISNUMBER(J2415),J2415,IF(C2415="Futures",$C$6,$C$5)),""),"")</f>
        <v/>
      </c>
      <c r="I2415" s="139">
        <f>IFERROR(IF(AND(ISNUMBER(F2415),ISNUMBER(H2415)),F2415-H2415,""),"")</f>
        <v/>
      </c>
      <c r="J2415" s="114" t="n"/>
      <c r="K2415" s="139">
        <f>IFERROR(IF(H2415&gt;0,H2415*$C$7,""),"")</f>
        <v/>
      </c>
      <c r="L2415" s="139">
        <f>IFERROR(IF(ISNUMBER(F2415),F2415-IF(ISNUMBER(K2415),K2415,0),""),"")</f>
        <v/>
      </c>
    </row>
    <row r="2416" ht="24" customHeight="1" s="63">
      <c r="E2416" s="139" t="n"/>
      <c r="F2416" s="139" t="n"/>
      <c r="G2416" s="140">
        <f>IFERROR(IF(E2416&gt;0,(F2416/E2416)*1000,""),"")</f>
        <v/>
      </c>
      <c r="H2416" s="139">
        <f>IFERROR(IF(E2416&gt;0,E2416*IF(ISNUMBER(J2416),J2416,IF(C2416="Futures",$C$6,$C$5)),""),"")</f>
        <v/>
      </c>
      <c r="I2416" s="139">
        <f>IFERROR(IF(AND(ISNUMBER(F2416),ISNUMBER(H2416)),F2416-H2416,""),"")</f>
        <v/>
      </c>
      <c r="J2416" s="114" t="n"/>
      <c r="K2416" s="139">
        <f>IFERROR(IF(H2416&gt;0,H2416*$C$7,""),"")</f>
        <v/>
      </c>
      <c r="L2416" s="139">
        <f>IFERROR(IF(ISNUMBER(F2416),F2416-IF(ISNUMBER(K2416),K2416,0),""),"")</f>
        <v/>
      </c>
    </row>
    <row r="2417" ht="24" customHeight="1" s="63">
      <c r="E2417" s="139" t="n"/>
      <c r="F2417" s="139" t="n"/>
      <c r="G2417" s="140">
        <f>IFERROR(IF(E2417&gt;0,(F2417/E2417)*1000,""),"")</f>
        <v/>
      </c>
      <c r="H2417" s="139">
        <f>IFERROR(IF(E2417&gt;0,E2417*IF(ISNUMBER(J2417),J2417,IF(C2417="Futures",$C$6,$C$5)),""),"")</f>
        <v/>
      </c>
      <c r="I2417" s="139">
        <f>IFERROR(IF(AND(ISNUMBER(F2417),ISNUMBER(H2417)),F2417-H2417,""),"")</f>
        <v/>
      </c>
      <c r="J2417" s="114" t="n"/>
      <c r="K2417" s="139">
        <f>IFERROR(IF(H2417&gt;0,H2417*$C$7,""),"")</f>
        <v/>
      </c>
      <c r="L2417" s="139">
        <f>IFERROR(IF(ISNUMBER(F2417),F2417-IF(ISNUMBER(K2417),K2417,0),""),"")</f>
        <v/>
      </c>
    </row>
    <row r="2418" ht="24" customHeight="1" s="63">
      <c r="E2418" s="139" t="n"/>
      <c r="F2418" s="139" t="n"/>
      <c r="G2418" s="140">
        <f>IFERROR(IF(E2418&gt;0,(F2418/E2418)*1000,""),"")</f>
        <v/>
      </c>
      <c r="H2418" s="139">
        <f>IFERROR(IF(E2418&gt;0,E2418*IF(ISNUMBER(J2418),J2418,IF(C2418="Futures",$C$6,$C$5)),""),"")</f>
        <v/>
      </c>
      <c r="I2418" s="139">
        <f>IFERROR(IF(AND(ISNUMBER(F2418),ISNUMBER(H2418)),F2418-H2418,""),"")</f>
        <v/>
      </c>
      <c r="J2418" s="114" t="n"/>
      <c r="K2418" s="139">
        <f>IFERROR(IF(H2418&gt;0,H2418*$C$7,""),"")</f>
        <v/>
      </c>
      <c r="L2418" s="139">
        <f>IFERROR(IF(ISNUMBER(F2418),F2418-IF(ISNUMBER(K2418),K2418,0),""),"")</f>
        <v/>
      </c>
    </row>
    <row r="2419" ht="24" customHeight="1" s="63">
      <c r="E2419" s="139" t="n"/>
      <c r="F2419" s="139" t="n"/>
      <c r="G2419" s="140">
        <f>IFERROR(IF(E2419&gt;0,(F2419/E2419)*1000,""),"")</f>
        <v/>
      </c>
      <c r="H2419" s="139">
        <f>IFERROR(IF(E2419&gt;0,E2419*IF(ISNUMBER(J2419),J2419,IF(C2419="Futures",$C$6,$C$5)),""),"")</f>
        <v/>
      </c>
      <c r="I2419" s="139">
        <f>IFERROR(IF(AND(ISNUMBER(F2419),ISNUMBER(H2419)),F2419-H2419,""),"")</f>
        <v/>
      </c>
      <c r="J2419" s="114" t="n"/>
      <c r="K2419" s="139">
        <f>IFERROR(IF(H2419&gt;0,H2419*$C$7,""),"")</f>
        <v/>
      </c>
      <c r="L2419" s="139">
        <f>IFERROR(IF(ISNUMBER(F2419),F2419-IF(ISNUMBER(K2419),K2419,0),""),"")</f>
        <v/>
      </c>
    </row>
    <row r="2420" ht="24" customHeight="1" s="63">
      <c r="E2420" s="139" t="n"/>
      <c r="F2420" s="139" t="n"/>
      <c r="G2420" s="140">
        <f>IFERROR(IF(E2420&gt;0,(F2420/E2420)*1000,""),"")</f>
        <v/>
      </c>
      <c r="H2420" s="139">
        <f>IFERROR(IF(E2420&gt;0,E2420*IF(ISNUMBER(J2420),J2420,IF(C2420="Futures",$C$6,$C$5)),""),"")</f>
        <v/>
      </c>
      <c r="I2420" s="139">
        <f>IFERROR(IF(AND(ISNUMBER(F2420),ISNUMBER(H2420)),F2420-H2420,""),"")</f>
        <v/>
      </c>
      <c r="J2420" s="114" t="n"/>
      <c r="K2420" s="139">
        <f>IFERROR(IF(H2420&gt;0,H2420*$C$7,""),"")</f>
        <v/>
      </c>
      <c r="L2420" s="139">
        <f>IFERROR(IF(ISNUMBER(F2420),F2420-IF(ISNUMBER(K2420),K2420,0),""),"")</f>
        <v/>
      </c>
    </row>
    <row r="2421" ht="24" customHeight="1" s="63">
      <c r="E2421" s="139" t="n"/>
      <c r="F2421" s="139" t="n"/>
      <c r="G2421" s="140">
        <f>IFERROR(IF(E2421&gt;0,(F2421/E2421)*1000,""),"")</f>
        <v/>
      </c>
      <c r="H2421" s="139">
        <f>IFERROR(IF(E2421&gt;0,E2421*IF(ISNUMBER(J2421),J2421,IF(C2421="Futures",$C$6,$C$5)),""),"")</f>
        <v/>
      </c>
      <c r="I2421" s="139">
        <f>IFERROR(IF(AND(ISNUMBER(F2421),ISNUMBER(H2421)),F2421-H2421,""),"")</f>
        <v/>
      </c>
      <c r="J2421" s="114" t="n"/>
      <c r="K2421" s="139">
        <f>IFERROR(IF(H2421&gt;0,H2421*$C$7,""),"")</f>
        <v/>
      </c>
      <c r="L2421" s="139">
        <f>IFERROR(IF(ISNUMBER(F2421),F2421-IF(ISNUMBER(K2421),K2421,0),""),"")</f>
        <v/>
      </c>
    </row>
    <row r="2422" ht="24" customHeight="1" s="63">
      <c r="E2422" s="139" t="n"/>
      <c r="F2422" s="139" t="n"/>
      <c r="G2422" s="140">
        <f>IFERROR(IF(E2422&gt;0,(F2422/E2422)*1000,""),"")</f>
        <v/>
      </c>
      <c r="H2422" s="139">
        <f>IFERROR(IF(E2422&gt;0,E2422*IF(ISNUMBER(J2422),J2422,IF(C2422="Futures",$C$6,$C$5)),""),"")</f>
        <v/>
      </c>
      <c r="I2422" s="139">
        <f>IFERROR(IF(AND(ISNUMBER(F2422),ISNUMBER(H2422)),F2422-H2422,""),"")</f>
        <v/>
      </c>
      <c r="J2422" s="114" t="n"/>
      <c r="K2422" s="139">
        <f>IFERROR(IF(H2422&gt;0,H2422*$C$7,""),"")</f>
        <v/>
      </c>
      <c r="L2422" s="139">
        <f>IFERROR(IF(ISNUMBER(F2422),F2422-IF(ISNUMBER(K2422),K2422,0),""),"")</f>
        <v/>
      </c>
    </row>
    <row r="2423" ht="24" customHeight="1" s="63">
      <c r="E2423" s="139" t="n"/>
      <c r="F2423" s="139" t="n"/>
      <c r="G2423" s="140">
        <f>IFERROR(IF(E2423&gt;0,(F2423/E2423)*1000,""),"")</f>
        <v/>
      </c>
      <c r="H2423" s="139">
        <f>IFERROR(IF(E2423&gt;0,E2423*IF(ISNUMBER(J2423),J2423,IF(C2423="Futures",$C$6,$C$5)),""),"")</f>
        <v/>
      </c>
      <c r="I2423" s="139">
        <f>IFERROR(IF(AND(ISNUMBER(F2423),ISNUMBER(H2423)),F2423-H2423,""),"")</f>
        <v/>
      </c>
      <c r="J2423" s="114" t="n"/>
      <c r="K2423" s="139">
        <f>IFERROR(IF(H2423&gt;0,H2423*$C$7,""),"")</f>
        <v/>
      </c>
      <c r="L2423" s="139">
        <f>IFERROR(IF(ISNUMBER(F2423),F2423-IF(ISNUMBER(K2423),K2423,0),""),"")</f>
        <v/>
      </c>
    </row>
    <row r="2424" ht="24" customHeight="1" s="63">
      <c r="E2424" s="139" t="n"/>
      <c r="F2424" s="139" t="n"/>
      <c r="G2424" s="140">
        <f>IFERROR(IF(E2424&gt;0,(F2424/E2424)*1000,""),"")</f>
        <v/>
      </c>
      <c r="H2424" s="139">
        <f>IFERROR(IF(E2424&gt;0,E2424*IF(ISNUMBER(J2424),J2424,IF(C2424="Futures",$C$6,$C$5)),""),"")</f>
        <v/>
      </c>
      <c r="I2424" s="139">
        <f>IFERROR(IF(AND(ISNUMBER(F2424),ISNUMBER(H2424)),F2424-H2424,""),"")</f>
        <v/>
      </c>
      <c r="J2424" s="114" t="n"/>
      <c r="K2424" s="139">
        <f>IFERROR(IF(H2424&gt;0,H2424*$C$7,""),"")</f>
        <v/>
      </c>
      <c r="L2424" s="139">
        <f>IFERROR(IF(ISNUMBER(F2424),F2424-IF(ISNUMBER(K2424),K2424,0),""),"")</f>
        <v/>
      </c>
    </row>
    <row r="2425" ht="24" customHeight="1" s="63">
      <c r="E2425" s="139" t="n"/>
      <c r="F2425" s="139" t="n"/>
      <c r="G2425" s="140">
        <f>IFERROR(IF(E2425&gt;0,(F2425/E2425)*1000,""),"")</f>
        <v/>
      </c>
      <c r="H2425" s="139">
        <f>IFERROR(IF(E2425&gt;0,E2425*IF(ISNUMBER(J2425),J2425,IF(C2425="Futures",$C$6,$C$5)),""),"")</f>
        <v/>
      </c>
      <c r="I2425" s="139">
        <f>IFERROR(IF(AND(ISNUMBER(F2425),ISNUMBER(H2425)),F2425-H2425,""),"")</f>
        <v/>
      </c>
      <c r="J2425" s="114" t="n"/>
      <c r="K2425" s="139">
        <f>IFERROR(IF(H2425&gt;0,H2425*$C$7,""),"")</f>
        <v/>
      </c>
      <c r="L2425" s="139">
        <f>IFERROR(IF(ISNUMBER(F2425),F2425-IF(ISNUMBER(K2425),K2425,0),""),"")</f>
        <v/>
      </c>
    </row>
    <row r="2426" ht="24" customHeight="1" s="63">
      <c r="E2426" s="139" t="n"/>
      <c r="F2426" s="139" t="n"/>
      <c r="G2426" s="140">
        <f>IFERROR(IF(E2426&gt;0,(F2426/E2426)*1000,""),"")</f>
        <v/>
      </c>
      <c r="H2426" s="139">
        <f>IFERROR(IF(E2426&gt;0,E2426*IF(ISNUMBER(J2426),J2426,IF(C2426="Futures",$C$6,$C$5)),""),"")</f>
        <v/>
      </c>
      <c r="I2426" s="139">
        <f>IFERROR(IF(AND(ISNUMBER(F2426),ISNUMBER(H2426)),F2426-H2426,""),"")</f>
        <v/>
      </c>
      <c r="J2426" s="114" t="n"/>
      <c r="K2426" s="139">
        <f>IFERROR(IF(H2426&gt;0,H2426*$C$7,""),"")</f>
        <v/>
      </c>
      <c r="L2426" s="139">
        <f>IFERROR(IF(ISNUMBER(F2426),F2426-IF(ISNUMBER(K2426),K2426,0),""),"")</f>
        <v/>
      </c>
    </row>
    <row r="2427" ht="24" customHeight="1" s="63">
      <c r="E2427" s="139" t="n"/>
      <c r="F2427" s="139" t="n"/>
      <c r="G2427" s="140">
        <f>IFERROR(IF(E2427&gt;0,(F2427/E2427)*1000,""),"")</f>
        <v/>
      </c>
      <c r="H2427" s="139">
        <f>IFERROR(IF(E2427&gt;0,E2427*IF(ISNUMBER(J2427),J2427,IF(C2427="Futures",$C$6,$C$5)),""),"")</f>
        <v/>
      </c>
      <c r="I2427" s="139">
        <f>IFERROR(IF(AND(ISNUMBER(F2427),ISNUMBER(H2427)),F2427-H2427,""),"")</f>
        <v/>
      </c>
      <c r="J2427" s="114" t="n"/>
      <c r="K2427" s="139">
        <f>IFERROR(IF(H2427&gt;0,H2427*$C$7,""),"")</f>
        <v/>
      </c>
      <c r="L2427" s="139">
        <f>IFERROR(IF(ISNUMBER(F2427),F2427-IF(ISNUMBER(K2427),K2427,0),""),"")</f>
        <v/>
      </c>
    </row>
    <row r="2428" ht="24" customHeight="1" s="63">
      <c r="E2428" s="139" t="n"/>
      <c r="F2428" s="139" t="n"/>
      <c r="G2428" s="140">
        <f>IFERROR(IF(E2428&gt;0,(F2428/E2428)*1000,""),"")</f>
        <v/>
      </c>
      <c r="H2428" s="139">
        <f>IFERROR(IF(E2428&gt;0,E2428*IF(ISNUMBER(J2428),J2428,IF(C2428="Futures",$C$6,$C$5)),""),"")</f>
        <v/>
      </c>
      <c r="I2428" s="139">
        <f>IFERROR(IF(AND(ISNUMBER(F2428),ISNUMBER(H2428)),F2428-H2428,""),"")</f>
        <v/>
      </c>
      <c r="J2428" s="114" t="n"/>
      <c r="K2428" s="139">
        <f>IFERROR(IF(H2428&gt;0,H2428*$C$7,""),"")</f>
        <v/>
      </c>
      <c r="L2428" s="139">
        <f>IFERROR(IF(ISNUMBER(F2428),F2428-IF(ISNUMBER(K2428),K2428,0),""),"")</f>
        <v/>
      </c>
    </row>
    <row r="2429" ht="24" customHeight="1" s="63">
      <c r="E2429" s="139" t="n"/>
      <c r="F2429" s="139" t="n"/>
      <c r="G2429" s="140">
        <f>IFERROR(IF(E2429&gt;0,(F2429/E2429)*1000,""),"")</f>
        <v/>
      </c>
      <c r="H2429" s="139">
        <f>IFERROR(IF(E2429&gt;0,E2429*IF(ISNUMBER(J2429),J2429,IF(C2429="Futures",$C$6,$C$5)),""),"")</f>
        <v/>
      </c>
      <c r="I2429" s="139">
        <f>IFERROR(IF(AND(ISNUMBER(F2429),ISNUMBER(H2429)),F2429-H2429,""),"")</f>
        <v/>
      </c>
      <c r="J2429" s="114" t="n"/>
      <c r="K2429" s="139">
        <f>IFERROR(IF(H2429&gt;0,H2429*$C$7,""),"")</f>
        <v/>
      </c>
      <c r="L2429" s="139">
        <f>IFERROR(IF(ISNUMBER(F2429),F2429-IF(ISNUMBER(K2429),K2429,0),""),"")</f>
        <v/>
      </c>
    </row>
    <row r="2430" ht="24" customHeight="1" s="63">
      <c r="E2430" s="139" t="n"/>
      <c r="F2430" s="139" t="n"/>
      <c r="G2430" s="140">
        <f>IFERROR(IF(E2430&gt;0,(F2430/E2430)*1000,""),"")</f>
        <v/>
      </c>
      <c r="H2430" s="139">
        <f>IFERROR(IF(E2430&gt;0,E2430*IF(ISNUMBER(J2430),J2430,IF(C2430="Futures",$C$6,$C$5)),""),"")</f>
        <v/>
      </c>
      <c r="I2430" s="139">
        <f>IFERROR(IF(AND(ISNUMBER(F2430),ISNUMBER(H2430)),F2430-H2430,""),"")</f>
        <v/>
      </c>
      <c r="J2430" s="114" t="n"/>
      <c r="K2430" s="139">
        <f>IFERROR(IF(H2430&gt;0,H2430*$C$7,""),"")</f>
        <v/>
      </c>
      <c r="L2430" s="139">
        <f>IFERROR(IF(ISNUMBER(F2430),F2430-IF(ISNUMBER(K2430),K2430,0),""),"")</f>
        <v/>
      </c>
    </row>
    <row r="2431" ht="24" customHeight="1" s="63">
      <c r="E2431" s="139" t="n"/>
      <c r="F2431" s="139" t="n"/>
      <c r="G2431" s="140">
        <f>IFERROR(IF(E2431&gt;0,(F2431/E2431)*1000,""),"")</f>
        <v/>
      </c>
      <c r="H2431" s="139">
        <f>IFERROR(IF(E2431&gt;0,E2431*IF(ISNUMBER(J2431),J2431,IF(C2431="Futures",$C$6,$C$5)),""),"")</f>
        <v/>
      </c>
      <c r="I2431" s="139">
        <f>IFERROR(IF(AND(ISNUMBER(F2431),ISNUMBER(H2431)),F2431-H2431,""),"")</f>
        <v/>
      </c>
      <c r="J2431" s="114" t="n"/>
      <c r="K2431" s="139">
        <f>IFERROR(IF(H2431&gt;0,H2431*$C$7,""),"")</f>
        <v/>
      </c>
      <c r="L2431" s="139">
        <f>IFERROR(IF(ISNUMBER(F2431),F2431-IF(ISNUMBER(K2431),K2431,0),""),"")</f>
        <v/>
      </c>
    </row>
    <row r="2432" ht="24" customHeight="1" s="63">
      <c r="E2432" s="139" t="n"/>
      <c r="F2432" s="139" t="n"/>
      <c r="G2432" s="140">
        <f>IFERROR(IF(E2432&gt;0,(F2432/E2432)*1000,""),"")</f>
        <v/>
      </c>
      <c r="H2432" s="139">
        <f>IFERROR(IF(E2432&gt;0,E2432*IF(ISNUMBER(J2432),J2432,IF(C2432="Futures",$C$6,$C$5)),""),"")</f>
        <v/>
      </c>
      <c r="I2432" s="139">
        <f>IFERROR(IF(AND(ISNUMBER(F2432),ISNUMBER(H2432)),F2432-H2432,""),"")</f>
        <v/>
      </c>
      <c r="J2432" s="114" t="n"/>
      <c r="K2432" s="139">
        <f>IFERROR(IF(H2432&gt;0,H2432*$C$7,""),"")</f>
        <v/>
      </c>
      <c r="L2432" s="139">
        <f>IFERROR(IF(ISNUMBER(F2432),F2432-IF(ISNUMBER(K2432),K2432,0),""),"")</f>
        <v/>
      </c>
    </row>
    <row r="2433" ht="24" customHeight="1" s="63">
      <c r="E2433" s="139" t="n"/>
      <c r="F2433" s="139" t="n"/>
      <c r="G2433" s="140">
        <f>IFERROR(IF(E2433&gt;0,(F2433/E2433)*1000,""),"")</f>
        <v/>
      </c>
      <c r="H2433" s="139">
        <f>IFERROR(IF(E2433&gt;0,E2433*IF(ISNUMBER(J2433),J2433,IF(C2433="Futures",$C$6,$C$5)),""),"")</f>
        <v/>
      </c>
      <c r="I2433" s="139">
        <f>IFERROR(IF(AND(ISNUMBER(F2433),ISNUMBER(H2433)),F2433-H2433,""),"")</f>
        <v/>
      </c>
      <c r="J2433" s="114" t="n"/>
      <c r="K2433" s="139">
        <f>IFERROR(IF(H2433&gt;0,H2433*$C$7,""),"")</f>
        <v/>
      </c>
      <c r="L2433" s="139">
        <f>IFERROR(IF(ISNUMBER(F2433),F2433-IF(ISNUMBER(K2433),K2433,0),""),"")</f>
        <v/>
      </c>
    </row>
    <row r="2434" ht="24" customHeight="1" s="63">
      <c r="E2434" s="139" t="n"/>
      <c r="F2434" s="139" t="n"/>
      <c r="G2434" s="140">
        <f>IFERROR(IF(E2434&gt;0,(F2434/E2434)*1000,""),"")</f>
        <v/>
      </c>
      <c r="H2434" s="139">
        <f>IFERROR(IF(E2434&gt;0,E2434*IF(ISNUMBER(J2434),J2434,IF(C2434="Futures",$C$6,$C$5)),""),"")</f>
        <v/>
      </c>
      <c r="I2434" s="139">
        <f>IFERROR(IF(AND(ISNUMBER(F2434),ISNUMBER(H2434)),F2434-H2434,""),"")</f>
        <v/>
      </c>
      <c r="J2434" s="114" t="n"/>
      <c r="K2434" s="139">
        <f>IFERROR(IF(H2434&gt;0,H2434*$C$7,""),"")</f>
        <v/>
      </c>
      <c r="L2434" s="139">
        <f>IFERROR(IF(ISNUMBER(F2434),F2434-IF(ISNUMBER(K2434),K2434,0),""),"")</f>
        <v/>
      </c>
    </row>
    <row r="2435" ht="24" customHeight="1" s="63">
      <c r="E2435" s="139" t="n"/>
      <c r="F2435" s="139" t="n"/>
      <c r="G2435" s="140">
        <f>IFERROR(IF(E2435&gt;0,(F2435/E2435)*1000,""),"")</f>
        <v/>
      </c>
      <c r="H2435" s="139">
        <f>IFERROR(IF(E2435&gt;0,E2435*IF(ISNUMBER(J2435),J2435,IF(C2435="Futures",$C$6,$C$5)),""),"")</f>
        <v/>
      </c>
      <c r="I2435" s="139">
        <f>IFERROR(IF(AND(ISNUMBER(F2435),ISNUMBER(H2435)),F2435-H2435,""),"")</f>
        <v/>
      </c>
      <c r="J2435" s="114" t="n"/>
      <c r="K2435" s="139">
        <f>IFERROR(IF(H2435&gt;0,H2435*$C$7,""),"")</f>
        <v/>
      </c>
      <c r="L2435" s="139">
        <f>IFERROR(IF(ISNUMBER(F2435),F2435-IF(ISNUMBER(K2435),K2435,0),""),"")</f>
        <v/>
      </c>
    </row>
    <row r="2436" ht="24" customHeight="1" s="63">
      <c r="E2436" s="139" t="n"/>
      <c r="F2436" s="139" t="n"/>
      <c r="G2436" s="140">
        <f>IFERROR(IF(E2436&gt;0,(F2436/E2436)*1000,""),"")</f>
        <v/>
      </c>
      <c r="H2436" s="139">
        <f>IFERROR(IF(E2436&gt;0,E2436*IF(ISNUMBER(J2436),J2436,IF(C2436="Futures",$C$6,$C$5)),""),"")</f>
        <v/>
      </c>
      <c r="I2436" s="139">
        <f>IFERROR(IF(AND(ISNUMBER(F2436),ISNUMBER(H2436)),F2436-H2436,""),"")</f>
        <v/>
      </c>
      <c r="J2436" s="114" t="n"/>
      <c r="K2436" s="139">
        <f>IFERROR(IF(H2436&gt;0,H2436*$C$7,""),"")</f>
        <v/>
      </c>
      <c r="L2436" s="139">
        <f>IFERROR(IF(ISNUMBER(F2436),F2436-IF(ISNUMBER(K2436),K2436,0),""),"")</f>
        <v/>
      </c>
    </row>
    <row r="2437" ht="24" customHeight="1" s="63">
      <c r="E2437" s="139" t="n"/>
      <c r="F2437" s="139" t="n"/>
      <c r="G2437" s="140">
        <f>IFERROR(IF(E2437&gt;0,(F2437/E2437)*1000,""),"")</f>
        <v/>
      </c>
      <c r="H2437" s="139">
        <f>IFERROR(IF(E2437&gt;0,E2437*IF(ISNUMBER(J2437),J2437,IF(C2437="Futures",$C$6,$C$5)),""),"")</f>
        <v/>
      </c>
      <c r="I2437" s="139">
        <f>IFERROR(IF(AND(ISNUMBER(F2437),ISNUMBER(H2437)),F2437-H2437,""),"")</f>
        <v/>
      </c>
      <c r="J2437" s="114" t="n"/>
      <c r="K2437" s="139">
        <f>IFERROR(IF(H2437&gt;0,H2437*$C$7,""),"")</f>
        <v/>
      </c>
      <c r="L2437" s="139">
        <f>IFERROR(IF(ISNUMBER(F2437),F2437-IF(ISNUMBER(K2437),K2437,0),""),"")</f>
        <v/>
      </c>
    </row>
    <row r="2438" ht="24" customHeight="1" s="63">
      <c r="E2438" s="139" t="n"/>
      <c r="F2438" s="139" t="n"/>
      <c r="G2438" s="140">
        <f>IFERROR(IF(E2438&gt;0,(F2438/E2438)*1000,""),"")</f>
        <v/>
      </c>
      <c r="H2438" s="139">
        <f>IFERROR(IF(E2438&gt;0,E2438*IF(ISNUMBER(J2438),J2438,IF(C2438="Futures",$C$6,$C$5)),""),"")</f>
        <v/>
      </c>
      <c r="I2438" s="139">
        <f>IFERROR(IF(AND(ISNUMBER(F2438),ISNUMBER(H2438)),F2438-H2438,""),"")</f>
        <v/>
      </c>
      <c r="J2438" s="114" t="n"/>
      <c r="K2438" s="139">
        <f>IFERROR(IF(H2438&gt;0,H2438*$C$7,""),"")</f>
        <v/>
      </c>
      <c r="L2438" s="139">
        <f>IFERROR(IF(ISNUMBER(F2438),F2438-IF(ISNUMBER(K2438),K2438,0),""),"")</f>
        <v/>
      </c>
    </row>
    <row r="2439" ht="24" customHeight="1" s="63">
      <c r="E2439" s="139" t="n"/>
      <c r="F2439" s="139" t="n"/>
      <c r="G2439" s="140">
        <f>IFERROR(IF(E2439&gt;0,(F2439/E2439)*1000,""),"")</f>
        <v/>
      </c>
      <c r="H2439" s="139">
        <f>IFERROR(IF(E2439&gt;0,E2439*IF(ISNUMBER(J2439),J2439,IF(C2439="Futures",$C$6,$C$5)),""),"")</f>
        <v/>
      </c>
      <c r="I2439" s="139">
        <f>IFERROR(IF(AND(ISNUMBER(F2439),ISNUMBER(H2439)),F2439-H2439,""),"")</f>
        <v/>
      </c>
      <c r="J2439" s="114" t="n"/>
      <c r="K2439" s="139">
        <f>IFERROR(IF(H2439&gt;0,H2439*$C$7,""),"")</f>
        <v/>
      </c>
      <c r="L2439" s="139">
        <f>IFERROR(IF(ISNUMBER(F2439),F2439-IF(ISNUMBER(K2439),K2439,0),""),"")</f>
        <v/>
      </c>
    </row>
    <row r="2440" ht="24" customHeight="1" s="63">
      <c r="E2440" s="139" t="n"/>
      <c r="F2440" s="139" t="n"/>
      <c r="G2440" s="140">
        <f>IFERROR(IF(E2440&gt;0,(F2440/E2440)*1000,""),"")</f>
        <v/>
      </c>
      <c r="H2440" s="139">
        <f>IFERROR(IF(E2440&gt;0,E2440*IF(ISNUMBER(J2440),J2440,IF(C2440="Futures",$C$6,$C$5)),""),"")</f>
        <v/>
      </c>
      <c r="I2440" s="139">
        <f>IFERROR(IF(AND(ISNUMBER(F2440),ISNUMBER(H2440)),F2440-H2440,""),"")</f>
        <v/>
      </c>
      <c r="J2440" s="114" t="n"/>
      <c r="K2440" s="139">
        <f>IFERROR(IF(H2440&gt;0,H2440*$C$7,""),"")</f>
        <v/>
      </c>
      <c r="L2440" s="139">
        <f>IFERROR(IF(ISNUMBER(F2440),F2440-IF(ISNUMBER(K2440),K2440,0),""),"")</f>
        <v/>
      </c>
    </row>
    <row r="2441" ht="24" customHeight="1" s="63">
      <c r="E2441" s="139" t="n"/>
      <c r="F2441" s="139" t="n"/>
      <c r="G2441" s="140">
        <f>IFERROR(IF(E2441&gt;0,(F2441/E2441)*1000,""),"")</f>
        <v/>
      </c>
      <c r="H2441" s="139">
        <f>IFERROR(IF(E2441&gt;0,E2441*IF(ISNUMBER(J2441),J2441,IF(C2441="Futures",$C$6,$C$5)),""),"")</f>
        <v/>
      </c>
      <c r="I2441" s="139">
        <f>IFERROR(IF(AND(ISNUMBER(F2441),ISNUMBER(H2441)),F2441-H2441,""),"")</f>
        <v/>
      </c>
      <c r="J2441" s="114" t="n"/>
      <c r="K2441" s="139">
        <f>IFERROR(IF(H2441&gt;0,H2441*$C$7,""),"")</f>
        <v/>
      </c>
      <c r="L2441" s="139">
        <f>IFERROR(IF(ISNUMBER(F2441),F2441-IF(ISNUMBER(K2441),K2441,0),""),"")</f>
        <v/>
      </c>
    </row>
    <row r="2442" ht="24" customHeight="1" s="63">
      <c r="E2442" s="139" t="n"/>
      <c r="F2442" s="139" t="n"/>
      <c r="G2442" s="140">
        <f>IFERROR(IF(E2442&gt;0,(F2442/E2442)*1000,""),"")</f>
        <v/>
      </c>
      <c r="H2442" s="139">
        <f>IFERROR(IF(E2442&gt;0,E2442*IF(ISNUMBER(J2442),J2442,IF(C2442="Futures",$C$6,$C$5)),""),"")</f>
        <v/>
      </c>
      <c r="I2442" s="139">
        <f>IFERROR(IF(AND(ISNUMBER(F2442),ISNUMBER(H2442)),F2442-H2442,""),"")</f>
        <v/>
      </c>
      <c r="J2442" s="114" t="n"/>
      <c r="K2442" s="139">
        <f>IFERROR(IF(H2442&gt;0,H2442*$C$7,""),"")</f>
        <v/>
      </c>
      <c r="L2442" s="139">
        <f>IFERROR(IF(ISNUMBER(F2442),F2442-IF(ISNUMBER(K2442),K2442,0),""),"")</f>
        <v/>
      </c>
    </row>
    <row r="2443" ht="24" customHeight="1" s="63">
      <c r="E2443" s="139" t="n"/>
      <c r="F2443" s="139" t="n"/>
      <c r="G2443" s="140">
        <f>IFERROR(IF(E2443&gt;0,(F2443/E2443)*1000,""),"")</f>
        <v/>
      </c>
      <c r="H2443" s="139">
        <f>IFERROR(IF(E2443&gt;0,E2443*IF(ISNUMBER(J2443),J2443,IF(C2443="Futures",$C$6,$C$5)),""),"")</f>
        <v/>
      </c>
      <c r="I2443" s="139">
        <f>IFERROR(IF(AND(ISNUMBER(F2443),ISNUMBER(H2443)),F2443-H2443,""),"")</f>
        <v/>
      </c>
      <c r="J2443" s="114" t="n"/>
      <c r="K2443" s="139">
        <f>IFERROR(IF(H2443&gt;0,H2443*$C$7,""),"")</f>
        <v/>
      </c>
      <c r="L2443" s="139">
        <f>IFERROR(IF(ISNUMBER(F2443),F2443-IF(ISNUMBER(K2443),K2443,0),""),"")</f>
        <v/>
      </c>
    </row>
    <row r="2444" ht="24" customHeight="1" s="63">
      <c r="E2444" s="139" t="n"/>
      <c r="F2444" s="139" t="n"/>
      <c r="G2444" s="140">
        <f>IFERROR(IF(E2444&gt;0,(F2444/E2444)*1000,""),"")</f>
        <v/>
      </c>
      <c r="H2444" s="139">
        <f>IFERROR(IF(E2444&gt;0,E2444*IF(ISNUMBER(J2444),J2444,IF(C2444="Futures",$C$6,$C$5)),""),"")</f>
        <v/>
      </c>
      <c r="I2444" s="139">
        <f>IFERROR(IF(AND(ISNUMBER(F2444),ISNUMBER(H2444)),F2444-H2444,""),"")</f>
        <v/>
      </c>
      <c r="J2444" s="114" t="n"/>
      <c r="K2444" s="139">
        <f>IFERROR(IF(H2444&gt;0,H2444*$C$7,""),"")</f>
        <v/>
      </c>
      <c r="L2444" s="139">
        <f>IFERROR(IF(ISNUMBER(F2444),F2444-IF(ISNUMBER(K2444),K2444,0),""),"")</f>
        <v/>
      </c>
    </row>
    <row r="2445" ht="24" customHeight="1" s="63">
      <c r="E2445" s="139" t="n"/>
      <c r="F2445" s="139" t="n"/>
      <c r="G2445" s="140">
        <f>IFERROR(IF(E2445&gt;0,(F2445/E2445)*1000,""),"")</f>
        <v/>
      </c>
      <c r="H2445" s="139">
        <f>IFERROR(IF(E2445&gt;0,E2445*IF(ISNUMBER(J2445),J2445,IF(C2445="Futures",$C$6,$C$5)),""),"")</f>
        <v/>
      </c>
      <c r="I2445" s="139">
        <f>IFERROR(IF(AND(ISNUMBER(F2445),ISNUMBER(H2445)),F2445-H2445,""),"")</f>
        <v/>
      </c>
      <c r="J2445" s="114" t="n"/>
      <c r="K2445" s="139">
        <f>IFERROR(IF(H2445&gt;0,H2445*$C$7,""),"")</f>
        <v/>
      </c>
      <c r="L2445" s="139">
        <f>IFERROR(IF(ISNUMBER(F2445),F2445-IF(ISNUMBER(K2445),K2445,0),""),"")</f>
        <v/>
      </c>
    </row>
    <row r="2446" ht="24" customHeight="1" s="63">
      <c r="E2446" s="139" t="n"/>
      <c r="F2446" s="139" t="n"/>
      <c r="G2446" s="140">
        <f>IFERROR(IF(E2446&gt;0,(F2446/E2446)*1000,""),"")</f>
        <v/>
      </c>
      <c r="H2446" s="139">
        <f>IFERROR(IF(E2446&gt;0,E2446*IF(ISNUMBER(J2446),J2446,IF(C2446="Futures",$C$6,$C$5)),""),"")</f>
        <v/>
      </c>
      <c r="I2446" s="139">
        <f>IFERROR(IF(AND(ISNUMBER(F2446),ISNUMBER(H2446)),F2446-H2446,""),"")</f>
        <v/>
      </c>
      <c r="J2446" s="114" t="n"/>
      <c r="K2446" s="139">
        <f>IFERROR(IF(H2446&gt;0,H2446*$C$7,""),"")</f>
        <v/>
      </c>
      <c r="L2446" s="139">
        <f>IFERROR(IF(ISNUMBER(F2446),F2446-IF(ISNUMBER(K2446),K2446,0),""),"")</f>
        <v/>
      </c>
    </row>
    <row r="2447" ht="24" customHeight="1" s="63">
      <c r="E2447" s="139" t="n"/>
      <c r="F2447" s="139" t="n"/>
      <c r="G2447" s="140">
        <f>IFERROR(IF(E2447&gt;0,(F2447/E2447)*1000,""),"")</f>
        <v/>
      </c>
      <c r="H2447" s="139">
        <f>IFERROR(IF(E2447&gt;0,E2447*IF(ISNUMBER(J2447),J2447,IF(C2447="Futures",$C$6,$C$5)),""),"")</f>
        <v/>
      </c>
      <c r="I2447" s="139">
        <f>IFERROR(IF(AND(ISNUMBER(F2447),ISNUMBER(H2447)),F2447-H2447,""),"")</f>
        <v/>
      </c>
      <c r="J2447" s="114" t="n"/>
      <c r="K2447" s="139">
        <f>IFERROR(IF(H2447&gt;0,H2447*$C$7,""),"")</f>
        <v/>
      </c>
      <c r="L2447" s="139">
        <f>IFERROR(IF(ISNUMBER(F2447),F2447-IF(ISNUMBER(K2447),K2447,0),""),"")</f>
        <v/>
      </c>
    </row>
    <row r="2448" ht="24" customHeight="1" s="63">
      <c r="E2448" s="139" t="n"/>
      <c r="F2448" s="139" t="n"/>
      <c r="G2448" s="140">
        <f>IFERROR(IF(E2448&gt;0,(F2448/E2448)*1000,""),"")</f>
        <v/>
      </c>
      <c r="H2448" s="139">
        <f>IFERROR(IF(E2448&gt;0,E2448*IF(ISNUMBER(J2448),J2448,IF(C2448="Futures",$C$6,$C$5)),""),"")</f>
        <v/>
      </c>
      <c r="I2448" s="139">
        <f>IFERROR(IF(AND(ISNUMBER(F2448),ISNUMBER(H2448)),F2448-H2448,""),"")</f>
        <v/>
      </c>
      <c r="J2448" s="114" t="n"/>
      <c r="K2448" s="139">
        <f>IFERROR(IF(H2448&gt;0,H2448*$C$7,""),"")</f>
        <v/>
      </c>
      <c r="L2448" s="139">
        <f>IFERROR(IF(ISNUMBER(F2448),F2448-IF(ISNUMBER(K2448),K2448,0),""),"")</f>
        <v/>
      </c>
    </row>
    <row r="2449" ht="24" customHeight="1" s="63">
      <c r="E2449" s="139" t="n"/>
      <c r="F2449" s="139" t="n"/>
      <c r="G2449" s="140">
        <f>IFERROR(IF(E2449&gt;0,(F2449/E2449)*1000,""),"")</f>
        <v/>
      </c>
      <c r="H2449" s="139">
        <f>IFERROR(IF(E2449&gt;0,E2449*IF(ISNUMBER(J2449),J2449,IF(C2449="Futures",$C$6,$C$5)),""),"")</f>
        <v/>
      </c>
      <c r="I2449" s="139">
        <f>IFERROR(IF(AND(ISNUMBER(F2449),ISNUMBER(H2449)),F2449-H2449,""),"")</f>
        <v/>
      </c>
      <c r="J2449" s="114" t="n"/>
      <c r="K2449" s="139">
        <f>IFERROR(IF(H2449&gt;0,H2449*$C$7,""),"")</f>
        <v/>
      </c>
      <c r="L2449" s="139">
        <f>IFERROR(IF(ISNUMBER(F2449),F2449-IF(ISNUMBER(K2449),K2449,0),""),"")</f>
        <v/>
      </c>
    </row>
    <row r="2450" ht="24" customHeight="1" s="63">
      <c r="E2450" s="139" t="n"/>
      <c r="F2450" s="139" t="n"/>
      <c r="G2450" s="140">
        <f>IFERROR(IF(E2450&gt;0,(F2450/E2450)*1000,""),"")</f>
        <v/>
      </c>
      <c r="H2450" s="139">
        <f>IFERROR(IF(E2450&gt;0,E2450*IF(ISNUMBER(J2450),J2450,IF(C2450="Futures",$C$6,$C$5)),""),"")</f>
        <v/>
      </c>
      <c r="I2450" s="139">
        <f>IFERROR(IF(AND(ISNUMBER(F2450),ISNUMBER(H2450)),F2450-H2450,""),"")</f>
        <v/>
      </c>
      <c r="J2450" s="114" t="n"/>
      <c r="K2450" s="139">
        <f>IFERROR(IF(H2450&gt;0,H2450*$C$7,""),"")</f>
        <v/>
      </c>
      <c r="L2450" s="139">
        <f>IFERROR(IF(ISNUMBER(F2450),F2450-IF(ISNUMBER(K2450),K2450,0),""),"")</f>
        <v/>
      </c>
    </row>
    <row r="2451" ht="24" customHeight="1" s="63">
      <c r="E2451" s="139" t="n"/>
      <c r="F2451" s="139" t="n"/>
      <c r="G2451" s="140">
        <f>IFERROR(IF(E2451&gt;0,(F2451/E2451)*1000,""),"")</f>
        <v/>
      </c>
      <c r="H2451" s="139">
        <f>IFERROR(IF(E2451&gt;0,E2451*IF(ISNUMBER(J2451),J2451,IF(C2451="Futures",$C$6,$C$5)),""),"")</f>
        <v/>
      </c>
      <c r="I2451" s="139">
        <f>IFERROR(IF(AND(ISNUMBER(F2451),ISNUMBER(H2451)),F2451-H2451,""),"")</f>
        <v/>
      </c>
      <c r="J2451" s="114" t="n"/>
      <c r="K2451" s="139">
        <f>IFERROR(IF(H2451&gt;0,H2451*$C$7,""),"")</f>
        <v/>
      </c>
      <c r="L2451" s="139">
        <f>IFERROR(IF(ISNUMBER(F2451),F2451-IF(ISNUMBER(K2451),K2451,0),""),"")</f>
        <v/>
      </c>
    </row>
    <row r="2452" ht="24" customHeight="1" s="63">
      <c r="E2452" s="139" t="n"/>
      <c r="F2452" s="139" t="n"/>
      <c r="G2452" s="140">
        <f>IFERROR(IF(E2452&gt;0,(F2452/E2452)*1000,""),"")</f>
        <v/>
      </c>
      <c r="H2452" s="139">
        <f>IFERROR(IF(E2452&gt;0,E2452*IF(ISNUMBER(J2452),J2452,IF(C2452="Futures",$C$6,$C$5)),""),"")</f>
        <v/>
      </c>
      <c r="I2452" s="139">
        <f>IFERROR(IF(AND(ISNUMBER(F2452),ISNUMBER(H2452)),F2452-H2452,""),"")</f>
        <v/>
      </c>
      <c r="J2452" s="114" t="n"/>
      <c r="K2452" s="139">
        <f>IFERROR(IF(H2452&gt;0,H2452*$C$7,""),"")</f>
        <v/>
      </c>
      <c r="L2452" s="139">
        <f>IFERROR(IF(ISNUMBER(F2452),F2452-IF(ISNUMBER(K2452),K2452,0),""),"")</f>
        <v/>
      </c>
    </row>
    <row r="2453" ht="24" customHeight="1" s="63">
      <c r="E2453" s="139" t="n"/>
      <c r="F2453" s="139" t="n"/>
      <c r="G2453" s="140">
        <f>IFERROR(IF(E2453&gt;0,(F2453/E2453)*1000,""),"")</f>
        <v/>
      </c>
      <c r="H2453" s="139">
        <f>IFERROR(IF(E2453&gt;0,E2453*IF(ISNUMBER(J2453),J2453,IF(C2453="Futures",$C$6,$C$5)),""),"")</f>
        <v/>
      </c>
      <c r="I2453" s="139">
        <f>IFERROR(IF(AND(ISNUMBER(F2453),ISNUMBER(H2453)),F2453-H2453,""),"")</f>
        <v/>
      </c>
      <c r="J2453" s="114" t="n"/>
      <c r="K2453" s="139">
        <f>IFERROR(IF(H2453&gt;0,H2453*$C$7,""),"")</f>
        <v/>
      </c>
      <c r="L2453" s="139">
        <f>IFERROR(IF(ISNUMBER(F2453),F2453-IF(ISNUMBER(K2453),K2453,0),""),"")</f>
        <v/>
      </c>
    </row>
    <row r="2454" ht="24" customHeight="1" s="63">
      <c r="E2454" s="139" t="n"/>
      <c r="F2454" s="139" t="n"/>
      <c r="G2454" s="140">
        <f>IFERROR(IF(E2454&gt;0,(F2454/E2454)*1000,""),"")</f>
        <v/>
      </c>
      <c r="H2454" s="139">
        <f>IFERROR(IF(E2454&gt;0,E2454*IF(ISNUMBER(J2454),J2454,IF(C2454="Futures",$C$6,$C$5)),""),"")</f>
        <v/>
      </c>
      <c r="I2454" s="139">
        <f>IFERROR(IF(AND(ISNUMBER(F2454),ISNUMBER(H2454)),F2454-H2454,""),"")</f>
        <v/>
      </c>
      <c r="J2454" s="114" t="n"/>
      <c r="K2454" s="139">
        <f>IFERROR(IF(H2454&gt;0,H2454*$C$7,""),"")</f>
        <v/>
      </c>
      <c r="L2454" s="139">
        <f>IFERROR(IF(ISNUMBER(F2454),F2454-IF(ISNUMBER(K2454),K2454,0),""),"")</f>
        <v/>
      </c>
    </row>
    <row r="2455" ht="24" customHeight="1" s="63">
      <c r="E2455" s="139" t="n"/>
      <c r="F2455" s="139" t="n"/>
      <c r="G2455" s="140">
        <f>IFERROR(IF(E2455&gt;0,(F2455/E2455)*1000,""),"")</f>
        <v/>
      </c>
      <c r="H2455" s="139">
        <f>IFERROR(IF(E2455&gt;0,E2455*IF(ISNUMBER(J2455),J2455,IF(C2455="Futures",$C$6,$C$5)),""),"")</f>
        <v/>
      </c>
      <c r="I2455" s="139">
        <f>IFERROR(IF(AND(ISNUMBER(F2455),ISNUMBER(H2455)),F2455-H2455,""),"")</f>
        <v/>
      </c>
      <c r="J2455" s="114" t="n"/>
      <c r="K2455" s="139">
        <f>IFERROR(IF(H2455&gt;0,H2455*$C$7,""),"")</f>
        <v/>
      </c>
      <c r="L2455" s="139">
        <f>IFERROR(IF(ISNUMBER(F2455),F2455-IF(ISNUMBER(K2455),K2455,0),""),"")</f>
        <v/>
      </c>
    </row>
    <row r="2456" ht="24" customHeight="1" s="63">
      <c r="E2456" s="139" t="n"/>
      <c r="F2456" s="139" t="n"/>
      <c r="G2456" s="140">
        <f>IFERROR(IF(E2456&gt;0,(F2456/E2456)*1000,""),"")</f>
        <v/>
      </c>
      <c r="H2456" s="139">
        <f>IFERROR(IF(E2456&gt;0,E2456*IF(ISNUMBER(J2456),J2456,IF(C2456="Futures",$C$6,$C$5)),""),"")</f>
        <v/>
      </c>
      <c r="I2456" s="139">
        <f>IFERROR(IF(AND(ISNUMBER(F2456),ISNUMBER(H2456)),F2456-H2456,""),"")</f>
        <v/>
      </c>
      <c r="J2456" s="114" t="n"/>
      <c r="K2456" s="139">
        <f>IFERROR(IF(H2456&gt;0,H2456*$C$7,""),"")</f>
        <v/>
      </c>
      <c r="L2456" s="139">
        <f>IFERROR(IF(ISNUMBER(F2456),F2456-IF(ISNUMBER(K2456),K2456,0),""),"")</f>
        <v/>
      </c>
    </row>
    <row r="2457" ht="24" customHeight="1" s="63">
      <c r="E2457" s="139" t="n"/>
      <c r="F2457" s="139" t="n"/>
      <c r="G2457" s="140">
        <f>IFERROR(IF(E2457&gt;0,(F2457/E2457)*1000,""),"")</f>
        <v/>
      </c>
      <c r="H2457" s="139">
        <f>IFERROR(IF(E2457&gt;0,E2457*IF(ISNUMBER(J2457),J2457,IF(C2457="Futures",$C$6,$C$5)),""),"")</f>
        <v/>
      </c>
      <c r="I2457" s="139">
        <f>IFERROR(IF(AND(ISNUMBER(F2457),ISNUMBER(H2457)),F2457-H2457,""),"")</f>
        <v/>
      </c>
      <c r="J2457" s="114" t="n"/>
      <c r="K2457" s="139">
        <f>IFERROR(IF(H2457&gt;0,H2457*$C$7,""),"")</f>
        <v/>
      </c>
      <c r="L2457" s="139">
        <f>IFERROR(IF(ISNUMBER(F2457),F2457-IF(ISNUMBER(K2457),K2457,0),""),"")</f>
        <v/>
      </c>
    </row>
    <row r="2458" ht="24" customHeight="1" s="63">
      <c r="E2458" s="139" t="n"/>
      <c r="F2458" s="139" t="n"/>
      <c r="G2458" s="140">
        <f>IFERROR(IF(E2458&gt;0,(F2458/E2458)*1000,""),"")</f>
        <v/>
      </c>
      <c r="H2458" s="139">
        <f>IFERROR(IF(E2458&gt;0,E2458*IF(ISNUMBER(J2458),J2458,IF(C2458="Futures",$C$6,$C$5)),""),"")</f>
        <v/>
      </c>
      <c r="I2458" s="139">
        <f>IFERROR(IF(AND(ISNUMBER(F2458),ISNUMBER(H2458)),F2458-H2458,""),"")</f>
        <v/>
      </c>
      <c r="J2458" s="114" t="n"/>
      <c r="K2458" s="139">
        <f>IFERROR(IF(H2458&gt;0,H2458*$C$7,""),"")</f>
        <v/>
      </c>
      <c r="L2458" s="139">
        <f>IFERROR(IF(ISNUMBER(F2458),F2458-IF(ISNUMBER(K2458),K2458,0),""),"")</f>
        <v/>
      </c>
    </row>
    <row r="2459" ht="24" customHeight="1" s="63">
      <c r="E2459" s="139" t="n"/>
      <c r="F2459" s="139" t="n"/>
      <c r="G2459" s="140">
        <f>IFERROR(IF(E2459&gt;0,(F2459/E2459)*1000,""),"")</f>
        <v/>
      </c>
      <c r="H2459" s="139">
        <f>IFERROR(IF(E2459&gt;0,E2459*IF(ISNUMBER(J2459),J2459,IF(C2459="Futures",$C$6,$C$5)),""),"")</f>
        <v/>
      </c>
      <c r="I2459" s="139">
        <f>IFERROR(IF(AND(ISNUMBER(F2459),ISNUMBER(H2459)),F2459-H2459,""),"")</f>
        <v/>
      </c>
      <c r="J2459" s="114" t="n"/>
      <c r="K2459" s="139">
        <f>IFERROR(IF(H2459&gt;0,H2459*$C$7,""),"")</f>
        <v/>
      </c>
      <c r="L2459" s="139">
        <f>IFERROR(IF(ISNUMBER(F2459),F2459-IF(ISNUMBER(K2459),K2459,0),""),"")</f>
        <v/>
      </c>
    </row>
    <row r="2460" ht="24" customHeight="1" s="63">
      <c r="E2460" s="139" t="n"/>
      <c r="F2460" s="139" t="n"/>
      <c r="G2460" s="140">
        <f>IFERROR(IF(E2460&gt;0,(F2460/E2460)*1000,""),"")</f>
        <v/>
      </c>
      <c r="H2460" s="139">
        <f>IFERROR(IF(E2460&gt;0,E2460*IF(ISNUMBER(J2460),J2460,IF(C2460="Futures",$C$6,$C$5)),""),"")</f>
        <v/>
      </c>
      <c r="I2460" s="139">
        <f>IFERROR(IF(AND(ISNUMBER(F2460),ISNUMBER(H2460)),F2460-H2460,""),"")</f>
        <v/>
      </c>
      <c r="J2460" s="114" t="n"/>
      <c r="K2460" s="139">
        <f>IFERROR(IF(H2460&gt;0,H2460*$C$7,""),"")</f>
        <v/>
      </c>
      <c r="L2460" s="139">
        <f>IFERROR(IF(ISNUMBER(F2460),F2460-IF(ISNUMBER(K2460),K2460,0),""),"")</f>
        <v/>
      </c>
    </row>
    <row r="2461" ht="24" customHeight="1" s="63">
      <c r="E2461" s="139" t="n"/>
      <c r="F2461" s="139" t="n"/>
      <c r="G2461" s="140">
        <f>IFERROR(IF(E2461&gt;0,(F2461/E2461)*1000,""),"")</f>
        <v/>
      </c>
      <c r="H2461" s="139">
        <f>IFERROR(IF(E2461&gt;0,E2461*IF(ISNUMBER(J2461),J2461,IF(C2461="Futures",$C$6,$C$5)),""),"")</f>
        <v/>
      </c>
      <c r="I2461" s="139">
        <f>IFERROR(IF(AND(ISNUMBER(F2461),ISNUMBER(H2461)),F2461-H2461,""),"")</f>
        <v/>
      </c>
      <c r="J2461" s="114" t="n"/>
      <c r="K2461" s="139">
        <f>IFERROR(IF(H2461&gt;0,H2461*$C$7,""),"")</f>
        <v/>
      </c>
      <c r="L2461" s="139">
        <f>IFERROR(IF(ISNUMBER(F2461),F2461-IF(ISNUMBER(K2461),K2461,0),""),"")</f>
        <v/>
      </c>
    </row>
    <row r="2462" ht="24" customHeight="1" s="63">
      <c r="E2462" s="139" t="n"/>
      <c r="F2462" s="139" t="n"/>
      <c r="G2462" s="140">
        <f>IFERROR(IF(E2462&gt;0,(F2462/E2462)*1000,""),"")</f>
        <v/>
      </c>
      <c r="H2462" s="139">
        <f>IFERROR(IF(E2462&gt;0,E2462*IF(ISNUMBER(J2462),J2462,IF(C2462="Futures",$C$6,$C$5)),""),"")</f>
        <v/>
      </c>
      <c r="I2462" s="139">
        <f>IFERROR(IF(AND(ISNUMBER(F2462),ISNUMBER(H2462)),F2462-H2462,""),"")</f>
        <v/>
      </c>
      <c r="J2462" s="114" t="n"/>
      <c r="K2462" s="139">
        <f>IFERROR(IF(H2462&gt;0,H2462*$C$7,""),"")</f>
        <v/>
      </c>
      <c r="L2462" s="139">
        <f>IFERROR(IF(ISNUMBER(F2462),F2462-IF(ISNUMBER(K2462),K2462,0),""),"")</f>
        <v/>
      </c>
    </row>
    <row r="2463" ht="24" customHeight="1" s="63">
      <c r="E2463" s="139" t="n"/>
      <c r="F2463" s="139" t="n"/>
      <c r="G2463" s="140">
        <f>IFERROR(IF(E2463&gt;0,(F2463/E2463)*1000,""),"")</f>
        <v/>
      </c>
      <c r="H2463" s="139">
        <f>IFERROR(IF(E2463&gt;0,E2463*IF(ISNUMBER(J2463),J2463,IF(C2463="Futures",$C$6,$C$5)),""),"")</f>
        <v/>
      </c>
      <c r="I2463" s="139">
        <f>IFERROR(IF(AND(ISNUMBER(F2463),ISNUMBER(H2463)),F2463-H2463,""),"")</f>
        <v/>
      </c>
      <c r="J2463" s="114" t="n"/>
      <c r="K2463" s="139">
        <f>IFERROR(IF(H2463&gt;0,H2463*$C$7,""),"")</f>
        <v/>
      </c>
      <c r="L2463" s="139">
        <f>IFERROR(IF(ISNUMBER(F2463),F2463-IF(ISNUMBER(K2463),K2463,0),""),"")</f>
        <v/>
      </c>
    </row>
    <row r="2464" ht="24" customHeight="1" s="63">
      <c r="E2464" s="139" t="n"/>
      <c r="F2464" s="139" t="n"/>
      <c r="G2464" s="140">
        <f>IFERROR(IF(E2464&gt;0,(F2464/E2464)*1000,""),"")</f>
        <v/>
      </c>
      <c r="H2464" s="139">
        <f>IFERROR(IF(E2464&gt;0,E2464*IF(ISNUMBER(J2464),J2464,IF(C2464="Futures",$C$6,$C$5)),""),"")</f>
        <v/>
      </c>
      <c r="I2464" s="139">
        <f>IFERROR(IF(AND(ISNUMBER(F2464),ISNUMBER(H2464)),F2464-H2464,""),"")</f>
        <v/>
      </c>
      <c r="J2464" s="114" t="n"/>
      <c r="K2464" s="139">
        <f>IFERROR(IF(H2464&gt;0,H2464*$C$7,""),"")</f>
        <v/>
      </c>
      <c r="L2464" s="139">
        <f>IFERROR(IF(ISNUMBER(F2464),F2464-IF(ISNUMBER(K2464),K2464,0),""),"")</f>
        <v/>
      </c>
    </row>
    <row r="2465" ht="24" customHeight="1" s="63">
      <c r="E2465" s="139" t="n"/>
      <c r="F2465" s="139" t="n"/>
      <c r="G2465" s="140">
        <f>IFERROR(IF(E2465&gt;0,(F2465/E2465)*1000,""),"")</f>
        <v/>
      </c>
      <c r="H2465" s="139">
        <f>IFERROR(IF(E2465&gt;0,E2465*IF(ISNUMBER(J2465),J2465,IF(C2465="Futures",$C$6,$C$5)),""),"")</f>
        <v/>
      </c>
      <c r="I2465" s="139">
        <f>IFERROR(IF(AND(ISNUMBER(F2465),ISNUMBER(H2465)),F2465-H2465,""),"")</f>
        <v/>
      </c>
      <c r="J2465" s="114" t="n"/>
      <c r="K2465" s="139">
        <f>IFERROR(IF(H2465&gt;0,H2465*$C$7,""),"")</f>
        <v/>
      </c>
      <c r="L2465" s="139">
        <f>IFERROR(IF(ISNUMBER(F2465),F2465-IF(ISNUMBER(K2465),K2465,0),""),"")</f>
        <v/>
      </c>
    </row>
    <row r="2466" ht="24" customHeight="1" s="63">
      <c r="E2466" s="139" t="n"/>
      <c r="F2466" s="139" t="n"/>
      <c r="G2466" s="140">
        <f>IFERROR(IF(E2466&gt;0,(F2466/E2466)*1000,""),"")</f>
        <v/>
      </c>
      <c r="H2466" s="139">
        <f>IFERROR(IF(E2466&gt;0,E2466*IF(ISNUMBER(J2466),J2466,IF(C2466="Futures",$C$6,$C$5)),""),"")</f>
        <v/>
      </c>
      <c r="I2466" s="139">
        <f>IFERROR(IF(AND(ISNUMBER(F2466),ISNUMBER(H2466)),F2466-H2466,""),"")</f>
        <v/>
      </c>
      <c r="J2466" s="114" t="n"/>
      <c r="K2466" s="139">
        <f>IFERROR(IF(H2466&gt;0,H2466*$C$7,""),"")</f>
        <v/>
      </c>
      <c r="L2466" s="139">
        <f>IFERROR(IF(ISNUMBER(F2466),F2466-IF(ISNUMBER(K2466),K2466,0),""),"")</f>
        <v/>
      </c>
    </row>
    <row r="2467" ht="24" customHeight="1" s="63">
      <c r="E2467" s="139" t="n"/>
      <c r="F2467" s="139" t="n"/>
      <c r="G2467" s="140">
        <f>IFERROR(IF(E2467&gt;0,(F2467/E2467)*1000,""),"")</f>
        <v/>
      </c>
      <c r="H2467" s="139">
        <f>IFERROR(IF(E2467&gt;0,E2467*IF(ISNUMBER(J2467),J2467,IF(C2467="Futures",$C$6,$C$5)),""),"")</f>
        <v/>
      </c>
      <c r="I2467" s="139">
        <f>IFERROR(IF(AND(ISNUMBER(F2467),ISNUMBER(H2467)),F2467-H2467,""),"")</f>
        <v/>
      </c>
      <c r="J2467" s="114" t="n"/>
      <c r="K2467" s="139">
        <f>IFERROR(IF(H2467&gt;0,H2467*$C$7,""),"")</f>
        <v/>
      </c>
      <c r="L2467" s="139">
        <f>IFERROR(IF(ISNUMBER(F2467),F2467-IF(ISNUMBER(K2467),K2467,0),""),"")</f>
        <v/>
      </c>
    </row>
    <row r="2468" ht="24" customHeight="1" s="63">
      <c r="E2468" s="139" t="n"/>
      <c r="F2468" s="139" t="n"/>
      <c r="G2468" s="140">
        <f>IFERROR(IF(E2468&gt;0,(F2468/E2468)*1000,""),"")</f>
        <v/>
      </c>
      <c r="H2468" s="139">
        <f>IFERROR(IF(E2468&gt;0,E2468*IF(ISNUMBER(J2468),J2468,IF(C2468="Futures",$C$6,$C$5)),""),"")</f>
        <v/>
      </c>
      <c r="I2468" s="139">
        <f>IFERROR(IF(AND(ISNUMBER(F2468),ISNUMBER(H2468)),F2468-H2468,""),"")</f>
        <v/>
      </c>
      <c r="J2468" s="114" t="n"/>
      <c r="K2468" s="139">
        <f>IFERROR(IF(H2468&gt;0,H2468*$C$7,""),"")</f>
        <v/>
      </c>
      <c r="L2468" s="139">
        <f>IFERROR(IF(ISNUMBER(F2468),F2468-IF(ISNUMBER(K2468),K2468,0),""),"")</f>
        <v/>
      </c>
    </row>
    <row r="2469" ht="24" customHeight="1" s="63">
      <c r="E2469" s="139" t="n"/>
      <c r="F2469" s="139" t="n"/>
      <c r="G2469" s="140">
        <f>IFERROR(IF(E2469&gt;0,(F2469/E2469)*1000,""),"")</f>
        <v/>
      </c>
      <c r="H2469" s="139">
        <f>IFERROR(IF(E2469&gt;0,E2469*IF(ISNUMBER(J2469),J2469,IF(C2469="Futures",$C$6,$C$5)),""),"")</f>
        <v/>
      </c>
      <c r="I2469" s="139">
        <f>IFERROR(IF(AND(ISNUMBER(F2469),ISNUMBER(H2469)),F2469-H2469,""),"")</f>
        <v/>
      </c>
      <c r="J2469" s="114" t="n"/>
      <c r="K2469" s="139">
        <f>IFERROR(IF(H2469&gt;0,H2469*$C$7,""),"")</f>
        <v/>
      </c>
      <c r="L2469" s="139">
        <f>IFERROR(IF(ISNUMBER(F2469),F2469-IF(ISNUMBER(K2469),K2469,0),""),"")</f>
        <v/>
      </c>
    </row>
    <row r="2470" ht="24" customHeight="1" s="63">
      <c r="E2470" s="139" t="n"/>
      <c r="F2470" s="139" t="n"/>
      <c r="G2470" s="140">
        <f>IFERROR(IF(E2470&gt;0,(F2470/E2470)*1000,""),"")</f>
        <v/>
      </c>
      <c r="H2470" s="139">
        <f>IFERROR(IF(E2470&gt;0,E2470*IF(ISNUMBER(J2470),J2470,IF(C2470="Futures",$C$6,$C$5)),""),"")</f>
        <v/>
      </c>
      <c r="I2470" s="139">
        <f>IFERROR(IF(AND(ISNUMBER(F2470),ISNUMBER(H2470)),F2470-H2470,""),"")</f>
        <v/>
      </c>
      <c r="J2470" s="114" t="n"/>
      <c r="K2470" s="139">
        <f>IFERROR(IF(H2470&gt;0,H2470*$C$7,""),"")</f>
        <v/>
      </c>
      <c r="L2470" s="139">
        <f>IFERROR(IF(ISNUMBER(F2470),F2470-IF(ISNUMBER(K2470),K2470,0),""),"")</f>
        <v/>
      </c>
    </row>
    <row r="2471" ht="24" customHeight="1" s="63">
      <c r="E2471" s="139" t="n"/>
      <c r="F2471" s="139" t="n"/>
      <c r="G2471" s="140">
        <f>IFERROR(IF(E2471&gt;0,(F2471/E2471)*1000,""),"")</f>
        <v/>
      </c>
      <c r="H2471" s="139">
        <f>IFERROR(IF(E2471&gt;0,E2471*IF(ISNUMBER(J2471),J2471,IF(C2471="Futures",$C$6,$C$5)),""),"")</f>
        <v/>
      </c>
      <c r="I2471" s="139">
        <f>IFERROR(IF(AND(ISNUMBER(F2471),ISNUMBER(H2471)),F2471-H2471,""),"")</f>
        <v/>
      </c>
      <c r="J2471" s="114" t="n"/>
      <c r="K2471" s="139">
        <f>IFERROR(IF(H2471&gt;0,H2471*$C$7,""),"")</f>
        <v/>
      </c>
      <c r="L2471" s="139">
        <f>IFERROR(IF(ISNUMBER(F2471),F2471-IF(ISNUMBER(K2471),K2471,0),""),"")</f>
        <v/>
      </c>
    </row>
    <row r="2472" ht="24" customHeight="1" s="63">
      <c r="E2472" s="139" t="n"/>
      <c r="F2472" s="139" t="n"/>
      <c r="G2472" s="140">
        <f>IFERROR(IF(E2472&gt;0,(F2472/E2472)*1000,""),"")</f>
        <v/>
      </c>
      <c r="H2472" s="139">
        <f>IFERROR(IF(E2472&gt;0,E2472*IF(ISNUMBER(J2472),J2472,IF(C2472="Futures",$C$6,$C$5)),""),"")</f>
        <v/>
      </c>
      <c r="I2472" s="139">
        <f>IFERROR(IF(AND(ISNUMBER(F2472),ISNUMBER(H2472)),F2472-H2472,""),"")</f>
        <v/>
      </c>
      <c r="J2472" s="114" t="n"/>
      <c r="K2472" s="139">
        <f>IFERROR(IF(H2472&gt;0,H2472*$C$7,""),"")</f>
        <v/>
      </c>
      <c r="L2472" s="139">
        <f>IFERROR(IF(ISNUMBER(F2472),F2472-IF(ISNUMBER(K2472),K2472,0),""),"")</f>
        <v/>
      </c>
    </row>
    <row r="2473" ht="24" customHeight="1" s="63">
      <c r="E2473" s="139" t="n"/>
      <c r="F2473" s="139" t="n"/>
      <c r="G2473" s="140">
        <f>IFERROR(IF(E2473&gt;0,(F2473/E2473)*1000,""),"")</f>
        <v/>
      </c>
      <c r="H2473" s="139">
        <f>IFERROR(IF(E2473&gt;0,E2473*IF(ISNUMBER(J2473),J2473,IF(C2473="Futures",$C$6,$C$5)),""),"")</f>
        <v/>
      </c>
      <c r="I2473" s="139">
        <f>IFERROR(IF(AND(ISNUMBER(F2473),ISNUMBER(H2473)),F2473-H2473,""),"")</f>
        <v/>
      </c>
      <c r="J2473" s="114" t="n"/>
      <c r="K2473" s="139">
        <f>IFERROR(IF(H2473&gt;0,H2473*$C$7,""),"")</f>
        <v/>
      </c>
      <c r="L2473" s="139">
        <f>IFERROR(IF(ISNUMBER(F2473),F2473-IF(ISNUMBER(K2473),K2473,0),""),"")</f>
        <v/>
      </c>
    </row>
    <row r="2474" ht="24" customHeight="1" s="63">
      <c r="E2474" s="139" t="n"/>
      <c r="F2474" s="139" t="n"/>
      <c r="G2474" s="140">
        <f>IFERROR(IF(E2474&gt;0,(F2474/E2474)*1000,""),"")</f>
        <v/>
      </c>
      <c r="H2474" s="139">
        <f>IFERROR(IF(E2474&gt;0,E2474*IF(ISNUMBER(J2474),J2474,IF(C2474="Futures",$C$6,$C$5)),""),"")</f>
        <v/>
      </c>
      <c r="I2474" s="139">
        <f>IFERROR(IF(AND(ISNUMBER(F2474),ISNUMBER(H2474)),F2474-H2474,""),"")</f>
        <v/>
      </c>
      <c r="J2474" s="114" t="n"/>
      <c r="K2474" s="139">
        <f>IFERROR(IF(H2474&gt;0,H2474*$C$7,""),"")</f>
        <v/>
      </c>
      <c r="L2474" s="139">
        <f>IFERROR(IF(ISNUMBER(F2474),F2474-IF(ISNUMBER(K2474),K2474,0),""),"")</f>
        <v/>
      </c>
    </row>
    <row r="2475" ht="24" customHeight="1" s="63">
      <c r="E2475" s="139" t="n"/>
      <c r="F2475" s="139" t="n"/>
      <c r="G2475" s="140">
        <f>IFERROR(IF(E2475&gt;0,(F2475/E2475)*1000,""),"")</f>
        <v/>
      </c>
      <c r="H2475" s="139">
        <f>IFERROR(IF(E2475&gt;0,E2475*IF(ISNUMBER(J2475),J2475,IF(C2475="Futures",$C$6,$C$5)),""),"")</f>
        <v/>
      </c>
      <c r="I2475" s="139">
        <f>IFERROR(IF(AND(ISNUMBER(F2475),ISNUMBER(H2475)),F2475-H2475,""),"")</f>
        <v/>
      </c>
      <c r="J2475" s="114" t="n"/>
      <c r="K2475" s="139">
        <f>IFERROR(IF(H2475&gt;0,H2475*$C$7,""),"")</f>
        <v/>
      </c>
      <c r="L2475" s="139">
        <f>IFERROR(IF(ISNUMBER(F2475),F2475-IF(ISNUMBER(K2475),K2475,0),""),"")</f>
        <v/>
      </c>
    </row>
    <row r="2476" ht="24" customHeight="1" s="63">
      <c r="E2476" s="139" t="n"/>
      <c r="F2476" s="139" t="n"/>
      <c r="G2476" s="140">
        <f>IFERROR(IF(E2476&gt;0,(F2476/E2476)*1000,""),"")</f>
        <v/>
      </c>
      <c r="H2476" s="139">
        <f>IFERROR(IF(E2476&gt;0,E2476*IF(ISNUMBER(J2476),J2476,IF(C2476="Futures",$C$6,$C$5)),""),"")</f>
        <v/>
      </c>
      <c r="I2476" s="139">
        <f>IFERROR(IF(AND(ISNUMBER(F2476),ISNUMBER(H2476)),F2476-H2476,""),"")</f>
        <v/>
      </c>
      <c r="J2476" s="114" t="n"/>
      <c r="K2476" s="139">
        <f>IFERROR(IF(H2476&gt;0,H2476*$C$7,""),"")</f>
        <v/>
      </c>
      <c r="L2476" s="139">
        <f>IFERROR(IF(ISNUMBER(F2476),F2476-IF(ISNUMBER(K2476),K2476,0),""),"")</f>
        <v/>
      </c>
    </row>
    <row r="2477" ht="24" customHeight="1" s="63">
      <c r="E2477" s="139" t="n"/>
      <c r="F2477" s="139" t="n"/>
      <c r="G2477" s="140">
        <f>IFERROR(IF(E2477&gt;0,(F2477/E2477)*1000,""),"")</f>
        <v/>
      </c>
      <c r="H2477" s="139">
        <f>IFERROR(IF(E2477&gt;0,E2477*IF(ISNUMBER(J2477),J2477,IF(C2477="Futures",$C$6,$C$5)),""),"")</f>
        <v/>
      </c>
      <c r="I2477" s="139">
        <f>IFERROR(IF(AND(ISNUMBER(F2477),ISNUMBER(H2477)),F2477-H2477,""),"")</f>
        <v/>
      </c>
      <c r="J2477" s="114" t="n"/>
      <c r="K2477" s="139">
        <f>IFERROR(IF(H2477&gt;0,H2477*$C$7,""),"")</f>
        <v/>
      </c>
      <c r="L2477" s="139">
        <f>IFERROR(IF(ISNUMBER(F2477),F2477-IF(ISNUMBER(K2477),K2477,0),""),"")</f>
        <v/>
      </c>
    </row>
    <row r="2478" ht="24" customHeight="1" s="63">
      <c r="E2478" s="139" t="n"/>
      <c r="F2478" s="139" t="n"/>
      <c r="G2478" s="140">
        <f>IFERROR(IF(E2478&gt;0,(F2478/E2478)*1000,""),"")</f>
        <v/>
      </c>
      <c r="H2478" s="139">
        <f>IFERROR(IF(E2478&gt;0,E2478*IF(ISNUMBER(J2478),J2478,IF(C2478="Futures",$C$6,$C$5)),""),"")</f>
        <v/>
      </c>
      <c r="I2478" s="139">
        <f>IFERROR(IF(AND(ISNUMBER(F2478),ISNUMBER(H2478)),F2478-H2478,""),"")</f>
        <v/>
      </c>
      <c r="J2478" s="114" t="n"/>
      <c r="K2478" s="139">
        <f>IFERROR(IF(H2478&gt;0,H2478*$C$7,""),"")</f>
        <v/>
      </c>
      <c r="L2478" s="139">
        <f>IFERROR(IF(ISNUMBER(F2478),F2478-IF(ISNUMBER(K2478),K2478,0),""),"")</f>
        <v/>
      </c>
    </row>
    <row r="2479" ht="24" customHeight="1" s="63">
      <c r="E2479" s="139" t="n"/>
      <c r="F2479" s="139" t="n"/>
      <c r="G2479" s="140">
        <f>IFERROR(IF(E2479&gt;0,(F2479/E2479)*1000,""),"")</f>
        <v/>
      </c>
      <c r="H2479" s="139">
        <f>IFERROR(IF(E2479&gt;0,E2479*IF(ISNUMBER(J2479),J2479,IF(C2479="Futures",$C$6,$C$5)),""),"")</f>
        <v/>
      </c>
      <c r="I2479" s="139">
        <f>IFERROR(IF(AND(ISNUMBER(F2479),ISNUMBER(H2479)),F2479-H2479,""),"")</f>
        <v/>
      </c>
      <c r="J2479" s="114" t="n"/>
      <c r="K2479" s="139">
        <f>IFERROR(IF(H2479&gt;0,H2479*$C$7,""),"")</f>
        <v/>
      </c>
      <c r="L2479" s="139">
        <f>IFERROR(IF(ISNUMBER(F2479),F2479-IF(ISNUMBER(K2479),K2479,0),""),"")</f>
        <v/>
      </c>
    </row>
    <row r="2480" ht="24" customHeight="1" s="63">
      <c r="E2480" s="139" t="n"/>
      <c r="F2480" s="139" t="n"/>
      <c r="G2480" s="140">
        <f>IFERROR(IF(E2480&gt;0,(F2480/E2480)*1000,""),"")</f>
        <v/>
      </c>
      <c r="H2480" s="139">
        <f>IFERROR(IF(E2480&gt;0,E2480*IF(ISNUMBER(J2480),J2480,IF(C2480="Futures",$C$6,$C$5)),""),"")</f>
        <v/>
      </c>
      <c r="I2480" s="139">
        <f>IFERROR(IF(AND(ISNUMBER(F2480),ISNUMBER(H2480)),F2480-H2480,""),"")</f>
        <v/>
      </c>
      <c r="J2480" s="114" t="n"/>
      <c r="K2480" s="139">
        <f>IFERROR(IF(H2480&gt;0,H2480*$C$7,""),"")</f>
        <v/>
      </c>
      <c r="L2480" s="139">
        <f>IFERROR(IF(ISNUMBER(F2480),F2480-IF(ISNUMBER(K2480),K2480,0),""),"")</f>
        <v/>
      </c>
    </row>
    <row r="2481" ht="24" customHeight="1" s="63">
      <c r="E2481" s="139" t="n"/>
      <c r="F2481" s="139" t="n"/>
      <c r="G2481" s="140">
        <f>IFERROR(IF(E2481&gt;0,(F2481/E2481)*1000,""),"")</f>
        <v/>
      </c>
      <c r="H2481" s="139">
        <f>IFERROR(IF(E2481&gt;0,E2481*IF(ISNUMBER(J2481),J2481,IF(C2481="Futures",$C$6,$C$5)),""),"")</f>
        <v/>
      </c>
      <c r="I2481" s="139">
        <f>IFERROR(IF(AND(ISNUMBER(F2481),ISNUMBER(H2481)),F2481-H2481,""),"")</f>
        <v/>
      </c>
      <c r="J2481" s="114" t="n"/>
      <c r="K2481" s="139">
        <f>IFERROR(IF(H2481&gt;0,H2481*$C$7,""),"")</f>
        <v/>
      </c>
      <c r="L2481" s="139">
        <f>IFERROR(IF(ISNUMBER(F2481),F2481-IF(ISNUMBER(K2481),K2481,0),""),"")</f>
        <v/>
      </c>
    </row>
    <row r="2482" ht="24" customHeight="1" s="63">
      <c r="E2482" s="139" t="n"/>
      <c r="F2482" s="139" t="n"/>
      <c r="G2482" s="140">
        <f>IFERROR(IF(E2482&gt;0,(F2482/E2482)*1000,""),"")</f>
        <v/>
      </c>
      <c r="H2482" s="139">
        <f>IFERROR(IF(E2482&gt;0,E2482*IF(ISNUMBER(J2482),J2482,IF(C2482="Futures",$C$6,$C$5)),""),"")</f>
        <v/>
      </c>
      <c r="I2482" s="139">
        <f>IFERROR(IF(AND(ISNUMBER(F2482),ISNUMBER(H2482)),F2482-H2482,""),"")</f>
        <v/>
      </c>
      <c r="J2482" s="114" t="n"/>
      <c r="K2482" s="139">
        <f>IFERROR(IF(H2482&gt;0,H2482*$C$7,""),"")</f>
        <v/>
      </c>
      <c r="L2482" s="139">
        <f>IFERROR(IF(ISNUMBER(F2482),F2482-IF(ISNUMBER(K2482),K2482,0),""),"")</f>
        <v/>
      </c>
    </row>
    <row r="2483" ht="24" customHeight="1" s="63">
      <c r="E2483" s="139" t="n"/>
      <c r="F2483" s="139" t="n"/>
      <c r="G2483" s="140">
        <f>IFERROR(IF(E2483&gt;0,(F2483/E2483)*1000,""),"")</f>
        <v/>
      </c>
      <c r="H2483" s="139">
        <f>IFERROR(IF(E2483&gt;0,E2483*IF(ISNUMBER(J2483),J2483,IF(C2483="Futures",$C$6,$C$5)),""),"")</f>
        <v/>
      </c>
      <c r="I2483" s="139">
        <f>IFERROR(IF(AND(ISNUMBER(F2483),ISNUMBER(H2483)),F2483-H2483,""),"")</f>
        <v/>
      </c>
      <c r="J2483" s="114" t="n"/>
      <c r="K2483" s="139">
        <f>IFERROR(IF(H2483&gt;0,H2483*$C$7,""),"")</f>
        <v/>
      </c>
      <c r="L2483" s="139">
        <f>IFERROR(IF(ISNUMBER(F2483),F2483-IF(ISNUMBER(K2483),K2483,0),""),"")</f>
        <v/>
      </c>
    </row>
    <row r="2484" ht="24" customHeight="1" s="63">
      <c r="E2484" s="139" t="n"/>
      <c r="F2484" s="139" t="n"/>
      <c r="G2484" s="140">
        <f>IFERROR(IF(E2484&gt;0,(F2484/E2484)*1000,""),"")</f>
        <v/>
      </c>
      <c r="H2484" s="139">
        <f>IFERROR(IF(E2484&gt;0,E2484*IF(ISNUMBER(J2484),J2484,IF(C2484="Futures",$C$6,$C$5)),""),"")</f>
        <v/>
      </c>
      <c r="I2484" s="139">
        <f>IFERROR(IF(AND(ISNUMBER(F2484),ISNUMBER(H2484)),F2484-H2484,""),"")</f>
        <v/>
      </c>
      <c r="J2484" s="114" t="n"/>
      <c r="K2484" s="139">
        <f>IFERROR(IF(H2484&gt;0,H2484*$C$7,""),"")</f>
        <v/>
      </c>
      <c r="L2484" s="139">
        <f>IFERROR(IF(ISNUMBER(F2484),F2484-IF(ISNUMBER(K2484),K2484,0),""),"")</f>
        <v/>
      </c>
    </row>
    <row r="2485" ht="24" customHeight="1" s="63">
      <c r="E2485" s="139" t="n"/>
      <c r="F2485" s="139" t="n"/>
      <c r="G2485" s="140">
        <f>IFERROR(IF(E2485&gt;0,(F2485/E2485)*1000,""),"")</f>
        <v/>
      </c>
      <c r="H2485" s="139">
        <f>IFERROR(IF(E2485&gt;0,E2485*IF(ISNUMBER(J2485),J2485,IF(C2485="Futures",$C$6,$C$5)),""),"")</f>
        <v/>
      </c>
      <c r="I2485" s="139">
        <f>IFERROR(IF(AND(ISNUMBER(F2485),ISNUMBER(H2485)),F2485-H2485,""),"")</f>
        <v/>
      </c>
      <c r="J2485" s="114" t="n"/>
      <c r="K2485" s="139">
        <f>IFERROR(IF(H2485&gt;0,H2485*$C$7,""),"")</f>
        <v/>
      </c>
      <c r="L2485" s="139">
        <f>IFERROR(IF(ISNUMBER(F2485),F2485-IF(ISNUMBER(K2485),K2485,0),""),"")</f>
        <v/>
      </c>
    </row>
    <row r="2486" ht="24" customHeight="1" s="63">
      <c r="E2486" s="139" t="n"/>
      <c r="F2486" s="139" t="n"/>
      <c r="G2486" s="140">
        <f>IFERROR(IF(E2486&gt;0,(F2486/E2486)*1000,""),"")</f>
        <v/>
      </c>
      <c r="H2486" s="139">
        <f>IFERROR(IF(E2486&gt;0,E2486*IF(ISNUMBER(J2486),J2486,IF(C2486="Futures",$C$6,$C$5)),""),"")</f>
        <v/>
      </c>
      <c r="I2486" s="139">
        <f>IFERROR(IF(AND(ISNUMBER(F2486),ISNUMBER(H2486)),F2486-H2486,""),"")</f>
        <v/>
      </c>
      <c r="J2486" s="114" t="n"/>
      <c r="K2486" s="139">
        <f>IFERROR(IF(H2486&gt;0,H2486*$C$7,""),"")</f>
        <v/>
      </c>
      <c r="L2486" s="139">
        <f>IFERROR(IF(ISNUMBER(F2486),F2486-IF(ISNUMBER(K2486),K2486,0),""),"")</f>
        <v/>
      </c>
    </row>
    <row r="2487" ht="24" customHeight="1" s="63">
      <c r="E2487" s="139" t="n"/>
      <c r="F2487" s="139" t="n"/>
      <c r="G2487" s="140">
        <f>IFERROR(IF(E2487&gt;0,(F2487/E2487)*1000,""),"")</f>
        <v/>
      </c>
      <c r="H2487" s="139">
        <f>IFERROR(IF(E2487&gt;0,E2487*IF(ISNUMBER(J2487),J2487,IF(C2487="Futures",$C$6,$C$5)),""),"")</f>
        <v/>
      </c>
      <c r="I2487" s="139">
        <f>IFERROR(IF(AND(ISNUMBER(F2487),ISNUMBER(H2487)),F2487-H2487,""),"")</f>
        <v/>
      </c>
      <c r="J2487" s="114" t="n"/>
      <c r="K2487" s="139">
        <f>IFERROR(IF(H2487&gt;0,H2487*$C$7,""),"")</f>
        <v/>
      </c>
      <c r="L2487" s="139">
        <f>IFERROR(IF(ISNUMBER(F2487),F2487-IF(ISNUMBER(K2487),K2487,0),""),"")</f>
        <v/>
      </c>
    </row>
    <row r="2488" ht="24" customHeight="1" s="63">
      <c r="E2488" s="139" t="n"/>
      <c r="F2488" s="139" t="n"/>
      <c r="G2488" s="140">
        <f>IFERROR(IF(E2488&gt;0,(F2488/E2488)*1000,""),"")</f>
        <v/>
      </c>
      <c r="H2488" s="139">
        <f>IFERROR(IF(E2488&gt;0,E2488*IF(ISNUMBER(J2488),J2488,IF(C2488="Futures",$C$6,$C$5)),""),"")</f>
        <v/>
      </c>
      <c r="I2488" s="139">
        <f>IFERROR(IF(AND(ISNUMBER(F2488),ISNUMBER(H2488)),F2488-H2488,""),"")</f>
        <v/>
      </c>
      <c r="J2488" s="114" t="n"/>
      <c r="K2488" s="139">
        <f>IFERROR(IF(H2488&gt;0,H2488*$C$7,""),"")</f>
        <v/>
      </c>
      <c r="L2488" s="139">
        <f>IFERROR(IF(ISNUMBER(F2488),F2488-IF(ISNUMBER(K2488),K2488,0),""),"")</f>
        <v/>
      </c>
    </row>
    <row r="2489" ht="24" customHeight="1" s="63">
      <c r="E2489" s="139" t="n"/>
      <c r="F2489" s="139" t="n"/>
      <c r="G2489" s="140">
        <f>IFERROR(IF(E2489&gt;0,(F2489/E2489)*1000,""),"")</f>
        <v/>
      </c>
      <c r="H2489" s="139">
        <f>IFERROR(IF(E2489&gt;0,E2489*IF(ISNUMBER(J2489),J2489,IF(C2489="Futures",$C$6,$C$5)),""),"")</f>
        <v/>
      </c>
      <c r="I2489" s="139">
        <f>IFERROR(IF(AND(ISNUMBER(F2489),ISNUMBER(H2489)),F2489-H2489,""),"")</f>
        <v/>
      </c>
      <c r="J2489" s="114" t="n"/>
      <c r="K2489" s="139">
        <f>IFERROR(IF(H2489&gt;0,H2489*$C$7,""),"")</f>
        <v/>
      </c>
      <c r="L2489" s="139">
        <f>IFERROR(IF(ISNUMBER(F2489),F2489-IF(ISNUMBER(K2489),K2489,0),""),"")</f>
        <v/>
      </c>
    </row>
    <row r="2490" ht="24" customHeight="1" s="63">
      <c r="E2490" s="139" t="n"/>
      <c r="F2490" s="139" t="n"/>
      <c r="G2490" s="140">
        <f>IFERROR(IF(E2490&gt;0,(F2490/E2490)*1000,""),"")</f>
        <v/>
      </c>
      <c r="H2490" s="139">
        <f>IFERROR(IF(E2490&gt;0,E2490*IF(ISNUMBER(J2490),J2490,IF(C2490="Futures",$C$6,$C$5)),""),"")</f>
        <v/>
      </c>
      <c r="I2490" s="139">
        <f>IFERROR(IF(AND(ISNUMBER(F2490),ISNUMBER(H2490)),F2490-H2490,""),"")</f>
        <v/>
      </c>
      <c r="J2490" s="114" t="n"/>
      <c r="K2490" s="139">
        <f>IFERROR(IF(H2490&gt;0,H2490*$C$7,""),"")</f>
        <v/>
      </c>
      <c r="L2490" s="139">
        <f>IFERROR(IF(ISNUMBER(F2490),F2490-IF(ISNUMBER(K2490),K2490,0),""),"")</f>
        <v/>
      </c>
    </row>
    <row r="2491" ht="24" customHeight="1" s="63">
      <c r="E2491" s="139" t="n"/>
      <c r="F2491" s="139" t="n"/>
      <c r="G2491" s="140">
        <f>IFERROR(IF(E2491&gt;0,(F2491/E2491)*1000,""),"")</f>
        <v/>
      </c>
      <c r="H2491" s="139">
        <f>IFERROR(IF(E2491&gt;0,E2491*IF(ISNUMBER(J2491),J2491,IF(C2491="Futures",$C$6,$C$5)),""),"")</f>
        <v/>
      </c>
      <c r="I2491" s="139">
        <f>IFERROR(IF(AND(ISNUMBER(F2491),ISNUMBER(H2491)),F2491-H2491,""),"")</f>
        <v/>
      </c>
      <c r="J2491" s="114" t="n"/>
      <c r="K2491" s="139">
        <f>IFERROR(IF(H2491&gt;0,H2491*$C$7,""),"")</f>
        <v/>
      </c>
      <c r="L2491" s="139">
        <f>IFERROR(IF(ISNUMBER(F2491),F2491-IF(ISNUMBER(K2491),K2491,0),""),"")</f>
        <v/>
      </c>
    </row>
    <row r="2492" ht="24" customHeight="1" s="63">
      <c r="E2492" s="139" t="n"/>
      <c r="F2492" s="139" t="n"/>
      <c r="G2492" s="140">
        <f>IFERROR(IF(E2492&gt;0,(F2492/E2492)*1000,""),"")</f>
        <v/>
      </c>
      <c r="H2492" s="139">
        <f>IFERROR(IF(E2492&gt;0,E2492*IF(ISNUMBER(J2492),J2492,IF(C2492="Futures",$C$6,$C$5)),""),"")</f>
        <v/>
      </c>
      <c r="I2492" s="139">
        <f>IFERROR(IF(AND(ISNUMBER(F2492),ISNUMBER(H2492)),F2492-H2492,""),"")</f>
        <v/>
      </c>
      <c r="J2492" s="114" t="n"/>
      <c r="K2492" s="139">
        <f>IFERROR(IF(H2492&gt;0,H2492*$C$7,""),"")</f>
        <v/>
      </c>
      <c r="L2492" s="139">
        <f>IFERROR(IF(ISNUMBER(F2492),F2492-IF(ISNUMBER(K2492),K2492,0),""),"")</f>
        <v/>
      </c>
    </row>
    <row r="2493" ht="24" customHeight="1" s="63">
      <c r="E2493" s="139" t="n"/>
      <c r="F2493" s="139" t="n"/>
      <c r="G2493" s="140">
        <f>IFERROR(IF(E2493&gt;0,(F2493/E2493)*1000,""),"")</f>
        <v/>
      </c>
      <c r="H2493" s="139">
        <f>IFERROR(IF(E2493&gt;0,E2493*IF(ISNUMBER(J2493),J2493,IF(C2493="Futures",$C$6,$C$5)),""),"")</f>
        <v/>
      </c>
      <c r="I2493" s="139">
        <f>IFERROR(IF(AND(ISNUMBER(F2493),ISNUMBER(H2493)),F2493-H2493,""),"")</f>
        <v/>
      </c>
      <c r="J2493" s="114" t="n"/>
      <c r="K2493" s="139">
        <f>IFERROR(IF(H2493&gt;0,H2493*$C$7,""),"")</f>
        <v/>
      </c>
      <c r="L2493" s="139">
        <f>IFERROR(IF(ISNUMBER(F2493),F2493-IF(ISNUMBER(K2493),K2493,0),""),"")</f>
        <v/>
      </c>
    </row>
    <row r="2494" ht="24" customHeight="1" s="63">
      <c r="E2494" s="139" t="n"/>
      <c r="F2494" s="139" t="n"/>
      <c r="G2494" s="140">
        <f>IFERROR(IF(E2494&gt;0,(F2494/E2494)*1000,""),"")</f>
        <v/>
      </c>
      <c r="H2494" s="139">
        <f>IFERROR(IF(E2494&gt;0,E2494*IF(ISNUMBER(J2494),J2494,IF(C2494="Futures",$C$6,$C$5)),""),"")</f>
        <v/>
      </c>
      <c r="I2494" s="139">
        <f>IFERROR(IF(AND(ISNUMBER(F2494),ISNUMBER(H2494)),F2494-H2494,""),"")</f>
        <v/>
      </c>
      <c r="J2494" s="114" t="n"/>
      <c r="K2494" s="139">
        <f>IFERROR(IF(H2494&gt;0,H2494*$C$7,""),"")</f>
        <v/>
      </c>
      <c r="L2494" s="139">
        <f>IFERROR(IF(ISNUMBER(F2494),F2494-IF(ISNUMBER(K2494),K2494,0),""),"")</f>
        <v/>
      </c>
    </row>
    <row r="2495" ht="24" customHeight="1" s="63">
      <c r="E2495" s="139" t="n"/>
      <c r="F2495" s="139" t="n"/>
      <c r="G2495" s="140">
        <f>IFERROR(IF(E2495&gt;0,(F2495/E2495)*1000,""),"")</f>
        <v/>
      </c>
      <c r="H2495" s="139">
        <f>IFERROR(IF(E2495&gt;0,E2495*IF(ISNUMBER(J2495),J2495,IF(C2495="Futures",$C$6,$C$5)),""),"")</f>
        <v/>
      </c>
      <c r="I2495" s="139">
        <f>IFERROR(IF(AND(ISNUMBER(F2495),ISNUMBER(H2495)),F2495-H2495,""),"")</f>
        <v/>
      </c>
      <c r="J2495" s="114" t="n"/>
      <c r="K2495" s="139">
        <f>IFERROR(IF(H2495&gt;0,H2495*$C$7,""),"")</f>
        <v/>
      </c>
      <c r="L2495" s="139">
        <f>IFERROR(IF(ISNUMBER(F2495),F2495-IF(ISNUMBER(K2495),K2495,0),""),"")</f>
        <v/>
      </c>
    </row>
    <row r="2496" ht="24" customHeight="1" s="63">
      <c r="E2496" s="139" t="n"/>
      <c r="F2496" s="139" t="n"/>
      <c r="G2496" s="140">
        <f>IFERROR(IF(E2496&gt;0,(F2496/E2496)*1000,""),"")</f>
        <v/>
      </c>
      <c r="H2496" s="139">
        <f>IFERROR(IF(E2496&gt;0,E2496*IF(ISNUMBER(J2496),J2496,IF(C2496="Futures",$C$6,$C$5)),""),"")</f>
        <v/>
      </c>
      <c r="I2496" s="139">
        <f>IFERROR(IF(AND(ISNUMBER(F2496),ISNUMBER(H2496)),F2496-H2496,""),"")</f>
        <v/>
      </c>
      <c r="J2496" s="114" t="n"/>
      <c r="K2496" s="139">
        <f>IFERROR(IF(H2496&gt;0,H2496*$C$7,""),"")</f>
        <v/>
      </c>
      <c r="L2496" s="139">
        <f>IFERROR(IF(ISNUMBER(F2496),F2496-IF(ISNUMBER(K2496),K2496,0),""),"")</f>
        <v/>
      </c>
    </row>
    <row r="2497" ht="24" customHeight="1" s="63">
      <c r="E2497" s="139" t="n"/>
      <c r="F2497" s="139" t="n"/>
      <c r="G2497" s="140">
        <f>IFERROR(IF(E2497&gt;0,(F2497/E2497)*1000,""),"")</f>
        <v/>
      </c>
      <c r="H2497" s="139">
        <f>IFERROR(IF(E2497&gt;0,E2497*IF(ISNUMBER(J2497),J2497,IF(C2497="Futures",$C$6,$C$5)),""),"")</f>
        <v/>
      </c>
      <c r="I2497" s="139">
        <f>IFERROR(IF(AND(ISNUMBER(F2497),ISNUMBER(H2497)),F2497-H2497,""),"")</f>
        <v/>
      </c>
      <c r="J2497" s="114" t="n"/>
      <c r="K2497" s="139">
        <f>IFERROR(IF(H2497&gt;0,H2497*$C$7,""),"")</f>
        <v/>
      </c>
      <c r="L2497" s="139">
        <f>IFERROR(IF(ISNUMBER(F2497),F2497-IF(ISNUMBER(K2497),K2497,0),""),"")</f>
        <v/>
      </c>
    </row>
    <row r="2498" ht="24" customHeight="1" s="63">
      <c r="E2498" s="139" t="n"/>
      <c r="F2498" s="139" t="n"/>
      <c r="G2498" s="140">
        <f>IFERROR(IF(E2498&gt;0,(F2498/E2498)*1000,""),"")</f>
        <v/>
      </c>
      <c r="H2498" s="139">
        <f>IFERROR(IF(E2498&gt;0,E2498*IF(ISNUMBER(J2498),J2498,IF(C2498="Futures",$C$6,$C$5)),""),"")</f>
        <v/>
      </c>
      <c r="I2498" s="139">
        <f>IFERROR(IF(AND(ISNUMBER(F2498),ISNUMBER(H2498)),F2498-H2498,""),"")</f>
        <v/>
      </c>
      <c r="J2498" s="114" t="n"/>
      <c r="K2498" s="139">
        <f>IFERROR(IF(H2498&gt;0,H2498*$C$7,""),"")</f>
        <v/>
      </c>
      <c r="L2498" s="139">
        <f>IFERROR(IF(ISNUMBER(F2498),F2498-IF(ISNUMBER(K2498),K2498,0),""),"")</f>
        <v/>
      </c>
    </row>
    <row r="2499" ht="24" customHeight="1" s="63">
      <c r="E2499" s="139" t="n"/>
      <c r="F2499" s="139" t="n"/>
      <c r="G2499" s="140">
        <f>IFERROR(IF(E2499&gt;0,(F2499/E2499)*1000,""),"")</f>
        <v/>
      </c>
      <c r="H2499" s="139">
        <f>IFERROR(IF(E2499&gt;0,E2499*IF(ISNUMBER(J2499),J2499,IF(C2499="Futures",$C$6,$C$5)),""),"")</f>
        <v/>
      </c>
      <c r="I2499" s="139">
        <f>IFERROR(IF(AND(ISNUMBER(F2499),ISNUMBER(H2499)),F2499-H2499,""),"")</f>
        <v/>
      </c>
      <c r="J2499" s="114" t="n"/>
      <c r="K2499" s="139">
        <f>IFERROR(IF(H2499&gt;0,H2499*$C$7,""),"")</f>
        <v/>
      </c>
      <c r="L2499" s="139">
        <f>IFERROR(IF(ISNUMBER(F2499),F2499-IF(ISNUMBER(K2499),K2499,0),""),"")</f>
        <v/>
      </c>
    </row>
    <row r="2500" ht="24" customHeight="1" s="63">
      <c r="E2500" s="139" t="n"/>
      <c r="F2500" s="139" t="n"/>
      <c r="G2500" s="140">
        <f>IFERROR(IF(E2500&gt;0,(F2500/E2500)*1000,""),"")</f>
        <v/>
      </c>
      <c r="H2500" s="139">
        <f>IFERROR(IF(E2500&gt;0,E2500*IF(ISNUMBER(J2500),J2500,IF(C2500="Futures",$C$6,$C$5)),""),"")</f>
        <v/>
      </c>
      <c r="I2500" s="139">
        <f>IFERROR(IF(AND(ISNUMBER(F2500),ISNUMBER(H2500)),F2500-H2500,""),"")</f>
        <v/>
      </c>
      <c r="J2500" s="114" t="n"/>
      <c r="K2500" s="139">
        <f>IFERROR(IF(H2500&gt;0,H2500*$C$7,""),"")</f>
        <v/>
      </c>
      <c r="L2500" s="139">
        <f>IFERROR(IF(ISNUMBER(F2500),F2500-IF(ISNUMBER(K2500),K2500,0),""),"")</f>
        <v/>
      </c>
    </row>
    <row r="2501" ht="24" customHeight="1" s="63">
      <c r="E2501" s="139" t="n"/>
      <c r="F2501" s="139" t="n"/>
      <c r="G2501" s="140">
        <f>IFERROR(IF(E2501&gt;0,(F2501/E2501)*1000,""),"")</f>
        <v/>
      </c>
      <c r="H2501" s="139">
        <f>IFERROR(IF(E2501&gt;0,E2501*IF(ISNUMBER(J2501),J2501,IF(C2501="Futures",$C$6,$C$5)),""),"")</f>
        <v/>
      </c>
      <c r="I2501" s="139">
        <f>IFERROR(IF(AND(ISNUMBER(F2501),ISNUMBER(H2501)),F2501-H2501,""),"")</f>
        <v/>
      </c>
      <c r="J2501" s="114" t="n"/>
      <c r="K2501" s="139">
        <f>IFERROR(IF(H2501&gt;0,H2501*$C$7,""),"")</f>
        <v/>
      </c>
      <c r="L2501" s="139">
        <f>IFERROR(IF(ISNUMBER(F2501),F2501-IF(ISNUMBER(K2501),K2501,0),""),"")</f>
        <v/>
      </c>
    </row>
    <row r="2502" ht="24" customHeight="1" s="63">
      <c r="E2502" s="139" t="n"/>
      <c r="F2502" s="139" t="n"/>
      <c r="G2502" s="140">
        <f>IFERROR(IF(E2502&gt;0,(F2502/E2502)*1000,""),"")</f>
        <v/>
      </c>
      <c r="H2502" s="139">
        <f>IFERROR(IF(E2502&gt;0,E2502*IF(ISNUMBER(J2502),J2502,IF(C2502="Futures",$C$6,$C$5)),""),"")</f>
        <v/>
      </c>
      <c r="I2502" s="139">
        <f>IFERROR(IF(AND(ISNUMBER(F2502),ISNUMBER(H2502)),F2502-H2502,""),"")</f>
        <v/>
      </c>
      <c r="J2502" s="114" t="n"/>
      <c r="K2502" s="139">
        <f>IFERROR(IF(H2502&gt;0,H2502*$C$7,""),"")</f>
        <v/>
      </c>
      <c r="L2502" s="139">
        <f>IFERROR(IF(ISNUMBER(F2502),F2502-IF(ISNUMBER(K2502),K2502,0),""),"")</f>
        <v/>
      </c>
    </row>
    <row r="2503" ht="24" customHeight="1" s="63">
      <c r="E2503" s="139" t="n"/>
      <c r="F2503" s="139" t="n"/>
      <c r="G2503" s="140">
        <f>IFERROR(IF(E2503&gt;0,(F2503/E2503)*1000,""),"")</f>
        <v/>
      </c>
      <c r="H2503" s="139">
        <f>IFERROR(IF(E2503&gt;0,E2503*IF(ISNUMBER(J2503),J2503,IF(C2503="Futures",$C$6,$C$5)),""),"")</f>
        <v/>
      </c>
      <c r="I2503" s="139">
        <f>IFERROR(IF(AND(ISNUMBER(F2503),ISNUMBER(H2503)),F2503-H2503,""),"")</f>
        <v/>
      </c>
      <c r="J2503" s="114" t="n"/>
      <c r="K2503" s="139">
        <f>IFERROR(IF(H2503&gt;0,H2503*$C$7,""),"")</f>
        <v/>
      </c>
      <c r="L2503" s="139">
        <f>IFERROR(IF(ISNUMBER(F2503),F2503-IF(ISNUMBER(K2503),K2503,0),""),"")</f>
        <v/>
      </c>
    </row>
    <row r="2504" ht="24" customHeight="1" s="63">
      <c r="E2504" s="139" t="n"/>
      <c r="F2504" s="139" t="n"/>
      <c r="G2504" s="140">
        <f>IFERROR(IF(E2504&gt;0,(F2504/E2504)*1000,""),"")</f>
        <v/>
      </c>
      <c r="H2504" s="139">
        <f>IFERROR(IF(E2504&gt;0,E2504*IF(ISNUMBER(J2504),J2504,IF(C2504="Futures",$C$6,$C$5)),""),"")</f>
        <v/>
      </c>
      <c r="I2504" s="139">
        <f>IFERROR(IF(AND(ISNUMBER(F2504),ISNUMBER(H2504)),F2504-H2504,""),"")</f>
        <v/>
      </c>
      <c r="J2504" s="114" t="n"/>
      <c r="K2504" s="139">
        <f>IFERROR(IF(H2504&gt;0,H2504*$C$7,""),"")</f>
        <v/>
      </c>
      <c r="L2504" s="139">
        <f>IFERROR(IF(ISNUMBER(F2504),F2504-IF(ISNUMBER(K2504),K2504,0),""),"")</f>
        <v/>
      </c>
    </row>
    <row r="2505" ht="24" customHeight="1" s="63">
      <c r="E2505" s="139" t="n"/>
      <c r="F2505" s="139" t="n"/>
      <c r="G2505" s="140">
        <f>IFERROR(IF(E2505&gt;0,(F2505/E2505)*1000,""),"")</f>
        <v/>
      </c>
      <c r="H2505" s="139">
        <f>IFERROR(IF(E2505&gt;0,E2505*IF(ISNUMBER(J2505),J2505,IF(C2505="Futures",$C$6,$C$5)),""),"")</f>
        <v/>
      </c>
      <c r="I2505" s="139">
        <f>IFERROR(IF(AND(ISNUMBER(F2505),ISNUMBER(H2505)),F2505-H2505,""),"")</f>
        <v/>
      </c>
      <c r="J2505" s="114" t="n"/>
      <c r="K2505" s="139">
        <f>IFERROR(IF(H2505&gt;0,H2505*$C$7,""),"")</f>
        <v/>
      </c>
      <c r="L2505" s="139">
        <f>IFERROR(IF(ISNUMBER(F2505),F2505-IF(ISNUMBER(K2505),K2505,0),""),"")</f>
        <v/>
      </c>
    </row>
    <row r="2506" ht="24" customHeight="1" s="63">
      <c r="E2506" s="139" t="n"/>
      <c r="F2506" s="139" t="n"/>
      <c r="G2506" s="140">
        <f>IFERROR(IF(E2506&gt;0,(F2506/E2506)*1000,""),"")</f>
        <v/>
      </c>
      <c r="H2506" s="139">
        <f>IFERROR(IF(E2506&gt;0,E2506*IF(ISNUMBER(J2506),J2506,IF(C2506="Futures",$C$6,$C$5)),""),"")</f>
        <v/>
      </c>
      <c r="I2506" s="139">
        <f>IFERROR(IF(AND(ISNUMBER(F2506),ISNUMBER(H2506)),F2506-H2506,""),"")</f>
        <v/>
      </c>
      <c r="J2506" s="114" t="n"/>
      <c r="K2506" s="139">
        <f>IFERROR(IF(H2506&gt;0,H2506*$C$7,""),"")</f>
        <v/>
      </c>
      <c r="L2506" s="139">
        <f>IFERROR(IF(ISNUMBER(F2506),F2506-IF(ISNUMBER(K2506),K2506,0),""),"")</f>
        <v/>
      </c>
    </row>
    <row r="2507" ht="24" customHeight="1" s="63">
      <c r="E2507" s="139" t="n"/>
      <c r="F2507" s="139" t="n"/>
      <c r="G2507" s="140">
        <f>IFERROR(IF(E2507&gt;0,(F2507/E2507)*1000,""),"")</f>
        <v/>
      </c>
      <c r="H2507" s="139">
        <f>IFERROR(IF(E2507&gt;0,E2507*IF(ISNUMBER(J2507),J2507,IF(C2507="Futures",$C$6,$C$5)),""),"")</f>
        <v/>
      </c>
      <c r="I2507" s="139">
        <f>IFERROR(IF(AND(ISNUMBER(F2507),ISNUMBER(H2507)),F2507-H2507,""),"")</f>
        <v/>
      </c>
      <c r="J2507" s="114" t="n"/>
      <c r="K2507" s="139">
        <f>IFERROR(IF(H2507&gt;0,H2507*$C$7,""),"")</f>
        <v/>
      </c>
      <c r="L2507" s="139">
        <f>IFERROR(IF(ISNUMBER(F2507),F2507-IF(ISNUMBER(K2507),K2507,0),""),"")</f>
        <v/>
      </c>
    </row>
    <row r="2508" ht="24" customHeight="1" s="63">
      <c r="E2508" s="139" t="n"/>
      <c r="F2508" s="139" t="n"/>
      <c r="G2508" s="140">
        <f>IFERROR(IF(E2508&gt;0,(F2508/E2508)*1000,""),"")</f>
        <v/>
      </c>
      <c r="H2508" s="139">
        <f>IFERROR(IF(E2508&gt;0,E2508*IF(ISNUMBER(J2508),J2508,IF(C2508="Futures",$C$6,$C$5)),""),"")</f>
        <v/>
      </c>
      <c r="I2508" s="139">
        <f>IFERROR(IF(AND(ISNUMBER(F2508),ISNUMBER(H2508)),F2508-H2508,""),"")</f>
        <v/>
      </c>
      <c r="J2508" s="114" t="n"/>
      <c r="K2508" s="139">
        <f>IFERROR(IF(H2508&gt;0,H2508*$C$7,""),"")</f>
        <v/>
      </c>
      <c r="L2508" s="139">
        <f>IFERROR(IF(ISNUMBER(F2508),F2508-IF(ISNUMBER(K2508),K2508,0),""),"")</f>
        <v/>
      </c>
    </row>
    <row r="2509" ht="24" customHeight="1" s="63">
      <c r="E2509" s="139" t="n"/>
      <c r="F2509" s="139" t="n"/>
      <c r="G2509" s="140">
        <f>IFERROR(IF(E2509&gt;0,(F2509/E2509)*1000,""),"")</f>
        <v/>
      </c>
      <c r="H2509" s="139">
        <f>IFERROR(IF(E2509&gt;0,E2509*IF(ISNUMBER(J2509),J2509,IF(C2509="Futures",$C$6,$C$5)),""),"")</f>
        <v/>
      </c>
      <c r="I2509" s="139">
        <f>IFERROR(IF(AND(ISNUMBER(F2509),ISNUMBER(H2509)),F2509-H2509,""),"")</f>
        <v/>
      </c>
      <c r="J2509" s="114" t="n"/>
      <c r="K2509" s="139">
        <f>IFERROR(IF(H2509&gt;0,H2509*$C$7,""),"")</f>
        <v/>
      </c>
      <c r="L2509" s="139">
        <f>IFERROR(IF(ISNUMBER(F2509),F2509-IF(ISNUMBER(K2509),K2509,0),""),"")</f>
        <v/>
      </c>
    </row>
    <row r="2510" ht="24" customHeight="1" s="63">
      <c r="E2510" s="139" t="n"/>
      <c r="F2510" s="139" t="n"/>
      <c r="G2510" s="140">
        <f>IFERROR(IF(E2510&gt;0,(F2510/E2510)*1000,""),"")</f>
        <v/>
      </c>
      <c r="H2510" s="139">
        <f>IFERROR(IF(E2510&gt;0,E2510*IF(ISNUMBER(J2510),J2510,IF(C2510="Futures",$C$6,$C$5)),""),"")</f>
        <v/>
      </c>
      <c r="I2510" s="139">
        <f>IFERROR(IF(AND(ISNUMBER(F2510),ISNUMBER(H2510)),F2510-H2510,""),"")</f>
        <v/>
      </c>
      <c r="J2510" s="114" t="n"/>
      <c r="K2510" s="139">
        <f>IFERROR(IF(H2510&gt;0,H2510*$C$7,""),"")</f>
        <v/>
      </c>
      <c r="L2510" s="139">
        <f>IFERROR(IF(ISNUMBER(F2510),F2510-IF(ISNUMBER(K2510),K2510,0),""),"")</f>
        <v/>
      </c>
    </row>
    <row r="2511" ht="24" customHeight="1" s="63">
      <c r="E2511" s="139" t="n"/>
      <c r="F2511" s="139" t="n"/>
      <c r="G2511" s="140">
        <f>IFERROR(IF(E2511&gt;0,(F2511/E2511)*1000,""),"")</f>
        <v/>
      </c>
      <c r="H2511" s="139">
        <f>IFERROR(IF(E2511&gt;0,E2511*IF(ISNUMBER(J2511),J2511,IF(C2511="Futures",$C$6,$C$5)),""),"")</f>
        <v/>
      </c>
      <c r="I2511" s="139">
        <f>IFERROR(IF(AND(ISNUMBER(F2511),ISNUMBER(H2511)),F2511-H2511,""),"")</f>
        <v/>
      </c>
      <c r="J2511" s="114" t="n"/>
      <c r="K2511" s="139">
        <f>IFERROR(IF(H2511&gt;0,H2511*$C$7,""),"")</f>
        <v/>
      </c>
      <c r="L2511" s="139">
        <f>IFERROR(IF(ISNUMBER(F2511),F2511-IF(ISNUMBER(K2511),K2511,0),""),"")</f>
        <v/>
      </c>
    </row>
    <row r="2512" ht="24" customHeight="1" s="63">
      <c r="E2512" s="139" t="n"/>
      <c r="F2512" s="139" t="n"/>
      <c r="G2512" s="140">
        <f>IFERROR(IF(E2512&gt;0,(F2512/E2512)*1000,""),"")</f>
        <v/>
      </c>
      <c r="H2512" s="139">
        <f>IFERROR(IF(E2512&gt;0,E2512*IF(ISNUMBER(J2512),J2512,IF(C2512="Futures",$C$6,$C$5)),""),"")</f>
        <v/>
      </c>
      <c r="I2512" s="139">
        <f>IFERROR(IF(AND(ISNUMBER(F2512),ISNUMBER(H2512)),F2512-H2512,""),"")</f>
        <v/>
      </c>
      <c r="J2512" s="114" t="n"/>
      <c r="K2512" s="139">
        <f>IFERROR(IF(H2512&gt;0,H2512*$C$7,""),"")</f>
        <v/>
      </c>
      <c r="L2512" s="139">
        <f>IFERROR(IF(ISNUMBER(F2512),F2512-IF(ISNUMBER(K2512),K2512,0),""),"")</f>
        <v/>
      </c>
    </row>
    <row r="2513" ht="24" customHeight="1" s="63">
      <c r="E2513" s="139" t="n"/>
      <c r="F2513" s="139" t="n"/>
      <c r="G2513" s="140">
        <f>IFERROR(IF(E2513&gt;0,(F2513/E2513)*1000,""),"")</f>
        <v/>
      </c>
      <c r="H2513" s="139">
        <f>IFERROR(IF(E2513&gt;0,E2513*IF(ISNUMBER(J2513),J2513,IF(C2513="Futures",$C$6,$C$5)),""),"")</f>
        <v/>
      </c>
      <c r="I2513" s="139">
        <f>IFERROR(IF(AND(ISNUMBER(F2513),ISNUMBER(H2513)),F2513-H2513,""),"")</f>
        <v/>
      </c>
      <c r="J2513" s="114" t="n"/>
      <c r="K2513" s="139">
        <f>IFERROR(IF(H2513&gt;0,H2513*$C$7,""),"")</f>
        <v/>
      </c>
      <c r="L2513" s="139">
        <f>IFERROR(IF(ISNUMBER(F2513),F2513-IF(ISNUMBER(K2513),K2513,0),""),"")</f>
        <v/>
      </c>
    </row>
    <row r="2514" ht="24" customHeight="1" s="63">
      <c r="E2514" s="139" t="n"/>
      <c r="F2514" s="139" t="n"/>
      <c r="G2514" s="140">
        <f>IFERROR(IF(E2514&gt;0,(F2514/E2514)*1000,""),"")</f>
        <v/>
      </c>
      <c r="H2514" s="139">
        <f>IFERROR(IF(E2514&gt;0,E2514*IF(ISNUMBER(J2514),J2514,IF(C2514="Futures",$C$6,$C$5)),""),"")</f>
        <v/>
      </c>
      <c r="I2514" s="139">
        <f>IFERROR(IF(AND(ISNUMBER(F2514),ISNUMBER(H2514)),F2514-H2514,""),"")</f>
        <v/>
      </c>
      <c r="J2514" s="114" t="n"/>
      <c r="K2514" s="139">
        <f>IFERROR(IF(H2514&gt;0,H2514*$C$7,""),"")</f>
        <v/>
      </c>
      <c r="L2514" s="139">
        <f>IFERROR(IF(ISNUMBER(F2514),F2514-IF(ISNUMBER(K2514),K2514,0),""),"")</f>
        <v/>
      </c>
    </row>
    <row r="2515" ht="24" customHeight="1" s="63">
      <c r="E2515" s="139" t="n"/>
      <c r="F2515" s="139" t="n"/>
      <c r="G2515" s="140">
        <f>IFERROR(IF(E2515&gt;0,(F2515/E2515)*1000,""),"")</f>
        <v/>
      </c>
      <c r="H2515" s="139">
        <f>IFERROR(IF(E2515&gt;0,E2515*IF(ISNUMBER(J2515),J2515,IF(C2515="Futures",$C$6,$C$5)),""),"")</f>
        <v/>
      </c>
      <c r="I2515" s="139">
        <f>IFERROR(IF(AND(ISNUMBER(F2515),ISNUMBER(H2515)),F2515-H2515,""),"")</f>
        <v/>
      </c>
      <c r="J2515" s="114" t="n"/>
      <c r="K2515" s="139">
        <f>IFERROR(IF(H2515&gt;0,H2515*$C$7,""),"")</f>
        <v/>
      </c>
      <c r="L2515" s="139">
        <f>IFERROR(IF(ISNUMBER(F2515),F2515-IF(ISNUMBER(K2515),K2515,0),""),"")</f>
        <v/>
      </c>
    </row>
    <row r="2516" ht="24" customHeight="1" s="63">
      <c r="E2516" s="139" t="n"/>
      <c r="F2516" s="139" t="n"/>
      <c r="G2516" s="140">
        <f>IFERROR(IF(E2516&gt;0,(F2516/E2516)*1000,""),"")</f>
        <v/>
      </c>
      <c r="H2516" s="139">
        <f>IFERROR(IF(E2516&gt;0,E2516*IF(ISNUMBER(J2516),J2516,IF(C2516="Futures",$C$6,$C$5)),""),"")</f>
        <v/>
      </c>
      <c r="I2516" s="139">
        <f>IFERROR(IF(AND(ISNUMBER(F2516),ISNUMBER(H2516)),F2516-H2516,""),"")</f>
        <v/>
      </c>
      <c r="J2516" s="114" t="n"/>
      <c r="K2516" s="139">
        <f>IFERROR(IF(H2516&gt;0,H2516*$C$7,""),"")</f>
        <v/>
      </c>
      <c r="L2516" s="139">
        <f>IFERROR(IF(ISNUMBER(F2516),F2516-IF(ISNUMBER(K2516),K2516,0),""),"")</f>
        <v/>
      </c>
    </row>
    <row r="2517" ht="24" customHeight="1" s="63">
      <c r="E2517" s="139" t="n"/>
      <c r="F2517" s="139" t="n"/>
      <c r="G2517" s="140">
        <f>IFERROR(IF(E2517&gt;0,(F2517/E2517)*1000,""),"")</f>
        <v/>
      </c>
      <c r="H2517" s="139">
        <f>IFERROR(IF(E2517&gt;0,E2517*IF(ISNUMBER(J2517),J2517,IF(C2517="Futures",$C$6,$C$5)),""),"")</f>
        <v/>
      </c>
      <c r="I2517" s="139">
        <f>IFERROR(IF(AND(ISNUMBER(F2517),ISNUMBER(H2517)),F2517-H2517,""),"")</f>
        <v/>
      </c>
      <c r="J2517" s="114" t="n"/>
      <c r="K2517" s="139">
        <f>IFERROR(IF(H2517&gt;0,H2517*$C$7,""),"")</f>
        <v/>
      </c>
      <c r="L2517" s="139">
        <f>IFERROR(IF(ISNUMBER(F2517),F2517-IF(ISNUMBER(K2517),K2517,0),""),"")</f>
        <v/>
      </c>
    </row>
    <row r="2518" ht="24" customHeight="1" s="63">
      <c r="E2518" s="139" t="n"/>
      <c r="F2518" s="139" t="n"/>
      <c r="G2518" s="140">
        <f>IFERROR(IF(E2518&gt;0,(F2518/E2518)*1000,""),"")</f>
        <v/>
      </c>
      <c r="H2518" s="139">
        <f>IFERROR(IF(E2518&gt;0,E2518*IF(ISNUMBER(J2518),J2518,IF(C2518="Futures",$C$6,$C$5)),""),"")</f>
        <v/>
      </c>
      <c r="I2518" s="139">
        <f>IFERROR(IF(AND(ISNUMBER(F2518),ISNUMBER(H2518)),F2518-H2518,""),"")</f>
        <v/>
      </c>
      <c r="J2518" s="114" t="n"/>
      <c r="K2518" s="139">
        <f>IFERROR(IF(H2518&gt;0,H2518*$C$7,""),"")</f>
        <v/>
      </c>
      <c r="L2518" s="139">
        <f>IFERROR(IF(ISNUMBER(F2518),F2518-IF(ISNUMBER(K2518),K2518,0),""),"")</f>
        <v/>
      </c>
    </row>
    <row r="2519" ht="24" customHeight="1" s="63">
      <c r="E2519" s="139" t="n"/>
      <c r="F2519" s="139" t="n"/>
      <c r="G2519" s="140">
        <f>IFERROR(IF(E2519&gt;0,(F2519/E2519)*1000,""),"")</f>
        <v/>
      </c>
      <c r="H2519" s="139">
        <f>IFERROR(IF(E2519&gt;0,E2519*IF(ISNUMBER(J2519),J2519,IF(C2519="Futures",$C$6,$C$5)),""),"")</f>
        <v/>
      </c>
      <c r="I2519" s="139">
        <f>IFERROR(IF(AND(ISNUMBER(F2519),ISNUMBER(H2519)),F2519-H2519,""),"")</f>
        <v/>
      </c>
      <c r="J2519" s="114" t="n"/>
      <c r="K2519" s="139">
        <f>IFERROR(IF(H2519&gt;0,H2519*$C$7,""),"")</f>
        <v/>
      </c>
      <c r="L2519" s="139">
        <f>IFERROR(IF(ISNUMBER(F2519),F2519-IF(ISNUMBER(K2519),K2519,0),""),"")</f>
        <v/>
      </c>
    </row>
    <row r="2520" ht="24" customHeight="1" s="63">
      <c r="E2520" s="139" t="n"/>
      <c r="F2520" s="139" t="n"/>
      <c r="G2520" s="140">
        <f>IFERROR(IF(E2520&gt;0,(F2520/E2520)*1000,""),"")</f>
        <v/>
      </c>
      <c r="H2520" s="139">
        <f>IFERROR(IF(E2520&gt;0,E2520*IF(ISNUMBER(J2520),J2520,IF(C2520="Futures",$C$6,$C$5)),""),"")</f>
        <v/>
      </c>
      <c r="I2520" s="139">
        <f>IFERROR(IF(AND(ISNUMBER(F2520),ISNUMBER(H2520)),F2520-H2520,""),"")</f>
        <v/>
      </c>
      <c r="J2520" s="114" t="n"/>
      <c r="K2520" s="139">
        <f>IFERROR(IF(H2520&gt;0,H2520*$C$7,""),"")</f>
        <v/>
      </c>
      <c r="L2520" s="139">
        <f>IFERROR(IF(ISNUMBER(F2520),F2520-IF(ISNUMBER(K2520),K2520,0),""),"")</f>
        <v/>
      </c>
    </row>
    <row r="2521" ht="24" customHeight="1" s="63">
      <c r="E2521" s="139" t="n"/>
      <c r="F2521" s="139" t="n"/>
      <c r="G2521" s="140">
        <f>IFERROR(IF(E2521&gt;0,(F2521/E2521)*1000,""),"")</f>
        <v/>
      </c>
      <c r="H2521" s="139">
        <f>IFERROR(IF(E2521&gt;0,E2521*IF(ISNUMBER(J2521),J2521,IF(C2521="Futures",$C$6,$C$5)),""),"")</f>
        <v/>
      </c>
      <c r="I2521" s="139">
        <f>IFERROR(IF(AND(ISNUMBER(F2521),ISNUMBER(H2521)),F2521-H2521,""),"")</f>
        <v/>
      </c>
      <c r="J2521" s="114" t="n"/>
      <c r="K2521" s="139">
        <f>IFERROR(IF(H2521&gt;0,H2521*$C$7,""),"")</f>
        <v/>
      </c>
      <c r="L2521" s="139">
        <f>IFERROR(IF(ISNUMBER(F2521),F2521-IF(ISNUMBER(K2521),K2521,0),""),"")</f>
        <v/>
      </c>
    </row>
    <row r="2522" ht="24" customHeight="1" s="63">
      <c r="E2522" s="139" t="n"/>
      <c r="F2522" s="139" t="n"/>
      <c r="G2522" s="140">
        <f>IFERROR(IF(E2522&gt;0,(F2522/E2522)*1000,""),"")</f>
        <v/>
      </c>
      <c r="H2522" s="139">
        <f>IFERROR(IF(E2522&gt;0,E2522*IF(ISNUMBER(J2522),J2522,IF(C2522="Futures",$C$6,$C$5)),""),"")</f>
        <v/>
      </c>
      <c r="I2522" s="139">
        <f>IFERROR(IF(AND(ISNUMBER(F2522),ISNUMBER(H2522)),F2522-H2522,""),"")</f>
        <v/>
      </c>
      <c r="J2522" s="114" t="n"/>
      <c r="K2522" s="139">
        <f>IFERROR(IF(H2522&gt;0,H2522*$C$7,""),"")</f>
        <v/>
      </c>
      <c r="L2522" s="139">
        <f>IFERROR(IF(ISNUMBER(F2522),F2522-IF(ISNUMBER(K2522),K2522,0),""),"")</f>
        <v/>
      </c>
    </row>
    <row r="2523" ht="24" customHeight="1" s="63">
      <c r="E2523" s="139" t="n"/>
      <c r="F2523" s="139" t="n"/>
      <c r="G2523" s="140">
        <f>IFERROR(IF(E2523&gt;0,(F2523/E2523)*1000,""),"")</f>
        <v/>
      </c>
      <c r="H2523" s="139">
        <f>IFERROR(IF(E2523&gt;0,E2523*IF(ISNUMBER(J2523),J2523,IF(C2523="Futures",$C$6,$C$5)),""),"")</f>
        <v/>
      </c>
      <c r="I2523" s="139">
        <f>IFERROR(IF(AND(ISNUMBER(F2523),ISNUMBER(H2523)),F2523-H2523,""),"")</f>
        <v/>
      </c>
      <c r="J2523" s="114" t="n"/>
      <c r="K2523" s="139">
        <f>IFERROR(IF(H2523&gt;0,H2523*$C$7,""),"")</f>
        <v/>
      </c>
      <c r="L2523" s="139">
        <f>IFERROR(IF(ISNUMBER(F2523),F2523-IF(ISNUMBER(K2523),K2523,0),""),"")</f>
        <v/>
      </c>
    </row>
    <row r="2524" ht="24" customHeight="1" s="63">
      <c r="E2524" s="139" t="n"/>
      <c r="F2524" s="139" t="n"/>
      <c r="G2524" s="140">
        <f>IFERROR(IF(E2524&gt;0,(F2524/E2524)*1000,""),"")</f>
        <v/>
      </c>
      <c r="H2524" s="139">
        <f>IFERROR(IF(E2524&gt;0,E2524*IF(ISNUMBER(J2524),J2524,IF(C2524="Futures",$C$6,$C$5)),""),"")</f>
        <v/>
      </c>
      <c r="I2524" s="139">
        <f>IFERROR(IF(AND(ISNUMBER(F2524),ISNUMBER(H2524)),F2524-H2524,""),"")</f>
        <v/>
      </c>
      <c r="J2524" s="114" t="n"/>
      <c r="K2524" s="139">
        <f>IFERROR(IF(H2524&gt;0,H2524*$C$7,""),"")</f>
        <v/>
      </c>
      <c r="L2524" s="139">
        <f>IFERROR(IF(ISNUMBER(F2524),F2524-IF(ISNUMBER(K2524),K2524,0),""),"")</f>
        <v/>
      </c>
    </row>
    <row r="2525" ht="24" customHeight="1" s="63">
      <c r="E2525" s="139" t="n"/>
      <c r="F2525" s="139" t="n"/>
      <c r="G2525" s="140">
        <f>IFERROR(IF(E2525&gt;0,(F2525/E2525)*1000,""),"")</f>
        <v/>
      </c>
      <c r="H2525" s="139">
        <f>IFERROR(IF(E2525&gt;0,E2525*IF(ISNUMBER(J2525),J2525,IF(C2525="Futures",$C$6,$C$5)),""),"")</f>
        <v/>
      </c>
      <c r="I2525" s="139">
        <f>IFERROR(IF(AND(ISNUMBER(F2525),ISNUMBER(H2525)),F2525-H2525,""),"")</f>
        <v/>
      </c>
      <c r="J2525" s="114" t="n"/>
      <c r="K2525" s="139">
        <f>IFERROR(IF(H2525&gt;0,H2525*$C$7,""),"")</f>
        <v/>
      </c>
      <c r="L2525" s="139">
        <f>IFERROR(IF(ISNUMBER(F2525),F2525-IF(ISNUMBER(K2525),K2525,0),""),"")</f>
        <v/>
      </c>
    </row>
    <row r="2526" ht="24" customHeight="1" s="63">
      <c r="E2526" s="139" t="n"/>
      <c r="F2526" s="139" t="n"/>
      <c r="G2526" s="140">
        <f>IFERROR(IF(E2526&gt;0,(F2526/E2526)*1000,""),"")</f>
        <v/>
      </c>
      <c r="H2526" s="139">
        <f>IFERROR(IF(E2526&gt;0,E2526*IF(ISNUMBER(J2526),J2526,IF(C2526="Futures",$C$6,$C$5)),""),"")</f>
        <v/>
      </c>
      <c r="I2526" s="139">
        <f>IFERROR(IF(AND(ISNUMBER(F2526),ISNUMBER(H2526)),F2526-H2526,""),"")</f>
        <v/>
      </c>
      <c r="J2526" s="114" t="n"/>
      <c r="K2526" s="139">
        <f>IFERROR(IF(H2526&gt;0,H2526*$C$7,""),"")</f>
        <v/>
      </c>
      <c r="L2526" s="139">
        <f>IFERROR(IF(ISNUMBER(F2526),F2526-IF(ISNUMBER(K2526),K2526,0),""),"")</f>
        <v/>
      </c>
    </row>
    <row r="2527" ht="24" customHeight="1" s="63">
      <c r="E2527" s="139" t="n"/>
      <c r="F2527" s="139" t="n"/>
      <c r="G2527" s="140">
        <f>IFERROR(IF(E2527&gt;0,(F2527/E2527)*1000,""),"")</f>
        <v/>
      </c>
      <c r="H2527" s="139">
        <f>IFERROR(IF(E2527&gt;0,E2527*IF(ISNUMBER(J2527),J2527,IF(C2527="Futures",$C$6,$C$5)),""),"")</f>
        <v/>
      </c>
      <c r="I2527" s="139">
        <f>IFERROR(IF(AND(ISNUMBER(F2527),ISNUMBER(H2527)),F2527-H2527,""),"")</f>
        <v/>
      </c>
      <c r="J2527" s="114" t="n"/>
      <c r="K2527" s="139">
        <f>IFERROR(IF(H2527&gt;0,H2527*$C$7,""),"")</f>
        <v/>
      </c>
      <c r="L2527" s="139">
        <f>IFERROR(IF(ISNUMBER(F2527),F2527-IF(ISNUMBER(K2527),K2527,0),""),"")</f>
        <v/>
      </c>
    </row>
    <row r="2528" ht="24" customHeight="1" s="63">
      <c r="E2528" s="139" t="n"/>
      <c r="F2528" s="139" t="n"/>
      <c r="G2528" s="140">
        <f>IFERROR(IF(E2528&gt;0,(F2528/E2528)*1000,""),"")</f>
        <v/>
      </c>
      <c r="H2528" s="139">
        <f>IFERROR(IF(E2528&gt;0,E2528*IF(ISNUMBER(J2528),J2528,IF(C2528="Futures",$C$6,$C$5)),""),"")</f>
        <v/>
      </c>
      <c r="I2528" s="139">
        <f>IFERROR(IF(AND(ISNUMBER(F2528),ISNUMBER(H2528)),F2528-H2528,""),"")</f>
        <v/>
      </c>
      <c r="J2528" s="114" t="n"/>
      <c r="K2528" s="139">
        <f>IFERROR(IF(H2528&gt;0,H2528*$C$7,""),"")</f>
        <v/>
      </c>
      <c r="L2528" s="139">
        <f>IFERROR(IF(ISNUMBER(F2528),F2528-IF(ISNUMBER(K2528),K2528,0),""),"")</f>
        <v/>
      </c>
    </row>
    <row r="2529" ht="24" customHeight="1" s="63">
      <c r="E2529" s="139" t="n"/>
      <c r="F2529" s="139" t="n"/>
      <c r="G2529" s="140">
        <f>IFERROR(IF(E2529&gt;0,(F2529/E2529)*1000,""),"")</f>
        <v/>
      </c>
      <c r="H2529" s="139">
        <f>IFERROR(IF(E2529&gt;0,E2529*IF(ISNUMBER(J2529),J2529,IF(C2529="Futures",$C$6,$C$5)),""),"")</f>
        <v/>
      </c>
      <c r="I2529" s="139">
        <f>IFERROR(IF(AND(ISNUMBER(F2529),ISNUMBER(H2529)),F2529-H2529,""),"")</f>
        <v/>
      </c>
      <c r="J2529" s="114" t="n"/>
      <c r="K2529" s="139">
        <f>IFERROR(IF(H2529&gt;0,H2529*$C$7,""),"")</f>
        <v/>
      </c>
      <c r="L2529" s="139">
        <f>IFERROR(IF(ISNUMBER(F2529),F2529-IF(ISNUMBER(K2529),K2529,0),""),"")</f>
        <v/>
      </c>
    </row>
    <row r="2530" ht="24" customHeight="1" s="63">
      <c r="E2530" s="139" t="n"/>
      <c r="F2530" s="139" t="n"/>
      <c r="G2530" s="140">
        <f>IFERROR(IF(E2530&gt;0,(F2530/E2530)*1000,""),"")</f>
        <v/>
      </c>
      <c r="H2530" s="139">
        <f>IFERROR(IF(E2530&gt;0,E2530*IF(ISNUMBER(J2530),J2530,IF(C2530="Futures",$C$6,$C$5)),""),"")</f>
        <v/>
      </c>
      <c r="I2530" s="139">
        <f>IFERROR(IF(AND(ISNUMBER(F2530),ISNUMBER(H2530)),F2530-H2530,""),"")</f>
        <v/>
      </c>
      <c r="J2530" s="114" t="n"/>
      <c r="K2530" s="139">
        <f>IFERROR(IF(H2530&gt;0,H2530*$C$7,""),"")</f>
        <v/>
      </c>
      <c r="L2530" s="139">
        <f>IFERROR(IF(ISNUMBER(F2530),F2530-IF(ISNUMBER(K2530),K2530,0),""),"")</f>
        <v/>
      </c>
    </row>
    <row r="2531" ht="24" customHeight="1" s="63">
      <c r="E2531" s="139" t="n"/>
      <c r="F2531" s="139" t="n"/>
      <c r="G2531" s="140">
        <f>IFERROR(IF(E2531&gt;0,(F2531/E2531)*1000,""),"")</f>
        <v/>
      </c>
      <c r="H2531" s="139">
        <f>IFERROR(IF(E2531&gt;0,E2531*IF(ISNUMBER(J2531),J2531,IF(C2531="Futures",$C$6,$C$5)),""),"")</f>
        <v/>
      </c>
      <c r="I2531" s="139">
        <f>IFERROR(IF(AND(ISNUMBER(F2531),ISNUMBER(H2531)),F2531-H2531,""),"")</f>
        <v/>
      </c>
      <c r="J2531" s="114" t="n"/>
      <c r="K2531" s="139">
        <f>IFERROR(IF(H2531&gt;0,H2531*$C$7,""),"")</f>
        <v/>
      </c>
      <c r="L2531" s="139">
        <f>IFERROR(IF(ISNUMBER(F2531),F2531-IF(ISNUMBER(K2531),K2531,0),""),"")</f>
        <v/>
      </c>
    </row>
    <row r="2532" ht="24" customHeight="1" s="63">
      <c r="E2532" s="139" t="n"/>
      <c r="F2532" s="139" t="n"/>
      <c r="G2532" s="140">
        <f>IFERROR(IF(E2532&gt;0,(F2532/E2532)*1000,""),"")</f>
        <v/>
      </c>
      <c r="H2532" s="139">
        <f>IFERROR(IF(E2532&gt;0,E2532*IF(ISNUMBER(J2532),J2532,IF(C2532="Futures",$C$6,$C$5)),""),"")</f>
        <v/>
      </c>
      <c r="I2532" s="139">
        <f>IFERROR(IF(AND(ISNUMBER(F2532),ISNUMBER(H2532)),F2532-H2532,""),"")</f>
        <v/>
      </c>
      <c r="J2532" s="114" t="n"/>
      <c r="K2532" s="139">
        <f>IFERROR(IF(H2532&gt;0,H2532*$C$7,""),"")</f>
        <v/>
      </c>
      <c r="L2532" s="139">
        <f>IFERROR(IF(ISNUMBER(F2532),F2532-IF(ISNUMBER(K2532),K2532,0),""),"")</f>
        <v/>
      </c>
    </row>
    <row r="2533" ht="24" customHeight="1" s="63">
      <c r="E2533" s="139" t="n"/>
      <c r="F2533" s="139" t="n"/>
      <c r="G2533" s="140">
        <f>IFERROR(IF(E2533&gt;0,(F2533/E2533)*1000,""),"")</f>
        <v/>
      </c>
      <c r="H2533" s="139">
        <f>IFERROR(IF(E2533&gt;0,E2533*IF(ISNUMBER(J2533),J2533,IF(C2533="Futures",$C$6,$C$5)),""),"")</f>
        <v/>
      </c>
      <c r="I2533" s="139">
        <f>IFERROR(IF(AND(ISNUMBER(F2533),ISNUMBER(H2533)),F2533-H2533,""),"")</f>
        <v/>
      </c>
      <c r="J2533" s="114" t="n"/>
      <c r="K2533" s="139">
        <f>IFERROR(IF(H2533&gt;0,H2533*$C$7,""),"")</f>
        <v/>
      </c>
      <c r="L2533" s="139">
        <f>IFERROR(IF(ISNUMBER(F2533),F2533-IF(ISNUMBER(K2533),K2533,0),""),"")</f>
        <v/>
      </c>
    </row>
    <row r="2534" ht="24" customHeight="1" s="63">
      <c r="E2534" s="139" t="n"/>
      <c r="F2534" s="139" t="n"/>
      <c r="G2534" s="140">
        <f>IFERROR(IF(E2534&gt;0,(F2534/E2534)*1000,""),"")</f>
        <v/>
      </c>
      <c r="H2534" s="139">
        <f>IFERROR(IF(E2534&gt;0,E2534*IF(ISNUMBER(J2534),J2534,IF(C2534="Futures",$C$6,$C$5)),""),"")</f>
        <v/>
      </c>
      <c r="I2534" s="139">
        <f>IFERROR(IF(AND(ISNUMBER(F2534),ISNUMBER(H2534)),F2534-H2534,""),"")</f>
        <v/>
      </c>
      <c r="J2534" s="114" t="n"/>
      <c r="K2534" s="139">
        <f>IFERROR(IF(H2534&gt;0,H2534*$C$7,""),"")</f>
        <v/>
      </c>
      <c r="L2534" s="139">
        <f>IFERROR(IF(ISNUMBER(F2534),F2534-IF(ISNUMBER(K2534),K2534,0),""),"")</f>
        <v/>
      </c>
    </row>
    <row r="2535" ht="24" customHeight="1" s="63">
      <c r="E2535" s="139" t="n"/>
      <c r="F2535" s="139" t="n"/>
      <c r="G2535" s="140">
        <f>IFERROR(IF(E2535&gt;0,(F2535/E2535)*1000,""),"")</f>
        <v/>
      </c>
      <c r="H2535" s="139">
        <f>IFERROR(IF(E2535&gt;0,E2535*IF(ISNUMBER(J2535),J2535,IF(C2535="Futures",$C$6,$C$5)),""),"")</f>
        <v/>
      </c>
      <c r="I2535" s="139">
        <f>IFERROR(IF(AND(ISNUMBER(F2535),ISNUMBER(H2535)),F2535-H2535,""),"")</f>
        <v/>
      </c>
      <c r="J2535" s="114" t="n"/>
      <c r="K2535" s="139">
        <f>IFERROR(IF(H2535&gt;0,H2535*$C$7,""),"")</f>
        <v/>
      </c>
      <c r="L2535" s="139">
        <f>IFERROR(IF(ISNUMBER(F2535),F2535-IF(ISNUMBER(K2535),K2535,0),""),"")</f>
        <v/>
      </c>
    </row>
    <row r="2536" ht="24" customHeight="1" s="63">
      <c r="E2536" s="139" t="n"/>
      <c r="F2536" s="139" t="n"/>
      <c r="G2536" s="140">
        <f>IFERROR(IF(E2536&gt;0,(F2536/E2536)*1000,""),"")</f>
        <v/>
      </c>
      <c r="H2536" s="139">
        <f>IFERROR(IF(E2536&gt;0,E2536*IF(ISNUMBER(J2536),J2536,IF(C2536="Futures",$C$6,$C$5)),""),"")</f>
        <v/>
      </c>
      <c r="I2536" s="139">
        <f>IFERROR(IF(AND(ISNUMBER(F2536),ISNUMBER(H2536)),F2536-H2536,""),"")</f>
        <v/>
      </c>
      <c r="J2536" s="114" t="n"/>
      <c r="K2536" s="139">
        <f>IFERROR(IF(H2536&gt;0,H2536*$C$7,""),"")</f>
        <v/>
      </c>
      <c r="L2536" s="139">
        <f>IFERROR(IF(ISNUMBER(F2536),F2536-IF(ISNUMBER(K2536),K2536,0),""),"")</f>
        <v/>
      </c>
    </row>
    <row r="2537" ht="24" customHeight="1" s="63">
      <c r="E2537" s="139" t="n"/>
      <c r="F2537" s="139" t="n"/>
      <c r="G2537" s="140">
        <f>IFERROR(IF(E2537&gt;0,(F2537/E2537)*1000,""),"")</f>
        <v/>
      </c>
      <c r="H2537" s="139">
        <f>IFERROR(IF(E2537&gt;0,E2537*IF(ISNUMBER(J2537),J2537,IF(C2537="Futures",$C$6,$C$5)),""),"")</f>
        <v/>
      </c>
      <c r="I2537" s="139">
        <f>IFERROR(IF(AND(ISNUMBER(F2537),ISNUMBER(H2537)),F2537-H2537,""),"")</f>
        <v/>
      </c>
      <c r="J2537" s="114" t="n"/>
      <c r="K2537" s="139">
        <f>IFERROR(IF(H2537&gt;0,H2537*$C$7,""),"")</f>
        <v/>
      </c>
      <c r="L2537" s="139">
        <f>IFERROR(IF(ISNUMBER(F2537),F2537-IF(ISNUMBER(K2537),K2537,0),""),"")</f>
        <v/>
      </c>
    </row>
    <row r="2538" ht="24" customHeight="1" s="63">
      <c r="E2538" s="139" t="n"/>
      <c r="F2538" s="139" t="n"/>
      <c r="G2538" s="140">
        <f>IFERROR(IF(E2538&gt;0,(F2538/E2538)*1000,""),"")</f>
        <v/>
      </c>
      <c r="H2538" s="139">
        <f>IFERROR(IF(E2538&gt;0,E2538*IF(ISNUMBER(J2538),J2538,IF(C2538="Futures",$C$6,$C$5)),""),"")</f>
        <v/>
      </c>
      <c r="I2538" s="139">
        <f>IFERROR(IF(AND(ISNUMBER(F2538),ISNUMBER(H2538)),F2538-H2538,""),"")</f>
        <v/>
      </c>
      <c r="J2538" s="114" t="n"/>
      <c r="K2538" s="139">
        <f>IFERROR(IF(H2538&gt;0,H2538*$C$7,""),"")</f>
        <v/>
      </c>
      <c r="L2538" s="139">
        <f>IFERROR(IF(ISNUMBER(F2538),F2538-IF(ISNUMBER(K2538),K2538,0),""),"")</f>
        <v/>
      </c>
    </row>
    <row r="2539" ht="24" customHeight="1" s="63">
      <c r="E2539" s="139" t="n"/>
      <c r="F2539" s="139" t="n"/>
      <c r="G2539" s="140">
        <f>IFERROR(IF(E2539&gt;0,(F2539/E2539)*1000,""),"")</f>
        <v/>
      </c>
      <c r="H2539" s="139">
        <f>IFERROR(IF(E2539&gt;0,E2539*IF(ISNUMBER(J2539),J2539,IF(C2539="Futures",$C$6,$C$5)),""),"")</f>
        <v/>
      </c>
      <c r="I2539" s="139">
        <f>IFERROR(IF(AND(ISNUMBER(F2539),ISNUMBER(H2539)),F2539-H2539,""),"")</f>
        <v/>
      </c>
      <c r="J2539" s="114" t="n"/>
      <c r="K2539" s="139">
        <f>IFERROR(IF(H2539&gt;0,H2539*$C$7,""),"")</f>
        <v/>
      </c>
      <c r="L2539" s="139">
        <f>IFERROR(IF(ISNUMBER(F2539),F2539-IF(ISNUMBER(K2539),K2539,0),""),"")</f>
        <v/>
      </c>
    </row>
    <row r="2540" ht="24" customHeight="1" s="63">
      <c r="E2540" s="139" t="n"/>
      <c r="F2540" s="139" t="n"/>
      <c r="G2540" s="140">
        <f>IFERROR(IF(E2540&gt;0,(F2540/E2540)*1000,""),"")</f>
        <v/>
      </c>
      <c r="H2540" s="139">
        <f>IFERROR(IF(E2540&gt;0,E2540*IF(ISNUMBER(J2540),J2540,IF(C2540="Futures",$C$6,$C$5)),""),"")</f>
        <v/>
      </c>
      <c r="I2540" s="139">
        <f>IFERROR(IF(AND(ISNUMBER(F2540),ISNUMBER(H2540)),F2540-H2540,""),"")</f>
        <v/>
      </c>
      <c r="J2540" s="114" t="n"/>
      <c r="K2540" s="139">
        <f>IFERROR(IF(H2540&gt;0,H2540*$C$7,""),"")</f>
        <v/>
      </c>
      <c r="L2540" s="139">
        <f>IFERROR(IF(ISNUMBER(F2540),F2540-IF(ISNUMBER(K2540),K2540,0),""),"")</f>
        <v/>
      </c>
    </row>
    <row r="2541" ht="24" customHeight="1" s="63">
      <c r="E2541" s="139" t="n"/>
      <c r="F2541" s="139" t="n"/>
      <c r="G2541" s="140">
        <f>IFERROR(IF(E2541&gt;0,(F2541/E2541)*1000,""),"")</f>
        <v/>
      </c>
      <c r="H2541" s="139">
        <f>IFERROR(IF(E2541&gt;0,E2541*IF(ISNUMBER(J2541),J2541,IF(C2541="Futures",$C$6,$C$5)),""),"")</f>
        <v/>
      </c>
      <c r="I2541" s="139">
        <f>IFERROR(IF(AND(ISNUMBER(F2541),ISNUMBER(H2541)),F2541-H2541,""),"")</f>
        <v/>
      </c>
      <c r="J2541" s="114" t="n"/>
      <c r="K2541" s="139">
        <f>IFERROR(IF(H2541&gt;0,H2541*$C$7,""),"")</f>
        <v/>
      </c>
      <c r="L2541" s="139">
        <f>IFERROR(IF(ISNUMBER(F2541),F2541-IF(ISNUMBER(K2541),K2541,0),""),"")</f>
        <v/>
      </c>
    </row>
    <row r="2542" ht="24" customHeight="1" s="63">
      <c r="E2542" s="139" t="n"/>
      <c r="F2542" s="139" t="n"/>
      <c r="G2542" s="140">
        <f>IFERROR(IF(E2542&gt;0,(F2542/E2542)*1000,""),"")</f>
        <v/>
      </c>
      <c r="H2542" s="139">
        <f>IFERROR(IF(E2542&gt;0,E2542*IF(ISNUMBER(J2542),J2542,IF(C2542="Futures",$C$6,$C$5)),""),"")</f>
        <v/>
      </c>
      <c r="I2542" s="139">
        <f>IFERROR(IF(AND(ISNUMBER(F2542),ISNUMBER(H2542)),F2542-H2542,""),"")</f>
        <v/>
      </c>
      <c r="J2542" s="114" t="n"/>
      <c r="K2542" s="139">
        <f>IFERROR(IF(H2542&gt;0,H2542*$C$7,""),"")</f>
        <v/>
      </c>
      <c r="L2542" s="139">
        <f>IFERROR(IF(ISNUMBER(F2542),F2542-IF(ISNUMBER(K2542),K2542,0),""),"")</f>
        <v/>
      </c>
    </row>
    <row r="2543" ht="24" customHeight="1" s="63">
      <c r="E2543" s="139" t="n"/>
      <c r="F2543" s="139" t="n"/>
      <c r="G2543" s="140">
        <f>IFERROR(IF(E2543&gt;0,(F2543/E2543)*1000,""),"")</f>
        <v/>
      </c>
      <c r="H2543" s="139">
        <f>IFERROR(IF(E2543&gt;0,E2543*IF(ISNUMBER(J2543),J2543,IF(C2543="Futures",$C$6,$C$5)),""),"")</f>
        <v/>
      </c>
      <c r="I2543" s="139">
        <f>IFERROR(IF(AND(ISNUMBER(F2543),ISNUMBER(H2543)),F2543-H2543,""),"")</f>
        <v/>
      </c>
      <c r="J2543" s="114" t="n"/>
      <c r="K2543" s="139">
        <f>IFERROR(IF(H2543&gt;0,H2543*$C$7,""),"")</f>
        <v/>
      </c>
      <c r="L2543" s="139">
        <f>IFERROR(IF(ISNUMBER(F2543),F2543-IF(ISNUMBER(K2543),K2543,0),""),"")</f>
        <v/>
      </c>
    </row>
    <row r="2544" ht="24" customHeight="1" s="63">
      <c r="E2544" s="139" t="n"/>
      <c r="F2544" s="139" t="n"/>
      <c r="G2544" s="140">
        <f>IFERROR(IF(E2544&gt;0,(F2544/E2544)*1000,""),"")</f>
        <v/>
      </c>
      <c r="H2544" s="139">
        <f>IFERROR(IF(E2544&gt;0,E2544*IF(ISNUMBER(J2544),J2544,IF(C2544="Futures",$C$6,$C$5)),""),"")</f>
        <v/>
      </c>
      <c r="I2544" s="139">
        <f>IFERROR(IF(AND(ISNUMBER(F2544),ISNUMBER(H2544)),F2544-H2544,""),"")</f>
        <v/>
      </c>
      <c r="J2544" s="114" t="n"/>
      <c r="K2544" s="139">
        <f>IFERROR(IF(H2544&gt;0,H2544*$C$7,""),"")</f>
        <v/>
      </c>
      <c r="L2544" s="139">
        <f>IFERROR(IF(ISNUMBER(F2544),F2544-IF(ISNUMBER(K2544),K2544,0),""),"")</f>
        <v/>
      </c>
    </row>
    <row r="2545" ht="24" customHeight="1" s="63">
      <c r="E2545" s="139" t="n"/>
      <c r="F2545" s="139" t="n"/>
      <c r="G2545" s="140">
        <f>IFERROR(IF(E2545&gt;0,(F2545/E2545)*1000,""),"")</f>
        <v/>
      </c>
      <c r="H2545" s="139">
        <f>IFERROR(IF(E2545&gt;0,E2545*IF(ISNUMBER(J2545),J2545,IF(C2545="Futures",$C$6,$C$5)),""),"")</f>
        <v/>
      </c>
      <c r="I2545" s="139">
        <f>IFERROR(IF(AND(ISNUMBER(F2545),ISNUMBER(H2545)),F2545-H2545,""),"")</f>
        <v/>
      </c>
      <c r="J2545" s="114" t="n"/>
      <c r="K2545" s="139">
        <f>IFERROR(IF(H2545&gt;0,H2545*$C$7,""),"")</f>
        <v/>
      </c>
      <c r="L2545" s="139">
        <f>IFERROR(IF(ISNUMBER(F2545),F2545-IF(ISNUMBER(K2545),K2545,0),""),"")</f>
        <v/>
      </c>
    </row>
    <row r="2546" ht="24" customHeight="1" s="63">
      <c r="E2546" s="139" t="n"/>
      <c r="F2546" s="139" t="n"/>
      <c r="G2546" s="140">
        <f>IFERROR(IF(E2546&gt;0,(F2546/E2546)*1000,""),"")</f>
        <v/>
      </c>
      <c r="H2546" s="139">
        <f>IFERROR(IF(E2546&gt;0,E2546*IF(ISNUMBER(J2546),J2546,IF(C2546="Futures",$C$6,$C$5)),""),"")</f>
        <v/>
      </c>
      <c r="I2546" s="139">
        <f>IFERROR(IF(AND(ISNUMBER(F2546),ISNUMBER(H2546)),F2546-H2546,""),"")</f>
        <v/>
      </c>
      <c r="J2546" s="114" t="n"/>
      <c r="K2546" s="139">
        <f>IFERROR(IF(H2546&gt;0,H2546*$C$7,""),"")</f>
        <v/>
      </c>
      <c r="L2546" s="139">
        <f>IFERROR(IF(ISNUMBER(F2546),F2546-IF(ISNUMBER(K2546),K2546,0),""),"")</f>
        <v/>
      </c>
    </row>
    <row r="2547" ht="24" customHeight="1" s="63">
      <c r="E2547" s="139" t="n"/>
      <c r="F2547" s="139" t="n"/>
      <c r="G2547" s="140">
        <f>IFERROR(IF(E2547&gt;0,(F2547/E2547)*1000,""),"")</f>
        <v/>
      </c>
      <c r="H2547" s="139">
        <f>IFERROR(IF(E2547&gt;0,E2547*IF(ISNUMBER(J2547),J2547,IF(C2547="Futures",$C$6,$C$5)),""),"")</f>
        <v/>
      </c>
      <c r="I2547" s="139">
        <f>IFERROR(IF(AND(ISNUMBER(F2547),ISNUMBER(H2547)),F2547-H2547,""),"")</f>
        <v/>
      </c>
      <c r="J2547" s="114" t="n"/>
      <c r="K2547" s="139">
        <f>IFERROR(IF(H2547&gt;0,H2547*$C$7,""),"")</f>
        <v/>
      </c>
      <c r="L2547" s="139">
        <f>IFERROR(IF(ISNUMBER(F2547),F2547-IF(ISNUMBER(K2547),K2547,0),""),"")</f>
        <v/>
      </c>
    </row>
    <row r="2548" ht="24" customHeight="1" s="63">
      <c r="E2548" s="139" t="n"/>
      <c r="F2548" s="139" t="n"/>
      <c r="G2548" s="140">
        <f>IFERROR(IF(E2548&gt;0,(F2548/E2548)*1000,""),"")</f>
        <v/>
      </c>
      <c r="H2548" s="139">
        <f>IFERROR(IF(E2548&gt;0,E2548*IF(ISNUMBER(J2548),J2548,IF(C2548="Futures",$C$6,$C$5)),""),"")</f>
        <v/>
      </c>
      <c r="I2548" s="139">
        <f>IFERROR(IF(AND(ISNUMBER(F2548),ISNUMBER(H2548)),F2548-H2548,""),"")</f>
        <v/>
      </c>
      <c r="J2548" s="114" t="n"/>
      <c r="K2548" s="139">
        <f>IFERROR(IF(H2548&gt;0,H2548*$C$7,""),"")</f>
        <v/>
      </c>
      <c r="L2548" s="139">
        <f>IFERROR(IF(ISNUMBER(F2548),F2548-IF(ISNUMBER(K2548),K2548,0),""),"")</f>
        <v/>
      </c>
    </row>
    <row r="2549" ht="24" customHeight="1" s="63">
      <c r="E2549" s="139" t="n"/>
      <c r="F2549" s="139" t="n"/>
      <c r="G2549" s="140">
        <f>IFERROR(IF(E2549&gt;0,(F2549/E2549)*1000,""),"")</f>
        <v/>
      </c>
      <c r="H2549" s="139">
        <f>IFERROR(IF(E2549&gt;0,E2549*IF(ISNUMBER(J2549),J2549,IF(C2549="Futures",$C$6,$C$5)),""),"")</f>
        <v/>
      </c>
      <c r="I2549" s="139">
        <f>IFERROR(IF(AND(ISNUMBER(F2549),ISNUMBER(H2549)),F2549-H2549,""),"")</f>
        <v/>
      </c>
      <c r="J2549" s="114" t="n"/>
      <c r="K2549" s="139">
        <f>IFERROR(IF(H2549&gt;0,H2549*$C$7,""),"")</f>
        <v/>
      </c>
      <c r="L2549" s="139">
        <f>IFERROR(IF(ISNUMBER(F2549),F2549-IF(ISNUMBER(K2549),K2549,0),""),"")</f>
        <v/>
      </c>
    </row>
    <row r="2550" ht="24" customHeight="1" s="63">
      <c r="E2550" s="139" t="n"/>
      <c r="F2550" s="139" t="n"/>
      <c r="G2550" s="140">
        <f>IFERROR(IF(E2550&gt;0,(F2550/E2550)*1000,""),"")</f>
        <v/>
      </c>
      <c r="H2550" s="139">
        <f>IFERROR(IF(E2550&gt;0,E2550*IF(ISNUMBER(J2550),J2550,IF(C2550="Futures",$C$6,$C$5)),""),"")</f>
        <v/>
      </c>
      <c r="I2550" s="139">
        <f>IFERROR(IF(AND(ISNUMBER(F2550),ISNUMBER(H2550)),F2550-H2550,""),"")</f>
        <v/>
      </c>
      <c r="J2550" s="114" t="n"/>
      <c r="K2550" s="139">
        <f>IFERROR(IF(H2550&gt;0,H2550*$C$7,""),"")</f>
        <v/>
      </c>
      <c r="L2550" s="139">
        <f>IFERROR(IF(ISNUMBER(F2550),F2550-IF(ISNUMBER(K2550),K2550,0),""),"")</f>
        <v/>
      </c>
    </row>
    <row r="2551" ht="24" customHeight="1" s="63">
      <c r="E2551" s="139" t="n"/>
      <c r="F2551" s="139" t="n"/>
      <c r="G2551" s="140">
        <f>IFERROR(IF(E2551&gt;0,(F2551/E2551)*1000,""),"")</f>
        <v/>
      </c>
      <c r="H2551" s="139">
        <f>IFERROR(IF(E2551&gt;0,E2551*IF(ISNUMBER(J2551),J2551,IF(C2551="Futures",$C$6,$C$5)),""),"")</f>
        <v/>
      </c>
      <c r="I2551" s="139">
        <f>IFERROR(IF(AND(ISNUMBER(F2551),ISNUMBER(H2551)),F2551-H2551,""),"")</f>
        <v/>
      </c>
      <c r="J2551" s="114" t="n"/>
      <c r="K2551" s="139">
        <f>IFERROR(IF(H2551&gt;0,H2551*$C$7,""),"")</f>
        <v/>
      </c>
      <c r="L2551" s="139">
        <f>IFERROR(IF(ISNUMBER(F2551),F2551-IF(ISNUMBER(K2551),K2551,0),""),"")</f>
        <v/>
      </c>
    </row>
    <row r="2552" ht="24" customHeight="1" s="63">
      <c r="E2552" s="139" t="n"/>
      <c r="F2552" s="139" t="n"/>
      <c r="G2552" s="140">
        <f>IFERROR(IF(E2552&gt;0,(F2552/E2552)*1000,""),"")</f>
        <v/>
      </c>
      <c r="H2552" s="139">
        <f>IFERROR(IF(E2552&gt;0,E2552*IF(ISNUMBER(J2552),J2552,IF(C2552="Futures",$C$6,$C$5)),""),"")</f>
        <v/>
      </c>
      <c r="I2552" s="139">
        <f>IFERROR(IF(AND(ISNUMBER(F2552),ISNUMBER(H2552)),F2552-H2552,""),"")</f>
        <v/>
      </c>
      <c r="J2552" s="114" t="n"/>
      <c r="K2552" s="139">
        <f>IFERROR(IF(H2552&gt;0,H2552*$C$7,""),"")</f>
        <v/>
      </c>
      <c r="L2552" s="139">
        <f>IFERROR(IF(ISNUMBER(F2552),F2552-IF(ISNUMBER(K2552),K2552,0),""),"")</f>
        <v/>
      </c>
    </row>
    <row r="2553" ht="24" customHeight="1" s="63">
      <c r="E2553" s="139" t="n"/>
      <c r="F2553" s="139" t="n"/>
      <c r="G2553" s="140">
        <f>IFERROR(IF(E2553&gt;0,(F2553/E2553)*1000,""),"")</f>
        <v/>
      </c>
      <c r="H2553" s="139">
        <f>IFERROR(IF(E2553&gt;0,E2553*IF(ISNUMBER(J2553),J2553,IF(C2553="Futures",$C$6,$C$5)),""),"")</f>
        <v/>
      </c>
      <c r="I2553" s="139">
        <f>IFERROR(IF(AND(ISNUMBER(F2553),ISNUMBER(H2553)),F2553-H2553,""),"")</f>
        <v/>
      </c>
      <c r="J2553" s="114" t="n"/>
      <c r="K2553" s="139">
        <f>IFERROR(IF(H2553&gt;0,H2553*$C$7,""),"")</f>
        <v/>
      </c>
      <c r="L2553" s="139">
        <f>IFERROR(IF(ISNUMBER(F2553),F2553-IF(ISNUMBER(K2553),K2553,0),""),"")</f>
        <v/>
      </c>
    </row>
    <row r="2554" ht="24" customHeight="1" s="63">
      <c r="E2554" s="139" t="n"/>
      <c r="F2554" s="139" t="n"/>
      <c r="G2554" s="140">
        <f>IFERROR(IF(E2554&gt;0,(F2554/E2554)*1000,""),"")</f>
        <v/>
      </c>
      <c r="H2554" s="139">
        <f>IFERROR(IF(E2554&gt;0,E2554*IF(ISNUMBER(J2554),J2554,IF(C2554="Futures",$C$6,$C$5)),""),"")</f>
        <v/>
      </c>
      <c r="I2554" s="139">
        <f>IFERROR(IF(AND(ISNUMBER(F2554),ISNUMBER(H2554)),F2554-H2554,""),"")</f>
        <v/>
      </c>
      <c r="J2554" s="114" t="n"/>
      <c r="K2554" s="139">
        <f>IFERROR(IF(H2554&gt;0,H2554*$C$7,""),"")</f>
        <v/>
      </c>
      <c r="L2554" s="139">
        <f>IFERROR(IF(ISNUMBER(F2554),F2554-IF(ISNUMBER(K2554),K2554,0),""),"")</f>
        <v/>
      </c>
    </row>
    <row r="2555" ht="24" customHeight="1" s="63">
      <c r="E2555" s="139" t="n"/>
      <c r="F2555" s="139" t="n"/>
      <c r="G2555" s="140">
        <f>IFERROR(IF(E2555&gt;0,(F2555/E2555)*1000,""),"")</f>
        <v/>
      </c>
      <c r="H2555" s="139">
        <f>IFERROR(IF(E2555&gt;0,E2555*IF(ISNUMBER(J2555),J2555,IF(C2555="Futures",$C$6,$C$5)),""),"")</f>
        <v/>
      </c>
      <c r="I2555" s="139">
        <f>IFERROR(IF(AND(ISNUMBER(F2555),ISNUMBER(H2555)),F2555-H2555,""),"")</f>
        <v/>
      </c>
      <c r="J2555" s="114" t="n"/>
      <c r="K2555" s="139">
        <f>IFERROR(IF(H2555&gt;0,H2555*$C$7,""),"")</f>
        <v/>
      </c>
      <c r="L2555" s="139">
        <f>IFERROR(IF(ISNUMBER(F2555),F2555-IF(ISNUMBER(K2555),K2555,0),""),"")</f>
        <v/>
      </c>
    </row>
    <row r="2556" ht="24" customHeight="1" s="63">
      <c r="E2556" s="139" t="n"/>
      <c r="F2556" s="139" t="n"/>
      <c r="G2556" s="140">
        <f>IFERROR(IF(E2556&gt;0,(F2556/E2556)*1000,""),"")</f>
        <v/>
      </c>
      <c r="H2556" s="139">
        <f>IFERROR(IF(E2556&gt;0,E2556*IF(ISNUMBER(J2556),J2556,IF(C2556="Futures",$C$6,$C$5)),""),"")</f>
        <v/>
      </c>
      <c r="I2556" s="139">
        <f>IFERROR(IF(AND(ISNUMBER(F2556),ISNUMBER(H2556)),F2556-H2556,""),"")</f>
        <v/>
      </c>
      <c r="J2556" s="114" t="n"/>
      <c r="K2556" s="139">
        <f>IFERROR(IF(H2556&gt;0,H2556*$C$7,""),"")</f>
        <v/>
      </c>
      <c r="L2556" s="139">
        <f>IFERROR(IF(ISNUMBER(F2556),F2556-IF(ISNUMBER(K2556),K2556,0),""),"")</f>
        <v/>
      </c>
    </row>
    <row r="2557" ht="24" customHeight="1" s="63">
      <c r="E2557" s="139" t="n"/>
      <c r="F2557" s="139" t="n"/>
      <c r="G2557" s="140">
        <f>IFERROR(IF(E2557&gt;0,(F2557/E2557)*1000,""),"")</f>
        <v/>
      </c>
      <c r="H2557" s="139">
        <f>IFERROR(IF(E2557&gt;0,E2557*IF(ISNUMBER(J2557),J2557,IF(C2557="Futures",$C$6,$C$5)),""),"")</f>
        <v/>
      </c>
      <c r="I2557" s="139">
        <f>IFERROR(IF(AND(ISNUMBER(F2557),ISNUMBER(H2557)),F2557-H2557,""),"")</f>
        <v/>
      </c>
      <c r="J2557" s="114" t="n"/>
      <c r="K2557" s="139">
        <f>IFERROR(IF(H2557&gt;0,H2557*$C$7,""),"")</f>
        <v/>
      </c>
      <c r="L2557" s="139">
        <f>IFERROR(IF(ISNUMBER(F2557),F2557-IF(ISNUMBER(K2557),K2557,0),""),"")</f>
        <v/>
      </c>
    </row>
    <row r="2558" ht="24" customHeight="1" s="63">
      <c r="E2558" s="139" t="n"/>
      <c r="F2558" s="139" t="n"/>
      <c r="G2558" s="140">
        <f>IFERROR(IF(E2558&gt;0,(F2558/E2558)*1000,""),"")</f>
        <v/>
      </c>
      <c r="H2558" s="139">
        <f>IFERROR(IF(E2558&gt;0,E2558*IF(ISNUMBER(J2558),J2558,IF(C2558="Futures",$C$6,$C$5)),""),"")</f>
        <v/>
      </c>
      <c r="I2558" s="139">
        <f>IFERROR(IF(AND(ISNUMBER(F2558),ISNUMBER(H2558)),F2558-H2558,""),"")</f>
        <v/>
      </c>
      <c r="J2558" s="114" t="n"/>
      <c r="K2558" s="139">
        <f>IFERROR(IF(H2558&gt;0,H2558*$C$7,""),"")</f>
        <v/>
      </c>
      <c r="L2558" s="139">
        <f>IFERROR(IF(ISNUMBER(F2558),F2558-IF(ISNUMBER(K2558),K2558,0),""),"")</f>
        <v/>
      </c>
    </row>
    <row r="2559" ht="24" customHeight="1" s="63">
      <c r="E2559" s="139" t="n"/>
      <c r="F2559" s="139" t="n"/>
      <c r="G2559" s="140">
        <f>IFERROR(IF(E2559&gt;0,(F2559/E2559)*1000,""),"")</f>
        <v/>
      </c>
      <c r="H2559" s="139">
        <f>IFERROR(IF(E2559&gt;0,E2559*IF(ISNUMBER(J2559),J2559,IF(C2559="Futures",$C$6,$C$5)),""),"")</f>
        <v/>
      </c>
      <c r="I2559" s="139">
        <f>IFERROR(IF(AND(ISNUMBER(F2559),ISNUMBER(H2559)),F2559-H2559,""),"")</f>
        <v/>
      </c>
      <c r="J2559" s="114" t="n"/>
      <c r="K2559" s="139">
        <f>IFERROR(IF(H2559&gt;0,H2559*$C$7,""),"")</f>
        <v/>
      </c>
      <c r="L2559" s="139">
        <f>IFERROR(IF(ISNUMBER(F2559),F2559-IF(ISNUMBER(K2559),K2559,0),""),"")</f>
        <v/>
      </c>
    </row>
    <row r="2560" ht="24" customHeight="1" s="63">
      <c r="E2560" s="139" t="n"/>
      <c r="F2560" s="139" t="n"/>
      <c r="G2560" s="140">
        <f>IFERROR(IF(E2560&gt;0,(F2560/E2560)*1000,""),"")</f>
        <v/>
      </c>
      <c r="H2560" s="139">
        <f>IFERROR(IF(E2560&gt;0,E2560*IF(ISNUMBER(J2560),J2560,IF(C2560="Futures",$C$6,$C$5)),""),"")</f>
        <v/>
      </c>
      <c r="I2560" s="139">
        <f>IFERROR(IF(AND(ISNUMBER(F2560),ISNUMBER(H2560)),F2560-H2560,""),"")</f>
        <v/>
      </c>
      <c r="J2560" s="114" t="n"/>
      <c r="K2560" s="139">
        <f>IFERROR(IF(H2560&gt;0,H2560*$C$7,""),"")</f>
        <v/>
      </c>
      <c r="L2560" s="139">
        <f>IFERROR(IF(ISNUMBER(F2560),F2560-IF(ISNUMBER(K2560),K2560,0),""),"")</f>
        <v/>
      </c>
    </row>
    <row r="2561" ht="24" customHeight="1" s="63">
      <c r="E2561" s="139" t="n"/>
      <c r="F2561" s="139" t="n"/>
      <c r="G2561" s="140">
        <f>IFERROR(IF(E2561&gt;0,(F2561/E2561)*1000,""),"")</f>
        <v/>
      </c>
      <c r="H2561" s="139">
        <f>IFERROR(IF(E2561&gt;0,E2561*IF(ISNUMBER(J2561),J2561,IF(C2561="Futures",$C$6,$C$5)),""),"")</f>
        <v/>
      </c>
      <c r="I2561" s="139">
        <f>IFERROR(IF(AND(ISNUMBER(F2561),ISNUMBER(H2561)),F2561-H2561,""),"")</f>
        <v/>
      </c>
      <c r="J2561" s="114" t="n"/>
      <c r="K2561" s="139">
        <f>IFERROR(IF(H2561&gt;0,H2561*$C$7,""),"")</f>
        <v/>
      </c>
      <c r="L2561" s="139">
        <f>IFERROR(IF(ISNUMBER(F2561),F2561-IF(ISNUMBER(K2561),K2561,0),""),"")</f>
        <v/>
      </c>
    </row>
    <row r="2562" ht="24" customHeight="1" s="63">
      <c r="E2562" s="139" t="n"/>
      <c r="F2562" s="139" t="n"/>
      <c r="G2562" s="140">
        <f>IFERROR(IF(E2562&gt;0,(F2562/E2562)*1000,""),"")</f>
        <v/>
      </c>
      <c r="H2562" s="139">
        <f>IFERROR(IF(E2562&gt;0,E2562*IF(ISNUMBER(J2562),J2562,IF(C2562="Futures",$C$6,$C$5)),""),"")</f>
        <v/>
      </c>
      <c r="I2562" s="139">
        <f>IFERROR(IF(AND(ISNUMBER(F2562),ISNUMBER(H2562)),F2562-H2562,""),"")</f>
        <v/>
      </c>
      <c r="J2562" s="114" t="n"/>
      <c r="K2562" s="139">
        <f>IFERROR(IF(H2562&gt;0,H2562*$C$7,""),"")</f>
        <v/>
      </c>
      <c r="L2562" s="139">
        <f>IFERROR(IF(ISNUMBER(F2562),F2562-IF(ISNUMBER(K2562),K2562,0),""),"")</f>
        <v/>
      </c>
    </row>
    <row r="2563" ht="24" customHeight="1" s="63">
      <c r="E2563" s="139" t="n"/>
      <c r="F2563" s="139" t="n"/>
      <c r="G2563" s="140">
        <f>IFERROR(IF(E2563&gt;0,(F2563/E2563)*1000,""),"")</f>
        <v/>
      </c>
      <c r="H2563" s="139">
        <f>IFERROR(IF(E2563&gt;0,E2563*IF(ISNUMBER(J2563),J2563,IF(C2563="Futures",$C$6,$C$5)),""),"")</f>
        <v/>
      </c>
      <c r="I2563" s="139">
        <f>IFERROR(IF(AND(ISNUMBER(F2563),ISNUMBER(H2563)),F2563-H2563,""),"")</f>
        <v/>
      </c>
      <c r="J2563" s="114" t="n"/>
      <c r="K2563" s="139">
        <f>IFERROR(IF(H2563&gt;0,H2563*$C$7,""),"")</f>
        <v/>
      </c>
      <c r="L2563" s="139">
        <f>IFERROR(IF(ISNUMBER(F2563),F2563-IF(ISNUMBER(K2563),K2563,0),""),"")</f>
        <v/>
      </c>
    </row>
    <row r="2564" ht="24" customHeight="1" s="63">
      <c r="E2564" s="139" t="n"/>
      <c r="F2564" s="139" t="n"/>
      <c r="G2564" s="140">
        <f>IFERROR(IF(E2564&gt;0,(F2564/E2564)*1000,""),"")</f>
        <v/>
      </c>
      <c r="H2564" s="139">
        <f>IFERROR(IF(E2564&gt;0,E2564*IF(ISNUMBER(J2564),J2564,IF(C2564="Futures",$C$6,$C$5)),""),"")</f>
        <v/>
      </c>
      <c r="I2564" s="139">
        <f>IFERROR(IF(AND(ISNUMBER(F2564),ISNUMBER(H2564)),F2564-H2564,""),"")</f>
        <v/>
      </c>
      <c r="J2564" s="114" t="n"/>
      <c r="K2564" s="139">
        <f>IFERROR(IF(H2564&gt;0,H2564*$C$7,""),"")</f>
        <v/>
      </c>
      <c r="L2564" s="139">
        <f>IFERROR(IF(ISNUMBER(F2564),F2564-IF(ISNUMBER(K2564),K2564,0),""),"")</f>
        <v/>
      </c>
    </row>
    <row r="2565" ht="24" customHeight="1" s="63">
      <c r="E2565" s="139" t="n"/>
      <c r="F2565" s="139" t="n"/>
      <c r="G2565" s="140">
        <f>IFERROR(IF(E2565&gt;0,(F2565/E2565)*1000,""),"")</f>
        <v/>
      </c>
      <c r="H2565" s="139">
        <f>IFERROR(IF(E2565&gt;0,E2565*IF(ISNUMBER(J2565),J2565,IF(C2565="Futures",$C$6,$C$5)),""),"")</f>
        <v/>
      </c>
      <c r="I2565" s="139">
        <f>IFERROR(IF(AND(ISNUMBER(F2565),ISNUMBER(H2565)),F2565-H2565,""),"")</f>
        <v/>
      </c>
      <c r="J2565" s="114" t="n"/>
      <c r="K2565" s="139">
        <f>IFERROR(IF(H2565&gt;0,H2565*$C$7,""),"")</f>
        <v/>
      </c>
      <c r="L2565" s="139">
        <f>IFERROR(IF(ISNUMBER(F2565),F2565-IF(ISNUMBER(K2565),K2565,0),""),"")</f>
        <v/>
      </c>
    </row>
    <row r="2566" ht="24" customHeight="1" s="63">
      <c r="E2566" s="139" t="n"/>
      <c r="F2566" s="139" t="n"/>
      <c r="G2566" s="140">
        <f>IFERROR(IF(E2566&gt;0,(F2566/E2566)*1000,""),"")</f>
        <v/>
      </c>
      <c r="H2566" s="139">
        <f>IFERROR(IF(E2566&gt;0,E2566*IF(ISNUMBER(J2566),J2566,IF(C2566="Futures",$C$6,$C$5)),""),"")</f>
        <v/>
      </c>
      <c r="I2566" s="139">
        <f>IFERROR(IF(AND(ISNUMBER(F2566),ISNUMBER(H2566)),F2566-H2566,""),"")</f>
        <v/>
      </c>
      <c r="J2566" s="114" t="n"/>
      <c r="K2566" s="139">
        <f>IFERROR(IF(H2566&gt;0,H2566*$C$7,""),"")</f>
        <v/>
      </c>
      <c r="L2566" s="139">
        <f>IFERROR(IF(ISNUMBER(F2566),F2566-IF(ISNUMBER(K2566),K2566,0),""),"")</f>
        <v/>
      </c>
    </row>
    <row r="2567" ht="24" customHeight="1" s="63">
      <c r="E2567" s="139" t="n"/>
      <c r="F2567" s="139" t="n"/>
      <c r="G2567" s="140">
        <f>IFERROR(IF(E2567&gt;0,(F2567/E2567)*1000,""),"")</f>
        <v/>
      </c>
      <c r="H2567" s="139">
        <f>IFERROR(IF(E2567&gt;0,E2567*IF(ISNUMBER(J2567),J2567,IF(C2567="Futures",$C$6,$C$5)),""),"")</f>
        <v/>
      </c>
      <c r="I2567" s="139">
        <f>IFERROR(IF(AND(ISNUMBER(F2567),ISNUMBER(H2567)),F2567-H2567,""),"")</f>
        <v/>
      </c>
      <c r="J2567" s="114" t="n"/>
      <c r="K2567" s="139">
        <f>IFERROR(IF(H2567&gt;0,H2567*$C$7,""),"")</f>
        <v/>
      </c>
      <c r="L2567" s="139">
        <f>IFERROR(IF(ISNUMBER(F2567),F2567-IF(ISNUMBER(K2567),K2567,0),""),"")</f>
        <v/>
      </c>
    </row>
    <row r="2568" ht="24" customHeight="1" s="63">
      <c r="E2568" s="139" t="n"/>
      <c r="F2568" s="139" t="n"/>
      <c r="G2568" s="140">
        <f>IFERROR(IF(E2568&gt;0,(F2568/E2568)*1000,""),"")</f>
        <v/>
      </c>
      <c r="H2568" s="139">
        <f>IFERROR(IF(E2568&gt;0,E2568*IF(ISNUMBER(J2568),J2568,IF(C2568="Futures",$C$6,$C$5)),""),"")</f>
        <v/>
      </c>
      <c r="I2568" s="139">
        <f>IFERROR(IF(AND(ISNUMBER(F2568),ISNUMBER(H2568)),F2568-H2568,""),"")</f>
        <v/>
      </c>
      <c r="J2568" s="114" t="n"/>
      <c r="K2568" s="139">
        <f>IFERROR(IF(H2568&gt;0,H2568*$C$7,""),"")</f>
        <v/>
      </c>
      <c r="L2568" s="139">
        <f>IFERROR(IF(ISNUMBER(F2568),F2568-IF(ISNUMBER(K2568),K2568,0),""),"")</f>
        <v/>
      </c>
    </row>
    <row r="2569" ht="24" customHeight="1" s="63">
      <c r="E2569" s="139" t="n"/>
      <c r="F2569" s="139" t="n"/>
      <c r="G2569" s="140">
        <f>IFERROR(IF(E2569&gt;0,(F2569/E2569)*1000,""),"")</f>
        <v/>
      </c>
      <c r="H2569" s="139">
        <f>IFERROR(IF(E2569&gt;0,E2569*IF(ISNUMBER(J2569),J2569,IF(C2569="Futures",$C$6,$C$5)),""),"")</f>
        <v/>
      </c>
      <c r="I2569" s="139">
        <f>IFERROR(IF(AND(ISNUMBER(F2569),ISNUMBER(H2569)),F2569-H2569,""),"")</f>
        <v/>
      </c>
      <c r="J2569" s="114" t="n"/>
      <c r="K2569" s="139">
        <f>IFERROR(IF(H2569&gt;0,H2569*$C$7,""),"")</f>
        <v/>
      </c>
      <c r="L2569" s="139">
        <f>IFERROR(IF(ISNUMBER(F2569),F2569-IF(ISNUMBER(K2569),K2569,0),""),"")</f>
        <v/>
      </c>
    </row>
    <row r="2570" ht="24" customHeight="1" s="63">
      <c r="E2570" s="139" t="n"/>
      <c r="F2570" s="139" t="n"/>
      <c r="G2570" s="140">
        <f>IFERROR(IF(E2570&gt;0,(F2570/E2570)*1000,""),"")</f>
        <v/>
      </c>
      <c r="H2570" s="139">
        <f>IFERROR(IF(E2570&gt;0,E2570*IF(ISNUMBER(J2570),J2570,IF(C2570="Futures",$C$6,$C$5)),""),"")</f>
        <v/>
      </c>
      <c r="I2570" s="139">
        <f>IFERROR(IF(AND(ISNUMBER(F2570),ISNUMBER(H2570)),F2570-H2570,""),"")</f>
        <v/>
      </c>
      <c r="J2570" s="114" t="n"/>
      <c r="K2570" s="139">
        <f>IFERROR(IF(H2570&gt;0,H2570*$C$7,""),"")</f>
        <v/>
      </c>
      <c r="L2570" s="139">
        <f>IFERROR(IF(ISNUMBER(F2570),F2570-IF(ISNUMBER(K2570),K2570,0),""),"")</f>
        <v/>
      </c>
    </row>
    <row r="2571" ht="24" customHeight="1" s="63">
      <c r="E2571" s="139" t="n"/>
      <c r="F2571" s="139" t="n"/>
      <c r="G2571" s="140">
        <f>IFERROR(IF(E2571&gt;0,(F2571/E2571)*1000,""),"")</f>
        <v/>
      </c>
      <c r="H2571" s="139">
        <f>IFERROR(IF(E2571&gt;0,E2571*IF(ISNUMBER(J2571),J2571,IF(C2571="Futures",$C$6,$C$5)),""),"")</f>
        <v/>
      </c>
      <c r="I2571" s="139">
        <f>IFERROR(IF(AND(ISNUMBER(F2571),ISNUMBER(H2571)),F2571-H2571,""),"")</f>
        <v/>
      </c>
      <c r="J2571" s="114" t="n"/>
      <c r="K2571" s="139">
        <f>IFERROR(IF(H2571&gt;0,H2571*$C$7,""),"")</f>
        <v/>
      </c>
      <c r="L2571" s="139">
        <f>IFERROR(IF(ISNUMBER(F2571),F2571-IF(ISNUMBER(K2571),K2571,0),""),"")</f>
        <v/>
      </c>
    </row>
    <row r="2572" ht="24" customHeight="1" s="63">
      <c r="E2572" s="139" t="n"/>
      <c r="F2572" s="139" t="n"/>
      <c r="G2572" s="140">
        <f>IFERROR(IF(E2572&gt;0,(F2572/E2572)*1000,""),"")</f>
        <v/>
      </c>
      <c r="H2572" s="139">
        <f>IFERROR(IF(E2572&gt;0,E2572*IF(ISNUMBER(J2572),J2572,IF(C2572="Futures",$C$6,$C$5)),""),"")</f>
        <v/>
      </c>
      <c r="I2572" s="139">
        <f>IFERROR(IF(AND(ISNUMBER(F2572),ISNUMBER(H2572)),F2572-H2572,""),"")</f>
        <v/>
      </c>
      <c r="J2572" s="114" t="n"/>
      <c r="K2572" s="139">
        <f>IFERROR(IF(H2572&gt;0,H2572*$C$7,""),"")</f>
        <v/>
      </c>
      <c r="L2572" s="139">
        <f>IFERROR(IF(ISNUMBER(F2572),F2572-IF(ISNUMBER(K2572),K2572,0),""),"")</f>
        <v/>
      </c>
    </row>
    <row r="2573" ht="24" customHeight="1" s="63">
      <c r="E2573" s="139" t="n"/>
      <c r="F2573" s="139" t="n"/>
      <c r="G2573" s="140">
        <f>IFERROR(IF(E2573&gt;0,(F2573/E2573)*1000,""),"")</f>
        <v/>
      </c>
      <c r="H2573" s="139">
        <f>IFERROR(IF(E2573&gt;0,E2573*IF(ISNUMBER(J2573),J2573,IF(C2573="Futures",$C$6,$C$5)),""),"")</f>
        <v/>
      </c>
      <c r="I2573" s="139">
        <f>IFERROR(IF(AND(ISNUMBER(F2573),ISNUMBER(H2573)),F2573-H2573,""),"")</f>
        <v/>
      </c>
      <c r="J2573" s="114" t="n"/>
      <c r="K2573" s="139">
        <f>IFERROR(IF(H2573&gt;0,H2573*$C$7,""),"")</f>
        <v/>
      </c>
      <c r="L2573" s="139">
        <f>IFERROR(IF(ISNUMBER(F2573),F2573-IF(ISNUMBER(K2573),K2573,0),""),"")</f>
        <v/>
      </c>
    </row>
    <row r="2574" ht="24" customHeight="1" s="63">
      <c r="E2574" s="139" t="n"/>
      <c r="F2574" s="139" t="n"/>
      <c r="G2574" s="140">
        <f>IFERROR(IF(E2574&gt;0,(F2574/E2574)*1000,""),"")</f>
        <v/>
      </c>
      <c r="H2574" s="139">
        <f>IFERROR(IF(E2574&gt;0,E2574*IF(ISNUMBER(J2574),J2574,IF(C2574="Futures",$C$6,$C$5)),""),"")</f>
        <v/>
      </c>
      <c r="I2574" s="139">
        <f>IFERROR(IF(AND(ISNUMBER(F2574),ISNUMBER(H2574)),F2574-H2574,""),"")</f>
        <v/>
      </c>
      <c r="J2574" s="114" t="n"/>
      <c r="K2574" s="139">
        <f>IFERROR(IF(H2574&gt;0,H2574*$C$7,""),"")</f>
        <v/>
      </c>
      <c r="L2574" s="139">
        <f>IFERROR(IF(ISNUMBER(F2574),F2574-IF(ISNUMBER(K2574),K2574,0),""),"")</f>
        <v/>
      </c>
    </row>
    <row r="2575" ht="24" customHeight="1" s="63">
      <c r="E2575" s="139" t="n"/>
      <c r="F2575" s="139" t="n"/>
      <c r="G2575" s="140">
        <f>IFERROR(IF(E2575&gt;0,(F2575/E2575)*1000,""),"")</f>
        <v/>
      </c>
      <c r="H2575" s="139">
        <f>IFERROR(IF(E2575&gt;0,E2575*IF(ISNUMBER(J2575),J2575,IF(C2575="Futures",$C$6,$C$5)),""),"")</f>
        <v/>
      </c>
      <c r="I2575" s="139">
        <f>IFERROR(IF(AND(ISNUMBER(F2575),ISNUMBER(H2575)),F2575-H2575,""),"")</f>
        <v/>
      </c>
      <c r="J2575" s="114" t="n"/>
      <c r="K2575" s="139">
        <f>IFERROR(IF(H2575&gt;0,H2575*$C$7,""),"")</f>
        <v/>
      </c>
      <c r="L2575" s="139">
        <f>IFERROR(IF(ISNUMBER(F2575),F2575-IF(ISNUMBER(K2575),K2575,0),""),"")</f>
        <v/>
      </c>
    </row>
    <row r="2576" ht="24" customHeight="1" s="63">
      <c r="E2576" s="139" t="n"/>
      <c r="F2576" s="139" t="n"/>
      <c r="G2576" s="140">
        <f>IFERROR(IF(E2576&gt;0,(F2576/E2576)*1000,""),"")</f>
        <v/>
      </c>
      <c r="H2576" s="139">
        <f>IFERROR(IF(E2576&gt;0,E2576*IF(ISNUMBER(J2576),J2576,IF(C2576="Futures",$C$6,$C$5)),""),"")</f>
        <v/>
      </c>
      <c r="I2576" s="139">
        <f>IFERROR(IF(AND(ISNUMBER(F2576),ISNUMBER(H2576)),F2576-H2576,""),"")</f>
        <v/>
      </c>
      <c r="J2576" s="114" t="n"/>
      <c r="K2576" s="139">
        <f>IFERROR(IF(H2576&gt;0,H2576*$C$7,""),"")</f>
        <v/>
      </c>
      <c r="L2576" s="139">
        <f>IFERROR(IF(ISNUMBER(F2576),F2576-IF(ISNUMBER(K2576),K2576,0),""),"")</f>
        <v/>
      </c>
    </row>
    <row r="2577" ht="24" customHeight="1" s="63">
      <c r="E2577" s="139" t="n"/>
      <c r="F2577" s="139" t="n"/>
      <c r="G2577" s="140">
        <f>IFERROR(IF(E2577&gt;0,(F2577/E2577)*1000,""),"")</f>
        <v/>
      </c>
      <c r="H2577" s="139">
        <f>IFERROR(IF(E2577&gt;0,E2577*IF(ISNUMBER(J2577),J2577,IF(C2577="Futures",$C$6,$C$5)),""),"")</f>
        <v/>
      </c>
      <c r="I2577" s="139">
        <f>IFERROR(IF(AND(ISNUMBER(F2577),ISNUMBER(H2577)),F2577-H2577,""),"")</f>
        <v/>
      </c>
      <c r="J2577" s="114" t="n"/>
      <c r="K2577" s="139">
        <f>IFERROR(IF(H2577&gt;0,H2577*$C$7,""),"")</f>
        <v/>
      </c>
      <c r="L2577" s="139">
        <f>IFERROR(IF(ISNUMBER(F2577),F2577-IF(ISNUMBER(K2577),K2577,0),""),"")</f>
        <v/>
      </c>
    </row>
    <row r="2578" ht="24" customHeight="1" s="63">
      <c r="E2578" s="139" t="n"/>
      <c r="F2578" s="139" t="n"/>
      <c r="G2578" s="140">
        <f>IFERROR(IF(E2578&gt;0,(F2578/E2578)*1000,""),"")</f>
        <v/>
      </c>
      <c r="H2578" s="139">
        <f>IFERROR(IF(E2578&gt;0,E2578*IF(ISNUMBER(J2578),J2578,IF(C2578="Futures",$C$6,$C$5)),""),"")</f>
        <v/>
      </c>
      <c r="I2578" s="139">
        <f>IFERROR(IF(AND(ISNUMBER(F2578),ISNUMBER(H2578)),F2578-H2578,""),"")</f>
        <v/>
      </c>
      <c r="J2578" s="114" t="n"/>
      <c r="K2578" s="139">
        <f>IFERROR(IF(H2578&gt;0,H2578*$C$7,""),"")</f>
        <v/>
      </c>
      <c r="L2578" s="139">
        <f>IFERROR(IF(ISNUMBER(F2578),F2578-IF(ISNUMBER(K2578),K2578,0),""),"")</f>
        <v/>
      </c>
    </row>
    <row r="2579" ht="24" customHeight="1" s="63">
      <c r="E2579" s="139" t="n"/>
      <c r="F2579" s="139" t="n"/>
      <c r="G2579" s="140">
        <f>IFERROR(IF(E2579&gt;0,(F2579/E2579)*1000,""),"")</f>
        <v/>
      </c>
      <c r="H2579" s="139">
        <f>IFERROR(IF(E2579&gt;0,E2579*IF(ISNUMBER(J2579),J2579,IF(C2579="Futures",$C$6,$C$5)),""),"")</f>
        <v/>
      </c>
      <c r="I2579" s="139">
        <f>IFERROR(IF(AND(ISNUMBER(F2579),ISNUMBER(H2579)),F2579-H2579,""),"")</f>
        <v/>
      </c>
      <c r="J2579" s="114" t="n"/>
      <c r="K2579" s="139">
        <f>IFERROR(IF(H2579&gt;0,H2579*$C$7,""),"")</f>
        <v/>
      </c>
      <c r="L2579" s="139">
        <f>IFERROR(IF(ISNUMBER(F2579),F2579-IF(ISNUMBER(K2579),K2579,0),""),"")</f>
        <v/>
      </c>
    </row>
    <row r="2580" ht="24" customHeight="1" s="63">
      <c r="E2580" s="139" t="n"/>
      <c r="F2580" s="139" t="n"/>
      <c r="G2580" s="140">
        <f>IFERROR(IF(E2580&gt;0,(F2580/E2580)*1000,""),"")</f>
        <v/>
      </c>
      <c r="H2580" s="139">
        <f>IFERROR(IF(E2580&gt;0,E2580*IF(ISNUMBER(J2580),J2580,IF(C2580="Futures",$C$6,$C$5)),""),"")</f>
        <v/>
      </c>
      <c r="I2580" s="139">
        <f>IFERROR(IF(AND(ISNUMBER(F2580),ISNUMBER(H2580)),F2580-H2580,""),"")</f>
        <v/>
      </c>
      <c r="J2580" s="114" t="n"/>
      <c r="K2580" s="139">
        <f>IFERROR(IF(H2580&gt;0,H2580*$C$7,""),"")</f>
        <v/>
      </c>
      <c r="L2580" s="139">
        <f>IFERROR(IF(ISNUMBER(F2580),F2580-IF(ISNUMBER(K2580),K2580,0),""),"")</f>
        <v/>
      </c>
    </row>
    <row r="2581" ht="24" customHeight="1" s="63">
      <c r="E2581" s="139" t="n"/>
      <c r="F2581" s="139" t="n"/>
      <c r="G2581" s="140">
        <f>IFERROR(IF(E2581&gt;0,(F2581/E2581)*1000,""),"")</f>
        <v/>
      </c>
      <c r="H2581" s="139">
        <f>IFERROR(IF(E2581&gt;0,E2581*IF(ISNUMBER(J2581),J2581,IF(C2581="Futures",$C$6,$C$5)),""),"")</f>
        <v/>
      </c>
      <c r="I2581" s="139">
        <f>IFERROR(IF(AND(ISNUMBER(F2581),ISNUMBER(H2581)),F2581-H2581,""),"")</f>
        <v/>
      </c>
      <c r="J2581" s="114" t="n"/>
      <c r="K2581" s="139">
        <f>IFERROR(IF(H2581&gt;0,H2581*$C$7,""),"")</f>
        <v/>
      </c>
      <c r="L2581" s="139">
        <f>IFERROR(IF(ISNUMBER(F2581),F2581-IF(ISNUMBER(K2581),K2581,0),""),"")</f>
        <v/>
      </c>
    </row>
    <row r="2582" ht="24" customHeight="1" s="63">
      <c r="E2582" s="139" t="n"/>
      <c r="F2582" s="139" t="n"/>
      <c r="G2582" s="140">
        <f>IFERROR(IF(E2582&gt;0,(F2582/E2582)*1000,""),"")</f>
        <v/>
      </c>
      <c r="H2582" s="139">
        <f>IFERROR(IF(E2582&gt;0,E2582*IF(ISNUMBER(J2582),J2582,IF(C2582="Futures",$C$6,$C$5)),""),"")</f>
        <v/>
      </c>
      <c r="I2582" s="139">
        <f>IFERROR(IF(AND(ISNUMBER(F2582),ISNUMBER(H2582)),F2582-H2582,""),"")</f>
        <v/>
      </c>
      <c r="J2582" s="114" t="n"/>
      <c r="K2582" s="139">
        <f>IFERROR(IF(H2582&gt;0,H2582*$C$7,""),"")</f>
        <v/>
      </c>
      <c r="L2582" s="139">
        <f>IFERROR(IF(ISNUMBER(F2582),F2582-IF(ISNUMBER(K2582),K2582,0),""),"")</f>
        <v/>
      </c>
    </row>
    <row r="2583" ht="24" customHeight="1" s="63">
      <c r="E2583" s="139" t="n"/>
      <c r="F2583" s="139" t="n"/>
      <c r="G2583" s="140">
        <f>IFERROR(IF(E2583&gt;0,(F2583/E2583)*1000,""),"")</f>
        <v/>
      </c>
      <c r="H2583" s="139">
        <f>IFERROR(IF(E2583&gt;0,E2583*IF(ISNUMBER(J2583),J2583,IF(C2583="Futures",$C$6,$C$5)),""),"")</f>
        <v/>
      </c>
      <c r="I2583" s="139">
        <f>IFERROR(IF(AND(ISNUMBER(F2583),ISNUMBER(H2583)),F2583-H2583,""),"")</f>
        <v/>
      </c>
      <c r="J2583" s="114" t="n"/>
      <c r="K2583" s="139">
        <f>IFERROR(IF(H2583&gt;0,H2583*$C$7,""),"")</f>
        <v/>
      </c>
      <c r="L2583" s="139">
        <f>IFERROR(IF(ISNUMBER(F2583),F2583-IF(ISNUMBER(K2583),K2583,0),""),"")</f>
        <v/>
      </c>
    </row>
    <row r="2584" ht="24" customHeight="1" s="63">
      <c r="E2584" s="139" t="n"/>
      <c r="F2584" s="139" t="n"/>
      <c r="G2584" s="140">
        <f>IFERROR(IF(E2584&gt;0,(F2584/E2584)*1000,""),"")</f>
        <v/>
      </c>
      <c r="H2584" s="139">
        <f>IFERROR(IF(E2584&gt;0,E2584*IF(ISNUMBER(J2584),J2584,IF(C2584="Futures",$C$6,$C$5)),""),"")</f>
        <v/>
      </c>
      <c r="I2584" s="139">
        <f>IFERROR(IF(AND(ISNUMBER(F2584),ISNUMBER(H2584)),F2584-H2584,""),"")</f>
        <v/>
      </c>
      <c r="J2584" s="114" t="n"/>
      <c r="K2584" s="139">
        <f>IFERROR(IF(H2584&gt;0,H2584*$C$7,""),"")</f>
        <v/>
      </c>
      <c r="L2584" s="139">
        <f>IFERROR(IF(ISNUMBER(F2584),F2584-IF(ISNUMBER(K2584),K2584,0),""),"")</f>
        <v/>
      </c>
    </row>
    <row r="2585" ht="24" customHeight="1" s="63">
      <c r="E2585" s="139" t="n"/>
      <c r="F2585" s="139" t="n"/>
      <c r="G2585" s="140">
        <f>IFERROR(IF(E2585&gt;0,(F2585/E2585)*1000,""),"")</f>
        <v/>
      </c>
      <c r="H2585" s="139">
        <f>IFERROR(IF(E2585&gt;0,E2585*IF(ISNUMBER(J2585),J2585,IF(C2585="Futures",$C$6,$C$5)),""),"")</f>
        <v/>
      </c>
      <c r="I2585" s="139">
        <f>IFERROR(IF(AND(ISNUMBER(F2585),ISNUMBER(H2585)),F2585-H2585,""),"")</f>
        <v/>
      </c>
      <c r="J2585" s="114" t="n"/>
      <c r="K2585" s="139">
        <f>IFERROR(IF(H2585&gt;0,H2585*$C$7,""),"")</f>
        <v/>
      </c>
      <c r="L2585" s="139">
        <f>IFERROR(IF(ISNUMBER(F2585),F2585-IF(ISNUMBER(K2585),K2585,0),""),"")</f>
        <v/>
      </c>
    </row>
    <row r="2586" ht="24" customHeight="1" s="63">
      <c r="E2586" s="139" t="n"/>
      <c r="F2586" s="139" t="n"/>
      <c r="G2586" s="140">
        <f>IFERROR(IF(E2586&gt;0,(F2586/E2586)*1000,""),"")</f>
        <v/>
      </c>
      <c r="H2586" s="139">
        <f>IFERROR(IF(E2586&gt;0,E2586*IF(ISNUMBER(J2586),J2586,IF(C2586="Futures",$C$6,$C$5)),""),"")</f>
        <v/>
      </c>
      <c r="I2586" s="139">
        <f>IFERROR(IF(AND(ISNUMBER(F2586),ISNUMBER(H2586)),F2586-H2586,""),"")</f>
        <v/>
      </c>
      <c r="J2586" s="114" t="n"/>
      <c r="K2586" s="139">
        <f>IFERROR(IF(H2586&gt;0,H2586*$C$7,""),"")</f>
        <v/>
      </c>
      <c r="L2586" s="139">
        <f>IFERROR(IF(ISNUMBER(F2586),F2586-IF(ISNUMBER(K2586),K2586,0),""),"")</f>
        <v/>
      </c>
    </row>
    <row r="2587" ht="24" customHeight="1" s="63">
      <c r="E2587" s="139" t="n"/>
      <c r="F2587" s="139" t="n"/>
      <c r="G2587" s="140">
        <f>IFERROR(IF(E2587&gt;0,(F2587/E2587)*1000,""),"")</f>
        <v/>
      </c>
      <c r="H2587" s="139">
        <f>IFERROR(IF(E2587&gt;0,E2587*IF(ISNUMBER(J2587),J2587,IF(C2587="Futures",$C$6,$C$5)),""),"")</f>
        <v/>
      </c>
      <c r="I2587" s="139">
        <f>IFERROR(IF(AND(ISNUMBER(F2587),ISNUMBER(H2587)),F2587-H2587,""),"")</f>
        <v/>
      </c>
      <c r="J2587" s="114" t="n"/>
      <c r="K2587" s="139">
        <f>IFERROR(IF(H2587&gt;0,H2587*$C$7,""),"")</f>
        <v/>
      </c>
      <c r="L2587" s="139">
        <f>IFERROR(IF(ISNUMBER(F2587),F2587-IF(ISNUMBER(K2587),K2587,0),""),"")</f>
        <v/>
      </c>
    </row>
    <row r="2588" ht="24" customHeight="1" s="63">
      <c r="E2588" s="139" t="n"/>
      <c r="F2588" s="139" t="n"/>
      <c r="G2588" s="140">
        <f>IFERROR(IF(E2588&gt;0,(F2588/E2588)*1000,""),"")</f>
        <v/>
      </c>
      <c r="H2588" s="139">
        <f>IFERROR(IF(E2588&gt;0,E2588*IF(ISNUMBER(J2588),J2588,IF(C2588="Futures",$C$6,$C$5)),""),"")</f>
        <v/>
      </c>
      <c r="I2588" s="139">
        <f>IFERROR(IF(AND(ISNUMBER(F2588),ISNUMBER(H2588)),F2588-H2588,""),"")</f>
        <v/>
      </c>
      <c r="J2588" s="114" t="n"/>
      <c r="K2588" s="139">
        <f>IFERROR(IF(H2588&gt;0,H2588*$C$7,""),"")</f>
        <v/>
      </c>
      <c r="L2588" s="139">
        <f>IFERROR(IF(ISNUMBER(F2588),F2588-IF(ISNUMBER(K2588),K2588,0),""),"")</f>
        <v/>
      </c>
    </row>
    <row r="2589" ht="24" customHeight="1" s="63">
      <c r="E2589" s="139" t="n"/>
      <c r="F2589" s="139" t="n"/>
      <c r="G2589" s="140">
        <f>IFERROR(IF(E2589&gt;0,(F2589/E2589)*1000,""),"")</f>
        <v/>
      </c>
      <c r="H2589" s="139">
        <f>IFERROR(IF(E2589&gt;0,E2589*IF(ISNUMBER(J2589),J2589,IF(C2589="Futures",$C$6,$C$5)),""),"")</f>
        <v/>
      </c>
      <c r="I2589" s="139">
        <f>IFERROR(IF(AND(ISNUMBER(F2589),ISNUMBER(H2589)),F2589-H2589,""),"")</f>
        <v/>
      </c>
      <c r="J2589" s="114" t="n"/>
      <c r="K2589" s="139">
        <f>IFERROR(IF(H2589&gt;0,H2589*$C$7,""),"")</f>
        <v/>
      </c>
      <c r="L2589" s="139">
        <f>IFERROR(IF(ISNUMBER(F2589),F2589-IF(ISNUMBER(K2589),K2589,0),""),"")</f>
        <v/>
      </c>
    </row>
    <row r="2590" ht="24" customHeight="1" s="63">
      <c r="E2590" s="139" t="n"/>
      <c r="F2590" s="139" t="n"/>
      <c r="G2590" s="140">
        <f>IFERROR(IF(E2590&gt;0,(F2590/E2590)*1000,""),"")</f>
        <v/>
      </c>
      <c r="H2590" s="139">
        <f>IFERROR(IF(E2590&gt;0,E2590*IF(ISNUMBER(J2590),J2590,IF(C2590="Futures",$C$6,$C$5)),""),"")</f>
        <v/>
      </c>
      <c r="I2590" s="139">
        <f>IFERROR(IF(AND(ISNUMBER(F2590),ISNUMBER(H2590)),F2590-H2590,""),"")</f>
        <v/>
      </c>
      <c r="J2590" s="114" t="n"/>
      <c r="K2590" s="139">
        <f>IFERROR(IF(H2590&gt;0,H2590*$C$7,""),"")</f>
        <v/>
      </c>
      <c r="L2590" s="139">
        <f>IFERROR(IF(ISNUMBER(F2590),F2590-IF(ISNUMBER(K2590),K2590,0),""),"")</f>
        <v/>
      </c>
    </row>
    <row r="2591" ht="24" customHeight="1" s="63">
      <c r="E2591" s="139" t="n"/>
      <c r="F2591" s="139" t="n"/>
      <c r="G2591" s="140">
        <f>IFERROR(IF(E2591&gt;0,(F2591/E2591)*1000,""),"")</f>
        <v/>
      </c>
      <c r="H2591" s="139">
        <f>IFERROR(IF(E2591&gt;0,E2591*IF(ISNUMBER(J2591),J2591,IF(C2591="Futures",$C$6,$C$5)),""),"")</f>
        <v/>
      </c>
      <c r="I2591" s="139">
        <f>IFERROR(IF(AND(ISNUMBER(F2591),ISNUMBER(H2591)),F2591-H2591,""),"")</f>
        <v/>
      </c>
      <c r="J2591" s="114" t="n"/>
      <c r="K2591" s="139">
        <f>IFERROR(IF(H2591&gt;0,H2591*$C$7,""),"")</f>
        <v/>
      </c>
      <c r="L2591" s="139">
        <f>IFERROR(IF(ISNUMBER(F2591),F2591-IF(ISNUMBER(K2591),K2591,0),""),"")</f>
        <v/>
      </c>
    </row>
    <row r="2592" ht="24" customHeight="1" s="63">
      <c r="E2592" s="139" t="n"/>
      <c r="F2592" s="139" t="n"/>
      <c r="G2592" s="140">
        <f>IFERROR(IF(E2592&gt;0,(F2592/E2592)*1000,""),"")</f>
        <v/>
      </c>
      <c r="H2592" s="139">
        <f>IFERROR(IF(E2592&gt;0,E2592*IF(ISNUMBER(J2592),J2592,IF(C2592="Futures",$C$6,$C$5)),""),"")</f>
        <v/>
      </c>
      <c r="I2592" s="139">
        <f>IFERROR(IF(AND(ISNUMBER(F2592),ISNUMBER(H2592)),F2592-H2592,""),"")</f>
        <v/>
      </c>
      <c r="J2592" s="114" t="n"/>
      <c r="K2592" s="139">
        <f>IFERROR(IF(H2592&gt;0,H2592*$C$7,""),"")</f>
        <v/>
      </c>
      <c r="L2592" s="139">
        <f>IFERROR(IF(ISNUMBER(F2592),F2592-IF(ISNUMBER(K2592),K2592,0),""),"")</f>
        <v/>
      </c>
    </row>
    <row r="2593" ht="24" customHeight="1" s="63">
      <c r="E2593" s="139" t="n"/>
      <c r="F2593" s="139" t="n"/>
      <c r="G2593" s="140">
        <f>IFERROR(IF(E2593&gt;0,(F2593/E2593)*1000,""),"")</f>
        <v/>
      </c>
      <c r="H2593" s="139">
        <f>IFERROR(IF(E2593&gt;0,E2593*IF(ISNUMBER(J2593),J2593,IF(C2593="Futures",$C$6,$C$5)),""),"")</f>
        <v/>
      </c>
      <c r="I2593" s="139">
        <f>IFERROR(IF(AND(ISNUMBER(F2593),ISNUMBER(H2593)),F2593-H2593,""),"")</f>
        <v/>
      </c>
      <c r="J2593" s="114" t="n"/>
      <c r="K2593" s="139">
        <f>IFERROR(IF(H2593&gt;0,H2593*$C$7,""),"")</f>
        <v/>
      </c>
      <c r="L2593" s="139">
        <f>IFERROR(IF(ISNUMBER(F2593),F2593-IF(ISNUMBER(K2593),K2593,0),""),"")</f>
        <v/>
      </c>
    </row>
    <row r="2594" ht="24" customHeight="1" s="63">
      <c r="E2594" s="139" t="n"/>
      <c r="F2594" s="139" t="n"/>
      <c r="G2594" s="140">
        <f>IFERROR(IF(E2594&gt;0,(F2594/E2594)*1000,""),"")</f>
        <v/>
      </c>
      <c r="H2594" s="139">
        <f>IFERROR(IF(E2594&gt;0,E2594*IF(ISNUMBER(J2594),J2594,IF(C2594="Futures",$C$6,$C$5)),""),"")</f>
        <v/>
      </c>
      <c r="I2594" s="139">
        <f>IFERROR(IF(AND(ISNUMBER(F2594),ISNUMBER(H2594)),F2594-H2594,""),"")</f>
        <v/>
      </c>
      <c r="J2594" s="114" t="n"/>
      <c r="K2594" s="139">
        <f>IFERROR(IF(H2594&gt;0,H2594*$C$7,""),"")</f>
        <v/>
      </c>
      <c r="L2594" s="139">
        <f>IFERROR(IF(ISNUMBER(F2594),F2594-IF(ISNUMBER(K2594),K2594,0),""),"")</f>
        <v/>
      </c>
    </row>
    <row r="2595" ht="24" customHeight="1" s="63">
      <c r="E2595" s="139" t="n"/>
      <c r="F2595" s="139" t="n"/>
      <c r="G2595" s="140">
        <f>IFERROR(IF(E2595&gt;0,(F2595/E2595)*1000,""),"")</f>
        <v/>
      </c>
      <c r="H2595" s="139">
        <f>IFERROR(IF(E2595&gt;0,E2595*IF(ISNUMBER(J2595),J2595,IF(C2595="Futures",$C$6,$C$5)),""),"")</f>
        <v/>
      </c>
      <c r="I2595" s="139">
        <f>IFERROR(IF(AND(ISNUMBER(F2595),ISNUMBER(H2595)),F2595-H2595,""),"")</f>
        <v/>
      </c>
      <c r="J2595" s="114" t="n"/>
      <c r="K2595" s="139">
        <f>IFERROR(IF(H2595&gt;0,H2595*$C$7,""),"")</f>
        <v/>
      </c>
      <c r="L2595" s="139">
        <f>IFERROR(IF(ISNUMBER(F2595),F2595-IF(ISNUMBER(K2595),K2595,0),""),"")</f>
        <v/>
      </c>
    </row>
    <row r="2596" ht="24" customHeight="1" s="63">
      <c r="E2596" s="139" t="n"/>
      <c r="F2596" s="139" t="n"/>
      <c r="G2596" s="140">
        <f>IFERROR(IF(E2596&gt;0,(F2596/E2596)*1000,""),"")</f>
        <v/>
      </c>
      <c r="H2596" s="139">
        <f>IFERROR(IF(E2596&gt;0,E2596*IF(ISNUMBER(J2596),J2596,IF(C2596="Futures",$C$6,$C$5)),""),"")</f>
        <v/>
      </c>
      <c r="I2596" s="139">
        <f>IFERROR(IF(AND(ISNUMBER(F2596),ISNUMBER(H2596)),F2596-H2596,""),"")</f>
        <v/>
      </c>
      <c r="J2596" s="114" t="n"/>
      <c r="K2596" s="139">
        <f>IFERROR(IF(H2596&gt;0,H2596*$C$7,""),"")</f>
        <v/>
      </c>
      <c r="L2596" s="139">
        <f>IFERROR(IF(ISNUMBER(F2596),F2596-IF(ISNUMBER(K2596),K2596,0),""),"")</f>
        <v/>
      </c>
    </row>
    <row r="2597" ht="24" customHeight="1" s="63">
      <c r="E2597" s="139" t="n"/>
      <c r="F2597" s="139" t="n"/>
      <c r="G2597" s="140">
        <f>IFERROR(IF(E2597&gt;0,(F2597/E2597)*1000,""),"")</f>
        <v/>
      </c>
      <c r="H2597" s="139">
        <f>IFERROR(IF(E2597&gt;0,E2597*IF(ISNUMBER(J2597),J2597,IF(C2597="Futures",$C$6,$C$5)),""),"")</f>
        <v/>
      </c>
      <c r="I2597" s="139">
        <f>IFERROR(IF(AND(ISNUMBER(F2597),ISNUMBER(H2597)),F2597-H2597,""),"")</f>
        <v/>
      </c>
      <c r="J2597" s="114" t="n"/>
      <c r="K2597" s="139">
        <f>IFERROR(IF(H2597&gt;0,H2597*$C$7,""),"")</f>
        <v/>
      </c>
      <c r="L2597" s="139">
        <f>IFERROR(IF(ISNUMBER(F2597),F2597-IF(ISNUMBER(K2597),K2597,0),""),"")</f>
        <v/>
      </c>
    </row>
    <row r="2598" ht="24" customHeight="1" s="63">
      <c r="E2598" s="139" t="n"/>
      <c r="F2598" s="139" t="n"/>
      <c r="G2598" s="140">
        <f>IFERROR(IF(E2598&gt;0,(F2598/E2598)*1000,""),"")</f>
        <v/>
      </c>
      <c r="H2598" s="139">
        <f>IFERROR(IF(E2598&gt;0,E2598*IF(ISNUMBER(J2598),J2598,IF(C2598="Futures",$C$6,$C$5)),""),"")</f>
        <v/>
      </c>
      <c r="I2598" s="139">
        <f>IFERROR(IF(AND(ISNUMBER(F2598),ISNUMBER(H2598)),F2598-H2598,""),"")</f>
        <v/>
      </c>
      <c r="J2598" s="114" t="n"/>
      <c r="K2598" s="139">
        <f>IFERROR(IF(H2598&gt;0,H2598*$C$7,""),"")</f>
        <v/>
      </c>
      <c r="L2598" s="139">
        <f>IFERROR(IF(ISNUMBER(F2598),F2598-IF(ISNUMBER(K2598),K2598,0),""),"")</f>
        <v/>
      </c>
    </row>
    <row r="2599" ht="24" customHeight="1" s="63">
      <c r="E2599" s="139" t="n"/>
      <c r="F2599" s="139" t="n"/>
      <c r="G2599" s="140">
        <f>IFERROR(IF(E2599&gt;0,(F2599/E2599)*1000,""),"")</f>
        <v/>
      </c>
      <c r="H2599" s="139">
        <f>IFERROR(IF(E2599&gt;0,E2599*IF(ISNUMBER(J2599),J2599,IF(C2599="Futures",$C$6,$C$5)),""),"")</f>
        <v/>
      </c>
      <c r="I2599" s="139">
        <f>IFERROR(IF(AND(ISNUMBER(F2599),ISNUMBER(H2599)),F2599-H2599,""),"")</f>
        <v/>
      </c>
      <c r="J2599" s="114" t="n"/>
      <c r="K2599" s="139">
        <f>IFERROR(IF(H2599&gt;0,H2599*$C$7,""),"")</f>
        <v/>
      </c>
      <c r="L2599" s="139">
        <f>IFERROR(IF(ISNUMBER(F2599),F2599-IF(ISNUMBER(K2599),K2599,0),""),"")</f>
        <v/>
      </c>
    </row>
    <row r="2600" ht="24" customHeight="1" s="63">
      <c r="E2600" s="139" t="n"/>
      <c r="F2600" s="139" t="n"/>
      <c r="G2600" s="140">
        <f>IFERROR(IF(E2600&gt;0,(F2600/E2600)*1000,""),"")</f>
        <v/>
      </c>
      <c r="H2600" s="139">
        <f>IFERROR(IF(E2600&gt;0,E2600*IF(ISNUMBER(J2600),J2600,IF(C2600="Futures",$C$6,$C$5)),""),"")</f>
        <v/>
      </c>
      <c r="I2600" s="139">
        <f>IFERROR(IF(AND(ISNUMBER(F2600),ISNUMBER(H2600)),F2600-H2600,""),"")</f>
        <v/>
      </c>
      <c r="J2600" s="114" t="n"/>
      <c r="K2600" s="139">
        <f>IFERROR(IF(H2600&gt;0,H2600*$C$7,""),"")</f>
        <v/>
      </c>
      <c r="L2600" s="139">
        <f>IFERROR(IF(ISNUMBER(F2600),F2600-IF(ISNUMBER(K2600),K2600,0),""),"")</f>
        <v/>
      </c>
    </row>
    <row r="2601" ht="24" customHeight="1" s="63">
      <c r="E2601" s="139" t="n"/>
      <c r="F2601" s="139" t="n"/>
      <c r="G2601" s="140">
        <f>IFERROR(IF(E2601&gt;0,(F2601/E2601)*1000,""),"")</f>
        <v/>
      </c>
      <c r="H2601" s="139">
        <f>IFERROR(IF(E2601&gt;0,E2601*IF(ISNUMBER(J2601),J2601,IF(C2601="Futures",$C$6,$C$5)),""),"")</f>
        <v/>
      </c>
      <c r="I2601" s="139">
        <f>IFERROR(IF(AND(ISNUMBER(F2601),ISNUMBER(H2601)),F2601-H2601,""),"")</f>
        <v/>
      </c>
      <c r="J2601" s="114" t="n"/>
      <c r="K2601" s="139">
        <f>IFERROR(IF(H2601&gt;0,H2601*$C$7,""),"")</f>
        <v/>
      </c>
      <c r="L2601" s="139">
        <f>IFERROR(IF(ISNUMBER(F2601),F2601-IF(ISNUMBER(K2601),K2601,0),""),"")</f>
        <v/>
      </c>
    </row>
    <row r="2602" ht="24" customHeight="1" s="63">
      <c r="E2602" s="139" t="n"/>
      <c r="F2602" s="139" t="n"/>
      <c r="G2602" s="140">
        <f>IFERROR(IF(E2602&gt;0,(F2602/E2602)*1000,""),"")</f>
        <v/>
      </c>
      <c r="H2602" s="139">
        <f>IFERROR(IF(E2602&gt;0,E2602*IF(ISNUMBER(J2602),J2602,IF(C2602="Futures",$C$6,$C$5)),""),"")</f>
        <v/>
      </c>
      <c r="I2602" s="139">
        <f>IFERROR(IF(AND(ISNUMBER(F2602),ISNUMBER(H2602)),F2602-H2602,""),"")</f>
        <v/>
      </c>
      <c r="J2602" s="114" t="n"/>
      <c r="K2602" s="139">
        <f>IFERROR(IF(H2602&gt;0,H2602*$C$7,""),"")</f>
        <v/>
      </c>
      <c r="L2602" s="139">
        <f>IFERROR(IF(ISNUMBER(F2602),F2602-IF(ISNUMBER(K2602),K2602,0),""),"")</f>
        <v/>
      </c>
    </row>
    <row r="2603" ht="24" customHeight="1" s="63">
      <c r="E2603" s="139" t="n"/>
      <c r="F2603" s="139" t="n"/>
      <c r="G2603" s="140">
        <f>IFERROR(IF(E2603&gt;0,(F2603/E2603)*1000,""),"")</f>
        <v/>
      </c>
      <c r="H2603" s="139">
        <f>IFERROR(IF(E2603&gt;0,E2603*IF(ISNUMBER(J2603),J2603,IF(C2603="Futures",$C$6,$C$5)),""),"")</f>
        <v/>
      </c>
      <c r="I2603" s="139">
        <f>IFERROR(IF(AND(ISNUMBER(F2603),ISNUMBER(H2603)),F2603-H2603,""),"")</f>
        <v/>
      </c>
      <c r="J2603" s="114" t="n"/>
      <c r="K2603" s="139">
        <f>IFERROR(IF(H2603&gt;0,H2603*$C$7,""),"")</f>
        <v/>
      </c>
      <c r="L2603" s="139">
        <f>IFERROR(IF(ISNUMBER(F2603),F2603-IF(ISNUMBER(K2603),K2603,0),""),"")</f>
        <v/>
      </c>
    </row>
    <row r="2604" ht="24" customHeight="1" s="63">
      <c r="E2604" s="139" t="n"/>
      <c r="F2604" s="139" t="n"/>
      <c r="G2604" s="140">
        <f>IFERROR(IF(E2604&gt;0,(F2604/E2604)*1000,""),"")</f>
        <v/>
      </c>
      <c r="H2604" s="139">
        <f>IFERROR(IF(E2604&gt;0,E2604*IF(ISNUMBER(J2604),J2604,IF(C2604="Futures",$C$6,$C$5)),""),"")</f>
        <v/>
      </c>
      <c r="I2604" s="139">
        <f>IFERROR(IF(AND(ISNUMBER(F2604),ISNUMBER(H2604)),F2604-H2604,""),"")</f>
        <v/>
      </c>
      <c r="J2604" s="114" t="n"/>
      <c r="K2604" s="139">
        <f>IFERROR(IF(H2604&gt;0,H2604*$C$7,""),"")</f>
        <v/>
      </c>
      <c r="L2604" s="139">
        <f>IFERROR(IF(ISNUMBER(F2604),F2604-IF(ISNUMBER(K2604),K2604,0),""),"")</f>
        <v/>
      </c>
    </row>
    <row r="2605" ht="24" customHeight="1" s="63">
      <c r="E2605" s="139" t="n"/>
      <c r="F2605" s="139" t="n"/>
      <c r="G2605" s="140">
        <f>IFERROR(IF(E2605&gt;0,(F2605/E2605)*1000,""),"")</f>
        <v/>
      </c>
      <c r="H2605" s="139">
        <f>IFERROR(IF(E2605&gt;0,E2605*IF(ISNUMBER(J2605),J2605,IF(C2605="Futures",$C$6,$C$5)),""),"")</f>
        <v/>
      </c>
      <c r="I2605" s="139">
        <f>IFERROR(IF(AND(ISNUMBER(F2605),ISNUMBER(H2605)),F2605-H2605,""),"")</f>
        <v/>
      </c>
      <c r="J2605" s="114" t="n"/>
      <c r="K2605" s="139">
        <f>IFERROR(IF(H2605&gt;0,H2605*$C$7,""),"")</f>
        <v/>
      </c>
      <c r="L2605" s="139">
        <f>IFERROR(IF(ISNUMBER(F2605),F2605-IF(ISNUMBER(K2605),K2605,0),""),"")</f>
        <v/>
      </c>
    </row>
    <row r="2606" ht="24" customHeight="1" s="63">
      <c r="E2606" s="139" t="n"/>
      <c r="F2606" s="139" t="n"/>
      <c r="G2606" s="140">
        <f>IFERROR(IF(E2606&gt;0,(F2606/E2606)*1000,""),"")</f>
        <v/>
      </c>
      <c r="H2606" s="139">
        <f>IFERROR(IF(E2606&gt;0,E2606*IF(ISNUMBER(J2606),J2606,IF(C2606="Futures",$C$6,$C$5)),""),"")</f>
        <v/>
      </c>
      <c r="I2606" s="139">
        <f>IFERROR(IF(AND(ISNUMBER(F2606),ISNUMBER(H2606)),F2606-H2606,""),"")</f>
        <v/>
      </c>
      <c r="J2606" s="114" t="n"/>
      <c r="K2606" s="139">
        <f>IFERROR(IF(H2606&gt;0,H2606*$C$7,""),"")</f>
        <v/>
      </c>
      <c r="L2606" s="139">
        <f>IFERROR(IF(ISNUMBER(F2606),F2606-IF(ISNUMBER(K2606),K2606,0),""),"")</f>
        <v/>
      </c>
    </row>
    <row r="2607" ht="24" customHeight="1" s="63">
      <c r="E2607" s="139" t="n"/>
      <c r="F2607" s="139" t="n"/>
      <c r="G2607" s="140">
        <f>IFERROR(IF(E2607&gt;0,(F2607/E2607)*1000,""),"")</f>
        <v/>
      </c>
      <c r="H2607" s="139">
        <f>IFERROR(IF(E2607&gt;0,E2607*IF(ISNUMBER(J2607),J2607,IF(C2607="Futures",$C$6,$C$5)),""),"")</f>
        <v/>
      </c>
      <c r="I2607" s="139">
        <f>IFERROR(IF(AND(ISNUMBER(F2607),ISNUMBER(H2607)),F2607-H2607,""),"")</f>
        <v/>
      </c>
      <c r="J2607" s="114" t="n"/>
      <c r="K2607" s="139">
        <f>IFERROR(IF(H2607&gt;0,H2607*$C$7,""),"")</f>
        <v/>
      </c>
      <c r="L2607" s="139">
        <f>IFERROR(IF(ISNUMBER(F2607),F2607-IF(ISNUMBER(K2607),K2607,0),""),"")</f>
        <v/>
      </c>
    </row>
    <row r="2608" ht="24" customHeight="1" s="63">
      <c r="E2608" s="139" t="n"/>
      <c r="F2608" s="139" t="n"/>
      <c r="G2608" s="140">
        <f>IFERROR(IF(E2608&gt;0,(F2608/E2608)*1000,""),"")</f>
        <v/>
      </c>
      <c r="H2608" s="139">
        <f>IFERROR(IF(E2608&gt;0,E2608*IF(ISNUMBER(J2608),J2608,IF(C2608="Futures",$C$6,$C$5)),""),"")</f>
        <v/>
      </c>
      <c r="I2608" s="139">
        <f>IFERROR(IF(AND(ISNUMBER(F2608),ISNUMBER(H2608)),F2608-H2608,""),"")</f>
        <v/>
      </c>
      <c r="J2608" s="114" t="n"/>
      <c r="K2608" s="139">
        <f>IFERROR(IF(H2608&gt;0,H2608*$C$7,""),"")</f>
        <v/>
      </c>
      <c r="L2608" s="139">
        <f>IFERROR(IF(ISNUMBER(F2608),F2608-IF(ISNUMBER(K2608),K2608,0),""),"")</f>
        <v/>
      </c>
    </row>
    <row r="2609" ht="24" customHeight="1" s="63">
      <c r="E2609" s="139" t="n"/>
      <c r="F2609" s="139" t="n"/>
      <c r="G2609" s="140">
        <f>IFERROR(IF(E2609&gt;0,(F2609/E2609)*1000,""),"")</f>
        <v/>
      </c>
      <c r="H2609" s="139">
        <f>IFERROR(IF(E2609&gt;0,E2609*IF(ISNUMBER(J2609),J2609,IF(C2609="Futures",$C$6,$C$5)),""),"")</f>
        <v/>
      </c>
      <c r="I2609" s="139">
        <f>IFERROR(IF(AND(ISNUMBER(F2609),ISNUMBER(H2609)),F2609-H2609,""),"")</f>
        <v/>
      </c>
      <c r="J2609" s="114" t="n"/>
      <c r="K2609" s="139">
        <f>IFERROR(IF(H2609&gt;0,H2609*$C$7,""),"")</f>
        <v/>
      </c>
      <c r="L2609" s="139">
        <f>IFERROR(IF(ISNUMBER(F2609),F2609-IF(ISNUMBER(K2609),K2609,0),""),"")</f>
        <v/>
      </c>
    </row>
    <row r="2610" ht="24" customHeight="1" s="63">
      <c r="E2610" s="139" t="n"/>
      <c r="F2610" s="139" t="n"/>
      <c r="G2610" s="140">
        <f>IFERROR(IF(E2610&gt;0,(F2610/E2610)*1000,""),"")</f>
        <v/>
      </c>
      <c r="H2610" s="139">
        <f>IFERROR(IF(E2610&gt;0,E2610*IF(ISNUMBER(J2610),J2610,IF(C2610="Futures",$C$6,$C$5)),""),"")</f>
        <v/>
      </c>
      <c r="I2610" s="139">
        <f>IFERROR(IF(AND(ISNUMBER(F2610),ISNUMBER(H2610)),F2610-H2610,""),"")</f>
        <v/>
      </c>
      <c r="J2610" s="114" t="n"/>
      <c r="K2610" s="139">
        <f>IFERROR(IF(H2610&gt;0,H2610*$C$7,""),"")</f>
        <v/>
      </c>
      <c r="L2610" s="139">
        <f>IFERROR(IF(ISNUMBER(F2610),F2610-IF(ISNUMBER(K2610),K2610,0),""),"")</f>
        <v/>
      </c>
    </row>
    <row r="2611" ht="24" customHeight="1" s="63">
      <c r="E2611" s="139" t="n"/>
      <c r="F2611" s="139" t="n"/>
      <c r="G2611" s="140">
        <f>IFERROR(IF(E2611&gt;0,(F2611/E2611)*1000,""),"")</f>
        <v/>
      </c>
      <c r="H2611" s="139">
        <f>IFERROR(IF(E2611&gt;0,E2611*IF(ISNUMBER(J2611),J2611,IF(C2611="Futures",$C$6,$C$5)),""),"")</f>
        <v/>
      </c>
      <c r="I2611" s="139">
        <f>IFERROR(IF(AND(ISNUMBER(F2611),ISNUMBER(H2611)),F2611-H2611,""),"")</f>
        <v/>
      </c>
      <c r="J2611" s="114" t="n"/>
      <c r="K2611" s="139">
        <f>IFERROR(IF(H2611&gt;0,H2611*$C$7,""),"")</f>
        <v/>
      </c>
      <c r="L2611" s="139">
        <f>IFERROR(IF(ISNUMBER(F2611),F2611-IF(ISNUMBER(K2611),K2611,0),""),"")</f>
        <v/>
      </c>
    </row>
    <row r="2612" ht="24" customHeight="1" s="63">
      <c r="E2612" s="139" t="n"/>
      <c r="F2612" s="139" t="n"/>
      <c r="G2612" s="140">
        <f>IFERROR(IF(E2612&gt;0,(F2612/E2612)*1000,""),"")</f>
        <v/>
      </c>
      <c r="H2612" s="139">
        <f>IFERROR(IF(E2612&gt;0,E2612*IF(ISNUMBER(J2612),J2612,IF(C2612="Futures",$C$6,$C$5)),""),"")</f>
        <v/>
      </c>
      <c r="I2612" s="139">
        <f>IFERROR(IF(AND(ISNUMBER(F2612),ISNUMBER(H2612)),F2612-H2612,""),"")</f>
        <v/>
      </c>
      <c r="J2612" s="114" t="n"/>
      <c r="K2612" s="139">
        <f>IFERROR(IF(H2612&gt;0,H2612*$C$7,""),"")</f>
        <v/>
      </c>
      <c r="L2612" s="139">
        <f>IFERROR(IF(ISNUMBER(F2612),F2612-IF(ISNUMBER(K2612),K2612,0),""),"")</f>
        <v/>
      </c>
    </row>
    <row r="2613" ht="24" customHeight="1" s="63">
      <c r="E2613" s="139" t="n"/>
      <c r="F2613" s="139" t="n"/>
      <c r="G2613" s="140">
        <f>IFERROR(IF(E2613&gt;0,(F2613/E2613)*1000,""),"")</f>
        <v/>
      </c>
      <c r="H2613" s="139">
        <f>IFERROR(IF(E2613&gt;0,E2613*IF(ISNUMBER(J2613),J2613,IF(C2613="Futures",$C$6,$C$5)),""),"")</f>
        <v/>
      </c>
      <c r="I2613" s="139">
        <f>IFERROR(IF(AND(ISNUMBER(F2613),ISNUMBER(H2613)),F2613-H2613,""),"")</f>
        <v/>
      </c>
      <c r="J2613" s="114" t="n"/>
      <c r="K2613" s="139">
        <f>IFERROR(IF(H2613&gt;0,H2613*$C$7,""),"")</f>
        <v/>
      </c>
      <c r="L2613" s="139">
        <f>IFERROR(IF(ISNUMBER(F2613),F2613-IF(ISNUMBER(K2613),K2613,0),""),"")</f>
        <v/>
      </c>
    </row>
    <row r="2614" ht="24" customHeight="1" s="63">
      <c r="E2614" s="139" t="n"/>
      <c r="F2614" s="139" t="n"/>
      <c r="G2614" s="140">
        <f>IFERROR(IF(E2614&gt;0,(F2614/E2614)*1000,""),"")</f>
        <v/>
      </c>
      <c r="H2614" s="139">
        <f>IFERROR(IF(E2614&gt;0,E2614*IF(ISNUMBER(J2614),J2614,IF(C2614="Futures",$C$6,$C$5)),""),"")</f>
        <v/>
      </c>
      <c r="I2614" s="139">
        <f>IFERROR(IF(AND(ISNUMBER(F2614),ISNUMBER(H2614)),F2614-H2614,""),"")</f>
        <v/>
      </c>
      <c r="J2614" s="114" t="n"/>
      <c r="K2614" s="139">
        <f>IFERROR(IF(H2614&gt;0,H2614*$C$7,""),"")</f>
        <v/>
      </c>
      <c r="L2614" s="139">
        <f>IFERROR(IF(ISNUMBER(F2614),F2614-IF(ISNUMBER(K2614),K2614,0),""),"")</f>
        <v/>
      </c>
    </row>
    <row r="2615" ht="24" customHeight="1" s="63">
      <c r="E2615" s="139" t="n"/>
      <c r="F2615" s="139" t="n"/>
      <c r="G2615" s="140">
        <f>IFERROR(IF(E2615&gt;0,(F2615/E2615)*1000,""),"")</f>
        <v/>
      </c>
      <c r="H2615" s="139">
        <f>IFERROR(IF(E2615&gt;0,E2615*IF(ISNUMBER(J2615),J2615,IF(C2615="Futures",$C$6,$C$5)),""),"")</f>
        <v/>
      </c>
      <c r="I2615" s="139">
        <f>IFERROR(IF(AND(ISNUMBER(F2615),ISNUMBER(H2615)),F2615-H2615,""),"")</f>
        <v/>
      </c>
      <c r="J2615" s="114" t="n"/>
      <c r="K2615" s="139">
        <f>IFERROR(IF(H2615&gt;0,H2615*$C$7,""),"")</f>
        <v/>
      </c>
      <c r="L2615" s="139">
        <f>IFERROR(IF(ISNUMBER(F2615),F2615-IF(ISNUMBER(K2615),K2615,0),""),"")</f>
        <v/>
      </c>
    </row>
    <row r="2616" ht="24" customHeight="1" s="63">
      <c r="E2616" s="139" t="n"/>
      <c r="F2616" s="139" t="n"/>
      <c r="G2616" s="140">
        <f>IFERROR(IF(E2616&gt;0,(F2616/E2616)*1000,""),"")</f>
        <v/>
      </c>
      <c r="H2616" s="139">
        <f>IFERROR(IF(E2616&gt;0,E2616*IF(ISNUMBER(J2616),J2616,IF(C2616="Futures",$C$6,$C$5)),""),"")</f>
        <v/>
      </c>
      <c r="I2616" s="139">
        <f>IFERROR(IF(AND(ISNUMBER(F2616),ISNUMBER(H2616)),F2616-H2616,""),"")</f>
        <v/>
      </c>
      <c r="J2616" s="114" t="n"/>
      <c r="K2616" s="139">
        <f>IFERROR(IF(H2616&gt;0,H2616*$C$7,""),"")</f>
        <v/>
      </c>
      <c r="L2616" s="139">
        <f>IFERROR(IF(ISNUMBER(F2616),F2616-IF(ISNUMBER(K2616),K2616,0),""),"")</f>
        <v/>
      </c>
    </row>
    <row r="2617" ht="24" customHeight="1" s="63">
      <c r="E2617" s="139" t="n"/>
      <c r="F2617" s="139" t="n"/>
      <c r="G2617" s="140">
        <f>IFERROR(IF(E2617&gt;0,(F2617/E2617)*1000,""),"")</f>
        <v/>
      </c>
      <c r="H2617" s="139">
        <f>IFERROR(IF(E2617&gt;0,E2617*IF(ISNUMBER(J2617),J2617,IF(C2617="Futures",$C$6,$C$5)),""),"")</f>
        <v/>
      </c>
      <c r="I2617" s="139">
        <f>IFERROR(IF(AND(ISNUMBER(F2617),ISNUMBER(H2617)),F2617-H2617,""),"")</f>
        <v/>
      </c>
      <c r="J2617" s="114" t="n"/>
      <c r="K2617" s="139">
        <f>IFERROR(IF(H2617&gt;0,H2617*$C$7,""),"")</f>
        <v/>
      </c>
      <c r="L2617" s="139">
        <f>IFERROR(IF(ISNUMBER(F2617),F2617-IF(ISNUMBER(K2617),K2617,0),""),"")</f>
        <v/>
      </c>
    </row>
    <row r="2618" ht="24" customHeight="1" s="63">
      <c r="E2618" s="139" t="n"/>
      <c r="F2618" s="139" t="n"/>
      <c r="G2618" s="140">
        <f>IFERROR(IF(E2618&gt;0,(F2618/E2618)*1000,""),"")</f>
        <v/>
      </c>
      <c r="H2618" s="139">
        <f>IFERROR(IF(E2618&gt;0,E2618*IF(ISNUMBER(J2618),J2618,IF(C2618="Futures",$C$6,$C$5)),""),"")</f>
        <v/>
      </c>
      <c r="I2618" s="139">
        <f>IFERROR(IF(AND(ISNUMBER(F2618),ISNUMBER(H2618)),F2618-H2618,""),"")</f>
        <v/>
      </c>
      <c r="J2618" s="114" t="n"/>
      <c r="K2618" s="139">
        <f>IFERROR(IF(H2618&gt;0,H2618*$C$7,""),"")</f>
        <v/>
      </c>
      <c r="L2618" s="139">
        <f>IFERROR(IF(ISNUMBER(F2618),F2618-IF(ISNUMBER(K2618),K2618,0),""),"")</f>
        <v/>
      </c>
    </row>
    <row r="2619" ht="24" customHeight="1" s="63">
      <c r="E2619" s="139" t="n"/>
      <c r="F2619" s="139" t="n"/>
      <c r="G2619" s="140">
        <f>IFERROR(IF(E2619&gt;0,(F2619/E2619)*1000,""),"")</f>
        <v/>
      </c>
      <c r="H2619" s="139">
        <f>IFERROR(IF(E2619&gt;0,E2619*IF(ISNUMBER(J2619),J2619,IF(C2619="Futures",$C$6,$C$5)),""),"")</f>
        <v/>
      </c>
      <c r="I2619" s="139">
        <f>IFERROR(IF(AND(ISNUMBER(F2619),ISNUMBER(H2619)),F2619-H2619,""),"")</f>
        <v/>
      </c>
      <c r="J2619" s="114" t="n"/>
      <c r="K2619" s="139">
        <f>IFERROR(IF(H2619&gt;0,H2619*$C$7,""),"")</f>
        <v/>
      </c>
      <c r="L2619" s="139">
        <f>IFERROR(IF(ISNUMBER(F2619),F2619-IF(ISNUMBER(K2619),K2619,0),""),"")</f>
        <v/>
      </c>
    </row>
    <row r="2620" ht="24" customHeight="1" s="63">
      <c r="E2620" s="139" t="n"/>
      <c r="F2620" s="139" t="n"/>
      <c r="G2620" s="140">
        <f>IFERROR(IF(E2620&gt;0,(F2620/E2620)*1000,""),"")</f>
        <v/>
      </c>
      <c r="H2620" s="139">
        <f>IFERROR(IF(E2620&gt;0,E2620*IF(ISNUMBER(J2620),J2620,IF(C2620="Futures",$C$6,$C$5)),""),"")</f>
        <v/>
      </c>
      <c r="I2620" s="139">
        <f>IFERROR(IF(AND(ISNUMBER(F2620),ISNUMBER(H2620)),F2620-H2620,""),"")</f>
        <v/>
      </c>
      <c r="J2620" s="114" t="n"/>
      <c r="K2620" s="139">
        <f>IFERROR(IF(H2620&gt;0,H2620*$C$7,""),"")</f>
        <v/>
      </c>
      <c r="L2620" s="139">
        <f>IFERROR(IF(ISNUMBER(F2620),F2620-IF(ISNUMBER(K2620),K2620,0),""),"")</f>
        <v/>
      </c>
    </row>
    <row r="2621" ht="24" customHeight="1" s="63">
      <c r="E2621" s="139" t="n"/>
      <c r="F2621" s="139" t="n"/>
      <c r="G2621" s="140">
        <f>IFERROR(IF(E2621&gt;0,(F2621/E2621)*1000,""),"")</f>
        <v/>
      </c>
      <c r="H2621" s="139">
        <f>IFERROR(IF(E2621&gt;0,E2621*IF(ISNUMBER(J2621),J2621,IF(C2621="Futures",$C$6,$C$5)),""),"")</f>
        <v/>
      </c>
      <c r="I2621" s="139">
        <f>IFERROR(IF(AND(ISNUMBER(F2621),ISNUMBER(H2621)),F2621-H2621,""),"")</f>
        <v/>
      </c>
      <c r="J2621" s="114" t="n"/>
      <c r="K2621" s="139">
        <f>IFERROR(IF(H2621&gt;0,H2621*$C$7,""),"")</f>
        <v/>
      </c>
      <c r="L2621" s="139">
        <f>IFERROR(IF(ISNUMBER(F2621),F2621-IF(ISNUMBER(K2621),K2621,0),""),"")</f>
        <v/>
      </c>
    </row>
    <row r="2622" ht="24" customHeight="1" s="63">
      <c r="E2622" s="139" t="n"/>
      <c r="F2622" s="139" t="n"/>
      <c r="G2622" s="140">
        <f>IFERROR(IF(E2622&gt;0,(F2622/E2622)*1000,""),"")</f>
        <v/>
      </c>
      <c r="H2622" s="139">
        <f>IFERROR(IF(E2622&gt;0,E2622*IF(ISNUMBER(J2622),J2622,IF(C2622="Futures",$C$6,$C$5)),""),"")</f>
        <v/>
      </c>
      <c r="I2622" s="139">
        <f>IFERROR(IF(AND(ISNUMBER(F2622),ISNUMBER(H2622)),F2622-H2622,""),"")</f>
        <v/>
      </c>
      <c r="J2622" s="114" t="n"/>
      <c r="K2622" s="139">
        <f>IFERROR(IF(H2622&gt;0,H2622*$C$7,""),"")</f>
        <v/>
      </c>
      <c r="L2622" s="139">
        <f>IFERROR(IF(ISNUMBER(F2622),F2622-IF(ISNUMBER(K2622),K2622,0),""),"")</f>
        <v/>
      </c>
    </row>
    <row r="2623" ht="24" customHeight="1" s="63">
      <c r="E2623" s="139" t="n"/>
      <c r="F2623" s="139" t="n"/>
      <c r="G2623" s="140">
        <f>IFERROR(IF(E2623&gt;0,(F2623/E2623)*1000,""),"")</f>
        <v/>
      </c>
      <c r="H2623" s="139">
        <f>IFERROR(IF(E2623&gt;0,E2623*IF(ISNUMBER(J2623),J2623,IF(C2623="Futures",$C$6,$C$5)),""),"")</f>
        <v/>
      </c>
      <c r="I2623" s="139">
        <f>IFERROR(IF(AND(ISNUMBER(F2623),ISNUMBER(H2623)),F2623-H2623,""),"")</f>
        <v/>
      </c>
      <c r="J2623" s="114" t="n"/>
      <c r="K2623" s="139">
        <f>IFERROR(IF(H2623&gt;0,H2623*$C$7,""),"")</f>
        <v/>
      </c>
      <c r="L2623" s="139">
        <f>IFERROR(IF(ISNUMBER(F2623),F2623-IF(ISNUMBER(K2623),K2623,0),""),"")</f>
        <v/>
      </c>
    </row>
    <row r="2624" ht="24" customHeight="1" s="63">
      <c r="E2624" s="139" t="n"/>
      <c r="F2624" s="139" t="n"/>
      <c r="G2624" s="140">
        <f>IFERROR(IF(E2624&gt;0,(F2624/E2624)*1000,""),"")</f>
        <v/>
      </c>
      <c r="H2624" s="139">
        <f>IFERROR(IF(E2624&gt;0,E2624*IF(ISNUMBER(J2624),J2624,IF(C2624="Futures",$C$6,$C$5)),""),"")</f>
        <v/>
      </c>
      <c r="I2624" s="139">
        <f>IFERROR(IF(AND(ISNUMBER(F2624),ISNUMBER(H2624)),F2624-H2624,""),"")</f>
        <v/>
      </c>
      <c r="J2624" s="114" t="n"/>
      <c r="K2624" s="139">
        <f>IFERROR(IF(H2624&gt;0,H2624*$C$7,""),"")</f>
        <v/>
      </c>
      <c r="L2624" s="139">
        <f>IFERROR(IF(ISNUMBER(F2624),F2624-IF(ISNUMBER(K2624),K2624,0),""),"")</f>
        <v/>
      </c>
    </row>
    <row r="2625" ht="24" customHeight="1" s="63">
      <c r="E2625" s="139" t="n"/>
      <c r="F2625" s="139" t="n"/>
      <c r="G2625" s="140">
        <f>IFERROR(IF(E2625&gt;0,(F2625/E2625)*1000,""),"")</f>
        <v/>
      </c>
      <c r="H2625" s="139">
        <f>IFERROR(IF(E2625&gt;0,E2625*IF(ISNUMBER(J2625),J2625,IF(C2625="Futures",$C$6,$C$5)),""),"")</f>
        <v/>
      </c>
      <c r="I2625" s="139">
        <f>IFERROR(IF(AND(ISNUMBER(F2625),ISNUMBER(H2625)),F2625-H2625,""),"")</f>
        <v/>
      </c>
      <c r="J2625" s="114" t="n"/>
      <c r="K2625" s="139">
        <f>IFERROR(IF(H2625&gt;0,H2625*$C$7,""),"")</f>
        <v/>
      </c>
      <c r="L2625" s="139">
        <f>IFERROR(IF(ISNUMBER(F2625),F2625-IF(ISNUMBER(K2625),K2625,0),""),"")</f>
        <v/>
      </c>
    </row>
    <row r="2626" ht="24" customHeight="1" s="63">
      <c r="E2626" s="139" t="n"/>
      <c r="F2626" s="139" t="n"/>
      <c r="G2626" s="140">
        <f>IFERROR(IF(E2626&gt;0,(F2626/E2626)*1000,""),"")</f>
        <v/>
      </c>
      <c r="H2626" s="139">
        <f>IFERROR(IF(E2626&gt;0,E2626*IF(ISNUMBER(J2626),J2626,IF(C2626="Futures",$C$6,$C$5)),""),"")</f>
        <v/>
      </c>
      <c r="I2626" s="139">
        <f>IFERROR(IF(AND(ISNUMBER(F2626),ISNUMBER(H2626)),F2626-H2626,""),"")</f>
        <v/>
      </c>
      <c r="J2626" s="114" t="n"/>
      <c r="K2626" s="139">
        <f>IFERROR(IF(H2626&gt;0,H2626*$C$7,""),"")</f>
        <v/>
      </c>
      <c r="L2626" s="139">
        <f>IFERROR(IF(ISNUMBER(F2626),F2626-IF(ISNUMBER(K2626),K2626,0),""),"")</f>
        <v/>
      </c>
    </row>
    <row r="2627" ht="24" customHeight="1" s="63">
      <c r="E2627" s="139" t="n"/>
      <c r="F2627" s="139" t="n"/>
      <c r="G2627" s="140">
        <f>IFERROR(IF(E2627&gt;0,(F2627/E2627)*1000,""),"")</f>
        <v/>
      </c>
      <c r="H2627" s="139">
        <f>IFERROR(IF(E2627&gt;0,E2627*IF(ISNUMBER(J2627),J2627,IF(C2627="Futures",$C$6,$C$5)),""),"")</f>
        <v/>
      </c>
      <c r="I2627" s="139">
        <f>IFERROR(IF(AND(ISNUMBER(F2627),ISNUMBER(H2627)),F2627-H2627,""),"")</f>
        <v/>
      </c>
      <c r="J2627" s="114" t="n"/>
      <c r="K2627" s="139">
        <f>IFERROR(IF(H2627&gt;0,H2627*$C$7,""),"")</f>
        <v/>
      </c>
      <c r="L2627" s="139">
        <f>IFERROR(IF(ISNUMBER(F2627),F2627-IF(ISNUMBER(K2627),K2627,0),""),"")</f>
        <v/>
      </c>
    </row>
    <row r="2628" ht="24" customHeight="1" s="63">
      <c r="E2628" s="139" t="n"/>
      <c r="F2628" s="139" t="n"/>
      <c r="G2628" s="140">
        <f>IFERROR(IF(E2628&gt;0,(F2628/E2628)*1000,""),"")</f>
        <v/>
      </c>
      <c r="H2628" s="139">
        <f>IFERROR(IF(E2628&gt;0,E2628*IF(ISNUMBER(J2628),J2628,IF(C2628="Futures",$C$6,$C$5)),""),"")</f>
        <v/>
      </c>
      <c r="I2628" s="139">
        <f>IFERROR(IF(AND(ISNUMBER(F2628),ISNUMBER(H2628)),F2628-H2628,""),"")</f>
        <v/>
      </c>
      <c r="J2628" s="114" t="n"/>
      <c r="K2628" s="139">
        <f>IFERROR(IF(H2628&gt;0,H2628*$C$7,""),"")</f>
        <v/>
      </c>
      <c r="L2628" s="139">
        <f>IFERROR(IF(ISNUMBER(F2628),F2628-IF(ISNUMBER(K2628),K2628,0),""),"")</f>
        <v/>
      </c>
    </row>
    <row r="2629" ht="24" customHeight="1" s="63">
      <c r="E2629" s="139" t="n"/>
      <c r="F2629" s="139" t="n"/>
      <c r="G2629" s="140">
        <f>IFERROR(IF(E2629&gt;0,(F2629/E2629)*1000,""),"")</f>
        <v/>
      </c>
      <c r="H2629" s="139">
        <f>IFERROR(IF(E2629&gt;0,E2629*IF(ISNUMBER(J2629),J2629,IF(C2629="Futures",$C$6,$C$5)),""),"")</f>
        <v/>
      </c>
      <c r="I2629" s="139">
        <f>IFERROR(IF(AND(ISNUMBER(F2629),ISNUMBER(H2629)),F2629-H2629,""),"")</f>
        <v/>
      </c>
      <c r="J2629" s="114" t="n"/>
      <c r="K2629" s="139">
        <f>IFERROR(IF(H2629&gt;0,H2629*$C$7,""),"")</f>
        <v/>
      </c>
      <c r="L2629" s="139">
        <f>IFERROR(IF(ISNUMBER(F2629),F2629-IF(ISNUMBER(K2629),K2629,0),""),"")</f>
        <v/>
      </c>
    </row>
    <row r="2630" ht="24" customHeight="1" s="63">
      <c r="E2630" s="139" t="n"/>
      <c r="F2630" s="139" t="n"/>
      <c r="G2630" s="140">
        <f>IFERROR(IF(E2630&gt;0,(F2630/E2630)*1000,""),"")</f>
        <v/>
      </c>
      <c r="H2630" s="139">
        <f>IFERROR(IF(E2630&gt;0,E2630*IF(ISNUMBER(J2630),J2630,IF(C2630="Futures",$C$6,$C$5)),""),"")</f>
        <v/>
      </c>
      <c r="I2630" s="139">
        <f>IFERROR(IF(AND(ISNUMBER(F2630),ISNUMBER(H2630)),F2630-H2630,""),"")</f>
        <v/>
      </c>
      <c r="J2630" s="114" t="n"/>
      <c r="K2630" s="139">
        <f>IFERROR(IF(H2630&gt;0,H2630*$C$7,""),"")</f>
        <v/>
      </c>
      <c r="L2630" s="139">
        <f>IFERROR(IF(ISNUMBER(F2630),F2630-IF(ISNUMBER(K2630),K2630,0),""),"")</f>
        <v/>
      </c>
    </row>
    <row r="2631" ht="24" customHeight="1" s="63">
      <c r="E2631" s="139" t="n"/>
      <c r="F2631" s="139" t="n"/>
      <c r="G2631" s="140">
        <f>IFERROR(IF(E2631&gt;0,(F2631/E2631)*1000,""),"")</f>
        <v/>
      </c>
      <c r="H2631" s="139">
        <f>IFERROR(IF(E2631&gt;0,E2631*IF(ISNUMBER(J2631),J2631,IF(C2631="Futures",$C$6,$C$5)),""),"")</f>
        <v/>
      </c>
      <c r="I2631" s="139">
        <f>IFERROR(IF(AND(ISNUMBER(F2631),ISNUMBER(H2631)),F2631-H2631,""),"")</f>
        <v/>
      </c>
      <c r="J2631" s="114" t="n"/>
      <c r="K2631" s="139">
        <f>IFERROR(IF(H2631&gt;0,H2631*$C$7,""),"")</f>
        <v/>
      </c>
      <c r="L2631" s="139">
        <f>IFERROR(IF(ISNUMBER(F2631),F2631-IF(ISNUMBER(K2631),K2631,0),""),"")</f>
        <v/>
      </c>
    </row>
    <row r="2632" ht="24" customHeight="1" s="63">
      <c r="E2632" s="139" t="n"/>
      <c r="F2632" s="139" t="n"/>
      <c r="G2632" s="140">
        <f>IFERROR(IF(E2632&gt;0,(F2632/E2632)*1000,""),"")</f>
        <v/>
      </c>
      <c r="H2632" s="139">
        <f>IFERROR(IF(E2632&gt;0,E2632*IF(ISNUMBER(J2632),J2632,IF(C2632="Futures",$C$6,$C$5)),""),"")</f>
        <v/>
      </c>
      <c r="I2632" s="139">
        <f>IFERROR(IF(AND(ISNUMBER(F2632),ISNUMBER(H2632)),F2632-H2632,""),"")</f>
        <v/>
      </c>
      <c r="J2632" s="114" t="n"/>
      <c r="K2632" s="139">
        <f>IFERROR(IF(H2632&gt;0,H2632*$C$7,""),"")</f>
        <v/>
      </c>
      <c r="L2632" s="139">
        <f>IFERROR(IF(ISNUMBER(F2632),F2632-IF(ISNUMBER(K2632),K2632,0),""),"")</f>
        <v/>
      </c>
    </row>
    <row r="2633" ht="24" customHeight="1" s="63">
      <c r="E2633" s="139" t="n"/>
      <c r="F2633" s="139" t="n"/>
      <c r="G2633" s="140">
        <f>IFERROR(IF(E2633&gt;0,(F2633/E2633)*1000,""),"")</f>
        <v/>
      </c>
      <c r="H2633" s="139">
        <f>IFERROR(IF(E2633&gt;0,E2633*IF(ISNUMBER(J2633),J2633,IF(C2633="Futures",$C$6,$C$5)),""),"")</f>
        <v/>
      </c>
      <c r="I2633" s="139">
        <f>IFERROR(IF(AND(ISNUMBER(F2633),ISNUMBER(H2633)),F2633-H2633,""),"")</f>
        <v/>
      </c>
      <c r="J2633" s="114" t="n"/>
      <c r="K2633" s="139">
        <f>IFERROR(IF(H2633&gt;0,H2633*$C$7,""),"")</f>
        <v/>
      </c>
      <c r="L2633" s="139">
        <f>IFERROR(IF(ISNUMBER(F2633),F2633-IF(ISNUMBER(K2633),K2633,0),""),"")</f>
        <v/>
      </c>
    </row>
    <row r="2634" ht="24" customHeight="1" s="63">
      <c r="E2634" s="139" t="n"/>
      <c r="F2634" s="139" t="n"/>
      <c r="G2634" s="140">
        <f>IFERROR(IF(E2634&gt;0,(F2634/E2634)*1000,""),"")</f>
        <v/>
      </c>
      <c r="H2634" s="139">
        <f>IFERROR(IF(E2634&gt;0,E2634*IF(ISNUMBER(J2634),J2634,IF(C2634="Futures",$C$6,$C$5)),""),"")</f>
        <v/>
      </c>
      <c r="I2634" s="139">
        <f>IFERROR(IF(AND(ISNUMBER(F2634),ISNUMBER(H2634)),F2634-H2634,""),"")</f>
        <v/>
      </c>
      <c r="J2634" s="114" t="n"/>
      <c r="K2634" s="139">
        <f>IFERROR(IF(H2634&gt;0,H2634*$C$7,""),"")</f>
        <v/>
      </c>
      <c r="L2634" s="139">
        <f>IFERROR(IF(ISNUMBER(F2634),F2634-IF(ISNUMBER(K2634),K2634,0),""),"")</f>
        <v/>
      </c>
    </row>
    <row r="2635" ht="24" customHeight="1" s="63">
      <c r="E2635" s="139" t="n"/>
      <c r="F2635" s="139" t="n"/>
      <c r="G2635" s="140">
        <f>IFERROR(IF(E2635&gt;0,(F2635/E2635)*1000,""),"")</f>
        <v/>
      </c>
      <c r="H2635" s="139">
        <f>IFERROR(IF(E2635&gt;0,E2635*IF(ISNUMBER(J2635),J2635,IF(C2635="Futures",$C$6,$C$5)),""),"")</f>
        <v/>
      </c>
      <c r="I2635" s="139">
        <f>IFERROR(IF(AND(ISNUMBER(F2635),ISNUMBER(H2635)),F2635-H2635,""),"")</f>
        <v/>
      </c>
      <c r="J2635" s="114" t="n"/>
      <c r="K2635" s="139">
        <f>IFERROR(IF(H2635&gt;0,H2635*$C$7,""),"")</f>
        <v/>
      </c>
      <c r="L2635" s="139">
        <f>IFERROR(IF(ISNUMBER(F2635),F2635-IF(ISNUMBER(K2635),K2635,0),""),"")</f>
        <v/>
      </c>
    </row>
    <row r="2636" ht="24" customHeight="1" s="63">
      <c r="E2636" s="139" t="n"/>
      <c r="F2636" s="139" t="n"/>
      <c r="G2636" s="140">
        <f>IFERROR(IF(E2636&gt;0,(F2636/E2636)*1000,""),"")</f>
        <v/>
      </c>
      <c r="H2636" s="139">
        <f>IFERROR(IF(E2636&gt;0,E2636*IF(ISNUMBER(J2636),J2636,IF(C2636="Futures",$C$6,$C$5)),""),"")</f>
        <v/>
      </c>
      <c r="I2636" s="139">
        <f>IFERROR(IF(AND(ISNUMBER(F2636),ISNUMBER(H2636)),F2636-H2636,""),"")</f>
        <v/>
      </c>
      <c r="J2636" s="114" t="n"/>
      <c r="K2636" s="139">
        <f>IFERROR(IF(H2636&gt;0,H2636*$C$7,""),"")</f>
        <v/>
      </c>
      <c r="L2636" s="139">
        <f>IFERROR(IF(ISNUMBER(F2636),F2636-IF(ISNUMBER(K2636),K2636,0),""),"")</f>
        <v/>
      </c>
    </row>
    <row r="2637" ht="24" customHeight="1" s="63">
      <c r="E2637" s="139" t="n"/>
      <c r="F2637" s="139" t="n"/>
      <c r="G2637" s="140">
        <f>IFERROR(IF(E2637&gt;0,(F2637/E2637)*1000,""),"")</f>
        <v/>
      </c>
      <c r="H2637" s="139">
        <f>IFERROR(IF(E2637&gt;0,E2637*IF(ISNUMBER(J2637),J2637,IF(C2637="Futures",$C$6,$C$5)),""),"")</f>
        <v/>
      </c>
      <c r="I2637" s="139">
        <f>IFERROR(IF(AND(ISNUMBER(F2637),ISNUMBER(H2637)),F2637-H2637,""),"")</f>
        <v/>
      </c>
      <c r="J2637" s="114" t="n"/>
      <c r="K2637" s="139">
        <f>IFERROR(IF(H2637&gt;0,H2637*$C$7,""),"")</f>
        <v/>
      </c>
      <c r="L2637" s="139">
        <f>IFERROR(IF(ISNUMBER(F2637),F2637-IF(ISNUMBER(K2637),K2637,0),""),"")</f>
        <v/>
      </c>
    </row>
    <row r="2638" ht="24" customHeight="1" s="63">
      <c r="E2638" s="139" t="n"/>
      <c r="F2638" s="139" t="n"/>
      <c r="G2638" s="140">
        <f>IFERROR(IF(E2638&gt;0,(F2638/E2638)*1000,""),"")</f>
        <v/>
      </c>
      <c r="H2638" s="139">
        <f>IFERROR(IF(E2638&gt;0,E2638*IF(ISNUMBER(J2638),J2638,IF(C2638="Futures",$C$6,$C$5)),""),"")</f>
        <v/>
      </c>
      <c r="I2638" s="139">
        <f>IFERROR(IF(AND(ISNUMBER(F2638),ISNUMBER(H2638)),F2638-H2638,""),"")</f>
        <v/>
      </c>
      <c r="J2638" s="114" t="n"/>
      <c r="K2638" s="139">
        <f>IFERROR(IF(H2638&gt;0,H2638*$C$7,""),"")</f>
        <v/>
      </c>
      <c r="L2638" s="139">
        <f>IFERROR(IF(ISNUMBER(F2638),F2638-IF(ISNUMBER(K2638),K2638,0),""),"")</f>
        <v/>
      </c>
    </row>
    <row r="2639" ht="24" customHeight="1" s="63">
      <c r="E2639" s="139" t="n"/>
      <c r="F2639" s="139" t="n"/>
      <c r="G2639" s="140">
        <f>IFERROR(IF(E2639&gt;0,(F2639/E2639)*1000,""),"")</f>
        <v/>
      </c>
      <c r="H2639" s="139">
        <f>IFERROR(IF(E2639&gt;0,E2639*IF(ISNUMBER(J2639),J2639,IF(C2639="Futures",$C$6,$C$5)),""),"")</f>
        <v/>
      </c>
      <c r="I2639" s="139">
        <f>IFERROR(IF(AND(ISNUMBER(F2639),ISNUMBER(H2639)),F2639-H2639,""),"")</f>
        <v/>
      </c>
      <c r="J2639" s="114" t="n"/>
      <c r="K2639" s="139">
        <f>IFERROR(IF(H2639&gt;0,H2639*$C$7,""),"")</f>
        <v/>
      </c>
      <c r="L2639" s="139">
        <f>IFERROR(IF(ISNUMBER(F2639),F2639-IF(ISNUMBER(K2639),K2639,0),""),"")</f>
        <v/>
      </c>
    </row>
    <row r="2640" ht="24" customHeight="1" s="63">
      <c r="E2640" s="139" t="n"/>
      <c r="F2640" s="139" t="n"/>
      <c r="G2640" s="140">
        <f>IFERROR(IF(E2640&gt;0,(F2640/E2640)*1000,""),"")</f>
        <v/>
      </c>
      <c r="H2640" s="139">
        <f>IFERROR(IF(E2640&gt;0,E2640*IF(ISNUMBER(J2640),J2640,IF(C2640="Futures",$C$6,$C$5)),""),"")</f>
        <v/>
      </c>
      <c r="I2640" s="139">
        <f>IFERROR(IF(AND(ISNUMBER(F2640),ISNUMBER(H2640)),F2640-H2640,""),"")</f>
        <v/>
      </c>
      <c r="J2640" s="114" t="n"/>
      <c r="K2640" s="139">
        <f>IFERROR(IF(H2640&gt;0,H2640*$C$7,""),"")</f>
        <v/>
      </c>
      <c r="L2640" s="139">
        <f>IFERROR(IF(ISNUMBER(F2640),F2640-IF(ISNUMBER(K2640),K2640,0),""),"")</f>
        <v/>
      </c>
    </row>
    <row r="2641" ht="24" customHeight="1" s="63">
      <c r="E2641" s="139" t="n"/>
      <c r="F2641" s="139" t="n"/>
      <c r="G2641" s="140">
        <f>IFERROR(IF(E2641&gt;0,(F2641/E2641)*1000,""),"")</f>
        <v/>
      </c>
      <c r="H2641" s="139">
        <f>IFERROR(IF(E2641&gt;0,E2641*IF(ISNUMBER(J2641),J2641,IF(C2641="Futures",$C$6,$C$5)),""),"")</f>
        <v/>
      </c>
      <c r="I2641" s="139">
        <f>IFERROR(IF(AND(ISNUMBER(F2641),ISNUMBER(H2641)),F2641-H2641,""),"")</f>
        <v/>
      </c>
      <c r="J2641" s="114" t="n"/>
      <c r="K2641" s="139">
        <f>IFERROR(IF(H2641&gt;0,H2641*$C$7,""),"")</f>
        <v/>
      </c>
      <c r="L2641" s="139">
        <f>IFERROR(IF(ISNUMBER(F2641),F2641-IF(ISNUMBER(K2641),K2641,0),""),"")</f>
        <v/>
      </c>
    </row>
    <row r="2642" ht="24" customHeight="1" s="63">
      <c r="E2642" s="139" t="n"/>
      <c r="F2642" s="139" t="n"/>
      <c r="G2642" s="140">
        <f>IFERROR(IF(E2642&gt;0,(F2642/E2642)*1000,""),"")</f>
        <v/>
      </c>
      <c r="H2642" s="139">
        <f>IFERROR(IF(E2642&gt;0,E2642*IF(ISNUMBER(J2642),J2642,IF(C2642="Futures",$C$6,$C$5)),""),"")</f>
        <v/>
      </c>
      <c r="I2642" s="139">
        <f>IFERROR(IF(AND(ISNUMBER(F2642),ISNUMBER(H2642)),F2642-H2642,""),"")</f>
        <v/>
      </c>
      <c r="J2642" s="114" t="n"/>
      <c r="K2642" s="139">
        <f>IFERROR(IF(H2642&gt;0,H2642*$C$7,""),"")</f>
        <v/>
      </c>
      <c r="L2642" s="139">
        <f>IFERROR(IF(ISNUMBER(F2642),F2642-IF(ISNUMBER(K2642),K2642,0),""),"")</f>
        <v/>
      </c>
    </row>
    <row r="2643" ht="24" customHeight="1" s="63">
      <c r="E2643" s="139" t="n"/>
      <c r="F2643" s="139" t="n"/>
      <c r="G2643" s="140">
        <f>IFERROR(IF(E2643&gt;0,(F2643/E2643)*1000,""),"")</f>
        <v/>
      </c>
      <c r="H2643" s="139">
        <f>IFERROR(IF(E2643&gt;0,E2643*IF(ISNUMBER(J2643),J2643,IF(C2643="Futures",$C$6,$C$5)),""),"")</f>
        <v/>
      </c>
      <c r="I2643" s="139">
        <f>IFERROR(IF(AND(ISNUMBER(F2643),ISNUMBER(H2643)),F2643-H2643,""),"")</f>
        <v/>
      </c>
      <c r="J2643" s="114" t="n"/>
      <c r="K2643" s="139">
        <f>IFERROR(IF(H2643&gt;0,H2643*$C$7,""),"")</f>
        <v/>
      </c>
      <c r="L2643" s="139">
        <f>IFERROR(IF(ISNUMBER(F2643),F2643-IF(ISNUMBER(K2643),K2643,0),""),"")</f>
        <v/>
      </c>
    </row>
    <row r="2644" ht="24" customHeight="1" s="63">
      <c r="E2644" s="139" t="n"/>
      <c r="F2644" s="139" t="n"/>
      <c r="G2644" s="140">
        <f>IFERROR(IF(E2644&gt;0,(F2644/E2644)*1000,""),"")</f>
        <v/>
      </c>
      <c r="H2644" s="139">
        <f>IFERROR(IF(E2644&gt;0,E2644*IF(ISNUMBER(J2644),J2644,IF(C2644="Futures",$C$6,$C$5)),""),"")</f>
        <v/>
      </c>
      <c r="I2644" s="139">
        <f>IFERROR(IF(AND(ISNUMBER(F2644),ISNUMBER(H2644)),F2644-H2644,""),"")</f>
        <v/>
      </c>
      <c r="J2644" s="114" t="n"/>
      <c r="K2644" s="139">
        <f>IFERROR(IF(H2644&gt;0,H2644*$C$7,""),"")</f>
        <v/>
      </c>
      <c r="L2644" s="139">
        <f>IFERROR(IF(ISNUMBER(F2644),F2644-IF(ISNUMBER(K2644),K2644,0),""),"")</f>
        <v/>
      </c>
    </row>
    <row r="2645" ht="24" customHeight="1" s="63">
      <c r="E2645" s="139" t="n"/>
      <c r="F2645" s="139" t="n"/>
      <c r="G2645" s="140">
        <f>IFERROR(IF(E2645&gt;0,(F2645/E2645)*1000,""),"")</f>
        <v/>
      </c>
      <c r="H2645" s="139">
        <f>IFERROR(IF(E2645&gt;0,E2645*IF(ISNUMBER(J2645),J2645,IF(C2645="Futures",$C$6,$C$5)),""),"")</f>
        <v/>
      </c>
      <c r="I2645" s="139">
        <f>IFERROR(IF(AND(ISNUMBER(F2645),ISNUMBER(H2645)),F2645-H2645,""),"")</f>
        <v/>
      </c>
      <c r="J2645" s="114" t="n"/>
      <c r="K2645" s="139">
        <f>IFERROR(IF(H2645&gt;0,H2645*$C$7,""),"")</f>
        <v/>
      </c>
      <c r="L2645" s="139">
        <f>IFERROR(IF(ISNUMBER(F2645),F2645-IF(ISNUMBER(K2645),K2645,0),""),"")</f>
        <v/>
      </c>
    </row>
    <row r="2646" ht="24" customHeight="1" s="63">
      <c r="E2646" s="139" t="n"/>
      <c r="F2646" s="139" t="n"/>
      <c r="G2646" s="140">
        <f>IFERROR(IF(E2646&gt;0,(F2646/E2646)*1000,""),"")</f>
        <v/>
      </c>
      <c r="H2646" s="139">
        <f>IFERROR(IF(E2646&gt;0,E2646*IF(ISNUMBER(J2646),J2646,IF(C2646="Futures",$C$6,$C$5)),""),"")</f>
        <v/>
      </c>
      <c r="I2646" s="139">
        <f>IFERROR(IF(AND(ISNUMBER(F2646),ISNUMBER(H2646)),F2646-H2646,""),"")</f>
        <v/>
      </c>
      <c r="J2646" s="114" t="n"/>
      <c r="K2646" s="139">
        <f>IFERROR(IF(H2646&gt;0,H2646*$C$7,""),"")</f>
        <v/>
      </c>
      <c r="L2646" s="139">
        <f>IFERROR(IF(ISNUMBER(F2646),F2646-IF(ISNUMBER(K2646),K2646,0),""),"")</f>
        <v/>
      </c>
    </row>
    <row r="2647" ht="24" customHeight="1" s="63">
      <c r="E2647" s="139" t="n"/>
      <c r="F2647" s="139" t="n"/>
      <c r="G2647" s="140">
        <f>IFERROR(IF(E2647&gt;0,(F2647/E2647)*1000,""),"")</f>
        <v/>
      </c>
      <c r="H2647" s="139">
        <f>IFERROR(IF(E2647&gt;0,E2647*IF(ISNUMBER(J2647),J2647,IF(C2647="Futures",$C$6,$C$5)),""),"")</f>
        <v/>
      </c>
      <c r="I2647" s="139">
        <f>IFERROR(IF(AND(ISNUMBER(F2647),ISNUMBER(H2647)),F2647-H2647,""),"")</f>
        <v/>
      </c>
      <c r="J2647" s="114" t="n"/>
      <c r="K2647" s="139">
        <f>IFERROR(IF(H2647&gt;0,H2647*$C$7,""),"")</f>
        <v/>
      </c>
      <c r="L2647" s="139">
        <f>IFERROR(IF(ISNUMBER(F2647),F2647-IF(ISNUMBER(K2647),K2647,0),""),"")</f>
        <v/>
      </c>
    </row>
    <row r="2648" ht="24" customHeight="1" s="63">
      <c r="E2648" s="139" t="n"/>
      <c r="F2648" s="139" t="n"/>
      <c r="G2648" s="140">
        <f>IFERROR(IF(E2648&gt;0,(F2648/E2648)*1000,""),"")</f>
        <v/>
      </c>
      <c r="H2648" s="139">
        <f>IFERROR(IF(E2648&gt;0,E2648*IF(ISNUMBER(J2648),J2648,IF(C2648="Futures",$C$6,$C$5)),""),"")</f>
        <v/>
      </c>
      <c r="I2648" s="139">
        <f>IFERROR(IF(AND(ISNUMBER(F2648),ISNUMBER(H2648)),F2648-H2648,""),"")</f>
        <v/>
      </c>
      <c r="J2648" s="114" t="n"/>
      <c r="K2648" s="139">
        <f>IFERROR(IF(H2648&gt;0,H2648*$C$7,""),"")</f>
        <v/>
      </c>
      <c r="L2648" s="139">
        <f>IFERROR(IF(ISNUMBER(F2648),F2648-IF(ISNUMBER(K2648),K2648,0),""),"")</f>
        <v/>
      </c>
    </row>
    <row r="2649" ht="24" customHeight="1" s="63">
      <c r="E2649" s="139" t="n"/>
      <c r="F2649" s="139" t="n"/>
      <c r="G2649" s="140">
        <f>IFERROR(IF(E2649&gt;0,(F2649/E2649)*1000,""),"")</f>
        <v/>
      </c>
      <c r="H2649" s="139">
        <f>IFERROR(IF(E2649&gt;0,E2649*IF(ISNUMBER(J2649),J2649,IF(C2649="Futures",$C$6,$C$5)),""),"")</f>
        <v/>
      </c>
      <c r="I2649" s="139">
        <f>IFERROR(IF(AND(ISNUMBER(F2649),ISNUMBER(H2649)),F2649-H2649,""),"")</f>
        <v/>
      </c>
      <c r="J2649" s="114" t="n"/>
      <c r="K2649" s="139">
        <f>IFERROR(IF(H2649&gt;0,H2649*$C$7,""),"")</f>
        <v/>
      </c>
      <c r="L2649" s="139">
        <f>IFERROR(IF(ISNUMBER(F2649),F2649-IF(ISNUMBER(K2649),K2649,0),""),"")</f>
        <v/>
      </c>
    </row>
    <row r="2650" ht="24" customHeight="1" s="63">
      <c r="E2650" s="139" t="n"/>
      <c r="F2650" s="139" t="n"/>
      <c r="G2650" s="140">
        <f>IFERROR(IF(E2650&gt;0,(F2650/E2650)*1000,""),"")</f>
        <v/>
      </c>
      <c r="H2650" s="139">
        <f>IFERROR(IF(E2650&gt;0,E2650*IF(ISNUMBER(J2650),J2650,IF(C2650="Futures",$C$6,$C$5)),""),"")</f>
        <v/>
      </c>
      <c r="I2650" s="139">
        <f>IFERROR(IF(AND(ISNUMBER(F2650),ISNUMBER(H2650)),F2650-H2650,""),"")</f>
        <v/>
      </c>
      <c r="J2650" s="114" t="n"/>
      <c r="K2650" s="139">
        <f>IFERROR(IF(H2650&gt;0,H2650*$C$7,""),"")</f>
        <v/>
      </c>
      <c r="L2650" s="139">
        <f>IFERROR(IF(ISNUMBER(F2650),F2650-IF(ISNUMBER(K2650),K2650,0),""),"")</f>
        <v/>
      </c>
    </row>
    <row r="2651" ht="24" customHeight="1" s="63">
      <c r="E2651" s="139" t="n"/>
      <c r="F2651" s="139" t="n"/>
      <c r="G2651" s="140">
        <f>IFERROR(IF(E2651&gt;0,(F2651/E2651)*1000,""),"")</f>
        <v/>
      </c>
      <c r="H2651" s="139">
        <f>IFERROR(IF(E2651&gt;0,E2651*IF(ISNUMBER(J2651),J2651,IF(C2651="Futures",$C$6,$C$5)),""),"")</f>
        <v/>
      </c>
      <c r="I2651" s="139">
        <f>IFERROR(IF(AND(ISNUMBER(F2651),ISNUMBER(H2651)),F2651-H2651,""),"")</f>
        <v/>
      </c>
      <c r="J2651" s="114" t="n"/>
      <c r="K2651" s="139">
        <f>IFERROR(IF(H2651&gt;0,H2651*$C$7,""),"")</f>
        <v/>
      </c>
      <c r="L2651" s="139">
        <f>IFERROR(IF(ISNUMBER(F2651),F2651-IF(ISNUMBER(K2651),K2651,0),""),"")</f>
        <v/>
      </c>
    </row>
    <row r="2652" ht="24" customHeight="1" s="63">
      <c r="E2652" s="139" t="n"/>
      <c r="F2652" s="139" t="n"/>
      <c r="G2652" s="140">
        <f>IFERROR(IF(E2652&gt;0,(F2652/E2652)*1000,""),"")</f>
        <v/>
      </c>
      <c r="H2652" s="139">
        <f>IFERROR(IF(E2652&gt;0,E2652*IF(ISNUMBER(J2652),J2652,IF(C2652="Futures",$C$6,$C$5)),""),"")</f>
        <v/>
      </c>
      <c r="I2652" s="139">
        <f>IFERROR(IF(AND(ISNUMBER(F2652),ISNUMBER(H2652)),F2652-H2652,""),"")</f>
        <v/>
      </c>
      <c r="J2652" s="114" t="n"/>
      <c r="K2652" s="139">
        <f>IFERROR(IF(H2652&gt;0,H2652*$C$7,""),"")</f>
        <v/>
      </c>
      <c r="L2652" s="139">
        <f>IFERROR(IF(ISNUMBER(F2652),F2652-IF(ISNUMBER(K2652),K2652,0),""),"")</f>
        <v/>
      </c>
    </row>
    <row r="2653" ht="24" customHeight="1" s="63">
      <c r="E2653" s="139" t="n"/>
      <c r="F2653" s="139" t="n"/>
      <c r="G2653" s="140">
        <f>IFERROR(IF(E2653&gt;0,(F2653/E2653)*1000,""),"")</f>
        <v/>
      </c>
      <c r="H2653" s="139">
        <f>IFERROR(IF(E2653&gt;0,E2653*IF(ISNUMBER(J2653),J2653,IF(C2653="Futures",$C$6,$C$5)),""),"")</f>
        <v/>
      </c>
      <c r="I2653" s="139">
        <f>IFERROR(IF(AND(ISNUMBER(F2653),ISNUMBER(H2653)),F2653-H2653,""),"")</f>
        <v/>
      </c>
      <c r="J2653" s="114" t="n"/>
      <c r="K2653" s="139">
        <f>IFERROR(IF(H2653&gt;0,H2653*$C$7,""),"")</f>
        <v/>
      </c>
      <c r="L2653" s="139">
        <f>IFERROR(IF(ISNUMBER(F2653),F2653-IF(ISNUMBER(K2653),K2653,0),""),"")</f>
        <v/>
      </c>
    </row>
    <row r="2654" ht="24" customHeight="1" s="63">
      <c r="E2654" s="139" t="n"/>
      <c r="F2654" s="139" t="n"/>
      <c r="G2654" s="140">
        <f>IFERROR(IF(E2654&gt;0,(F2654/E2654)*1000,""),"")</f>
        <v/>
      </c>
      <c r="H2654" s="139">
        <f>IFERROR(IF(E2654&gt;0,E2654*IF(ISNUMBER(J2654),J2654,IF(C2654="Futures",$C$6,$C$5)),""),"")</f>
        <v/>
      </c>
      <c r="I2654" s="139">
        <f>IFERROR(IF(AND(ISNUMBER(F2654),ISNUMBER(H2654)),F2654-H2654,""),"")</f>
        <v/>
      </c>
      <c r="J2654" s="114" t="n"/>
      <c r="K2654" s="139">
        <f>IFERROR(IF(H2654&gt;0,H2654*$C$7,""),"")</f>
        <v/>
      </c>
      <c r="L2654" s="139">
        <f>IFERROR(IF(ISNUMBER(F2654),F2654-IF(ISNUMBER(K2654),K2654,0),""),"")</f>
        <v/>
      </c>
    </row>
    <row r="2655" ht="24" customHeight="1" s="63">
      <c r="E2655" s="139" t="n"/>
      <c r="F2655" s="139" t="n"/>
      <c r="G2655" s="140">
        <f>IFERROR(IF(E2655&gt;0,(F2655/E2655)*1000,""),"")</f>
        <v/>
      </c>
      <c r="H2655" s="139">
        <f>IFERROR(IF(E2655&gt;0,E2655*IF(ISNUMBER(J2655),J2655,IF(C2655="Futures",$C$6,$C$5)),""),"")</f>
        <v/>
      </c>
      <c r="I2655" s="139">
        <f>IFERROR(IF(AND(ISNUMBER(F2655),ISNUMBER(H2655)),F2655-H2655,""),"")</f>
        <v/>
      </c>
      <c r="J2655" s="114" t="n"/>
      <c r="K2655" s="139">
        <f>IFERROR(IF(H2655&gt;0,H2655*$C$7,""),"")</f>
        <v/>
      </c>
      <c r="L2655" s="139">
        <f>IFERROR(IF(ISNUMBER(F2655),F2655-IF(ISNUMBER(K2655),K2655,0),""),"")</f>
        <v/>
      </c>
    </row>
    <row r="2656" ht="24" customHeight="1" s="63">
      <c r="E2656" s="139" t="n"/>
      <c r="F2656" s="139" t="n"/>
      <c r="G2656" s="140">
        <f>IFERROR(IF(E2656&gt;0,(F2656/E2656)*1000,""),"")</f>
        <v/>
      </c>
      <c r="H2656" s="139">
        <f>IFERROR(IF(E2656&gt;0,E2656*IF(ISNUMBER(J2656),J2656,IF(C2656="Futures",$C$6,$C$5)),""),"")</f>
        <v/>
      </c>
      <c r="I2656" s="139">
        <f>IFERROR(IF(AND(ISNUMBER(F2656),ISNUMBER(H2656)),F2656-H2656,""),"")</f>
        <v/>
      </c>
      <c r="J2656" s="114" t="n"/>
      <c r="K2656" s="139">
        <f>IFERROR(IF(H2656&gt;0,H2656*$C$7,""),"")</f>
        <v/>
      </c>
      <c r="L2656" s="139">
        <f>IFERROR(IF(ISNUMBER(F2656),F2656-IF(ISNUMBER(K2656),K2656,0),""),"")</f>
        <v/>
      </c>
    </row>
    <row r="2657" ht="24" customHeight="1" s="63">
      <c r="E2657" s="139" t="n"/>
      <c r="F2657" s="139" t="n"/>
      <c r="G2657" s="140">
        <f>IFERROR(IF(E2657&gt;0,(F2657/E2657)*1000,""),"")</f>
        <v/>
      </c>
      <c r="H2657" s="139">
        <f>IFERROR(IF(E2657&gt;0,E2657*IF(ISNUMBER(J2657),J2657,IF(C2657="Futures",$C$6,$C$5)),""),"")</f>
        <v/>
      </c>
      <c r="I2657" s="139">
        <f>IFERROR(IF(AND(ISNUMBER(F2657),ISNUMBER(H2657)),F2657-H2657,""),"")</f>
        <v/>
      </c>
      <c r="J2657" s="114" t="n"/>
      <c r="K2657" s="139">
        <f>IFERROR(IF(H2657&gt;0,H2657*$C$7,""),"")</f>
        <v/>
      </c>
      <c r="L2657" s="139">
        <f>IFERROR(IF(ISNUMBER(F2657),F2657-IF(ISNUMBER(K2657),K2657,0),""),"")</f>
        <v/>
      </c>
    </row>
    <row r="2658" ht="24" customHeight="1" s="63">
      <c r="E2658" s="139" t="n"/>
      <c r="F2658" s="139" t="n"/>
      <c r="G2658" s="140">
        <f>IFERROR(IF(E2658&gt;0,(F2658/E2658)*1000,""),"")</f>
        <v/>
      </c>
      <c r="H2658" s="139">
        <f>IFERROR(IF(E2658&gt;0,E2658*IF(ISNUMBER(J2658),J2658,IF(C2658="Futures",$C$6,$C$5)),""),"")</f>
        <v/>
      </c>
      <c r="I2658" s="139">
        <f>IFERROR(IF(AND(ISNUMBER(F2658),ISNUMBER(H2658)),F2658-H2658,""),"")</f>
        <v/>
      </c>
      <c r="J2658" s="114" t="n"/>
      <c r="K2658" s="139">
        <f>IFERROR(IF(H2658&gt;0,H2658*$C$7,""),"")</f>
        <v/>
      </c>
      <c r="L2658" s="139">
        <f>IFERROR(IF(ISNUMBER(F2658),F2658-IF(ISNUMBER(K2658),K2658,0),""),"")</f>
        <v/>
      </c>
    </row>
    <row r="2659" ht="24" customHeight="1" s="63">
      <c r="E2659" s="139" t="n"/>
      <c r="F2659" s="139" t="n"/>
      <c r="G2659" s="140">
        <f>IFERROR(IF(E2659&gt;0,(F2659/E2659)*1000,""),"")</f>
        <v/>
      </c>
      <c r="H2659" s="139">
        <f>IFERROR(IF(E2659&gt;0,E2659*IF(ISNUMBER(J2659),J2659,IF(C2659="Futures",$C$6,$C$5)),""),"")</f>
        <v/>
      </c>
      <c r="I2659" s="139">
        <f>IFERROR(IF(AND(ISNUMBER(F2659),ISNUMBER(H2659)),F2659-H2659,""),"")</f>
        <v/>
      </c>
      <c r="J2659" s="114" t="n"/>
      <c r="K2659" s="139">
        <f>IFERROR(IF(H2659&gt;0,H2659*$C$7,""),"")</f>
        <v/>
      </c>
      <c r="L2659" s="139">
        <f>IFERROR(IF(ISNUMBER(F2659),F2659-IF(ISNUMBER(K2659),K2659,0),""),"")</f>
        <v/>
      </c>
    </row>
    <row r="2660" ht="24" customHeight="1" s="63">
      <c r="E2660" s="139" t="n"/>
      <c r="F2660" s="139" t="n"/>
      <c r="G2660" s="140">
        <f>IFERROR(IF(E2660&gt;0,(F2660/E2660)*1000,""),"")</f>
        <v/>
      </c>
      <c r="H2660" s="139">
        <f>IFERROR(IF(E2660&gt;0,E2660*IF(ISNUMBER(J2660),J2660,IF(C2660="Futures",$C$6,$C$5)),""),"")</f>
        <v/>
      </c>
      <c r="I2660" s="139">
        <f>IFERROR(IF(AND(ISNUMBER(F2660),ISNUMBER(H2660)),F2660-H2660,""),"")</f>
        <v/>
      </c>
      <c r="J2660" s="114" t="n"/>
      <c r="K2660" s="139">
        <f>IFERROR(IF(H2660&gt;0,H2660*$C$7,""),"")</f>
        <v/>
      </c>
      <c r="L2660" s="139">
        <f>IFERROR(IF(ISNUMBER(F2660),F2660-IF(ISNUMBER(K2660),K2660,0),""),"")</f>
        <v/>
      </c>
    </row>
    <row r="2661" ht="24" customHeight="1" s="63">
      <c r="E2661" s="139" t="n"/>
      <c r="F2661" s="139" t="n"/>
      <c r="G2661" s="140">
        <f>IFERROR(IF(E2661&gt;0,(F2661/E2661)*1000,""),"")</f>
        <v/>
      </c>
      <c r="H2661" s="139">
        <f>IFERROR(IF(E2661&gt;0,E2661*IF(ISNUMBER(J2661),J2661,IF(C2661="Futures",$C$6,$C$5)),""),"")</f>
        <v/>
      </c>
      <c r="I2661" s="139">
        <f>IFERROR(IF(AND(ISNUMBER(F2661),ISNUMBER(H2661)),F2661-H2661,""),"")</f>
        <v/>
      </c>
      <c r="J2661" s="114" t="n"/>
      <c r="K2661" s="139">
        <f>IFERROR(IF(H2661&gt;0,H2661*$C$7,""),"")</f>
        <v/>
      </c>
      <c r="L2661" s="139">
        <f>IFERROR(IF(ISNUMBER(F2661),F2661-IF(ISNUMBER(K2661),K2661,0),""),"")</f>
        <v/>
      </c>
    </row>
    <row r="2662" ht="24" customHeight="1" s="63">
      <c r="E2662" s="139" t="n"/>
      <c r="F2662" s="139" t="n"/>
      <c r="G2662" s="140">
        <f>IFERROR(IF(E2662&gt;0,(F2662/E2662)*1000,""),"")</f>
        <v/>
      </c>
      <c r="H2662" s="139">
        <f>IFERROR(IF(E2662&gt;0,E2662*IF(ISNUMBER(J2662),J2662,IF(C2662="Futures",$C$6,$C$5)),""),"")</f>
        <v/>
      </c>
      <c r="I2662" s="139">
        <f>IFERROR(IF(AND(ISNUMBER(F2662),ISNUMBER(H2662)),F2662-H2662,""),"")</f>
        <v/>
      </c>
      <c r="J2662" s="114" t="n"/>
      <c r="K2662" s="139">
        <f>IFERROR(IF(H2662&gt;0,H2662*$C$7,""),"")</f>
        <v/>
      </c>
      <c r="L2662" s="139">
        <f>IFERROR(IF(ISNUMBER(F2662),F2662-IF(ISNUMBER(K2662),K2662,0),""),"")</f>
        <v/>
      </c>
    </row>
    <row r="2663" ht="24" customHeight="1" s="63">
      <c r="E2663" s="139" t="n"/>
      <c r="F2663" s="139" t="n"/>
      <c r="G2663" s="140">
        <f>IFERROR(IF(E2663&gt;0,(F2663/E2663)*1000,""),"")</f>
        <v/>
      </c>
      <c r="H2663" s="139">
        <f>IFERROR(IF(E2663&gt;0,E2663*IF(ISNUMBER(J2663),J2663,IF(C2663="Futures",$C$6,$C$5)),""),"")</f>
        <v/>
      </c>
      <c r="I2663" s="139">
        <f>IFERROR(IF(AND(ISNUMBER(F2663),ISNUMBER(H2663)),F2663-H2663,""),"")</f>
        <v/>
      </c>
      <c r="J2663" s="114" t="n"/>
      <c r="K2663" s="139">
        <f>IFERROR(IF(H2663&gt;0,H2663*$C$7,""),"")</f>
        <v/>
      </c>
      <c r="L2663" s="139">
        <f>IFERROR(IF(ISNUMBER(F2663),F2663-IF(ISNUMBER(K2663),K2663,0),""),"")</f>
        <v/>
      </c>
    </row>
    <row r="2664" ht="24" customHeight="1" s="63">
      <c r="E2664" s="139" t="n"/>
      <c r="F2664" s="139" t="n"/>
      <c r="G2664" s="140">
        <f>IFERROR(IF(E2664&gt;0,(F2664/E2664)*1000,""),"")</f>
        <v/>
      </c>
      <c r="H2664" s="139">
        <f>IFERROR(IF(E2664&gt;0,E2664*IF(ISNUMBER(J2664),J2664,IF(C2664="Futures",$C$6,$C$5)),""),"")</f>
        <v/>
      </c>
      <c r="I2664" s="139">
        <f>IFERROR(IF(AND(ISNUMBER(F2664),ISNUMBER(H2664)),F2664-H2664,""),"")</f>
        <v/>
      </c>
      <c r="J2664" s="114" t="n"/>
      <c r="K2664" s="139">
        <f>IFERROR(IF(H2664&gt;0,H2664*$C$7,""),"")</f>
        <v/>
      </c>
      <c r="L2664" s="139">
        <f>IFERROR(IF(ISNUMBER(F2664),F2664-IF(ISNUMBER(K2664),K2664,0),""),"")</f>
        <v/>
      </c>
    </row>
    <row r="2665" ht="24" customHeight="1" s="63">
      <c r="E2665" s="139" t="n"/>
      <c r="F2665" s="139" t="n"/>
      <c r="G2665" s="140">
        <f>IFERROR(IF(E2665&gt;0,(F2665/E2665)*1000,""),"")</f>
        <v/>
      </c>
      <c r="H2665" s="139">
        <f>IFERROR(IF(E2665&gt;0,E2665*IF(ISNUMBER(J2665),J2665,IF(C2665="Futures",$C$6,$C$5)),""),"")</f>
        <v/>
      </c>
      <c r="I2665" s="139">
        <f>IFERROR(IF(AND(ISNUMBER(F2665),ISNUMBER(H2665)),F2665-H2665,""),"")</f>
        <v/>
      </c>
      <c r="J2665" s="114" t="n"/>
      <c r="K2665" s="139">
        <f>IFERROR(IF(H2665&gt;0,H2665*$C$7,""),"")</f>
        <v/>
      </c>
      <c r="L2665" s="139">
        <f>IFERROR(IF(ISNUMBER(F2665),F2665-IF(ISNUMBER(K2665),K2665,0),""),"")</f>
        <v/>
      </c>
    </row>
    <row r="2666" ht="24" customHeight="1" s="63">
      <c r="E2666" s="139" t="n"/>
      <c r="F2666" s="139" t="n"/>
      <c r="G2666" s="140">
        <f>IFERROR(IF(E2666&gt;0,(F2666/E2666)*1000,""),"")</f>
        <v/>
      </c>
      <c r="H2666" s="139">
        <f>IFERROR(IF(E2666&gt;0,E2666*IF(ISNUMBER(J2666),J2666,IF(C2666="Futures",$C$6,$C$5)),""),"")</f>
        <v/>
      </c>
      <c r="I2666" s="139">
        <f>IFERROR(IF(AND(ISNUMBER(F2666),ISNUMBER(H2666)),F2666-H2666,""),"")</f>
        <v/>
      </c>
      <c r="J2666" s="114" t="n"/>
      <c r="K2666" s="139">
        <f>IFERROR(IF(H2666&gt;0,H2666*$C$7,""),"")</f>
        <v/>
      </c>
      <c r="L2666" s="139">
        <f>IFERROR(IF(ISNUMBER(F2666),F2666-IF(ISNUMBER(K2666),K2666,0),""),"")</f>
        <v/>
      </c>
    </row>
    <row r="2667" ht="24" customHeight="1" s="63">
      <c r="E2667" s="139" t="n"/>
      <c r="F2667" s="139" t="n"/>
      <c r="G2667" s="140">
        <f>IFERROR(IF(E2667&gt;0,(F2667/E2667)*1000,""),"")</f>
        <v/>
      </c>
      <c r="H2667" s="139">
        <f>IFERROR(IF(E2667&gt;0,E2667*IF(ISNUMBER(J2667),J2667,IF(C2667="Futures",$C$6,$C$5)),""),"")</f>
        <v/>
      </c>
      <c r="I2667" s="139">
        <f>IFERROR(IF(AND(ISNUMBER(F2667),ISNUMBER(H2667)),F2667-H2667,""),"")</f>
        <v/>
      </c>
      <c r="J2667" s="114" t="n"/>
      <c r="K2667" s="139">
        <f>IFERROR(IF(H2667&gt;0,H2667*$C$7,""),"")</f>
        <v/>
      </c>
      <c r="L2667" s="139">
        <f>IFERROR(IF(ISNUMBER(F2667),F2667-IF(ISNUMBER(K2667),K2667,0),""),"")</f>
        <v/>
      </c>
    </row>
    <row r="2668" ht="24" customHeight="1" s="63">
      <c r="E2668" s="139" t="n"/>
      <c r="F2668" s="139" t="n"/>
      <c r="G2668" s="140">
        <f>IFERROR(IF(E2668&gt;0,(F2668/E2668)*1000,""),"")</f>
        <v/>
      </c>
      <c r="H2668" s="139">
        <f>IFERROR(IF(E2668&gt;0,E2668*IF(ISNUMBER(J2668),J2668,IF(C2668="Futures",$C$6,$C$5)),""),"")</f>
        <v/>
      </c>
      <c r="I2668" s="139">
        <f>IFERROR(IF(AND(ISNUMBER(F2668),ISNUMBER(H2668)),F2668-H2668,""),"")</f>
        <v/>
      </c>
      <c r="J2668" s="114" t="n"/>
      <c r="K2668" s="139">
        <f>IFERROR(IF(H2668&gt;0,H2668*$C$7,""),"")</f>
        <v/>
      </c>
      <c r="L2668" s="139">
        <f>IFERROR(IF(ISNUMBER(F2668),F2668-IF(ISNUMBER(K2668),K2668,0),""),"")</f>
        <v/>
      </c>
    </row>
    <row r="2669" ht="24" customHeight="1" s="63">
      <c r="E2669" s="139" t="n"/>
      <c r="F2669" s="139" t="n"/>
      <c r="G2669" s="140">
        <f>IFERROR(IF(E2669&gt;0,(F2669/E2669)*1000,""),"")</f>
        <v/>
      </c>
      <c r="H2669" s="139">
        <f>IFERROR(IF(E2669&gt;0,E2669*IF(ISNUMBER(J2669),J2669,IF(C2669="Futures",$C$6,$C$5)),""),"")</f>
        <v/>
      </c>
      <c r="I2669" s="139">
        <f>IFERROR(IF(AND(ISNUMBER(F2669),ISNUMBER(H2669)),F2669-H2669,""),"")</f>
        <v/>
      </c>
      <c r="J2669" s="114" t="n"/>
      <c r="K2669" s="139">
        <f>IFERROR(IF(H2669&gt;0,H2669*$C$7,""),"")</f>
        <v/>
      </c>
      <c r="L2669" s="139">
        <f>IFERROR(IF(ISNUMBER(F2669),F2669-IF(ISNUMBER(K2669),K2669,0),""),"")</f>
        <v/>
      </c>
    </row>
    <row r="2670" ht="24" customHeight="1" s="63">
      <c r="E2670" s="139" t="n"/>
      <c r="F2670" s="139" t="n"/>
      <c r="G2670" s="140">
        <f>IFERROR(IF(E2670&gt;0,(F2670/E2670)*1000,""),"")</f>
        <v/>
      </c>
      <c r="H2670" s="139">
        <f>IFERROR(IF(E2670&gt;0,E2670*IF(ISNUMBER(J2670),J2670,IF(C2670="Futures",$C$6,$C$5)),""),"")</f>
        <v/>
      </c>
      <c r="I2670" s="139">
        <f>IFERROR(IF(AND(ISNUMBER(F2670),ISNUMBER(H2670)),F2670-H2670,""),"")</f>
        <v/>
      </c>
      <c r="J2670" s="114" t="n"/>
      <c r="K2670" s="139">
        <f>IFERROR(IF(H2670&gt;0,H2670*$C$7,""),"")</f>
        <v/>
      </c>
      <c r="L2670" s="139">
        <f>IFERROR(IF(ISNUMBER(F2670),F2670-IF(ISNUMBER(K2670),K2670,0),""),"")</f>
        <v/>
      </c>
    </row>
    <row r="2671" ht="24" customHeight="1" s="63">
      <c r="E2671" s="139" t="n"/>
      <c r="F2671" s="139" t="n"/>
      <c r="G2671" s="140">
        <f>IFERROR(IF(E2671&gt;0,(F2671/E2671)*1000,""),"")</f>
        <v/>
      </c>
      <c r="H2671" s="139">
        <f>IFERROR(IF(E2671&gt;0,E2671*IF(ISNUMBER(J2671),J2671,IF(C2671="Futures",$C$6,$C$5)),""),"")</f>
        <v/>
      </c>
      <c r="I2671" s="139">
        <f>IFERROR(IF(AND(ISNUMBER(F2671),ISNUMBER(H2671)),F2671-H2671,""),"")</f>
        <v/>
      </c>
      <c r="J2671" s="114" t="n"/>
      <c r="K2671" s="139">
        <f>IFERROR(IF(H2671&gt;0,H2671*$C$7,""),"")</f>
        <v/>
      </c>
      <c r="L2671" s="139">
        <f>IFERROR(IF(ISNUMBER(F2671),F2671-IF(ISNUMBER(K2671),K2671,0),""),"")</f>
        <v/>
      </c>
    </row>
    <row r="2672" ht="24" customHeight="1" s="63">
      <c r="E2672" s="139" t="n"/>
      <c r="F2672" s="139" t="n"/>
      <c r="G2672" s="140">
        <f>IFERROR(IF(E2672&gt;0,(F2672/E2672)*1000,""),"")</f>
        <v/>
      </c>
      <c r="H2672" s="139">
        <f>IFERROR(IF(E2672&gt;0,E2672*IF(ISNUMBER(J2672),J2672,IF(C2672="Futures",$C$6,$C$5)),""),"")</f>
        <v/>
      </c>
      <c r="I2672" s="139">
        <f>IFERROR(IF(AND(ISNUMBER(F2672),ISNUMBER(H2672)),F2672-H2672,""),"")</f>
        <v/>
      </c>
      <c r="J2672" s="114" t="n"/>
      <c r="K2672" s="139">
        <f>IFERROR(IF(H2672&gt;0,H2672*$C$7,""),"")</f>
        <v/>
      </c>
      <c r="L2672" s="139">
        <f>IFERROR(IF(ISNUMBER(F2672),F2672-IF(ISNUMBER(K2672),K2672,0),""),"")</f>
        <v/>
      </c>
    </row>
    <row r="2673" ht="24" customHeight="1" s="63">
      <c r="E2673" s="139" t="n"/>
      <c r="F2673" s="139" t="n"/>
      <c r="G2673" s="140">
        <f>IFERROR(IF(E2673&gt;0,(F2673/E2673)*1000,""),"")</f>
        <v/>
      </c>
      <c r="H2673" s="139">
        <f>IFERROR(IF(E2673&gt;0,E2673*IF(ISNUMBER(J2673),J2673,IF(C2673="Futures",$C$6,$C$5)),""),"")</f>
        <v/>
      </c>
      <c r="I2673" s="139">
        <f>IFERROR(IF(AND(ISNUMBER(F2673),ISNUMBER(H2673)),F2673-H2673,""),"")</f>
        <v/>
      </c>
      <c r="J2673" s="114" t="n"/>
      <c r="K2673" s="139">
        <f>IFERROR(IF(H2673&gt;0,H2673*$C$7,""),"")</f>
        <v/>
      </c>
      <c r="L2673" s="139">
        <f>IFERROR(IF(ISNUMBER(F2673),F2673-IF(ISNUMBER(K2673),K2673,0),""),"")</f>
        <v/>
      </c>
    </row>
    <row r="2674" ht="24" customHeight="1" s="63">
      <c r="E2674" s="139" t="n"/>
      <c r="F2674" s="139" t="n"/>
      <c r="G2674" s="140">
        <f>IFERROR(IF(E2674&gt;0,(F2674/E2674)*1000,""),"")</f>
        <v/>
      </c>
      <c r="H2674" s="139">
        <f>IFERROR(IF(E2674&gt;0,E2674*IF(ISNUMBER(J2674),J2674,IF(C2674="Futures",$C$6,$C$5)),""),"")</f>
        <v/>
      </c>
      <c r="I2674" s="139">
        <f>IFERROR(IF(AND(ISNUMBER(F2674),ISNUMBER(H2674)),F2674-H2674,""),"")</f>
        <v/>
      </c>
      <c r="J2674" s="114" t="n"/>
      <c r="K2674" s="139">
        <f>IFERROR(IF(H2674&gt;0,H2674*$C$7,""),"")</f>
        <v/>
      </c>
      <c r="L2674" s="139">
        <f>IFERROR(IF(ISNUMBER(F2674),F2674-IF(ISNUMBER(K2674),K2674,0),""),"")</f>
        <v/>
      </c>
    </row>
    <row r="2675" ht="24" customHeight="1" s="63">
      <c r="E2675" s="139" t="n"/>
      <c r="F2675" s="139" t="n"/>
      <c r="G2675" s="140">
        <f>IFERROR(IF(E2675&gt;0,(F2675/E2675)*1000,""),"")</f>
        <v/>
      </c>
      <c r="H2675" s="139">
        <f>IFERROR(IF(E2675&gt;0,E2675*IF(ISNUMBER(J2675),J2675,IF(C2675="Futures",$C$6,$C$5)),""),"")</f>
        <v/>
      </c>
      <c r="I2675" s="139">
        <f>IFERROR(IF(AND(ISNUMBER(F2675),ISNUMBER(H2675)),F2675-H2675,""),"")</f>
        <v/>
      </c>
      <c r="J2675" s="114" t="n"/>
      <c r="K2675" s="139">
        <f>IFERROR(IF(H2675&gt;0,H2675*$C$7,""),"")</f>
        <v/>
      </c>
      <c r="L2675" s="139">
        <f>IFERROR(IF(ISNUMBER(F2675),F2675-IF(ISNUMBER(K2675),K2675,0),""),"")</f>
        <v/>
      </c>
    </row>
    <row r="2676" ht="24" customHeight="1" s="63">
      <c r="E2676" s="139" t="n"/>
      <c r="F2676" s="139" t="n"/>
      <c r="G2676" s="140">
        <f>IFERROR(IF(E2676&gt;0,(F2676/E2676)*1000,""),"")</f>
        <v/>
      </c>
      <c r="H2676" s="139">
        <f>IFERROR(IF(E2676&gt;0,E2676*IF(ISNUMBER(J2676),J2676,IF(C2676="Futures",$C$6,$C$5)),""),"")</f>
        <v/>
      </c>
      <c r="I2676" s="139">
        <f>IFERROR(IF(AND(ISNUMBER(F2676),ISNUMBER(H2676)),F2676-H2676,""),"")</f>
        <v/>
      </c>
      <c r="J2676" s="114" t="n"/>
      <c r="K2676" s="139">
        <f>IFERROR(IF(H2676&gt;0,H2676*$C$7,""),"")</f>
        <v/>
      </c>
      <c r="L2676" s="139">
        <f>IFERROR(IF(ISNUMBER(F2676),F2676-IF(ISNUMBER(K2676),K2676,0),""),"")</f>
        <v/>
      </c>
    </row>
    <row r="2677" ht="24" customHeight="1" s="63">
      <c r="E2677" s="139" t="n"/>
      <c r="F2677" s="139" t="n"/>
      <c r="G2677" s="140">
        <f>IFERROR(IF(E2677&gt;0,(F2677/E2677)*1000,""),"")</f>
        <v/>
      </c>
      <c r="H2677" s="139">
        <f>IFERROR(IF(E2677&gt;0,E2677*IF(ISNUMBER(J2677),J2677,IF(C2677="Futures",$C$6,$C$5)),""),"")</f>
        <v/>
      </c>
      <c r="I2677" s="139">
        <f>IFERROR(IF(AND(ISNUMBER(F2677),ISNUMBER(H2677)),F2677-H2677,""),"")</f>
        <v/>
      </c>
      <c r="J2677" s="114" t="n"/>
      <c r="K2677" s="139">
        <f>IFERROR(IF(H2677&gt;0,H2677*$C$7,""),"")</f>
        <v/>
      </c>
      <c r="L2677" s="139">
        <f>IFERROR(IF(ISNUMBER(F2677),F2677-IF(ISNUMBER(K2677),K2677,0),""),"")</f>
        <v/>
      </c>
    </row>
    <row r="2678" ht="24" customHeight="1" s="63">
      <c r="E2678" s="139" t="n"/>
      <c r="F2678" s="139" t="n"/>
      <c r="G2678" s="140">
        <f>IFERROR(IF(E2678&gt;0,(F2678/E2678)*1000,""),"")</f>
        <v/>
      </c>
      <c r="H2678" s="139">
        <f>IFERROR(IF(E2678&gt;0,E2678*IF(ISNUMBER(J2678),J2678,IF(C2678="Futures",$C$6,$C$5)),""),"")</f>
        <v/>
      </c>
      <c r="I2678" s="139">
        <f>IFERROR(IF(AND(ISNUMBER(F2678),ISNUMBER(H2678)),F2678-H2678,""),"")</f>
        <v/>
      </c>
      <c r="J2678" s="114" t="n"/>
      <c r="K2678" s="139">
        <f>IFERROR(IF(H2678&gt;0,H2678*$C$7,""),"")</f>
        <v/>
      </c>
      <c r="L2678" s="139">
        <f>IFERROR(IF(ISNUMBER(F2678),F2678-IF(ISNUMBER(K2678),K2678,0),""),"")</f>
        <v/>
      </c>
    </row>
    <row r="2679" ht="24" customHeight="1" s="63">
      <c r="E2679" s="139" t="n"/>
      <c r="F2679" s="139" t="n"/>
      <c r="G2679" s="140">
        <f>IFERROR(IF(E2679&gt;0,(F2679/E2679)*1000,""),"")</f>
        <v/>
      </c>
      <c r="H2679" s="139">
        <f>IFERROR(IF(E2679&gt;0,E2679*IF(ISNUMBER(J2679),J2679,IF(C2679="Futures",$C$6,$C$5)),""),"")</f>
        <v/>
      </c>
      <c r="I2679" s="139">
        <f>IFERROR(IF(AND(ISNUMBER(F2679),ISNUMBER(H2679)),F2679-H2679,""),"")</f>
        <v/>
      </c>
      <c r="J2679" s="114" t="n"/>
      <c r="K2679" s="139">
        <f>IFERROR(IF(H2679&gt;0,H2679*$C$7,""),"")</f>
        <v/>
      </c>
      <c r="L2679" s="139">
        <f>IFERROR(IF(ISNUMBER(F2679),F2679-IF(ISNUMBER(K2679),K2679,0),""),"")</f>
        <v/>
      </c>
    </row>
    <row r="2680" ht="24" customHeight="1" s="63">
      <c r="E2680" s="139" t="n"/>
      <c r="F2680" s="139" t="n"/>
      <c r="G2680" s="140">
        <f>IFERROR(IF(E2680&gt;0,(F2680/E2680)*1000,""),"")</f>
        <v/>
      </c>
      <c r="H2680" s="139">
        <f>IFERROR(IF(E2680&gt;0,E2680*IF(ISNUMBER(J2680),J2680,IF(C2680="Futures",$C$6,$C$5)),""),"")</f>
        <v/>
      </c>
      <c r="I2680" s="139">
        <f>IFERROR(IF(AND(ISNUMBER(F2680),ISNUMBER(H2680)),F2680-H2680,""),"")</f>
        <v/>
      </c>
      <c r="J2680" s="114" t="n"/>
      <c r="K2680" s="139">
        <f>IFERROR(IF(H2680&gt;0,H2680*$C$7,""),"")</f>
        <v/>
      </c>
      <c r="L2680" s="139">
        <f>IFERROR(IF(ISNUMBER(F2680),F2680-IF(ISNUMBER(K2680),K2680,0),""),"")</f>
        <v/>
      </c>
    </row>
    <row r="2681" ht="24" customHeight="1" s="63">
      <c r="E2681" s="139" t="n"/>
      <c r="F2681" s="139" t="n"/>
      <c r="G2681" s="140">
        <f>IFERROR(IF(E2681&gt;0,(F2681/E2681)*1000,""),"")</f>
        <v/>
      </c>
      <c r="H2681" s="139">
        <f>IFERROR(IF(E2681&gt;0,E2681*IF(ISNUMBER(J2681),J2681,IF(C2681="Futures",$C$6,$C$5)),""),"")</f>
        <v/>
      </c>
      <c r="I2681" s="139">
        <f>IFERROR(IF(AND(ISNUMBER(F2681),ISNUMBER(H2681)),F2681-H2681,""),"")</f>
        <v/>
      </c>
      <c r="J2681" s="114" t="n"/>
      <c r="K2681" s="139">
        <f>IFERROR(IF(H2681&gt;0,H2681*$C$7,""),"")</f>
        <v/>
      </c>
      <c r="L2681" s="139">
        <f>IFERROR(IF(ISNUMBER(F2681),F2681-IF(ISNUMBER(K2681),K2681,0),""),"")</f>
        <v/>
      </c>
    </row>
    <row r="2682" ht="24" customHeight="1" s="63">
      <c r="E2682" s="139" t="n"/>
      <c r="F2682" s="139" t="n"/>
      <c r="G2682" s="140">
        <f>IFERROR(IF(E2682&gt;0,(F2682/E2682)*1000,""),"")</f>
        <v/>
      </c>
      <c r="H2682" s="139">
        <f>IFERROR(IF(E2682&gt;0,E2682*IF(ISNUMBER(J2682),J2682,IF(C2682="Futures",$C$6,$C$5)),""),"")</f>
        <v/>
      </c>
      <c r="I2682" s="139">
        <f>IFERROR(IF(AND(ISNUMBER(F2682),ISNUMBER(H2682)),F2682-H2682,""),"")</f>
        <v/>
      </c>
      <c r="J2682" s="114" t="n"/>
      <c r="K2682" s="139">
        <f>IFERROR(IF(H2682&gt;0,H2682*$C$7,""),"")</f>
        <v/>
      </c>
      <c r="L2682" s="139">
        <f>IFERROR(IF(ISNUMBER(F2682),F2682-IF(ISNUMBER(K2682),K2682,0),""),"")</f>
        <v/>
      </c>
    </row>
    <row r="2683" ht="24" customHeight="1" s="63">
      <c r="E2683" s="139" t="n"/>
      <c r="F2683" s="139" t="n"/>
      <c r="G2683" s="140">
        <f>IFERROR(IF(E2683&gt;0,(F2683/E2683)*1000,""),"")</f>
        <v/>
      </c>
      <c r="H2683" s="139">
        <f>IFERROR(IF(E2683&gt;0,E2683*IF(ISNUMBER(J2683),J2683,IF(C2683="Futures",$C$6,$C$5)),""),"")</f>
        <v/>
      </c>
      <c r="I2683" s="139">
        <f>IFERROR(IF(AND(ISNUMBER(F2683),ISNUMBER(H2683)),F2683-H2683,""),"")</f>
        <v/>
      </c>
      <c r="J2683" s="114" t="n"/>
      <c r="K2683" s="139">
        <f>IFERROR(IF(H2683&gt;0,H2683*$C$7,""),"")</f>
        <v/>
      </c>
      <c r="L2683" s="139">
        <f>IFERROR(IF(ISNUMBER(F2683),F2683-IF(ISNUMBER(K2683),K2683,0),""),"")</f>
        <v/>
      </c>
    </row>
    <row r="2684" ht="24" customHeight="1" s="63">
      <c r="E2684" s="139" t="n"/>
      <c r="F2684" s="139" t="n"/>
      <c r="G2684" s="140">
        <f>IFERROR(IF(E2684&gt;0,(F2684/E2684)*1000,""),"")</f>
        <v/>
      </c>
      <c r="H2684" s="139">
        <f>IFERROR(IF(E2684&gt;0,E2684*IF(ISNUMBER(J2684),J2684,IF(C2684="Futures",$C$6,$C$5)),""),"")</f>
        <v/>
      </c>
      <c r="I2684" s="139">
        <f>IFERROR(IF(AND(ISNUMBER(F2684),ISNUMBER(H2684)),F2684-H2684,""),"")</f>
        <v/>
      </c>
      <c r="J2684" s="114" t="n"/>
      <c r="K2684" s="139">
        <f>IFERROR(IF(H2684&gt;0,H2684*$C$7,""),"")</f>
        <v/>
      </c>
      <c r="L2684" s="139">
        <f>IFERROR(IF(ISNUMBER(F2684),F2684-IF(ISNUMBER(K2684),K2684,0),""),"")</f>
        <v/>
      </c>
    </row>
    <row r="2685" ht="24" customHeight="1" s="63">
      <c r="E2685" s="139" t="n"/>
      <c r="F2685" s="139" t="n"/>
      <c r="G2685" s="140">
        <f>IFERROR(IF(E2685&gt;0,(F2685/E2685)*1000,""),"")</f>
        <v/>
      </c>
      <c r="H2685" s="139">
        <f>IFERROR(IF(E2685&gt;0,E2685*IF(ISNUMBER(J2685),J2685,IF(C2685="Futures",$C$6,$C$5)),""),"")</f>
        <v/>
      </c>
      <c r="I2685" s="139">
        <f>IFERROR(IF(AND(ISNUMBER(F2685),ISNUMBER(H2685)),F2685-H2685,""),"")</f>
        <v/>
      </c>
      <c r="J2685" s="114" t="n"/>
      <c r="K2685" s="139">
        <f>IFERROR(IF(H2685&gt;0,H2685*$C$7,""),"")</f>
        <v/>
      </c>
      <c r="L2685" s="139">
        <f>IFERROR(IF(ISNUMBER(F2685),F2685-IF(ISNUMBER(K2685),K2685,0),""),"")</f>
        <v/>
      </c>
    </row>
    <row r="2686" ht="24" customHeight="1" s="63">
      <c r="E2686" s="139" t="n"/>
      <c r="F2686" s="139" t="n"/>
      <c r="G2686" s="140">
        <f>IFERROR(IF(E2686&gt;0,(F2686/E2686)*1000,""),"")</f>
        <v/>
      </c>
      <c r="H2686" s="139">
        <f>IFERROR(IF(E2686&gt;0,E2686*IF(ISNUMBER(J2686),J2686,IF(C2686="Futures",$C$6,$C$5)),""),"")</f>
        <v/>
      </c>
      <c r="I2686" s="139">
        <f>IFERROR(IF(AND(ISNUMBER(F2686),ISNUMBER(H2686)),F2686-H2686,""),"")</f>
        <v/>
      </c>
      <c r="J2686" s="114" t="n"/>
      <c r="K2686" s="139">
        <f>IFERROR(IF(H2686&gt;0,H2686*$C$7,""),"")</f>
        <v/>
      </c>
      <c r="L2686" s="139">
        <f>IFERROR(IF(ISNUMBER(F2686),F2686-IF(ISNUMBER(K2686),K2686,0),""),"")</f>
        <v/>
      </c>
    </row>
    <row r="2687" ht="24" customHeight="1" s="63">
      <c r="E2687" s="139" t="n"/>
      <c r="F2687" s="139" t="n"/>
      <c r="G2687" s="140">
        <f>IFERROR(IF(E2687&gt;0,(F2687/E2687)*1000,""),"")</f>
        <v/>
      </c>
      <c r="H2687" s="139">
        <f>IFERROR(IF(E2687&gt;0,E2687*IF(ISNUMBER(J2687),J2687,IF(C2687="Futures",$C$6,$C$5)),""),"")</f>
        <v/>
      </c>
      <c r="I2687" s="139">
        <f>IFERROR(IF(AND(ISNUMBER(F2687),ISNUMBER(H2687)),F2687-H2687,""),"")</f>
        <v/>
      </c>
      <c r="J2687" s="114" t="n"/>
      <c r="K2687" s="139">
        <f>IFERROR(IF(H2687&gt;0,H2687*$C$7,""),"")</f>
        <v/>
      </c>
      <c r="L2687" s="139">
        <f>IFERROR(IF(ISNUMBER(F2687),F2687-IF(ISNUMBER(K2687),K2687,0),""),"")</f>
        <v/>
      </c>
    </row>
    <row r="2688" ht="24" customHeight="1" s="63">
      <c r="E2688" s="139" t="n"/>
      <c r="F2688" s="139" t="n"/>
      <c r="G2688" s="140">
        <f>IFERROR(IF(E2688&gt;0,(F2688/E2688)*1000,""),"")</f>
        <v/>
      </c>
      <c r="H2688" s="139">
        <f>IFERROR(IF(E2688&gt;0,E2688*IF(ISNUMBER(J2688),J2688,IF(C2688="Futures",$C$6,$C$5)),""),"")</f>
        <v/>
      </c>
      <c r="I2688" s="139">
        <f>IFERROR(IF(AND(ISNUMBER(F2688),ISNUMBER(H2688)),F2688-H2688,""),"")</f>
        <v/>
      </c>
      <c r="J2688" s="114" t="n"/>
      <c r="K2688" s="139">
        <f>IFERROR(IF(H2688&gt;0,H2688*$C$7,""),"")</f>
        <v/>
      </c>
      <c r="L2688" s="139">
        <f>IFERROR(IF(ISNUMBER(F2688),F2688-IF(ISNUMBER(K2688),K2688,0),""),"")</f>
        <v/>
      </c>
    </row>
    <row r="2689" ht="24" customHeight="1" s="63">
      <c r="E2689" s="139" t="n"/>
      <c r="F2689" s="139" t="n"/>
      <c r="G2689" s="140">
        <f>IFERROR(IF(E2689&gt;0,(F2689/E2689)*1000,""),"")</f>
        <v/>
      </c>
      <c r="H2689" s="139">
        <f>IFERROR(IF(E2689&gt;0,E2689*IF(ISNUMBER(J2689),J2689,IF(C2689="Futures",$C$6,$C$5)),""),"")</f>
        <v/>
      </c>
      <c r="I2689" s="139">
        <f>IFERROR(IF(AND(ISNUMBER(F2689),ISNUMBER(H2689)),F2689-H2689,""),"")</f>
        <v/>
      </c>
      <c r="J2689" s="114" t="n"/>
      <c r="K2689" s="139">
        <f>IFERROR(IF(H2689&gt;0,H2689*$C$7,""),"")</f>
        <v/>
      </c>
      <c r="L2689" s="139">
        <f>IFERROR(IF(ISNUMBER(F2689),F2689-IF(ISNUMBER(K2689),K2689,0),""),"")</f>
        <v/>
      </c>
    </row>
    <row r="2690" ht="24" customHeight="1" s="63">
      <c r="E2690" s="139" t="n"/>
      <c r="F2690" s="139" t="n"/>
      <c r="G2690" s="140">
        <f>IFERROR(IF(E2690&gt;0,(F2690/E2690)*1000,""),"")</f>
        <v/>
      </c>
      <c r="H2690" s="139">
        <f>IFERROR(IF(E2690&gt;0,E2690*IF(ISNUMBER(J2690),J2690,IF(C2690="Futures",$C$6,$C$5)),""),"")</f>
        <v/>
      </c>
      <c r="I2690" s="139">
        <f>IFERROR(IF(AND(ISNUMBER(F2690),ISNUMBER(H2690)),F2690-H2690,""),"")</f>
        <v/>
      </c>
      <c r="J2690" s="114" t="n"/>
      <c r="K2690" s="139">
        <f>IFERROR(IF(H2690&gt;0,H2690*$C$7,""),"")</f>
        <v/>
      </c>
      <c r="L2690" s="139">
        <f>IFERROR(IF(ISNUMBER(F2690),F2690-IF(ISNUMBER(K2690),K2690,0),""),"")</f>
        <v/>
      </c>
    </row>
    <row r="2691" ht="24" customHeight="1" s="63">
      <c r="E2691" s="139" t="n"/>
      <c r="F2691" s="139" t="n"/>
      <c r="G2691" s="140">
        <f>IFERROR(IF(E2691&gt;0,(F2691/E2691)*1000,""),"")</f>
        <v/>
      </c>
      <c r="H2691" s="139">
        <f>IFERROR(IF(E2691&gt;0,E2691*IF(ISNUMBER(J2691),J2691,IF(C2691="Futures",$C$6,$C$5)),""),"")</f>
        <v/>
      </c>
      <c r="I2691" s="139">
        <f>IFERROR(IF(AND(ISNUMBER(F2691),ISNUMBER(H2691)),F2691-H2691,""),"")</f>
        <v/>
      </c>
      <c r="J2691" s="114" t="n"/>
      <c r="K2691" s="139">
        <f>IFERROR(IF(H2691&gt;0,H2691*$C$7,""),"")</f>
        <v/>
      </c>
      <c r="L2691" s="139">
        <f>IFERROR(IF(ISNUMBER(F2691),F2691-IF(ISNUMBER(K2691),K2691,0),""),"")</f>
        <v/>
      </c>
    </row>
    <row r="2692" ht="24" customHeight="1" s="63">
      <c r="E2692" s="139" t="n"/>
      <c r="F2692" s="139" t="n"/>
      <c r="G2692" s="140">
        <f>IFERROR(IF(E2692&gt;0,(F2692/E2692)*1000,""),"")</f>
        <v/>
      </c>
      <c r="H2692" s="139">
        <f>IFERROR(IF(E2692&gt;0,E2692*IF(ISNUMBER(J2692),J2692,IF(C2692="Futures",$C$6,$C$5)),""),"")</f>
        <v/>
      </c>
      <c r="I2692" s="139">
        <f>IFERROR(IF(AND(ISNUMBER(F2692),ISNUMBER(H2692)),F2692-H2692,""),"")</f>
        <v/>
      </c>
      <c r="J2692" s="114" t="n"/>
      <c r="K2692" s="139">
        <f>IFERROR(IF(H2692&gt;0,H2692*$C$7,""),"")</f>
        <v/>
      </c>
      <c r="L2692" s="139">
        <f>IFERROR(IF(ISNUMBER(F2692),F2692-IF(ISNUMBER(K2692),K2692,0),""),"")</f>
        <v/>
      </c>
    </row>
    <row r="2693" ht="24" customHeight="1" s="63">
      <c r="E2693" s="139" t="n"/>
      <c r="F2693" s="139" t="n"/>
      <c r="G2693" s="140">
        <f>IFERROR(IF(E2693&gt;0,(F2693/E2693)*1000,""),"")</f>
        <v/>
      </c>
      <c r="H2693" s="139">
        <f>IFERROR(IF(E2693&gt;0,E2693*IF(ISNUMBER(J2693),J2693,IF(C2693="Futures",$C$6,$C$5)),""),"")</f>
        <v/>
      </c>
      <c r="I2693" s="139">
        <f>IFERROR(IF(AND(ISNUMBER(F2693),ISNUMBER(H2693)),F2693-H2693,""),"")</f>
        <v/>
      </c>
      <c r="J2693" s="114" t="n"/>
      <c r="K2693" s="139">
        <f>IFERROR(IF(H2693&gt;0,H2693*$C$7,""),"")</f>
        <v/>
      </c>
      <c r="L2693" s="139">
        <f>IFERROR(IF(ISNUMBER(F2693),F2693-IF(ISNUMBER(K2693),K2693,0),""),"")</f>
        <v/>
      </c>
    </row>
    <row r="2694" ht="24" customHeight="1" s="63">
      <c r="E2694" s="139" t="n"/>
      <c r="F2694" s="139" t="n"/>
      <c r="G2694" s="140">
        <f>IFERROR(IF(E2694&gt;0,(F2694/E2694)*1000,""),"")</f>
        <v/>
      </c>
      <c r="H2694" s="139">
        <f>IFERROR(IF(E2694&gt;0,E2694*IF(ISNUMBER(J2694),J2694,IF(C2694="Futures",$C$6,$C$5)),""),"")</f>
        <v/>
      </c>
      <c r="I2694" s="139">
        <f>IFERROR(IF(AND(ISNUMBER(F2694),ISNUMBER(H2694)),F2694-H2694,""),"")</f>
        <v/>
      </c>
      <c r="J2694" s="114" t="n"/>
      <c r="K2694" s="139">
        <f>IFERROR(IF(H2694&gt;0,H2694*$C$7,""),"")</f>
        <v/>
      </c>
      <c r="L2694" s="139">
        <f>IFERROR(IF(ISNUMBER(F2694),F2694-IF(ISNUMBER(K2694),K2694,0),""),"")</f>
        <v/>
      </c>
    </row>
    <row r="2695" ht="24" customHeight="1" s="63">
      <c r="E2695" s="139" t="n"/>
      <c r="F2695" s="139" t="n"/>
      <c r="G2695" s="140">
        <f>IFERROR(IF(E2695&gt;0,(F2695/E2695)*1000,""),"")</f>
        <v/>
      </c>
      <c r="H2695" s="139">
        <f>IFERROR(IF(E2695&gt;0,E2695*IF(ISNUMBER(J2695),J2695,IF(C2695="Futures",$C$6,$C$5)),""),"")</f>
        <v/>
      </c>
      <c r="I2695" s="139">
        <f>IFERROR(IF(AND(ISNUMBER(F2695),ISNUMBER(H2695)),F2695-H2695,""),"")</f>
        <v/>
      </c>
      <c r="J2695" s="114" t="n"/>
      <c r="K2695" s="139">
        <f>IFERROR(IF(H2695&gt;0,H2695*$C$7,""),"")</f>
        <v/>
      </c>
      <c r="L2695" s="139">
        <f>IFERROR(IF(ISNUMBER(F2695),F2695-IF(ISNUMBER(K2695),K2695,0),""),"")</f>
        <v/>
      </c>
    </row>
    <row r="2696" ht="24" customHeight="1" s="63">
      <c r="E2696" s="139" t="n"/>
      <c r="F2696" s="139" t="n"/>
      <c r="G2696" s="140">
        <f>IFERROR(IF(E2696&gt;0,(F2696/E2696)*1000,""),"")</f>
        <v/>
      </c>
      <c r="H2696" s="139">
        <f>IFERROR(IF(E2696&gt;0,E2696*IF(ISNUMBER(J2696),J2696,IF(C2696="Futures",$C$6,$C$5)),""),"")</f>
        <v/>
      </c>
      <c r="I2696" s="139">
        <f>IFERROR(IF(AND(ISNUMBER(F2696),ISNUMBER(H2696)),F2696-H2696,""),"")</f>
        <v/>
      </c>
      <c r="J2696" s="114" t="n"/>
      <c r="K2696" s="139">
        <f>IFERROR(IF(H2696&gt;0,H2696*$C$7,""),"")</f>
        <v/>
      </c>
      <c r="L2696" s="139">
        <f>IFERROR(IF(ISNUMBER(F2696),F2696-IF(ISNUMBER(K2696),K2696,0),""),"")</f>
        <v/>
      </c>
    </row>
    <row r="2697" ht="24" customHeight="1" s="63">
      <c r="E2697" s="139" t="n"/>
      <c r="F2697" s="139" t="n"/>
      <c r="G2697" s="140">
        <f>IFERROR(IF(E2697&gt;0,(F2697/E2697)*1000,""),"")</f>
        <v/>
      </c>
      <c r="H2697" s="139">
        <f>IFERROR(IF(E2697&gt;0,E2697*IF(ISNUMBER(J2697),J2697,IF(C2697="Futures",$C$6,$C$5)),""),"")</f>
        <v/>
      </c>
      <c r="I2697" s="139">
        <f>IFERROR(IF(AND(ISNUMBER(F2697),ISNUMBER(H2697)),F2697-H2697,""),"")</f>
        <v/>
      </c>
      <c r="J2697" s="114" t="n"/>
      <c r="K2697" s="139">
        <f>IFERROR(IF(H2697&gt;0,H2697*$C$7,""),"")</f>
        <v/>
      </c>
      <c r="L2697" s="139">
        <f>IFERROR(IF(ISNUMBER(F2697),F2697-IF(ISNUMBER(K2697),K2697,0),""),"")</f>
        <v/>
      </c>
    </row>
    <row r="2698" ht="24" customHeight="1" s="63">
      <c r="E2698" s="139" t="n"/>
      <c r="F2698" s="139" t="n"/>
      <c r="G2698" s="140">
        <f>IFERROR(IF(E2698&gt;0,(F2698/E2698)*1000,""),"")</f>
        <v/>
      </c>
      <c r="H2698" s="139">
        <f>IFERROR(IF(E2698&gt;0,E2698*IF(ISNUMBER(J2698),J2698,IF(C2698="Futures",$C$6,$C$5)),""),"")</f>
        <v/>
      </c>
      <c r="I2698" s="139">
        <f>IFERROR(IF(AND(ISNUMBER(F2698),ISNUMBER(H2698)),F2698-H2698,""),"")</f>
        <v/>
      </c>
      <c r="J2698" s="114" t="n"/>
      <c r="K2698" s="139">
        <f>IFERROR(IF(H2698&gt;0,H2698*$C$7,""),"")</f>
        <v/>
      </c>
      <c r="L2698" s="139">
        <f>IFERROR(IF(ISNUMBER(F2698),F2698-IF(ISNUMBER(K2698),K2698,0),""),"")</f>
        <v/>
      </c>
    </row>
    <row r="2699" ht="24" customHeight="1" s="63">
      <c r="E2699" s="139" t="n"/>
      <c r="F2699" s="139" t="n"/>
      <c r="G2699" s="140">
        <f>IFERROR(IF(E2699&gt;0,(F2699/E2699)*1000,""),"")</f>
        <v/>
      </c>
      <c r="H2699" s="139">
        <f>IFERROR(IF(E2699&gt;0,E2699*IF(ISNUMBER(J2699),J2699,IF(C2699="Futures",$C$6,$C$5)),""),"")</f>
        <v/>
      </c>
      <c r="I2699" s="139">
        <f>IFERROR(IF(AND(ISNUMBER(F2699),ISNUMBER(H2699)),F2699-H2699,""),"")</f>
        <v/>
      </c>
      <c r="J2699" s="114" t="n"/>
      <c r="K2699" s="139">
        <f>IFERROR(IF(H2699&gt;0,H2699*$C$7,""),"")</f>
        <v/>
      </c>
      <c r="L2699" s="139">
        <f>IFERROR(IF(ISNUMBER(F2699),F2699-IF(ISNUMBER(K2699),K2699,0),""),"")</f>
        <v/>
      </c>
    </row>
    <row r="2700" ht="24" customHeight="1" s="63">
      <c r="E2700" s="139" t="n"/>
      <c r="F2700" s="139" t="n"/>
      <c r="G2700" s="140">
        <f>IFERROR(IF(E2700&gt;0,(F2700/E2700)*1000,""),"")</f>
        <v/>
      </c>
      <c r="H2700" s="139">
        <f>IFERROR(IF(E2700&gt;0,E2700*IF(ISNUMBER(J2700),J2700,IF(C2700="Futures",$C$6,$C$5)),""),"")</f>
        <v/>
      </c>
      <c r="I2700" s="139">
        <f>IFERROR(IF(AND(ISNUMBER(F2700),ISNUMBER(H2700)),F2700-H2700,""),"")</f>
        <v/>
      </c>
      <c r="J2700" s="114" t="n"/>
      <c r="K2700" s="139">
        <f>IFERROR(IF(H2700&gt;0,H2700*$C$7,""),"")</f>
        <v/>
      </c>
      <c r="L2700" s="139">
        <f>IFERROR(IF(ISNUMBER(F2700),F2700-IF(ISNUMBER(K2700),K2700,0),""),"")</f>
        <v/>
      </c>
    </row>
    <row r="2701" ht="24" customHeight="1" s="63">
      <c r="E2701" s="139" t="n"/>
      <c r="F2701" s="139" t="n"/>
      <c r="G2701" s="140">
        <f>IFERROR(IF(E2701&gt;0,(F2701/E2701)*1000,""),"")</f>
        <v/>
      </c>
      <c r="H2701" s="139">
        <f>IFERROR(IF(E2701&gt;0,E2701*IF(ISNUMBER(J2701),J2701,IF(C2701="Futures",$C$6,$C$5)),""),"")</f>
        <v/>
      </c>
      <c r="I2701" s="139">
        <f>IFERROR(IF(AND(ISNUMBER(F2701),ISNUMBER(H2701)),F2701-H2701,""),"")</f>
        <v/>
      </c>
      <c r="J2701" s="114" t="n"/>
      <c r="K2701" s="139">
        <f>IFERROR(IF(H2701&gt;0,H2701*$C$7,""),"")</f>
        <v/>
      </c>
      <c r="L2701" s="139">
        <f>IFERROR(IF(ISNUMBER(F2701),F2701-IF(ISNUMBER(K2701),K2701,0),""),"")</f>
        <v/>
      </c>
    </row>
    <row r="2702" ht="24" customHeight="1" s="63">
      <c r="E2702" s="139" t="n"/>
      <c r="F2702" s="139" t="n"/>
      <c r="G2702" s="140">
        <f>IFERROR(IF(E2702&gt;0,(F2702/E2702)*1000,""),"")</f>
        <v/>
      </c>
      <c r="H2702" s="139">
        <f>IFERROR(IF(E2702&gt;0,E2702*IF(ISNUMBER(J2702),J2702,IF(C2702="Futures",$C$6,$C$5)),""),"")</f>
        <v/>
      </c>
      <c r="I2702" s="139">
        <f>IFERROR(IF(AND(ISNUMBER(F2702),ISNUMBER(H2702)),F2702-H2702,""),"")</f>
        <v/>
      </c>
      <c r="J2702" s="114" t="n"/>
      <c r="K2702" s="139">
        <f>IFERROR(IF(H2702&gt;0,H2702*$C$7,""),"")</f>
        <v/>
      </c>
      <c r="L2702" s="139">
        <f>IFERROR(IF(ISNUMBER(F2702),F2702-IF(ISNUMBER(K2702),K2702,0),""),"")</f>
        <v/>
      </c>
    </row>
    <row r="2703" ht="24" customHeight="1" s="63">
      <c r="E2703" s="139" t="n"/>
      <c r="F2703" s="139" t="n"/>
      <c r="G2703" s="140">
        <f>IFERROR(IF(E2703&gt;0,(F2703/E2703)*1000,""),"")</f>
        <v/>
      </c>
      <c r="H2703" s="139">
        <f>IFERROR(IF(E2703&gt;0,E2703*IF(ISNUMBER(J2703),J2703,IF(C2703="Futures",$C$6,$C$5)),""),"")</f>
        <v/>
      </c>
      <c r="I2703" s="139">
        <f>IFERROR(IF(AND(ISNUMBER(F2703),ISNUMBER(H2703)),F2703-H2703,""),"")</f>
        <v/>
      </c>
      <c r="J2703" s="114" t="n"/>
      <c r="K2703" s="139">
        <f>IFERROR(IF(H2703&gt;0,H2703*$C$7,""),"")</f>
        <v/>
      </c>
      <c r="L2703" s="139">
        <f>IFERROR(IF(ISNUMBER(F2703),F2703-IF(ISNUMBER(K2703),K2703,0),""),"")</f>
        <v/>
      </c>
    </row>
    <row r="2704" ht="24" customHeight="1" s="63">
      <c r="E2704" s="139" t="n"/>
      <c r="F2704" s="139" t="n"/>
      <c r="G2704" s="140">
        <f>IFERROR(IF(E2704&gt;0,(F2704/E2704)*1000,""),"")</f>
        <v/>
      </c>
      <c r="H2704" s="139">
        <f>IFERROR(IF(E2704&gt;0,E2704*IF(ISNUMBER(J2704),J2704,IF(C2704="Futures",$C$6,$C$5)),""),"")</f>
        <v/>
      </c>
      <c r="I2704" s="139">
        <f>IFERROR(IF(AND(ISNUMBER(F2704),ISNUMBER(H2704)),F2704-H2704,""),"")</f>
        <v/>
      </c>
      <c r="J2704" s="114" t="n"/>
      <c r="K2704" s="139">
        <f>IFERROR(IF(H2704&gt;0,H2704*$C$7,""),"")</f>
        <v/>
      </c>
      <c r="L2704" s="139">
        <f>IFERROR(IF(ISNUMBER(F2704),F2704-IF(ISNUMBER(K2704),K2704,0),""),"")</f>
        <v/>
      </c>
    </row>
    <row r="2705" ht="24" customHeight="1" s="63">
      <c r="E2705" s="139" t="n"/>
      <c r="F2705" s="139" t="n"/>
      <c r="G2705" s="140">
        <f>IFERROR(IF(E2705&gt;0,(F2705/E2705)*1000,""),"")</f>
        <v/>
      </c>
      <c r="H2705" s="139">
        <f>IFERROR(IF(E2705&gt;0,E2705*IF(ISNUMBER(J2705),J2705,IF(C2705="Futures",$C$6,$C$5)),""),"")</f>
        <v/>
      </c>
      <c r="I2705" s="139">
        <f>IFERROR(IF(AND(ISNUMBER(F2705),ISNUMBER(H2705)),F2705-H2705,""),"")</f>
        <v/>
      </c>
      <c r="J2705" s="114" t="n"/>
      <c r="K2705" s="139">
        <f>IFERROR(IF(H2705&gt;0,H2705*$C$7,""),"")</f>
        <v/>
      </c>
      <c r="L2705" s="139">
        <f>IFERROR(IF(ISNUMBER(F2705),F2705-IF(ISNUMBER(K2705),K2705,0),""),"")</f>
        <v/>
      </c>
    </row>
    <row r="2706" ht="24" customHeight="1" s="63">
      <c r="E2706" s="139" t="n"/>
      <c r="F2706" s="139" t="n"/>
      <c r="G2706" s="140">
        <f>IFERROR(IF(E2706&gt;0,(F2706/E2706)*1000,""),"")</f>
        <v/>
      </c>
      <c r="H2706" s="139">
        <f>IFERROR(IF(E2706&gt;0,E2706*IF(ISNUMBER(J2706),J2706,IF(C2706="Futures",$C$6,$C$5)),""),"")</f>
        <v/>
      </c>
      <c r="I2706" s="139">
        <f>IFERROR(IF(AND(ISNUMBER(F2706),ISNUMBER(H2706)),F2706-H2706,""),"")</f>
        <v/>
      </c>
      <c r="J2706" s="114" t="n"/>
      <c r="K2706" s="139">
        <f>IFERROR(IF(H2706&gt;0,H2706*$C$7,""),"")</f>
        <v/>
      </c>
      <c r="L2706" s="139">
        <f>IFERROR(IF(ISNUMBER(F2706),F2706-IF(ISNUMBER(K2706),K2706,0),""),"")</f>
        <v/>
      </c>
    </row>
    <row r="2707" ht="24" customHeight="1" s="63">
      <c r="E2707" s="139" t="n"/>
      <c r="F2707" s="139" t="n"/>
      <c r="G2707" s="140">
        <f>IFERROR(IF(E2707&gt;0,(F2707/E2707)*1000,""),"")</f>
        <v/>
      </c>
      <c r="H2707" s="139">
        <f>IFERROR(IF(E2707&gt;0,E2707*IF(ISNUMBER(J2707),J2707,IF(C2707="Futures",$C$6,$C$5)),""),"")</f>
        <v/>
      </c>
      <c r="I2707" s="139">
        <f>IFERROR(IF(AND(ISNUMBER(F2707),ISNUMBER(H2707)),F2707-H2707,""),"")</f>
        <v/>
      </c>
      <c r="J2707" s="114" t="n"/>
      <c r="K2707" s="139">
        <f>IFERROR(IF(H2707&gt;0,H2707*$C$7,""),"")</f>
        <v/>
      </c>
      <c r="L2707" s="139">
        <f>IFERROR(IF(ISNUMBER(F2707),F2707-IF(ISNUMBER(K2707),K2707,0),""),"")</f>
        <v/>
      </c>
    </row>
    <row r="2708" ht="24" customHeight="1" s="63">
      <c r="E2708" s="139" t="n"/>
      <c r="F2708" s="139" t="n"/>
      <c r="G2708" s="140">
        <f>IFERROR(IF(E2708&gt;0,(F2708/E2708)*1000,""),"")</f>
        <v/>
      </c>
      <c r="H2708" s="139">
        <f>IFERROR(IF(E2708&gt;0,E2708*IF(ISNUMBER(J2708),J2708,IF(C2708="Futures",$C$6,$C$5)),""),"")</f>
        <v/>
      </c>
      <c r="I2708" s="139">
        <f>IFERROR(IF(AND(ISNUMBER(F2708),ISNUMBER(H2708)),F2708-H2708,""),"")</f>
        <v/>
      </c>
      <c r="J2708" s="114" t="n"/>
      <c r="K2708" s="139">
        <f>IFERROR(IF(H2708&gt;0,H2708*$C$7,""),"")</f>
        <v/>
      </c>
      <c r="L2708" s="139">
        <f>IFERROR(IF(ISNUMBER(F2708),F2708-IF(ISNUMBER(K2708),K2708,0),""),"")</f>
        <v/>
      </c>
    </row>
    <row r="2709" ht="24" customHeight="1" s="63">
      <c r="E2709" s="139" t="n"/>
      <c r="F2709" s="139" t="n"/>
      <c r="G2709" s="140">
        <f>IFERROR(IF(E2709&gt;0,(F2709/E2709)*1000,""),"")</f>
        <v/>
      </c>
      <c r="H2709" s="139">
        <f>IFERROR(IF(E2709&gt;0,E2709*IF(ISNUMBER(J2709),J2709,IF(C2709="Futures",$C$6,$C$5)),""),"")</f>
        <v/>
      </c>
      <c r="I2709" s="139">
        <f>IFERROR(IF(AND(ISNUMBER(F2709),ISNUMBER(H2709)),F2709-H2709,""),"")</f>
        <v/>
      </c>
      <c r="J2709" s="114" t="n"/>
      <c r="K2709" s="139">
        <f>IFERROR(IF(H2709&gt;0,H2709*$C$7,""),"")</f>
        <v/>
      </c>
      <c r="L2709" s="139">
        <f>IFERROR(IF(ISNUMBER(F2709),F2709-IF(ISNUMBER(K2709),K2709,0),""),"")</f>
        <v/>
      </c>
    </row>
    <row r="2710" ht="24" customHeight="1" s="63">
      <c r="E2710" s="139" t="n"/>
      <c r="F2710" s="139" t="n"/>
      <c r="G2710" s="140">
        <f>IFERROR(IF(E2710&gt;0,(F2710/E2710)*1000,""),"")</f>
        <v/>
      </c>
      <c r="H2710" s="139">
        <f>IFERROR(IF(E2710&gt;0,E2710*IF(ISNUMBER(J2710),J2710,IF(C2710="Futures",$C$6,$C$5)),""),"")</f>
        <v/>
      </c>
      <c r="I2710" s="139">
        <f>IFERROR(IF(AND(ISNUMBER(F2710),ISNUMBER(H2710)),F2710-H2710,""),"")</f>
        <v/>
      </c>
      <c r="J2710" s="114" t="n"/>
      <c r="K2710" s="139">
        <f>IFERROR(IF(H2710&gt;0,H2710*$C$7,""),"")</f>
        <v/>
      </c>
      <c r="L2710" s="139">
        <f>IFERROR(IF(ISNUMBER(F2710),F2710-IF(ISNUMBER(K2710),K2710,0),""),"")</f>
        <v/>
      </c>
    </row>
    <row r="2711" ht="24" customHeight="1" s="63">
      <c r="E2711" s="139" t="n"/>
      <c r="F2711" s="139" t="n"/>
      <c r="G2711" s="140">
        <f>IFERROR(IF(E2711&gt;0,(F2711/E2711)*1000,""),"")</f>
        <v/>
      </c>
      <c r="H2711" s="139">
        <f>IFERROR(IF(E2711&gt;0,E2711*IF(ISNUMBER(J2711),J2711,IF(C2711="Futures",$C$6,$C$5)),""),"")</f>
        <v/>
      </c>
      <c r="I2711" s="139">
        <f>IFERROR(IF(AND(ISNUMBER(F2711),ISNUMBER(H2711)),F2711-H2711,""),"")</f>
        <v/>
      </c>
      <c r="J2711" s="114" t="n"/>
      <c r="K2711" s="139">
        <f>IFERROR(IF(H2711&gt;0,H2711*$C$7,""),"")</f>
        <v/>
      </c>
      <c r="L2711" s="139">
        <f>IFERROR(IF(ISNUMBER(F2711),F2711-IF(ISNUMBER(K2711),K2711,0),""),"")</f>
        <v/>
      </c>
    </row>
    <row r="2712" ht="24" customHeight="1" s="63">
      <c r="E2712" s="139" t="n"/>
      <c r="F2712" s="139" t="n"/>
      <c r="G2712" s="140">
        <f>IFERROR(IF(E2712&gt;0,(F2712/E2712)*1000,""),"")</f>
        <v/>
      </c>
      <c r="H2712" s="139">
        <f>IFERROR(IF(E2712&gt;0,E2712*IF(ISNUMBER(J2712),J2712,IF(C2712="Futures",$C$6,$C$5)),""),"")</f>
        <v/>
      </c>
      <c r="I2712" s="139">
        <f>IFERROR(IF(AND(ISNUMBER(F2712),ISNUMBER(H2712)),F2712-H2712,""),"")</f>
        <v/>
      </c>
      <c r="J2712" s="114" t="n"/>
      <c r="K2712" s="139">
        <f>IFERROR(IF(H2712&gt;0,H2712*$C$7,""),"")</f>
        <v/>
      </c>
      <c r="L2712" s="139">
        <f>IFERROR(IF(ISNUMBER(F2712),F2712-IF(ISNUMBER(K2712),K2712,0),""),"")</f>
        <v/>
      </c>
    </row>
    <row r="2713" ht="24" customHeight="1" s="63">
      <c r="E2713" s="139" t="n"/>
      <c r="F2713" s="139" t="n"/>
      <c r="G2713" s="140">
        <f>IFERROR(IF(E2713&gt;0,(F2713/E2713)*1000,""),"")</f>
        <v/>
      </c>
      <c r="H2713" s="139">
        <f>IFERROR(IF(E2713&gt;0,E2713*IF(ISNUMBER(J2713),J2713,IF(C2713="Futures",$C$6,$C$5)),""),"")</f>
        <v/>
      </c>
      <c r="I2713" s="139">
        <f>IFERROR(IF(AND(ISNUMBER(F2713),ISNUMBER(H2713)),F2713-H2713,""),"")</f>
        <v/>
      </c>
      <c r="J2713" s="114" t="n"/>
      <c r="K2713" s="139">
        <f>IFERROR(IF(H2713&gt;0,H2713*$C$7,""),"")</f>
        <v/>
      </c>
      <c r="L2713" s="139">
        <f>IFERROR(IF(ISNUMBER(F2713),F2713-IF(ISNUMBER(K2713),K2713,0),""),"")</f>
        <v/>
      </c>
    </row>
    <row r="2714" ht="24" customHeight="1" s="63">
      <c r="E2714" s="139" t="n"/>
      <c r="F2714" s="139" t="n"/>
      <c r="G2714" s="140">
        <f>IFERROR(IF(E2714&gt;0,(F2714/E2714)*1000,""),"")</f>
        <v/>
      </c>
      <c r="H2714" s="139">
        <f>IFERROR(IF(E2714&gt;0,E2714*IF(ISNUMBER(J2714),J2714,IF(C2714="Futures",$C$6,$C$5)),""),"")</f>
        <v/>
      </c>
      <c r="I2714" s="139">
        <f>IFERROR(IF(AND(ISNUMBER(F2714),ISNUMBER(H2714)),F2714-H2714,""),"")</f>
        <v/>
      </c>
      <c r="J2714" s="114" t="n"/>
      <c r="K2714" s="139">
        <f>IFERROR(IF(H2714&gt;0,H2714*$C$7,""),"")</f>
        <v/>
      </c>
      <c r="L2714" s="139">
        <f>IFERROR(IF(ISNUMBER(F2714),F2714-IF(ISNUMBER(K2714),K2714,0),""),"")</f>
        <v/>
      </c>
    </row>
    <row r="2715" ht="24" customHeight="1" s="63">
      <c r="E2715" s="139" t="n"/>
      <c r="F2715" s="139" t="n"/>
      <c r="G2715" s="140">
        <f>IFERROR(IF(E2715&gt;0,(F2715/E2715)*1000,""),"")</f>
        <v/>
      </c>
      <c r="H2715" s="139">
        <f>IFERROR(IF(E2715&gt;0,E2715*IF(ISNUMBER(J2715),J2715,IF(C2715="Futures",$C$6,$C$5)),""),"")</f>
        <v/>
      </c>
      <c r="I2715" s="139">
        <f>IFERROR(IF(AND(ISNUMBER(F2715),ISNUMBER(H2715)),F2715-H2715,""),"")</f>
        <v/>
      </c>
      <c r="J2715" s="114" t="n"/>
      <c r="K2715" s="139">
        <f>IFERROR(IF(H2715&gt;0,H2715*$C$7,""),"")</f>
        <v/>
      </c>
      <c r="L2715" s="139">
        <f>IFERROR(IF(ISNUMBER(F2715),F2715-IF(ISNUMBER(K2715),K2715,0),""),"")</f>
        <v/>
      </c>
    </row>
    <row r="2716" ht="24" customHeight="1" s="63">
      <c r="E2716" s="139" t="n"/>
      <c r="F2716" s="139" t="n"/>
      <c r="G2716" s="140">
        <f>IFERROR(IF(E2716&gt;0,(F2716/E2716)*1000,""),"")</f>
        <v/>
      </c>
      <c r="H2716" s="139">
        <f>IFERROR(IF(E2716&gt;0,E2716*IF(ISNUMBER(J2716),J2716,IF(C2716="Futures",$C$6,$C$5)),""),"")</f>
        <v/>
      </c>
      <c r="I2716" s="139">
        <f>IFERROR(IF(AND(ISNUMBER(F2716),ISNUMBER(H2716)),F2716-H2716,""),"")</f>
        <v/>
      </c>
      <c r="J2716" s="114" t="n"/>
      <c r="K2716" s="139">
        <f>IFERROR(IF(H2716&gt;0,H2716*$C$7,""),"")</f>
        <v/>
      </c>
      <c r="L2716" s="139">
        <f>IFERROR(IF(ISNUMBER(F2716),F2716-IF(ISNUMBER(K2716),K2716,0),""),"")</f>
        <v/>
      </c>
    </row>
    <row r="2717" ht="24" customHeight="1" s="63">
      <c r="E2717" s="139" t="n"/>
      <c r="F2717" s="139" t="n"/>
      <c r="G2717" s="140">
        <f>IFERROR(IF(E2717&gt;0,(F2717/E2717)*1000,""),"")</f>
        <v/>
      </c>
      <c r="H2717" s="139">
        <f>IFERROR(IF(E2717&gt;0,E2717*IF(ISNUMBER(J2717),J2717,IF(C2717="Futures",$C$6,$C$5)),""),"")</f>
        <v/>
      </c>
      <c r="I2717" s="139">
        <f>IFERROR(IF(AND(ISNUMBER(F2717),ISNUMBER(H2717)),F2717-H2717,""),"")</f>
        <v/>
      </c>
      <c r="J2717" s="114" t="n"/>
      <c r="K2717" s="139">
        <f>IFERROR(IF(H2717&gt;0,H2717*$C$7,""),"")</f>
        <v/>
      </c>
      <c r="L2717" s="139">
        <f>IFERROR(IF(ISNUMBER(F2717),F2717-IF(ISNUMBER(K2717),K2717,0),""),"")</f>
        <v/>
      </c>
    </row>
    <row r="2718" ht="24" customHeight="1" s="63">
      <c r="E2718" s="139" t="n"/>
      <c r="F2718" s="139" t="n"/>
      <c r="G2718" s="140">
        <f>IFERROR(IF(E2718&gt;0,(F2718/E2718)*1000,""),"")</f>
        <v/>
      </c>
      <c r="H2718" s="139">
        <f>IFERROR(IF(E2718&gt;0,E2718*IF(ISNUMBER(J2718),J2718,IF(C2718="Futures",$C$6,$C$5)),""),"")</f>
        <v/>
      </c>
      <c r="I2718" s="139">
        <f>IFERROR(IF(AND(ISNUMBER(F2718),ISNUMBER(H2718)),F2718-H2718,""),"")</f>
        <v/>
      </c>
      <c r="J2718" s="114" t="n"/>
      <c r="K2718" s="139">
        <f>IFERROR(IF(H2718&gt;0,H2718*$C$7,""),"")</f>
        <v/>
      </c>
      <c r="L2718" s="139">
        <f>IFERROR(IF(ISNUMBER(F2718),F2718-IF(ISNUMBER(K2718),K2718,0),""),"")</f>
        <v/>
      </c>
    </row>
    <row r="2719" ht="24" customHeight="1" s="63">
      <c r="E2719" s="139" t="n"/>
      <c r="F2719" s="139" t="n"/>
      <c r="G2719" s="140">
        <f>IFERROR(IF(E2719&gt;0,(F2719/E2719)*1000,""),"")</f>
        <v/>
      </c>
      <c r="H2719" s="139">
        <f>IFERROR(IF(E2719&gt;0,E2719*IF(ISNUMBER(J2719),J2719,IF(C2719="Futures",$C$6,$C$5)),""),"")</f>
        <v/>
      </c>
      <c r="I2719" s="139">
        <f>IFERROR(IF(AND(ISNUMBER(F2719),ISNUMBER(H2719)),F2719-H2719,""),"")</f>
        <v/>
      </c>
      <c r="J2719" s="114" t="n"/>
      <c r="K2719" s="139">
        <f>IFERROR(IF(H2719&gt;0,H2719*$C$7,""),"")</f>
        <v/>
      </c>
      <c r="L2719" s="139">
        <f>IFERROR(IF(ISNUMBER(F2719),F2719-IF(ISNUMBER(K2719),K2719,0),""),"")</f>
        <v/>
      </c>
    </row>
    <row r="2720" ht="24" customHeight="1" s="63">
      <c r="E2720" s="139" t="n"/>
      <c r="F2720" s="139" t="n"/>
      <c r="G2720" s="140">
        <f>IFERROR(IF(E2720&gt;0,(F2720/E2720)*1000,""),"")</f>
        <v/>
      </c>
      <c r="H2720" s="139">
        <f>IFERROR(IF(E2720&gt;0,E2720*IF(ISNUMBER(J2720),J2720,IF(C2720="Futures",$C$6,$C$5)),""),"")</f>
        <v/>
      </c>
      <c r="I2720" s="139">
        <f>IFERROR(IF(AND(ISNUMBER(F2720),ISNUMBER(H2720)),F2720-H2720,""),"")</f>
        <v/>
      </c>
      <c r="J2720" s="114" t="n"/>
      <c r="K2720" s="139">
        <f>IFERROR(IF(H2720&gt;0,H2720*$C$7,""),"")</f>
        <v/>
      </c>
      <c r="L2720" s="139">
        <f>IFERROR(IF(ISNUMBER(F2720),F2720-IF(ISNUMBER(K2720),K2720,0),""),"")</f>
        <v/>
      </c>
    </row>
    <row r="2721" ht="24" customHeight="1" s="63">
      <c r="E2721" s="139" t="n"/>
      <c r="F2721" s="139" t="n"/>
      <c r="G2721" s="140">
        <f>IFERROR(IF(E2721&gt;0,(F2721/E2721)*1000,""),"")</f>
        <v/>
      </c>
      <c r="H2721" s="139">
        <f>IFERROR(IF(E2721&gt;0,E2721*IF(ISNUMBER(J2721),J2721,IF(C2721="Futures",$C$6,$C$5)),""),"")</f>
        <v/>
      </c>
      <c r="I2721" s="139">
        <f>IFERROR(IF(AND(ISNUMBER(F2721),ISNUMBER(H2721)),F2721-H2721,""),"")</f>
        <v/>
      </c>
      <c r="J2721" s="114" t="n"/>
      <c r="K2721" s="139">
        <f>IFERROR(IF(H2721&gt;0,H2721*$C$7,""),"")</f>
        <v/>
      </c>
      <c r="L2721" s="139">
        <f>IFERROR(IF(ISNUMBER(F2721),F2721-IF(ISNUMBER(K2721),K2721,0),""),"")</f>
        <v/>
      </c>
    </row>
    <row r="2722" ht="24" customHeight="1" s="63">
      <c r="E2722" s="139" t="n"/>
      <c r="F2722" s="139" t="n"/>
      <c r="G2722" s="140">
        <f>IFERROR(IF(E2722&gt;0,(F2722/E2722)*1000,""),"")</f>
        <v/>
      </c>
      <c r="H2722" s="139">
        <f>IFERROR(IF(E2722&gt;0,E2722*IF(ISNUMBER(J2722),J2722,IF(C2722="Futures",$C$6,$C$5)),""),"")</f>
        <v/>
      </c>
      <c r="I2722" s="139">
        <f>IFERROR(IF(AND(ISNUMBER(F2722),ISNUMBER(H2722)),F2722-H2722,""),"")</f>
        <v/>
      </c>
      <c r="J2722" s="114" t="n"/>
      <c r="K2722" s="139">
        <f>IFERROR(IF(H2722&gt;0,H2722*$C$7,""),"")</f>
        <v/>
      </c>
      <c r="L2722" s="139">
        <f>IFERROR(IF(ISNUMBER(F2722),F2722-IF(ISNUMBER(K2722),K2722,0),""),"")</f>
        <v/>
      </c>
    </row>
    <row r="2723" ht="24" customHeight="1" s="63">
      <c r="E2723" s="139" t="n"/>
      <c r="F2723" s="139" t="n"/>
      <c r="G2723" s="140">
        <f>IFERROR(IF(E2723&gt;0,(F2723/E2723)*1000,""),"")</f>
        <v/>
      </c>
      <c r="H2723" s="139">
        <f>IFERROR(IF(E2723&gt;0,E2723*IF(ISNUMBER(J2723),J2723,IF(C2723="Futures",$C$6,$C$5)),""),"")</f>
        <v/>
      </c>
      <c r="I2723" s="139">
        <f>IFERROR(IF(AND(ISNUMBER(F2723),ISNUMBER(H2723)),F2723-H2723,""),"")</f>
        <v/>
      </c>
      <c r="J2723" s="114" t="n"/>
      <c r="K2723" s="139">
        <f>IFERROR(IF(H2723&gt;0,H2723*$C$7,""),"")</f>
        <v/>
      </c>
      <c r="L2723" s="139">
        <f>IFERROR(IF(ISNUMBER(F2723),F2723-IF(ISNUMBER(K2723),K2723,0),""),"")</f>
        <v/>
      </c>
    </row>
    <row r="2724" ht="24" customHeight="1" s="63">
      <c r="E2724" s="139" t="n"/>
      <c r="F2724" s="139" t="n"/>
      <c r="G2724" s="140">
        <f>IFERROR(IF(E2724&gt;0,(F2724/E2724)*1000,""),"")</f>
        <v/>
      </c>
      <c r="H2724" s="139">
        <f>IFERROR(IF(E2724&gt;0,E2724*IF(ISNUMBER(J2724),J2724,IF(C2724="Futures",$C$6,$C$5)),""),"")</f>
        <v/>
      </c>
      <c r="I2724" s="139">
        <f>IFERROR(IF(AND(ISNUMBER(F2724),ISNUMBER(H2724)),F2724-H2724,""),"")</f>
        <v/>
      </c>
      <c r="J2724" s="114" t="n"/>
      <c r="K2724" s="139">
        <f>IFERROR(IF(H2724&gt;0,H2724*$C$7,""),"")</f>
        <v/>
      </c>
      <c r="L2724" s="139">
        <f>IFERROR(IF(ISNUMBER(F2724),F2724-IF(ISNUMBER(K2724),K2724,0),""),"")</f>
        <v/>
      </c>
    </row>
    <row r="2725" ht="24" customHeight="1" s="63">
      <c r="E2725" s="139" t="n"/>
      <c r="F2725" s="139" t="n"/>
      <c r="G2725" s="140">
        <f>IFERROR(IF(E2725&gt;0,(F2725/E2725)*1000,""),"")</f>
        <v/>
      </c>
      <c r="H2725" s="139">
        <f>IFERROR(IF(E2725&gt;0,E2725*IF(ISNUMBER(J2725),J2725,IF(C2725="Futures",$C$6,$C$5)),""),"")</f>
        <v/>
      </c>
      <c r="I2725" s="139">
        <f>IFERROR(IF(AND(ISNUMBER(F2725),ISNUMBER(H2725)),F2725-H2725,""),"")</f>
        <v/>
      </c>
      <c r="J2725" s="114" t="n"/>
      <c r="K2725" s="139">
        <f>IFERROR(IF(H2725&gt;0,H2725*$C$7,""),"")</f>
        <v/>
      </c>
      <c r="L2725" s="139">
        <f>IFERROR(IF(ISNUMBER(F2725),F2725-IF(ISNUMBER(K2725),K2725,0),""),"")</f>
        <v/>
      </c>
    </row>
    <row r="2726" ht="24" customHeight="1" s="63">
      <c r="E2726" s="139" t="n"/>
      <c r="F2726" s="139" t="n"/>
      <c r="G2726" s="140">
        <f>IFERROR(IF(E2726&gt;0,(F2726/E2726)*1000,""),"")</f>
        <v/>
      </c>
      <c r="H2726" s="139">
        <f>IFERROR(IF(E2726&gt;0,E2726*IF(ISNUMBER(J2726),J2726,IF(C2726="Futures",$C$6,$C$5)),""),"")</f>
        <v/>
      </c>
      <c r="I2726" s="139">
        <f>IFERROR(IF(AND(ISNUMBER(F2726),ISNUMBER(H2726)),F2726-H2726,""),"")</f>
        <v/>
      </c>
      <c r="J2726" s="114" t="n"/>
      <c r="K2726" s="139">
        <f>IFERROR(IF(H2726&gt;0,H2726*$C$7,""),"")</f>
        <v/>
      </c>
      <c r="L2726" s="139">
        <f>IFERROR(IF(ISNUMBER(F2726),F2726-IF(ISNUMBER(K2726),K2726,0),""),"")</f>
        <v/>
      </c>
    </row>
    <row r="2727" ht="24" customHeight="1" s="63">
      <c r="E2727" s="139" t="n"/>
      <c r="F2727" s="139" t="n"/>
      <c r="G2727" s="140">
        <f>IFERROR(IF(E2727&gt;0,(F2727/E2727)*1000,""),"")</f>
        <v/>
      </c>
      <c r="H2727" s="139">
        <f>IFERROR(IF(E2727&gt;0,E2727*IF(ISNUMBER(J2727),J2727,IF(C2727="Futures",$C$6,$C$5)),""),"")</f>
        <v/>
      </c>
      <c r="I2727" s="139">
        <f>IFERROR(IF(AND(ISNUMBER(F2727),ISNUMBER(H2727)),F2727-H2727,""),"")</f>
        <v/>
      </c>
      <c r="J2727" s="114" t="n"/>
      <c r="K2727" s="139">
        <f>IFERROR(IF(H2727&gt;0,H2727*$C$7,""),"")</f>
        <v/>
      </c>
      <c r="L2727" s="139">
        <f>IFERROR(IF(ISNUMBER(F2727),F2727-IF(ISNUMBER(K2727),K2727,0),""),"")</f>
        <v/>
      </c>
    </row>
    <row r="2728" ht="24" customHeight="1" s="63">
      <c r="E2728" s="139" t="n"/>
      <c r="F2728" s="139" t="n"/>
      <c r="G2728" s="140">
        <f>IFERROR(IF(E2728&gt;0,(F2728/E2728)*1000,""),"")</f>
        <v/>
      </c>
      <c r="H2728" s="139">
        <f>IFERROR(IF(E2728&gt;0,E2728*IF(ISNUMBER(J2728),J2728,IF(C2728="Futures",$C$6,$C$5)),""),"")</f>
        <v/>
      </c>
      <c r="I2728" s="139">
        <f>IFERROR(IF(AND(ISNUMBER(F2728),ISNUMBER(H2728)),F2728-H2728,""),"")</f>
        <v/>
      </c>
      <c r="J2728" s="114" t="n"/>
      <c r="K2728" s="139">
        <f>IFERROR(IF(H2728&gt;0,H2728*$C$7,""),"")</f>
        <v/>
      </c>
      <c r="L2728" s="139">
        <f>IFERROR(IF(ISNUMBER(F2728),F2728-IF(ISNUMBER(K2728),K2728,0),""),"")</f>
        <v/>
      </c>
    </row>
    <row r="2729" ht="24" customHeight="1" s="63">
      <c r="E2729" s="139" t="n"/>
      <c r="F2729" s="139" t="n"/>
      <c r="G2729" s="140">
        <f>IFERROR(IF(E2729&gt;0,(F2729/E2729)*1000,""),"")</f>
        <v/>
      </c>
      <c r="H2729" s="139">
        <f>IFERROR(IF(E2729&gt;0,E2729*IF(ISNUMBER(J2729),J2729,IF(C2729="Futures",$C$6,$C$5)),""),"")</f>
        <v/>
      </c>
      <c r="I2729" s="139">
        <f>IFERROR(IF(AND(ISNUMBER(F2729),ISNUMBER(H2729)),F2729-H2729,""),"")</f>
        <v/>
      </c>
      <c r="J2729" s="114" t="n"/>
      <c r="K2729" s="139">
        <f>IFERROR(IF(H2729&gt;0,H2729*$C$7,""),"")</f>
        <v/>
      </c>
      <c r="L2729" s="139">
        <f>IFERROR(IF(ISNUMBER(F2729),F2729-IF(ISNUMBER(K2729),K2729,0),""),"")</f>
        <v/>
      </c>
    </row>
    <row r="2730" ht="24" customHeight="1" s="63">
      <c r="E2730" s="139" t="n"/>
      <c r="F2730" s="139" t="n"/>
      <c r="G2730" s="140">
        <f>IFERROR(IF(E2730&gt;0,(F2730/E2730)*1000,""),"")</f>
        <v/>
      </c>
      <c r="H2730" s="139">
        <f>IFERROR(IF(E2730&gt;0,E2730*IF(ISNUMBER(J2730),J2730,IF(C2730="Futures",$C$6,$C$5)),""),"")</f>
        <v/>
      </c>
      <c r="I2730" s="139">
        <f>IFERROR(IF(AND(ISNUMBER(F2730),ISNUMBER(H2730)),F2730-H2730,""),"")</f>
        <v/>
      </c>
      <c r="J2730" s="114" t="n"/>
      <c r="K2730" s="139">
        <f>IFERROR(IF(H2730&gt;0,H2730*$C$7,""),"")</f>
        <v/>
      </c>
      <c r="L2730" s="139">
        <f>IFERROR(IF(ISNUMBER(F2730),F2730-IF(ISNUMBER(K2730),K2730,0),""),"")</f>
        <v/>
      </c>
    </row>
    <row r="2731" ht="24" customHeight="1" s="63">
      <c r="E2731" s="139" t="n"/>
      <c r="F2731" s="139" t="n"/>
      <c r="G2731" s="140">
        <f>IFERROR(IF(E2731&gt;0,(F2731/E2731)*1000,""),"")</f>
        <v/>
      </c>
      <c r="H2731" s="139">
        <f>IFERROR(IF(E2731&gt;0,E2731*IF(ISNUMBER(J2731),J2731,IF(C2731="Futures",$C$6,$C$5)),""),"")</f>
        <v/>
      </c>
      <c r="I2731" s="139">
        <f>IFERROR(IF(AND(ISNUMBER(F2731),ISNUMBER(H2731)),F2731-H2731,""),"")</f>
        <v/>
      </c>
      <c r="J2731" s="114" t="n"/>
      <c r="K2731" s="139">
        <f>IFERROR(IF(H2731&gt;0,H2731*$C$7,""),"")</f>
        <v/>
      </c>
      <c r="L2731" s="139">
        <f>IFERROR(IF(ISNUMBER(F2731),F2731-IF(ISNUMBER(K2731),K2731,0),""),"")</f>
        <v/>
      </c>
    </row>
    <row r="2732" ht="24" customHeight="1" s="63">
      <c r="E2732" s="139" t="n"/>
      <c r="F2732" s="139" t="n"/>
      <c r="G2732" s="140">
        <f>IFERROR(IF(E2732&gt;0,(F2732/E2732)*1000,""),"")</f>
        <v/>
      </c>
      <c r="H2732" s="139">
        <f>IFERROR(IF(E2732&gt;0,E2732*IF(ISNUMBER(J2732),J2732,IF(C2732="Futures",$C$6,$C$5)),""),"")</f>
        <v/>
      </c>
      <c r="I2732" s="139">
        <f>IFERROR(IF(AND(ISNUMBER(F2732),ISNUMBER(H2732)),F2732-H2732,""),"")</f>
        <v/>
      </c>
      <c r="J2732" s="114" t="n"/>
      <c r="K2732" s="139">
        <f>IFERROR(IF(H2732&gt;0,H2732*$C$7,""),"")</f>
        <v/>
      </c>
      <c r="L2732" s="139">
        <f>IFERROR(IF(ISNUMBER(F2732),F2732-IF(ISNUMBER(K2732),K2732,0),""),"")</f>
        <v/>
      </c>
    </row>
    <row r="2733" ht="24" customHeight="1" s="63">
      <c r="E2733" s="139" t="n"/>
      <c r="F2733" s="139" t="n"/>
      <c r="G2733" s="140">
        <f>IFERROR(IF(E2733&gt;0,(F2733/E2733)*1000,""),"")</f>
        <v/>
      </c>
      <c r="H2733" s="139">
        <f>IFERROR(IF(E2733&gt;0,E2733*IF(ISNUMBER(J2733),J2733,IF(C2733="Futures",$C$6,$C$5)),""),"")</f>
        <v/>
      </c>
      <c r="I2733" s="139">
        <f>IFERROR(IF(AND(ISNUMBER(F2733),ISNUMBER(H2733)),F2733-H2733,""),"")</f>
        <v/>
      </c>
      <c r="J2733" s="114" t="n"/>
      <c r="K2733" s="139">
        <f>IFERROR(IF(H2733&gt;0,H2733*$C$7,""),"")</f>
        <v/>
      </c>
      <c r="L2733" s="139">
        <f>IFERROR(IF(ISNUMBER(F2733),F2733-IF(ISNUMBER(K2733),K2733,0),""),"")</f>
        <v/>
      </c>
    </row>
    <row r="2734" ht="24" customHeight="1" s="63">
      <c r="E2734" s="139" t="n"/>
      <c r="F2734" s="139" t="n"/>
      <c r="G2734" s="140">
        <f>IFERROR(IF(E2734&gt;0,(F2734/E2734)*1000,""),"")</f>
        <v/>
      </c>
      <c r="H2734" s="139">
        <f>IFERROR(IF(E2734&gt;0,E2734*IF(ISNUMBER(J2734),J2734,IF(C2734="Futures",$C$6,$C$5)),""),"")</f>
        <v/>
      </c>
      <c r="I2734" s="139">
        <f>IFERROR(IF(AND(ISNUMBER(F2734),ISNUMBER(H2734)),F2734-H2734,""),"")</f>
        <v/>
      </c>
      <c r="J2734" s="114" t="n"/>
      <c r="K2734" s="139">
        <f>IFERROR(IF(H2734&gt;0,H2734*$C$7,""),"")</f>
        <v/>
      </c>
      <c r="L2734" s="139">
        <f>IFERROR(IF(ISNUMBER(F2734),F2734-IF(ISNUMBER(K2734),K2734,0),""),"")</f>
        <v/>
      </c>
    </row>
    <row r="2735" ht="24" customHeight="1" s="63">
      <c r="E2735" s="139" t="n"/>
      <c r="F2735" s="139" t="n"/>
      <c r="G2735" s="140">
        <f>IFERROR(IF(E2735&gt;0,(F2735/E2735)*1000,""),"")</f>
        <v/>
      </c>
      <c r="H2735" s="139">
        <f>IFERROR(IF(E2735&gt;0,E2735*IF(ISNUMBER(J2735),J2735,IF(C2735="Futures",$C$6,$C$5)),""),"")</f>
        <v/>
      </c>
      <c r="I2735" s="139">
        <f>IFERROR(IF(AND(ISNUMBER(F2735),ISNUMBER(H2735)),F2735-H2735,""),"")</f>
        <v/>
      </c>
      <c r="J2735" s="114" t="n"/>
      <c r="K2735" s="139">
        <f>IFERROR(IF(H2735&gt;0,H2735*$C$7,""),"")</f>
        <v/>
      </c>
      <c r="L2735" s="139">
        <f>IFERROR(IF(ISNUMBER(F2735),F2735-IF(ISNUMBER(K2735),K2735,0),""),"")</f>
        <v/>
      </c>
    </row>
    <row r="2736" ht="24" customHeight="1" s="63">
      <c r="E2736" s="139" t="n"/>
      <c r="F2736" s="139" t="n"/>
      <c r="G2736" s="140">
        <f>IFERROR(IF(E2736&gt;0,(F2736/E2736)*1000,""),"")</f>
        <v/>
      </c>
      <c r="H2736" s="139">
        <f>IFERROR(IF(E2736&gt;0,E2736*IF(ISNUMBER(J2736),J2736,IF(C2736="Futures",$C$6,$C$5)),""),"")</f>
        <v/>
      </c>
      <c r="I2736" s="139">
        <f>IFERROR(IF(AND(ISNUMBER(F2736),ISNUMBER(H2736)),F2736-H2736,""),"")</f>
        <v/>
      </c>
      <c r="J2736" s="114" t="n"/>
      <c r="K2736" s="139">
        <f>IFERROR(IF(H2736&gt;0,H2736*$C$7,""),"")</f>
        <v/>
      </c>
      <c r="L2736" s="139">
        <f>IFERROR(IF(ISNUMBER(F2736),F2736-IF(ISNUMBER(K2736),K2736,0),""),"")</f>
        <v/>
      </c>
    </row>
    <row r="2737" ht="24" customHeight="1" s="63">
      <c r="E2737" s="139" t="n"/>
      <c r="F2737" s="139" t="n"/>
      <c r="G2737" s="140">
        <f>IFERROR(IF(E2737&gt;0,(F2737/E2737)*1000,""),"")</f>
        <v/>
      </c>
      <c r="H2737" s="139">
        <f>IFERROR(IF(E2737&gt;0,E2737*IF(ISNUMBER(J2737),J2737,IF(C2737="Futures",$C$6,$C$5)),""),"")</f>
        <v/>
      </c>
      <c r="I2737" s="139">
        <f>IFERROR(IF(AND(ISNUMBER(F2737),ISNUMBER(H2737)),F2737-H2737,""),"")</f>
        <v/>
      </c>
      <c r="J2737" s="114" t="n"/>
      <c r="K2737" s="139">
        <f>IFERROR(IF(H2737&gt;0,H2737*$C$7,""),"")</f>
        <v/>
      </c>
      <c r="L2737" s="139">
        <f>IFERROR(IF(ISNUMBER(F2737),F2737-IF(ISNUMBER(K2737),K2737,0),""),"")</f>
        <v/>
      </c>
    </row>
    <row r="2738" ht="24" customHeight="1" s="63">
      <c r="E2738" s="139" t="n"/>
      <c r="F2738" s="139" t="n"/>
      <c r="G2738" s="140">
        <f>IFERROR(IF(E2738&gt;0,(F2738/E2738)*1000,""),"")</f>
        <v/>
      </c>
      <c r="H2738" s="139">
        <f>IFERROR(IF(E2738&gt;0,E2738*IF(ISNUMBER(J2738),J2738,IF(C2738="Futures",$C$6,$C$5)),""),"")</f>
        <v/>
      </c>
      <c r="I2738" s="139">
        <f>IFERROR(IF(AND(ISNUMBER(F2738),ISNUMBER(H2738)),F2738-H2738,""),"")</f>
        <v/>
      </c>
      <c r="J2738" s="114" t="n"/>
      <c r="K2738" s="139">
        <f>IFERROR(IF(H2738&gt;0,H2738*$C$7,""),"")</f>
        <v/>
      </c>
      <c r="L2738" s="139">
        <f>IFERROR(IF(ISNUMBER(F2738),F2738-IF(ISNUMBER(K2738),K2738,0),""),"")</f>
        <v/>
      </c>
    </row>
    <row r="2739" ht="24" customHeight="1" s="63">
      <c r="E2739" s="139" t="n"/>
      <c r="F2739" s="139" t="n"/>
      <c r="G2739" s="140">
        <f>IFERROR(IF(E2739&gt;0,(F2739/E2739)*1000,""),"")</f>
        <v/>
      </c>
      <c r="H2739" s="139">
        <f>IFERROR(IF(E2739&gt;0,E2739*IF(ISNUMBER(J2739),J2739,IF(C2739="Futures",$C$6,$C$5)),""),"")</f>
        <v/>
      </c>
      <c r="I2739" s="139">
        <f>IFERROR(IF(AND(ISNUMBER(F2739),ISNUMBER(H2739)),F2739-H2739,""),"")</f>
        <v/>
      </c>
      <c r="J2739" s="114" t="n"/>
      <c r="K2739" s="139">
        <f>IFERROR(IF(H2739&gt;0,H2739*$C$7,""),"")</f>
        <v/>
      </c>
      <c r="L2739" s="139">
        <f>IFERROR(IF(ISNUMBER(F2739),F2739-IF(ISNUMBER(K2739),K2739,0),""),"")</f>
        <v/>
      </c>
    </row>
    <row r="2740" ht="24" customHeight="1" s="63">
      <c r="E2740" s="139" t="n"/>
      <c r="F2740" s="139" t="n"/>
      <c r="G2740" s="140">
        <f>IFERROR(IF(E2740&gt;0,(F2740/E2740)*1000,""),"")</f>
        <v/>
      </c>
      <c r="H2740" s="139">
        <f>IFERROR(IF(E2740&gt;0,E2740*IF(ISNUMBER(J2740),J2740,IF(C2740="Futures",$C$6,$C$5)),""),"")</f>
        <v/>
      </c>
      <c r="I2740" s="139">
        <f>IFERROR(IF(AND(ISNUMBER(F2740),ISNUMBER(H2740)),F2740-H2740,""),"")</f>
        <v/>
      </c>
      <c r="J2740" s="114" t="n"/>
      <c r="K2740" s="139">
        <f>IFERROR(IF(H2740&gt;0,H2740*$C$7,""),"")</f>
        <v/>
      </c>
      <c r="L2740" s="139">
        <f>IFERROR(IF(ISNUMBER(F2740),F2740-IF(ISNUMBER(K2740),K2740,0),""),"")</f>
        <v/>
      </c>
    </row>
    <row r="2741" ht="24" customHeight="1" s="63">
      <c r="E2741" s="139" t="n"/>
      <c r="F2741" s="139" t="n"/>
      <c r="G2741" s="140">
        <f>IFERROR(IF(E2741&gt;0,(F2741/E2741)*1000,""),"")</f>
        <v/>
      </c>
      <c r="H2741" s="139">
        <f>IFERROR(IF(E2741&gt;0,E2741*IF(ISNUMBER(J2741),J2741,IF(C2741="Futures",$C$6,$C$5)),""),"")</f>
        <v/>
      </c>
      <c r="I2741" s="139">
        <f>IFERROR(IF(AND(ISNUMBER(F2741),ISNUMBER(H2741)),F2741-H2741,""),"")</f>
        <v/>
      </c>
      <c r="J2741" s="114" t="n"/>
      <c r="K2741" s="139">
        <f>IFERROR(IF(H2741&gt;0,H2741*$C$7,""),"")</f>
        <v/>
      </c>
      <c r="L2741" s="139">
        <f>IFERROR(IF(ISNUMBER(F2741),F2741-IF(ISNUMBER(K2741),K2741,0),""),"")</f>
        <v/>
      </c>
    </row>
    <row r="2742" ht="24" customHeight="1" s="63">
      <c r="E2742" s="139" t="n"/>
      <c r="F2742" s="139" t="n"/>
      <c r="G2742" s="140">
        <f>IFERROR(IF(E2742&gt;0,(F2742/E2742)*1000,""),"")</f>
        <v/>
      </c>
      <c r="H2742" s="139">
        <f>IFERROR(IF(E2742&gt;0,E2742*IF(ISNUMBER(J2742),J2742,IF(C2742="Futures",$C$6,$C$5)),""),"")</f>
        <v/>
      </c>
      <c r="I2742" s="139">
        <f>IFERROR(IF(AND(ISNUMBER(F2742),ISNUMBER(H2742)),F2742-H2742,""),"")</f>
        <v/>
      </c>
      <c r="J2742" s="114" t="n"/>
      <c r="K2742" s="139">
        <f>IFERROR(IF(H2742&gt;0,H2742*$C$7,""),"")</f>
        <v/>
      </c>
      <c r="L2742" s="139">
        <f>IFERROR(IF(ISNUMBER(F2742),F2742-IF(ISNUMBER(K2742),K2742,0),""),"")</f>
        <v/>
      </c>
    </row>
    <row r="2743" ht="24" customHeight="1" s="63">
      <c r="E2743" s="139" t="n"/>
      <c r="F2743" s="139" t="n"/>
      <c r="G2743" s="140">
        <f>IFERROR(IF(E2743&gt;0,(F2743/E2743)*1000,""),"")</f>
        <v/>
      </c>
      <c r="H2743" s="139">
        <f>IFERROR(IF(E2743&gt;0,E2743*IF(ISNUMBER(J2743),J2743,IF(C2743="Futures",$C$6,$C$5)),""),"")</f>
        <v/>
      </c>
      <c r="I2743" s="139">
        <f>IFERROR(IF(AND(ISNUMBER(F2743),ISNUMBER(H2743)),F2743-H2743,""),"")</f>
        <v/>
      </c>
      <c r="J2743" s="114" t="n"/>
      <c r="K2743" s="139">
        <f>IFERROR(IF(H2743&gt;0,H2743*$C$7,""),"")</f>
        <v/>
      </c>
      <c r="L2743" s="139">
        <f>IFERROR(IF(ISNUMBER(F2743),F2743-IF(ISNUMBER(K2743),K2743,0),""),"")</f>
        <v/>
      </c>
    </row>
    <row r="2744" ht="24" customHeight="1" s="63">
      <c r="E2744" s="139" t="n"/>
      <c r="F2744" s="139" t="n"/>
      <c r="G2744" s="140">
        <f>IFERROR(IF(E2744&gt;0,(F2744/E2744)*1000,""),"")</f>
        <v/>
      </c>
      <c r="H2744" s="139">
        <f>IFERROR(IF(E2744&gt;0,E2744*IF(ISNUMBER(J2744),J2744,IF(C2744="Futures",$C$6,$C$5)),""),"")</f>
        <v/>
      </c>
      <c r="I2744" s="139">
        <f>IFERROR(IF(AND(ISNUMBER(F2744),ISNUMBER(H2744)),F2744-H2744,""),"")</f>
        <v/>
      </c>
      <c r="J2744" s="114" t="n"/>
      <c r="K2744" s="139">
        <f>IFERROR(IF(H2744&gt;0,H2744*$C$7,""),"")</f>
        <v/>
      </c>
      <c r="L2744" s="139">
        <f>IFERROR(IF(ISNUMBER(F2744),F2744-IF(ISNUMBER(K2744),K2744,0),""),"")</f>
        <v/>
      </c>
    </row>
    <row r="2745" ht="24" customHeight="1" s="63">
      <c r="E2745" s="139" t="n"/>
      <c r="F2745" s="139" t="n"/>
      <c r="G2745" s="140">
        <f>IFERROR(IF(E2745&gt;0,(F2745/E2745)*1000,""),"")</f>
        <v/>
      </c>
      <c r="H2745" s="139">
        <f>IFERROR(IF(E2745&gt;0,E2745*IF(ISNUMBER(J2745),J2745,IF(C2745="Futures",$C$6,$C$5)),""),"")</f>
        <v/>
      </c>
      <c r="I2745" s="139">
        <f>IFERROR(IF(AND(ISNUMBER(F2745),ISNUMBER(H2745)),F2745-H2745,""),"")</f>
        <v/>
      </c>
      <c r="J2745" s="114" t="n"/>
      <c r="K2745" s="139">
        <f>IFERROR(IF(H2745&gt;0,H2745*$C$7,""),"")</f>
        <v/>
      </c>
      <c r="L2745" s="139">
        <f>IFERROR(IF(ISNUMBER(F2745),F2745-IF(ISNUMBER(K2745),K2745,0),""),"")</f>
        <v/>
      </c>
    </row>
    <row r="2746" ht="24" customHeight="1" s="63">
      <c r="E2746" s="139" t="n"/>
      <c r="F2746" s="139" t="n"/>
      <c r="G2746" s="140">
        <f>IFERROR(IF(E2746&gt;0,(F2746/E2746)*1000,""),"")</f>
        <v/>
      </c>
      <c r="H2746" s="139">
        <f>IFERROR(IF(E2746&gt;0,E2746*IF(ISNUMBER(J2746),J2746,IF(C2746="Futures",$C$6,$C$5)),""),"")</f>
        <v/>
      </c>
      <c r="I2746" s="139">
        <f>IFERROR(IF(AND(ISNUMBER(F2746),ISNUMBER(H2746)),F2746-H2746,""),"")</f>
        <v/>
      </c>
      <c r="J2746" s="114" t="n"/>
      <c r="K2746" s="139">
        <f>IFERROR(IF(H2746&gt;0,H2746*$C$7,""),"")</f>
        <v/>
      </c>
      <c r="L2746" s="139">
        <f>IFERROR(IF(ISNUMBER(F2746),F2746-IF(ISNUMBER(K2746),K2746,0),""),"")</f>
        <v/>
      </c>
    </row>
    <row r="2747" ht="24" customHeight="1" s="63">
      <c r="E2747" s="139" t="n"/>
      <c r="F2747" s="139" t="n"/>
      <c r="G2747" s="140">
        <f>IFERROR(IF(E2747&gt;0,(F2747/E2747)*1000,""),"")</f>
        <v/>
      </c>
      <c r="H2747" s="139">
        <f>IFERROR(IF(E2747&gt;0,E2747*IF(ISNUMBER(J2747),J2747,IF(C2747="Futures",$C$6,$C$5)),""),"")</f>
        <v/>
      </c>
      <c r="I2747" s="139">
        <f>IFERROR(IF(AND(ISNUMBER(F2747),ISNUMBER(H2747)),F2747-H2747,""),"")</f>
        <v/>
      </c>
      <c r="J2747" s="114" t="n"/>
      <c r="K2747" s="139">
        <f>IFERROR(IF(H2747&gt;0,H2747*$C$7,""),"")</f>
        <v/>
      </c>
      <c r="L2747" s="139">
        <f>IFERROR(IF(ISNUMBER(F2747),F2747-IF(ISNUMBER(K2747),K2747,0),""),"")</f>
        <v/>
      </c>
    </row>
    <row r="2748" ht="24" customHeight="1" s="63">
      <c r="E2748" s="139" t="n"/>
      <c r="F2748" s="139" t="n"/>
      <c r="G2748" s="140">
        <f>IFERROR(IF(E2748&gt;0,(F2748/E2748)*1000,""),"")</f>
        <v/>
      </c>
      <c r="H2748" s="139">
        <f>IFERROR(IF(E2748&gt;0,E2748*IF(ISNUMBER(J2748),J2748,IF(C2748="Futures",$C$6,$C$5)),""),"")</f>
        <v/>
      </c>
      <c r="I2748" s="139">
        <f>IFERROR(IF(AND(ISNUMBER(F2748),ISNUMBER(H2748)),F2748-H2748,""),"")</f>
        <v/>
      </c>
      <c r="J2748" s="114" t="n"/>
      <c r="K2748" s="139">
        <f>IFERROR(IF(H2748&gt;0,H2748*$C$7,""),"")</f>
        <v/>
      </c>
      <c r="L2748" s="139">
        <f>IFERROR(IF(ISNUMBER(F2748),F2748-IF(ISNUMBER(K2748),K2748,0),""),"")</f>
        <v/>
      </c>
    </row>
    <row r="2749" ht="24" customHeight="1" s="63">
      <c r="E2749" s="139" t="n"/>
      <c r="F2749" s="139" t="n"/>
      <c r="G2749" s="140">
        <f>IFERROR(IF(E2749&gt;0,(F2749/E2749)*1000,""),"")</f>
        <v/>
      </c>
      <c r="H2749" s="139">
        <f>IFERROR(IF(E2749&gt;0,E2749*IF(ISNUMBER(J2749),J2749,IF(C2749="Futures",$C$6,$C$5)),""),"")</f>
        <v/>
      </c>
      <c r="I2749" s="139">
        <f>IFERROR(IF(AND(ISNUMBER(F2749),ISNUMBER(H2749)),F2749-H2749,""),"")</f>
        <v/>
      </c>
      <c r="J2749" s="114" t="n"/>
      <c r="K2749" s="139">
        <f>IFERROR(IF(H2749&gt;0,H2749*$C$7,""),"")</f>
        <v/>
      </c>
      <c r="L2749" s="139">
        <f>IFERROR(IF(ISNUMBER(F2749),F2749-IF(ISNUMBER(K2749),K2749,0),""),"")</f>
        <v/>
      </c>
    </row>
    <row r="2750" ht="24" customHeight="1" s="63">
      <c r="E2750" s="139" t="n"/>
      <c r="F2750" s="139" t="n"/>
      <c r="G2750" s="140">
        <f>IFERROR(IF(E2750&gt;0,(F2750/E2750)*1000,""),"")</f>
        <v/>
      </c>
      <c r="H2750" s="139">
        <f>IFERROR(IF(E2750&gt;0,E2750*IF(ISNUMBER(J2750),J2750,IF(C2750="Futures",$C$6,$C$5)),""),"")</f>
        <v/>
      </c>
      <c r="I2750" s="139">
        <f>IFERROR(IF(AND(ISNUMBER(F2750),ISNUMBER(H2750)),F2750-H2750,""),"")</f>
        <v/>
      </c>
      <c r="J2750" s="114" t="n"/>
      <c r="K2750" s="139">
        <f>IFERROR(IF(H2750&gt;0,H2750*$C$7,""),"")</f>
        <v/>
      </c>
      <c r="L2750" s="139">
        <f>IFERROR(IF(ISNUMBER(F2750),F2750-IF(ISNUMBER(K2750),K2750,0),""),"")</f>
        <v/>
      </c>
    </row>
    <row r="2751" ht="24" customHeight="1" s="63">
      <c r="E2751" s="139" t="n"/>
      <c r="F2751" s="139" t="n"/>
      <c r="G2751" s="140">
        <f>IFERROR(IF(E2751&gt;0,(F2751/E2751)*1000,""),"")</f>
        <v/>
      </c>
      <c r="H2751" s="139">
        <f>IFERROR(IF(E2751&gt;0,E2751*IF(ISNUMBER(J2751),J2751,IF(C2751="Futures",$C$6,$C$5)),""),"")</f>
        <v/>
      </c>
      <c r="I2751" s="139">
        <f>IFERROR(IF(AND(ISNUMBER(F2751),ISNUMBER(H2751)),F2751-H2751,""),"")</f>
        <v/>
      </c>
      <c r="J2751" s="114" t="n"/>
      <c r="K2751" s="139">
        <f>IFERROR(IF(H2751&gt;0,H2751*$C$7,""),"")</f>
        <v/>
      </c>
      <c r="L2751" s="139">
        <f>IFERROR(IF(ISNUMBER(F2751),F2751-IF(ISNUMBER(K2751),K2751,0),""),"")</f>
        <v/>
      </c>
    </row>
    <row r="2752" ht="24" customHeight="1" s="63">
      <c r="E2752" s="139" t="n"/>
      <c r="F2752" s="139" t="n"/>
      <c r="G2752" s="140">
        <f>IFERROR(IF(E2752&gt;0,(F2752/E2752)*1000,""),"")</f>
        <v/>
      </c>
      <c r="H2752" s="139">
        <f>IFERROR(IF(E2752&gt;0,E2752*IF(ISNUMBER(J2752),J2752,IF(C2752="Futures",$C$6,$C$5)),""),"")</f>
        <v/>
      </c>
      <c r="I2752" s="139">
        <f>IFERROR(IF(AND(ISNUMBER(F2752),ISNUMBER(H2752)),F2752-H2752,""),"")</f>
        <v/>
      </c>
      <c r="J2752" s="114" t="n"/>
      <c r="K2752" s="139">
        <f>IFERROR(IF(H2752&gt;0,H2752*$C$7,""),"")</f>
        <v/>
      </c>
      <c r="L2752" s="139">
        <f>IFERROR(IF(ISNUMBER(F2752),F2752-IF(ISNUMBER(K2752),K2752,0),""),"")</f>
        <v/>
      </c>
    </row>
    <row r="2753" ht="24" customHeight="1" s="63">
      <c r="E2753" s="139" t="n"/>
      <c r="F2753" s="139" t="n"/>
      <c r="G2753" s="140">
        <f>IFERROR(IF(E2753&gt;0,(F2753/E2753)*1000,""),"")</f>
        <v/>
      </c>
      <c r="H2753" s="139">
        <f>IFERROR(IF(E2753&gt;0,E2753*IF(ISNUMBER(J2753),J2753,IF(C2753="Futures",$C$6,$C$5)),""),"")</f>
        <v/>
      </c>
      <c r="I2753" s="139">
        <f>IFERROR(IF(AND(ISNUMBER(F2753),ISNUMBER(H2753)),F2753-H2753,""),"")</f>
        <v/>
      </c>
      <c r="J2753" s="114" t="n"/>
      <c r="K2753" s="139">
        <f>IFERROR(IF(H2753&gt;0,H2753*$C$7,""),"")</f>
        <v/>
      </c>
      <c r="L2753" s="139">
        <f>IFERROR(IF(ISNUMBER(F2753),F2753-IF(ISNUMBER(K2753),K2753,0),""),"")</f>
        <v/>
      </c>
    </row>
    <row r="2754" ht="24" customHeight="1" s="63">
      <c r="E2754" s="139" t="n"/>
      <c r="F2754" s="139" t="n"/>
      <c r="G2754" s="140">
        <f>IFERROR(IF(E2754&gt;0,(F2754/E2754)*1000,""),"")</f>
        <v/>
      </c>
      <c r="H2754" s="139">
        <f>IFERROR(IF(E2754&gt;0,E2754*IF(ISNUMBER(J2754),J2754,IF(C2754="Futures",$C$6,$C$5)),""),"")</f>
        <v/>
      </c>
      <c r="I2754" s="139">
        <f>IFERROR(IF(AND(ISNUMBER(F2754),ISNUMBER(H2754)),F2754-H2754,""),"")</f>
        <v/>
      </c>
      <c r="J2754" s="114" t="n"/>
      <c r="K2754" s="139">
        <f>IFERROR(IF(H2754&gt;0,H2754*$C$7,""),"")</f>
        <v/>
      </c>
      <c r="L2754" s="139">
        <f>IFERROR(IF(ISNUMBER(F2754),F2754-IF(ISNUMBER(K2754),K2754,0),""),"")</f>
        <v/>
      </c>
    </row>
    <row r="2755" ht="24" customHeight="1" s="63">
      <c r="E2755" s="139" t="n"/>
      <c r="F2755" s="139" t="n"/>
      <c r="G2755" s="140">
        <f>IFERROR(IF(E2755&gt;0,(F2755/E2755)*1000,""),"")</f>
        <v/>
      </c>
      <c r="H2755" s="139">
        <f>IFERROR(IF(E2755&gt;0,E2755*IF(ISNUMBER(J2755),J2755,IF(C2755="Futures",$C$6,$C$5)),""),"")</f>
        <v/>
      </c>
      <c r="I2755" s="139">
        <f>IFERROR(IF(AND(ISNUMBER(F2755),ISNUMBER(H2755)),F2755-H2755,""),"")</f>
        <v/>
      </c>
      <c r="J2755" s="114" t="n"/>
      <c r="K2755" s="139">
        <f>IFERROR(IF(H2755&gt;0,H2755*$C$7,""),"")</f>
        <v/>
      </c>
      <c r="L2755" s="139">
        <f>IFERROR(IF(ISNUMBER(F2755),F2755-IF(ISNUMBER(K2755),K2755,0),""),"")</f>
        <v/>
      </c>
    </row>
    <row r="2756" ht="24" customHeight="1" s="63">
      <c r="E2756" s="139" t="n"/>
      <c r="F2756" s="139" t="n"/>
      <c r="G2756" s="140">
        <f>IFERROR(IF(E2756&gt;0,(F2756/E2756)*1000,""),"")</f>
        <v/>
      </c>
      <c r="H2756" s="139">
        <f>IFERROR(IF(E2756&gt;0,E2756*IF(ISNUMBER(J2756),J2756,IF(C2756="Futures",$C$6,$C$5)),""),"")</f>
        <v/>
      </c>
      <c r="I2756" s="139">
        <f>IFERROR(IF(AND(ISNUMBER(F2756),ISNUMBER(H2756)),F2756-H2756,""),"")</f>
        <v/>
      </c>
      <c r="J2756" s="114" t="n"/>
      <c r="K2756" s="139">
        <f>IFERROR(IF(H2756&gt;0,H2756*$C$7,""),"")</f>
        <v/>
      </c>
      <c r="L2756" s="139">
        <f>IFERROR(IF(ISNUMBER(F2756),F2756-IF(ISNUMBER(K2756),K2756,0),""),"")</f>
        <v/>
      </c>
    </row>
    <row r="2757" ht="24" customHeight="1" s="63">
      <c r="E2757" s="139" t="n"/>
      <c r="F2757" s="139" t="n"/>
      <c r="G2757" s="140">
        <f>IFERROR(IF(E2757&gt;0,(F2757/E2757)*1000,""),"")</f>
        <v/>
      </c>
      <c r="H2757" s="139">
        <f>IFERROR(IF(E2757&gt;0,E2757*IF(ISNUMBER(J2757),J2757,IF(C2757="Futures",$C$6,$C$5)),""),"")</f>
        <v/>
      </c>
      <c r="I2757" s="139">
        <f>IFERROR(IF(AND(ISNUMBER(F2757),ISNUMBER(H2757)),F2757-H2757,""),"")</f>
        <v/>
      </c>
      <c r="J2757" s="114" t="n"/>
      <c r="K2757" s="139">
        <f>IFERROR(IF(H2757&gt;0,H2757*$C$7,""),"")</f>
        <v/>
      </c>
      <c r="L2757" s="139">
        <f>IFERROR(IF(ISNUMBER(F2757),F2757-IF(ISNUMBER(K2757),K2757,0),""),"")</f>
        <v/>
      </c>
    </row>
    <row r="2758" ht="24" customHeight="1" s="63">
      <c r="E2758" s="139" t="n"/>
      <c r="F2758" s="139" t="n"/>
      <c r="G2758" s="140">
        <f>IFERROR(IF(E2758&gt;0,(F2758/E2758)*1000,""),"")</f>
        <v/>
      </c>
      <c r="H2758" s="139">
        <f>IFERROR(IF(E2758&gt;0,E2758*IF(ISNUMBER(J2758),J2758,IF(C2758="Futures",$C$6,$C$5)),""),"")</f>
        <v/>
      </c>
      <c r="I2758" s="139">
        <f>IFERROR(IF(AND(ISNUMBER(F2758),ISNUMBER(H2758)),F2758-H2758,""),"")</f>
        <v/>
      </c>
      <c r="J2758" s="114" t="n"/>
      <c r="K2758" s="139">
        <f>IFERROR(IF(H2758&gt;0,H2758*$C$7,""),"")</f>
        <v/>
      </c>
      <c r="L2758" s="139">
        <f>IFERROR(IF(ISNUMBER(F2758),F2758-IF(ISNUMBER(K2758),K2758,0),""),"")</f>
        <v/>
      </c>
    </row>
    <row r="2759" ht="24" customHeight="1" s="63">
      <c r="E2759" s="139" t="n"/>
      <c r="F2759" s="139" t="n"/>
      <c r="G2759" s="140">
        <f>IFERROR(IF(E2759&gt;0,(F2759/E2759)*1000,""),"")</f>
        <v/>
      </c>
      <c r="H2759" s="139">
        <f>IFERROR(IF(E2759&gt;0,E2759*IF(ISNUMBER(J2759),J2759,IF(C2759="Futures",$C$6,$C$5)),""),"")</f>
        <v/>
      </c>
      <c r="I2759" s="139">
        <f>IFERROR(IF(AND(ISNUMBER(F2759),ISNUMBER(H2759)),F2759-H2759,""),"")</f>
        <v/>
      </c>
      <c r="J2759" s="114" t="n"/>
      <c r="K2759" s="139">
        <f>IFERROR(IF(H2759&gt;0,H2759*$C$7,""),"")</f>
        <v/>
      </c>
      <c r="L2759" s="139">
        <f>IFERROR(IF(ISNUMBER(F2759),F2759-IF(ISNUMBER(K2759),K2759,0),""),"")</f>
        <v/>
      </c>
    </row>
    <row r="2760" ht="24" customHeight="1" s="63">
      <c r="E2760" s="139" t="n"/>
      <c r="F2760" s="139" t="n"/>
      <c r="G2760" s="140">
        <f>IFERROR(IF(E2760&gt;0,(F2760/E2760)*1000,""),"")</f>
        <v/>
      </c>
      <c r="H2760" s="139">
        <f>IFERROR(IF(E2760&gt;0,E2760*IF(ISNUMBER(J2760),J2760,IF(C2760="Futures",$C$6,$C$5)),""),"")</f>
        <v/>
      </c>
      <c r="I2760" s="139">
        <f>IFERROR(IF(AND(ISNUMBER(F2760),ISNUMBER(H2760)),F2760-H2760,""),"")</f>
        <v/>
      </c>
      <c r="J2760" s="114" t="n"/>
      <c r="K2760" s="139">
        <f>IFERROR(IF(H2760&gt;0,H2760*$C$7,""),"")</f>
        <v/>
      </c>
      <c r="L2760" s="139">
        <f>IFERROR(IF(ISNUMBER(F2760),F2760-IF(ISNUMBER(K2760),K2760,0),""),"")</f>
        <v/>
      </c>
    </row>
    <row r="2761" ht="24" customHeight="1" s="63">
      <c r="E2761" s="139" t="n"/>
      <c r="F2761" s="139" t="n"/>
      <c r="G2761" s="140">
        <f>IFERROR(IF(E2761&gt;0,(F2761/E2761)*1000,""),"")</f>
        <v/>
      </c>
      <c r="H2761" s="139">
        <f>IFERROR(IF(E2761&gt;0,E2761*IF(ISNUMBER(J2761),J2761,IF(C2761="Futures",$C$6,$C$5)),""),"")</f>
        <v/>
      </c>
      <c r="I2761" s="139">
        <f>IFERROR(IF(AND(ISNUMBER(F2761),ISNUMBER(H2761)),F2761-H2761,""),"")</f>
        <v/>
      </c>
      <c r="J2761" s="114" t="n"/>
      <c r="K2761" s="139">
        <f>IFERROR(IF(H2761&gt;0,H2761*$C$7,""),"")</f>
        <v/>
      </c>
      <c r="L2761" s="139">
        <f>IFERROR(IF(ISNUMBER(F2761),F2761-IF(ISNUMBER(K2761),K2761,0),""),"")</f>
        <v/>
      </c>
    </row>
    <row r="2762" ht="24" customHeight="1" s="63">
      <c r="E2762" s="139" t="n"/>
      <c r="F2762" s="139" t="n"/>
      <c r="G2762" s="140">
        <f>IFERROR(IF(E2762&gt;0,(F2762/E2762)*1000,""),"")</f>
        <v/>
      </c>
      <c r="H2762" s="139">
        <f>IFERROR(IF(E2762&gt;0,E2762*IF(ISNUMBER(J2762),J2762,IF(C2762="Futures",$C$6,$C$5)),""),"")</f>
        <v/>
      </c>
      <c r="I2762" s="139">
        <f>IFERROR(IF(AND(ISNUMBER(F2762),ISNUMBER(H2762)),F2762-H2762,""),"")</f>
        <v/>
      </c>
      <c r="J2762" s="114" t="n"/>
      <c r="K2762" s="139">
        <f>IFERROR(IF(H2762&gt;0,H2762*$C$7,""),"")</f>
        <v/>
      </c>
      <c r="L2762" s="139">
        <f>IFERROR(IF(ISNUMBER(F2762),F2762-IF(ISNUMBER(K2762),K2762,0),""),"")</f>
        <v/>
      </c>
    </row>
    <row r="2763" ht="24" customHeight="1" s="63">
      <c r="E2763" s="139" t="n"/>
      <c r="F2763" s="139" t="n"/>
      <c r="G2763" s="140">
        <f>IFERROR(IF(E2763&gt;0,(F2763/E2763)*1000,""),"")</f>
        <v/>
      </c>
      <c r="H2763" s="139">
        <f>IFERROR(IF(E2763&gt;0,E2763*IF(ISNUMBER(J2763),J2763,IF(C2763="Futures",$C$6,$C$5)),""),"")</f>
        <v/>
      </c>
      <c r="I2763" s="139">
        <f>IFERROR(IF(AND(ISNUMBER(F2763),ISNUMBER(H2763)),F2763-H2763,""),"")</f>
        <v/>
      </c>
      <c r="J2763" s="114" t="n"/>
      <c r="K2763" s="139">
        <f>IFERROR(IF(H2763&gt;0,H2763*$C$7,""),"")</f>
        <v/>
      </c>
      <c r="L2763" s="139">
        <f>IFERROR(IF(ISNUMBER(F2763),F2763-IF(ISNUMBER(K2763),K2763,0),""),"")</f>
        <v/>
      </c>
    </row>
    <row r="2764" ht="24" customHeight="1" s="63">
      <c r="E2764" s="139" t="n"/>
      <c r="F2764" s="139" t="n"/>
      <c r="G2764" s="140">
        <f>IFERROR(IF(E2764&gt;0,(F2764/E2764)*1000,""),"")</f>
        <v/>
      </c>
      <c r="H2764" s="139">
        <f>IFERROR(IF(E2764&gt;0,E2764*IF(ISNUMBER(J2764),J2764,IF(C2764="Futures",$C$6,$C$5)),""),"")</f>
        <v/>
      </c>
      <c r="I2764" s="139">
        <f>IFERROR(IF(AND(ISNUMBER(F2764),ISNUMBER(H2764)),F2764-H2764,""),"")</f>
        <v/>
      </c>
      <c r="J2764" s="114" t="n"/>
      <c r="K2764" s="139">
        <f>IFERROR(IF(H2764&gt;0,H2764*$C$7,""),"")</f>
        <v/>
      </c>
      <c r="L2764" s="139">
        <f>IFERROR(IF(ISNUMBER(F2764),F2764-IF(ISNUMBER(K2764),K2764,0),""),"")</f>
        <v/>
      </c>
    </row>
    <row r="2765" ht="24" customHeight="1" s="63">
      <c r="E2765" s="139" t="n"/>
      <c r="F2765" s="139" t="n"/>
      <c r="G2765" s="140">
        <f>IFERROR(IF(E2765&gt;0,(F2765/E2765)*1000,""),"")</f>
        <v/>
      </c>
      <c r="H2765" s="139">
        <f>IFERROR(IF(E2765&gt;0,E2765*IF(ISNUMBER(J2765),J2765,IF(C2765="Futures",$C$6,$C$5)),""),"")</f>
        <v/>
      </c>
      <c r="I2765" s="139">
        <f>IFERROR(IF(AND(ISNUMBER(F2765),ISNUMBER(H2765)),F2765-H2765,""),"")</f>
        <v/>
      </c>
      <c r="J2765" s="114" t="n"/>
      <c r="K2765" s="139">
        <f>IFERROR(IF(H2765&gt;0,H2765*$C$7,""),"")</f>
        <v/>
      </c>
      <c r="L2765" s="139">
        <f>IFERROR(IF(ISNUMBER(F2765),F2765-IF(ISNUMBER(K2765),K2765,0),""),"")</f>
        <v/>
      </c>
    </row>
    <row r="2766" ht="24" customHeight="1" s="63">
      <c r="E2766" s="139" t="n"/>
      <c r="F2766" s="139" t="n"/>
      <c r="G2766" s="140">
        <f>IFERROR(IF(E2766&gt;0,(F2766/E2766)*1000,""),"")</f>
        <v/>
      </c>
      <c r="H2766" s="139">
        <f>IFERROR(IF(E2766&gt;0,E2766*IF(ISNUMBER(J2766),J2766,IF(C2766="Futures",$C$6,$C$5)),""),"")</f>
        <v/>
      </c>
      <c r="I2766" s="139">
        <f>IFERROR(IF(AND(ISNUMBER(F2766),ISNUMBER(H2766)),F2766-H2766,""),"")</f>
        <v/>
      </c>
      <c r="J2766" s="114" t="n"/>
      <c r="K2766" s="139">
        <f>IFERROR(IF(H2766&gt;0,H2766*$C$7,""),"")</f>
        <v/>
      </c>
      <c r="L2766" s="139">
        <f>IFERROR(IF(ISNUMBER(F2766),F2766-IF(ISNUMBER(K2766),K2766,0),""),"")</f>
        <v/>
      </c>
    </row>
    <row r="2767" ht="24" customHeight="1" s="63">
      <c r="E2767" s="139" t="n"/>
      <c r="F2767" s="139" t="n"/>
      <c r="G2767" s="140">
        <f>IFERROR(IF(E2767&gt;0,(F2767/E2767)*1000,""),"")</f>
        <v/>
      </c>
      <c r="H2767" s="139">
        <f>IFERROR(IF(E2767&gt;0,E2767*IF(ISNUMBER(J2767),J2767,IF(C2767="Futures",$C$6,$C$5)),""),"")</f>
        <v/>
      </c>
      <c r="I2767" s="139">
        <f>IFERROR(IF(AND(ISNUMBER(F2767),ISNUMBER(H2767)),F2767-H2767,""),"")</f>
        <v/>
      </c>
      <c r="J2767" s="114" t="n"/>
      <c r="K2767" s="139">
        <f>IFERROR(IF(H2767&gt;0,H2767*$C$7,""),"")</f>
        <v/>
      </c>
      <c r="L2767" s="139">
        <f>IFERROR(IF(ISNUMBER(F2767),F2767-IF(ISNUMBER(K2767),K2767,0),""),"")</f>
        <v/>
      </c>
    </row>
    <row r="2768" ht="24" customHeight="1" s="63">
      <c r="E2768" s="139" t="n"/>
      <c r="F2768" s="139" t="n"/>
      <c r="G2768" s="140">
        <f>IFERROR(IF(E2768&gt;0,(F2768/E2768)*1000,""),"")</f>
        <v/>
      </c>
      <c r="H2768" s="139">
        <f>IFERROR(IF(E2768&gt;0,E2768*IF(ISNUMBER(J2768),J2768,IF(C2768="Futures",$C$6,$C$5)),""),"")</f>
        <v/>
      </c>
      <c r="I2768" s="139">
        <f>IFERROR(IF(AND(ISNUMBER(F2768),ISNUMBER(H2768)),F2768-H2768,""),"")</f>
        <v/>
      </c>
      <c r="J2768" s="114" t="n"/>
      <c r="K2768" s="139">
        <f>IFERROR(IF(H2768&gt;0,H2768*$C$7,""),"")</f>
        <v/>
      </c>
      <c r="L2768" s="139">
        <f>IFERROR(IF(ISNUMBER(F2768),F2768-IF(ISNUMBER(K2768),K2768,0),""),"")</f>
        <v/>
      </c>
    </row>
    <row r="2769" ht="24" customHeight="1" s="63">
      <c r="E2769" s="139" t="n"/>
      <c r="F2769" s="139" t="n"/>
      <c r="G2769" s="140">
        <f>IFERROR(IF(E2769&gt;0,(F2769/E2769)*1000,""),"")</f>
        <v/>
      </c>
      <c r="H2769" s="139">
        <f>IFERROR(IF(E2769&gt;0,E2769*IF(ISNUMBER(J2769),J2769,IF(C2769="Futures",$C$6,$C$5)),""),"")</f>
        <v/>
      </c>
      <c r="I2769" s="139">
        <f>IFERROR(IF(AND(ISNUMBER(F2769),ISNUMBER(H2769)),F2769-H2769,""),"")</f>
        <v/>
      </c>
      <c r="J2769" s="114" t="n"/>
      <c r="K2769" s="139">
        <f>IFERROR(IF(H2769&gt;0,H2769*$C$7,""),"")</f>
        <v/>
      </c>
      <c r="L2769" s="139">
        <f>IFERROR(IF(ISNUMBER(F2769),F2769-IF(ISNUMBER(K2769),K2769,0),""),"")</f>
        <v/>
      </c>
    </row>
    <row r="2770" ht="24" customHeight="1" s="63">
      <c r="E2770" s="139" t="n"/>
      <c r="F2770" s="139" t="n"/>
      <c r="G2770" s="140">
        <f>IFERROR(IF(E2770&gt;0,(F2770/E2770)*1000,""),"")</f>
        <v/>
      </c>
      <c r="H2770" s="139">
        <f>IFERROR(IF(E2770&gt;0,E2770*IF(ISNUMBER(J2770),J2770,IF(C2770="Futures",$C$6,$C$5)),""),"")</f>
        <v/>
      </c>
      <c r="I2770" s="139">
        <f>IFERROR(IF(AND(ISNUMBER(F2770),ISNUMBER(H2770)),F2770-H2770,""),"")</f>
        <v/>
      </c>
      <c r="J2770" s="114" t="n"/>
      <c r="K2770" s="139">
        <f>IFERROR(IF(H2770&gt;0,H2770*$C$7,""),"")</f>
        <v/>
      </c>
      <c r="L2770" s="139">
        <f>IFERROR(IF(ISNUMBER(F2770),F2770-IF(ISNUMBER(K2770),K2770,0),""),"")</f>
        <v/>
      </c>
    </row>
    <row r="2771" ht="24" customHeight="1" s="63">
      <c r="E2771" s="139" t="n"/>
      <c r="F2771" s="139" t="n"/>
      <c r="G2771" s="140">
        <f>IFERROR(IF(E2771&gt;0,(F2771/E2771)*1000,""),"")</f>
        <v/>
      </c>
      <c r="H2771" s="139">
        <f>IFERROR(IF(E2771&gt;0,E2771*IF(ISNUMBER(J2771),J2771,IF(C2771="Futures",$C$6,$C$5)),""),"")</f>
        <v/>
      </c>
      <c r="I2771" s="139">
        <f>IFERROR(IF(AND(ISNUMBER(F2771),ISNUMBER(H2771)),F2771-H2771,""),"")</f>
        <v/>
      </c>
      <c r="J2771" s="114" t="n"/>
      <c r="K2771" s="139">
        <f>IFERROR(IF(H2771&gt;0,H2771*$C$7,""),"")</f>
        <v/>
      </c>
      <c r="L2771" s="139">
        <f>IFERROR(IF(ISNUMBER(F2771),F2771-IF(ISNUMBER(K2771),K2771,0),""),"")</f>
        <v/>
      </c>
    </row>
    <row r="2772" ht="24" customHeight="1" s="63">
      <c r="E2772" s="139" t="n"/>
      <c r="F2772" s="139" t="n"/>
      <c r="G2772" s="140">
        <f>IFERROR(IF(E2772&gt;0,(F2772/E2772)*1000,""),"")</f>
        <v/>
      </c>
      <c r="H2772" s="139">
        <f>IFERROR(IF(E2772&gt;0,E2772*IF(ISNUMBER(J2772),J2772,IF(C2772="Futures",$C$6,$C$5)),""),"")</f>
        <v/>
      </c>
      <c r="I2772" s="139">
        <f>IFERROR(IF(AND(ISNUMBER(F2772),ISNUMBER(H2772)),F2772-H2772,""),"")</f>
        <v/>
      </c>
      <c r="J2772" s="114" t="n"/>
      <c r="K2772" s="139">
        <f>IFERROR(IF(H2772&gt;0,H2772*$C$7,""),"")</f>
        <v/>
      </c>
      <c r="L2772" s="139">
        <f>IFERROR(IF(ISNUMBER(F2772),F2772-IF(ISNUMBER(K2772),K2772,0),""),"")</f>
        <v/>
      </c>
    </row>
    <row r="2773" ht="24" customHeight="1" s="63">
      <c r="E2773" s="139" t="n"/>
      <c r="F2773" s="139" t="n"/>
      <c r="G2773" s="140">
        <f>IFERROR(IF(E2773&gt;0,(F2773/E2773)*1000,""),"")</f>
        <v/>
      </c>
      <c r="H2773" s="139">
        <f>IFERROR(IF(E2773&gt;0,E2773*IF(ISNUMBER(J2773),J2773,IF(C2773="Futures",$C$6,$C$5)),""),"")</f>
        <v/>
      </c>
      <c r="I2773" s="139">
        <f>IFERROR(IF(AND(ISNUMBER(F2773),ISNUMBER(H2773)),F2773-H2773,""),"")</f>
        <v/>
      </c>
      <c r="J2773" s="114" t="n"/>
      <c r="K2773" s="139">
        <f>IFERROR(IF(H2773&gt;0,H2773*$C$7,""),"")</f>
        <v/>
      </c>
      <c r="L2773" s="139">
        <f>IFERROR(IF(ISNUMBER(F2773),F2773-IF(ISNUMBER(K2773),K2773,0),""),"")</f>
        <v/>
      </c>
    </row>
    <row r="2774" ht="24" customHeight="1" s="63">
      <c r="E2774" s="139" t="n"/>
      <c r="F2774" s="139" t="n"/>
      <c r="G2774" s="140">
        <f>IFERROR(IF(E2774&gt;0,(F2774/E2774)*1000,""),"")</f>
        <v/>
      </c>
      <c r="H2774" s="139">
        <f>IFERROR(IF(E2774&gt;0,E2774*IF(ISNUMBER(J2774),J2774,IF(C2774="Futures",$C$6,$C$5)),""),"")</f>
        <v/>
      </c>
      <c r="I2774" s="139">
        <f>IFERROR(IF(AND(ISNUMBER(F2774),ISNUMBER(H2774)),F2774-H2774,""),"")</f>
        <v/>
      </c>
      <c r="J2774" s="114" t="n"/>
      <c r="K2774" s="139">
        <f>IFERROR(IF(H2774&gt;0,H2774*$C$7,""),"")</f>
        <v/>
      </c>
      <c r="L2774" s="139">
        <f>IFERROR(IF(ISNUMBER(F2774),F2774-IF(ISNUMBER(K2774),K2774,0),""),"")</f>
        <v/>
      </c>
    </row>
    <row r="2775" ht="24" customHeight="1" s="63">
      <c r="E2775" s="139" t="n"/>
      <c r="F2775" s="139" t="n"/>
      <c r="G2775" s="140">
        <f>IFERROR(IF(E2775&gt;0,(F2775/E2775)*1000,""),"")</f>
        <v/>
      </c>
      <c r="H2775" s="139">
        <f>IFERROR(IF(E2775&gt;0,E2775*IF(ISNUMBER(J2775),J2775,IF(C2775="Futures",$C$6,$C$5)),""),"")</f>
        <v/>
      </c>
      <c r="I2775" s="139">
        <f>IFERROR(IF(AND(ISNUMBER(F2775),ISNUMBER(H2775)),F2775-H2775,""),"")</f>
        <v/>
      </c>
      <c r="J2775" s="114" t="n"/>
      <c r="K2775" s="139">
        <f>IFERROR(IF(H2775&gt;0,H2775*$C$7,""),"")</f>
        <v/>
      </c>
      <c r="L2775" s="139">
        <f>IFERROR(IF(ISNUMBER(F2775),F2775-IF(ISNUMBER(K2775),K2775,0),""),"")</f>
        <v/>
      </c>
    </row>
    <row r="2776" ht="24" customHeight="1" s="63">
      <c r="E2776" s="139" t="n"/>
      <c r="F2776" s="139" t="n"/>
      <c r="G2776" s="140">
        <f>IFERROR(IF(E2776&gt;0,(F2776/E2776)*1000,""),"")</f>
        <v/>
      </c>
      <c r="H2776" s="139">
        <f>IFERROR(IF(E2776&gt;0,E2776*IF(ISNUMBER(J2776),J2776,IF(C2776="Futures",$C$6,$C$5)),""),"")</f>
        <v/>
      </c>
      <c r="I2776" s="139">
        <f>IFERROR(IF(AND(ISNUMBER(F2776),ISNUMBER(H2776)),F2776-H2776,""),"")</f>
        <v/>
      </c>
      <c r="J2776" s="114" t="n"/>
      <c r="K2776" s="139">
        <f>IFERROR(IF(H2776&gt;0,H2776*$C$7,""),"")</f>
        <v/>
      </c>
      <c r="L2776" s="139">
        <f>IFERROR(IF(ISNUMBER(F2776),F2776-IF(ISNUMBER(K2776),K2776,0),""),"")</f>
        <v/>
      </c>
    </row>
    <row r="2777" ht="24" customHeight="1" s="63">
      <c r="E2777" s="139" t="n"/>
      <c r="F2777" s="139" t="n"/>
      <c r="G2777" s="140">
        <f>IFERROR(IF(E2777&gt;0,(F2777/E2777)*1000,""),"")</f>
        <v/>
      </c>
      <c r="H2777" s="139">
        <f>IFERROR(IF(E2777&gt;0,E2777*IF(ISNUMBER(J2777),J2777,IF(C2777="Futures",$C$6,$C$5)),""),"")</f>
        <v/>
      </c>
      <c r="I2777" s="139">
        <f>IFERROR(IF(AND(ISNUMBER(F2777),ISNUMBER(H2777)),F2777-H2777,""),"")</f>
        <v/>
      </c>
      <c r="J2777" s="114" t="n"/>
      <c r="K2777" s="139">
        <f>IFERROR(IF(H2777&gt;0,H2777*$C$7,""),"")</f>
        <v/>
      </c>
      <c r="L2777" s="139">
        <f>IFERROR(IF(ISNUMBER(F2777),F2777-IF(ISNUMBER(K2777),K2777,0),""),"")</f>
        <v/>
      </c>
    </row>
    <row r="2778" ht="24" customHeight="1" s="63">
      <c r="E2778" s="139" t="n"/>
      <c r="F2778" s="139" t="n"/>
      <c r="G2778" s="140">
        <f>IFERROR(IF(E2778&gt;0,(F2778/E2778)*1000,""),"")</f>
        <v/>
      </c>
      <c r="H2778" s="139">
        <f>IFERROR(IF(E2778&gt;0,E2778*IF(ISNUMBER(J2778),J2778,IF(C2778="Futures",$C$6,$C$5)),""),"")</f>
        <v/>
      </c>
      <c r="I2778" s="139">
        <f>IFERROR(IF(AND(ISNUMBER(F2778),ISNUMBER(H2778)),F2778-H2778,""),"")</f>
        <v/>
      </c>
      <c r="J2778" s="114" t="n"/>
      <c r="K2778" s="139">
        <f>IFERROR(IF(H2778&gt;0,H2778*$C$7,""),"")</f>
        <v/>
      </c>
      <c r="L2778" s="139">
        <f>IFERROR(IF(ISNUMBER(F2778),F2778-IF(ISNUMBER(K2778),K2778,0),""),"")</f>
        <v/>
      </c>
    </row>
    <row r="2779" ht="24" customHeight="1" s="63">
      <c r="E2779" s="139" t="n"/>
      <c r="F2779" s="139" t="n"/>
      <c r="G2779" s="140">
        <f>IFERROR(IF(E2779&gt;0,(F2779/E2779)*1000,""),"")</f>
        <v/>
      </c>
      <c r="H2779" s="139">
        <f>IFERROR(IF(E2779&gt;0,E2779*IF(ISNUMBER(J2779),J2779,IF(C2779="Futures",$C$6,$C$5)),""),"")</f>
        <v/>
      </c>
      <c r="I2779" s="139">
        <f>IFERROR(IF(AND(ISNUMBER(F2779),ISNUMBER(H2779)),F2779-H2779,""),"")</f>
        <v/>
      </c>
      <c r="J2779" s="114" t="n"/>
      <c r="K2779" s="139">
        <f>IFERROR(IF(H2779&gt;0,H2779*$C$7,""),"")</f>
        <v/>
      </c>
      <c r="L2779" s="139">
        <f>IFERROR(IF(ISNUMBER(F2779),F2779-IF(ISNUMBER(K2779),K2779,0),""),"")</f>
        <v/>
      </c>
    </row>
    <row r="2780" ht="24" customHeight="1" s="63">
      <c r="E2780" s="139" t="n"/>
      <c r="F2780" s="139" t="n"/>
      <c r="G2780" s="140">
        <f>IFERROR(IF(E2780&gt;0,(F2780/E2780)*1000,""),"")</f>
        <v/>
      </c>
      <c r="H2780" s="139">
        <f>IFERROR(IF(E2780&gt;0,E2780*IF(ISNUMBER(J2780),J2780,IF(C2780="Futures",$C$6,$C$5)),""),"")</f>
        <v/>
      </c>
      <c r="I2780" s="139">
        <f>IFERROR(IF(AND(ISNUMBER(F2780),ISNUMBER(H2780)),F2780-H2780,""),"")</f>
        <v/>
      </c>
      <c r="J2780" s="114" t="n"/>
      <c r="K2780" s="139">
        <f>IFERROR(IF(H2780&gt;0,H2780*$C$7,""),"")</f>
        <v/>
      </c>
      <c r="L2780" s="139">
        <f>IFERROR(IF(ISNUMBER(F2780),F2780-IF(ISNUMBER(K2780),K2780,0),""),"")</f>
        <v/>
      </c>
    </row>
    <row r="2781" ht="24" customHeight="1" s="63">
      <c r="E2781" s="139" t="n"/>
      <c r="F2781" s="139" t="n"/>
      <c r="G2781" s="140">
        <f>IFERROR(IF(E2781&gt;0,(F2781/E2781)*1000,""),"")</f>
        <v/>
      </c>
      <c r="H2781" s="139">
        <f>IFERROR(IF(E2781&gt;0,E2781*IF(ISNUMBER(J2781),J2781,IF(C2781="Futures",$C$6,$C$5)),""),"")</f>
        <v/>
      </c>
      <c r="I2781" s="139">
        <f>IFERROR(IF(AND(ISNUMBER(F2781),ISNUMBER(H2781)),F2781-H2781,""),"")</f>
        <v/>
      </c>
      <c r="J2781" s="114" t="n"/>
      <c r="K2781" s="139">
        <f>IFERROR(IF(H2781&gt;0,H2781*$C$7,""),"")</f>
        <v/>
      </c>
      <c r="L2781" s="139">
        <f>IFERROR(IF(ISNUMBER(F2781),F2781-IF(ISNUMBER(K2781),K2781,0),""),"")</f>
        <v/>
      </c>
    </row>
    <row r="2782" ht="24" customHeight="1" s="63">
      <c r="E2782" s="139" t="n"/>
      <c r="F2782" s="139" t="n"/>
      <c r="G2782" s="140">
        <f>IFERROR(IF(E2782&gt;0,(F2782/E2782)*1000,""),"")</f>
        <v/>
      </c>
      <c r="H2782" s="139">
        <f>IFERROR(IF(E2782&gt;0,E2782*IF(ISNUMBER(J2782),J2782,IF(C2782="Futures",$C$6,$C$5)),""),"")</f>
        <v/>
      </c>
      <c r="I2782" s="139">
        <f>IFERROR(IF(AND(ISNUMBER(F2782),ISNUMBER(H2782)),F2782-H2782,""),"")</f>
        <v/>
      </c>
      <c r="J2782" s="114" t="n"/>
      <c r="K2782" s="139">
        <f>IFERROR(IF(H2782&gt;0,H2782*$C$7,""),"")</f>
        <v/>
      </c>
      <c r="L2782" s="139">
        <f>IFERROR(IF(ISNUMBER(F2782),F2782-IF(ISNUMBER(K2782),K2782,0),""),"")</f>
        <v/>
      </c>
    </row>
    <row r="2783" ht="24" customHeight="1" s="63">
      <c r="E2783" s="139" t="n"/>
      <c r="F2783" s="139" t="n"/>
      <c r="G2783" s="140">
        <f>IFERROR(IF(E2783&gt;0,(F2783/E2783)*1000,""),"")</f>
        <v/>
      </c>
      <c r="H2783" s="139">
        <f>IFERROR(IF(E2783&gt;0,E2783*IF(ISNUMBER(J2783),J2783,IF(C2783="Futures",$C$6,$C$5)),""),"")</f>
        <v/>
      </c>
      <c r="I2783" s="139">
        <f>IFERROR(IF(AND(ISNUMBER(F2783),ISNUMBER(H2783)),F2783-H2783,""),"")</f>
        <v/>
      </c>
      <c r="J2783" s="114" t="n"/>
      <c r="K2783" s="139">
        <f>IFERROR(IF(H2783&gt;0,H2783*$C$7,""),"")</f>
        <v/>
      </c>
      <c r="L2783" s="139">
        <f>IFERROR(IF(ISNUMBER(F2783),F2783-IF(ISNUMBER(K2783),K2783,0),""),"")</f>
        <v/>
      </c>
    </row>
    <row r="2784" ht="24" customHeight="1" s="63">
      <c r="E2784" s="139" t="n"/>
      <c r="F2784" s="139" t="n"/>
      <c r="G2784" s="140">
        <f>IFERROR(IF(E2784&gt;0,(F2784/E2784)*1000,""),"")</f>
        <v/>
      </c>
      <c r="H2784" s="139">
        <f>IFERROR(IF(E2784&gt;0,E2784*IF(ISNUMBER(J2784),J2784,IF(C2784="Futures",$C$6,$C$5)),""),"")</f>
        <v/>
      </c>
      <c r="I2784" s="139">
        <f>IFERROR(IF(AND(ISNUMBER(F2784),ISNUMBER(H2784)),F2784-H2784,""),"")</f>
        <v/>
      </c>
      <c r="J2784" s="114" t="n"/>
      <c r="K2784" s="139">
        <f>IFERROR(IF(H2784&gt;0,H2784*$C$7,""),"")</f>
        <v/>
      </c>
      <c r="L2784" s="139">
        <f>IFERROR(IF(ISNUMBER(F2784),F2784-IF(ISNUMBER(K2784),K2784,0),""),"")</f>
        <v/>
      </c>
    </row>
    <row r="2785" ht="24" customHeight="1" s="63">
      <c r="E2785" s="139" t="n"/>
      <c r="F2785" s="139" t="n"/>
      <c r="G2785" s="140">
        <f>IFERROR(IF(E2785&gt;0,(F2785/E2785)*1000,""),"")</f>
        <v/>
      </c>
      <c r="H2785" s="139">
        <f>IFERROR(IF(E2785&gt;0,E2785*IF(ISNUMBER(J2785),J2785,IF(C2785="Futures",$C$6,$C$5)),""),"")</f>
        <v/>
      </c>
      <c r="I2785" s="139">
        <f>IFERROR(IF(AND(ISNUMBER(F2785),ISNUMBER(H2785)),F2785-H2785,""),"")</f>
        <v/>
      </c>
      <c r="J2785" s="114" t="n"/>
      <c r="K2785" s="139">
        <f>IFERROR(IF(H2785&gt;0,H2785*$C$7,""),"")</f>
        <v/>
      </c>
      <c r="L2785" s="139">
        <f>IFERROR(IF(ISNUMBER(F2785),F2785-IF(ISNUMBER(K2785),K2785,0),""),"")</f>
        <v/>
      </c>
    </row>
    <row r="2786" ht="24" customHeight="1" s="63">
      <c r="E2786" s="139" t="n"/>
      <c r="F2786" s="139" t="n"/>
      <c r="G2786" s="140">
        <f>IFERROR(IF(E2786&gt;0,(F2786/E2786)*1000,""),"")</f>
        <v/>
      </c>
      <c r="H2786" s="139">
        <f>IFERROR(IF(E2786&gt;0,E2786*IF(ISNUMBER(J2786),J2786,IF(C2786="Futures",$C$6,$C$5)),""),"")</f>
        <v/>
      </c>
      <c r="I2786" s="139">
        <f>IFERROR(IF(AND(ISNUMBER(F2786),ISNUMBER(H2786)),F2786-H2786,""),"")</f>
        <v/>
      </c>
      <c r="J2786" s="114" t="n"/>
      <c r="K2786" s="139">
        <f>IFERROR(IF(H2786&gt;0,H2786*$C$7,""),"")</f>
        <v/>
      </c>
      <c r="L2786" s="139">
        <f>IFERROR(IF(ISNUMBER(F2786),F2786-IF(ISNUMBER(K2786),K2786,0),""),"")</f>
        <v/>
      </c>
    </row>
    <row r="2787" ht="24" customHeight="1" s="63">
      <c r="E2787" s="139" t="n"/>
      <c r="F2787" s="139" t="n"/>
      <c r="G2787" s="140">
        <f>IFERROR(IF(E2787&gt;0,(F2787/E2787)*1000,""),"")</f>
        <v/>
      </c>
      <c r="H2787" s="139">
        <f>IFERROR(IF(E2787&gt;0,E2787*IF(ISNUMBER(J2787),J2787,IF(C2787="Futures",$C$6,$C$5)),""),"")</f>
        <v/>
      </c>
      <c r="I2787" s="139">
        <f>IFERROR(IF(AND(ISNUMBER(F2787),ISNUMBER(H2787)),F2787-H2787,""),"")</f>
        <v/>
      </c>
      <c r="J2787" s="114" t="n"/>
      <c r="K2787" s="139">
        <f>IFERROR(IF(H2787&gt;0,H2787*$C$7,""),"")</f>
        <v/>
      </c>
      <c r="L2787" s="139">
        <f>IFERROR(IF(ISNUMBER(F2787),F2787-IF(ISNUMBER(K2787),K2787,0),""),"")</f>
        <v/>
      </c>
    </row>
    <row r="2788" ht="24" customHeight="1" s="63">
      <c r="E2788" s="139" t="n"/>
      <c r="F2788" s="139" t="n"/>
      <c r="G2788" s="140">
        <f>IFERROR(IF(E2788&gt;0,(F2788/E2788)*1000,""),"")</f>
        <v/>
      </c>
      <c r="H2788" s="139">
        <f>IFERROR(IF(E2788&gt;0,E2788*IF(ISNUMBER(J2788),J2788,IF(C2788="Futures",$C$6,$C$5)),""),"")</f>
        <v/>
      </c>
      <c r="I2788" s="139">
        <f>IFERROR(IF(AND(ISNUMBER(F2788),ISNUMBER(H2788)),F2788-H2788,""),"")</f>
        <v/>
      </c>
      <c r="J2788" s="114" t="n"/>
      <c r="K2788" s="139">
        <f>IFERROR(IF(H2788&gt;0,H2788*$C$7,""),"")</f>
        <v/>
      </c>
      <c r="L2788" s="139">
        <f>IFERROR(IF(ISNUMBER(F2788),F2788-IF(ISNUMBER(K2788),K2788,0),""),"")</f>
        <v/>
      </c>
    </row>
    <row r="2789" ht="24" customHeight="1" s="63">
      <c r="E2789" s="139" t="n"/>
      <c r="F2789" s="139" t="n"/>
      <c r="G2789" s="140">
        <f>IFERROR(IF(E2789&gt;0,(F2789/E2789)*1000,""),"")</f>
        <v/>
      </c>
      <c r="H2789" s="139">
        <f>IFERROR(IF(E2789&gt;0,E2789*IF(ISNUMBER(J2789),J2789,IF(C2789="Futures",$C$6,$C$5)),""),"")</f>
        <v/>
      </c>
      <c r="I2789" s="139">
        <f>IFERROR(IF(AND(ISNUMBER(F2789),ISNUMBER(H2789)),F2789-H2789,""),"")</f>
        <v/>
      </c>
      <c r="J2789" s="114" t="n"/>
      <c r="K2789" s="139">
        <f>IFERROR(IF(H2789&gt;0,H2789*$C$7,""),"")</f>
        <v/>
      </c>
      <c r="L2789" s="139">
        <f>IFERROR(IF(ISNUMBER(F2789),F2789-IF(ISNUMBER(K2789),K2789,0),""),"")</f>
        <v/>
      </c>
    </row>
    <row r="2790" ht="24" customHeight="1" s="63">
      <c r="E2790" s="139" t="n"/>
      <c r="F2790" s="139" t="n"/>
      <c r="G2790" s="140">
        <f>IFERROR(IF(E2790&gt;0,(F2790/E2790)*1000,""),"")</f>
        <v/>
      </c>
      <c r="H2790" s="139">
        <f>IFERROR(IF(E2790&gt;0,E2790*IF(ISNUMBER(J2790),J2790,IF(C2790="Futures",$C$6,$C$5)),""),"")</f>
        <v/>
      </c>
      <c r="I2790" s="139">
        <f>IFERROR(IF(AND(ISNUMBER(F2790),ISNUMBER(H2790)),F2790-H2790,""),"")</f>
        <v/>
      </c>
      <c r="J2790" s="114" t="n"/>
      <c r="K2790" s="139">
        <f>IFERROR(IF(H2790&gt;0,H2790*$C$7,""),"")</f>
        <v/>
      </c>
      <c r="L2790" s="139">
        <f>IFERROR(IF(ISNUMBER(F2790),F2790-IF(ISNUMBER(K2790),K2790,0),""),"")</f>
        <v/>
      </c>
    </row>
    <row r="2791" ht="24" customHeight="1" s="63">
      <c r="E2791" s="139" t="n"/>
      <c r="F2791" s="139" t="n"/>
      <c r="G2791" s="140">
        <f>IFERROR(IF(E2791&gt;0,(F2791/E2791)*1000,""),"")</f>
        <v/>
      </c>
      <c r="H2791" s="139">
        <f>IFERROR(IF(E2791&gt;0,E2791*IF(ISNUMBER(J2791),J2791,IF(C2791="Futures",$C$6,$C$5)),""),"")</f>
        <v/>
      </c>
      <c r="I2791" s="139">
        <f>IFERROR(IF(AND(ISNUMBER(F2791),ISNUMBER(H2791)),F2791-H2791,""),"")</f>
        <v/>
      </c>
      <c r="J2791" s="114" t="n"/>
      <c r="K2791" s="139">
        <f>IFERROR(IF(H2791&gt;0,H2791*$C$7,""),"")</f>
        <v/>
      </c>
      <c r="L2791" s="139">
        <f>IFERROR(IF(ISNUMBER(F2791),F2791-IF(ISNUMBER(K2791),K2791,0),""),"")</f>
        <v/>
      </c>
    </row>
    <row r="2792" ht="24" customHeight="1" s="63">
      <c r="E2792" s="139" t="n"/>
      <c r="F2792" s="139" t="n"/>
      <c r="G2792" s="140">
        <f>IFERROR(IF(E2792&gt;0,(F2792/E2792)*1000,""),"")</f>
        <v/>
      </c>
      <c r="H2792" s="139">
        <f>IFERROR(IF(E2792&gt;0,E2792*IF(ISNUMBER(J2792),J2792,IF(C2792="Futures",$C$6,$C$5)),""),"")</f>
        <v/>
      </c>
      <c r="I2792" s="139">
        <f>IFERROR(IF(AND(ISNUMBER(F2792),ISNUMBER(H2792)),F2792-H2792,""),"")</f>
        <v/>
      </c>
      <c r="J2792" s="114" t="n"/>
      <c r="K2792" s="139">
        <f>IFERROR(IF(H2792&gt;0,H2792*$C$7,""),"")</f>
        <v/>
      </c>
      <c r="L2792" s="139">
        <f>IFERROR(IF(ISNUMBER(F2792),F2792-IF(ISNUMBER(K2792),K2792,0),""),"")</f>
        <v/>
      </c>
    </row>
    <row r="2793" ht="24" customHeight="1" s="63">
      <c r="E2793" s="139" t="n"/>
      <c r="F2793" s="139" t="n"/>
      <c r="G2793" s="140">
        <f>IFERROR(IF(E2793&gt;0,(F2793/E2793)*1000,""),"")</f>
        <v/>
      </c>
      <c r="H2793" s="139">
        <f>IFERROR(IF(E2793&gt;0,E2793*IF(ISNUMBER(J2793),J2793,IF(C2793="Futures",$C$6,$C$5)),""),"")</f>
        <v/>
      </c>
      <c r="I2793" s="139">
        <f>IFERROR(IF(AND(ISNUMBER(F2793),ISNUMBER(H2793)),F2793-H2793,""),"")</f>
        <v/>
      </c>
      <c r="J2793" s="114" t="n"/>
      <c r="K2793" s="139">
        <f>IFERROR(IF(H2793&gt;0,H2793*$C$7,""),"")</f>
        <v/>
      </c>
      <c r="L2793" s="139">
        <f>IFERROR(IF(ISNUMBER(F2793),F2793-IF(ISNUMBER(K2793),K2793,0),""),"")</f>
        <v/>
      </c>
    </row>
    <row r="2794" ht="24" customHeight="1" s="63">
      <c r="E2794" s="139" t="n"/>
      <c r="F2794" s="139" t="n"/>
      <c r="G2794" s="140">
        <f>IFERROR(IF(E2794&gt;0,(F2794/E2794)*1000,""),"")</f>
        <v/>
      </c>
      <c r="H2794" s="139">
        <f>IFERROR(IF(E2794&gt;0,E2794*IF(ISNUMBER(J2794),J2794,IF(C2794="Futures",$C$6,$C$5)),""),"")</f>
        <v/>
      </c>
      <c r="I2794" s="139">
        <f>IFERROR(IF(AND(ISNUMBER(F2794),ISNUMBER(H2794)),F2794-H2794,""),"")</f>
        <v/>
      </c>
      <c r="J2794" s="114" t="n"/>
      <c r="K2794" s="139">
        <f>IFERROR(IF(H2794&gt;0,H2794*$C$7,""),"")</f>
        <v/>
      </c>
      <c r="L2794" s="139">
        <f>IFERROR(IF(ISNUMBER(F2794),F2794-IF(ISNUMBER(K2794),K2794,0),""),"")</f>
        <v/>
      </c>
    </row>
    <row r="2795" ht="24" customHeight="1" s="63">
      <c r="E2795" s="139" t="n"/>
      <c r="F2795" s="139" t="n"/>
      <c r="G2795" s="140">
        <f>IFERROR(IF(E2795&gt;0,(F2795/E2795)*1000,""),"")</f>
        <v/>
      </c>
      <c r="H2795" s="139">
        <f>IFERROR(IF(E2795&gt;0,E2795*IF(ISNUMBER(J2795),J2795,IF(C2795="Futures",$C$6,$C$5)),""),"")</f>
        <v/>
      </c>
      <c r="I2795" s="139">
        <f>IFERROR(IF(AND(ISNUMBER(F2795),ISNUMBER(H2795)),F2795-H2795,""),"")</f>
        <v/>
      </c>
      <c r="J2795" s="114" t="n"/>
      <c r="K2795" s="139">
        <f>IFERROR(IF(H2795&gt;0,H2795*$C$7,""),"")</f>
        <v/>
      </c>
      <c r="L2795" s="139">
        <f>IFERROR(IF(ISNUMBER(F2795),F2795-IF(ISNUMBER(K2795),K2795,0),""),"")</f>
        <v/>
      </c>
    </row>
    <row r="2796" ht="24" customHeight="1" s="63">
      <c r="E2796" s="139" t="n"/>
      <c r="F2796" s="139" t="n"/>
      <c r="G2796" s="140">
        <f>IFERROR(IF(E2796&gt;0,(F2796/E2796)*1000,""),"")</f>
        <v/>
      </c>
      <c r="H2796" s="139">
        <f>IFERROR(IF(E2796&gt;0,E2796*IF(ISNUMBER(J2796),J2796,IF(C2796="Futures",$C$6,$C$5)),""),"")</f>
        <v/>
      </c>
      <c r="I2796" s="139">
        <f>IFERROR(IF(AND(ISNUMBER(F2796),ISNUMBER(H2796)),F2796-H2796,""),"")</f>
        <v/>
      </c>
      <c r="J2796" s="114" t="n"/>
      <c r="K2796" s="139">
        <f>IFERROR(IF(H2796&gt;0,H2796*$C$7,""),"")</f>
        <v/>
      </c>
      <c r="L2796" s="139">
        <f>IFERROR(IF(ISNUMBER(F2796),F2796-IF(ISNUMBER(K2796),K2796,0),""),"")</f>
        <v/>
      </c>
    </row>
    <row r="2797" ht="24" customHeight="1" s="63">
      <c r="E2797" s="139" t="n"/>
      <c r="F2797" s="139" t="n"/>
      <c r="G2797" s="140">
        <f>IFERROR(IF(E2797&gt;0,(F2797/E2797)*1000,""),"")</f>
        <v/>
      </c>
      <c r="H2797" s="139">
        <f>IFERROR(IF(E2797&gt;0,E2797*IF(ISNUMBER(J2797),J2797,IF(C2797="Futures",$C$6,$C$5)),""),"")</f>
        <v/>
      </c>
      <c r="I2797" s="139">
        <f>IFERROR(IF(AND(ISNUMBER(F2797),ISNUMBER(H2797)),F2797-H2797,""),"")</f>
        <v/>
      </c>
      <c r="J2797" s="114" t="n"/>
      <c r="K2797" s="139">
        <f>IFERROR(IF(H2797&gt;0,H2797*$C$7,""),"")</f>
        <v/>
      </c>
      <c r="L2797" s="139">
        <f>IFERROR(IF(ISNUMBER(F2797),F2797-IF(ISNUMBER(K2797),K2797,0),""),"")</f>
        <v/>
      </c>
    </row>
    <row r="2798" ht="24" customHeight="1" s="63">
      <c r="E2798" s="139" t="n"/>
      <c r="F2798" s="139" t="n"/>
      <c r="G2798" s="140">
        <f>IFERROR(IF(E2798&gt;0,(F2798/E2798)*1000,""),"")</f>
        <v/>
      </c>
      <c r="H2798" s="139">
        <f>IFERROR(IF(E2798&gt;0,E2798*IF(ISNUMBER(J2798),J2798,IF(C2798="Futures",$C$6,$C$5)),""),"")</f>
        <v/>
      </c>
      <c r="I2798" s="139">
        <f>IFERROR(IF(AND(ISNUMBER(F2798),ISNUMBER(H2798)),F2798-H2798,""),"")</f>
        <v/>
      </c>
      <c r="J2798" s="114" t="n"/>
      <c r="K2798" s="139">
        <f>IFERROR(IF(H2798&gt;0,H2798*$C$7,""),"")</f>
        <v/>
      </c>
      <c r="L2798" s="139">
        <f>IFERROR(IF(ISNUMBER(F2798),F2798-IF(ISNUMBER(K2798),K2798,0),""),"")</f>
        <v/>
      </c>
    </row>
    <row r="2799" ht="24" customHeight="1" s="63">
      <c r="E2799" s="139" t="n"/>
      <c r="F2799" s="139" t="n"/>
      <c r="G2799" s="140">
        <f>IFERROR(IF(E2799&gt;0,(F2799/E2799)*1000,""),"")</f>
        <v/>
      </c>
      <c r="H2799" s="139">
        <f>IFERROR(IF(E2799&gt;0,E2799*IF(ISNUMBER(J2799),J2799,IF(C2799="Futures",$C$6,$C$5)),""),"")</f>
        <v/>
      </c>
      <c r="I2799" s="139">
        <f>IFERROR(IF(AND(ISNUMBER(F2799),ISNUMBER(H2799)),F2799-H2799,""),"")</f>
        <v/>
      </c>
      <c r="J2799" s="114" t="n"/>
      <c r="K2799" s="139">
        <f>IFERROR(IF(H2799&gt;0,H2799*$C$7,""),"")</f>
        <v/>
      </c>
      <c r="L2799" s="139">
        <f>IFERROR(IF(ISNUMBER(F2799),F2799-IF(ISNUMBER(K2799),K2799,0),""),"")</f>
        <v/>
      </c>
    </row>
    <row r="2800" ht="24" customHeight="1" s="63">
      <c r="E2800" s="139" t="n"/>
      <c r="F2800" s="139" t="n"/>
      <c r="G2800" s="140">
        <f>IFERROR(IF(E2800&gt;0,(F2800/E2800)*1000,""),"")</f>
        <v/>
      </c>
      <c r="H2800" s="139">
        <f>IFERROR(IF(E2800&gt;0,E2800*IF(ISNUMBER(J2800),J2800,IF(C2800="Futures",$C$6,$C$5)),""),"")</f>
        <v/>
      </c>
      <c r="I2800" s="139">
        <f>IFERROR(IF(AND(ISNUMBER(F2800),ISNUMBER(H2800)),F2800-H2800,""),"")</f>
        <v/>
      </c>
      <c r="J2800" s="114" t="n"/>
      <c r="K2800" s="139">
        <f>IFERROR(IF(H2800&gt;0,H2800*$C$7,""),"")</f>
        <v/>
      </c>
      <c r="L2800" s="139">
        <f>IFERROR(IF(ISNUMBER(F2800),F2800-IF(ISNUMBER(K2800),K2800,0),""),"")</f>
        <v/>
      </c>
    </row>
    <row r="2801" ht="24" customHeight="1" s="63">
      <c r="E2801" s="139" t="n"/>
      <c r="F2801" s="139" t="n"/>
      <c r="G2801" s="140">
        <f>IFERROR(IF(E2801&gt;0,(F2801/E2801)*1000,""),"")</f>
        <v/>
      </c>
      <c r="H2801" s="139">
        <f>IFERROR(IF(E2801&gt;0,E2801*IF(ISNUMBER(J2801),J2801,IF(C2801="Futures",$C$6,$C$5)),""),"")</f>
        <v/>
      </c>
      <c r="I2801" s="139">
        <f>IFERROR(IF(AND(ISNUMBER(F2801),ISNUMBER(H2801)),F2801-H2801,""),"")</f>
        <v/>
      </c>
      <c r="J2801" s="114" t="n"/>
      <c r="K2801" s="139">
        <f>IFERROR(IF(H2801&gt;0,H2801*$C$7,""),"")</f>
        <v/>
      </c>
      <c r="L2801" s="139">
        <f>IFERROR(IF(ISNUMBER(F2801),F2801-IF(ISNUMBER(K2801),K2801,0),""),"")</f>
        <v/>
      </c>
    </row>
    <row r="2802" ht="24" customHeight="1" s="63">
      <c r="E2802" s="139" t="n"/>
      <c r="F2802" s="139" t="n"/>
      <c r="G2802" s="140">
        <f>IFERROR(IF(E2802&gt;0,(F2802/E2802)*1000,""),"")</f>
        <v/>
      </c>
      <c r="H2802" s="139">
        <f>IFERROR(IF(E2802&gt;0,E2802*IF(ISNUMBER(J2802),J2802,IF(C2802="Futures",$C$6,$C$5)),""),"")</f>
        <v/>
      </c>
      <c r="I2802" s="139">
        <f>IFERROR(IF(AND(ISNUMBER(F2802),ISNUMBER(H2802)),F2802-H2802,""),"")</f>
        <v/>
      </c>
      <c r="J2802" s="114" t="n"/>
      <c r="K2802" s="139">
        <f>IFERROR(IF(H2802&gt;0,H2802*$C$7,""),"")</f>
        <v/>
      </c>
      <c r="L2802" s="139">
        <f>IFERROR(IF(ISNUMBER(F2802),F2802-IF(ISNUMBER(K2802),K2802,0),""),"")</f>
        <v/>
      </c>
    </row>
    <row r="2803" ht="24" customHeight="1" s="63">
      <c r="E2803" s="139" t="n"/>
      <c r="F2803" s="139" t="n"/>
      <c r="G2803" s="140">
        <f>IFERROR(IF(E2803&gt;0,(F2803/E2803)*1000,""),"")</f>
        <v/>
      </c>
      <c r="H2803" s="139">
        <f>IFERROR(IF(E2803&gt;0,E2803*IF(ISNUMBER(J2803),J2803,IF(C2803="Futures",$C$6,$C$5)),""),"")</f>
        <v/>
      </c>
      <c r="I2803" s="139">
        <f>IFERROR(IF(AND(ISNUMBER(F2803),ISNUMBER(H2803)),F2803-H2803,""),"")</f>
        <v/>
      </c>
      <c r="J2803" s="114" t="n"/>
      <c r="K2803" s="139">
        <f>IFERROR(IF(H2803&gt;0,H2803*$C$7,""),"")</f>
        <v/>
      </c>
      <c r="L2803" s="139">
        <f>IFERROR(IF(ISNUMBER(F2803),F2803-IF(ISNUMBER(K2803),K2803,0),""),"")</f>
        <v/>
      </c>
    </row>
    <row r="2804" ht="24" customHeight="1" s="63">
      <c r="E2804" s="139" t="n"/>
      <c r="F2804" s="139" t="n"/>
      <c r="G2804" s="140">
        <f>IFERROR(IF(E2804&gt;0,(F2804/E2804)*1000,""),"")</f>
        <v/>
      </c>
      <c r="H2804" s="139">
        <f>IFERROR(IF(E2804&gt;0,E2804*IF(ISNUMBER(J2804),J2804,IF(C2804="Futures",$C$6,$C$5)),""),"")</f>
        <v/>
      </c>
      <c r="I2804" s="139">
        <f>IFERROR(IF(AND(ISNUMBER(F2804),ISNUMBER(H2804)),F2804-H2804,""),"")</f>
        <v/>
      </c>
      <c r="J2804" s="114" t="n"/>
      <c r="K2804" s="139">
        <f>IFERROR(IF(H2804&gt;0,H2804*$C$7,""),"")</f>
        <v/>
      </c>
      <c r="L2804" s="139">
        <f>IFERROR(IF(ISNUMBER(F2804),F2804-IF(ISNUMBER(K2804),K2804,0),""),"")</f>
        <v/>
      </c>
    </row>
    <row r="2805" ht="24" customHeight="1" s="63">
      <c r="E2805" s="139" t="n"/>
      <c r="F2805" s="139" t="n"/>
      <c r="G2805" s="140">
        <f>IFERROR(IF(E2805&gt;0,(F2805/E2805)*1000,""),"")</f>
        <v/>
      </c>
      <c r="H2805" s="139">
        <f>IFERROR(IF(E2805&gt;0,E2805*IF(ISNUMBER(J2805),J2805,IF(C2805="Futures",$C$6,$C$5)),""),"")</f>
        <v/>
      </c>
      <c r="I2805" s="139">
        <f>IFERROR(IF(AND(ISNUMBER(F2805),ISNUMBER(H2805)),F2805-H2805,""),"")</f>
        <v/>
      </c>
      <c r="J2805" s="114" t="n"/>
      <c r="K2805" s="139">
        <f>IFERROR(IF(H2805&gt;0,H2805*$C$7,""),"")</f>
        <v/>
      </c>
      <c r="L2805" s="139">
        <f>IFERROR(IF(ISNUMBER(F2805),F2805-IF(ISNUMBER(K2805),K2805,0),""),"")</f>
        <v/>
      </c>
    </row>
    <row r="2806" ht="24" customHeight="1" s="63">
      <c r="E2806" s="139" t="n"/>
      <c r="F2806" s="139" t="n"/>
      <c r="G2806" s="140">
        <f>IFERROR(IF(E2806&gt;0,(F2806/E2806)*1000,""),"")</f>
        <v/>
      </c>
      <c r="H2806" s="139">
        <f>IFERROR(IF(E2806&gt;0,E2806*IF(ISNUMBER(J2806),J2806,IF(C2806="Futures",$C$6,$C$5)),""),"")</f>
        <v/>
      </c>
      <c r="I2806" s="139">
        <f>IFERROR(IF(AND(ISNUMBER(F2806),ISNUMBER(H2806)),F2806-H2806,""),"")</f>
        <v/>
      </c>
      <c r="J2806" s="114" t="n"/>
      <c r="K2806" s="139">
        <f>IFERROR(IF(H2806&gt;0,H2806*$C$7,""),"")</f>
        <v/>
      </c>
      <c r="L2806" s="139">
        <f>IFERROR(IF(ISNUMBER(F2806),F2806-IF(ISNUMBER(K2806),K2806,0),""),"")</f>
        <v/>
      </c>
    </row>
    <row r="2807" ht="24" customHeight="1" s="63">
      <c r="E2807" s="139" t="n"/>
      <c r="F2807" s="139" t="n"/>
      <c r="G2807" s="140">
        <f>IFERROR(IF(E2807&gt;0,(F2807/E2807)*1000,""),"")</f>
        <v/>
      </c>
      <c r="H2807" s="139">
        <f>IFERROR(IF(E2807&gt;0,E2807*IF(ISNUMBER(J2807),J2807,IF(C2807="Futures",$C$6,$C$5)),""),"")</f>
        <v/>
      </c>
      <c r="I2807" s="139">
        <f>IFERROR(IF(AND(ISNUMBER(F2807),ISNUMBER(H2807)),F2807-H2807,""),"")</f>
        <v/>
      </c>
      <c r="J2807" s="114" t="n"/>
      <c r="K2807" s="139">
        <f>IFERROR(IF(H2807&gt;0,H2807*$C$7,""),"")</f>
        <v/>
      </c>
      <c r="L2807" s="139">
        <f>IFERROR(IF(ISNUMBER(F2807),F2807-IF(ISNUMBER(K2807),K2807,0),""),"")</f>
        <v/>
      </c>
    </row>
    <row r="2808" ht="24" customHeight="1" s="63">
      <c r="E2808" s="139" t="n"/>
      <c r="F2808" s="139" t="n"/>
      <c r="G2808" s="140">
        <f>IFERROR(IF(E2808&gt;0,(F2808/E2808)*1000,""),"")</f>
        <v/>
      </c>
      <c r="H2808" s="139">
        <f>IFERROR(IF(E2808&gt;0,E2808*IF(ISNUMBER(J2808),J2808,IF(C2808="Futures",$C$6,$C$5)),""),"")</f>
        <v/>
      </c>
      <c r="I2808" s="139">
        <f>IFERROR(IF(AND(ISNUMBER(F2808),ISNUMBER(H2808)),F2808-H2808,""),"")</f>
        <v/>
      </c>
      <c r="J2808" s="114" t="n"/>
      <c r="K2808" s="139">
        <f>IFERROR(IF(H2808&gt;0,H2808*$C$7,""),"")</f>
        <v/>
      </c>
      <c r="L2808" s="139">
        <f>IFERROR(IF(ISNUMBER(F2808),F2808-IF(ISNUMBER(K2808),K2808,0),""),"")</f>
        <v/>
      </c>
    </row>
    <row r="2809" ht="24" customHeight="1" s="63">
      <c r="E2809" s="139" t="n"/>
      <c r="F2809" s="139" t="n"/>
      <c r="G2809" s="140">
        <f>IFERROR(IF(E2809&gt;0,(F2809/E2809)*1000,""),"")</f>
        <v/>
      </c>
      <c r="H2809" s="139">
        <f>IFERROR(IF(E2809&gt;0,E2809*IF(ISNUMBER(J2809),J2809,IF(C2809="Futures",$C$6,$C$5)),""),"")</f>
        <v/>
      </c>
      <c r="I2809" s="139">
        <f>IFERROR(IF(AND(ISNUMBER(F2809),ISNUMBER(H2809)),F2809-H2809,""),"")</f>
        <v/>
      </c>
      <c r="J2809" s="114" t="n"/>
      <c r="K2809" s="139">
        <f>IFERROR(IF(H2809&gt;0,H2809*$C$7,""),"")</f>
        <v/>
      </c>
      <c r="L2809" s="139">
        <f>IFERROR(IF(ISNUMBER(F2809),F2809-IF(ISNUMBER(K2809),K2809,0),""),"")</f>
        <v/>
      </c>
    </row>
    <row r="2810" ht="24" customHeight="1" s="63">
      <c r="E2810" s="139" t="n"/>
      <c r="F2810" s="139" t="n"/>
      <c r="G2810" s="140">
        <f>IFERROR(IF(E2810&gt;0,(F2810/E2810)*1000,""),"")</f>
        <v/>
      </c>
      <c r="H2810" s="139">
        <f>IFERROR(IF(E2810&gt;0,E2810*IF(ISNUMBER(J2810),J2810,IF(C2810="Futures",$C$6,$C$5)),""),"")</f>
        <v/>
      </c>
      <c r="I2810" s="139">
        <f>IFERROR(IF(AND(ISNUMBER(F2810),ISNUMBER(H2810)),F2810-H2810,""),"")</f>
        <v/>
      </c>
      <c r="J2810" s="114" t="n"/>
      <c r="K2810" s="139">
        <f>IFERROR(IF(H2810&gt;0,H2810*$C$7,""),"")</f>
        <v/>
      </c>
      <c r="L2810" s="139">
        <f>IFERROR(IF(ISNUMBER(F2810),F2810-IF(ISNUMBER(K2810),K2810,0),""),"")</f>
        <v/>
      </c>
    </row>
    <row r="2811" ht="24" customHeight="1" s="63">
      <c r="E2811" s="139" t="n"/>
      <c r="F2811" s="139" t="n"/>
      <c r="G2811" s="140">
        <f>IFERROR(IF(E2811&gt;0,(F2811/E2811)*1000,""),"")</f>
        <v/>
      </c>
      <c r="H2811" s="139">
        <f>IFERROR(IF(E2811&gt;0,E2811*IF(ISNUMBER(J2811),J2811,IF(C2811="Futures",$C$6,$C$5)),""),"")</f>
        <v/>
      </c>
      <c r="I2811" s="139">
        <f>IFERROR(IF(AND(ISNUMBER(F2811),ISNUMBER(H2811)),F2811-H2811,""),"")</f>
        <v/>
      </c>
      <c r="J2811" s="114" t="n"/>
      <c r="K2811" s="139">
        <f>IFERROR(IF(H2811&gt;0,H2811*$C$7,""),"")</f>
        <v/>
      </c>
      <c r="L2811" s="139">
        <f>IFERROR(IF(ISNUMBER(F2811),F2811-IF(ISNUMBER(K2811),K2811,0),""),"")</f>
        <v/>
      </c>
    </row>
    <row r="2812" ht="24" customHeight="1" s="63">
      <c r="E2812" s="139" t="n"/>
      <c r="F2812" s="139" t="n"/>
      <c r="G2812" s="140">
        <f>IFERROR(IF(E2812&gt;0,(F2812/E2812)*1000,""),"")</f>
        <v/>
      </c>
      <c r="H2812" s="139">
        <f>IFERROR(IF(E2812&gt;0,E2812*IF(ISNUMBER(J2812),J2812,IF(C2812="Futures",$C$6,$C$5)),""),"")</f>
        <v/>
      </c>
      <c r="I2812" s="139">
        <f>IFERROR(IF(AND(ISNUMBER(F2812),ISNUMBER(H2812)),F2812-H2812,""),"")</f>
        <v/>
      </c>
      <c r="J2812" s="114" t="n"/>
      <c r="K2812" s="139">
        <f>IFERROR(IF(H2812&gt;0,H2812*$C$7,""),"")</f>
        <v/>
      </c>
      <c r="L2812" s="139">
        <f>IFERROR(IF(ISNUMBER(F2812),F2812-IF(ISNUMBER(K2812),K2812,0),""),"")</f>
        <v/>
      </c>
    </row>
    <row r="2813" ht="24" customHeight="1" s="63">
      <c r="E2813" s="139" t="n"/>
      <c r="F2813" s="139" t="n"/>
      <c r="G2813" s="140">
        <f>IFERROR(IF(E2813&gt;0,(F2813/E2813)*1000,""),"")</f>
        <v/>
      </c>
      <c r="H2813" s="139">
        <f>IFERROR(IF(E2813&gt;0,E2813*IF(ISNUMBER(J2813),J2813,IF(C2813="Futures",$C$6,$C$5)),""),"")</f>
        <v/>
      </c>
      <c r="I2813" s="139">
        <f>IFERROR(IF(AND(ISNUMBER(F2813),ISNUMBER(H2813)),F2813-H2813,""),"")</f>
        <v/>
      </c>
      <c r="J2813" s="114" t="n"/>
      <c r="K2813" s="139">
        <f>IFERROR(IF(H2813&gt;0,H2813*$C$7,""),"")</f>
        <v/>
      </c>
      <c r="L2813" s="139">
        <f>IFERROR(IF(ISNUMBER(F2813),F2813-IF(ISNUMBER(K2813),K2813,0),""),"")</f>
        <v/>
      </c>
    </row>
    <row r="2814" ht="24" customHeight="1" s="63">
      <c r="E2814" s="139" t="n"/>
      <c r="F2814" s="139" t="n"/>
      <c r="G2814" s="140">
        <f>IFERROR(IF(E2814&gt;0,(F2814/E2814)*1000,""),"")</f>
        <v/>
      </c>
      <c r="H2814" s="139">
        <f>IFERROR(IF(E2814&gt;0,E2814*IF(ISNUMBER(J2814),J2814,IF(C2814="Futures",$C$6,$C$5)),""),"")</f>
        <v/>
      </c>
      <c r="I2814" s="139">
        <f>IFERROR(IF(AND(ISNUMBER(F2814),ISNUMBER(H2814)),F2814-H2814,""),"")</f>
        <v/>
      </c>
      <c r="J2814" s="114" t="n"/>
      <c r="K2814" s="139">
        <f>IFERROR(IF(H2814&gt;0,H2814*$C$7,""),"")</f>
        <v/>
      </c>
      <c r="L2814" s="139">
        <f>IFERROR(IF(ISNUMBER(F2814),F2814-IF(ISNUMBER(K2814),K2814,0),""),"")</f>
        <v/>
      </c>
    </row>
    <row r="2815" ht="24" customHeight="1" s="63">
      <c r="E2815" s="139" t="n"/>
      <c r="F2815" s="139" t="n"/>
      <c r="G2815" s="140">
        <f>IFERROR(IF(E2815&gt;0,(F2815/E2815)*1000,""),"")</f>
        <v/>
      </c>
      <c r="H2815" s="139">
        <f>IFERROR(IF(E2815&gt;0,E2815*IF(ISNUMBER(J2815),J2815,IF(C2815="Futures",$C$6,$C$5)),""),"")</f>
        <v/>
      </c>
      <c r="I2815" s="139">
        <f>IFERROR(IF(AND(ISNUMBER(F2815),ISNUMBER(H2815)),F2815-H2815,""),"")</f>
        <v/>
      </c>
      <c r="J2815" s="114" t="n"/>
      <c r="K2815" s="139">
        <f>IFERROR(IF(H2815&gt;0,H2815*$C$7,""),"")</f>
        <v/>
      </c>
      <c r="L2815" s="139">
        <f>IFERROR(IF(ISNUMBER(F2815),F2815-IF(ISNUMBER(K2815),K2815,0),""),"")</f>
        <v/>
      </c>
    </row>
    <row r="2816" ht="24" customHeight="1" s="63">
      <c r="E2816" s="139" t="n"/>
      <c r="F2816" s="139" t="n"/>
      <c r="G2816" s="140">
        <f>IFERROR(IF(E2816&gt;0,(F2816/E2816)*1000,""),"")</f>
        <v/>
      </c>
      <c r="H2816" s="139">
        <f>IFERROR(IF(E2816&gt;0,E2816*IF(ISNUMBER(J2816),J2816,IF(C2816="Futures",$C$6,$C$5)),""),"")</f>
        <v/>
      </c>
      <c r="I2816" s="139">
        <f>IFERROR(IF(AND(ISNUMBER(F2816),ISNUMBER(H2816)),F2816-H2816,""),"")</f>
        <v/>
      </c>
      <c r="J2816" s="114" t="n"/>
      <c r="K2816" s="139">
        <f>IFERROR(IF(H2816&gt;0,H2816*$C$7,""),"")</f>
        <v/>
      </c>
      <c r="L2816" s="139">
        <f>IFERROR(IF(ISNUMBER(F2816),F2816-IF(ISNUMBER(K2816),K2816,0),""),"")</f>
        <v/>
      </c>
    </row>
    <row r="2817" ht="24" customHeight="1" s="63">
      <c r="E2817" s="139" t="n"/>
      <c r="F2817" s="139" t="n"/>
      <c r="G2817" s="140">
        <f>IFERROR(IF(E2817&gt;0,(F2817/E2817)*1000,""),"")</f>
        <v/>
      </c>
      <c r="H2817" s="139">
        <f>IFERROR(IF(E2817&gt;0,E2817*IF(ISNUMBER(J2817),J2817,IF(C2817="Futures",$C$6,$C$5)),""),"")</f>
        <v/>
      </c>
      <c r="I2817" s="139">
        <f>IFERROR(IF(AND(ISNUMBER(F2817),ISNUMBER(H2817)),F2817-H2817,""),"")</f>
        <v/>
      </c>
      <c r="J2817" s="114" t="n"/>
      <c r="K2817" s="139">
        <f>IFERROR(IF(H2817&gt;0,H2817*$C$7,""),"")</f>
        <v/>
      </c>
      <c r="L2817" s="139">
        <f>IFERROR(IF(ISNUMBER(F2817),F2817-IF(ISNUMBER(K2817),K2817,0),""),"")</f>
        <v/>
      </c>
    </row>
    <row r="2818" ht="24" customHeight="1" s="63">
      <c r="E2818" s="139" t="n"/>
      <c r="F2818" s="139" t="n"/>
      <c r="G2818" s="140">
        <f>IFERROR(IF(E2818&gt;0,(F2818/E2818)*1000,""),"")</f>
        <v/>
      </c>
      <c r="H2818" s="139">
        <f>IFERROR(IF(E2818&gt;0,E2818*IF(ISNUMBER(J2818),J2818,IF(C2818="Futures",$C$6,$C$5)),""),"")</f>
        <v/>
      </c>
      <c r="I2818" s="139">
        <f>IFERROR(IF(AND(ISNUMBER(F2818),ISNUMBER(H2818)),F2818-H2818,""),"")</f>
        <v/>
      </c>
      <c r="J2818" s="114" t="n"/>
      <c r="K2818" s="139">
        <f>IFERROR(IF(H2818&gt;0,H2818*$C$7,""),"")</f>
        <v/>
      </c>
      <c r="L2818" s="139">
        <f>IFERROR(IF(ISNUMBER(F2818),F2818-IF(ISNUMBER(K2818),K2818,0),""),"")</f>
        <v/>
      </c>
    </row>
    <row r="2819" ht="24" customHeight="1" s="63">
      <c r="E2819" s="139" t="n"/>
      <c r="F2819" s="139" t="n"/>
      <c r="G2819" s="140">
        <f>IFERROR(IF(E2819&gt;0,(F2819/E2819)*1000,""),"")</f>
        <v/>
      </c>
      <c r="H2819" s="139">
        <f>IFERROR(IF(E2819&gt;0,E2819*IF(ISNUMBER(J2819),J2819,IF(C2819="Futures",$C$6,$C$5)),""),"")</f>
        <v/>
      </c>
      <c r="I2819" s="139">
        <f>IFERROR(IF(AND(ISNUMBER(F2819),ISNUMBER(H2819)),F2819-H2819,""),"")</f>
        <v/>
      </c>
      <c r="J2819" s="114" t="n"/>
      <c r="K2819" s="139">
        <f>IFERROR(IF(H2819&gt;0,H2819*$C$7,""),"")</f>
        <v/>
      </c>
      <c r="L2819" s="139">
        <f>IFERROR(IF(ISNUMBER(F2819),F2819-IF(ISNUMBER(K2819),K2819,0),""),"")</f>
        <v/>
      </c>
    </row>
    <row r="2820" ht="24" customHeight="1" s="63">
      <c r="E2820" s="139" t="n"/>
      <c r="F2820" s="139" t="n"/>
      <c r="G2820" s="140">
        <f>IFERROR(IF(E2820&gt;0,(F2820/E2820)*1000,""),"")</f>
        <v/>
      </c>
      <c r="H2820" s="139">
        <f>IFERROR(IF(E2820&gt;0,E2820*IF(ISNUMBER(J2820),J2820,IF(C2820="Futures",$C$6,$C$5)),""),"")</f>
        <v/>
      </c>
      <c r="I2820" s="139">
        <f>IFERROR(IF(AND(ISNUMBER(F2820),ISNUMBER(H2820)),F2820-H2820,""),"")</f>
        <v/>
      </c>
      <c r="J2820" s="114" t="n"/>
      <c r="K2820" s="139">
        <f>IFERROR(IF(H2820&gt;0,H2820*$C$7,""),"")</f>
        <v/>
      </c>
      <c r="L2820" s="139">
        <f>IFERROR(IF(ISNUMBER(F2820),F2820-IF(ISNUMBER(K2820),K2820,0),""),"")</f>
        <v/>
      </c>
    </row>
    <row r="2821" ht="24" customHeight="1" s="63">
      <c r="E2821" s="139" t="n"/>
      <c r="F2821" s="139" t="n"/>
      <c r="G2821" s="140">
        <f>IFERROR(IF(E2821&gt;0,(F2821/E2821)*1000,""),"")</f>
        <v/>
      </c>
      <c r="H2821" s="139">
        <f>IFERROR(IF(E2821&gt;0,E2821*IF(ISNUMBER(J2821),J2821,IF(C2821="Futures",$C$6,$C$5)),""),"")</f>
        <v/>
      </c>
      <c r="I2821" s="139">
        <f>IFERROR(IF(AND(ISNUMBER(F2821),ISNUMBER(H2821)),F2821-H2821,""),"")</f>
        <v/>
      </c>
      <c r="J2821" s="114" t="n"/>
      <c r="K2821" s="139">
        <f>IFERROR(IF(H2821&gt;0,H2821*$C$7,""),"")</f>
        <v/>
      </c>
      <c r="L2821" s="139">
        <f>IFERROR(IF(ISNUMBER(F2821),F2821-IF(ISNUMBER(K2821),K2821,0),""),"")</f>
        <v/>
      </c>
    </row>
    <row r="2822" ht="24" customHeight="1" s="63">
      <c r="E2822" s="139" t="n"/>
      <c r="F2822" s="139" t="n"/>
      <c r="G2822" s="140">
        <f>IFERROR(IF(E2822&gt;0,(F2822/E2822)*1000,""),"")</f>
        <v/>
      </c>
      <c r="H2822" s="139">
        <f>IFERROR(IF(E2822&gt;0,E2822*IF(ISNUMBER(J2822),J2822,IF(C2822="Futures",$C$6,$C$5)),""),"")</f>
        <v/>
      </c>
      <c r="I2822" s="139">
        <f>IFERROR(IF(AND(ISNUMBER(F2822),ISNUMBER(H2822)),F2822-H2822,""),"")</f>
        <v/>
      </c>
      <c r="J2822" s="114" t="n"/>
      <c r="K2822" s="139">
        <f>IFERROR(IF(H2822&gt;0,H2822*$C$7,""),"")</f>
        <v/>
      </c>
      <c r="L2822" s="139">
        <f>IFERROR(IF(ISNUMBER(F2822),F2822-IF(ISNUMBER(K2822),K2822,0),""),"")</f>
        <v/>
      </c>
    </row>
    <row r="2823" ht="24" customHeight="1" s="63">
      <c r="E2823" s="139" t="n"/>
      <c r="F2823" s="139" t="n"/>
      <c r="G2823" s="140">
        <f>IFERROR(IF(E2823&gt;0,(F2823/E2823)*1000,""),"")</f>
        <v/>
      </c>
      <c r="H2823" s="139">
        <f>IFERROR(IF(E2823&gt;0,E2823*IF(ISNUMBER(J2823),J2823,IF(C2823="Futures",$C$6,$C$5)),""),"")</f>
        <v/>
      </c>
      <c r="I2823" s="139">
        <f>IFERROR(IF(AND(ISNUMBER(F2823),ISNUMBER(H2823)),F2823-H2823,""),"")</f>
        <v/>
      </c>
      <c r="J2823" s="114" t="n"/>
      <c r="K2823" s="139">
        <f>IFERROR(IF(H2823&gt;0,H2823*$C$7,""),"")</f>
        <v/>
      </c>
      <c r="L2823" s="139">
        <f>IFERROR(IF(ISNUMBER(F2823),F2823-IF(ISNUMBER(K2823),K2823,0),""),"")</f>
        <v/>
      </c>
    </row>
    <row r="2824" ht="24" customHeight="1" s="63">
      <c r="E2824" s="139" t="n"/>
      <c r="F2824" s="139" t="n"/>
      <c r="G2824" s="140">
        <f>IFERROR(IF(E2824&gt;0,(F2824/E2824)*1000,""),"")</f>
        <v/>
      </c>
      <c r="H2824" s="139">
        <f>IFERROR(IF(E2824&gt;0,E2824*IF(ISNUMBER(J2824),J2824,IF(C2824="Futures",$C$6,$C$5)),""),"")</f>
        <v/>
      </c>
      <c r="I2824" s="139">
        <f>IFERROR(IF(AND(ISNUMBER(F2824),ISNUMBER(H2824)),F2824-H2824,""),"")</f>
        <v/>
      </c>
      <c r="J2824" s="114" t="n"/>
      <c r="K2824" s="139">
        <f>IFERROR(IF(H2824&gt;0,H2824*$C$7,""),"")</f>
        <v/>
      </c>
      <c r="L2824" s="139">
        <f>IFERROR(IF(ISNUMBER(F2824),F2824-IF(ISNUMBER(K2824),K2824,0),""),"")</f>
        <v/>
      </c>
    </row>
    <row r="2825" ht="24" customHeight="1" s="63">
      <c r="E2825" s="139" t="n"/>
      <c r="F2825" s="139" t="n"/>
      <c r="G2825" s="140">
        <f>IFERROR(IF(E2825&gt;0,(F2825/E2825)*1000,""),"")</f>
        <v/>
      </c>
      <c r="H2825" s="139">
        <f>IFERROR(IF(E2825&gt;0,E2825*IF(ISNUMBER(J2825),J2825,IF(C2825="Futures",$C$6,$C$5)),""),"")</f>
        <v/>
      </c>
      <c r="I2825" s="139">
        <f>IFERROR(IF(AND(ISNUMBER(F2825),ISNUMBER(H2825)),F2825-H2825,""),"")</f>
        <v/>
      </c>
      <c r="J2825" s="114" t="n"/>
      <c r="K2825" s="139">
        <f>IFERROR(IF(H2825&gt;0,H2825*$C$7,""),"")</f>
        <v/>
      </c>
      <c r="L2825" s="139">
        <f>IFERROR(IF(ISNUMBER(F2825),F2825-IF(ISNUMBER(K2825),K2825,0),""),"")</f>
        <v/>
      </c>
    </row>
    <row r="2826" ht="24" customHeight="1" s="63">
      <c r="E2826" s="139" t="n"/>
      <c r="F2826" s="139" t="n"/>
      <c r="G2826" s="140">
        <f>IFERROR(IF(E2826&gt;0,(F2826/E2826)*1000,""),"")</f>
        <v/>
      </c>
      <c r="H2826" s="139">
        <f>IFERROR(IF(E2826&gt;0,E2826*IF(ISNUMBER(J2826),J2826,IF(C2826="Futures",$C$6,$C$5)),""),"")</f>
        <v/>
      </c>
      <c r="I2826" s="139">
        <f>IFERROR(IF(AND(ISNUMBER(F2826),ISNUMBER(H2826)),F2826-H2826,""),"")</f>
        <v/>
      </c>
      <c r="J2826" s="114" t="n"/>
      <c r="K2826" s="139">
        <f>IFERROR(IF(H2826&gt;0,H2826*$C$7,""),"")</f>
        <v/>
      </c>
      <c r="L2826" s="139">
        <f>IFERROR(IF(ISNUMBER(F2826),F2826-IF(ISNUMBER(K2826),K2826,0),""),"")</f>
        <v/>
      </c>
    </row>
    <row r="2827" ht="24" customHeight="1" s="63">
      <c r="E2827" s="139" t="n"/>
      <c r="F2827" s="139" t="n"/>
      <c r="G2827" s="140">
        <f>IFERROR(IF(E2827&gt;0,(F2827/E2827)*1000,""),"")</f>
        <v/>
      </c>
      <c r="H2827" s="139">
        <f>IFERROR(IF(E2827&gt;0,E2827*IF(ISNUMBER(J2827),J2827,IF(C2827="Futures",$C$6,$C$5)),""),"")</f>
        <v/>
      </c>
      <c r="I2827" s="139">
        <f>IFERROR(IF(AND(ISNUMBER(F2827),ISNUMBER(H2827)),F2827-H2827,""),"")</f>
        <v/>
      </c>
      <c r="J2827" s="114" t="n"/>
      <c r="K2827" s="139">
        <f>IFERROR(IF(H2827&gt;0,H2827*$C$7,""),"")</f>
        <v/>
      </c>
      <c r="L2827" s="139">
        <f>IFERROR(IF(ISNUMBER(F2827),F2827-IF(ISNUMBER(K2827),K2827,0),""),"")</f>
        <v/>
      </c>
    </row>
    <row r="2828" ht="24" customHeight="1" s="63">
      <c r="E2828" s="139" t="n"/>
      <c r="F2828" s="139" t="n"/>
      <c r="G2828" s="140">
        <f>IFERROR(IF(E2828&gt;0,(F2828/E2828)*1000,""),"")</f>
        <v/>
      </c>
      <c r="H2828" s="139">
        <f>IFERROR(IF(E2828&gt;0,E2828*IF(ISNUMBER(J2828),J2828,IF(C2828="Futures",$C$6,$C$5)),""),"")</f>
        <v/>
      </c>
      <c r="I2828" s="139">
        <f>IFERROR(IF(AND(ISNUMBER(F2828),ISNUMBER(H2828)),F2828-H2828,""),"")</f>
        <v/>
      </c>
      <c r="J2828" s="114" t="n"/>
      <c r="K2828" s="139">
        <f>IFERROR(IF(H2828&gt;0,H2828*$C$7,""),"")</f>
        <v/>
      </c>
      <c r="L2828" s="139">
        <f>IFERROR(IF(ISNUMBER(F2828),F2828-IF(ISNUMBER(K2828),K2828,0),""),"")</f>
        <v/>
      </c>
    </row>
    <row r="2829" ht="24" customHeight="1" s="63">
      <c r="E2829" s="139" t="n"/>
      <c r="F2829" s="139" t="n"/>
      <c r="G2829" s="140">
        <f>IFERROR(IF(E2829&gt;0,(F2829/E2829)*1000,""),"")</f>
        <v/>
      </c>
      <c r="H2829" s="139">
        <f>IFERROR(IF(E2829&gt;0,E2829*IF(ISNUMBER(J2829),J2829,IF(C2829="Futures",$C$6,$C$5)),""),"")</f>
        <v/>
      </c>
      <c r="I2829" s="139">
        <f>IFERROR(IF(AND(ISNUMBER(F2829),ISNUMBER(H2829)),F2829-H2829,""),"")</f>
        <v/>
      </c>
      <c r="J2829" s="114" t="n"/>
      <c r="K2829" s="139">
        <f>IFERROR(IF(H2829&gt;0,H2829*$C$7,""),"")</f>
        <v/>
      </c>
      <c r="L2829" s="139">
        <f>IFERROR(IF(ISNUMBER(F2829),F2829-IF(ISNUMBER(K2829),K2829,0),""),"")</f>
        <v/>
      </c>
    </row>
    <row r="2830" ht="24" customHeight="1" s="63">
      <c r="E2830" s="139" t="n"/>
      <c r="F2830" s="139" t="n"/>
      <c r="G2830" s="140">
        <f>IFERROR(IF(E2830&gt;0,(F2830/E2830)*1000,""),"")</f>
        <v/>
      </c>
      <c r="H2830" s="139">
        <f>IFERROR(IF(E2830&gt;0,E2830*IF(ISNUMBER(J2830),J2830,IF(C2830="Futures",$C$6,$C$5)),""),"")</f>
        <v/>
      </c>
      <c r="I2830" s="139">
        <f>IFERROR(IF(AND(ISNUMBER(F2830),ISNUMBER(H2830)),F2830-H2830,""),"")</f>
        <v/>
      </c>
      <c r="J2830" s="114" t="n"/>
      <c r="K2830" s="139">
        <f>IFERROR(IF(H2830&gt;0,H2830*$C$7,""),"")</f>
        <v/>
      </c>
      <c r="L2830" s="139">
        <f>IFERROR(IF(ISNUMBER(F2830),F2830-IF(ISNUMBER(K2830),K2830,0),""),"")</f>
        <v/>
      </c>
    </row>
    <row r="2831" ht="24" customHeight="1" s="63">
      <c r="E2831" s="139" t="n"/>
      <c r="F2831" s="139" t="n"/>
      <c r="G2831" s="140">
        <f>IFERROR(IF(E2831&gt;0,(F2831/E2831)*1000,""),"")</f>
        <v/>
      </c>
      <c r="H2831" s="139">
        <f>IFERROR(IF(E2831&gt;0,E2831*IF(ISNUMBER(J2831),J2831,IF(C2831="Futures",$C$6,$C$5)),""),"")</f>
        <v/>
      </c>
      <c r="I2831" s="139">
        <f>IFERROR(IF(AND(ISNUMBER(F2831),ISNUMBER(H2831)),F2831-H2831,""),"")</f>
        <v/>
      </c>
      <c r="J2831" s="114" t="n"/>
      <c r="K2831" s="139">
        <f>IFERROR(IF(H2831&gt;0,H2831*$C$7,""),"")</f>
        <v/>
      </c>
      <c r="L2831" s="139">
        <f>IFERROR(IF(ISNUMBER(F2831),F2831-IF(ISNUMBER(K2831),K2831,0),""),"")</f>
        <v/>
      </c>
    </row>
    <row r="2832" ht="24" customHeight="1" s="63">
      <c r="E2832" s="139" t="n"/>
      <c r="F2832" s="139" t="n"/>
      <c r="G2832" s="140">
        <f>IFERROR(IF(E2832&gt;0,(F2832/E2832)*1000,""),"")</f>
        <v/>
      </c>
      <c r="H2832" s="139">
        <f>IFERROR(IF(E2832&gt;0,E2832*IF(ISNUMBER(J2832),J2832,IF(C2832="Futures",$C$6,$C$5)),""),"")</f>
        <v/>
      </c>
      <c r="I2832" s="139">
        <f>IFERROR(IF(AND(ISNUMBER(F2832),ISNUMBER(H2832)),F2832-H2832,""),"")</f>
        <v/>
      </c>
      <c r="J2832" s="114" t="n"/>
      <c r="K2832" s="139">
        <f>IFERROR(IF(H2832&gt;0,H2832*$C$7,""),"")</f>
        <v/>
      </c>
      <c r="L2832" s="139">
        <f>IFERROR(IF(ISNUMBER(F2832),F2832-IF(ISNUMBER(K2832),K2832,0),""),"")</f>
        <v/>
      </c>
    </row>
    <row r="2833" ht="24" customHeight="1" s="63">
      <c r="E2833" s="139" t="n"/>
      <c r="F2833" s="139" t="n"/>
      <c r="G2833" s="140">
        <f>IFERROR(IF(E2833&gt;0,(F2833/E2833)*1000,""),"")</f>
        <v/>
      </c>
      <c r="H2833" s="139">
        <f>IFERROR(IF(E2833&gt;0,E2833*IF(ISNUMBER(J2833),J2833,IF(C2833="Futures",$C$6,$C$5)),""),"")</f>
        <v/>
      </c>
      <c r="I2833" s="139">
        <f>IFERROR(IF(AND(ISNUMBER(F2833),ISNUMBER(H2833)),F2833-H2833,""),"")</f>
        <v/>
      </c>
      <c r="J2833" s="114" t="n"/>
      <c r="K2833" s="139">
        <f>IFERROR(IF(H2833&gt;0,H2833*$C$7,""),"")</f>
        <v/>
      </c>
      <c r="L2833" s="139">
        <f>IFERROR(IF(ISNUMBER(F2833),F2833-IF(ISNUMBER(K2833),K2833,0),""),"")</f>
        <v/>
      </c>
    </row>
    <row r="2834" ht="24" customHeight="1" s="63">
      <c r="E2834" s="139" t="n"/>
      <c r="F2834" s="139" t="n"/>
      <c r="G2834" s="140">
        <f>IFERROR(IF(E2834&gt;0,(F2834/E2834)*1000,""),"")</f>
        <v/>
      </c>
      <c r="H2834" s="139">
        <f>IFERROR(IF(E2834&gt;0,E2834*IF(ISNUMBER(J2834),J2834,IF(C2834="Futures",$C$6,$C$5)),""),"")</f>
        <v/>
      </c>
      <c r="I2834" s="139">
        <f>IFERROR(IF(AND(ISNUMBER(F2834),ISNUMBER(H2834)),F2834-H2834,""),"")</f>
        <v/>
      </c>
      <c r="J2834" s="114" t="n"/>
      <c r="K2834" s="139">
        <f>IFERROR(IF(H2834&gt;0,H2834*$C$7,""),"")</f>
        <v/>
      </c>
      <c r="L2834" s="139">
        <f>IFERROR(IF(ISNUMBER(F2834),F2834-IF(ISNUMBER(K2834),K2834,0),""),"")</f>
        <v/>
      </c>
    </row>
    <row r="2835" ht="24" customHeight="1" s="63">
      <c r="E2835" s="139" t="n"/>
      <c r="F2835" s="139" t="n"/>
      <c r="G2835" s="140">
        <f>IFERROR(IF(E2835&gt;0,(F2835/E2835)*1000,""),"")</f>
        <v/>
      </c>
      <c r="H2835" s="139">
        <f>IFERROR(IF(E2835&gt;0,E2835*IF(ISNUMBER(J2835),J2835,IF(C2835="Futures",$C$6,$C$5)),""),"")</f>
        <v/>
      </c>
      <c r="I2835" s="139">
        <f>IFERROR(IF(AND(ISNUMBER(F2835),ISNUMBER(H2835)),F2835-H2835,""),"")</f>
        <v/>
      </c>
      <c r="J2835" s="114" t="n"/>
      <c r="K2835" s="139">
        <f>IFERROR(IF(H2835&gt;0,H2835*$C$7,""),"")</f>
        <v/>
      </c>
      <c r="L2835" s="139">
        <f>IFERROR(IF(ISNUMBER(F2835),F2835-IF(ISNUMBER(K2835),K2835,0),""),"")</f>
        <v/>
      </c>
    </row>
    <row r="2836" ht="24" customHeight="1" s="63">
      <c r="E2836" s="139" t="n"/>
      <c r="F2836" s="139" t="n"/>
      <c r="G2836" s="140">
        <f>IFERROR(IF(E2836&gt;0,(F2836/E2836)*1000,""),"")</f>
        <v/>
      </c>
      <c r="H2836" s="139">
        <f>IFERROR(IF(E2836&gt;0,E2836*IF(ISNUMBER(J2836),J2836,IF(C2836="Futures",$C$6,$C$5)),""),"")</f>
        <v/>
      </c>
      <c r="I2836" s="139">
        <f>IFERROR(IF(AND(ISNUMBER(F2836),ISNUMBER(H2836)),F2836-H2836,""),"")</f>
        <v/>
      </c>
      <c r="J2836" s="114" t="n"/>
      <c r="K2836" s="139">
        <f>IFERROR(IF(H2836&gt;0,H2836*$C$7,""),"")</f>
        <v/>
      </c>
      <c r="L2836" s="139">
        <f>IFERROR(IF(ISNUMBER(F2836),F2836-IF(ISNUMBER(K2836),K2836,0),""),"")</f>
        <v/>
      </c>
    </row>
    <row r="2837" ht="24" customHeight="1" s="63">
      <c r="E2837" s="139" t="n"/>
      <c r="F2837" s="139" t="n"/>
      <c r="G2837" s="140">
        <f>IFERROR(IF(E2837&gt;0,(F2837/E2837)*1000,""),"")</f>
        <v/>
      </c>
      <c r="H2837" s="139">
        <f>IFERROR(IF(E2837&gt;0,E2837*IF(ISNUMBER(J2837),J2837,IF(C2837="Futures",$C$6,$C$5)),""),"")</f>
        <v/>
      </c>
      <c r="I2837" s="139">
        <f>IFERROR(IF(AND(ISNUMBER(F2837),ISNUMBER(H2837)),F2837-H2837,""),"")</f>
        <v/>
      </c>
      <c r="J2837" s="114" t="n"/>
      <c r="K2837" s="139">
        <f>IFERROR(IF(H2837&gt;0,H2837*$C$7,""),"")</f>
        <v/>
      </c>
      <c r="L2837" s="139">
        <f>IFERROR(IF(ISNUMBER(F2837),F2837-IF(ISNUMBER(K2837),K2837,0),""),"")</f>
        <v/>
      </c>
    </row>
    <row r="2838" ht="24" customHeight="1" s="63">
      <c r="E2838" s="139" t="n"/>
      <c r="F2838" s="139" t="n"/>
      <c r="G2838" s="140">
        <f>IFERROR(IF(E2838&gt;0,(F2838/E2838)*1000,""),"")</f>
        <v/>
      </c>
      <c r="H2838" s="139">
        <f>IFERROR(IF(E2838&gt;0,E2838*IF(ISNUMBER(J2838),J2838,IF(C2838="Futures",$C$6,$C$5)),""),"")</f>
        <v/>
      </c>
      <c r="I2838" s="139">
        <f>IFERROR(IF(AND(ISNUMBER(F2838),ISNUMBER(H2838)),F2838-H2838,""),"")</f>
        <v/>
      </c>
      <c r="J2838" s="114" t="n"/>
      <c r="K2838" s="139">
        <f>IFERROR(IF(H2838&gt;0,H2838*$C$7,""),"")</f>
        <v/>
      </c>
      <c r="L2838" s="139">
        <f>IFERROR(IF(ISNUMBER(F2838),F2838-IF(ISNUMBER(K2838),K2838,0),""),"")</f>
        <v/>
      </c>
    </row>
    <row r="2839" ht="24" customHeight="1" s="63">
      <c r="E2839" s="139" t="n"/>
      <c r="F2839" s="139" t="n"/>
      <c r="G2839" s="140">
        <f>IFERROR(IF(E2839&gt;0,(F2839/E2839)*1000,""),"")</f>
        <v/>
      </c>
      <c r="H2839" s="139">
        <f>IFERROR(IF(E2839&gt;0,E2839*IF(ISNUMBER(J2839),J2839,IF(C2839="Futures",$C$6,$C$5)),""),"")</f>
        <v/>
      </c>
      <c r="I2839" s="139">
        <f>IFERROR(IF(AND(ISNUMBER(F2839),ISNUMBER(H2839)),F2839-H2839,""),"")</f>
        <v/>
      </c>
      <c r="J2839" s="114" t="n"/>
      <c r="K2839" s="139">
        <f>IFERROR(IF(H2839&gt;0,H2839*$C$7,""),"")</f>
        <v/>
      </c>
      <c r="L2839" s="139">
        <f>IFERROR(IF(ISNUMBER(F2839),F2839-IF(ISNUMBER(K2839),K2839,0),""),"")</f>
        <v/>
      </c>
    </row>
    <row r="2840" ht="24" customHeight="1" s="63">
      <c r="E2840" s="139" t="n"/>
      <c r="F2840" s="139" t="n"/>
      <c r="G2840" s="140">
        <f>IFERROR(IF(E2840&gt;0,(F2840/E2840)*1000,""),"")</f>
        <v/>
      </c>
      <c r="H2840" s="139">
        <f>IFERROR(IF(E2840&gt;0,E2840*IF(ISNUMBER(J2840),J2840,IF(C2840="Futures",$C$6,$C$5)),""),"")</f>
        <v/>
      </c>
      <c r="I2840" s="139">
        <f>IFERROR(IF(AND(ISNUMBER(F2840),ISNUMBER(H2840)),F2840-H2840,""),"")</f>
        <v/>
      </c>
      <c r="J2840" s="114" t="n"/>
      <c r="K2840" s="139">
        <f>IFERROR(IF(H2840&gt;0,H2840*$C$7,""),"")</f>
        <v/>
      </c>
      <c r="L2840" s="139">
        <f>IFERROR(IF(ISNUMBER(F2840),F2840-IF(ISNUMBER(K2840),K2840,0),""),"")</f>
        <v/>
      </c>
    </row>
    <row r="2841" ht="24" customHeight="1" s="63">
      <c r="E2841" s="139" t="n"/>
      <c r="F2841" s="139" t="n"/>
      <c r="G2841" s="140">
        <f>IFERROR(IF(E2841&gt;0,(F2841/E2841)*1000,""),"")</f>
        <v/>
      </c>
      <c r="H2841" s="139">
        <f>IFERROR(IF(E2841&gt;0,E2841*IF(ISNUMBER(J2841),J2841,IF(C2841="Futures",$C$6,$C$5)),""),"")</f>
        <v/>
      </c>
      <c r="I2841" s="139">
        <f>IFERROR(IF(AND(ISNUMBER(F2841),ISNUMBER(H2841)),F2841-H2841,""),"")</f>
        <v/>
      </c>
      <c r="J2841" s="114" t="n"/>
      <c r="K2841" s="139">
        <f>IFERROR(IF(H2841&gt;0,H2841*$C$7,""),"")</f>
        <v/>
      </c>
      <c r="L2841" s="139">
        <f>IFERROR(IF(ISNUMBER(F2841),F2841-IF(ISNUMBER(K2841),K2841,0),""),"")</f>
        <v/>
      </c>
    </row>
    <row r="2842" ht="24" customHeight="1" s="63">
      <c r="E2842" s="139" t="n"/>
      <c r="F2842" s="139" t="n"/>
      <c r="G2842" s="140">
        <f>IFERROR(IF(E2842&gt;0,(F2842/E2842)*1000,""),"")</f>
        <v/>
      </c>
      <c r="H2842" s="139">
        <f>IFERROR(IF(E2842&gt;0,E2842*IF(ISNUMBER(J2842),J2842,IF(C2842="Futures",$C$6,$C$5)),""),"")</f>
        <v/>
      </c>
      <c r="I2842" s="139">
        <f>IFERROR(IF(AND(ISNUMBER(F2842),ISNUMBER(H2842)),F2842-H2842,""),"")</f>
        <v/>
      </c>
      <c r="J2842" s="114" t="n"/>
      <c r="K2842" s="139">
        <f>IFERROR(IF(H2842&gt;0,H2842*$C$7,""),"")</f>
        <v/>
      </c>
      <c r="L2842" s="139">
        <f>IFERROR(IF(ISNUMBER(F2842),F2842-IF(ISNUMBER(K2842),K2842,0),""),"")</f>
        <v/>
      </c>
    </row>
    <row r="2843" ht="24" customHeight="1" s="63">
      <c r="E2843" s="139" t="n"/>
      <c r="F2843" s="139" t="n"/>
      <c r="G2843" s="140">
        <f>IFERROR(IF(E2843&gt;0,(F2843/E2843)*1000,""),"")</f>
        <v/>
      </c>
      <c r="H2843" s="139">
        <f>IFERROR(IF(E2843&gt;0,E2843*IF(ISNUMBER(J2843),J2843,IF(C2843="Futures",$C$6,$C$5)),""),"")</f>
        <v/>
      </c>
      <c r="I2843" s="139">
        <f>IFERROR(IF(AND(ISNUMBER(F2843),ISNUMBER(H2843)),F2843-H2843,""),"")</f>
        <v/>
      </c>
      <c r="J2843" s="114" t="n"/>
      <c r="K2843" s="139">
        <f>IFERROR(IF(H2843&gt;0,H2843*$C$7,""),"")</f>
        <v/>
      </c>
      <c r="L2843" s="139">
        <f>IFERROR(IF(ISNUMBER(F2843),F2843-IF(ISNUMBER(K2843),K2843,0),""),"")</f>
        <v/>
      </c>
    </row>
    <row r="2844" ht="24" customHeight="1" s="63">
      <c r="E2844" s="139" t="n"/>
      <c r="F2844" s="139" t="n"/>
      <c r="G2844" s="140">
        <f>IFERROR(IF(E2844&gt;0,(F2844/E2844)*1000,""),"")</f>
        <v/>
      </c>
      <c r="H2844" s="139">
        <f>IFERROR(IF(E2844&gt;0,E2844*IF(ISNUMBER(J2844),J2844,IF(C2844="Futures",$C$6,$C$5)),""),"")</f>
        <v/>
      </c>
      <c r="I2844" s="139">
        <f>IFERROR(IF(AND(ISNUMBER(F2844),ISNUMBER(H2844)),F2844-H2844,""),"")</f>
        <v/>
      </c>
      <c r="J2844" s="114" t="n"/>
      <c r="K2844" s="139">
        <f>IFERROR(IF(H2844&gt;0,H2844*$C$7,""),"")</f>
        <v/>
      </c>
      <c r="L2844" s="139">
        <f>IFERROR(IF(ISNUMBER(F2844),F2844-IF(ISNUMBER(K2844),K2844,0),""),"")</f>
        <v/>
      </c>
    </row>
    <row r="2845" ht="24" customHeight="1" s="63">
      <c r="E2845" s="139" t="n"/>
      <c r="F2845" s="139" t="n"/>
      <c r="G2845" s="140">
        <f>IFERROR(IF(E2845&gt;0,(F2845/E2845)*1000,""),"")</f>
        <v/>
      </c>
      <c r="H2845" s="139">
        <f>IFERROR(IF(E2845&gt;0,E2845*IF(ISNUMBER(J2845),J2845,IF(C2845="Futures",$C$6,$C$5)),""),"")</f>
        <v/>
      </c>
      <c r="I2845" s="139">
        <f>IFERROR(IF(AND(ISNUMBER(F2845),ISNUMBER(H2845)),F2845-H2845,""),"")</f>
        <v/>
      </c>
      <c r="J2845" s="114" t="n"/>
      <c r="K2845" s="139">
        <f>IFERROR(IF(H2845&gt;0,H2845*$C$7,""),"")</f>
        <v/>
      </c>
      <c r="L2845" s="139">
        <f>IFERROR(IF(ISNUMBER(F2845),F2845-IF(ISNUMBER(K2845),K2845,0),""),"")</f>
        <v/>
      </c>
    </row>
    <row r="2846" ht="24" customHeight="1" s="63">
      <c r="E2846" s="139" t="n"/>
      <c r="F2846" s="139" t="n"/>
      <c r="G2846" s="140">
        <f>IFERROR(IF(E2846&gt;0,(F2846/E2846)*1000,""),"")</f>
        <v/>
      </c>
      <c r="H2846" s="139">
        <f>IFERROR(IF(E2846&gt;0,E2846*IF(ISNUMBER(J2846),J2846,IF(C2846="Futures",$C$6,$C$5)),""),"")</f>
        <v/>
      </c>
      <c r="I2846" s="139">
        <f>IFERROR(IF(AND(ISNUMBER(F2846),ISNUMBER(H2846)),F2846-H2846,""),"")</f>
        <v/>
      </c>
      <c r="J2846" s="114" t="n"/>
      <c r="K2846" s="139">
        <f>IFERROR(IF(H2846&gt;0,H2846*$C$7,""),"")</f>
        <v/>
      </c>
      <c r="L2846" s="139">
        <f>IFERROR(IF(ISNUMBER(F2846),F2846-IF(ISNUMBER(K2846),K2846,0),""),"")</f>
        <v/>
      </c>
    </row>
    <row r="2847" ht="24" customHeight="1" s="63">
      <c r="E2847" s="139" t="n"/>
      <c r="F2847" s="139" t="n"/>
      <c r="G2847" s="140">
        <f>IFERROR(IF(E2847&gt;0,(F2847/E2847)*1000,""),"")</f>
        <v/>
      </c>
      <c r="H2847" s="139">
        <f>IFERROR(IF(E2847&gt;0,E2847*IF(ISNUMBER(J2847),J2847,IF(C2847="Futures",$C$6,$C$5)),""),"")</f>
        <v/>
      </c>
      <c r="I2847" s="139">
        <f>IFERROR(IF(AND(ISNUMBER(F2847),ISNUMBER(H2847)),F2847-H2847,""),"")</f>
        <v/>
      </c>
      <c r="J2847" s="114" t="n"/>
      <c r="K2847" s="139">
        <f>IFERROR(IF(H2847&gt;0,H2847*$C$7,""),"")</f>
        <v/>
      </c>
      <c r="L2847" s="139">
        <f>IFERROR(IF(ISNUMBER(F2847),F2847-IF(ISNUMBER(K2847),K2847,0),""),"")</f>
        <v/>
      </c>
    </row>
    <row r="2848" ht="24" customHeight="1" s="63">
      <c r="E2848" s="139" t="n"/>
      <c r="F2848" s="139" t="n"/>
      <c r="G2848" s="140">
        <f>IFERROR(IF(E2848&gt;0,(F2848/E2848)*1000,""),"")</f>
        <v/>
      </c>
      <c r="H2848" s="139">
        <f>IFERROR(IF(E2848&gt;0,E2848*IF(ISNUMBER(J2848),J2848,IF(C2848="Futures",$C$6,$C$5)),""),"")</f>
        <v/>
      </c>
      <c r="I2848" s="139">
        <f>IFERROR(IF(AND(ISNUMBER(F2848),ISNUMBER(H2848)),F2848-H2848,""),"")</f>
        <v/>
      </c>
      <c r="J2848" s="114" t="n"/>
      <c r="K2848" s="139">
        <f>IFERROR(IF(H2848&gt;0,H2848*$C$7,""),"")</f>
        <v/>
      </c>
      <c r="L2848" s="139">
        <f>IFERROR(IF(ISNUMBER(F2848),F2848-IF(ISNUMBER(K2848),K2848,0),""),"")</f>
        <v/>
      </c>
    </row>
    <row r="2849" ht="24" customHeight="1" s="63">
      <c r="E2849" s="139" t="n"/>
      <c r="F2849" s="139" t="n"/>
      <c r="G2849" s="140">
        <f>IFERROR(IF(E2849&gt;0,(F2849/E2849)*1000,""),"")</f>
        <v/>
      </c>
      <c r="H2849" s="139">
        <f>IFERROR(IF(E2849&gt;0,E2849*IF(ISNUMBER(J2849),J2849,IF(C2849="Futures",$C$6,$C$5)),""),"")</f>
        <v/>
      </c>
      <c r="I2849" s="139">
        <f>IFERROR(IF(AND(ISNUMBER(F2849),ISNUMBER(H2849)),F2849-H2849,""),"")</f>
        <v/>
      </c>
      <c r="J2849" s="114" t="n"/>
      <c r="K2849" s="139">
        <f>IFERROR(IF(H2849&gt;0,H2849*$C$7,""),"")</f>
        <v/>
      </c>
      <c r="L2849" s="139">
        <f>IFERROR(IF(ISNUMBER(F2849),F2849-IF(ISNUMBER(K2849),K2849,0),""),"")</f>
        <v/>
      </c>
    </row>
    <row r="2850" ht="24" customHeight="1" s="63">
      <c r="E2850" s="139" t="n"/>
      <c r="F2850" s="139" t="n"/>
      <c r="G2850" s="140">
        <f>IFERROR(IF(E2850&gt;0,(F2850/E2850)*1000,""),"")</f>
        <v/>
      </c>
      <c r="H2850" s="139">
        <f>IFERROR(IF(E2850&gt;0,E2850*IF(ISNUMBER(J2850),J2850,IF(C2850="Futures",$C$6,$C$5)),""),"")</f>
        <v/>
      </c>
      <c r="I2850" s="139">
        <f>IFERROR(IF(AND(ISNUMBER(F2850),ISNUMBER(H2850)),F2850-H2850,""),"")</f>
        <v/>
      </c>
      <c r="J2850" s="114" t="n"/>
      <c r="K2850" s="139">
        <f>IFERROR(IF(H2850&gt;0,H2850*$C$7,""),"")</f>
        <v/>
      </c>
      <c r="L2850" s="139">
        <f>IFERROR(IF(ISNUMBER(F2850),F2850-IF(ISNUMBER(K2850),K2850,0),""),"")</f>
        <v/>
      </c>
    </row>
    <row r="2851" ht="24" customHeight="1" s="63">
      <c r="E2851" s="139" t="n"/>
      <c r="F2851" s="139" t="n"/>
      <c r="G2851" s="140">
        <f>IFERROR(IF(E2851&gt;0,(F2851/E2851)*1000,""),"")</f>
        <v/>
      </c>
      <c r="H2851" s="139">
        <f>IFERROR(IF(E2851&gt;0,E2851*IF(ISNUMBER(J2851),J2851,IF(C2851="Futures",$C$6,$C$5)),""),"")</f>
        <v/>
      </c>
      <c r="I2851" s="139">
        <f>IFERROR(IF(AND(ISNUMBER(F2851),ISNUMBER(H2851)),F2851-H2851,""),"")</f>
        <v/>
      </c>
      <c r="J2851" s="114" t="n"/>
      <c r="K2851" s="139">
        <f>IFERROR(IF(H2851&gt;0,H2851*$C$7,""),"")</f>
        <v/>
      </c>
      <c r="L2851" s="139">
        <f>IFERROR(IF(ISNUMBER(F2851),F2851-IF(ISNUMBER(K2851),K2851,0),""),"")</f>
        <v/>
      </c>
    </row>
    <row r="2852" ht="24" customHeight="1" s="63">
      <c r="E2852" s="139" t="n"/>
      <c r="F2852" s="139" t="n"/>
      <c r="G2852" s="140">
        <f>IFERROR(IF(E2852&gt;0,(F2852/E2852)*1000,""),"")</f>
        <v/>
      </c>
      <c r="H2852" s="139">
        <f>IFERROR(IF(E2852&gt;0,E2852*IF(ISNUMBER(J2852),J2852,IF(C2852="Futures",$C$6,$C$5)),""),"")</f>
        <v/>
      </c>
      <c r="I2852" s="139">
        <f>IFERROR(IF(AND(ISNUMBER(F2852),ISNUMBER(H2852)),F2852-H2852,""),"")</f>
        <v/>
      </c>
      <c r="J2852" s="114" t="n"/>
      <c r="K2852" s="139">
        <f>IFERROR(IF(H2852&gt;0,H2852*$C$7,""),"")</f>
        <v/>
      </c>
      <c r="L2852" s="139">
        <f>IFERROR(IF(ISNUMBER(F2852),F2852-IF(ISNUMBER(K2852),K2852,0),""),"")</f>
        <v/>
      </c>
    </row>
    <row r="2853" ht="24" customHeight="1" s="63">
      <c r="E2853" s="139" t="n"/>
      <c r="F2853" s="139" t="n"/>
      <c r="G2853" s="140">
        <f>IFERROR(IF(E2853&gt;0,(F2853/E2853)*1000,""),"")</f>
        <v/>
      </c>
      <c r="H2853" s="139">
        <f>IFERROR(IF(E2853&gt;0,E2853*IF(ISNUMBER(J2853),J2853,IF(C2853="Futures",$C$6,$C$5)),""),"")</f>
        <v/>
      </c>
      <c r="I2853" s="139">
        <f>IFERROR(IF(AND(ISNUMBER(F2853),ISNUMBER(H2853)),F2853-H2853,""),"")</f>
        <v/>
      </c>
      <c r="J2853" s="114" t="n"/>
      <c r="K2853" s="139">
        <f>IFERROR(IF(H2853&gt;0,H2853*$C$7,""),"")</f>
        <v/>
      </c>
      <c r="L2853" s="139">
        <f>IFERROR(IF(ISNUMBER(F2853),F2853-IF(ISNUMBER(K2853),K2853,0),""),"")</f>
        <v/>
      </c>
    </row>
    <row r="2854" ht="24" customHeight="1" s="63">
      <c r="E2854" s="139" t="n"/>
      <c r="F2854" s="139" t="n"/>
      <c r="G2854" s="140">
        <f>IFERROR(IF(E2854&gt;0,(F2854/E2854)*1000,""),"")</f>
        <v/>
      </c>
      <c r="H2854" s="139">
        <f>IFERROR(IF(E2854&gt;0,E2854*IF(ISNUMBER(J2854),J2854,IF(C2854="Futures",$C$6,$C$5)),""),"")</f>
        <v/>
      </c>
      <c r="I2854" s="139">
        <f>IFERROR(IF(AND(ISNUMBER(F2854),ISNUMBER(H2854)),F2854-H2854,""),"")</f>
        <v/>
      </c>
      <c r="J2854" s="114" t="n"/>
      <c r="K2854" s="139">
        <f>IFERROR(IF(H2854&gt;0,H2854*$C$7,""),"")</f>
        <v/>
      </c>
      <c r="L2854" s="139">
        <f>IFERROR(IF(ISNUMBER(F2854),F2854-IF(ISNUMBER(K2854),K2854,0),""),"")</f>
        <v/>
      </c>
    </row>
    <row r="2855" ht="24" customHeight="1" s="63">
      <c r="E2855" s="139" t="n"/>
      <c r="F2855" s="139" t="n"/>
      <c r="G2855" s="140">
        <f>IFERROR(IF(E2855&gt;0,(F2855/E2855)*1000,""),"")</f>
        <v/>
      </c>
      <c r="H2855" s="139">
        <f>IFERROR(IF(E2855&gt;0,E2855*IF(ISNUMBER(J2855),J2855,IF(C2855="Futures",$C$6,$C$5)),""),"")</f>
        <v/>
      </c>
      <c r="I2855" s="139">
        <f>IFERROR(IF(AND(ISNUMBER(F2855),ISNUMBER(H2855)),F2855-H2855,""),"")</f>
        <v/>
      </c>
      <c r="J2855" s="114" t="n"/>
      <c r="K2855" s="139">
        <f>IFERROR(IF(H2855&gt;0,H2855*$C$7,""),"")</f>
        <v/>
      </c>
      <c r="L2855" s="139">
        <f>IFERROR(IF(ISNUMBER(F2855),F2855-IF(ISNUMBER(K2855),K2855,0),""),"")</f>
        <v/>
      </c>
    </row>
    <row r="2856" ht="24" customHeight="1" s="63">
      <c r="E2856" s="139" t="n"/>
      <c r="F2856" s="139" t="n"/>
      <c r="G2856" s="140">
        <f>IFERROR(IF(E2856&gt;0,(F2856/E2856)*1000,""),"")</f>
        <v/>
      </c>
      <c r="H2856" s="139">
        <f>IFERROR(IF(E2856&gt;0,E2856*IF(ISNUMBER(J2856),J2856,IF(C2856="Futures",$C$6,$C$5)),""),"")</f>
        <v/>
      </c>
      <c r="I2856" s="139">
        <f>IFERROR(IF(AND(ISNUMBER(F2856),ISNUMBER(H2856)),F2856-H2856,""),"")</f>
        <v/>
      </c>
      <c r="J2856" s="114" t="n"/>
      <c r="K2856" s="139">
        <f>IFERROR(IF(H2856&gt;0,H2856*$C$7,""),"")</f>
        <v/>
      </c>
      <c r="L2856" s="139">
        <f>IFERROR(IF(ISNUMBER(F2856),F2856-IF(ISNUMBER(K2856),K2856,0),""),"")</f>
        <v/>
      </c>
    </row>
    <row r="2857" ht="24" customHeight="1" s="63">
      <c r="E2857" s="139" t="n"/>
      <c r="F2857" s="139" t="n"/>
      <c r="G2857" s="140">
        <f>IFERROR(IF(E2857&gt;0,(F2857/E2857)*1000,""),"")</f>
        <v/>
      </c>
      <c r="H2857" s="139">
        <f>IFERROR(IF(E2857&gt;0,E2857*IF(ISNUMBER(J2857),J2857,IF(C2857="Futures",$C$6,$C$5)),""),"")</f>
        <v/>
      </c>
      <c r="I2857" s="139">
        <f>IFERROR(IF(AND(ISNUMBER(F2857),ISNUMBER(H2857)),F2857-H2857,""),"")</f>
        <v/>
      </c>
      <c r="J2857" s="114" t="n"/>
      <c r="K2857" s="139">
        <f>IFERROR(IF(H2857&gt;0,H2857*$C$7,""),"")</f>
        <v/>
      </c>
      <c r="L2857" s="139">
        <f>IFERROR(IF(ISNUMBER(F2857),F2857-IF(ISNUMBER(K2857),K2857,0),""),"")</f>
        <v/>
      </c>
    </row>
    <row r="2858" ht="24" customHeight="1" s="63">
      <c r="E2858" s="139" t="n"/>
      <c r="F2858" s="139" t="n"/>
      <c r="G2858" s="140">
        <f>IFERROR(IF(E2858&gt;0,(F2858/E2858)*1000,""),"")</f>
        <v/>
      </c>
      <c r="H2858" s="139">
        <f>IFERROR(IF(E2858&gt;0,E2858*IF(ISNUMBER(J2858),J2858,IF(C2858="Futures",$C$6,$C$5)),""),"")</f>
        <v/>
      </c>
      <c r="I2858" s="139">
        <f>IFERROR(IF(AND(ISNUMBER(F2858),ISNUMBER(H2858)),F2858-H2858,""),"")</f>
        <v/>
      </c>
      <c r="J2858" s="114" t="n"/>
      <c r="K2858" s="139">
        <f>IFERROR(IF(H2858&gt;0,H2858*$C$7,""),"")</f>
        <v/>
      </c>
      <c r="L2858" s="139">
        <f>IFERROR(IF(ISNUMBER(F2858),F2858-IF(ISNUMBER(K2858),K2858,0),""),"")</f>
        <v/>
      </c>
    </row>
    <row r="2859" ht="24" customHeight="1" s="63">
      <c r="E2859" s="139" t="n"/>
      <c r="F2859" s="139" t="n"/>
      <c r="G2859" s="140">
        <f>IFERROR(IF(E2859&gt;0,(F2859/E2859)*1000,""),"")</f>
        <v/>
      </c>
      <c r="H2859" s="139">
        <f>IFERROR(IF(E2859&gt;0,E2859*IF(ISNUMBER(J2859),J2859,IF(C2859="Futures",$C$6,$C$5)),""),"")</f>
        <v/>
      </c>
      <c r="I2859" s="139">
        <f>IFERROR(IF(AND(ISNUMBER(F2859),ISNUMBER(H2859)),F2859-H2859,""),"")</f>
        <v/>
      </c>
      <c r="J2859" s="114" t="n"/>
      <c r="K2859" s="139">
        <f>IFERROR(IF(H2859&gt;0,H2859*$C$7,""),"")</f>
        <v/>
      </c>
      <c r="L2859" s="139">
        <f>IFERROR(IF(ISNUMBER(F2859),F2859-IF(ISNUMBER(K2859),K2859,0),""),"")</f>
        <v/>
      </c>
    </row>
    <row r="2860" ht="24" customHeight="1" s="63">
      <c r="E2860" s="139" t="n"/>
      <c r="F2860" s="139" t="n"/>
      <c r="G2860" s="140">
        <f>IFERROR(IF(E2860&gt;0,(F2860/E2860)*1000,""),"")</f>
        <v/>
      </c>
      <c r="H2860" s="139">
        <f>IFERROR(IF(E2860&gt;0,E2860*IF(ISNUMBER(J2860),J2860,IF(C2860="Futures",$C$6,$C$5)),""),"")</f>
        <v/>
      </c>
      <c r="I2860" s="139">
        <f>IFERROR(IF(AND(ISNUMBER(F2860),ISNUMBER(H2860)),F2860-H2860,""),"")</f>
        <v/>
      </c>
      <c r="J2860" s="114" t="n"/>
      <c r="K2860" s="139">
        <f>IFERROR(IF(H2860&gt;0,H2860*$C$7,""),"")</f>
        <v/>
      </c>
      <c r="L2860" s="139">
        <f>IFERROR(IF(ISNUMBER(F2860),F2860-IF(ISNUMBER(K2860),K2860,0),""),"")</f>
        <v/>
      </c>
    </row>
    <row r="2861" ht="24" customHeight="1" s="63">
      <c r="E2861" s="139" t="n"/>
      <c r="F2861" s="139" t="n"/>
      <c r="G2861" s="140">
        <f>IFERROR(IF(E2861&gt;0,(F2861/E2861)*1000,""),"")</f>
        <v/>
      </c>
      <c r="H2861" s="139">
        <f>IFERROR(IF(E2861&gt;0,E2861*IF(ISNUMBER(J2861),J2861,IF(C2861="Futures",$C$6,$C$5)),""),"")</f>
        <v/>
      </c>
      <c r="I2861" s="139">
        <f>IFERROR(IF(AND(ISNUMBER(F2861),ISNUMBER(H2861)),F2861-H2861,""),"")</f>
        <v/>
      </c>
      <c r="J2861" s="114" t="n"/>
      <c r="K2861" s="139">
        <f>IFERROR(IF(H2861&gt;0,H2861*$C$7,""),"")</f>
        <v/>
      </c>
      <c r="L2861" s="139">
        <f>IFERROR(IF(ISNUMBER(F2861),F2861-IF(ISNUMBER(K2861),K2861,0),""),"")</f>
        <v/>
      </c>
    </row>
    <row r="2862" ht="24" customHeight="1" s="63">
      <c r="E2862" s="139" t="n"/>
      <c r="F2862" s="139" t="n"/>
      <c r="G2862" s="140">
        <f>IFERROR(IF(E2862&gt;0,(F2862/E2862)*1000,""),"")</f>
        <v/>
      </c>
      <c r="H2862" s="139">
        <f>IFERROR(IF(E2862&gt;0,E2862*IF(ISNUMBER(J2862),J2862,IF(C2862="Futures",$C$6,$C$5)),""),"")</f>
        <v/>
      </c>
      <c r="I2862" s="139">
        <f>IFERROR(IF(AND(ISNUMBER(F2862),ISNUMBER(H2862)),F2862-H2862,""),"")</f>
        <v/>
      </c>
      <c r="J2862" s="114" t="n"/>
      <c r="K2862" s="139">
        <f>IFERROR(IF(H2862&gt;0,H2862*$C$7,""),"")</f>
        <v/>
      </c>
      <c r="L2862" s="139">
        <f>IFERROR(IF(ISNUMBER(F2862),F2862-IF(ISNUMBER(K2862),K2862,0),""),"")</f>
        <v/>
      </c>
    </row>
    <row r="2863" ht="24" customHeight="1" s="63">
      <c r="E2863" s="139" t="n"/>
      <c r="F2863" s="139" t="n"/>
      <c r="G2863" s="140">
        <f>IFERROR(IF(E2863&gt;0,(F2863/E2863)*1000,""),"")</f>
        <v/>
      </c>
      <c r="H2863" s="139">
        <f>IFERROR(IF(E2863&gt;0,E2863*IF(ISNUMBER(J2863),J2863,IF(C2863="Futures",$C$6,$C$5)),""),"")</f>
        <v/>
      </c>
      <c r="I2863" s="139">
        <f>IFERROR(IF(AND(ISNUMBER(F2863),ISNUMBER(H2863)),F2863-H2863,""),"")</f>
        <v/>
      </c>
      <c r="J2863" s="114" t="n"/>
      <c r="K2863" s="139">
        <f>IFERROR(IF(H2863&gt;0,H2863*$C$7,""),"")</f>
        <v/>
      </c>
      <c r="L2863" s="139">
        <f>IFERROR(IF(ISNUMBER(F2863),F2863-IF(ISNUMBER(K2863),K2863,0),""),"")</f>
        <v/>
      </c>
    </row>
    <row r="2864" ht="24" customHeight="1" s="63">
      <c r="E2864" s="139" t="n"/>
      <c r="F2864" s="139" t="n"/>
      <c r="G2864" s="140">
        <f>IFERROR(IF(E2864&gt;0,(F2864/E2864)*1000,""),"")</f>
        <v/>
      </c>
      <c r="H2864" s="139">
        <f>IFERROR(IF(E2864&gt;0,E2864*IF(ISNUMBER(J2864),J2864,IF(C2864="Futures",$C$6,$C$5)),""),"")</f>
        <v/>
      </c>
      <c r="I2864" s="139">
        <f>IFERROR(IF(AND(ISNUMBER(F2864),ISNUMBER(H2864)),F2864-H2864,""),"")</f>
        <v/>
      </c>
      <c r="J2864" s="114" t="n"/>
      <c r="K2864" s="139">
        <f>IFERROR(IF(H2864&gt;0,H2864*$C$7,""),"")</f>
        <v/>
      </c>
      <c r="L2864" s="139">
        <f>IFERROR(IF(ISNUMBER(F2864),F2864-IF(ISNUMBER(K2864),K2864,0),""),"")</f>
        <v/>
      </c>
    </row>
    <row r="2865" ht="24" customHeight="1" s="63">
      <c r="E2865" s="139" t="n"/>
      <c r="F2865" s="139" t="n"/>
      <c r="G2865" s="140">
        <f>IFERROR(IF(E2865&gt;0,(F2865/E2865)*1000,""),"")</f>
        <v/>
      </c>
      <c r="H2865" s="139">
        <f>IFERROR(IF(E2865&gt;0,E2865*IF(ISNUMBER(J2865),J2865,IF(C2865="Futures",$C$6,$C$5)),""),"")</f>
        <v/>
      </c>
      <c r="I2865" s="139">
        <f>IFERROR(IF(AND(ISNUMBER(F2865),ISNUMBER(H2865)),F2865-H2865,""),"")</f>
        <v/>
      </c>
      <c r="J2865" s="114" t="n"/>
      <c r="K2865" s="139">
        <f>IFERROR(IF(H2865&gt;0,H2865*$C$7,""),"")</f>
        <v/>
      </c>
      <c r="L2865" s="139">
        <f>IFERROR(IF(ISNUMBER(F2865),F2865-IF(ISNUMBER(K2865),K2865,0),""),"")</f>
        <v/>
      </c>
    </row>
    <row r="2866" ht="24" customHeight="1" s="63">
      <c r="E2866" s="139" t="n"/>
      <c r="F2866" s="139" t="n"/>
      <c r="G2866" s="140">
        <f>IFERROR(IF(E2866&gt;0,(F2866/E2866)*1000,""),"")</f>
        <v/>
      </c>
      <c r="H2866" s="139">
        <f>IFERROR(IF(E2866&gt;0,E2866*IF(ISNUMBER(J2866),J2866,IF(C2866="Futures",$C$6,$C$5)),""),"")</f>
        <v/>
      </c>
      <c r="I2866" s="139">
        <f>IFERROR(IF(AND(ISNUMBER(F2866),ISNUMBER(H2866)),F2866-H2866,""),"")</f>
        <v/>
      </c>
      <c r="J2866" s="114" t="n"/>
      <c r="K2866" s="139">
        <f>IFERROR(IF(H2866&gt;0,H2866*$C$7,""),"")</f>
        <v/>
      </c>
      <c r="L2866" s="139">
        <f>IFERROR(IF(ISNUMBER(F2866),F2866-IF(ISNUMBER(K2866),K2866,0),""),"")</f>
        <v/>
      </c>
    </row>
    <row r="2867" ht="24" customHeight="1" s="63">
      <c r="E2867" s="139" t="n"/>
      <c r="F2867" s="139" t="n"/>
      <c r="G2867" s="140">
        <f>IFERROR(IF(E2867&gt;0,(F2867/E2867)*1000,""),"")</f>
        <v/>
      </c>
      <c r="H2867" s="139">
        <f>IFERROR(IF(E2867&gt;0,E2867*IF(ISNUMBER(J2867),J2867,IF(C2867="Futures",$C$6,$C$5)),""),"")</f>
        <v/>
      </c>
      <c r="I2867" s="139">
        <f>IFERROR(IF(AND(ISNUMBER(F2867),ISNUMBER(H2867)),F2867-H2867,""),"")</f>
        <v/>
      </c>
      <c r="J2867" s="114" t="n"/>
      <c r="K2867" s="139">
        <f>IFERROR(IF(H2867&gt;0,H2867*$C$7,""),"")</f>
        <v/>
      </c>
      <c r="L2867" s="139">
        <f>IFERROR(IF(ISNUMBER(F2867),F2867-IF(ISNUMBER(K2867),K2867,0),""),"")</f>
        <v/>
      </c>
    </row>
    <row r="2868" ht="24" customHeight="1" s="63">
      <c r="E2868" s="139" t="n"/>
      <c r="F2868" s="139" t="n"/>
      <c r="G2868" s="140">
        <f>IFERROR(IF(E2868&gt;0,(F2868/E2868)*1000,""),"")</f>
        <v/>
      </c>
      <c r="H2868" s="139">
        <f>IFERROR(IF(E2868&gt;0,E2868*IF(ISNUMBER(J2868),J2868,IF(C2868="Futures",$C$6,$C$5)),""),"")</f>
        <v/>
      </c>
      <c r="I2868" s="139">
        <f>IFERROR(IF(AND(ISNUMBER(F2868),ISNUMBER(H2868)),F2868-H2868,""),"")</f>
        <v/>
      </c>
      <c r="J2868" s="114" t="n"/>
      <c r="K2868" s="139">
        <f>IFERROR(IF(H2868&gt;0,H2868*$C$7,""),"")</f>
        <v/>
      </c>
      <c r="L2868" s="139">
        <f>IFERROR(IF(ISNUMBER(F2868),F2868-IF(ISNUMBER(K2868),K2868,0),""),"")</f>
        <v/>
      </c>
    </row>
    <row r="2869" ht="24" customHeight="1" s="63">
      <c r="E2869" s="139" t="n"/>
      <c r="F2869" s="139" t="n"/>
      <c r="G2869" s="140">
        <f>IFERROR(IF(E2869&gt;0,(F2869/E2869)*1000,""),"")</f>
        <v/>
      </c>
      <c r="H2869" s="139">
        <f>IFERROR(IF(E2869&gt;0,E2869*IF(ISNUMBER(J2869),J2869,IF(C2869="Futures",$C$6,$C$5)),""),"")</f>
        <v/>
      </c>
      <c r="I2869" s="139">
        <f>IFERROR(IF(AND(ISNUMBER(F2869),ISNUMBER(H2869)),F2869-H2869,""),"")</f>
        <v/>
      </c>
      <c r="J2869" s="114" t="n"/>
      <c r="K2869" s="139">
        <f>IFERROR(IF(H2869&gt;0,H2869*$C$7,""),"")</f>
        <v/>
      </c>
      <c r="L2869" s="139">
        <f>IFERROR(IF(ISNUMBER(F2869),F2869-IF(ISNUMBER(K2869),K2869,0),""),"")</f>
        <v/>
      </c>
    </row>
    <row r="2870" ht="24" customHeight="1" s="63">
      <c r="E2870" s="139" t="n"/>
      <c r="F2870" s="139" t="n"/>
      <c r="G2870" s="140">
        <f>IFERROR(IF(E2870&gt;0,(F2870/E2870)*1000,""),"")</f>
        <v/>
      </c>
      <c r="H2870" s="139">
        <f>IFERROR(IF(E2870&gt;0,E2870*IF(ISNUMBER(J2870),J2870,IF(C2870="Futures",$C$6,$C$5)),""),"")</f>
        <v/>
      </c>
      <c r="I2870" s="139">
        <f>IFERROR(IF(AND(ISNUMBER(F2870),ISNUMBER(H2870)),F2870-H2870,""),"")</f>
        <v/>
      </c>
      <c r="J2870" s="114" t="n"/>
      <c r="K2870" s="139">
        <f>IFERROR(IF(H2870&gt;0,H2870*$C$7,""),"")</f>
        <v/>
      </c>
      <c r="L2870" s="139">
        <f>IFERROR(IF(ISNUMBER(F2870),F2870-IF(ISNUMBER(K2870),K2870,0),""),"")</f>
        <v/>
      </c>
    </row>
    <row r="2871" ht="24" customHeight="1" s="63">
      <c r="E2871" s="139" t="n"/>
      <c r="F2871" s="139" t="n"/>
      <c r="G2871" s="140">
        <f>IFERROR(IF(E2871&gt;0,(F2871/E2871)*1000,""),"")</f>
        <v/>
      </c>
      <c r="H2871" s="139">
        <f>IFERROR(IF(E2871&gt;0,E2871*IF(ISNUMBER(J2871),J2871,IF(C2871="Futures",$C$6,$C$5)),""),"")</f>
        <v/>
      </c>
      <c r="I2871" s="139">
        <f>IFERROR(IF(AND(ISNUMBER(F2871),ISNUMBER(H2871)),F2871-H2871,""),"")</f>
        <v/>
      </c>
      <c r="J2871" s="114" t="n"/>
      <c r="K2871" s="139">
        <f>IFERROR(IF(H2871&gt;0,H2871*$C$7,""),"")</f>
        <v/>
      </c>
      <c r="L2871" s="139">
        <f>IFERROR(IF(ISNUMBER(F2871),F2871-IF(ISNUMBER(K2871),K2871,0),""),"")</f>
        <v/>
      </c>
    </row>
    <row r="2872" ht="24" customHeight="1" s="63">
      <c r="E2872" s="139" t="n"/>
      <c r="F2872" s="139" t="n"/>
      <c r="G2872" s="140">
        <f>IFERROR(IF(E2872&gt;0,(F2872/E2872)*1000,""),"")</f>
        <v/>
      </c>
      <c r="H2872" s="139">
        <f>IFERROR(IF(E2872&gt;0,E2872*IF(ISNUMBER(J2872),J2872,IF(C2872="Futures",$C$6,$C$5)),""),"")</f>
        <v/>
      </c>
      <c r="I2872" s="139">
        <f>IFERROR(IF(AND(ISNUMBER(F2872),ISNUMBER(H2872)),F2872-H2872,""),"")</f>
        <v/>
      </c>
      <c r="J2872" s="114" t="n"/>
      <c r="K2872" s="139">
        <f>IFERROR(IF(H2872&gt;0,H2872*$C$7,""),"")</f>
        <v/>
      </c>
      <c r="L2872" s="139">
        <f>IFERROR(IF(ISNUMBER(F2872),F2872-IF(ISNUMBER(K2872),K2872,0),""),"")</f>
        <v/>
      </c>
    </row>
    <row r="2873" ht="24" customHeight="1" s="63">
      <c r="E2873" s="139" t="n"/>
      <c r="F2873" s="139" t="n"/>
      <c r="G2873" s="140">
        <f>IFERROR(IF(E2873&gt;0,(F2873/E2873)*1000,""),"")</f>
        <v/>
      </c>
      <c r="H2873" s="139">
        <f>IFERROR(IF(E2873&gt;0,E2873*IF(ISNUMBER(J2873),J2873,IF(C2873="Futures",$C$6,$C$5)),""),"")</f>
        <v/>
      </c>
      <c r="I2873" s="139">
        <f>IFERROR(IF(AND(ISNUMBER(F2873),ISNUMBER(H2873)),F2873-H2873,""),"")</f>
        <v/>
      </c>
      <c r="J2873" s="114" t="n"/>
      <c r="K2873" s="139">
        <f>IFERROR(IF(H2873&gt;0,H2873*$C$7,""),"")</f>
        <v/>
      </c>
      <c r="L2873" s="139">
        <f>IFERROR(IF(ISNUMBER(F2873),F2873-IF(ISNUMBER(K2873),K2873,0),""),"")</f>
        <v/>
      </c>
    </row>
    <row r="2874" ht="24" customHeight="1" s="63">
      <c r="E2874" s="139" t="n"/>
      <c r="F2874" s="139" t="n"/>
      <c r="G2874" s="140">
        <f>IFERROR(IF(E2874&gt;0,(F2874/E2874)*1000,""),"")</f>
        <v/>
      </c>
      <c r="H2874" s="139">
        <f>IFERROR(IF(E2874&gt;0,E2874*IF(ISNUMBER(J2874),J2874,IF(C2874="Futures",$C$6,$C$5)),""),"")</f>
        <v/>
      </c>
      <c r="I2874" s="139">
        <f>IFERROR(IF(AND(ISNUMBER(F2874),ISNUMBER(H2874)),F2874-H2874,""),"")</f>
        <v/>
      </c>
      <c r="J2874" s="114" t="n"/>
      <c r="K2874" s="139">
        <f>IFERROR(IF(H2874&gt;0,H2874*$C$7,""),"")</f>
        <v/>
      </c>
      <c r="L2874" s="139">
        <f>IFERROR(IF(ISNUMBER(F2874),F2874-IF(ISNUMBER(K2874),K2874,0),""),"")</f>
        <v/>
      </c>
    </row>
    <row r="2875" ht="24" customHeight="1" s="63">
      <c r="E2875" s="139" t="n"/>
      <c r="F2875" s="139" t="n"/>
      <c r="G2875" s="140">
        <f>IFERROR(IF(E2875&gt;0,(F2875/E2875)*1000,""),"")</f>
        <v/>
      </c>
      <c r="H2875" s="139">
        <f>IFERROR(IF(E2875&gt;0,E2875*IF(ISNUMBER(J2875),J2875,IF(C2875="Futures",$C$6,$C$5)),""),"")</f>
        <v/>
      </c>
      <c r="I2875" s="139">
        <f>IFERROR(IF(AND(ISNUMBER(F2875),ISNUMBER(H2875)),F2875-H2875,""),"")</f>
        <v/>
      </c>
      <c r="J2875" s="114" t="n"/>
      <c r="K2875" s="139">
        <f>IFERROR(IF(H2875&gt;0,H2875*$C$7,""),"")</f>
        <v/>
      </c>
      <c r="L2875" s="139">
        <f>IFERROR(IF(ISNUMBER(F2875),F2875-IF(ISNUMBER(K2875),K2875,0),""),"")</f>
        <v/>
      </c>
    </row>
    <row r="2876" ht="24" customHeight="1" s="63">
      <c r="E2876" s="139" t="n"/>
      <c r="F2876" s="139" t="n"/>
      <c r="G2876" s="140">
        <f>IFERROR(IF(E2876&gt;0,(F2876/E2876)*1000,""),"")</f>
        <v/>
      </c>
      <c r="H2876" s="139">
        <f>IFERROR(IF(E2876&gt;0,E2876*IF(ISNUMBER(J2876),J2876,IF(C2876="Futures",$C$6,$C$5)),""),"")</f>
        <v/>
      </c>
      <c r="I2876" s="139">
        <f>IFERROR(IF(AND(ISNUMBER(F2876),ISNUMBER(H2876)),F2876-H2876,""),"")</f>
        <v/>
      </c>
      <c r="J2876" s="114" t="n"/>
      <c r="K2876" s="139">
        <f>IFERROR(IF(H2876&gt;0,H2876*$C$7,""),"")</f>
        <v/>
      </c>
      <c r="L2876" s="139">
        <f>IFERROR(IF(ISNUMBER(F2876),F2876-IF(ISNUMBER(K2876),K2876,0),""),"")</f>
        <v/>
      </c>
    </row>
    <row r="2877" ht="24" customHeight="1" s="63">
      <c r="E2877" s="139" t="n"/>
      <c r="F2877" s="139" t="n"/>
      <c r="G2877" s="140">
        <f>IFERROR(IF(E2877&gt;0,(F2877/E2877)*1000,""),"")</f>
        <v/>
      </c>
      <c r="H2877" s="139">
        <f>IFERROR(IF(E2877&gt;0,E2877*IF(ISNUMBER(J2877),J2877,IF(C2877="Futures",$C$6,$C$5)),""),"")</f>
        <v/>
      </c>
      <c r="I2877" s="139">
        <f>IFERROR(IF(AND(ISNUMBER(F2877),ISNUMBER(H2877)),F2877-H2877,""),"")</f>
        <v/>
      </c>
      <c r="J2877" s="114" t="n"/>
      <c r="K2877" s="139">
        <f>IFERROR(IF(H2877&gt;0,H2877*$C$7,""),"")</f>
        <v/>
      </c>
      <c r="L2877" s="139">
        <f>IFERROR(IF(ISNUMBER(F2877),F2877-IF(ISNUMBER(K2877),K2877,0),""),"")</f>
        <v/>
      </c>
    </row>
    <row r="2878" ht="24" customHeight="1" s="63">
      <c r="E2878" s="139" t="n"/>
      <c r="F2878" s="139" t="n"/>
      <c r="G2878" s="140">
        <f>IFERROR(IF(E2878&gt;0,(F2878/E2878)*1000,""),"")</f>
        <v/>
      </c>
      <c r="H2878" s="139">
        <f>IFERROR(IF(E2878&gt;0,E2878*IF(ISNUMBER(J2878),J2878,IF(C2878="Futures",$C$6,$C$5)),""),"")</f>
        <v/>
      </c>
      <c r="I2878" s="139">
        <f>IFERROR(IF(AND(ISNUMBER(F2878),ISNUMBER(H2878)),F2878-H2878,""),"")</f>
        <v/>
      </c>
      <c r="J2878" s="114" t="n"/>
      <c r="K2878" s="139">
        <f>IFERROR(IF(H2878&gt;0,H2878*$C$7,""),"")</f>
        <v/>
      </c>
      <c r="L2878" s="139">
        <f>IFERROR(IF(ISNUMBER(F2878),F2878-IF(ISNUMBER(K2878),K2878,0),""),"")</f>
        <v/>
      </c>
    </row>
    <row r="2879" ht="24" customHeight="1" s="63">
      <c r="E2879" s="139" t="n"/>
      <c r="F2879" s="139" t="n"/>
      <c r="G2879" s="140">
        <f>IFERROR(IF(E2879&gt;0,(F2879/E2879)*1000,""),"")</f>
        <v/>
      </c>
      <c r="H2879" s="139">
        <f>IFERROR(IF(E2879&gt;0,E2879*IF(ISNUMBER(J2879),J2879,IF(C2879="Futures",$C$6,$C$5)),""),"")</f>
        <v/>
      </c>
      <c r="I2879" s="139">
        <f>IFERROR(IF(AND(ISNUMBER(F2879),ISNUMBER(H2879)),F2879-H2879,""),"")</f>
        <v/>
      </c>
      <c r="J2879" s="114" t="n"/>
      <c r="K2879" s="139">
        <f>IFERROR(IF(H2879&gt;0,H2879*$C$7,""),"")</f>
        <v/>
      </c>
      <c r="L2879" s="139">
        <f>IFERROR(IF(ISNUMBER(F2879),F2879-IF(ISNUMBER(K2879),K2879,0),""),"")</f>
        <v/>
      </c>
    </row>
    <row r="2880" ht="24" customHeight="1" s="63">
      <c r="E2880" s="139" t="n"/>
      <c r="F2880" s="139" t="n"/>
      <c r="G2880" s="140">
        <f>IFERROR(IF(E2880&gt;0,(F2880/E2880)*1000,""),"")</f>
        <v/>
      </c>
      <c r="H2880" s="139">
        <f>IFERROR(IF(E2880&gt;0,E2880*IF(ISNUMBER(J2880),J2880,IF(C2880="Futures",$C$6,$C$5)),""),"")</f>
        <v/>
      </c>
      <c r="I2880" s="139">
        <f>IFERROR(IF(AND(ISNUMBER(F2880),ISNUMBER(H2880)),F2880-H2880,""),"")</f>
        <v/>
      </c>
      <c r="J2880" s="114" t="n"/>
      <c r="K2880" s="139">
        <f>IFERROR(IF(H2880&gt;0,H2880*$C$7,""),"")</f>
        <v/>
      </c>
      <c r="L2880" s="139">
        <f>IFERROR(IF(ISNUMBER(F2880),F2880-IF(ISNUMBER(K2880),K2880,0),""),"")</f>
        <v/>
      </c>
    </row>
    <row r="2881" ht="24" customHeight="1" s="63">
      <c r="E2881" s="139" t="n"/>
      <c r="F2881" s="139" t="n"/>
      <c r="G2881" s="140">
        <f>IFERROR(IF(E2881&gt;0,(F2881/E2881)*1000,""),"")</f>
        <v/>
      </c>
      <c r="H2881" s="139">
        <f>IFERROR(IF(E2881&gt;0,E2881*IF(ISNUMBER(J2881),J2881,IF(C2881="Futures",$C$6,$C$5)),""),"")</f>
        <v/>
      </c>
      <c r="I2881" s="139">
        <f>IFERROR(IF(AND(ISNUMBER(F2881),ISNUMBER(H2881)),F2881-H2881,""),"")</f>
        <v/>
      </c>
      <c r="J2881" s="114" t="n"/>
      <c r="K2881" s="139">
        <f>IFERROR(IF(H2881&gt;0,H2881*$C$7,""),"")</f>
        <v/>
      </c>
      <c r="L2881" s="139">
        <f>IFERROR(IF(ISNUMBER(F2881),F2881-IF(ISNUMBER(K2881),K2881,0),""),"")</f>
        <v/>
      </c>
    </row>
    <row r="2882" ht="24" customHeight="1" s="63">
      <c r="E2882" s="139" t="n"/>
      <c r="F2882" s="139" t="n"/>
      <c r="G2882" s="140">
        <f>IFERROR(IF(E2882&gt;0,(F2882/E2882)*1000,""),"")</f>
        <v/>
      </c>
      <c r="H2882" s="139">
        <f>IFERROR(IF(E2882&gt;0,E2882*IF(ISNUMBER(J2882),J2882,IF(C2882="Futures",$C$6,$C$5)),""),"")</f>
        <v/>
      </c>
      <c r="I2882" s="139">
        <f>IFERROR(IF(AND(ISNUMBER(F2882),ISNUMBER(H2882)),F2882-H2882,""),"")</f>
        <v/>
      </c>
      <c r="J2882" s="114" t="n"/>
      <c r="K2882" s="139">
        <f>IFERROR(IF(H2882&gt;0,H2882*$C$7,""),"")</f>
        <v/>
      </c>
      <c r="L2882" s="139">
        <f>IFERROR(IF(ISNUMBER(F2882),F2882-IF(ISNUMBER(K2882),K2882,0),""),"")</f>
        <v/>
      </c>
    </row>
    <row r="2883" ht="24" customHeight="1" s="63">
      <c r="E2883" s="139" t="n"/>
      <c r="F2883" s="139" t="n"/>
      <c r="G2883" s="140">
        <f>IFERROR(IF(E2883&gt;0,(F2883/E2883)*1000,""),"")</f>
        <v/>
      </c>
      <c r="H2883" s="139">
        <f>IFERROR(IF(E2883&gt;0,E2883*IF(ISNUMBER(J2883),J2883,IF(C2883="Futures",$C$6,$C$5)),""),"")</f>
        <v/>
      </c>
      <c r="I2883" s="139">
        <f>IFERROR(IF(AND(ISNUMBER(F2883),ISNUMBER(H2883)),F2883-H2883,""),"")</f>
        <v/>
      </c>
      <c r="J2883" s="114" t="n"/>
      <c r="K2883" s="139">
        <f>IFERROR(IF(H2883&gt;0,H2883*$C$7,""),"")</f>
        <v/>
      </c>
      <c r="L2883" s="139">
        <f>IFERROR(IF(ISNUMBER(F2883),F2883-IF(ISNUMBER(K2883),K2883,0),""),"")</f>
        <v/>
      </c>
    </row>
    <row r="2884" ht="24" customHeight="1" s="63">
      <c r="E2884" s="139" t="n"/>
      <c r="F2884" s="139" t="n"/>
      <c r="G2884" s="140">
        <f>IFERROR(IF(E2884&gt;0,(F2884/E2884)*1000,""),"")</f>
        <v/>
      </c>
      <c r="H2884" s="139">
        <f>IFERROR(IF(E2884&gt;0,E2884*IF(ISNUMBER(J2884),J2884,IF(C2884="Futures",$C$6,$C$5)),""),"")</f>
        <v/>
      </c>
      <c r="I2884" s="139">
        <f>IFERROR(IF(AND(ISNUMBER(F2884),ISNUMBER(H2884)),F2884-H2884,""),"")</f>
        <v/>
      </c>
      <c r="J2884" s="114" t="n"/>
      <c r="K2884" s="139">
        <f>IFERROR(IF(H2884&gt;0,H2884*$C$7,""),"")</f>
        <v/>
      </c>
      <c r="L2884" s="139">
        <f>IFERROR(IF(ISNUMBER(F2884),F2884-IF(ISNUMBER(K2884),K2884,0),""),"")</f>
        <v/>
      </c>
    </row>
    <row r="2885" ht="24" customHeight="1" s="63">
      <c r="E2885" s="139" t="n"/>
      <c r="F2885" s="139" t="n"/>
      <c r="G2885" s="140">
        <f>IFERROR(IF(E2885&gt;0,(F2885/E2885)*1000,""),"")</f>
        <v/>
      </c>
      <c r="H2885" s="139">
        <f>IFERROR(IF(E2885&gt;0,E2885*IF(ISNUMBER(J2885),J2885,IF(C2885="Futures",$C$6,$C$5)),""),"")</f>
        <v/>
      </c>
      <c r="I2885" s="139">
        <f>IFERROR(IF(AND(ISNUMBER(F2885),ISNUMBER(H2885)),F2885-H2885,""),"")</f>
        <v/>
      </c>
      <c r="J2885" s="114" t="n"/>
      <c r="K2885" s="139">
        <f>IFERROR(IF(H2885&gt;0,H2885*$C$7,""),"")</f>
        <v/>
      </c>
      <c r="L2885" s="139">
        <f>IFERROR(IF(ISNUMBER(F2885),F2885-IF(ISNUMBER(K2885),K2885,0),""),"")</f>
        <v/>
      </c>
    </row>
    <row r="2886" ht="24" customHeight="1" s="63">
      <c r="E2886" s="139" t="n"/>
      <c r="F2886" s="139" t="n"/>
      <c r="G2886" s="140">
        <f>IFERROR(IF(E2886&gt;0,(F2886/E2886)*1000,""),"")</f>
        <v/>
      </c>
      <c r="H2886" s="139">
        <f>IFERROR(IF(E2886&gt;0,E2886*IF(ISNUMBER(J2886),J2886,IF(C2886="Futures",$C$6,$C$5)),""),"")</f>
        <v/>
      </c>
      <c r="I2886" s="139">
        <f>IFERROR(IF(AND(ISNUMBER(F2886),ISNUMBER(H2886)),F2886-H2886,""),"")</f>
        <v/>
      </c>
      <c r="J2886" s="114" t="n"/>
      <c r="K2886" s="139">
        <f>IFERROR(IF(H2886&gt;0,H2886*$C$7,""),"")</f>
        <v/>
      </c>
      <c r="L2886" s="139">
        <f>IFERROR(IF(ISNUMBER(F2886),F2886-IF(ISNUMBER(K2886),K2886,0),""),"")</f>
        <v/>
      </c>
    </row>
    <row r="2887" ht="24" customHeight="1" s="63">
      <c r="E2887" s="139" t="n"/>
      <c r="F2887" s="139" t="n"/>
      <c r="G2887" s="140">
        <f>IFERROR(IF(E2887&gt;0,(F2887/E2887)*1000,""),"")</f>
        <v/>
      </c>
      <c r="H2887" s="139">
        <f>IFERROR(IF(E2887&gt;0,E2887*IF(ISNUMBER(J2887),J2887,IF(C2887="Futures",$C$6,$C$5)),""),"")</f>
        <v/>
      </c>
      <c r="I2887" s="139">
        <f>IFERROR(IF(AND(ISNUMBER(F2887),ISNUMBER(H2887)),F2887-H2887,""),"")</f>
        <v/>
      </c>
      <c r="J2887" s="114" t="n"/>
      <c r="K2887" s="139">
        <f>IFERROR(IF(H2887&gt;0,H2887*$C$7,""),"")</f>
        <v/>
      </c>
      <c r="L2887" s="139">
        <f>IFERROR(IF(ISNUMBER(F2887),F2887-IF(ISNUMBER(K2887),K2887,0),""),"")</f>
        <v/>
      </c>
    </row>
    <row r="2888" ht="24" customHeight="1" s="63">
      <c r="E2888" s="139" t="n"/>
      <c r="F2888" s="139" t="n"/>
      <c r="G2888" s="140">
        <f>IFERROR(IF(E2888&gt;0,(F2888/E2888)*1000,""),"")</f>
        <v/>
      </c>
      <c r="H2888" s="139">
        <f>IFERROR(IF(E2888&gt;0,E2888*IF(ISNUMBER(J2888),J2888,IF(C2888="Futures",$C$6,$C$5)),""),"")</f>
        <v/>
      </c>
      <c r="I2888" s="139">
        <f>IFERROR(IF(AND(ISNUMBER(F2888),ISNUMBER(H2888)),F2888-H2888,""),"")</f>
        <v/>
      </c>
      <c r="J2888" s="114" t="n"/>
      <c r="K2888" s="139">
        <f>IFERROR(IF(H2888&gt;0,H2888*$C$7,""),"")</f>
        <v/>
      </c>
      <c r="L2888" s="139">
        <f>IFERROR(IF(ISNUMBER(F2888),F2888-IF(ISNUMBER(K2888),K2888,0),""),"")</f>
        <v/>
      </c>
    </row>
    <row r="2889" ht="24" customHeight="1" s="63">
      <c r="E2889" s="139" t="n"/>
      <c r="F2889" s="139" t="n"/>
      <c r="G2889" s="140">
        <f>IFERROR(IF(E2889&gt;0,(F2889/E2889)*1000,""),"")</f>
        <v/>
      </c>
      <c r="H2889" s="139">
        <f>IFERROR(IF(E2889&gt;0,E2889*IF(ISNUMBER(J2889),J2889,IF(C2889="Futures",$C$6,$C$5)),""),"")</f>
        <v/>
      </c>
      <c r="I2889" s="139">
        <f>IFERROR(IF(AND(ISNUMBER(F2889),ISNUMBER(H2889)),F2889-H2889,""),"")</f>
        <v/>
      </c>
      <c r="J2889" s="114" t="n"/>
      <c r="K2889" s="139">
        <f>IFERROR(IF(H2889&gt;0,H2889*$C$7,""),"")</f>
        <v/>
      </c>
      <c r="L2889" s="139">
        <f>IFERROR(IF(ISNUMBER(F2889),F2889-IF(ISNUMBER(K2889),K2889,0),""),"")</f>
        <v/>
      </c>
    </row>
    <row r="2890" ht="24" customHeight="1" s="63">
      <c r="E2890" s="139" t="n"/>
      <c r="F2890" s="139" t="n"/>
      <c r="G2890" s="140">
        <f>IFERROR(IF(E2890&gt;0,(F2890/E2890)*1000,""),"")</f>
        <v/>
      </c>
      <c r="H2890" s="139">
        <f>IFERROR(IF(E2890&gt;0,E2890*IF(ISNUMBER(J2890),J2890,IF(C2890="Futures",$C$6,$C$5)),""),"")</f>
        <v/>
      </c>
      <c r="I2890" s="139">
        <f>IFERROR(IF(AND(ISNUMBER(F2890),ISNUMBER(H2890)),F2890-H2890,""),"")</f>
        <v/>
      </c>
      <c r="J2890" s="114" t="n"/>
      <c r="K2890" s="139">
        <f>IFERROR(IF(H2890&gt;0,H2890*$C$7,""),"")</f>
        <v/>
      </c>
      <c r="L2890" s="139">
        <f>IFERROR(IF(ISNUMBER(F2890),F2890-IF(ISNUMBER(K2890),K2890,0),""),"")</f>
        <v/>
      </c>
    </row>
    <row r="2891" ht="24" customHeight="1" s="63">
      <c r="E2891" s="139" t="n"/>
      <c r="F2891" s="139" t="n"/>
      <c r="G2891" s="140">
        <f>IFERROR(IF(E2891&gt;0,(F2891/E2891)*1000,""),"")</f>
        <v/>
      </c>
      <c r="H2891" s="139">
        <f>IFERROR(IF(E2891&gt;0,E2891*IF(ISNUMBER(J2891),J2891,IF(C2891="Futures",$C$6,$C$5)),""),"")</f>
        <v/>
      </c>
      <c r="I2891" s="139">
        <f>IFERROR(IF(AND(ISNUMBER(F2891),ISNUMBER(H2891)),F2891-H2891,""),"")</f>
        <v/>
      </c>
      <c r="J2891" s="114" t="n"/>
      <c r="K2891" s="139">
        <f>IFERROR(IF(H2891&gt;0,H2891*$C$7,""),"")</f>
        <v/>
      </c>
      <c r="L2891" s="139">
        <f>IFERROR(IF(ISNUMBER(F2891),F2891-IF(ISNUMBER(K2891),K2891,0),""),"")</f>
        <v/>
      </c>
    </row>
    <row r="2892" ht="24" customHeight="1" s="63">
      <c r="E2892" s="139" t="n"/>
      <c r="F2892" s="139" t="n"/>
      <c r="G2892" s="140">
        <f>IFERROR(IF(E2892&gt;0,(F2892/E2892)*1000,""),"")</f>
        <v/>
      </c>
      <c r="H2892" s="139">
        <f>IFERROR(IF(E2892&gt;0,E2892*IF(ISNUMBER(J2892),J2892,IF(C2892="Futures",$C$6,$C$5)),""),"")</f>
        <v/>
      </c>
      <c r="I2892" s="139">
        <f>IFERROR(IF(AND(ISNUMBER(F2892),ISNUMBER(H2892)),F2892-H2892,""),"")</f>
        <v/>
      </c>
      <c r="J2892" s="114" t="n"/>
      <c r="K2892" s="139">
        <f>IFERROR(IF(H2892&gt;0,H2892*$C$7,""),"")</f>
        <v/>
      </c>
      <c r="L2892" s="139">
        <f>IFERROR(IF(ISNUMBER(F2892),F2892-IF(ISNUMBER(K2892),K2892,0),""),"")</f>
        <v/>
      </c>
    </row>
    <row r="2893" ht="24" customHeight="1" s="63">
      <c r="E2893" s="139" t="n"/>
      <c r="F2893" s="139" t="n"/>
      <c r="G2893" s="140">
        <f>IFERROR(IF(E2893&gt;0,(F2893/E2893)*1000,""),"")</f>
        <v/>
      </c>
      <c r="H2893" s="139">
        <f>IFERROR(IF(E2893&gt;0,E2893*IF(ISNUMBER(J2893),J2893,IF(C2893="Futures",$C$6,$C$5)),""),"")</f>
        <v/>
      </c>
      <c r="I2893" s="139">
        <f>IFERROR(IF(AND(ISNUMBER(F2893),ISNUMBER(H2893)),F2893-H2893,""),"")</f>
        <v/>
      </c>
      <c r="J2893" s="114" t="n"/>
      <c r="K2893" s="139">
        <f>IFERROR(IF(H2893&gt;0,H2893*$C$7,""),"")</f>
        <v/>
      </c>
      <c r="L2893" s="139">
        <f>IFERROR(IF(ISNUMBER(F2893),F2893-IF(ISNUMBER(K2893),K2893,0),""),"")</f>
        <v/>
      </c>
    </row>
    <row r="2894" ht="24" customHeight="1" s="63">
      <c r="E2894" s="139" t="n"/>
      <c r="F2894" s="139" t="n"/>
      <c r="G2894" s="140">
        <f>IFERROR(IF(E2894&gt;0,(F2894/E2894)*1000,""),"")</f>
        <v/>
      </c>
      <c r="H2894" s="139">
        <f>IFERROR(IF(E2894&gt;0,E2894*IF(ISNUMBER(J2894),J2894,IF(C2894="Futures",$C$6,$C$5)),""),"")</f>
        <v/>
      </c>
      <c r="I2894" s="139">
        <f>IFERROR(IF(AND(ISNUMBER(F2894),ISNUMBER(H2894)),F2894-H2894,""),"")</f>
        <v/>
      </c>
      <c r="J2894" s="114" t="n"/>
      <c r="K2894" s="139">
        <f>IFERROR(IF(H2894&gt;0,H2894*$C$7,""),"")</f>
        <v/>
      </c>
      <c r="L2894" s="139">
        <f>IFERROR(IF(ISNUMBER(F2894),F2894-IF(ISNUMBER(K2894),K2894,0),""),"")</f>
        <v/>
      </c>
    </row>
    <row r="2895" ht="24" customHeight="1" s="63">
      <c r="E2895" s="139" t="n"/>
      <c r="F2895" s="139" t="n"/>
      <c r="G2895" s="140">
        <f>IFERROR(IF(E2895&gt;0,(F2895/E2895)*1000,""),"")</f>
        <v/>
      </c>
      <c r="H2895" s="139">
        <f>IFERROR(IF(E2895&gt;0,E2895*IF(ISNUMBER(J2895),J2895,IF(C2895="Futures",$C$6,$C$5)),""),"")</f>
        <v/>
      </c>
      <c r="I2895" s="139">
        <f>IFERROR(IF(AND(ISNUMBER(F2895),ISNUMBER(H2895)),F2895-H2895,""),"")</f>
        <v/>
      </c>
      <c r="J2895" s="114" t="n"/>
      <c r="K2895" s="139">
        <f>IFERROR(IF(H2895&gt;0,H2895*$C$7,""),"")</f>
        <v/>
      </c>
      <c r="L2895" s="139">
        <f>IFERROR(IF(ISNUMBER(F2895),F2895-IF(ISNUMBER(K2895),K2895,0),""),"")</f>
        <v/>
      </c>
    </row>
    <row r="2896" ht="24" customHeight="1" s="63">
      <c r="E2896" s="139" t="n"/>
      <c r="F2896" s="139" t="n"/>
      <c r="G2896" s="140">
        <f>IFERROR(IF(E2896&gt;0,(F2896/E2896)*1000,""),"")</f>
        <v/>
      </c>
      <c r="H2896" s="139">
        <f>IFERROR(IF(E2896&gt;0,E2896*IF(ISNUMBER(J2896),J2896,IF(C2896="Futures",$C$6,$C$5)),""),"")</f>
        <v/>
      </c>
      <c r="I2896" s="139">
        <f>IFERROR(IF(AND(ISNUMBER(F2896),ISNUMBER(H2896)),F2896-H2896,""),"")</f>
        <v/>
      </c>
      <c r="J2896" s="114" t="n"/>
      <c r="K2896" s="139">
        <f>IFERROR(IF(H2896&gt;0,H2896*$C$7,""),"")</f>
        <v/>
      </c>
      <c r="L2896" s="139">
        <f>IFERROR(IF(ISNUMBER(F2896),F2896-IF(ISNUMBER(K2896),K2896,0),""),"")</f>
        <v/>
      </c>
    </row>
    <row r="2897" ht="24" customHeight="1" s="63">
      <c r="E2897" s="139" t="n"/>
      <c r="F2897" s="139" t="n"/>
      <c r="G2897" s="140">
        <f>IFERROR(IF(E2897&gt;0,(F2897/E2897)*1000,""),"")</f>
        <v/>
      </c>
      <c r="H2897" s="139">
        <f>IFERROR(IF(E2897&gt;0,E2897*IF(ISNUMBER(J2897),J2897,IF(C2897="Futures",$C$6,$C$5)),""),"")</f>
        <v/>
      </c>
      <c r="I2897" s="139">
        <f>IFERROR(IF(AND(ISNUMBER(F2897),ISNUMBER(H2897)),F2897-H2897,""),"")</f>
        <v/>
      </c>
      <c r="J2897" s="114" t="n"/>
      <c r="K2897" s="139">
        <f>IFERROR(IF(H2897&gt;0,H2897*$C$7,""),"")</f>
        <v/>
      </c>
      <c r="L2897" s="139">
        <f>IFERROR(IF(ISNUMBER(F2897),F2897-IF(ISNUMBER(K2897),K2897,0),""),"")</f>
        <v/>
      </c>
    </row>
    <row r="2898" ht="24" customHeight="1" s="63">
      <c r="E2898" s="139" t="n"/>
      <c r="F2898" s="139" t="n"/>
      <c r="G2898" s="140">
        <f>IFERROR(IF(E2898&gt;0,(F2898/E2898)*1000,""),"")</f>
        <v/>
      </c>
      <c r="H2898" s="139">
        <f>IFERROR(IF(E2898&gt;0,E2898*IF(ISNUMBER(J2898),J2898,IF(C2898="Futures",$C$6,$C$5)),""),"")</f>
        <v/>
      </c>
      <c r="I2898" s="139">
        <f>IFERROR(IF(AND(ISNUMBER(F2898),ISNUMBER(H2898)),F2898-H2898,""),"")</f>
        <v/>
      </c>
      <c r="J2898" s="114" t="n"/>
      <c r="K2898" s="139">
        <f>IFERROR(IF(H2898&gt;0,H2898*$C$7,""),"")</f>
        <v/>
      </c>
      <c r="L2898" s="139">
        <f>IFERROR(IF(ISNUMBER(F2898),F2898-IF(ISNUMBER(K2898),K2898,0),""),"")</f>
        <v/>
      </c>
    </row>
    <row r="2899" ht="24" customHeight="1" s="63">
      <c r="E2899" s="139" t="n"/>
      <c r="F2899" s="139" t="n"/>
      <c r="G2899" s="140">
        <f>IFERROR(IF(E2899&gt;0,(F2899/E2899)*1000,""),"")</f>
        <v/>
      </c>
      <c r="H2899" s="139">
        <f>IFERROR(IF(E2899&gt;0,E2899*IF(ISNUMBER(J2899),J2899,IF(C2899="Futures",$C$6,$C$5)),""),"")</f>
        <v/>
      </c>
      <c r="I2899" s="139">
        <f>IFERROR(IF(AND(ISNUMBER(F2899),ISNUMBER(H2899)),F2899-H2899,""),"")</f>
        <v/>
      </c>
      <c r="J2899" s="114" t="n"/>
      <c r="K2899" s="139">
        <f>IFERROR(IF(H2899&gt;0,H2899*$C$7,""),"")</f>
        <v/>
      </c>
      <c r="L2899" s="139">
        <f>IFERROR(IF(ISNUMBER(F2899),F2899-IF(ISNUMBER(K2899),K2899,0),""),"")</f>
        <v/>
      </c>
    </row>
    <row r="2900" ht="24" customHeight="1" s="63">
      <c r="E2900" s="139" t="n"/>
      <c r="F2900" s="139" t="n"/>
      <c r="G2900" s="140">
        <f>IFERROR(IF(E2900&gt;0,(F2900/E2900)*1000,""),"")</f>
        <v/>
      </c>
      <c r="H2900" s="139">
        <f>IFERROR(IF(E2900&gt;0,E2900*IF(ISNUMBER(J2900),J2900,IF(C2900="Futures",$C$6,$C$5)),""),"")</f>
        <v/>
      </c>
      <c r="I2900" s="139">
        <f>IFERROR(IF(AND(ISNUMBER(F2900),ISNUMBER(H2900)),F2900-H2900,""),"")</f>
        <v/>
      </c>
      <c r="J2900" s="114" t="n"/>
      <c r="K2900" s="139">
        <f>IFERROR(IF(H2900&gt;0,H2900*$C$7,""),"")</f>
        <v/>
      </c>
      <c r="L2900" s="139">
        <f>IFERROR(IF(ISNUMBER(F2900),F2900-IF(ISNUMBER(K2900),K2900,0),""),"")</f>
        <v/>
      </c>
    </row>
    <row r="2901" ht="24" customHeight="1" s="63">
      <c r="E2901" s="139" t="n"/>
      <c r="F2901" s="139" t="n"/>
      <c r="G2901" s="140">
        <f>IFERROR(IF(E2901&gt;0,(F2901/E2901)*1000,""),"")</f>
        <v/>
      </c>
      <c r="H2901" s="139">
        <f>IFERROR(IF(E2901&gt;0,E2901*IF(ISNUMBER(J2901),J2901,IF(C2901="Futures",$C$6,$C$5)),""),"")</f>
        <v/>
      </c>
      <c r="I2901" s="139">
        <f>IFERROR(IF(AND(ISNUMBER(F2901),ISNUMBER(H2901)),F2901-H2901,""),"")</f>
        <v/>
      </c>
      <c r="J2901" s="114" t="n"/>
      <c r="K2901" s="139">
        <f>IFERROR(IF(H2901&gt;0,H2901*$C$7,""),"")</f>
        <v/>
      </c>
      <c r="L2901" s="139">
        <f>IFERROR(IF(ISNUMBER(F2901),F2901-IF(ISNUMBER(K2901),K2901,0),""),"")</f>
        <v/>
      </c>
    </row>
    <row r="2902" ht="24" customHeight="1" s="63">
      <c r="E2902" s="139" t="n"/>
      <c r="F2902" s="139" t="n"/>
      <c r="G2902" s="140">
        <f>IFERROR(IF(E2902&gt;0,(F2902/E2902)*1000,""),"")</f>
        <v/>
      </c>
      <c r="H2902" s="139">
        <f>IFERROR(IF(E2902&gt;0,E2902*IF(ISNUMBER(J2902),J2902,IF(C2902="Futures",$C$6,$C$5)),""),"")</f>
        <v/>
      </c>
      <c r="I2902" s="139">
        <f>IFERROR(IF(AND(ISNUMBER(F2902),ISNUMBER(H2902)),F2902-H2902,""),"")</f>
        <v/>
      </c>
      <c r="J2902" s="114" t="n"/>
      <c r="K2902" s="139">
        <f>IFERROR(IF(H2902&gt;0,H2902*$C$7,""),"")</f>
        <v/>
      </c>
      <c r="L2902" s="139">
        <f>IFERROR(IF(ISNUMBER(F2902),F2902-IF(ISNUMBER(K2902),K2902,0),""),"")</f>
        <v/>
      </c>
    </row>
    <row r="2903" ht="24" customHeight="1" s="63">
      <c r="E2903" s="139" t="n"/>
      <c r="F2903" s="139" t="n"/>
      <c r="G2903" s="140">
        <f>IFERROR(IF(E2903&gt;0,(F2903/E2903)*1000,""),"")</f>
        <v/>
      </c>
      <c r="H2903" s="139">
        <f>IFERROR(IF(E2903&gt;0,E2903*IF(ISNUMBER(J2903),J2903,IF(C2903="Futures",$C$6,$C$5)),""),"")</f>
        <v/>
      </c>
      <c r="I2903" s="139">
        <f>IFERROR(IF(AND(ISNUMBER(F2903),ISNUMBER(H2903)),F2903-H2903,""),"")</f>
        <v/>
      </c>
      <c r="J2903" s="114" t="n"/>
      <c r="K2903" s="139">
        <f>IFERROR(IF(H2903&gt;0,H2903*$C$7,""),"")</f>
        <v/>
      </c>
      <c r="L2903" s="139">
        <f>IFERROR(IF(ISNUMBER(F2903),F2903-IF(ISNUMBER(K2903),K2903,0),""),"")</f>
        <v/>
      </c>
    </row>
    <row r="2904" ht="24" customHeight="1" s="63">
      <c r="E2904" s="139" t="n"/>
      <c r="F2904" s="139" t="n"/>
      <c r="G2904" s="140">
        <f>IFERROR(IF(E2904&gt;0,(F2904/E2904)*1000,""),"")</f>
        <v/>
      </c>
      <c r="H2904" s="139">
        <f>IFERROR(IF(E2904&gt;0,E2904*IF(ISNUMBER(J2904),J2904,IF(C2904="Futures",$C$6,$C$5)),""),"")</f>
        <v/>
      </c>
      <c r="I2904" s="139">
        <f>IFERROR(IF(AND(ISNUMBER(F2904),ISNUMBER(H2904)),F2904-H2904,""),"")</f>
        <v/>
      </c>
      <c r="J2904" s="114" t="n"/>
      <c r="K2904" s="139">
        <f>IFERROR(IF(H2904&gt;0,H2904*$C$7,""),"")</f>
        <v/>
      </c>
      <c r="L2904" s="139">
        <f>IFERROR(IF(ISNUMBER(F2904),F2904-IF(ISNUMBER(K2904),K2904,0),""),"")</f>
        <v/>
      </c>
    </row>
    <row r="2905" ht="24" customHeight="1" s="63">
      <c r="E2905" s="139" t="n"/>
      <c r="F2905" s="139" t="n"/>
      <c r="G2905" s="140">
        <f>IFERROR(IF(E2905&gt;0,(F2905/E2905)*1000,""),"")</f>
        <v/>
      </c>
      <c r="H2905" s="139">
        <f>IFERROR(IF(E2905&gt;0,E2905*IF(ISNUMBER(J2905),J2905,IF(C2905="Futures",$C$6,$C$5)),""),"")</f>
        <v/>
      </c>
      <c r="I2905" s="139">
        <f>IFERROR(IF(AND(ISNUMBER(F2905),ISNUMBER(H2905)),F2905-H2905,""),"")</f>
        <v/>
      </c>
      <c r="J2905" s="114" t="n"/>
      <c r="K2905" s="139">
        <f>IFERROR(IF(H2905&gt;0,H2905*$C$7,""),"")</f>
        <v/>
      </c>
      <c r="L2905" s="139">
        <f>IFERROR(IF(ISNUMBER(F2905),F2905-IF(ISNUMBER(K2905),K2905,0),""),"")</f>
        <v/>
      </c>
    </row>
    <row r="2906" ht="24" customHeight="1" s="63">
      <c r="E2906" s="139" t="n"/>
      <c r="F2906" s="139" t="n"/>
      <c r="G2906" s="140">
        <f>IFERROR(IF(E2906&gt;0,(F2906/E2906)*1000,""),"")</f>
        <v/>
      </c>
      <c r="H2906" s="139">
        <f>IFERROR(IF(E2906&gt;0,E2906*IF(ISNUMBER(J2906),J2906,IF(C2906="Futures",$C$6,$C$5)),""),"")</f>
        <v/>
      </c>
      <c r="I2906" s="139">
        <f>IFERROR(IF(AND(ISNUMBER(F2906),ISNUMBER(H2906)),F2906-H2906,""),"")</f>
        <v/>
      </c>
      <c r="J2906" s="114" t="n"/>
      <c r="K2906" s="139">
        <f>IFERROR(IF(H2906&gt;0,H2906*$C$7,""),"")</f>
        <v/>
      </c>
      <c r="L2906" s="139">
        <f>IFERROR(IF(ISNUMBER(F2906),F2906-IF(ISNUMBER(K2906),K2906,0),""),"")</f>
        <v/>
      </c>
    </row>
    <row r="2907" ht="24" customHeight="1" s="63">
      <c r="E2907" s="139" t="n"/>
      <c r="F2907" s="139" t="n"/>
      <c r="G2907" s="140">
        <f>IFERROR(IF(E2907&gt;0,(F2907/E2907)*1000,""),"")</f>
        <v/>
      </c>
      <c r="H2907" s="139">
        <f>IFERROR(IF(E2907&gt;0,E2907*IF(ISNUMBER(J2907),J2907,IF(C2907="Futures",$C$6,$C$5)),""),"")</f>
        <v/>
      </c>
      <c r="I2907" s="139">
        <f>IFERROR(IF(AND(ISNUMBER(F2907),ISNUMBER(H2907)),F2907-H2907,""),"")</f>
        <v/>
      </c>
      <c r="J2907" s="114" t="n"/>
      <c r="K2907" s="139">
        <f>IFERROR(IF(H2907&gt;0,H2907*$C$7,""),"")</f>
        <v/>
      </c>
      <c r="L2907" s="139">
        <f>IFERROR(IF(ISNUMBER(F2907),F2907-IF(ISNUMBER(K2907),K2907,0),""),"")</f>
        <v/>
      </c>
    </row>
    <row r="2908" ht="24" customHeight="1" s="63">
      <c r="E2908" s="139" t="n"/>
      <c r="F2908" s="139" t="n"/>
      <c r="G2908" s="140">
        <f>IFERROR(IF(E2908&gt;0,(F2908/E2908)*1000,""),"")</f>
        <v/>
      </c>
      <c r="H2908" s="139">
        <f>IFERROR(IF(E2908&gt;0,E2908*IF(ISNUMBER(J2908),J2908,IF(C2908="Futures",$C$6,$C$5)),""),"")</f>
        <v/>
      </c>
      <c r="I2908" s="139">
        <f>IFERROR(IF(AND(ISNUMBER(F2908),ISNUMBER(H2908)),F2908-H2908,""),"")</f>
        <v/>
      </c>
      <c r="J2908" s="114" t="n"/>
      <c r="K2908" s="139">
        <f>IFERROR(IF(H2908&gt;0,H2908*$C$7,""),"")</f>
        <v/>
      </c>
      <c r="L2908" s="139">
        <f>IFERROR(IF(ISNUMBER(F2908),F2908-IF(ISNUMBER(K2908),K2908,0),""),"")</f>
        <v/>
      </c>
    </row>
    <row r="2909" ht="24" customHeight="1" s="63">
      <c r="E2909" s="139" t="n"/>
      <c r="F2909" s="139" t="n"/>
      <c r="G2909" s="140">
        <f>IFERROR(IF(E2909&gt;0,(F2909/E2909)*1000,""),"")</f>
        <v/>
      </c>
      <c r="H2909" s="139">
        <f>IFERROR(IF(E2909&gt;0,E2909*IF(ISNUMBER(J2909),J2909,IF(C2909="Futures",$C$6,$C$5)),""),"")</f>
        <v/>
      </c>
      <c r="I2909" s="139">
        <f>IFERROR(IF(AND(ISNUMBER(F2909),ISNUMBER(H2909)),F2909-H2909,""),"")</f>
        <v/>
      </c>
      <c r="J2909" s="114" t="n"/>
      <c r="K2909" s="139">
        <f>IFERROR(IF(H2909&gt;0,H2909*$C$7,""),"")</f>
        <v/>
      </c>
      <c r="L2909" s="139">
        <f>IFERROR(IF(ISNUMBER(F2909),F2909-IF(ISNUMBER(K2909),K2909,0),""),"")</f>
        <v/>
      </c>
    </row>
    <row r="2910" ht="24" customHeight="1" s="63">
      <c r="E2910" s="139" t="n"/>
      <c r="F2910" s="139" t="n"/>
      <c r="G2910" s="140">
        <f>IFERROR(IF(E2910&gt;0,(F2910/E2910)*1000,""),"")</f>
        <v/>
      </c>
      <c r="H2910" s="139">
        <f>IFERROR(IF(E2910&gt;0,E2910*IF(ISNUMBER(J2910),J2910,IF(C2910="Futures",$C$6,$C$5)),""),"")</f>
        <v/>
      </c>
      <c r="I2910" s="139">
        <f>IFERROR(IF(AND(ISNUMBER(F2910),ISNUMBER(H2910)),F2910-H2910,""),"")</f>
        <v/>
      </c>
      <c r="J2910" s="114" t="n"/>
      <c r="K2910" s="139">
        <f>IFERROR(IF(H2910&gt;0,H2910*$C$7,""),"")</f>
        <v/>
      </c>
      <c r="L2910" s="139">
        <f>IFERROR(IF(ISNUMBER(F2910),F2910-IF(ISNUMBER(K2910),K2910,0),""),"")</f>
        <v/>
      </c>
    </row>
    <row r="2911" ht="24" customHeight="1" s="63">
      <c r="E2911" s="139" t="n"/>
      <c r="F2911" s="139" t="n"/>
      <c r="G2911" s="140">
        <f>IFERROR(IF(E2911&gt;0,(F2911/E2911)*1000,""),"")</f>
        <v/>
      </c>
      <c r="H2911" s="139">
        <f>IFERROR(IF(E2911&gt;0,E2911*IF(ISNUMBER(J2911),J2911,IF(C2911="Futures",$C$6,$C$5)),""),"")</f>
        <v/>
      </c>
      <c r="I2911" s="139">
        <f>IFERROR(IF(AND(ISNUMBER(F2911),ISNUMBER(H2911)),F2911-H2911,""),"")</f>
        <v/>
      </c>
      <c r="J2911" s="114" t="n"/>
      <c r="K2911" s="139">
        <f>IFERROR(IF(H2911&gt;0,H2911*$C$7,""),"")</f>
        <v/>
      </c>
      <c r="L2911" s="139">
        <f>IFERROR(IF(ISNUMBER(F2911),F2911-IF(ISNUMBER(K2911),K2911,0),""),"")</f>
        <v/>
      </c>
    </row>
    <row r="2912" ht="24" customHeight="1" s="63">
      <c r="E2912" s="139" t="n"/>
      <c r="F2912" s="139" t="n"/>
      <c r="G2912" s="140">
        <f>IFERROR(IF(E2912&gt;0,(F2912/E2912)*1000,""),"")</f>
        <v/>
      </c>
      <c r="H2912" s="139">
        <f>IFERROR(IF(E2912&gt;0,E2912*IF(ISNUMBER(J2912),J2912,IF(C2912="Futures",$C$6,$C$5)),""),"")</f>
        <v/>
      </c>
      <c r="I2912" s="139">
        <f>IFERROR(IF(AND(ISNUMBER(F2912),ISNUMBER(H2912)),F2912-H2912,""),"")</f>
        <v/>
      </c>
      <c r="J2912" s="114" t="n"/>
      <c r="K2912" s="139">
        <f>IFERROR(IF(H2912&gt;0,H2912*$C$7,""),"")</f>
        <v/>
      </c>
      <c r="L2912" s="139">
        <f>IFERROR(IF(ISNUMBER(F2912),F2912-IF(ISNUMBER(K2912),K2912,0),""),"")</f>
        <v/>
      </c>
    </row>
    <row r="2913" ht="24" customHeight="1" s="63">
      <c r="E2913" s="139" t="n"/>
      <c r="F2913" s="139" t="n"/>
      <c r="G2913" s="140">
        <f>IFERROR(IF(E2913&gt;0,(F2913/E2913)*1000,""),"")</f>
        <v/>
      </c>
      <c r="H2913" s="139">
        <f>IFERROR(IF(E2913&gt;0,E2913*IF(ISNUMBER(J2913),J2913,IF(C2913="Futures",$C$6,$C$5)),""),"")</f>
        <v/>
      </c>
      <c r="I2913" s="139">
        <f>IFERROR(IF(AND(ISNUMBER(F2913),ISNUMBER(H2913)),F2913-H2913,""),"")</f>
        <v/>
      </c>
      <c r="J2913" s="114" t="n"/>
      <c r="K2913" s="139">
        <f>IFERROR(IF(H2913&gt;0,H2913*$C$7,""),"")</f>
        <v/>
      </c>
      <c r="L2913" s="139">
        <f>IFERROR(IF(ISNUMBER(F2913),F2913-IF(ISNUMBER(K2913),K2913,0),""),"")</f>
        <v/>
      </c>
    </row>
    <row r="2914" ht="24" customHeight="1" s="63">
      <c r="E2914" s="139" t="n"/>
      <c r="F2914" s="139" t="n"/>
      <c r="G2914" s="140">
        <f>IFERROR(IF(E2914&gt;0,(F2914/E2914)*1000,""),"")</f>
        <v/>
      </c>
      <c r="H2914" s="139">
        <f>IFERROR(IF(E2914&gt;0,E2914*IF(ISNUMBER(J2914),J2914,IF(C2914="Futures",$C$6,$C$5)),""),"")</f>
        <v/>
      </c>
      <c r="I2914" s="139">
        <f>IFERROR(IF(AND(ISNUMBER(F2914),ISNUMBER(H2914)),F2914-H2914,""),"")</f>
        <v/>
      </c>
      <c r="J2914" s="114" t="n"/>
      <c r="K2914" s="139">
        <f>IFERROR(IF(H2914&gt;0,H2914*$C$7,""),"")</f>
        <v/>
      </c>
      <c r="L2914" s="139">
        <f>IFERROR(IF(ISNUMBER(F2914),F2914-IF(ISNUMBER(K2914),K2914,0),""),"")</f>
        <v/>
      </c>
    </row>
    <row r="2915" ht="24" customHeight="1" s="63">
      <c r="E2915" s="139" t="n"/>
      <c r="F2915" s="139" t="n"/>
      <c r="G2915" s="140">
        <f>IFERROR(IF(E2915&gt;0,(F2915/E2915)*1000,""),"")</f>
        <v/>
      </c>
      <c r="H2915" s="139">
        <f>IFERROR(IF(E2915&gt;0,E2915*IF(ISNUMBER(J2915),J2915,IF(C2915="Futures",$C$6,$C$5)),""),"")</f>
        <v/>
      </c>
      <c r="I2915" s="139">
        <f>IFERROR(IF(AND(ISNUMBER(F2915),ISNUMBER(H2915)),F2915-H2915,""),"")</f>
        <v/>
      </c>
      <c r="J2915" s="114" t="n"/>
      <c r="K2915" s="139">
        <f>IFERROR(IF(H2915&gt;0,H2915*$C$7,""),"")</f>
        <v/>
      </c>
      <c r="L2915" s="139">
        <f>IFERROR(IF(ISNUMBER(F2915),F2915-IF(ISNUMBER(K2915),K2915,0),""),"")</f>
        <v/>
      </c>
    </row>
    <row r="2916" ht="24" customHeight="1" s="63">
      <c r="E2916" s="139" t="n"/>
      <c r="F2916" s="139" t="n"/>
      <c r="G2916" s="140">
        <f>IFERROR(IF(E2916&gt;0,(F2916/E2916)*1000,""),"")</f>
        <v/>
      </c>
      <c r="H2916" s="139">
        <f>IFERROR(IF(E2916&gt;0,E2916*IF(ISNUMBER(J2916),J2916,IF(C2916="Futures",$C$6,$C$5)),""),"")</f>
        <v/>
      </c>
      <c r="I2916" s="139">
        <f>IFERROR(IF(AND(ISNUMBER(F2916),ISNUMBER(H2916)),F2916-H2916,""),"")</f>
        <v/>
      </c>
      <c r="J2916" s="114" t="n"/>
      <c r="K2916" s="139">
        <f>IFERROR(IF(H2916&gt;0,H2916*$C$7,""),"")</f>
        <v/>
      </c>
      <c r="L2916" s="139">
        <f>IFERROR(IF(ISNUMBER(F2916),F2916-IF(ISNUMBER(K2916),K2916,0),""),"")</f>
        <v/>
      </c>
    </row>
    <row r="2917" ht="24" customHeight="1" s="63">
      <c r="E2917" s="139" t="n"/>
      <c r="F2917" s="139" t="n"/>
      <c r="G2917" s="140">
        <f>IFERROR(IF(E2917&gt;0,(F2917/E2917)*1000,""),"")</f>
        <v/>
      </c>
      <c r="H2917" s="139">
        <f>IFERROR(IF(E2917&gt;0,E2917*IF(ISNUMBER(J2917),J2917,IF(C2917="Futures",$C$6,$C$5)),""),"")</f>
        <v/>
      </c>
      <c r="I2917" s="139">
        <f>IFERROR(IF(AND(ISNUMBER(F2917),ISNUMBER(H2917)),F2917-H2917,""),"")</f>
        <v/>
      </c>
      <c r="J2917" s="114" t="n"/>
      <c r="K2917" s="139">
        <f>IFERROR(IF(H2917&gt;0,H2917*$C$7,""),"")</f>
        <v/>
      </c>
      <c r="L2917" s="139">
        <f>IFERROR(IF(ISNUMBER(F2917),F2917-IF(ISNUMBER(K2917),K2917,0),""),"")</f>
        <v/>
      </c>
    </row>
    <row r="2918" ht="24" customHeight="1" s="63">
      <c r="E2918" s="139" t="n"/>
      <c r="F2918" s="139" t="n"/>
      <c r="G2918" s="140">
        <f>IFERROR(IF(E2918&gt;0,(F2918/E2918)*1000,""),"")</f>
        <v/>
      </c>
      <c r="H2918" s="139">
        <f>IFERROR(IF(E2918&gt;0,E2918*IF(ISNUMBER(J2918),J2918,IF(C2918="Futures",$C$6,$C$5)),""),"")</f>
        <v/>
      </c>
      <c r="I2918" s="139">
        <f>IFERROR(IF(AND(ISNUMBER(F2918),ISNUMBER(H2918)),F2918-H2918,""),"")</f>
        <v/>
      </c>
      <c r="J2918" s="114" t="n"/>
      <c r="K2918" s="139">
        <f>IFERROR(IF(H2918&gt;0,H2918*$C$7,""),"")</f>
        <v/>
      </c>
      <c r="L2918" s="139">
        <f>IFERROR(IF(ISNUMBER(F2918),F2918-IF(ISNUMBER(K2918),K2918,0),""),"")</f>
        <v/>
      </c>
    </row>
    <row r="2919" ht="24" customHeight="1" s="63">
      <c r="E2919" s="139" t="n"/>
      <c r="F2919" s="139" t="n"/>
      <c r="G2919" s="140">
        <f>IFERROR(IF(E2919&gt;0,(F2919/E2919)*1000,""),"")</f>
        <v/>
      </c>
      <c r="H2919" s="139">
        <f>IFERROR(IF(E2919&gt;0,E2919*IF(ISNUMBER(J2919),J2919,IF(C2919="Futures",$C$6,$C$5)),""),"")</f>
        <v/>
      </c>
      <c r="I2919" s="139">
        <f>IFERROR(IF(AND(ISNUMBER(F2919),ISNUMBER(H2919)),F2919-H2919,""),"")</f>
        <v/>
      </c>
      <c r="J2919" s="114" t="n"/>
      <c r="K2919" s="139">
        <f>IFERROR(IF(H2919&gt;0,H2919*$C$7,""),"")</f>
        <v/>
      </c>
      <c r="L2919" s="139">
        <f>IFERROR(IF(ISNUMBER(F2919),F2919-IF(ISNUMBER(K2919),K2919,0),""),"")</f>
        <v/>
      </c>
    </row>
    <row r="2920" ht="24" customHeight="1" s="63">
      <c r="E2920" s="139" t="n"/>
      <c r="F2920" s="139" t="n"/>
      <c r="G2920" s="140">
        <f>IFERROR(IF(E2920&gt;0,(F2920/E2920)*1000,""),"")</f>
        <v/>
      </c>
      <c r="H2920" s="139">
        <f>IFERROR(IF(E2920&gt;0,E2920*IF(ISNUMBER(J2920),J2920,IF(C2920="Futures",$C$6,$C$5)),""),"")</f>
        <v/>
      </c>
      <c r="I2920" s="139">
        <f>IFERROR(IF(AND(ISNUMBER(F2920),ISNUMBER(H2920)),F2920-H2920,""),"")</f>
        <v/>
      </c>
      <c r="J2920" s="114" t="n"/>
      <c r="K2920" s="139">
        <f>IFERROR(IF(H2920&gt;0,H2920*$C$7,""),"")</f>
        <v/>
      </c>
      <c r="L2920" s="139">
        <f>IFERROR(IF(ISNUMBER(F2920),F2920-IF(ISNUMBER(K2920),K2920,0),""),"")</f>
        <v/>
      </c>
    </row>
    <row r="2921" ht="24" customHeight="1" s="63">
      <c r="E2921" s="139" t="n"/>
      <c r="F2921" s="139" t="n"/>
      <c r="G2921" s="140">
        <f>IFERROR(IF(E2921&gt;0,(F2921/E2921)*1000,""),"")</f>
        <v/>
      </c>
      <c r="H2921" s="139">
        <f>IFERROR(IF(E2921&gt;0,E2921*IF(ISNUMBER(J2921),J2921,IF(C2921="Futures",$C$6,$C$5)),""),"")</f>
        <v/>
      </c>
      <c r="I2921" s="139">
        <f>IFERROR(IF(AND(ISNUMBER(F2921),ISNUMBER(H2921)),F2921-H2921,""),"")</f>
        <v/>
      </c>
      <c r="J2921" s="114" t="n"/>
      <c r="K2921" s="139">
        <f>IFERROR(IF(H2921&gt;0,H2921*$C$7,""),"")</f>
        <v/>
      </c>
      <c r="L2921" s="139">
        <f>IFERROR(IF(ISNUMBER(F2921),F2921-IF(ISNUMBER(K2921),K2921,0),""),"")</f>
        <v/>
      </c>
    </row>
    <row r="2922" ht="24" customHeight="1" s="63">
      <c r="E2922" s="139" t="n"/>
      <c r="F2922" s="139" t="n"/>
      <c r="G2922" s="140">
        <f>IFERROR(IF(E2922&gt;0,(F2922/E2922)*1000,""),"")</f>
        <v/>
      </c>
      <c r="H2922" s="139">
        <f>IFERROR(IF(E2922&gt;0,E2922*IF(ISNUMBER(J2922),J2922,IF(C2922="Futures",$C$6,$C$5)),""),"")</f>
        <v/>
      </c>
      <c r="I2922" s="139">
        <f>IFERROR(IF(AND(ISNUMBER(F2922),ISNUMBER(H2922)),F2922-H2922,""),"")</f>
        <v/>
      </c>
      <c r="J2922" s="114" t="n"/>
      <c r="K2922" s="139">
        <f>IFERROR(IF(H2922&gt;0,H2922*$C$7,""),"")</f>
        <v/>
      </c>
      <c r="L2922" s="139">
        <f>IFERROR(IF(ISNUMBER(F2922),F2922-IF(ISNUMBER(K2922),K2922,0),""),"")</f>
        <v/>
      </c>
    </row>
    <row r="2923" ht="24" customHeight="1" s="63">
      <c r="E2923" s="139" t="n"/>
      <c r="F2923" s="139" t="n"/>
      <c r="G2923" s="140">
        <f>IFERROR(IF(E2923&gt;0,(F2923/E2923)*1000,""),"")</f>
        <v/>
      </c>
      <c r="H2923" s="139">
        <f>IFERROR(IF(E2923&gt;0,E2923*IF(ISNUMBER(J2923),J2923,IF(C2923="Futures",$C$6,$C$5)),""),"")</f>
        <v/>
      </c>
      <c r="I2923" s="139">
        <f>IFERROR(IF(AND(ISNUMBER(F2923),ISNUMBER(H2923)),F2923-H2923,""),"")</f>
        <v/>
      </c>
      <c r="J2923" s="114" t="n"/>
      <c r="K2923" s="139">
        <f>IFERROR(IF(H2923&gt;0,H2923*$C$7,""),"")</f>
        <v/>
      </c>
      <c r="L2923" s="139">
        <f>IFERROR(IF(ISNUMBER(F2923),F2923-IF(ISNUMBER(K2923),K2923,0),""),"")</f>
        <v/>
      </c>
    </row>
    <row r="2924" ht="24" customHeight="1" s="63">
      <c r="E2924" s="139" t="n"/>
      <c r="F2924" s="139" t="n"/>
      <c r="G2924" s="140">
        <f>IFERROR(IF(E2924&gt;0,(F2924/E2924)*1000,""),"")</f>
        <v/>
      </c>
      <c r="H2924" s="139">
        <f>IFERROR(IF(E2924&gt;0,E2924*IF(ISNUMBER(J2924),J2924,IF(C2924="Futures",$C$6,$C$5)),""),"")</f>
        <v/>
      </c>
      <c r="I2924" s="139">
        <f>IFERROR(IF(AND(ISNUMBER(F2924),ISNUMBER(H2924)),F2924-H2924,""),"")</f>
        <v/>
      </c>
      <c r="J2924" s="114" t="n"/>
      <c r="K2924" s="139">
        <f>IFERROR(IF(H2924&gt;0,H2924*$C$7,""),"")</f>
        <v/>
      </c>
      <c r="L2924" s="139">
        <f>IFERROR(IF(ISNUMBER(F2924),F2924-IF(ISNUMBER(K2924),K2924,0),""),"")</f>
        <v/>
      </c>
    </row>
    <row r="2925" ht="24" customHeight="1" s="63">
      <c r="E2925" s="139" t="n"/>
      <c r="F2925" s="139" t="n"/>
      <c r="G2925" s="140">
        <f>IFERROR(IF(E2925&gt;0,(F2925/E2925)*1000,""),"")</f>
        <v/>
      </c>
      <c r="H2925" s="139">
        <f>IFERROR(IF(E2925&gt;0,E2925*IF(ISNUMBER(J2925),J2925,IF(C2925="Futures",$C$6,$C$5)),""),"")</f>
        <v/>
      </c>
      <c r="I2925" s="139">
        <f>IFERROR(IF(AND(ISNUMBER(F2925),ISNUMBER(H2925)),F2925-H2925,""),"")</f>
        <v/>
      </c>
      <c r="J2925" s="114" t="n"/>
      <c r="K2925" s="139">
        <f>IFERROR(IF(H2925&gt;0,H2925*$C$7,""),"")</f>
        <v/>
      </c>
      <c r="L2925" s="139">
        <f>IFERROR(IF(ISNUMBER(F2925),F2925-IF(ISNUMBER(K2925),K2925,0),""),"")</f>
        <v/>
      </c>
    </row>
    <row r="2926" ht="24" customHeight="1" s="63">
      <c r="E2926" s="139" t="n"/>
      <c r="F2926" s="139" t="n"/>
      <c r="G2926" s="140">
        <f>IFERROR(IF(E2926&gt;0,(F2926/E2926)*1000,""),"")</f>
        <v/>
      </c>
      <c r="H2926" s="139">
        <f>IFERROR(IF(E2926&gt;0,E2926*IF(ISNUMBER(J2926),J2926,IF(C2926="Futures",$C$6,$C$5)),""),"")</f>
        <v/>
      </c>
      <c r="I2926" s="139">
        <f>IFERROR(IF(AND(ISNUMBER(F2926),ISNUMBER(H2926)),F2926-H2926,""),"")</f>
        <v/>
      </c>
      <c r="J2926" s="114" t="n"/>
      <c r="K2926" s="139">
        <f>IFERROR(IF(H2926&gt;0,H2926*$C$7,""),"")</f>
        <v/>
      </c>
      <c r="L2926" s="139">
        <f>IFERROR(IF(ISNUMBER(F2926),F2926-IF(ISNUMBER(K2926),K2926,0),""),"")</f>
        <v/>
      </c>
    </row>
    <row r="2927" ht="24" customHeight="1" s="63">
      <c r="E2927" s="139" t="n"/>
      <c r="F2927" s="139" t="n"/>
      <c r="G2927" s="140">
        <f>IFERROR(IF(E2927&gt;0,(F2927/E2927)*1000,""),"")</f>
        <v/>
      </c>
      <c r="H2927" s="139">
        <f>IFERROR(IF(E2927&gt;0,E2927*IF(ISNUMBER(J2927),J2927,IF(C2927="Futures",$C$6,$C$5)),""),"")</f>
        <v/>
      </c>
      <c r="I2927" s="139">
        <f>IFERROR(IF(AND(ISNUMBER(F2927),ISNUMBER(H2927)),F2927-H2927,""),"")</f>
        <v/>
      </c>
      <c r="J2927" s="114" t="n"/>
      <c r="K2927" s="139">
        <f>IFERROR(IF(H2927&gt;0,H2927*$C$7,""),"")</f>
        <v/>
      </c>
      <c r="L2927" s="139">
        <f>IFERROR(IF(ISNUMBER(F2927),F2927-IF(ISNUMBER(K2927),K2927,0),""),"")</f>
        <v/>
      </c>
    </row>
    <row r="2928" ht="24" customHeight="1" s="63">
      <c r="E2928" s="139" t="n"/>
      <c r="F2928" s="139" t="n"/>
      <c r="G2928" s="140">
        <f>IFERROR(IF(E2928&gt;0,(F2928/E2928)*1000,""),"")</f>
        <v/>
      </c>
      <c r="H2928" s="139">
        <f>IFERROR(IF(E2928&gt;0,E2928*IF(ISNUMBER(J2928),J2928,IF(C2928="Futures",$C$6,$C$5)),""),"")</f>
        <v/>
      </c>
      <c r="I2928" s="139">
        <f>IFERROR(IF(AND(ISNUMBER(F2928),ISNUMBER(H2928)),F2928-H2928,""),"")</f>
        <v/>
      </c>
      <c r="J2928" s="114" t="n"/>
      <c r="K2928" s="139">
        <f>IFERROR(IF(H2928&gt;0,H2928*$C$7,""),"")</f>
        <v/>
      </c>
      <c r="L2928" s="139">
        <f>IFERROR(IF(ISNUMBER(F2928),F2928-IF(ISNUMBER(K2928),K2928,0),""),"")</f>
        <v/>
      </c>
    </row>
    <row r="2929" ht="24" customHeight="1" s="63">
      <c r="E2929" s="139" t="n"/>
      <c r="F2929" s="139" t="n"/>
      <c r="G2929" s="140">
        <f>IFERROR(IF(E2929&gt;0,(F2929/E2929)*1000,""),"")</f>
        <v/>
      </c>
      <c r="H2929" s="139">
        <f>IFERROR(IF(E2929&gt;0,E2929*IF(ISNUMBER(J2929),J2929,IF(C2929="Futures",$C$6,$C$5)),""),"")</f>
        <v/>
      </c>
      <c r="I2929" s="139">
        <f>IFERROR(IF(AND(ISNUMBER(F2929),ISNUMBER(H2929)),F2929-H2929,""),"")</f>
        <v/>
      </c>
      <c r="J2929" s="114" t="n"/>
      <c r="K2929" s="139">
        <f>IFERROR(IF(H2929&gt;0,H2929*$C$7,""),"")</f>
        <v/>
      </c>
      <c r="L2929" s="139">
        <f>IFERROR(IF(ISNUMBER(F2929),F2929-IF(ISNUMBER(K2929),K2929,0),""),"")</f>
        <v/>
      </c>
    </row>
    <row r="2930" ht="24" customHeight="1" s="63">
      <c r="E2930" s="139" t="n"/>
      <c r="F2930" s="139" t="n"/>
      <c r="G2930" s="140">
        <f>IFERROR(IF(E2930&gt;0,(F2930/E2930)*1000,""),"")</f>
        <v/>
      </c>
      <c r="H2930" s="139">
        <f>IFERROR(IF(E2930&gt;0,E2930*IF(ISNUMBER(J2930),J2930,IF(C2930="Futures",$C$6,$C$5)),""),"")</f>
        <v/>
      </c>
      <c r="I2930" s="139">
        <f>IFERROR(IF(AND(ISNUMBER(F2930),ISNUMBER(H2930)),F2930-H2930,""),"")</f>
        <v/>
      </c>
      <c r="J2930" s="114" t="n"/>
      <c r="K2930" s="139">
        <f>IFERROR(IF(H2930&gt;0,H2930*$C$7,""),"")</f>
        <v/>
      </c>
      <c r="L2930" s="139">
        <f>IFERROR(IF(ISNUMBER(F2930),F2930-IF(ISNUMBER(K2930),K2930,0),""),"")</f>
        <v/>
      </c>
    </row>
    <row r="2931" ht="24" customHeight="1" s="63">
      <c r="E2931" s="139" t="n"/>
      <c r="F2931" s="139" t="n"/>
      <c r="G2931" s="140">
        <f>IFERROR(IF(E2931&gt;0,(F2931/E2931)*1000,""),"")</f>
        <v/>
      </c>
      <c r="H2931" s="139">
        <f>IFERROR(IF(E2931&gt;0,E2931*IF(ISNUMBER(J2931),J2931,IF(C2931="Futures",$C$6,$C$5)),""),"")</f>
        <v/>
      </c>
      <c r="I2931" s="139">
        <f>IFERROR(IF(AND(ISNUMBER(F2931),ISNUMBER(H2931)),F2931-H2931,""),"")</f>
        <v/>
      </c>
      <c r="J2931" s="114" t="n"/>
      <c r="K2931" s="139">
        <f>IFERROR(IF(H2931&gt;0,H2931*$C$7,""),"")</f>
        <v/>
      </c>
      <c r="L2931" s="139">
        <f>IFERROR(IF(ISNUMBER(F2931),F2931-IF(ISNUMBER(K2931),K2931,0),""),"")</f>
        <v/>
      </c>
    </row>
    <row r="2932" ht="24" customHeight="1" s="63">
      <c r="E2932" s="139" t="n"/>
      <c r="F2932" s="139" t="n"/>
      <c r="G2932" s="140">
        <f>IFERROR(IF(E2932&gt;0,(F2932/E2932)*1000,""),"")</f>
        <v/>
      </c>
      <c r="H2932" s="139">
        <f>IFERROR(IF(E2932&gt;0,E2932*IF(ISNUMBER(J2932),J2932,IF(C2932="Futures",$C$6,$C$5)),""),"")</f>
        <v/>
      </c>
      <c r="I2932" s="139">
        <f>IFERROR(IF(AND(ISNUMBER(F2932),ISNUMBER(H2932)),F2932-H2932,""),"")</f>
        <v/>
      </c>
      <c r="J2932" s="114" t="n"/>
      <c r="K2932" s="139">
        <f>IFERROR(IF(H2932&gt;0,H2932*$C$7,""),"")</f>
        <v/>
      </c>
      <c r="L2932" s="139">
        <f>IFERROR(IF(ISNUMBER(F2932),F2932-IF(ISNUMBER(K2932),K2932,0),""),"")</f>
        <v/>
      </c>
    </row>
    <row r="2933" ht="24" customHeight="1" s="63">
      <c r="E2933" s="139" t="n"/>
      <c r="F2933" s="139" t="n"/>
      <c r="G2933" s="140">
        <f>IFERROR(IF(E2933&gt;0,(F2933/E2933)*1000,""),"")</f>
        <v/>
      </c>
      <c r="H2933" s="139">
        <f>IFERROR(IF(E2933&gt;0,E2933*IF(ISNUMBER(J2933),J2933,IF(C2933="Futures",$C$6,$C$5)),""),"")</f>
        <v/>
      </c>
      <c r="I2933" s="139">
        <f>IFERROR(IF(AND(ISNUMBER(F2933),ISNUMBER(H2933)),F2933-H2933,""),"")</f>
        <v/>
      </c>
      <c r="J2933" s="114" t="n"/>
      <c r="K2933" s="139">
        <f>IFERROR(IF(H2933&gt;0,H2933*$C$7,""),"")</f>
        <v/>
      </c>
      <c r="L2933" s="139">
        <f>IFERROR(IF(ISNUMBER(F2933),F2933-IF(ISNUMBER(K2933),K2933,0),""),"")</f>
        <v/>
      </c>
    </row>
    <row r="2934" ht="24" customHeight="1" s="63">
      <c r="E2934" s="139" t="n"/>
      <c r="F2934" s="139" t="n"/>
      <c r="G2934" s="140">
        <f>IFERROR(IF(E2934&gt;0,(F2934/E2934)*1000,""),"")</f>
        <v/>
      </c>
      <c r="H2934" s="139">
        <f>IFERROR(IF(E2934&gt;0,E2934*IF(ISNUMBER(J2934),J2934,IF(C2934="Futures",$C$6,$C$5)),""),"")</f>
        <v/>
      </c>
      <c r="I2934" s="139">
        <f>IFERROR(IF(AND(ISNUMBER(F2934),ISNUMBER(H2934)),F2934-H2934,""),"")</f>
        <v/>
      </c>
      <c r="J2934" s="114" t="n"/>
      <c r="K2934" s="139">
        <f>IFERROR(IF(H2934&gt;0,H2934*$C$7,""),"")</f>
        <v/>
      </c>
      <c r="L2934" s="139">
        <f>IFERROR(IF(ISNUMBER(F2934),F2934-IF(ISNUMBER(K2934),K2934,0),""),"")</f>
        <v/>
      </c>
    </row>
    <row r="2935" ht="24" customHeight="1" s="63">
      <c r="E2935" s="139" t="n"/>
      <c r="F2935" s="139" t="n"/>
      <c r="G2935" s="140">
        <f>IFERROR(IF(E2935&gt;0,(F2935/E2935)*1000,""),"")</f>
        <v/>
      </c>
      <c r="H2935" s="139">
        <f>IFERROR(IF(E2935&gt;0,E2935*IF(ISNUMBER(J2935),J2935,IF(C2935="Futures",$C$6,$C$5)),""),"")</f>
        <v/>
      </c>
      <c r="I2935" s="139">
        <f>IFERROR(IF(AND(ISNUMBER(F2935),ISNUMBER(H2935)),F2935-H2935,""),"")</f>
        <v/>
      </c>
      <c r="J2935" s="114" t="n"/>
      <c r="K2935" s="139">
        <f>IFERROR(IF(H2935&gt;0,H2935*$C$7,""),"")</f>
        <v/>
      </c>
      <c r="L2935" s="139">
        <f>IFERROR(IF(ISNUMBER(F2935),F2935-IF(ISNUMBER(K2935),K2935,0),""),"")</f>
        <v/>
      </c>
    </row>
    <row r="2936" ht="24" customHeight="1" s="63">
      <c r="E2936" s="139" t="n"/>
      <c r="F2936" s="139" t="n"/>
      <c r="G2936" s="140">
        <f>IFERROR(IF(E2936&gt;0,(F2936/E2936)*1000,""),"")</f>
        <v/>
      </c>
      <c r="H2936" s="139">
        <f>IFERROR(IF(E2936&gt;0,E2936*IF(ISNUMBER(J2936),J2936,IF(C2936="Futures",$C$6,$C$5)),""),"")</f>
        <v/>
      </c>
      <c r="I2936" s="139">
        <f>IFERROR(IF(AND(ISNUMBER(F2936),ISNUMBER(H2936)),F2936-H2936,""),"")</f>
        <v/>
      </c>
      <c r="J2936" s="114" t="n"/>
      <c r="K2936" s="139">
        <f>IFERROR(IF(H2936&gt;0,H2936*$C$7,""),"")</f>
        <v/>
      </c>
      <c r="L2936" s="139">
        <f>IFERROR(IF(ISNUMBER(F2936),F2936-IF(ISNUMBER(K2936),K2936,0),""),"")</f>
        <v/>
      </c>
    </row>
    <row r="2937" ht="24" customHeight="1" s="63">
      <c r="E2937" s="139" t="n"/>
      <c r="F2937" s="139" t="n"/>
      <c r="G2937" s="140">
        <f>IFERROR(IF(E2937&gt;0,(F2937/E2937)*1000,""),"")</f>
        <v/>
      </c>
      <c r="H2937" s="139">
        <f>IFERROR(IF(E2937&gt;0,E2937*IF(ISNUMBER(J2937),J2937,IF(C2937="Futures",$C$6,$C$5)),""),"")</f>
        <v/>
      </c>
      <c r="I2937" s="139">
        <f>IFERROR(IF(AND(ISNUMBER(F2937),ISNUMBER(H2937)),F2937-H2937,""),"")</f>
        <v/>
      </c>
      <c r="J2937" s="114" t="n"/>
      <c r="K2937" s="139">
        <f>IFERROR(IF(H2937&gt;0,H2937*$C$7,""),"")</f>
        <v/>
      </c>
      <c r="L2937" s="139">
        <f>IFERROR(IF(ISNUMBER(F2937),F2937-IF(ISNUMBER(K2937),K2937,0),""),"")</f>
        <v/>
      </c>
    </row>
    <row r="2938" ht="24" customHeight="1" s="63">
      <c r="E2938" s="139" t="n"/>
      <c r="F2938" s="139" t="n"/>
      <c r="G2938" s="140">
        <f>IFERROR(IF(E2938&gt;0,(F2938/E2938)*1000,""),"")</f>
        <v/>
      </c>
      <c r="H2938" s="139">
        <f>IFERROR(IF(E2938&gt;0,E2938*IF(ISNUMBER(J2938),J2938,IF(C2938="Futures",$C$6,$C$5)),""),"")</f>
        <v/>
      </c>
      <c r="I2938" s="139">
        <f>IFERROR(IF(AND(ISNUMBER(F2938),ISNUMBER(H2938)),F2938-H2938,""),"")</f>
        <v/>
      </c>
      <c r="J2938" s="114" t="n"/>
      <c r="K2938" s="139">
        <f>IFERROR(IF(H2938&gt;0,H2938*$C$7,""),"")</f>
        <v/>
      </c>
      <c r="L2938" s="139">
        <f>IFERROR(IF(ISNUMBER(F2938),F2938-IF(ISNUMBER(K2938),K2938,0),""),"")</f>
        <v/>
      </c>
    </row>
    <row r="2939" ht="24" customHeight="1" s="63">
      <c r="E2939" s="139" t="n"/>
      <c r="F2939" s="139" t="n"/>
      <c r="G2939" s="140">
        <f>IFERROR(IF(E2939&gt;0,(F2939/E2939)*1000,""),"")</f>
        <v/>
      </c>
      <c r="H2939" s="139">
        <f>IFERROR(IF(E2939&gt;0,E2939*IF(ISNUMBER(J2939),J2939,IF(C2939="Futures",$C$6,$C$5)),""),"")</f>
        <v/>
      </c>
      <c r="I2939" s="139">
        <f>IFERROR(IF(AND(ISNUMBER(F2939),ISNUMBER(H2939)),F2939-H2939,""),"")</f>
        <v/>
      </c>
      <c r="J2939" s="114" t="n"/>
      <c r="K2939" s="139">
        <f>IFERROR(IF(H2939&gt;0,H2939*$C$7,""),"")</f>
        <v/>
      </c>
      <c r="L2939" s="139">
        <f>IFERROR(IF(ISNUMBER(F2939),F2939-IF(ISNUMBER(K2939),K2939,0),""),"")</f>
        <v/>
      </c>
    </row>
    <row r="2940" ht="24" customHeight="1" s="63">
      <c r="E2940" s="139" t="n"/>
      <c r="F2940" s="139" t="n"/>
      <c r="G2940" s="140">
        <f>IFERROR(IF(E2940&gt;0,(F2940/E2940)*1000,""),"")</f>
        <v/>
      </c>
      <c r="H2940" s="139">
        <f>IFERROR(IF(E2940&gt;0,E2940*IF(ISNUMBER(J2940),J2940,IF(C2940="Futures",$C$6,$C$5)),""),"")</f>
        <v/>
      </c>
      <c r="I2940" s="139">
        <f>IFERROR(IF(AND(ISNUMBER(F2940),ISNUMBER(H2940)),F2940-H2940,""),"")</f>
        <v/>
      </c>
      <c r="J2940" s="114" t="n"/>
      <c r="K2940" s="139">
        <f>IFERROR(IF(H2940&gt;0,H2940*$C$7,""),"")</f>
        <v/>
      </c>
      <c r="L2940" s="139">
        <f>IFERROR(IF(ISNUMBER(F2940),F2940-IF(ISNUMBER(K2940),K2940,0),""),"")</f>
        <v/>
      </c>
    </row>
    <row r="2941" ht="24" customHeight="1" s="63">
      <c r="E2941" s="139" t="n"/>
      <c r="F2941" s="139" t="n"/>
      <c r="G2941" s="140">
        <f>IFERROR(IF(E2941&gt;0,(F2941/E2941)*1000,""),"")</f>
        <v/>
      </c>
      <c r="H2941" s="139">
        <f>IFERROR(IF(E2941&gt;0,E2941*IF(ISNUMBER(J2941),J2941,IF(C2941="Futures",$C$6,$C$5)),""),"")</f>
        <v/>
      </c>
      <c r="I2941" s="139">
        <f>IFERROR(IF(AND(ISNUMBER(F2941),ISNUMBER(H2941)),F2941-H2941,""),"")</f>
        <v/>
      </c>
      <c r="J2941" s="114" t="n"/>
      <c r="K2941" s="139">
        <f>IFERROR(IF(H2941&gt;0,H2941*$C$7,""),"")</f>
        <v/>
      </c>
      <c r="L2941" s="139">
        <f>IFERROR(IF(ISNUMBER(F2941),F2941-IF(ISNUMBER(K2941),K2941,0),""),"")</f>
        <v/>
      </c>
    </row>
    <row r="2942" ht="24" customHeight="1" s="63">
      <c r="E2942" s="139" t="n"/>
      <c r="F2942" s="139" t="n"/>
      <c r="G2942" s="140">
        <f>IFERROR(IF(E2942&gt;0,(F2942/E2942)*1000,""),"")</f>
        <v/>
      </c>
      <c r="H2942" s="139">
        <f>IFERROR(IF(E2942&gt;0,E2942*IF(ISNUMBER(J2942),J2942,IF(C2942="Futures",$C$6,$C$5)),""),"")</f>
        <v/>
      </c>
      <c r="I2942" s="139">
        <f>IFERROR(IF(AND(ISNUMBER(F2942),ISNUMBER(H2942)),F2942-H2942,""),"")</f>
        <v/>
      </c>
      <c r="J2942" s="114" t="n"/>
      <c r="K2942" s="139">
        <f>IFERROR(IF(H2942&gt;0,H2942*$C$7,""),"")</f>
        <v/>
      </c>
      <c r="L2942" s="139">
        <f>IFERROR(IF(ISNUMBER(F2942),F2942-IF(ISNUMBER(K2942),K2942,0),""),"")</f>
        <v/>
      </c>
    </row>
    <row r="2943" ht="24" customHeight="1" s="63">
      <c r="E2943" s="139" t="n"/>
      <c r="F2943" s="139" t="n"/>
      <c r="G2943" s="140">
        <f>IFERROR(IF(E2943&gt;0,(F2943/E2943)*1000,""),"")</f>
        <v/>
      </c>
      <c r="H2943" s="139">
        <f>IFERROR(IF(E2943&gt;0,E2943*IF(ISNUMBER(J2943),J2943,IF(C2943="Futures",$C$6,$C$5)),""),"")</f>
        <v/>
      </c>
      <c r="I2943" s="139">
        <f>IFERROR(IF(AND(ISNUMBER(F2943),ISNUMBER(H2943)),F2943-H2943,""),"")</f>
        <v/>
      </c>
      <c r="J2943" s="114" t="n"/>
      <c r="K2943" s="139">
        <f>IFERROR(IF(H2943&gt;0,H2943*$C$7,""),"")</f>
        <v/>
      </c>
      <c r="L2943" s="139">
        <f>IFERROR(IF(ISNUMBER(F2943),F2943-IF(ISNUMBER(K2943),K2943,0),""),"")</f>
        <v/>
      </c>
    </row>
    <row r="2944" ht="24" customHeight="1" s="63">
      <c r="E2944" s="139" t="n"/>
      <c r="F2944" s="139" t="n"/>
      <c r="G2944" s="140">
        <f>IFERROR(IF(E2944&gt;0,(F2944/E2944)*1000,""),"")</f>
        <v/>
      </c>
      <c r="H2944" s="139">
        <f>IFERROR(IF(E2944&gt;0,E2944*IF(ISNUMBER(J2944),J2944,IF(C2944="Futures",$C$6,$C$5)),""),"")</f>
        <v/>
      </c>
      <c r="I2944" s="139">
        <f>IFERROR(IF(AND(ISNUMBER(F2944),ISNUMBER(H2944)),F2944-H2944,""),"")</f>
        <v/>
      </c>
      <c r="J2944" s="114" t="n"/>
      <c r="K2944" s="139">
        <f>IFERROR(IF(H2944&gt;0,H2944*$C$7,""),"")</f>
        <v/>
      </c>
      <c r="L2944" s="139">
        <f>IFERROR(IF(ISNUMBER(F2944),F2944-IF(ISNUMBER(K2944),K2944,0),""),"")</f>
        <v/>
      </c>
    </row>
    <row r="2945" ht="24" customHeight="1" s="63">
      <c r="E2945" s="139" t="n"/>
      <c r="F2945" s="139" t="n"/>
      <c r="G2945" s="140">
        <f>IFERROR(IF(E2945&gt;0,(F2945/E2945)*1000,""),"")</f>
        <v/>
      </c>
      <c r="H2945" s="139">
        <f>IFERROR(IF(E2945&gt;0,E2945*IF(ISNUMBER(J2945),J2945,IF(C2945="Futures",$C$6,$C$5)),""),"")</f>
        <v/>
      </c>
      <c r="I2945" s="139">
        <f>IFERROR(IF(AND(ISNUMBER(F2945),ISNUMBER(H2945)),F2945-H2945,""),"")</f>
        <v/>
      </c>
      <c r="J2945" s="114" t="n"/>
      <c r="K2945" s="139">
        <f>IFERROR(IF(H2945&gt;0,H2945*$C$7,""),"")</f>
        <v/>
      </c>
      <c r="L2945" s="139">
        <f>IFERROR(IF(ISNUMBER(F2945),F2945-IF(ISNUMBER(K2945),K2945,0),""),"")</f>
        <v/>
      </c>
    </row>
    <row r="2946" ht="24" customHeight="1" s="63">
      <c r="E2946" s="139" t="n"/>
      <c r="F2946" s="139" t="n"/>
      <c r="G2946" s="140">
        <f>IFERROR(IF(E2946&gt;0,(F2946/E2946)*1000,""),"")</f>
        <v/>
      </c>
      <c r="H2946" s="139">
        <f>IFERROR(IF(E2946&gt;0,E2946*IF(ISNUMBER(J2946),J2946,IF(C2946="Futures",$C$6,$C$5)),""),"")</f>
        <v/>
      </c>
      <c r="I2946" s="139">
        <f>IFERROR(IF(AND(ISNUMBER(F2946),ISNUMBER(H2946)),F2946-H2946,""),"")</f>
        <v/>
      </c>
      <c r="J2946" s="114" t="n"/>
      <c r="K2946" s="139">
        <f>IFERROR(IF(H2946&gt;0,H2946*$C$7,""),"")</f>
        <v/>
      </c>
      <c r="L2946" s="139">
        <f>IFERROR(IF(ISNUMBER(F2946),F2946-IF(ISNUMBER(K2946),K2946,0),""),"")</f>
        <v/>
      </c>
    </row>
    <row r="2947" ht="24" customHeight="1" s="63">
      <c r="E2947" s="139" t="n"/>
      <c r="F2947" s="139" t="n"/>
      <c r="G2947" s="140">
        <f>IFERROR(IF(E2947&gt;0,(F2947/E2947)*1000,""),"")</f>
        <v/>
      </c>
      <c r="H2947" s="139">
        <f>IFERROR(IF(E2947&gt;0,E2947*IF(ISNUMBER(J2947),J2947,IF(C2947="Futures",$C$6,$C$5)),""),"")</f>
        <v/>
      </c>
      <c r="I2947" s="139">
        <f>IFERROR(IF(AND(ISNUMBER(F2947),ISNUMBER(H2947)),F2947-H2947,""),"")</f>
        <v/>
      </c>
      <c r="J2947" s="114" t="n"/>
      <c r="K2947" s="139">
        <f>IFERROR(IF(H2947&gt;0,H2947*$C$7,""),"")</f>
        <v/>
      </c>
      <c r="L2947" s="139">
        <f>IFERROR(IF(ISNUMBER(F2947),F2947-IF(ISNUMBER(K2947),K2947,0),""),"")</f>
        <v/>
      </c>
    </row>
    <row r="2948" ht="24" customHeight="1" s="63">
      <c r="E2948" s="139" t="n"/>
      <c r="F2948" s="139" t="n"/>
      <c r="G2948" s="140">
        <f>IFERROR(IF(E2948&gt;0,(F2948/E2948)*1000,""),"")</f>
        <v/>
      </c>
      <c r="H2948" s="139">
        <f>IFERROR(IF(E2948&gt;0,E2948*IF(ISNUMBER(J2948),J2948,IF(C2948="Futures",$C$6,$C$5)),""),"")</f>
        <v/>
      </c>
      <c r="I2948" s="139">
        <f>IFERROR(IF(AND(ISNUMBER(F2948),ISNUMBER(H2948)),F2948-H2948,""),"")</f>
        <v/>
      </c>
      <c r="J2948" s="114" t="n"/>
      <c r="K2948" s="139">
        <f>IFERROR(IF(H2948&gt;0,H2948*$C$7,""),"")</f>
        <v/>
      </c>
      <c r="L2948" s="139">
        <f>IFERROR(IF(ISNUMBER(F2948),F2948-IF(ISNUMBER(K2948),K2948,0),""),"")</f>
        <v/>
      </c>
    </row>
    <row r="2949" ht="24" customHeight="1" s="63">
      <c r="E2949" s="139" t="n"/>
      <c r="F2949" s="139" t="n"/>
      <c r="G2949" s="140">
        <f>IFERROR(IF(E2949&gt;0,(F2949/E2949)*1000,""),"")</f>
        <v/>
      </c>
      <c r="H2949" s="139">
        <f>IFERROR(IF(E2949&gt;0,E2949*IF(ISNUMBER(J2949),J2949,IF(C2949="Futures",$C$6,$C$5)),""),"")</f>
        <v/>
      </c>
      <c r="I2949" s="139">
        <f>IFERROR(IF(AND(ISNUMBER(F2949),ISNUMBER(H2949)),F2949-H2949,""),"")</f>
        <v/>
      </c>
      <c r="J2949" s="114" t="n"/>
      <c r="K2949" s="139">
        <f>IFERROR(IF(H2949&gt;0,H2949*$C$7,""),"")</f>
        <v/>
      </c>
      <c r="L2949" s="139">
        <f>IFERROR(IF(ISNUMBER(F2949),F2949-IF(ISNUMBER(K2949),K2949,0),""),"")</f>
        <v/>
      </c>
    </row>
    <row r="2950" ht="24" customHeight="1" s="63">
      <c r="E2950" s="139" t="n"/>
      <c r="F2950" s="139" t="n"/>
      <c r="G2950" s="140">
        <f>IFERROR(IF(E2950&gt;0,(F2950/E2950)*1000,""),"")</f>
        <v/>
      </c>
      <c r="H2950" s="139">
        <f>IFERROR(IF(E2950&gt;0,E2950*IF(ISNUMBER(J2950),J2950,IF(C2950="Futures",$C$6,$C$5)),""),"")</f>
        <v/>
      </c>
      <c r="I2950" s="139">
        <f>IFERROR(IF(AND(ISNUMBER(F2950),ISNUMBER(H2950)),F2950-H2950,""),"")</f>
        <v/>
      </c>
      <c r="J2950" s="114" t="n"/>
      <c r="K2950" s="139">
        <f>IFERROR(IF(H2950&gt;0,H2950*$C$7,""),"")</f>
        <v/>
      </c>
      <c r="L2950" s="139">
        <f>IFERROR(IF(ISNUMBER(F2950),F2950-IF(ISNUMBER(K2950),K2950,0),""),"")</f>
        <v/>
      </c>
    </row>
    <row r="2951" ht="24" customHeight="1" s="63">
      <c r="E2951" s="139" t="n"/>
      <c r="F2951" s="139" t="n"/>
      <c r="G2951" s="140">
        <f>IFERROR(IF(E2951&gt;0,(F2951/E2951)*1000,""),"")</f>
        <v/>
      </c>
      <c r="H2951" s="139">
        <f>IFERROR(IF(E2951&gt;0,E2951*IF(ISNUMBER(J2951),J2951,IF(C2951="Futures",$C$6,$C$5)),""),"")</f>
        <v/>
      </c>
      <c r="I2951" s="139">
        <f>IFERROR(IF(AND(ISNUMBER(F2951),ISNUMBER(H2951)),F2951-H2951,""),"")</f>
        <v/>
      </c>
      <c r="J2951" s="114" t="n"/>
      <c r="K2951" s="139">
        <f>IFERROR(IF(H2951&gt;0,H2951*$C$7,""),"")</f>
        <v/>
      </c>
      <c r="L2951" s="139">
        <f>IFERROR(IF(ISNUMBER(F2951),F2951-IF(ISNUMBER(K2951),K2951,0),""),"")</f>
        <v/>
      </c>
    </row>
    <row r="2952" ht="24" customHeight="1" s="63">
      <c r="E2952" s="139" t="n"/>
      <c r="F2952" s="139" t="n"/>
      <c r="G2952" s="140">
        <f>IFERROR(IF(E2952&gt;0,(F2952/E2952)*1000,""),"")</f>
        <v/>
      </c>
      <c r="H2952" s="139">
        <f>IFERROR(IF(E2952&gt;0,E2952*IF(ISNUMBER(J2952),J2952,IF(C2952="Futures",$C$6,$C$5)),""),"")</f>
        <v/>
      </c>
      <c r="I2952" s="139">
        <f>IFERROR(IF(AND(ISNUMBER(F2952),ISNUMBER(H2952)),F2952-H2952,""),"")</f>
        <v/>
      </c>
      <c r="J2952" s="114" t="n"/>
      <c r="K2952" s="139">
        <f>IFERROR(IF(H2952&gt;0,H2952*$C$7,""),"")</f>
        <v/>
      </c>
      <c r="L2952" s="139">
        <f>IFERROR(IF(ISNUMBER(F2952),F2952-IF(ISNUMBER(K2952),K2952,0),""),"")</f>
        <v/>
      </c>
    </row>
    <row r="2953" ht="24" customHeight="1" s="63">
      <c r="E2953" s="139" t="n"/>
      <c r="F2953" s="139" t="n"/>
      <c r="G2953" s="140">
        <f>IFERROR(IF(E2953&gt;0,(F2953/E2953)*1000,""),"")</f>
        <v/>
      </c>
      <c r="H2953" s="139">
        <f>IFERROR(IF(E2953&gt;0,E2953*IF(ISNUMBER(J2953),J2953,IF(C2953="Futures",$C$6,$C$5)),""),"")</f>
        <v/>
      </c>
      <c r="I2953" s="139">
        <f>IFERROR(IF(AND(ISNUMBER(F2953),ISNUMBER(H2953)),F2953-H2953,""),"")</f>
        <v/>
      </c>
      <c r="J2953" s="114" t="n"/>
      <c r="K2953" s="139">
        <f>IFERROR(IF(H2953&gt;0,H2953*$C$7,""),"")</f>
        <v/>
      </c>
      <c r="L2953" s="139">
        <f>IFERROR(IF(ISNUMBER(F2953),F2953-IF(ISNUMBER(K2953),K2953,0),""),"")</f>
        <v/>
      </c>
    </row>
    <row r="2954" ht="24" customHeight="1" s="63">
      <c r="E2954" s="139" t="n"/>
      <c r="F2954" s="139" t="n"/>
      <c r="G2954" s="140">
        <f>IFERROR(IF(E2954&gt;0,(F2954/E2954)*1000,""),"")</f>
        <v/>
      </c>
      <c r="H2954" s="139">
        <f>IFERROR(IF(E2954&gt;0,E2954*IF(ISNUMBER(J2954),J2954,IF(C2954="Futures",$C$6,$C$5)),""),"")</f>
        <v/>
      </c>
      <c r="I2954" s="139">
        <f>IFERROR(IF(AND(ISNUMBER(F2954),ISNUMBER(H2954)),F2954-H2954,""),"")</f>
        <v/>
      </c>
      <c r="J2954" s="114" t="n"/>
      <c r="K2954" s="139">
        <f>IFERROR(IF(H2954&gt;0,H2954*$C$7,""),"")</f>
        <v/>
      </c>
      <c r="L2954" s="139">
        <f>IFERROR(IF(ISNUMBER(F2954),F2954-IF(ISNUMBER(K2954),K2954,0),""),"")</f>
        <v/>
      </c>
    </row>
    <row r="2955" ht="24" customHeight="1" s="63">
      <c r="E2955" s="139" t="n"/>
      <c r="F2955" s="139" t="n"/>
      <c r="G2955" s="140">
        <f>IFERROR(IF(E2955&gt;0,(F2955/E2955)*1000,""),"")</f>
        <v/>
      </c>
      <c r="H2955" s="139">
        <f>IFERROR(IF(E2955&gt;0,E2955*IF(ISNUMBER(J2955),J2955,IF(C2955="Futures",$C$6,$C$5)),""),"")</f>
        <v/>
      </c>
      <c r="I2955" s="139">
        <f>IFERROR(IF(AND(ISNUMBER(F2955),ISNUMBER(H2955)),F2955-H2955,""),"")</f>
        <v/>
      </c>
      <c r="J2955" s="114" t="n"/>
      <c r="K2955" s="139">
        <f>IFERROR(IF(H2955&gt;0,H2955*$C$7,""),"")</f>
        <v/>
      </c>
      <c r="L2955" s="139">
        <f>IFERROR(IF(ISNUMBER(F2955),F2955-IF(ISNUMBER(K2955),K2955,0),""),"")</f>
        <v/>
      </c>
    </row>
    <row r="2956" ht="24" customHeight="1" s="63">
      <c r="E2956" s="139" t="n"/>
      <c r="F2956" s="139" t="n"/>
      <c r="G2956" s="140">
        <f>IFERROR(IF(E2956&gt;0,(F2956/E2956)*1000,""),"")</f>
        <v/>
      </c>
      <c r="H2956" s="139">
        <f>IFERROR(IF(E2956&gt;0,E2956*IF(ISNUMBER(J2956),J2956,IF(C2956="Futures",$C$6,$C$5)),""),"")</f>
        <v/>
      </c>
      <c r="I2956" s="139">
        <f>IFERROR(IF(AND(ISNUMBER(F2956),ISNUMBER(H2956)),F2956-H2956,""),"")</f>
        <v/>
      </c>
      <c r="J2956" s="114" t="n"/>
      <c r="K2956" s="139">
        <f>IFERROR(IF(H2956&gt;0,H2956*$C$7,""),"")</f>
        <v/>
      </c>
      <c r="L2956" s="139">
        <f>IFERROR(IF(ISNUMBER(F2956),F2956-IF(ISNUMBER(K2956),K2956,0),""),"")</f>
        <v/>
      </c>
    </row>
    <row r="2957" ht="24" customHeight="1" s="63">
      <c r="E2957" s="139" t="n"/>
      <c r="F2957" s="139" t="n"/>
      <c r="G2957" s="140">
        <f>IFERROR(IF(E2957&gt;0,(F2957/E2957)*1000,""),"")</f>
        <v/>
      </c>
      <c r="H2957" s="139">
        <f>IFERROR(IF(E2957&gt;0,E2957*IF(ISNUMBER(J2957),J2957,IF(C2957="Futures",$C$6,$C$5)),""),"")</f>
        <v/>
      </c>
      <c r="I2957" s="139">
        <f>IFERROR(IF(AND(ISNUMBER(F2957),ISNUMBER(H2957)),F2957-H2957,""),"")</f>
        <v/>
      </c>
      <c r="J2957" s="114" t="n"/>
      <c r="K2957" s="139">
        <f>IFERROR(IF(H2957&gt;0,H2957*$C$7,""),"")</f>
        <v/>
      </c>
      <c r="L2957" s="139">
        <f>IFERROR(IF(ISNUMBER(F2957),F2957-IF(ISNUMBER(K2957),K2957,0),""),"")</f>
        <v/>
      </c>
    </row>
    <row r="2958" ht="24" customHeight="1" s="63">
      <c r="E2958" s="139" t="n"/>
      <c r="F2958" s="139" t="n"/>
      <c r="G2958" s="140">
        <f>IFERROR(IF(E2958&gt;0,(F2958/E2958)*1000,""),"")</f>
        <v/>
      </c>
      <c r="H2958" s="139">
        <f>IFERROR(IF(E2958&gt;0,E2958*IF(ISNUMBER(J2958),J2958,IF(C2958="Futures",$C$6,$C$5)),""),"")</f>
        <v/>
      </c>
      <c r="I2958" s="139">
        <f>IFERROR(IF(AND(ISNUMBER(F2958),ISNUMBER(H2958)),F2958-H2958,""),"")</f>
        <v/>
      </c>
      <c r="J2958" s="114" t="n"/>
      <c r="K2958" s="139">
        <f>IFERROR(IF(H2958&gt;0,H2958*$C$7,""),"")</f>
        <v/>
      </c>
      <c r="L2958" s="139">
        <f>IFERROR(IF(ISNUMBER(F2958),F2958-IF(ISNUMBER(K2958),K2958,0),""),"")</f>
        <v/>
      </c>
    </row>
    <row r="2959" ht="24" customHeight="1" s="63">
      <c r="E2959" s="139" t="n"/>
      <c r="F2959" s="139" t="n"/>
      <c r="G2959" s="140">
        <f>IFERROR(IF(E2959&gt;0,(F2959/E2959)*1000,""),"")</f>
        <v/>
      </c>
      <c r="H2959" s="139">
        <f>IFERROR(IF(E2959&gt;0,E2959*IF(ISNUMBER(J2959),J2959,IF(C2959="Futures",$C$6,$C$5)),""),"")</f>
        <v/>
      </c>
      <c r="I2959" s="139">
        <f>IFERROR(IF(AND(ISNUMBER(F2959),ISNUMBER(H2959)),F2959-H2959,""),"")</f>
        <v/>
      </c>
      <c r="J2959" s="114" t="n"/>
      <c r="K2959" s="139">
        <f>IFERROR(IF(H2959&gt;0,H2959*$C$7,""),"")</f>
        <v/>
      </c>
      <c r="L2959" s="139">
        <f>IFERROR(IF(ISNUMBER(F2959),F2959-IF(ISNUMBER(K2959),K2959,0),""),"")</f>
        <v/>
      </c>
    </row>
    <row r="2960" ht="24" customHeight="1" s="63">
      <c r="E2960" s="139" t="n"/>
      <c r="F2960" s="139" t="n"/>
      <c r="G2960" s="140">
        <f>IFERROR(IF(E2960&gt;0,(F2960/E2960)*1000,""),"")</f>
        <v/>
      </c>
      <c r="H2960" s="139">
        <f>IFERROR(IF(E2960&gt;0,E2960*IF(ISNUMBER(J2960),J2960,IF(C2960="Futures",$C$6,$C$5)),""),"")</f>
        <v/>
      </c>
      <c r="I2960" s="139">
        <f>IFERROR(IF(AND(ISNUMBER(F2960),ISNUMBER(H2960)),F2960-H2960,""),"")</f>
        <v/>
      </c>
      <c r="J2960" s="114" t="n"/>
      <c r="K2960" s="139">
        <f>IFERROR(IF(H2960&gt;0,H2960*$C$7,""),"")</f>
        <v/>
      </c>
      <c r="L2960" s="139">
        <f>IFERROR(IF(ISNUMBER(F2960),F2960-IF(ISNUMBER(K2960),K2960,0),""),"")</f>
        <v/>
      </c>
    </row>
    <row r="2961" ht="24" customHeight="1" s="63">
      <c r="E2961" s="139" t="n"/>
      <c r="F2961" s="139" t="n"/>
      <c r="G2961" s="140">
        <f>IFERROR(IF(E2961&gt;0,(F2961/E2961)*1000,""),"")</f>
        <v/>
      </c>
      <c r="H2961" s="139">
        <f>IFERROR(IF(E2961&gt;0,E2961*IF(ISNUMBER(J2961),J2961,IF(C2961="Futures",$C$6,$C$5)),""),"")</f>
        <v/>
      </c>
      <c r="I2961" s="139">
        <f>IFERROR(IF(AND(ISNUMBER(F2961),ISNUMBER(H2961)),F2961-H2961,""),"")</f>
        <v/>
      </c>
      <c r="J2961" s="114" t="n"/>
      <c r="K2961" s="139">
        <f>IFERROR(IF(H2961&gt;0,H2961*$C$7,""),"")</f>
        <v/>
      </c>
      <c r="L2961" s="139">
        <f>IFERROR(IF(ISNUMBER(F2961),F2961-IF(ISNUMBER(K2961),K2961,0),""),"")</f>
        <v/>
      </c>
    </row>
    <row r="2962" ht="24" customHeight="1" s="63">
      <c r="E2962" s="139" t="n"/>
      <c r="F2962" s="139" t="n"/>
      <c r="G2962" s="140">
        <f>IFERROR(IF(E2962&gt;0,(F2962/E2962)*1000,""),"")</f>
        <v/>
      </c>
      <c r="H2962" s="139">
        <f>IFERROR(IF(E2962&gt;0,E2962*IF(ISNUMBER(J2962),J2962,IF(C2962="Futures",$C$6,$C$5)),""),"")</f>
        <v/>
      </c>
      <c r="I2962" s="139">
        <f>IFERROR(IF(AND(ISNUMBER(F2962),ISNUMBER(H2962)),F2962-H2962,""),"")</f>
        <v/>
      </c>
      <c r="J2962" s="114" t="n"/>
      <c r="K2962" s="139">
        <f>IFERROR(IF(H2962&gt;0,H2962*$C$7,""),"")</f>
        <v/>
      </c>
      <c r="L2962" s="139">
        <f>IFERROR(IF(ISNUMBER(F2962),F2962-IF(ISNUMBER(K2962),K2962,0),""),"")</f>
        <v/>
      </c>
    </row>
    <row r="2963" ht="24" customHeight="1" s="63">
      <c r="E2963" s="139" t="n"/>
      <c r="F2963" s="139" t="n"/>
      <c r="G2963" s="140">
        <f>IFERROR(IF(E2963&gt;0,(F2963/E2963)*1000,""),"")</f>
        <v/>
      </c>
      <c r="H2963" s="139">
        <f>IFERROR(IF(E2963&gt;0,E2963*IF(ISNUMBER(J2963),J2963,IF(C2963="Futures",$C$6,$C$5)),""),"")</f>
        <v/>
      </c>
      <c r="I2963" s="139">
        <f>IFERROR(IF(AND(ISNUMBER(F2963),ISNUMBER(H2963)),F2963-H2963,""),"")</f>
        <v/>
      </c>
      <c r="J2963" s="114" t="n"/>
      <c r="K2963" s="139">
        <f>IFERROR(IF(H2963&gt;0,H2963*$C$7,""),"")</f>
        <v/>
      </c>
      <c r="L2963" s="139">
        <f>IFERROR(IF(ISNUMBER(F2963),F2963-IF(ISNUMBER(K2963),K2963,0),""),"")</f>
        <v/>
      </c>
    </row>
    <row r="2964" ht="24" customHeight="1" s="63">
      <c r="E2964" s="139" t="n"/>
      <c r="F2964" s="139" t="n"/>
      <c r="G2964" s="140">
        <f>IFERROR(IF(E2964&gt;0,(F2964/E2964)*1000,""),"")</f>
        <v/>
      </c>
      <c r="H2964" s="139">
        <f>IFERROR(IF(E2964&gt;0,E2964*IF(ISNUMBER(J2964),J2964,IF(C2964="Futures",$C$6,$C$5)),""),"")</f>
        <v/>
      </c>
      <c r="I2964" s="139">
        <f>IFERROR(IF(AND(ISNUMBER(F2964),ISNUMBER(H2964)),F2964-H2964,""),"")</f>
        <v/>
      </c>
      <c r="J2964" s="114" t="n"/>
      <c r="K2964" s="139">
        <f>IFERROR(IF(H2964&gt;0,H2964*$C$7,""),"")</f>
        <v/>
      </c>
      <c r="L2964" s="139">
        <f>IFERROR(IF(ISNUMBER(F2964),F2964-IF(ISNUMBER(K2964),K2964,0),""),"")</f>
        <v/>
      </c>
    </row>
    <row r="2965" ht="24" customHeight="1" s="63">
      <c r="E2965" s="139" t="n"/>
      <c r="F2965" s="139" t="n"/>
      <c r="G2965" s="140">
        <f>IFERROR(IF(E2965&gt;0,(F2965/E2965)*1000,""),"")</f>
        <v/>
      </c>
      <c r="H2965" s="139">
        <f>IFERROR(IF(E2965&gt;0,E2965*IF(ISNUMBER(J2965),J2965,IF(C2965="Futures",$C$6,$C$5)),""),"")</f>
        <v/>
      </c>
      <c r="I2965" s="139">
        <f>IFERROR(IF(AND(ISNUMBER(F2965),ISNUMBER(H2965)),F2965-H2965,""),"")</f>
        <v/>
      </c>
      <c r="J2965" s="114" t="n"/>
      <c r="K2965" s="139">
        <f>IFERROR(IF(H2965&gt;0,H2965*$C$7,""),"")</f>
        <v/>
      </c>
      <c r="L2965" s="139">
        <f>IFERROR(IF(ISNUMBER(F2965),F2965-IF(ISNUMBER(K2965),K2965,0),""),"")</f>
        <v/>
      </c>
    </row>
    <row r="2966" ht="24" customHeight="1" s="63">
      <c r="E2966" s="139" t="n"/>
      <c r="F2966" s="139" t="n"/>
      <c r="G2966" s="140">
        <f>IFERROR(IF(E2966&gt;0,(F2966/E2966)*1000,""),"")</f>
        <v/>
      </c>
      <c r="H2966" s="139">
        <f>IFERROR(IF(E2966&gt;0,E2966*IF(ISNUMBER(J2966),J2966,IF(C2966="Futures",$C$6,$C$5)),""),"")</f>
        <v/>
      </c>
      <c r="I2966" s="139">
        <f>IFERROR(IF(AND(ISNUMBER(F2966),ISNUMBER(H2966)),F2966-H2966,""),"")</f>
        <v/>
      </c>
      <c r="J2966" s="114" t="n"/>
      <c r="K2966" s="139">
        <f>IFERROR(IF(H2966&gt;0,H2966*$C$7,""),"")</f>
        <v/>
      </c>
      <c r="L2966" s="139">
        <f>IFERROR(IF(ISNUMBER(F2966),F2966-IF(ISNUMBER(K2966),K2966,0),""),"")</f>
        <v/>
      </c>
    </row>
    <row r="2967" ht="24" customHeight="1" s="63">
      <c r="E2967" s="139" t="n"/>
      <c r="F2967" s="139" t="n"/>
      <c r="G2967" s="140">
        <f>IFERROR(IF(E2967&gt;0,(F2967/E2967)*1000,""),"")</f>
        <v/>
      </c>
      <c r="H2967" s="139">
        <f>IFERROR(IF(E2967&gt;0,E2967*IF(ISNUMBER(J2967),J2967,IF(C2967="Futures",$C$6,$C$5)),""),"")</f>
        <v/>
      </c>
      <c r="I2967" s="139">
        <f>IFERROR(IF(AND(ISNUMBER(F2967),ISNUMBER(H2967)),F2967-H2967,""),"")</f>
        <v/>
      </c>
      <c r="J2967" s="114" t="n"/>
      <c r="K2967" s="139">
        <f>IFERROR(IF(H2967&gt;0,H2967*$C$7,""),"")</f>
        <v/>
      </c>
      <c r="L2967" s="139">
        <f>IFERROR(IF(ISNUMBER(F2967),F2967-IF(ISNUMBER(K2967),K2967,0),""),"")</f>
        <v/>
      </c>
    </row>
    <row r="2968" ht="24" customHeight="1" s="63">
      <c r="E2968" s="139" t="n"/>
      <c r="F2968" s="139" t="n"/>
      <c r="G2968" s="140">
        <f>IFERROR(IF(E2968&gt;0,(F2968/E2968)*1000,""),"")</f>
        <v/>
      </c>
      <c r="H2968" s="139">
        <f>IFERROR(IF(E2968&gt;0,E2968*IF(ISNUMBER(J2968),J2968,IF(C2968="Futures",$C$6,$C$5)),""),"")</f>
        <v/>
      </c>
      <c r="I2968" s="139">
        <f>IFERROR(IF(AND(ISNUMBER(F2968),ISNUMBER(H2968)),F2968-H2968,""),"")</f>
        <v/>
      </c>
      <c r="J2968" s="114" t="n"/>
      <c r="K2968" s="139">
        <f>IFERROR(IF(H2968&gt;0,H2968*$C$7,""),"")</f>
        <v/>
      </c>
      <c r="L2968" s="139">
        <f>IFERROR(IF(ISNUMBER(F2968),F2968-IF(ISNUMBER(K2968),K2968,0),""),"")</f>
        <v/>
      </c>
    </row>
    <row r="2969" ht="24" customHeight="1" s="63">
      <c r="E2969" s="139" t="n"/>
      <c r="F2969" s="139" t="n"/>
      <c r="G2969" s="140">
        <f>IFERROR(IF(E2969&gt;0,(F2969/E2969)*1000,""),"")</f>
        <v/>
      </c>
      <c r="H2969" s="139">
        <f>IFERROR(IF(E2969&gt;0,E2969*IF(ISNUMBER(J2969),J2969,IF(C2969="Futures",$C$6,$C$5)),""),"")</f>
        <v/>
      </c>
      <c r="I2969" s="139">
        <f>IFERROR(IF(AND(ISNUMBER(F2969),ISNUMBER(H2969)),F2969-H2969,""),"")</f>
        <v/>
      </c>
      <c r="J2969" s="114" t="n"/>
      <c r="K2969" s="139">
        <f>IFERROR(IF(H2969&gt;0,H2969*$C$7,""),"")</f>
        <v/>
      </c>
      <c r="L2969" s="139">
        <f>IFERROR(IF(ISNUMBER(F2969),F2969-IF(ISNUMBER(K2969),K2969,0),""),"")</f>
        <v/>
      </c>
    </row>
    <row r="2970" ht="24" customHeight="1" s="63">
      <c r="E2970" s="139" t="n"/>
      <c r="F2970" s="139" t="n"/>
      <c r="G2970" s="140">
        <f>IFERROR(IF(E2970&gt;0,(F2970/E2970)*1000,""),"")</f>
        <v/>
      </c>
      <c r="H2970" s="139">
        <f>IFERROR(IF(E2970&gt;0,E2970*IF(ISNUMBER(J2970),J2970,IF(C2970="Futures",$C$6,$C$5)),""),"")</f>
        <v/>
      </c>
      <c r="I2970" s="139">
        <f>IFERROR(IF(AND(ISNUMBER(F2970),ISNUMBER(H2970)),F2970-H2970,""),"")</f>
        <v/>
      </c>
      <c r="J2970" s="114" t="n"/>
      <c r="K2970" s="139">
        <f>IFERROR(IF(H2970&gt;0,H2970*$C$7,""),"")</f>
        <v/>
      </c>
      <c r="L2970" s="139">
        <f>IFERROR(IF(ISNUMBER(F2970),F2970-IF(ISNUMBER(K2970),K2970,0),""),"")</f>
        <v/>
      </c>
    </row>
    <row r="2971" ht="24" customHeight="1" s="63">
      <c r="E2971" s="139" t="n"/>
      <c r="F2971" s="139" t="n"/>
      <c r="G2971" s="140">
        <f>IFERROR(IF(E2971&gt;0,(F2971/E2971)*1000,""),"")</f>
        <v/>
      </c>
      <c r="H2971" s="139">
        <f>IFERROR(IF(E2971&gt;0,E2971*IF(ISNUMBER(J2971),J2971,IF(C2971="Futures",$C$6,$C$5)),""),"")</f>
        <v/>
      </c>
      <c r="I2971" s="139">
        <f>IFERROR(IF(AND(ISNUMBER(F2971),ISNUMBER(H2971)),F2971-H2971,""),"")</f>
        <v/>
      </c>
      <c r="J2971" s="114" t="n"/>
      <c r="K2971" s="139">
        <f>IFERROR(IF(H2971&gt;0,H2971*$C$7,""),"")</f>
        <v/>
      </c>
      <c r="L2971" s="139">
        <f>IFERROR(IF(ISNUMBER(F2971),F2971-IF(ISNUMBER(K2971),K2971,0),""),"")</f>
        <v/>
      </c>
    </row>
    <row r="2972" ht="24" customHeight="1" s="63">
      <c r="E2972" s="139" t="n"/>
      <c r="F2972" s="139" t="n"/>
      <c r="G2972" s="140">
        <f>IFERROR(IF(E2972&gt;0,(F2972/E2972)*1000,""),"")</f>
        <v/>
      </c>
      <c r="H2972" s="139">
        <f>IFERROR(IF(E2972&gt;0,E2972*IF(ISNUMBER(J2972),J2972,IF(C2972="Futures",$C$6,$C$5)),""),"")</f>
        <v/>
      </c>
      <c r="I2972" s="139">
        <f>IFERROR(IF(AND(ISNUMBER(F2972),ISNUMBER(H2972)),F2972-H2972,""),"")</f>
        <v/>
      </c>
      <c r="J2972" s="114" t="n"/>
      <c r="K2972" s="139">
        <f>IFERROR(IF(H2972&gt;0,H2972*$C$7,""),"")</f>
        <v/>
      </c>
      <c r="L2972" s="139">
        <f>IFERROR(IF(ISNUMBER(F2972),F2972-IF(ISNUMBER(K2972),K2972,0),""),"")</f>
        <v/>
      </c>
    </row>
    <row r="2973" ht="24" customHeight="1" s="63">
      <c r="E2973" s="139" t="n"/>
      <c r="F2973" s="139" t="n"/>
      <c r="G2973" s="140">
        <f>IFERROR(IF(E2973&gt;0,(F2973/E2973)*1000,""),"")</f>
        <v/>
      </c>
      <c r="H2973" s="139">
        <f>IFERROR(IF(E2973&gt;0,E2973*IF(ISNUMBER(J2973),J2973,IF(C2973="Futures",$C$6,$C$5)),""),"")</f>
        <v/>
      </c>
      <c r="I2973" s="139">
        <f>IFERROR(IF(AND(ISNUMBER(F2973),ISNUMBER(H2973)),F2973-H2973,""),"")</f>
        <v/>
      </c>
      <c r="J2973" s="114" t="n"/>
      <c r="K2973" s="139">
        <f>IFERROR(IF(H2973&gt;0,H2973*$C$7,""),"")</f>
        <v/>
      </c>
      <c r="L2973" s="139">
        <f>IFERROR(IF(ISNUMBER(F2973),F2973-IF(ISNUMBER(K2973),K2973,0),""),"")</f>
        <v/>
      </c>
    </row>
    <row r="2974" ht="24" customHeight="1" s="63">
      <c r="E2974" s="139" t="n"/>
      <c r="F2974" s="139" t="n"/>
      <c r="G2974" s="140">
        <f>IFERROR(IF(E2974&gt;0,(F2974/E2974)*1000,""),"")</f>
        <v/>
      </c>
      <c r="H2974" s="139">
        <f>IFERROR(IF(E2974&gt;0,E2974*IF(ISNUMBER(J2974),J2974,IF(C2974="Futures",$C$6,$C$5)),""),"")</f>
        <v/>
      </c>
      <c r="I2974" s="139">
        <f>IFERROR(IF(AND(ISNUMBER(F2974),ISNUMBER(H2974)),F2974-H2974,""),"")</f>
        <v/>
      </c>
      <c r="J2974" s="114" t="n"/>
      <c r="K2974" s="139">
        <f>IFERROR(IF(H2974&gt;0,H2974*$C$7,""),"")</f>
        <v/>
      </c>
      <c r="L2974" s="139">
        <f>IFERROR(IF(ISNUMBER(F2974),F2974-IF(ISNUMBER(K2974),K2974,0),""),"")</f>
        <v/>
      </c>
    </row>
    <row r="2975" ht="24" customHeight="1" s="63">
      <c r="E2975" s="139" t="n"/>
      <c r="F2975" s="139" t="n"/>
      <c r="G2975" s="140">
        <f>IFERROR(IF(E2975&gt;0,(F2975/E2975)*1000,""),"")</f>
        <v/>
      </c>
      <c r="H2975" s="139">
        <f>IFERROR(IF(E2975&gt;0,E2975*IF(ISNUMBER(J2975),J2975,IF(C2975="Futures",$C$6,$C$5)),""),"")</f>
        <v/>
      </c>
      <c r="I2975" s="139">
        <f>IFERROR(IF(AND(ISNUMBER(F2975),ISNUMBER(H2975)),F2975-H2975,""),"")</f>
        <v/>
      </c>
      <c r="J2975" s="114" t="n"/>
      <c r="K2975" s="139">
        <f>IFERROR(IF(H2975&gt;0,H2975*$C$7,""),"")</f>
        <v/>
      </c>
      <c r="L2975" s="139">
        <f>IFERROR(IF(ISNUMBER(F2975),F2975-IF(ISNUMBER(K2975),K2975,0),""),"")</f>
        <v/>
      </c>
    </row>
    <row r="2976" ht="24" customHeight="1" s="63">
      <c r="E2976" s="139" t="n"/>
      <c r="F2976" s="139" t="n"/>
      <c r="G2976" s="140">
        <f>IFERROR(IF(E2976&gt;0,(F2976/E2976)*1000,""),"")</f>
        <v/>
      </c>
      <c r="H2976" s="139">
        <f>IFERROR(IF(E2976&gt;0,E2976*IF(ISNUMBER(J2976),J2976,IF(C2976="Futures",$C$6,$C$5)),""),"")</f>
        <v/>
      </c>
      <c r="I2976" s="139">
        <f>IFERROR(IF(AND(ISNUMBER(F2976),ISNUMBER(H2976)),F2976-H2976,""),"")</f>
        <v/>
      </c>
      <c r="J2976" s="114" t="n"/>
      <c r="K2976" s="139">
        <f>IFERROR(IF(H2976&gt;0,H2976*$C$7,""),"")</f>
        <v/>
      </c>
      <c r="L2976" s="139">
        <f>IFERROR(IF(ISNUMBER(F2976),F2976-IF(ISNUMBER(K2976),K2976,0),""),"")</f>
        <v/>
      </c>
    </row>
    <row r="2977" ht="24" customHeight="1" s="63">
      <c r="E2977" s="139" t="n"/>
      <c r="F2977" s="139" t="n"/>
      <c r="G2977" s="140">
        <f>IFERROR(IF(E2977&gt;0,(F2977/E2977)*1000,""),"")</f>
        <v/>
      </c>
      <c r="H2977" s="139">
        <f>IFERROR(IF(E2977&gt;0,E2977*IF(ISNUMBER(J2977),J2977,IF(C2977="Futures",$C$6,$C$5)),""),"")</f>
        <v/>
      </c>
      <c r="I2977" s="139">
        <f>IFERROR(IF(AND(ISNUMBER(F2977),ISNUMBER(H2977)),F2977-H2977,""),"")</f>
        <v/>
      </c>
      <c r="J2977" s="114" t="n"/>
      <c r="K2977" s="139">
        <f>IFERROR(IF(H2977&gt;0,H2977*$C$7,""),"")</f>
        <v/>
      </c>
      <c r="L2977" s="139">
        <f>IFERROR(IF(ISNUMBER(F2977),F2977-IF(ISNUMBER(K2977),K2977,0),""),"")</f>
        <v/>
      </c>
    </row>
    <row r="2978" ht="24" customHeight="1" s="63">
      <c r="E2978" s="139" t="n"/>
      <c r="F2978" s="139" t="n"/>
      <c r="G2978" s="140">
        <f>IFERROR(IF(E2978&gt;0,(F2978/E2978)*1000,""),"")</f>
        <v/>
      </c>
      <c r="H2978" s="139">
        <f>IFERROR(IF(E2978&gt;0,E2978*IF(ISNUMBER(J2978),J2978,IF(C2978="Futures",$C$6,$C$5)),""),"")</f>
        <v/>
      </c>
      <c r="I2978" s="139">
        <f>IFERROR(IF(AND(ISNUMBER(F2978),ISNUMBER(H2978)),F2978-H2978,""),"")</f>
        <v/>
      </c>
      <c r="J2978" s="114" t="n"/>
      <c r="K2978" s="139">
        <f>IFERROR(IF(H2978&gt;0,H2978*$C$7,""),"")</f>
        <v/>
      </c>
      <c r="L2978" s="139">
        <f>IFERROR(IF(ISNUMBER(F2978),F2978-IF(ISNUMBER(K2978),K2978,0),""),"")</f>
        <v/>
      </c>
    </row>
    <row r="2979" ht="24" customHeight="1" s="63">
      <c r="E2979" s="139" t="n"/>
      <c r="F2979" s="139" t="n"/>
      <c r="G2979" s="140">
        <f>IFERROR(IF(E2979&gt;0,(F2979/E2979)*1000,""),"")</f>
        <v/>
      </c>
      <c r="H2979" s="139">
        <f>IFERROR(IF(E2979&gt;0,E2979*IF(ISNUMBER(J2979),J2979,IF(C2979="Futures",$C$6,$C$5)),""),"")</f>
        <v/>
      </c>
      <c r="I2979" s="139">
        <f>IFERROR(IF(AND(ISNUMBER(F2979),ISNUMBER(H2979)),F2979-H2979,""),"")</f>
        <v/>
      </c>
      <c r="J2979" s="114" t="n"/>
      <c r="K2979" s="139">
        <f>IFERROR(IF(H2979&gt;0,H2979*$C$7,""),"")</f>
        <v/>
      </c>
      <c r="L2979" s="139">
        <f>IFERROR(IF(ISNUMBER(F2979),F2979-IF(ISNUMBER(K2979),K2979,0),""),"")</f>
        <v/>
      </c>
    </row>
    <row r="2980" ht="24" customHeight="1" s="63">
      <c r="E2980" s="139" t="n"/>
      <c r="F2980" s="139" t="n"/>
      <c r="G2980" s="140">
        <f>IFERROR(IF(E2980&gt;0,(F2980/E2980)*1000,""),"")</f>
        <v/>
      </c>
      <c r="H2980" s="139">
        <f>IFERROR(IF(E2980&gt;0,E2980*IF(ISNUMBER(J2980),J2980,IF(C2980="Futures",$C$6,$C$5)),""),"")</f>
        <v/>
      </c>
      <c r="I2980" s="139">
        <f>IFERROR(IF(AND(ISNUMBER(F2980),ISNUMBER(H2980)),F2980-H2980,""),"")</f>
        <v/>
      </c>
      <c r="J2980" s="114" t="n"/>
      <c r="K2980" s="139">
        <f>IFERROR(IF(H2980&gt;0,H2980*$C$7,""),"")</f>
        <v/>
      </c>
      <c r="L2980" s="139">
        <f>IFERROR(IF(ISNUMBER(F2980),F2980-IF(ISNUMBER(K2980),K2980,0),""),"")</f>
        <v/>
      </c>
    </row>
    <row r="2981" ht="24" customHeight="1" s="63">
      <c r="E2981" s="139" t="n"/>
      <c r="F2981" s="139" t="n"/>
      <c r="G2981" s="140">
        <f>IFERROR(IF(E2981&gt;0,(F2981/E2981)*1000,""),"")</f>
        <v/>
      </c>
      <c r="H2981" s="139">
        <f>IFERROR(IF(E2981&gt;0,E2981*IF(ISNUMBER(J2981),J2981,IF(C2981="Futures",$C$6,$C$5)),""),"")</f>
        <v/>
      </c>
      <c r="I2981" s="139">
        <f>IFERROR(IF(AND(ISNUMBER(F2981),ISNUMBER(H2981)),F2981-H2981,""),"")</f>
        <v/>
      </c>
      <c r="J2981" s="114" t="n"/>
      <c r="K2981" s="139">
        <f>IFERROR(IF(H2981&gt;0,H2981*$C$7,""),"")</f>
        <v/>
      </c>
      <c r="L2981" s="139">
        <f>IFERROR(IF(ISNUMBER(F2981),F2981-IF(ISNUMBER(K2981),K2981,0),""),"")</f>
        <v/>
      </c>
    </row>
    <row r="2982" ht="24" customHeight="1" s="63">
      <c r="E2982" s="139" t="n"/>
      <c r="F2982" s="139" t="n"/>
      <c r="G2982" s="140">
        <f>IFERROR(IF(E2982&gt;0,(F2982/E2982)*1000,""),"")</f>
        <v/>
      </c>
      <c r="H2982" s="139">
        <f>IFERROR(IF(E2982&gt;0,E2982*IF(ISNUMBER(J2982),J2982,IF(C2982="Futures",$C$6,$C$5)),""),"")</f>
        <v/>
      </c>
      <c r="I2982" s="139">
        <f>IFERROR(IF(AND(ISNUMBER(F2982),ISNUMBER(H2982)),F2982-H2982,""),"")</f>
        <v/>
      </c>
      <c r="J2982" s="114" t="n"/>
      <c r="K2982" s="139">
        <f>IFERROR(IF(H2982&gt;0,H2982*$C$7,""),"")</f>
        <v/>
      </c>
      <c r="L2982" s="139">
        <f>IFERROR(IF(ISNUMBER(F2982),F2982-IF(ISNUMBER(K2982),K2982,0),""),"")</f>
        <v/>
      </c>
    </row>
    <row r="2983" ht="24" customHeight="1" s="63">
      <c r="E2983" s="139" t="n"/>
      <c r="F2983" s="139" t="n"/>
      <c r="G2983" s="140">
        <f>IFERROR(IF(E2983&gt;0,(F2983/E2983)*1000,""),"")</f>
        <v/>
      </c>
      <c r="H2983" s="139">
        <f>IFERROR(IF(E2983&gt;0,E2983*IF(ISNUMBER(J2983),J2983,IF(C2983="Futures",$C$6,$C$5)),""),"")</f>
        <v/>
      </c>
      <c r="I2983" s="139">
        <f>IFERROR(IF(AND(ISNUMBER(F2983),ISNUMBER(H2983)),F2983-H2983,""),"")</f>
        <v/>
      </c>
      <c r="J2983" s="114" t="n"/>
      <c r="K2983" s="139">
        <f>IFERROR(IF(H2983&gt;0,H2983*$C$7,""),"")</f>
        <v/>
      </c>
      <c r="L2983" s="139">
        <f>IFERROR(IF(ISNUMBER(F2983),F2983-IF(ISNUMBER(K2983),K2983,0),""),"")</f>
        <v/>
      </c>
    </row>
    <row r="2984" ht="24" customHeight="1" s="63">
      <c r="E2984" s="139" t="n"/>
      <c r="F2984" s="139" t="n"/>
      <c r="G2984" s="140">
        <f>IFERROR(IF(E2984&gt;0,(F2984/E2984)*1000,""),"")</f>
        <v/>
      </c>
      <c r="H2984" s="139">
        <f>IFERROR(IF(E2984&gt;0,E2984*IF(ISNUMBER(J2984),J2984,IF(C2984="Futures",$C$6,$C$5)),""),"")</f>
        <v/>
      </c>
      <c r="I2984" s="139">
        <f>IFERROR(IF(AND(ISNUMBER(F2984),ISNUMBER(H2984)),F2984-H2984,""),"")</f>
        <v/>
      </c>
      <c r="J2984" s="114" t="n"/>
      <c r="K2984" s="139">
        <f>IFERROR(IF(H2984&gt;0,H2984*$C$7,""),"")</f>
        <v/>
      </c>
      <c r="L2984" s="139">
        <f>IFERROR(IF(ISNUMBER(F2984),F2984-IF(ISNUMBER(K2984),K2984,0),""),"")</f>
        <v/>
      </c>
    </row>
    <row r="2985" ht="24" customHeight="1" s="63">
      <c r="E2985" s="139" t="n"/>
      <c r="F2985" s="139" t="n"/>
      <c r="G2985" s="140">
        <f>IFERROR(IF(E2985&gt;0,(F2985/E2985)*1000,""),"")</f>
        <v/>
      </c>
      <c r="H2985" s="139">
        <f>IFERROR(IF(E2985&gt;0,E2985*IF(ISNUMBER(J2985),J2985,IF(C2985="Futures",$C$6,$C$5)),""),"")</f>
        <v/>
      </c>
      <c r="I2985" s="139">
        <f>IFERROR(IF(AND(ISNUMBER(F2985),ISNUMBER(H2985)),F2985-H2985,""),"")</f>
        <v/>
      </c>
      <c r="J2985" s="114" t="n"/>
      <c r="K2985" s="139">
        <f>IFERROR(IF(H2985&gt;0,H2985*$C$7,""),"")</f>
        <v/>
      </c>
      <c r="L2985" s="139">
        <f>IFERROR(IF(ISNUMBER(F2985),F2985-IF(ISNUMBER(K2985),K2985,0),""),"")</f>
        <v/>
      </c>
    </row>
    <row r="2986" ht="24" customHeight="1" s="63">
      <c r="E2986" s="139" t="n"/>
      <c r="F2986" s="139" t="n"/>
      <c r="G2986" s="140">
        <f>IFERROR(IF(E2986&gt;0,(F2986/E2986)*1000,""),"")</f>
        <v/>
      </c>
      <c r="H2986" s="139">
        <f>IFERROR(IF(E2986&gt;0,E2986*IF(ISNUMBER(J2986),J2986,IF(C2986="Futures",$C$6,$C$5)),""),"")</f>
        <v/>
      </c>
      <c r="I2986" s="139">
        <f>IFERROR(IF(AND(ISNUMBER(F2986),ISNUMBER(H2986)),F2986-H2986,""),"")</f>
        <v/>
      </c>
      <c r="J2986" s="114" t="n"/>
      <c r="K2986" s="139">
        <f>IFERROR(IF(H2986&gt;0,H2986*$C$7,""),"")</f>
        <v/>
      </c>
      <c r="L2986" s="139">
        <f>IFERROR(IF(ISNUMBER(F2986),F2986-IF(ISNUMBER(K2986),K2986,0),""),"")</f>
        <v/>
      </c>
    </row>
    <row r="2987" ht="24" customHeight="1" s="63">
      <c r="E2987" s="139" t="n"/>
      <c r="F2987" s="139" t="n"/>
      <c r="G2987" s="140">
        <f>IFERROR(IF(E2987&gt;0,(F2987/E2987)*1000,""),"")</f>
        <v/>
      </c>
      <c r="H2987" s="139">
        <f>IFERROR(IF(E2987&gt;0,E2987*IF(ISNUMBER(J2987),J2987,IF(C2987="Futures",$C$6,$C$5)),""),"")</f>
        <v/>
      </c>
      <c r="I2987" s="139">
        <f>IFERROR(IF(AND(ISNUMBER(F2987),ISNUMBER(H2987)),F2987-H2987,""),"")</f>
        <v/>
      </c>
      <c r="J2987" s="114" t="n"/>
      <c r="K2987" s="139">
        <f>IFERROR(IF(H2987&gt;0,H2987*$C$7,""),"")</f>
        <v/>
      </c>
      <c r="L2987" s="139">
        <f>IFERROR(IF(ISNUMBER(F2987),F2987-IF(ISNUMBER(K2987),K2987,0),""),"")</f>
        <v/>
      </c>
    </row>
    <row r="2988" ht="24" customHeight="1" s="63">
      <c r="E2988" s="139" t="n"/>
      <c r="F2988" s="139" t="n"/>
      <c r="G2988" s="140">
        <f>IFERROR(IF(E2988&gt;0,(F2988/E2988)*1000,""),"")</f>
        <v/>
      </c>
      <c r="H2988" s="139">
        <f>IFERROR(IF(E2988&gt;0,E2988*IF(ISNUMBER(J2988),J2988,IF(C2988="Futures",$C$6,$C$5)),""),"")</f>
        <v/>
      </c>
      <c r="I2988" s="139">
        <f>IFERROR(IF(AND(ISNUMBER(F2988),ISNUMBER(H2988)),F2988-H2988,""),"")</f>
        <v/>
      </c>
      <c r="J2988" s="114" t="n"/>
      <c r="K2988" s="139">
        <f>IFERROR(IF(H2988&gt;0,H2988*$C$7,""),"")</f>
        <v/>
      </c>
      <c r="L2988" s="139">
        <f>IFERROR(IF(ISNUMBER(F2988),F2988-IF(ISNUMBER(K2988),K2988,0),""),"")</f>
        <v/>
      </c>
    </row>
    <row r="2989" ht="24" customHeight="1" s="63">
      <c r="E2989" s="139" t="n"/>
      <c r="F2989" s="139" t="n"/>
      <c r="G2989" s="140">
        <f>IFERROR(IF(E2989&gt;0,(F2989/E2989)*1000,""),"")</f>
        <v/>
      </c>
      <c r="H2989" s="139">
        <f>IFERROR(IF(E2989&gt;0,E2989*IF(ISNUMBER(J2989),J2989,IF(C2989="Futures",$C$6,$C$5)),""),"")</f>
        <v/>
      </c>
      <c r="I2989" s="139">
        <f>IFERROR(IF(AND(ISNUMBER(F2989),ISNUMBER(H2989)),F2989-H2989,""),"")</f>
        <v/>
      </c>
      <c r="J2989" s="114" t="n"/>
      <c r="K2989" s="139">
        <f>IFERROR(IF(H2989&gt;0,H2989*$C$7,""),"")</f>
        <v/>
      </c>
      <c r="L2989" s="139">
        <f>IFERROR(IF(ISNUMBER(F2989),F2989-IF(ISNUMBER(K2989),K2989,0),""),"")</f>
        <v/>
      </c>
    </row>
    <row r="2990" ht="24" customHeight="1" s="63">
      <c r="E2990" s="139" t="n"/>
      <c r="F2990" s="139" t="n"/>
      <c r="G2990" s="140">
        <f>IFERROR(IF(E2990&gt;0,(F2990/E2990)*1000,""),"")</f>
        <v/>
      </c>
      <c r="H2990" s="139">
        <f>IFERROR(IF(E2990&gt;0,E2990*IF(ISNUMBER(J2990),J2990,IF(C2990="Futures",$C$6,$C$5)),""),"")</f>
        <v/>
      </c>
      <c r="I2990" s="139">
        <f>IFERROR(IF(AND(ISNUMBER(F2990),ISNUMBER(H2990)),F2990-H2990,""),"")</f>
        <v/>
      </c>
      <c r="J2990" s="114" t="n"/>
      <c r="K2990" s="139">
        <f>IFERROR(IF(H2990&gt;0,H2990*$C$7,""),"")</f>
        <v/>
      </c>
      <c r="L2990" s="139">
        <f>IFERROR(IF(ISNUMBER(F2990),F2990-IF(ISNUMBER(K2990),K2990,0),""),"")</f>
        <v/>
      </c>
    </row>
    <row r="2991" ht="24" customHeight="1" s="63">
      <c r="E2991" s="139" t="n"/>
      <c r="F2991" s="139" t="n"/>
      <c r="G2991" s="140">
        <f>IFERROR(IF(E2991&gt;0,(F2991/E2991)*1000,""),"")</f>
        <v/>
      </c>
      <c r="H2991" s="139">
        <f>IFERROR(IF(E2991&gt;0,E2991*IF(ISNUMBER(J2991),J2991,IF(C2991="Futures",$C$6,$C$5)),""),"")</f>
        <v/>
      </c>
      <c r="I2991" s="139">
        <f>IFERROR(IF(AND(ISNUMBER(F2991),ISNUMBER(H2991)),F2991-H2991,""),"")</f>
        <v/>
      </c>
      <c r="J2991" s="114" t="n"/>
      <c r="K2991" s="139">
        <f>IFERROR(IF(H2991&gt;0,H2991*$C$7,""),"")</f>
        <v/>
      </c>
      <c r="L2991" s="139">
        <f>IFERROR(IF(ISNUMBER(F2991),F2991-IF(ISNUMBER(K2991),K2991,0),""),"")</f>
        <v/>
      </c>
    </row>
    <row r="2992" ht="24" customHeight="1" s="63">
      <c r="E2992" s="139" t="n"/>
      <c r="F2992" s="139" t="n"/>
      <c r="G2992" s="140">
        <f>IFERROR(IF(E2992&gt;0,(F2992/E2992)*1000,""),"")</f>
        <v/>
      </c>
      <c r="H2992" s="139">
        <f>IFERROR(IF(E2992&gt;0,E2992*IF(ISNUMBER(J2992),J2992,IF(C2992="Futures",$C$6,$C$5)),""),"")</f>
        <v/>
      </c>
      <c r="I2992" s="139">
        <f>IFERROR(IF(AND(ISNUMBER(F2992),ISNUMBER(H2992)),F2992-H2992,""),"")</f>
        <v/>
      </c>
      <c r="J2992" s="114" t="n"/>
      <c r="K2992" s="139">
        <f>IFERROR(IF(H2992&gt;0,H2992*$C$7,""),"")</f>
        <v/>
      </c>
      <c r="L2992" s="139">
        <f>IFERROR(IF(ISNUMBER(F2992),F2992-IF(ISNUMBER(K2992),K2992,0),""),"")</f>
        <v/>
      </c>
    </row>
    <row r="2993" ht="24" customHeight="1" s="63">
      <c r="E2993" s="139" t="n"/>
      <c r="F2993" s="139" t="n"/>
      <c r="G2993" s="140">
        <f>IFERROR(IF(E2993&gt;0,(F2993/E2993)*1000,""),"")</f>
        <v/>
      </c>
      <c r="H2993" s="139">
        <f>IFERROR(IF(E2993&gt;0,E2993*IF(ISNUMBER(J2993),J2993,IF(C2993="Futures",$C$6,$C$5)),""),"")</f>
        <v/>
      </c>
      <c r="I2993" s="139">
        <f>IFERROR(IF(AND(ISNUMBER(F2993),ISNUMBER(H2993)),F2993-H2993,""),"")</f>
        <v/>
      </c>
      <c r="J2993" s="114" t="n"/>
      <c r="K2993" s="139">
        <f>IFERROR(IF(H2993&gt;0,H2993*$C$7,""),"")</f>
        <v/>
      </c>
      <c r="L2993" s="139">
        <f>IFERROR(IF(ISNUMBER(F2993),F2993-IF(ISNUMBER(K2993),K2993,0),""),"")</f>
        <v/>
      </c>
    </row>
    <row r="2994" ht="24" customHeight="1" s="63">
      <c r="E2994" s="139" t="n"/>
      <c r="F2994" s="139" t="n"/>
      <c r="G2994" s="140">
        <f>IFERROR(IF(E2994&gt;0,(F2994/E2994)*1000,""),"")</f>
        <v/>
      </c>
      <c r="H2994" s="139">
        <f>IFERROR(IF(E2994&gt;0,E2994*IF(ISNUMBER(J2994),J2994,IF(C2994="Futures",$C$6,$C$5)),""),"")</f>
        <v/>
      </c>
      <c r="I2994" s="139">
        <f>IFERROR(IF(AND(ISNUMBER(F2994),ISNUMBER(H2994)),F2994-H2994,""),"")</f>
        <v/>
      </c>
      <c r="J2994" s="114" t="n"/>
      <c r="K2994" s="139">
        <f>IFERROR(IF(H2994&gt;0,H2994*$C$7,""),"")</f>
        <v/>
      </c>
      <c r="L2994" s="139">
        <f>IFERROR(IF(ISNUMBER(F2994),F2994-IF(ISNUMBER(K2994),K2994,0),""),"")</f>
        <v/>
      </c>
    </row>
    <row r="2995" ht="24" customHeight="1" s="63">
      <c r="E2995" s="139" t="n"/>
      <c r="F2995" s="139" t="n"/>
      <c r="G2995" s="140">
        <f>IFERROR(IF(E2995&gt;0,(F2995/E2995)*1000,""),"")</f>
        <v/>
      </c>
      <c r="H2995" s="139">
        <f>IFERROR(IF(E2995&gt;0,E2995*IF(ISNUMBER(J2995),J2995,IF(C2995="Futures",$C$6,$C$5)),""),"")</f>
        <v/>
      </c>
      <c r="I2995" s="139">
        <f>IFERROR(IF(AND(ISNUMBER(F2995),ISNUMBER(H2995)),F2995-H2995,""),"")</f>
        <v/>
      </c>
      <c r="J2995" s="114" t="n"/>
      <c r="K2995" s="139">
        <f>IFERROR(IF(H2995&gt;0,H2995*$C$7,""),"")</f>
        <v/>
      </c>
      <c r="L2995" s="139">
        <f>IFERROR(IF(ISNUMBER(F2995),F2995-IF(ISNUMBER(K2995),K2995,0),""),"")</f>
        <v/>
      </c>
    </row>
    <row r="2996" ht="24" customHeight="1" s="63">
      <c r="E2996" s="139" t="n"/>
      <c r="F2996" s="139" t="n"/>
      <c r="G2996" s="140">
        <f>IFERROR(IF(E2996&gt;0,(F2996/E2996)*1000,""),"")</f>
        <v/>
      </c>
      <c r="H2996" s="139">
        <f>IFERROR(IF(E2996&gt;0,E2996*IF(ISNUMBER(J2996),J2996,IF(C2996="Futures",$C$6,$C$5)),""),"")</f>
        <v/>
      </c>
      <c r="I2996" s="139">
        <f>IFERROR(IF(AND(ISNUMBER(F2996),ISNUMBER(H2996)),F2996-H2996,""),"")</f>
        <v/>
      </c>
      <c r="J2996" s="114" t="n"/>
      <c r="K2996" s="139">
        <f>IFERROR(IF(H2996&gt;0,H2996*$C$7,""),"")</f>
        <v/>
      </c>
      <c r="L2996" s="139">
        <f>IFERROR(IF(ISNUMBER(F2996),F2996-IF(ISNUMBER(K2996),K2996,0),""),"")</f>
        <v/>
      </c>
    </row>
    <row r="2997" ht="24" customHeight="1" s="63">
      <c r="E2997" s="139" t="n"/>
      <c r="F2997" s="139" t="n"/>
      <c r="G2997" s="140">
        <f>IFERROR(IF(E2997&gt;0,(F2997/E2997)*1000,""),"")</f>
        <v/>
      </c>
      <c r="H2997" s="139">
        <f>IFERROR(IF(E2997&gt;0,E2997*IF(ISNUMBER(J2997),J2997,IF(C2997="Futures",$C$6,$C$5)),""),"")</f>
        <v/>
      </c>
      <c r="I2997" s="139">
        <f>IFERROR(IF(AND(ISNUMBER(F2997),ISNUMBER(H2997)),F2997-H2997,""),"")</f>
        <v/>
      </c>
      <c r="J2997" s="114" t="n"/>
      <c r="K2997" s="139">
        <f>IFERROR(IF(H2997&gt;0,H2997*$C$7,""),"")</f>
        <v/>
      </c>
      <c r="L2997" s="139">
        <f>IFERROR(IF(ISNUMBER(F2997),F2997-IF(ISNUMBER(K2997),K2997,0),""),"")</f>
        <v/>
      </c>
    </row>
    <row r="2998" ht="24" customHeight="1" s="63">
      <c r="E2998" s="139" t="n"/>
      <c r="F2998" s="139" t="n"/>
      <c r="G2998" s="140">
        <f>IFERROR(IF(E2998&gt;0,(F2998/E2998)*1000,""),"")</f>
        <v/>
      </c>
      <c r="H2998" s="139">
        <f>IFERROR(IF(E2998&gt;0,E2998*IF(ISNUMBER(J2998),J2998,IF(C2998="Futures",$C$6,$C$5)),""),"")</f>
        <v/>
      </c>
      <c r="I2998" s="139">
        <f>IFERROR(IF(AND(ISNUMBER(F2998),ISNUMBER(H2998)),F2998-H2998,""),"")</f>
        <v/>
      </c>
      <c r="J2998" s="114" t="n"/>
      <c r="K2998" s="139">
        <f>IFERROR(IF(H2998&gt;0,H2998*$C$7,""),"")</f>
        <v/>
      </c>
      <c r="L2998" s="139">
        <f>IFERROR(IF(ISNUMBER(F2998),F2998-IF(ISNUMBER(K2998),K2998,0),""),"")</f>
        <v/>
      </c>
    </row>
    <row r="2999" ht="24" customHeight="1" s="63">
      <c r="E2999" s="139" t="n"/>
      <c r="F2999" s="139" t="n"/>
      <c r="G2999" s="140">
        <f>IFERROR(IF(E2999&gt;0,(F2999/E2999)*1000,""),"")</f>
        <v/>
      </c>
      <c r="H2999" s="139">
        <f>IFERROR(IF(E2999&gt;0,E2999*IF(ISNUMBER(J2999),J2999,IF(C2999="Futures",$C$6,$C$5)),""),"")</f>
        <v/>
      </c>
      <c r="I2999" s="139">
        <f>IFERROR(IF(AND(ISNUMBER(F2999),ISNUMBER(H2999)),F2999-H2999,""),"")</f>
        <v/>
      </c>
      <c r="J2999" s="114" t="n"/>
      <c r="K2999" s="139">
        <f>IFERROR(IF(H2999&gt;0,H2999*$C$7,""),"")</f>
        <v/>
      </c>
      <c r="L2999" s="139">
        <f>IFERROR(IF(ISNUMBER(F2999),F2999-IF(ISNUMBER(K2999),K2999,0),""),"")</f>
        <v/>
      </c>
    </row>
    <row r="3000" ht="24" customHeight="1" s="63">
      <c r="E3000" s="139" t="n"/>
      <c r="F3000" s="139" t="n"/>
      <c r="G3000" s="140">
        <f>IFERROR(IF(E3000&gt;0,(F3000/E3000)*1000,""),"")</f>
        <v/>
      </c>
      <c r="H3000" s="139">
        <f>IFERROR(IF(E3000&gt;0,E3000*IF(ISNUMBER(J3000),J3000,IF(C3000="Futures",$C$6,$C$5)),""),"")</f>
        <v/>
      </c>
      <c r="I3000" s="139">
        <f>IFERROR(IF(AND(ISNUMBER(F3000),ISNUMBER(H3000)),F3000-H3000,""),"")</f>
        <v/>
      </c>
      <c r="J3000" s="114" t="n"/>
      <c r="K3000" s="139">
        <f>IFERROR(IF(H3000&gt;0,H3000*$C$7,""),"")</f>
        <v/>
      </c>
      <c r="L3000" s="139">
        <f>IFERROR(IF(ISNUMBER(F3000),F3000-IF(ISNUMBER(K3000),K3000,0),""),"")</f>
        <v/>
      </c>
    </row>
    <row r="3001" ht="24" customHeight="1" s="63">
      <c r="E3001" s="139" t="n"/>
      <c r="F3001" s="139" t="n"/>
      <c r="G3001" s="140">
        <f>IFERROR(IF(E3001&gt;0,(F3001/E3001)*1000,""),"")</f>
        <v/>
      </c>
      <c r="H3001" s="139">
        <f>IFERROR(IF(E3001&gt;0,E3001*IF(ISNUMBER(J3001),J3001,IF(C3001="Futures",$C$6,$C$5)),""),"")</f>
        <v/>
      </c>
      <c r="I3001" s="139">
        <f>IFERROR(IF(AND(ISNUMBER(F3001),ISNUMBER(H3001)),F3001-H3001,""),"")</f>
        <v/>
      </c>
      <c r="J3001" s="114" t="n"/>
      <c r="K3001" s="139">
        <f>IFERROR(IF(H3001&gt;0,H3001*$C$7,""),"")</f>
        <v/>
      </c>
      <c r="L3001" s="139">
        <f>IFERROR(IF(ISNUMBER(F3001),F3001-IF(ISNUMBER(K3001),K3001,0),""),"")</f>
        <v/>
      </c>
    </row>
    <row r="3002" ht="24" customHeight="1" s="63">
      <c r="E3002" s="139" t="n"/>
      <c r="F3002" s="139" t="n"/>
      <c r="G3002" s="140">
        <f>IFERROR(IF(E3002&gt;0,(F3002/E3002)*1000,""),"")</f>
        <v/>
      </c>
      <c r="H3002" s="139">
        <f>IFERROR(IF(E3002&gt;0,E3002*IF(ISNUMBER(J3002),J3002,IF(C3002="Futures",$C$6,$C$5)),""),"")</f>
        <v/>
      </c>
      <c r="I3002" s="139">
        <f>IFERROR(IF(AND(ISNUMBER(F3002),ISNUMBER(H3002)),F3002-H3002,""),"")</f>
        <v/>
      </c>
      <c r="J3002" s="114" t="n"/>
      <c r="K3002" s="139">
        <f>IFERROR(IF(H3002&gt;0,H3002*$C$7,""),"")</f>
        <v/>
      </c>
      <c r="L3002" s="139">
        <f>IFERROR(IF(ISNUMBER(F3002),F3002-IF(ISNUMBER(K3002),K3002,0),""),"")</f>
        <v/>
      </c>
    </row>
    <row r="3003" ht="24" customHeight="1" s="63">
      <c r="E3003" s="139" t="n"/>
      <c r="F3003" s="139" t="n"/>
      <c r="G3003" s="140">
        <f>IFERROR(IF(E3003&gt;0,(F3003/E3003)*1000,""),"")</f>
        <v/>
      </c>
      <c r="H3003" s="139">
        <f>IFERROR(IF(E3003&gt;0,E3003*IF(ISNUMBER(J3003),J3003,IF(C3003="Futures",$C$6,$C$5)),""),"")</f>
        <v/>
      </c>
      <c r="I3003" s="139">
        <f>IFERROR(IF(AND(ISNUMBER(F3003),ISNUMBER(H3003)),F3003-H3003,""),"")</f>
        <v/>
      </c>
      <c r="J3003" s="114" t="n"/>
      <c r="K3003" s="139">
        <f>IFERROR(IF(H3003&gt;0,H3003*$C$7,""),"")</f>
        <v/>
      </c>
      <c r="L3003" s="139">
        <f>IFERROR(IF(ISNUMBER(F3003),F3003-IF(ISNUMBER(K3003),K3003,0),""),"")</f>
        <v/>
      </c>
    </row>
    <row r="3004" ht="24" customHeight="1" s="63">
      <c r="E3004" s="139" t="n"/>
      <c r="F3004" s="139" t="n"/>
      <c r="G3004" s="140">
        <f>IFERROR(IF(E3004&gt;0,(F3004/E3004)*1000,""),"")</f>
        <v/>
      </c>
      <c r="H3004" s="139">
        <f>IFERROR(IF(E3004&gt;0,E3004*IF(ISNUMBER(J3004),J3004,IF(C3004="Futures",$C$6,$C$5)),""),"")</f>
        <v/>
      </c>
      <c r="I3004" s="139">
        <f>IFERROR(IF(AND(ISNUMBER(F3004),ISNUMBER(H3004)),F3004-H3004,""),"")</f>
        <v/>
      </c>
      <c r="J3004" s="114" t="n"/>
      <c r="K3004" s="139">
        <f>IFERROR(IF(H3004&gt;0,H3004*$C$7,""),"")</f>
        <v/>
      </c>
      <c r="L3004" s="139">
        <f>IFERROR(IF(ISNUMBER(F3004),F3004-IF(ISNUMBER(K3004),K3004,0),""),"")</f>
        <v/>
      </c>
    </row>
    <row r="3005" ht="24" customHeight="1" s="63">
      <c r="E3005" s="139" t="n"/>
      <c r="F3005" s="139" t="n"/>
      <c r="G3005" s="140">
        <f>IFERROR(IF(E3005&gt;0,(F3005/E3005)*1000,""),"")</f>
        <v/>
      </c>
      <c r="H3005" s="139">
        <f>IFERROR(IF(E3005&gt;0,E3005*IF(ISNUMBER(J3005),J3005,IF(C3005="Futures",$C$6,$C$5)),""),"")</f>
        <v/>
      </c>
      <c r="I3005" s="139">
        <f>IFERROR(IF(AND(ISNUMBER(F3005),ISNUMBER(H3005)),F3005-H3005,""),"")</f>
        <v/>
      </c>
      <c r="J3005" s="114" t="n"/>
      <c r="K3005" s="139">
        <f>IFERROR(IF(H3005&gt;0,H3005*$C$7,""),"")</f>
        <v/>
      </c>
      <c r="L3005" s="139">
        <f>IFERROR(IF(ISNUMBER(F3005),F3005-IF(ISNUMBER(K3005),K3005,0),""),"")</f>
        <v/>
      </c>
    </row>
    <row r="3006" ht="24" customHeight="1" s="63">
      <c r="E3006" s="139" t="n"/>
      <c r="F3006" s="139" t="n"/>
      <c r="G3006" s="140">
        <f>IFERROR(IF(E3006&gt;0,(F3006/E3006)*1000,""),"")</f>
        <v/>
      </c>
      <c r="H3006" s="139">
        <f>IFERROR(IF(E3006&gt;0,E3006*IF(ISNUMBER(J3006),J3006,IF(C3006="Futures",$C$6,$C$5)),""),"")</f>
        <v/>
      </c>
      <c r="I3006" s="139">
        <f>IFERROR(IF(AND(ISNUMBER(F3006),ISNUMBER(H3006)),F3006-H3006,""),"")</f>
        <v/>
      </c>
      <c r="J3006" s="114" t="n"/>
      <c r="K3006" s="139">
        <f>IFERROR(IF(H3006&gt;0,H3006*$C$7,""),"")</f>
        <v/>
      </c>
      <c r="L3006" s="139">
        <f>IFERROR(IF(ISNUMBER(F3006),F3006-IF(ISNUMBER(K3006),K3006,0),""),"")</f>
        <v/>
      </c>
    </row>
    <row r="3007" ht="24" customHeight="1" s="63">
      <c r="E3007" s="139" t="n"/>
      <c r="F3007" s="139" t="n"/>
      <c r="G3007" s="140">
        <f>IFERROR(IF(E3007&gt;0,(F3007/E3007)*1000,""),"")</f>
        <v/>
      </c>
      <c r="H3007" s="139">
        <f>IFERROR(IF(E3007&gt;0,E3007*IF(ISNUMBER(J3007),J3007,IF(C3007="Futures",$C$6,$C$5)),""),"")</f>
        <v/>
      </c>
      <c r="I3007" s="139">
        <f>IFERROR(IF(AND(ISNUMBER(F3007),ISNUMBER(H3007)),F3007-H3007,""),"")</f>
        <v/>
      </c>
      <c r="J3007" s="114" t="n"/>
      <c r="K3007" s="139">
        <f>IFERROR(IF(H3007&gt;0,H3007*$C$7,""),"")</f>
        <v/>
      </c>
      <c r="L3007" s="139">
        <f>IFERROR(IF(ISNUMBER(F3007),F3007-IF(ISNUMBER(K3007),K3007,0),""),"")</f>
        <v/>
      </c>
    </row>
    <row r="3008" ht="24" customHeight="1" s="63">
      <c r="E3008" s="139" t="n"/>
      <c r="F3008" s="139" t="n"/>
      <c r="G3008" s="140">
        <f>IFERROR(IF(E3008&gt;0,(F3008/E3008)*1000,""),"")</f>
        <v/>
      </c>
      <c r="H3008" s="139">
        <f>IFERROR(IF(E3008&gt;0,E3008*IF(ISNUMBER(J3008),J3008,IF(C3008="Futures",$C$6,$C$5)),""),"")</f>
        <v/>
      </c>
      <c r="I3008" s="139">
        <f>IFERROR(IF(AND(ISNUMBER(F3008),ISNUMBER(H3008)),F3008-H3008,""),"")</f>
        <v/>
      </c>
      <c r="J3008" s="114" t="n"/>
      <c r="K3008" s="139">
        <f>IFERROR(IF(H3008&gt;0,H3008*$C$7,""),"")</f>
        <v/>
      </c>
      <c r="L3008" s="139">
        <f>IFERROR(IF(ISNUMBER(F3008),F3008-IF(ISNUMBER(K3008),K3008,0),""),"")</f>
        <v/>
      </c>
    </row>
    <row r="3009" ht="24" customHeight="1" s="63">
      <c r="E3009" s="139" t="n"/>
      <c r="F3009" s="139" t="n"/>
      <c r="G3009" s="140">
        <f>IFERROR(IF(E3009&gt;0,(F3009/E3009)*1000,""),"")</f>
        <v/>
      </c>
      <c r="H3009" s="139">
        <f>IFERROR(IF(E3009&gt;0,E3009*IF(ISNUMBER(J3009),J3009,IF(C3009="Futures",$C$6,$C$5)),""),"")</f>
        <v/>
      </c>
      <c r="I3009" s="139">
        <f>IFERROR(IF(AND(ISNUMBER(F3009),ISNUMBER(H3009)),F3009-H3009,""),"")</f>
        <v/>
      </c>
      <c r="J3009" s="114" t="n"/>
      <c r="K3009" s="139">
        <f>IFERROR(IF(H3009&gt;0,H3009*$C$7,""),"")</f>
        <v/>
      </c>
      <c r="L3009" s="139">
        <f>IFERROR(IF(ISNUMBER(F3009),F3009-IF(ISNUMBER(K3009),K3009,0),""),"")</f>
        <v/>
      </c>
    </row>
    <row r="3010" ht="24" customHeight="1" s="63">
      <c r="E3010" s="139" t="n"/>
      <c r="F3010" s="139" t="n"/>
      <c r="G3010" s="140">
        <f>IFERROR(IF(E3010&gt;0,(F3010/E3010)*1000,""),"")</f>
        <v/>
      </c>
      <c r="H3010" s="139">
        <f>IFERROR(IF(E3010&gt;0,E3010*IF(ISNUMBER(J3010),J3010,IF(C3010="Futures",$C$6,$C$5)),""),"")</f>
        <v/>
      </c>
      <c r="I3010" s="139">
        <f>IFERROR(IF(AND(ISNUMBER(F3010),ISNUMBER(H3010)),F3010-H3010,""),"")</f>
        <v/>
      </c>
      <c r="J3010" s="114" t="n"/>
      <c r="K3010" s="139">
        <f>IFERROR(IF(H3010&gt;0,H3010*$C$7,""),"")</f>
        <v/>
      </c>
      <c r="L3010" s="139">
        <f>IFERROR(IF(ISNUMBER(F3010),F3010-IF(ISNUMBER(K3010),K3010,0),""),"")</f>
        <v/>
      </c>
    </row>
    <row r="3011" ht="24" customHeight="1" s="63">
      <c r="E3011" s="139" t="n"/>
      <c r="F3011" s="139" t="n"/>
      <c r="G3011" s="140">
        <f>IFERROR(IF(E3011&gt;0,(F3011/E3011)*1000,""),"")</f>
        <v/>
      </c>
      <c r="H3011" s="139">
        <f>IFERROR(IF(E3011&gt;0,E3011*IF(ISNUMBER(J3011),J3011,IF(C3011="Futures",$C$6,$C$5)),""),"")</f>
        <v/>
      </c>
      <c r="I3011" s="139">
        <f>IFERROR(IF(AND(ISNUMBER(F3011),ISNUMBER(H3011)),F3011-H3011,""),"")</f>
        <v/>
      </c>
      <c r="J3011" s="114" t="n"/>
      <c r="K3011" s="139">
        <f>IFERROR(IF(H3011&gt;0,H3011*$C$7,""),"")</f>
        <v/>
      </c>
      <c r="L3011" s="139">
        <f>IFERROR(IF(ISNUMBER(F3011),F3011-IF(ISNUMBER(K3011),K3011,0),""),"")</f>
        <v/>
      </c>
    </row>
    <row r="3012" ht="24" customHeight="1" s="63">
      <c r="E3012" s="139" t="n"/>
      <c r="F3012" s="139" t="n"/>
      <c r="G3012" s="140">
        <f>IFERROR(IF(E3012&gt;0,(F3012/E3012)*1000,""),"")</f>
        <v/>
      </c>
      <c r="H3012" s="139">
        <f>IFERROR(IF(E3012&gt;0,E3012*IF(ISNUMBER(J3012),J3012,IF(C3012="Futures",$C$6,$C$5)),""),"")</f>
        <v/>
      </c>
      <c r="I3012" s="139">
        <f>IFERROR(IF(AND(ISNUMBER(F3012),ISNUMBER(H3012)),F3012-H3012,""),"")</f>
        <v/>
      </c>
      <c r="J3012" s="114" t="n"/>
      <c r="K3012" s="139">
        <f>IFERROR(IF(H3012&gt;0,H3012*$C$7,""),"")</f>
        <v/>
      </c>
      <c r="L3012" s="139">
        <f>IFERROR(IF(ISNUMBER(F3012),F3012-IF(ISNUMBER(K3012),K3012,0),""),"")</f>
        <v/>
      </c>
    </row>
    <row r="3013" ht="24" customHeight="1" s="63">
      <c r="E3013" s="139" t="n"/>
      <c r="F3013" s="139" t="n"/>
      <c r="G3013" s="140">
        <f>IFERROR(IF(E3013&gt;0,(F3013/E3013)*1000,""),"")</f>
        <v/>
      </c>
      <c r="H3013" s="139">
        <f>IFERROR(IF(E3013&gt;0,E3013*IF(ISNUMBER(J3013),J3013,IF(C3013="Futures",$C$6,$C$5)),""),"")</f>
        <v/>
      </c>
      <c r="I3013" s="139">
        <f>IFERROR(IF(AND(ISNUMBER(F3013),ISNUMBER(H3013)),F3013-H3013,""),"")</f>
        <v/>
      </c>
      <c r="J3013" s="114" t="n"/>
      <c r="K3013" s="139">
        <f>IFERROR(IF(H3013&gt;0,H3013*$C$7,""),"")</f>
        <v/>
      </c>
      <c r="L3013" s="139">
        <f>IFERROR(IF(ISNUMBER(F3013),F3013-IF(ISNUMBER(K3013),K3013,0),""),"")</f>
        <v/>
      </c>
    </row>
    <row r="3014" ht="24" customHeight="1" s="63">
      <c r="E3014" s="139" t="n"/>
      <c r="F3014" s="139" t="n"/>
      <c r="G3014" s="140">
        <f>IFERROR(IF(E3014&gt;0,(F3014/E3014)*1000,""),"")</f>
        <v/>
      </c>
      <c r="H3014" s="139">
        <f>IFERROR(IF(E3014&gt;0,E3014*IF(ISNUMBER(J3014),J3014,IF(C3014="Futures",$C$6,$C$5)),""),"")</f>
        <v/>
      </c>
      <c r="I3014" s="139">
        <f>IFERROR(IF(AND(ISNUMBER(F3014),ISNUMBER(H3014)),F3014-H3014,""),"")</f>
        <v/>
      </c>
      <c r="J3014" s="114" t="n"/>
      <c r="K3014" s="139">
        <f>IFERROR(IF(H3014&gt;0,H3014*$C$7,""),"")</f>
        <v/>
      </c>
      <c r="L3014" s="139">
        <f>IFERROR(IF(ISNUMBER(F3014),F3014-IF(ISNUMBER(K3014),K3014,0),""),"")</f>
        <v/>
      </c>
    </row>
    <row r="3015" ht="24" customHeight="1" s="63">
      <c r="E3015" s="139" t="n"/>
      <c r="F3015" s="139" t="n"/>
      <c r="G3015" s="140">
        <f>IFERROR(IF(E3015&gt;0,(F3015/E3015)*1000,""),"")</f>
        <v/>
      </c>
      <c r="H3015" s="139">
        <f>IFERROR(IF(E3015&gt;0,E3015*IF(ISNUMBER(J3015),J3015,IF(C3015="Futures",$C$6,$C$5)),""),"")</f>
        <v/>
      </c>
      <c r="I3015" s="139">
        <f>IFERROR(IF(AND(ISNUMBER(F3015),ISNUMBER(H3015)),F3015-H3015,""),"")</f>
        <v/>
      </c>
      <c r="J3015" s="114" t="n"/>
      <c r="K3015" s="139">
        <f>IFERROR(IF(H3015&gt;0,H3015*$C$7,""),"")</f>
        <v/>
      </c>
      <c r="L3015" s="139">
        <f>IFERROR(IF(ISNUMBER(F3015),F3015-IF(ISNUMBER(K3015),K3015,0),""),"")</f>
        <v/>
      </c>
    </row>
    <row r="3016" ht="24" customHeight="1" s="63">
      <c r="E3016" s="139" t="n"/>
      <c r="F3016" s="139" t="n"/>
      <c r="G3016" s="140">
        <f>IFERROR(IF(E3016&gt;0,(F3016/E3016)*1000,""),"")</f>
        <v/>
      </c>
      <c r="H3016" s="139">
        <f>IFERROR(IF(E3016&gt;0,E3016*IF(ISNUMBER(J3016),J3016,IF(C3016="Futures",$C$6,$C$5)),""),"")</f>
        <v/>
      </c>
      <c r="I3016" s="139">
        <f>IFERROR(IF(AND(ISNUMBER(F3016),ISNUMBER(H3016)),F3016-H3016,""),"")</f>
        <v/>
      </c>
      <c r="J3016" s="114" t="n"/>
      <c r="K3016" s="139">
        <f>IFERROR(IF(H3016&gt;0,H3016*$C$7,""),"")</f>
        <v/>
      </c>
      <c r="L3016" s="139">
        <f>IFERROR(IF(ISNUMBER(F3016),F3016-IF(ISNUMBER(K3016),K3016,0),""),"")</f>
        <v/>
      </c>
    </row>
    <row r="3017" ht="24" customHeight="1" s="63">
      <c r="E3017" s="139" t="n"/>
      <c r="F3017" s="139" t="n"/>
      <c r="G3017" s="140">
        <f>IFERROR(IF(E3017&gt;0,(F3017/E3017)*1000,""),"")</f>
        <v/>
      </c>
      <c r="H3017" s="139">
        <f>IFERROR(IF(E3017&gt;0,E3017*IF(ISNUMBER(J3017),J3017,IF(C3017="Futures",$C$6,$C$5)),""),"")</f>
        <v/>
      </c>
      <c r="I3017" s="139">
        <f>IFERROR(IF(AND(ISNUMBER(F3017),ISNUMBER(H3017)),F3017-H3017,""),"")</f>
        <v/>
      </c>
      <c r="J3017" s="114" t="n"/>
      <c r="K3017" s="139">
        <f>IFERROR(IF(H3017&gt;0,H3017*$C$7,""),"")</f>
        <v/>
      </c>
      <c r="L3017" s="139">
        <f>IFERROR(IF(ISNUMBER(F3017),F3017-IF(ISNUMBER(K3017),K3017,0),""),"")</f>
        <v/>
      </c>
    </row>
    <row r="3018" ht="24" customHeight="1" s="63">
      <c r="E3018" s="139" t="n"/>
      <c r="F3018" s="139" t="n"/>
      <c r="G3018" s="140">
        <f>IFERROR(IF(E3018&gt;0,(F3018/E3018)*1000,""),"")</f>
        <v/>
      </c>
      <c r="H3018" s="139">
        <f>IFERROR(IF(E3018&gt;0,E3018*IF(ISNUMBER(J3018),J3018,IF(C3018="Futures",$C$6,$C$5)),""),"")</f>
        <v/>
      </c>
      <c r="I3018" s="139">
        <f>IFERROR(IF(AND(ISNUMBER(F3018),ISNUMBER(H3018)),F3018-H3018,""),"")</f>
        <v/>
      </c>
      <c r="J3018" s="114" t="n"/>
      <c r="K3018" s="139">
        <f>IFERROR(IF(H3018&gt;0,H3018*$C$7,""),"")</f>
        <v/>
      </c>
      <c r="L3018" s="139">
        <f>IFERROR(IF(ISNUMBER(F3018),F3018-IF(ISNUMBER(K3018),K3018,0),""),"")</f>
        <v/>
      </c>
    </row>
    <row r="3019" ht="24" customHeight="1" s="63">
      <c r="E3019" s="139" t="n"/>
      <c r="F3019" s="139" t="n"/>
      <c r="G3019" s="140">
        <f>IFERROR(IF(E3019&gt;0,(F3019/E3019)*1000,""),"")</f>
        <v/>
      </c>
      <c r="H3019" s="139">
        <f>IFERROR(IF(E3019&gt;0,E3019*IF(ISNUMBER(J3019),J3019,IF(C3019="Futures",$C$6,$C$5)),""),"")</f>
        <v/>
      </c>
      <c r="I3019" s="139">
        <f>IFERROR(IF(AND(ISNUMBER(F3019),ISNUMBER(H3019)),F3019-H3019,""),"")</f>
        <v/>
      </c>
      <c r="J3019" s="114" t="n"/>
      <c r="K3019" s="139">
        <f>IFERROR(IF(H3019&gt;0,H3019*$C$7,""),"")</f>
        <v/>
      </c>
      <c r="L3019" s="139">
        <f>IFERROR(IF(ISNUMBER(F3019),F3019-IF(ISNUMBER(K3019),K3019,0),""),"")</f>
        <v/>
      </c>
    </row>
    <row r="3020" ht="24" customHeight="1" s="63">
      <c r="E3020" s="139" t="n"/>
      <c r="F3020" s="139" t="n"/>
      <c r="G3020" s="140">
        <f>IFERROR(IF(E3020&gt;0,(F3020/E3020)*1000,""),"")</f>
        <v/>
      </c>
      <c r="H3020" s="139">
        <f>IFERROR(IF(E3020&gt;0,E3020*IF(ISNUMBER(J3020),J3020,IF(C3020="Futures",$C$6,$C$5)),""),"")</f>
        <v/>
      </c>
      <c r="I3020" s="139">
        <f>IFERROR(IF(AND(ISNUMBER(F3020),ISNUMBER(H3020)),F3020-H3020,""),"")</f>
        <v/>
      </c>
      <c r="J3020" s="114" t="n"/>
      <c r="K3020" s="139">
        <f>IFERROR(IF(H3020&gt;0,H3020*$C$7,""),"")</f>
        <v/>
      </c>
      <c r="L3020" s="139">
        <f>IFERROR(IF(ISNUMBER(F3020),F3020-IF(ISNUMBER(K3020),K3020,0),""),"")</f>
        <v/>
      </c>
    </row>
    <row r="3021" ht="24" customHeight="1" s="63">
      <c r="E3021" s="139" t="n"/>
      <c r="F3021" s="139" t="n"/>
      <c r="G3021" s="140">
        <f>IFERROR(IF(E3021&gt;0,(F3021/E3021)*1000,""),"")</f>
        <v/>
      </c>
      <c r="H3021" s="139">
        <f>IFERROR(IF(E3021&gt;0,E3021*IF(ISNUMBER(J3021),J3021,IF(C3021="Futures",$C$6,$C$5)),""),"")</f>
        <v/>
      </c>
      <c r="I3021" s="139">
        <f>IFERROR(IF(AND(ISNUMBER(F3021),ISNUMBER(H3021)),F3021-H3021,""),"")</f>
        <v/>
      </c>
      <c r="J3021" s="114" t="n"/>
      <c r="K3021" s="139">
        <f>IFERROR(IF(H3021&gt;0,H3021*$C$7,""),"")</f>
        <v/>
      </c>
      <c r="L3021" s="139">
        <f>IFERROR(IF(ISNUMBER(F3021),F3021-IF(ISNUMBER(K3021),K3021,0),""),"")</f>
        <v/>
      </c>
    </row>
    <row r="3022" ht="24" customHeight="1" s="63">
      <c r="E3022" s="139" t="n"/>
      <c r="F3022" s="139" t="n"/>
      <c r="G3022" s="140">
        <f>IFERROR(IF(E3022&gt;0,(F3022/E3022)*1000,""),"")</f>
        <v/>
      </c>
      <c r="H3022" s="139">
        <f>IFERROR(IF(E3022&gt;0,E3022*IF(ISNUMBER(J3022),J3022,IF(C3022="Futures",$C$6,$C$5)),""),"")</f>
        <v/>
      </c>
      <c r="I3022" s="139">
        <f>IFERROR(IF(AND(ISNUMBER(F3022),ISNUMBER(H3022)),F3022-H3022,""),"")</f>
        <v/>
      </c>
      <c r="J3022" s="114" t="n"/>
      <c r="K3022" s="139">
        <f>IFERROR(IF(H3022&gt;0,H3022*$C$7,""),"")</f>
        <v/>
      </c>
      <c r="L3022" s="139">
        <f>IFERROR(IF(ISNUMBER(F3022),F3022-IF(ISNUMBER(K3022),K3022,0),""),"")</f>
        <v/>
      </c>
    </row>
    <row r="3023" ht="24" customHeight="1" s="63">
      <c r="E3023" s="139" t="n"/>
      <c r="F3023" s="139" t="n"/>
      <c r="G3023" s="140">
        <f>IFERROR(IF(E3023&gt;0,(F3023/E3023)*1000,""),"")</f>
        <v/>
      </c>
      <c r="H3023" s="139">
        <f>IFERROR(IF(E3023&gt;0,E3023*IF(ISNUMBER(J3023),J3023,IF(C3023="Futures",$C$6,$C$5)),""),"")</f>
        <v/>
      </c>
      <c r="I3023" s="139">
        <f>IFERROR(IF(AND(ISNUMBER(F3023),ISNUMBER(H3023)),F3023-H3023,""),"")</f>
        <v/>
      </c>
      <c r="J3023" s="114" t="n"/>
      <c r="K3023" s="139">
        <f>IFERROR(IF(H3023&gt;0,H3023*$C$7,""),"")</f>
        <v/>
      </c>
      <c r="L3023" s="139">
        <f>IFERROR(IF(ISNUMBER(F3023),F3023-IF(ISNUMBER(K3023),K3023,0),""),"")</f>
        <v/>
      </c>
    </row>
    <row r="3024" ht="24" customHeight="1" s="63">
      <c r="E3024" s="139" t="n"/>
      <c r="F3024" s="139" t="n"/>
      <c r="G3024" s="140">
        <f>IFERROR(IF(E3024&gt;0,(F3024/E3024)*1000,""),"")</f>
        <v/>
      </c>
      <c r="H3024" s="139">
        <f>IFERROR(IF(E3024&gt;0,E3024*IF(ISNUMBER(J3024),J3024,IF(C3024="Futures",$C$6,$C$5)),""),"")</f>
        <v/>
      </c>
      <c r="I3024" s="139">
        <f>IFERROR(IF(AND(ISNUMBER(F3024),ISNUMBER(H3024)),F3024-H3024,""),"")</f>
        <v/>
      </c>
      <c r="J3024" s="114" t="n"/>
      <c r="K3024" s="139">
        <f>IFERROR(IF(H3024&gt;0,H3024*$C$7,""),"")</f>
        <v/>
      </c>
      <c r="L3024" s="139">
        <f>IFERROR(IF(ISNUMBER(F3024),F3024-IF(ISNUMBER(K3024),K3024,0),""),"")</f>
        <v/>
      </c>
    </row>
    <row r="3025" ht="24" customHeight="1" s="63">
      <c r="E3025" s="139" t="n"/>
      <c r="F3025" s="139" t="n"/>
      <c r="G3025" s="140">
        <f>IFERROR(IF(E3025&gt;0,(F3025/E3025)*1000,""),"")</f>
        <v/>
      </c>
      <c r="H3025" s="139">
        <f>IFERROR(IF(E3025&gt;0,E3025*IF(ISNUMBER(J3025),J3025,IF(C3025="Futures",$C$6,$C$5)),""),"")</f>
        <v/>
      </c>
      <c r="I3025" s="139">
        <f>IFERROR(IF(AND(ISNUMBER(F3025),ISNUMBER(H3025)),F3025-H3025,""),"")</f>
        <v/>
      </c>
      <c r="J3025" s="114" t="n"/>
      <c r="K3025" s="139">
        <f>IFERROR(IF(H3025&gt;0,H3025*$C$7,""),"")</f>
        <v/>
      </c>
      <c r="L3025" s="139">
        <f>IFERROR(IF(ISNUMBER(F3025),F3025-IF(ISNUMBER(K3025),K3025,0),""),"")</f>
        <v/>
      </c>
    </row>
    <row r="3026" ht="24" customHeight="1" s="63">
      <c r="E3026" s="139" t="n"/>
      <c r="F3026" s="139" t="n"/>
      <c r="G3026" s="140">
        <f>IFERROR(IF(E3026&gt;0,(F3026/E3026)*1000,""),"")</f>
        <v/>
      </c>
      <c r="H3026" s="139">
        <f>IFERROR(IF(E3026&gt;0,E3026*IF(ISNUMBER(J3026),J3026,IF(C3026="Futures",$C$6,$C$5)),""),"")</f>
        <v/>
      </c>
      <c r="I3026" s="139">
        <f>IFERROR(IF(AND(ISNUMBER(F3026),ISNUMBER(H3026)),F3026-H3026,""),"")</f>
        <v/>
      </c>
      <c r="J3026" s="114" t="n"/>
      <c r="K3026" s="139">
        <f>IFERROR(IF(H3026&gt;0,H3026*$C$7,""),"")</f>
        <v/>
      </c>
      <c r="L3026" s="139">
        <f>IFERROR(IF(ISNUMBER(F3026),F3026-IF(ISNUMBER(K3026),K3026,0),""),"")</f>
        <v/>
      </c>
    </row>
    <row r="3027" ht="24" customHeight="1" s="63">
      <c r="E3027" s="139" t="n"/>
      <c r="F3027" s="139" t="n"/>
      <c r="G3027" s="140">
        <f>IFERROR(IF(E3027&gt;0,(F3027/E3027)*1000,""),"")</f>
        <v/>
      </c>
      <c r="H3027" s="139">
        <f>IFERROR(IF(E3027&gt;0,E3027*IF(ISNUMBER(J3027),J3027,IF(C3027="Futures",$C$6,$C$5)),""),"")</f>
        <v/>
      </c>
      <c r="I3027" s="139">
        <f>IFERROR(IF(AND(ISNUMBER(F3027),ISNUMBER(H3027)),F3027-H3027,""),"")</f>
        <v/>
      </c>
      <c r="J3027" s="114" t="n"/>
      <c r="K3027" s="139">
        <f>IFERROR(IF(H3027&gt;0,H3027*$C$7,""),"")</f>
        <v/>
      </c>
      <c r="L3027" s="139">
        <f>IFERROR(IF(ISNUMBER(F3027),F3027-IF(ISNUMBER(K3027),K3027,0),""),"")</f>
        <v/>
      </c>
    </row>
    <row r="3028" ht="24" customHeight="1" s="63">
      <c r="E3028" s="139" t="n"/>
      <c r="F3028" s="139" t="n"/>
      <c r="G3028" s="140">
        <f>IFERROR(IF(E3028&gt;0,(F3028/E3028)*1000,""),"")</f>
        <v/>
      </c>
      <c r="H3028" s="139">
        <f>IFERROR(IF(E3028&gt;0,E3028*IF(ISNUMBER(J3028),J3028,IF(C3028="Futures",$C$6,$C$5)),""),"")</f>
        <v/>
      </c>
      <c r="I3028" s="139">
        <f>IFERROR(IF(AND(ISNUMBER(F3028),ISNUMBER(H3028)),F3028-H3028,""),"")</f>
        <v/>
      </c>
      <c r="J3028" s="114" t="n"/>
      <c r="K3028" s="139">
        <f>IFERROR(IF(H3028&gt;0,H3028*$C$7,""),"")</f>
        <v/>
      </c>
      <c r="L3028" s="139">
        <f>IFERROR(IF(ISNUMBER(F3028),F3028-IF(ISNUMBER(K3028),K3028,0),""),"")</f>
        <v/>
      </c>
    </row>
    <row r="3029" ht="24" customHeight="1" s="63">
      <c r="E3029" s="139" t="n"/>
      <c r="F3029" s="139" t="n"/>
      <c r="G3029" s="140">
        <f>IFERROR(IF(E3029&gt;0,(F3029/E3029)*1000,""),"")</f>
        <v/>
      </c>
      <c r="H3029" s="139">
        <f>IFERROR(IF(E3029&gt;0,E3029*IF(ISNUMBER(J3029),J3029,IF(C3029="Futures",$C$6,$C$5)),""),"")</f>
        <v/>
      </c>
      <c r="I3029" s="139">
        <f>IFERROR(IF(AND(ISNUMBER(F3029),ISNUMBER(H3029)),F3029-H3029,""),"")</f>
        <v/>
      </c>
      <c r="J3029" s="114" t="n"/>
      <c r="K3029" s="139">
        <f>IFERROR(IF(H3029&gt;0,H3029*$C$7,""),"")</f>
        <v/>
      </c>
      <c r="L3029" s="139">
        <f>IFERROR(IF(ISNUMBER(F3029),F3029-IF(ISNUMBER(K3029),K3029,0),""),"")</f>
        <v/>
      </c>
    </row>
    <row r="3030" ht="24" customHeight="1" s="63">
      <c r="E3030" s="139" t="n"/>
      <c r="F3030" s="139" t="n"/>
      <c r="G3030" s="140">
        <f>IFERROR(IF(E3030&gt;0,(F3030/E3030)*1000,""),"")</f>
        <v/>
      </c>
      <c r="H3030" s="139">
        <f>IFERROR(IF(E3030&gt;0,E3030*IF(ISNUMBER(J3030),J3030,IF(C3030="Futures",$C$6,$C$5)),""),"")</f>
        <v/>
      </c>
      <c r="I3030" s="139">
        <f>IFERROR(IF(AND(ISNUMBER(F3030),ISNUMBER(H3030)),F3030-H3030,""),"")</f>
        <v/>
      </c>
      <c r="J3030" s="114" t="n"/>
      <c r="K3030" s="139">
        <f>IFERROR(IF(H3030&gt;0,H3030*$C$7,""),"")</f>
        <v/>
      </c>
      <c r="L3030" s="139">
        <f>IFERROR(IF(ISNUMBER(F3030),F3030-IF(ISNUMBER(K3030),K3030,0),""),"")</f>
        <v/>
      </c>
    </row>
    <row r="3031" ht="24" customHeight="1" s="63">
      <c r="E3031" s="139" t="n"/>
      <c r="F3031" s="139" t="n"/>
      <c r="G3031" s="140">
        <f>IFERROR(IF(E3031&gt;0,(F3031/E3031)*1000,""),"")</f>
        <v/>
      </c>
      <c r="H3031" s="139">
        <f>IFERROR(IF(E3031&gt;0,E3031*IF(ISNUMBER(J3031),J3031,IF(C3031="Futures",$C$6,$C$5)),""),"")</f>
        <v/>
      </c>
      <c r="I3031" s="139">
        <f>IFERROR(IF(AND(ISNUMBER(F3031),ISNUMBER(H3031)),F3031-H3031,""),"")</f>
        <v/>
      </c>
      <c r="J3031" s="114" t="n"/>
      <c r="K3031" s="139">
        <f>IFERROR(IF(H3031&gt;0,H3031*$C$7,""),"")</f>
        <v/>
      </c>
      <c r="L3031" s="139">
        <f>IFERROR(IF(ISNUMBER(F3031),F3031-IF(ISNUMBER(K3031),K3031,0),""),"")</f>
        <v/>
      </c>
    </row>
    <row r="3032" ht="24" customHeight="1" s="63">
      <c r="E3032" s="139" t="n"/>
      <c r="F3032" s="139" t="n"/>
      <c r="G3032" s="140">
        <f>IFERROR(IF(E3032&gt;0,(F3032/E3032)*1000,""),"")</f>
        <v/>
      </c>
      <c r="H3032" s="139">
        <f>IFERROR(IF(E3032&gt;0,E3032*IF(ISNUMBER(J3032),J3032,IF(C3032="Futures",$C$6,$C$5)),""),"")</f>
        <v/>
      </c>
      <c r="I3032" s="139">
        <f>IFERROR(IF(AND(ISNUMBER(F3032),ISNUMBER(H3032)),F3032-H3032,""),"")</f>
        <v/>
      </c>
      <c r="J3032" s="114" t="n"/>
      <c r="K3032" s="139">
        <f>IFERROR(IF(H3032&gt;0,H3032*$C$7,""),"")</f>
        <v/>
      </c>
      <c r="L3032" s="139">
        <f>IFERROR(IF(ISNUMBER(F3032),F3032-IF(ISNUMBER(K3032),K3032,0),""),"")</f>
        <v/>
      </c>
    </row>
    <row r="3033" ht="24" customHeight="1" s="63">
      <c r="E3033" s="139" t="n"/>
      <c r="F3033" s="139" t="n"/>
      <c r="G3033" s="140">
        <f>IFERROR(IF(E3033&gt;0,(F3033/E3033)*1000,""),"")</f>
        <v/>
      </c>
      <c r="H3033" s="139">
        <f>IFERROR(IF(E3033&gt;0,E3033*IF(ISNUMBER(J3033),J3033,IF(C3033="Futures",$C$6,$C$5)),""),"")</f>
        <v/>
      </c>
      <c r="I3033" s="139">
        <f>IFERROR(IF(AND(ISNUMBER(F3033),ISNUMBER(H3033)),F3033-H3033,""),"")</f>
        <v/>
      </c>
      <c r="J3033" s="114" t="n"/>
      <c r="K3033" s="139">
        <f>IFERROR(IF(H3033&gt;0,H3033*$C$7,""),"")</f>
        <v/>
      </c>
      <c r="L3033" s="139">
        <f>IFERROR(IF(ISNUMBER(F3033),F3033-IF(ISNUMBER(K3033),K3033,0),""),"")</f>
        <v/>
      </c>
    </row>
    <row r="3034" ht="24" customHeight="1" s="63">
      <c r="E3034" s="139" t="n"/>
      <c r="F3034" s="139" t="n"/>
      <c r="G3034" s="140">
        <f>IFERROR(IF(E3034&gt;0,(F3034/E3034)*1000,""),"")</f>
        <v/>
      </c>
      <c r="H3034" s="139">
        <f>IFERROR(IF(E3034&gt;0,E3034*IF(ISNUMBER(J3034),J3034,IF(C3034="Futures",$C$6,$C$5)),""),"")</f>
        <v/>
      </c>
      <c r="I3034" s="139">
        <f>IFERROR(IF(AND(ISNUMBER(F3034),ISNUMBER(H3034)),F3034-H3034,""),"")</f>
        <v/>
      </c>
      <c r="J3034" s="114" t="n"/>
      <c r="K3034" s="139">
        <f>IFERROR(IF(H3034&gt;0,H3034*$C$7,""),"")</f>
        <v/>
      </c>
      <c r="L3034" s="139">
        <f>IFERROR(IF(ISNUMBER(F3034),F3034-IF(ISNUMBER(K3034),K3034,0),""),"")</f>
        <v/>
      </c>
    </row>
    <row r="3035" ht="24" customHeight="1" s="63">
      <c r="E3035" s="139" t="n"/>
      <c r="F3035" s="139" t="n"/>
      <c r="G3035" s="140">
        <f>IFERROR(IF(E3035&gt;0,(F3035/E3035)*1000,""),"")</f>
        <v/>
      </c>
      <c r="H3035" s="139">
        <f>IFERROR(IF(E3035&gt;0,E3035*IF(ISNUMBER(J3035),J3035,IF(C3035="Futures",$C$6,$C$5)),""),"")</f>
        <v/>
      </c>
      <c r="I3035" s="139">
        <f>IFERROR(IF(AND(ISNUMBER(F3035),ISNUMBER(H3035)),F3035-H3035,""),"")</f>
        <v/>
      </c>
      <c r="J3035" s="114" t="n"/>
      <c r="K3035" s="139">
        <f>IFERROR(IF(H3035&gt;0,H3035*$C$7,""),"")</f>
        <v/>
      </c>
      <c r="L3035" s="139">
        <f>IFERROR(IF(ISNUMBER(F3035),F3035-IF(ISNUMBER(K3035),K3035,0),""),"")</f>
        <v/>
      </c>
    </row>
    <row r="3036" ht="24" customHeight="1" s="63">
      <c r="E3036" s="139" t="n"/>
      <c r="F3036" s="139" t="n"/>
      <c r="G3036" s="140">
        <f>IFERROR(IF(E3036&gt;0,(F3036/E3036)*1000,""),"")</f>
        <v/>
      </c>
      <c r="H3036" s="139">
        <f>IFERROR(IF(E3036&gt;0,E3036*IF(ISNUMBER(J3036),J3036,IF(C3036="Futures",$C$6,$C$5)),""),"")</f>
        <v/>
      </c>
      <c r="I3036" s="139">
        <f>IFERROR(IF(AND(ISNUMBER(F3036),ISNUMBER(H3036)),F3036-H3036,""),"")</f>
        <v/>
      </c>
      <c r="J3036" s="114" t="n"/>
      <c r="K3036" s="139">
        <f>IFERROR(IF(H3036&gt;0,H3036*$C$7,""),"")</f>
        <v/>
      </c>
      <c r="L3036" s="139">
        <f>IFERROR(IF(ISNUMBER(F3036),F3036-IF(ISNUMBER(K3036),K3036,0),""),"")</f>
        <v/>
      </c>
    </row>
    <row r="3037" ht="24" customHeight="1" s="63">
      <c r="E3037" s="139" t="n"/>
      <c r="F3037" s="139" t="n"/>
      <c r="G3037" s="140">
        <f>IFERROR(IF(E3037&gt;0,(F3037/E3037)*1000,""),"")</f>
        <v/>
      </c>
      <c r="H3037" s="139">
        <f>IFERROR(IF(E3037&gt;0,E3037*IF(ISNUMBER(J3037),J3037,IF(C3037="Futures",$C$6,$C$5)),""),"")</f>
        <v/>
      </c>
      <c r="I3037" s="139">
        <f>IFERROR(IF(AND(ISNUMBER(F3037),ISNUMBER(H3037)),F3037-H3037,""),"")</f>
        <v/>
      </c>
      <c r="J3037" s="114" t="n"/>
      <c r="K3037" s="139">
        <f>IFERROR(IF(H3037&gt;0,H3037*$C$7,""),"")</f>
        <v/>
      </c>
      <c r="L3037" s="139">
        <f>IFERROR(IF(ISNUMBER(F3037),F3037-IF(ISNUMBER(K3037),K3037,0),""),"")</f>
        <v/>
      </c>
    </row>
    <row r="3038" ht="24" customHeight="1" s="63">
      <c r="E3038" s="139" t="n"/>
      <c r="F3038" s="139" t="n"/>
      <c r="G3038" s="140">
        <f>IFERROR(IF(E3038&gt;0,(F3038/E3038)*1000,""),"")</f>
        <v/>
      </c>
      <c r="H3038" s="139">
        <f>IFERROR(IF(E3038&gt;0,E3038*IF(ISNUMBER(J3038),J3038,IF(C3038="Futures",$C$6,$C$5)),""),"")</f>
        <v/>
      </c>
      <c r="I3038" s="139">
        <f>IFERROR(IF(AND(ISNUMBER(F3038),ISNUMBER(H3038)),F3038-H3038,""),"")</f>
        <v/>
      </c>
      <c r="J3038" s="114" t="n"/>
      <c r="K3038" s="139">
        <f>IFERROR(IF(H3038&gt;0,H3038*$C$7,""),"")</f>
        <v/>
      </c>
      <c r="L3038" s="139">
        <f>IFERROR(IF(ISNUMBER(F3038),F3038-IF(ISNUMBER(K3038),K3038,0),""),"")</f>
        <v/>
      </c>
    </row>
    <row r="3039" ht="24" customHeight="1" s="63">
      <c r="E3039" s="139" t="n"/>
      <c r="F3039" s="139" t="n"/>
      <c r="G3039" s="140">
        <f>IFERROR(IF(E3039&gt;0,(F3039/E3039)*1000,""),"")</f>
        <v/>
      </c>
      <c r="H3039" s="139">
        <f>IFERROR(IF(E3039&gt;0,E3039*IF(ISNUMBER(J3039),J3039,IF(C3039="Futures",$C$6,$C$5)),""),"")</f>
        <v/>
      </c>
      <c r="I3039" s="139">
        <f>IFERROR(IF(AND(ISNUMBER(F3039),ISNUMBER(H3039)),F3039-H3039,""),"")</f>
        <v/>
      </c>
      <c r="J3039" s="114" t="n"/>
      <c r="K3039" s="139">
        <f>IFERROR(IF(H3039&gt;0,H3039*$C$7,""),"")</f>
        <v/>
      </c>
      <c r="L3039" s="139">
        <f>IFERROR(IF(ISNUMBER(F3039),F3039-IF(ISNUMBER(K3039),K3039,0),""),"")</f>
        <v/>
      </c>
    </row>
    <row r="3040" ht="24" customHeight="1" s="63">
      <c r="E3040" s="139" t="n"/>
      <c r="F3040" s="139" t="n"/>
      <c r="G3040" s="140">
        <f>IFERROR(IF(E3040&gt;0,(F3040/E3040)*1000,""),"")</f>
        <v/>
      </c>
      <c r="H3040" s="139">
        <f>IFERROR(IF(E3040&gt;0,E3040*IF(ISNUMBER(J3040),J3040,IF(C3040="Futures",$C$6,$C$5)),""),"")</f>
        <v/>
      </c>
      <c r="I3040" s="139">
        <f>IFERROR(IF(AND(ISNUMBER(F3040),ISNUMBER(H3040)),F3040-H3040,""),"")</f>
        <v/>
      </c>
      <c r="J3040" s="114" t="n"/>
      <c r="K3040" s="139">
        <f>IFERROR(IF(H3040&gt;0,H3040*$C$7,""),"")</f>
        <v/>
      </c>
      <c r="L3040" s="139">
        <f>IFERROR(IF(ISNUMBER(F3040),F3040-IF(ISNUMBER(K3040),K3040,0),""),"")</f>
        <v/>
      </c>
    </row>
    <row r="3041" ht="24" customHeight="1" s="63">
      <c r="E3041" s="139" t="n"/>
      <c r="F3041" s="139" t="n"/>
      <c r="G3041" s="140">
        <f>IFERROR(IF(E3041&gt;0,(F3041/E3041)*1000,""),"")</f>
        <v/>
      </c>
      <c r="H3041" s="139">
        <f>IFERROR(IF(E3041&gt;0,E3041*IF(ISNUMBER(J3041),J3041,IF(C3041="Futures",$C$6,$C$5)),""),"")</f>
        <v/>
      </c>
      <c r="I3041" s="139">
        <f>IFERROR(IF(AND(ISNUMBER(F3041),ISNUMBER(H3041)),F3041-H3041,""),"")</f>
        <v/>
      </c>
      <c r="J3041" s="114" t="n"/>
      <c r="K3041" s="139">
        <f>IFERROR(IF(H3041&gt;0,H3041*$C$7,""),"")</f>
        <v/>
      </c>
      <c r="L3041" s="139">
        <f>IFERROR(IF(ISNUMBER(F3041),F3041-IF(ISNUMBER(K3041),K3041,0),""),"")</f>
        <v/>
      </c>
    </row>
    <row r="3042" ht="24" customHeight="1" s="63">
      <c r="E3042" s="139" t="n"/>
      <c r="F3042" s="139" t="n"/>
      <c r="G3042" s="140">
        <f>IFERROR(IF(E3042&gt;0,(F3042/E3042)*1000,""),"")</f>
        <v/>
      </c>
      <c r="H3042" s="139">
        <f>IFERROR(IF(E3042&gt;0,E3042*IF(ISNUMBER(J3042),J3042,IF(C3042="Futures",$C$6,$C$5)),""),"")</f>
        <v/>
      </c>
      <c r="I3042" s="139">
        <f>IFERROR(IF(AND(ISNUMBER(F3042),ISNUMBER(H3042)),F3042-H3042,""),"")</f>
        <v/>
      </c>
      <c r="J3042" s="114" t="n"/>
      <c r="K3042" s="139">
        <f>IFERROR(IF(H3042&gt;0,H3042*$C$7,""),"")</f>
        <v/>
      </c>
      <c r="L3042" s="139">
        <f>IFERROR(IF(ISNUMBER(F3042),F3042-IF(ISNUMBER(K3042),K3042,0),""),"")</f>
        <v/>
      </c>
    </row>
    <row r="3043" ht="24" customHeight="1" s="63">
      <c r="E3043" s="139" t="n"/>
      <c r="F3043" s="139" t="n"/>
      <c r="G3043" s="140">
        <f>IFERROR(IF(E3043&gt;0,(F3043/E3043)*1000,""),"")</f>
        <v/>
      </c>
      <c r="H3043" s="139">
        <f>IFERROR(IF(E3043&gt;0,E3043*IF(ISNUMBER(J3043),J3043,IF(C3043="Futures",$C$6,$C$5)),""),"")</f>
        <v/>
      </c>
      <c r="I3043" s="139">
        <f>IFERROR(IF(AND(ISNUMBER(F3043),ISNUMBER(H3043)),F3043-H3043,""),"")</f>
        <v/>
      </c>
      <c r="J3043" s="114" t="n"/>
      <c r="K3043" s="139">
        <f>IFERROR(IF(H3043&gt;0,H3043*$C$7,""),"")</f>
        <v/>
      </c>
      <c r="L3043" s="139">
        <f>IFERROR(IF(ISNUMBER(F3043),F3043-IF(ISNUMBER(K3043),K3043,0),""),"")</f>
        <v/>
      </c>
    </row>
    <row r="3044" ht="24" customHeight="1" s="63">
      <c r="E3044" s="139" t="n"/>
      <c r="F3044" s="139" t="n"/>
      <c r="G3044" s="140">
        <f>IFERROR(IF(E3044&gt;0,(F3044/E3044)*1000,""),"")</f>
        <v/>
      </c>
      <c r="H3044" s="139">
        <f>IFERROR(IF(E3044&gt;0,E3044*IF(ISNUMBER(J3044),J3044,IF(C3044="Futures",$C$6,$C$5)),""),"")</f>
        <v/>
      </c>
      <c r="I3044" s="139">
        <f>IFERROR(IF(AND(ISNUMBER(F3044),ISNUMBER(H3044)),F3044-H3044,""),"")</f>
        <v/>
      </c>
      <c r="J3044" s="114" t="n"/>
      <c r="K3044" s="139">
        <f>IFERROR(IF(H3044&gt;0,H3044*$C$7,""),"")</f>
        <v/>
      </c>
      <c r="L3044" s="139">
        <f>IFERROR(IF(ISNUMBER(F3044),F3044-IF(ISNUMBER(K3044),K3044,0),""),"")</f>
        <v/>
      </c>
    </row>
    <row r="3045" ht="24" customHeight="1" s="63">
      <c r="E3045" s="139" t="n"/>
      <c r="F3045" s="139" t="n"/>
      <c r="G3045" s="140">
        <f>IFERROR(IF(E3045&gt;0,(F3045/E3045)*1000,""),"")</f>
        <v/>
      </c>
      <c r="H3045" s="139">
        <f>IFERROR(IF(E3045&gt;0,E3045*IF(ISNUMBER(J3045),J3045,IF(C3045="Futures",$C$6,$C$5)),""),"")</f>
        <v/>
      </c>
      <c r="I3045" s="139">
        <f>IFERROR(IF(AND(ISNUMBER(F3045),ISNUMBER(H3045)),F3045-H3045,""),"")</f>
        <v/>
      </c>
      <c r="J3045" s="114" t="n"/>
      <c r="K3045" s="139">
        <f>IFERROR(IF(H3045&gt;0,H3045*$C$7,""),"")</f>
        <v/>
      </c>
      <c r="L3045" s="139">
        <f>IFERROR(IF(ISNUMBER(F3045),F3045-IF(ISNUMBER(K3045),K3045,0),""),"")</f>
        <v/>
      </c>
    </row>
    <row r="3046" ht="24" customHeight="1" s="63">
      <c r="E3046" s="139" t="n"/>
      <c r="F3046" s="139" t="n"/>
      <c r="G3046" s="140">
        <f>IFERROR(IF(E3046&gt;0,(F3046/E3046)*1000,""),"")</f>
        <v/>
      </c>
      <c r="H3046" s="139">
        <f>IFERROR(IF(E3046&gt;0,E3046*IF(ISNUMBER(J3046),J3046,IF(C3046="Futures",$C$6,$C$5)),""),"")</f>
        <v/>
      </c>
      <c r="I3046" s="139">
        <f>IFERROR(IF(AND(ISNUMBER(F3046),ISNUMBER(H3046)),F3046-H3046,""),"")</f>
        <v/>
      </c>
      <c r="J3046" s="114" t="n"/>
      <c r="K3046" s="139">
        <f>IFERROR(IF(H3046&gt;0,H3046*$C$7,""),"")</f>
        <v/>
      </c>
      <c r="L3046" s="139">
        <f>IFERROR(IF(ISNUMBER(F3046),F3046-IF(ISNUMBER(K3046),K3046,0),""),"")</f>
        <v/>
      </c>
    </row>
    <row r="3047" ht="24" customHeight="1" s="63">
      <c r="E3047" s="139" t="n"/>
      <c r="F3047" s="139" t="n"/>
      <c r="G3047" s="140">
        <f>IFERROR(IF(E3047&gt;0,(F3047/E3047)*1000,""),"")</f>
        <v/>
      </c>
      <c r="H3047" s="139">
        <f>IFERROR(IF(E3047&gt;0,E3047*IF(ISNUMBER(J3047),J3047,IF(C3047="Futures",$C$6,$C$5)),""),"")</f>
        <v/>
      </c>
      <c r="I3047" s="139">
        <f>IFERROR(IF(AND(ISNUMBER(F3047),ISNUMBER(H3047)),F3047-H3047,""),"")</f>
        <v/>
      </c>
      <c r="J3047" s="114" t="n"/>
      <c r="K3047" s="139">
        <f>IFERROR(IF(H3047&gt;0,H3047*$C$7,""),"")</f>
        <v/>
      </c>
      <c r="L3047" s="139">
        <f>IFERROR(IF(ISNUMBER(F3047),F3047-IF(ISNUMBER(K3047),K3047,0),""),"")</f>
        <v/>
      </c>
    </row>
    <row r="3048" ht="24" customHeight="1" s="63">
      <c r="E3048" s="139" t="n"/>
      <c r="F3048" s="139" t="n"/>
      <c r="G3048" s="140">
        <f>IFERROR(IF(E3048&gt;0,(F3048/E3048)*1000,""),"")</f>
        <v/>
      </c>
      <c r="H3048" s="139">
        <f>IFERROR(IF(E3048&gt;0,E3048*IF(ISNUMBER(J3048),J3048,IF(C3048="Futures",$C$6,$C$5)),""),"")</f>
        <v/>
      </c>
      <c r="I3048" s="139">
        <f>IFERROR(IF(AND(ISNUMBER(F3048),ISNUMBER(H3048)),F3048-H3048,""),"")</f>
        <v/>
      </c>
      <c r="J3048" s="114" t="n"/>
      <c r="K3048" s="139">
        <f>IFERROR(IF(H3048&gt;0,H3048*$C$7,""),"")</f>
        <v/>
      </c>
      <c r="L3048" s="139">
        <f>IFERROR(IF(ISNUMBER(F3048),F3048-IF(ISNUMBER(K3048),K3048,0),""),"")</f>
        <v/>
      </c>
    </row>
    <row r="3049" ht="24" customHeight="1" s="63">
      <c r="E3049" s="139" t="n"/>
      <c r="F3049" s="139" t="n"/>
      <c r="G3049" s="140">
        <f>IFERROR(IF(E3049&gt;0,(F3049/E3049)*1000,""),"")</f>
        <v/>
      </c>
      <c r="H3049" s="139">
        <f>IFERROR(IF(E3049&gt;0,E3049*IF(ISNUMBER(J3049),J3049,IF(C3049="Futures",$C$6,$C$5)),""),"")</f>
        <v/>
      </c>
      <c r="I3049" s="139">
        <f>IFERROR(IF(AND(ISNUMBER(F3049),ISNUMBER(H3049)),F3049-H3049,""),"")</f>
        <v/>
      </c>
      <c r="J3049" s="114" t="n"/>
      <c r="K3049" s="139">
        <f>IFERROR(IF(H3049&gt;0,H3049*$C$7,""),"")</f>
        <v/>
      </c>
      <c r="L3049" s="139">
        <f>IFERROR(IF(ISNUMBER(F3049),F3049-IF(ISNUMBER(K3049),K3049,0),""),"")</f>
        <v/>
      </c>
    </row>
    <row r="3050" ht="24" customHeight="1" s="63">
      <c r="E3050" s="139" t="n"/>
      <c r="F3050" s="139" t="n"/>
      <c r="G3050" s="140">
        <f>IFERROR(IF(E3050&gt;0,(F3050/E3050)*1000,""),"")</f>
        <v/>
      </c>
      <c r="H3050" s="139">
        <f>IFERROR(IF(E3050&gt;0,E3050*IF(ISNUMBER(J3050),J3050,IF(C3050="Futures",$C$6,$C$5)),""),"")</f>
        <v/>
      </c>
      <c r="I3050" s="139">
        <f>IFERROR(IF(AND(ISNUMBER(F3050),ISNUMBER(H3050)),F3050-H3050,""),"")</f>
        <v/>
      </c>
      <c r="J3050" s="114" t="n"/>
      <c r="K3050" s="139">
        <f>IFERROR(IF(H3050&gt;0,H3050*$C$7,""),"")</f>
        <v/>
      </c>
      <c r="L3050" s="139">
        <f>IFERROR(IF(ISNUMBER(F3050),F3050-IF(ISNUMBER(K3050),K3050,0),""),"")</f>
        <v/>
      </c>
    </row>
    <row r="3051" ht="24" customHeight="1" s="63">
      <c r="E3051" s="139" t="n"/>
      <c r="F3051" s="139" t="n"/>
      <c r="G3051" s="140">
        <f>IFERROR(IF(E3051&gt;0,(F3051/E3051)*1000,""),"")</f>
        <v/>
      </c>
      <c r="H3051" s="139">
        <f>IFERROR(IF(E3051&gt;0,E3051*IF(ISNUMBER(J3051),J3051,IF(C3051="Futures",$C$6,$C$5)),""),"")</f>
        <v/>
      </c>
      <c r="I3051" s="139">
        <f>IFERROR(IF(AND(ISNUMBER(F3051),ISNUMBER(H3051)),F3051-H3051,""),"")</f>
        <v/>
      </c>
      <c r="J3051" s="114" t="n"/>
      <c r="K3051" s="139">
        <f>IFERROR(IF(H3051&gt;0,H3051*$C$7,""),"")</f>
        <v/>
      </c>
      <c r="L3051" s="139">
        <f>IFERROR(IF(ISNUMBER(F3051),F3051-IF(ISNUMBER(K3051),K3051,0),""),"")</f>
        <v/>
      </c>
    </row>
    <row r="3052" ht="24" customHeight="1" s="63">
      <c r="E3052" s="139" t="n"/>
      <c r="F3052" s="139" t="n"/>
      <c r="G3052" s="140">
        <f>IFERROR(IF(E3052&gt;0,(F3052/E3052)*1000,""),"")</f>
        <v/>
      </c>
      <c r="H3052" s="139">
        <f>IFERROR(IF(E3052&gt;0,E3052*IF(ISNUMBER(J3052),J3052,IF(C3052="Futures",$C$6,$C$5)),""),"")</f>
        <v/>
      </c>
      <c r="I3052" s="139">
        <f>IFERROR(IF(AND(ISNUMBER(F3052),ISNUMBER(H3052)),F3052-H3052,""),"")</f>
        <v/>
      </c>
      <c r="J3052" s="114" t="n"/>
      <c r="K3052" s="139">
        <f>IFERROR(IF(H3052&gt;0,H3052*$C$7,""),"")</f>
        <v/>
      </c>
      <c r="L3052" s="139">
        <f>IFERROR(IF(ISNUMBER(F3052),F3052-IF(ISNUMBER(K3052),K3052,0),""),"")</f>
        <v/>
      </c>
    </row>
    <row r="3053" ht="24" customHeight="1" s="63">
      <c r="E3053" s="139" t="n"/>
      <c r="F3053" s="139" t="n"/>
      <c r="G3053" s="140">
        <f>IFERROR(IF(E3053&gt;0,(F3053/E3053)*1000,""),"")</f>
        <v/>
      </c>
      <c r="H3053" s="139">
        <f>IFERROR(IF(E3053&gt;0,E3053*IF(ISNUMBER(J3053),J3053,IF(C3053="Futures",$C$6,$C$5)),""),"")</f>
        <v/>
      </c>
      <c r="I3053" s="139">
        <f>IFERROR(IF(AND(ISNUMBER(F3053),ISNUMBER(H3053)),F3053-H3053,""),"")</f>
        <v/>
      </c>
      <c r="J3053" s="114" t="n"/>
      <c r="K3053" s="139">
        <f>IFERROR(IF(H3053&gt;0,H3053*$C$7,""),"")</f>
        <v/>
      </c>
      <c r="L3053" s="139">
        <f>IFERROR(IF(ISNUMBER(F3053),F3053-IF(ISNUMBER(K3053),K3053,0),""),"")</f>
        <v/>
      </c>
    </row>
    <row r="3054" ht="24" customHeight="1" s="63">
      <c r="E3054" s="139" t="n"/>
      <c r="F3054" s="139" t="n"/>
      <c r="G3054" s="140">
        <f>IFERROR(IF(E3054&gt;0,(F3054/E3054)*1000,""),"")</f>
        <v/>
      </c>
      <c r="H3054" s="139">
        <f>IFERROR(IF(E3054&gt;0,E3054*IF(ISNUMBER(J3054),J3054,IF(C3054="Futures",$C$6,$C$5)),""),"")</f>
        <v/>
      </c>
      <c r="I3054" s="139">
        <f>IFERROR(IF(AND(ISNUMBER(F3054),ISNUMBER(H3054)),F3054-H3054,""),"")</f>
        <v/>
      </c>
      <c r="J3054" s="114" t="n"/>
      <c r="K3054" s="139">
        <f>IFERROR(IF(H3054&gt;0,H3054*$C$7,""),"")</f>
        <v/>
      </c>
      <c r="L3054" s="139">
        <f>IFERROR(IF(ISNUMBER(F3054),F3054-IF(ISNUMBER(K3054),K3054,0),""),"")</f>
        <v/>
      </c>
    </row>
    <row r="3055" ht="24" customHeight="1" s="63">
      <c r="E3055" s="139" t="n"/>
      <c r="F3055" s="139" t="n"/>
      <c r="G3055" s="140">
        <f>IFERROR(IF(E3055&gt;0,(F3055/E3055)*1000,""),"")</f>
        <v/>
      </c>
      <c r="H3055" s="139">
        <f>IFERROR(IF(E3055&gt;0,E3055*IF(ISNUMBER(J3055),J3055,IF(C3055="Futures",$C$6,$C$5)),""),"")</f>
        <v/>
      </c>
      <c r="I3055" s="139">
        <f>IFERROR(IF(AND(ISNUMBER(F3055),ISNUMBER(H3055)),F3055-H3055,""),"")</f>
        <v/>
      </c>
      <c r="J3055" s="114" t="n"/>
      <c r="K3055" s="139">
        <f>IFERROR(IF(H3055&gt;0,H3055*$C$7,""),"")</f>
        <v/>
      </c>
      <c r="L3055" s="139">
        <f>IFERROR(IF(ISNUMBER(F3055),F3055-IF(ISNUMBER(K3055),K3055,0),""),"")</f>
        <v/>
      </c>
    </row>
    <row r="3056" ht="24" customHeight="1" s="63">
      <c r="E3056" s="139" t="n"/>
      <c r="F3056" s="139" t="n"/>
      <c r="G3056" s="140">
        <f>IFERROR(IF(E3056&gt;0,(F3056/E3056)*1000,""),"")</f>
        <v/>
      </c>
      <c r="H3056" s="139">
        <f>IFERROR(IF(E3056&gt;0,E3056*IF(ISNUMBER(J3056),J3056,IF(C3056="Futures",$C$6,$C$5)),""),"")</f>
        <v/>
      </c>
      <c r="I3056" s="139">
        <f>IFERROR(IF(AND(ISNUMBER(F3056),ISNUMBER(H3056)),F3056-H3056,""),"")</f>
        <v/>
      </c>
      <c r="J3056" s="114" t="n"/>
      <c r="K3056" s="139">
        <f>IFERROR(IF(H3056&gt;0,H3056*$C$7,""),"")</f>
        <v/>
      </c>
      <c r="L3056" s="139">
        <f>IFERROR(IF(ISNUMBER(F3056),F3056-IF(ISNUMBER(K3056),K3056,0),""),"")</f>
        <v/>
      </c>
    </row>
    <row r="3057" ht="24" customHeight="1" s="63">
      <c r="E3057" s="139" t="n"/>
      <c r="F3057" s="139" t="n"/>
      <c r="G3057" s="140">
        <f>IFERROR(IF(E3057&gt;0,(F3057/E3057)*1000,""),"")</f>
        <v/>
      </c>
      <c r="H3057" s="139">
        <f>IFERROR(IF(E3057&gt;0,E3057*IF(ISNUMBER(J3057),J3057,IF(C3057="Futures",$C$6,$C$5)),""),"")</f>
        <v/>
      </c>
      <c r="I3057" s="139">
        <f>IFERROR(IF(AND(ISNUMBER(F3057),ISNUMBER(H3057)),F3057-H3057,""),"")</f>
        <v/>
      </c>
      <c r="J3057" s="114" t="n"/>
      <c r="K3057" s="139">
        <f>IFERROR(IF(H3057&gt;0,H3057*$C$7,""),"")</f>
        <v/>
      </c>
      <c r="L3057" s="139">
        <f>IFERROR(IF(ISNUMBER(F3057),F3057-IF(ISNUMBER(K3057),K3057,0),""),"")</f>
        <v/>
      </c>
    </row>
    <row r="3058" ht="24" customHeight="1" s="63">
      <c r="E3058" s="139" t="n"/>
      <c r="F3058" s="139" t="n"/>
      <c r="G3058" s="140">
        <f>IFERROR(IF(E3058&gt;0,(F3058/E3058)*1000,""),"")</f>
        <v/>
      </c>
      <c r="H3058" s="139">
        <f>IFERROR(IF(E3058&gt;0,E3058*IF(ISNUMBER(J3058),J3058,IF(C3058="Futures",$C$6,$C$5)),""),"")</f>
        <v/>
      </c>
      <c r="I3058" s="139">
        <f>IFERROR(IF(AND(ISNUMBER(F3058),ISNUMBER(H3058)),F3058-H3058,""),"")</f>
        <v/>
      </c>
      <c r="J3058" s="114" t="n"/>
      <c r="K3058" s="139">
        <f>IFERROR(IF(H3058&gt;0,H3058*$C$7,""),"")</f>
        <v/>
      </c>
      <c r="L3058" s="139">
        <f>IFERROR(IF(ISNUMBER(F3058),F3058-IF(ISNUMBER(K3058),K3058,0),""),"")</f>
        <v/>
      </c>
    </row>
    <row r="3059" ht="24" customHeight="1" s="63">
      <c r="E3059" s="139" t="n"/>
      <c r="F3059" s="139" t="n"/>
      <c r="G3059" s="140">
        <f>IFERROR(IF(E3059&gt;0,(F3059/E3059)*1000,""),"")</f>
        <v/>
      </c>
      <c r="H3059" s="139">
        <f>IFERROR(IF(E3059&gt;0,E3059*IF(ISNUMBER(J3059),J3059,IF(C3059="Futures",$C$6,$C$5)),""),"")</f>
        <v/>
      </c>
      <c r="I3059" s="139">
        <f>IFERROR(IF(AND(ISNUMBER(F3059),ISNUMBER(H3059)),F3059-H3059,""),"")</f>
        <v/>
      </c>
      <c r="J3059" s="114" t="n"/>
      <c r="K3059" s="139">
        <f>IFERROR(IF(H3059&gt;0,H3059*$C$7,""),"")</f>
        <v/>
      </c>
      <c r="L3059" s="139">
        <f>IFERROR(IF(ISNUMBER(F3059),F3059-IF(ISNUMBER(K3059),K3059,0),""),"")</f>
        <v/>
      </c>
    </row>
    <row r="3060" ht="24" customHeight="1" s="63">
      <c r="E3060" s="139" t="n"/>
      <c r="F3060" s="139" t="n"/>
      <c r="G3060" s="140">
        <f>IFERROR(IF(E3060&gt;0,(F3060/E3060)*1000,""),"")</f>
        <v/>
      </c>
      <c r="H3060" s="139">
        <f>IFERROR(IF(E3060&gt;0,E3060*IF(ISNUMBER(J3060),J3060,IF(C3060="Futures",$C$6,$C$5)),""),"")</f>
        <v/>
      </c>
      <c r="I3060" s="139">
        <f>IFERROR(IF(AND(ISNUMBER(F3060),ISNUMBER(H3060)),F3060-H3060,""),"")</f>
        <v/>
      </c>
      <c r="J3060" s="114" t="n"/>
      <c r="K3060" s="139">
        <f>IFERROR(IF(H3060&gt;0,H3060*$C$7,""),"")</f>
        <v/>
      </c>
      <c r="L3060" s="139">
        <f>IFERROR(IF(ISNUMBER(F3060),F3060-IF(ISNUMBER(K3060),K3060,0),""),"")</f>
        <v/>
      </c>
    </row>
    <row r="3061" ht="24" customHeight="1" s="63">
      <c r="E3061" s="139" t="n"/>
      <c r="F3061" s="139" t="n"/>
      <c r="G3061" s="140">
        <f>IFERROR(IF(E3061&gt;0,(F3061/E3061)*1000,""),"")</f>
        <v/>
      </c>
      <c r="H3061" s="139">
        <f>IFERROR(IF(E3061&gt;0,E3061*IF(ISNUMBER(J3061),J3061,IF(C3061="Futures",$C$6,$C$5)),""),"")</f>
        <v/>
      </c>
      <c r="I3061" s="139">
        <f>IFERROR(IF(AND(ISNUMBER(F3061),ISNUMBER(H3061)),F3061-H3061,""),"")</f>
        <v/>
      </c>
      <c r="J3061" s="114" t="n"/>
      <c r="K3061" s="139">
        <f>IFERROR(IF(H3061&gt;0,H3061*$C$7,""),"")</f>
        <v/>
      </c>
      <c r="L3061" s="139">
        <f>IFERROR(IF(ISNUMBER(F3061),F3061-IF(ISNUMBER(K3061),K3061,0),""),"")</f>
        <v/>
      </c>
    </row>
    <row r="3062" ht="24" customHeight="1" s="63">
      <c r="E3062" s="139" t="n"/>
      <c r="F3062" s="139" t="n"/>
      <c r="G3062" s="140">
        <f>IFERROR(IF(E3062&gt;0,(F3062/E3062)*1000,""),"")</f>
        <v/>
      </c>
      <c r="H3062" s="139">
        <f>IFERROR(IF(E3062&gt;0,E3062*IF(ISNUMBER(J3062),J3062,IF(C3062="Futures",$C$6,$C$5)),""),"")</f>
        <v/>
      </c>
      <c r="I3062" s="139">
        <f>IFERROR(IF(AND(ISNUMBER(F3062),ISNUMBER(H3062)),F3062-H3062,""),"")</f>
        <v/>
      </c>
      <c r="J3062" s="114" t="n"/>
      <c r="K3062" s="139">
        <f>IFERROR(IF(H3062&gt;0,H3062*$C$7,""),"")</f>
        <v/>
      </c>
      <c r="L3062" s="139">
        <f>IFERROR(IF(ISNUMBER(F3062),F3062-IF(ISNUMBER(K3062),K3062,0),""),"")</f>
        <v/>
      </c>
    </row>
    <row r="3063" ht="24" customHeight="1" s="63">
      <c r="E3063" s="139" t="n"/>
      <c r="F3063" s="139" t="n"/>
      <c r="G3063" s="140">
        <f>IFERROR(IF(E3063&gt;0,(F3063/E3063)*1000,""),"")</f>
        <v/>
      </c>
      <c r="H3063" s="139">
        <f>IFERROR(IF(E3063&gt;0,E3063*IF(ISNUMBER(J3063),J3063,IF(C3063="Futures",$C$6,$C$5)),""),"")</f>
        <v/>
      </c>
      <c r="I3063" s="139">
        <f>IFERROR(IF(AND(ISNUMBER(F3063),ISNUMBER(H3063)),F3063-H3063,""),"")</f>
        <v/>
      </c>
      <c r="J3063" s="114" t="n"/>
      <c r="K3063" s="139">
        <f>IFERROR(IF(H3063&gt;0,H3063*$C$7,""),"")</f>
        <v/>
      </c>
      <c r="L3063" s="139">
        <f>IFERROR(IF(ISNUMBER(F3063),F3063-IF(ISNUMBER(K3063),K3063,0),""),"")</f>
        <v/>
      </c>
    </row>
    <row r="3064" ht="24" customHeight="1" s="63">
      <c r="E3064" s="139" t="n"/>
      <c r="F3064" s="139" t="n"/>
      <c r="G3064" s="140">
        <f>IFERROR(IF(E3064&gt;0,(F3064/E3064)*1000,""),"")</f>
        <v/>
      </c>
      <c r="H3064" s="139">
        <f>IFERROR(IF(E3064&gt;0,E3064*IF(ISNUMBER(J3064),J3064,IF(C3064="Futures",$C$6,$C$5)),""),"")</f>
        <v/>
      </c>
      <c r="I3064" s="139">
        <f>IFERROR(IF(AND(ISNUMBER(F3064),ISNUMBER(H3064)),F3064-H3064,""),"")</f>
        <v/>
      </c>
      <c r="J3064" s="114" t="n"/>
      <c r="K3064" s="139">
        <f>IFERROR(IF(H3064&gt;0,H3064*$C$7,""),"")</f>
        <v/>
      </c>
      <c r="L3064" s="139">
        <f>IFERROR(IF(ISNUMBER(F3064),F3064-IF(ISNUMBER(K3064),K3064,0),""),"")</f>
        <v/>
      </c>
    </row>
    <row r="3065" ht="24" customHeight="1" s="63">
      <c r="E3065" s="139" t="n"/>
      <c r="F3065" s="139" t="n"/>
      <c r="G3065" s="140">
        <f>IFERROR(IF(E3065&gt;0,(F3065/E3065)*1000,""),"")</f>
        <v/>
      </c>
      <c r="H3065" s="139">
        <f>IFERROR(IF(E3065&gt;0,E3065*IF(ISNUMBER(J3065),J3065,IF(C3065="Futures",$C$6,$C$5)),""),"")</f>
        <v/>
      </c>
      <c r="I3065" s="139">
        <f>IFERROR(IF(AND(ISNUMBER(F3065),ISNUMBER(H3065)),F3065-H3065,""),"")</f>
        <v/>
      </c>
      <c r="J3065" s="114" t="n"/>
      <c r="K3065" s="139">
        <f>IFERROR(IF(H3065&gt;0,H3065*$C$7,""),"")</f>
        <v/>
      </c>
      <c r="L3065" s="139">
        <f>IFERROR(IF(ISNUMBER(F3065),F3065-IF(ISNUMBER(K3065),K3065,0),""),"")</f>
        <v/>
      </c>
    </row>
    <row r="3066" ht="24" customHeight="1" s="63">
      <c r="E3066" s="139" t="n"/>
      <c r="F3066" s="139" t="n"/>
      <c r="G3066" s="140">
        <f>IFERROR(IF(E3066&gt;0,(F3066/E3066)*1000,""),"")</f>
        <v/>
      </c>
      <c r="H3066" s="139">
        <f>IFERROR(IF(E3066&gt;0,E3066*IF(ISNUMBER(J3066),J3066,IF(C3066="Futures",$C$6,$C$5)),""),"")</f>
        <v/>
      </c>
      <c r="I3066" s="139">
        <f>IFERROR(IF(AND(ISNUMBER(F3066),ISNUMBER(H3066)),F3066-H3066,""),"")</f>
        <v/>
      </c>
      <c r="J3066" s="114" t="n"/>
      <c r="K3066" s="139">
        <f>IFERROR(IF(H3066&gt;0,H3066*$C$7,""),"")</f>
        <v/>
      </c>
      <c r="L3066" s="139">
        <f>IFERROR(IF(ISNUMBER(F3066),F3066-IF(ISNUMBER(K3066),K3066,0),""),"")</f>
        <v/>
      </c>
    </row>
    <row r="3067" ht="24" customHeight="1" s="63">
      <c r="E3067" s="139" t="n"/>
      <c r="F3067" s="139" t="n"/>
      <c r="G3067" s="140">
        <f>IFERROR(IF(E3067&gt;0,(F3067/E3067)*1000,""),"")</f>
        <v/>
      </c>
      <c r="H3067" s="139">
        <f>IFERROR(IF(E3067&gt;0,E3067*IF(ISNUMBER(J3067),J3067,IF(C3067="Futures",$C$6,$C$5)),""),"")</f>
        <v/>
      </c>
      <c r="I3067" s="139">
        <f>IFERROR(IF(AND(ISNUMBER(F3067),ISNUMBER(H3067)),F3067-H3067,""),"")</f>
        <v/>
      </c>
      <c r="J3067" s="114" t="n"/>
      <c r="K3067" s="139">
        <f>IFERROR(IF(H3067&gt;0,H3067*$C$7,""),"")</f>
        <v/>
      </c>
      <c r="L3067" s="139">
        <f>IFERROR(IF(ISNUMBER(F3067),F3067-IF(ISNUMBER(K3067),K3067,0),""),"")</f>
        <v/>
      </c>
    </row>
    <row r="3068" ht="24" customHeight="1" s="63">
      <c r="E3068" s="139" t="n"/>
      <c r="F3068" s="139" t="n"/>
      <c r="G3068" s="140">
        <f>IFERROR(IF(E3068&gt;0,(F3068/E3068)*1000,""),"")</f>
        <v/>
      </c>
      <c r="H3068" s="139">
        <f>IFERROR(IF(E3068&gt;0,E3068*IF(ISNUMBER(J3068),J3068,IF(C3068="Futures",$C$6,$C$5)),""),"")</f>
        <v/>
      </c>
      <c r="I3068" s="139">
        <f>IFERROR(IF(AND(ISNUMBER(F3068),ISNUMBER(H3068)),F3068-H3068,""),"")</f>
        <v/>
      </c>
      <c r="J3068" s="114" t="n"/>
      <c r="K3068" s="139">
        <f>IFERROR(IF(H3068&gt;0,H3068*$C$7,""),"")</f>
        <v/>
      </c>
      <c r="L3068" s="139">
        <f>IFERROR(IF(ISNUMBER(F3068),F3068-IF(ISNUMBER(K3068),K3068,0),""),"")</f>
        <v/>
      </c>
    </row>
    <row r="3069" ht="24" customHeight="1" s="63">
      <c r="E3069" s="139" t="n"/>
      <c r="F3069" s="139" t="n"/>
      <c r="G3069" s="140">
        <f>IFERROR(IF(E3069&gt;0,(F3069/E3069)*1000,""),"")</f>
        <v/>
      </c>
      <c r="H3069" s="139">
        <f>IFERROR(IF(E3069&gt;0,E3069*IF(ISNUMBER(J3069),J3069,IF(C3069="Futures",$C$6,$C$5)),""),"")</f>
        <v/>
      </c>
      <c r="I3069" s="139">
        <f>IFERROR(IF(AND(ISNUMBER(F3069),ISNUMBER(H3069)),F3069-H3069,""),"")</f>
        <v/>
      </c>
      <c r="J3069" s="114" t="n"/>
      <c r="K3069" s="139">
        <f>IFERROR(IF(H3069&gt;0,H3069*$C$7,""),"")</f>
        <v/>
      </c>
      <c r="L3069" s="139">
        <f>IFERROR(IF(ISNUMBER(F3069),F3069-IF(ISNUMBER(K3069),K3069,0),""),"")</f>
        <v/>
      </c>
    </row>
    <row r="3070" ht="24" customHeight="1" s="63">
      <c r="E3070" s="139" t="n"/>
      <c r="F3070" s="139" t="n"/>
      <c r="G3070" s="140">
        <f>IFERROR(IF(E3070&gt;0,(F3070/E3070)*1000,""),"")</f>
        <v/>
      </c>
      <c r="H3070" s="139">
        <f>IFERROR(IF(E3070&gt;0,E3070*IF(ISNUMBER(J3070),J3070,IF(C3070="Futures",$C$6,$C$5)),""),"")</f>
        <v/>
      </c>
      <c r="I3070" s="139">
        <f>IFERROR(IF(AND(ISNUMBER(F3070),ISNUMBER(H3070)),F3070-H3070,""),"")</f>
        <v/>
      </c>
      <c r="J3070" s="114" t="n"/>
      <c r="K3070" s="139">
        <f>IFERROR(IF(H3070&gt;0,H3070*$C$7,""),"")</f>
        <v/>
      </c>
      <c r="L3070" s="139">
        <f>IFERROR(IF(ISNUMBER(F3070),F3070-IF(ISNUMBER(K3070),K3070,0),""),"")</f>
        <v/>
      </c>
    </row>
    <row r="3071" ht="24" customHeight="1" s="63">
      <c r="E3071" s="139" t="n"/>
      <c r="F3071" s="139" t="n"/>
      <c r="G3071" s="140">
        <f>IFERROR(IF(E3071&gt;0,(F3071/E3071)*1000,""),"")</f>
        <v/>
      </c>
      <c r="H3071" s="139">
        <f>IFERROR(IF(E3071&gt;0,E3071*IF(ISNUMBER(J3071),J3071,IF(C3071="Futures",$C$6,$C$5)),""),"")</f>
        <v/>
      </c>
      <c r="I3071" s="139">
        <f>IFERROR(IF(AND(ISNUMBER(F3071),ISNUMBER(H3071)),F3071-H3071,""),"")</f>
        <v/>
      </c>
      <c r="J3071" s="114" t="n"/>
      <c r="K3071" s="139">
        <f>IFERROR(IF(H3071&gt;0,H3071*$C$7,""),"")</f>
        <v/>
      </c>
      <c r="L3071" s="139">
        <f>IFERROR(IF(ISNUMBER(F3071),F3071-IF(ISNUMBER(K3071),K3071,0),""),"")</f>
        <v/>
      </c>
    </row>
    <row r="3072" ht="24" customHeight="1" s="63">
      <c r="E3072" s="139" t="n"/>
      <c r="F3072" s="139" t="n"/>
      <c r="G3072" s="140">
        <f>IFERROR(IF(E3072&gt;0,(F3072/E3072)*1000,""),"")</f>
        <v/>
      </c>
      <c r="H3072" s="139">
        <f>IFERROR(IF(E3072&gt;0,E3072*IF(ISNUMBER(J3072),J3072,IF(C3072="Futures",$C$6,$C$5)),""),"")</f>
        <v/>
      </c>
      <c r="I3072" s="139">
        <f>IFERROR(IF(AND(ISNUMBER(F3072),ISNUMBER(H3072)),F3072-H3072,""),"")</f>
        <v/>
      </c>
      <c r="J3072" s="114" t="n"/>
      <c r="K3072" s="139">
        <f>IFERROR(IF(H3072&gt;0,H3072*$C$7,""),"")</f>
        <v/>
      </c>
      <c r="L3072" s="139">
        <f>IFERROR(IF(ISNUMBER(F3072),F3072-IF(ISNUMBER(K3072),K3072,0),""),"")</f>
        <v/>
      </c>
    </row>
    <row r="3073" ht="24" customHeight="1" s="63">
      <c r="E3073" s="139" t="n"/>
      <c r="F3073" s="139" t="n"/>
      <c r="G3073" s="140">
        <f>IFERROR(IF(E3073&gt;0,(F3073/E3073)*1000,""),"")</f>
        <v/>
      </c>
      <c r="H3073" s="139">
        <f>IFERROR(IF(E3073&gt;0,E3073*IF(ISNUMBER(J3073),J3073,IF(C3073="Futures",$C$6,$C$5)),""),"")</f>
        <v/>
      </c>
      <c r="I3073" s="139">
        <f>IFERROR(IF(AND(ISNUMBER(F3073),ISNUMBER(H3073)),F3073-H3073,""),"")</f>
        <v/>
      </c>
      <c r="J3073" s="114" t="n"/>
      <c r="K3073" s="139">
        <f>IFERROR(IF(H3073&gt;0,H3073*$C$7,""),"")</f>
        <v/>
      </c>
      <c r="L3073" s="139">
        <f>IFERROR(IF(ISNUMBER(F3073),F3073-IF(ISNUMBER(K3073),K3073,0),""),"")</f>
        <v/>
      </c>
    </row>
    <row r="3074" ht="24" customHeight="1" s="63">
      <c r="E3074" s="139" t="n"/>
      <c r="F3074" s="139" t="n"/>
      <c r="G3074" s="140">
        <f>IFERROR(IF(E3074&gt;0,(F3074/E3074)*1000,""),"")</f>
        <v/>
      </c>
      <c r="H3074" s="139">
        <f>IFERROR(IF(E3074&gt;0,E3074*IF(ISNUMBER(J3074),J3074,IF(C3074="Futures",$C$6,$C$5)),""),"")</f>
        <v/>
      </c>
      <c r="I3074" s="139">
        <f>IFERROR(IF(AND(ISNUMBER(F3074),ISNUMBER(H3074)),F3074-H3074,""),"")</f>
        <v/>
      </c>
      <c r="J3074" s="114" t="n"/>
      <c r="K3074" s="139">
        <f>IFERROR(IF(H3074&gt;0,H3074*$C$7,""),"")</f>
        <v/>
      </c>
      <c r="L3074" s="139">
        <f>IFERROR(IF(ISNUMBER(F3074),F3074-IF(ISNUMBER(K3074),K3074,0),""),"")</f>
        <v/>
      </c>
    </row>
    <row r="3075" ht="24" customHeight="1" s="63">
      <c r="E3075" s="139" t="n"/>
      <c r="F3075" s="139" t="n"/>
      <c r="G3075" s="140">
        <f>IFERROR(IF(E3075&gt;0,(F3075/E3075)*1000,""),"")</f>
        <v/>
      </c>
      <c r="H3075" s="139">
        <f>IFERROR(IF(E3075&gt;0,E3075*IF(ISNUMBER(J3075),J3075,IF(C3075="Futures",$C$6,$C$5)),""),"")</f>
        <v/>
      </c>
      <c r="I3075" s="139">
        <f>IFERROR(IF(AND(ISNUMBER(F3075),ISNUMBER(H3075)),F3075-H3075,""),"")</f>
        <v/>
      </c>
      <c r="J3075" s="114" t="n"/>
      <c r="K3075" s="139">
        <f>IFERROR(IF(H3075&gt;0,H3075*$C$7,""),"")</f>
        <v/>
      </c>
      <c r="L3075" s="139">
        <f>IFERROR(IF(ISNUMBER(F3075),F3075-IF(ISNUMBER(K3075),K3075,0),""),"")</f>
        <v/>
      </c>
    </row>
    <row r="3076" ht="24" customHeight="1" s="63">
      <c r="E3076" s="139" t="n"/>
      <c r="F3076" s="139" t="n"/>
      <c r="G3076" s="140">
        <f>IFERROR(IF(E3076&gt;0,(F3076/E3076)*1000,""),"")</f>
        <v/>
      </c>
      <c r="H3076" s="139">
        <f>IFERROR(IF(E3076&gt;0,E3076*IF(ISNUMBER(J3076),J3076,IF(C3076="Futures",$C$6,$C$5)),""),"")</f>
        <v/>
      </c>
      <c r="I3076" s="139">
        <f>IFERROR(IF(AND(ISNUMBER(F3076),ISNUMBER(H3076)),F3076-H3076,""),"")</f>
        <v/>
      </c>
      <c r="J3076" s="114" t="n"/>
      <c r="K3076" s="139">
        <f>IFERROR(IF(H3076&gt;0,H3076*$C$7,""),"")</f>
        <v/>
      </c>
      <c r="L3076" s="139">
        <f>IFERROR(IF(ISNUMBER(F3076),F3076-IF(ISNUMBER(K3076),K3076,0),""),"")</f>
        <v/>
      </c>
    </row>
    <row r="3077" ht="24" customHeight="1" s="63">
      <c r="E3077" s="139" t="n"/>
      <c r="F3077" s="139" t="n"/>
      <c r="G3077" s="140">
        <f>IFERROR(IF(E3077&gt;0,(F3077/E3077)*1000,""),"")</f>
        <v/>
      </c>
      <c r="H3077" s="139">
        <f>IFERROR(IF(E3077&gt;0,E3077*IF(ISNUMBER(J3077),J3077,IF(C3077="Futures",$C$6,$C$5)),""),"")</f>
        <v/>
      </c>
      <c r="I3077" s="139">
        <f>IFERROR(IF(AND(ISNUMBER(F3077),ISNUMBER(H3077)),F3077-H3077,""),"")</f>
        <v/>
      </c>
      <c r="J3077" s="114" t="n"/>
      <c r="K3077" s="139">
        <f>IFERROR(IF(H3077&gt;0,H3077*$C$7,""),"")</f>
        <v/>
      </c>
      <c r="L3077" s="139">
        <f>IFERROR(IF(ISNUMBER(F3077),F3077-IF(ISNUMBER(K3077),K3077,0),""),"")</f>
        <v/>
      </c>
    </row>
    <row r="3078" ht="24" customHeight="1" s="63">
      <c r="E3078" s="139" t="n"/>
      <c r="F3078" s="139" t="n"/>
      <c r="G3078" s="140">
        <f>IFERROR(IF(E3078&gt;0,(F3078/E3078)*1000,""),"")</f>
        <v/>
      </c>
      <c r="H3078" s="139">
        <f>IFERROR(IF(E3078&gt;0,E3078*IF(ISNUMBER(J3078),J3078,IF(C3078="Futures",$C$6,$C$5)),""),"")</f>
        <v/>
      </c>
      <c r="I3078" s="139">
        <f>IFERROR(IF(AND(ISNUMBER(F3078),ISNUMBER(H3078)),F3078-H3078,""),"")</f>
        <v/>
      </c>
      <c r="J3078" s="114" t="n"/>
      <c r="K3078" s="139">
        <f>IFERROR(IF(H3078&gt;0,H3078*$C$7,""),"")</f>
        <v/>
      </c>
      <c r="L3078" s="139">
        <f>IFERROR(IF(ISNUMBER(F3078),F3078-IF(ISNUMBER(K3078),K3078,0),""),"")</f>
        <v/>
      </c>
    </row>
    <row r="3079" ht="24" customHeight="1" s="63">
      <c r="E3079" s="139" t="n"/>
      <c r="F3079" s="139" t="n"/>
      <c r="G3079" s="140">
        <f>IFERROR(IF(E3079&gt;0,(F3079/E3079)*1000,""),"")</f>
        <v/>
      </c>
      <c r="H3079" s="139">
        <f>IFERROR(IF(E3079&gt;0,E3079*IF(ISNUMBER(J3079),J3079,IF(C3079="Futures",$C$6,$C$5)),""),"")</f>
        <v/>
      </c>
      <c r="I3079" s="139">
        <f>IFERROR(IF(AND(ISNUMBER(F3079),ISNUMBER(H3079)),F3079-H3079,""),"")</f>
        <v/>
      </c>
      <c r="J3079" s="114" t="n"/>
      <c r="K3079" s="139">
        <f>IFERROR(IF(H3079&gt;0,H3079*$C$7,""),"")</f>
        <v/>
      </c>
      <c r="L3079" s="139">
        <f>IFERROR(IF(ISNUMBER(F3079),F3079-IF(ISNUMBER(K3079),K3079,0),""),"")</f>
        <v/>
      </c>
    </row>
    <row r="3080" ht="24" customHeight="1" s="63">
      <c r="E3080" s="139" t="n"/>
      <c r="F3080" s="139" t="n"/>
      <c r="G3080" s="140">
        <f>IFERROR(IF(E3080&gt;0,(F3080/E3080)*1000,""),"")</f>
        <v/>
      </c>
      <c r="H3080" s="139">
        <f>IFERROR(IF(E3080&gt;0,E3080*IF(ISNUMBER(J3080),J3080,IF(C3080="Futures",$C$6,$C$5)),""),"")</f>
        <v/>
      </c>
      <c r="I3080" s="139">
        <f>IFERROR(IF(AND(ISNUMBER(F3080),ISNUMBER(H3080)),F3080-H3080,""),"")</f>
        <v/>
      </c>
      <c r="J3080" s="114" t="n"/>
      <c r="K3080" s="139">
        <f>IFERROR(IF(H3080&gt;0,H3080*$C$7,""),"")</f>
        <v/>
      </c>
      <c r="L3080" s="139">
        <f>IFERROR(IF(ISNUMBER(F3080),F3080-IF(ISNUMBER(K3080),K3080,0),""),"")</f>
        <v/>
      </c>
    </row>
    <row r="3081" ht="24" customHeight="1" s="63">
      <c r="E3081" s="139" t="n"/>
      <c r="F3081" s="139" t="n"/>
      <c r="G3081" s="140">
        <f>IFERROR(IF(E3081&gt;0,(F3081/E3081)*1000,""),"")</f>
        <v/>
      </c>
      <c r="H3081" s="139">
        <f>IFERROR(IF(E3081&gt;0,E3081*IF(ISNUMBER(J3081),J3081,IF(C3081="Futures",$C$6,$C$5)),""),"")</f>
        <v/>
      </c>
      <c r="I3081" s="139">
        <f>IFERROR(IF(AND(ISNUMBER(F3081),ISNUMBER(H3081)),F3081-H3081,""),"")</f>
        <v/>
      </c>
      <c r="J3081" s="114" t="n"/>
      <c r="K3081" s="139">
        <f>IFERROR(IF(H3081&gt;0,H3081*$C$7,""),"")</f>
        <v/>
      </c>
      <c r="L3081" s="139">
        <f>IFERROR(IF(ISNUMBER(F3081),F3081-IF(ISNUMBER(K3081),K3081,0),""),"")</f>
        <v/>
      </c>
    </row>
    <row r="3082" ht="24" customHeight="1" s="63">
      <c r="E3082" s="139" t="n"/>
      <c r="F3082" s="139" t="n"/>
      <c r="G3082" s="140">
        <f>IFERROR(IF(E3082&gt;0,(F3082/E3082)*1000,""),"")</f>
        <v/>
      </c>
      <c r="H3082" s="139">
        <f>IFERROR(IF(E3082&gt;0,E3082*IF(ISNUMBER(J3082),J3082,IF(C3082="Futures",$C$6,$C$5)),""),"")</f>
        <v/>
      </c>
      <c r="I3082" s="139">
        <f>IFERROR(IF(AND(ISNUMBER(F3082),ISNUMBER(H3082)),F3082-H3082,""),"")</f>
        <v/>
      </c>
      <c r="J3082" s="114" t="n"/>
      <c r="K3082" s="139">
        <f>IFERROR(IF(H3082&gt;0,H3082*$C$7,""),"")</f>
        <v/>
      </c>
      <c r="L3082" s="139">
        <f>IFERROR(IF(ISNUMBER(F3082),F3082-IF(ISNUMBER(K3082),K3082,0),""),"")</f>
        <v/>
      </c>
    </row>
    <row r="3083" ht="24" customHeight="1" s="63">
      <c r="E3083" s="139" t="n"/>
      <c r="F3083" s="139" t="n"/>
      <c r="G3083" s="140">
        <f>IFERROR(IF(E3083&gt;0,(F3083/E3083)*1000,""),"")</f>
        <v/>
      </c>
      <c r="H3083" s="139">
        <f>IFERROR(IF(E3083&gt;0,E3083*IF(ISNUMBER(J3083),J3083,IF(C3083="Futures",$C$6,$C$5)),""),"")</f>
        <v/>
      </c>
      <c r="I3083" s="139">
        <f>IFERROR(IF(AND(ISNUMBER(F3083),ISNUMBER(H3083)),F3083-H3083,""),"")</f>
        <v/>
      </c>
      <c r="J3083" s="114" t="n"/>
      <c r="K3083" s="139">
        <f>IFERROR(IF(H3083&gt;0,H3083*$C$7,""),"")</f>
        <v/>
      </c>
      <c r="L3083" s="139">
        <f>IFERROR(IF(ISNUMBER(F3083),F3083-IF(ISNUMBER(K3083),K3083,0),""),"")</f>
        <v/>
      </c>
    </row>
    <row r="3084" ht="24" customHeight="1" s="63">
      <c r="E3084" s="139" t="n"/>
      <c r="F3084" s="139" t="n"/>
      <c r="G3084" s="140">
        <f>IFERROR(IF(E3084&gt;0,(F3084/E3084)*1000,""),"")</f>
        <v/>
      </c>
      <c r="H3084" s="139">
        <f>IFERROR(IF(E3084&gt;0,E3084*IF(ISNUMBER(J3084),J3084,IF(C3084="Futures",$C$6,$C$5)),""),"")</f>
        <v/>
      </c>
      <c r="I3084" s="139">
        <f>IFERROR(IF(AND(ISNUMBER(F3084),ISNUMBER(H3084)),F3084-H3084,""),"")</f>
        <v/>
      </c>
      <c r="J3084" s="114" t="n"/>
      <c r="K3084" s="139">
        <f>IFERROR(IF(H3084&gt;0,H3084*$C$7,""),"")</f>
        <v/>
      </c>
      <c r="L3084" s="139">
        <f>IFERROR(IF(ISNUMBER(F3084),F3084-IF(ISNUMBER(K3084),K3084,0),""),"")</f>
        <v/>
      </c>
    </row>
    <row r="3085" ht="24" customHeight="1" s="63">
      <c r="E3085" s="139" t="n"/>
      <c r="F3085" s="139" t="n"/>
      <c r="G3085" s="140">
        <f>IFERROR(IF(E3085&gt;0,(F3085/E3085)*1000,""),"")</f>
        <v/>
      </c>
      <c r="H3085" s="139">
        <f>IFERROR(IF(E3085&gt;0,E3085*IF(ISNUMBER(J3085),J3085,IF(C3085="Futures",$C$6,$C$5)),""),"")</f>
        <v/>
      </c>
      <c r="I3085" s="139">
        <f>IFERROR(IF(AND(ISNUMBER(F3085),ISNUMBER(H3085)),F3085-H3085,""),"")</f>
        <v/>
      </c>
      <c r="J3085" s="114" t="n"/>
      <c r="K3085" s="139">
        <f>IFERROR(IF(H3085&gt;0,H3085*$C$7,""),"")</f>
        <v/>
      </c>
      <c r="L3085" s="139">
        <f>IFERROR(IF(ISNUMBER(F3085),F3085-IF(ISNUMBER(K3085),K3085,0),""),"")</f>
        <v/>
      </c>
    </row>
    <row r="3086" ht="24" customHeight="1" s="63">
      <c r="E3086" s="139" t="n"/>
      <c r="F3086" s="139" t="n"/>
      <c r="G3086" s="140">
        <f>IFERROR(IF(E3086&gt;0,(F3086/E3086)*1000,""),"")</f>
        <v/>
      </c>
      <c r="H3086" s="139">
        <f>IFERROR(IF(E3086&gt;0,E3086*IF(ISNUMBER(J3086),J3086,IF(C3086="Futures",$C$6,$C$5)),""),"")</f>
        <v/>
      </c>
      <c r="I3086" s="139">
        <f>IFERROR(IF(AND(ISNUMBER(F3086),ISNUMBER(H3086)),F3086-H3086,""),"")</f>
        <v/>
      </c>
      <c r="J3086" s="114" t="n"/>
      <c r="K3086" s="139">
        <f>IFERROR(IF(H3086&gt;0,H3086*$C$7,""),"")</f>
        <v/>
      </c>
      <c r="L3086" s="139">
        <f>IFERROR(IF(ISNUMBER(F3086),F3086-IF(ISNUMBER(K3086),K3086,0),""),"")</f>
        <v/>
      </c>
    </row>
    <row r="3087" ht="24" customHeight="1" s="63">
      <c r="E3087" s="139" t="n"/>
      <c r="F3087" s="139" t="n"/>
      <c r="G3087" s="140">
        <f>IFERROR(IF(E3087&gt;0,(F3087/E3087)*1000,""),"")</f>
        <v/>
      </c>
      <c r="H3087" s="139">
        <f>IFERROR(IF(E3087&gt;0,E3087*IF(ISNUMBER(J3087),J3087,IF(C3087="Futures",$C$6,$C$5)),""),"")</f>
        <v/>
      </c>
      <c r="I3087" s="139">
        <f>IFERROR(IF(AND(ISNUMBER(F3087),ISNUMBER(H3087)),F3087-H3087,""),"")</f>
        <v/>
      </c>
      <c r="J3087" s="114" t="n"/>
      <c r="K3087" s="139">
        <f>IFERROR(IF(H3087&gt;0,H3087*$C$7,""),"")</f>
        <v/>
      </c>
      <c r="L3087" s="139">
        <f>IFERROR(IF(ISNUMBER(F3087),F3087-IF(ISNUMBER(K3087),K3087,0),""),"")</f>
        <v/>
      </c>
    </row>
    <row r="3088" ht="24" customHeight="1" s="63">
      <c r="E3088" s="139" t="n"/>
      <c r="F3088" s="139" t="n"/>
      <c r="G3088" s="140">
        <f>IFERROR(IF(E3088&gt;0,(F3088/E3088)*1000,""),"")</f>
        <v/>
      </c>
      <c r="H3088" s="139">
        <f>IFERROR(IF(E3088&gt;0,E3088*IF(ISNUMBER(J3088),J3088,IF(C3088="Futures",$C$6,$C$5)),""),"")</f>
        <v/>
      </c>
      <c r="I3088" s="139">
        <f>IFERROR(IF(AND(ISNUMBER(F3088),ISNUMBER(H3088)),F3088-H3088,""),"")</f>
        <v/>
      </c>
      <c r="J3088" s="114" t="n"/>
      <c r="K3088" s="139">
        <f>IFERROR(IF(H3088&gt;0,H3088*$C$7,""),"")</f>
        <v/>
      </c>
      <c r="L3088" s="139">
        <f>IFERROR(IF(ISNUMBER(F3088),F3088-IF(ISNUMBER(K3088),K3088,0),""),"")</f>
        <v/>
      </c>
    </row>
    <row r="3089" ht="24" customHeight="1" s="63">
      <c r="E3089" s="139" t="n"/>
      <c r="F3089" s="139" t="n"/>
      <c r="G3089" s="140">
        <f>IFERROR(IF(E3089&gt;0,(F3089/E3089)*1000,""),"")</f>
        <v/>
      </c>
      <c r="H3089" s="139">
        <f>IFERROR(IF(E3089&gt;0,E3089*IF(ISNUMBER(J3089),J3089,IF(C3089="Futures",$C$6,$C$5)),""),"")</f>
        <v/>
      </c>
      <c r="I3089" s="139">
        <f>IFERROR(IF(AND(ISNUMBER(F3089),ISNUMBER(H3089)),F3089-H3089,""),"")</f>
        <v/>
      </c>
      <c r="J3089" s="114" t="n"/>
      <c r="K3089" s="139">
        <f>IFERROR(IF(H3089&gt;0,H3089*$C$7,""),"")</f>
        <v/>
      </c>
      <c r="L3089" s="139">
        <f>IFERROR(IF(ISNUMBER(F3089),F3089-IF(ISNUMBER(K3089),K3089,0),""),"")</f>
        <v/>
      </c>
    </row>
    <row r="3090" ht="24" customHeight="1" s="63">
      <c r="E3090" s="139" t="n"/>
      <c r="F3090" s="139" t="n"/>
      <c r="G3090" s="140">
        <f>IFERROR(IF(E3090&gt;0,(F3090/E3090)*1000,""),"")</f>
        <v/>
      </c>
      <c r="H3090" s="139">
        <f>IFERROR(IF(E3090&gt;0,E3090*IF(ISNUMBER(J3090),J3090,IF(C3090="Futures",$C$6,$C$5)),""),"")</f>
        <v/>
      </c>
      <c r="I3090" s="139">
        <f>IFERROR(IF(AND(ISNUMBER(F3090),ISNUMBER(H3090)),F3090-H3090,""),"")</f>
        <v/>
      </c>
      <c r="J3090" s="114" t="n"/>
      <c r="K3090" s="139">
        <f>IFERROR(IF(H3090&gt;0,H3090*$C$7,""),"")</f>
        <v/>
      </c>
      <c r="L3090" s="139">
        <f>IFERROR(IF(ISNUMBER(F3090),F3090-IF(ISNUMBER(K3090),K3090,0),""),"")</f>
        <v/>
      </c>
    </row>
    <row r="3091" ht="24" customHeight="1" s="63">
      <c r="E3091" s="139" t="n"/>
      <c r="F3091" s="139" t="n"/>
      <c r="G3091" s="140">
        <f>IFERROR(IF(E3091&gt;0,(F3091/E3091)*1000,""),"")</f>
        <v/>
      </c>
      <c r="H3091" s="139">
        <f>IFERROR(IF(E3091&gt;0,E3091*IF(ISNUMBER(J3091),J3091,IF(C3091="Futures",$C$6,$C$5)),""),"")</f>
        <v/>
      </c>
      <c r="I3091" s="139">
        <f>IFERROR(IF(AND(ISNUMBER(F3091),ISNUMBER(H3091)),F3091-H3091,""),"")</f>
        <v/>
      </c>
      <c r="J3091" s="114" t="n"/>
      <c r="K3091" s="139">
        <f>IFERROR(IF(H3091&gt;0,H3091*$C$7,""),"")</f>
        <v/>
      </c>
      <c r="L3091" s="139">
        <f>IFERROR(IF(ISNUMBER(F3091),F3091-IF(ISNUMBER(K3091),K3091,0),""),"")</f>
        <v/>
      </c>
    </row>
    <row r="3092" ht="24" customHeight="1" s="63">
      <c r="E3092" s="139" t="n"/>
      <c r="F3092" s="139" t="n"/>
      <c r="G3092" s="140">
        <f>IFERROR(IF(E3092&gt;0,(F3092/E3092)*1000,""),"")</f>
        <v/>
      </c>
      <c r="H3092" s="139">
        <f>IFERROR(IF(E3092&gt;0,E3092*IF(ISNUMBER(J3092),J3092,IF(C3092="Futures",$C$6,$C$5)),""),"")</f>
        <v/>
      </c>
      <c r="I3092" s="139">
        <f>IFERROR(IF(AND(ISNUMBER(F3092),ISNUMBER(H3092)),F3092-H3092,""),"")</f>
        <v/>
      </c>
      <c r="J3092" s="114" t="n"/>
      <c r="K3092" s="139">
        <f>IFERROR(IF(H3092&gt;0,H3092*$C$7,""),"")</f>
        <v/>
      </c>
      <c r="L3092" s="139">
        <f>IFERROR(IF(ISNUMBER(F3092),F3092-IF(ISNUMBER(K3092),K3092,0),""),"")</f>
        <v/>
      </c>
    </row>
    <row r="3093" ht="24" customHeight="1" s="63">
      <c r="E3093" s="139" t="n"/>
      <c r="F3093" s="139" t="n"/>
      <c r="G3093" s="140">
        <f>IFERROR(IF(E3093&gt;0,(F3093/E3093)*1000,""),"")</f>
        <v/>
      </c>
      <c r="H3093" s="139">
        <f>IFERROR(IF(E3093&gt;0,E3093*IF(ISNUMBER(J3093),J3093,IF(C3093="Futures",$C$6,$C$5)),""),"")</f>
        <v/>
      </c>
      <c r="I3093" s="139">
        <f>IFERROR(IF(AND(ISNUMBER(F3093),ISNUMBER(H3093)),F3093-H3093,""),"")</f>
        <v/>
      </c>
      <c r="J3093" s="114" t="n"/>
      <c r="K3093" s="139">
        <f>IFERROR(IF(H3093&gt;0,H3093*$C$7,""),"")</f>
        <v/>
      </c>
      <c r="L3093" s="139">
        <f>IFERROR(IF(ISNUMBER(F3093),F3093-IF(ISNUMBER(K3093),K3093,0),""),"")</f>
        <v/>
      </c>
    </row>
    <row r="3094" ht="24" customHeight="1" s="63">
      <c r="E3094" s="139" t="n"/>
      <c r="F3094" s="139" t="n"/>
      <c r="G3094" s="140">
        <f>IFERROR(IF(E3094&gt;0,(F3094/E3094)*1000,""),"")</f>
        <v/>
      </c>
      <c r="H3094" s="139">
        <f>IFERROR(IF(E3094&gt;0,E3094*IF(ISNUMBER(J3094),J3094,IF(C3094="Futures",$C$6,$C$5)),""),"")</f>
        <v/>
      </c>
      <c r="I3094" s="139">
        <f>IFERROR(IF(AND(ISNUMBER(F3094),ISNUMBER(H3094)),F3094-H3094,""),"")</f>
        <v/>
      </c>
      <c r="J3094" s="114" t="n"/>
      <c r="K3094" s="139">
        <f>IFERROR(IF(H3094&gt;0,H3094*$C$7,""),"")</f>
        <v/>
      </c>
      <c r="L3094" s="139">
        <f>IFERROR(IF(ISNUMBER(F3094),F3094-IF(ISNUMBER(K3094),K3094,0),""),"")</f>
        <v/>
      </c>
    </row>
    <row r="3095" ht="24" customHeight="1" s="63">
      <c r="E3095" s="139" t="n"/>
      <c r="F3095" s="139" t="n"/>
      <c r="G3095" s="140">
        <f>IFERROR(IF(E3095&gt;0,(F3095/E3095)*1000,""),"")</f>
        <v/>
      </c>
      <c r="H3095" s="139">
        <f>IFERROR(IF(E3095&gt;0,E3095*IF(ISNUMBER(J3095),J3095,IF(C3095="Futures",$C$6,$C$5)),""),"")</f>
        <v/>
      </c>
      <c r="I3095" s="139">
        <f>IFERROR(IF(AND(ISNUMBER(F3095),ISNUMBER(H3095)),F3095-H3095,""),"")</f>
        <v/>
      </c>
      <c r="J3095" s="114" t="n"/>
      <c r="K3095" s="139">
        <f>IFERROR(IF(H3095&gt;0,H3095*$C$7,""),"")</f>
        <v/>
      </c>
      <c r="L3095" s="139">
        <f>IFERROR(IF(ISNUMBER(F3095),F3095-IF(ISNUMBER(K3095),K3095,0),""),"")</f>
        <v/>
      </c>
    </row>
    <row r="3096" ht="24" customHeight="1" s="63">
      <c r="E3096" s="139" t="n"/>
      <c r="F3096" s="139" t="n"/>
      <c r="G3096" s="140">
        <f>IFERROR(IF(E3096&gt;0,(F3096/E3096)*1000,""),"")</f>
        <v/>
      </c>
      <c r="H3096" s="139">
        <f>IFERROR(IF(E3096&gt;0,E3096*IF(ISNUMBER(J3096),J3096,IF(C3096="Futures",$C$6,$C$5)),""),"")</f>
        <v/>
      </c>
      <c r="I3096" s="139">
        <f>IFERROR(IF(AND(ISNUMBER(F3096),ISNUMBER(H3096)),F3096-H3096,""),"")</f>
        <v/>
      </c>
      <c r="J3096" s="114" t="n"/>
      <c r="K3096" s="139">
        <f>IFERROR(IF(H3096&gt;0,H3096*$C$7,""),"")</f>
        <v/>
      </c>
      <c r="L3096" s="139">
        <f>IFERROR(IF(ISNUMBER(F3096),F3096-IF(ISNUMBER(K3096),K3096,0),""),"")</f>
        <v/>
      </c>
    </row>
    <row r="3097" ht="24" customHeight="1" s="63">
      <c r="E3097" s="139" t="n"/>
      <c r="F3097" s="139" t="n"/>
      <c r="G3097" s="140">
        <f>IFERROR(IF(E3097&gt;0,(F3097/E3097)*1000,""),"")</f>
        <v/>
      </c>
      <c r="H3097" s="139">
        <f>IFERROR(IF(E3097&gt;0,E3097*IF(ISNUMBER(J3097),J3097,IF(C3097="Futures",$C$6,$C$5)),""),"")</f>
        <v/>
      </c>
      <c r="I3097" s="139">
        <f>IFERROR(IF(AND(ISNUMBER(F3097),ISNUMBER(H3097)),F3097-H3097,""),"")</f>
        <v/>
      </c>
      <c r="J3097" s="114" t="n"/>
      <c r="K3097" s="139">
        <f>IFERROR(IF(H3097&gt;0,H3097*$C$7,""),"")</f>
        <v/>
      </c>
      <c r="L3097" s="139">
        <f>IFERROR(IF(ISNUMBER(F3097),F3097-IF(ISNUMBER(K3097),K3097,0),""),"")</f>
        <v/>
      </c>
    </row>
    <row r="3098" ht="24" customHeight="1" s="63">
      <c r="E3098" s="139" t="n"/>
      <c r="F3098" s="139" t="n"/>
      <c r="G3098" s="140">
        <f>IFERROR(IF(E3098&gt;0,(F3098/E3098)*1000,""),"")</f>
        <v/>
      </c>
      <c r="H3098" s="139">
        <f>IFERROR(IF(E3098&gt;0,E3098*IF(ISNUMBER(J3098),J3098,IF(C3098="Futures",$C$6,$C$5)),""),"")</f>
        <v/>
      </c>
      <c r="I3098" s="139">
        <f>IFERROR(IF(AND(ISNUMBER(F3098),ISNUMBER(H3098)),F3098-H3098,""),"")</f>
        <v/>
      </c>
      <c r="J3098" s="114" t="n"/>
      <c r="K3098" s="139">
        <f>IFERROR(IF(H3098&gt;0,H3098*$C$7,""),"")</f>
        <v/>
      </c>
      <c r="L3098" s="139">
        <f>IFERROR(IF(ISNUMBER(F3098),F3098-IF(ISNUMBER(K3098),K3098,0),""),"")</f>
        <v/>
      </c>
    </row>
    <row r="3099" ht="24" customHeight="1" s="63">
      <c r="E3099" s="139" t="n"/>
      <c r="F3099" s="139" t="n"/>
      <c r="G3099" s="140">
        <f>IFERROR(IF(E3099&gt;0,(F3099/E3099)*1000,""),"")</f>
        <v/>
      </c>
      <c r="H3099" s="139">
        <f>IFERROR(IF(E3099&gt;0,E3099*IF(ISNUMBER(J3099),J3099,IF(C3099="Futures",$C$6,$C$5)),""),"")</f>
        <v/>
      </c>
      <c r="I3099" s="139">
        <f>IFERROR(IF(AND(ISNUMBER(F3099),ISNUMBER(H3099)),F3099-H3099,""),"")</f>
        <v/>
      </c>
      <c r="J3099" s="114" t="n"/>
      <c r="K3099" s="139">
        <f>IFERROR(IF(H3099&gt;0,H3099*$C$7,""),"")</f>
        <v/>
      </c>
      <c r="L3099" s="139">
        <f>IFERROR(IF(ISNUMBER(F3099),F3099-IF(ISNUMBER(K3099),K3099,0),""),"")</f>
        <v/>
      </c>
    </row>
    <row r="3100" ht="24" customHeight="1" s="63">
      <c r="E3100" s="139" t="n"/>
      <c r="F3100" s="139" t="n"/>
      <c r="G3100" s="140">
        <f>IFERROR(IF(E3100&gt;0,(F3100/E3100)*1000,""),"")</f>
        <v/>
      </c>
      <c r="H3100" s="139">
        <f>IFERROR(IF(E3100&gt;0,E3100*IF(ISNUMBER(J3100),J3100,IF(C3100="Futures",$C$6,$C$5)),""),"")</f>
        <v/>
      </c>
      <c r="I3100" s="139">
        <f>IFERROR(IF(AND(ISNUMBER(F3100),ISNUMBER(H3100)),F3100-H3100,""),"")</f>
        <v/>
      </c>
      <c r="J3100" s="114" t="n"/>
      <c r="K3100" s="139">
        <f>IFERROR(IF(H3100&gt;0,H3100*$C$7,""),"")</f>
        <v/>
      </c>
      <c r="L3100" s="139">
        <f>IFERROR(IF(ISNUMBER(F3100),F3100-IF(ISNUMBER(K3100),K3100,0),""),"")</f>
        <v/>
      </c>
    </row>
    <row r="3101" ht="24" customHeight="1" s="63">
      <c r="E3101" s="139" t="n"/>
      <c r="F3101" s="139" t="n"/>
      <c r="G3101" s="140">
        <f>IFERROR(IF(E3101&gt;0,(F3101/E3101)*1000,""),"")</f>
        <v/>
      </c>
      <c r="H3101" s="139">
        <f>IFERROR(IF(E3101&gt;0,E3101*IF(ISNUMBER(J3101),J3101,IF(C3101="Futures",$C$6,$C$5)),""),"")</f>
        <v/>
      </c>
      <c r="I3101" s="139">
        <f>IFERROR(IF(AND(ISNUMBER(F3101),ISNUMBER(H3101)),F3101-H3101,""),"")</f>
        <v/>
      </c>
      <c r="J3101" s="114" t="n"/>
      <c r="K3101" s="139">
        <f>IFERROR(IF(H3101&gt;0,H3101*$C$7,""),"")</f>
        <v/>
      </c>
      <c r="L3101" s="139">
        <f>IFERROR(IF(ISNUMBER(F3101),F3101-IF(ISNUMBER(K3101),K3101,0),""),"")</f>
        <v/>
      </c>
    </row>
    <row r="3102" ht="24" customHeight="1" s="63">
      <c r="E3102" s="139" t="n"/>
      <c r="F3102" s="139" t="n"/>
      <c r="G3102" s="140">
        <f>IFERROR(IF(E3102&gt;0,(F3102/E3102)*1000,""),"")</f>
        <v/>
      </c>
      <c r="H3102" s="139">
        <f>IFERROR(IF(E3102&gt;0,E3102*IF(ISNUMBER(J3102),J3102,IF(C3102="Futures",$C$6,$C$5)),""),"")</f>
        <v/>
      </c>
      <c r="I3102" s="139">
        <f>IFERROR(IF(AND(ISNUMBER(F3102),ISNUMBER(H3102)),F3102-H3102,""),"")</f>
        <v/>
      </c>
      <c r="J3102" s="114" t="n"/>
      <c r="K3102" s="139">
        <f>IFERROR(IF(H3102&gt;0,H3102*$C$7,""),"")</f>
        <v/>
      </c>
      <c r="L3102" s="139">
        <f>IFERROR(IF(ISNUMBER(F3102),F3102-IF(ISNUMBER(K3102),K3102,0),""),"")</f>
        <v/>
      </c>
    </row>
    <row r="3103" ht="24" customHeight="1" s="63">
      <c r="E3103" s="139" t="n"/>
      <c r="F3103" s="139" t="n"/>
      <c r="G3103" s="140">
        <f>IFERROR(IF(E3103&gt;0,(F3103/E3103)*1000,""),"")</f>
        <v/>
      </c>
      <c r="H3103" s="139">
        <f>IFERROR(IF(E3103&gt;0,E3103*IF(ISNUMBER(J3103),J3103,IF(C3103="Futures",$C$6,$C$5)),""),"")</f>
        <v/>
      </c>
      <c r="I3103" s="139">
        <f>IFERROR(IF(AND(ISNUMBER(F3103),ISNUMBER(H3103)),F3103-H3103,""),"")</f>
        <v/>
      </c>
      <c r="J3103" s="114" t="n"/>
      <c r="K3103" s="139">
        <f>IFERROR(IF(H3103&gt;0,H3103*$C$7,""),"")</f>
        <v/>
      </c>
      <c r="L3103" s="139">
        <f>IFERROR(IF(ISNUMBER(F3103),F3103-IF(ISNUMBER(K3103),K3103,0),""),"")</f>
        <v/>
      </c>
    </row>
    <row r="3104" ht="24" customHeight="1" s="63">
      <c r="E3104" s="139" t="n"/>
      <c r="F3104" s="139" t="n"/>
      <c r="G3104" s="140">
        <f>IFERROR(IF(E3104&gt;0,(F3104/E3104)*1000,""),"")</f>
        <v/>
      </c>
      <c r="H3104" s="139">
        <f>IFERROR(IF(E3104&gt;0,E3104*IF(ISNUMBER(J3104),J3104,IF(C3104="Futures",$C$6,$C$5)),""),"")</f>
        <v/>
      </c>
      <c r="I3104" s="139">
        <f>IFERROR(IF(AND(ISNUMBER(F3104),ISNUMBER(H3104)),F3104-H3104,""),"")</f>
        <v/>
      </c>
      <c r="J3104" s="114" t="n"/>
      <c r="K3104" s="139">
        <f>IFERROR(IF(H3104&gt;0,H3104*$C$7,""),"")</f>
        <v/>
      </c>
      <c r="L3104" s="139">
        <f>IFERROR(IF(ISNUMBER(F3104),F3104-IF(ISNUMBER(K3104),K3104,0),""),"")</f>
        <v/>
      </c>
    </row>
    <row r="3105" ht="24" customHeight="1" s="63">
      <c r="E3105" s="139" t="n"/>
      <c r="F3105" s="139" t="n"/>
      <c r="G3105" s="140">
        <f>IFERROR(IF(E3105&gt;0,(F3105/E3105)*1000,""),"")</f>
        <v/>
      </c>
      <c r="H3105" s="139">
        <f>IFERROR(IF(E3105&gt;0,E3105*IF(ISNUMBER(J3105),J3105,IF(C3105="Futures",$C$6,$C$5)),""),"")</f>
        <v/>
      </c>
      <c r="I3105" s="139">
        <f>IFERROR(IF(AND(ISNUMBER(F3105),ISNUMBER(H3105)),F3105-H3105,""),"")</f>
        <v/>
      </c>
      <c r="J3105" s="114" t="n"/>
      <c r="K3105" s="139">
        <f>IFERROR(IF(H3105&gt;0,H3105*$C$7,""),"")</f>
        <v/>
      </c>
      <c r="L3105" s="139">
        <f>IFERROR(IF(ISNUMBER(F3105),F3105-IF(ISNUMBER(K3105),K3105,0),""),"")</f>
        <v/>
      </c>
    </row>
    <row r="3106" ht="24" customHeight="1" s="63">
      <c r="E3106" s="139" t="n"/>
      <c r="F3106" s="139" t="n"/>
      <c r="G3106" s="140">
        <f>IFERROR(IF(E3106&gt;0,(F3106/E3106)*1000,""),"")</f>
        <v/>
      </c>
      <c r="H3106" s="139">
        <f>IFERROR(IF(E3106&gt;0,E3106*IF(ISNUMBER(J3106),J3106,IF(C3106="Futures",$C$6,$C$5)),""),"")</f>
        <v/>
      </c>
      <c r="I3106" s="139">
        <f>IFERROR(IF(AND(ISNUMBER(F3106),ISNUMBER(H3106)),F3106-H3106,""),"")</f>
        <v/>
      </c>
      <c r="J3106" s="114" t="n"/>
      <c r="K3106" s="139">
        <f>IFERROR(IF(H3106&gt;0,H3106*$C$7,""),"")</f>
        <v/>
      </c>
      <c r="L3106" s="139">
        <f>IFERROR(IF(ISNUMBER(F3106),F3106-IF(ISNUMBER(K3106),K3106,0),""),"")</f>
        <v/>
      </c>
    </row>
    <row r="3107" ht="24" customHeight="1" s="63">
      <c r="E3107" s="139" t="n"/>
      <c r="F3107" s="139" t="n"/>
      <c r="G3107" s="140">
        <f>IFERROR(IF(E3107&gt;0,(F3107/E3107)*1000,""),"")</f>
        <v/>
      </c>
      <c r="H3107" s="139">
        <f>IFERROR(IF(E3107&gt;0,E3107*IF(ISNUMBER(J3107),J3107,IF(C3107="Futures",$C$6,$C$5)),""),"")</f>
        <v/>
      </c>
      <c r="I3107" s="139">
        <f>IFERROR(IF(AND(ISNUMBER(F3107),ISNUMBER(H3107)),F3107-H3107,""),"")</f>
        <v/>
      </c>
      <c r="J3107" s="114" t="n"/>
      <c r="K3107" s="139">
        <f>IFERROR(IF(H3107&gt;0,H3107*$C$7,""),"")</f>
        <v/>
      </c>
      <c r="L3107" s="139">
        <f>IFERROR(IF(ISNUMBER(F3107),F3107-IF(ISNUMBER(K3107),K3107,0),""),"")</f>
        <v/>
      </c>
    </row>
    <row r="3108" ht="24" customHeight="1" s="63">
      <c r="E3108" s="139" t="n"/>
      <c r="F3108" s="139" t="n"/>
      <c r="G3108" s="140">
        <f>IFERROR(IF(E3108&gt;0,(F3108/E3108)*1000,""),"")</f>
        <v/>
      </c>
      <c r="H3108" s="139">
        <f>IFERROR(IF(E3108&gt;0,E3108*IF(ISNUMBER(J3108),J3108,IF(C3108="Futures",$C$6,$C$5)),""),"")</f>
        <v/>
      </c>
      <c r="I3108" s="139">
        <f>IFERROR(IF(AND(ISNUMBER(F3108),ISNUMBER(H3108)),F3108-H3108,""),"")</f>
        <v/>
      </c>
      <c r="J3108" s="114" t="n"/>
      <c r="K3108" s="139">
        <f>IFERROR(IF(H3108&gt;0,H3108*$C$7,""),"")</f>
        <v/>
      </c>
      <c r="L3108" s="139">
        <f>IFERROR(IF(ISNUMBER(F3108),F3108-IF(ISNUMBER(K3108),K3108,0),""),"")</f>
        <v/>
      </c>
    </row>
    <row r="3109" ht="24" customHeight="1" s="63">
      <c r="E3109" s="139" t="n"/>
      <c r="F3109" s="139" t="n"/>
      <c r="G3109" s="140">
        <f>IFERROR(IF(E3109&gt;0,(F3109/E3109)*1000,""),"")</f>
        <v/>
      </c>
      <c r="H3109" s="139">
        <f>IFERROR(IF(E3109&gt;0,E3109*IF(ISNUMBER(J3109),J3109,IF(C3109="Futures",$C$6,$C$5)),""),"")</f>
        <v/>
      </c>
      <c r="I3109" s="139">
        <f>IFERROR(IF(AND(ISNUMBER(F3109),ISNUMBER(H3109)),F3109-H3109,""),"")</f>
        <v/>
      </c>
      <c r="J3109" s="114" t="n"/>
      <c r="K3109" s="139">
        <f>IFERROR(IF(H3109&gt;0,H3109*$C$7,""),"")</f>
        <v/>
      </c>
      <c r="L3109" s="139">
        <f>IFERROR(IF(ISNUMBER(F3109),F3109-IF(ISNUMBER(K3109),K3109,0),""),"")</f>
        <v/>
      </c>
    </row>
    <row r="3110" ht="24" customHeight="1" s="63">
      <c r="E3110" s="139" t="n"/>
      <c r="F3110" s="139" t="n"/>
      <c r="G3110" s="140">
        <f>IFERROR(IF(E3110&gt;0,(F3110/E3110)*1000,""),"")</f>
        <v/>
      </c>
      <c r="H3110" s="139">
        <f>IFERROR(IF(E3110&gt;0,E3110*IF(ISNUMBER(J3110),J3110,IF(C3110="Futures",$C$6,$C$5)),""),"")</f>
        <v/>
      </c>
      <c r="I3110" s="139">
        <f>IFERROR(IF(AND(ISNUMBER(F3110),ISNUMBER(H3110)),F3110-H3110,""),"")</f>
        <v/>
      </c>
      <c r="J3110" s="114" t="n"/>
      <c r="K3110" s="139">
        <f>IFERROR(IF(H3110&gt;0,H3110*$C$7,""),"")</f>
        <v/>
      </c>
      <c r="L3110" s="139">
        <f>IFERROR(IF(ISNUMBER(F3110),F3110-IF(ISNUMBER(K3110),K3110,0),""),"")</f>
        <v/>
      </c>
    </row>
    <row r="3111" ht="24" customHeight="1" s="63">
      <c r="E3111" s="139" t="n"/>
      <c r="F3111" s="139" t="n"/>
      <c r="G3111" s="140">
        <f>IFERROR(IF(E3111&gt;0,(F3111/E3111)*1000,""),"")</f>
        <v/>
      </c>
      <c r="H3111" s="139">
        <f>IFERROR(IF(E3111&gt;0,E3111*IF(ISNUMBER(J3111),J3111,IF(C3111="Futures",$C$6,$C$5)),""),"")</f>
        <v/>
      </c>
      <c r="I3111" s="139">
        <f>IFERROR(IF(AND(ISNUMBER(F3111),ISNUMBER(H3111)),F3111-H3111,""),"")</f>
        <v/>
      </c>
      <c r="J3111" s="114" t="n"/>
      <c r="K3111" s="139">
        <f>IFERROR(IF(H3111&gt;0,H3111*$C$7,""),"")</f>
        <v/>
      </c>
      <c r="L3111" s="139">
        <f>IFERROR(IF(ISNUMBER(F3111),F3111-IF(ISNUMBER(K3111),K3111,0),""),"")</f>
        <v/>
      </c>
    </row>
    <row r="3112" ht="24" customHeight="1" s="63">
      <c r="E3112" s="139" t="n"/>
      <c r="F3112" s="139" t="n"/>
      <c r="G3112" s="140">
        <f>IFERROR(IF(E3112&gt;0,(F3112/E3112)*1000,""),"")</f>
        <v/>
      </c>
      <c r="H3112" s="139">
        <f>IFERROR(IF(E3112&gt;0,E3112*IF(ISNUMBER(J3112),J3112,IF(C3112="Futures",$C$6,$C$5)),""),"")</f>
        <v/>
      </c>
      <c r="I3112" s="139">
        <f>IFERROR(IF(AND(ISNUMBER(F3112),ISNUMBER(H3112)),F3112-H3112,""),"")</f>
        <v/>
      </c>
      <c r="J3112" s="114" t="n"/>
      <c r="K3112" s="139">
        <f>IFERROR(IF(H3112&gt;0,H3112*$C$7,""),"")</f>
        <v/>
      </c>
      <c r="L3112" s="139">
        <f>IFERROR(IF(ISNUMBER(F3112),F3112-IF(ISNUMBER(K3112),K3112,0),""),"")</f>
        <v/>
      </c>
    </row>
    <row r="3113" ht="24" customHeight="1" s="63">
      <c r="E3113" s="139" t="n"/>
      <c r="F3113" s="139" t="n"/>
      <c r="G3113" s="140">
        <f>IFERROR(IF(E3113&gt;0,(F3113/E3113)*1000,""),"")</f>
        <v/>
      </c>
      <c r="H3113" s="139">
        <f>IFERROR(IF(E3113&gt;0,E3113*IF(ISNUMBER(J3113),J3113,IF(C3113="Futures",$C$6,$C$5)),""),"")</f>
        <v/>
      </c>
      <c r="I3113" s="139">
        <f>IFERROR(IF(AND(ISNUMBER(F3113),ISNUMBER(H3113)),F3113-H3113,""),"")</f>
        <v/>
      </c>
      <c r="J3113" s="114" t="n"/>
      <c r="K3113" s="139">
        <f>IFERROR(IF(H3113&gt;0,H3113*$C$7,""),"")</f>
        <v/>
      </c>
      <c r="L3113" s="139">
        <f>IFERROR(IF(ISNUMBER(F3113),F3113-IF(ISNUMBER(K3113),K3113,0),""),"")</f>
        <v/>
      </c>
    </row>
    <row r="3114" ht="24" customHeight="1" s="63">
      <c r="E3114" s="139" t="n"/>
      <c r="F3114" s="139" t="n"/>
      <c r="G3114" s="140">
        <f>IFERROR(IF(E3114&gt;0,(F3114/E3114)*1000,""),"")</f>
        <v/>
      </c>
      <c r="H3114" s="139">
        <f>IFERROR(IF(E3114&gt;0,E3114*IF(ISNUMBER(J3114),J3114,IF(C3114="Futures",$C$6,$C$5)),""),"")</f>
        <v/>
      </c>
      <c r="I3114" s="139">
        <f>IFERROR(IF(AND(ISNUMBER(F3114),ISNUMBER(H3114)),F3114-H3114,""),"")</f>
        <v/>
      </c>
      <c r="J3114" s="114" t="n"/>
      <c r="K3114" s="139">
        <f>IFERROR(IF(H3114&gt;0,H3114*$C$7,""),"")</f>
        <v/>
      </c>
      <c r="L3114" s="139">
        <f>IFERROR(IF(ISNUMBER(F3114),F3114-IF(ISNUMBER(K3114),K3114,0),""),"")</f>
        <v/>
      </c>
    </row>
    <row r="3115" ht="24" customHeight="1" s="63">
      <c r="E3115" s="139" t="n"/>
      <c r="F3115" s="139" t="n"/>
      <c r="G3115" s="140">
        <f>IFERROR(IF(E3115&gt;0,(F3115/E3115)*1000,""),"")</f>
        <v/>
      </c>
      <c r="H3115" s="139">
        <f>IFERROR(IF(E3115&gt;0,E3115*IF(ISNUMBER(J3115),J3115,IF(C3115="Futures",$C$6,$C$5)),""),"")</f>
        <v/>
      </c>
      <c r="I3115" s="139">
        <f>IFERROR(IF(AND(ISNUMBER(F3115),ISNUMBER(H3115)),F3115-H3115,""),"")</f>
        <v/>
      </c>
      <c r="J3115" s="114" t="n"/>
      <c r="K3115" s="139">
        <f>IFERROR(IF(H3115&gt;0,H3115*$C$7,""),"")</f>
        <v/>
      </c>
      <c r="L3115" s="139">
        <f>IFERROR(IF(ISNUMBER(F3115),F3115-IF(ISNUMBER(K3115),K3115,0),""),"")</f>
        <v/>
      </c>
    </row>
    <row r="3116" ht="24" customHeight="1" s="63">
      <c r="E3116" s="139" t="n"/>
      <c r="F3116" s="139" t="n"/>
      <c r="G3116" s="140">
        <f>IFERROR(IF(E3116&gt;0,(F3116/E3116)*1000,""),"")</f>
        <v/>
      </c>
      <c r="H3116" s="139">
        <f>IFERROR(IF(E3116&gt;0,E3116*IF(ISNUMBER(J3116),J3116,IF(C3116="Futures",$C$6,$C$5)),""),"")</f>
        <v/>
      </c>
      <c r="I3116" s="139">
        <f>IFERROR(IF(AND(ISNUMBER(F3116),ISNUMBER(H3116)),F3116-H3116,""),"")</f>
        <v/>
      </c>
      <c r="J3116" s="114" t="n"/>
      <c r="K3116" s="139">
        <f>IFERROR(IF(H3116&gt;0,H3116*$C$7,""),"")</f>
        <v/>
      </c>
      <c r="L3116" s="139">
        <f>IFERROR(IF(ISNUMBER(F3116),F3116-IF(ISNUMBER(K3116),K3116,0),""),"")</f>
        <v/>
      </c>
    </row>
    <row r="3117" ht="24" customHeight="1" s="63">
      <c r="E3117" s="139" t="n"/>
      <c r="F3117" s="139" t="n"/>
      <c r="G3117" s="140">
        <f>IFERROR(IF(E3117&gt;0,(F3117/E3117)*1000,""),"")</f>
        <v/>
      </c>
      <c r="H3117" s="139">
        <f>IFERROR(IF(E3117&gt;0,E3117*IF(ISNUMBER(J3117),J3117,IF(C3117="Futures",$C$6,$C$5)),""),"")</f>
        <v/>
      </c>
      <c r="I3117" s="139">
        <f>IFERROR(IF(AND(ISNUMBER(F3117),ISNUMBER(H3117)),F3117-H3117,""),"")</f>
        <v/>
      </c>
      <c r="J3117" s="114" t="n"/>
      <c r="K3117" s="139">
        <f>IFERROR(IF(H3117&gt;0,H3117*$C$7,""),"")</f>
        <v/>
      </c>
      <c r="L3117" s="139">
        <f>IFERROR(IF(ISNUMBER(F3117),F3117-IF(ISNUMBER(K3117),K3117,0),""),"")</f>
        <v/>
      </c>
    </row>
    <row r="3118" ht="24" customHeight="1" s="63">
      <c r="E3118" s="139" t="n"/>
      <c r="F3118" s="139" t="n"/>
      <c r="G3118" s="140">
        <f>IFERROR(IF(E3118&gt;0,(F3118/E3118)*1000,""),"")</f>
        <v/>
      </c>
      <c r="H3118" s="139">
        <f>IFERROR(IF(E3118&gt;0,E3118*IF(ISNUMBER(J3118),J3118,IF(C3118="Futures",$C$6,$C$5)),""),"")</f>
        <v/>
      </c>
      <c r="I3118" s="139">
        <f>IFERROR(IF(AND(ISNUMBER(F3118),ISNUMBER(H3118)),F3118-H3118,""),"")</f>
        <v/>
      </c>
      <c r="J3118" s="114" t="n"/>
      <c r="K3118" s="139">
        <f>IFERROR(IF(H3118&gt;0,H3118*$C$7,""),"")</f>
        <v/>
      </c>
      <c r="L3118" s="139">
        <f>IFERROR(IF(ISNUMBER(F3118),F3118-IF(ISNUMBER(K3118),K3118,0),""),"")</f>
        <v/>
      </c>
    </row>
    <row r="3119" ht="24" customHeight="1" s="63">
      <c r="E3119" s="139" t="n"/>
      <c r="F3119" s="139" t="n"/>
      <c r="G3119" s="140">
        <f>IFERROR(IF(E3119&gt;0,(F3119/E3119)*1000,""),"")</f>
        <v/>
      </c>
      <c r="H3119" s="139">
        <f>IFERROR(IF(E3119&gt;0,E3119*IF(ISNUMBER(J3119),J3119,IF(C3119="Futures",$C$6,$C$5)),""),"")</f>
        <v/>
      </c>
      <c r="I3119" s="139">
        <f>IFERROR(IF(AND(ISNUMBER(F3119),ISNUMBER(H3119)),F3119-H3119,""),"")</f>
        <v/>
      </c>
      <c r="J3119" s="114" t="n"/>
      <c r="K3119" s="139">
        <f>IFERROR(IF(H3119&gt;0,H3119*$C$7,""),"")</f>
        <v/>
      </c>
      <c r="L3119" s="139">
        <f>IFERROR(IF(ISNUMBER(F3119),F3119-IF(ISNUMBER(K3119),K3119,0),""),"")</f>
        <v/>
      </c>
    </row>
    <row r="3120" ht="24" customHeight="1" s="63">
      <c r="E3120" s="139" t="n"/>
      <c r="F3120" s="139" t="n"/>
      <c r="G3120" s="140">
        <f>IFERROR(IF(E3120&gt;0,(F3120/E3120)*1000,""),"")</f>
        <v/>
      </c>
      <c r="H3120" s="139">
        <f>IFERROR(IF(E3120&gt;0,E3120*IF(ISNUMBER(J3120),J3120,IF(C3120="Futures",$C$6,$C$5)),""),"")</f>
        <v/>
      </c>
      <c r="I3120" s="139">
        <f>IFERROR(IF(AND(ISNUMBER(F3120),ISNUMBER(H3120)),F3120-H3120,""),"")</f>
        <v/>
      </c>
      <c r="J3120" s="114" t="n"/>
      <c r="K3120" s="139">
        <f>IFERROR(IF(H3120&gt;0,H3120*$C$7,""),"")</f>
        <v/>
      </c>
      <c r="L3120" s="139">
        <f>IFERROR(IF(ISNUMBER(F3120),F3120-IF(ISNUMBER(K3120),K3120,0),""),"")</f>
        <v/>
      </c>
    </row>
    <row r="3121" ht="24" customHeight="1" s="63">
      <c r="E3121" s="139" t="n"/>
      <c r="F3121" s="139" t="n"/>
      <c r="G3121" s="140">
        <f>IFERROR(IF(E3121&gt;0,(F3121/E3121)*1000,""),"")</f>
        <v/>
      </c>
      <c r="H3121" s="139">
        <f>IFERROR(IF(E3121&gt;0,E3121*IF(ISNUMBER(J3121),J3121,IF(C3121="Futures",$C$6,$C$5)),""),"")</f>
        <v/>
      </c>
      <c r="I3121" s="139">
        <f>IFERROR(IF(AND(ISNUMBER(F3121),ISNUMBER(H3121)),F3121-H3121,""),"")</f>
        <v/>
      </c>
      <c r="J3121" s="114" t="n"/>
      <c r="K3121" s="139">
        <f>IFERROR(IF(H3121&gt;0,H3121*$C$7,""),"")</f>
        <v/>
      </c>
      <c r="L3121" s="139">
        <f>IFERROR(IF(ISNUMBER(F3121),F3121-IF(ISNUMBER(K3121),K3121,0),""),"")</f>
        <v/>
      </c>
    </row>
    <row r="3122" ht="24" customHeight="1" s="63">
      <c r="E3122" s="139" t="n"/>
      <c r="F3122" s="139" t="n"/>
      <c r="G3122" s="140">
        <f>IFERROR(IF(E3122&gt;0,(F3122/E3122)*1000,""),"")</f>
        <v/>
      </c>
      <c r="H3122" s="139">
        <f>IFERROR(IF(E3122&gt;0,E3122*IF(ISNUMBER(J3122),J3122,IF(C3122="Futures",$C$6,$C$5)),""),"")</f>
        <v/>
      </c>
      <c r="I3122" s="139">
        <f>IFERROR(IF(AND(ISNUMBER(F3122),ISNUMBER(H3122)),F3122-H3122,""),"")</f>
        <v/>
      </c>
      <c r="J3122" s="114" t="n"/>
      <c r="K3122" s="139">
        <f>IFERROR(IF(H3122&gt;0,H3122*$C$7,""),"")</f>
        <v/>
      </c>
      <c r="L3122" s="139">
        <f>IFERROR(IF(ISNUMBER(F3122),F3122-IF(ISNUMBER(K3122),K3122,0),""),"")</f>
        <v/>
      </c>
    </row>
    <row r="3123" ht="24" customHeight="1" s="63">
      <c r="E3123" s="139" t="n"/>
      <c r="F3123" s="139" t="n"/>
      <c r="G3123" s="140">
        <f>IFERROR(IF(E3123&gt;0,(F3123/E3123)*1000,""),"")</f>
        <v/>
      </c>
      <c r="H3123" s="139">
        <f>IFERROR(IF(E3123&gt;0,E3123*IF(ISNUMBER(J3123),J3123,IF(C3123="Futures",$C$6,$C$5)),""),"")</f>
        <v/>
      </c>
      <c r="I3123" s="139">
        <f>IFERROR(IF(AND(ISNUMBER(F3123),ISNUMBER(H3123)),F3123-H3123,""),"")</f>
        <v/>
      </c>
      <c r="J3123" s="114" t="n"/>
      <c r="K3123" s="139">
        <f>IFERROR(IF(H3123&gt;0,H3123*$C$7,""),"")</f>
        <v/>
      </c>
      <c r="L3123" s="139">
        <f>IFERROR(IF(ISNUMBER(F3123),F3123-IF(ISNUMBER(K3123),K3123,0),""),"")</f>
        <v/>
      </c>
    </row>
    <row r="3124" ht="24" customHeight="1" s="63">
      <c r="E3124" s="139" t="n"/>
      <c r="F3124" s="139" t="n"/>
      <c r="G3124" s="140">
        <f>IFERROR(IF(E3124&gt;0,(F3124/E3124)*1000,""),"")</f>
        <v/>
      </c>
      <c r="H3124" s="139">
        <f>IFERROR(IF(E3124&gt;0,E3124*IF(ISNUMBER(J3124),J3124,IF(C3124="Futures",$C$6,$C$5)),""),"")</f>
        <v/>
      </c>
      <c r="I3124" s="139">
        <f>IFERROR(IF(AND(ISNUMBER(F3124),ISNUMBER(H3124)),F3124-H3124,""),"")</f>
        <v/>
      </c>
      <c r="J3124" s="114" t="n"/>
      <c r="K3124" s="139">
        <f>IFERROR(IF(H3124&gt;0,H3124*$C$7,""),"")</f>
        <v/>
      </c>
      <c r="L3124" s="139">
        <f>IFERROR(IF(ISNUMBER(F3124),F3124-IF(ISNUMBER(K3124),K3124,0),""),"")</f>
        <v/>
      </c>
    </row>
    <row r="3125" ht="24" customHeight="1" s="63">
      <c r="E3125" s="139" t="n"/>
      <c r="F3125" s="139" t="n"/>
      <c r="G3125" s="140">
        <f>IFERROR(IF(E3125&gt;0,(F3125/E3125)*1000,""),"")</f>
        <v/>
      </c>
      <c r="H3125" s="139">
        <f>IFERROR(IF(E3125&gt;0,E3125*IF(ISNUMBER(J3125),J3125,IF(C3125="Futures",$C$6,$C$5)),""),"")</f>
        <v/>
      </c>
      <c r="I3125" s="139">
        <f>IFERROR(IF(AND(ISNUMBER(F3125),ISNUMBER(H3125)),F3125-H3125,""),"")</f>
        <v/>
      </c>
      <c r="J3125" s="114" t="n"/>
      <c r="K3125" s="139">
        <f>IFERROR(IF(H3125&gt;0,H3125*$C$7,""),"")</f>
        <v/>
      </c>
      <c r="L3125" s="139">
        <f>IFERROR(IF(ISNUMBER(F3125),F3125-IF(ISNUMBER(K3125),K3125,0),""),"")</f>
        <v/>
      </c>
    </row>
    <row r="3126" ht="24" customHeight="1" s="63">
      <c r="E3126" s="139" t="n"/>
      <c r="F3126" s="139" t="n"/>
      <c r="G3126" s="140">
        <f>IFERROR(IF(E3126&gt;0,(F3126/E3126)*1000,""),"")</f>
        <v/>
      </c>
      <c r="H3126" s="139">
        <f>IFERROR(IF(E3126&gt;0,E3126*IF(ISNUMBER(J3126),J3126,IF(C3126="Futures",$C$6,$C$5)),""),"")</f>
        <v/>
      </c>
      <c r="I3126" s="139">
        <f>IFERROR(IF(AND(ISNUMBER(F3126),ISNUMBER(H3126)),F3126-H3126,""),"")</f>
        <v/>
      </c>
      <c r="J3126" s="114" t="n"/>
      <c r="K3126" s="139">
        <f>IFERROR(IF(H3126&gt;0,H3126*$C$7,""),"")</f>
        <v/>
      </c>
      <c r="L3126" s="139">
        <f>IFERROR(IF(ISNUMBER(F3126),F3126-IF(ISNUMBER(K3126),K3126,0),""),"")</f>
        <v/>
      </c>
    </row>
    <row r="3127" ht="24" customHeight="1" s="63">
      <c r="E3127" s="139" t="n"/>
      <c r="F3127" s="139" t="n"/>
      <c r="G3127" s="140">
        <f>IFERROR(IF(E3127&gt;0,(F3127/E3127)*1000,""),"")</f>
        <v/>
      </c>
      <c r="H3127" s="139">
        <f>IFERROR(IF(E3127&gt;0,E3127*IF(ISNUMBER(J3127),J3127,IF(C3127="Futures",$C$6,$C$5)),""),"")</f>
        <v/>
      </c>
      <c r="I3127" s="139">
        <f>IFERROR(IF(AND(ISNUMBER(F3127),ISNUMBER(H3127)),F3127-H3127,""),"")</f>
        <v/>
      </c>
      <c r="J3127" s="114" t="n"/>
      <c r="K3127" s="139">
        <f>IFERROR(IF(H3127&gt;0,H3127*$C$7,""),"")</f>
        <v/>
      </c>
      <c r="L3127" s="139">
        <f>IFERROR(IF(ISNUMBER(F3127),F3127-IF(ISNUMBER(K3127),K3127,0),""),"")</f>
        <v/>
      </c>
    </row>
    <row r="3128" ht="24" customHeight="1" s="63">
      <c r="E3128" s="139" t="n"/>
      <c r="F3128" s="139" t="n"/>
      <c r="G3128" s="140">
        <f>IFERROR(IF(E3128&gt;0,(F3128/E3128)*1000,""),"")</f>
        <v/>
      </c>
      <c r="H3128" s="139">
        <f>IFERROR(IF(E3128&gt;0,E3128*IF(ISNUMBER(J3128),J3128,IF(C3128="Futures",$C$6,$C$5)),""),"")</f>
        <v/>
      </c>
      <c r="I3128" s="139">
        <f>IFERROR(IF(AND(ISNUMBER(F3128),ISNUMBER(H3128)),F3128-H3128,""),"")</f>
        <v/>
      </c>
      <c r="J3128" s="114" t="n"/>
      <c r="K3128" s="139">
        <f>IFERROR(IF(H3128&gt;0,H3128*$C$7,""),"")</f>
        <v/>
      </c>
      <c r="L3128" s="139">
        <f>IFERROR(IF(ISNUMBER(F3128),F3128-IF(ISNUMBER(K3128),K3128,0),""),"")</f>
        <v/>
      </c>
    </row>
    <row r="3129" ht="24" customHeight="1" s="63">
      <c r="E3129" s="139" t="n"/>
      <c r="F3129" s="139" t="n"/>
      <c r="G3129" s="140">
        <f>IFERROR(IF(E3129&gt;0,(F3129/E3129)*1000,""),"")</f>
        <v/>
      </c>
      <c r="H3129" s="139">
        <f>IFERROR(IF(E3129&gt;0,E3129*IF(ISNUMBER(J3129),J3129,IF(C3129="Futures",$C$6,$C$5)),""),"")</f>
        <v/>
      </c>
      <c r="I3129" s="139">
        <f>IFERROR(IF(AND(ISNUMBER(F3129),ISNUMBER(H3129)),F3129-H3129,""),"")</f>
        <v/>
      </c>
      <c r="J3129" s="114" t="n"/>
      <c r="K3129" s="139">
        <f>IFERROR(IF(H3129&gt;0,H3129*$C$7,""),"")</f>
        <v/>
      </c>
      <c r="L3129" s="139">
        <f>IFERROR(IF(ISNUMBER(F3129),F3129-IF(ISNUMBER(K3129),K3129,0),""),"")</f>
        <v/>
      </c>
    </row>
    <row r="3130" ht="24" customHeight="1" s="63">
      <c r="E3130" s="139" t="n"/>
      <c r="F3130" s="139" t="n"/>
      <c r="G3130" s="140">
        <f>IFERROR(IF(E3130&gt;0,(F3130/E3130)*1000,""),"")</f>
        <v/>
      </c>
      <c r="H3130" s="139">
        <f>IFERROR(IF(E3130&gt;0,E3130*IF(ISNUMBER(J3130),J3130,IF(C3130="Futures",$C$6,$C$5)),""),"")</f>
        <v/>
      </c>
      <c r="I3130" s="139">
        <f>IFERROR(IF(AND(ISNUMBER(F3130),ISNUMBER(H3130)),F3130-H3130,""),"")</f>
        <v/>
      </c>
      <c r="J3130" s="114" t="n"/>
      <c r="K3130" s="139">
        <f>IFERROR(IF(H3130&gt;0,H3130*$C$7,""),"")</f>
        <v/>
      </c>
      <c r="L3130" s="139">
        <f>IFERROR(IF(ISNUMBER(F3130),F3130-IF(ISNUMBER(K3130),K3130,0),""),"")</f>
        <v/>
      </c>
    </row>
    <row r="3131" ht="24" customHeight="1" s="63">
      <c r="E3131" s="139" t="n"/>
      <c r="F3131" s="139" t="n"/>
      <c r="G3131" s="140">
        <f>IFERROR(IF(E3131&gt;0,(F3131/E3131)*1000,""),"")</f>
        <v/>
      </c>
      <c r="H3131" s="139">
        <f>IFERROR(IF(E3131&gt;0,E3131*IF(ISNUMBER(J3131),J3131,IF(C3131="Futures",$C$6,$C$5)),""),"")</f>
        <v/>
      </c>
      <c r="I3131" s="139">
        <f>IFERROR(IF(AND(ISNUMBER(F3131),ISNUMBER(H3131)),F3131-H3131,""),"")</f>
        <v/>
      </c>
      <c r="J3131" s="114" t="n"/>
      <c r="K3131" s="139">
        <f>IFERROR(IF(H3131&gt;0,H3131*$C$7,""),"")</f>
        <v/>
      </c>
      <c r="L3131" s="139">
        <f>IFERROR(IF(ISNUMBER(F3131),F3131-IF(ISNUMBER(K3131),K3131,0),""),"")</f>
        <v/>
      </c>
    </row>
    <row r="3132" ht="24" customHeight="1" s="63">
      <c r="E3132" s="139" t="n"/>
      <c r="F3132" s="139" t="n"/>
      <c r="G3132" s="140">
        <f>IFERROR(IF(E3132&gt;0,(F3132/E3132)*1000,""),"")</f>
        <v/>
      </c>
      <c r="H3132" s="139">
        <f>IFERROR(IF(E3132&gt;0,E3132*IF(ISNUMBER(J3132),J3132,IF(C3132="Futures",$C$6,$C$5)),""),"")</f>
        <v/>
      </c>
      <c r="I3132" s="139">
        <f>IFERROR(IF(AND(ISNUMBER(F3132),ISNUMBER(H3132)),F3132-H3132,""),"")</f>
        <v/>
      </c>
      <c r="J3132" s="114" t="n"/>
      <c r="K3132" s="139">
        <f>IFERROR(IF(H3132&gt;0,H3132*$C$7,""),"")</f>
        <v/>
      </c>
      <c r="L3132" s="139">
        <f>IFERROR(IF(ISNUMBER(F3132),F3132-IF(ISNUMBER(K3132),K3132,0),""),"")</f>
        <v/>
      </c>
    </row>
    <row r="3133" ht="24" customHeight="1" s="63">
      <c r="E3133" s="139" t="n"/>
      <c r="F3133" s="139" t="n"/>
      <c r="G3133" s="140">
        <f>IFERROR(IF(E3133&gt;0,(F3133/E3133)*1000,""),"")</f>
        <v/>
      </c>
      <c r="H3133" s="139">
        <f>IFERROR(IF(E3133&gt;0,E3133*IF(ISNUMBER(J3133),J3133,IF(C3133="Futures",$C$6,$C$5)),""),"")</f>
        <v/>
      </c>
      <c r="I3133" s="139">
        <f>IFERROR(IF(AND(ISNUMBER(F3133),ISNUMBER(H3133)),F3133-H3133,""),"")</f>
        <v/>
      </c>
      <c r="J3133" s="114" t="n"/>
      <c r="K3133" s="139">
        <f>IFERROR(IF(H3133&gt;0,H3133*$C$7,""),"")</f>
        <v/>
      </c>
      <c r="L3133" s="139">
        <f>IFERROR(IF(ISNUMBER(F3133),F3133-IF(ISNUMBER(K3133),K3133,0),""),"")</f>
        <v/>
      </c>
    </row>
    <row r="3134" ht="24" customHeight="1" s="63">
      <c r="E3134" s="139" t="n"/>
      <c r="F3134" s="139" t="n"/>
      <c r="G3134" s="140">
        <f>IFERROR(IF(E3134&gt;0,(F3134/E3134)*1000,""),"")</f>
        <v/>
      </c>
      <c r="H3134" s="139">
        <f>IFERROR(IF(E3134&gt;0,E3134*IF(ISNUMBER(J3134),J3134,IF(C3134="Futures",$C$6,$C$5)),""),"")</f>
        <v/>
      </c>
      <c r="I3134" s="139">
        <f>IFERROR(IF(AND(ISNUMBER(F3134),ISNUMBER(H3134)),F3134-H3134,""),"")</f>
        <v/>
      </c>
      <c r="J3134" s="114" t="n"/>
      <c r="K3134" s="139">
        <f>IFERROR(IF(H3134&gt;0,H3134*$C$7,""),"")</f>
        <v/>
      </c>
      <c r="L3134" s="139">
        <f>IFERROR(IF(ISNUMBER(F3134),F3134-IF(ISNUMBER(K3134),K3134,0),""),"")</f>
        <v/>
      </c>
    </row>
    <row r="3135" ht="24" customHeight="1" s="63">
      <c r="E3135" s="139" t="n"/>
      <c r="F3135" s="139" t="n"/>
      <c r="G3135" s="140">
        <f>IFERROR(IF(E3135&gt;0,(F3135/E3135)*1000,""),"")</f>
        <v/>
      </c>
      <c r="H3135" s="139">
        <f>IFERROR(IF(E3135&gt;0,E3135*IF(ISNUMBER(J3135),J3135,IF(C3135="Futures",$C$6,$C$5)),""),"")</f>
        <v/>
      </c>
      <c r="I3135" s="139">
        <f>IFERROR(IF(AND(ISNUMBER(F3135),ISNUMBER(H3135)),F3135-H3135,""),"")</f>
        <v/>
      </c>
      <c r="J3135" s="114" t="n"/>
      <c r="K3135" s="139">
        <f>IFERROR(IF(H3135&gt;0,H3135*$C$7,""),"")</f>
        <v/>
      </c>
      <c r="L3135" s="139">
        <f>IFERROR(IF(ISNUMBER(F3135),F3135-IF(ISNUMBER(K3135),K3135,0),""),"")</f>
        <v/>
      </c>
    </row>
    <row r="3136" ht="24" customHeight="1" s="63">
      <c r="E3136" s="139" t="n"/>
      <c r="F3136" s="139" t="n"/>
      <c r="G3136" s="140">
        <f>IFERROR(IF(E3136&gt;0,(F3136/E3136)*1000,""),"")</f>
        <v/>
      </c>
      <c r="H3136" s="139">
        <f>IFERROR(IF(E3136&gt;0,E3136*IF(ISNUMBER(J3136),J3136,IF(C3136="Futures",$C$6,$C$5)),""),"")</f>
        <v/>
      </c>
      <c r="I3136" s="139">
        <f>IFERROR(IF(AND(ISNUMBER(F3136),ISNUMBER(H3136)),F3136-H3136,""),"")</f>
        <v/>
      </c>
      <c r="J3136" s="114" t="n"/>
      <c r="K3136" s="139">
        <f>IFERROR(IF(H3136&gt;0,H3136*$C$7,""),"")</f>
        <v/>
      </c>
      <c r="L3136" s="139">
        <f>IFERROR(IF(ISNUMBER(F3136),F3136-IF(ISNUMBER(K3136),K3136,0),""),"")</f>
        <v/>
      </c>
    </row>
    <row r="3137" ht="24" customHeight="1" s="63">
      <c r="E3137" s="139" t="n"/>
      <c r="F3137" s="139" t="n"/>
      <c r="G3137" s="140">
        <f>IFERROR(IF(E3137&gt;0,(F3137/E3137)*1000,""),"")</f>
        <v/>
      </c>
      <c r="H3137" s="139">
        <f>IFERROR(IF(E3137&gt;0,E3137*IF(ISNUMBER(J3137),J3137,IF(C3137="Futures",$C$6,$C$5)),""),"")</f>
        <v/>
      </c>
      <c r="I3137" s="139">
        <f>IFERROR(IF(AND(ISNUMBER(F3137),ISNUMBER(H3137)),F3137-H3137,""),"")</f>
        <v/>
      </c>
      <c r="J3137" s="114" t="n"/>
      <c r="K3137" s="139">
        <f>IFERROR(IF(H3137&gt;0,H3137*$C$7,""),"")</f>
        <v/>
      </c>
      <c r="L3137" s="139">
        <f>IFERROR(IF(ISNUMBER(F3137),F3137-IF(ISNUMBER(K3137),K3137,0),""),"")</f>
        <v/>
      </c>
    </row>
    <row r="3138" ht="24" customHeight="1" s="63">
      <c r="E3138" s="139" t="n"/>
      <c r="F3138" s="139" t="n"/>
      <c r="G3138" s="140">
        <f>IFERROR(IF(E3138&gt;0,(F3138/E3138)*1000,""),"")</f>
        <v/>
      </c>
      <c r="H3138" s="139">
        <f>IFERROR(IF(E3138&gt;0,E3138*IF(ISNUMBER(J3138),J3138,IF(C3138="Futures",$C$6,$C$5)),""),"")</f>
        <v/>
      </c>
      <c r="I3138" s="139">
        <f>IFERROR(IF(AND(ISNUMBER(F3138),ISNUMBER(H3138)),F3138-H3138,""),"")</f>
        <v/>
      </c>
      <c r="J3138" s="114" t="n"/>
      <c r="K3138" s="139">
        <f>IFERROR(IF(H3138&gt;0,H3138*$C$7,""),"")</f>
        <v/>
      </c>
      <c r="L3138" s="139">
        <f>IFERROR(IF(ISNUMBER(F3138),F3138-IF(ISNUMBER(K3138),K3138,0),""),"")</f>
        <v/>
      </c>
    </row>
    <row r="3139" ht="24" customHeight="1" s="63">
      <c r="E3139" s="139" t="n"/>
      <c r="F3139" s="139" t="n"/>
      <c r="G3139" s="140">
        <f>IFERROR(IF(E3139&gt;0,(F3139/E3139)*1000,""),"")</f>
        <v/>
      </c>
      <c r="H3139" s="139">
        <f>IFERROR(IF(E3139&gt;0,E3139*IF(ISNUMBER(J3139),J3139,IF(C3139="Futures",$C$6,$C$5)),""),"")</f>
        <v/>
      </c>
      <c r="I3139" s="139">
        <f>IFERROR(IF(AND(ISNUMBER(F3139),ISNUMBER(H3139)),F3139-H3139,""),"")</f>
        <v/>
      </c>
      <c r="J3139" s="114" t="n"/>
      <c r="K3139" s="139">
        <f>IFERROR(IF(H3139&gt;0,H3139*$C$7,""),"")</f>
        <v/>
      </c>
      <c r="L3139" s="139">
        <f>IFERROR(IF(ISNUMBER(F3139),F3139-IF(ISNUMBER(K3139),K3139,0),""),"")</f>
        <v/>
      </c>
    </row>
    <row r="3140" ht="24" customHeight="1" s="63">
      <c r="E3140" s="139" t="n"/>
      <c r="F3140" s="139" t="n"/>
      <c r="G3140" s="140">
        <f>IFERROR(IF(E3140&gt;0,(F3140/E3140)*1000,""),"")</f>
        <v/>
      </c>
      <c r="H3140" s="139">
        <f>IFERROR(IF(E3140&gt;0,E3140*IF(ISNUMBER(J3140),J3140,IF(C3140="Futures",$C$6,$C$5)),""),"")</f>
        <v/>
      </c>
      <c r="I3140" s="139">
        <f>IFERROR(IF(AND(ISNUMBER(F3140),ISNUMBER(H3140)),F3140-H3140,""),"")</f>
        <v/>
      </c>
      <c r="J3140" s="114" t="n"/>
      <c r="K3140" s="139">
        <f>IFERROR(IF(H3140&gt;0,H3140*$C$7,""),"")</f>
        <v/>
      </c>
      <c r="L3140" s="139">
        <f>IFERROR(IF(ISNUMBER(F3140),F3140-IF(ISNUMBER(K3140),K3140,0),""),"")</f>
        <v/>
      </c>
    </row>
    <row r="3141" ht="24" customHeight="1" s="63">
      <c r="E3141" s="139" t="n"/>
      <c r="F3141" s="139" t="n"/>
      <c r="G3141" s="140">
        <f>IFERROR(IF(E3141&gt;0,(F3141/E3141)*1000,""),"")</f>
        <v/>
      </c>
      <c r="H3141" s="139">
        <f>IFERROR(IF(E3141&gt;0,E3141*IF(ISNUMBER(J3141),J3141,IF(C3141="Futures",$C$6,$C$5)),""),"")</f>
        <v/>
      </c>
      <c r="I3141" s="139">
        <f>IFERROR(IF(AND(ISNUMBER(F3141),ISNUMBER(H3141)),F3141-H3141,""),"")</f>
        <v/>
      </c>
      <c r="J3141" s="114" t="n"/>
      <c r="K3141" s="139">
        <f>IFERROR(IF(H3141&gt;0,H3141*$C$7,""),"")</f>
        <v/>
      </c>
      <c r="L3141" s="139">
        <f>IFERROR(IF(ISNUMBER(F3141),F3141-IF(ISNUMBER(K3141),K3141,0),""),"")</f>
        <v/>
      </c>
    </row>
    <row r="3142" ht="24" customHeight="1" s="63">
      <c r="E3142" s="139" t="n"/>
      <c r="F3142" s="139" t="n"/>
      <c r="G3142" s="140">
        <f>IFERROR(IF(E3142&gt;0,(F3142/E3142)*1000,""),"")</f>
        <v/>
      </c>
      <c r="H3142" s="139">
        <f>IFERROR(IF(E3142&gt;0,E3142*IF(ISNUMBER(J3142),J3142,IF(C3142="Futures",$C$6,$C$5)),""),"")</f>
        <v/>
      </c>
      <c r="I3142" s="139">
        <f>IFERROR(IF(AND(ISNUMBER(F3142),ISNUMBER(H3142)),F3142-H3142,""),"")</f>
        <v/>
      </c>
      <c r="J3142" s="114" t="n"/>
      <c r="K3142" s="139">
        <f>IFERROR(IF(H3142&gt;0,H3142*$C$7,""),"")</f>
        <v/>
      </c>
      <c r="L3142" s="139">
        <f>IFERROR(IF(ISNUMBER(F3142),F3142-IF(ISNUMBER(K3142),K3142,0),""),"")</f>
        <v/>
      </c>
    </row>
    <row r="3143" ht="24" customHeight="1" s="63">
      <c r="E3143" s="139" t="n"/>
      <c r="F3143" s="139" t="n"/>
      <c r="G3143" s="140">
        <f>IFERROR(IF(E3143&gt;0,(F3143/E3143)*1000,""),"")</f>
        <v/>
      </c>
      <c r="H3143" s="139">
        <f>IFERROR(IF(E3143&gt;0,E3143*IF(ISNUMBER(J3143),J3143,IF(C3143="Futures",$C$6,$C$5)),""),"")</f>
        <v/>
      </c>
      <c r="I3143" s="139">
        <f>IFERROR(IF(AND(ISNUMBER(F3143),ISNUMBER(H3143)),F3143-H3143,""),"")</f>
        <v/>
      </c>
      <c r="J3143" s="114" t="n"/>
      <c r="K3143" s="139">
        <f>IFERROR(IF(H3143&gt;0,H3143*$C$7,""),"")</f>
        <v/>
      </c>
      <c r="L3143" s="139">
        <f>IFERROR(IF(ISNUMBER(F3143),F3143-IF(ISNUMBER(K3143),K3143,0),""),"")</f>
        <v/>
      </c>
    </row>
    <row r="3144" ht="24" customHeight="1" s="63">
      <c r="E3144" s="139" t="n"/>
      <c r="F3144" s="139" t="n"/>
      <c r="G3144" s="140">
        <f>IFERROR(IF(E3144&gt;0,(F3144/E3144)*1000,""),"")</f>
        <v/>
      </c>
      <c r="H3144" s="139">
        <f>IFERROR(IF(E3144&gt;0,E3144*IF(ISNUMBER(J3144),J3144,IF(C3144="Futures",$C$6,$C$5)),""),"")</f>
        <v/>
      </c>
      <c r="I3144" s="139">
        <f>IFERROR(IF(AND(ISNUMBER(F3144),ISNUMBER(H3144)),F3144-H3144,""),"")</f>
        <v/>
      </c>
      <c r="J3144" s="114" t="n"/>
      <c r="K3144" s="139">
        <f>IFERROR(IF(H3144&gt;0,H3144*$C$7,""),"")</f>
        <v/>
      </c>
      <c r="L3144" s="139">
        <f>IFERROR(IF(ISNUMBER(F3144),F3144-IF(ISNUMBER(K3144),K3144,0),""),"")</f>
        <v/>
      </c>
    </row>
    <row r="3145" ht="24" customHeight="1" s="63">
      <c r="E3145" s="139" t="n"/>
      <c r="F3145" s="139" t="n"/>
      <c r="G3145" s="140">
        <f>IFERROR(IF(E3145&gt;0,(F3145/E3145)*1000,""),"")</f>
        <v/>
      </c>
      <c r="H3145" s="139">
        <f>IFERROR(IF(E3145&gt;0,E3145*IF(ISNUMBER(J3145),J3145,IF(C3145="Futures",$C$6,$C$5)),""),"")</f>
        <v/>
      </c>
      <c r="I3145" s="139">
        <f>IFERROR(IF(AND(ISNUMBER(F3145),ISNUMBER(H3145)),F3145-H3145,""),"")</f>
        <v/>
      </c>
      <c r="J3145" s="114" t="n"/>
      <c r="K3145" s="139">
        <f>IFERROR(IF(H3145&gt;0,H3145*$C$7,""),"")</f>
        <v/>
      </c>
      <c r="L3145" s="139">
        <f>IFERROR(IF(ISNUMBER(F3145),F3145-IF(ISNUMBER(K3145),K3145,0),""),"")</f>
        <v/>
      </c>
    </row>
    <row r="3146" ht="24" customHeight="1" s="63">
      <c r="E3146" s="139" t="n"/>
      <c r="F3146" s="139" t="n"/>
      <c r="G3146" s="140">
        <f>IFERROR(IF(E3146&gt;0,(F3146/E3146)*1000,""),"")</f>
        <v/>
      </c>
      <c r="H3146" s="139">
        <f>IFERROR(IF(E3146&gt;0,E3146*IF(ISNUMBER(J3146),J3146,IF(C3146="Futures",$C$6,$C$5)),""),"")</f>
        <v/>
      </c>
      <c r="I3146" s="139">
        <f>IFERROR(IF(AND(ISNUMBER(F3146),ISNUMBER(H3146)),F3146-H3146,""),"")</f>
        <v/>
      </c>
      <c r="J3146" s="114" t="n"/>
      <c r="K3146" s="139">
        <f>IFERROR(IF(H3146&gt;0,H3146*$C$7,""),"")</f>
        <v/>
      </c>
      <c r="L3146" s="139">
        <f>IFERROR(IF(ISNUMBER(F3146),F3146-IF(ISNUMBER(K3146),K3146,0),""),"")</f>
        <v/>
      </c>
    </row>
    <row r="3147" ht="24" customHeight="1" s="63">
      <c r="E3147" s="139" t="n"/>
      <c r="F3147" s="139" t="n"/>
      <c r="G3147" s="140">
        <f>IFERROR(IF(E3147&gt;0,(F3147/E3147)*1000,""),"")</f>
        <v/>
      </c>
      <c r="H3147" s="139">
        <f>IFERROR(IF(E3147&gt;0,E3147*IF(ISNUMBER(J3147),J3147,IF(C3147="Futures",$C$6,$C$5)),""),"")</f>
        <v/>
      </c>
      <c r="I3147" s="139">
        <f>IFERROR(IF(AND(ISNUMBER(F3147),ISNUMBER(H3147)),F3147-H3147,""),"")</f>
        <v/>
      </c>
      <c r="J3147" s="114" t="n"/>
      <c r="K3147" s="139">
        <f>IFERROR(IF(H3147&gt;0,H3147*$C$7,""),"")</f>
        <v/>
      </c>
      <c r="L3147" s="139">
        <f>IFERROR(IF(ISNUMBER(F3147),F3147-IF(ISNUMBER(K3147),K3147,0),""),"")</f>
        <v/>
      </c>
    </row>
    <row r="3148" ht="24" customHeight="1" s="63">
      <c r="E3148" s="139" t="n"/>
      <c r="F3148" s="139" t="n"/>
      <c r="G3148" s="140">
        <f>IFERROR(IF(E3148&gt;0,(F3148/E3148)*1000,""),"")</f>
        <v/>
      </c>
      <c r="H3148" s="139">
        <f>IFERROR(IF(E3148&gt;0,E3148*IF(ISNUMBER(J3148),J3148,IF(C3148="Futures",$C$6,$C$5)),""),"")</f>
        <v/>
      </c>
      <c r="I3148" s="139">
        <f>IFERROR(IF(AND(ISNUMBER(F3148),ISNUMBER(H3148)),F3148-H3148,""),"")</f>
        <v/>
      </c>
      <c r="J3148" s="114" t="n"/>
      <c r="K3148" s="139">
        <f>IFERROR(IF(H3148&gt;0,H3148*$C$7,""),"")</f>
        <v/>
      </c>
      <c r="L3148" s="139">
        <f>IFERROR(IF(ISNUMBER(F3148),F3148-IF(ISNUMBER(K3148),K3148,0),""),"")</f>
        <v/>
      </c>
    </row>
    <row r="3149" ht="24" customHeight="1" s="63">
      <c r="E3149" s="139" t="n"/>
      <c r="F3149" s="139" t="n"/>
      <c r="G3149" s="140">
        <f>IFERROR(IF(E3149&gt;0,(F3149/E3149)*1000,""),"")</f>
        <v/>
      </c>
      <c r="H3149" s="139">
        <f>IFERROR(IF(E3149&gt;0,E3149*IF(ISNUMBER(J3149),J3149,IF(C3149="Futures",$C$6,$C$5)),""),"")</f>
        <v/>
      </c>
      <c r="I3149" s="139">
        <f>IFERROR(IF(AND(ISNUMBER(F3149),ISNUMBER(H3149)),F3149-H3149,""),"")</f>
        <v/>
      </c>
      <c r="J3149" s="114" t="n"/>
      <c r="K3149" s="139">
        <f>IFERROR(IF(H3149&gt;0,H3149*$C$7,""),"")</f>
        <v/>
      </c>
      <c r="L3149" s="139">
        <f>IFERROR(IF(ISNUMBER(F3149),F3149-IF(ISNUMBER(K3149),K3149,0),""),"")</f>
        <v/>
      </c>
    </row>
    <row r="3150" ht="24" customHeight="1" s="63">
      <c r="E3150" s="139" t="n"/>
      <c r="F3150" s="139" t="n"/>
      <c r="G3150" s="140">
        <f>IFERROR(IF(E3150&gt;0,(F3150/E3150)*1000,""),"")</f>
        <v/>
      </c>
      <c r="H3150" s="139">
        <f>IFERROR(IF(E3150&gt;0,E3150*IF(ISNUMBER(J3150),J3150,IF(C3150="Futures",$C$6,$C$5)),""),"")</f>
        <v/>
      </c>
      <c r="I3150" s="139">
        <f>IFERROR(IF(AND(ISNUMBER(F3150),ISNUMBER(H3150)),F3150-H3150,""),"")</f>
        <v/>
      </c>
      <c r="J3150" s="114" t="n"/>
      <c r="K3150" s="139">
        <f>IFERROR(IF(H3150&gt;0,H3150*$C$7,""),"")</f>
        <v/>
      </c>
      <c r="L3150" s="139">
        <f>IFERROR(IF(ISNUMBER(F3150),F3150-IF(ISNUMBER(K3150),K3150,0),""),"")</f>
        <v/>
      </c>
    </row>
    <row r="3151" ht="24" customHeight="1" s="63">
      <c r="E3151" s="139" t="n"/>
      <c r="F3151" s="139" t="n"/>
      <c r="G3151" s="140">
        <f>IFERROR(IF(E3151&gt;0,(F3151/E3151)*1000,""),"")</f>
        <v/>
      </c>
      <c r="H3151" s="139">
        <f>IFERROR(IF(E3151&gt;0,E3151*IF(ISNUMBER(J3151),J3151,IF(C3151="Futures",$C$6,$C$5)),""),"")</f>
        <v/>
      </c>
      <c r="I3151" s="139">
        <f>IFERROR(IF(AND(ISNUMBER(F3151),ISNUMBER(H3151)),F3151-H3151,""),"")</f>
        <v/>
      </c>
      <c r="J3151" s="114" t="n"/>
      <c r="K3151" s="139">
        <f>IFERROR(IF(H3151&gt;0,H3151*$C$7,""),"")</f>
        <v/>
      </c>
      <c r="L3151" s="139">
        <f>IFERROR(IF(ISNUMBER(F3151),F3151-IF(ISNUMBER(K3151),K3151,0),""),"")</f>
        <v/>
      </c>
    </row>
    <row r="3152" ht="24" customHeight="1" s="63">
      <c r="E3152" s="139" t="n"/>
      <c r="F3152" s="139" t="n"/>
      <c r="G3152" s="140">
        <f>IFERROR(IF(E3152&gt;0,(F3152/E3152)*1000,""),"")</f>
        <v/>
      </c>
      <c r="H3152" s="139">
        <f>IFERROR(IF(E3152&gt;0,E3152*IF(ISNUMBER(J3152),J3152,IF(C3152="Futures",$C$6,$C$5)),""),"")</f>
        <v/>
      </c>
      <c r="I3152" s="139">
        <f>IFERROR(IF(AND(ISNUMBER(F3152),ISNUMBER(H3152)),F3152-H3152,""),"")</f>
        <v/>
      </c>
      <c r="J3152" s="114" t="n"/>
      <c r="K3152" s="139">
        <f>IFERROR(IF(H3152&gt;0,H3152*$C$7,""),"")</f>
        <v/>
      </c>
      <c r="L3152" s="139">
        <f>IFERROR(IF(ISNUMBER(F3152),F3152-IF(ISNUMBER(K3152),K3152,0),""),"")</f>
        <v/>
      </c>
    </row>
    <row r="3153" ht="24" customHeight="1" s="63">
      <c r="E3153" s="139" t="n"/>
      <c r="F3153" s="139" t="n"/>
      <c r="G3153" s="140">
        <f>IFERROR(IF(E3153&gt;0,(F3153/E3153)*1000,""),"")</f>
        <v/>
      </c>
      <c r="H3153" s="139">
        <f>IFERROR(IF(E3153&gt;0,E3153*IF(ISNUMBER(J3153),J3153,IF(C3153="Futures",$C$6,$C$5)),""),"")</f>
        <v/>
      </c>
      <c r="I3153" s="139">
        <f>IFERROR(IF(AND(ISNUMBER(F3153),ISNUMBER(H3153)),F3153-H3153,""),"")</f>
        <v/>
      </c>
      <c r="J3153" s="114" t="n"/>
      <c r="K3153" s="139">
        <f>IFERROR(IF(H3153&gt;0,H3153*$C$7,""),"")</f>
        <v/>
      </c>
      <c r="L3153" s="139">
        <f>IFERROR(IF(ISNUMBER(F3153),F3153-IF(ISNUMBER(K3153),K3153,0),""),"")</f>
        <v/>
      </c>
    </row>
    <row r="3154" ht="24" customHeight="1" s="63">
      <c r="E3154" s="139" t="n"/>
      <c r="F3154" s="139" t="n"/>
      <c r="G3154" s="140">
        <f>IFERROR(IF(E3154&gt;0,(F3154/E3154)*1000,""),"")</f>
        <v/>
      </c>
      <c r="H3154" s="139">
        <f>IFERROR(IF(E3154&gt;0,E3154*IF(ISNUMBER(J3154),J3154,IF(C3154="Futures",$C$6,$C$5)),""),"")</f>
        <v/>
      </c>
      <c r="I3154" s="139">
        <f>IFERROR(IF(AND(ISNUMBER(F3154),ISNUMBER(H3154)),F3154-H3154,""),"")</f>
        <v/>
      </c>
      <c r="J3154" s="114" t="n"/>
      <c r="K3154" s="139">
        <f>IFERROR(IF(H3154&gt;0,H3154*$C$7,""),"")</f>
        <v/>
      </c>
      <c r="L3154" s="139">
        <f>IFERROR(IF(ISNUMBER(F3154),F3154-IF(ISNUMBER(K3154),K3154,0),""),"")</f>
        <v/>
      </c>
    </row>
    <row r="3155" ht="24" customHeight="1" s="63">
      <c r="E3155" s="139" t="n"/>
      <c r="F3155" s="139" t="n"/>
      <c r="G3155" s="140">
        <f>IFERROR(IF(E3155&gt;0,(F3155/E3155)*1000,""),"")</f>
        <v/>
      </c>
      <c r="H3155" s="139">
        <f>IFERROR(IF(E3155&gt;0,E3155*IF(ISNUMBER(J3155),J3155,IF(C3155="Futures",$C$6,$C$5)),""),"")</f>
        <v/>
      </c>
      <c r="I3155" s="139">
        <f>IFERROR(IF(AND(ISNUMBER(F3155),ISNUMBER(H3155)),F3155-H3155,""),"")</f>
        <v/>
      </c>
      <c r="J3155" s="114" t="n"/>
      <c r="K3155" s="139">
        <f>IFERROR(IF(H3155&gt;0,H3155*$C$7,""),"")</f>
        <v/>
      </c>
      <c r="L3155" s="139">
        <f>IFERROR(IF(ISNUMBER(F3155),F3155-IF(ISNUMBER(K3155),K3155,0),""),"")</f>
        <v/>
      </c>
    </row>
    <row r="3156" ht="24" customHeight="1" s="63">
      <c r="E3156" s="139" t="n"/>
      <c r="F3156" s="139" t="n"/>
      <c r="G3156" s="140">
        <f>IFERROR(IF(E3156&gt;0,(F3156/E3156)*1000,""),"")</f>
        <v/>
      </c>
      <c r="H3156" s="139">
        <f>IFERROR(IF(E3156&gt;0,E3156*IF(ISNUMBER(J3156),J3156,IF(C3156="Futures",$C$6,$C$5)),""),"")</f>
        <v/>
      </c>
      <c r="I3156" s="139">
        <f>IFERROR(IF(AND(ISNUMBER(F3156),ISNUMBER(H3156)),F3156-H3156,""),"")</f>
        <v/>
      </c>
      <c r="J3156" s="114" t="n"/>
      <c r="K3156" s="139">
        <f>IFERROR(IF(H3156&gt;0,H3156*$C$7,""),"")</f>
        <v/>
      </c>
      <c r="L3156" s="139">
        <f>IFERROR(IF(ISNUMBER(F3156),F3156-IF(ISNUMBER(K3156),K3156,0),""),"")</f>
        <v/>
      </c>
    </row>
    <row r="3157" ht="24" customHeight="1" s="63">
      <c r="E3157" s="139" t="n"/>
      <c r="F3157" s="139" t="n"/>
      <c r="G3157" s="140">
        <f>IFERROR(IF(E3157&gt;0,(F3157/E3157)*1000,""),"")</f>
        <v/>
      </c>
      <c r="H3157" s="139">
        <f>IFERROR(IF(E3157&gt;0,E3157*IF(ISNUMBER(J3157),J3157,IF(C3157="Futures",$C$6,$C$5)),""),"")</f>
        <v/>
      </c>
      <c r="I3157" s="139">
        <f>IFERROR(IF(AND(ISNUMBER(F3157),ISNUMBER(H3157)),F3157-H3157,""),"")</f>
        <v/>
      </c>
      <c r="J3157" s="114" t="n"/>
      <c r="K3157" s="139">
        <f>IFERROR(IF(H3157&gt;0,H3157*$C$7,""),"")</f>
        <v/>
      </c>
      <c r="L3157" s="139">
        <f>IFERROR(IF(ISNUMBER(F3157),F3157-IF(ISNUMBER(K3157),K3157,0),""),"")</f>
        <v/>
      </c>
    </row>
    <row r="3158" ht="24" customHeight="1" s="63">
      <c r="E3158" s="139" t="n"/>
      <c r="F3158" s="139" t="n"/>
      <c r="G3158" s="140">
        <f>IFERROR(IF(E3158&gt;0,(F3158/E3158)*1000,""),"")</f>
        <v/>
      </c>
      <c r="H3158" s="139">
        <f>IFERROR(IF(E3158&gt;0,E3158*IF(ISNUMBER(J3158),J3158,IF(C3158="Futures",$C$6,$C$5)),""),"")</f>
        <v/>
      </c>
      <c r="I3158" s="139">
        <f>IFERROR(IF(AND(ISNUMBER(F3158),ISNUMBER(H3158)),F3158-H3158,""),"")</f>
        <v/>
      </c>
      <c r="J3158" s="114" t="n"/>
      <c r="K3158" s="139">
        <f>IFERROR(IF(H3158&gt;0,H3158*$C$7,""),"")</f>
        <v/>
      </c>
      <c r="L3158" s="139">
        <f>IFERROR(IF(ISNUMBER(F3158),F3158-IF(ISNUMBER(K3158),K3158,0),""),"")</f>
        <v/>
      </c>
    </row>
    <row r="3159" ht="24" customHeight="1" s="63">
      <c r="E3159" s="139" t="n"/>
      <c r="F3159" s="139" t="n"/>
      <c r="G3159" s="140">
        <f>IFERROR(IF(E3159&gt;0,(F3159/E3159)*1000,""),"")</f>
        <v/>
      </c>
      <c r="H3159" s="139">
        <f>IFERROR(IF(E3159&gt;0,E3159*IF(ISNUMBER(J3159),J3159,IF(C3159="Futures",$C$6,$C$5)),""),"")</f>
        <v/>
      </c>
      <c r="I3159" s="139">
        <f>IFERROR(IF(AND(ISNUMBER(F3159),ISNUMBER(H3159)),F3159-H3159,""),"")</f>
        <v/>
      </c>
      <c r="J3159" s="114" t="n"/>
      <c r="K3159" s="139">
        <f>IFERROR(IF(H3159&gt;0,H3159*$C$7,""),"")</f>
        <v/>
      </c>
      <c r="L3159" s="139">
        <f>IFERROR(IF(ISNUMBER(F3159),F3159-IF(ISNUMBER(K3159),K3159,0),""),"")</f>
        <v/>
      </c>
    </row>
    <row r="3160" ht="24" customHeight="1" s="63">
      <c r="E3160" s="139" t="n"/>
      <c r="F3160" s="139" t="n"/>
      <c r="G3160" s="140">
        <f>IFERROR(IF(E3160&gt;0,(F3160/E3160)*1000,""),"")</f>
        <v/>
      </c>
      <c r="H3160" s="139">
        <f>IFERROR(IF(E3160&gt;0,E3160*IF(ISNUMBER(J3160),J3160,IF(C3160="Futures",$C$6,$C$5)),""),"")</f>
        <v/>
      </c>
      <c r="I3160" s="139">
        <f>IFERROR(IF(AND(ISNUMBER(F3160),ISNUMBER(H3160)),F3160-H3160,""),"")</f>
        <v/>
      </c>
      <c r="J3160" s="114" t="n"/>
      <c r="K3160" s="139">
        <f>IFERROR(IF(H3160&gt;0,H3160*$C$7,""),"")</f>
        <v/>
      </c>
      <c r="L3160" s="139">
        <f>IFERROR(IF(ISNUMBER(F3160),F3160-IF(ISNUMBER(K3160),K3160,0),""),"")</f>
        <v/>
      </c>
    </row>
    <row r="3161" ht="24" customHeight="1" s="63">
      <c r="E3161" s="139" t="n"/>
      <c r="F3161" s="139" t="n"/>
      <c r="G3161" s="140">
        <f>IFERROR(IF(E3161&gt;0,(F3161/E3161)*1000,""),"")</f>
        <v/>
      </c>
      <c r="H3161" s="139">
        <f>IFERROR(IF(E3161&gt;0,E3161*IF(ISNUMBER(J3161),J3161,IF(C3161="Futures",$C$6,$C$5)),""),"")</f>
        <v/>
      </c>
      <c r="I3161" s="139">
        <f>IFERROR(IF(AND(ISNUMBER(F3161),ISNUMBER(H3161)),F3161-H3161,""),"")</f>
        <v/>
      </c>
      <c r="J3161" s="114" t="n"/>
      <c r="K3161" s="139">
        <f>IFERROR(IF(H3161&gt;0,H3161*$C$7,""),"")</f>
        <v/>
      </c>
      <c r="L3161" s="139">
        <f>IFERROR(IF(ISNUMBER(F3161),F3161-IF(ISNUMBER(K3161),K3161,0),""),"")</f>
        <v/>
      </c>
    </row>
    <row r="3162" ht="24" customHeight="1" s="63">
      <c r="E3162" s="139" t="n"/>
      <c r="F3162" s="139" t="n"/>
      <c r="G3162" s="140">
        <f>IFERROR(IF(E3162&gt;0,(F3162/E3162)*1000,""),"")</f>
        <v/>
      </c>
      <c r="H3162" s="139">
        <f>IFERROR(IF(E3162&gt;0,E3162*IF(ISNUMBER(J3162),J3162,IF(C3162="Futures",$C$6,$C$5)),""),"")</f>
        <v/>
      </c>
      <c r="I3162" s="139">
        <f>IFERROR(IF(AND(ISNUMBER(F3162),ISNUMBER(H3162)),F3162-H3162,""),"")</f>
        <v/>
      </c>
      <c r="J3162" s="114" t="n"/>
      <c r="K3162" s="139">
        <f>IFERROR(IF(H3162&gt;0,H3162*$C$7,""),"")</f>
        <v/>
      </c>
      <c r="L3162" s="139">
        <f>IFERROR(IF(ISNUMBER(F3162),F3162-IF(ISNUMBER(K3162),K3162,0),""),"")</f>
        <v/>
      </c>
    </row>
    <row r="3163" ht="24" customHeight="1" s="63">
      <c r="E3163" s="139" t="n"/>
      <c r="F3163" s="139" t="n"/>
      <c r="G3163" s="140">
        <f>IFERROR(IF(E3163&gt;0,(F3163/E3163)*1000,""),"")</f>
        <v/>
      </c>
      <c r="H3163" s="139">
        <f>IFERROR(IF(E3163&gt;0,E3163*IF(ISNUMBER(J3163),J3163,IF(C3163="Futures",$C$6,$C$5)),""),"")</f>
        <v/>
      </c>
      <c r="I3163" s="139">
        <f>IFERROR(IF(AND(ISNUMBER(F3163),ISNUMBER(H3163)),F3163-H3163,""),"")</f>
        <v/>
      </c>
      <c r="J3163" s="114" t="n"/>
      <c r="K3163" s="139">
        <f>IFERROR(IF(H3163&gt;0,H3163*$C$7,""),"")</f>
        <v/>
      </c>
      <c r="L3163" s="139">
        <f>IFERROR(IF(ISNUMBER(F3163),F3163-IF(ISNUMBER(K3163),K3163,0),""),"")</f>
        <v/>
      </c>
    </row>
    <row r="3164" ht="24" customHeight="1" s="63">
      <c r="E3164" s="139" t="n"/>
      <c r="F3164" s="139" t="n"/>
      <c r="G3164" s="140">
        <f>IFERROR(IF(E3164&gt;0,(F3164/E3164)*1000,""),"")</f>
        <v/>
      </c>
      <c r="H3164" s="139">
        <f>IFERROR(IF(E3164&gt;0,E3164*IF(ISNUMBER(J3164),J3164,IF(C3164="Futures",$C$6,$C$5)),""),"")</f>
        <v/>
      </c>
      <c r="I3164" s="139">
        <f>IFERROR(IF(AND(ISNUMBER(F3164),ISNUMBER(H3164)),F3164-H3164,""),"")</f>
        <v/>
      </c>
      <c r="J3164" s="114" t="n"/>
      <c r="K3164" s="139">
        <f>IFERROR(IF(H3164&gt;0,H3164*$C$7,""),"")</f>
        <v/>
      </c>
      <c r="L3164" s="139">
        <f>IFERROR(IF(ISNUMBER(F3164),F3164-IF(ISNUMBER(K3164),K3164,0),""),"")</f>
        <v/>
      </c>
    </row>
    <row r="3165" ht="24" customHeight="1" s="63">
      <c r="E3165" s="139" t="n"/>
      <c r="F3165" s="139" t="n"/>
      <c r="G3165" s="140">
        <f>IFERROR(IF(E3165&gt;0,(F3165/E3165)*1000,""),"")</f>
        <v/>
      </c>
      <c r="H3165" s="139">
        <f>IFERROR(IF(E3165&gt;0,E3165*IF(ISNUMBER(J3165),J3165,IF(C3165="Futures",$C$6,$C$5)),""),"")</f>
        <v/>
      </c>
      <c r="I3165" s="139">
        <f>IFERROR(IF(AND(ISNUMBER(F3165),ISNUMBER(H3165)),F3165-H3165,""),"")</f>
        <v/>
      </c>
      <c r="J3165" s="114" t="n"/>
      <c r="K3165" s="139">
        <f>IFERROR(IF(H3165&gt;0,H3165*$C$7,""),"")</f>
        <v/>
      </c>
      <c r="L3165" s="139">
        <f>IFERROR(IF(ISNUMBER(F3165),F3165-IF(ISNUMBER(K3165),K3165,0),""),"")</f>
        <v/>
      </c>
    </row>
    <row r="3166" ht="24" customHeight="1" s="63">
      <c r="E3166" s="139" t="n"/>
      <c r="F3166" s="139" t="n"/>
      <c r="G3166" s="140">
        <f>IFERROR(IF(E3166&gt;0,(F3166/E3166)*1000,""),"")</f>
        <v/>
      </c>
      <c r="H3166" s="139">
        <f>IFERROR(IF(E3166&gt;0,E3166*IF(ISNUMBER(J3166),J3166,IF(C3166="Futures",$C$6,$C$5)),""),"")</f>
        <v/>
      </c>
      <c r="I3166" s="139">
        <f>IFERROR(IF(AND(ISNUMBER(F3166),ISNUMBER(H3166)),F3166-H3166,""),"")</f>
        <v/>
      </c>
      <c r="J3166" s="114" t="n"/>
      <c r="K3166" s="139">
        <f>IFERROR(IF(H3166&gt;0,H3166*$C$7,""),"")</f>
        <v/>
      </c>
      <c r="L3166" s="139">
        <f>IFERROR(IF(ISNUMBER(F3166),F3166-IF(ISNUMBER(K3166),K3166,0),""),"")</f>
        <v/>
      </c>
    </row>
    <row r="3167" ht="24" customHeight="1" s="63">
      <c r="E3167" s="139" t="n"/>
      <c r="F3167" s="139" t="n"/>
      <c r="G3167" s="140">
        <f>IFERROR(IF(E3167&gt;0,(F3167/E3167)*1000,""),"")</f>
        <v/>
      </c>
      <c r="H3167" s="139">
        <f>IFERROR(IF(E3167&gt;0,E3167*IF(ISNUMBER(J3167),J3167,IF(C3167="Futures",$C$6,$C$5)),""),"")</f>
        <v/>
      </c>
      <c r="I3167" s="139">
        <f>IFERROR(IF(AND(ISNUMBER(F3167),ISNUMBER(H3167)),F3167-H3167,""),"")</f>
        <v/>
      </c>
      <c r="J3167" s="114" t="n"/>
      <c r="K3167" s="139">
        <f>IFERROR(IF(H3167&gt;0,H3167*$C$7,""),"")</f>
        <v/>
      </c>
      <c r="L3167" s="139">
        <f>IFERROR(IF(ISNUMBER(F3167),F3167-IF(ISNUMBER(K3167),K3167,0),""),"")</f>
        <v/>
      </c>
    </row>
    <row r="3168" ht="24" customHeight="1" s="63">
      <c r="E3168" s="139" t="n"/>
      <c r="F3168" s="139" t="n"/>
      <c r="G3168" s="140">
        <f>IFERROR(IF(E3168&gt;0,(F3168/E3168)*1000,""),"")</f>
        <v/>
      </c>
      <c r="H3168" s="139">
        <f>IFERROR(IF(E3168&gt;0,E3168*IF(ISNUMBER(J3168),J3168,IF(C3168="Futures",$C$6,$C$5)),""),"")</f>
        <v/>
      </c>
      <c r="I3168" s="139">
        <f>IFERROR(IF(AND(ISNUMBER(F3168),ISNUMBER(H3168)),F3168-H3168,""),"")</f>
        <v/>
      </c>
      <c r="J3168" s="114" t="n"/>
      <c r="K3168" s="139">
        <f>IFERROR(IF(H3168&gt;0,H3168*$C$7,""),"")</f>
        <v/>
      </c>
      <c r="L3168" s="139">
        <f>IFERROR(IF(ISNUMBER(F3168),F3168-IF(ISNUMBER(K3168),K3168,0),""),"")</f>
        <v/>
      </c>
    </row>
    <row r="3169" ht="24" customHeight="1" s="63">
      <c r="E3169" s="139" t="n"/>
      <c r="F3169" s="139" t="n"/>
      <c r="G3169" s="140">
        <f>IFERROR(IF(E3169&gt;0,(F3169/E3169)*1000,""),"")</f>
        <v/>
      </c>
      <c r="H3169" s="139">
        <f>IFERROR(IF(E3169&gt;0,E3169*IF(ISNUMBER(J3169),J3169,IF(C3169="Futures",$C$6,$C$5)),""),"")</f>
        <v/>
      </c>
      <c r="I3169" s="139">
        <f>IFERROR(IF(AND(ISNUMBER(F3169),ISNUMBER(H3169)),F3169-H3169,""),"")</f>
        <v/>
      </c>
      <c r="J3169" s="114" t="n"/>
      <c r="K3169" s="139">
        <f>IFERROR(IF(H3169&gt;0,H3169*$C$7,""),"")</f>
        <v/>
      </c>
      <c r="L3169" s="139">
        <f>IFERROR(IF(ISNUMBER(F3169),F3169-IF(ISNUMBER(K3169),K3169,0),""),"")</f>
        <v/>
      </c>
    </row>
    <row r="3170" ht="24" customHeight="1" s="63">
      <c r="E3170" s="139" t="n"/>
      <c r="F3170" s="139" t="n"/>
      <c r="G3170" s="140">
        <f>IFERROR(IF(E3170&gt;0,(F3170/E3170)*1000,""),"")</f>
        <v/>
      </c>
      <c r="H3170" s="139">
        <f>IFERROR(IF(E3170&gt;0,E3170*IF(ISNUMBER(J3170),J3170,IF(C3170="Futures",$C$6,$C$5)),""),"")</f>
        <v/>
      </c>
      <c r="I3170" s="139">
        <f>IFERROR(IF(AND(ISNUMBER(F3170),ISNUMBER(H3170)),F3170-H3170,""),"")</f>
        <v/>
      </c>
      <c r="J3170" s="114" t="n"/>
      <c r="K3170" s="139">
        <f>IFERROR(IF(H3170&gt;0,H3170*$C$7,""),"")</f>
        <v/>
      </c>
      <c r="L3170" s="139">
        <f>IFERROR(IF(ISNUMBER(F3170),F3170-IF(ISNUMBER(K3170),K3170,0),""),"")</f>
        <v/>
      </c>
    </row>
    <row r="3171" ht="24" customHeight="1" s="63">
      <c r="E3171" s="139" t="n"/>
      <c r="F3171" s="139" t="n"/>
      <c r="G3171" s="140">
        <f>IFERROR(IF(E3171&gt;0,(F3171/E3171)*1000,""),"")</f>
        <v/>
      </c>
      <c r="H3171" s="139">
        <f>IFERROR(IF(E3171&gt;0,E3171*IF(ISNUMBER(J3171),J3171,IF(C3171="Futures",$C$6,$C$5)),""),"")</f>
        <v/>
      </c>
      <c r="I3171" s="139">
        <f>IFERROR(IF(AND(ISNUMBER(F3171),ISNUMBER(H3171)),F3171-H3171,""),"")</f>
        <v/>
      </c>
      <c r="J3171" s="114" t="n"/>
      <c r="K3171" s="139">
        <f>IFERROR(IF(H3171&gt;0,H3171*$C$7,""),"")</f>
        <v/>
      </c>
      <c r="L3171" s="139">
        <f>IFERROR(IF(ISNUMBER(F3171),F3171-IF(ISNUMBER(K3171),K3171,0),""),"")</f>
        <v/>
      </c>
    </row>
    <row r="3172" ht="24" customHeight="1" s="63">
      <c r="E3172" s="139" t="n"/>
      <c r="F3172" s="139" t="n"/>
      <c r="G3172" s="140">
        <f>IFERROR(IF(E3172&gt;0,(F3172/E3172)*1000,""),"")</f>
        <v/>
      </c>
      <c r="H3172" s="139">
        <f>IFERROR(IF(E3172&gt;0,E3172*IF(ISNUMBER(J3172),J3172,IF(C3172="Futures",$C$6,$C$5)),""),"")</f>
        <v/>
      </c>
      <c r="I3172" s="139">
        <f>IFERROR(IF(AND(ISNUMBER(F3172),ISNUMBER(H3172)),F3172-H3172,""),"")</f>
        <v/>
      </c>
      <c r="J3172" s="114" t="n"/>
      <c r="K3172" s="139">
        <f>IFERROR(IF(H3172&gt;0,H3172*$C$7,""),"")</f>
        <v/>
      </c>
      <c r="L3172" s="139">
        <f>IFERROR(IF(ISNUMBER(F3172),F3172-IF(ISNUMBER(K3172),K3172,0),""),"")</f>
        <v/>
      </c>
    </row>
    <row r="3173" ht="24" customHeight="1" s="63">
      <c r="E3173" s="139" t="n"/>
      <c r="F3173" s="139" t="n"/>
      <c r="G3173" s="140">
        <f>IFERROR(IF(E3173&gt;0,(F3173/E3173)*1000,""),"")</f>
        <v/>
      </c>
      <c r="H3173" s="139">
        <f>IFERROR(IF(E3173&gt;0,E3173*IF(ISNUMBER(J3173),J3173,IF(C3173="Futures",$C$6,$C$5)),""),"")</f>
        <v/>
      </c>
      <c r="I3173" s="139">
        <f>IFERROR(IF(AND(ISNUMBER(F3173),ISNUMBER(H3173)),F3173-H3173,""),"")</f>
        <v/>
      </c>
      <c r="J3173" s="114" t="n"/>
      <c r="K3173" s="139">
        <f>IFERROR(IF(H3173&gt;0,H3173*$C$7,""),"")</f>
        <v/>
      </c>
      <c r="L3173" s="139">
        <f>IFERROR(IF(ISNUMBER(F3173),F3173-IF(ISNUMBER(K3173),K3173,0),""),"")</f>
        <v/>
      </c>
    </row>
    <row r="3174" ht="24" customHeight="1" s="63">
      <c r="E3174" s="139" t="n"/>
      <c r="F3174" s="139" t="n"/>
      <c r="G3174" s="140">
        <f>IFERROR(IF(E3174&gt;0,(F3174/E3174)*1000,""),"")</f>
        <v/>
      </c>
      <c r="H3174" s="139">
        <f>IFERROR(IF(E3174&gt;0,E3174*IF(ISNUMBER(J3174),J3174,IF(C3174="Futures",$C$6,$C$5)),""),"")</f>
        <v/>
      </c>
      <c r="I3174" s="139">
        <f>IFERROR(IF(AND(ISNUMBER(F3174),ISNUMBER(H3174)),F3174-H3174,""),"")</f>
        <v/>
      </c>
      <c r="J3174" s="114" t="n"/>
      <c r="K3174" s="139">
        <f>IFERROR(IF(H3174&gt;0,H3174*$C$7,""),"")</f>
        <v/>
      </c>
      <c r="L3174" s="139">
        <f>IFERROR(IF(ISNUMBER(F3174),F3174-IF(ISNUMBER(K3174),K3174,0),""),"")</f>
        <v/>
      </c>
    </row>
    <row r="3175" ht="24" customHeight="1" s="63">
      <c r="E3175" s="139" t="n"/>
      <c r="F3175" s="139" t="n"/>
      <c r="G3175" s="140">
        <f>IFERROR(IF(E3175&gt;0,(F3175/E3175)*1000,""),"")</f>
        <v/>
      </c>
      <c r="H3175" s="139">
        <f>IFERROR(IF(E3175&gt;0,E3175*IF(ISNUMBER(J3175),J3175,IF(C3175="Futures",$C$6,$C$5)),""),"")</f>
        <v/>
      </c>
      <c r="I3175" s="139">
        <f>IFERROR(IF(AND(ISNUMBER(F3175),ISNUMBER(H3175)),F3175-H3175,""),"")</f>
        <v/>
      </c>
      <c r="J3175" s="114" t="n"/>
      <c r="K3175" s="139">
        <f>IFERROR(IF(H3175&gt;0,H3175*$C$7,""),"")</f>
        <v/>
      </c>
      <c r="L3175" s="139">
        <f>IFERROR(IF(ISNUMBER(F3175),F3175-IF(ISNUMBER(K3175),K3175,0),""),"")</f>
        <v/>
      </c>
    </row>
    <row r="3176" ht="24" customHeight="1" s="63">
      <c r="E3176" s="139" t="n"/>
      <c r="F3176" s="139" t="n"/>
      <c r="G3176" s="140">
        <f>IFERROR(IF(E3176&gt;0,(F3176/E3176)*1000,""),"")</f>
        <v/>
      </c>
      <c r="H3176" s="139">
        <f>IFERROR(IF(E3176&gt;0,E3176*IF(ISNUMBER(J3176),J3176,IF(C3176="Futures",$C$6,$C$5)),""),"")</f>
        <v/>
      </c>
      <c r="I3176" s="139">
        <f>IFERROR(IF(AND(ISNUMBER(F3176),ISNUMBER(H3176)),F3176-H3176,""),"")</f>
        <v/>
      </c>
      <c r="J3176" s="114" t="n"/>
      <c r="K3176" s="139">
        <f>IFERROR(IF(H3176&gt;0,H3176*$C$7,""),"")</f>
        <v/>
      </c>
      <c r="L3176" s="139">
        <f>IFERROR(IF(ISNUMBER(F3176),F3176-IF(ISNUMBER(K3176),K3176,0),""),"")</f>
        <v/>
      </c>
    </row>
    <row r="3177" ht="24" customHeight="1" s="63">
      <c r="E3177" s="139" t="n"/>
      <c r="F3177" s="139" t="n"/>
      <c r="G3177" s="140">
        <f>IFERROR(IF(E3177&gt;0,(F3177/E3177)*1000,""),"")</f>
        <v/>
      </c>
      <c r="H3177" s="139">
        <f>IFERROR(IF(E3177&gt;0,E3177*IF(ISNUMBER(J3177),J3177,IF(C3177="Futures",$C$6,$C$5)),""),"")</f>
        <v/>
      </c>
      <c r="I3177" s="139">
        <f>IFERROR(IF(AND(ISNUMBER(F3177),ISNUMBER(H3177)),F3177-H3177,""),"")</f>
        <v/>
      </c>
      <c r="J3177" s="114" t="n"/>
      <c r="K3177" s="139">
        <f>IFERROR(IF(H3177&gt;0,H3177*$C$7,""),"")</f>
        <v/>
      </c>
      <c r="L3177" s="139">
        <f>IFERROR(IF(ISNUMBER(F3177),F3177-IF(ISNUMBER(K3177),K3177,0),""),"")</f>
        <v/>
      </c>
    </row>
    <row r="3178" ht="24" customHeight="1" s="63">
      <c r="E3178" s="139" t="n"/>
      <c r="F3178" s="139" t="n"/>
      <c r="G3178" s="140">
        <f>IFERROR(IF(E3178&gt;0,(F3178/E3178)*1000,""),"")</f>
        <v/>
      </c>
      <c r="H3178" s="139">
        <f>IFERROR(IF(E3178&gt;0,E3178*IF(ISNUMBER(J3178),J3178,IF(C3178="Futures",$C$6,$C$5)),""),"")</f>
        <v/>
      </c>
      <c r="I3178" s="139">
        <f>IFERROR(IF(AND(ISNUMBER(F3178),ISNUMBER(H3178)),F3178-H3178,""),"")</f>
        <v/>
      </c>
      <c r="J3178" s="114" t="n"/>
      <c r="K3178" s="139">
        <f>IFERROR(IF(H3178&gt;0,H3178*$C$7,""),"")</f>
        <v/>
      </c>
      <c r="L3178" s="139">
        <f>IFERROR(IF(ISNUMBER(F3178),F3178-IF(ISNUMBER(K3178),K3178,0),""),"")</f>
        <v/>
      </c>
    </row>
    <row r="3179" ht="24" customHeight="1" s="63">
      <c r="E3179" s="139" t="n"/>
      <c r="F3179" s="139" t="n"/>
      <c r="G3179" s="140">
        <f>IFERROR(IF(E3179&gt;0,(F3179/E3179)*1000,""),"")</f>
        <v/>
      </c>
      <c r="H3179" s="139">
        <f>IFERROR(IF(E3179&gt;0,E3179*IF(ISNUMBER(J3179),J3179,IF(C3179="Futures",$C$6,$C$5)),""),"")</f>
        <v/>
      </c>
      <c r="I3179" s="139">
        <f>IFERROR(IF(AND(ISNUMBER(F3179),ISNUMBER(H3179)),F3179-H3179,""),"")</f>
        <v/>
      </c>
      <c r="J3179" s="114" t="n"/>
      <c r="K3179" s="139">
        <f>IFERROR(IF(H3179&gt;0,H3179*$C$7,""),"")</f>
        <v/>
      </c>
      <c r="L3179" s="139">
        <f>IFERROR(IF(ISNUMBER(F3179),F3179-IF(ISNUMBER(K3179),K3179,0),""),"")</f>
        <v/>
      </c>
    </row>
    <row r="3180" ht="24" customHeight="1" s="63">
      <c r="E3180" s="139" t="n"/>
      <c r="F3180" s="139" t="n"/>
      <c r="G3180" s="140">
        <f>IFERROR(IF(E3180&gt;0,(F3180/E3180)*1000,""),"")</f>
        <v/>
      </c>
      <c r="H3180" s="139">
        <f>IFERROR(IF(E3180&gt;0,E3180*IF(ISNUMBER(J3180),J3180,IF(C3180="Futures",$C$6,$C$5)),""),"")</f>
        <v/>
      </c>
      <c r="I3180" s="139">
        <f>IFERROR(IF(AND(ISNUMBER(F3180),ISNUMBER(H3180)),F3180-H3180,""),"")</f>
        <v/>
      </c>
      <c r="J3180" s="114" t="n"/>
      <c r="K3180" s="139">
        <f>IFERROR(IF(H3180&gt;0,H3180*$C$7,""),"")</f>
        <v/>
      </c>
      <c r="L3180" s="139">
        <f>IFERROR(IF(ISNUMBER(F3180),F3180-IF(ISNUMBER(K3180),K3180,0),""),"")</f>
        <v/>
      </c>
    </row>
    <row r="3181" ht="24" customHeight="1" s="63">
      <c r="E3181" s="139" t="n"/>
      <c r="F3181" s="139" t="n"/>
      <c r="G3181" s="140">
        <f>IFERROR(IF(E3181&gt;0,(F3181/E3181)*1000,""),"")</f>
        <v/>
      </c>
      <c r="H3181" s="139">
        <f>IFERROR(IF(E3181&gt;0,E3181*IF(ISNUMBER(J3181),J3181,IF(C3181="Futures",$C$6,$C$5)),""),"")</f>
        <v/>
      </c>
      <c r="I3181" s="139">
        <f>IFERROR(IF(AND(ISNUMBER(F3181),ISNUMBER(H3181)),F3181-H3181,""),"")</f>
        <v/>
      </c>
      <c r="J3181" s="114" t="n"/>
      <c r="K3181" s="139">
        <f>IFERROR(IF(H3181&gt;0,H3181*$C$7,""),"")</f>
        <v/>
      </c>
      <c r="L3181" s="139">
        <f>IFERROR(IF(ISNUMBER(F3181),F3181-IF(ISNUMBER(K3181),K3181,0),""),"")</f>
        <v/>
      </c>
    </row>
    <row r="3182" ht="24" customHeight="1" s="63">
      <c r="E3182" s="139" t="n"/>
      <c r="F3182" s="139" t="n"/>
      <c r="G3182" s="140">
        <f>IFERROR(IF(E3182&gt;0,(F3182/E3182)*1000,""),"")</f>
        <v/>
      </c>
      <c r="H3182" s="139">
        <f>IFERROR(IF(E3182&gt;0,E3182*IF(ISNUMBER(J3182),J3182,IF(C3182="Futures",$C$6,$C$5)),""),"")</f>
        <v/>
      </c>
      <c r="I3182" s="139">
        <f>IFERROR(IF(AND(ISNUMBER(F3182),ISNUMBER(H3182)),F3182-H3182,""),"")</f>
        <v/>
      </c>
      <c r="J3182" s="114" t="n"/>
      <c r="K3182" s="139">
        <f>IFERROR(IF(H3182&gt;0,H3182*$C$7,""),"")</f>
        <v/>
      </c>
      <c r="L3182" s="139">
        <f>IFERROR(IF(ISNUMBER(F3182),F3182-IF(ISNUMBER(K3182),K3182,0),""),"")</f>
        <v/>
      </c>
    </row>
    <row r="3183" ht="24" customHeight="1" s="63">
      <c r="E3183" s="139" t="n"/>
      <c r="F3183" s="139" t="n"/>
      <c r="G3183" s="140">
        <f>IFERROR(IF(E3183&gt;0,(F3183/E3183)*1000,""),"")</f>
        <v/>
      </c>
      <c r="H3183" s="139">
        <f>IFERROR(IF(E3183&gt;0,E3183*IF(ISNUMBER(J3183),J3183,IF(C3183="Futures",$C$6,$C$5)),""),"")</f>
        <v/>
      </c>
      <c r="I3183" s="139">
        <f>IFERROR(IF(AND(ISNUMBER(F3183),ISNUMBER(H3183)),F3183-H3183,""),"")</f>
        <v/>
      </c>
      <c r="J3183" s="114" t="n"/>
      <c r="K3183" s="139">
        <f>IFERROR(IF(H3183&gt;0,H3183*$C$7,""),"")</f>
        <v/>
      </c>
      <c r="L3183" s="139">
        <f>IFERROR(IF(ISNUMBER(F3183),F3183-IF(ISNUMBER(K3183),K3183,0),""),"")</f>
        <v/>
      </c>
    </row>
    <row r="3184" ht="24" customHeight="1" s="63">
      <c r="E3184" s="139" t="n"/>
      <c r="F3184" s="139" t="n"/>
      <c r="G3184" s="140">
        <f>IFERROR(IF(E3184&gt;0,(F3184/E3184)*1000,""),"")</f>
        <v/>
      </c>
      <c r="H3184" s="139">
        <f>IFERROR(IF(E3184&gt;0,E3184*IF(ISNUMBER(J3184),J3184,IF(C3184="Futures",$C$6,$C$5)),""),"")</f>
        <v/>
      </c>
      <c r="I3184" s="139">
        <f>IFERROR(IF(AND(ISNUMBER(F3184),ISNUMBER(H3184)),F3184-H3184,""),"")</f>
        <v/>
      </c>
      <c r="J3184" s="114" t="n"/>
      <c r="K3184" s="139">
        <f>IFERROR(IF(H3184&gt;0,H3184*$C$7,""),"")</f>
        <v/>
      </c>
      <c r="L3184" s="139">
        <f>IFERROR(IF(ISNUMBER(F3184),F3184-IF(ISNUMBER(K3184),K3184,0),""),"")</f>
        <v/>
      </c>
    </row>
    <row r="3185" ht="24" customHeight="1" s="63">
      <c r="E3185" s="139" t="n"/>
      <c r="F3185" s="139" t="n"/>
      <c r="G3185" s="140">
        <f>IFERROR(IF(E3185&gt;0,(F3185/E3185)*1000,""),"")</f>
        <v/>
      </c>
      <c r="H3185" s="139">
        <f>IFERROR(IF(E3185&gt;0,E3185*IF(ISNUMBER(J3185),J3185,IF(C3185="Futures",$C$6,$C$5)),""),"")</f>
        <v/>
      </c>
      <c r="I3185" s="139">
        <f>IFERROR(IF(AND(ISNUMBER(F3185),ISNUMBER(H3185)),F3185-H3185,""),"")</f>
        <v/>
      </c>
      <c r="J3185" s="114" t="n"/>
      <c r="K3185" s="139">
        <f>IFERROR(IF(H3185&gt;0,H3185*$C$7,""),"")</f>
        <v/>
      </c>
      <c r="L3185" s="139">
        <f>IFERROR(IF(ISNUMBER(F3185),F3185-IF(ISNUMBER(K3185),K3185,0),""),"")</f>
        <v/>
      </c>
    </row>
    <row r="3186" ht="24" customHeight="1" s="63">
      <c r="E3186" s="139" t="n"/>
      <c r="F3186" s="139" t="n"/>
      <c r="G3186" s="140">
        <f>IFERROR(IF(E3186&gt;0,(F3186/E3186)*1000,""),"")</f>
        <v/>
      </c>
      <c r="H3186" s="139">
        <f>IFERROR(IF(E3186&gt;0,E3186*IF(ISNUMBER(J3186),J3186,IF(C3186="Futures",$C$6,$C$5)),""),"")</f>
        <v/>
      </c>
      <c r="I3186" s="139">
        <f>IFERROR(IF(AND(ISNUMBER(F3186),ISNUMBER(H3186)),F3186-H3186,""),"")</f>
        <v/>
      </c>
      <c r="J3186" s="114" t="n"/>
      <c r="K3186" s="139">
        <f>IFERROR(IF(H3186&gt;0,H3186*$C$7,""),"")</f>
        <v/>
      </c>
      <c r="L3186" s="139">
        <f>IFERROR(IF(ISNUMBER(F3186),F3186-IF(ISNUMBER(K3186),K3186,0),""),"")</f>
        <v/>
      </c>
    </row>
    <row r="3187" ht="24" customHeight="1" s="63">
      <c r="E3187" s="139" t="n"/>
      <c r="F3187" s="139" t="n"/>
      <c r="G3187" s="140">
        <f>IFERROR(IF(E3187&gt;0,(F3187/E3187)*1000,""),"")</f>
        <v/>
      </c>
      <c r="H3187" s="139">
        <f>IFERROR(IF(E3187&gt;0,E3187*IF(ISNUMBER(J3187),J3187,IF(C3187="Futures",$C$6,$C$5)),""),"")</f>
        <v/>
      </c>
      <c r="I3187" s="139">
        <f>IFERROR(IF(AND(ISNUMBER(F3187),ISNUMBER(H3187)),F3187-H3187,""),"")</f>
        <v/>
      </c>
      <c r="J3187" s="114" t="n"/>
      <c r="K3187" s="139">
        <f>IFERROR(IF(H3187&gt;0,H3187*$C$7,""),"")</f>
        <v/>
      </c>
      <c r="L3187" s="139">
        <f>IFERROR(IF(ISNUMBER(F3187),F3187-IF(ISNUMBER(K3187),K3187,0),""),"")</f>
        <v/>
      </c>
    </row>
    <row r="3188" ht="24" customHeight="1" s="63">
      <c r="E3188" s="139" t="n"/>
      <c r="F3188" s="139" t="n"/>
      <c r="G3188" s="140">
        <f>IFERROR(IF(E3188&gt;0,(F3188/E3188)*1000,""),"")</f>
        <v/>
      </c>
      <c r="H3188" s="139">
        <f>IFERROR(IF(E3188&gt;0,E3188*IF(ISNUMBER(J3188),J3188,IF(C3188="Futures",$C$6,$C$5)),""),"")</f>
        <v/>
      </c>
      <c r="I3188" s="139">
        <f>IFERROR(IF(AND(ISNUMBER(F3188),ISNUMBER(H3188)),F3188-H3188,""),"")</f>
        <v/>
      </c>
      <c r="J3188" s="114" t="n"/>
      <c r="K3188" s="139">
        <f>IFERROR(IF(H3188&gt;0,H3188*$C$7,""),"")</f>
        <v/>
      </c>
      <c r="L3188" s="139">
        <f>IFERROR(IF(ISNUMBER(F3188),F3188-IF(ISNUMBER(K3188),K3188,0),""),"")</f>
        <v/>
      </c>
    </row>
    <row r="3189" ht="24" customHeight="1" s="63">
      <c r="E3189" s="139" t="n"/>
      <c r="F3189" s="139" t="n"/>
      <c r="G3189" s="140">
        <f>IFERROR(IF(E3189&gt;0,(F3189/E3189)*1000,""),"")</f>
        <v/>
      </c>
      <c r="H3189" s="139">
        <f>IFERROR(IF(E3189&gt;0,E3189*IF(ISNUMBER(J3189),J3189,IF(C3189="Futures",$C$6,$C$5)),""),"")</f>
        <v/>
      </c>
      <c r="I3189" s="139">
        <f>IFERROR(IF(AND(ISNUMBER(F3189),ISNUMBER(H3189)),F3189-H3189,""),"")</f>
        <v/>
      </c>
      <c r="J3189" s="114" t="n"/>
      <c r="K3189" s="139">
        <f>IFERROR(IF(H3189&gt;0,H3189*$C$7,""),"")</f>
        <v/>
      </c>
      <c r="L3189" s="139">
        <f>IFERROR(IF(ISNUMBER(F3189),F3189-IF(ISNUMBER(K3189),K3189,0),""),"")</f>
        <v/>
      </c>
    </row>
    <row r="3190" ht="24" customHeight="1" s="63">
      <c r="E3190" s="139" t="n"/>
      <c r="F3190" s="139" t="n"/>
      <c r="G3190" s="140">
        <f>IFERROR(IF(E3190&gt;0,(F3190/E3190)*1000,""),"")</f>
        <v/>
      </c>
      <c r="H3190" s="139">
        <f>IFERROR(IF(E3190&gt;0,E3190*IF(ISNUMBER(J3190),J3190,IF(C3190="Futures",$C$6,$C$5)),""),"")</f>
        <v/>
      </c>
      <c r="I3190" s="139">
        <f>IFERROR(IF(AND(ISNUMBER(F3190),ISNUMBER(H3190)),F3190-H3190,""),"")</f>
        <v/>
      </c>
      <c r="J3190" s="114" t="n"/>
      <c r="K3190" s="139">
        <f>IFERROR(IF(H3190&gt;0,H3190*$C$7,""),"")</f>
        <v/>
      </c>
      <c r="L3190" s="139">
        <f>IFERROR(IF(ISNUMBER(F3190),F3190-IF(ISNUMBER(K3190),K3190,0),""),"")</f>
        <v/>
      </c>
    </row>
    <row r="3191" ht="24" customHeight="1" s="63">
      <c r="E3191" s="139" t="n"/>
      <c r="F3191" s="139" t="n"/>
      <c r="G3191" s="140">
        <f>IFERROR(IF(E3191&gt;0,(F3191/E3191)*1000,""),"")</f>
        <v/>
      </c>
      <c r="H3191" s="139">
        <f>IFERROR(IF(E3191&gt;0,E3191*IF(ISNUMBER(J3191),J3191,IF(C3191="Futures",$C$6,$C$5)),""),"")</f>
        <v/>
      </c>
      <c r="I3191" s="139">
        <f>IFERROR(IF(AND(ISNUMBER(F3191),ISNUMBER(H3191)),F3191-H3191,""),"")</f>
        <v/>
      </c>
      <c r="J3191" s="114" t="n"/>
      <c r="K3191" s="139">
        <f>IFERROR(IF(H3191&gt;0,H3191*$C$7,""),"")</f>
        <v/>
      </c>
      <c r="L3191" s="139">
        <f>IFERROR(IF(ISNUMBER(F3191),F3191-IF(ISNUMBER(K3191),K3191,0),""),"")</f>
        <v/>
      </c>
    </row>
    <row r="3192" ht="24" customHeight="1" s="63">
      <c r="E3192" s="139" t="n"/>
      <c r="F3192" s="139" t="n"/>
      <c r="G3192" s="140">
        <f>IFERROR(IF(E3192&gt;0,(F3192/E3192)*1000,""),"")</f>
        <v/>
      </c>
      <c r="H3192" s="139">
        <f>IFERROR(IF(E3192&gt;0,E3192*IF(ISNUMBER(J3192),J3192,IF(C3192="Futures",$C$6,$C$5)),""),"")</f>
        <v/>
      </c>
      <c r="I3192" s="139">
        <f>IFERROR(IF(AND(ISNUMBER(F3192),ISNUMBER(H3192)),F3192-H3192,""),"")</f>
        <v/>
      </c>
      <c r="J3192" s="114" t="n"/>
      <c r="K3192" s="139">
        <f>IFERROR(IF(H3192&gt;0,H3192*$C$7,""),"")</f>
        <v/>
      </c>
      <c r="L3192" s="139">
        <f>IFERROR(IF(ISNUMBER(F3192),F3192-IF(ISNUMBER(K3192),K3192,0),""),"")</f>
        <v/>
      </c>
    </row>
    <row r="3193" ht="24" customHeight="1" s="63">
      <c r="E3193" s="139" t="n"/>
      <c r="F3193" s="139" t="n"/>
      <c r="G3193" s="140">
        <f>IFERROR(IF(E3193&gt;0,(F3193/E3193)*1000,""),"")</f>
        <v/>
      </c>
      <c r="H3193" s="139">
        <f>IFERROR(IF(E3193&gt;0,E3193*IF(ISNUMBER(J3193),J3193,IF(C3193="Futures",$C$6,$C$5)),""),"")</f>
        <v/>
      </c>
      <c r="I3193" s="139">
        <f>IFERROR(IF(AND(ISNUMBER(F3193),ISNUMBER(H3193)),F3193-H3193,""),"")</f>
        <v/>
      </c>
      <c r="J3193" s="114" t="n"/>
      <c r="K3193" s="139">
        <f>IFERROR(IF(H3193&gt;0,H3193*$C$7,""),"")</f>
        <v/>
      </c>
      <c r="L3193" s="139">
        <f>IFERROR(IF(ISNUMBER(F3193),F3193-IF(ISNUMBER(K3193),K3193,0),""),"")</f>
        <v/>
      </c>
    </row>
    <row r="3194" ht="24" customHeight="1" s="63">
      <c r="E3194" s="139" t="n"/>
      <c r="F3194" s="139" t="n"/>
      <c r="G3194" s="140">
        <f>IFERROR(IF(E3194&gt;0,(F3194/E3194)*1000,""),"")</f>
        <v/>
      </c>
      <c r="H3194" s="139">
        <f>IFERROR(IF(E3194&gt;0,E3194*IF(ISNUMBER(J3194),J3194,IF(C3194="Futures",$C$6,$C$5)),""),"")</f>
        <v/>
      </c>
      <c r="I3194" s="139">
        <f>IFERROR(IF(AND(ISNUMBER(F3194),ISNUMBER(H3194)),F3194-H3194,""),"")</f>
        <v/>
      </c>
      <c r="J3194" s="114" t="n"/>
      <c r="K3194" s="139">
        <f>IFERROR(IF(H3194&gt;0,H3194*$C$7,""),"")</f>
        <v/>
      </c>
      <c r="L3194" s="139">
        <f>IFERROR(IF(ISNUMBER(F3194),F3194-IF(ISNUMBER(K3194),K3194,0),""),"")</f>
        <v/>
      </c>
    </row>
    <row r="3195" ht="24" customHeight="1" s="63">
      <c r="E3195" s="139" t="n"/>
      <c r="F3195" s="139" t="n"/>
      <c r="G3195" s="140">
        <f>IFERROR(IF(E3195&gt;0,(F3195/E3195)*1000,""),"")</f>
        <v/>
      </c>
      <c r="H3195" s="139">
        <f>IFERROR(IF(E3195&gt;0,E3195*IF(ISNUMBER(J3195),J3195,IF(C3195="Futures",$C$6,$C$5)),""),"")</f>
        <v/>
      </c>
      <c r="I3195" s="139">
        <f>IFERROR(IF(AND(ISNUMBER(F3195),ISNUMBER(H3195)),F3195-H3195,""),"")</f>
        <v/>
      </c>
      <c r="J3195" s="114" t="n"/>
      <c r="K3195" s="139">
        <f>IFERROR(IF(H3195&gt;0,H3195*$C$7,""),"")</f>
        <v/>
      </c>
      <c r="L3195" s="139">
        <f>IFERROR(IF(ISNUMBER(F3195),F3195-IF(ISNUMBER(K3195),K3195,0),""),"")</f>
        <v/>
      </c>
    </row>
    <row r="3196" ht="24" customHeight="1" s="63">
      <c r="E3196" s="139" t="n"/>
      <c r="F3196" s="139" t="n"/>
      <c r="G3196" s="140">
        <f>IFERROR(IF(E3196&gt;0,(F3196/E3196)*1000,""),"")</f>
        <v/>
      </c>
      <c r="H3196" s="139">
        <f>IFERROR(IF(E3196&gt;0,E3196*IF(ISNUMBER(J3196),J3196,IF(C3196="Futures",$C$6,$C$5)),""),"")</f>
        <v/>
      </c>
      <c r="I3196" s="139">
        <f>IFERROR(IF(AND(ISNUMBER(F3196),ISNUMBER(H3196)),F3196-H3196,""),"")</f>
        <v/>
      </c>
      <c r="J3196" s="114" t="n"/>
      <c r="K3196" s="139">
        <f>IFERROR(IF(H3196&gt;0,H3196*$C$7,""),"")</f>
        <v/>
      </c>
      <c r="L3196" s="139">
        <f>IFERROR(IF(ISNUMBER(F3196),F3196-IF(ISNUMBER(K3196),K3196,0),""),"")</f>
        <v/>
      </c>
    </row>
    <row r="3197" ht="24" customHeight="1" s="63">
      <c r="E3197" s="139" t="n"/>
      <c r="F3197" s="139" t="n"/>
      <c r="G3197" s="140">
        <f>IFERROR(IF(E3197&gt;0,(F3197/E3197)*1000,""),"")</f>
        <v/>
      </c>
      <c r="H3197" s="139">
        <f>IFERROR(IF(E3197&gt;0,E3197*IF(ISNUMBER(J3197),J3197,IF(C3197="Futures",$C$6,$C$5)),""),"")</f>
        <v/>
      </c>
      <c r="I3197" s="139">
        <f>IFERROR(IF(AND(ISNUMBER(F3197),ISNUMBER(H3197)),F3197-H3197,""),"")</f>
        <v/>
      </c>
      <c r="J3197" s="114" t="n"/>
      <c r="K3197" s="139">
        <f>IFERROR(IF(H3197&gt;0,H3197*$C$7,""),"")</f>
        <v/>
      </c>
      <c r="L3197" s="139">
        <f>IFERROR(IF(ISNUMBER(F3197),F3197-IF(ISNUMBER(K3197),K3197,0),""),"")</f>
        <v/>
      </c>
    </row>
    <row r="3198" ht="24" customHeight="1" s="63">
      <c r="E3198" s="139" t="n"/>
      <c r="F3198" s="139" t="n"/>
      <c r="G3198" s="140">
        <f>IFERROR(IF(E3198&gt;0,(F3198/E3198)*1000,""),"")</f>
        <v/>
      </c>
      <c r="H3198" s="139">
        <f>IFERROR(IF(E3198&gt;0,E3198*IF(ISNUMBER(J3198),J3198,IF(C3198="Futures",$C$6,$C$5)),""),"")</f>
        <v/>
      </c>
      <c r="I3198" s="139">
        <f>IFERROR(IF(AND(ISNUMBER(F3198),ISNUMBER(H3198)),F3198-H3198,""),"")</f>
        <v/>
      </c>
      <c r="J3198" s="114" t="n"/>
      <c r="K3198" s="139">
        <f>IFERROR(IF(H3198&gt;0,H3198*$C$7,""),"")</f>
        <v/>
      </c>
      <c r="L3198" s="139">
        <f>IFERROR(IF(ISNUMBER(F3198),F3198-IF(ISNUMBER(K3198),K3198,0),""),"")</f>
        <v/>
      </c>
    </row>
    <row r="3199" ht="24" customHeight="1" s="63">
      <c r="E3199" s="139" t="n"/>
      <c r="F3199" s="139" t="n"/>
      <c r="G3199" s="140">
        <f>IFERROR(IF(E3199&gt;0,(F3199/E3199)*1000,""),"")</f>
        <v/>
      </c>
      <c r="H3199" s="139">
        <f>IFERROR(IF(E3199&gt;0,E3199*IF(ISNUMBER(J3199),J3199,IF(C3199="Futures",$C$6,$C$5)),""),"")</f>
        <v/>
      </c>
      <c r="I3199" s="139">
        <f>IFERROR(IF(AND(ISNUMBER(F3199),ISNUMBER(H3199)),F3199-H3199,""),"")</f>
        <v/>
      </c>
      <c r="J3199" s="114" t="n"/>
      <c r="K3199" s="139">
        <f>IFERROR(IF(H3199&gt;0,H3199*$C$7,""),"")</f>
        <v/>
      </c>
      <c r="L3199" s="139">
        <f>IFERROR(IF(ISNUMBER(F3199),F3199-IF(ISNUMBER(K3199),K3199,0),""),"")</f>
        <v/>
      </c>
    </row>
    <row r="3200" ht="24" customHeight="1" s="63">
      <c r="E3200" s="139" t="n"/>
      <c r="F3200" s="139" t="n"/>
      <c r="G3200" s="140">
        <f>IFERROR(IF(E3200&gt;0,(F3200/E3200)*1000,""),"")</f>
        <v/>
      </c>
      <c r="H3200" s="139">
        <f>IFERROR(IF(E3200&gt;0,E3200*IF(ISNUMBER(J3200),J3200,IF(C3200="Futures",$C$6,$C$5)),""),"")</f>
        <v/>
      </c>
      <c r="I3200" s="139">
        <f>IFERROR(IF(AND(ISNUMBER(F3200),ISNUMBER(H3200)),F3200-H3200,""),"")</f>
        <v/>
      </c>
      <c r="J3200" s="114" t="n"/>
      <c r="K3200" s="139">
        <f>IFERROR(IF(H3200&gt;0,H3200*$C$7,""),"")</f>
        <v/>
      </c>
      <c r="L3200" s="139">
        <f>IFERROR(IF(ISNUMBER(F3200),F3200-IF(ISNUMBER(K3200),K3200,0),""),"")</f>
        <v/>
      </c>
    </row>
    <row r="3201" ht="24" customHeight="1" s="63">
      <c r="E3201" s="139" t="n"/>
      <c r="F3201" s="139" t="n"/>
      <c r="G3201" s="140">
        <f>IFERROR(IF(E3201&gt;0,(F3201/E3201)*1000,""),"")</f>
        <v/>
      </c>
      <c r="H3201" s="139">
        <f>IFERROR(IF(E3201&gt;0,E3201*IF(ISNUMBER(J3201),J3201,IF(C3201="Futures",$C$6,$C$5)),""),"")</f>
        <v/>
      </c>
      <c r="I3201" s="139">
        <f>IFERROR(IF(AND(ISNUMBER(F3201),ISNUMBER(H3201)),F3201-H3201,""),"")</f>
        <v/>
      </c>
      <c r="J3201" s="114" t="n"/>
      <c r="K3201" s="139">
        <f>IFERROR(IF(H3201&gt;0,H3201*$C$7,""),"")</f>
        <v/>
      </c>
      <c r="L3201" s="139">
        <f>IFERROR(IF(ISNUMBER(F3201),F3201-IF(ISNUMBER(K3201),K3201,0),""),"")</f>
        <v/>
      </c>
    </row>
    <row r="3202" ht="24" customHeight="1" s="63">
      <c r="E3202" s="139" t="n"/>
      <c r="F3202" s="139" t="n"/>
      <c r="G3202" s="140">
        <f>IFERROR(IF(E3202&gt;0,(F3202/E3202)*1000,""),"")</f>
        <v/>
      </c>
      <c r="H3202" s="139">
        <f>IFERROR(IF(E3202&gt;0,E3202*IF(ISNUMBER(J3202),J3202,IF(C3202="Futures",$C$6,$C$5)),""),"")</f>
        <v/>
      </c>
      <c r="I3202" s="139">
        <f>IFERROR(IF(AND(ISNUMBER(F3202),ISNUMBER(H3202)),F3202-H3202,""),"")</f>
        <v/>
      </c>
      <c r="J3202" s="114" t="n"/>
      <c r="K3202" s="139">
        <f>IFERROR(IF(H3202&gt;0,H3202*$C$7,""),"")</f>
        <v/>
      </c>
      <c r="L3202" s="139">
        <f>IFERROR(IF(ISNUMBER(F3202),F3202-IF(ISNUMBER(K3202),K3202,0),""),"")</f>
        <v/>
      </c>
    </row>
    <row r="3203" ht="24" customHeight="1" s="63">
      <c r="E3203" s="139" t="n"/>
      <c r="F3203" s="139" t="n"/>
      <c r="G3203" s="140">
        <f>IFERROR(IF(E3203&gt;0,(F3203/E3203)*1000,""),"")</f>
        <v/>
      </c>
      <c r="H3203" s="139">
        <f>IFERROR(IF(E3203&gt;0,E3203*IF(ISNUMBER(J3203),J3203,IF(C3203="Futures",$C$6,$C$5)),""),"")</f>
        <v/>
      </c>
      <c r="I3203" s="139">
        <f>IFERROR(IF(AND(ISNUMBER(F3203),ISNUMBER(H3203)),F3203-H3203,""),"")</f>
        <v/>
      </c>
      <c r="J3203" s="114" t="n"/>
      <c r="K3203" s="139">
        <f>IFERROR(IF(H3203&gt;0,H3203*$C$7,""),"")</f>
        <v/>
      </c>
      <c r="L3203" s="139">
        <f>IFERROR(IF(ISNUMBER(F3203),F3203-IF(ISNUMBER(K3203),K3203,0),""),"")</f>
        <v/>
      </c>
    </row>
    <row r="3204" ht="24" customHeight="1" s="63">
      <c r="E3204" s="139" t="n"/>
      <c r="F3204" s="139" t="n"/>
      <c r="G3204" s="140">
        <f>IFERROR(IF(E3204&gt;0,(F3204/E3204)*1000,""),"")</f>
        <v/>
      </c>
      <c r="H3204" s="139">
        <f>IFERROR(IF(E3204&gt;0,E3204*IF(ISNUMBER(J3204),J3204,IF(C3204="Futures",$C$6,$C$5)),""),"")</f>
        <v/>
      </c>
      <c r="I3204" s="139">
        <f>IFERROR(IF(AND(ISNUMBER(F3204),ISNUMBER(H3204)),F3204-H3204,""),"")</f>
        <v/>
      </c>
      <c r="J3204" s="114" t="n"/>
      <c r="K3204" s="139">
        <f>IFERROR(IF(H3204&gt;0,H3204*$C$7,""),"")</f>
        <v/>
      </c>
      <c r="L3204" s="139">
        <f>IFERROR(IF(ISNUMBER(F3204),F3204-IF(ISNUMBER(K3204),K3204,0),""),"")</f>
        <v/>
      </c>
    </row>
    <row r="3205" ht="24" customHeight="1" s="63">
      <c r="E3205" s="139" t="n"/>
      <c r="F3205" s="139" t="n"/>
      <c r="G3205" s="140">
        <f>IFERROR(IF(E3205&gt;0,(F3205/E3205)*1000,""),"")</f>
        <v/>
      </c>
      <c r="H3205" s="139">
        <f>IFERROR(IF(E3205&gt;0,E3205*IF(ISNUMBER(J3205),J3205,IF(C3205="Futures",$C$6,$C$5)),""),"")</f>
        <v/>
      </c>
      <c r="I3205" s="139">
        <f>IFERROR(IF(AND(ISNUMBER(F3205),ISNUMBER(H3205)),F3205-H3205,""),"")</f>
        <v/>
      </c>
      <c r="J3205" s="114" t="n"/>
      <c r="K3205" s="139">
        <f>IFERROR(IF(H3205&gt;0,H3205*$C$7,""),"")</f>
        <v/>
      </c>
      <c r="L3205" s="139">
        <f>IFERROR(IF(ISNUMBER(F3205),F3205-IF(ISNUMBER(K3205),K3205,0),""),"")</f>
        <v/>
      </c>
    </row>
    <row r="3206" ht="24" customHeight="1" s="63">
      <c r="E3206" s="139" t="n"/>
      <c r="F3206" s="139" t="n"/>
      <c r="G3206" s="140">
        <f>IFERROR(IF(E3206&gt;0,(F3206/E3206)*1000,""),"")</f>
        <v/>
      </c>
      <c r="H3206" s="139">
        <f>IFERROR(IF(E3206&gt;0,E3206*IF(ISNUMBER(J3206),J3206,IF(C3206="Futures",$C$6,$C$5)),""),"")</f>
        <v/>
      </c>
      <c r="I3206" s="139">
        <f>IFERROR(IF(AND(ISNUMBER(F3206),ISNUMBER(H3206)),F3206-H3206,""),"")</f>
        <v/>
      </c>
      <c r="J3206" s="114" t="n"/>
      <c r="K3206" s="139">
        <f>IFERROR(IF(H3206&gt;0,H3206*$C$7,""),"")</f>
        <v/>
      </c>
      <c r="L3206" s="139">
        <f>IFERROR(IF(ISNUMBER(F3206),F3206-IF(ISNUMBER(K3206),K3206,0),""),"")</f>
        <v/>
      </c>
    </row>
    <row r="3207" ht="24" customHeight="1" s="63">
      <c r="E3207" s="139" t="n"/>
      <c r="F3207" s="139" t="n"/>
      <c r="G3207" s="140">
        <f>IFERROR(IF(E3207&gt;0,(F3207/E3207)*1000,""),"")</f>
        <v/>
      </c>
      <c r="H3207" s="139">
        <f>IFERROR(IF(E3207&gt;0,E3207*IF(ISNUMBER(J3207),J3207,IF(C3207="Futures",$C$6,$C$5)),""),"")</f>
        <v/>
      </c>
      <c r="I3207" s="139">
        <f>IFERROR(IF(AND(ISNUMBER(F3207),ISNUMBER(H3207)),F3207-H3207,""),"")</f>
        <v/>
      </c>
      <c r="J3207" s="114" t="n"/>
      <c r="K3207" s="139">
        <f>IFERROR(IF(H3207&gt;0,H3207*$C$7,""),"")</f>
        <v/>
      </c>
      <c r="L3207" s="139">
        <f>IFERROR(IF(ISNUMBER(F3207),F3207-IF(ISNUMBER(K3207),K3207,0),""),"")</f>
        <v/>
      </c>
    </row>
    <row r="3208" ht="24" customHeight="1" s="63">
      <c r="E3208" s="139" t="n"/>
      <c r="F3208" s="139" t="n"/>
      <c r="G3208" s="140">
        <f>IFERROR(IF(E3208&gt;0,(F3208/E3208)*1000,""),"")</f>
        <v/>
      </c>
      <c r="H3208" s="139">
        <f>IFERROR(IF(E3208&gt;0,E3208*IF(ISNUMBER(J3208),J3208,IF(C3208="Futures",$C$6,$C$5)),""),"")</f>
        <v/>
      </c>
      <c r="I3208" s="139">
        <f>IFERROR(IF(AND(ISNUMBER(F3208),ISNUMBER(H3208)),F3208-H3208,""),"")</f>
        <v/>
      </c>
      <c r="J3208" s="114" t="n"/>
      <c r="K3208" s="139">
        <f>IFERROR(IF(H3208&gt;0,H3208*$C$7,""),"")</f>
        <v/>
      </c>
      <c r="L3208" s="139">
        <f>IFERROR(IF(ISNUMBER(F3208),F3208-IF(ISNUMBER(K3208),K3208,0),""),"")</f>
        <v/>
      </c>
    </row>
    <row r="3209" ht="24" customHeight="1" s="63">
      <c r="E3209" s="139" t="n"/>
      <c r="F3209" s="139" t="n"/>
      <c r="G3209" s="140">
        <f>IFERROR(IF(E3209&gt;0,(F3209/E3209)*1000,""),"")</f>
        <v/>
      </c>
      <c r="H3209" s="139">
        <f>IFERROR(IF(E3209&gt;0,E3209*IF(ISNUMBER(J3209),J3209,IF(C3209="Futures",$C$6,$C$5)),""),"")</f>
        <v/>
      </c>
      <c r="I3209" s="139">
        <f>IFERROR(IF(AND(ISNUMBER(F3209),ISNUMBER(H3209)),F3209-H3209,""),"")</f>
        <v/>
      </c>
      <c r="J3209" s="114" t="n"/>
      <c r="K3209" s="139">
        <f>IFERROR(IF(H3209&gt;0,H3209*$C$7,""),"")</f>
        <v/>
      </c>
      <c r="L3209" s="139">
        <f>IFERROR(IF(ISNUMBER(F3209),F3209-IF(ISNUMBER(K3209),K3209,0),""),"")</f>
        <v/>
      </c>
    </row>
    <row r="3210" ht="24" customHeight="1" s="63">
      <c r="E3210" s="139" t="n"/>
      <c r="F3210" s="139" t="n"/>
      <c r="G3210" s="140">
        <f>IFERROR(IF(E3210&gt;0,(F3210/E3210)*1000,""),"")</f>
        <v/>
      </c>
      <c r="H3210" s="139">
        <f>IFERROR(IF(E3210&gt;0,E3210*IF(ISNUMBER(J3210),J3210,IF(C3210="Futures",$C$6,$C$5)),""),"")</f>
        <v/>
      </c>
      <c r="I3210" s="139">
        <f>IFERROR(IF(AND(ISNUMBER(F3210),ISNUMBER(H3210)),F3210-H3210,""),"")</f>
        <v/>
      </c>
      <c r="J3210" s="114" t="n"/>
      <c r="K3210" s="139">
        <f>IFERROR(IF(H3210&gt;0,H3210*$C$7,""),"")</f>
        <v/>
      </c>
      <c r="L3210" s="139">
        <f>IFERROR(IF(ISNUMBER(F3210),F3210-IF(ISNUMBER(K3210),K3210,0),""),"")</f>
        <v/>
      </c>
    </row>
    <row r="3211" ht="24" customHeight="1" s="63">
      <c r="E3211" s="139" t="n"/>
      <c r="F3211" s="139" t="n"/>
      <c r="G3211" s="140">
        <f>IFERROR(IF(E3211&gt;0,(F3211/E3211)*1000,""),"")</f>
        <v/>
      </c>
      <c r="H3211" s="139">
        <f>IFERROR(IF(E3211&gt;0,E3211*IF(ISNUMBER(J3211),J3211,IF(C3211="Futures",$C$6,$C$5)),""),"")</f>
        <v/>
      </c>
      <c r="I3211" s="139">
        <f>IFERROR(IF(AND(ISNUMBER(F3211),ISNUMBER(H3211)),F3211-H3211,""),"")</f>
        <v/>
      </c>
      <c r="J3211" s="114" t="n"/>
      <c r="K3211" s="139">
        <f>IFERROR(IF(H3211&gt;0,H3211*$C$7,""),"")</f>
        <v/>
      </c>
      <c r="L3211" s="139">
        <f>IFERROR(IF(ISNUMBER(F3211),F3211-IF(ISNUMBER(K3211),K3211,0),""),"")</f>
        <v/>
      </c>
    </row>
    <row r="3212" ht="24" customHeight="1" s="63">
      <c r="E3212" s="139" t="n"/>
      <c r="F3212" s="139" t="n"/>
      <c r="G3212" s="140">
        <f>IFERROR(IF(E3212&gt;0,(F3212/E3212)*1000,""),"")</f>
        <v/>
      </c>
      <c r="H3212" s="139">
        <f>IFERROR(IF(E3212&gt;0,E3212*IF(ISNUMBER(J3212),J3212,IF(C3212="Futures",$C$6,$C$5)),""),"")</f>
        <v/>
      </c>
      <c r="I3212" s="139">
        <f>IFERROR(IF(AND(ISNUMBER(F3212),ISNUMBER(H3212)),F3212-H3212,""),"")</f>
        <v/>
      </c>
      <c r="J3212" s="114" t="n"/>
      <c r="K3212" s="139">
        <f>IFERROR(IF(H3212&gt;0,H3212*$C$7,""),"")</f>
        <v/>
      </c>
      <c r="L3212" s="139">
        <f>IFERROR(IF(ISNUMBER(F3212),F3212-IF(ISNUMBER(K3212),K3212,0),""),"")</f>
        <v/>
      </c>
    </row>
    <row r="3213" ht="24" customHeight="1" s="63">
      <c r="E3213" s="139" t="n"/>
      <c r="F3213" s="139" t="n"/>
      <c r="G3213" s="140">
        <f>IFERROR(IF(E3213&gt;0,(F3213/E3213)*1000,""),"")</f>
        <v/>
      </c>
      <c r="H3213" s="139">
        <f>IFERROR(IF(E3213&gt;0,E3213*IF(ISNUMBER(J3213),J3213,IF(C3213="Futures",$C$6,$C$5)),""),"")</f>
        <v/>
      </c>
      <c r="I3213" s="139">
        <f>IFERROR(IF(AND(ISNUMBER(F3213),ISNUMBER(H3213)),F3213-H3213,""),"")</f>
        <v/>
      </c>
      <c r="J3213" s="114" t="n"/>
      <c r="K3213" s="139">
        <f>IFERROR(IF(H3213&gt;0,H3213*$C$7,""),"")</f>
        <v/>
      </c>
      <c r="L3213" s="139">
        <f>IFERROR(IF(ISNUMBER(F3213),F3213-IF(ISNUMBER(K3213),K3213,0),""),"")</f>
        <v/>
      </c>
    </row>
    <row r="3214" ht="24" customHeight="1" s="63">
      <c r="E3214" s="139" t="n"/>
      <c r="F3214" s="139" t="n"/>
      <c r="G3214" s="140">
        <f>IFERROR(IF(E3214&gt;0,(F3214/E3214)*1000,""),"")</f>
        <v/>
      </c>
      <c r="H3214" s="139">
        <f>IFERROR(IF(E3214&gt;0,E3214*IF(ISNUMBER(J3214),J3214,IF(C3214="Futures",$C$6,$C$5)),""),"")</f>
        <v/>
      </c>
      <c r="I3214" s="139">
        <f>IFERROR(IF(AND(ISNUMBER(F3214),ISNUMBER(H3214)),F3214-H3214,""),"")</f>
        <v/>
      </c>
      <c r="J3214" s="114" t="n"/>
      <c r="K3214" s="139">
        <f>IFERROR(IF(H3214&gt;0,H3214*$C$7,""),"")</f>
        <v/>
      </c>
      <c r="L3214" s="139">
        <f>IFERROR(IF(ISNUMBER(F3214),F3214-IF(ISNUMBER(K3214),K3214,0),""),"")</f>
        <v/>
      </c>
    </row>
    <row r="3215" ht="24" customHeight="1" s="63">
      <c r="E3215" s="139" t="n"/>
      <c r="F3215" s="139" t="n"/>
      <c r="G3215" s="140">
        <f>IFERROR(IF(E3215&gt;0,(F3215/E3215)*1000,""),"")</f>
        <v/>
      </c>
      <c r="H3215" s="139">
        <f>IFERROR(IF(E3215&gt;0,E3215*IF(ISNUMBER(J3215),J3215,IF(C3215="Futures",$C$6,$C$5)),""),"")</f>
        <v/>
      </c>
      <c r="I3215" s="139">
        <f>IFERROR(IF(AND(ISNUMBER(F3215),ISNUMBER(H3215)),F3215-H3215,""),"")</f>
        <v/>
      </c>
      <c r="J3215" s="114" t="n"/>
      <c r="K3215" s="139">
        <f>IFERROR(IF(H3215&gt;0,H3215*$C$7,""),"")</f>
        <v/>
      </c>
      <c r="L3215" s="139">
        <f>IFERROR(IF(ISNUMBER(F3215),F3215-IF(ISNUMBER(K3215),K3215,0),""),"")</f>
        <v/>
      </c>
    </row>
    <row r="3216" ht="24" customHeight="1" s="63">
      <c r="E3216" s="139" t="n"/>
      <c r="F3216" s="139" t="n"/>
      <c r="G3216" s="140">
        <f>IFERROR(IF(E3216&gt;0,(F3216/E3216)*1000,""),"")</f>
        <v/>
      </c>
      <c r="H3216" s="139">
        <f>IFERROR(IF(E3216&gt;0,E3216*IF(ISNUMBER(J3216),J3216,IF(C3216="Futures",$C$6,$C$5)),""),"")</f>
        <v/>
      </c>
      <c r="I3216" s="139">
        <f>IFERROR(IF(AND(ISNUMBER(F3216),ISNUMBER(H3216)),F3216-H3216,""),"")</f>
        <v/>
      </c>
      <c r="J3216" s="114" t="n"/>
      <c r="K3216" s="139">
        <f>IFERROR(IF(H3216&gt;0,H3216*$C$7,""),"")</f>
        <v/>
      </c>
      <c r="L3216" s="139">
        <f>IFERROR(IF(ISNUMBER(F3216),F3216-IF(ISNUMBER(K3216),K3216,0),""),"")</f>
        <v/>
      </c>
    </row>
    <row r="3217" ht="24" customHeight="1" s="63">
      <c r="E3217" s="139" t="n"/>
      <c r="F3217" s="139" t="n"/>
      <c r="G3217" s="140">
        <f>IFERROR(IF(E3217&gt;0,(F3217/E3217)*1000,""),"")</f>
        <v/>
      </c>
      <c r="H3217" s="139">
        <f>IFERROR(IF(E3217&gt;0,E3217*IF(ISNUMBER(J3217),J3217,IF(C3217="Futures",$C$6,$C$5)),""),"")</f>
        <v/>
      </c>
      <c r="I3217" s="139">
        <f>IFERROR(IF(AND(ISNUMBER(F3217),ISNUMBER(H3217)),F3217-H3217,""),"")</f>
        <v/>
      </c>
      <c r="J3217" s="114" t="n"/>
      <c r="K3217" s="139">
        <f>IFERROR(IF(H3217&gt;0,H3217*$C$7,""),"")</f>
        <v/>
      </c>
      <c r="L3217" s="139">
        <f>IFERROR(IF(ISNUMBER(F3217),F3217-IF(ISNUMBER(K3217),K3217,0),""),"")</f>
        <v/>
      </c>
    </row>
    <row r="3218" ht="24" customHeight="1" s="63">
      <c r="E3218" s="139" t="n"/>
      <c r="F3218" s="139" t="n"/>
      <c r="G3218" s="140">
        <f>IFERROR(IF(E3218&gt;0,(F3218/E3218)*1000,""),"")</f>
        <v/>
      </c>
      <c r="H3218" s="139">
        <f>IFERROR(IF(E3218&gt;0,E3218*IF(ISNUMBER(J3218),J3218,IF(C3218="Futures",$C$6,$C$5)),""),"")</f>
        <v/>
      </c>
      <c r="I3218" s="139">
        <f>IFERROR(IF(AND(ISNUMBER(F3218),ISNUMBER(H3218)),F3218-H3218,""),"")</f>
        <v/>
      </c>
      <c r="J3218" s="114" t="n"/>
      <c r="K3218" s="139">
        <f>IFERROR(IF(H3218&gt;0,H3218*$C$7,""),"")</f>
        <v/>
      </c>
      <c r="L3218" s="139">
        <f>IFERROR(IF(ISNUMBER(F3218),F3218-IF(ISNUMBER(K3218),K3218,0),""),"")</f>
        <v/>
      </c>
    </row>
    <row r="3219" ht="24" customHeight="1" s="63">
      <c r="E3219" s="139" t="n"/>
      <c r="F3219" s="139" t="n"/>
      <c r="G3219" s="140">
        <f>IFERROR(IF(E3219&gt;0,(F3219/E3219)*1000,""),"")</f>
        <v/>
      </c>
      <c r="H3219" s="139">
        <f>IFERROR(IF(E3219&gt;0,E3219*IF(ISNUMBER(J3219),J3219,IF(C3219="Futures",$C$6,$C$5)),""),"")</f>
        <v/>
      </c>
      <c r="I3219" s="139">
        <f>IFERROR(IF(AND(ISNUMBER(F3219),ISNUMBER(H3219)),F3219-H3219,""),"")</f>
        <v/>
      </c>
      <c r="J3219" s="114" t="n"/>
      <c r="K3219" s="139">
        <f>IFERROR(IF(H3219&gt;0,H3219*$C$7,""),"")</f>
        <v/>
      </c>
      <c r="L3219" s="139">
        <f>IFERROR(IF(ISNUMBER(F3219),F3219-IF(ISNUMBER(K3219),K3219,0),""),"")</f>
        <v/>
      </c>
    </row>
    <row r="3220" ht="24" customHeight="1" s="63">
      <c r="E3220" s="139" t="n"/>
      <c r="F3220" s="139" t="n"/>
      <c r="G3220" s="140">
        <f>IFERROR(IF(E3220&gt;0,(F3220/E3220)*1000,""),"")</f>
        <v/>
      </c>
      <c r="H3220" s="139">
        <f>IFERROR(IF(E3220&gt;0,E3220*IF(ISNUMBER(J3220),J3220,IF(C3220="Futures",$C$6,$C$5)),""),"")</f>
        <v/>
      </c>
      <c r="I3220" s="139">
        <f>IFERROR(IF(AND(ISNUMBER(F3220),ISNUMBER(H3220)),F3220-H3220,""),"")</f>
        <v/>
      </c>
      <c r="J3220" s="114" t="n"/>
      <c r="K3220" s="139">
        <f>IFERROR(IF(H3220&gt;0,H3220*$C$7,""),"")</f>
        <v/>
      </c>
      <c r="L3220" s="139">
        <f>IFERROR(IF(ISNUMBER(F3220),F3220-IF(ISNUMBER(K3220),K3220,0),""),"")</f>
        <v/>
      </c>
    </row>
    <row r="3221" ht="24" customHeight="1" s="63">
      <c r="E3221" s="139" t="n"/>
      <c r="F3221" s="139" t="n"/>
      <c r="G3221" s="140">
        <f>IFERROR(IF(E3221&gt;0,(F3221/E3221)*1000,""),"")</f>
        <v/>
      </c>
      <c r="H3221" s="139">
        <f>IFERROR(IF(E3221&gt;0,E3221*IF(ISNUMBER(J3221),J3221,IF(C3221="Futures",$C$6,$C$5)),""),"")</f>
        <v/>
      </c>
      <c r="I3221" s="139">
        <f>IFERROR(IF(AND(ISNUMBER(F3221),ISNUMBER(H3221)),F3221-H3221,""),"")</f>
        <v/>
      </c>
      <c r="J3221" s="114" t="n"/>
      <c r="K3221" s="139">
        <f>IFERROR(IF(H3221&gt;0,H3221*$C$7,""),"")</f>
        <v/>
      </c>
      <c r="L3221" s="139">
        <f>IFERROR(IF(ISNUMBER(F3221),F3221-IF(ISNUMBER(K3221),K3221,0),""),"")</f>
        <v/>
      </c>
    </row>
    <row r="3222" ht="24" customHeight="1" s="63">
      <c r="E3222" s="139" t="n"/>
      <c r="F3222" s="139" t="n"/>
      <c r="G3222" s="140">
        <f>IFERROR(IF(E3222&gt;0,(F3222/E3222)*1000,""),"")</f>
        <v/>
      </c>
      <c r="H3222" s="139">
        <f>IFERROR(IF(E3222&gt;0,E3222*IF(ISNUMBER(J3222),J3222,IF(C3222="Futures",$C$6,$C$5)),""),"")</f>
        <v/>
      </c>
      <c r="I3222" s="139">
        <f>IFERROR(IF(AND(ISNUMBER(F3222),ISNUMBER(H3222)),F3222-H3222,""),"")</f>
        <v/>
      </c>
      <c r="J3222" s="114" t="n"/>
      <c r="K3222" s="139">
        <f>IFERROR(IF(H3222&gt;0,H3222*$C$7,""),"")</f>
        <v/>
      </c>
      <c r="L3222" s="139">
        <f>IFERROR(IF(ISNUMBER(F3222),F3222-IF(ISNUMBER(K3222),K3222,0),""),"")</f>
        <v/>
      </c>
    </row>
    <row r="3223" ht="24" customHeight="1" s="63">
      <c r="E3223" s="139" t="n"/>
      <c r="F3223" s="139" t="n"/>
      <c r="G3223" s="140">
        <f>IFERROR(IF(E3223&gt;0,(F3223/E3223)*1000,""),"")</f>
        <v/>
      </c>
      <c r="H3223" s="139">
        <f>IFERROR(IF(E3223&gt;0,E3223*IF(ISNUMBER(J3223),J3223,IF(C3223="Futures",$C$6,$C$5)),""),"")</f>
        <v/>
      </c>
      <c r="I3223" s="139">
        <f>IFERROR(IF(AND(ISNUMBER(F3223),ISNUMBER(H3223)),F3223-H3223,""),"")</f>
        <v/>
      </c>
      <c r="J3223" s="114" t="n"/>
      <c r="K3223" s="139">
        <f>IFERROR(IF(H3223&gt;0,H3223*$C$7,""),"")</f>
        <v/>
      </c>
      <c r="L3223" s="139">
        <f>IFERROR(IF(ISNUMBER(F3223),F3223-IF(ISNUMBER(K3223),K3223,0),""),"")</f>
        <v/>
      </c>
    </row>
    <row r="3224" ht="24" customHeight="1" s="63">
      <c r="E3224" s="139" t="n"/>
      <c r="F3224" s="139" t="n"/>
      <c r="G3224" s="140">
        <f>IFERROR(IF(E3224&gt;0,(F3224/E3224)*1000,""),"")</f>
        <v/>
      </c>
      <c r="H3224" s="139">
        <f>IFERROR(IF(E3224&gt;0,E3224*IF(ISNUMBER(J3224),J3224,IF(C3224="Futures",$C$6,$C$5)),""),"")</f>
        <v/>
      </c>
      <c r="I3224" s="139">
        <f>IFERROR(IF(AND(ISNUMBER(F3224),ISNUMBER(H3224)),F3224-H3224,""),"")</f>
        <v/>
      </c>
      <c r="J3224" s="114" t="n"/>
      <c r="K3224" s="139">
        <f>IFERROR(IF(H3224&gt;0,H3224*$C$7,""),"")</f>
        <v/>
      </c>
      <c r="L3224" s="139">
        <f>IFERROR(IF(ISNUMBER(F3224),F3224-IF(ISNUMBER(K3224),K3224,0),""),"")</f>
        <v/>
      </c>
    </row>
    <row r="3225" ht="24" customHeight="1" s="63">
      <c r="E3225" s="139" t="n"/>
      <c r="F3225" s="139" t="n"/>
      <c r="G3225" s="140">
        <f>IFERROR(IF(E3225&gt;0,(F3225/E3225)*1000,""),"")</f>
        <v/>
      </c>
      <c r="H3225" s="139">
        <f>IFERROR(IF(E3225&gt;0,E3225*IF(ISNUMBER(J3225),J3225,IF(C3225="Futures",$C$6,$C$5)),""),"")</f>
        <v/>
      </c>
      <c r="I3225" s="139">
        <f>IFERROR(IF(AND(ISNUMBER(F3225),ISNUMBER(H3225)),F3225-H3225,""),"")</f>
        <v/>
      </c>
      <c r="J3225" s="114" t="n"/>
      <c r="K3225" s="139">
        <f>IFERROR(IF(H3225&gt;0,H3225*$C$7,""),"")</f>
        <v/>
      </c>
      <c r="L3225" s="139">
        <f>IFERROR(IF(ISNUMBER(F3225),F3225-IF(ISNUMBER(K3225),K3225,0),""),"")</f>
        <v/>
      </c>
    </row>
    <row r="3226" ht="24" customHeight="1" s="63">
      <c r="E3226" s="139" t="n"/>
      <c r="F3226" s="139" t="n"/>
      <c r="G3226" s="140">
        <f>IFERROR(IF(E3226&gt;0,(F3226/E3226)*1000,""),"")</f>
        <v/>
      </c>
      <c r="H3226" s="139">
        <f>IFERROR(IF(E3226&gt;0,E3226*IF(ISNUMBER(J3226),J3226,IF(C3226="Futures",$C$6,$C$5)),""),"")</f>
        <v/>
      </c>
      <c r="I3226" s="139">
        <f>IFERROR(IF(AND(ISNUMBER(F3226),ISNUMBER(H3226)),F3226-H3226,""),"")</f>
        <v/>
      </c>
      <c r="J3226" s="114" t="n"/>
      <c r="K3226" s="139">
        <f>IFERROR(IF(H3226&gt;0,H3226*$C$7,""),"")</f>
        <v/>
      </c>
      <c r="L3226" s="139">
        <f>IFERROR(IF(ISNUMBER(F3226),F3226-IF(ISNUMBER(K3226),K3226,0),""),"")</f>
        <v/>
      </c>
    </row>
    <row r="3227" ht="24" customHeight="1" s="63">
      <c r="E3227" s="139" t="n"/>
      <c r="F3227" s="139" t="n"/>
      <c r="G3227" s="140">
        <f>IFERROR(IF(E3227&gt;0,(F3227/E3227)*1000,""),"")</f>
        <v/>
      </c>
      <c r="H3227" s="139">
        <f>IFERROR(IF(E3227&gt;0,E3227*IF(ISNUMBER(J3227),J3227,IF(C3227="Futures",$C$6,$C$5)),""),"")</f>
        <v/>
      </c>
      <c r="I3227" s="139">
        <f>IFERROR(IF(AND(ISNUMBER(F3227),ISNUMBER(H3227)),F3227-H3227,""),"")</f>
        <v/>
      </c>
      <c r="J3227" s="114" t="n"/>
      <c r="K3227" s="139">
        <f>IFERROR(IF(H3227&gt;0,H3227*$C$7,""),"")</f>
        <v/>
      </c>
      <c r="L3227" s="139">
        <f>IFERROR(IF(ISNUMBER(F3227),F3227-IF(ISNUMBER(K3227),K3227,0),""),"")</f>
        <v/>
      </c>
    </row>
    <row r="3228" ht="24" customHeight="1" s="63">
      <c r="E3228" s="139" t="n"/>
      <c r="F3228" s="139" t="n"/>
      <c r="G3228" s="140">
        <f>IFERROR(IF(E3228&gt;0,(F3228/E3228)*1000,""),"")</f>
        <v/>
      </c>
      <c r="H3228" s="139">
        <f>IFERROR(IF(E3228&gt;0,E3228*IF(ISNUMBER(J3228),J3228,IF(C3228="Futures",$C$6,$C$5)),""),"")</f>
        <v/>
      </c>
      <c r="I3228" s="139">
        <f>IFERROR(IF(AND(ISNUMBER(F3228),ISNUMBER(H3228)),F3228-H3228,""),"")</f>
        <v/>
      </c>
      <c r="J3228" s="114" t="n"/>
      <c r="K3228" s="139">
        <f>IFERROR(IF(H3228&gt;0,H3228*$C$7,""),"")</f>
        <v/>
      </c>
      <c r="L3228" s="139">
        <f>IFERROR(IF(ISNUMBER(F3228),F3228-IF(ISNUMBER(K3228),K3228,0),""),"")</f>
        <v/>
      </c>
    </row>
    <row r="3229" ht="24" customHeight="1" s="63">
      <c r="E3229" s="139" t="n"/>
      <c r="F3229" s="139" t="n"/>
      <c r="G3229" s="140">
        <f>IFERROR(IF(E3229&gt;0,(F3229/E3229)*1000,""),"")</f>
        <v/>
      </c>
      <c r="H3229" s="139">
        <f>IFERROR(IF(E3229&gt;0,E3229*IF(ISNUMBER(J3229),J3229,IF(C3229="Futures",$C$6,$C$5)),""),"")</f>
        <v/>
      </c>
      <c r="I3229" s="139">
        <f>IFERROR(IF(AND(ISNUMBER(F3229),ISNUMBER(H3229)),F3229-H3229,""),"")</f>
        <v/>
      </c>
      <c r="J3229" s="114" t="n"/>
      <c r="K3229" s="139">
        <f>IFERROR(IF(H3229&gt;0,H3229*$C$7,""),"")</f>
        <v/>
      </c>
      <c r="L3229" s="139">
        <f>IFERROR(IF(ISNUMBER(F3229),F3229-IF(ISNUMBER(K3229),K3229,0),""),"")</f>
        <v/>
      </c>
    </row>
    <row r="3230" ht="24" customHeight="1" s="63">
      <c r="E3230" s="139" t="n"/>
      <c r="F3230" s="139" t="n"/>
      <c r="G3230" s="140">
        <f>IFERROR(IF(E3230&gt;0,(F3230/E3230)*1000,""),"")</f>
        <v/>
      </c>
      <c r="H3230" s="139">
        <f>IFERROR(IF(E3230&gt;0,E3230*IF(ISNUMBER(J3230),J3230,IF(C3230="Futures",$C$6,$C$5)),""),"")</f>
        <v/>
      </c>
      <c r="I3230" s="139">
        <f>IFERROR(IF(AND(ISNUMBER(F3230),ISNUMBER(H3230)),F3230-H3230,""),"")</f>
        <v/>
      </c>
      <c r="J3230" s="114" t="n"/>
      <c r="K3230" s="139">
        <f>IFERROR(IF(H3230&gt;0,H3230*$C$7,""),"")</f>
        <v/>
      </c>
      <c r="L3230" s="139">
        <f>IFERROR(IF(ISNUMBER(F3230),F3230-IF(ISNUMBER(K3230),K3230,0),""),"")</f>
        <v/>
      </c>
    </row>
    <row r="3231" ht="24" customHeight="1" s="63">
      <c r="E3231" s="139" t="n"/>
      <c r="F3231" s="139" t="n"/>
      <c r="G3231" s="140">
        <f>IFERROR(IF(E3231&gt;0,(F3231/E3231)*1000,""),"")</f>
        <v/>
      </c>
      <c r="H3231" s="139">
        <f>IFERROR(IF(E3231&gt;0,E3231*IF(ISNUMBER(J3231),J3231,IF(C3231="Futures",$C$6,$C$5)),""),"")</f>
        <v/>
      </c>
      <c r="I3231" s="139">
        <f>IFERROR(IF(AND(ISNUMBER(F3231),ISNUMBER(H3231)),F3231-H3231,""),"")</f>
        <v/>
      </c>
      <c r="J3231" s="114" t="n"/>
      <c r="K3231" s="139">
        <f>IFERROR(IF(H3231&gt;0,H3231*$C$7,""),"")</f>
        <v/>
      </c>
      <c r="L3231" s="139">
        <f>IFERROR(IF(ISNUMBER(F3231),F3231-IF(ISNUMBER(K3231),K3231,0),""),"")</f>
        <v/>
      </c>
    </row>
    <row r="3232" ht="24" customHeight="1" s="63">
      <c r="E3232" s="139" t="n"/>
      <c r="F3232" s="139" t="n"/>
      <c r="G3232" s="140">
        <f>IFERROR(IF(E3232&gt;0,(F3232/E3232)*1000,""),"")</f>
        <v/>
      </c>
      <c r="H3232" s="139">
        <f>IFERROR(IF(E3232&gt;0,E3232*IF(ISNUMBER(J3232),J3232,IF(C3232="Futures",$C$6,$C$5)),""),"")</f>
        <v/>
      </c>
      <c r="I3232" s="139">
        <f>IFERROR(IF(AND(ISNUMBER(F3232),ISNUMBER(H3232)),F3232-H3232,""),"")</f>
        <v/>
      </c>
      <c r="J3232" s="114" t="n"/>
      <c r="K3232" s="139">
        <f>IFERROR(IF(H3232&gt;0,H3232*$C$7,""),"")</f>
        <v/>
      </c>
      <c r="L3232" s="139">
        <f>IFERROR(IF(ISNUMBER(F3232),F3232-IF(ISNUMBER(K3232),K3232,0),""),"")</f>
        <v/>
      </c>
    </row>
    <row r="3233" ht="24" customHeight="1" s="63">
      <c r="E3233" s="139" t="n"/>
      <c r="F3233" s="139" t="n"/>
      <c r="G3233" s="140">
        <f>IFERROR(IF(E3233&gt;0,(F3233/E3233)*1000,""),"")</f>
        <v/>
      </c>
      <c r="H3233" s="139">
        <f>IFERROR(IF(E3233&gt;0,E3233*IF(ISNUMBER(J3233),J3233,IF(C3233="Futures",$C$6,$C$5)),""),"")</f>
        <v/>
      </c>
      <c r="I3233" s="139">
        <f>IFERROR(IF(AND(ISNUMBER(F3233),ISNUMBER(H3233)),F3233-H3233,""),"")</f>
        <v/>
      </c>
      <c r="J3233" s="114" t="n"/>
      <c r="K3233" s="139">
        <f>IFERROR(IF(H3233&gt;0,H3233*$C$7,""),"")</f>
        <v/>
      </c>
      <c r="L3233" s="139">
        <f>IFERROR(IF(ISNUMBER(F3233),F3233-IF(ISNUMBER(K3233),K3233,0),""),"")</f>
        <v/>
      </c>
    </row>
    <row r="3234" ht="24" customHeight="1" s="63">
      <c r="E3234" s="139" t="n"/>
      <c r="F3234" s="139" t="n"/>
      <c r="G3234" s="140">
        <f>IFERROR(IF(E3234&gt;0,(F3234/E3234)*1000,""),"")</f>
        <v/>
      </c>
      <c r="H3234" s="139">
        <f>IFERROR(IF(E3234&gt;0,E3234*IF(ISNUMBER(J3234),J3234,IF(C3234="Futures",$C$6,$C$5)),""),"")</f>
        <v/>
      </c>
      <c r="I3234" s="139">
        <f>IFERROR(IF(AND(ISNUMBER(F3234),ISNUMBER(H3234)),F3234-H3234,""),"")</f>
        <v/>
      </c>
      <c r="J3234" s="114" t="n"/>
      <c r="K3234" s="139">
        <f>IFERROR(IF(H3234&gt;0,H3234*$C$7,""),"")</f>
        <v/>
      </c>
      <c r="L3234" s="139">
        <f>IFERROR(IF(ISNUMBER(F3234),F3234-IF(ISNUMBER(K3234),K3234,0),""),"")</f>
        <v/>
      </c>
    </row>
    <row r="3235" ht="24" customHeight="1" s="63">
      <c r="E3235" s="139" t="n"/>
      <c r="F3235" s="139" t="n"/>
      <c r="G3235" s="140">
        <f>IFERROR(IF(E3235&gt;0,(F3235/E3235)*1000,""),"")</f>
        <v/>
      </c>
      <c r="H3235" s="139">
        <f>IFERROR(IF(E3235&gt;0,E3235*IF(ISNUMBER(J3235),J3235,IF(C3235="Futures",$C$6,$C$5)),""),"")</f>
        <v/>
      </c>
      <c r="I3235" s="139">
        <f>IFERROR(IF(AND(ISNUMBER(F3235),ISNUMBER(H3235)),F3235-H3235,""),"")</f>
        <v/>
      </c>
      <c r="J3235" s="114" t="n"/>
      <c r="K3235" s="139">
        <f>IFERROR(IF(H3235&gt;0,H3235*$C$7,""),"")</f>
        <v/>
      </c>
      <c r="L3235" s="139">
        <f>IFERROR(IF(ISNUMBER(F3235),F3235-IF(ISNUMBER(K3235),K3235,0),""),"")</f>
        <v/>
      </c>
    </row>
    <row r="3236" ht="24" customHeight="1" s="63">
      <c r="E3236" s="139" t="n"/>
      <c r="F3236" s="139" t="n"/>
      <c r="G3236" s="140">
        <f>IFERROR(IF(E3236&gt;0,(F3236/E3236)*1000,""),"")</f>
        <v/>
      </c>
      <c r="H3236" s="139">
        <f>IFERROR(IF(E3236&gt;0,E3236*IF(ISNUMBER(J3236),J3236,IF(C3236="Futures",$C$6,$C$5)),""),"")</f>
        <v/>
      </c>
      <c r="I3236" s="139">
        <f>IFERROR(IF(AND(ISNUMBER(F3236),ISNUMBER(H3236)),F3236-H3236,""),"")</f>
        <v/>
      </c>
      <c r="J3236" s="114" t="n"/>
      <c r="K3236" s="139">
        <f>IFERROR(IF(H3236&gt;0,H3236*$C$7,""),"")</f>
        <v/>
      </c>
      <c r="L3236" s="139">
        <f>IFERROR(IF(ISNUMBER(F3236),F3236-IF(ISNUMBER(K3236),K3236,0),""),"")</f>
        <v/>
      </c>
    </row>
    <row r="3237" ht="24" customHeight="1" s="63">
      <c r="E3237" s="139" t="n"/>
      <c r="F3237" s="139" t="n"/>
      <c r="G3237" s="140">
        <f>IFERROR(IF(E3237&gt;0,(F3237/E3237)*1000,""),"")</f>
        <v/>
      </c>
      <c r="H3237" s="139">
        <f>IFERROR(IF(E3237&gt;0,E3237*IF(ISNUMBER(J3237),J3237,IF(C3237="Futures",$C$6,$C$5)),""),"")</f>
        <v/>
      </c>
      <c r="I3237" s="139">
        <f>IFERROR(IF(AND(ISNUMBER(F3237),ISNUMBER(H3237)),F3237-H3237,""),"")</f>
        <v/>
      </c>
      <c r="J3237" s="114" t="n"/>
      <c r="K3237" s="139">
        <f>IFERROR(IF(H3237&gt;0,H3237*$C$7,""),"")</f>
        <v/>
      </c>
      <c r="L3237" s="139">
        <f>IFERROR(IF(ISNUMBER(F3237),F3237-IF(ISNUMBER(K3237),K3237,0),""),"")</f>
        <v/>
      </c>
    </row>
    <row r="3238" ht="24" customHeight="1" s="63">
      <c r="E3238" s="139" t="n"/>
      <c r="F3238" s="139" t="n"/>
      <c r="G3238" s="140">
        <f>IFERROR(IF(E3238&gt;0,(F3238/E3238)*1000,""),"")</f>
        <v/>
      </c>
      <c r="H3238" s="139">
        <f>IFERROR(IF(E3238&gt;0,E3238*IF(ISNUMBER(J3238),J3238,IF(C3238="Futures",$C$6,$C$5)),""),"")</f>
        <v/>
      </c>
      <c r="I3238" s="139">
        <f>IFERROR(IF(AND(ISNUMBER(F3238),ISNUMBER(H3238)),F3238-H3238,""),"")</f>
        <v/>
      </c>
      <c r="J3238" s="114" t="n"/>
      <c r="K3238" s="139">
        <f>IFERROR(IF(H3238&gt;0,H3238*$C$7,""),"")</f>
        <v/>
      </c>
      <c r="L3238" s="139">
        <f>IFERROR(IF(ISNUMBER(F3238),F3238-IF(ISNUMBER(K3238),K3238,0),""),"")</f>
        <v/>
      </c>
    </row>
    <row r="3239" ht="24" customHeight="1" s="63">
      <c r="E3239" s="139" t="n"/>
      <c r="F3239" s="139" t="n"/>
      <c r="G3239" s="140">
        <f>IFERROR(IF(E3239&gt;0,(F3239/E3239)*1000,""),"")</f>
        <v/>
      </c>
      <c r="H3239" s="139">
        <f>IFERROR(IF(E3239&gt;0,E3239*IF(ISNUMBER(J3239),J3239,IF(C3239="Futures",$C$6,$C$5)),""),"")</f>
        <v/>
      </c>
      <c r="I3239" s="139">
        <f>IFERROR(IF(AND(ISNUMBER(F3239),ISNUMBER(H3239)),F3239-H3239,""),"")</f>
        <v/>
      </c>
      <c r="J3239" s="114" t="n"/>
      <c r="K3239" s="139">
        <f>IFERROR(IF(H3239&gt;0,H3239*$C$7,""),"")</f>
        <v/>
      </c>
      <c r="L3239" s="139">
        <f>IFERROR(IF(ISNUMBER(F3239),F3239-IF(ISNUMBER(K3239),K3239,0),""),"")</f>
        <v/>
      </c>
    </row>
    <row r="3240" ht="24" customHeight="1" s="63">
      <c r="E3240" s="139" t="n"/>
      <c r="F3240" s="139" t="n"/>
      <c r="G3240" s="140">
        <f>IFERROR(IF(E3240&gt;0,(F3240/E3240)*1000,""),"")</f>
        <v/>
      </c>
      <c r="H3240" s="139">
        <f>IFERROR(IF(E3240&gt;0,E3240*IF(ISNUMBER(J3240),J3240,IF(C3240="Futures",$C$6,$C$5)),""),"")</f>
        <v/>
      </c>
      <c r="I3240" s="139">
        <f>IFERROR(IF(AND(ISNUMBER(F3240),ISNUMBER(H3240)),F3240-H3240,""),"")</f>
        <v/>
      </c>
      <c r="J3240" s="114" t="n"/>
      <c r="K3240" s="139">
        <f>IFERROR(IF(H3240&gt;0,H3240*$C$7,""),"")</f>
        <v/>
      </c>
      <c r="L3240" s="139">
        <f>IFERROR(IF(ISNUMBER(F3240),F3240-IF(ISNUMBER(K3240),K3240,0),""),"")</f>
        <v/>
      </c>
    </row>
    <row r="3241" ht="24" customHeight="1" s="63">
      <c r="E3241" s="139" t="n"/>
      <c r="F3241" s="139" t="n"/>
      <c r="G3241" s="140">
        <f>IFERROR(IF(E3241&gt;0,(F3241/E3241)*1000,""),"")</f>
        <v/>
      </c>
      <c r="H3241" s="139">
        <f>IFERROR(IF(E3241&gt;0,E3241*IF(ISNUMBER(J3241),J3241,IF(C3241="Futures",$C$6,$C$5)),""),"")</f>
        <v/>
      </c>
      <c r="I3241" s="139">
        <f>IFERROR(IF(AND(ISNUMBER(F3241),ISNUMBER(H3241)),F3241-H3241,""),"")</f>
        <v/>
      </c>
      <c r="J3241" s="114" t="n"/>
      <c r="K3241" s="139">
        <f>IFERROR(IF(H3241&gt;0,H3241*$C$7,""),"")</f>
        <v/>
      </c>
      <c r="L3241" s="139">
        <f>IFERROR(IF(ISNUMBER(F3241),F3241-IF(ISNUMBER(K3241),K3241,0),""),"")</f>
        <v/>
      </c>
    </row>
    <row r="3242" ht="24" customHeight="1" s="63">
      <c r="E3242" s="139" t="n"/>
      <c r="F3242" s="139" t="n"/>
      <c r="G3242" s="140">
        <f>IFERROR(IF(E3242&gt;0,(F3242/E3242)*1000,""),"")</f>
        <v/>
      </c>
      <c r="H3242" s="139">
        <f>IFERROR(IF(E3242&gt;0,E3242*IF(ISNUMBER(J3242),J3242,IF(C3242="Futures",$C$6,$C$5)),""),"")</f>
        <v/>
      </c>
      <c r="I3242" s="139">
        <f>IFERROR(IF(AND(ISNUMBER(F3242),ISNUMBER(H3242)),F3242-H3242,""),"")</f>
        <v/>
      </c>
      <c r="J3242" s="114" t="n"/>
      <c r="K3242" s="139">
        <f>IFERROR(IF(H3242&gt;0,H3242*$C$7,""),"")</f>
        <v/>
      </c>
      <c r="L3242" s="139">
        <f>IFERROR(IF(ISNUMBER(F3242),F3242-IF(ISNUMBER(K3242),K3242,0),""),"")</f>
        <v/>
      </c>
    </row>
    <row r="3243" ht="24" customHeight="1" s="63">
      <c r="E3243" s="139" t="n"/>
      <c r="F3243" s="139" t="n"/>
      <c r="G3243" s="140">
        <f>IFERROR(IF(E3243&gt;0,(F3243/E3243)*1000,""),"")</f>
        <v/>
      </c>
      <c r="H3243" s="139">
        <f>IFERROR(IF(E3243&gt;0,E3243*IF(ISNUMBER(J3243),J3243,IF(C3243="Futures",$C$6,$C$5)),""),"")</f>
        <v/>
      </c>
      <c r="I3243" s="139">
        <f>IFERROR(IF(AND(ISNUMBER(F3243),ISNUMBER(H3243)),F3243-H3243,""),"")</f>
        <v/>
      </c>
      <c r="J3243" s="114" t="n"/>
      <c r="K3243" s="139">
        <f>IFERROR(IF(H3243&gt;0,H3243*$C$7,""),"")</f>
        <v/>
      </c>
      <c r="L3243" s="139">
        <f>IFERROR(IF(ISNUMBER(F3243),F3243-IF(ISNUMBER(K3243),K3243,0),""),"")</f>
        <v/>
      </c>
    </row>
    <row r="3244" ht="24" customHeight="1" s="63">
      <c r="E3244" s="139" t="n"/>
      <c r="F3244" s="139" t="n"/>
      <c r="G3244" s="140">
        <f>IFERROR(IF(E3244&gt;0,(F3244/E3244)*1000,""),"")</f>
        <v/>
      </c>
      <c r="H3244" s="139">
        <f>IFERROR(IF(E3244&gt;0,E3244*IF(ISNUMBER(J3244),J3244,IF(C3244="Futures",$C$6,$C$5)),""),"")</f>
        <v/>
      </c>
      <c r="I3244" s="139">
        <f>IFERROR(IF(AND(ISNUMBER(F3244),ISNUMBER(H3244)),F3244-H3244,""),"")</f>
        <v/>
      </c>
      <c r="J3244" s="114" t="n"/>
      <c r="K3244" s="139">
        <f>IFERROR(IF(H3244&gt;0,H3244*$C$7,""),"")</f>
        <v/>
      </c>
      <c r="L3244" s="139">
        <f>IFERROR(IF(ISNUMBER(F3244),F3244-IF(ISNUMBER(K3244),K3244,0),""),"")</f>
        <v/>
      </c>
    </row>
    <row r="3245" ht="24" customHeight="1" s="63">
      <c r="E3245" s="139" t="n"/>
      <c r="F3245" s="139" t="n"/>
      <c r="G3245" s="140">
        <f>IFERROR(IF(E3245&gt;0,(F3245/E3245)*1000,""),"")</f>
        <v/>
      </c>
      <c r="H3245" s="139">
        <f>IFERROR(IF(E3245&gt;0,E3245*IF(ISNUMBER(J3245),J3245,IF(C3245="Futures",$C$6,$C$5)),""),"")</f>
        <v/>
      </c>
      <c r="I3245" s="139">
        <f>IFERROR(IF(AND(ISNUMBER(F3245),ISNUMBER(H3245)),F3245-H3245,""),"")</f>
        <v/>
      </c>
      <c r="J3245" s="114" t="n"/>
      <c r="K3245" s="139">
        <f>IFERROR(IF(H3245&gt;0,H3245*$C$7,""),"")</f>
        <v/>
      </c>
      <c r="L3245" s="139">
        <f>IFERROR(IF(ISNUMBER(F3245),F3245-IF(ISNUMBER(K3245),K3245,0),""),"")</f>
        <v/>
      </c>
    </row>
    <row r="3246" ht="24" customHeight="1" s="63">
      <c r="E3246" s="139" t="n"/>
      <c r="F3246" s="139" t="n"/>
      <c r="G3246" s="140">
        <f>IFERROR(IF(E3246&gt;0,(F3246/E3246)*1000,""),"")</f>
        <v/>
      </c>
      <c r="H3246" s="139">
        <f>IFERROR(IF(E3246&gt;0,E3246*IF(ISNUMBER(J3246),J3246,IF(C3246="Futures",$C$6,$C$5)),""),"")</f>
        <v/>
      </c>
      <c r="I3246" s="139">
        <f>IFERROR(IF(AND(ISNUMBER(F3246),ISNUMBER(H3246)),F3246-H3246,""),"")</f>
        <v/>
      </c>
      <c r="J3246" s="114" t="n"/>
      <c r="K3246" s="139">
        <f>IFERROR(IF(H3246&gt;0,H3246*$C$7,""),"")</f>
        <v/>
      </c>
      <c r="L3246" s="139">
        <f>IFERROR(IF(ISNUMBER(F3246),F3246-IF(ISNUMBER(K3246),K3246,0),""),"")</f>
        <v/>
      </c>
    </row>
    <row r="3247" ht="24" customHeight="1" s="63">
      <c r="E3247" s="139" t="n"/>
      <c r="F3247" s="139" t="n"/>
      <c r="G3247" s="140">
        <f>IFERROR(IF(E3247&gt;0,(F3247/E3247)*1000,""),"")</f>
        <v/>
      </c>
      <c r="H3247" s="139">
        <f>IFERROR(IF(E3247&gt;0,E3247*IF(ISNUMBER(J3247),J3247,IF(C3247="Futures",$C$6,$C$5)),""),"")</f>
        <v/>
      </c>
      <c r="I3247" s="139">
        <f>IFERROR(IF(AND(ISNUMBER(F3247),ISNUMBER(H3247)),F3247-H3247,""),"")</f>
        <v/>
      </c>
      <c r="J3247" s="114" t="n"/>
      <c r="K3247" s="139">
        <f>IFERROR(IF(H3247&gt;0,H3247*$C$7,""),"")</f>
        <v/>
      </c>
      <c r="L3247" s="139">
        <f>IFERROR(IF(ISNUMBER(F3247),F3247-IF(ISNUMBER(K3247),K3247,0),""),"")</f>
        <v/>
      </c>
    </row>
    <row r="3248" ht="24" customHeight="1" s="63">
      <c r="E3248" s="139" t="n"/>
      <c r="F3248" s="139" t="n"/>
      <c r="G3248" s="140">
        <f>IFERROR(IF(E3248&gt;0,(F3248/E3248)*1000,""),"")</f>
        <v/>
      </c>
      <c r="H3248" s="139">
        <f>IFERROR(IF(E3248&gt;0,E3248*IF(ISNUMBER(J3248),J3248,IF(C3248="Futures",$C$6,$C$5)),""),"")</f>
        <v/>
      </c>
      <c r="I3248" s="139">
        <f>IFERROR(IF(AND(ISNUMBER(F3248),ISNUMBER(H3248)),F3248-H3248,""),"")</f>
        <v/>
      </c>
      <c r="J3248" s="114" t="n"/>
      <c r="K3248" s="139">
        <f>IFERROR(IF(H3248&gt;0,H3248*$C$7,""),"")</f>
        <v/>
      </c>
      <c r="L3248" s="139">
        <f>IFERROR(IF(ISNUMBER(F3248),F3248-IF(ISNUMBER(K3248),K3248,0),""),"")</f>
        <v/>
      </c>
    </row>
    <row r="3249" ht="24" customHeight="1" s="63">
      <c r="E3249" s="139" t="n"/>
      <c r="F3249" s="139" t="n"/>
      <c r="G3249" s="140">
        <f>IFERROR(IF(E3249&gt;0,(F3249/E3249)*1000,""),"")</f>
        <v/>
      </c>
      <c r="H3249" s="139">
        <f>IFERROR(IF(E3249&gt;0,E3249*IF(ISNUMBER(J3249),J3249,IF(C3249="Futures",$C$6,$C$5)),""),"")</f>
        <v/>
      </c>
      <c r="I3249" s="139">
        <f>IFERROR(IF(AND(ISNUMBER(F3249),ISNUMBER(H3249)),F3249-H3249,""),"")</f>
        <v/>
      </c>
      <c r="J3249" s="114" t="n"/>
      <c r="K3249" s="139">
        <f>IFERROR(IF(H3249&gt;0,H3249*$C$7,""),"")</f>
        <v/>
      </c>
      <c r="L3249" s="139">
        <f>IFERROR(IF(ISNUMBER(F3249),F3249-IF(ISNUMBER(K3249),K3249,0),""),"")</f>
        <v/>
      </c>
    </row>
    <row r="3250" ht="24" customHeight="1" s="63">
      <c r="E3250" s="139" t="n"/>
      <c r="F3250" s="139" t="n"/>
      <c r="G3250" s="140">
        <f>IFERROR(IF(E3250&gt;0,(F3250/E3250)*1000,""),"")</f>
        <v/>
      </c>
      <c r="H3250" s="139">
        <f>IFERROR(IF(E3250&gt;0,E3250*IF(ISNUMBER(J3250),J3250,IF(C3250="Futures",$C$6,$C$5)),""),"")</f>
        <v/>
      </c>
      <c r="I3250" s="139">
        <f>IFERROR(IF(AND(ISNUMBER(F3250),ISNUMBER(H3250)),F3250-H3250,""),"")</f>
        <v/>
      </c>
      <c r="J3250" s="114" t="n"/>
      <c r="K3250" s="139">
        <f>IFERROR(IF(H3250&gt;0,H3250*$C$7,""),"")</f>
        <v/>
      </c>
      <c r="L3250" s="139">
        <f>IFERROR(IF(ISNUMBER(F3250),F3250-IF(ISNUMBER(K3250),K3250,0),""),"")</f>
        <v/>
      </c>
    </row>
    <row r="3251" ht="24" customHeight="1" s="63">
      <c r="E3251" s="139" t="n"/>
      <c r="F3251" s="139" t="n"/>
      <c r="G3251" s="140">
        <f>IFERROR(IF(E3251&gt;0,(F3251/E3251)*1000,""),"")</f>
        <v/>
      </c>
      <c r="H3251" s="139">
        <f>IFERROR(IF(E3251&gt;0,E3251*IF(ISNUMBER(J3251),J3251,IF(C3251="Futures",$C$6,$C$5)),""),"")</f>
        <v/>
      </c>
      <c r="I3251" s="139">
        <f>IFERROR(IF(AND(ISNUMBER(F3251),ISNUMBER(H3251)),F3251-H3251,""),"")</f>
        <v/>
      </c>
      <c r="J3251" s="114" t="n"/>
      <c r="K3251" s="139">
        <f>IFERROR(IF(H3251&gt;0,H3251*$C$7,""),"")</f>
        <v/>
      </c>
      <c r="L3251" s="139">
        <f>IFERROR(IF(ISNUMBER(F3251),F3251-IF(ISNUMBER(K3251),K3251,0),""),"")</f>
        <v/>
      </c>
    </row>
    <row r="3252" ht="24" customHeight="1" s="63">
      <c r="E3252" s="139" t="n"/>
      <c r="F3252" s="139" t="n"/>
      <c r="G3252" s="140">
        <f>IFERROR(IF(E3252&gt;0,(F3252/E3252)*1000,""),"")</f>
        <v/>
      </c>
      <c r="H3252" s="139">
        <f>IFERROR(IF(E3252&gt;0,E3252*IF(ISNUMBER(J3252),J3252,IF(C3252="Futures",$C$6,$C$5)),""),"")</f>
        <v/>
      </c>
      <c r="I3252" s="139">
        <f>IFERROR(IF(AND(ISNUMBER(F3252),ISNUMBER(H3252)),F3252-H3252,""),"")</f>
        <v/>
      </c>
      <c r="J3252" s="114" t="n"/>
      <c r="K3252" s="139">
        <f>IFERROR(IF(H3252&gt;0,H3252*$C$7,""),"")</f>
        <v/>
      </c>
      <c r="L3252" s="139">
        <f>IFERROR(IF(ISNUMBER(F3252),F3252-IF(ISNUMBER(K3252),K3252,0),""),"")</f>
        <v/>
      </c>
    </row>
    <row r="3253" ht="24" customHeight="1" s="63">
      <c r="E3253" s="139" t="n"/>
      <c r="F3253" s="139" t="n"/>
      <c r="G3253" s="140">
        <f>IFERROR(IF(E3253&gt;0,(F3253/E3253)*1000,""),"")</f>
        <v/>
      </c>
      <c r="H3253" s="139">
        <f>IFERROR(IF(E3253&gt;0,E3253*IF(ISNUMBER(J3253),J3253,IF(C3253="Futures",$C$6,$C$5)),""),"")</f>
        <v/>
      </c>
      <c r="I3253" s="139">
        <f>IFERROR(IF(AND(ISNUMBER(F3253),ISNUMBER(H3253)),F3253-H3253,""),"")</f>
        <v/>
      </c>
      <c r="J3253" s="114" t="n"/>
      <c r="K3253" s="139">
        <f>IFERROR(IF(H3253&gt;0,H3253*$C$7,""),"")</f>
        <v/>
      </c>
      <c r="L3253" s="139">
        <f>IFERROR(IF(ISNUMBER(F3253),F3253-IF(ISNUMBER(K3253),K3253,0),""),"")</f>
        <v/>
      </c>
    </row>
    <row r="3254" ht="24" customHeight="1" s="63">
      <c r="E3254" s="139" t="n"/>
      <c r="F3254" s="139" t="n"/>
      <c r="G3254" s="140">
        <f>IFERROR(IF(E3254&gt;0,(F3254/E3254)*1000,""),"")</f>
        <v/>
      </c>
      <c r="H3254" s="139">
        <f>IFERROR(IF(E3254&gt;0,E3254*IF(ISNUMBER(J3254),J3254,IF(C3254="Futures",$C$6,$C$5)),""),"")</f>
        <v/>
      </c>
      <c r="I3254" s="139">
        <f>IFERROR(IF(AND(ISNUMBER(F3254),ISNUMBER(H3254)),F3254-H3254,""),"")</f>
        <v/>
      </c>
      <c r="J3254" s="114" t="n"/>
      <c r="K3254" s="139">
        <f>IFERROR(IF(H3254&gt;0,H3254*$C$7,""),"")</f>
        <v/>
      </c>
      <c r="L3254" s="139">
        <f>IFERROR(IF(ISNUMBER(F3254),F3254-IF(ISNUMBER(K3254),K3254,0),""),"")</f>
        <v/>
      </c>
    </row>
    <row r="3255" ht="24" customHeight="1" s="63">
      <c r="E3255" s="139" t="n"/>
      <c r="F3255" s="139" t="n"/>
      <c r="G3255" s="140">
        <f>IFERROR(IF(E3255&gt;0,(F3255/E3255)*1000,""),"")</f>
        <v/>
      </c>
      <c r="H3255" s="139">
        <f>IFERROR(IF(E3255&gt;0,E3255*IF(ISNUMBER(J3255),J3255,IF(C3255="Futures",$C$6,$C$5)),""),"")</f>
        <v/>
      </c>
      <c r="I3255" s="139">
        <f>IFERROR(IF(AND(ISNUMBER(F3255),ISNUMBER(H3255)),F3255-H3255,""),"")</f>
        <v/>
      </c>
      <c r="J3255" s="114" t="n"/>
      <c r="K3255" s="139">
        <f>IFERROR(IF(H3255&gt;0,H3255*$C$7,""),"")</f>
        <v/>
      </c>
      <c r="L3255" s="139">
        <f>IFERROR(IF(ISNUMBER(F3255),F3255-IF(ISNUMBER(K3255),K3255,0),""),"")</f>
        <v/>
      </c>
    </row>
    <row r="3256" ht="24" customHeight="1" s="63">
      <c r="E3256" s="139" t="n"/>
      <c r="F3256" s="139" t="n"/>
      <c r="G3256" s="140">
        <f>IFERROR(IF(E3256&gt;0,(F3256/E3256)*1000,""),"")</f>
        <v/>
      </c>
      <c r="H3256" s="139">
        <f>IFERROR(IF(E3256&gt;0,E3256*IF(ISNUMBER(J3256),J3256,IF(C3256="Futures",$C$6,$C$5)),""),"")</f>
        <v/>
      </c>
      <c r="I3256" s="139">
        <f>IFERROR(IF(AND(ISNUMBER(F3256),ISNUMBER(H3256)),F3256-H3256,""),"")</f>
        <v/>
      </c>
      <c r="J3256" s="114" t="n"/>
      <c r="K3256" s="139">
        <f>IFERROR(IF(H3256&gt;0,H3256*$C$7,""),"")</f>
        <v/>
      </c>
      <c r="L3256" s="139">
        <f>IFERROR(IF(ISNUMBER(F3256),F3256-IF(ISNUMBER(K3256),K3256,0),""),"")</f>
        <v/>
      </c>
    </row>
    <row r="3257" ht="24" customHeight="1" s="63">
      <c r="E3257" s="139" t="n"/>
      <c r="F3257" s="139" t="n"/>
      <c r="G3257" s="140">
        <f>IFERROR(IF(E3257&gt;0,(F3257/E3257)*1000,""),"")</f>
        <v/>
      </c>
      <c r="H3257" s="139">
        <f>IFERROR(IF(E3257&gt;0,E3257*IF(ISNUMBER(J3257),J3257,IF(C3257="Futures",$C$6,$C$5)),""),"")</f>
        <v/>
      </c>
      <c r="I3257" s="139">
        <f>IFERROR(IF(AND(ISNUMBER(F3257),ISNUMBER(H3257)),F3257-H3257,""),"")</f>
        <v/>
      </c>
      <c r="J3257" s="114" t="n"/>
      <c r="K3257" s="139">
        <f>IFERROR(IF(H3257&gt;0,H3257*$C$7,""),"")</f>
        <v/>
      </c>
      <c r="L3257" s="139">
        <f>IFERROR(IF(ISNUMBER(F3257),F3257-IF(ISNUMBER(K3257),K3257,0),""),"")</f>
        <v/>
      </c>
    </row>
    <row r="3258" ht="24" customHeight="1" s="63">
      <c r="E3258" s="139" t="n"/>
      <c r="F3258" s="139" t="n"/>
      <c r="G3258" s="140">
        <f>IFERROR(IF(E3258&gt;0,(F3258/E3258)*1000,""),"")</f>
        <v/>
      </c>
      <c r="H3258" s="139">
        <f>IFERROR(IF(E3258&gt;0,E3258*IF(ISNUMBER(J3258),J3258,IF(C3258="Futures",$C$6,$C$5)),""),"")</f>
        <v/>
      </c>
      <c r="I3258" s="139">
        <f>IFERROR(IF(AND(ISNUMBER(F3258),ISNUMBER(H3258)),F3258-H3258,""),"")</f>
        <v/>
      </c>
      <c r="J3258" s="114" t="n"/>
      <c r="K3258" s="139">
        <f>IFERROR(IF(H3258&gt;0,H3258*$C$7,""),"")</f>
        <v/>
      </c>
      <c r="L3258" s="139">
        <f>IFERROR(IF(ISNUMBER(F3258),F3258-IF(ISNUMBER(K3258),K3258,0),""),"")</f>
        <v/>
      </c>
    </row>
    <row r="3259" ht="24" customHeight="1" s="63">
      <c r="E3259" s="139" t="n"/>
      <c r="F3259" s="139" t="n"/>
      <c r="G3259" s="140">
        <f>IFERROR(IF(E3259&gt;0,(F3259/E3259)*1000,""),"")</f>
        <v/>
      </c>
      <c r="H3259" s="139">
        <f>IFERROR(IF(E3259&gt;0,E3259*IF(ISNUMBER(J3259),J3259,IF(C3259="Futures",$C$6,$C$5)),""),"")</f>
        <v/>
      </c>
      <c r="I3259" s="139">
        <f>IFERROR(IF(AND(ISNUMBER(F3259),ISNUMBER(H3259)),F3259-H3259,""),"")</f>
        <v/>
      </c>
      <c r="J3259" s="114" t="n"/>
      <c r="K3259" s="139">
        <f>IFERROR(IF(H3259&gt;0,H3259*$C$7,""),"")</f>
        <v/>
      </c>
      <c r="L3259" s="139">
        <f>IFERROR(IF(ISNUMBER(F3259),F3259-IF(ISNUMBER(K3259),K3259,0),""),"")</f>
        <v/>
      </c>
    </row>
    <row r="3260" ht="24" customHeight="1" s="63">
      <c r="E3260" s="139" t="n"/>
      <c r="F3260" s="139" t="n"/>
      <c r="G3260" s="140">
        <f>IFERROR(IF(E3260&gt;0,(F3260/E3260)*1000,""),"")</f>
        <v/>
      </c>
      <c r="H3260" s="139">
        <f>IFERROR(IF(E3260&gt;0,E3260*IF(ISNUMBER(J3260),J3260,IF(C3260="Futures",$C$6,$C$5)),""),"")</f>
        <v/>
      </c>
      <c r="I3260" s="139">
        <f>IFERROR(IF(AND(ISNUMBER(F3260),ISNUMBER(H3260)),F3260-H3260,""),"")</f>
        <v/>
      </c>
      <c r="J3260" s="114" t="n"/>
      <c r="K3260" s="139">
        <f>IFERROR(IF(H3260&gt;0,H3260*$C$7,""),"")</f>
        <v/>
      </c>
      <c r="L3260" s="139">
        <f>IFERROR(IF(ISNUMBER(F3260),F3260-IF(ISNUMBER(K3260),K3260,0),""),"")</f>
        <v/>
      </c>
    </row>
    <row r="3261" ht="24" customHeight="1" s="63">
      <c r="E3261" s="139" t="n"/>
      <c r="F3261" s="139" t="n"/>
      <c r="G3261" s="140">
        <f>IFERROR(IF(E3261&gt;0,(F3261/E3261)*1000,""),"")</f>
        <v/>
      </c>
      <c r="H3261" s="139">
        <f>IFERROR(IF(E3261&gt;0,E3261*IF(ISNUMBER(J3261),J3261,IF(C3261="Futures",$C$6,$C$5)),""),"")</f>
        <v/>
      </c>
      <c r="I3261" s="139">
        <f>IFERROR(IF(AND(ISNUMBER(F3261),ISNUMBER(H3261)),F3261-H3261,""),"")</f>
        <v/>
      </c>
      <c r="J3261" s="114" t="n"/>
      <c r="K3261" s="139">
        <f>IFERROR(IF(H3261&gt;0,H3261*$C$7,""),"")</f>
        <v/>
      </c>
      <c r="L3261" s="139">
        <f>IFERROR(IF(ISNUMBER(F3261),F3261-IF(ISNUMBER(K3261),K3261,0),""),"")</f>
        <v/>
      </c>
    </row>
    <row r="3262" ht="24" customHeight="1" s="63">
      <c r="E3262" s="139" t="n"/>
      <c r="F3262" s="139" t="n"/>
      <c r="G3262" s="140">
        <f>IFERROR(IF(E3262&gt;0,(F3262/E3262)*1000,""),"")</f>
        <v/>
      </c>
      <c r="H3262" s="139">
        <f>IFERROR(IF(E3262&gt;0,E3262*IF(ISNUMBER(J3262),J3262,IF(C3262="Futures",$C$6,$C$5)),""),"")</f>
        <v/>
      </c>
      <c r="I3262" s="139">
        <f>IFERROR(IF(AND(ISNUMBER(F3262),ISNUMBER(H3262)),F3262-H3262,""),"")</f>
        <v/>
      </c>
      <c r="J3262" s="114" t="n"/>
      <c r="K3262" s="139">
        <f>IFERROR(IF(H3262&gt;0,H3262*$C$7,""),"")</f>
        <v/>
      </c>
      <c r="L3262" s="139">
        <f>IFERROR(IF(ISNUMBER(F3262),F3262-IF(ISNUMBER(K3262),K3262,0),""),"")</f>
        <v/>
      </c>
    </row>
    <row r="3263" ht="24" customHeight="1" s="63">
      <c r="E3263" s="139" t="n"/>
      <c r="F3263" s="139" t="n"/>
      <c r="G3263" s="140">
        <f>IFERROR(IF(E3263&gt;0,(F3263/E3263)*1000,""),"")</f>
        <v/>
      </c>
      <c r="H3263" s="139">
        <f>IFERROR(IF(E3263&gt;0,E3263*IF(ISNUMBER(J3263),J3263,IF(C3263="Futures",$C$6,$C$5)),""),"")</f>
        <v/>
      </c>
      <c r="I3263" s="139">
        <f>IFERROR(IF(AND(ISNUMBER(F3263),ISNUMBER(H3263)),F3263-H3263,""),"")</f>
        <v/>
      </c>
      <c r="J3263" s="114" t="n"/>
      <c r="K3263" s="139">
        <f>IFERROR(IF(H3263&gt;0,H3263*$C$7,""),"")</f>
        <v/>
      </c>
      <c r="L3263" s="139">
        <f>IFERROR(IF(ISNUMBER(F3263),F3263-IF(ISNUMBER(K3263),K3263,0),""),"")</f>
        <v/>
      </c>
    </row>
    <row r="3264" ht="24" customHeight="1" s="63">
      <c r="E3264" s="139" t="n"/>
      <c r="F3264" s="139" t="n"/>
      <c r="G3264" s="140">
        <f>IFERROR(IF(E3264&gt;0,(F3264/E3264)*1000,""),"")</f>
        <v/>
      </c>
      <c r="H3264" s="139">
        <f>IFERROR(IF(E3264&gt;0,E3264*IF(ISNUMBER(J3264),J3264,IF(C3264="Futures",$C$6,$C$5)),""),"")</f>
        <v/>
      </c>
      <c r="I3264" s="139">
        <f>IFERROR(IF(AND(ISNUMBER(F3264),ISNUMBER(H3264)),F3264-H3264,""),"")</f>
        <v/>
      </c>
      <c r="J3264" s="114" t="n"/>
      <c r="K3264" s="139">
        <f>IFERROR(IF(H3264&gt;0,H3264*$C$7,""),"")</f>
        <v/>
      </c>
      <c r="L3264" s="139">
        <f>IFERROR(IF(ISNUMBER(F3264),F3264-IF(ISNUMBER(K3264),K3264,0),""),"")</f>
        <v/>
      </c>
    </row>
    <row r="3265" ht="24" customHeight="1" s="63">
      <c r="E3265" s="139" t="n"/>
      <c r="F3265" s="139" t="n"/>
      <c r="G3265" s="140">
        <f>IFERROR(IF(E3265&gt;0,(F3265/E3265)*1000,""),"")</f>
        <v/>
      </c>
      <c r="H3265" s="139">
        <f>IFERROR(IF(E3265&gt;0,E3265*IF(ISNUMBER(J3265),J3265,IF(C3265="Futures",$C$6,$C$5)),""),"")</f>
        <v/>
      </c>
      <c r="I3265" s="139">
        <f>IFERROR(IF(AND(ISNUMBER(F3265),ISNUMBER(H3265)),F3265-H3265,""),"")</f>
        <v/>
      </c>
      <c r="J3265" s="114" t="n"/>
      <c r="K3265" s="139">
        <f>IFERROR(IF(H3265&gt;0,H3265*$C$7,""),"")</f>
        <v/>
      </c>
      <c r="L3265" s="139">
        <f>IFERROR(IF(ISNUMBER(F3265),F3265-IF(ISNUMBER(K3265),K3265,0),""),"")</f>
        <v/>
      </c>
    </row>
    <row r="3266" ht="24" customHeight="1" s="63">
      <c r="E3266" s="139" t="n"/>
      <c r="F3266" s="139" t="n"/>
      <c r="G3266" s="140">
        <f>IFERROR(IF(E3266&gt;0,(F3266/E3266)*1000,""),"")</f>
        <v/>
      </c>
      <c r="H3266" s="139">
        <f>IFERROR(IF(E3266&gt;0,E3266*IF(ISNUMBER(J3266),J3266,IF(C3266="Futures",$C$6,$C$5)),""),"")</f>
        <v/>
      </c>
      <c r="I3266" s="139">
        <f>IFERROR(IF(AND(ISNUMBER(F3266),ISNUMBER(H3266)),F3266-H3266,""),"")</f>
        <v/>
      </c>
      <c r="J3266" s="114" t="n"/>
      <c r="K3266" s="139">
        <f>IFERROR(IF(H3266&gt;0,H3266*$C$7,""),"")</f>
        <v/>
      </c>
      <c r="L3266" s="139">
        <f>IFERROR(IF(ISNUMBER(F3266),F3266-IF(ISNUMBER(K3266),K3266,0),""),"")</f>
        <v/>
      </c>
    </row>
    <row r="3267" ht="24" customHeight="1" s="63">
      <c r="E3267" s="139" t="n"/>
      <c r="F3267" s="139" t="n"/>
      <c r="G3267" s="140">
        <f>IFERROR(IF(E3267&gt;0,(F3267/E3267)*1000,""),"")</f>
        <v/>
      </c>
      <c r="H3267" s="139">
        <f>IFERROR(IF(E3267&gt;0,E3267*IF(ISNUMBER(J3267),J3267,IF(C3267="Futures",$C$6,$C$5)),""),"")</f>
        <v/>
      </c>
      <c r="I3267" s="139">
        <f>IFERROR(IF(AND(ISNUMBER(F3267),ISNUMBER(H3267)),F3267-H3267,""),"")</f>
        <v/>
      </c>
      <c r="J3267" s="114" t="n"/>
      <c r="K3267" s="139">
        <f>IFERROR(IF(H3267&gt;0,H3267*$C$7,""),"")</f>
        <v/>
      </c>
      <c r="L3267" s="139">
        <f>IFERROR(IF(ISNUMBER(F3267),F3267-IF(ISNUMBER(K3267),K3267,0),""),"")</f>
        <v/>
      </c>
    </row>
    <row r="3268" ht="24" customHeight="1" s="63">
      <c r="E3268" s="139" t="n"/>
      <c r="F3268" s="139" t="n"/>
      <c r="G3268" s="140">
        <f>IFERROR(IF(E3268&gt;0,(F3268/E3268)*1000,""),"")</f>
        <v/>
      </c>
      <c r="H3268" s="139">
        <f>IFERROR(IF(E3268&gt;0,E3268*IF(ISNUMBER(J3268),J3268,IF(C3268="Futures",$C$6,$C$5)),""),"")</f>
        <v/>
      </c>
      <c r="I3268" s="139">
        <f>IFERROR(IF(AND(ISNUMBER(F3268),ISNUMBER(H3268)),F3268-H3268,""),"")</f>
        <v/>
      </c>
      <c r="J3268" s="114" t="n"/>
      <c r="K3268" s="139">
        <f>IFERROR(IF(H3268&gt;0,H3268*$C$7,""),"")</f>
        <v/>
      </c>
      <c r="L3268" s="139">
        <f>IFERROR(IF(ISNUMBER(F3268),F3268-IF(ISNUMBER(K3268),K3268,0),""),"")</f>
        <v/>
      </c>
    </row>
    <row r="3269" ht="24" customHeight="1" s="63">
      <c r="E3269" s="139" t="n"/>
      <c r="F3269" s="139" t="n"/>
      <c r="G3269" s="140">
        <f>IFERROR(IF(E3269&gt;0,(F3269/E3269)*1000,""),"")</f>
        <v/>
      </c>
      <c r="H3269" s="139">
        <f>IFERROR(IF(E3269&gt;0,E3269*IF(ISNUMBER(J3269),J3269,IF(C3269="Futures",$C$6,$C$5)),""),"")</f>
        <v/>
      </c>
      <c r="I3269" s="139">
        <f>IFERROR(IF(AND(ISNUMBER(F3269),ISNUMBER(H3269)),F3269-H3269,""),"")</f>
        <v/>
      </c>
      <c r="J3269" s="114" t="n"/>
      <c r="K3269" s="139">
        <f>IFERROR(IF(H3269&gt;0,H3269*$C$7,""),"")</f>
        <v/>
      </c>
      <c r="L3269" s="139">
        <f>IFERROR(IF(ISNUMBER(F3269),F3269-IF(ISNUMBER(K3269),K3269,0),""),"")</f>
        <v/>
      </c>
    </row>
    <row r="3270" ht="24" customHeight="1" s="63">
      <c r="E3270" s="139" t="n"/>
      <c r="F3270" s="139" t="n"/>
      <c r="G3270" s="140">
        <f>IFERROR(IF(E3270&gt;0,(F3270/E3270)*1000,""),"")</f>
        <v/>
      </c>
      <c r="H3270" s="139">
        <f>IFERROR(IF(E3270&gt;0,E3270*IF(ISNUMBER(J3270),J3270,IF(C3270="Futures",$C$6,$C$5)),""),"")</f>
        <v/>
      </c>
      <c r="I3270" s="139">
        <f>IFERROR(IF(AND(ISNUMBER(F3270),ISNUMBER(H3270)),F3270-H3270,""),"")</f>
        <v/>
      </c>
      <c r="J3270" s="114" t="n"/>
      <c r="K3270" s="139">
        <f>IFERROR(IF(H3270&gt;0,H3270*$C$7,""),"")</f>
        <v/>
      </c>
      <c r="L3270" s="139">
        <f>IFERROR(IF(ISNUMBER(F3270),F3270-IF(ISNUMBER(K3270),K3270,0),""),"")</f>
        <v/>
      </c>
    </row>
    <row r="3271" ht="24" customHeight="1" s="63">
      <c r="E3271" s="139" t="n"/>
      <c r="F3271" s="139" t="n"/>
      <c r="G3271" s="140">
        <f>IFERROR(IF(E3271&gt;0,(F3271/E3271)*1000,""),"")</f>
        <v/>
      </c>
      <c r="H3271" s="139">
        <f>IFERROR(IF(E3271&gt;0,E3271*IF(ISNUMBER(J3271),J3271,IF(C3271="Futures",$C$6,$C$5)),""),"")</f>
        <v/>
      </c>
      <c r="I3271" s="139">
        <f>IFERROR(IF(AND(ISNUMBER(F3271),ISNUMBER(H3271)),F3271-H3271,""),"")</f>
        <v/>
      </c>
      <c r="J3271" s="114" t="n"/>
      <c r="K3271" s="139">
        <f>IFERROR(IF(H3271&gt;0,H3271*$C$7,""),"")</f>
        <v/>
      </c>
      <c r="L3271" s="139">
        <f>IFERROR(IF(ISNUMBER(F3271),F3271-IF(ISNUMBER(K3271),K3271,0),""),"")</f>
        <v/>
      </c>
    </row>
    <row r="3272" ht="24" customHeight="1" s="63">
      <c r="E3272" s="139" t="n"/>
      <c r="F3272" s="139" t="n"/>
      <c r="G3272" s="140">
        <f>IFERROR(IF(E3272&gt;0,(F3272/E3272)*1000,""),"")</f>
        <v/>
      </c>
      <c r="H3272" s="139">
        <f>IFERROR(IF(E3272&gt;0,E3272*IF(ISNUMBER(J3272),J3272,IF(C3272="Futures",$C$6,$C$5)),""),"")</f>
        <v/>
      </c>
      <c r="I3272" s="139">
        <f>IFERROR(IF(AND(ISNUMBER(F3272),ISNUMBER(H3272)),F3272-H3272,""),"")</f>
        <v/>
      </c>
      <c r="J3272" s="114" t="n"/>
      <c r="K3272" s="139">
        <f>IFERROR(IF(H3272&gt;0,H3272*$C$7,""),"")</f>
        <v/>
      </c>
      <c r="L3272" s="139">
        <f>IFERROR(IF(ISNUMBER(F3272),F3272-IF(ISNUMBER(K3272),K3272,0),""),"")</f>
        <v/>
      </c>
    </row>
    <row r="3273" ht="24" customHeight="1" s="63">
      <c r="E3273" s="139" t="n"/>
      <c r="F3273" s="139" t="n"/>
      <c r="G3273" s="140">
        <f>IFERROR(IF(E3273&gt;0,(F3273/E3273)*1000,""),"")</f>
        <v/>
      </c>
      <c r="H3273" s="139">
        <f>IFERROR(IF(E3273&gt;0,E3273*IF(ISNUMBER(J3273),J3273,IF(C3273="Futures",$C$6,$C$5)),""),"")</f>
        <v/>
      </c>
      <c r="I3273" s="139">
        <f>IFERROR(IF(AND(ISNUMBER(F3273),ISNUMBER(H3273)),F3273-H3273,""),"")</f>
        <v/>
      </c>
      <c r="J3273" s="114" t="n"/>
      <c r="K3273" s="139">
        <f>IFERROR(IF(H3273&gt;0,H3273*$C$7,""),"")</f>
        <v/>
      </c>
      <c r="L3273" s="139">
        <f>IFERROR(IF(ISNUMBER(F3273),F3273-IF(ISNUMBER(K3273),K3273,0),""),"")</f>
        <v/>
      </c>
    </row>
    <row r="3274" ht="24" customHeight="1" s="63">
      <c r="E3274" s="139" t="n"/>
      <c r="F3274" s="139" t="n"/>
      <c r="G3274" s="140">
        <f>IFERROR(IF(E3274&gt;0,(F3274/E3274)*1000,""),"")</f>
        <v/>
      </c>
      <c r="H3274" s="139">
        <f>IFERROR(IF(E3274&gt;0,E3274*IF(ISNUMBER(J3274),J3274,IF(C3274="Futures",$C$6,$C$5)),""),"")</f>
        <v/>
      </c>
      <c r="I3274" s="139">
        <f>IFERROR(IF(AND(ISNUMBER(F3274),ISNUMBER(H3274)),F3274-H3274,""),"")</f>
        <v/>
      </c>
      <c r="J3274" s="114" t="n"/>
      <c r="K3274" s="139">
        <f>IFERROR(IF(H3274&gt;0,H3274*$C$7,""),"")</f>
        <v/>
      </c>
      <c r="L3274" s="139">
        <f>IFERROR(IF(ISNUMBER(F3274),F3274-IF(ISNUMBER(K3274),K3274,0),""),"")</f>
        <v/>
      </c>
    </row>
    <row r="3275" ht="24" customHeight="1" s="63">
      <c r="E3275" s="139" t="n"/>
      <c r="F3275" s="139" t="n"/>
      <c r="G3275" s="140">
        <f>IFERROR(IF(E3275&gt;0,(F3275/E3275)*1000,""),"")</f>
        <v/>
      </c>
      <c r="H3275" s="139">
        <f>IFERROR(IF(E3275&gt;0,E3275*IF(ISNUMBER(J3275),J3275,IF(C3275="Futures",$C$6,$C$5)),""),"")</f>
        <v/>
      </c>
      <c r="I3275" s="139">
        <f>IFERROR(IF(AND(ISNUMBER(F3275),ISNUMBER(H3275)),F3275-H3275,""),"")</f>
        <v/>
      </c>
      <c r="J3275" s="114" t="n"/>
      <c r="K3275" s="139">
        <f>IFERROR(IF(H3275&gt;0,H3275*$C$7,""),"")</f>
        <v/>
      </c>
      <c r="L3275" s="139">
        <f>IFERROR(IF(ISNUMBER(F3275),F3275-IF(ISNUMBER(K3275),K3275,0),""),"")</f>
        <v/>
      </c>
    </row>
    <row r="3276" ht="24" customHeight="1" s="63">
      <c r="E3276" s="139" t="n"/>
      <c r="F3276" s="139" t="n"/>
      <c r="G3276" s="140">
        <f>IFERROR(IF(E3276&gt;0,(F3276/E3276)*1000,""),"")</f>
        <v/>
      </c>
      <c r="H3276" s="139">
        <f>IFERROR(IF(E3276&gt;0,E3276*IF(ISNUMBER(J3276),J3276,IF(C3276="Futures",$C$6,$C$5)),""),"")</f>
        <v/>
      </c>
      <c r="I3276" s="139">
        <f>IFERROR(IF(AND(ISNUMBER(F3276),ISNUMBER(H3276)),F3276-H3276,""),"")</f>
        <v/>
      </c>
      <c r="J3276" s="114" t="n"/>
      <c r="K3276" s="139">
        <f>IFERROR(IF(H3276&gt;0,H3276*$C$7,""),"")</f>
        <v/>
      </c>
      <c r="L3276" s="139">
        <f>IFERROR(IF(ISNUMBER(F3276),F3276-IF(ISNUMBER(K3276),K3276,0),""),"")</f>
        <v/>
      </c>
    </row>
    <row r="3277" ht="24" customHeight="1" s="63">
      <c r="E3277" s="139" t="n"/>
      <c r="F3277" s="139" t="n"/>
      <c r="G3277" s="140">
        <f>IFERROR(IF(E3277&gt;0,(F3277/E3277)*1000,""),"")</f>
        <v/>
      </c>
      <c r="H3277" s="139">
        <f>IFERROR(IF(E3277&gt;0,E3277*IF(ISNUMBER(J3277),J3277,IF(C3277="Futures",$C$6,$C$5)),""),"")</f>
        <v/>
      </c>
      <c r="I3277" s="139">
        <f>IFERROR(IF(AND(ISNUMBER(F3277),ISNUMBER(H3277)),F3277-H3277,""),"")</f>
        <v/>
      </c>
      <c r="J3277" s="114" t="n"/>
      <c r="K3277" s="139">
        <f>IFERROR(IF(H3277&gt;0,H3277*$C$7,""),"")</f>
        <v/>
      </c>
      <c r="L3277" s="139">
        <f>IFERROR(IF(ISNUMBER(F3277),F3277-IF(ISNUMBER(K3277),K3277,0),""),"")</f>
        <v/>
      </c>
    </row>
    <row r="3278" ht="24" customHeight="1" s="63">
      <c r="E3278" s="139" t="n"/>
      <c r="F3278" s="139" t="n"/>
      <c r="G3278" s="140">
        <f>IFERROR(IF(E3278&gt;0,(F3278/E3278)*1000,""),"")</f>
        <v/>
      </c>
      <c r="H3278" s="139">
        <f>IFERROR(IF(E3278&gt;0,E3278*IF(ISNUMBER(J3278),J3278,IF(C3278="Futures",$C$6,$C$5)),""),"")</f>
        <v/>
      </c>
      <c r="I3278" s="139">
        <f>IFERROR(IF(AND(ISNUMBER(F3278),ISNUMBER(H3278)),F3278-H3278,""),"")</f>
        <v/>
      </c>
      <c r="J3278" s="114" t="n"/>
      <c r="K3278" s="139">
        <f>IFERROR(IF(H3278&gt;0,H3278*$C$7,""),"")</f>
        <v/>
      </c>
      <c r="L3278" s="139">
        <f>IFERROR(IF(ISNUMBER(F3278),F3278-IF(ISNUMBER(K3278),K3278,0),""),"")</f>
        <v/>
      </c>
    </row>
    <row r="3279" ht="24" customHeight="1" s="63">
      <c r="E3279" s="139" t="n"/>
      <c r="F3279" s="139" t="n"/>
      <c r="G3279" s="140">
        <f>IFERROR(IF(E3279&gt;0,(F3279/E3279)*1000,""),"")</f>
        <v/>
      </c>
      <c r="H3279" s="139">
        <f>IFERROR(IF(E3279&gt;0,E3279*IF(ISNUMBER(J3279),J3279,IF(C3279="Futures",$C$6,$C$5)),""),"")</f>
        <v/>
      </c>
      <c r="I3279" s="139">
        <f>IFERROR(IF(AND(ISNUMBER(F3279),ISNUMBER(H3279)),F3279-H3279,""),"")</f>
        <v/>
      </c>
      <c r="J3279" s="114" t="n"/>
      <c r="K3279" s="139">
        <f>IFERROR(IF(H3279&gt;0,H3279*$C$7,""),"")</f>
        <v/>
      </c>
      <c r="L3279" s="139">
        <f>IFERROR(IF(ISNUMBER(F3279),F3279-IF(ISNUMBER(K3279),K3279,0),""),"")</f>
        <v/>
      </c>
    </row>
    <row r="3280" ht="24" customHeight="1" s="63">
      <c r="E3280" s="139" t="n"/>
      <c r="F3280" s="139" t="n"/>
      <c r="G3280" s="140">
        <f>IFERROR(IF(E3280&gt;0,(F3280/E3280)*1000,""),"")</f>
        <v/>
      </c>
      <c r="H3280" s="139">
        <f>IFERROR(IF(E3280&gt;0,E3280*IF(ISNUMBER(J3280),J3280,IF(C3280="Futures",$C$6,$C$5)),""),"")</f>
        <v/>
      </c>
      <c r="I3280" s="139">
        <f>IFERROR(IF(AND(ISNUMBER(F3280),ISNUMBER(H3280)),F3280-H3280,""),"")</f>
        <v/>
      </c>
      <c r="J3280" s="114" t="n"/>
      <c r="K3280" s="139">
        <f>IFERROR(IF(H3280&gt;0,H3280*$C$7,""),"")</f>
        <v/>
      </c>
      <c r="L3280" s="139">
        <f>IFERROR(IF(ISNUMBER(F3280),F3280-IF(ISNUMBER(K3280),K3280,0),""),"")</f>
        <v/>
      </c>
    </row>
    <row r="3281" ht="24" customHeight="1" s="63">
      <c r="E3281" s="139" t="n"/>
      <c r="F3281" s="139" t="n"/>
      <c r="G3281" s="140">
        <f>IFERROR(IF(E3281&gt;0,(F3281/E3281)*1000,""),"")</f>
        <v/>
      </c>
      <c r="H3281" s="139">
        <f>IFERROR(IF(E3281&gt;0,E3281*IF(ISNUMBER(J3281),J3281,IF(C3281="Futures",$C$6,$C$5)),""),"")</f>
        <v/>
      </c>
      <c r="I3281" s="139">
        <f>IFERROR(IF(AND(ISNUMBER(F3281),ISNUMBER(H3281)),F3281-H3281,""),"")</f>
        <v/>
      </c>
      <c r="J3281" s="114" t="n"/>
      <c r="K3281" s="139">
        <f>IFERROR(IF(H3281&gt;0,H3281*$C$7,""),"")</f>
        <v/>
      </c>
      <c r="L3281" s="139">
        <f>IFERROR(IF(ISNUMBER(F3281),F3281-IF(ISNUMBER(K3281),K3281,0),""),"")</f>
        <v/>
      </c>
    </row>
    <row r="3282" ht="24" customHeight="1" s="63">
      <c r="E3282" s="139" t="n"/>
      <c r="F3282" s="139" t="n"/>
      <c r="G3282" s="140">
        <f>IFERROR(IF(E3282&gt;0,(F3282/E3282)*1000,""),"")</f>
        <v/>
      </c>
      <c r="H3282" s="139">
        <f>IFERROR(IF(E3282&gt;0,E3282*IF(ISNUMBER(J3282),J3282,IF(C3282="Futures",$C$6,$C$5)),""),"")</f>
        <v/>
      </c>
      <c r="I3282" s="139">
        <f>IFERROR(IF(AND(ISNUMBER(F3282),ISNUMBER(H3282)),F3282-H3282,""),"")</f>
        <v/>
      </c>
      <c r="J3282" s="114" t="n"/>
      <c r="K3282" s="139">
        <f>IFERROR(IF(H3282&gt;0,H3282*$C$7,""),"")</f>
        <v/>
      </c>
      <c r="L3282" s="139">
        <f>IFERROR(IF(ISNUMBER(F3282),F3282-IF(ISNUMBER(K3282),K3282,0),""),"")</f>
        <v/>
      </c>
    </row>
    <row r="3283" ht="24" customHeight="1" s="63">
      <c r="E3283" s="139" t="n"/>
      <c r="F3283" s="139" t="n"/>
      <c r="G3283" s="140">
        <f>IFERROR(IF(E3283&gt;0,(F3283/E3283)*1000,""),"")</f>
        <v/>
      </c>
      <c r="H3283" s="139">
        <f>IFERROR(IF(E3283&gt;0,E3283*IF(ISNUMBER(J3283),J3283,IF(C3283="Futures",$C$6,$C$5)),""),"")</f>
        <v/>
      </c>
      <c r="I3283" s="139">
        <f>IFERROR(IF(AND(ISNUMBER(F3283),ISNUMBER(H3283)),F3283-H3283,""),"")</f>
        <v/>
      </c>
      <c r="J3283" s="114" t="n"/>
      <c r="K3283" s="139">
        <f>IFERROR(IF(H3283&gt;0,H3283*$C$7,""),"")</f>
        <v/>
      </c>
      <c r="L3283" s="139">
        <f>IFERROR(IF(ISNUMBER(F3283),F3283-IF(ISNUMBER(K3283),K3283,0),""),"")</f>
        <v/>
      </c>
    </row>
    <row r="3284" ht="24" customHeight="1" s="63">
      <c r="E3284" s="139" t="n"/>
      <c r="F3284" s="139" t="n"/>
      <c r="G3284" s="140">
        <f>IFERROR(IF(E3284&gt;0,(F3284/E3284)*1000,""),"")</f>
        <v/>
      </c>
      <c r="H3284" s="139">
        <f>IFERROR(IF(E3284&gt;0,E3284*IF(ISNUMBER(J3284),J3284,IF(C3284="Futures",$C$6,$C$5)),""),"")</f>
        <v/>
      </c>
      <c r="I3284" s="139">
        <f>IFERROR(IF(AND(ISNUMBER(F3284),ISNUMBER(H3284)),F3284-H3284,""),"")</f>
        <v/>
      </c>
      <c r="J3284" s="114" t="n"/>
      <c r="K3284" s="139">
        <f>IFERROR(IF(H3284&gt;0,H3284*$C$7,""),"")</f>
        <v/>
      </c>
      <c r="L3284" s="139">
        <f>IFERROR(IF(ISNUMBER(F3284),F3284-IF(ISNUMBER(K3284),K3284,0),""),"")</f>
        <v/>
      </c>
    </row>
    <row r="3285" ht="24" customHeight="1" s="63">
      <c r="E3285" s="139" t="n"/>
      <c r="F3285" s="139" t="n"/>
      <c r="G3285" s="140">
        <f>IFERROR(IF(E3285&gt;0,(F3285/E3285)*1000,""),"")</f>
        <v/>
      </c>
      <c r="H3285" s="139">
        <f>IFERROR(IF(E3285&gt;0,E3285*IF(ISNUMBER(J3285),J3285,IF(C3285="Futures",$C$6,$C$5)),""),"")</f>
        <v/>
      </c>
      <c r="I3285" s="139">
        <f>IFERROR(IF(AND(ISNUMBER(F3285),ISNUMBER(H3285)),F3285-H3285,""),"")</f>
        <v/>
      </c>
      <c r="J3285" s="114" t="n"/>
      <c r="K3285" s="139">
        <f>IFERROR(IF(H3285&gt;0,H3285*$C$7,""),"")</f>
        <v/>
      </c>
      <c r="L3285" s="139">
        <f>IFERROR(IF(ISNUMBER(F3285),F3285-IF(ISNUMBER(K3285),K3285,0),""),"")</f>
        <v/>
      </c>
    </row>
    <row r="3286" ht="24" customHeight="1" s="63">
      <c r="E3286" s="139" t="n"/>
      <c r="F3286" s="139" t="n"/>
      <c r="G3286" s="140">
        <f>IFERROR(IF(E3286&gt;0,(F3286/E3286)*1000,""),"")</f>
        <v/>
      </c>
      <c r="H3286" s="139">
        <f>IFERROR(IF(E3286&gt;0,E3286*IF(ISNUMBER(J3286),J3286,IF(C3286="Futures",$C$6,$C$5)),""),"")</f>
        <v/>
      </c>
      <c r="I3286" s="139">
        <f>IFERROR(IF(AND(ISNUMBER(F3286),ISNUMBER(H3286)),F3286-H3286,""),"")</f>
        <v/>
      </c>
      <c r="J3286" s="114" t="n"/>
      <c r="K3286" s="139">
        <f>IFERROR(IF(H3286&gt;0,H3286*$C$7,""),"")</f>
        <v/>
      </c>
      <c r="L3286" s="139">
        <f>IFERROR(IF(ISNUMBER(F3286),F3286-IF(ISNUMBER(K3286),K3286,0),""),"")</f>
        <v/>
      </c>
    </row>
    <row r="3287" ht="24" customHeight="1" s="63">
      <c r="E3287" s="139" t="n"/>
      <c r="F3287" s="139" t="n"/>
      <c r="G3287" s="140">
        <f>IFERROR(IF(E3287&gt;0,(F3287/E3287)*1000,""),"")</f>
        <v/>
      </c>
      <c r="H3287" s="139">
        <f>IFERROR(IF(E3287&gt;0,E3287*IF(ISNUMBER(J3287),J3287,IF(C3287="Futures",$C$6,$C$5)),""),"")</f>
        <v/>
      </c>
      <c r="I3287" s="139">
        <f>IFERROR(IF(AND(ISNUMBER(F3287),ISNUMBER(H3287)),F3287-H3287,""),"")</f>
        <v/>
      </c>
      <c r="J3287" s="114" t="n"/>
      <c r="K3287" s="139">
        <f>IFERROR(IF(H3287&gt;0,H3287*$C$7,""),"")</f>
        <v/>
      </c>
      <c r="L3287" s="139">
        <f>IFERROR(IF(ISNUMBER(F3287),F3287-IF(ISNUMBER(K3287),K3287,0),""),"")</f>
        <v/>
      </c>
    </row>
    <row r="3288" ht="24" customHeight="1" s="63">
      <c r="E3288" s="139" t="n"/>
      <c r="F3288" s="139" t="n"/>
      <c r="G3288" s="140">
        <f>IFERROR(IF(E3288&gt;0,(F3288/E3288)*1000,""),"")</f>
        <v/>
      </c>
      <c r="H3288" s="139">
        <f>IFERROR(IF(E3288&gt;0,E3288*IF(ISNUMBER(J3288),J3288,IF(C3288="Futures",$C$6,$C$5)),""),"")</f>
        <v/>
      </c>
      <c r="I3288" s="139">
        <f>IFERROR(IF(AND(ISNUMBER(F3288),ISNUMBER(H3288)),F3288-H3288,""),"")</f>
        <v/>
      </c>
      <c r="J3288" s="114" t="n"/>
      <c r="K3288" s="139">
        <f>IFERROR(IF(H3288&gt;0,H3288*$C$7,""),"")</f>
        <v/>
      </c>
      <c r="L3288" s="139">
        <f>IFERROR(IF(ISNUMBER(F3288),F3288-IF(ISNUMBER(K3288),K3288,0),""),"")</f>
        <v/>
      </c>
    </row>
    <row r="3289" ht="24" customHeight="1" s="63">
      <c r="E3289" s="139" t="n"/>
      <c r="F3289" s="139" t="n"/>
      <c r="G3289" s="140">
        <f>IFERROR(IF(E3289&gt;0,(F3289/E3289)*1000,""),"")</f>
        <v/>
      </c>
      <c r="H3289" s="139">
        <f>IFERROR(IF(E3289&gt;0,E3289*IF(ISNUMBER(J3289),J3289,IF(C3289="Futures",$C$6,$C$5)),""),"")</f>
        <v/>
      </c>
      <c r="I3289" s="139">
        <f>IFERROR(IF(AND(ISNUMBER(F3289),ISNUMBER(H3289)),F3289-H3289,""),"")</f>
        <v/>
      </c>
      <c r="J3289" s="114" t="n"/>
      <c r="K3289" s="139">
        <f>IFERROR(IF(H3289&gt;0,H3289*$C$7,""),"")</f>
        <v/>
      </c>
      <c r="L3289" s="139">
        <f>IFERROR(IF(ISNUMBER(F3289),F3289-IF(ISNUMBER(K3289),K3289,0),""),"")</f>
        <v/>
      </c>
    </row>
    <row r="3290" ht="24" customHeight="1" s="63">
      <c r="E3290" s="139" t="n"/>
      <c r="F3290" s="139" t="n"/>
      <c r="G3290" s="140">
        <f>IFERROR(IF(E3290&gt;0,(F3290/E3290)*1000,""),"")</f>
        <v/>
      </c>
      <c r="H3290" s="139">
        <f>IFERROR(IF(E3290&gt;0,E3290*IF(ISNUMBER(J3290),J3290,IF(C3290="Futures",$C$6,$C$5)),""),"")</f>
        <v/>
      </c>
      <c r="I3290" s="139">
        <f>IFERROR(IF(AND(ISNUMBER(F3290),ISNUMBER(H3290)),F3290-H3290,""),"")</f>
        <v/>
      </c>
      <c r="J3290" s="114" t="n"/>
      <c r="K3290" s="139">
        <f>IFERROR(IF(H3290&gt;0,H3290*$C$7,""),"")</f>
        <v/>
      </c>
      <c r="L3290" s="139">
        <f>IFERROR(IF(ISNUMBER(F3290),F3290-IF(ISNUMBER(K3290),K3290,0),""),"")</f>
        <v/>
      </c>
    </row>
    <row r="3291" ht="24" customHeight="1" s="63">
      <c r="E3291" s="139" t="n"/>
      <c r="F3291" s="139" t="n"/>
      <c r="G3291" s="140">
        <f>IFERROR(IF(E3291&gt;0,(F3291/E3291)*1000,""),"")</f>
        <v/>
      </c>
      <c r="H3291" s="139">
        <f>IFERROR(IF(E3291&gt;0,E3291*IF(ISNUMBER(J3291),J3291,IF(C3291="Futures",$C$6,$C$5)),""),"")</f>
        <v/>
      </c>
      <c r="I3291" s="139">
        <f>IFERROR(IF(AND(ISNUMBER(F3291),ISNUMBER(H3291)),F3291-H3291,""),"")</f>
        <v/>
      </c>
      <c r="J3291" s="114" t="n"/>
      <c r="K3291" s="139">
        <f>IFERROR(IF(H3291&gt;0,H3291*$C$7,""),"")</f>
        <v/>
      </c>
      <c r="L3291" s="139">
        <f>IFERROR(IF(ISNUMBER(F3291),F3291-IF(ISNUMBER(K3291),K3291,0),""),"")</f>
        <v/>
      </c>
    </row>
    <row r="3292" ht="24" customHeight="1" s="63">
      <c r="E3292" s="139" t="n"/>
      <c r="F3292" s="139" t="n"/>
      <c r="G3292" s="140">
        <f>IFERROR(IF(E3292&gt;0,(F3292/E3292)*1000,""),"")</f>
        <v/>
      </c>
      <c r="H3292" s="139">
        <f>IFERROR(IF(E3292&gt;0,E3292*IF(ISNUMBER(J3292),J3292,IF(C3292="Futures",$C$6,$C$5)),""),"")</f>
        <v/>
      </c>
      <c r="I3292" s="139">
        <f>IFERROR(IF(AND(ISNUMBER(F3292),ISNUMBER(H3292)),F3292-H3292,""),"")</f>
        <v/>
      </c>
      <c r="J3292" s="114" t="n"/>
      <c r="K3292" s="139">
        <f>IFERROR(IF(H3292&gt;0,H3292*$C$7,""),"")</f>
        <v/>
      </c>
      <c r="L3292" s="139">
        <f>IFERROR(IF(ISNUMBER(F3292),F3292-IF(ISNUMBER(K3292),K3292,0),""),"")</f>
        <v/>
      </c>
    </row>
    <row r="3293" ht="24" customHeight="1" s="63">
      <c r="E3293" s="139" t="n"/>
      <c r="F3293" s="139" t="n"/>
      <c r="G3293" s="140">
        <f>IFERROR(IF(E3293&gt;0,(F3293/E3293)*1000,""),"")</f>
        <v/>
      </c>
      <c r="H3293" s="139">
        <f>IFERROR(IF(E3293&gt;0,E3293*IF(ISNUMBER(J3293),J3293,IF(C3293="Futures",$C$6,$C$5)),""),"")</f>
        <v/>
      </c>
      <c r="I3293" s="139">
        <f>IFERROR(IF(AND(ISNUMBER(F3293),ISNUMBER(H3293)),F3293-H3293,""),"")</f>
        <v/>
      </c>
      <c r="J3293" s="114" t="n"/>
      <c r="K3293" s="139">
        <f>IFERROR(IF(H3293&gt;0,H3293*$C$7,""),"")</f>
        <v/>
      </c>
      <c r="L3293" s="139">
        <f>IFERROR(IF(ISNUMBER(F3293),F3293-IF(ISNUMBER(K3293),K3293,0),""),"")</f>
        <v/>
      </c>
    </row>
    <row r="3294" ht="24" customHeight="1" s="63">
      <c r="E3294" s="139" t="n"/>
      <c r="F3294" s="139" t="n"/>
      <c r="G3294" s="140">
        <f>IFERROR(IF(E3294&gt;0,(F3294/E3294)*1000,""),"")</f>
        <v/>
      </c>
      <c r="H3294" s="139">
        <f>IFERROR(IF(E3294&gt;0,E3294*IF(ISNUMBER(J3294),J3294,IF(C3294="Futures",$C$6,$C$5)),""),"")</f>
        <v/>
      </c>
      <c r="I3294" s="139">
        <f>IFERROR(IF(AND(ISNUMBER(F3294),ISNUMBER(H3294)),F3294-H3294,""),"")</f>
        <v/>
      </c>
      <c r="J3294" s="114" t="n"/>
      <c r="K3294" s="139">
        <f>IFERROR(IF(H3294&gt;0,H3294*$C$7,""),"")</f>
        <v/>
      </c>
      <c r="L3294" s="139">
        <f>IFERROR(IF(ISNUMBER(F3294),F3294-IF(ISNUMBER(K3294),K3294,0),""),"")</f>
        <v/>
      </c>
    </row>
    <row r="3295" ht="24" customHeight="1" s="63">
      <c r="E3295" s="139" t="n"/>
      <c r="F3295" s="139" t="n"/>
      <c r="G3295" s="140">
        <f>IFERROR(IF(E3295&gt;0,(F3295/E3295)*1000,""),"")</f>
        <v/>
      </c>
      <c r="H3295" s="139">
        <f>IFERROR(IF(E3295&gt;0,E3295*IF(ISNUMBER(J3295),J3295,IF(C3295="Futures",$C$6,$C$5)),""),"")</f>
        <v/>
      </c>
      <c r="I3295" s="139">
        <f>IFERROR(IF(AND(ISNUMBER(F3295),ISNUMBER(H3295)),F3295-H3295,""),"")</f>
        <v/>
      </c>
      <c r="J3295" s="114" t="n"/>
      <c r="K3295" s="139">
        <f>IFERROR(IF(H3295&gt;0,H3295*$C$7,""),"")</f>
        <v/>
      </c>
      <c r="L3295" s="139">
        <f>IFERROR(IF(ISNUMBER(F3295),F3295-IF(ISNUMBER(K3295),K3295,0),""),"")</f>
        <v/>
      </c>
    </row>
    <row r="3296" ht="24" customHeight="1" s="63">
      <c r="E3296" s="139" t="n"/>
      <c r="F3296" s="139" t="n"/>
      <c r="G3296" s="140">
        <f>IFERROR(IF(E3296&gt;0,(F3296/E3296)*1000,""),"")</f>
        <v/>
      </c>
      <c r="H3296" s="139">
        <f>IFERROR(IF(E3296&gt;0,E3296*IF(ISNUMBER(J3296),J3296,IF(C3296="Futures",$C$6,$C$5)),""),"")</f>
        <v/>
      </c>
      <c r="I3296" s="139">
        <f>IFERROR(IF(AND(ISNUMBER(F3296),ISNUMBER(H3296)),F3296-H3296,""),"")</f>
        <v/>
      </c>
      <c r="J3296" s="114" t="n"/>
      <c r="K3296" s="139">
        <f>IFERROR(IF(H3296&gt;0,H3296*$C$7,""),"")</f>
        <v/>
      </c>
      <c r="L3296" s="139">
        <f>IFERROR(IF(ISNUMBER(F3296),F3296-IF(ISNUMBER(K3296),K3296,0),""),"")</f>
        <v/>
      </c>
    </row>
    <row r="3297" ht="24" customHeight="1" s="63">
      <c r="E3297" s="139" t="n"/>
      <c r="F3297" s="139" t="n"/>
      <c r="G3297" s="140">
        <f>IFERROR(IF(E3297&gt;0,(F3297/E3297)*1000,""),"")</f>
        <v/>
      </c>
      <c r="H3297" s="139">
        <f>IFERROR(IF(E3297&gt;0,E3297*IF(ISNUMBER(J3297),J3297,IF(C3297="Futures",$C$6,$C$5)),""),"")</f>
        <v/>
      </c>
      <c r="I3297" s="139">
        <f>IFERROR(IF(AND(ISNUMBER(F3297),ISNUMBER(H3297)),F3297-H3297,""),"")</f>
        <v/>
      </c>
      <c r="J3297" s="114" t="n"/>
      <c r="K3297" s="139">
        <f>IFERROR(IF(H3297&gt;0,H3297*$C$7,""),"")</f>
        <v/>
      </c>
      <c r="L3297" s="139">
        <f>IFERROR(IF(ISNUMBER(F3297),F3297-IF(ISNUMBER(K3297),K3297,0),""),"")</f>
        <v/>
      </c>
    </row>
    <row r="3298" ht="24" customHeight="1" s="63">
      <c r="E3298" s="139" t="n"/>
      <c r="F3298" s="139" t="n"/>
      <c r="G3298" s="140">
        <f>IFERROR(IF(E3298&gt;0,(F3298/E3298)*1000,""),"")</f>
        <v/>
      </c>
      <c r="H3298" s="139">
        <f>IFERROR(IF(E3298&gt;0,E3298*IF(ISNUMBER(J3298),J3298,IF(C3298="Futures",$C$6,$C$5)),""),"")</f>
        <v/>
      </c>
      <c r="I3298" s="139">
        <f>IFERROR(IF(AND(ISNUMBER(F3298),ISNUMBER(H3298)),F3298-H3298,""),"")</f>
        <v/>
      </c>
      <c r="J3298" s="114" t="n"/>
      <c r="K3298" s="139">
        <f>IFERROR(IF(H3298&gt;0,H3298*$C$7,""),"")</f>
        <v/>
      </c>
      <c r="L3298" s="139">
        <f>IFERROR(IF(ISNUMBER(F3298),F3298-IF(ISNUMBER(K3298),K3298,0),""),"")</f>
        <v/>
      </c>
    </row>
    <row r="3299" ht="24" customHeight="1" s="63">
      <c r="E3299" s="139" t="n"/>
      <c r="F3299" s="139" t="n"/>
      <c r="G3299" s="140">
        <f>IFERROR(IF(E3299&gt;0,(F3299/E3299)*1000,""),"")</f>
        <v/>
      </c>
      <c r="H3299" s="139">
        <f>IFERROR(IF(E3299&gt;0,E3299*IF(ISNUMBER(J3299),J3299,IF(C3299="Futures",$C$6,$C$5)),""),"")</f>
        <v/>
      </c>
      <c r="I3299" s="139">
        <f>IFERROR(IF(AND(ISNUMBER(F3299),ISNUMBER(H3299)),F3299-H3299,""),"")</f>
        <v/>
      </c>
      <c r="J3299" s="114" t="n"/>
      <c r="K3299" s="139">
        <f>IFERROR(IF(H3299&gt;0,H3299*$C$7,""),"")</f>
        <v/>
      </c>
      <c r="L3299" s="139">
        <f>IFERROR(IF(ISNUMBER(F3299),F3299-IF(ISNUMBER(K3299),K3299,0),""),"")</f>
        <v/>
      </c>
    </row>
    <row r="3300" ht="24" customHeight="1" s="63">
      <c r="E3300" s="139" t="n"/>
      <c r="F3300" s="139" t="n"/>
      <c r="G3300" s="140">
        <f>IFERROR(IF(E3300&gt;0,(F3300/E3300)*1000,""),"")</f>
        <v/>
      </c>
      <c r="H3300" s="139">
        <f>IFERROR(IF(E3300&gt;0,E3300*IF(ISNUMBER(J3300),J3300,IF(C3300="Futures",$C$6,$C$5)),""),"")</f>
        <v/>
      </c>
      <c r="I3300" s="139">
        <f>IFERROR(IF(AND(ISNUMBER(F3300),ISNUMBER(H3300)),F3300-H3300,""),"")</f>
        <v/>
      </c>
      <c r="J3300" s="114" t="n"/>
      <c r="K3300" s="139">
        <f>IFERROR(IF(H3300&gt;0,H3300*$C$7,""),"")</f>
        <v/>
      </c>
      <c r="L3300" s="139">
        <f>IFERROR(IF(ISNUMBER(F3300),F3300-IF(ISNUMBER(K3300),K3300,0),""),"")</f>
        <v/>
      </c>
    </row>
    <row r="3301" ht="24" customHeight="1" s="63">
      <c r="E3301" s="139" t="n"/>
      <c r="F3301" s="139" t="n"/>
      <c r="G3301" s="140">
        <f>IFERROR(IF(E3301&gt;0,(F3301/E3301)*1000,""),"")</f>
        <v/>
      </c>
      <c r="H3301" s="139">
        <f>IFERROR(IF(E3301&gt;0,E3301*IF(ISNUMBER(J3301),J3301,IF(C3301="Futures",$C$6,$C$5)),""),"")</f>
        <v/>
      </c>
      <c r="I3301" s="139">
        <f>IFERROR(IF(AND(ISNUMBER(F3301),ISNUMBER(H3301)),F3301-H3301,""),"")</f>
        <v/>
      </c>
      <c r="J3301" s="114" t="n"/>
      <c r="K3301" s="139">
        <f>IFERROR(IF(H3301&gt;0,H3301*$C$7,""),"")</f>
        <v/>
      </c>
      <c r="L3301" s="139">
        <f>IFERROR(IF(ISNUMBER(F3301),F3301-IF(ISNUMBER(K3301),K3301,0),""),"")</f>
        <v/>
      </c>
    </row>
    <row r="3302" ht="24" customHeight="1" s="63">
      <c r="E3302" s="139" t="n"/>
      <c r="F3302" s="139" t="n"/>
      <c r="G3302" s="140">
        <f>IFERROR(IF(E3302&gt;0,(F3302/E3302)*1000,""),"")</f>
        <v/>
      </c>
      <c r="H3302" s="139">
        <f>IFERROR(IF(E3302&gt;0,E3302*IF(ISNUMBER(J3302),J3302,IF(C3302="Futures",$C$6,$C$5)),""),"")</f>
        <v/>
      </c>
      <c r="I3302" s="139">
        <f>IFERROR(IF(AND(ISNUMBER(F3302),ISNUMBER(H3302)),F3302-H3302,""),"")</f>
        <v/>
      </c>
      <c r="J3302" s="114" t="n"/>
      <c r="K3302" s="139">
        <f>IFERROR(IF(H3302&gt;0,H3302*$C$7,""),"")</f>
        <v/>
      </c>
      <c r="L3302" s="139">
        <f>IFERROR(IF(ISNUMBER(F3302),F3302-IF(ISNUMBER(K3302),K3302,0),""),"")</f>
        <v/>
      </c>
    </row>
    <row r="3303" ht="24" customHeight="1" s="63">
      <c r="E3303" s="139" t="n"/>
      <c r="F3303" s="139" t="n"/>
      <c r="G3303" s="140">
        <f>IFERROR(IF(E3303&gt;0,(F3303/E3303)*1000,""),"")</f>
        <v/>
      </c>
      <c r="H3303" s="139">
        <f>IFERROR(IF(E3303&gt;0,E3303*IF(ISNUMBER(J3303),J3303,IF(C3303="Futures",$C$6,$C$5)),""),"")</f>
        <v/>
      </c>
      <c r="I3303" s="139">
        <f>IFERROR(IF(AND(ISNUMBER(F3303),ISNUMBER(H3303)),F3303-H3303,""),"")</f>
        <v/>
      </c>
      <c r="J3303" s="114" t="n"/>
      <c r="K3303" s="139">
        <f>IFERROR(IF(H3303&gt;0,H3303*$C$7,""),"")</f>
        <v/>
      </c>
      <c r="L3303" s="139">
        <f>IFERROR(IF(ISNUMBER(F3303),F3303-IF(ISNUMBER(K3303),K3303,0),""),"")</f>
        <v/>
      </c>
    </row>
    <row r="3304" ht="24" customHeight="1" s="63">
      <c r="E3304" s="139" t="n"/>
      <c r="F3304" s="139" t="n"/>
      <c r="G3304" s="140">
        <f>IFERROR(IF(E3304&gt;0,(F3304/E3304)*1000,""),"")</f>
        <v/>
      </c>
      <c r="H3304" s="139">
        <f>IFERROR(IF(E3304&gt;0,E3304*IF(ISNUMBER(J3304),J3304,IF(C3304="Futures",$C$6,$C$5)),""),"")</f>
        <v/>
      </c>
      <c r="I3304" s="139">
        <f>IFERROR(IF(AND(ISNUMBER(F3304),ISNUMBER(H3304)),F3304-H3304,""),"")</f>
        <v/>
      </c>
      <c r="J3304" s="114" t="n"/>
      <c r="K3304" s="139">
        <f>IFERROR(IF(H3304&gt;0,H3304*$C$7,""),"")</f>
        <v/>
      </c>
      <c r="L3304" s="139">
        <f>IFERROR(IF(ISNUMBER(F3304),F3304-IF(ISNUMBER(K3304),K3304,0),""),"")</f>
        <v/>
      </c>
    </row>
    <row r="3305" ht="24" customHeight="1" s="63">
      <c r="E3305" s="139" t="n"/>
      <c r="F3305" s="139" t="n"/>
      <c r="G3305" s="140">
        <f>IFERROR(IF(E3305&gt;0,(F3305/E3305)*1000,""),"")</f>
        <v/>
      </c>
      <c r="H3305" s="139">
        <f>IFERROR(IF(E3305&gt;0,E3305*IF(ISNUMBER(J3305),J3305,IF(C3305="Futures",$C$6,$C$5)),""),"")</f>
        <v/>
      </c>
      <c r="I3305" s="139">
        <f>IFERROR(IF(AND(ISNUMBER(F3305),ISNUMBER(H3305)),F3305-H3305,""),"")</f>
        <v/>
      </c>
      <c r="J3305" s="114" t="n"/>
      <c r="K3305" s="139">
        <f>IFERROR(IF(H3305&gt;0,H3305*$C$7,""),"")</f>
        <v/>
      </c>
      <c r="L3305" s="139">
        <f>IFERROR(IF(ISNUMBER(F3305),F3305-IF(ISNUMBER(K3305),K3305,0),""),"")</f>
        <v/>
      </c>
    </row>
    <row r="3306" ht="24" customHeight="1" s="63">
      <c r="E3306" s="139" t="n"/>
      <c r="F3306" s="139" t="n"/>
      <c r="G3306" s="140">
        <f>IFERROR(IF(E3306&gt;0,(F3306/E3306)*1000,""),"")</f>
        <v/>
      </c>
      <c r="H3306" s="139">
        <f>IFERROR(IF(E3306&gt;0,E3306*IF(ISNUMBER(J3306),J3306,IF(C3306="Futures",$C$6,$C$5)),""),"")</f>
        <v/>
      </c>
      <c r="I3306" s="139">
        <f>IFERROR(IF(AND(ISNUMBER(F3306),ISNUMBER(H3306)),F3306-H3306,""),"")</f>
        <v/>
      </c>
      <c r="J3306" s="114" t="n"/>
      <c r="K3306" s="139">
        <f>IFERROR(IF(H3306&gt;0,H3306*$C$7,""),"")</f>
        <v/>
      </c>
      <c r="L3306" s="139">
        <f>IFERROR(IF(ISNUMBER(F3306),F3306-IF(ISNUMBER(K3306),K3306,0),""),"")</f>
        <v/>
      </c>
    </row>
    <row r="3307" ht="24" customHeight="1" s="63">
      <c r="E3307" s="139" t="n"/>
      <c r="F3307" s="139" t="n"/>
      <c r="G3307" s="140">
        <f>IFERROR(IF(E3307&gt;0,(F3307/E3307)*1000,""),"")</f>
        <v/>
      </c>
      <c r="H3307" s="139">
        <f>IFERROR(IF(E3307&gt;0,E3307*IF(ISNUMBER(J3307),J3307,IF(C3307="Futures",$C$6,$C$5)),""),"")</f>
        <v/>
      </c>
      <c r="I3307" s="139">
        <f>IFERROR(IF(AND(ISNUMBER(F3307),ISNUMBER(H3307)),F3307-H3307,""),"")</f>
        <v/>
      </c>
      <c r="J3307" s="114" t="n"/>
      <c r="K3307" s="139">
        <f>IFERROR(IF(H3307&gt;0,H3307*$C$7,""),"")</f>
        <v/>
      </c>
      <c r="L3307" s="139">
        <f>IFERROR(IF(ISNUMBER(F3307),F3307-IF(ISNUMBER(K3307),K3307,0),""),"")</f>
        <v/>
      </c>
    </row>
    <row r="3308" ht="24" customHeight="1" s="63">
      <c r="E3308" s="139" t="n"/>
      <c r="F3308" s="139" t="n"/>
      <c r="G3308" s="140">
        <f>IFERROR(IF(E3308&gt;0,(F3308/E3308)*1000,""),"")</f>
        <v/>
      </c>
      <c r="H3308" s="139">
        <f>IFERROR(IF(E3308&gt;0,E3308*IF(ISNUMBER(J3308),J3308,IF(C3308="Futures",$C$6,$C$5)),""),"")</f>
        <v/>
      </c>
      <c r="I3308" s="139">
        <f>IFERROR(IF(AND(ISNUMBER(F3308),ISNUMBER(H3308)),F3308-H3308,""),"")</f>
        <v/>
      </c>
      <c r="J3308" s="114" t="n"/>
      <c r="K3308" s="139">
        <f>IFERROR(IF(H3308&gt;0,H3308*$C$7,""),"")</f>
        <v/>
      </c>
      <c r="L3308" s="139">
        <f>IFERROR(IF(ISNUMBER(F3308),F3308-IF(ISNUMBER(K3308),K3308,0),""),"")</f>
        <v/>
      </c>
    </row>
    <row r="3309" ht="24" customHeight="1" s="63">
      <c r="E3309" s="139" t="n"/>
      <c r="F3309" s="139" t="n"/>
      <c r="G3309" s="140">
        <f>IFERROR(IF(E3309&gt;0,(F3309/E3309)*1000,""),"")</f>
        <v/>
      </c>
      <c r="H3309" s="139">
        <f>IFERROR(IF(E3309&gt;0,E3309*IF(ISNUMBER(J3309),J3309,IF(C3309="Futures",$C$6,$C$5)),""),"")</f>
        <v/>
      </c>
      <c r="I3309" s="139">
        <f>IFERROR(IF(AND(ISNUMBER(F3309),ISNUMBER(H3309)),F3309-H3309,""),"")</f>
        <v/>
      </c>
      <c r="J3309" s="114" t="n"/>
      <c r="K3309" s="139">
        <f>IFERROR(IF(H3309&gt;0,H3309*$C$7,""),"")</f>
        <v/>
      </c>
      <c r="L3309" s="139">
        <f>IFERROR(IF(ISNUMBER(F3309),F3309-IF(ISNUMBER(K3309),K3309,0),""),"")</f>
        <v/>
      </c>
    </row>
    <row r="3310" ht="24" customHeight="1" s="63">
      <c r="E3310" s="139" t="n"/>
      <c r="F3310" s="139" t="n"/>
      <c r="G3310" s="140">
        <f>IFERROR(IF(E3310&gt;0,(F3310/E3310)*1000,""),"")</f>
        <v/>
      </c>
      <c r="H3310" s="139">
        <f>IFERROR(IF(E3310&gt;0,E3310*IF(ISNUMBER(J3310),J3310,IF(C3310="Futures",$C$6,$C$5)),""),"")</f>
        <v/>
      </c>
      <c r="I3310" s="139">
        <f>IFERROR(IF(AND(ISNUMBER(F3310),ISNUMBER(H3310)),F3310-H3310,""),"")</f>
        <v/>
      </c>
      <c r="J3310" s="114" t="n"/>
      <c r="K3310" s="139">
        <f>IFERROR(IF(H3310&gt;0,H3310*$C$7,""),"")</f>
        <v/>
      </c>
      <c r="L3310" s="139">
        <f>IFERROR(IF(ISNUMBER(F3310),F3310-IF(ISNUMBER(K3310),K3310,0),""),"")</f>
        <v/>
      </c>
    </row>
    <row r="3311" ht="24" customHeight="1" s="63">
      <c r="E3311" s="139" t="n"/>
      <c r="F3311" s="139" t="n"/>
      <c r="G3311" s="140">
        <f>IFERROR(IF(E3311&gt;0,(F3311/E3311)*1000,""),"")</f>
        <v/>
      </c>
      <c r="H3311" s="139">
        <f>IFERROR(IF(E3311&gt;0,E3311*IF(ISNUMBER(J3311),J3311,IF(C3311="Futures",$C$6,$C$5)),""),"")</f>
        <v/>
      </c>
      <c r="I3311" s="139">
        <f>IFERROR(IF(AND(ISNUMBER(F3311),ISNUMBER(H3311)),F3311-H3311,""),"")</f>
        <v/>
      </c>
      <c r="J3311" s="114" t="n"/>
      <c r="K3311" s="139">
        <f>IFERROR(IF(H3311&gt;0,H3311*$C$7,""),"")</f>
        <v/>
      </c>
      <c r="L3311" s="139">
        <f>IFERROR(IF(ISNUMBER(F3311),F3311-IF(ISNUMBER(K3311),K3311,0),""),"")</f>
        <v/>
      </c>
    </row>
    <row r="3312" ht="24" customHeight="1" s="63">
      <c r="E3312" s="139" t="n"/>
      <c r="F3312" s="139" t="n"/>
      <c r="G3312" s="140">
        <f>IFERROR(IF(E3312&gt;0,(F3312/E3312)*1000,""),"")</f>
        <v/>
      </c>
      <c r="H3312" s="139">
        <f>IFERROR(IF(E3312&gt;0,E3312*IF(ISNUMBER(J3312),J3312,IF(C3312="Futures",$C$6,$C$5)),""),"")</f>
        <v/>
      </c>
      <c r="I3312" s="139">
        <f>IFERROR(IF(AND(ISNUMBER(F3312),ISNUMBER(H3312)),F3312-H3312,""),"")</f>
        <v/>
      </c>
      <c r="J3312" s="114" t="n"/>
      <c r="K3312" s="139">
        <f>IFERROR(IF(H3312&gt;0,H3312*$C$7,""),"")</f>
        <v/>
      </c>
      <c r="L3312" s="139">
        <f>IFERROR(IF(ISNUMBER(F3312),F3312-IF(ISNUMBER(K3312),K3312,0),""),"")</f>
        <v/>
      </c>
    </row>
    <row r="3313" ht="24" customHeight="1" s="63">
      <c r="E3313" s="139" t="n"/>
      <c r="F3313" s="139" t="n"/>
      <c r="G3313" s="140">
        <f>IFERROR(IF(E3313&gt;0,(F3313/E3313)*1000,""),"")</f>
        <v/>
      </c>
      <c r="H3313" s="139">
        <f>IFERROR(IF(E3313&gt;0,E3313*IF(ISNUMBER(J3313),J3313,IF(C3313="Futures",$C$6,$C$5)),""),"")</f>
        <v/>
      </c>
      <c r="I3313" s="139">
        <f>IFERROR(IF(AND(ISNUMBER(F3313),ISNUMBER(H3313)),F3313-H3313,""),"")</f>
        <v/>
      </c>
      <c r="J3313" s="114" t="n"/>
      <c r="K3313" s="139">
        <f>IFERROR(IF(H3313&gt;0,H3313*$C$7,""),"")</f>
        <v/>
      </c>
      <c r="L3313" s="139">
        <f>IFERROR(IF(ISNUMBER(F3313),F3313-IF(ISNUMBER(K3313),K3313,0),""),"")</f>
        <v/>
      </c>
    </row>
    <row r="3314" ht="24" customHeight="1" s="63">
      <c r="E3314" s="139" t="n"/>
      <c r="F3314" s="139" t="n"/>
      <c r="G3314" s="140">
        <f>IFERROR(IF(E3314&gt;0,(F3314/E3314)*1000,""),"")</f>
        <v/>
      </c>
      <c r="H3314" s="139">
        <f>IFERROR(IF(E3314&gt;0,E3314*IF(ISNUMBER(J3314),J3314,IF(C3314="Futures",$C$6,$C$5)),""),"")</f>
        <v/>
      </c>
      <c r="I3314" s="139">
        <f>IFERROR(IF(AND(ISNUMBER(F3314),ISNUMBER(H3314)),F3314-H3314,""),"")</f>
        <v/>
      </c>
      <c r="J3314" s="114" t="n"/>
      <c r="K3314" s="139">
        <f>IFERROR(IF(H3314&gt;0,H3314*$C$7,""),"")</f>
        <v/>
      </c>
      <c r="L3314" s="139">
        <f>IFERROR(IF(ISNUMBER(F3314),F3314-IF(ISNUMBER(K3314),K3314,0),""),"")</f>
        <v/>
      </c>
    </row>
    <row r="3315" ht="24" customHeight="1" s="63">
      <c r="E3315" s="139" t="n"/>
      <c r="F3315" s="139" t="n"/>
      <c r="G3315" s="140">
        <f>IFERROR(IF(E3315&gt;0,(F3315/E3315)*1000,""),"")</f>
        <v/>
      </c>
      <c r="H3315" s="139">
        <f>IFERROR(IF(E3315&gt;0,E3315*IF(ISNUMBER(J3315),J3315,IF(C3315="Futures",$C$6,$C$5)),""),"")</f>
        <v/>
      </c>
      <c r="I3315" s="139">
        <f>IFERROR(IF(AND(ISNUMBER(F3315),ISNUMBER(H3315)),F3315-H3315,""),"")</f>
        <v/>
      </c>
      <c r="J3315" s="114" t="n"/>
      <c r="K3315" s="139">
        <f>IFERROR(IF(H3315&gt;0,H3315*$C$7,""),"")</f>
        <v/>
      </c>
      <c r="L3315" s="139">
        <f>IFERROR(IF(ISNUMBER(F3315),F3315-IF(ISNUMBER(K3315),K3315,0),""),"")</f>
        <v/>
      </c>
    </row>
    <row r="3316" ht="24" customHeight="1" s="63">
      <c r="E3316" s="139" t="n"/>
      <c r="F3316" s="139" t="n"/>
      <c r="G3316" s="140">
        <f>IFERROR(IF(E3316&gt;0,(F3316/E3316)*1000,""),"")</f>
        <v/>
      </c>
      <c r="H3316" s="139">
        <f>IFERROR(IF(E3316&gt;0,E3316*IF(ISNUMBER(J3316),J3316,IF(C3316="Futures",$C$6,$C$5)),""),"")</f>
        <v/>
      </c>
      <c r="I3316" s="139">
        <f>IFERROR(IF(AND(ISNUMBER(F3316),ISNUMBER(H3316)),F3316-H3316,""),"")</f>
        <v/>
      </c>
      <c r="J3316" s="114" t="n"/>
      <c r="K3316" s="139">
        <f>IFERROR(IF(H3316&gt;0,H3316*$C$7,""),"")</f>
        <v/>
      </c>
      <c r="L3316" s="139">
        <f>IFERROR(IF(ISNUMBER(F3316),F3316-IF(ISNUMBER(K3316),K3316,0),""),"")</f>
        <v/>
      </c>
    </row>
    <row r="3317" ht="24" customHeight="1" s="63">
      <c r="E3317" s="139" t="n"/>
      <c r="F3317" s="139" t="n"/>
      <c r="G3317" s="140">
        <f>IFERROR(IF(E3317&gt;0,(F3317/E3317)*1000,""),"")</f>
        <v/>
      </c>
      <c r="H3317" s="139">
        <f>IFERROR(IF(E3317&gt;0,E3317*IF(ISNUMBER(J3317),J3317,IF(C3317="Futures",$C$6,$C$5)),""),"")</f>
        <v/>
      </c>
      <c r="I3317" s="139">
        <f>IFERROR(IF(AND(ISNUMBER(F3317),ISNUMBER(H3317)),F3317-H3317,""),"")</f>
        <v/>
      </c>
      <c r="J3317" s="114" t="n"/>
      <c r="K3317" s="139">
        <f>IFERROR(IF(H3317&gt;0,H3317*$C$7,""),"")</f>
        <v/>
      </c>
      <c r="L3317" s="139">
        <f>IFERROR(IF(ISNUMBER(F3317),F3317-IF(ISNUMBER(K3317),K3317,0),""),"")</f>
        <v/>
      </c>
    </row>
    <row r="3318" ht="24" customHeight="1" s="63">
      <c r="E3318" s="139" t="n"/>
      <c r="F3318" s="139" t="n"/>
      <c r="G3318" s="140">
        <f>IFERROR(IF(E3318&gt;0,(F3318/E3318)*1000,""),"")</f>
        <v/>
      </c>
      <c r="H3318" s="139">
        <f>IFERROR(IF(E3318&gt;0,E3318*IF(ISNUMBER(J3318),J3318,IF(C3318="Futures",$C$6,$C$5)),""),"")</f>
        <v/>
      </c>
      <c r="I3318" s="139">
        <f>IFERROR(IF(AND(ISNUMBER(F3318),ISNUMBER(H3318)),F3318-H3318,""),"")</f>
        <v/>
      </c>
      <c r="J3318" s="114" t="n"/>
      <c r="K3318" s="139">
        <f>IFERROR(IF(H3318&gt;0,H3318*$C$7,""),"")</f>
        <v/>
      </c>
      <c r="L3318" s="139">
        <f>IFERROR(IF(ISNUMBER(F3318),F3318-IF(ISNUMBER(K3318),K3318,0),""),"")</f>
        <v/>
      </c>
    </row>
    <row r="3319" ht="24" customHeight="1" s="63">
      <c r="E3319" s="139" t="n"/>
      <c r="F3319" s="139" t="n"/>
      <c r="G3319" s="140">
        <f>IFERROR(IF(E3319&gt;0,(F3319/E3319)*1000,""),"")</f>
        <v/>
      </c>
      <c r="H3319" s="139">
        <f>IFERROR(IF(E3319&gt;0,E3319*IF(ISNUMBER(J3319),J3319,IF(C3319="Futures",$C$6,$C$5)),""),"")</f>
        <v/>
      </c>
      <c r="I3319" s="139">
        <f>IFERROR(IF(AND(ISNUMBER(F3319),ISNUMBER(H3319)),F3319-H3319,""),"")</f>
        <v/>
      </c>
      <c r="J3319" s="114" t="n"/>
      <c r="K3319" s="139">
        <f>IFERROR(IF(H3319&gt;0,H3319*$C$7,""),"")</f>
        <v/>
      </c>
      <c r="L3319" s="139">
        <f>IFERROR(IF(ISNUMBER(F3319),F3319-IF(ISNUMBER(K3319),K3319,0),""),"")</f>
        <v/>
      </c>
    </row>
    <row r="3320" ht="24" customHeight="1" s="63">
      <c r="E3320" s="139" t="n"/>
      <c r="F3320" s="139" t="n"/>
      <c r="G3320" s="140">
        <f>IFERROR(IF(E3320&gt;0,(F3320/E3320)*1000,""),"")</f>
        <v/>
      </c>
      <c r="H3320" s="139">
        <f>IFERROR(IF(E3320&gt;0,E3320*IF(ISNUMBER(J3320),J3320,IF(C3320="Futures",$C$6,$C$5)),""),"")</f>
        <v/>
      </c>
      <c r="I3320" s="139">
        <f>IFERROR(IF(AND(ISNUMBER(F3320),ISNUMBER(H3320)),F3320-H3320,""),"")</f>
        <v/>
      </c>
      <c r="J3320" s="114" t="n"/>
      <c r="K3320" s="139">
        <f>IFERROR(IF(H3320&gt;0,H3320*$C$7,""),"")</f>
        <v/>
      </c>
      <c r="L3320" s="139">
        <f>IFERROR(IF(ISNUMBER(F3320),F3320-IF(ISNUMBER(K3320),K3320,0),""),"")</f>
        <v/>
      </c>
    </row>
    <row r="3321" ht="24" customHeight="1" s="63">
      <c r="E3321" s="139" t="n"/>
      <c r="F3321" s="139" t="n"/>
      <c r="G3321" s="140">
        <f>IFERROR(IF(E3321&gt;0,(F3321/E3321)*1000,""),"")</f>
        <v/>
      </c>
      <c r="H3321" s="139">
        <f>IFERROR(IF(E3321&gt;0,E3321*IF(ISNUMBER(J3321),J3321,IF(C3321="Futures",$C$6,$C$5)),""),"")</f>
        <v/>
      </c>
      <c r="I3321" s="139">
        <f>IFERROR(IF(AND(ISNUMBER(F3321),ISNUMBER(H3321)),F3321-H3321,""),"")</f>
        <v/>
      </c>
      <c r="J3321" s="114" t="n"/>
      <c r="K3321" s="139">
        <f>IFERROR(IF(H3321&gt;0,H3321*$C$7,""),"")</f>
        <v/>
      </c>
      <c r="L3321" s="139">
        <f>IFERROR(IF(ISNUMBER(F3321),F3321-IF(ISNUMBER(K3321),K3321,0),""),"")</f>
        <v/>
      </c>
    </row>
    <row r="3322" ht="24" customHeight="1" s="63">
      <c r="E3322" s="139" t="n"/>
      <c r="F3322" s="139" t="n"/>
      <c r="G3322" s="140">
        <f>IFERROR(IF(E3322&gt;0,(F3322/E3322)*1000,""),"")</f>
        <v/>
      </c>
      <c r="H3322" s="139">
        <f>IFERROR(IF(E3322&gt;0,E3322*IF(ISNUMBER(J3322),J3322,IF(C3322="Futures",$C$6,$C$5)),""),"")</f>
        <v/>
      </c>
      <c r="I3322" s="139">
        <f>IFERROR(IF(AND(ISNUMBER(F3322),ISNUMBER(H3322)),F3322-H3322,""),"")</f>
        <v/>
      </c>
      <c r="J3322" s="114" t="n"/>
      <c r="K3322" s="139">
        <f>IFERROR(IF(H3322&gt;0,H3322*$C$7,""),"")</f>
        <v/>
      </c>
      <c r="L3322" s="139">
        <f>IFERROR(IF(ISNUMBER(F3322),F3322-IF(ISNUMBER(K3322),K3322,0),""),"")</f>
        <v/>
      </c>
    </row>
    <row r="3323" ht="24" customHeight="1" s="63">
      <c r="E3323" s="139" t="n"/>
      <c r="F3323" s="139" t="n"/>
      <c r="G3323" s="140">
        <f>IFERROR(IF(E3323&gt;0,(F3323/E3323)*1000,""),"")</f>
        <v/>
      </c>
      <c r="H3323" s="139">
        <f>IFERROR(IF(E3323&gt;0,E3323*IF(ISNUMBER(J3323),J3323,IF(C3323="Futures",$C$6,$C$5)),""),"")</f>
        <v/>
      </c>
      <c r="I3323" s="139">
        <f>IFERROR(IF(AND(ISNUMBER(F3323),ISNUMBER(H3323)),F3323-H3323,""),"")</f>
        <v/>
      </c>
      <c r="J3323" s="114" t="n"/>
      <c r="K3323" s="139">
        <f>IFERROR(IF(H3323&gt;0,H3323*$C$7,""),"")</f>
        <v/>
      </c>
      <c r="L3323" s="139">
        <f>IFERROR(IF(ISNUMBER(F3323),F3323-IF(ISNUMBER(K3323),K3323,0),""),"")</f>
        <v/>
      </c>
    </row>
    <row r="3324" ht="24" customHeight="1" s="63">
      <c r="E3324" s="139" t="n"/>
      <c r="F3324" s="139" t="n"/>
      <c r="G3324" s="140">
        <f>IFERROR(IF(E3324&gt;0,(F3324/E3324)*1000,""),"")</f>
        <v/>
      </c>
      <c r="H3324" s="139">
        <f>IFERROR(IF(E3324&gt;0,E3324*IF(ISNUMBER(J3324),J3324,IF(C3324="Futures",$C$6,$C$5)),""),"")</f>
        <v/>
      </c>
      <c r="I3324" s="139">
        <f>IFERROR(IF(AND(ISNUMBER(F3324),ISNUMBER(H3324)),F3324-H3324,""),"")</f>
        <v/>
      </c>
      <c r="J3324" s="114" t="n"/>
      <c r="K3324" s="139">
        <f>IFERROR(IF(H3324&gt;0,H3324*$C$7,""),"")</f>
        <v/>
      </c>
      <c r="L3324" s="139">
        <f>IFERROR(IF(ISNUMBER(F3324),F3324-IF(ISNUMBER(K3324),K3324,0),""),"")</f>
        <v/>
      </c>
    </row>
    <row r="3325" ht="24" customHeight="1" s="63">
      <c r="E3325" s="139" t="n"/>
      <c r="F3325" s="139" t="n"/>
      <c r="G3325" s="140">
        <f>IFERROR(IF(E3325&gt;0,(F3325/E3325)*1000,""),"")</f>
        <v/>
      </c>
      <c r="H3325" s="139">
        <f>IFERROR(IF(E3325&gt;0,E3325*IF(ISNUMBER(J3325),J3325,IF(C3325="Futures",$C$6,$C$5)),""),"")</f>
        <v/>
      </c>
      <c r="I3325" s="139">
        <f>IFERROR(IF(AND(ISNUMBER(F3325),ISNUMBER(H3325)),F3325-H3325,""),"")</f>
        <v/>
      </c>
      <c r="J3325" s="114" t="n"/>
      <c r="K3325" s="139">
        <f>IFERROR(IF(H3325&gt;0,H3325*$C$7,""),"")</f>
        <v/>
      </c>
      <c r="L3325" s="139">
        <f>IFERROR(IF(ISNUMBER(F3325),F3325-IF(ISNUMBER(K3325),K3325,0),""),"")</f>
        <v/>
      </c>
    </row>
    <row r="3326" ht="24" customHeight="1" s="63">
      <c r="E3326" s="139" t="n"/>
      <c r="F3326" s="139" t="n"/>
      <c r="G3326" s="140">
        <f>IFERROR(IF(E3326&gt;0,(F3326/E3326)*1000,""),"")</f>
        <v/>
      </c>
      <c r="H3326" s="139">
        <f>IFERROR(IF(E3326&gt;0,E3326*IF(ISNUMBER(J3326),J3326,IF(C3326="Futures",$C$6,$C$5)),""),"")</f>
        <v/>
      </c>
      <c r="I3326" s="139">
        <f>IFERROR(IF(AND(ISNUMBER(F3326),ISNUMBER(H3326)),F3326-H3326,""),"")</f>
        <v/>
      </c>
      <c r="J3326" s="114" t="n"/>
      <c r="K3326" s="139">
        <f>IFERROR(IF(H3326&gt;0,H3326*$C$7,""),"")</f>
        <v/>
      </c>
      <c r="L3326" s="139">
        <f>IFERROR(IF(ISNUMBER(F3326),F3326-IF(ISNUMBER(K3326),K3326,0),""),"")</f>
        <v/>
      </c>
    </row>
    <row r="3327" ht="24" customHeight="1" s="63">
      <c r="E3327" s="139" t="n"/>
      <c r="F3327" s="139" t="n"/>
      <c r="G3327" s="140">
        <f>IFERROR(IF(E3327&gt;0,(F3327/E3327)*1000,""),"")</f>
        <v/>
      </c>
      <c r="H3327" s="139">
        <f>IFERROR(IF(E3327&gt;0,E3327*IF(ISNUMBER(J3327),J3327,IF(C3327="Futures",$C$6,$C$5)),""),"")</f>
        <v/>
      </c>
      <c r="I3327" s="139">
        <f>IFERROR(IF(AND(ISNUMBER(F3327),ISNUMBER(H3327)),F3327-H3327,""),"")</f>
        <v/>
      </c>
      <c r="J3327" s="114" t="n"/>
      <c r="K3327" s="139">
        <f>IFERROR(IF(H3327&gt;0,H3327*$C$7,""),"")</f>
        <v/>
      </c>
      <c r="L3327" s="139">
        <f>IFERROR(IF(ISNUMBER(F3327),F3327-IF(ISNUMBER(K3327),K3327,0),""),"")</f>
        <v/>
      </c>
    </row>
    <row r="3328" ht="24" customHeight="1" s="63">
      <c r="E3328" s="139" t="n"/>
      <c r="F3328" s="139" t="n"/>
      <c r="G3328" s="140">
        <f>IFERROR(IF(E3328&gt;0,(F3328/E3328)*1000,""),"")</f>
        <v/>
      </c>
      <c r="H3328" s="139">
        <f>IFERROR(IF(E3328&gt;0,E3328*IF(ISNUMBER(J3328),J3328,IF(C3328="Futures",$C$6,$C$5)),""),"")</f>
        <v/>
      </c>
      <c r="I3328" s="139">
        <f>IFERROR(IF(AND(ISNUMBER(F3328),ISNUMBER(H3328)),F3328-H3328,""),"")</f>
        <v/>
      </c>
      <c r="J3328" s="114" t="n"/>
      <c r="K3328" s="139">
        <f>IFERROR(IF(H3328&gt;0,H3328*$C$7,""),"")</f>
        <v/>
      </c>
      <c r="L3328" s="139">
        <f>IFERROR(IF(ISNUMBER(F3328),F3328-IF(ISNUMBER(K3328),K3328,0),""),"")</f>
        <v/>
      </c>
    </row>
    <row r="3329" ht="24" customHeight="1" s="63">
      <c r="E3329" s="139" t="n"/>
      <c r="F3329" s="139" t="n"/>
      <c r="G3329" s="140">
        <f>IFERROR(IF(E3329&gt;0,(F3329/E3329)*1000,""),"")</f>
        <v/>
      </c>
      <c r="H3329" s="139">
        <f>IFERROR(IF(E3329&gt;0,E3329*IF(ISNUMBER(J3329),J3329,IF(C3329="Futures",$C$6,$C$5)),""),"")</f>
        <v/>
      </c>
      <c r="I3329" s="139">
        <f>IFERROR(IF(AND(ISNUMBER(F3329),ISNUMBER(H3329)),F3329-H3329,""),"")</f>
        <v/>
      </c>
      <c r="J3329" s="114" t="n"/>
      <c r="K3329" s="139">
        <f>IFERROR(IF(H3329&gt;0,H3329*$C$7,""),"")</f>
        <v/>
      </c>
      <c r="L3329" s="139">
        <f>IFERROR(IF(ISNUMBER(F3329),F3329-IF(ISNUMBER(K3329),K3329,0),""),"")</f>
        <v/>
      </c>
    </row>
    <row r="3330" ht="24" customHeight="1" s="63">
      <c r="E3330" s="139" t="n"/>
      <c r="F3330" s="139" t="n"/>
      <c r="G3330" s="140">
        <f>IFERROR(IF(E3330&gt;0,(F3330/E3330)*1000,""),"")</f>
        <v/>
      </c>
      <c r="H3330" s="139">
        <f>IFERROR(IF(E3330&gt;0,E3330*IF(ISNUMBER(J3330),J3330,IF(C3330="Futures",$C$6,$C$5)),""),"")</f>
        <v/>
      </c>
      <c r="I3330" s="139">
        <f>IFERROR(IF(AND(ISNUMBER(F3330),ISNUMBER(H3330)),F3330-H3330,""),"")</f>
        <v/>
      </c>
      <c r="J3330" s="114" t="n"/>
      <c r="K3330" s="139">
        <f>IFERROR(IF(H3330&gt;0,H3330*$C$7,""),"")</f>
        <v/>
      </c>
      <c r="L3330" s="139">
        <f>IFERROR(IF(ISNUMBER(F3330),F3330-IF(ISNUMBER(K3330),K3330,0),""),"")</f>
        <v/>
      </c>
    </row>
    <row r="3331" ht="24" customHeight="1" s="63">
      <c r="E3331" s="139" t="n"/>
      <c r="F3331" s="139" t="n"/>
      <c r="G3331" s="140">
        <f>IFERROR(IF(E3331&gt;0,(F3331/E3331)*1000,""),"")</f>
        <v/>
      </c>
      <c r="H3331" s="139">
        <f>IFERROR(IF(E3331&gt;0,E3331*IF(ISNUMBER(J3331),J3331,IF(C3331="Futures",$C$6,$C$5)),""),"")</f>
        <v/>
      </c>
      <c r="I3331" s="139">
        <f>IFERROR(IF(AND(ISNUMBER(F3331),ISNUMBER(H3331)),F3331-H3331,""),"")</f>
        <v/>
      </c>
      <c r="J3331" s="114" t="n"/>
      <c r="K3331" s="139">
        <f>IFERROR(IF(H3331&gt;0,H3331*$C$7,""),"")</f>
        <v/>
      </c>
      <c r="L3331" s="139">
        <f>IFERROR(IF(ISNUMBER(F3331),F3331-IF(ISNUMBER(K3331),K3331,0),""),"")</f>
        <v/>
      </c>
    </row>
    <row r="3332" ht="24" customHeight="1" s="63">
      <c r="E3332" s="139" t="n"/>
      <c r="F3332" s="139" t="n"/>
      <c r="G3332" s="140">
        <f>IFERROR(IF(E3332&gt;0,(F3332/E3332)*1000,""),"")</f>
        <v/>
      </c>
      <c r="H3332" s="139">
        <f>IFERROR(IF(E3332&gt;0,E3332*IF(ISNUMBER(J3332),J3332,IF(C3332="Futures",$C$6,$C$5)),""),"")</f>
        <v/>
      </c>
      <c r="I3332" s="139">
        <f>IFERROR(IF(AND(ISNUMBER(F3332),ISNUMBER(H3332)),F3332-H3332,""),"")</f>
        <v/>
      </c>
      <c r="J3332" s="114" t="n"/>
      <c r="K3332" s="139">
        <f>IFERROR(IF(H3332&gt;0,H3332*$C$7,""),"")</f>
        <v/>
      </c>
      <c r="L3332" s="139">
        <f>IFERROR(IF(ISNUMBER(F3332),F3332-IF(ISNUMBER(K3332),K3332,0),""),"")</f>
        <v/>
      </c>
    </row>
    <row r="3333" ht="24" customHeight="1" s="63">
      <c r="E3333" s="139" t="n"/>
      <c r="F3333" s="139" t="n"/>
      <c r="G3333" s="140">
        <f>IFERROR(IF(E3333&gt;0,(F3333/E3333)*1000,""),"")</f>
        <v/>
      </c>
      <c r="H3333" s="139">
        <f>IFERROR(IF(E3333&gt;0,E3333*IF(ISNUMBER(J3333),J3333,IF(C3333="Futures",$C$6,$C$5)),""),"")</f>
        <v/>
      </c>
      <c r="I3333" s="139">
        <f>IFERROR(IF(AND(ISNUMBER(F3333),ISNUMBER(H3333)),F3333-H3333,""),"")</f>
        <v/>
      </c>
      <c r="J3333" s="114" t="n"/>
      <c r="K3333" s="139">
        <f>IFERROR(IF(H3333&gt;0,H3333*$C$7,""),"")</f>
        <v/>
      </c>
      <c r="L3333" s="139">
        <f>IFERROR(IF(ISNUMBER(F3333),F3333-IF(ISNUMBER(K3333),K3333,0),""),"")</f>
        <v/>
      </c>
    </row>
    <row r="3334" ht="24" customHeight="1" s="63">
      <c r="E3334" s="139" t="n"/>
      <c r="F3334" s="139" t="n"/>
      <c r="G3334" s="140">
        <f>IFERROR(IF(E3334&gt;0,(F3334/E3334)*1000,""),"")</f>
        <v/>
      </c>
      <c r="H3334" s="139">
        <f>IFERROR(IF(E3334&gt;0,E3334*IF(ISNUMBER(J3334),J3334,IF(C3334="Futures",$C$6,$C$5)),""),"")</f>
        <v/>
      </c>
      <c r="I3334" s="139">
        <f>IFERROR(IF(AND(ISNUMBER(F3334),ISNUMBER(H3334)),F3334-H3334,""),"")</f>
        <v/>
      </c>
      <c r="J3334" s="114" t="n"/>
      <c r="K3334" s="139">
        <f>IFERROR(IF(H3334&gt;0,H3334*$C$7,""),"")</f>
        <v/>
      </c>
      <c r="L3334" s="139">
        <f>IFERROR(IF(ISNUMBER(F3334),F3334-IF(ISNUMBER(K3334),K3334,0),""),"")</f>
        <v/>
      </c>
    </row>
    <row r="3335" ht="24" customHeight="1" s="63">
      <c r="E3335" s="139" t="n"/>
      <c r="F3335" s="139" t="n"/>
      <c r="G3335" s="140">
        <f>IFERROR(IF(E3335&gt;0,(F3335/E3335)*1000,""),"")</f>
        <v/>
      </c>
      <c r="H3335" s="139">
        <f>IFERROR(IF(E3335&gt;0,E3335*IF(ISNUMBER(J3335),J3335,IF(C3335="Futures",$C$6,$C$5)),""),"")</f>
        <v/>
      </c>
      <c r="I3335" s="139">
        <f>IFERROR(IF(AND(ISNUMBER(F3335),ISNUMBER(H3335)),F3335-H3335,""),"")</f>
        <v/>
      </c>
      <c r="J3335" s="114" t="n"/>
      <c r="K3335" s="139">
        <f>IFERROR(IF(H3335&gt;0,H3335*$C$7,""),"")</f>
        <v/>
      </c>
      <c r="L3335" s="139">
        <f>IFERROR(IF(ISNUMBER(F3335),F3335-IF(ISNUMBER(K3335),K3335,0),""),"")</f>
        <v/>
      </c>
    </row>
    <row r="3336" ht="24" customHeight="1" s="63">
      <c r="E3336" s="139" t="n"/>
      <c r="F3336" s="139" t="n"/>
      <c r="G3336" s="140">
        <f>IFERROR(IF(E3336&gt;0,(F3336/E3336)*1000,""),"")</f>
        <v/>
      </c>
      <c r="H3336" s="139">
        <f>IFERROR(IF(E3336&gt;0,E3336*IF(ISNUMBER(J3336),J3336,IF(C3336="Futures",$C$6,$C$5)),""),"")</f>
        <v/>
      </c>
      <c r="I3336" s="139">
        <f>IFERROR(IF(AND(ISNUMBER(F3336),ISNUMBER(H3336)),F3336-H3336,""),"")</f>
        <v/>
      </c>
      <c r="J3336" s="114" t="n"/>
      <c r="K3336" s="139">
        <f>IFERROR(IF(H3336&gt;0,H3336*$C$7,""),"")</f>
        <v/>
      </c>
      <c r="L3336" s="139">
        <f>IFERROR(IF(ISNUMBER(F3336),F3336-IF(ISNUMBER(K3336),K3336,0),""),"")</f>
        <v/>
      </c>
    </row>
    <row r="3337" ht="24" customHeight="1" s="63">
      <c r="E3337" s="139" t="n"/>
      <c r="F3337" s="139" t="n"/>
      <c r="G3337" s="140">
        <f>IFERROR(IF(E3337&gt;0,(F3337/E3337)*1000,""),"")</f>
        <v/>
      </c>
      <c r="H3337" s="139">
        <f>IFERROR(IF(E3337&gt;0,E3337*IF(ISNUMBER(J3337),J3337,IF(C3337="Futures",$C$6,$C$5)),""),"")</f>
        <v/>
      </c>
      <c r="I3337" s="139">
        <f>IFERROR(IF(AND(ISNUMBER(F3337),ISNUMBER(H3337)),F3337-H3337,""),"")</f>
        <v/>
      </c>
      <c r="J3337" s="114" t="n"/>
      <c r="K3337" s="139">
        <f>IFERROR(IF(H3337&gt;0,H3337*$C$7,""),"")</f>
        <v/>
      </c>
      <c r="L3337" s="139">
        <f>IFERROR(IF(ISNUMBER(F3337),F3337-IF(ISNUMBER(K3337),K3337,0),""),"")</f>
        <v/>
      </c>
    </row>
    <row r="3338" ht="24" customHeight="1" s="63">
      <c r="E3338" s="139" t="n"/>
      <c r="F3338" s="139" t="n"/>
      <c r="G3338" s="140">
        <f>IFERROR(IF(E3338&gt;0,(F3338/E3338)*1000,""),"")</f>
        <v/>
      </c>
      <c r="H3338" s="139">
        <f>IFERROR(IF(E3338&gt;0,E3338*IF(ISNUMBER(J3338),J3338,IF(C3338="Futures",$C$6,$C$5)),""),"")</f>
        <v/>
      </c>
      <c r="I3338" s="139">
        <f>IFERROR(IF(AND(ISNUMBER(F3338),ISNUMBER(H3338)),F3338-H3338,""),"")</f>
        <v/>
      </c>
      <c r="J3338" s="114" t="n"/>
      <c r="K3338" s="139">
        <f>IFERROR(IF(H3338&gt;0,H3338*$C$7,""),"")</f>
        <v/>
      </c>
      <c r="L3338" s="139">
        <f>IFERROR(IF(ISNUMBER(F3338),F3338-IF(ISNUMBER(K3338),K3338,0),""),"")</f>
        <v/>
      </c>
    </row>
    <row r="3339" ht="24" customHeight="1" s="63">
      <c r="E3339" s="139" t="n"/>
      <c r="F3339" s="139" t="n"/>
      <c r="G3339" s="140">
        <f>IFERROR(IF(E3339&gt;0,(F3339/E3339)*1000,""),"")</f>
        <v/>
      </c>
      <c r="H3339" s="139">
        <f>IFERROR(IF(E3339&gt;0,E3339*IF(ISNUMBER(J3339),J3339,IF(C3339="Futures",$C$6,$C$5)),""),"")</f>
        <v/>
      </c>
      <c r="I3339" s="139">
        <f>IFERROR(IF(AND(ISNUMBER(F3339),ISNUMBER(H3339)),F3339-H3339,""),"")</f>
        <v/>
      </c>
      <c r="J3339" s="114" t="n"/>
      <c r="K3339" s="139">
        <f>IFERROR(IF(H3339&gt;0,H3339*$C$7,""),"")</f>
        <v/>
      </c>
      <c r="L3339" s="139">
        <f>IFERROR(IF(ISNUMBER(F3339),F3339-IF(ISNUMBER(K3339),K3339,0),""),"")</f>
        <v/>
      </c>
    </row>
    <row r="3340" ht="24" customHeight="1" s="63">
      <c r="E3340" s="139" t="n"/>
      <c r="F3340" s="139" t="n"/>
      <c r="G3340" s="140">
        <f>IFERROR(IF(E3340&gt;0,(F3340/E3340)*1000,""),"")</f>
        <v/>
      </c>
      <c r="H3340" s="139">
        <f>IFERROR(IF(E3340&gt;0,E3340*IF(ISNUMBER(J3340),J3340,IF(C3340="Futures",$C$6,$C$5)),""),"")</f>
        <v/>
      </c>
      <c r="I3340" s="139">
        <f>IFERROR(IF(AND(ISNUMBER(F3340),ISNUMBER(H3340)),F3340-H3340,""),"")</f>
        <v/>
      </c>
      <c r="J3340" s="114" t="n"/>
      <c r="K3340" s="139">
        <f>IFERROR(IF(H3340&gt;0,H3340*$C$7,""),"")</f>
        <v/>
      </c>
      <c r="L3340" s="139">
        <f>IFERROR(IF(ISNUMBER(F3340),F3340-IF(ISNUMBER(K3340),K3340,0),""),"")</f>
        <v/>
      </c>
    </row>
    <row r="3341" ht="24" customHeight="1" s="63">
      <c r="E3341" s="139" t="n"/>
      <c r="F3341" s="139" t="n"/>
      <c r="G3341" s="140">
        <f>IFERROR(IF(E3341&gt;0,(F3341/E3341)*1000,""),"")</f>
        <v/>
      </c>
      <c r="H3341" s="139">
        <f>IFERROR(IF(E3341&gt;0,E3341*IF(ISNUMBER(J3341),J3341,IF(C3341="Futures",$C$6,$C$5)),""),"")</f>
        <v/>
      </c>
      <c r="I3341" s="139">
        <f>IFERROR(IF(AND(ISNUMBER(F3341),ISNUMBER(H3341)),F3341-H3341,""),"")</f>
        <v/>
      </c>
      <c r="J3341" s="114" t="n"/>
      <c r="K3341" s="139">
        <f>IFERROR(IF(H3341&gt;0,H3341*$C$7,""),"")</f>
        <v/>
      </c>
      <c r="L3341" s="139">
        <f>IFERROR(IF(ISNUMBER(F3341),F3341-IF(ISNUMBER(K3341),K3341,0),""),"")</f>
        <v/>
      </c>
    </row>
    <row r="3342" ht="24" customHeight="1" s="63">
      <c r="E3342" s="139" t="n"/>
      <c r="F3342" s="139" t="n"/>
      <c r="G3342" s="140">
        <f>IFERROR(IF(E3342&gt;0,(F3342/E3342)*1000,""),"")</f>
        <v/>
      </c>
      <c r="H3342" s="139">
        <f>IFERROR(IF(E3342&gt;0,E3342*IF(ISNUMBER(J3342),J3342,IF(C3342="Futures",$C$6,$C$5)),""),"")</f>
        <v/>
      </c>
      <c r="I3342" s="139">
        <f>IFERROR(IF(AND(ISNUMBER(F3342),ISNUMBER(H3342)),F3342-H3342,""),"")</f>
        <v/>
      </c>
      <c r="J3342" s="114" t="n"/>
      <c r="K3342" s="139">
        <f>IFERROR(IF(H3342&gt;0,H3342*$C$7,""),"")</f>
        <v/>
      </c>
      <c r="L3342" s="139">
        <f>IFERROR(IF(ISNUMBER(F3342),F3342-IF(ISNUMBER(K3342),K3342,0),""),"")</f>
        <v/>
      </c>
    </row>
    <row r="3343" ht="24" customHeight="1" s="63">
      <c r="E3343" s="139" t="n"/>
      <c r="F3343" s="139" t="n"/>
      <c r="G3343" s="140">
        <f>IFERROR(IF(E3343&gt;0,(F3343/E3343)*1000,""),"")</f>
        <v/>
      </c>
      <c r="H3343" s="139">
        <f>IFERROR(IF(E3343&gt;0,E3343*IF(ISNUMBER(J3343),J3343,IF(C3343="Futures",$C$6,$C$5)),""),"")</f>
        <v/>
      </c>
      <c r="I3343" s="139">
        <f>IFERROR(IF(AND(ISNUMBER(F3343),ISNUMBER(H3343)),F3343-H3343,""),"")</f>
        <v/>
      </c>
      <c r="J3343" s="114" t="n"/>
      <c r="K3343" s="139">
        <f>IFERROR(IF(H3343&gt;0,H3343*$C$7,""),"")</f>
        <v/>
      </c>
      <c r="L3343" s="139">
        <f>IFERROR(IF(ISNUMBER(F3343),F3343-IF(ISNUMBER(K3343),K3343,0),""),"")</f>
        <v/>
      </c>
    </row>
    <row r="3344" ht="24" customHeight="1" s="63">
      <c r="E3344" s="139" t="n"/>
      <c r="F3344" s="139" t="n"/>
      <c r="G3344" s="140">
        <f>IFERROR(IF(E3344&gt;0,(F3344/E3344)*1000,""),"")</f>
        <v/>
      </c>
      <c r="H3344" s="139">
        <f>IFERROR(IF(E3344&gt;0,E3344*IF(ISNUMBER(J3344),J3344,IF(C3344="Futures",$C$6,$C$5)),""),"")</f>
        <v/>
      </c>
      <c r="I3344" s="139">
        <f>IFERROR(IF(AND(ISNUMBER(F3344),ISNUMBER(H3344)),F3344-H3344,""),"")</f>
        <v/>
      </c>
      <c r="J3344" s="114" t="n"/>
      <c r="K3344" s="139">
        <f>IFERROR(IF(H3344&gt;0,H3344*$C$7,""),"")</f>
        <v/>
      </c>
      <c r="L3344" s="139">
        <f>IFERROR(IF(ISNUMBER(F3344),F3344-IF(ISNUMBER(K3344),K3344,0),""),"")</f>
        <v/>
      </c>
    </row>
    <row r="3345" ht="24" customHeight="1" s="63">
      <c r="E3345" s="139" t="n"/>
      <c r="F3345" s="139" t="n"/>
      <c r="G3345" s="140">
        <f>IFERROR(IF(E3345&gt;0,(F3345/E3345)*1000,""),"")</f>
        <v/>
      </c>
      <c r="H3345" s="139">
        <f>IFERROR(IF(E3345&gt;0,E3345*IF(ISNUMBER(J3345),J3345,IF(C3345="Futures",$C$6,$C$5)),""),"")</f>
        <v/>
      </c>
      <c r="I3345" s="139">
        <f>IFERROR(IF(AND(ISNUMBER(F3345),ISNUMBER(H3345)),F3345-H3345,""),"")</f>
        <v/>
      </c>
      <c r="J3345" s="114" t="n"/>
      <c r="K3345" s="139">
        <f>IFERROR(IF(H3345&gt;0,H3345*$C$7,""),"")</f>
        <v/>
      </c>
      <c r="L3345" s="139">
        <f>IFERROR(IF(ISNUMBER(F3345),F3345-IF(ISNUMBER(K3345),K3345,0),""),"")</f>
        <v/>
      </c>
    </row>
    <row r="3346" ht="24" customHeight="1" s="63">
      <c r="E3346" s="139" t="n"/>
      <c r="F3346" s="139" t="n"/>
      <c r="G3346" s="140">
        <f>IFERROR(IF(E3346&gt;0,(F3346/E3346)*1000,""),"")</f>
        <v/>
      </c>
      <c r="H3346" s="139">
        <f>IFERROR(IF(E3346&gt;0,E3346*IF(ISNUMBER(J3346),J3346,IF(C3346="Futures",$C$6,$C$5)),""),"")</f>
        <v/>
      </c>
      <c r="I3346" s="139">
        <f>IFERROR(IF(AND(ISNUMBER(F3346),ISNUMBER(H3346)),F3346-H3346,""),"")</f>
        <v/>
      </c>
      <c r="J3346" s="114" t="n"/>
      <c r="K3346" s="139">
        <f>IFERROR(IF(H3346&gt;0,H3346*$C$7,""),"")</f>
        <v/>
      </c>
      <c r="L3346" s="139">
        <f>IFERROR(IF(ISNUMBER(F3346),F3346-IF(ISNUMBER(K3346),K3346,0),""),"")</f>
        <v/>
      </c>
    </row>
    <row r="3347" ht="24" customHeight="1" s="63">
      <c r="E3347" s="139" t="n"/>
      <c r="F3347" s="139" t="n"/>
      <c r="G3347" s="140">
        <f>IFERROR(IF(E3347&gt;0,(F3347/E3347)*1000,""),"")</f>
        <v/>
      </c>
      <c r="H3347" s="139">
        <f>IFERROR(IF(E3347&gt;0,E3347*IF(ISNUMBER(J3347),J3347,IF(C3347="Futures",$C$6,$C$5)),""),"")</f>
        <v/>
      </c>
      <c r="I3347" s="139">
        <f>IFERROR(IF(AND(ISNUMBER(F3347),ISNUMBER(H3347)),F3347-H3347,""),"")</f>
        <v/>
      </c>
      <c r="J3347" s="114" t="n"/>
      <c r="K3347" s="139">
        <f>IFERROR(IF(H3347&gt;0,H3347*$C$7,""),"")</f>
        <v/>
      </c>
      <c r="L3347" s="139">
        <f>IFERROR(IF(ISNUMBER(F3347),F3347-IF(ISNUMBER(K3347),K3347,0),""),"")</f>
        <v/>
      </c>
    </row>
    <row r="3348" ht="24" customHeight="1" s="63">
      <c r="E3348" s="139" t="n"/>
      <c r="F3348" s="139" t="n"/>
      <c r="G3348" s="140">
        <f>IFERROR(IF(E3348&gt;0,(F3348/E3348)*1000,""),"")</f>
        <v/>
      </c>
      <c r="H3348" s="139">
        <f>IFERROR(IF(E3348&gt;0,E3348*IF(ISNUMBER(J3348),J3348,IF(C3348="Futures",$C$6,$C$5)),""),"")</f>
        <v/>
      </c>
      <c r="I3348" s="139">
        <f>IFERROR(IF(AND(ISNUMBER(F3348),ISNUMBER(H3348)),F3348-H3348,""),"")</f>
        <v/>
      </c>
      <c r="J3348" s="114" t="n"/>
      <c r="K3348" s="139">
        <f>IFERROR(IF(H3348&gt;0,H3348*$C$7,""),"")</f>
        <v/>
      </c>
      <c r="L3348" s="139">
        <f>IFERROR(IF(ISNUMBER(F3348),F3348-IF(ISNUMBER(K3348),K3348,0),""),"")</f>
        <v/>
      </c>
    </row>
    <row r="3349" ht="24" customHeight="1" s="63">
      <c r="E3349" s="139" t="n"/>
      <c r="F3349" s="139" t="n"/>
      <c r="G3349" s="140">
        <f>IFERROR(IF(E3349&gt;0,(F3349/E3349)*1000,""),"")</f>
        <v/>
      </c>
      <c r="H3349" s="139">
        <f>IFERROR(IF(E3349&gt;0,E3349*IF(ISNUMBER(J3349),J3349,IF(C3349="Futures",$C$6,$C$5)),""),"")</f>
        <v/>
      </c>
      <c r="I3349" s="139">
        <f>IFERROR(IF(AND(ISNUMBER(F3349),ISNUMBER(H3349)),F3349-H3349,""),"")</f>
        <v/>
      </c>
      <c r="J3349" s="114" t="n"/>
      <c r="K3349" s="139">
        <f>IFERROR(IF(H3349&gt;0,H3349*$C$7,""),"")</f>
        <v/>
      </c>
      <c r="L3349" s="139">
        <f>IFERROR(IF(ISNUMBER(F3349),F3349-IF(ISNUMBER(K3349),K3349,0),""),"")</f>
        <v/>
      </c>
    </row>
    <row r="3350" ht="24" customHeight="1" s="63">
      <c r="E3350" s="139" t="n"/>
      <c r="F3350" s="139" t="n"/>
      <c r="G3350" s="140">
        <f>IFERROR(IF(E3350&gt;0,(F3350/E3350)*1000,""),"")</f>
        <v/>
      </c>
      <c r="H3350" s="139">
        <f>IFERROR(IF(E3350&gt;0,E3350*IF(ISNUMBER(J3350),J3350,IF(C3350="Futures",$C$6,$C$5)),""),"")</f>
        <v/>
      </c>
      <c r="I3350" s="139">
        <f>IFERROR(IF(AND(ISNUMBER(F3350),ISNUMBER(H3350)),F3350-H3350,""),"")</f>
        <v/>
      </c>
      <c r="J3350" s="114" t="n"/>
      <c r="K3350" s="139">
        <f>IFERROR(IF(H3350&gt;0,H3350*$C$7,""),"")</f>
        <v/>
      </c>
      <c r="L3350" s="139">
        <f>IFERROR(IF(ISNUMBER(F3350),F3350-IF(ISNUMBER(K3350),K3350,0),""),"")</f>
        <v/>
      </c>
    </row>
    <row r="3351" ht="24" customHeight="1" s="63">
      <c r="E3351" s="139" t="n"/>
      <c r="F3351" s="139" t="n"/>
      <c r="G3351" s="140">
        <f>IFERROR(IF(E3351&gt;0,(F3351/E3351)*1000,""),"")</f>
        <v/>
      </c>
      <c r="H3351" s="139">
        <f>IFERROR(IF(E3351&gt;0,E3351*IF(ISNUMBER(J3351),J3351,IF(C3351="Futures",$C$6,$C$5)),""),"")</f>
        <v/>
      </c>
      <c r="I3351" s="139">
        <f>IFERROR(IF(AND(ISNUMBER(F3351),ISNUMBER(H3351)),F3351-H3351,""),"")</f>
        <v/>
      </c>
      <c r="J3351" s="114" t="n"/>
      <c r="K3351" s="139">
        <f>IFERROR(IF(H3351&gt;0,H3351*$C$7,""),"")</f>
        <v/>
      </c>
      <c r="L3351" s="139">
        <f>IFERROR(IF(ISNUMBER(F3351),F3351-IF(ISNUMBER(K3351),K3351,0),""),"")</f>
        <v/>
      </c>
    </row>
    <row r="3352" ht="24" customHeight="1" s="63">
      <c r="E3352" s="139" t="n"/>
      <c r="F3352" s="139" t="n"/>
      <c r="G3352" s="140">
        <f>IFERROR(IF(E3352&gt;0,(F3352/E3352)*1000,""),"")</f>
        <v/>
      </c>
      <c r="H3352" s="139">
        <f>IFERROR(IF(E3352&gt;0,E3352*IF(ISNUMBER(J3352),J3352,IF(C3352="Futures",$C$6,$C$5)),""),"")</f>
        <v/>
      </c>
      <c r="I3352" s="139">
        <f>IFERROR(IF(AND(ISNUMBER(F3352),ISNUMBER(H3352)),F3352-H3352,""),"")</f>
        <v/>
      </c>
      <c r="J3352" s="114" t="n"/>
      <c r="K3352" s="139">
        <f>IFERROR(IF(H3352&gt;0,H3352*$C$7,""),"")</f>
        <v/>
      </c>
      <c r="L3352" s="139">
        <f>IFERROR(IF(ISNUMBER(F3352),F3352-IF(ISNUMBER(K3352),K3352,0),""),"")</f>
        <v/>
      </c>
    </row>
    <row r="3353" ht="24" customHeight="1" s="63">
      <c r="E3353" s="139" t="n"/>
      <c r="F3353" s="139" t="n"/>
      <c r="G3353" s="140">
        <f>IFERROR(IF(E3353&gt;0,(F3353/E3353)*1000,""),"")</f>
        <v/>
      </c>
      <c r="H3353" s="139">
        <f>IFERROR(IF(E3353&gt;0,E3353*IF(ISNUMBER(J3353),J3353,IF(C3353="Futures",$C$6,$C$5)),""),"")</f>
        <v/>
      </c>
      <c r="I3353" s="139">
        <f>IFERROR(IF(AND(ISNUMBER(F3353),ISNUMBER(H3353)),F3353-H3353,""),"")</f>
        <v/>
      </c>
      <c r="J3353" s="114" t="n"/>
      <c r="K3353" s="139">
        <f>IFERROR(IF(H3353&gt;0,H3353*$C$7,""),"")</f>
        <v/>
      </c>
      <c r="L3353" s="139">
        <f>IFERROR(IF(ISNUMBER(F3353),F3353-IF(ISNUMBER(K3353),K3353,0),""),"")</f>
        <v/>
      </c>
    </row>
    <row r="3354" ht="24" customHeight="1" s="63">
      <c r="E3354" s="139" t="n"/>
      <c r="F3354" s="139" t="n"/>
      <c r="G3354" s="140">
        <f>IFERROR(IF(E3354&gt;0,(F3354/E3354)*1000,""),"")</f>
        <v/>
      </c>
      <c r="H3354" s="139">
        <f>IFERROR(IF(E3354&gt;0,E3354*IF(ISNUMBER(J3354),J3354,IF(C3354="Futures",$C$6,$C$5)),""),"")</f>
        <v/>
      </c>
      <c r="I3354" s="139">
        <f>IFERROR(IF(AND(ISNUMBER(F3354),ISNUMBER(H3354)),F3354-H3354,""),"")</f>
        <v/>
      </c>
      <c r="J3354" s="114" t="n"/>
      <c r="K3354" s="139">
        <f>IFERROR(IF(H3354&gt;0,H3354*$C$7,""),"")</f>
        <v/>
      </c>
      <c r="L3354" s="139">
        <f>IFERROR(IF(ISNUMBER(F3354),F3354-IF(ISNUMBER(K3354),K3354,0),""),"")</f>
        <v/>
      </c>
    </row>
    <row r="3355" ht="24" customHeight="1" s="63">
      <c r="E3355" s="139" t="n"/>
      <c r="F3355" s="139" t="n"/>
      <c r="G3355" s="140">
        <f>IFERROR(IF(E3355&gt;0,(F3355/E3355)*1000,""),"")</f>
        <v/>
      </c>
      <c r="H3355" s="139">
        <f>IFERROR(IF(E3355&gt;0,E3355*IF(ISNUMBER(J3355),J3355,IF(C3355="Futures",$C$6,$C$5)),""),"")</f>
        <v/>
      </c>
      <c r="I3355" s="139">
        <f>IFERROR(IF(AND(ISNUMBER(F3355),ISNUMBER(H3355)),F3355-H3355,""),"")</f>
        <v/>
      </c>
      <c r="J3355" s="114" t="n"/>
      <c r="K3355" s="139">
        <f>IFERROR(IF(H3355&gt;0,H3355*$C$7,""),"")</f>
        <v/>
      </c>
      <c r="L3355" s="139">
        <f>IFERROR(IF(ISNUMBER(F3355),F3355-IF(ISNUMBER(K3355),K3355,0),""),"")</f>
        <v/>
      </c>
    </row>
    <row r="3356" ht="24" customHeight="1" s="63">
      <c r="E3356" s="139" t="n"/>
      <c r="F3356" s="139" t="n"/>
      <c r="G3356" s="140">
        <f>IFERROR(IF(E3356&gt;0,(F3356/E3356)*1000,""),"")</f>
        <v/>
      </c>
      <c r="H3356" s="139">
        <f>IFERROR(IF(E3356&gt;0,E3356*IF(ISNUMBER(J3356),J3356,IF(C3356="Futures",$C$6,$C$5)),""),"")</f>
        <v/>
      </c>
      <c r="I3356" s="139">
        <f>IFERROR(IF(AND(ISNUMBER(F3356),ISNUMBER(H3356)),F3356-H3356,""),"")</f>
        <v/>
      </c>
      <c r="J3356" s="114" t="n"/>
      <c r="K3356" s="139">
        <f>IFERROR(IF(H3356&gt;0,H3356*$C$7,""),"")</f>
        <v/>
      </c>
      <c r="L3356" s="139">
        <f>IFERROR(IF(ISNUMBER(F3356),F3356-IF(ISNUMBER(K3356),K3356,0),""),"")</f>
        <v/>
      </c>
    </row>
    <row r="3357" ht="24" customHeight="1" s="63">
      <c r="E3357" s="139" t="n"/>
      <c r="F3357" s="139" t="n"/>
      <c r="G3357" s="140">
        <f>IFERROR(IF(E3357&gt;0,(F3357/E3357)*1000,""),"")</f>
        <v/>
      </c>
      <c r="H3357" s="139">
        <f>IFERROR(IF(E3357&gt;0,E3357*IF(ISNUMBER(J3357),J3357,IF(C3357="Futures",$C$6,$C$5)),""),"")</f>
        <v/>
      </c>
      <c r="I3357" s="139">
        <f>IFERROR(IF(AND(ISNUMBER(F3357),ISNUMBER(H3357)),F3357-H3357,""),"")</f>
        <v/>
      </c>
      <c r="J3357" s="114" t="n"/>
      <c r="K3357" s="139">
        <f>IFERROR(IF(H3357&gt;0,H3357*$C$7,""),"")</f>
        <v/>
      </c>
      <c r="L3357" s="139">
        <f>IFERROR(IF(ISNUMBER(F3357),F3357-IF(ISNUMBER(K3357),K3357,0),""),"")</f>
        <v/>
      </c>
    </row>
    <row r="3358" ht="24" customHeight="1" s="63">
      <c r="E3358" s="139" t="n"/>
      <c r="F3358" s="139" t="n"/>
      <c r="G3358" s="140">
        <f>IFERROR(IF(E3358&gt;0,(F3358/E3358)*1000,""),"")</f>
        <v/>
      </c>
      <c r="H3358" s="139">
        <f>IFERROR(IF(E3358&gt;0,E3358*IF(ISNUMBER(J3358),J3358,IF(C3358="Futures",$C$6,$C$5)),""),"")</f>
        <v/>
      </c>
      <c r="I3358" s="139">
        <f>IFERROR(IF(AND(ISNUMBER(F3358),ISNUMBER(H3358)),F3358-H3358,""),"")</f>
        <v/>
      </c>
      <c r="J3358" s="114" t="n"/>
      <c r="K3358" s="139">
        <f>IFERROR(IF(H3358&gt;0,H3358*$C$7,""),"")</f>
        <v/>
      </c>
      <c r="L3358" s="139">
        <f>IFERROR(IF(ISNUMBER(F3358),F3358-IF(ISNUMBER(K3358),K3358,0),""),"")</f>
        <v/>
      </c>
    </row>
    <row r="3359" ht="24" customHeight="1" s="63">
      <c r="E3359" s="139" t="n"/>
      <c r="F3359" s="139" t="n"/>
      <c r="G3359" s="140">
        <f>IFERROR(IF(E3359&gt;0,(F3359/E3359)*1000,""),"")</f>
        <v/>
      </c>
      <c r="H3359" s="139">
        <f>IFERROR(IF(E3359&gt;0,E3359*IF(ISNUMBER(J3359),J3359,IF(C3359="Futures",$C$6,$C$5)),""),"")</f>
        <v/>
      </c>
      <c r="I3359" s="139">
        <f>IFERROR(IF(AND(ISNUMBER(F3359),ISNUMBER(H3359)),F3359-H3359,""),"")</f>
        <v/>
      </c>
      <c r="J3359" s="114" t="n"/>
      <c r="K3359" s="139">
        <f>IFERROR(IF(H3359&gt;0,H3359*$C$7,""),"")</f>
        <v/>
      </c>
      <c r="L3359" s="139">
        <f>IFERROR(IF(ISNUMBER(F3359),F3359-IF(ISNUMBER(K3359),K3359,0),""),"")</f>
        <v/>
      </c>
    </row>
    <row r="3360" ht="24" customHeight="1" s="63">
      <c r="E3360" s="139" t="n"/>
      <c r="F3360" s="139" t="n"/>
      <c r="G3360" s="140">
        <f>IFERROR(IF(E3360&gt;0,(F3360/E3360)*1000,""),"")</f>
        <v/>
      </c>
      <c r="H3360" s="139">
        <f>IFERROR(IF(E3360&gt;0,E3360*IF(ISNUMBER(J3360),J3360,IF(C3360="Futures",$C$6,$C$5)),""),"")</f>
        <v/>
      </c>
      <c r="I3360" s="139">
        <f>IFERROR(IF(AND(ISNUMBER(F3360),ISNUMBER(H3360)),F3360-H3360,""),"")</f>
        <v/>
      </c>
      <c r="J3360" s="114" t="n"/>
      <c r="K3360" s="139">
        <f>IFERROR(IF(H3360&gt;0,H3360*$C$7,""),"")</f>
        <v/>
      </c>
      <c r="L3360" s="139">
        <f>IFERROR(IF(ISNUMBER(F3360),F3360-IF(ISNUMBER(K3360),K3360,0),""),"")</f>
        <v/>
      </c>
    </row>
    <row r="3361" ht="24" customHeight="1" s="63">
      <c r="E3361" s="139" t="n"/>
      <c r="F3361" s="139" t="n"/>
      <c r="G3361" s="140">
        <f>IFERROR(IF(E3361&gt;0,(F3361/E3361)*1000,""),"")</f>
        <v/>
      </c>
      <c r="H3361" s="139">
        <f>IFERROR(IF(E3361&gt;0,E3361*IF(ISNUMBER(J3361),J3361,IF(C3361="Futures",$C$6,$C$5)),""),"")</f>
        <v/>
      </c>
      <c r="I3361" s="139">
        <f>IFERROR(IF(AND(ISNUMBER(F3361),ISNUMBER(H3361)),F3361-H3361,""),"")</f>
        <v/>
      </c>
      <c r="J3361" s="114" t="n"/>
      <c r="K3361" s="139">
        <f>IFERROR(IF(H3361&gt;0,H3361*$C$7,""),"")</f>
        <v/>
      </c>
      <c r="L3361" s="139">
        <f>IFERROR(IF(ISNUMBER(F3361),F3361-IF(ISNUMBER(K3361),K3361,0),""),"")</f>
        <v/>
      </c>
    </row>
    <row r="3362" ht="24" customHeight="1" s="63">
      <c r="E3362" s="139" t="n"/>
      <c r="F3362" s="139" t="n"/>
      <c r="G3362" s="140">
        <f>IFERROR(IF(E3362&gt;0,(F3362/E3362)*1000,""),"")</f>
        <v/>
      </c>
      <c r="H3362" s="139">
        <f>IFERROR(IF(E3362&gt;0,E3362*IF(ISNUMBER(J3362),J3362,IF(C3362="Futures",$C$6,$C$5)),""),"")</f>
        <v/>
      </c>
      <c r="I3362" s="139">
        <f>IFERROR(IF(AND(ISNUMBER(F3362),ISNUMBER(H3362)),F3362-H3362,""),"")</f>
        <v/>
      </c>
      <c r="J3362" s="114" t="n"/>
      <c r="K3362" s="139">
        <f>IFERROR(IF(H3362&gt;0,H3362*$C$7,""),"")</f>
        <v/>
      </c>
      <c r="L3362" s="139">
        <f>IFERROR(IF(ISNUMBER(F3362),F3362-IF(ISNUMBER(K3362),K3362,0),""),"")</f>
        <v/>
      </c>
    </row>
    <row r="3363" ht="24" customHeight="1" s="63">
      <c r="E3363" s="139" t="n"/>
      <c r="F3363" s="139" t="n"/>
      <c r="G3363" s="140">
        <f>IFERROR(IF(E3363&gt;0,(F3363/E3363)*1000,""),"")</f>
        <v/>
      </c>
      <c r="H3363" s="139">
        <f>IFERROR(IF(E3363&gt;0,E3363*IF(ISNUMBER(J3363),J3363,IF(C3363="Futures",$C$6,$C$5)),""),"")</f>
        <v/>
      </c>
      <c r="I3363" s="139">
        <f>IFERROR(IF(AND(ISNUMBER(F3363),ISNUMBER(H3363)),F3363-H3363,""),"")</f>
        <v/>
      </c>
      <c r="J3363" s="114" t="n"/>
      <c r="K3363" s="139">
        <f>IFERROR(IF(H3363&gt;0,H3363*$C$7,""),"")</f>
        <v/>
      </c>
      <c r="L3363" s="139">
        <f>IFERROR(IF(ISNUMBER(F3363),F3363-IF(ISNUMBER(K3363),K3363,0),""),"")</f>
        <v/>
      </c>
    </row>
    <row r="3364" ht="24" customHeight="1" s="63">
      <c r="E3364" s="139" t="n"/>
      <c r="F3364" s="139" t="n"/>
      <c r="G3364" s="140">
        <f>IFERROR(IF(E3364&gt;0,(F3364/E3364)*1000,""),"")</f>
        <v/>
      </c>
      <c r="H3364" s="139">
        <f>IFERROR(IF(E3364&gt;0,E3364*IF(ISNUMBER(J3364),J3364,IF(C3364="Futures",$C$6,$C$5)),""),"")</f>
        <v/>
      </c>
      <c r="I3364" s="139">
        <f>IFERROR(IF(AND(ISNUMBER(F3364),ISNUMBER(H3364)),F3364-H3364,""),"")</f>
        <v/>
      </c>
      <c r="J3364" s="114" t="n"/>
      <c r="K3364" s="139">
        <f>IFERROR(IF(H3364&gt;0,H3364*$C$7,""),"")</f>
        <v/>
      </c>
      <c r="L3364" s="139">
        <f>IFERROR(IF(ISNUMBER(F3364),F3364-IF(ISNUMBER(K3364),K3364,0),""),"")</f>
        <v/>
      </c>
    </row>
    <row r="3365" ht="24" customHeight="1" s="63">
      <c r="E3365" s="139" t="n"/>
      <c r="F3365" s="139" t="n"/>
      <c r="G3365" s="140">
        <f>IFERROR(IF(E3365&gt;0,(F3365/E3365)*1000,""),"")</f>
        <v/>
      </c>
      <c r="H3365" s="139">
        <f>IFERROR(IF(E3365&gt;0,E3365*IF(ISNUMBER(J3365),J3365,IF(C3365="Futures",$C$6,$C$5)),""),"")</f>
        <v/>
      </c>
      <c r="I3365" s="139">
        <f>IFERROR(IF(AND(ISNUMBER(F3365),ISNUMBER(H3365)),F3365-H3365,""),"")</f>
        <v/>
      </c>
      <c r="J3365" s="114" t="n"/>
      <c r="K3365" s="139">
        <f>IFERROR(IF(H3365&gt;0,H3365*$C$7,""),"")</f>
        <v/>
      </c>
      <c r="L3365" s="139">
        <f>IFERROR(IF(ISNUMBER(F3365),F3365-IF(ISNUMBER(K3365),K3365,0),""),"")</f>
        <v/>
      </c>
    </row>
    <row r="3366" ht="24" customHeight="1" s="63">
      <c r="E3366" s="139" t="n"/>
      <c r="F3366" s="139" t="n"/>
      <c r="G3366" s="140">
        <f>IFERROR(IF(E3366&gt;0,(F3366/E3366)*1000,""),"")</f>
        <v/>
      </c>
      <c r="H3366" s="139">
        <f>IFERROR(IF(E3366&gt;0,E3366*IF(ISNUMBER(J3366),J3366,IF(C3366="Futures",$C$6,$C$5)),""),"")</f>
        <v/>
      </c>
      <c r="I3366" s="139">
        <f>IFERROR(IF(AND(ISNUMBER(F3366),ISNUMBER(H3366)),F3366-H3366,""),"")</f>
        <v/>
      </c>
      <c r="J3366" s="114" t="n"/>
      <c r="K3366" s="139">
        <f>IFERROR(IF(H3366&gt;0,H3366*$C$7,""),"")</f>
        <v/>
      </c>
      <c r="L3366" s="139">
        <f>IFERROR(IF(ISNUMBER(F3366),F3366-IF(ISNUMBER(K3366),K3366,0),""),"")</f>
        <v/>
      </c>
    </row>
    <row r="3367" ht="24" customHeight="1" s="63">
      <c r="E3367" s="139" t="n"/>
      <c r="F3367" s="139" t="n"/>
      <c r="G3367" s="140">
        <f>IFERROR(IF(E3367&gt;0,(F3367/E3367)*1000,""),"")</f>
        <v/>
      </c>
      <c r="H3367" s="139">
        <f>IFERROR(IF(E3367&gt;0,E3367*IF(ISNUMBER(J3367),J3367,IF(C3367="Futures",$C$6,$C$5)),""),"")</f>
        <v/>
      </c>
      <c r="I3367" s="139">
        <f>IFERROR(IF(AND(ISNUMBER(F3367),ISNUMBER(H3367)),F3367-H3367,""),"")</f>
        <v/>
      </c>
      <c r="J3367" s="114" t="n"/>
      <c r="K3367" s="139">
        <f>IFERROR(IF(H3367&gt;0,H3367*$C$7,""),"")</f>
        <v/>
      </c>
      <c r="L3367" s="139">
        <f>IFERROR(IF(ISNUMBER(F3367),F3367-IF(ISNUMBER(K3367),K3367,0),""),"")</f>
        <v/>
      </c>
    </row>
    <row r="3368" ht="24" customHeight="1" s="63">
      <c r="E3368" s="139" t="n"/>
      <c r="F3368" s="139" t="n"/>
      <c r="G3368" s="140">
        <f>IFERROR(IF(E3368&gt;0,(F3368/E3368)*1000,""),"")</f>
        <v/>
      </c>
      <c r="H3368" s="139">
        <f>IFERROR(IF(E3368&gt;0,E3368*IF(ISNUMBER(J3368),J3368,IF(C3368="Futures",$C$6,$C$5)),""),"")</f>
        <v/>
      </c>
      <c r="I3368" s="139">
        <f>IFERROR(IF(AND(ISNUMBER(F3368),ISNUMBER(H3368)),F3368-H3368,""),"")</f>
        <v/>
      </c>
      <c r="J3368" s="114" t="n"/>
      <c r="K3368" s="139">
        <f>IFERROR(IF(H3368&gt;0,H3368*$C$7,""),"")</f>
        <v/>
      </c>
      <c r="L3368" s="139">
        <f>IFERROR(IF(ISNUMBER(F3368),F3368-IF(ISNUMBER(K3368),K3368,0),""),"")</f>
        <v/>
      </c>
    </row>
    <row r="3369" ht="24" customHeight="1" s="63">
      <c r="E3369" s="139" t="n"/>
      <c r="F3369" s="139" t="n"/>
      <c r="G3369" s="140">
        <f>IFERROR(IF(E3369&gt;0,(F3369/E3369)*1000,""),"")</f>
        <v/>
      </c>
      <c r="H3369" s="139">
        <f>IFERROR(IF(E3369&gt;0,E3369*IF(ISNUMBER(J3369),J3369,IF(C3369="Futures",$C$6,$C$5)),""),"")</f>
        <v/>
      </c>
      <c r="I3369" s="139">
        <f>IFERROR(IF(AND(ISNUMBER(F3369),ISNUMBER(H3369)),F3369-H3369,""),"")</f>
        <v/>
      </c>
      <c r="J3369" s="114" t="n"/>
      <c r="K3369" s="139">
        <f>IFERROR(IF(H3369&gt;0,H3369*$C$7,""),"")</f>
        <v/>
      </c>
      <c r="L3369" s="139">
        <f>IFERROR(IF(ISNUMBER(F3369),F3369-IF(ISNUMBER(K3369),K3369,0),""),"")</f>
        <v/>
      </c>
    </row>
    <row r="3370" ht="24" customHeight="1" s="63">
      <c r="E3370" s="139" t="n"/>
      <c r="F3370" s="139" t="n"/>
      <c r="G3370" s="140">
        <f>IFERROR(IF(E3370&gt;0,(F3370/E3370)*1000,""),"")</f>
        <v/>
      </c>
      <c r="H3370" s="139">
        <f>IFERROR(IF(E3370&gt;0,E3370*IF(ISNUMBER(J3370),J3370,IF(C3370="Futures",$C$6,$C$5)),""),"")</f>
        <v/>
      </c>
      <c r="I3370" s="139">
        <f>IFERROR(IF(AND(ISNUMBER(F3370),ISNUMBER(H3370)),F3370-H3370,""),"")</f>
        <v/>
      </c>
      <c r="J3370" s="114" t="n"/>
      <c r="K3370" s="139">
        <f>IFERROR(IF(H3370&gt;0,H3370*$C$7,""),"")</f>
        <v/>
      </c>
      <c r="L3370" s="139">
        <f>IFERROR(IF(ISNUMBER(F3370),F3370-IF(ISNUMBER(K3370),K3370,0),""),"")</f>
        <v/>
      </c>
    </row>
    <row r="3371" ht="24" customHeight="1" s="63">
      <c r="E3371" s="139" t="n"/>
      <c r="F3371" s="139" t="n"/>
      <c r="G3371" s="140">
        <f>IFERROR(IF(E3371&gt;0,(F3371/E3371)*1000,""),"")</f>
        <v/>
      </c>
      <c r="H3371" s="139">
        <f>IFERROR(IF(E3371&gt;0,E3371*IF(ISNUMBER(J3371),J3371,IF(C3371="Futures",$C$6,$C$5)),""),"")</f>
        <v/>
      </c>
      <c r="I3371" s="139">
        <f>IFERROR(IF(AND(ISNUMBER(F3371),ISNUMBER(H3371)),F3371-H3371,""),"")</f>
        <v/>
      </c>
      <c r="J3371" s="114" t="n"/>
      <c r="K3371" s="139">
        <f>IFERROR(IF(H3371&gt;0,H3371*$C$7,""),"")</f>
        <v/>
      </c>
      <c r="L3371" s="139">
        <f>IFERROR(IF(ISNUMBER(F3371),F3371-IF(ISNUMBER(K3371),K3371,0),""),"")</f>
        <v/>
      </c>
    </row>
    <row r="3372" ht="24" customHeight="1" s="63">
      <c r="E3372" s="139" t="n"/>
      <c r="F3372" s="139" t="n"/>
      <c r="G3372" s="140">
        <f>IFERROR(IF(E3372&gt;0,(F3372/E3372)*1000,""),"")</f>
        <v/>
      </c>
      <c r="H3372" s="139">
        <f>IFERROR(IF(E3372&gt;0,E3372*IF(ISNUMBER(J3372),J3372,IF(C3372="Futures",$C$6,$C$5)),""),"")</f>
        <v/>
      </c>
      <c r="I3372" s="139">
        <f>IFERROR(IF(AND(ISNUMBER(F3372),ISNUMBER(H3372)),F3372-H3372,""),"")</f>
        <v/>
      </c>
      <c r="J3372" s="114" t="n"/>
      <c r="K3372" s="139">
        <f>IFERROR(IF(H3372&gt;0,H3372*$C$7,""),"")</f>
        <v/>
      </c>
      <c r="L3372" s="139">
        <f>IFERROR(IF(ISNUMBER(F3372),F3372-IF(ISNUMBER(K3372),K3372,0),""),"")</f>
        <v/>
      </c>
    </row>
    <row r="3373" ht="24" customHeight="1" s="63">
      <c r="E3373" s="139" t="n"/>
      <c r="F3373" s="139" t="n"/>
      <c r="G3373" s="140">
        <f>IFERROR(IF(E3373&gt;0,(F3373/E3373)*1000,""),"")</f>
        <v/>
      </c>
      <c r="H3373" s="139">
        <f>IFERROR(IF(E3373&gt;0,E3373*IF(ISNUMBER(J3373),J3373,IF(C3373="Futures",$C$6,$C$5)),""),"")</f>
        <v/>
      </c>
      <c r="I3373" s="139">
        <f>IFERROR(IF(AND(ISNUMBER(F3373),ISNUMBER(H3373)),F3373-H3373,""),"")</f>
        <v/>
      </c>
      <c r="J3373" s="114" t="n"/>
      <c r="K3373" s="139">
        <f>IFERROR(IF(H3373&gt;0,H3373*$C$7,""),"")</f>
        <v/>
      </c>
      <c r="L3373" s="139">
        <f>IFERROR(IF(ISNUMBER(F3373),F3373-IF(ISNUMBER(K3373),K3373,0),""),"")</f>
        <v/>
      </c>
    </row>
    <row r="3374" ht="24" customHeight="1" s="63">
      <c r="E3374" s="139" t="n"/>
      <c r="F3374" s="139" t="n"/>
      <c r="G3374" s="140">
        <f>IFERROR(IF(E3374&gt;0,(F3374/E3374)*1000,""),"")</f>
        <v/>
      </c>
      <c r="H3374" s="139">
        <f>IFERROR(IF(E3374&gt;0,E3374*IF(ISNUMBER(J3374),J3374,IF(C3374="Futures",$C$6,$C$5)),""),"")</f>
        <v/>
      </c>
      <c r="I3374" s="139">
        <f>IFERROR(IF(AND(ISNUMBER(F3374),ISNUMBER(H3374)),F3374-H3374,""),"")</f>
        <v/>
      </c>
      <c r="J3374" s="114" t="n"/>
      <c r="K3374" s="139">
        <f>IFERROR(IF(H3374&gt;0,H3374*$C$7,""),"")</f>
        <v/>
      </c>
      <c r="L3374" s="139">
        <f>IFERROR(IF(ISNUMBER(F3374),F3374-IF(ISNUMBER(K3374),K3374,0),""),"")</f>
        <v/>
      </c>
    </row>
    <row r="3375" ht="24" customHeight="1" s="63">
      <c r="E3375" s="139" t="n"/>
      <c r="F3375" s="139" t="n"/>
      <c r="G3375" s="140">
        <f>IFERROR(IF(E3375&gt;0,(F3375/E3375)*1000,""),"")</f>
        <v/>
      </c>
      <c r="H3375" s="139">
        <f>IFERROR(IF(E3375&gt;0,E3375*IF(ISNUMBER(J3375),J3375,IF(C3375="Futures",$C$6,$C$5)),""),"")</f>
        <v/>
      </c>
      <c r="I3375" s="139">
        <f>IFERROR(IF(AND(ISNUMBER(F3375),ISNUMBER(H3375)),F3375-H3375,""),"")</f>
        <v/>
      </c>
      <c r="J3375" s="114" t="n"/>
      <c r="K3375" s="139">
        <f>IFERROR(IF(H3375&gt;0,H3375*$C$7,""),"")</f>
        <v/>
      </c>
      <c r="L3375" s="139">
        <f>IFERROR(IF(ISNUMBER(F3375),F3375-IF(ISNUMBER(K3375),K3375,0),""),"")</f>
        <v/>
      </c>
    </row>
    <row r="3376" ht="24" customHeight="1" s="63">
      <c r="E3376" s="139" t="n"/>
      <c r="F3376" s="139" t="n"/>
      <c r="G3376" s="140">
        <f>IFERROR(IF(E3376&gt;0,(F3376/E3376)*1000,""),"")</f>
        <v/>
      </c>
      <c r="H3376" s="139">
        <f>IFERROR(IF(E3376&gt;0,E3376*IF(ISNUMBER(J3376),J3376,IF(C3376="Futures",$C$6,$C$5)),""),"")</f>
        <v/>
      </c>
      <c r="I3376" s="139">
        <f>IFERROR(IF(AND(ISNUMBER(F3376),ISNUMBER(H3376)),F3376-H3376,""),"")</f>
        <v/>
      </c>
      <c r="J3376" s="114" t="n"/>
      <c r="K3376" s="139">
        <f>IFERROR(IF(H3376&gt;0,H3376*$C$7,""),"")</f>
        <v/>
      </c>
      <c r="L3376" s="139">
        <f>IFERROR(IF(ISNUMBER(F3376),F3376-IF(ISNUMBER(K3376),K3376,0),""),"")</f>
        <v/>
      </c>
    </row>
    <row r="3377" ht="24" customHeight="1" s="63">
      <c r="E3377" s="139" t="n"/>
      <c r="F3377" s="139" t="n"/>
      <c r="G3377" s="140">
        <f>IFERROR(IF(E3377&gt;0,(F3377/E3377)*1000,""),"")</f>
        <v/>
      </c>
      <c r="H3377" s="139">
        <f>IFERROR(IF(E3377&gt;0,E3377*IF(ISNUMBER(J3377),J3377,IF(C3377="Futures",$C$6,$C$5)),""),"")</f>
        <v/>
      </c>
      <c r="I3377" s="139">
        <f>IFERROR(IF(AND(ISNUMBER(F3377),ISNUMBER(H3377)),F3377-H3377,""),"")</f>
        <v/>
      </c>
      <c r="J3377" s="114" t="n"/>
      <c r="K3377" s="139">
        <f>IFERROR(IF(H3377&gt;0,H3377*$C$7,""),"")</f>
        <v/>
      </c>
      <c r="L3377" s="139">
        <f>IFERROR(IF(ISNUMBER(F3377),F3377-IF(ISNUMBER(K3377),K3377,0),""),"")</f>
        <v/>
      </c>
    </row>
    <row r="3378" ht="24" customHeight="1" s="63">
      <c r="E3378" s="139" t="n"/>
      <c r="F3378" s="139" t="n"/>
      <c r="G3378" s="140">
        <f>IFERROR(IF(E3378&gt;0,(F3378/E3378)*1000,""),"")</f>
        <v/>
      </c>
      <c r="H3378" s="139">
        <f>IFERROR(IF(E3378&gt;0,E3378*IF(ISNUMBER(J3378),J3378,IF(C3378="Futures",$C$6,$C$5)),""),"")</f>
        <v/>
      </c>
      <c r="I3378" s="139">
        <f>IFERROR(IF(AND(ISNUMBER(F3378),ISNUMBER(H3378)),F3378-H3378,""),"")</f>
        <v/>
      </c>
      <c r="J3378" s="114" t="n"/>
      <c r="K3378" s="139">
        <f>IFERROR(IF(H3378&gt;0,H3378*$C$7,""),"")</f>
        <v/>
      </c>
      <c r="L3378" s="139">
        <f>IFERROR(IF(ISNUMBER(F3378),F3378-IF(ISNUMBER(K3378),K3378,0),""),"")</f>
        <v/>
      </c>
    </row>
    <row r="3379" ht="24" customHeight="1" s="63">
      <c r="E3379" s="139" t="n"/>
      <c r="F3379" s="139" t="n"/>
      <c r="G3379" s="140">
        <f>IFERROR(IF(E3379&gt;0,(F3379/E3379)*1000,""),"")</f>
        <v/>
      </c>
      <c r="H3379" s="139">
        <f>IFERROR(IF(E3379&gt;0,E3379*IF(ISNUMBER(J3379),J3379,IF(C3379="Futures",$C$6,$C$5)),""),"")</f>
        <v/>
      </c>
      <c r="I3379" s="139">
        <f>IFERROR(IF(AND(ISNUMBER(F3379),ISNUMBER(H3379)),F3379-H3379,""),"")</f>
        <v/>
      </c>
      <c r="J3379" s="114" t="n"/>
      <c r="K3379" s="139">
        <f>IFERROR(IF(H3379&gt;0,H3379*$C$7,""),"")</f>
        <v/>
      </c>
      <c r="L3379" s="139">
        <f>IFERROR(IF(ISNUMBER(F3379),F3379-IF(ISNUMBER(K3379),K3379,0),""),"")</f>
        <v/>
      </c>
    </row>
    <row r="3380" ht="24" customHeight="1" s="63">
      <c r="E3380" s="139" t="n"/>
      <c r="F3380" s="139" t="n"/>
      <c r="G3380" s="140">
        <f>IFERROR(IF(E3380&gt;0,(F3380/E3380)*1000,""),"")</f>
        <v/>
      </c>
      <c r="H3380" s="139">
        <f>IFERROR(IF(E3380&gt;0,E3380*IF(ISNUMBER(J3380),J3380,IF(C3380="Futures",$C$6,$C$5)),""),"")</f>
        <v/>
      </c>
      <c r="I3380" s="139">
        <f>IFERROR(IF(AND(ISNUMBER(F3380),ISNUMBER(H3380)),F3380-H3380,""),"")</f>
        <v/>
      </c>
      <c r="J3380" s="114" t="n"/>
      <c r="K3380" s="139">
        <f>IFERROR(IF(H3380&gt;0,H3380*$C$7,""),"")</f>
        <v/>
      </c>
      <c r="L3380" s="139">
        <f>IFERROR(IF(ISNUMBER(F3380),F3380-IF(ISNUMBER(K3380),K3380,0),""),"")</f>
        <v/>
      </c>
    </row>
    <row r="3381" ht="24" customHeight="1" s="63">
      <c r="E3381" s="139" t="n"/>
      <c r="F3381" s="139" t="n"/>
      <c r="G3381" s="140">
        <f>IFERROR(IF(E3381&gt;0,(F3381/E3381)*1000,""),"")</f>
        <v/>
      </c>
      <c r="H3381" s="139">
        <f>IFERROR(IF(E3381&gt;0,E3381*IF(ISNUMBER(J3381),J3381,IF(C3381="Futures",$C$6,$C$5)),""),"")</f>
        <v/>
      </c>
      <c r="I3381" s="139">
        <f>IFERROR(IF(AND(ISNUMBER(F3381),ISNUMBER(H3381)),F3381-H3381,""),"")</f>
        <v/>
      </c>
      <c r="J3381" s="114" t="n"/>
      <c r="K3381" s="139">
        <f>IFERROR(IF(H3381&gt;0,H3381*$C$7,""),"")</f>
        <v/>
      </c>
      <c r="L3381" s="139">
        <f>IFERROR(IF(ISNUMBER(F3381),F3381-IF(ISNUMBER(K3381),K3381,0),""),"")</f>
        <v/>
      </c>
    </row>
    <row r="3382" ht="24" customHeight="1" s="63">
      <c r="E3382" s="139" t="n"/>
      <c r="F3382" s="139" t="n"/>
      <c r="G3382" s="140">
        <f>IFERROR(IF(E3382&gt;0,(F3382/E3382)*1000,""),"")</f>
        <v/>
      </c>
      <c r="H3382" s="139">
        <f>IFERROR(IF(E3382&gt;0,E3382*IF(ISNUMBER(J3382),J3382,IF(C3382="Futures",$C$6,$C$5)),""),"")</f>
        <v/>
      </c>
      <c r="I3382" s="139">
        <f>IFERROR(IF(AND(ISNUMBER(F3382),ISNUMBER(H3382)),F3382-H3382,""),"")</f>
        <v/>
      </c>
      <c r="J3382" s="114" t="n"/>
      <c r="K3382" s="139">
        <f>IFERROR(IF(H3382&gt;0,H3382*$C$7,""),"")</f>
        <v/>
      </c>
      <c r="L3382" s="139">
        <f>IFERROR(IF(ISNUMBER(F3382),F3382-IF(ISNUMBER(K3382),K3382,0),""),"")</f>
        <v/>
      </c>
    </row>
    <row r="3383" ht="24" customHeight="1" s="63">
      <c r="E3383" s="139" t="n"/>
      <c r="F3383" s="139" t="n"/>
      <c r="G3383" s="140">
        <f>IFERROR(IF(E3383&gt;0,(F3383/E3383)*1000,""),"")</f>
        <v/>
      </c>
      <c r="H3383" s="139">
        <f>IFERROR(IF(E3383&gt;0,E3383*IF(ISNUMBER(J3383),J3383,IF(C3383="Futures",$C$6,$C$5)),""),"")</f>
        <v/>
      </c>
      <c r="I3383" s="139">
        <f>IFERROR(IF(AND(ISNUMBER(F3383),ISNUMBER(H3383)),F3383-H3383,""),"")</f>
        <v/>
      </c>
      <c r="J3383" s="114" t="n"/>
      <c r="K3383" s="139">
        <f>IFERROR(IF(H3383&gt;0,H3383*$C$7,""),"")</f>
        <v/>
      </c>
      <c r="L3383" s="139">
        <f>IFERROR(IF(ISNUMBER(F3383),F3383-IF(ISNUMBER(K3383),K3383,0),""),"")</f>
        <v/>
      </c>
    </row>
    <row r="3384" ht="24" customHeight="1" s="63">
      <c r="E3384" s="139" t="n"/>
      <c r="F3384" s="139" t="n"/>
      <c r="G3384" s="140">
        <f>IFERROR(IF(E3384&gt;0,(F3384/E3384)*1000,""),"")</f>
        <v/>
      </c>
      <c r="H3384" s="139">
        <f>IFERROR(IF(E3384&gt;0,E3384*IF(ISNUMBER(J3384),J3384,IF(C3384="Futures",$C$6,$C$5)),""),"")</f>
        <v/>
      </c>
      <c r="I3384" s="139">
        <f>IFERROR(IF(AND(ISNUMBER(F3384),ISNUMBER(H3384)),F3384-H3384,""),"")</f>
        <v/>
      </c>
      <c r="J3384" s="114" t="n"/>
      <c r="K3384" s="139">
        <f>IFERROR(IF(H3384&gt;0,H3384*$C$7,""),"")</f>
        <v/>
      </c>
      <c r="L3384" s="139">
        <f>IFERROR(IF(ISNUMBER(F3384),F3384-IF(ISNUMBER(K3384),K3384,0),""),"")</f>
        <v/>
      </c>
    </row>
    <row r="3385" ht="24" customHeight="1" s="63">
      <c r="E3385" s="139" t="n"/>
      <c r="F3385" s="139" t="n"/>
      <c r="G3385" s="140">
        <f>IFERROR(IF(E3385&gt;0,(F3385/E3385)*1000,""),"")</f>
        <v/>
      </c>
      <c r="H3385" s="139">
        <f>IFERROR(IF(E3385&gt;0,E3385*IF(ISNUMBER(J3385),J3385,IF(C3385="Futures",$C$6,$C$5)),""),"")</f>
        <v/>
      </c>
      <c r="I3385" s="139">
        <f>IFERROR(IF(AND(ISNUMBER(F3385),ISNUMBER(H3385)),F3385-H3385,""),"")</f>
        <v/>
      </c>
      <c r="J3385" s="114" t="n"/>
      <c r="K3385" s="139">
        <f>IFERROR(IF(H3385&gt;0,H3385*$C$7,""),"")</f>
        <v/>
      </c>
      <c r="L3385" s="139">
        <f>IFERROR(IF(ISNUMBER(F3385),F3385-IF(ISNUMBER(K3385),K3385,0),""),"")</f>
        <v/>
      </c>
    </row>
    <row r="3386" ht="24" customHeight="1" s="63">
      <c r="E3386" s="139" t="n"/>
      <c r="F3386" s="139" t="n"/>
      <c r="G3386" s="140">
        <f>IFERROR(IF(E3386&gt;0,(F3386/E3386)*1000,""),"")</f>
        <v/>
      </c>
      <c r="H3386" s="139">
        <f>IFERROR(IF(E3386&gt;0,E3386*IF(ISNUMBER(J3386),J3386,IF(C3386="Futures",$C$6,$C$5)),""),"")</f>
        <v/>
      </c>
      <c r="I3386" s="139">
        <f>IFERROR(IF(AND(ISNUMBER(F3386),ISNUMBER(H3386)),F3386-H3386,""),"")</f>
        <v/>
      </c>
      <c r="J3386" s="114" t="n"/>
      <c r="K3386" s="139">
        <f>IFERROR(IF(H3386&gt;0,H3386*$C$7,""),"")</f>
        <v/>
      </c>
      <c r="L3386" s="139">
        <f>IFERROR(IF(ISNUMBER(F3386),F3386-IF(ISNUMBER(K3386),K3386,0),""),"")</f>
        <v/>
      </c>
    </row>
    <row r="3387" ht="24" customHeight="1" s="63">
      <c r="E3387" s="139" t="n"/>
      <c r="F3387" s="139" t="n"/>
      <c r="G3387" s="140">
        <f>IFERROR(IF(E3387&gt;0,(F3387/E3387)*1000,""),"")</f>
        <v/>
      </c>
      <c r="H3387" s="139">
        <f>IFERROR(IF(E3387&gt;0,E3387*IF(ISNUMBER(J3387),J3387,IF(C3387="Futures",$C$6,$C$5)),""),"")</f>
        <v/>
      </c>
      <c r="I3387" s="139">
        <f>IFERROR(IF(AND(ISNUMBER(F3387),ISNUMBER(H3387)),F3387-H3387,""),"")</f>
        <v/>
      </c>
      <c r="J3387" s="114" t="n"/>
      <c r="K3387" s="139">
        <f>IFERROR(IF(H3387&gt;0,H3387*$C$7,""),"")</f>
        <v/>
      </c>
      <c r="L3387" s="139">
        <f>IFERROR(IF(ISNUMBER(F3387),F3387-IF(ISNUMBER(K3387),K3387,0),""),"")</f>
        <v/>
      </c>
    </row>
    <row r="3388" ht="24" customHeight="1" s="63">
      <c r="E3388" s="139" t="n"/>
      <c r="F3388" s="139" t="n"/>
      <c r="G3388" s="140">
        <f>IFERROR(IF(E3388&gt;0,(F3388/E3388)*1000,""),"")</f>
        <v/>
      </c>
      <c r="H3388" s="139">
        <f>IFERROR(IF(E3388&gt;0,E3388*IF(ISNUMBER(J3388),J3388,IF(C3388="Futures",$C$6,$C$5)),""),"")</f>
        <v/>
      </c>
      <c r="I3388" s="139">
        <f>IFERROR(IF(AND(ISNUMBER(F3388),ISNUMBER(H3388)),F3388-H3388,""),"")</f>
        <v/>
      </c>
      <c r="J3388" s="114" t="n"/>
      <c r="K3388" s="139">
        <f>IFERROR(IF(H3388&gt;0,H3388*$C$7,""),"")</f>
        <v/>
      </c>
      <c r="L3388" s="139">
        <f>IFERROR(IF(ISNUMBER(F3388),F3388-IF(ISNUMBER(K3388),K3388,0),""),"")</f>
        <v/>
      </c>
    </row>
    <row r="3389" ht="24" customHeight="1" s="63">
      <c r="E3389" s="139" t="n"/>
      <c r="F3389" s="139" t="n"/>
      <c r="G3389" s="140">
        <f>IFERROR(IF(E3389&gt;0,(F3389/E3389)*1000,""),"")</f>
        <v/>
      </c>
      <c r="H3389" s="139">
        <f>IFERROR(IF(E3389&gt;0,E3389*IF(ISNUMBER(J3389),J3389,IF(C3389="Futures",$C$6,$C$5)),""),"")</f>
        <v/>
      </c>
      <c r="I3389" s="139">
        <f>IFERROR(IF(AND(ISNUMBER(F3389),ISNUMBER(H3389)),F3389-H3389,""),"")</f>
        <v/>
      </c>
      <c r="J3389" s="114" t="n"/>
      <c r="K3389" s="139">
        <f>IFERROR(IF(H3389&gt;0,H3389*$C$7,""),"")</f>
        <v/>
      </c>
      <c r="L3389" s="139">
        <f>IFERROR(IF(ISNUMBER(F3389),F3389-IF(ISNUMBER(K3389),K3389,0),""),"")</f>
        <v/>
      </c>
    </row>
    <row r="3390" ht="24" customHeight="1" s="63">
      <c r="E3390" s="139" t="n"/>
      <c r="F3390" s="139" t="n"/>
      <c r="G3390" s="140">
        <f>IFERROR(IF(E3390&gt;0,(F3390/E3390)*1000,""),"")</f>
        <v/>
      </c>
      <c r="H3390" s="139">
        <f>IFERROR(IF(E3390&gt;0,E3390*IF(ISNUMBER(J3390),J3390,IF(C3390="Futures",$C$6,$C$5)),""),"")</f>
        <v/>
      </c>
      <c r="I3390" s="139">
        <f>IFERROR(IF(AND(ISNUMBER(F3390),ISNUMBER(H3390)),F3390-H3390,""),"")</f>
        <v/>
      </c>
      <c r="J3390" s="114" t="n"/>
      <c r="K3390" s="139">
        <f>IFERROR(IF(H3390&gt;0,H3390*$C$7,""),"")</f>
        <v/>
      </c>
      <c r="L3390" s="139">
        <f>IFERROR(IF(ISNUMBER(F3390),F3390-IF(ISNUMBER(K3390),K3390,0),""),"")</f>
        <v/>
      </c>
    </row>
    <row r="3391" ht="24" customHeight="1" s="63">
      <c r="E3391" s="139" t="n"/>
      <c r="F3391" s="139" t="n"/>
      <c r="G3391" s="140">
        <f>IFERROR(IF(E3391&gt;0,(F3391/E3391)*1000,""),"")</f>
        <v/>
      </c>
      <c r="H3391" s="139">
        <f>IFERROR(IF(E3391&gt;0,E3391*IF(ISNUMBER(J3391),J3391,IF(C3391="Futures",$C$6,$C$5)),""),"")</f>
        <v/>
      </c>
      <c r="I3391" s="139">
        <f>IFERROR(IF(AND(ISNUMBER(F3391),ISNUMBER(H3391)),F3391-H3391,""),"")</f>
        <v/>
      </c>
      <c r="J3391" s="114" t="n"/>
      <c r="K3391" s="139">
        <f>IFERROR(IF(H3391&gt;0,H3391*$C$7,""),"")</f>
        <v/>
      </c>
      <c r="L3391" s="139">
        <f>IFERROR(IF(ISNUMBER(F3391),F3391-IF(ISNUMBER(K3391),K3391,0),""),"")</f>
        <v/>
      </c>
    </row>
    <row r="3392" ht="24" customHeight="1" s="63">
      <c r="E3392" s="139" t="n"/>
      <c r="F3392" s="139" t="n"/>
      <c r="G3392" s="140">
        <f>IFERROR(IF(E3392&gt;0,(F3392/E3392)*1000,""),"")</f>
        <v/>
      </c>
      <c r="H3392" s="139">
        <f>IFERROR(IF(E3392&gt;0,E3392*IF(ISNUMBER(J3392),J3392,IF(C3392="Futures",$C$6,$C$5)),""),"")</f>
        <v/>
      </c>
      <c r="I3392" s="139">
        <f>IFERROR(IF(AND(ISNUMBER(F3392),ISNUMBER(H3392)),F3392-H3392,""),"")</f>
        <v/>
      </c>
      <c r="J3392" s="114" t="n"/>
      <c r="K3392" s="139">
        <f>IFERROR(IF(H3392&gt;0,H3392*$C$7,""),"")</f>
        <v/>
      </c>
      <c r="L3392" s="139">
        <f>IFERROR(IF(ISNUMBER(F3392),F3392-IF(ISNUMBER(K3392),K3392,0),""),"")</f>
        <v/>
      </c>
    </row>
    <row r="3393" ht="24" customHeight="1" s="63">
      <c r="E3393" s="139" t="n"/>
      <c r="F3393" s="139" t="n"/>
      <c r="G3393" s="140">
        <f>IFERROR(IF(E3393&gt;0,(F3393/E3393)*1000,""),"")</f>
        <v/>
      </c>
      <c r="H3393" s="139">
        <f>IFERROR(IF(E3393&gt;0,E3393*IF(ISNUMBER(J3393),J3393,IF(C3393="Futures",$C$6,$C$5)),""),"")</f>
        <v/>
      </c>
      <c r="I3393" s="139">
        <f>IFERROR(IF(AND(ISNUMBER(F3393),ISNUMBER(H3393)),F3393-H3393,""),"")</f>
        <v/>
      </c>
      <c r="J3393" s="114" t="n"/>
      <c r="K3393" s="139">
        <f>IFERROR(IF(H3393&gt;0,H3393*$C$7,""),"")</f>
        <v/>
      </c>
      <c r="L3393" s="139">
        <f>IFERROR(IF(ISNUMBER(F3393),F3393-IF(ISNUMBER(K3393),K3393,0),""),"")</f>
        <v/>
      </c>
    </row>
    <row r="3394" ht="24" customHeight="1" s="63">
      <c r="E3394" s="139" t="n"/>
      <c r="F3394" s="139" t="n"/>
      <c r="G3394" s="140">
        <f>IFERROR(IF(E3394&gt;0,(F3394/E3394)*1000,""),"")</f>
        <v/>
      </c>
      <c r="H3394" s="139">
        <f>IFERROR(IF(E3394&gt;0,E3394*IF(ISNUMBER(J3394),J3394,IF(C3394="Futures",$C$6,$C$5)),""),"")</f>
        <v/>
      </c>
      <c r="I3394" s="139">
        <f>IFERROR(IF(AND(ISNUMBER(F3394),ISNUMBER(H3394)),F3394-H3394,""),"")</f>
        <v/>
      </c>
      <c r="J3394" s="114" t="n"/>
      <c r="K3394" s="139">
        <f>IFERROR(IF(H3394&gt;0,H3394*$C$7,""),"")</f>
        <v/>
      </c>
      <c r="L3394" s="139">
        <f>IFERROR(IF(ISNUMBER(F3394),F3394-IF(ISNUMBER(K3394),K3394,0),""),"")</f>
        <v/>
      </c>
    </row>
    <row r="3395" ht="24" customHeight="1" s="63">
      <c r="E3395" s="139" t="n"/>
      <c r="F3395" s="139" t="n"/>
      <c r="G3395" s="140">
        <f>IFERROR(IF(E3395&gt;0,(F3395/E3395)*1000,""),"")</f>
        <v/>
      </c>
      <c r="H3395" s="139">
        <f>IFERROR(IF(E3395&gt;0,E3395*IF(ISNUMBER(J3395),J3395,IF(C3395="Futures",$C$6,$C$5)),""),"")</f>
        <v/>
      </c>
      <c r="I3395" s="139">
        <f>IFERROR(IF(AND(ISNUMBER(F3395),ISNUMBER(H3395)),F3395-H3395,""),"")</f>
        <v/>
      </c>
      <c r="J3395" s="114" t="n"/>
      <c r="K3395" s="139">
        <f>IFERROR(IF(H3395&gt;0,H3395*$C$7,""),"")</f>
        <v/>
      </c>
      <c r="L3395" s="139">
        <f>IFERROR(IF(ISNUMBER(F3395),F3395-IF(ISNUMBER(K3395),K3395,0),""),"")</f>
        <v/>
      </c>
    </row>
    <row r="3396" ht="24" customHeight="1" s="63">
      <c r="E3396" s="139" t="n"/>
      <c r="F3396" s="139" t="n"/>
      <c r="G3396" s="140">
        <f>IFERROR(IF(E3396&gt;0,(F3396/E3396)*1000,""),"")</f>
        <v/>
      </c>
      <c r="H3396" s="139">
        <f>IFERROR(IF(E3396&gt;0,E3396*IF(ISNUMBER(J3396),J3396,IF(C3396="Futures",$C$6,$C$5)),""),"")</f>
        <v/>
      </c>
      <c r="I3396" s="139">
        <f>IFERROR(IF(AND(ISNUMBER(F3396),ISNUMBER(H3396)),F3396-H3396,""),"")</f>
        <v/>
      </c>
      <c r="J3396" s="114" t="n"/>
      <c r="K3396" s="139">
        <f>IFERROR(IF(H3396&gt;0,H3396*$C$7,""),"")</f>
        <v/>
      </c>
      <c r="L3396" s="139">
        <f>IFERROR(IF(ISNUMBER(F3396),F3396-IF(ISNUMBER(K3396),K3396,0),""),"")</f>
        <v/>
      </c>
    </row>
    <row r="3397" ht="24" customHeight="1" s="63">
      <c r="E3397" s="139" t="n"/>
      <c r="F3397" s="139" t="n"/>
      <c r="G3397" s="140">
        <f>IFERROR(IF(E3397&gt;0,(F3397/E3397)*1000,""),"")</f>
        <v/>
      </c>
      <c r="H3397" s="139">
        <f>IFERROR(IF(E3397&gt;0,E3397*IF(ISNUMBER(J3397),J3397,IF(C3397="Futures",$C$6,$C$5)),""),"")</f>
        <v/>
      </c>
      <c r="I3397" s="139">
        <f>IFERROR(IF(AND(ISNUMBER(F3397),ISNUMBER(H3397)),F3397-H3397,""),"")</f>
        <v/>
      </c>
      <c r="J3397" s="114" t="n"/>
      <c r="K3397" s="139">
        <f>IFERROR(IF(H3397&gt;0,H3397*$C$7,""),"")</f>
        <v/>
      </c>
      <c r="L3397" s="139">
        <f>IFERROR(IF(ISNUMBER(F3397),F3397-IF(ISNUMBER(K3397),K3397,0),""),"")</f>
        <v/>
      </c>
    </row>
    <row r="3398" ht="24" customHeight="1" s="63">
      <c r="E3398" s="139" t="n"/>
      <c r="F3398" s="139" t="n"/>
      <c r="G3398" s="140">
        <f>IFERROR(IF(E3398&gt;0,(F3398/E3398)*1000,""),"")</f>
        <v/>
      </c>
      <c r="H3398" s="139">
        <f>IFERROR(IF(E3398&gt;0,E3398*IF(ISNUMBER(J3398),J3398,IF(C3398="Futures",$C$6,$C$5)),""),"")</f>
        <v/>
      </c>
      <c r="I3398" s="139">
        <f>IFERROR(IF(AND(ISNUMBER(F3398),ISNUMBER(H3398)),F3398-H3398,""),"")</f>
        <v/>
      </c>
      <c r="J3398" s="114" t="n"/>
      <c r="K3398" s="139">
        <f>IFERROR(IF(H3398&gt;0,H3398*$C$7,""),"")</f>
        <v/>
      </c>
      <c r="L3398" s="139">
        <f>IFERROR(IF(ISNUMBER(F3398),F3398-IF(ISNUMBER(K3398),K3398,0),""),"")</f>
        <v/>
      </c>
    </row>
    <row r="3399" ht="24" customHeight="1" s="63">
      <c r="E3399" s="139" t="n"/>
      <c r="F3399" s="139" t="n"/>
      <c r="G3399" s="140">
        <f>IFERROR(IF(E3399&gt;0,(F3399/E3399)*1000,""),"")</f>
        <v/>
      </c>
      <c r="H3399" s="139">
        <f>IFERROR(IF(E3399&gt;0,E3399*IF(ISNUMBER(J3399),J3399,IF(C3399="Futures",$C$6,$C$5)),""),"")</f>
        <v/>
      </c>
      <c r="I3399" s="139">
        <f>IFERROR(IF(AND(ISNUMBER(F3399),ISNUMBER(H3399)),F3399-H3399,""),"")</f>
        <v/>
      </c>
      <c r="J3399" s="114" t="n"/>
      <c r="K3399" s="139">
        <f>IFERROR(IF(H3399&gt;0,H3399*$C$7,""),"")</f>
        <v/>
      </c>
      <c r="L3399" s="139">
        <f>IFERROR(IF(ISNUMBER(F3399),F3399-IF(ISNUMBER(K3399),K3399,0),""),"")</f>
        <v/>
      </c>
    </row>
    <row r="3400" ht="24" customHeight="1" s="63">
      <c r="E3400" s="139" t="n"/>
      <c r="F3400" s="139" t="n"/>
      <c r="G3400" s="140">
        <f>IFERROR(IF(E3400&gt;0,(F3400/E3400)*1000,""),"")</f>
        <v/>
      </c>
      <c r="H3400" s="139">
        <f>IFERROR(IF(E3400&gt;0,E3400*IF(ISNUMBER(J3400),J3400,IF(C3400="Futures",$C$6,$C$5)),""),"")</f>
        <v/>
      </c>
      <c r="I3400" s="139">
        <f>IFERROR(IF(AND(ISNUMBER(F3400),ISNUMBER(H3400)),F3400-H3400,""),"")</f>
        <v/>
      </c>
      <c r="J3400" s="114" t="n"/>
      <c r="K3400" s="139">
        <f>IFERROR(IF(H3400&gt;0,H3400*$C$7,""),"")</f>
        <v/>
      </c>
      <c r="L3400" s="139">
        <f>IFERROR(IF(ISNUMBER(F3400),F3400-IF(ISNUMBER(K3400),K3400,0),""),"")</f>
        <v/>
      </c>
    </row>
    <row r="3401" ht="24" customHeight="1" s="63">
      <c r="E3401" s="139" t="n"/>
      <c r="F3401" s="139" t="n"/>
      <c r="G3401" s="140">
        <f>IFERROR(IF(E3401&gt;0,(F3401/E3401)*1000,""),"")</f>
        <v/>
      </c>
      <c r="H3401" s="139">
        <f>IFERROR(IF(E3401&gt;0,E3401*IF(ISNUMBER(J3401),J3401,IF(C3401="Futures",$C$6,$C$5)),""),"")</f>
        <v/>
      </c>
      <c r="I3401" s="139">
        <f>IFERROR(IF(AND(ISNUMBER(F3401),ISNUMBER(H3401)),F3401-H3401,""),"")</f>
        <v/>
      </c>
      <c r="J3401" s="114" t="n"/>
      <c r="K3401" s="139">
        <f>IFERROR(IF(H3401&gt;0,H3401*$C$7,""),"")</f>
        <v/>
      </c>
      <c r="L3401" s="139">
        <f>IFERROR(IF(ISNUMBER(F3401),F3401-IF(ISNUMBER(K3401),K3401,0),""),"")</f>
        <v/>
      </c>
    </row>
    <row r="3402" ht="24" customHeight="1" s="63">
      <c r="E3402" s="139" t="n"/>
      <c r="F3402" s="139" t="n"/>
      <c r="G3402" s="140">
        <f>IFERROR(IF(E3402&gt;0,(F3402/E3402)*1000,""),"")</f>
        <v/>
      </c>
      <c r="H3402" s="139">
        <f>IFERROR(IF(E3402&gt;0,E3402*IF(ISNUMBER(J3402),J3402,IF(C3402="Futures",$C$6,$C$5)),""),"")</f>
        <v/>
      </c>
      <c r="I3402" s="139">
        <f>IFERROR(IF(AND(ISNUMBER(F3402),ISNUMBER(H3402)),F3402-H3402,""),"")</f>
        <v/>
      </c>
      <c r="J3402" s="114" t="n"/>
      <c r="K3402" s="139">
        <f>IFERROR(IF(H3402&gt;0,H3402*$C$7,""),"")</f>
        <v/>
      </c>
      <c r="L3402" s="139">
        <f>IFERROR(IF(ISNUMBER(F3402),F3402-IF(ISNUMBER(K3402),K3402,0),""),"")</f>
        <v/>
      </c>
    </row>
    <row r="3403" ht="24" customHeight="1" s="63">
      <c r="E3403" s="139" t="n"/>
      <c r="F3403" s="139" t="n"/>
      <c r="G3403" s="140">
        <f>IFERROR(IF(E3403&gt;0,(F3403/E3403)*1000,""),"")</f>
        <v/>
      </c>
      <c r="H3403" s="139">
        <f>IFERROR(IF(E3403&gt;0,E3403*IF(ISNUMBER(J3403),J3403,IF(C3403="Futures",$C$6,$C$5)),""),"")</f>
        <v/>
      </c>
      <c r="I3403" s="139">
        <f>IFERROR(IF(AND(ISNUMBER(F3403),ISNUMBER(H3403)),F3403-H3403,""),"")</f>
        <v/>
      </c>
      <c r="J3403" s="114" t="n"/>
      <c r="K3403" s="139">
        <f>IFERROR(IF(H3403&gt;0,H3403*$C$7,""),"")</f>
        <v/>
      </c>
      <c r="L3403" s="139">
        <f>IFERROR(IF(ISNUMBER(F3403),F3403-IF(ISNUMBER(K3403),K3403,0),""),"")</f>
        <v/>
      </c>
    </row>
    <row r="3404" ht="24" customHeight="1" s="63">
      <c r="E3404" s="139" t="n"/>
      <c r="F3404" s="139" t="n"/>
      <c r="G3404" s="140">
        <f>IFERROR(IF(E3404&gt;0,(F3404/E3404)*1000,""),"")</f>
        <v/>
      </c>
      <c r="H3404" s="139">
        <f>IFERROR(IF(E3404&gt;0,E3404*IF(ISNUMBER(J3404),J3404,IF(C3404="Futures",$C$6,$C$5)),""),"")</f>
        <v/>
      </c>
      <c r="I3404" s="139">
        <f>IFERROR(IF(AND(ISNUMBER(F3404),ISNUMBER(H3404)),F3404-H3404,""),"")</f>
        <v/>
      </c>
      <c r="J3404" s="114" t="n"/>
      <c r="K3404" s="139">
        <f>IFERROR(IF(H3404&gt;0,H3404*$C$7,""),"")</f>
        <v/>
      </c>
      <c r="L3404" s="139">
        <f>IFERROR(IF(ISNUMBER(F3404),F3404-IF(ISNUMBER(K3404),K3404,0),""),"")</f>
        <v/>
      </c>
    </row>
    <row r="3405" ht="24" customHeight="1" s="63">
      <c r="E3405" s="139" t="n"/>
      <c r="F3405" s="139" t="n"/>
      <c r="G3405" s="140">
        <f>IFERROR(IF(E3405&gt;0,(F3405/E3405)*1000,""),"")</f>
        <v/>
      </c>
      <c r="H3405" s="139">
        <f>IFERROR(IF(E3405&gt;0,E3405*IF(ISNUMBER(J3405),J3405,IF(C3405="Futures",$C$6,$C$5)),""),"")</f>
        <v/>
      </c>
      <c r="I3405" s="139">
        <f>IFERROR(IF(AND(ISNUMBER(F3405),ISNUMBER(H3405)),F3405-H3405,""),"")</f>
        <v/>
      </c>
      <c r="J3405" s="114" t="n"/>
      <c r="K3405" s="139">
        <f>IFERROR(IF(H3405&gt;0,H3405*$C$7,""),"")</f>
        <v/>
      </c>
      <c r="L3405" s="139">
        <f>IFERROR(IF(ISNUMBER(F3405),F3405-IF(ISNUMBER(K3405),K3405,0),""),"")</f>
        <v/>
      </c>
    </row>
    <row r="3406" ht="24" customHeight="1" s="63">
      <c r="E3406" s="139" t="n"/>
      <c r="F3406" s="139" t="n"/>
      <c r="G3406" s="140">
        <f>IFERROR(IF(E3406&gt;0,(F3406/E3406)*1000,""),"")</f>
        <v/>
      </c>
      <c r="H3406" s="139">
        <f>IFERROR(IF(E3406&gt;0,E3406*IF(ISNUMBER(J3406),J3406,IF(C3406="Futures",$C$6,$C$5)),""),"")</f>
        <v/>
      </c>
      <c r="I3406" s="139">
        <f>IFERROR(IF(AND(ISNUMBER(F3406),ISNUMBER(H3406)),F3406-H3406,""),"")</f>
        <v/>
      </c>
      <c r="J3406" s="114" t="n"/>
      <c r="K3406" s="139">
        <f>IFERROR(IF(H3406&gt;0,H3406*$C$7,""),"")</f>
        <v/>
      </c>
      <c r="L3406" s="139">
        <f>IFERROR(IF(ISNUMBER(F3406),F3406-IF(ISNUMBER(K3406),K3406,0),""),"")</f>
        <v/>
      </c>
    </row>
    <row r="3407" ht="24" customHeight="1" s="63">
      <c r="E3407" s="139" t="n"/>
      <c r="F3407" s="139" t="n"/>
      <c r="G3407" s="140">
        <f>IFERROR(IF(E3407&gt;0,(F3407/E3407)*1000,""),"")</f>
        <v/>
      </c>
      <c r="H3407" s="139">
        <f>IFERROR(IF(E3407&gt;0,E3407*IF(ISNUMBER(J3407),J3407,IF(C3407="Futures",$C$6,$C$5)),""),"")</f>
        <v/>
      </c>
      <c r="I3407" s="139">
        <f>IFERROR(IF(AND(ISNUMBER(F3407),ISNUMBER(H3407)),F3407-H3407,""),"")</f>
        <v/>
      </c>
      <c r="J3407" s="114" t="n"/>
      <c r="K3407" s="139">
        <f>IFERROR(IF(H3407&gt;0,H3407*$C$7,""),"")</f>
        <v/>
      </c>
      <c r="L3407" s="139">
        <f>IFERROR(IF(ISNUMBER(F3407),F3407-IF(ISNUMBER(K3407),K3407,0),""),"")</f>
        <v/>
      </c>
    </row>
    <row r="3408" ht="24" customHeight="1" s="63">
      <c r="E3408" s="139" t="n"/>
      <c r="F3408" s="139" t="n"/>
      <c r="G3408" s="140">
        <f>IFERROR(IF(E3408&gt;0,(F3408/E3408)*1000,""),"")</f>
        <v/>
      </c>
      <c r="H3408" s="139">
        <f>IFERROR(IF(E3408&gt;0,E3408*IF(ISNUMBER(J3408),J3408,IF(C3408="Futures",$C$6,$C$5)),""),"")</f>
        <v/>
      </c>
      <c r="I3408" s="139">
        <f>IFERROR(IF(AND(ISNUMBER(F3408),ISNUMBER(H3408)),F3408-H3408,""),"")</f>
        <v/>
      </c>
      <c r="J3408" s="114" t="n"/>
      <c r="K3408" s="139">
        <f>IFERROR(IF(H3408&gt;0,H3408*$C$7,""),"")</f>
        <v/>
      </c>
      <c r="L3408" s="139">
        <f>IFERROR(IF(ISNUMBER(F3408),F3408-IF(ISNUMBER(K3408),K3408,0),""),"")</f>
        <v/>
      </c>
    </row>
    <row r="3409" ht="24" customHeight="1" s="63">
      <c r="E3409" s="139" t="n"/>
      <c r="F3409" s="139" t="n"/>
      <c r="G3409" s="140">
        <f>IFERROR(IF(E3409&gt;0,(F3409/E3409)*1000,""),"")</f>
        <v/>
      </c>
      <c r="H3409" s="139">
        <f>IFERROR(IF(E3409&gt;0,E3409*IF(ISNUMBER(J3409),J3409,IF(C3409="Futures",$C$6,$C$5)),""),"")</f>
        <v/>
      </c>
      <c r="I3409" s="139">
        <f>IFERROR(IF(AND(ISNUMBER(F3409),ISNUMBER(H3409)),F3409-H3409,""),"")</f>
        <v/>
      </c>
      <c r="J3409" s="114" t="n"/>
      <c r="K3409" s="139">
        <f>IFERROR(IF(H3409&gt;0,H3409*$C$7,""),"")</f>
        <v/>
      </c>
      <c r="L3409" s="139">
        <f>IFERROR(IF(ISNUMBER(F3409),F3409-IF(ISNUMBER(K3409),K3409,0),""),"")</f>
        <v/>
      </c>
    </row>
    <row r="3410" ht="24" customHeight="1" s="63">
      <c r="E3410" s="139" t="n"/>
      <c r="F3410" s="139" t="n"/>
      <c r="G3410" s="140">
        <f>IFERROR(IF(E3410&gt;0,(F3410/E3410)*1000,""),"")</f>
        <v/>
      </c>
      <c r="H3410" s="139">
        <f>IFERROR(IF(E3410&gt;0,E3410*IF(ISNUMBER(J3410),J3410,IF(C3410="Futures",$C$6,$C$5)),""),"")</f>
        <v/>
      </c>
      <c r="I3410" s="139">
        <f>IFERROR(IF(AND(ISNUMBER(F3410),ISNUMBER(H3410)),F3410-H3410,""),"")</f>
        <v/>
      </c>
      <c r="J3410" s="114" t="n"/>
      <c r="K3410" s="139">
        <f>IFERROR(IF(H3410&gt;0,H3410*$C$7,""),"")</f>
        <v/>
      </c>
      <c r="L3410" s="139">
        <f>IFERROR(IF(ISNUMBER(F3410),F3410-IF(ISNUMBER(K3410),K3410,0),""),"")</f>
        <v/>
      </c>
    </row>
    <row r="3411" ht="24" customHeight="1" s="63">
      <c r="E3411" s="139" t="n"/>
      <c r="F3411" s="139" t="n"/>
      <c r="G3411" s="140">
        <f>IFERROR(IF(E3411&gt;0,(F3411/E3411)*1000,""),"")</f>
        <v/>
      </c>
      <c r="H3411" s="139">
        <f>IFERROR(IF(E3411&gt;0,E3411*IF(ISNUMBER(J3411),J3411,IF(C3411="Futures",$C$6,$C$5)),""),"")</f>
        <v/>
      </c>
      <c r="I3411" s="139">
        <f>IFERROR(IF(AND(ISNUMBER(F3411),ISNUMBER(H3411)),F3411-H3411,""),"")</f>
        <v/>
      </c>
      <c r="J3411" s="114" t="n"/>
      <c r="K3411" s="139">
        <f>IFERROR(IF(H3411&gt;0,H3411*$C$7,""),"")</f>
        <v/>
      </c>
      <c r="L3411" s="139">
        <f>IFERROR(IF(ISNUMBER(F3411),F3411-IF(ISNUMBER(K3411),K3411,0),""),"")</f>
        <v/>
      </c>
    </row>
    <row r="3412" ht="24" customHeight="1" s="63">
      <c r="E3412" s="139" t="n"/>
      <c r="F3412" s="139" t="n"/>
      <c r="G3412" s="140">
        <f>IFERROR(IF(E3412&gt;0,(F3412/E3412)*1000,""),"")</f>
        <v/>
      </c>
      <c r="H3412" s="139">
        <f>IFERROR(IF(E3412&gt;0,E3412*IF(ISNUMBER(J3412),J3412,IF(C3412="Futures",$C$6,$C$5)),""),"")</f>
        <v/>
      </c>
      <c r="I3412" s="139">
        <f>IFERROR(IF(AND(ISNUMBER(F3412),ISNUMBER(H3412)),F3412-H3412,""),"")</f>
        <v/>
      </c>
      <c r="J3412" s="114" t="n"/>
      <c r="K3412" s="139">
        <f>IFERROR(IF(H3412&gt;0,H3412*$C$7,""),"")</f>
        <v/>
      </c>
      <c r="L3412" s="139">
        <f>IFERROR(IF(ISNUMBER(F3412),F3412-IF(ISNUMBER(K3412),K3412,0),""),"")</f>
        <v/>
      </c>
    </row>
    <row r="3413" ht="24" customHeight="1" s="63">
      <c r="E3413" s="139" t="n"/>
      <c r="F3413" s="139" t="n"/>
      <c r="G3413" s="140">
        <f>IFERROR(IF(E3413&gt;0,(F3413/E3413)*1000,""),"")</f>
        <v/>
      </c>
      <c r="H3413" s="139">
        <f>IFERROR(IF(E3413&gt;0,E3413*IF(ISNUMBER(J3413),J3413,IF(C3413="Futures",$C$6,$C$5)),""),"")</f>
        <v/>
      </c>
      <c r="I3413" s="139">
        <f>IFERROR(IF(AND(ISNUMBER(F3413),ISNUMBER(H3413)),F3413-H3413,""),"")</f>
        <v/>
      </c>
      <c r="J3413" s="114" t="n"/>
      <c r="K3413" s="139">
        <f>IFERROR(IF(H3413&gt;0,H3413*$C$7,""),"")</f>
        <v/>
      </c>
      <c r="L3413" s="139">
        <f>IFERROR(IF(ISNUMBER(F3413),F3413-IF(ISNUMBER(K3413),K3413,0),""),"")</f>
        <v/>
      </c>
    </row>
    <row r="3414" ht="24" customHeight="1" s="63">
      <c r="E3414" s="139" t="n"/>
      <c r="F3414" s="139" t="n"/>
      <c r="G3414" s="140">
        <f>IFERROR(IF(E3414&gt;0,(F3414/E3414)*1000,""),"")</f>
        <v/>
      </c>
      <c r="H3414" s="139">
        <f>IFERROR(IF(E3414&gt;0,E3414*IF(ISNUMBER(J3414),J3414,IF(C3414="Futures",$C$6,$C$5)),""),"")</f>
        <v/>
      </c>
      <c r="I3414" s="139">
        <f>IFERROR(IF(AND(ISNUMBER(F3414),ISNUMBER(H3414)),F3414-H3414,""),"")</f>
        <v/>
      </c>
      <c r="J3414" s="114" t="n"/>
      <c r="K3414" s="139">
        <f>IFERROR(IF(H3414&gt;0,H3414*$C$7,""),"")</f>
        <v/>
      </c>
      <c r="L3414" s="139">
        <f>IFERROR(IF(ISNUMBER(F3414),F3414-IF(ISNUMBER(K3414),K3414,0),""),"")</f>
        <v/>
      </c>
    </row>
    <row r="3415" ht="24" customHeight="1" s="63">
      <c r="E3415" s="139" t="n"/>
      <c r="F3415" s="139" t="n"/>
      <c r="G3415" s="140">
        <f>IFERROR(IF(E3415&gt;0,(F3415/E3415)*1000,""),"")</f>
        <v/>
      </c>
      <c r="H3415" s="139">
        <f>IFERROR(IF(E3415&gt;0,E3415*IF(ISNUMBER(J3415),J3415,IF(C3415="Futures",$C$6,$C$5)),""),"")</f>
        <v/>
      </c>
      <c r="I3415" s="139">
        <f>IFERROR(IF(AND(ISNUMBER(F3415),ISNUMBER(H3415)),F3415-H3415,""),"")</f>
        <v/>
      </c>
      <c r="J3415" s="114" t="n"/>
      <c r="K3415" s="139">
        <f>IFERROR(IF(H3415&gt;0,H3415*$C$7,""),"")</f>
        <v/>
      </c>
      <c r="L3415" s="139">
        <f>IFERROR(IF(ISNUMBER(F3415),F3415-IF(ISNUMBER(K3415),K3415,0),""),"")</f>
        <v/>
      </c>
    </row>
    <row r="3416" ht="24" customHeight="1" s="63">
      <c r="E3416" s="139" t="n"/>
      <c r="F3416" s="139" t="n"/>
      <c r="G3416" s="140">
        <f>IFERROR(IF(E3416&gt;0,(F3416/E3416)*1000,""),"")</f>
        <v/>
      </c>
      <c r="H3416" s="139">
        <f>IFERROR(IF(E3416&gt;0,E3416*IF(ISNUMBER(J3416),J3416,IF(C3416="Futures",$C$6,$C$5)),""),"")</f>
        <v/>
      </c>
      <c r="I3416" s="139">
        <f>IFERROR(IF(AND(ISNUMBER(F3416),ISNUMBER(H3416)),F3416-H3416,""),"")</f>
        <v/>
      </c>
      <c r="J3416" s="114" t="n"/>
      <c r="K3416" s="139">
        <f>IFERROR(IF(H3416&gt;0,H3416*$C$7,""),"")</f>
        <v/>
      </c>
      <c r="L3416" s="139">
        <f>IFERROR(IF(ISNUMBER(F3416),F3416-IF(ISNUMBER(K3416),K3416,0),""),"")</f>
        <v/>
      </c>
    </row>
    <row r="3417" ht="24" customHeight="1" s="63">
      <c r="E3417" s="139" t="n"/>
      <c r="F3417" s="139" t="n"/>
      <c r="G3417" s="140">
        <f>IFERROR(IF(E3417&gt;0,(F3417/E3417)*1000,""),"")</f>
        <v/>
      </c>
      <c r="H3417" s="139">
        <f>IFERROR(IF(E3417&gt;0,E3417*IF(ISNUMBER(J3417),J3417,IF(C3417="Futures",$C$6,$C$5)),""),"")</f>
        <v/>
      </c>
      <c r="I3417" s="139">
        <f>IFERROR(IF(AND(ISNUMBER(F3417),ISNUMBER(H3417)),F3417-H3417,""),"")</f>
        <v/>
      </c>
      <c r="J3417" s="114" t="n"/>
      <c r="K3417" s="139">
        <f>IFERROR(IF(H3417&gt;0,H3417*$C$7,""),"")</f>
        <v/>
      </c>
      <c r="L3417" s="139">
        <f>IFERROR(IF(ISNUMBER(F3417),F3417-IF(ISNUMBER(K3417),K3417,0),""),"")</f>
        <v/>
      </c>
    </row>
    <row r="3418" ht="24" customHeight="1" s="63">
      <c r="E3418" s="139" t="n"/>
      <c r="F3418" s="139" t="n"/>
      <c r="G3418" s="140">
        <f>IFERROR(IF(E3418&gt;0,(F3418/E3418)*1000,""),"")</f>
        <v/>
      </c>
      <c r="H3418" s="139">
        <f>IFERROR(IF(E3418&gt;0,E3418*IF(ISNUMBER(J3418),J3418,IF(C3418="Futures",$C$6,$C$5)),""),"")</f>
        <v/>
      </c>
      <c r="I3418" s="139">
        <f>IFERROR(IF(AND(ISNUMBER(F3418),ISNUMBER(H3418)),F3418-H3418,""),"")</f>
        <v/>
      </c>
      <c r="J3418" s="114" t="n"/>
      <c r="K3418" s="139">
        <f>IFERROR(IF(H3418&gt;0,H3418*$C$7,""),"")</f>
        <v/>
      </c>
      <c r="L3418" s="139">
        <f>IFERROR(IF(ISNUMBER(F3418),F3418-IF(ISNUMBER(K3418),K3418,0),""),"")</f>
        <v/>
      </c>
    </row>
    <row r="3419" ht="24" customHeight="1" s="63">
      <c r="E3419" s="139" t="n"/>
      <c r="F3419" s="139" t="n"/>
      <c r="G3419" s="140">
        <f>IFERROR(IF(E3419&gt;0,(F3419/E3419)*1000,""),"")</f>
        <v/>
      </c>
      <c r="H3419" s="139">
        <f>IFERROR(IF(E3419&gt;0,E3419*IF(ISNUMBER(J3419),J3419,IF(C3419="Futures",$C$6,$C$5)),""),"")</f>
        <v/>
      </c>
      <c r="I3419" s="139">
        <f>IFERROR(IF(AND(ISNUMBER(F3419),ISNUMBER(H3419)),F3419-H3419,""),"")</f>
        <v/>
      </c>
      <c r="J3419" s="114" t="n"/>
      <c r="K3419" s="139">
        <f>IFERROR(IF(H3419&gt;0,H3419*$C$7,""),"")</f>
        <v/>
      </c>
      <c r="L3419" s="139">
        <f>IFERROR(IF(ISNUMBER(F3419),F3419-IF(ISNUMBER(K3419),K3419,0),""),"")</f>
        <v/>
      </c>
    </row>
    <row r="3420" ht="24" customHeight="1" s="63">
      <c r="E3420" s="139" t="n"/>
      <c r="F3420" s="139" t="n"/>
      <c r="G3420" s="140">
        <f>IFERROR(IF(E3420&gt;0,(F3420/E3420)*1000,""),"")</f>
        <v/>
      </c>
      <c r="H3420" s="139">
        <f>IFERROR(IF(E3420&gt;0,E3420*IF(ISNUMBER(J3420),J3420,IF(C3420="Futures",$C$6,$C$5)),""),"")</f>
        <v/>
      </c>
      <c r="I3420" s="139">
        <f>IFERROR(IF(AND(ISNUMBER(F3420),ISNUMBER(H3420)),F3420-H3420,""),"")</f>
        <v/>
      </c>
      <c r="J3420" s="114" t="n"/>
      <c r="K3420" s="139">
        <f>IFERROR(IF(H3420&gt;0,H3420*$C$7,""),"")</f>
        <v/>
      </c>
      <c r="L3420" s="139">
        <f>IFERROR(IF(ISNUMBER(F3420),F3420-IF(ISNUMBER(K3420),K3420,0),""),"")</f>
        <v/>
      </c>
    </row>
    <row r="3421" ht="24" customHeight="1" s="63">
      <c r="E3421" s="139" t="n"/>
      <c r="F3421" s="139" t="n"/>
      <c r="G3421" s="140">
        <f>IFERROR(IF(E3421&gt;0,(F3421/E3421)*1000,""),"")</f>
        <v/>
      </c>
      <c r="H3421" s="139">
        <f>IFERROR(IF(E3421&gt;0,E3421*IF(ISNUMBER(J3421),J3421,IF(C3421="Futures",$C$6,$C$5)),""),"")</f>
        <v/>
      </c>
      <c r="I3421" s="139">
        <f>IFERROR(IF(AND(ISNUMBER(F3421),ISNUMBER(H3421)),F3421-H3421,""),"")</f>
        <v/>
      </c>
      <c r="J3421" s="114" t="n"/>
      <c r="K3421" s="139">
        <f>IFERROR(IF(H3421&gt;0,H3421*$C$7,""),"")</f>
        <v/>
      </c>
      <c r="L3421" s="139">
        <f>IFERROR(IF(ISNUMBER(F3421),F3421-IF(ISNUMBER(K3421),K3421,0),""),"")</f>
        <v/>
      </c>
    </row>
    <row r="3422" ht="24" customHeight="1" s="63">
      <c r="E3422" s="139" t="n"/>
      <c r="F3422" s="139" t="n"/>
      <c r="G3422" s="140">
        <f>IFERROR(IF(E3422&gt;0,(F3422/E3422)*1000,""),"")</f>
        <v/>
      </c>
      <c r="H3422" s="139">
        <f>IFERROR(IF(E3422&gt;0,E3422*IF(ISNUMBER(J3422),J3422,IF(C3422="Futures",$C$6,$C$5)),""),"")</f>
        <v/>
      </c>
      <c r="I3422" s="139">
        <f>IFERROR(IF(AND(ISNUMBER(F3422),ISNUMBER(H3422)),F3422-H3422,""),"")</f>
        <v/>
      </c>
      <c r="J3422" s="114" t="n"/>
      <c r="K3422" s="139">
        <f>IFERROR(IF(H3422&gt;0,H3422*$C$7,""),"")</f>
        <v/>
      </c>
      <c r="L3422" s="139">
        <f>IFERROR(IF(ISNUMBER(F3422),F3422-IF(ISNUMBER(K3422),K3422,0),""),"")</f>
        <v/>
      </c>
    </row>
    <row r="3423" ht="24" customHeight="1" s="63">
      <c r="E3423" s="139" t="n"/>
      <c r="F3423" s="139" t="n"/>
      <c r="G3423" s="140">
        <f>IFERROR(IF(E3423&gt;0,(F3423/E3423)*1000,""),"")</f>
        <v/>
      </c>
      <c r="H3423" s="139">
        <f>IFERROR(IF(E3423&gt;0,E3423*IF(ISNUMBER(J3423),J3423,IF(C3423="Futures",$C$6,$C$5)),""),"")</f>
        <v/>
      </c>
      <c r="I3423" s="139">
        <f>IFERROR(IF(AND(ISNUMBER(F3423),ISNUMBER(H3423)),F3423-H3423,""),"")</f>
        <v/>
      </c>
      <c r="J3423" s="114" t="n"/>
      <c r="K3423" s="139">
        <f>IFERROR(IF(H3423&gt;0,H3423*$C$7,""),"")</f>
        <v/>
      </c>
      <c r="L3423" s="139">
        <f>IFERROR(IF(ISNUMBER(F3423),F3423-IF(ISNUMBER(K3423),K3423,0),""),"")</f>
        <v/>
      </c>
    </row>
    <row r="3424" ht="24" customHeight="1" s="63">
      <c r="E3424" s="139" t="n"/>
      <c r="F3424" s="139" t="n"/>
      <c r="G3424" s="140">
        <f>IFERROR(IF(E3424&gt;0,(F3424/E3424)*1000,""),"")</f>
        <v/>
      </c>
      <c r="H3424" s="139">
        <f>IFERROR(IF(E3424&gt;0,E3424*IF(ISNUMBER(J3424),J3424,IF(C3424="Futures",$C$6,$C$5)),""),"")</f>
        <v/>
      </c>
      <c r="I3424" s="139">
        <f>IFERROR(IF(AND(ISNUMBER(F3424),ISNUMBER(H3424)),F3424-H3424,""),"")</f>
        <v/>
      </c>
      <c r="J3424" s="114" t="n"/>
      <c r="K3424" s="139">
        <f>IFERROR(IF(H3424&gt;0,H3424*$C$7,""),"")</f>
        <v/>
      </c>
      <c r="L3424" s="139">
        <f>IFERROR(IF(ISNUMBER(F3424),F3424-IF(ISNUMBER(K3424),K3424,0),""),"")</f>
        <v/>
      </c>
    </row>
    <row r="3425" ht="24" customHeight="1" s="63">
      <c r="E3425" s="139" t="n"/>
      <c r="F3425" s="139" t="n"/>
      <c r="G3425" s="140">
        <f>IFERROR(IF(E3425&gt;0,(F3425/E3425)*1000,""),"")</f>
        <v/>
      </c>
      <c r="H3425" s="139">
        <f>IFERROR(IF(E3425&gt;0,E3425*IF(ISNUMBER(J3425),J3425,IF(C3425="Futures",$C$6,$C$5)),""),"")</f>
        <v/>
      </c>
      <c r="I3425" s="139">
        <f>IFERROR(IF(AND(ISNUMBER(F3425),ISNUMBER(H3425)),F3425-H3425,""),"")</f>
        <v/>
      </c>
      <c r="J3425" s="114" t="n"/>
      <c r="K3425" s="139">
        <f>IFERROR(IF(H3425&gt;0,H3425*$C$7,""),"")</f>
        <v/>
      </c>
      <c r="L3425" s="139">
        <f>IFERROR(IF(ISNUMBER(F3425),F3425-IF(ISNUMBER(K3425),K3425,0),""),"")</f>
        <v/>
      </c>
    </row>
    <row r="3426" ht="24" customHeight="1" s="63">
      <c r="E3426" s="139" t="n"/>
      <c r="F3426" s="139" t="n"/>
      <c r="G3426" s="140">
        <f>IFERROR(IF(E3426&gt;0,(F3426/E3426)*1000,""),"")</f>
        <v/>
      </c>
      <c r="H3426" s="139">
        <f>IFERROR(IF(E3426&gt;0,E3426*IF(ISNUMBER(J3426),J3426,IF(C3426="Futures",$C$6,$C$5)),""),"")</f>
        <v/>
      </c>
      <c r="I3426" s="139">
        <f>IFERROR(IF(AND(ISNUMBER(F3426),ISNUMBER(H3426)),F3426-H3426,""),"")</f>
        <v/>
      </c>
      <c r="J3426" s="114" t="n"/>
      <c r="K3426" s="139">
        <f>IFERROR(IF(H3426&gt;0,H3426*$C$7,""),"")</f>
        <v/>
      </c>
      <c r="L3426" s="139">
        <f>IFERROR(IF(ISNUMBER(F3426),F3426-IF(ISNUMBER(K3426),K3426,0),""),"")</f>
        <v/>
      </c>
    </row>
    <row r="3427" ht="24" customHeight="1" s="63">
      <c r="E3427" s="139" t="n"/>
      <c r="F3427" s="139" t="n"/>
      <c r="G3427" s="140">
        <f>IFERROR(IF(E3427&gt;0,(F3427/E3427)*1000,""),"")</f>
        <v/>
      </c>
      <c r="H3427" s="139">
        <f>IFERROR(IF(E3427&gt;0,E3427*IF(ISNUMBER(J3427),J3427,IF(C3427="Futures",$C$6,$C$5)),""),"")</f>
        <v/>
      </c>
      <c r="I3427" s="139">
        <f>IFERROR(IF(AND(ISNUMBER(F3427),ISNUMBER(H3427)),F3427-H3427,""),"")</f>
        <v/>
      </c>
      <c r="J3427" s="114" t="n"/>
      <c r="K3427" s="139">
        <f>IFERROR(IF(H3427&gt;0,H3427*$C$7,""),"")</f>
        <v/>
      </c>
      <c r="L3427" s="139">
        <f>IFERROR(IF(ISNUMBER(F3427),F3427-IF(ISNUMBER(K3427),K3427,0),""),"")</f>
        <v/>
      </c>
    </row>
    <row r="3428" ht="24" customHeight="1" s="63">
      <c r="E3428" s="139" t="n"/>
      <c r="F3428" s="139" t="n"/>
      <c r="G3428" s="140">
        <f>IFERROR(IF(E3428&gt;0,(F3428/E3428)*1000,""),"")</f>
        <v/>
      </c>
      <c r="H3428" s="139">
        <f>IFERROR(IF(E3428&gt;0,E3428*IF(ISNUMBER(J3428),J3428,IF(C3428="Futures",$C$6,$C$5)),""),"")</f>
        <v/>
      </c>
      <c r="I3428" s="139">
        <f>IFERROR(IF(AND(ISNUMBER(F3428),ISNUMBER(H3428)),F3428-H3428,""),"")</f>
        <v/>
      </c>
      <c r="J3428" s="114" t="n"/>
      <c r="K3428" s="139">
        <f>IFERROR(IF(H3428&gt;0,H3428*$C$7,""),"")</f>
        <v/>
      </c>
      <c r="L3428" s="139">
        <f>IFERROR(IF(ISNUMBER(F3428),F3428-IF(ISNUMBER(K3428),K3428,0),""),"")</f>
        <v/>
      </c>
    </row>
    <row r="3429" ht="24" customHeight="1" s="63">
      <c r="E3429" s="139" t="n"/>
      <c r="F3429" s="139" t="n"/>
      <c r="G3429" s="140">
        <f>IFERROR(IF(E3429&gt;0,(F3429/E3429)*1000,""),"")</f>
        <v/>
      </c>
      <c r="H3429" s="139">
        <f>IFERROR(IF(E3429&gt;0,E3429*IF(ISNUMBER(J3429),J3429,IF(C3429="Futures",$C$6,$C$5)),""),"")</f>
        <v/>
      </c>
      <c r="I3429" s="139">
        <f>IFERROR(IF(AND(ISNUMBER(F3429),ISNUMBER(H3429)),F3429-H3429,""),"")</f>
        <v/>
      </c>
      <c r="J3429" s="114" t="n"/>
      <c r="K3429" s="139">
        <f>IFERROR(IF(H3429&gt;0,H3429*$C$7,""),"")</f>
        <v/>
      </c>
      <c r="L3429" s="139">
        <f>IFERROR(IF(ISNUMBER(F3429),F3429-IF(ISNUMBER(K3429),K3429,0),""),"")</f>
        <v/>
      </c>
    </row>
    <row r="3430" ht="24" customHeight="1" s="63">
      <c r="E3430" s="139" t="n"/>
      <c r="F3430" s="139" t="n"/>
      <c r="G3430" s="140">
        <f>IFERROR(IF(E3430&gt;0,(F3430/E3430)*1000,""),"")</f>
        <v/>
      </c>
      <c r="H3430" s="139">
        <f>IFERROR(IF(E3430&gt;0,E3430*IF(ISNUMBER(J3430),J3430,IF(C3430="Futures",$C$6,$C$5)),""),"")</f>
        <v/>
      </c>
      <c r="I3430" s="139">
        <f>IFERROR(IF(AND(ISNUMBER(F3430),ISNUMBER(H3430)),F3430-H3430,""),"")</f>
        <v/>
      </c>
      <c r="J3430" s="114" t="n"/>
      <c r="K3430" s="139">
        <f>IFERROR(IF(H3430&gt;0,H3430*$C$7,""),"")</f>
        <v/>
      </c>
      <c r="L3430" s="139">
        <f>IFERROR(IF(ISNUMBER(F3430),F3430-IF(ISNUMBER(K3430),K3430,0),""),"")</f>
        <v/>
      </c>
    </row>
    <row r="3431" ht="24" customHeight="1" s="63">
      <c r="E3431" s="139" t="n"/>
      <c r="F3431" s="139" t="n"/>
      <c r="G3431" s="140">
        <f>IFERROR(IF(E3431&gt;0,(F3431/E3431)*1000,""),"")</f>
        <v/>
      </c>
      <c r="H3431" s="139">
        <f>IFERROR(IF(E3431&gt;0,E3431*IF(ISNUMBER(J3431),J3431,IF(C3431="Futures",$C$6,$C$5)),""),"")</f>
        <v/>
      </c>
      <c r="I3431" s="139">
        <f>IFERROR(IF(AND(ISNUMBER(F3431),ISNUMBER(H3431)),F3431-H3431,""),"")</f>
        <v/>
      </c>
      <c r="J3431" s="114" t="n"/>
      <c r="K3431" s="139">
        <f>IFERROR(IF(H3431&gt;0,H3431*$C$7,""),"")</f>
        <v/>
      </c>
      <c r="L3431" s="139">
        <f>IFERROR(IF(ISNUMBER(F3431),F3431-IF(ISNUMBER(K3431),K3431,0),""),"")</f>
        <v/>
      </c>
    </row>
    <row r="3432" ht="24" customHeight="1" s="63">
      <c r="E3432" s="139" t="n"/>
      <c r="F3432" s="139" t="n"/>
      <c r="G3432" s="140">
        <f>IFERROR(IF(E3432&gt;0,(F3432/E3432)*1000,""),"")</f>
        <v/>
      </c>
      <c r="H3432" s="139">
        <f>IFERROR(IF(E3432&gt;0,E3432*IF(ISNUMBER(J3432),J3432,IF(C3432="Futures",$C$6,$C$5)),""),"")</f>
        <v/>
      </c>
      <c r="I3432" s="139">
        <f>IFERROR(IF(AND(ISNUMBER(F3432),ISNUMBER(H3432)),F3432-H3432,""),"")</f>
        <v/>
      </c>
      <c r="J3432" s="114" t="n"/>
      <c r="K3432" s="139">
        <f>IFERROR(IF(H3432&gt;0,H3432*$C$7,""),"")</f>
        <v/>
      </c>
      <c r="L3432" s="139">
        <f>IFERROR(IF(ISNUMBER(F3432),F3432-IF(ISNUMBER(K3432),K3432,0),""),"")</f>
        <v/>
      </c>
    </row>
    <row r="3433" ht="24" customHeight="1" s="63">
      <c r="E3433" s="139" t="n"/>
      <c r="F3433" s="139" t="n"/>
      <c r="G3433" s="140">
        <f>IFERROR(IF(E3433&gt;0,(F3433/E3433)*1000,""),"")</f>
        <v/>
      </c>
      <c r="H3433" s="139">
        <f>IFERROR(IF(E3433&gt;0,E3433*IF(ISNUMBER(J3433),J3433,IF(C3433="Futures",$C$6,$C$5)),""),"")</f>
        <v/>
      </c>
      <c r="I3433" s="139">
        <f>IFERROR(IF(AND(ISNUMBER(F3433),ISNUMBER(H3433)),F3433-H3433,""),"")</f>
        <v/>
      </c>
      <c r="J3433" s="114" t="n"/>
      <c r="K3433" s="139">
        <f>IFERROR(IF(H3433&gt;0,H3433*$C$7,""),"")</f>
        <v/>
      </c>
      <c r="L3433" s="139">
        <f>IFERROR(IF(ISNUMBER(F3433),F3433-IF(ISNUMBER(K3433),K3433,0),""),"")</f>
        <v/>
      </c>
    </row>
    <row r="3434" ht="24" customHeight="1" s="63">
      <c r="E3434" s="139" t="n"/>
      <c r="F3434" s="139" t="n"/>
      <c r="G3434" s="140">
        <f>IFERROR(IF(E3434&gt;0,(F3434/E3434)*1000,""),"")</f>
        <v/>
      </c>
      <c r="H3434" s="139">
        <f>IFERROR(IF(E3434&gt;0,E3434*IF(ISNUMBER(J3434),J3434,IF(C3434="Futures",$C$6,$C$5)),""),"")</f>
        <v/>
      </c>
      <c r="I3434" s="139">
        <f>IFERROR(IF(AND(ISNUMBER(F3434),ISNUMBER(H3434)),F3434-H3434,""),"")</f>
        <v/>
      </c>
      <c r="J3434" s="114" t="n"/>
      <c r="K3434" s="139">
        <f>IFERROR(IF(H3434&gt;0,H3434*$C$7,""),"")</f>
        <v/>
      </c>
      <c r="L3434" s="139">
        <f>IFERROR(IF(ISNUMBER(F3434),F3434-IF(ISNUMBER(K3434),K3434,0),""),"")</f>
        <v/>
      </c>
    </row>
    <row r="3435" ht="24" customHeight="1" s="63">
      <c r="E3435" s="139" t="n"/>
      <c r="F3435" s="139" t="n"/>
      <c r="G3435" s="140">
        <f>IFERROR(IF(E3435&gt;0,(F3435/E3435)*1000,""),"")</f>
        <v/>
      </c>
      <c r="H3435" s="139">
        <f>IFERROR(IF(E3435&gt;0,E3435*IF(ISNUMBER(J3435),J3435,IF(C3435="Futures",$C$6,$C$5)),""),"")</f>
        <v/>
      </c>
      <c r="I3435" s="139">
        <f>IFERROR(IF(AND(ISNUMBER(F3435),ISNUMBER(H3435)),F3435-H3435,""),"")</f>
        <v/>
      </c>
      <c r="J3435" s="114" t="n"/>
      <c r="K3435" s="139">
        <f>IFERROR(IF(H3435&gt;0,H3435*$C$7,""),"")</f>
        <v/>
      </c>
      <c r="L3435" s="139">
        <f>IFERROR(IF(ISNUMBER(F3435),F3435-IF(ISNUMBER(K3435),K3435,0),""),"")</f>
        <v/>
      </c>
    </row>
    <row r="3436" ht="24" customHeight="1" s="63">
      <c r="E3436" s="139" t="n"/>
      <c r="F3436" s="139" t="n"/>
      <c r="G3436" s="140">
        <f>IFERROR(IF(E3436&gt;0,(F3436/E3436)*1000,""),"")</f>
        <v/>
      </c>
      <c r="H3436" s="139">
        <f>IFERROR(IF(E3436&gt;0,E3436*IF(ISNUMBER(J3436),J3436,IF(C3436="Futures",$C$6,$C$5)),""),"")</f>
        <v/>
      </c>
      <c r="I3436" s="139">
        <f>IFERROR(IF(AND(ISNUMBER(F3436),ISNUMBER(H3436)),F3436-H3436,""),"")</f>
        <v/>
      </c>
      <c r="J3436" s="114" t="n"/>
      <c r="K3436" s="139">
        <f>IFERROR(IF(H3436&gt;0,H3436*$C$7,""),"")</f>
        <v/>
      </c>
      <c r="L3436" s="139">
        <f>IFERROR(IF(ISNUMBER(F3436),F3436-IF(ISNUMBER(K3436),K3436,0),""),"")</f>
        <v/>
      </c>
    </row>
    <row r="3437" ht="24" customHeight="1" s="63">
      <c r="E3437" s="139" t="n"/>
      <c r="F3437" s="139" t="n"/>
      <c r="G3437" s="140">
        <f>IFERROR(IF(E3437&gt;0,(F3437/E3437)*1000,""),"")</f>
        <v/>
      </c>
      <c r="H3437" s="139">
        <f>IFERROR(IF(E3437&gt;0,E3437*IF(ISNUMBER(J3437),J3437,IF(C3437="Futures",$C$6,$C$5)),""),"")</f>
        <v/>
      </c>
      <c r="I3437" s="139">
        <f>IFERROR(IF(AND(ISNUMBER(F3437),ISNUMBER(H3437)),F3437-H3437,""),"")</f>
        <v/>
      </c>
      <c r="J3437" s="114" t="n"/>
      <c r="K3437" s="139">
        <f>IFERROR(IF(H3437&gt;0,H3437*$C$7,""),"")</f>
        <v/>
      </c>
      <c r="L3437" s="139">
        <f>IFERROR(IF(ISNUMBER(F3437),F3437-IF(ISNUMBER(K3437),K3437,0),""),"")</f>
        <v/>
      </c>
    </row>
    <row r="3438" ht="24" customHeight="1" s="63">
      <c r="E3438" s="139" t="n"/>
      <c r="F3438" s="139" t="n"/>
      <c r="G3438" s="140">
        <f>IFERROR(IF(E3438&gt;0,(F3438/E3438)*1000,""),"")</f>
        <v/>
      </c>
      <c r="H3438" s="139">
        <f>IFERROR(IF(E3438&gt;0,E3438*IF(ISNUMBER(J3438),J3438,IF(C3438="Futures",$C$6,$C$5)),""),"")</f>
        <v/>
      </c>
      <c r="I3438" s="139">
        <f>IFERROR(IF(AND(ISNUMBER(F3438),ISNUMBER(H3438)),F3438-H3438,""),"")</f>
        <v/>
      </c>
      <c r="J3438" s="114" t="n"/>
      <c r="K3438" s="139">
        <f>IFERROR(IF(H3438&gt;0,H3438*$C$7,""),"")</f>
        <v/>
      </c>
      <c r="L3438" s="139">
        <f>IFERROR(IF(ISNUMBER(F3438),F3438-IF(ISNUMBER(K3438),K3438,0),""),"")</f>
        <v/>
      </c>
    </row>
    <row r="3439" ht="24" customHeight="1" s="63">
      <c r="E3439" s="139" t="n"/>
      <c r="F3439" s="139" t="n"/>
      <c r="G3439" s="140">
        <f>IFERROR(IF(E3439&gt;0,(F3439/E3439)*1000,""),"")</f>
        <v/>
      </c>
      <c r="H3439" s="139">
        <f>IFERROR(IF(E3439&gt;0,E3439*IF(ISNUMBER(J3439),J3439,IF(C3439="Futures",$C$6,$C$5)),""),"")</f>
        <v/>
      </c>
      <c r="I3439" s="139">
        <f>IFERROR(IF(AND(ISNUMBER(F3439),ISNUMBER(H3439)),F3439-H3439,""),"")</f>
        <v/>
      </c>
      <c r="J3439" s="114" t="n"/>
      <c r="K3439" s="139">
        <f>IFERROR(IF(H3439&gt;0,H3439*$C$7,""),"")</f>
        <v/>
      </c>
      <c r="L3439" s="139">
        <f>IFERROR(IF(ISNUMBER(F3439),F3439-IF(ISNUMBER(K3439),K3439,0),""),"")</f>
        <v/>
      </c>
    </row>
    <row r="3440" ht="24" customHeight="1" s="63">
      <c r="E3440" s="139" t="n"/>
      <c r="F3440" s="139" t="n"/>
      <c r="G3440" s="140">
        <f>IFERROR(IF(E3440&gt;0,(F3440/E3440)*1000,""),"")</f>
        <v/>
      </c>
      <c r="H3440" s="139">
        <f>IFERROR(IF(E3440&gt;0,E3440*IF(ISNUMBER(J3440),J3440,IF(C3440="Futures",$C$6,$C$5)),""),"")</f>
        <v/>
      </c>
      <c r="I3440" s="139">
        <f>IFERROR(IF(AND(ISNUMBER(F3440),ISNUMBER(H3440)),F3440-H3440,""),"")</f>
        <v/>
      </c>
      <c r="J3440" s="114" t="n"/>
      <c r="K3440" s="139">
        <f>IFERROR(IF(H3440&gt;0,H3440*$C$7,""),"")</f>
        <v/>
      </c>
      <c r="L3440" s="139">
        <f>IFERROR(IF(ISNUMBER(F3440),F3440-IF(ISNUMBER(K3440),K3440,0),""),"")</f>
        <v/>
      </c>
    </row>
    <row r="3441" ht="24" customHeight="1" s="63">
      <c r="E3441" s="139" t="n"/>
      <c r="F3441" s="139" t="n"/>
      <c r="G3441" s="140">
        <f>IFERROR(IF(E3441&gt;0,(F3441/E3441)*1000,""),"")</f>
        <v/>
      </c>
      <c r="H3441" s="139">
        <f>IFERROR(IF(E3441&gt;0,E3441*IF(ISNUMBER(J3441),J3441,IF(C3441="Futures",$C$6,$C$5)),""),"")</f>
        <v/>
      </c>
      <c r="I3441" s="139">
        <f>IFERROR(IF(AND(ISNUMBER(F3441),ISNUMBER(H3441)),F3441-H3441,""),"")</f>
        <v/>
      </c>
      <c r="J3441" s="114" t="n"/>
      <c r="K3441" s="139">
        <f>IFERROR(IF(H3441&gt;0,H3441*$C$7,""),"")</f>
        <v/>
      </c>
      <c r="L3441" s="139">
        <f>IFERROR(IF(ISNUMBER(F3441),F3441-IF(ISNUMBER(K3441),K3441,0),""),"")</f>
        <v/>
      </c>
    </row>
    <row r="3442" ht="24" customHeight="1" s="63">
      <c r="E3442" s="139" t="n"/>
      <c r="F3442" s="139" t="n"/>
      <c r="G3442" s="140">
        <f>IFERROR(IF(E3442&gt;0,(F3442/E3442)*1000,""),"")</f>
        <v/>
      </c>
      <c r="H3442" s="139">
        <f>IFERROR(IF(E3442&gt;0,E3442*IF(ISNUMBER(J3442),J3442,IF(C3442="Futures",$C$6,$C$5)),""),"")</f>
        <v/>
      </c>
      <c r="I3442" s="139">
        <f>IFERROR(IF(AND(ISNUMBER(F3442),ISNUMBER(H3442)),F3442-H3442,""),"")</f>
        <v/>
      </c>
      <c r="J3442" s="114" t="n"/>
      <c r="K3442" s="139">
        <f>IFERROR(IF(H3442&gt;0,H3442*$C$7,""),"")</f>
        <v/>
      </c>
      <c r="L3442" s="139">
        <f>IFERROR(IF(ISNUMBER(F3442),F3442-IF(ISNUMBER(K3442),K3442,0),""),"")</f>
        <v/>
      </c>
    </row>
    <row r="3443" ht="24" customHeight="1" s="63">
      <c r="E3443" s="139" t="n"/>
      <c r="F3443" s="139" t="n"/>
      <c r="G3443" s="140">
        <f>IFERROR(IF(E3443&gt;0,(F3443/E3443)*1000,""),"")</f>
        <v/>
      </c>
      <c r="H3443" s="139">
        <f>IFERROR(IF(E3443&gt;0,E3443*IF(ISNUMBER(J3443),J3443,IF(C3443="Futures",$C$6,$C$5)),""),"")</f>
        <v/>
      </c>
      <c r="I3443" s="139">
        <f>IFERROR(IF(AND(ISNUMBER(F3443),ISNUMBER(H3443)),F3443-H3443,""),"")</f>
        <v/>
      </c>
      <c r="J3443" s="114" t="n"/>
      <c r="K3443" s="139">
        <f>IFERROR(IF(H3443&gt;0,H3443*$C$7,""),"")</f>
        <v/>
      </c>
      <c r="L3443" s="139">
        <f>IFERROR(IF(ISNUMBER(F3443),F3443-IF(ISNUMBER(K3443),K3443,0),""),"")</f>
        <v/>
      </c>
    </row>
    <row r="3444" ht="24" customHeight="1" s="63">
      <c r="E3444" s="139" t="n"/>
      <c r="F3444" s="139" t="n"/>
      <c r="G3444" s="140">
        <f>IFERROR(IF(E3444&gt;0,(F3444/E3444)*1000,""),"")</f>
        <v/>
      </c>
      <c r="H3444" s="139">
        <f>IFERROR(IF(E3444&gt;0,E3444*IF(ISNUMBER(J3444),J3444,IF(C3444="Futures",$C$6,$C$5)),""),"")</f>
        <v/>
      </c>
      <c r="I3444" s="139">
        <f>IFERROR(IF(AND(ISNUMBER(F3444),ISNUMBER(H3444)),F3444-H3444,""),"")</f>
        <v/>
      </c>
      <c r="J3444" s="114" t="n"/>
      <c r="K3444" s="139">
        <f>IFERROR(IF(H3444&gt;0,H3444*$C$7,""),"")</f>
        <v/>
      </c>
      <c r="L3444" s="139">
        <f>IFERROR(IF(ISNUMBER(F3444),F3444-IF(ISNUMBER(K3444),K3444,0),""),"")</f>
        <v/>
      </c>
    </row>
    <row r="3445" ht="24" customHeight="1" s="63">
      <c r="E3445" s="139" t="n"/>
      <c r="F3445" s="139" t="n"/>
      <c r="G3445" s="140">
        <f>IFERROR(IF(E3445&gt;0,(F3445/E3445)*1000,""),"")</f>
        <v/>
      </c>
      <c r="H3445" s="139">
        <f>IFERROR(IF(E3445&gt;0,E3445*IF(ISNUMBER(J3445),J3445,IF(C3445="Futures",$C$6,$C$5)),""),"")</f>
        <v/>
      </c>
      <c r="I3445" s="139">
        <f>IFERROR(IF(AND(ISNUMBER(F3445),ISNUMBER(H3445)),F3445-H3445,""),"")</f>
        <v/>
      </c>
      <c r="J3445" s="114" t="n"/>
      <c r="K3445" s="139">
        <f>IFERROR(IF(H3445&gt;0,H3445*$C$7,""),"")</f>
        <v/>
      </c>
      <c r="L3445" s="139">
        <f>IFERROR(IF(ISNUMBER(F3445),F3445-IF(ISNUMBER(K3445),K3445,0),""),"")</f>
        <v/>
      </c>
    </row>
    <row r="3446" ht="24" customHeight="1" s="63">
      <c r="E3446" s="139" t="n"/>
      <c r="F3446" s="139" t="n"/>
      <c r="G3446" s="140">
        <f>IFERROR(IF(E3446&gt;0,(F3446/E3446)*1000,""),"")</f>
        <v/>
      </c>
      <c r="H3446" s="139">
        <f>IFERROR(IF(E3446&gt;0,E3446*IF(ISNUMBER(J3446),J3446,IF(C3446="Futures",$C$6,$C$5)),""),"")</f>
        <v/>
      </c>
      <c r="I3446" s="139">
        <f>IFERROR(IF(AND(ISNUMBER(F3446),ISNUMBER(H3446)),F3446-H3446,""),"")</f>
        <v/>
      </c>
      <c r="J3446" s="114" t="n"/>
      <c r="K3446" s="139">
        <f>IFERROR(IF(H3446&gt;0,H3446*$C$7,""),"")</f>
        <v/>
      </c>
      <c r="L3446" s="139">
        <f>IFERROR(IF(ISNUMBER(F3446),F3446-IF(ISNUMBER(K3446),K3446,0),""),"")</f>
        <v/>
      </c>
    </row>
    <row r="3447" ht="24" customHeight="1" s="63">
      <c r="E3447" s="139" t="n"/>
      <c r="F3447" s="139" t="n"/>
      <c r="G3447" s="140">
        <f>IFERROR(IF(E3447&gt;0,(F3447/E3447)*1000,""),"")</f>
        <v/>
      </c>
      <c r="H3447" s="139">
        <f>IFERROR(IF(E3447&gt;0,E3447*IF(ISNUMBER(J3447),J3447,IF(C3447="Futures",$C$6,$C$5)),""),"")</f>
        <v/>
      </c>
      <c r="I3447" s="139">
        <f>IFERROR(IF(AND(ISNUMBER(F3447),ISNUMBER(H3447)),F3447-H3447,""),"")</f>
        <v/>
      </c>
      <c r="J3447" s="114" t="n"/>
      <c r="K3447" s="139">
        <f>IFERROR(IF(H3447&gt;0,H3447*$C$7,""),"")</f>
        <v/>
      </c>
      <c r="L3447" s="139">
        <f>IFERROR(IF(ISNUMBER(F3447),F3447-IF(ISNUMBER(K3447),K3447,0),""),"")</f>
        <v/>
      </c>
    </row>
    <row r="3448" ht="24" customHeight="1" s="63">
      <c r="E3448" s="139" t="n"/>
      <c r="F3448" s="139" t="n"/>
      <c r="G3448" s="140">
        <f>IFERROR(IF(E3448&gt;0,(F3448/E3448)*1000,""),"")</f>
        <v/>
      </c>
      <c r="H3448" s="139">
        <f>IFERROR(IF(E3448&gt;0,E3448*IF(ISNUMBER(J3448),J3448,IF(C3448="Futures",$C$6,$C$5)),""),"")</f>
        <v/>
      </c>
      <c r="I3448" s="139">
        <f>IFERROR(IF(AND(ISNUMBER(F3448),ISNUMBER(H3448)),F3448-H3448,""),"")</f>
        <v/>
      </c>
      <c r="J3448" s="114" t="n"/>
      <c r="K3448" s="139">
        <f>IFERROR(IF(H3448&gt;0,H3448*$C$7,""),"")</f>
        <v/>
      </c>
      <c r="L3448" s="139">
        <f>IFERROR(IF(ISNUMBER(F3448),F3448-IF(ISNUMBER(K3448),K3448,0),""),"")</f>
        <v/>
      </c>
    </row>
    <row r="3449" ht="24" customHeight="1" s="63">
      <c r="E3449" s="139" t="n"/>
      <c r="F3449" s="139" t="n"/>
      <c r="G3449" s="140">
        <f>IFERROR(IF(E3449&gt;0,(F3449/E3449)*1000,""),"")</f>
        <v/>
      </c>
      <c r="H3449" s="139">
        <f>IFERROR(IF(E3449&gt;0,E3449*IF(ISNUMBER(J3449),J3449,IF(C3449="Futures",$C$6,$C$5)),""),"")</f>
        <v/>
      </c>
      <c r="I3449" s="139">
        <f>IFERROR(IF(AND(ISNUMBER(F3449),ISNUMBER(H3449)),F3449-H3449,""),"")</f>
        <v/>
      </c>
      <c r="J3449" s="114" t="n"/>
      <c r="K3449" s="139">
        <f>IFERROR(IF(H3449&gt;0,H3449*$C$7,""),"")</f>
        <v/>
      </c>
      <c r="L3449" s="139">
        <f>IFERROR(IF(ISNUMBER(F3449),F3449-IF(ISNUMBER(K3449),K3449,0),""),"")</f>
        <v/>
      </c>
    </row>
    <row r="3450" ht="24" customHeight="1" s="63">
      <c r="E3450" s="139" t="n"/>
      <c r="F3450" s="139" t="n"/>
      <c r="G3450" s="140">
        <f>IFERROR(IF(E3450&gt;0,(F3450/E3450)*1000,""),"")</f>
        <v/>
      </c>
      <c r="H3450" s="139">
        <f>IFERROR(IF(E3450&gt;0,E3450*IF(ISNUMBER(J3450),J3450,IF(C3450="Futures",$C$6,$C$5)),""),"")</f>
        <v/>
      </c>
      <c r="I3450" s="139">
        <f>IFERROR(IF(AND(ISNUMBER(F3450),ISNUMBER(H3450)),F3450-H3450,""),"")</f>
        <v/>
      </c>
      <c r="J3450" s="114" t="n"/>
      <c r="K3450" s="139">
        <f>IFERROR(IF(H3450&gt;0,H3450*$C$7,""),"")</f>
        <v/>
      </c>
      <c r="L3450" s="139">
        <f>IFERROR(IF(ISNUMBER(F3450),F3450-IF(ISNUMBER(K3450),K3450,0),""),"")</f>
        <v/>
      </c>
    </row>
    <row r="3451" ht="24" customHeight="1" s="63">
      <c r="E3451" s="139" t="n"/>
      <c r="F3451" s="139" t="n"/>
      <c r="G3451" s="140">
        <f>IFERROR(IF(E3451&gt;0,(F3451/E3451)*1000,""),"")</f>
        <v/>
      </c>
      <c r="H3451" s="139">
        <f>IFERROR(IF(E3451&gt;0,E3451*IF(ISNUMBER(J3451),J3451,IF(C3451="Futures",$C$6,$C$5)),""),"")</f>
        <v/>
      </c>
      <c r="I3451" s="139">
        <f>IFERROR(IF(AND(ISNUMBER(F3451),ISNUMBER(H3451)),F3451-H3451,""),"")</f>
        <v/>
      </c>
      <c r="J3451" s="114" t="n"/>
      <c r="K3451" s="139">
        <f>IFERROR(IF(H3451&gt;0,H3451*$C$7,""),"")</f>
        <v/>
      </c>
      <c r="L3451" s="139">
        <f>IFERROR(IF(ISNUMBER(F3451),F3451-IF(ISNUMBER(K3451),K3451,0),""),"")</f>
        <v/>
      </c>
    </row>
    <row r="3452" ht="24" customHeight="1" s="63">
      <c r="E3452" s="139" t="n"/>
      <c r="F3452" s="139" t="n"/>
      <c r="G3452" s="140">
        <f>IFERROR(IF(E3452&gt;0,(F3452/E3452)*1000,""),"")</f>
        <v/>
      </c>
      <c r="H3452" s="139">
        <f>IFERROR(IF(E3452&gt;0,E3452*IF(ISNUMBER(J3452),J3452,IF(C3452="Futures",$C$6,$C$5)),""),"")</f>
        <v/>
      </c>
      <c r="I3452" s="139">
        <f>IFERROR(IF(AND(ISNUMBER(F3452),ISNUMBER(H3452)),F3452-H3452,""),"")</f>
        <v/>
      </c>
      <c r="J3452" s="114" t="n"/>
      <c r="K3452" s="139">
        <f>IFERROR(IF(H3452&gt;0,H3452*$C$7,""),"")</f>
        <v/>
      </c>
      <c r="L3452" s="139">
        <f>IFERROR(IF(ISNUMBER(F3452),F3452-IF(ISNUMBER(K3452),K3452,0),""),"")</f>
        <v/>
      </c>
    </row>
    <row r="3453" ht="24" customHeight="1" s="63">
      <c r="E3453" s="139" t="n"/>
      <c r="F3453" s="139" t="n"/>
      <c r="G3453" s="140">
        <f>IFERROR(IF(E3453&gt;0,(F3453/E3453)*1000,""),"")</f>
        <v/>
      </c>
      <c r="H3453" s="139">
        <f>IFERROR(IF(E3453&gt;0,E3453*IF(ISNUMBER(J3453),J3453,IF(C3453="Futures",$C$6,$C$5)),""),"")</f>
        <v/>
      </c>
      <c r="I3453" s="139">
        <f>IFERROR(IF(AND(ISNUMBER(F3453),ISNUMBER(H3453)),F3453-H3453,""),"")</f>
        <v/>
      </c>
      <c r="J3453" s="114" t="n"/>
      <c r="K3453" s="139">
        <f>IFERROR(IF(H3453&gt;0,H3453*$C$7,""),"")</f>
        <v/>
      </c>
      <c r="L3453" s="139">
        <f>IFERROR(IF(ISNUMBER(F3453),F3453-IF(ISNUMBER(K3453),K3453,0),""),"")</f>
        <v/>
      </c>
    </row>
    <row r="3454" ht="24" customHeight="1" s="63">
      <c r="E3454" s="139" t="n"/>
      <c r="F3454" s="139" t="n"/>
      <c r="G3454" s="140">
        <f>IFERROR(IF(E3454&gt;0,(F3454/E3454)*1000,""),"")</f>
        <v/>
      </c>
      <c r="H3454" s="139">
        <f>IFERROR(IF(E3454&gt;0,E3454*IF(ISNUMBER(J3454),J3454,IF(C3454="Futures",$C$6,$C$5)),""),"")</f>
        <v/>
      </c>
      <c r="I3454" s="139">
        <f>IFERROR(IF(AND(ISNUMBER(F3454),ISNUMBER(H3454)),F3454-H3454,""),"")</f>
        <v/>
      </c>
      <c r="J3454" s="114" t="n"/>
      <c r="K3454" s="139">
        <f>IFERROR(IF(H3454&gt;0,H3454*$C$7,""),"")</f>
        <v/>
      </c>
      <c r="L3454" s="139">
        <f>IFERROR(IF(ISNUMBER(F3454),F3454-IF(ISNUMBER(K3454),K3454,0),""),"")</f>
        <v/>
      </c>
    </row>
    <row r="3455" ht="24" customHeight="1" s="63">
      <c r="E3455" s="139" t="n"/>
      <c r="F3455" s="139" t="n"/>
      <c r="G3455" s="140">
        <f>IFERROR(IF(E3455&gt;0,(F3455/E3455)*1000,""),"")</f>
        <v/>
      </c>
      <c r="H3455" s="139">
        <f>IFERROR(IF(E3455&gt;0,E3455*IF(ISNUMBER(J3455),J3455,IF(C3455="Futures",$C$6,$C$5)),""),"")</f>
        <v/>
      </c>
      <c r="I3455" s="139">
        <f>IFERROR(IF(AND(ISNUMBER(F3455),ISNUMBER(H3455)),F3455-H3455,""),"")</f>
        <v/>
      </c>
      <c r="J3455" s="114" t="n"/>
      <c r="K3455" s="139">
        <f>IFERROR(IF(H3455&gt;0,H3455*$C$7,""),"")</f>
        <v/>
      </c>
      <c r="L3455" s="139">
        <f>IFERROR(IF(ISNUMBER(F3455),F3455-IF(ISNUMBER(K3455),K3455,0),""),"")</f>
        <v/>
      </c>
    </row>
    <row r="3456" ht="24" customHeight="1" s="63">
      <c r="E3456" s="139" t="n"/>
      <c r="F3456" s="139" t="n"/>
      <c r="G3456" s="140">
        <f>IFERROR(IF(E3456&gt;0,(F3456/E3456)*1000,""),"")</f>
        <v/>
      </c>
      <c r="H3456" s="139">
        <f>IFERROR(IF(E3456&gt;0,E3456*IF(ISNUMBER(J3456),J3456,IF(C3456="Futures",$C$6,$C$5)),""),"")</f>
        <v/>
      </c>
      <c r="I3456" s="139">
        <f>IFERROR(IF(AND(ISNUMBER(F3456),ISNUMBER(H3456)),F3456-H3456,""),"")</f>
        <v/>
      </c>
      <c r="J3456" s="114" t="n"/>
      <c r="K3456" s="139">
        <f>IFERROR(IF(H3456&gt;0,H3456*$C$7,""),"")</f>
        <v/>
      </c>
      <c r="L3456" s="139">
        <f>IFERROR(IF(ISNUMBER(F3456),F3456-IF(ISNUMBER(K3456),K3456,0),""),"")</f>
        <v/>
      </c>
    </row>
    <row r="3457" ht="24" customHeight="1" s="63">
      <c r="E3457" s="139" t="n"/>
      <c r="F3457" s="139" t="n"/>
      <c r="G3457" s="140">
        <f>IFERROR(IF(E3457&gt;0,(F3457/E3457)*1000,""),"")</f>
        <v/>
      </c>
      <c r="H3457" s="139">
        <f>IFERROR(IF(E3457&gt;0,E3457*IF(ISNUMBER(J3457),J3457,IF(C3457="Futures",$C$6,$C$5)),""),"")</f>
        <v/>
      </c>
      <c r="I3457" s="139">
        <f>IFERROR(IF(AND(ISNUMBER(F3457),ISNUMBER(H3457)),F3457-H3457,""),"")</f>
        <v/>
      </c>
      <c r="J3457" s="114" t="n"/>
      <c r="K3457" s="139">
        <f>IFERROR(IF(H3457&gt;0,H3457*$C$7,""),"")</f>
        <v/>
      </c>
      <c r="L3457" s="139">
        <f>IFERROR(IF(ISNUMBER(F3457),F3457-IF(ISNUMBER(K3457),K3457,0),""),"")</f>
        <v/>
      </c>
    </row>
    <row r="3458" ht="24" customHeight="1" s="63">
      <c r="E3458" s="139" t="n"/>
      <c r="F3458" s="139" t="n"/>
      <c r="G3458" s="140">
        <f>IFERROR(IF(E3458&gt;0,(F3458/E3458)*1000,""),"")</f>
        <v/>
      </c>
      <c r="H3458" s="139">
        <f>IFERROR(IF(E3458&gt;0,E3458*IF(ISNUMBER(J3458),J3458,IF(C3458="Futures",$C$6,$C$5)),""),"")</f>
        <v/>
      </c>
      <c r="I3458" s="139">
        <f>IFERROR(IF(AND(ISNUMBER(F3458),ISNUMBER(H3458)),F3458-H3458,""),"")</f>
        <v/>
      </c>
      <c r="J3458" s="114" t="n"/>
      <c r="K3458" s="139">
        <f>IFERROR(IF(H3458&gt;0,H3458*$C$7,""),"")</f>
        <v/>
      </c>
      <c r="L3458" s="139">
        <f>IFERROR(IF(ISNUMBER(F3458),F3458-IF(ISNUMBER(K3458),K3458,0),""),"")</f>
        <v/>
      </c>
    </row>
    <row r="3459" ht="24" customHeight="1" s="63">
      <c r="E3459" s="139" t="n"/>
      <c r="F3459" s="139" t="n"/>
      <c r="G3459" s="140">
        <f>IFERROR(IF(E3459&gt;0,(F3459/E3459)*1000,""),"")</f>
        <v/>
      </c>
      <c r="H3459" s="139">
        <f>IFERROR(IF(E3459&gt;0,E3459*IF(ISNUMBER(J3459),J3459,IF(C3459="Futures",$C$6,$C$5)),""),"")</f>
        <v/>
      </c>
      <c r="I3459" s="139">
        <f>IFERROR(IF(AND(ISNUMBER(F3459),ISNUMBER(H3459)),F3459-H3459,""),"")</f>
        <v/>
      </c>
      <c r="J3459" s="114" t="n"/>
      <c r="K3459" s="139">
        <f>IFERROR(IF(H3459&gt;0,H3459*$C$7,""),"")</f>
        <v/>
      </c>
      <c r="L3459" s="139">
        <f>IFERROR(IF(ISNUMBER(F3459),F3459-IF(ISNUMBER(K3459),K3459,0),""),"")</f>
        <v/>
      </c>
    </row>
    <row r="3460" ht="24" customHeight="1" s="63">
      <c r="E3460" s="139" t="n"/>
      <c r="F3460" s="139" t="n"/>
      <c r="G3460" s="140">
        <f>IFERROR(IF(E3460&gt;0,(F3460/E3460)*1000,""),"")</f>
        <v/>
      </c>
      <c r="H3460" s="139">
        <f>IFERROR(IF(E3460&gt;0,E3460*IF(ISNUMBER(J3460),J3460,IF(C3460="Futures",$C$6,$C$5)),""),"")</f>
        <v/>
      </c>
      <c r="I3460" s="139">
        <f>IFERROR(IF(AND(ISNUMBER(F3460),ISNUMBER(H3460)),F3460-H3460,""),"")</f>
        <v/>
      </c>
      <c r="J3460" s="114" t="n"/>
      <c r="K3460" s="139">
        <f>IFERROR(IF(H3460&gt;0,H3460*$C$7,""),"")</f>
        <v/>
      </c>
      <c r="L3460" s="139">
        <f>IFERROR(IF(ISNUMBER(F3460),F3460-IF(ISNUMBER(K3460),K3460,0),""),"")</f>
        <v/>
      </c>
    </row>
    <row r="3461" ht="24" customHeight="1" s="63">
      <c r="E3461" s="139" t="n"/>
      <c r="F3461" s="139" t="n"/>
      <c r="G3461" s="140">
        <f>IFERROR(IF(E3461&gt;0,(F3461/E3461)*1000,""),"")</f>
        <v/>
      </c>
      <c r="H3461" s="139">
        <f>IFERROR(IF(E3461&gt;0,E3461*IF(ISNUMBER(J3461),J3461,IF(C3461="Futures",$C$6,$C$5)),""),"")</f>
        <v/>
      </c>
      <c r="I3461" s="139">
        <f>IFERROR(IF(AND(ISNUMBER(F3461),ISNUMBER(H3461)),F3461-H3461,""),"")</f>
        <v/>
      </c>
      <c r="J3461" s="114" t="n"/>
      <c r="K3461" s="139">
        <f>IFERROR(IF(H3461&gt;0,H3461*$C$7,""),"")</f>
        <v/>
      </c>
      <c r="L3461" s="139">
        <f>IFERROR(IF(ISNUMBER(F3461),F3461-IF(ISNUMBER(K3461),K3461,0),""),"")</f>
        <v/>
      </c>
    </row>
    <row r="3462" ht="24" customHeight="1" s="63">
      <c r="E3462" s="139" t="n"/>
      <c r="F3462" s="139" t="n"/>
      <c r="G3462" s="140">
        <f>IFERROR(IF(E3462&gt;0,(F3462/E3462)*1000,""),"")</f>
        <v/>
      </c>
      <c r="H3462" s="139">
        <f>IFERROR(IF(E3462&gt;0,E3462*IF(ISNUMBER(J3462),J3462,IF(C3462="Futures",$C$6,$C$5)),""),"")</f>
        <v/>
      </c>
      <c r="I3462" s="139">
        <f>IFERROR(IF(AND(ISNUMBER(F3462),ISNUMBER(H3462)),F3462-H3462,""),"")</f>
        <v/>
      </c>
      <c r="J3462" s="114" t="n"/>
      <c r="K3462" s="139">
        <f>IFERROR(IF(H3462&gt;0,H3462*$C$7,""),"")</f>
        <v/>
      </c>
      <c r="L3462" s="139">
        <f>IFERROR(IF(ISNUMBER(F3462),F3462-IF(ISNUMBER(K3462),K3462,0),""),"")</f>
        <v/>
      </c>
    </row>
    <row r="3463" ht="24" customHeight="1" s="63">
      <c r="E3463" s="139" t="n"/>
      <c r="F3463" s="139" t="n"/>
      <c r="G3463" s="140">
        <f>IFERROR(IF(E3463&gt;0,(F3463/E3463)*1000,""),"")</f>
        <v/>
      </c>
      <c r="H3463" s="139">
        <f>IFERROR(IF(E3463&gt;0,E3463*IF(ISNUMBER(J3463),J3463,IF(C3463="Futures",$C$6,$C$5)),""),"")</f>
        <v/>
      </c>
      <c r="I3463" s="139">
        <f>IFERROR(IF(AND(ISNUMBER(F3463),ISNUMBER(H3463)),F3463-H3463,""),"")</f>
        <v/>
      </c>
      <c r="J3463" s="114" t="n"/>
      <c r="K3463" s="139">
        <f>IFERROR(IF(H3463&gt;0,H3463*$C$7,""),"")</f>
        <v/>
      </c>
      <c r="L3463" s="139">
        <f>IFERROR(IF(ISNUMBER(F3463),F3463-IF(ISNUMBER(K3463),K3463,0),""),"")</f>
        <v/>
      </c>
    </row>
    <row r="3464" ht="24" customHeight="1" s="63">
      <c r="E3464" s="139" t="n"/>
      <c r="F3464" s="139" t="n"/>
      <c r="G3464" s="140">
        <f>IFERROR(IF(E3464&gt;0,(F3464/E3464)*1000,""),"")</f>
        <v/>
      </c>
      <c r="H3464" s="139">
        <f>IFERROR(IF(E3464&gt;0,E3464*IF(ISNUMBER(J3464),J3464,IF(C3464="Futures",$C$6,$C$5)),""),"")</f>
        <v/>
      </c>
      <c r="I3464" s="139">
        <f>IFERROR(IF(AND(ISNUMBER(F3464),ISNUMBER(H3464)),F3464-H3464,""),"")</f>
        <v/>
      </c>
      <c r="J3464" s="114" t="n"/>
      <c r="K3464" s="139">
        <f>IFERROR(IF(H3464&gt;0,H3464*$C$7,""),"")</f>
        <v/>
      </c>
      <c r="L3464" s="139">
        <f>IFERROR(IF(ISNUMBER(F3464),F3464-IF(ISNUMBER(K3464),K3464,0),""),"")</f>
        <v/>
      </c>
    </row>
    <row r="3465" ht="24" customHeight="1" s="63">
      <c r="E3465" s="139" t="n"/>
      <c r="F3465" s="139" t="n"/>
      <c r="G3465" s="140">
        <f>IFERROR(IF(E3465&gt;0,(F3465/E3465)*1000,""),"")</f>
        <v/>
      </c>
      <c r="H3465" s="139">
        <f>IFERROR(IF(E3465&gt;0,E3465*IF(ISNUMBER(J3465),J3465,IF(C3465="Futures",$C$6,$C$5)),""),"")</f>
        <v/>
      </c>
      <c r="I3465" s="139">
        <f>IFERROR(IF(AND(ISNUMBER(F3465),ISNUMBER(H3465)),F3465-H3465,""),"")</f>
        <v/>
      </c>
      <c r="J3465" s="114" t="n"/>
      <c r="K3465" s="139">
        <f>IFERROR(IF(H3465&gt;0,H3465*$C$7,""),"")</f>
        <v/>
      </c>
      <c r="L3465" s="139">
        <f>IFERROR(IF(ISNUMBER(F3465),F3465-IF(ISNUMBER(K3465),K3465,0),""),"")</f>
        <v/>
      </c>
    </row>
    <row r="3466" ht="24" customHeight="1" s="63">
      <c r="E3466" s="139" t="n"/>
      <c r="F3466" s="139" t="n"/>
      <c r="G3466" s="140">
        <f>IFERROR(IF(E3466&gt;0,(F3466/E3466)*1000,""),"")</f>
        <v/>
      </c>
      <c r="H3466" s="139">
        <f>IFERROR(IF(E3466&gt;0,E3466*IF(ISNUMBER(J3466),J3466,IF(C3466="Futures",$C$6,$C$5)),""),"")</f>
        <v/>
      </c>
      <c r="I3466" s="139">
        <f>IFERROR(IF(AND(ISNUMBER(F3466),ISNUMBER(H3466)),F3466-H3466,""),"")</f>
        <v/>
      </c>
      <c r="J3466" s="114" t="n"/>
      <c r="K3466" s="139">
        <f>IFERROR(IF(H3466&gt;0,H3466*$C$7,""),"")</f>
        <v/>
      </c>
      <c r="L3466" s="139">
        <f>IFERROR(IF(ISNUMBER(F3466),F3466-IF(ISNUMBER(K3466),K3466,0),""),"")</f>
        <v/>
      </c>
    </row>
    <row r="3467" ht="24" customHeight="1" s="63">
      <c r="E3467" s="139" t="n"/>
      <c r="F3467" s="139" t="n"/>
      <c r="G3467" s="140">
        <f>IFERROR(IF(E3467&gt;0,(F3467/E3467)*1000,""),"")</f>
        <v/>
      </c>
      <c r="H3467" s="139">
        <f>IFERROR(IF(E3467&gt;0,E3467*IF(ISNUMBER(J3467),J3467,IF(C3467="Futures",$C$6,$C$5)),""),"")</f>
        <v/>
      </c>
      <c r="I3467" s="139">
        <f>IFERROR(IF(AND(ISNUMBER(F3467),ISNUMBER(H3467)),F3467-H3467,""),"")</f>
        <v/>
      </c>
      <c r="J3467" s="114" t="n"/>
      <c r="K3467" s="139">
        <f>IFERROR(IF(H3467&gt;0,H3467*$C$7,""),"")</f>
        <v/>
      </c>
      <c r="L3467" s="139">
        <f>IFERROR(IF(ISNUMBER(F3467),F3467-IF(ISNUMBER(K3467),K3467,0),""),"")</f>
        <v/>
      </c>
    </row>
    <row r="3468" ht="24" customHeight="1" s="63">
      <c r="E3468" s="139" t="n"/>
      <c r="F3468" s="139" t="n"/>
      <c r="G3468" s="140">
        <f>IFERROR(IF(E3468&gt;0,(F3468/E3468)*1000,""),"")</f>
        <v/>
      </c>
      <c r="H3468" s="139">
        <f>IFERROR(IF(E3468&gt;0,E3468*IF(ISNUMBER(J3468),J3468,IF(C3468="Futures",$C$6,$C$5)),""),"")</f>
        <v/>
      </c>
      <c r="I3468" s="139">
        <f>IFERROR(IF(AND(ISNUMBER(F3468),ISNUMBER(H3468)),F3468-H3468,""),"")</f>
        <v/>
      </c>
      <c r="J3468" s="114" t="n"/>
      <c r="K3468" s="139">
        <f>IFERROR(IF(H3468&gt;0,H3468*$C$7,""),"")</f>
        <v/>
      </c>
      <c r="L3468" s="139">
        <f>IFERROR(IF(ISNUMBER(F3468),F3468-IF(ISNUMBER(K3468),K3468,0),""),"")</f>
        <v/>
      </c>
    </row>
    <row r="3469" ht="24" customHeight="1" s="63">
      <c r="E3469" s="139" t="n"/>
      <c r="F3469" s="139" t="n"/>
      <c r="G3469" s="140">
        <f>IFERROR(IF(E3469&gt;0,(F3469/E3469)*1000,""),"")</f>
        <v/>
      </c>
      <c r="H3469" s="139">
        <f>IFERROR(IF(E3469&gt;0,E3469*IF(ISNUMBER(J3469),J3469,IF(C3469="Futures",$C$6,$C$5)),""),"")</f>
        <v/>
      </c>
      <c r="I3469" s="139">
        <f>IFERROR(IF(AND(ISNUMBER(F3469),ISNUMBER(H3469)),F3469-H3469,""),"")</f>
        <v/>
      </c>
      <c r="J3469" s="114" t="n"/>
      <c r="K3469" s="139">
        <f>IFERROR(IF(H3469&gt;0,H3469*$C$7,""),"")</f>
        <v/>
      </c>
      <c r="L3469" s="139">
        <f>IFERROR(IF(ISNUMBER(F3469),F3469-IF(ISNUMBER(K3469),K3469,0),""),"")</f>
        <v/>
      </c>
    </row>
    <row r="3470" ht="24" customHeight="1" s="63">
      <c r="E3470" s="139" t="n"/>
      <c r="F3470" s="139" t="n"/>
      <c r="G3470" s="140">
        <f>IFERROR(IF(E3470&gt;0,(F3470/E3470)*1000,""),"")</f>
        <v/>
      </c>
      <c r="H3470" s="139">
        <f>IFERROR(IF(E3470&gt;0,E3470*IF(ISNUMBER(J3470),J3470,IF(C3470="Futures",$C$6,$C$5)),""),"")</f>
        <v/>
      </c>
      <c r="I3470" s="139">
        <f>IFERROR(IF(AND(ISNUMBER(F3470),ISNUMBER(H3470)),F3470-H3470,""),"")</f>
        <v/>
      </c>
      <c r="J3470" s="114" t="n"/>
      <c r="K3470" s="139">
        <f>IFERROR(IF(H3470&gt;0,H3470*$C$7,""),"")</f>
        <v/>
      </c>
      <c r="L3470" s="139">
        <f>IFERROR(IF(ISNUMBER(F3470),F3470-IF(ISNUMBER(K3470),K3470,0),""),"")</f>
        <v/>
      </c>
    </row>
    <row r="3471" ht="24" customHeight="1" s="63">
      <c r="E3471" s="139" t="n"/>
      <c r="F3471" s="139" t="n"/>
      <c r="G3471" s="140">
        <f>IFERROR(IF(E3471&gt;0,(F3471/E3471)*1000,""),"")</f>
        <v/>
      </c>
      <c r="H3471" s="139">
        <f>IFERROR(IF(E3471&gt;0,E3471*IF(ISNUMBER(J3471),J3471,IF(C3471="Futures",$C$6,$C$5)),""),"")</f>
        <v/>
      </c>
      <c r="I3471" s="139">
        <f>IFERROR(IF(AND(ISNUMBER(F3471),ISNUMBER(H3471)),F3471-H3471,""),"")</f>
        <v/>
      </c>
      <c r="J3471" s="114" t="n"/>
      <c r="K3471" s="139">
        <f>IFERROR(IF(H3471&gt;0,H3471*$C$7,""),"")</f>
        <v/>
      </c>
      <c r="L3471" s="139">
        <f>IFERROR(IF(ISNUMBER(F3471),F3471-IF(ISNUMBER(K3471),K3471,0),""),"")</f>
        <v/>
      </c>
    </row>
    <row r="3472" ht="24" customHeight="1" s="63">
      <c r="E3472" s="139" t="n"/>
      <c r="F3472" s="139" t="n"/>
      <c r="G3472" s="140">
        <f>IFERROR(IF(E3472&gt;0,(F3472/E3472)*1000,""),"")</f>
        <v/>
      </c>
      <c r="H3472" s="139">
        <f>IFERROR(IF(E3472&gt;0,E3472*IF(ISNUMBER(J3472),J3472,IF(C3472="Futures",$C$6,$C$5)),""),"")</f>
        <v/>
      </c>
      <c r="I3472" s="139">
        <f>IFERROR(IF(AND(ISNUMBER(F3472),ISNUMBER(H3472)),F3472-H3472,""),"")</f>
        <v/>
      </c>
      <c r="J3472" s="114" t="n"/>
      <c r="K3472" s="139">
        <f>IFERROR(IF(H3472&gt;0,H3472*$C$7,""),"")</f>
        <v/>
      </c>
      <c r="L3472" s="139">
        <f>IFERROR(IF(ISNUMBER(F3472),F3472-IF(ISNUMBER(K3472),K3472,0),""),"")</f>
        <v/>
      </c>
    </row>
    <row r="3473" ht="24" customHeight="1" s="63">
      <c r="E3473" s="139" t="n"/>
      <c r="F3473" s="139" t="n"/>
      <c r="G3473" s="140">
        <f>IFERROR(IF(E3473&gt;0,(F3473/E3473)*1000,""),"")</f>
        <v/>
      </c>
      <c r="H3473" s="139">
        <f>IFERROR(IF(E3473&gt;0,E3473*IF(ISNUMBER(J3473),J3473,IF(C3473="Futures",$C$6,$C$5)),""),"")</f>
        <v/>
      </c>
      <c r="I3473" s="139">
        <f>IFERROR(IF(AND(ISNUMBER(F3473),ISNUMBER(H3473)),F3473-H3473,""),"")</f>
        <v/>
      </c>
      <c r="J3473" s="114" t="n"/>
      <c r="K3473" s="139">
        <f>IFERROR(IF(H3473&gt;0,H3473*$C$7,""),"")</f>
        <v/>
      </c>
      <c r="L3473" s="139">
        <f>IFERROR(IF(ISNUMBER(F3473),F3473-IF(ISNUMBER(K3473),K3473,0),""),"")</f>
        <v/>
      </c>
    </row>
    <row r="3474" ht="24" customHeight="1" s="63">
      <c r="E3474" s="139" t="n"/>
      <c r="F3474" s="139" t="n"/>
      <c r="G3474" s="140">
        <f>IFERROR(IF(E3474&gt;0,(F3474/E3474)*1000,""),"")</f>
        <v/>
      </c>
      <c r="H3474" s="139">
        <f>IFERROR(IF(E3474&gt;0,E3474*IF(ISNUMBER(J3474),J3474,IF(C3474="Futures",$C$6,$C$5)),""),"")</f>
        <v/>
      </c>
      <c r="I3474" s="139">
        <f>IFERROR(IF(AND(ISNUMBER(F3474),ISNUMBER(H3474)),F3474-H3474,""),"")</f>
        <v/>
      </c>
      <c r="J3474" s="114" t="n"/>
      <c r="K3474" s="139">
        <f>IFERROR(IF(H3474&gt;0,H3474*$C$7,""),"")</f>
        <v/>
      </c>
      <c r="L3474" s="139">
        <f>IFERROR(IF(ISNUMBER(F3474),F3474-IF(ISNUMBER(K3474),K3474,0),""),"")</f>
        <v/>
      </c>
    </row>
    <row r="3475" ht="24" customHeight="1" s="63">
      <c r="E3475" s="139" t="n"/>
      <c r="F3475" s="139" t="n"/>
      <c r="G3475" s="140">
        <f>IFERROR(IF(E3475&gt;0,(F3475/E3475)*1000,""),"")</f>
        <v/>
      </c>
      <c r="H3475" s="139">
        <f>IFERROR(IF(E3475&gt;0,E3475*IF(ISNUMBER(J3475),J3475,IF(C3475="Futures",$C$6,$C$5)),""),"")</f>
        <v/>
      </c>
      <c r="I3475" s="139">
        <f>IFERROR(IF(AND(ISNUMBER(F3475),ISNUMBER(H3475)),F3475-H3475,""),"")</f>
        <v/>
      </c>
      <c r="J3475" s="114" t="n"/>
      <c r="K3475" s="139">
        <f>IFERROR(IF(H3475&gt;0,H3475*$C$7,""),"")</f>
        <v/>
      </c>
      <c r="L3475" s="139">
        <f>IFERROR(IF(ISNUMBER(F3475),F3475-IF(ISNUMBER(K3475),K3475,0),""),"")</f>
        <v/>
      </c>
    </row>
    <row r="3476" ht="24" customHeight="1" s="63">
      <c r="E3476" s="139" t="n"/>
      <c r="F3476" s="139" t="n"/>
      <c r="G3476" s="140">
        <f>IFERROR(IF(E3476&gt;0,(F3476/E3476)*1000,""),"")</f>
        <v/>
      </c>
      <c r="H3476" s="139">
        <f>IFERROR(IF(E3476&gt;0,E3476*IF(ISNUMBER(J3476),J3476,IF(C3476="Futures",$C$6,$C$5)),""),"")</f>
        <v/>
      </c>
      <c r="I3476" s="139">
        <f>IFERROR(IF(AND(ISNUMBER(F3476),ISNUMBER(H3476)),F3476-H3476,""),"")</f>
        <v/>
      </c>
      <c r="J3476" s="114" t="n"/>
      <c r="K3476" s="139">
        <f>IFERROR(IF(H3476&gt;0,H3476*$C$7,""),"")</f>
        <v/>
      </c>
      <c r="L3476" s="139">
        <f>IFERROR(IF(ISNUMBER(F3476),F3476-IF(ISNUMBER(K3476),K3476,0),""),"")</f>
        <v/>
      </c>
    </row>
    <row r="3477" ht="24" customHeight="1" s="63">
      <c r="E3477" s="139" t="n"/>
      <c r="F3477" s="139" t="n"/>
      <c r="G3477" s="140">
        <f>IFERROR(IF(E3477&gt;0,(F3477/E3477)*1000,""),"")</f>
        <v/>
      </c>
      <c r="H3477" s="139">
        <f>IFERROR(IF(E3477&gt;0,E3477*IF(ISNUMBER(J3477),J3477,IF(C3477="Futures",$C$6,$C$5)),""),"")</f>
        <v/>
      </c>
      <c r="I3477" s="139">
        <f>IFERROR(IF(AND(ISNUMBER(F3477),ISNUMBER(H3477)),F3477-H3477,""),"")</f>
        <v/>
      </c>
      <c r="J3477" s="114" t="n"/>
      <c r="K3477" s="139">
        <f>IFERROR(IF(H3477&gt;0,H3477*$C$7,""),"")</f>
        <v/>
      </c>
      <c r="L3477" s="139">
        <f>IFERROR(IF(ISNUMBER(F3477),F3477-IF(ISNUMBER(K3477),K3477,0),""),"")</f>
        <v/>
      </c>
    </row>
    <row r="3478" ht="24" customHeight="1" s="63">
      <c r="E3478" s="139" t="n"/>
      <c r="F3478" s="139" t="n"/>
      <c r="G3478" s="140">
        <f>IFERROR(IF(E3478&gt;0,(F3478/E3478)*1000,""),"")</f>
        <v/>
      </c>
      <c r="H3478" s="139">
        <f>IFERROR(IF(E3478&gt;0,E3478*IF(ISNUMBER(J3478),J3478,IF(C3478="Futures",$C$6,$C$5)),""),"")</f>
        <v/>
      </c>
      <c r="I3478" s="139">
        <f>IFERROR(IF(AND(ISNUMBER(F3478),ISNUMBER(H3478)),F3478-H3478,""),"")</f>
        <v/>
      </c>
      <c r="J3478" s="114" t="n"/>
      <c r="K3478" s="139">
        <f>IFERROR(IF(H3478&gt;0,H3478*$C$7,""),"")</f>
        <v/>
      </c>
      <c r="L3478" s="139">
        <f>IFERROR(IF(ISNUMBER(F3478),F3478-IF(ISNUMBER(K3478),K3478,0),""),"")</f>
        <v/>
      </c>
    </row>
    <row r="3479" ht="24" customHeight="1" s="63">
      <c r="E3479" s="139" t="n"/>
      <c r="F3479" s="139" t="n"/>
      <c r="G3479" s="140">
        <f>IFERROR(IF(E3479&gt;0,(F3479/E3479)*1000,""),"")</f>
        <v/>
      </c>
      <c r="H3479" s="139">
        <f>IFERROR(IF(E3479&gt;0,E3479*IF(ISNUMBER(J3479),J3479,IF(C3479="Futures",$C$6,$C$5)),""),"")</f>
        <v/>
      </c>
      <c r="I3479" s="139">
        <f>IFERROR(IF(AND(ISNUMBER(F3479),ISNUMBER(H3479)),F3479-H3479,""),"")</f>
        <v/>
      </c>
      <c r="J3479" s="114" t="n"/>
      <c r="K3479" s="139">
        <f>IFERROR(IF(H3479&gt;0,H3479*$C$7,""),"")</f>
        <v/>
      </c>
      <c r="L3479" s="139">
        <f>IFERROR(IF(ISNUMBER(F3479),F3479-IF(ISNUMBER(K3479),K3479,0),""),"")</f>
        <v/>
      </c>
    </row>
    <row r="3480" ht="24" customHeight="1" s="63">
      <c r="E3480" s="139" t="n"/>
      <c r="F3480" s="139" t="n"/>
      <c r="G3480" s="140">
        <f>IFERROR(IF(E3480&gt;0,(F3480/E3480)*1000,""),"")</f>
        <v/>
      </c>
      <c r="H3480" s="139">
        <f>IFERROR(IF(E3480&gt;0,E3480*IF(ISNUMBER(J3480),J3480,IF(C3480="Futures",$C$6,$C$5)),""),"")</f>
        <v/>
      </c>
      <c r="I3480" s="139">
        <f>IFERROR(IF(AND(ISNUMBER(F3480),ISNUMBER(H3480)),F3480-H3480,""),"")</f>
        <v/>
      </c>
      <c r="J3480" s="114" t="n"/>
      <c r="K3480" s="139">
        <f>IFERROR(IF(H3480&gt;0,H3480*$C$7,""),"")</f>
        <v/>
      </c>
      <c r="L3480" s="139">
        <f>IFERROR(IF(ISNUMBER(F3480),F3480-IF(ISNUMBER(K3480),K3480,0),""),"")</f>
        <v/>
      </c>
    </row>
    <row r="3481" ht="24" customHeight="1" s="63">
      <c r="E3481" s="139" t="n"/>
      <c r="F3481" s="139" t="n"/>
      <c r="G3481" s="140">
        <f>IFERROR(IF(E3481&gt;0,(F3481/E3481)*1000,""),"")</f>
        <v/>
      </c>
      <c r="H3481" s="139">
        <f>IFERROR(IF(E3481&gt;0,E3481*IF(ISNUMBER(J3481),J3481,IF(C3481="Futures",$C$6,$C$5)),""),"")</f>
        <v/>
      </c>
      <c r="I3481" s="139">
        <f>IFERROR(IF(AND(ISNUMBER(F3481),ISNUMBER(H3481)),F3481-H3481,""),"")</f>
        <v/>
      </c>
      <c r="J3481" s="114" t="n"/>
      <c r="K3481" s="139">
        <f>IFERROR(IF(H3481&gt;0,H3481*$C$7,""),"")</f>
        <v/>
      </c>
      <c r="L3481" s="139">
        <f>IFERROR(IF(ISNUMBER(F3481),F3481-IF(ISNUMBER(K3481),K3481,0),""),"")</f>
        <v/>
      </c>
    </row>
    <row r="3482" ht="24" customHeight="1" s="63">
      <c r="E3482" s="139" t="n"/>
      <c r="F3482" s="139" t="n"/>
      <c r="G3482" s="140">
        <f>IFERROR(IF(E3482&gt;0,(F3482/E3482)*1000,""),"")</f>
        <v/>
      </c>
      <c r="H3482" s="139">
        <f>IFERROR(IF(E3482&gt;0,E3482*IF(ISNUMBER(J3482),J3482,IF(C3482="Futures",$C$6,$C$5)),""),"")</f>
        <v/>
      </c>
      <c r="I3482" s="139">
        <f>IFERROR(IF(AND(ISNUMBER(F3482),ISNUMBER(H3482)),F3482-H3482,""),"")</f>
        <v/>
      </c>
      <c r="J3482" s="114" t="n"/>
      <c r="K3482" s="139">
        <f>IFERROR(IF(H3482&gt;0,H3482*$C$7,""),"")</f>
        <v/>
      </c>
      <c r="L3482" s="139">
        <f>IFERROR(IF(ISNUMBER(F3482),F3482-IF(ISNUMBER(K3482),K3482,0),""),"")</f>
        <v/>
      </c>
    </row>
    <row r="3483" ht="24" customHeight="1" s="63">
      <c r="E3483" s="139" t="n"/>
      <c r="F3483" s="139" t="n"/>
      <c r="G3483" s="140">
        <f>IFERROR(IF(E3483&gt;0,(F3483/E3483)*1000,""),"")</f>
        <v/>
      </c>
      <c r="H3483" s="139">
        <f>IFERROR(IF(E3483&gt;0,E3483*IF(ISNUMBER(J3483),J3483,IF(C3483="Futures",$C$6,$C$5)),""),"")</f>
        <v/>
      </c>
      <c r="I3483" s="139">
        <f>IFERROR(IF(AND(ISNUMBER(F3483),ISNUMBER(H3483)),F3483-H3483,""),"")</f>
        <v/>
      </c>
      <c r="J3483" s="114" t="n"/>
      <c r="K3483" s="139">
        <f>IFERROR(IF(H3483&gt;0,H3483*$C$7,""),"")</f>
        <v/>
      </c>
      <c r="L3483" s="139">
        <f>IFERROR(IF(ISNUMBER(F3483),F3483-IF(ISNUMBER(K3483),K3483,0),""),"")</f>
        <v/>
      </c>
    </row>
    <row r="3484" ht="24" customHeight="1" s="63">
      <c r="E3484" s="139" t="n"/>
      <c r="F3484" s="139" t="n"/>
      <c r="G3484" s="140">
        <f>IFERROR(IF(E3484&gt;0,(F3484/E3484)*1000,""),"")</f>
        <v/>
      </c>
      <c r="H3484" s="139">
        <f>IFERROR(IF(E3484&gt;0,E3484*IF(ISNUMBER(J3484),J3484,IF(C3484="Futures",$C$6,$C$5)),""),"")</f>
        <v/>
      </c>
      <c r="I3484" s="139">
        <f>IFERROR(IF(AND(ISNUMBER(F3484),ISNUMBER(H3484)),F3484-H3484,""),"")</f>
        <v/>
      </c>
      <c r="J3484" s="114" t="n"/>
      <c r="K3484" s="139">
        <f>IFERROR(IF(H3484&gt;0,H3484*$C$7,""),"")</f>
        <v/>
      </c>
      <c r="L3484" s="139">
        <f>IFERROR(IF(ISNUMBER(F3484),F3484-IF(ISNUMBER(K3484),K3484,0),""),"")</f>
        <v/>
      </c>
    </row>
    <row r="3485" ht="24" customHeight="1" s="63">
      <c r="E3485" s="139" t="n"/>
      <c r="F3485" s="139" t="n"/>
      <c r="G3485" s="140">
        <f>IFERROR(IF(E3485&gt;0,(F3485/E3485)*1000,""),"")</f>
        <v/>
      </c>
      <c r="H3485" s="139">
        <f>IFERROR(IF(E3485&gt;0,E3485*IF(ISNUMBER(J3485),J3485,IF(C3485="Futures",$C$6,$C$5)),""),"")</f>
        <v/>
      </c>
      <c r="I3485" s="139">
        <f>IFERROR(IF(AND(ISNUMBER(F3485),ISNUMBER(H3485)),F3485-H3485,""),"")</f>
        <v/>
      </c>
      <c r="J3485" s="114" t="n"/>
      <c r="K3485" s="139">
        <f>IFERROR(IF(H3485&gt;0,H3485*$C$7,""),"")</f>
        <v/>
      </c>
      <c r="L3485" s="139">
        <f>IFERROR(IF(ISNUMBER(F3485),F3485-IF(ISNUMBER(K3485),K3485,0),""),"")</f>
        <v/>
      </c>
    </row>
    <row r="3486" ht="24" customHeight="1" s="63">
      <c r="E3486" s="139" t="n"/>
      <c r="F3486" s="139" t="n"/>
      <c r="G3486" s="140">
        <f>IFERROR(IF(E3486&gt;0,(F3486/E3486)*1000,""),"")</f>
        <v/>
      </c>
      <c r="H3486" s="139">
        <f>IFERROR(IF(E3486&gt;0,E3486*IF(ISNUMBER(J3486),J3486,IF(C3486="Futures",$C$6,$C$5)),""),"")</f>
        <v/>
      </c>
      <c r="I3486" s="139">
        <f>IFERROR(IF(AND(ISNUMBER(F3486),ISNUMBER(H3486)),F3486-H3486,""),"")</f>
        <v/>
      </c>
      <c r="J3486" s="114" t="n"/>
      <c r="K3486" s="139">
        <f>IFERROR(IF(H3486&gt;0,H3486*$C$7,""),"")</f>
        <v/>
      </c>
      <c r="L3486" s="139">
        <f>IFERROR(IF(ISNUMBER(F3486),F3486-IF(ISNUMBER(K3486),K3486,0),""),"")</f>
        <v/>
      </c>
    </row>
    <row r="3487" ht="24" customHeight="1" s="63">
      <c r="E3487" s="139" t="n"/>
      <c r="F3487" s="139" t="n"/>
      <c r="G3487" s="140">
        <f>IFERROR(IF(E3487&gt;0,(F3487/E3487)*1000,""),"")</f>
        <v/>
      </c>
      <c r="H3487" s="139">
        <f>IFERROR(IF(E3487&gt;0,E3487*IF(ISNUMBER(J3487),J3487,IF(C3487="Futures",$C$6,$C$5)),""),"")</f>
        <v/>
      </c>
      <c r="I3487" s="139">
        <f>IFERROR(IF(AND(ISNUMBER(F3487),ISNUMBER(H3487)),F3487-H3487,""),"")</f>
        <v/>
      </c>
      <c r="J3487" s="114" t="n"/>
      <c r="K3487" s="139">
        <f>IFERROR(IF(H3487&gt;0,H3487*$C$7,""),"")</f>
        <v/>
      </c>
      <c r="L3487" s="139">
        <f>IFERROR(IF(ISNUMBER(F3487),F3487-IF(ISNUMBER(K3487),K3487,0),""),"")</f>
        <v/>
      </c>
    </row>
    <row r="3488" ht="24" customHeight="1" s="63">
      <c r="E3488" s="139" t="n"/>
      <c r="F3488" s="139" t="n"/>
      <c r="G3488" s="140">
        <f>IFERROR(IF(E3488&gt;0,(F3488/E3488)*1000,""),"")</f>
        <v/>
      </c>
      <c r="H3488" s="139">
        <f>IFERROR(IF(E3488&gt;0,E3488*IF(ISNUMBER(J3488),J3488,IF(C3488="Futures",$C$6,$C$5)),""),"")</f>
        <v/>
      </c>
      <c r="I3488" s="139">
        <f>IFERROR(IF(AND(ISNUMBER(F3488),ISNUMBER(H3488)),F3488-H3488,""),"")</f>
        <v/>
      </c>
      <c r="J3488" s="114" t="n"/>
      <c r="K3488" s="139">
        <f>IFERROR(IF(H3488&gt;0,H3488*$C$7,""),"")</f>
        <v/>
      </c>
      <c r="L3488" s="139">
        <f>IFERROR(IF(ISNUMBER(F3488),F3488-IF(ISNUMBER(K3488),K3488,0),""),"")</f>
        <v/>
      </c>
    </row>
    <row r="3489" ht="24" customHeight="1" s="63">
      <c r="E3489" s="139" t="n"/>
      <c r="F3489" s="139" t="n"/>
      <c r="G3489" s="140">
        <f>IFERROR(IF(E3489&gt;0,(F3489/E3489)*1000,""),"")</f>
        <v/>
      </c>
      <c r="H3489" s="139">
        <f>IFERROR(IF(E3489&gt;0,E3489*IF(ISNUMBER(J3489),J3489,IF(C3489="Futures",$C$6,$C$5)),""),"")</f>
        <v/>
      </c>
      <c r="I3489" s="139">
        <f>IFERROR(IF(AND(ISNUMBER(F3489),ISNUMBER(H3489)),F3489-H3489,""),"")</f>
        <v/>
      </c>
      <c r="J3489" s="114" t="n"/>
      <c r="K3489" s="139">
        <f>IFERROR(IF(H3489&gt;0,H3489*$C$7,""),"")</f>
        <v/>
      </c>
      <c r="L3489" s="139">
        <f>IFERROR(IF(ISNUMBER(F3489),F3489-IF(ISNUMBER(K3489),K3489,0),""),"")</f>
        <v/>
      </c>
    </row>
    <row r="3490" ht="24" customHeight="1" s="63">
      <c r="E3490" s="139" t="n"/>
      <c r="F3490" s="139" t="n"/>
      <c r="G3490" s="140">
        <f>IFERROR(IF(E3490&gt;0,(F3490/E3490)*1000,""),"")</f>
        <v/>
      </c>
      <c r="H3490" s="139">
        <f>IFERROR(IF(E3490&gt;0,E3490*IF(ISNUMBER(J3490),J3490,IF(C3490="Futures",$C$6,$C$5)),""),"")</f>
        <v/>
      </c>
      <c r="I3490" s="139">
        <f>IFERROR(IF(AND(ISNUMBER(F3490),ISNUMBER(H3490)),F3490-H3490,""),"")</f>
        <v/>
      </c>
      <c r="J3490" s="114" t="n"/>
      <c r="K3490" s="139">
        <f>IFERROR(IF(H3490&gt;0,H3490*$C$7,""),"")</f>
        <v/>
      </c>
      <c r="L3490" s="139">
        <f>IFERROR(IF(ISNUMBER(F3490),F3490-IF(ISNUMBER(K3490),K3490,0),""),"")</f>
        <v/>
      </c>
    </row>
    <row r="3491" ht="24" customHeight="1" s="63">
      <c r="E3491" s="139" t="n"/>
      <c r="F3491" s="139" t="n"/>
      <c r="G3491" s="140">
        <f>IFERROR(IF(E3491&gt;0,(F3491/E3491)*1000,""),"")</f>
        <v/>
      </c>
      <c r="H3491" s="139">
        <f>IFERROR(IF(E3491&gt;0,E3491*IF(ISNUMBER(J3491),J3491,IF(C3491="Futures",$C$6,$C$5)),""),"")</f>
        <v/>
      </c>
      <c r="I3491" s="139">
        <f>IFERROR(IF(AND(ISNUMBER(F3491),ISNUMBER(H3491)),F3491-H3491,""),"")</f>
        <v/>
      </c>
      <c r="J3491" s="114" t="n"/>
      <c r="K3491" s="139">
        <f>IFERROR(IF(H3491&gt;0,H3491*$C$7,""),"")</f>
        <v/>
      </c>
      <c r="L3491" s="139">
        <f>IFERROR(IF(ISNUMBER(F3491),F3491-IF(ISNUMBER(K3491),K3491,0),""),"")</f>
        <v/>
      </c>
    </row>
    <row r="3492" ht="24" customHeight="1" s="63">
      <c r="E3492" s="139" t="n"/>
      <c r="F3492" s="139" t="n"/>
      <c r="G3492" s="140">
        <f>IFERROR(IF(E3492&gt;0,(F3492/E3492)*1000,""),"")</f>
        <v/>
      </c>
      <c r="H3492" s="139">
        <f>IFERROR(IF(E3492&gt;0,E3492*IF(ISNUMBER(J3492),J3492,IF(C3492="Futures",$C$6,$C$5)),""),"")</f>
        <v/>
      </c>
      <c r="I3492" s="139">
        <f>IFERROR(IF(AND(ISNUMBER(F3492),ISNUMBER(H3492)),F3492-H3492,""),"")</f>
        <v/>
      </c>
      <c r="J3492" s="114" t="n"/>
      <c r="K3492" s="139">
        <f>IFERROR(IF(H3492&gt;0,H3492*$C$7,""),"")</f>
        <v/>
      </c>
      <c r="L3492" s="139">
        <f>IFERROR(IF(ISNUMBER(F3492),F3492-IF(ISNUMBER(K3492),K3492,0),""),"")</f>
        <v/>
      </c>
    </row>
    <row r="3493" ht="24" customHeight="1" s="63">
      <c r="E3493" s="139" t="n"/>
      <c r="F3493" s="139" t="n"/>
      <c r="G3493" s="140">
        <f>IFERROR(IF(E3493&gt;0,(F3493/E3493)*1000,""),"")</f>
        <v/>
      </c>
      <c r="H3493" s="139">
        <f>IFERROR(IF(E3493&gt;0,E3493*IF(ISNUMBER(J3493),J3493,IF(C3493="Futures",$C$6,$C$5)),""),"")</f>
        <v/>
      </c>
      <c r="I3493" s="139">
        <f>IFERROR(IF(AND(ISNUMBER(F3493),ISNUMBER(H3493)),F3493-H3493,""),"")</f>
        <v/>
      </c>
      <c r="J3493" s="114" t="n"/>
      <c r="K3493" s="139">
        <f>IFERROR(IF(H3493&gt;0,H3493*$C$7,""),"")</f>
        <v/>
      </c>
      <c r="L3493" s="139">
        <f>IFERROR(IF(ISNUMBER(F3493),F3493-IF(ISNUMBER(K3493),K3493,0),""),"")</f>
        <v/>
      </c>
    </row>
    <row r="3494" ht="24" customHeight="1" s="63">
      <c r="E3494" s="139" t="n"/>
      <c r="F3494" s="139" t="n"/>
      <c r="G3494" s="140">
        <f>IFERROR(IF(E3494&gt;0,(F3494/E3494)*1000,""),"")</f>
        <v/>
      </c>
      <c r="H3494" s="139">
        <f>IFERROR(IF(E3494&gt;0,E3494*IF(ISNUMBER(J3494),J3494,IF(C3494="Futures",$C$6,$C$5)),""),"")</f>
        <v/>
      </c>
      <c r="I3494" s="139">
        <f>IFERROR(IF(AND(ISNUMBER(F3494),ISNUMBER(H3494)),F3494-H3494,""),"")</f>
        <v/>
      </c>
      <c r="J3494" s="114" t="n"/>
      <c r="K3494" s="139">
        <f>IFERROR(IF(H3494&gt;0,H3494*$C$7,""),"")</f>
        <v/>
      </c>
      <c r="L3494" s="139">
        <f>IFERROR(IF(ISNUMBER(F3494),F3494-IF(ISNUMBER(K3494),K3494,0),""),"")</f>
        <v/>
      </c>
    </row>
    <row r="3495" ht="24" customHeight="1" s="63">
      <c r="E3495" s="139" t="n"/>
      <c r="F3495" s="139" t="n"/>
      <c r="G3495" s="140">
        <f>IFERROR(IF(E3495&gt;0,(F3495/E3495)*1000,""),"")</f>
        <v/>
      </c>
      <c r="H3495" s="139">
        <f>IFERROR(IF(E3495&gt;0,E3495*IF(ISNUMBER(J3495),J3495,IF(C3495="Futures",$C$6,$C$5)),""),"")</f>
        <v/>
      </c>
      <c r="I3495" s="139">
        <f>IFERROR(IF(AND(ISNUMBER(F3495),ISNUMBER(H3495)),F3495-H3495,""),"")</f>
        <v/>
      </c>
      <c r="J3495" s="114" t="n"/>
      <c r="K3495" s="139">
        <f>IFERROR(IF(H3495&gt;0,H3495*$C$7,""),"")</f>
        <v/>
      </c>
      <c r="L3495" s="139">
        <f>IFERROR(IF(ISNUMBER(F3495),F3495-IF(ISNUMBER(K3495),K3495,0),""),"")</f>
        <v/>
      </c>
    </row>
    <row r="3496" ht="24" customHeight="1" s="63">
      <c r="E3496" s="139" t="n"/>
      <c r="F3496" s="139" t="n"/>
      <c r="G3496" s="140">
        <f>IFERROR(IF(E3496&gt;0,(F3496/E3496)*1000,""),"")</f>
        <v/>
      </c>
      <c r="H3496" s="139">
        <f>IFERROR(IF(E3496&gt;0,E3496*IF(ISNUMBER(J3496),J3496,IF(C3496="Futures",$C$6,$C$5)),""),"")</f>
        <v/>
      </c>
      <c r="I3496" s="139">
        <f>IFERROR(IF(AND(ISNUMBER(F3496),ISNUMBER(H3496)),F3496-H3496,""),"")</f>
        <v/>
      </c>
      <c r="J3496" s="114" t="n"/>
      <c r="K3496" s="139">
        <f>IFERROR(IF(H3496&gt;0,H3496*$C$7,""),"")</f>
        <v/>
      </c>
      <c r="L3496" s="139">
        <f>IFERROR(IF(ISNUMBER(F3496),F3496-IF(ISNUMBER(K3496),K3496,0),""),"")</f>
        <v/>
      </c>
    </row>
    <row r="3497" ht="24" customHeight="1" s="63">
      <c r="E3497" s="139" t="n"/>
      <c r="F3497" s="139" t="n"/>
      <c r="G3497" s="140">
        <f>IFERROR(IF(E3497&gt;0,(F3497/E3497)*1000,""),"")</f>
        <v/>
      </c>
      <c r="H3497" s="139">
        <f>IFERROR(IF(E3497&gt;0,E3497*IF(ISNUMBER(J3497),J3497,IF(C3497="Futures",$C$6,$C$5)),""),"")</f>
        <v/>
      </c>
      <c r="I3497" s="139">
        <f>IFERROR(IF(AND(ISNUMBER(F3497),ISNUMBER(H3497)),F3497-H3497,""),"")</f>
        <v/>
      </c>
      <c r="J3497" s="114" t="n"/>
      <c r="K3497" s="139">
        <f>IFERROR(IF(H3497&gt;0,H3497*$C$7,""),"")</f>
        <v/>
      </c>
      <c r="L3497" s="139">
        <f>IFERROR(IF(ISNUMBER(F3497),F3497-IF(ISNUMBER(K3497),K3497,0),""),"")</f>
        <v/>
      </c>
    </row>
    <row r="3498" ht="24" customHeight="1" s="63">
      <c r="E3498" s="139" t="n"/>
      <c r="F3498" s="139" t="n"/>
      <c r="G3498" s="140">
        <f>IFERROR(IF(E3498&gt;0,(F3498/E3498)*1000,""),"")</f>
        <v/>
      </c>
      <c r="H3498" s="139">
        <f>IFERROR(IF(E3498&gt;0,E3498*IF(ISNUMBER(J3498),J3498,IF(C3498="Futures",$C$6,$C$5)),""),"")</f>
        <v/>
      </c>
      <c r="I3498" s="139">
        <f>IFERROR(IF(AND(ISNUMBER(F3498),ISNUMBER(H3498)),F3498-H3498,""),"")</f>
        <v/>
      </c>
      <c r="J3498" s="114" t="n"/>
      <c r="K3498" s="139">
        <f>IFERROR(IF(H3498&gt;0,H3498*$C$7,""),"")</f>
        <v/>
      </c>
      <c r="L3498" s="139">
        <f>IFERROR(IF(ISNUMBER(F3498),F3498-IF(ISNUMBER(K3498),K3498,0),""),"")</f>
        <v/>
      </c>
    </row>
    <row r="3499" ht="24" customHeight="1" s="63">
      <c r="E3499" s="139" t="n"/>
      <c r="F3499" s="139" t="n"/>
      <c r="G3499" s="140">
        <f>IFERROR(IF(E3499&gt;0,(F3499/E3499)*1000,""),"")</f>
        <v/>
      </c>
      <c r="H3499" s="139">
        <f>IFERROR(IF(E3499&gt;0,E3499*IF(ISNUMBER(J3499),J3499,IF(C3499="Futures",$C$6,$C$5)),""),"")</f>
        <v/>
      </c>
      <c r="I3499" s="139">
        <f>IFERROR(IF(AND(ISNUMBER(F3499),ISNUMBER(H3499)),F3499-H3499,""),"")</f>
        <v/>
      </c>
      <c r="J3499" s="114" t="n"/>
      <c r="K3499" s="139">
        <f>IFERROR(IF(H3499&gt;0,H3499*$C$7,""),"")</f>
        <v/>
      </c>
      <c r="L3499" s="139">
        <f>IFERROR(IF(ISNUMBER(F3499),F3499-IF(ISNUMBER(K3499),K3499,0),""),"")</f>
        <v/>
      </c>
    </row>
    <row r="3500" ht="24" customHeight="1" s="63">
      <c r="E3500" s="139" t="n"/>
      <c r="F3500" s="139" t="n"/>
      <c r="G3500" s="140">
        <f>IFERROR(IF(E3500&gt;0,(F3500/E3500)*1000,""),"")</f>
        <v/>
      </c>
      <c r="H3500" s="139">
        <f>IFERROR(IF(E3500&gt;0,E3500*IF(ISNUMBER(J3500),J3500,IF(C3500="Futures",$C$6,$C$5)),""),"")</f>
        <v/>
      </c>
      <c r="I3500" s="139">
        <f>IFERROR(IF(AND(ISNUMBER(F3500),ISNUMBER(H3500)),F3500-H3500,""),"")</f>
        <v/>
      </c>
      <c r="J3500" s="114" t="n"/>
      <c r="K3500" s="139">
        <f>IFERROR(IF(H3500&gt;0,H3500*$C$7,""),"")</f>
        <v/>
      </c>
      <c r="L3500" s="139">
        <f>IFERROR(IF(ISNUMBER(F3500),F3500-IF(ISNUMBER(K3500),K3500,0),""),"")</f>
        <v/>
      </c>
    </row>
    <row r="3501" ht="24" customHeight="1" s="63">
      <c r="E3501" s="139" t="n"/>
      <c r="F3501" s="139" t="n"/>
      <c r="G3501" s="140">
        <f>IFERROR(IF(E3501&gt;0,(F3501/E3501)*1000,""),"")</f>
        <v/>
      </c>
      <c r="H3501" s="139">
        <f>IFERROR(IF(E3501&gt;0,E3501*IF(ISNUMBER(J3501),J3501,IF(C3501="Futures",$C$6,$C$5)),""),"")</f>
        <v/>
      </c>
      <c r="I3501" s="139">
        <f>IFERROR(IF(AND(ISNUMBER(F3501),ISNUMBER(H3501)),F3501-H3501,""),"")</f>
        <v/>
      </c>
      <c r="J3501" s="114" t="n"/>
      <c r="K3501" s="139">
        <f>IFERROR(IF(H3501&gt;0,H3501*$C$7,""),"")</f>
        <v/>
      </c>
      <c r="L3501" s="139">
        <f>IFERROR(IF(ISNUMBER(F3501),F3501-IF(ISNUMBER(K3501),K3501,0),""),"")</f>
        <v/>
      </c>
    </row>
    <row r="3502" ht="24" customHeight="1" s="63">
      <c r="E3502" s="139" t="n"/>
      <c r="F3502" s="139" t="n"/>
      <c r="G3502" s="140">
        <f>IFERROR(IF(E3502&gt;0,(F3502/E3502)*1000,""),"")</f>
        <v/>
      </c>
      <c r="H3502" s="139">
        <f>IFERROR(IF(E3502&gt;0,E3502*IF(ISNUMBER(J3502),J3502,IF(C3502="Futures",$C$6,$C$5)),""),"")</f>
        <v/>
      </c>
      <c r="I3502" s="139">
        <f>IFERROR(IF(AND(ISNUMBER(F3502),ISNUMBER(H3502)),F3502-H3502,""),"")</f>
        <v/>
      </c>
      <c r="J3502" s="114" t="n"/>
      <c r="K3502" s="139">
        <f>IFERROR(IF(H3502&gt;0,H3502*$C$7,""),"")</f>
        <v/>
      </c>
      <c r="L3502" s="139">
        <f>IFERROR(IF(ISNUMBER(F3502),F3502-IF(ISNUMBER(K3502),K3502,0),""),"")</f>
        <v/>
      </c>
    </row>
    <row r="3503" ht="24" customHeight="1" s="63">
      <c r="E3503" s="139" t="n"/>
      <c r="F3503" s="139" t="n"/>
      <c r="G3503" s="140">
        <f>IFERROR(IF(E3503&gt;0,(F3503/E3503)*1000,""),"")</f>
        <v/>
      </c>
      <c r="H3503" s="139">
        <f>IFERROR(IF(E3503&gt;0,E3503*IF(ISNUMBER(J3503),J3503,IF(C3503="Futures",$C$6,$C$5)),""),"")</f>
        <v/>
      </c>
      <c r="I3503" s="139">
        <f>IFERROR(IF(AND(ISNUMBER(F3503),ISNUMBER(H3503)),F3503-H3503,""),"")</f>
        <v/>
      </c>
      <c r="J3503" s="114" t="n"/>
      <c r="K3503" s="139">
        <f>IFERROR(IF(H3503&gt;0,H3503*$C$7,""),"")</f>
        <v/>
      </c>
      <c r="L3503" s="139">
        <f>IFERROR(IF(ISNUMBER(F3503),F3503-IF(ISNUMBER(K3503),K3503,0),""),"")</f>
        <v/>
      </c>
    </row>
    <row r="3504" ht="24" customHeight="1" s="63">
      <c r="E3504" s="139" t="n"/>
      <c r="F3504" s="139" t="n"/>
      <c r="G3504" s="140">
        <f>IFERROR(IF(E3504&gt;0,(F3504/E3504)*1000,""),"")</f>
        <v/>
      </c>
      <c r="H3504" s="139">
        <f>IFERROR(IF(E3504&gt;0,E3504*IF(ISNUMBER(J3504),J3504,IF(C3504="Futures",$C$6,$C$5)),""),"")</f>
        <v/>
      </c>
      <c r="I3504" s="139">
        <f>IFERROR(IF(AND(ISNUMBER(F3504),ISNUMBER(H3504)),F3504-H3504,""),"")</f>
        <v/>
      </c>
      <c r="J3504" s="114" t="n"/>
      <c r="K3504" s="139">
        <f>IFERROR(IF(H3504&gt;0,H3504*$C$7,""),"")</f>
        <v/>
      </c>
      <c r="L3504" s="139">
        <f>IFERROR(IF(ISNUMBER(F3504),F3504-IF(ISNUMBER(K3504),K3504,0),""),"")</f>
        <v/>
      </c>
    </row>
    <row r="3505" ht="24" customHeight="1" s="63">
      <c r="E3505" s="139" t="n"/>
      <c r="F3505" s="139" t="n"/>
      <c r="G3505" s="140">
        <f>IFERROR(IF(E3505&gt;0,(F3505/E3505)*1000,""),"")</f>
        <v/>
      </c>
      <c r="H3505" s="139">
        <f>IFERROR(IF(E3505&gt;0,E3505*IF(ISNUMBER(J3505),J3505,IF(C3505="Futures",$C$6,$C$5)),""),"")</f>
        <v/>
      </c>
      <c r="I3505" s="139">
        <f>IFERROR(IF(AND(ISNUMBER(F3505),ISNUMBER(H3505)),F3505-H3505,""),"")</f>
        <v/>
      </c>
      <c r="J3505" s="114" t="n"/>
      <c r="K3505" s="139">
        <f>IFERROR(IF(H3505&gt;0,H3505*$C$7,""),"")</f>
        <v/>
      </c>
      <c r="L3505" s="139">
        <f>IFERROR(IF(ISNUMBER(F3505),F3505-IF(ISNUMBER(K3505),K3505,0),""),"")</f>
        <v/>
      </c>
    </row>
    <row r="3506" ht="24" customHeight="1" s="63">
      <c r="E3506" s="139" t="n"/>
      <c r="F3506" s="139" t="n"/>
      <c r="G3506" s="140">
        <f>IFERROR(IF(E3506&gt;0,(F3506/E3506)*1000,""),"")</f>
        <v/>
      </c>
      <c r="H3506" s="139">
        <f>IFERROR(IF(E3506&gt;0,E3506*IF(ISNUMBER(J3506),J3506,IF(C3506="Futures",$C$6,$C$5)),""),"")</f>
        <v/>
      </c>
      <c r="I3506" s="139">
        <f>IFERROR(IF(AND(ISNUMBER(F3506),ISNUMBER(H3506)),F3506-H3506,""),"")</f>
        <v/>
      </c>
      <c r="J3506" s="114" t="n"/>
      <c r="K3506" s="139">
        <f>IFERROR(IF(H3506&gt;0,H3506*$C$7,""),"")</f>
        <v/>
      </c>
      <c r="L3506" s="139">
        <f>IFERROR(IF(ISNUMBER(F3506),F3506-IF(ISNUMBER(K3506),K3506,0),""),"")</f>
        <v/>
      </c>
    </row>
    <row r="3507" ht="24" customHeight="1" s="63">
      <c r="E3507" s="139" t="n"/>
      <c r="F3507" s="139" t="n"/>
      <c r="G3507" s="140">
        <f>IFERROR(IF(E3507&gt;0,(F3507/E3507)*1000,""),"")</f>
        <v/>
      </c>
      <c r="H3507" s="139">
        <f>IFERROR(IF(E3507&gt;0,E3507*IF(ISNUMBER(J3507),J3507,IF(C3507="Futures",$C$6,$C$5)),""),"")</f>
        <v/>
      </c>
      <c r="I3507" s="139">
        <f>IFERROR(IF(AND(ISNUMBER(F3507),ISNUMBER(H3507)),F3507-H3507,""),"")</f>
        <v/>
      </c>
      <c r="J3507" s="114" t="n"/>
      <c r="K3507" s="139">
        <f>IFERROR(IF(H3507&gt;0,H3507*$C$7,""),"")</f>
        <v/>
      </c>
      <c r="L3507" s="139">
        <f>IFERROR(IF(ISNUMBER(F3507),F3507-IF(ISNUMBER(K3507),K3507,0),""),"")</f>
        <v/>
      </c>
    </row>
    <row r="3508" ht="24" customHeight="1" s="63">
      <c r="E3508" s="139" t="n"/>
      <c r="F3508" s="139" t="n"/>
      <c r="G3508" s="140">
        <f>IFERROR(IF(E3508&gt;0,(F3508/E3508)*1000,""),"")</f>
        <v/>
      </c>
      <c r="H3508" s="139">
        <f>IFERROR(IF(E3508&gt;0,E3508*IF(ISNUMBER(J3508),J3508,IF(C3508="Futures",$C$6,$C$5)),""),"")</f>
        <v/>
      </c>
      <c r="I3508" s="139">
        <f>IFERROR(IF(AND(ISNUMBER(F3508),ISNUMBER(H3508)),F3508-H3508,""),"")</f>
        <v/>
      </c>
      <c r="J3508" s="114" t="n"/>
      <c r="K3508" s="139">
        <f>IFERROR(IF(H3508&gt;0,H3508*$C$7,""),"")</f>
        <v/>
      </c>
      <c r="L3508" s="139">
        <f>IFERROR(IF(ISNUMBER(F3508),F3508-IF(ISNUMBER(K3508),K3508,0),""),"")</f>
        <v/>
      </c>
    </row>
    <row r="3509" ht="24" customHeight="1" s="63">
      <c r="E3509" s="139" t="n"/>
      <c r="F3509" s="139" t="n"/>
      <c r="G3509" s="140">
        <f>IFERROR(IF(E3509&gt;0,(F3509/E3509)*1000,""),"")</f>
        <v/>
      </c>
      <c r="H3509" s="139">
        <f>IFERROR(IF(E3509&gt;0,E3509*IF(ISNUMBER(J3509),J3509,IF(C3509="Futures",$C$6,$C$5)),""),"")</f>
        <v/>
      </c>
      <c r="I3509" s="139">
        <f>IFERROR(IF(AND(ISNUMBER(F3509),ISNUMBER(H3509)),F3509-H3509,""),"")</f>
        <v/>
      </c>
      <c r="J3509" s="114" t="n"/>
      <c r="K3509" s="139">
        <f>IFERROR(IF(H3509&gt;0,H3509*$C$7,""),"")</f>
        <v/>
      </c>
      <c r="L3509" s="139">
        <f>IFERROR(IF(ISNUMBER(F3509),F3509-IF(ISNUMBER(K3509),K3509,0),""),"")</f>
        <v/>
      </c>
    </row>
    <row r="3510" ht="24" customHeight="1" s="63">
      <c r="E3510" s="139" t="n"/>
      <c r="F3510" s="139" t="n"/>
      <c r="G3510" s="140">
        <f>IFERROR(IF(E3510&gt;0,(F3510/E3510)*1000,""),"")</f>
        <v/>
      </c>
      <c r="H3510" s="139">
        <f>IFERROR(IF(E3510&gt;0,E3510*IF(ISNUMBER(J3510),J3510,IF(C3510="Futures",$C$6,$C$5)),""),"")</f>
        <v/>
      </c>
      <c r="I3510" s="139">
        <f>IFERROR(IF(AND(ISNUMBER(F3510),ISNUMBER(H3510)),F3510-H3510,""),"")</f>
        <v/>
      </c>
      <c r="J3510" s="114" t="n"/>
      <c r="K3510" s="139">
        <f>IFERROR(IF(H3510&gt;0,H3510*$C$7,""),"")</f>
        <v/>
      </c>
      <c r="L3510" s="139">
        <f>IFERROR(IF(ISNUMBER(F3510),F3510-IF(ISNUMBER(K3510),K3510,0),""),"")</f>
        <v/>
      </c>
    </row>
    <row r="3511" ht="24" customHeight="1" s="63">
      <c r="E3511" s="139" t="n"/>
      <c r="F3511" s="139" t="n"/>
      <c r="G3511" s="140">
        <f>IFERROR(IF(E3511&gt;0,(F3511/E3511)*1000,""),"")</f>
        <v/>
      </c>
      <c r="H3511" s="139">
        <f>IFERROR(IF(E3511&gt;0,E3511*IF(ISNUMBER(J3511),J3511,IF(C3511="Futures",$C$6,$C$5)),""),"")</f>
        <v/>
      </c>
      <c r="I3511" s="139">
        <f>IFERROR(IF(AND(ISNUMBER(F3511),ISNUMBER(H3511)),F3511-H3511,""),"")</f>
        <v/>
      </c>
      <c r="J3511" s="114" t="n"/>
      <c r="K3511" s="139">
        <f>IFERROR(IF(H3511&gt;0,H3511*$C$7,""),"")</f>
        <v/>
      </c>
      <c r="L3511" s="139">
        <f>IFERROR(IF(ISNUMBER(F3511),F3511-IF(ISNUMBER(K3511),K3511,0),""),"")</f>
        <v/>
      </c>
    </row>
    <row r="3512" ht="24" customHeight="1" s="63">
      <c r="E3512" s="139" t="n"/>
      <c r="F3512" s="139" t="n"/>
      <c r="G3512" s="140">
        <f>IFERROR(IF(E3512&gt;0,(F3512/E3512)*1000,""),"")</f>
        <v/>
      </c>
      <c r="H3512" s="139">
        <f>IFERROR(IF(E3512&gt;0,E3512*IF(ISNUMBER(J3512),J3512,IF(C3512="Futures",$C$6,$C$5)),""),"")</f>
        <v/>
      </c>
      <c r="I3512" s="139">
        <f>IFERROR(IF(AND(ISNUMBER(F3512),ISNUMBER(H3512)),F3512-H3512,""),"")</f>
        <v/>
      </c>
      <c r="J3512" s="114" t="n"/>
      <c r="K3512" s="139">
        <f>IFERROR(IF(H3512&gt;0,H3512*$C$7,""),"")</f>
        <v/>
      </c>
      <c r="L3512" s="139">
        <f>IFERROR(IF(ISNUMBER(F3512),F3512-IF(ISNUMBER(K3512),K3512,0),""),"")</f>
        <v/>
      </c>
    </row>
    <row r="3513" ht="24" customHeight="1" s="63">
      <c r="E3513" s="139" t="n"/>
      <c r="F3513" s="139" t="n"/>
      <c r="G3513" s="140">
        <f>IFERROR(IF(E3513&gt;0,(F3513/E3513)*1000,""),"")</f>
        <v/>
      </c>
      <c r="H3513" s="139">
        <f>IFERROR(IF(E3513&gt;0,E3513*IF(ISNUMBER(J3513),J3513,IF(C3513="Futures",$C$6,$C$5)),""),"")</f>
        <v/>
      </c>
      <c r="I3513" s="139">
        <f>IFERROR(IF(AND(ISNUMBER(F3513),ISNUMBER(H3513)),F3513-H3513,""),"")</f>
        <v/>
      </c>
      <c r="J3513" s="114" t="n"/>
      <c r="K3513" s="139">
        <f>IFERROR(IF(H3513&gt;0,H3513*$C$7,""),"")</f>
        <v/>
      </c>
      <c r="L3513" s="139">
        <f>IFERROR(IF(ISNUMBER(F3513),F3513-IF(ISNUMBER(K3513),K3513,0),""),"")</f>
        <v/>
      </c>
    </row>
    <row r="3514" ht="24" customHeight="1" s="63">
      <c r="E3514" s="139" t="n"/>
      <c r="F3514" s="139" t="n"/>
      <c r="G3514" s="140">
        <f>IFERROR(IF(E3514&gt;0,(F3514/E3514)*1000,""),"")</f>
        <v/>
      </c>
      <c r="H3514" s="139">
        <f>IFERROR(IF(E3514&gt;0,E3514*IF(ISNUMBER(J3514),J3514,IF(C3514="Futures",$C$6,$C$5)),""),"")</f>
        <v/>
      </c>
      <c r="I3514" s="139">
        <f>IFERROR(IF(AND(ISNUMBER(F3514),ISNUMBER(H3514)),F3514-H3514,""),"")</f>
        <v/>
      </c>
      <c r="J3514" s="114" t="n"/>
      <c r="K3514" s="139">
        <f>IFERROR(IF(H3514&gt;0,H3514*$C$7,""),"")</f>
        <v/>
      </c>
      <c r="L3514" s="139">
        <f>IFERROR(IF(ISNUMBER(F3514),F3514-IF(ISNUMBER(K3514),K3514,0),""),"")</f>
        <v/>
      </c>
    </row>
    <row r="3515" ht="24" customHeight="1" s="63">
      <c r="E3515" s="139" t="n"/>
      <c r="F3515" s="139" t="n"/>
      <c r="G3515" s="140">
        <f>IFERROR(IF(E3515&gt;0,(F3515/E3515)*1000,""),"")</f>
        <v/>
      </c>
      <c r="H3515" s="139">
        <f>IFERROR(IF(E3515&gt;0,E3515*IF(ISNUMBER(J3515),J3515,IF(C3515="Futures",$C$6,$C$5)),""),"")</f>
        <v/>
      </c>
      <c r="I3515" s="139">
        <f>IFERROR(IF(AND(ISNUMBER(F3515),ISNUMBER(H3515)),F3515-H3515,""),"")</f>
        <v/>
      </c>
      <c r="J3515" s="114" t="n"/>
      <c r="K3515" s="139">
        <f>IFERROR(IF(H3515&gt;0,H3515*$C$7,""),"")</f>
        <v/>
      </c>
      <c r="L3515" s="139">
        <f>IFERROR(IF(ISNUMBER(F3515),F3515-IF(ISNUMBER(K3515),K3515,0),""),"")</f>
        <v/>
      </c>
    </row>
    <row r="3516" ht="24" customHeight="1" s="63">
      <c r="E3516" s="139" t="n"/>
      <c r="F3516" s="139" t="n"/>
      <c r="G3516" s="140">
        <f>IFERROR(IF(E3516&gt;0,(F3516/E3516)*1000,""),"")</f>
        <v/>
      </c>
      <c r="H3516" s="139">
        <f>IFERROR(IF(E3516&gt;0,E3516*IF(ISNUMBER(J3516),J3516,IF(C3516="Futures",$C$6,$C$5)),""),"")</f>
        <v/>
      </c>
      <c r="I3516" s="139">
        <f>IFERROR(IF(AND(ISNUMBER(F3516),ISNUMBER(H3516)),F3516-H3516,""),"")</f>
        <v/>
      </c>
      <c r="J3516" s="114" t="n"/>
      <c r="K3516" s="139">
        <f>IFERROR(IF(H3516&gt;0,H3516*$C$7,""),"")</f>
        <v/>
      </c>
      <c r="L3516" s="139">
        <f>IFERROR(IF(ISNUMBER(F3516),F3516-IF(ISNUMBER(K3516),K3516,0),""),"")</f>
        <v/>
      </c>
    </row>
    <row r="3517" ht="24" customHeight="1" s="63">
      <c r="E3517" s="139" t="n"/>
      <c r="F3517" s="139" t="n"/>
      <c r="G3517" s="140">
        <f>IFERROR(IF(E3517&gt;0,(F3517/E3517)*1000,""),"")</f>
        <v/>
      </c>
      <c r="H3517" s="139">
        <f>IFERROR(IF(E3517&gt;0,E3517*IF(ISNUMBER(J3517),J3517,IF(C3517="Futures",$C$6,$C$5)),""),"")</f>
        <v/>
      </c>
      <c r="I3517" s="139">
        <f>IFERROR(IF(AND(ISNUMBER(F3517),ISNUMBER(H3517)),F3517-H3517,""),"")</f>
        <v/>
      </c>
      <c r="J3517" s="114" t="n"/>
      <c r="K3517" s="139">
        <f>IFERROR(IF(H3517&gt;0,H3517*$C$7,""),"")</f>
        <v/>
      </c>
      <c r="L3517" s="139">
        <f>IFERROR(IF(ISNUMBER(F3517),F3517-IF(ISNUMBER(K3517),K3517,0),""),"")</f>
        <v/>
      </c>
    </row>
    <row r="3518" ht="24" customHeight="1" s="63">
      <c r="E3518" s="139" t="n"/>
      <c r="F3518" s="139" t="n"/>
      <c r="G3518" s="140">
        <f>IFERROR(IF(E3518&gt;0,(F3518/E3518)*1000,""),"")</f>
        <v/>
      </c>
      <c r="H3518" s="139">
        <f>IFERROR(IF(E3518&gt;0,E3518*IF(ISNUMBER(J3518),J3518,IF(C3518="Futures",$C$6,$C$5)),""),"")</f>
        <v/>
      </c>
      <c r="I3518" s="139">
        <f>IFERROR(IF(AND(ISNUMBER(F3518),ISNUMBER(H3518)),F3518-H3518,""),"")</f>
        <v/>
      </c>
      <c r="J3518" s="114" t="n"/>
      <c r="K3518" s="139">
        <f>IFERROR(IF(H3518&gt;0,H3518*$C$7,""),"")</f>
        <v/>
      </c>
      <c r="L3518" s="139">
        <f>IFERROR(IF(ISNUMBER(F3518),F3518-IF(ISNUMBER(K3518),K3518,0),""),"")</f>
        <v/>
      </c>
    </row>
    <row r="3519" ht="24" customHeight="1" s="63">
      <c r="E3519" s="139" t="n"/>
      <c r="F3519" s="139" t="n"/>
      <c r="G3519" s="140">
        <f>IFERROR(IF(E3519&gt;0,(F3519/E3519)*1000,""),"")</f>
        <v/>
      </c>
      <c r="H3519" s="139">
        <f>IFERROR(IF(E3519&gt;0,E3519*IF(ISNUMBER(J3519),J3519,IF(C3519="Futures",$C$6,$C$5)),""),"")</f>
        <v/>
      </c>
      <c r="I3519" s="139">
        <f>IFERROR(IF(AND(ISNUMBER(F3519),ISNUMBER(H3519)),F3519-H3519,""),"")</f>
        <v/>
      </c>
      <c r="J3519" s="114" t="n"/>
      <c r="K3519" s="139">
        <f>IFERROR(IF(H3519&gt;0,H3519*$C$7,""),"")</f>
        <v/>
      </c>
      <c r="L3519" s="139">
        <f>IFERROR(IF(ISNUMBER(F3519),F3519-IF(ISNUMBER(K3519),K3519,0),""),"")</f>
        <v/>
      </c>
    </row>
    <row r="3520" ht="24" customHeight="1" s="63">
      <c r="E3520" s="139" t="n"/>
      <c r="F3520" s="139" t="n"/>
      <c r="G3520" s="140">
        <f>IFERROR(IF(E3520&gt;0,(F3520/E3520)*1000,""),"")</f>
        <v/>
      </c>
      <c r="H3520" s="139">
        <f>IFERROR(IF(E3520&gt;0,E3520*IF(ISNUMBER(J3520),J3520,IF(C3520="Futures",$C$6,$C$5)),""),"")</f>
        <v/>
      </c>
      <c r="I3520" s="139">
        <f>IFERROR(IF(AND(ISNUMBER(F3520),ISNUMBER(H3520)),F3520-H3520,""),"")</f>
        <v/>
      </c>
      <c r="J3520" s="114" t="n"/>
      <c r="K3520" s="139">
        <f>IFERROR(IF(H3520&gt;0,H3520*$C$7,""),"")</f>
        <v/>
      </c>
      <c r="L3520" s="139">
        <f>IFERROR(IF(ISNUMBER(F3520),F3520-IF(ISNUMBER(K3520),K3520,0),""),"")</f>
        <v/>
      </c>
    </row>
    <row r="3521" ht="24" customHeight="1" s="63">
      <c r="E3521" s="139" t="n"/>
      <c r="F3521" s="139" t="n"/>
      <c r="G3521" s="140">
        <f>IFERROR(IF(E3521&gt;0,(F3521/E3521)*1000,""),"")</f>
        <v/>
      </c>
      <c r="H3521" s="139">
        <f>IFERROR(IF(E3521&gt;0,E3521*IF(ISNUMBER(J3521),J3521,IF(C3521="Futures",$C$6,$C$5)),""),"")</f>
        <v/>
      </c>
      <c r="I3521" s="139">
        <f>IFERROR(IF(AND(ISNUMBER(F3521),ISNUMBER(H3521)),F3521-H3521,""),"")</f>
        <v/>
      </c>
      <c r="J3521" s="114" t="n"/>
      <c r="K3521" s="139">
        <f>IFERROR(IF(H3521&gt;0,H3521*$C$7,""),"")</f>
        <v/>
      </c>
      <c r="L3521" s="139">
        <f>IFERROR(IF(ISNUMBER(F3521),F3521-IF(ISNUMBER(K3521),K3521,0),""),"")</f>
        <v/>
      </c>
    </row>
    <row r="3522" ht="24" customHeight="1" s="63">
      <c r="E3522" s="139" t="n"/>
      <c r="F3522" s="139" t="n"/>
      <c r="G3522" s="140">
        <f>IFERROR(IF(E3522&gt;0,(F3522/E3522)*1000,""),"")</f>
        <v/>
      </c>
      <c r="H3522" s="139">
        <f>IFERROR(IF(E3522&gt;0,E3522*IF(ISNUMBER(J3522),J3522,IF(C3522="Futures",$C$6,$C$5)),""),"")</f>
        <v/>
      </c>
      <c r="I3522" s="139">
        <f>IFERROR(IF(AND(ISNUMBER(F3522),ISNUMBER(H3522)),F3522-H3522,""),"")</f>
        <v/>
      </c>
      <c r="J3522" s="114" t="n"/>
      <c r="K3522" s="139">
        <f>IFERROR(IF(H3522&gt;0,H3522*$C$7,""),"")</f>
        <v/>
      </c>
      <c r="L3522" s="139">
        <f>IFERROR(IF(ISNUMBER(F3522),F3522-IF(ISNUMBER(K3522),K3522,0),""),"")</f>
        <v/>
      </c>
    </row>
    <row r="3523" ht="24" customHeight="1" s="63">
      <c r="E3523" s="139" t="n"/>
      <c r="F3523" s="139" t="n"/>
      <c r="G3523" s="140">
        <f>IFERROR(IF(E3523&gt;0,(F3523/E3523)*1000,""),"")</f>
        <v/>
      </c>
      <c r="H3523" s="139">
        <f>IFERROR(IF(E3523&gt;0,E3523*IF(ISNUMBER(J3523),J3523,IF(C3523="Futures",$C$6,$C$5)),""),"")</f>
        <v/>
      </c>
      <c r="I3523" s="139">
        <f>IFERROR(IF(AND(ISNUMBER(F3523),ISNUMBER(H3523)),F3523-H3523,""),"")</f>
        <v/>
      </c>
      <c r="J3523" s="114" t="n"/>
      <c r="K3523" s="139">
        <f>IFERROR(IF(H3523&gt;0,H3523*$C$7,""),"")</f>
        <v/>
      </c>
      <c r="L3523" s="139">
        <f>IFERROR(IF(ISNUMBER(F3523),F3523-IF(ISNUMBER(K3523),K3523,0),""),"")</f>
        <v/>
      </c>
    </row>
    <row r="3524" ht="24" customHeight="1" s="63">
      <c r="E3524" s="139" t="n"/>
      <c r="F3524" s="139" t="n"/>
      <c r="G3524" s="140">
        <f>IFERROR(IF(E3524&gt;0,(F3524/E3524)*1000,""),"")</f>
        <v/>
      </c>
      <c r="H3524" s="139">
        <f>IFERROR(IF(E3524&gt;0,E3524*IF(ISNUMBER(J3524),J3524,IF(C3524="Futures",$C$6,$C$5)),""),"")</f>
        <v/>
      </c>
      <c r="I3524" s="139">
        <f>IFERROR(IF(AND(ISNUMBER(F3524),ISNUMBER(H3524)),F3524-H3524,""),"")</f>
        <v/>
      </c>
      <c r="J3524" s="114" t="n"/>
      <c r="K3524" s="139">
        <f>IFERROR(IF(H3524&gt;0,H3524*$C$7,""),"")</f>
        <v/>
      </c>
      <c r="L3524" s="139">
        <f>IFERROR(IF(ISNUMBER(F3524),F3524-IF(ISNUMBER(K3524),K3524,0),""),"")</f>
        <v/>
      </c>
    </row>
    <row r="3525" ht="24" customHeight="1" s="63">
      <c r="E3525" s="139" t="n"/>
      <c r="F3525" s="139" t="n"/>
      <c r="G3525" s="140">
        <f>IFERROR(IF(E3525&gt;0,(F3525/E3525)*1000,""),"")</f>
        <v/>
      </c>
      <c r="H3525" s="139">
        <f>IFERROR(IF(E3525&gt;0,E3525*IF(ISNUMBER(J3525),J3525,IF(C3525="Futures",$C$6,$C$5)),""),"")</f>
        <v/>
      </c>
      <c r="I3525" s="139">
        <f>IFERROR(IF(AND(ISNUMBER(F3525),ISNUMBER(H3525)),F3525-H3525,""),"")</f>
        <v/>
      </c>
      <c r="J3525" s="114" t="n"/>
      <c r="K3525" s="139">
        <f>IFERROR(IF(H3525&gt;0,H3525*$C$7,""),"")</f>
        <v/>
      </c>
      <c r="L3525" s="139">
        <f>IFERROR(IF(ISNUMBER(F3525),F3525-IF(ISNUMBER(K3525),K3525,0),""),"")</f>
        <v/>
      </c>
    </row>
    <row r="3526" ht="24" customHeight="1" s="63">
      <c r="E3526" s="139" t="n"/>
      <c r="F3526" s="139" t="n"/>
      <c r="G3526" s="140">
        <f>IFERROR(IF(E3526&gt;0,(F3526/E3526)*1000,""),"")</f>
        <v/>
      </c>
      <c r="H3526" s="139">
        <f>IFERROR(IF(E3526&gt;0,E3526*IF(ISNUMBER(J3526),J3526,IF(C3526="Futures",$C$6,$C$5)),""),"")</f>
        <v/>
      </c>
      <c r="I3526" s="139">
        <f>IFERROR(IF(AND(ISNUMBER(F3526),ISNUMBER(H3526)),F3526-H3526,""),"")</f>
        <v/>
      </c>
      <c r="J3526" s="114" t="n"/>
      <c r="K3526" s="139">
        <f>IFERROR(IF(H3526&gt;0,H3526*$C$7,""),"")</f>
        <v/>
      </c>
      <c r="L3526" s="139">
        <f>IFERROR(IF(ISNUMBER(F3526),F3526-IF(ISNUMBER(K3526),K3526,0),""),"")</f>
        <v/>
      </c>
    </row>
    <row r="3527" ht="24" customHeight="1" s="63">
      <c r="E3527" s="139" t="n"/>
      <c r="F3527" s="139" t="n"/>
      <c r="G3527" s="140">
        <f>IFERROR(IF(E3527&gt;0,(F3527/E3527)*1000,""),"")</f>
        <v/>
      </c>
      <c r="H3527" s="139">
        <f>IFERROR(IF(E3527&gt;0,E3527*IF(ISNUMBER(J3527),J3527,IF(C3527="Futures",$C$6,$C$5)),""),"")</f>
        <v/>
      </c>
      <c r="I3527" s="139">
        <f>IFERROR(IF(AND(ISNUMBER(F3527),ISNUMBER(H3527)),F3527-H3527,""),"")</f>
        <v/>
      </c>
      <c r="J3527" s="114" t="n"/>
      <c r="K3527" s="139">
        <f>IFERROR(IF(H3527&gt;0,H3527*$C$7,""),"")</f>
        <v/>
      </c>
      <c r="L3527" s="139">
        <f>IFERROR(IF(ISNUMBER(F3527),F3527-IF(ISNUMBER(K3527),K3527,0),""),"")</f>
        <v/>
      </c>
    </row>
    <row r="3528" ht="24" customHeight="1" s="63">
      <c r="E3528" s="139" t="n"/>
      <c r="F3528" s="139" t="n"/>
      <c r="G3528" s="140">
        <f>IFERROR(IF(E3528&gt;0,(F3528/E3528)*1000,""),"")</f>
        <v/>
      </c>
      <c r="H3528" s="139">
        <f>IFERROR(IF(E3528&gt;0,E3528*IF(ISNUMBER(J3528),J3528,IF(C3528="Futures",$C$6,$C$5)),""),"")</f>
        <v/>
      </c>
      <c r="I3528" s="139">
        <f>IFERROR(IF(AND(ISNUMBER(F3528),ISNUMBER(H3528)),F3528-H3528,""),"")</f>
        <v/>
      </c>
      <c r="J3528" s="114" t="n"/>
      <c r="K3528" s="139">
        <f>IFERROR(IF(H3528&gt;0,H3528*$C$7,""),"")</f>
        <v/>
      </c>
      <c r="L3528" s="139">
        <f>IFERROR(IF(ISNUMBER(F3528),F3528-IF(ISNUMBER(K3528),K3528,0),""),"")</f>
        <v/>
      </c>
    </row>
    <row r="3529" ht="24" customHeight="1" s="63">
      <c r="E3529" s="139" t="n"/>
      <c r="F3529" s="139" t="n"/>
      <c r="G3529" s="140">
        <f>IFERROR(IF(E3529&gt;0,(F3529/E3529)*1000,""),"")</f>
        <v/>
      </c>
      <c r="H3529" s="139">
        <f>IFERROR(IF(E3529&gt;0,E3529*IF(ISNUMBER(J3529),J3529,IF(C3529="Futures",$C$6,$C$5)),""),"")</f>
        <v/>
      </c>
      <c r="I3529" s="139">
        <f>IFERROR(IF(AND(ISNUMBER(F3529),ISNUMBER(H3529)),F3529-H3529,""),"")</f>
        <v/>
      </c>
      <c r="J3529" s="114" t="n"/>
      <c r="K3529" s="139">
        <f>IFERROR(IF(H3529&gt;0,H3529*$C$7,""),"")</f>
        <v/>
      </c>
      <c r="L3529" s="139">
        <f>IFERROR(IF(ISNUMBER(F3529),F3529-IF(ISNUMBER(K3529),K3529,0),""),"")</f>
        <v/>
      </c>
    </row>
    <row r="3530" ht="24" customHeight="1" s="63">
      <c r="E3530" s="139" t="n"/>
      <c r="F3530" s="139" t="n"/>
      <c r="G3530" s="140">
        <f>IFERROR(IF(E3530&gt;0,(F3530/E3530)*1000,""),"")</f>
        <v/>
      </c>
      <c r="H3530" s="139">
        <f>IFERROR(IF(E3530&gt;0,E3530*IF(ISNUMBER(J3530),J3530,IF(C3530="Futures",$C$6,$C$5)),""),"")</f>
        <v/>
      </c>
      <c r="I3530" s="139">
        <f>IFERROR(IF(AND(ISNUMBER(F3530),ISNUMBER(H3530)),F3530-H3530,""),"")</f>
        <v/>
      </c>
      <c r="J3530" s="114" t="n"/>
      <c r="K3530" s="139">
        <f>IFERROR(IF(H3530&gt;0,H3530*$C$7,""),"")</f>
        <v/>
      </c>
      <c r="L3530" s="139">
        <f>IFERROR(IF(ISNUMBER(F3530),F3530-IF(ISNUMBER(K3530),K3530,0),""),"")</f>
        <v/>
      </c>
    </row>
    <row r="3531" ht="24" customHeight="1" s="63">
      <c r="E3531" s="139" t="n"/>
      <c r="F3531" s="139" t="n"/>
      <c r="G3531" s="140">
        <f>IFERROR(IF(E3531&gt;0,(F3531/E3531)*1000,""),"")</f>
        <v/>
      </c>
      <c r="H3531" s="139">
        <f>IFERROR(IF(E3531&gt;0,E3531*IF(ISNUMBER(J3531),J3531,IF(C3531="Futures",$C$6,$C$5)),""),"")</f>
        <v/>
      </c>
      <c r="I3531" s="139">
        <f>IFERROR(IF(AND(ISNUMBER(F3531),ISNUMBER(H3531)),F3531-H3531,""),"")</f>
        <v/>
      </c>
      <c r="J3531" s="114" t="n"/>
      <c r="K3531" s="139">
        <f>IFERROR(IF(H3531&gt;0,H3531*$C$7,""),"")</f>
        <v/>
      </c>
      <c r="L3531" s="139">
        <f>IFERROR(IF(ISNUMBER(F3531),F3531-IF(ISNUMBER(K3531),K3531,0),""),"")</f>
        <v/>
      </c>
    </row>
    <row r="3532" ht="24" customHeight="1" s="63">
      <c r="E3532" s="139" t="n"/>
      <c r="F3532" s="139" t="n"/>
      <c r="G3532" s="140">
        <f>IFERROR(IF(E3532&gt;0,(F3532/E3532)*1000,""),"")</f>
        <v/>
      </c>
      <c r="H3532" s="139">
        <f>IFERROR(IF(E3532&gt;0,E3532*IF(ISNUMBER(J3532),J3532,IF(C3532="Futures",$C$6,$C$5)),""),"")</f>
        <v/>
      </c>
      <c r="I3532" s="139">
        <f>IFERROR(IF(AND(ISNUMBER(F3532),ISNUMBER(H3532)),F3532-H3532,""),"")</f>
        <v/>
      </c>
      <c r="J3532" s="114" t="n"/>
      <c r="K3532" s="139">
        <f>IFERROR(IF(H3532&gt;0,H3532*$C$7,""),"")</f>
        <v/>
      </c>
      <c r="L3532" s="139">
        <f>IFERROR(IF(ISNUMBER(F3532),F3532-IF(ISNUMBER(K3532),K3532,0),""),"")</f>
        <v/>
      </c>
    </row>
    <row r="3533" ht="24" customHeight="1" s="63">
      <c r="E3533" s="139" t="n"/>
      <c r="F3533" s="139" t="n"/>
      <c r="G3533" s="140">
        <f>IFERROR(IF(E3533&gt;0,(F3533/E3533)*1000,""),"")</f>
        <v/>
      </c>
      <c r="H3533" s="139">
        <f>IFERROR(IF(E3533&gt;0,E3533*IF(ISNUMBER(J3533),J3533,IF(C3533="Futures",$C$6,$C$5)),""),"")</f>
        <v/>
      </c>
      <c r="I3533" s="139">
        <f>IFERROR(IF(AND(ISNUMBER(F3533),ISNUMBER(H3533)),F3533-H3533,""),"")</f>
        <v/>
      </c>
      <c r="J3533" s="114" t="n"/>
      <c r="K3533" s="139">
        <f>IFERROR(IF(H3533&gt;0,H3533*$C$7,""),"")</f>
        <v/>
      </c>
      <c r="L3533" s="139">
        <f>IFERROR(IF(ISNUMBER(F3533),F3533-IF(ISNUMBER(K3533),K3533,0),""),"")</f>
        <v/>
      </c>
    </row>
    <row r="3534" ht="24" customHeight="1" s="63">
      <c r="E3534" s="139" t="n"/>
      <c r="F3534" s="139" t="n"/>
      <c r="G3534" s="140">
        <f>IFERROR(IF(E3534&gt;0,(F3534/E3534)*1000,""),"")</f>
        <v/>
      </c>
      <c r="H3534" s="139">
        <f>IFERROR(IF(E3534&gt;0,E3534*IF(ISNUMBER(J3534),J3534,IF(C3534="Futures",$C$6,$C$5)),""),"")</f>
        <v/>
      </c>
      <c r="I3534" s="139">
        <f>IFERROR(IF(AND(ISNUMBER(F3534),ISNUMBER(H3534)),F3534-H3534,""),"")</f>
        <v/>
      </c>
      <c r="J3534" s="114" t="n"/>
      <c r="K3534" s="139">
        <f>IFERROR(IF(H3534&gt;0,H3534*$C$7,""),"")</f>
        <v/>
      </c>
      <c r="L3534" s="139">
        <f>IFERROR(IF(ISNUMBER(F3534),F3534-IF(ISNUMBER(K3534),K3534,0),""),"")</f>
        <v/>
      </c>
    </row>
    <row r="3535" ht="24" customHeight="1" s="63">
      <c r="E3535" s="139" t="n"/>
      <c r="F3535" s="139" t="n"/>
      <c r="G3535" s="140">
        <f>IFERROR(IF(E3535&gt;0,(F3535/E3535)*1000,""),"")</f>
        <v/>
      </c>
      <c r="H3535" s="139">
        <f>IFERROR(IF(E3535&gt;0,E3535*IF(ISNUMBER(J3535),J3535,IF(C3535="Futures",$C$6,$C$5)),""),"")</f>
        <v/>
      </c>
      <c r="I3535" s="139">
        <f>IFERROR(IF(AND(ISNUMBER(F3535),ISNUMBER(H3535)),F3535-H3535,""),"")</f>
        <v/>
      </c>
      <c r="J3535" s="114" t="n"/>
      <c r="K3535" s="139">
        <f>IFERROR(IF(H3535&gt;0,H3535*$C$7,""),"")</f>
        <v/>
      </c>
      <c r="L3535" s="139">
        <f>IFERROR(IF(ISNUMBER(F3535),F3535-IF(ISNUMBER(K3535),K3535,0),""),"")</f>
        <v/>
      </c>
    </row>
    <row r="3536" ht="24" customHeight="1" s="63">
      <c r="E3536" s="139" t="n"/>
      <c r="F3536" s="139" t="n"/>
      <c r="G3536" s="140">
        <f>IFERROR(IF(E3536&gt;0,(F3536/E3536)*1000,""),"")</f>
        <v/>
      </c>
      <c r="H3536" s="139">
        <f>IFERROR(IF(E3536&gt;0,E3536*IF(ISNUMBER(J3536),J3536,IF(C3536="Futures",$C$6,$C$5)),""),"")</f>
        <v/>
      </c>
      <c r="I3536" s="139">
        <f>IFERROR(IF(AND(ISNUMBER(F3536),ISNUMBER(H3536)),F3536-H3536,""),"")</f>
        <v/>
      </c>
      <c r="J3536" s="114" t="n"/>
      <c r="K3536" s="139">
        <f>IFERROR(IF(H3536&gt;0,H3536*$C$7,""),"")</f>
        <v/>
      </c>
      <c r="L3536" s="139">
        <f>IFERROR(IF(ISNUMBER(F3536),F3536-IF(ISNUMBER(K3536),K3536,0),""),"")</f>
        <v/>
      </c>
    </row>
    <row r="3537" ht="24" customHeight="1" s="63">
      <c r="E3537" s="139" t="n"/>
      <c r="F3537" s="139" t="n"/>
      <c r="G3537" s="140">
        <f>IFERROR(IF(E3537&gt;0,(F3537/E3537)*1000,""),"")</f>
        <v/>
      </c>
      <c r="H3537" s="139">
        <f>IFERROR(IF(E3537&gt;0,E3537*IF(ISNUMBER(J3537),J3537,IF(C3537="Futures",$C$6,$C$5)),""),"")</f>
        <v/>
      </c>
      <c r="I3537" s="139">
        <f>IFERROR(IF(AND(ISNUMBER(F3537),ISNUMBER(H3537)),F3537-H3537,""),"")</f>
        <v/>
      </c>
      <c r="J3537" s="114" t="n"/>
      <c r="K3537" s="139">
        <f>IFERROR(IF(H3537&gt;0,H3537*$C$7,""),"")</f>
        <v/>
      </c>
      <c r="L3537" s="139">
        <f>IFERROR(IF(ISNUMBER(F3537),F3537-IF(ISNUMBER(K3537),K3537,0),""),"")</f>
        <v/>
      </c>
    </row>
    <row r="3538" ht="24" customHeight="1" s="63">
      <c r="E3538" s="139" t="n"/>
      <c r="F3538" s="139" t="n"/>
      <c r="G3538" s="140">
        <f>IFERROR(IF(E3538&gt;0,(F3538/E3538)*1000,""),"")</f>
        <v/>
      </c>
      <c r="H3538" s="139">
        <f>IFERROR(IF(E3538&gt;0,E3538*IF(ISNUMBER(J3538),J3538,IF(C3538="Futures",$C$6,$C$5)),""),"")</f>
        <v/>
      </c>
      <c r="I3538" s="139">
        <f>IFERROR(IF(AND(ISNUMBER(F3538),ISNUMBER(H3538)),F3538-H3538,""),"")</f>
        <v/>
      </c>
      <c r="J3538" s="114" t="n"/>
      <c r="K3538" s="139">
        <f>IFERROR(IF(H3538&gt;0,H3538*$C$7,""),"")</f>
        <v/>
      </c>
      <c r="L3538" s="139">
        <f>IFERROR(IF(ISNUMBER(F3538),F3538-IF(ISNUMBER(K3538),K3538,0),""),"")</f>
        <v/>
      </c>
    </row>
    <row r="3539" ht="24" customHeight="1" s="63">
      <c r="E3539" s="139" t="n"/>
      <c r="F3539" s="139" t="n"/>
      <c r="G3539" s="140">
        <f>IFERROR(IF(E3539&gt;0,(F3539/E3539)*1000,""),"")</f>
        <v/>
      </c>
      <c r="H3539" s="139">
        <f>IFERROR(IF(E3539&gt;0,E3539*IF(ISNUMBER(J3539),J3539,IF(C3539="Futures",$C$6,$C$5)),""),"")</f>
        <v/>
      </c>
      <c r="I3539" s="139">
        <f>IFERROR(IF(AND(ISNUMBER(F3539),ISNUMBER(H3539)),F3539-H3539,""),"")</f>
        <v/>
      </c>
      <c r="J3539" s="114" t="n"/>
      <c r="K3539" s="139">
        <f>IFERROR(IF(H3539&gt;0,H3539*$C$7,""),"")</f>
        <v/>
      </c>
      <c r="L3539" s="139">
        <f>IFERROR(IF(ISNUMBER(F3539),F3539-IF(ISNUMBER(K3539),K3539,0),""),"")</f>
        <v/>
      </c>
    </row>
    <row r="3540" ht="24" customHeight="1" s="63">
      <c r="E3540" s="139" t="n"/>
      <c r="F3540" s="139" t="n"/>
      <c r="G3540" s="140">
        <f>IFERROR(IF(E3540&gt;0,(F3540/E3540)*1000,""),"")</f>
        <v/>
      </c>
      <c r="H3540" s="139">
        <f>IFERROR(IF(E3540&gt;0,E3540*IF(ISNUMBER(J3540),J3540,IF(C3540="Futures",$C$6,$C$5)),""),"")</f>
        <v/>
      </c>
      <c r="I3540" s="139">
        <f>IFERROR(IF(AND(ISNUMBER(F3540),ISNUMBER(H3540)),F3540-H3540,""),"")</f>
        <v/>
      </c>
      <c r="J3540" s="114" t="n"/>
      <c r="K3540" s="139">
        <f>IFERROR(IF(H3540&gt;0,H3540*$C$7,""),"")</f>
        <v/>
      </c>
      <c r="L3540" s="139">
        <f>IFERROR(IF(ISNUMBER(F3540),F3540-IF(ISNUMBER(K3540),K3540,0),""),"")</f>
        <v/>
      </c>
    </row>
    <row r="3541" ht="24" customHeight="1" s="63">
      <c r="E3541" s="139" t="n"/>
      <c r="F3541" s="139" t="n"/>
      <c r="G3541" s="140">
        <f>IFERROR(IF(E3541&gt;0,(F3541/E3541)*1000,""),"")</f>
        <v/>
      </c>
      <c r="H3541" s="139">
        <f>IFERROR(IF(E3541&gt;0,E3541*IF(ISNUMBER(J3541),J3541,IF(C3541="Futures",$C$6,$C$5)),""),"")</f>
        <v/>
      </c>
      <c r="I3541" s="139">
        <f>IFERROR(IF(AND(ISNUMBER(F3541),ISNUMBER(H3541)),F3541-H3541,""),"")</f>
        <v/>
      </c>
      <c r="J3541" s="114" t="n"/>
      <c r="K3541" s="139">
        <f>IFERROR(IF(H3541&gt;0,H3541*$C$7,""),"")</f>
        <v/>
      </c>
      <c r="L3541" s="139">
        <f>IFERROR(IF(ISNUMBER(F3541),F3541-IF(ISNUMBER(K3541),K3541,0),""),"")</f>
        <v/>
      </c>
    </row>
    <row r="3542" ht="24" customHeight="1" s="63">
      <c r="E3542" s="139" t="n"/>
      <c r="F3542" s="139" t="n"/>
      <c r="G3542" s="140">
        <f>IFERROR(IF(E3542&gt;0,(F3542/E3542)*1000,""),"")</f>
        <v/>
      </c>
      <c r="H3542" s="139">
        <f>IFERROR(IF(E3542&gt;0,E3542*IF(ISNUMBER(J3542),J3542,IF(C3542="Futures",$C$6,$C$5)),""),"")</f>
        <v/>
      </c>
      <c r="I3542" s="139">
        <f>IFERROR(IF(AND(ISNUMBER(F3542),ISNUMBER(H3542)),F3542-H3542,""),"")</f>
        <v/>
      </c>
      <c r="J3542" s="114" t="n"/>
      <c r="K3542" s="139">
        <f>IFERROR(IF(H3542&gt;0,H3542*$C$7,""),"")</f>
        <v/>
      </c>
      <c r="L3542" s="139">
        <f>IFERROR(IF(ISNUMBER(F3542),F3542-IF(ISNUMBER(K3542),K3542,0),""),"")</f>
        <v/>
      </c>
    </row>
    <row r="3543" ht="24" customHeight="1" s="63">
      <c r="E3543" s="139" t="n"/>
      <c r="F3543" s="139" t="n"/>
      <c r="G3543" s="140">
        <f>IFERROR(IF(E3543&gt;0,(F3543/E3543)*1000,""),"")</f>
        <v/>
      </c>
      <c r="H3543" s="139">
        <f>IFERROR(IF(E3543&gt;0,E3543*IF(ISNUMBER(J3543),J3543,IF(C3543="Futures",$C$6,$C$5)),""),"")</f>
        <v/>
      </c>
      <c r="I3543" s="139">
        <f>IFERROR(IF(AND(ISNUMBER(F3543),ISNUMBER(H3543)),F3543-H3543,""),"")</f>
        <v/>
      </c>
      <c r="J3543" s="114" t="n"/>
      <c r="K3543" s="139">
        <f>IFERROR(IF(H3543&gt;0,H3543*$C$7,""),"")</f>
        <v/>
      </c>
      <c r="L3543" s="139">
        <f>IFERROR(IF(ISNUMBER(F3543),F3543-IF(ISNUMBER(K3543),K3543,0),""),"")</f>
        <v/>
      </c>
    </row>
    <row r="3544" ht="24" customHeight="1" s="63">
      <c r="E3544" s="139" t="n"/>
      <c r="F3544" s="139" t="n"/>
      <c r="G3544" s="140">
        <f>IFERROR(IF(E3544&gt;0,(F3544/E3544)*1000,""),"")</f>
        <v/>
      </c>
      <c r="H3544" s="139">
        <f>IFERROR(IF(E3544&gt;0,E3544*IF(ISNUMBER(J3544),J3544,IF(C3544="Futures",$C$6,$C$5)),""),"")</f>
        <v/>
      </c>
      <c r="I3544" s="139">
        <f>IFERROR(IF(AND(ISNUMBER(F3544),ISNUMBER(H3544)),F3544-H3544,""),"")</f>
        <v/>
      </c>
      <c r="J3544" s="114" t="n"/>
      <c r="K3544" s="139">
        <f>IFERROR(IF(H3544&gt;0,H3544*$C$7,""),"")</f>
        <v/>
      </c>
      <c r="L3544" s="139">
        <f>IFERROR(IF(ISNUMBER(F3544),F3544-IF(ISNUMBER(K3544),K3544,0),""),"")</f>
        <v/>
      </c>
    </row>
    <row r="3545" ht="24" customHeight="1" s="63">
      <c r="E3545" s="139" t="n"/>
      <c r="F3545" s="139" t="n"/>
      <c r="G3545" s="140">
        <f>IFERROR(IF(E3545&gt;0,(F3545/E3545)*1000,""),"")</f>
        <v/>
      </c>
      <c r="H3545" s="139">
        <f>IFERROR(IF(E3545&gt;0,E3545*IF(ISNUMBER(J3545),J3545,IF(C3545="Futures",$C$6,$C$5)),""),"")</f>
        <v/>
      </c>
      <c r="I3545" s="139">
        <f>IFERROR(IF(AND(ISNUMBER(F3545),ISNUMBER(H3545)),F3545-H3545,""),"")</f>
        <v/>
      </c>
      <c r="J3545" s="114" t="n"/>
      <c r="K3545" s="139">
        <f>IFERROR(IF(H3545&gt;0,H3545*$C$7,""),"")</f>
        <v/>
      </c>
      <c r="L3545" s="139">
        <f>IFERROR(IF(ISNUMBER(F3545),F3545-IF(ISNUMBER(K3545),K3545,0),""),"")</f>
        <v/>
      </c>
    </row>
    <row r="3546" ht="24" customHeight="1" s="63">
      <c r="E3546" s="139" t="n"/>
      <c r="F3546" s="139" t="n"/>
      <c r="G3546" s="140">
        <f>IFERROR(IF(E3546&gt;0,(F3546/E3546)*1000,""),"")</f>
        <v/>
      </c>
      <c r="H3546" s="139">
        <f>IFERROR(IF(E3546&gt;0,E3546*IF(ISNUMBER(J3546),J3546,IF(C3546="Futures",$C$6,$C$5)),""),"")</f>
        <v/>
      </c>
      <c r="I3546" s="139">
        <f>IFERROR(IF(AND(ISNUMBER(F3546),ISNUMBER(H3546)),F3546-H3546,""),"")</f>
        <v/>
      </c>
      <c r="J3546" s="114" t="n"/>
      <c r="K3546" s="139">
        <f>IFERROR(IF(H3546&gt;0,H3546*$C$7,""),"")</f>
        <v/>
      </c>
      <c r="L3546" s="139">
        <f>IFERROR(IF(ISNUMBER(F3546),F3546-IF(ISNUMBER(K3546),K3546,0),""),"")</f>
        <v/>
      </c>
    </row>
    <row r="3547" ht="24" customHeight="1" s="63">
      <c r="E3547" s="139" t="n"/>
      <c r="F3547" s="139" t="n"/>
      <c r="G3547" s="140">
        <f>IFERROR(IF(E3547&gt;0,(F3547/E3547)*1000,""),"")</f>
        <v/>
      </c>
      <c r="H3547" s="139">
        <f>IFERROR(IF(E3547&gt;0,E3547*IF(ISNUMBER(J3547),J3547,IF(C3547="Futures",$C$6,$C$5)),""),"")</f>
        <v/>
      </c>
      <c r="I3547" s="139">
        <f>IFERROR(IF(AND(ISNUMBER(F3547),ISNUMBER(H3547)),F3547-H3547,""),"")</f>
        <v/>
      </c>
      <c r="J3547" s="114" t="n"/>
      <c r="K3547" s="139">
        <f>IFERROR(IF(H3547&gt;0,H3547*$C$7,""),"")</f>
        <v/>
      </c>
      <c r="L3547" s="139">
        <f>IFERROR(IF(ISNUMBER(F3547),F3547-IF(ISNUMBER(K3547),K3547,0),""),"")</f>
        <v/>
      </c>
    </row>
    <row r="3548" ht="24" customHeight="1" s="63">
      <c r="E3548" s="139" t="n"/>
      <c r="F3548" s="139" t="n"/>
      <c r="G3548" s="140">
        <f>IFERROR(IF(E3548&gt;0,(F3548/E3548)*1000,""),"")</f>
        <v/>
      </c>
      <c r="H3548" s="139">
        <f>IFERROR(IF(E3548&gt;0,E3548*IF(ISNUMBER(J3548),J3548,IF(C3548="Futures",$C$6,$C$5)),""),"")</f>
        <v/>
      </c>
      <c r="I3548" s="139">
        <f>IFERROR(IF(AND(ISNUMBER(F3548),ISNUMBER(H3548)),F3548-H3548,""),"")</f>
        <v/>
      </c>
      <c r="J3548" s="114" t="n"/>
      <c r="K3548" s="139">
        <f>IFERROR(IF(H3548&gt;0,H3548*$C$7,""),"")</f>
        <v/>
      </c>
      <c r="L3548" s="139">
        <f>IFERROR(IF(ISNUMBER(F3548),F3548-IF(ISNUMBER(K3548),K3548,0),""),"")</f>
        <v/>
      </c>
    </row>
    <row r="3549" ht="24" customHeight="1" s="63">
      <c r="E3549" s="139" t="n"/>
      <c r="F3549" s="139" t="n"/>
      <c r="G3549" s="140">
        <f>IFERROR(IF(E3549&gt;0,(F3549/E3549)*1000,""),"")</f>
        <v/>
      </c>
      <c r="H3549" s="139">
        <f>IFERROR(IF(E3549&gt;0,E3549*IF(ISNUMBER(J3549),J3549,IF(C3549="Futures",$C$6,$C$5)),""),"")</f>
        <v/>
      </c>
      <c r="I3549" s="139">
        <f>IFERROR(IF(AND(ISNUMBER(F3549),ISNUMBER(H3549)),F3549-H3549,""),"")</f>
        <v/>
      </c>
      <c r="J3549" s="114" t="n"/>
      <c r="K3549" s="139">
        <f>IFERROR(IF(H3549&gt;0,H3549*$C$7,""),"")</f>
        <v/>
      </c>
      <c r="L3549" s="139">
        <f>IFERROR(IF(ISNUMBER(F3549),F3549-IF(ISNUMBER(K3549),K3549,0),""),"")</f>
        <v/>
      </c>
    </row>
    <row r="3550" ht="24" customHeight="1" s="63">
      <c r="E3550" s="139" t="n"/>
      <c r="F3550" s="139" t="n"/>
      <c r="G3550" s="140">
        <f>IFERROR(IF(E3550&gt;0,(F3550/E3550)*1000,""),"")</f>
        <v/>
      </c>
      <c r="H3550" s="139">
        <f>IFERROR(IF(E3550&gt;0,E3550*IF(ISNUMBER(J3550),J3550,IF(C3550="Futures",$C$6,$C$5)),""),"")</f>
        <v/>
      </c>
      <c r="I3550" s="139">
        <f>IFERROR(IF(AND(ISNUMBER(F3550),ISNUMBER(H3550)),F3550-H3550,""),"")</f>
        <v/>
      </c>
      <c r="J3550" s="114" t="n"/>
      <c r="K3550" s="139">
        <f>IFERROR(IF(H3550&gt;0,H3550*$C$7,""),"")</f>
        <v/>
      </c>
      <c r="L3550" s="139">
        <f>IFERROR(IF(ISNUMBER(F3550),F3550-IF(ISNUMBER(K3550),K3550,0),""),"")</f>
        <v/>
      </c>
    </row>
    <row r="3551" ht="24" customHeight="1" s="63">
      <c r="E3551" s="139" t="n"/>
      <c r="F3551" s="139" t="n"/>
      <c r="G3551" s="140">
        <f>IFERROR(IF(E3551&gt;0,(F3551/E3551)*1000,""),"")</f>
        <v/>
      </c>
      <c r="H3551" s="139">
        <f>IFERROR(IF(E3551&gt;0,E3551*IF(ISNUMBER(J3551),J3551,IF(C3551="Futures",$C$6,$C$5)),""),"")</f>
        <v/>
      </c>
      <c r="I3551" s="139">
        <f>IFERROR(IF(AND(ISNUMBER(F3551),ISNUMBER(H3551)),F3551-H3551,""),"")</f>
        <v/>
      </c>
      <c r="J3551" s="114" t="n"/>
      <c r="K3551" s="139">
        <f>IFERROR(IF(H3551&gt;0,H3551*$C$7,""),"")</f>
        <v/>
      </c>
      <c r="L3551" s="139">
        <f>IFERROR(IF(ISNUMBER(F3551),F3551-IF(ISNUMBER(K3551),K3551,0),""),"")</f>
        <v/>
      </c>
    </row>
    <row r="3552" ht="24" customHeight="1" s="63">
      <c r="E3552" s="139" t="n"/>
      <c r="F3552" s="139" t="n"/>
      <c r="G3552" s="140">
        <f>IFERROR(IF(E3552&gt;0,(F3552/E3552)*1000,""),"")</f>
        <v/>
      </c>
      <c r="H3552" s="139">
        <f>IFERROR(IF(E3552&gt;0,E3552*IF(ISNUMBER(J3552),J3552,IF(C3552="Futures",$C$6,$C$5)),""),"")</f>
        <v/>
      </c>
      <c r="I3552" s="139">
        <f>IFERROR(IF(AND(ISNUMBER(F3552),ISNUMBER(H3552)),F3552-H3552,""),"")</f>
        <v/>
      </c>
      <c r="J3552" s="114" t="n"/>
      <c r="K3552" s="139">
        <f>IFERROR(IF(H3552&gt;0,H3552*$C$7,""),"")</f>
        <v/>
      </c>
      <c r="L3552" s="139">
        <f>IFERROR(IF(ISNUMBER(F3552),F3552-IF(ISNUMBER(K3552),K3552,0),""),"")</f>
        <v/>
      </c>
    </row>
    <row r="3553" ht="24" customHeight="1" s="63">
      <c r="E3553" s="139" t="n"/>
      <c r="F3553" s="139" t="n"/>
      <c r="G3553" s="140">
        <f>IFERROR(IF(E3553&gt;0,(F3553/E3553)*1000,""),"")</f>
        <v/>
      </c>
      <c r="H3553" s="139">
        <f>IFERROR(IF(E3553&gt;0,E3553*IF(ISNUMBER(J3553),J3553,IF(C3553="Futures",$C$6,$C$5)),""),"")</f>
        <v/>
      </c>
      <c r="I3553" s="139">
        <f>IFERROR(IF(AND(ISNUMBER(F3553),ISNUMBER(H3553)),F3553-H3553,""),"")</f>
        <v/>
      </c>
      <c r="J3553" s="114" t="n"/>
      <c r="K3553" s="139">
        <f>IFERROR(IF(H3553&gt;0,H3553*$C$7,""),"")</f>
        <v/>
      </c>
      <c r="L3553" s="139">
        <f>IFERROR(IF(ISNUMBER(F3553),F3553-IF(ISNUMBER(K3553),K3553,0),""),"")</f>
        <v/>
      </c>
    </row>
    <row r="3554" ht="24" customHeight="1" s="63">
      <c r="E3554" s="139" t="n"/>
      <c r="F3554" s="139" t="n"/>
      <c r="G3554" s="140">
        <f>IFERROR(IF(E3554&gt;0,(F3554/E3554)*1000,""),"")</f>
        <v/>
      </c>
      <c r="H3554" s="139">
        <f>IFERROR(IF(E3554&gt;0,E3554*IF(ISNUMBER(J3554),J3554,IF(C3554="Futures",$C$6,$C$5)),""),"")</f>
        <v/>
      </c>
      <c r="I3554" s="139">
        <f>IFERROR(IF(AND(ISNUMBER(F3554),ISNUMBER(H3554)),F3554-H3554,""),"")</f>
        <v/>
      </c>
      <c r="J3554" s="114" t="n"/>
      <c r="K3554" s="139">
        <f>IFERROR(IF(H3554&gt;0,H3554*$C$7,""),"")</f>
        <v/>
      </c>
      <c r="L3554" s="139">
        <f>IFERROR(IF(ISNUMBER(F3554),F3554-IF(ISNUMBER(K3554),K3554,0),""),"")</f>
        <v/>
      </c>
    </row>
    <row r="3555" ht="24" customHeight="1" s="63">
      <c r="E3555" s="139" t="n"/>
      <c r="F3555" s="139" t="n"/>
      <c r="G3555" s="140">
        <f>IFERROR(IF(E3555&gt;0,(F3555/E3555)*1000,""),"")</f>
        <v/>
      </c>
      <c r="H3555" s="139">
        <f>IFERROR(IF(E3555&gt;0,E3555*IF(ISNUMBER(J3555),J3555,IF(C3555="Futures",$C$6,$C$5)),""),"")</f>
        <v/>
      </c>
      <c r="I3555" s="139">
        <f>IFERROR(IF(AND(ISNUMBER(F3555),ISNUMBER(H3555)),F3555-H3555,""),"")</f>
        <v/>
      </c>
      <c r="J3555" s="114" t="n"/>
      <c r="K3555" s="139">
        <f>IFERROR(IF(H3555&gt;0,H3555*$C$7,""),"")</f>
        <v/>
      </c>
      <c r="L3555" s="139">
        <f>IFERROR(IF(ISNUMBER(F3555),F3555-IF(ISNUMBER(K3555),K3555,0),""),"")</f>
        <v/>
      </c>
    </row>
    <row r="3556" ht="24" customHeight="1" s="63">
      <c r="E3556" s="139" t="n"/>
      <c r="F3556" s="139" t="n"/>
      <c r="G3556" s="140">
        <f>IFERROR(IF(E3556&gt;0,(F3556/E3556)*1000,""),"")</f>
        <v/>
      </c>
      <c r="H3556" s="139">
        <f>IFERROR(IF(E3556&gt;0,E3556*IF(ISNUMBER(J3556),J3556,IF(C3556="Futures",$C$6,$C$5)),""),"")</f>
        <v/>
      </c>
      <c r="I3556" s="139">
        <f>IFERROR(IF(AND(ISNUMBER(F3556),ISNUMBER(H3556)),F3556-H3556,""),"")</f>
        <v/>
      </c>
      <c r="J3556" s="114" t="n"/>
      <c r="K3556" s="139">
        <f>IFERROR(IF(H3556&gt;0,H3556*$C$7,""),"")</f>
        <v/>
      </c>
      <c r="L3556" s="139">
        <f>IFERROR(IF(ISNUMBER(F3556),F3556-IF(ISNUMBER(K3556),K3556,0),""),"")</f>
        <v/>
      </c>
    </row>
    <row r="3557" ht="24" customHeight="1" s="63">
      <c r="E3557" s="139" t="n"/>
      <c r="F3557" s="139" t="n"/>
      <c r="G3557" s="140">
        <f>IFERROR(IF(E3557&gt;0,(F3557/E3557)*1000,""),"")</f>
        <v/>
      </c>
      <c r="H3557" s="139">
        <f>IFERROR(IF(E3557&gt;0,E3557*IF(ISNUMBER(J3557),J3557,IF(C3557="Futures",$C$6,$C$5)),""),"")</f>
        <v/>
      </c>
      <c r="I3557" s="139">
        <f>IFERROR(IF(AND(ISNUMBER(F3557),ISNUMBER(H3557)),F3557-H3557,""),"")</f>
        <v/>
      </c>
      <c r="J3557" s="114" t="n"/>
      <c r="K3557" s="139">
        <f>IFERROR(IF(H3557&gt;0,H3557*$C$7,""),"")</f>
        <v/>
      </c>
      <c r="L3557" s="139">
        <f>IFERROR(IF(ISNUMBER(F3557),F3557-IF(ISNUMBER(K3557),K3557,0),""),"")</f>
        <v/>
      </c>
    </row>
    <row r="3558" ht="24" customHeight="1" s="63">
      <c r="E3558" s="139" t="n"/>
      <c r="F3558" s="139" t="n"/>
      <c r="G3558" s="140">
        <f>IFERROR(IF(E3558&gt;0,(F3558/E3558)*1000,""),"")</f>
        <v/>
      </c>
      <c r="H3558" s="139">
        <f>IFERROR(IF(E3558&gt;0,E3558*IF(ISNUMBER(J3558),J3558,IF(C3558="Futures",$C$6,$C$5)),""),"")</f>
        <v/>
      </c>
      <c r="I3558" s="139">
        <f>IFERROR(IF(AND(ISNUMBER(F3558),ISNUMBER(H3558)),F3558-H3558,""),"")</f>
        <v/>
      </c>
      <c r="J3558" s="114" t="n"/>
      <c r="K3558" s="139">
        <f>IFERROR(IF(H3558&gt;0,H3558*$C$7,""),"")</f>
        <v/>
      </c>
      <c r="L3558" s="139">
        <f>IFERROR(IF(ISNUMBER(F3558),F3558-IF(ISNUMBER(K3558),K3558,0),""),"")</f>
        <v/>
      </c>
    </row>
    <row r="3559" ht="24" customHeight="1" s="63">
      <c r="E3559" s="139" t="n"/>
      <c r="F3559" s="139" t="n"/>
      <c r="G3559" s="140">
        <f>IFERROR(IF(E3559&gt;0,(F3559/E3559)*1000,""),"")</f>
        <v/>
      </c>
      <c r="H3559" s="139">
        <f>IFERROR(IF(E3559&gt;0,E3559*IF(ISNUMBER(J3559),J3559,IF(C3559="Futures",$C$6,$C$5)),""),"")</f>
        <v/>
      </c>
      <c r="I3559" s="139">
        <f>IFERROR(IF(AND(ISNUMBER(F3559),ISNUMBER(H3559)),F3559-H3559,""),"")</f>
        <v/>
      </c>
      <c r="J3559" s="114" t="n"/>
      <c r="K3559" s="139">
        <f>IFERROR(IF(H3559&gt;0,H3559*$C$7,""),"")</f>
        <v/>
      </c>
      <c r="L3559" s="139">
        <f>IFERROR(IF(ISNUMBER(F3559),F3559-IF(ISNUMBER(K3559),K3559,0),""),"")</f>
        <v/>
      </c>
    </row>
    <row r="3560" ht="24" customHeight="1" s="63">
      <c r="E3560" s="139" t="n"/>
      <c r="F3560" s="139" t="n"/>
      <c r="G3560" s="140">
        <f>IFERROR(IF(E3560&gt;0,(F3560/E3560)*1000,""),"")</f>
        <v/>
      </c>
      <c r="H3560" s="139">
        <f>IFERROR(IF(E3560&gt;0,E3560*IF(ISNUMBER(J3560),J3560,IF(C3560="Futures",$C$6,$C$5)),""),"")</f>
        <v/>
      </c>
      <c r="I3560" s="139">
        <f>IFERROR(IF(AND(ISNUMBER(F3560),ISNUMBER(H3560)),F3560-H3560,""),"")</f>
        <v/>
      </c>
      <c r="J3560" s="114" t="n"/>
      <c r="K3560" s="139">
        <f>IFERROR(IF(H3560&gt;0,H3560*$C$7,""),"")</f>
        <v/>
      </c>
      <c r="L3560" s="139">
        <f>IFERROR(IF(ISNUMBER(F3560),F3560-IF(ISNUMBER(K3560),K3560,0),""),"")</f>
        <v/>
      </c>
    </row>
    <row r="3561" ht="24" customHeight="1" s="63">
      <c r="E3561" s="139" t="n"/>
      <c r="F3561" s="139" t="n"/>
      <c r="G3561" s="140">
        <f>IFERROR(IF(E3561&gt;0,(F3561/E3561)*1000,""),"")</f>
        <v/>
      </c>
      <c r="H3561" s="139">
        <f>IFERROR(IF(E3561&gt;0,E3561*IF(ISNUMBER(J3561),J3561,IF(C3561="Futures",$C$6,$C$5)),""),"")</f>
        <v/>
      </c>
      <c r="I3561" s="139">
        <f>IFERROR(IF(AND(ISNUMBER(F3561),ISNUMBER(H3561)),F3561-H3561,""),"")</f>
        <v/>
      </c>
      <c r="J3561" s="114" t="n"/>
      <c r="K3561" s="139">
        <f>IFERROR(IF(H3561&gt;0,H3561*$C$7,""),"")</f>
        <v/>
      </c>
      <c r="L3561" s="139">
        <f>IFERROR(IF(ISNUMBER(F3561),F3561-IF(ISNUMBER(K3561),K3561,0),""),"")</f>
        <v/>
      </c>
    </row>
    <row r="3562" ht="24" customHeight="1" s="63">
      <c r="E3562" s="139" t="n"/>
      <c r="F3562" s="139" t="n"/>
      <c r="G3562" s="140">
        <f>IFERROR(IF(E3562&gt;0,(F3562/E3562)*1000,""),"")</f>
        <v/>
      </c>
      <c r="H3562" s="139">
        <f>IFERROR(IF(E3562&gt;0,E3562*IF(ISNUMBER(J3562),J3562,IF(C3562="Futures",$C$6,$C$5)),""),"")</f>
        <v/>
      </c>
      <c r="I3562" s="139">
        <f>IFERROR(IF(AND(ISNUMBER(F3562),ISNUMBER(H3562)),F3562-H3562,""),"")</f>
        <v/>
      </c>
      <c r="J3562" s="114" t="n"/>
      <c r="K3562" s="139">
        <f>IFERROR(IF(H3562&gt;0,H3562*$C$7,""),"")</f>
        <v/>
      </c>
      <c r="L3562" s="139">
        <f>IFERROR(IF(ISNUMBER(F3562),F3562-IF(ISNUMBER(K3562),K3562,0),""),"")</f>
        <v/>
      </c>
    </row>
    <row r="3563" ht="24" customHeight="1" s="63">
      <c r="E3563" s="139" t="n"/>
      <c r="F3563" s="139" t="n"/>
      <c r="G3563" s="140">
        <f>IFERROR(IF(E3563&gt;0,(F3563/E3563)*1000,""),"")</f>
        <v/>
      </c>
      <c r="H3563" s="139">
        <f>IFERROR(IF(E3563&gt;0,E3563*IF(ISNUMBER(J3563),J3563,IF(C3563="Futures",$C$6,$C$5)),""),"")</f>
        <v/>
      </c>
      <c r="I3563" s="139">
        <f>IFERROR(IF(AND(ISNUMBER(F3563),ISNUMBER(H3563)),F3563-H3563,""),"")</f>
        <v/>
      </c>
      <c r="J3563" s="114" t="n"/>
      <c r="K3563" s="139">
        <f>IFERROR(IF(H3563&gt;0,H3563*$C$7,""),"")</f>
        <v/>
      </c>
      <c r="L3563" s="139">
        <f>IFERROR(IF(ISNUMBER(F3563),F3563-IF(ISNUMBER(K3563),K3563,0),""),"")</f>
        <v/>
      </c>
    </row>
    <row r="3564" ht="24" customHeight="1" s="63">
      <c r="E3564" s="139" t="n"/>
      <c r="F3564" s="139" t="n"/>
      <c r="G3564" s="140">
        <f>IFERROR(IF(E3564&gt;0,(F3564/E3564)*1000,""),"")</f>
        <v/>
      </c>
      <c r="H3564" s="139">
        <f>IFERROR(IF(E3564&gt;0,E3564*IF(ISNUMBER(J3564),J3564,IF(C3564="Futures",$C$6,$C$5)),""),"")</f>
        <v/>
      </c>
      <c r="I3564" s="139">
        <f>IFERROR(IF(AND(ISNUMBER(F3564),ISNUMBER(H3564)),F3564-H3564,""),"")</f>
        <v/>
      </c>
      <c r="J3564" s="114" t="n"/>
      <c r="K3564" s="139">
        <f>IFERROR(IF(H3564&gt;0,H3564*$C$7,""),"")</f>
        <v/>
      </c>
      <c r="L3564" s="139">
        <f>IFERROR(IF(ISNUMBER(F3564),F3564-IF(ISNUMBER(K3564),K3564,0),""),"")</f>
        <v/>
      </c>
    </row>
    <row r="3565" ht="24" customHeight="1" s="63">
      <c r="E3565" s="139" t="n"/>
      <c r="F3565" s="139" t="n"/>
      <c r="G3565" s="140">
        <f>IFERROR(IF(E3565&gt;0,(F3565/E3565)*1000,""),"")</f>
        <v/>
      </c>
      <c r="H3565" s="139">
        <f>IFERROR(IF(E3565&gt;0,E3565*IF(ISNUMBER(J3565),J3565,IF(C3565="Futures",$C$6,$C$5)),""),"")</f>
        <v/>
      </c>
      <c r="I3565" s="139">
        <f>IFERROR(IF(AND(ISNUMBER(F3565),ISNUMBER(H3565)),F3565-H3565,""),"")</f>
        <v/>
      </c>
      <c r="J3565" s="114" t="n"/>
      <c r="K3565" s="139">
        <f>IFERROR(IF(H3565&gt;0,H3565*$C$7,""),"")</f>
        <v/>
      </c>
      <c r="L3565" s="139">
        <f>IFERROR(IF(ISNUMBER(F3565),F3565-IF(ISNUMBER(K3565),K3565,0),""),"")</f>
        <v/>
      </c>
    </row>
    <row r="3566" ht="24" customHeight="1" s="63">
      <c r="E3566" s="139" t="n"/>
      <c r="F3566" s="139" t="n"/>
      <c r="G3566" s="140">
        <f>IFERROR(IF(E3566&gt;0,(F3566/E3566)*1000,""),"")</f>
        <v/>
      </c>
      <c r="H3566" s="139">
        <f>IFERROR(IF(E3566&gt;0,E3566*IF(ISNUMBER(J3566),J3566,IF(C3566="Futures",$C$6,$C$5)),""),"")</f>
        <v/>
      </c>
      <c r="I3566" s="139">
        <f>IFERROR(IF(AND(ISNUMBER(F3566),ISNUMBER(H3566)),F3566-H3566,""),"")</f>
        <v/>
      </c>
      <c r="J3566" s="114" t="n"/>
      <c r="K3566" s="139">
        <f>IFERROR(IF(H3566&gt;0,H3566*$C$7,""),"")</f>
        <v/>
      </c>
      <c r="L3566" s="139">
        <f>IFERROR(IF(ISNUMBER(F3566),F3566-IF(ISNUMBER(K3566),K3566,0),""),"")</f>
        <v/>
      </c>
    </row>
    <row r="3567" ht="24" customHeight="1" s="63">
      <c r="E3567" s="139" t="n"/>
      <c r="F3567" s="139" t="n"/>
      <c r="G3567" s="140">
        <f>IFERROR(IF(E3567&gt;0,(F3567/E3567)*1000,""),"")</f>
        <v/>
      </c>
      <c r="H3567" s="139">
        <f>IFERROR(IF(E3567&gt;0,E3567*IF(ISNUMBER(J3567),J3567,IF(C3567="Futures",$C$6,$C$5)),""),"")</f>
        <v/>
      </c>
      <c r="I3567" s="139">
        <f>IFERROR(IF(AND(ISNUMBER(F3567),ISNUMBER(H3567)),F3567-H3567,""),"")</f>
        <v/>
      </c>
      <c r="J3567" s="114" t="n"/>
      <c r="K3567" s="139">
        <f>IFERROR(IF(H3567&gt;0,H3567*$C$7,""),"")</f>
        <v/>
      </c>
      <c r="L3567" s="139">
        <f>IFERROR(IF(ISNUMBER(F3567),F3567-IF(ISNUMBER(K3567),K3567,0),""),"")</f>
        <v/>
      </c>
    </row>
    <row r="3568" ht="24" customHeight="1" s="63">
      <c r="E3568" s="139" t="n"/>
      <c r="F3568" s="139" t="n"/>
      <c r="G3568" s="140">
        <f>IFERROR(IF(E3568&gt;0,(F3568/E3568)*1000,""),"")</f>
        <v/>
      </c>
      <c r="H3568" s="139">
        <f>IFERROR(IF(E3568&gt;0,E3568*IF(ISNUMBER(J3568),J3568,IF(C3568="Futures",$C$6,$C$5)),""),"")</f>
        <v/>
      </c>
      <c r="I3568" s="139">
        <f>IFERROR(IF(AND(ISNUMBER(F3568),ISNUMBER(H3568)),F3568-H3568,""),"")</f>
        <v/>
      </c>
      <c r="J3568" s="114" t="n"/>
      <c r="K3568" s="139">
        <f>IFERROR(IF(H3568&gt;0,H3568*$C$7,""),"")</f>
        <v/>
      </c>
      <c r="L3568" s="139">
        <f>IFERROR(IF(ISNUMBER(F3568),F3568-IF(ISNUMBER(K3568),K3568,0),""),"")</f>
        <v/>
      </c>
    </row>
    <row r="3569" ht="24" customHeight="1" s="63">
      <c r="E3569" s="139" t="n"/>
      <c r="F3569" s="139" t="n"/>
      <c r="G3569" s="140">
        <f>IFERROR(IF(E3569&gt;0,(F3569/E3569)*1000,""),"")</f>
        <v/>
      </c>
      <c r="H3569" s="139">
        <f>IFERROR(IF(E3569&gt;0,E3569*IF(ISNUMBER(J3569),J3569,IF(C3569="Futures",$C$6,$C$5)),""),"")</f>
        <v/>
      </c>
      <c r="I3569" s="139">
        <f>IFERROR(IF(AND(ISNUMBER(F3569),ISNUMBER(H3569)),F3569-H3569,""),"")</f>
        <v/>
      </c>
      <c r="J3569" s="114" t="n"/>
      <c r="K3569" s="139">
        <f>IFERROR(IF(H3569&gt;0,H3569*$C$7,""),"")</f>
        <v/>
      </c>
      <c r="L3569" s="139">
        <f>IFERROR(IF(ISNUMBER(F3569),F3569-IF(ISNUMBER(K3569),K3569,0),""),"")</f>
        <v/>
      </c>
    </row>
    <row r="3570" ht="24" customHeight="1" s="63">
      <c r="E3570" s="139" t="n"/>
      <c r="F3570" s="139" t="n"/>
      <c r="G3570" s="140">
        <f>IFERROR(IF(E3570&gt;0,(F3570/E3570)*1000,""),"")</f>
        <v/>
      </c>
      <c r="H3570" s="139">
        <f>IFERROR(IF(E3570&gt;0,E3570*IF(ISNUMBER(J3570),J3570,IF(C3570="Futures",$C$6,$C$5)),""),"")</f>
        <v/>
      </c>
      <c r="I3570" s="139">
        <f>IFERROR(IF(AND(ISNUMBER(F3570),ISNUMBER(H3570)),F3570-H3570,""),"")</f>
        <v/>
      </c>
      <c r="J3570" s="114" t="n"/>
      <c r="K3570" s="139">
        <f>IFERROR(IF(H3570&gt;0,H3570*$C$7,""),"")</f>
        <v/>
      </c>
      <c r="L3570" s="139">
        <f>IFERROR(IF(ISNUMBER(F3570),F3570-IF(ISNUMBER(K3570),K3570,0),""),"")</f>
        <v/>
      </c>
    </row>
    <row r="3571" ht="24" customHeight="1" s="63">
      <c r="E3571" s="139" t="n"/>
      <c r="F3571" s="139" t="n"/>
      <c r="G3571" s="140">
        <f>IFERROR(IF(E3571&gt;0,(F3571/E3571)*1000,""),"")</f>
        <v/>
      </c>
      <c r="H3571" s="139">
        <f>IFERROR(IF(E3571&gt;0,E3571*IF(ISNUMBER(J3571),J3571,IF(C3571="Futures",$C$6,$C$5)),""),"")</f>
        <v/>
      </c>
      <c r="I3571" s="139">
        <f>IFERROR(IF(AND(ISNUMBER(F3571),ISNUMBER(H3571)),F3571-H3571,""),"")</f>
        <v/>
      </c>
      <c r="J3571" s="114" t="n"/>
      <c r="K3571" s="139">
        <f>IFERROR(IF(H3571&gt;0,H3571*$C$7,""),"")</f>
        <v/>
      </c>
      <c r="L3571" s="139">
        <f>IFERROR(IF(ISNUMBER(F3571),F3571-IF(ISNUMBER(K3571),K3571,0),""),"")</f>
        <v/>
      </c>
    </row>
    <row r="3572" ht="24" customHeight="1" s="63">
      <c r="E3572" s="139" t="n"/>
      <c r="F3572" s="139" t="n"/>
      <c r="G3572" s="140">
        <f>IFERROR(IF(E3572&gt;0,(F3572/E3572)*1000,""),"")</f>
        <v/>
      </c>
      <c r="H3572" s="139">
        <f>IFERROR(IF(E3572&gt;0,E3572*IF(ISNUMBER(J3572),J3572,IF(C3572="Futures",$C$6,$C$5)),""),"")</f>
        <v/>
      </c>
      <c r="I3572" s="139">
        <f>IFERROR(IF(AND(ISNUMBER(F3572),ISNUMBER(H3572)),F3572-H3572,""),"")</f>
        <v/>
      </c>
      <c r="J3572" s="114" t="n"/>
      <c r="K3572" s="139">
        <f>IFERROR(IF(H3572&gt;0,H3572*$C$7,""),"")</f>
        <v/>
      </c>
      <c r="L3572" s="139">
        <f>IFERROR(IF(ISNUMBER(F3572),F3572-IF(ISNUMBER(K3572),K3572,0),""),"")</f>
        <v/>
      </c>
    </row>
    <row r="3573" ht="24" customHeight="1" s="63">
      <c r="E3573" s="139" t="n"/>
      <c r="F3573" s="139" t="n"/>
      <c r="G3573" s="140">
        <f>IFERROR(IF(E3573&gt;0,(F3573/E3573)*1000,""),"")</f>
        <v/>
      </c>
      <c r="H3573" s="139">
        <f>IFERROR(IF(E3573&gt;0,E3573*IF(ISNUMBER(J3573),J3573,IF(C3573="Futures",$C$6,$C$5)),""),"")</f>
        <v/>
      </c>
      <c r="I3573" s="139">
        <f>IFERROR(IF(AND(ISNUMBER(F3573),ISNUMBER(H3573)),F3573-H3573,""),"")</f>
        <v/>
      </c>
      <c r="J3573" s="114" t="n"/>
      <c r="K3573" s="139">
        <f>IFERROR(IF(H3573&gt;0,H3573*$C$7,""),"")</f>
        <v/>
      </c>
      <c r="L3573" s="139">
        <f>IFERROR(IF(ISNUMBER(F3573),F3573-IF(ISNUMBER(K3573),K3573,0),""),"")</f>
        <v/>
      </c>
    </row>
    <row r="3574" ht="24" customHeight="1" s="63">
      <c r="E3574" s="139" t="n"/>
      <c r="F3574" s="139" t="n"/>
      <c r="G3574" s="140">
        <f>IFERROR(IF(E3574&gt;0,(F3574/E3574)*1000,""),"")</f>
        <v/>
      </c>
      <c r="H3574" s="139">
        <f>IFERROR(IF(E3574&gt;0,E3574*IF(ISNUMBER(J3574),J3574,IF(C3574="Futures",$C$6,$C$5)),""),"")</f>
        <v/>
      </c>
      <c r="I3574" s="139">
        <f>IFERROR(IF(AND(ISNUMBER(F3574),ISNUMBER(H3574)),F3574-H3574,""),"")</f>
        <v/>
      </c>
      <c r="J3574" s="114" t="n"/>
      <c r="K3574" s="139">
        <f>IFERROR(IF(H3574&gt;0,H3574*$C$7,""),"")</f>
        <v/>
      </c>
      <c r="L3574" s="139">
        <f>IFERROR(IF(ISNUMBER(F3574),F3574-IF(ISNUMBER(K3574),K3574,0),""),"")</f>
        <v/>
      </c>
    </row>
    <row r="3575" ht="24" customHeight="1" s="63">
      <c r="E3575" s="139" t="n"/>
      <c r="F3575" s="139" t="n"/>
      <c r="G3575" s="140">
        <f>IFERROR(IF(E3575&gt;0,(F3575/E3575)*1000,""),"")</f>
        <v/>
      </c>
      <c r="H3575" s="139">
        <f>IFERROR(IF(E3575&gt;0,E3575*IF(ISNUMBER(J3575),J3575,IF(C3575="Futures",$C$6,$C$5)),""),"")</f>
        <v/>
      </c>
      <c r="I3575" s="139">
        <f>IFERROR(IF(AND(ISNUMBER(F3575),ISNUMBER(H3575)),F3575-H3575,""),"")</f>
        <v/>
      </c>
      <c r="J3575" s="114" t="n"/>
      <c r="K3575" s="139">
        <f>IFERROR(IF(H3575&gt;0,H3575*$C$7,""),"")</f>
        <v/>
      </c>
      <c r="L3575" s="139">
        <f>IFERROR(IF(ISNUMBER(F3575),F3575-IF(ISNUMBER(K3575),K3575,0),""),"")</f>
        <v/>
      </c>
    </row>
    <row r="3576" ht="24" customHeight="1" s="63">
      <c r="E3576" s="139" t="n"/>
      <c r="F3576" s="139" t="n"/>
      <c r="G3576" s="140">
        <f>IFERROR(IF(E3576&gt;0,(F3576/E3576)*1000,""),"")</f>
        <v/>
      </c>
      <c r="H3576" s="139">
        <f>IFERROR(IF(E3576&gt;0,E3576*IF(ISNUMBER(J3576),J3576,IF(C3576="Futures",$C$6,$C$5)),""),"")</f>
        <v/>
      </c>
      <c r="I3576" s="139">
        <f>IFERROR(IF(AND(ISNUMBER(F3576),ISNUMBER(H3576)),F3576-H3576,""),"")</f>
        <v/>
      </c>
      <c r="J3576" s="114" t="n"/>
      <c r="K3576" s="139">
        <f>IFERROR(IF(H3576&gt;0,H3576*$C$7,""),"")</f>
        <v/>
      </c>
      <c r="L3576" s="139">
        <f>IFERROR(IF(ISNUMBER(F3576),F3576-IF(ISNUMBER(K3576),K3576,0),""),"")</f>
        <v/>
      </c>
    </row>
    <row r="3577" ht="24" customHeight="1" s="63">
      <c r="E3577" s="139" t="n"/>
      <c r="F3577" s="139" t="n"/>
      <c r="G3577" s="140">
        <f>IFERROR(IF(E3577&gt;0,(F3577/E3577)*1000,""),"")</f>
        <v/>
      </c>
      <c r="H3577" s="139">
        <f>IFERROR(IF(E3577&gt;0,E3577*IF(ISNUMBER(J3577),J3577,IF(C3577="Futures",$C$6,$C$5)),""),"")</f>
        <v/>
      </c>
      <c r="I3577" s="139">
        <f>IFERROR(IF(AND(ISNUMBER(F3577),ISNUMBER(H3577)),F3577-H3577,""),"")</f>
        <v/>
      </c>
      <c r="J3577" s="114" t="n"/>
      <c r="K3577" s="139">
        <f>IFERROR(IF(H3577&gt;0,H3577*$C$7,""),"")</f>
        <v/>
      </c>
      <c r="L3577" s="139">
        <f>IFERROR(IF(ISNUMBER(F3577),F3577-IF(ISNUMBER(K3577),K3577,0),""),"")</f>
        <v/>
      </c>
    </row>
    <row r="3578" ht="24" customHeight="1" s="63">
      <c r="E3578" s="139" t="n"/>
      <c r="F3578" s="139" t="n"/>
      <c r="G3578" s="140">
        <f>IFERROR(IF(E3578&gt;0,(F3578/E3578)*1000,""),"")</f>
        <v/>
      </c>
      <c r="H3578" s="139">
        <f>IFERROR(IF(E3578&gt;0,E3578*IF(ISNUMBER(J3578),J3578,IF(C3578="Futures",$C$6,$C$5)),""),"")</f>
        <v/>
      </c>
      <c r="I3578" s="139">
        <f>IFERROR(IF(AND(ISNUMBER(F3578),ISNUMBER(H3578)),F3578-H3578,""),"")</f>
        <v/>
      </c>
      <c r="J3578" s="114" t="n"/>
      <c r="K3578" s="139">
        <f>IFERROR(IF(H3578&gt;0,H3578*$C$7,""),"")</f>
        <v/>
      </c>
      <c r="L3578" s="139">
        <f>IFERROR(IF(ISNUMBER(F3578),F3578-IF(ISNUMBER(K3578),K3578,0),""),"")</f>
        <v/>
      </c>
    </row>
    <row r="3579" ht="24" customHeight="1" s="63">
      <c r="E3579" s="139" t="n"/>
      <c r="F3579" s="139" t="n"/>
      <c r="G3579" s="140">
        <f>IFERROR(IF(E3579&gt;0,(F3579/E3579)*1000,""),"")</f>
        <v/>
      </c>
      <c r="H3579" s="139">
        <f>IFERROR(IF(E3579&gt;0,E3579*IF(ISNUMBER(J3579),J3579,IF(C3579="Futures",$C$6,$C$5)),""),"")</f>
        <v/>
      </c>
      <c r="I3579" s="139">
        <f>IFERROR(IF(AND(ISNUMBER(F3579),ISNUMBER(H3579)),F3579-H3579,""),"")</f>
        <v/>
      </c>
      <c r="J3579" s="114" t="n"/>
      <c r="K3579" s="139">
        <f>IFERROR(IF(H3579&gt;0,H3579*$C$7,""),"")</f>
        <v/>
      </c>
      <c r="L3579" s="139">
        <f>IFERROR(IF(ISNUMBER(F3579),F3579-IF(ISNUMBER(K3579),K3579,0),""),"")</f>
        <v/>
      </c>
    </row>
    <row r="3580" ht="24" customHeight="1" s="63">
      <c r="E3580" s="139" t="n"/>
      <c r="F3580" s="139" t="n"/>
      <c r="G3580" s="140">
        <f>IFERROR(IF(E3580&gt;0,(F3580/E3580)*1000,""),"")</f>
        <v/>
      </c>
      <c r="H3580" s="139">
        <f>IFERROR(IF(E3580&gt;0,E3580*IF(ISNUMBER(J3580),J3580,IF(C3580="Futures",$C$6,$C$5)),""),"")</f>
        <v/>
      </c>
      <c r="I3580" s="139">
        <f>IFERROR(IF(AND(ISNUMBER(F3580),ISNUMBER(H3580)),F3580-H3580,""),"")</f>
        <v/>
      </c>
      <c r="J3580" s="114" t="n"/>
      <c r="K3580" s="139">
        <f>IFERROR(IF(H3580&gt;0,H3580*$C$7,""),"")</f>
        <v/>
      </c>
      <c r="L3580" s="139">
        <f>IFERROR(IF(ISNUMBER(F3580),F3580-IF(ISNUMBER(K3580),K3580,0),""),"")</f>
        <v/>
      </c>
    </row>
    <row r="3581" ht="24" customHeight="1" s="63">
      <c r="E3581" s="139" t="n"/>
      <c r="F3581" s="139" t="n"/>
      <c r="G3581" s="140">
        <f>IFERROR(IF(E3581&gt;0,(F3581/E3581)*1000,""),"")</f>
        <v/>
      </c>
      <c r="H3581" s="139">
        <f>IFERROR(IF(E3581&gt;0,E3581*IF(ISNUMBER(J3581),J3581,IF(C3581="Futures",$C$6,$C$5)),""),"")</f>
        <v/>
      </c>
      <c r="I3581" s="139">
        <f>IFERROR(IF(AND(ISNUMBER(F3581),ISNUMBER(H3581)),F3581-H3581,""),"")</f>
        <v/>
      </c>
      <c r="J3581" s="114" t="n"/>
      <c r="K3581" s="139">
        <f>IFERROR(IF(H3581&gt;0,H3581*$C$7,""),"")</f>
        <v/>
      </c>
      <c r="L3581" s="139">
        <f>IFERROR(IF(ISNUMBER(F3581),F3581-IF(ISNUMBER(K3581),K3581,0),""),"")</f>
        <v/>
      </c>
    </row>
    <row r="3582" ht="24" customHeight="1" s="63">
      <c r="E3582" s="139" t="n"/>
      <c r="F3582" s="139" t="n"/>
      <c r="G3582" s="140">
        <f>IFERROR(IF(E3582&gt;0,(F3582/E3582)*1000,""),"")</f>
        <v/>
      </c>
      <c r="H3582" s="139">
        <f>IFERROR(IF(E3582&gt;0,E3582*IF(ISNUMBER(J3582),J3582,IF(C3582="Futures",$C$6,$C$5)),""),"")</f>
        <v/>
      </c>
      <c r="I3582" s="139">
        <f>IFERROR(IF(AND(ISNUMBER(F3582),ISNUMBER(H3582)),F3582-H3582,""),"")</f>
        <v/>
      </c>
      <c r="J3582" s="114" t="n"/>
      <c r="K3582" s="139">
        <f>IFERROR(IF(H3582&gt;0,H3582*$C$7,""),"")</f>
        <v/>
      </c>
      <c r="L3582" s="139">
        <f>IFERROR(IF(ISNUMBER(F3582),F3582-IF(ISNUMBER(K3582),K3582,0),""),"")</f>
        <v/>
      </c>
    </row>
    <row r="3583" ht="24" customHeight="1" s="63">
      <c r="E3583" s="139" t="n"/>
      <c r="F3583" s="139" t="n"/>
      <c r="G3583" s="140">
        <f>IFERROR(IF(E3583&gt;0,(F3583/E3583)*1000,""),"")</f>
        <v/>
      </c>
      <c r="H3583" s="139">
        <f>IFERROR(IF(E3583&gt;0,E3583*IF(ISNUMBER(J3583),J3583,IF(C3583="Futures",$C$6,$C$5)),""),"")</f>
        <v/>
      </c>
      <c r="I3583" s="139">
        <f>IFERROR(IF(AND(ISNUMBER(F3583),ISNUMBER(H3583)),F3583-H3583,""),"")</f>
        <v/>
      </c>
      <c r="J3583" s="114" t="n"/>
      <c r="K3583" s="139">
        <f>IFERROR(IF(H3583&gt;0,H3583*$C$7,""),"")</f>
        <v/>
      </c>
      <c r="L3583" s="139">
        <f>IFERROR(IF(ISNUMBER(F3583),F3583-IF(ISNUMBER(K3583),K3583,0),""),"")</f>
        <v/>
      </c>
    </row>
    <row r="3584" ht="24" customHeight="1" s="63">
      <c r="E3584" s="139" t="n"/>
      <c r="F3584" s="139" t="n"/>
      <c r="G3584" s="140">
        <f>IFERROR(IF(E3584&gt;0,(F3584/E3584)*1000,""),"")</f>
        <v/>
      </c>
      <c r="H3584" s="139">
        <f>IFERROR(IF(E3584&gt;0,E3584*IF(ISNUMBER(J3584),J3584,IF(C3584="Futures",$C$6,$C$5)),""),"")</f>
        <v/>
      </c>
      <c r="I3584" s="139">
        <f>IFERROR(IF(AND(ISNUMBER(F3584),ISNUMBER(H3584)),F3584-H3584,""),"")</f>
        <v/>
      </c>
      <c r="J3584" s="114" t="n"/>
      <c r="K3584" s="139">
        <f>IFERROR(IF(H3584&gt;0,H3584*$C$7,""),"")</f>
        <v/>
      </c>
      <c r="L3584" s="139">
        <f>IFERROR(IF(ISNUMBER(F3584),F3584-IF(ISNUMBER(K3584),K3584,0),""),"")</f>
        <v/>
      </c>
    </row>
    <row r="3585" ht="24" customHeight="1" s="63">
      <c r="E3585" s="139" t="n"/>
      <c r="F3585" s="139" t="n"/>
      <c r="G3585" s="140">
        <f>IFERROR(IF(E3585&gt;0,(F3585/E3585)*1000,""),"")</f>
        <v/>
      </c>
      <c r="H3585" s="139">
        <f>IFERROR(IF(E3585&gt;0,E3585*IF(ISNUMBER(J3585),J3585,IF(C3585="Futures",$C$6,$C$5)),""),"")</f>
        <v/>
      </c>
      <c r="I3585" s="139">
        <f>IFERROR(IF(AND(ISNUMBER(F3585),ISNUMBER(H3585)),F3585-H3585,""),"")</f>
        <v/>
      </c>
      <c r="J3585" s="114" t="n"/>
      <c r="K3585" s="139">
        <f>IFERROR(IF(H3585&gt;0,H3585*$C$7,""),"")</f>
        <v/>
      </c>
      <c r="L3585" s="139">
        <f>IFERROR(IF(ISNUMBER(F3585),F3585-IF(ISNUMBER(K3585),K3585,0),""),"")</f>
        <v/>
      </c>
    </row>
    <row r="3586" ht="24" customHeight="1" s="63">
      <c r="E3586" s="139" t="n"/>
      <c r="F3586" s="139" t="n"/>
      <c r="G3586" s="140">
        <f>IFERROR(IF(E3586&gt;0,(F3586/E3586)*1000,""),"")</f>
        <v/>
      </c>
      <c r="H3586" s="139">
        <f>IFERROR(IF(E3586&gt;0,E3586*IF(ISNUMBER(J3586),J3586,IF(C3586="Futures",$C$6,$C$5)),""),"")</f>
        <v/>
      </c>
      <c r="I3586" s="139">
        <f>IFERROR(IF(AND(ISNUMBER(F3586),ISNUMBER(H3586)),F3586-H3586,""),"")</f>
        <v/>
      </c>
      <c r="J3586" s="114" t="n"/>
      <c r="K3586" s="139">
        <f>IFERROR(IF(H3586&gt;0,H3586*$C$7,""),"")</f>
        <v/>
      </c>
      <c r="L3586" s="139">
        <f>IFERROR(IF(ISNUMBER(F3586),F3586-IF(ISNUMBER(K3586),K3586,0),""),"")</f>
        <v/>
      </c>
    </row>
    <row r="3587" ht="24" customHeight="1" s="63">
      <c r="E3587" s="139" t="n"/>
      <c r="F3587" s="139" t="n"/>
      <c r="G3587" s="140">
        <f>IFERROR(IF(E3587&gt;0,(F3587/E3587)*1000,""),"")</f>
        <v/>
      </c>
      <c r="H3587" s="139">
        <f>IFERROR(IF(E3587&gt;0,E3587*IF(ISNUMBER(J3587),J3587,IF(C3587="Futures",$C$6,$C$5)),""),"")</f>
        <v/>
      </c>
      <c r="I3587" s="139">
        <f>IFERROR(IF(AND(ISNUMBER(F3587),ISNUMBER(H3587)),F3587-H3587,""),"")</f>
        <v/>
      </c>
      <c r="J3587" s="114" t="n"/>
      <c r="K3587" s="139">
        <f>IFERROR(IF(H3587&gt;0,H3587*$C$7,""),"")</f>
        <v/>
      </c>
      <c r="L3587" s="139">
        <f>IFERROR(IF(ISNUMBER(F3587),F3587-IF(ISNUMBER(K3587),K3587,0),""),"")</f>
        <v/>
      </c>
    </row>
    <row r="3588" ht="24" customHeight="1" s="63">
      <c r="E3588" s="139" t="n"/>
      <c r="F3588" s="139" t="n"/>
      <c r="G3588" s="140">
        <f>IFERROR(IF(E3588&gt;0,(F3588/E3588)*1000,""),"")</f>
        <v/>
      </c>
      <c r="H3588" s="139">
        <f>IFERROR(IF(E3588&gt;0,E3588*IF(ISNUMBER(J3588),J3588,IF(C3588="Futures",$C$6,$C$5)),""),"")</f>
        <v/>
      </c>
      <c r="I3588" s="139">
        <f>IFERROR(IF(AND(ISNUMBER(F3588),ISNUMBER(H3588)),F3588-H3588,""),"")</f>
        <v/>
      </c>
      <c r="J3588" s="114" t="n"/>
      <c r="K3588" s="139">
        <f>IFERROR(IF(H3588&gt;0,H3588*$C$7,""),"")</f>
        <v/>
      </c>
      <c r="L3588" s="139">
        <f>IFERROR(IF(ISNUMBER(F3588),F3588-IF(ISNUMBER(K3588),K3588,0),""),"")</f>
        <v/>
      </c>
    </row>
    <row r="3589" ht="24" customHeight="1" s="63">
      <c r="E3589" s="139" t="n"/>
      <c r="F3589" s="139" t="n"/>
      <c r="G3589" s="140">
        <f>IFERROR(IF(E3589&gt;0,(F3589/E3589)*1000,""),"")</f>
        <v/>
      </c>
      <c r="H3589" s="139">
        <f>IFERROR(IF(E3589&gt;0,E3589*IF(ISNUMBER(J3589),J3589,IF(C3589="Futures",$C$6,$C$5)),""),"")</f>
        <v/>
      </c>
      <c r="I3589" s="139">
        <f>IFERROR(IF(AND(ISNUMBER(F3589),ISNUMBER(H3589)),F3589-H3589,""),"")</f>
        <v/>
      </c>
      <c r="J3589" s="114" t="n"/>
      <c r="K3589" s="139">
        <f>IFERROR(IF(H3589&gt;0,H3589*$C$7,""),"")</f>
        <v/>
      </c>
      <c r="L3589" s="139">
        <f>IFERROR(IF(ISNUMBER(F3589),F3589-IF(ISNUMBER(K3589),K3589,0),""),"")</f>
        <v/>
      </c>
    </row>
    <row r="3590" ht="24" customHeight="1" s="63">
      <c r="E3590" s="139" t="n"/>
      <c r="F3590" s="139" t="n"/>
      <c r="G3590" s="140">
        <f>IFERROR(IF(E3590&gt;0,(F3590/E3590)*1000,""),"")</f>
        <v/>
      </c>
      <c r="H3590" s="139">
        <f>IFERROR(IF(E3590&gt;0,E3590*IF(ISNUMBER(J3590),J3590,IF(C3590="Futures",$C$6,$C$5)),""),"")</f>
        <v/>
      </c>
      <c r="I3590" s="139">
        <f>IFERROR(IF(AND(ISNUMBER(F3590),ISNUMBER(H3590)),F3590-H3590,""),"")</f>
        <v/>
      </c>
      <c r="J3590" s="114" t="n"/>
      <c r="K3590" s="139">
        <f>IFERROR(IF(H3590&gt;0,H3590*$C$7,""),"")</f>
        <v/>
      </c>
      <c r="L3590" s="139">
        <f>IFERROR(IF(ISNUMBER(F3590),F3590-IF(ISNUMBER(K3590),K3590,0),""),"")</f>
        <v/>
      </c>
    </row>
    <row r="3591" ht="24" customHeight="1" s="63">
      <c r="E3591" s="139" t="n"/>
      <c r="F3591" s="139" t="n"/>
      <c r="G3591" s="140">
        <f>IFERROR(IF(E3591&gt;0,(F3591/E3591)*1000,""),"")</f>
        <v/>
      </c>
      <c r="H3591" s="139">
        <f>IFERROR(IF(E3591&gt;0,E3591*IF(ISNUMBER(J3591),J3591,IF(C3591="Futures",$C$6,$C$5)),""),"")</f>
        <v/>
      </c>
      <c r="I3591" s="139">
        <f>IFERROR(IF(AND(ISNUMBER(F3591),ISNUMBER(H3591)),F3591-H3591,""),"")</f>
        <v/>
      </c>
      <c r="J3591" s="114" t="n"/>
      <c r="K3591" s="139">
        <f>IFERROR(IF(H3591&gt;0,H3591*$C$7,""),"")</f>
        <v/>
      </c>
      <c r="L3591" s="139">
        <f>IFERROR(IF(ISNUMBER(F3591),F3591-IF(ISNUMBER(K3591),K3591,0),""),"")</f>
        <v/>
      </c>
    </row>
    <row r="3592" ht="24" customHeight="1" s="63">
      <c r="E3592" s="139" t="n"/>
      <c r="F3592" s="139" t="n"/>
      <c r="G3592" s="140">
        <f>IFERROR(IF(E3592&gt;0,(F3592/E3592)*1000,""),"")</f>
        <v/>
      </c>
      <c r="H3592" s="139">
        <f>IFERROR(IF(E3592&gt;0,E3592*IF(ISNUMBER(J3592),J3592,IF(C3592="Futures",$C$6,$C$5)),""),"")</f>
        <v/>
      </c>
      <c r="I3592" s="139">
        <f>IFERROR(IF(AND(ISNUMBER(F3592),ISNUMBER(H3592)),F3592-H3592,""),"")</f>
        <v/>
      </c>
      <c r="J3592" s="114" t="n"/>
      <c r="K3592" s="139">
        <f>IFERROR(IF(H3592&gt;0,H3592*$C$7,""),"")</f>
        <v/>
      </c>
      <c r="L3592" s="139">
        <f>IFERROR(IF(ISNUMBER(F3592),F3592-IF(ISNUMBER(K3592),K3592,0),""),"")</f>
        <v/>
      </c>
    </row>
    <row r="3593" ht="24" customHeight="1" s="63">
      <c r="E3593" s="139" t="n"/>
      <c r="F3593" s="139" t="n"/>
      <c r="G3593" s="140">
        <f>IFERROR(IF(E3593&gt;0,(F3593/E3593)*1000,""),"")</f>
        <v/>
      </c>
      <c r="H3593" s="139">
        <f>IFERROR(IF(E3593&gt;0,E3593*IF(ISNUMBER(J3593),J3593,IF(C3593="Futures",$C$6,$C$5)),""),"")</f>
        <v/>
      </c>
      <c r="I3593" s="139">
        <f>IFERROR(IF(AND(ISNUMBER(F3593),ISNUMBER(H3593)),F3593-H3593,""),"")</f>
        <v/>
      </c>
      <c r="J3593" s="114" t="n"/>
      <c r="K3593" s="139">
        <f>IFERROR(IF(H3593&gt;0,H3593*$C$7,""),"")</f>
        <v/>
      </c>
      <c r="L3593" s="139">
        <f>IFERROR(IF(ISNUMBER(F3593),F3593-IF(ISNUMBER(K3593),K3593,0),""),"")</f>
        <v/>
      </c>
    </row>
    <row r="3594" ht="24" customHeight="1" s="63">
      <c r="E3594" s="139" t="n"/>
      <c r="F3594" s="139" t="n"/>
      <c r="G3594" s="140">
        <f>IFERROR(IF(E3594&gt;0,(F3594/E3594)*1000,""),"")</f>
        <v/>
      </c>
      <c r="H3594" s="139">
        <f>IFERROR(IF(E3594&gt;0,E3594*IF(ISNUMBER(J3594),J3594,IF(C3594="Futures",$C$6,$C$5)),""),"")</f>
        <v/>
      </c>
      <c r="I3594" s="139">
        <f>IFERROR(IF(AND(ISNUMBER(F3594),ISNUMBER(H3594)),F3594-H3594,""),"")</f>
        <v/>
      </c>
      <c r="J3594" s="114" t="n"/>
      <c r="K3594" s="139">
        <f>IFERROR(IF(H3594&gt;0,H3594*$C$7,""),"")</f>
        <v/>
      </c>
      <c r="L3594" s="139">
        <f>IFERROR(IF(ISNUMBER(F3594),F3594-IF(ISNUMBER(K3594),K3594,0),""),"")</f>
        <v/>
      </c>
    </row>
    <row r="3595" ht="24" customHeight="1" s="63">
      <c r="E3595" s="139" t="n"/>
      <c r="F3595" s="139" t="n"/>
      <c r="G3595" s="140">
        <f>IFERROR(IF(E3595&gt;0,(F3595/E3595)*1000,""),"")</f>
        <v/>
      </c>
      <c r="H3595" s="139">
        <f>IFERROR(IF(E3595&gt;0,E3595*IF(ISNUMBER(J3595),J3595,IF(C3595="Futures",$C$6,$C$5)),""),"")</f>
        <v/>
      </c>
      <c r="I3595" s="139">
        <f>IFERROR(IF(AND(ISNUMBER(F3595),ISNUMBER(H3595)),F3595-H3595,""),"")</f>
        <v/>
      </c>
      <c r="J3595" s="114" t="n"/>
      <c r="K3595" s="139">
        <f>IFERROR(IF(H3595&gt;0,H3595*$C$7,""),"")</f>
        <v/>
      </c>
      <c r="L3595" s="139">
        <f>IFERROR(IF(ISNUMBER(F3595),F3595-IF(ISNUMBER(K3595),K3595,0),""),"")</f>
        <v/>
      </c>
    </row>
    <row r="3596" ht="24" customHeight="1" s="63">
      <c r="E3596" s="139" t="n"/>
      <c r="F3596" s="139" t="n"/>
      <c r="G3596" s="140">
        <f>IFERROR(IF(E3596&gt;0,(F3596/E3596)*1000,""),"")</f>
        <v/>
      </c>
      <c r="H3596" s="139">
        <f>IFERROR(IF(E3596&gt;0,E3596*IF(ISNUMBER(J3596),J3596,IF(C3596="Futures",$C$6,$C$5)),""),"")</f>
        <v/>
      </c>
      <c r="I3596" s="139">
        <f>IFERROR(IF(AND(ISNUMBER(F3596),ISNUMBER(H3596)),F3596-H3596,""),"")</f>
        <v/>
      </c>
      <c r="J3596" s="114" t="n"/>
      <c r="K3596" s="139">
        <f>IFERROR(IF(H3596&gt;0,H3596*$C$7,""),"")</f>
        <v/>
      </c>
      <c r="L3596" s="139">
        <f>IFERROR(IF(ISNUMBER(F3596),F3596-IF(ISNUMBER(K3596),K3596,0),""),"")</f>
        <v/>
      </c>
    </row>
    <row r="3597" ht="24" customHeight="1" s="63">
      <c r="E3597" s="139" t="n"/>
      <c r="F3597" s="139" t="n"/>
      <c r="G3597" s="140">
        <f>IFERROR(IF(E3597&gt;0,(F3597/E3597)*1000,""),"")</f>
        <v/>
      </c>
      <c r="H3597" s="139">
        <f>IFERROR(IF(E3597&gt;0,E3597*IF(ISNUMBER(J3597),J3597,IF(C3597="Futures",$C$6,$C$5)),""),"")</f>
        <v/>
      </c>
      <c r="I3597" s="139">
        <f>IFERROR(IF(AND(ISNUMBER(F3597),ISNUMBER(H3597)),F3597-H3597,""),"")</f>
        <v/>
      </c>
      <c r="J3597" s="114" t="n"/>
      <c r="K3597" s="139">
        <f>IFERROR(IF(H3597&gt;0,H3597*$C$7,""),"")</f>
        <v/>
      </c>
      <c r="L3597" s="139">
        <f>IFERROR(IF(ISNUMBER(F3597),F3597-IF(ISNUMBER(K3597),K3597,0),""),"")</f>
        <v/>
      </c>
    </row>
    <row r="3598" ht="24" customHeight="1" s="63">
      <c r="E3598" s="139" t="n"/>
      <c r="F3598" s="139" t="n"/>
      <c r="G3598" s="140">
        <f>IFERROR(IF(E3598&gt;0,(F3598/E3598)*1000,""),"")</f>
        <v/>
      </c>
      <c r="H3598" s="139">
        <f>IFERROR(IF(E3598&gt;0,E3598*IF(ISNUMBER(J3598),J3598,IF(C3598="Futures",$C$6,$C$5)),""),"")</f>
        <v/>
      </c>
      <c r="I3598" s="139">
        <f>IFERROR(IF(AND(ISNUMBER(F3598),ISNUMBER(H3598)),F3598-H3598,""),"")</f>
        <v/>
      </c>
      <c r="J3598" s="114" t="n"/>
      <c r="K3598" s="139">
        <f>IFERROR(IF(H3598&gt;0,H3598*$C$7,""),"")</f>
        <v/>
      </c>
      <c r="L3598" s="139">
        <f>IFERROR(IF(ISNUMBER(F3598),F3598-IF(ISNUMBER(K3598),K3598,0),""),"")</f>
        <v/>
      </c>
    </row>
    <row r="3599" ht="24" customHeight="1" s="63">
      <c r="E3599" s="139" t="n"/>
      <c r="F3599" s="139" t="n"/>
      <c r="G3599" s="140">
        <f>IFERROR(IF(E3599&gt;0,(F3599/E3599)*1000,""),"")</f>
        <v/>
      </c>
      <c r="H3599" s="139">
        <f>IFERROR(IF(E3599&gt;0,E3599*IF(ISNUMBER(J3599),J3599,IF(C3599="Futures",$C$6,$C$5)),""),"")</f>
        <v/>
      </c>
      <c r="I3599" s="139">
        <f>IFERROR(IF(AND(ISNUMBER(F3599),ISNUMBER(H3599)),F3599-H3599,""),"")</f>
        <v/>
      </c>
      <c r="J3599" s="114" t="n"/>
      <c r="K3599" s="139">
        <f>IFERROR(IF(H3599&gt;0,H3599*$C$7,""),"")</f>
        <v/>
      </c>
      <c r="L3599" s="139">
        <f>IFERROR(IF(ISNUMBER(F3599),F3599-IF(ISNUMBER(K3599),K3599,0),""),"")</f>
        <v/>
      </c>
    </row>
    <row r="3600" ht="24" customHeight="1" s="63">
      <c r="E3600" s="139" t="n"/>
      <c r="F3600" s="139" t="n"/>
      <c r="G3600" s="140">
        <f>IFERROR(IF(E3600&gt;0,(F3600/E3600)*1000,""),"")</f>
        <v/>
      </c>
      <c r="H3600" s="139">
        <f>IFERROR(IF(E3600&gt;0,E3600*IF(ISNUMBER(J3600),J3600,IF(C3600="Futures",$C$6,$C$5)),""),"")</f>
        <v/>
      </c>
      <c r="I3600" s="139">
        <f>IFERROR(IF(AND(ISNUMBER(F3600),ISNUMBER(H3600)),F3600-H3600,""),"")</f>
        <v/>
      </c>
      <c r="J3600" s="114" t="n"/>
      <c r="K3600" s="139">
        <f>IFERROR(IF(H3600&gt;0,H3600*$C$7,""),"")</f>
        <v/>
      </c>
      <c r="L3600" s="139">
        <f>IFERROR(IF(ISNUMBER(F3600),F3600-IF(ISNUMBER(K3600),K3600,0),""),"")</f>
        <v/>
      </c>
    </row>
    <row r="3601" ht="24" customHeight="1" s="63">
      <c r="E3601" s="139" t="n"/>
      <c r="F3601" s="139" t="n"/>
      <c r="G3601" s="140">
        <f>IFERROR(IF(E3601&gt;0,(F3601/E3601)*1000,""),"")</f>
        <v/>
      </c>
      <c r="H3601" s="139">
        <f>IFERROR(IF(E3601&gt;0,E3601*IF(ISNUMBER(J3601),J3601,IF(C3601="Futures",$C$6,$C$5)),""),"")</f>
        <v/>
      </c>
      <c r="I3601" s="139">
        <f>IFERROR(IF(AND(ISNUMBER(F3601),ISNUMBER(H3601)),F3601-H3601,""),"")</f>
        <v/>
      </c>
      <c r="J3601" s="114" t="n"/>
      <c r="K3601" s="139">
        <f>IFERROR(IF(H3601&gt;0,H3601*$C$7,""),"")</f>
        <v/>
      </c>
      <c r="L3601" s="139">
        <f>IFERROR(IF(ISNUMBER(F3601),F3601-IF(ISNUMBER(K3601),K3601,0),""),"")</f>
        <v/>
      </c>
    </row>
    <row r="3602" ht="24" customHeight="1" s="63">
      <c r="E3602" s="139" t="n"/>
      <c r="F3602" s="139" t="n"/>
      <c r="G3602" s="140">
        <f>IFERROR(IF(E3602&gt;0,(F3602/E3602)*1000,""),"")</f>
        <v/>
      </c>
      <c r="H3602" s="139">
        <f>IFERROR(IF(E3602&gt;0,E3602*IF(ISNUMBER(J3602),J3602,IF(C3602="Futures",$C$6,$C$5)),""),"")</f>
        <v/>
      </c>
      <c r="I3602" s="139">
        <f>IFERROR(IF(AND(ISNUMBER(F3602),ISNUMBER(H3602)),F3602-H3602,""),"")</f>
        <v/>
      </c>
      <c r="J3602" s="114" t="n"/>
      <c r="K3602" s="139">
        <f>IFERROR(IF(H3602&gt;0,H3602*$C$7,""),"")</f>
        <v/>
      </c>
      <c r="L3602" s="139">
        <f>IFERROR(IF(ISNUMBER(F3602),F3602-IF(ISNUMBER(K3602),K3602,0),""),"")</f>
        <v/>
      </c>
    </row>
    <row r="3603" ht="24" customHeight="1" s="63">
      <c r="E3603" s="139" t="n"/>
      <c r="F3603" s="139" t="n"/>
      <c r="G3603" s="140">
        <f>IFERROR(IF(E3603&gt;0,(F3603/E3603)*1000,""),"")</f>
        <v/>
      </c>
      <c r="H3603" s="139">
        <f>IFERROR(IF(E3603&gt;0,E3603*IF(ISNUMBER(J3603),J3603,IF(C3603="Futures",$C$6,$C$5)),""),"")</f>
        <v/>
      </c>
      <c r="I3603" s="139">
        <f>IFERROR(IF(AND(ISNUMBER(F3603),ISNUMBER(H3603)),F3603-H3603,""),"")</f>
        <v/>
      </c>
      <c r="J3603" s="114" t="n"/>
      <c r="K3603" s="139">
        <f>IFERROR(IF(H3603&gt;0,H3603*$C$7,""),"")</f>
        <v/>
      </c>
      <c r="L3603" s="139">
        <f>IFERROR(IF(ISNUMBER(F3603),F3603-IF(ISNUMBER(K3603),K3603,0),""),"")</f>
        <v/>
      </c>
    </row>
    <row r="3604" ht="24" customHeight="1" s="63">
      <c r="E3604" s="139" t="n"/>
      <c r="F3604" s="139" t="n"/>
      <c r="G3604" s="140">
        <f>IFERROR(IF(E3604&gt;0,(F3604/E3604)*1000,""),"")</f>
        <v/>
      </c>
      <c r="H3604" s="139">
        <f>IFERROR(IF(E3604&gt;0,E3604*IF(ISNUMBER(J3604),J3604,IF(C3604="Futures",$C$6,$C$5)),""),"")</f>
        <v/>
      </c>
      <c r="I3604" s="139">
        <f>IFERROR(IF(AND(ISNUMBER(F3604),ISNUMBER(H3604)),F3604-H3604,""),"")</f>
        <v/>
      </c>
      <c r="J3604" s="114" t="n"/>
      <c r="K3604" s="139">
        <f>IFERROR(IF(H3604&gt;0,H3604*$C$7,""),"")</f>
        <v/>
      </c>
      <c r="L3604" s="139">
        <f>IFERROR(IF(ISNUMBER(F3604),F3604-IF(ISNUMBER(K3604),K3604,0),""),"")</f>
        <v/>
      </c>
    </row>
    <row r="3605" ht="24" customHeight="1" s="63">
      <c r="E3605" s="139" t="n"/>
      <c r="F3605" s="139" t="n"/>
      <c r="G3605" s="140">
        <f>IFERROR(IF(E3605&gt;0,(F3605/E3605)*1000,""),"")</f>
        <v/>
      </c>
      <c r="H3605" s="139">
        <f>IFERROR(IF(E3605&gt;0,E3605*IF(ISNUMBER(J3605),J3605,IF(C3605="Futures",$C$6,$C$5)),""),"")</f>
        <v/>
      </c>
      <c r="I3605" s="139">
        <f>IFERROR(IF(AND(ISNUMBER(F3605),ISNUMBER(H3605)),F3605-H3605,""),"")</f>
        <v/>
      </c>
      <c r="J3605" s="114" t="n"/>
      <c r="K3605" s="139">
        <f>IFERROR(IF(H3605&gt;0,H3605*$C$7,""),"")</f>
        <v/>
      </c>
      <c r="L3605" s="139">
        <f>IFERROR(IF(ISNUMBER(F3605),F3605-IF(ISNUMBER(K3605),K3605,0),""),"")</f>
        <v/>
      </c>
    </row>
    <row r="3606" ht="24" customHeight="1" s="63">
      <c r="E3606" s="139" t="n"/>
      <c r="F3606" s="139" t="n"/>
      <c r="G3606" s="140">
        <f>IFERROR(IF(E3606&gt;0,(F3606/E3606)*1000,""),"")</f>
        <v/>
      </c>
      <c r="H3606" s="139">
        <f>IFERROR(IF(E3606&gt;0,E3606*IF(ISNUMBER(J3606),J3606,IF(C3606="Futures",$C$6,$C$5)),""),"")</f>
        <v/>
      </c>
      <c r="I3606" s="139">
        <f>IFERROR(IF(AND(ISNUMBER(F3606),ISNUMBER(H3606)),F3606-H3606,""),"")</f>
        <v/>
      </c>
      <c r="J3606" s="114" t="n"/>
      <c r="K3606" s="139">
        <f>IFERROR(IF(H3606&gt;0,H3606*$C$7,""),"")</f>
        <v/>
      </c>
      <c r="L3606" s="139">
        <f>IFERROR(IF(ISNUMBER(F3606),F3606-IF(ISNUMBER(K3606),K3606,0),""),"")</f>
        <v/>
      </c>
    </row>
    <row r="3607" ht="24" customHeight="1" s="63">
      <c r="E3607" s="139" t="n"/>
      <c r="F3607" s="139" t="n"/>
      <c r="G3607" s="140">
        <f>IFERROR(IF(E3607&gt;0,(F3607/E3607)*1000,""),"")</f>
        <v/>
      </c>
      <c r="H3607" s="139">
        <f>IFERROR(IF(E3607&gt;0,E3607*IF(ISNUMBER(J3607),J3607,IF(C3607="Futures",$C$6,$C$5)),""),"")</f>
        <v/>
      </c>
      <c r="I3607" s="139">
        <f>IFERROR(IF(AND(ISNUMBER(F3607),ISNUMBER(H3607)),F3607-H3607,""),"")</f>
        <v/>
      </c>
      <c r="J3607" s="114" t="n"/>
      <c r="K3607" s="139">
        <f>IFERROR(IF(H3607&gt;0,H3607*$C$7,""),"")</f>
        <v/>
      </c>
      <c r="L3607" s="139">
        <f>IFERROR(IF(ISNUMBER(F3607),F3607-IF(ISNUMBER(K3607),K3607,0),""),"")</f>
        <v/>
      </c>
    </row>
    <row r="3608" ht="24" customHeight="1" s="63">
      <c r="E3608" s="139" t="n"/>
      <c r="F3608" s="139" t="n"/>
      <c r="G3608" s="140">
        <f>IFERROR(IF(E3608&gt;0,(F3608/E3608)*1000,""),"")</f>
        <v/>
      </c>
      <c r="H3608" s="139">
        <f>IFERROR(IF(E3608&gt;0,E3608*IF(ISNUMBER(J3608),J3608,IF(C3608="Futures",$C$6,$C$5)),""),"")</f>
        <v/>
      </c>
      <c r="I3608" s="139">
        <f>IFERROR(IF(AND(ISNUMBER(F3608),ISNUMBER(H3608)),F3608-H3608,""),"")</f>
        <v/>
      </c>
      <c r="J3608" s="114" t="n"/>
      <c r="K3608" s="139">
        <f>IFERROR(IF(H3608&gt;0,H3608*$C$7,""),"")</f>
        <v/>
      </c>
      <c r="L3608" s="139">
        <f>IFERROR(IF(ISNUMBER(F3608),F3608-IF(ISNUMBER(K3608),K3608,0),""),"")</f>
        <v/>
      </c>
    </row>
    <row r="3609" ht="24" customHeight="1" s="63">
      <c r="E3609" s="139" t="n"/>
      <c r="F3609" s="139" t="n"/>
      <c r="G3609" s="140">
        <f>IFERROR(IF(E3609&gt;0,(F3609/E3609)*1000,""),"")</f>
        <v/>
      </c>
      <c r="H3609" s="139">
        <f>IFERROR(IF(E3609&gt;0,E3609*IF(ISNUMBER(J3609),J3609,IF(C3609="Futures",$C$6,$C$5)),""),"")</f>
        <v/>
      </c>
      <c r="I3609" s="139">
        <f>IFERROR(IF(AND(ISNUMBER(F3609),ISNUMBER(H3609)),F3609-H3609,""),"")</f>
        <v/>
      </c>
      <c r="J3609" s="114" t="n"/>
      <c r="K3609" s="139">
        <f>IFERROR(IF(H3609&gt;0,H3609*$C$7,""),"")</f>
        <v/>
      </c>
      <c r="L3609" s="139">
        <f>IFERROR(IF(ISNUMBER(F3609),F3609-IF(ISNUMBER(K3609),K3609,0),""),"")</f>
        <v/>
      </c>
    </row>
    <row r="3610" ht="24" customHeight="1" s="63">
      <c r="E3610" s="139" t="n"/>
      <c r="F3610" s="139" t="n"/>
      <c r="G3610" s="140">
        <f>IFERROR(IF(E3610&gt;0,(F3610/E3610)*1000,""),"")</f>
        <v/>
      </c>
      <c r="H3610" s="139">
        <f>IFERROR(IF(E3610&gt;0,E3610*IF(ISNUMBER(J3610),J3610,IF(C3610="Futures",$C$6,$C$5)),""),"")</f>
        <v/>
      </c>
      <c r="I3610" s="139">
        <f>IFERROR(IF(AND(ISNUMBER(F3610),ISNUMBER(H3610)),F3610-H3610,""),"")</f>
        <v/>
      </c>
      <c r="J3610" s="114" t="n"/>
      <c r="K3610" s="139">
        <f>IFERROR(IF(H3610&gt;0,H3610*$C$7,""),"")</f>
        <v/>
      </c>
      <c r="L3610" s="139">
        <f>IFERROR(IF(ISNUMBER(F3610),F3610-IF(ISNUMBER(K3610),K3610,0),""),"")</f>
        <v/>
      </c>
    </row>
    <row r="3611" ht="24" customHeight="1" s="63">
      <c r="E3611" s="139" t="n"/>
      <c r="F3611" s="139" t="n"/>
      <c r="G3611" s="140">
        <f>IFERROR(IF(E3611&gt;0,(F3611/E3611)*1000,""),"")</f>
        <v/>
      </c>
      <c r="H3611" s="139">
        <f>IFERROR(IF(E3611&gt;0,E3611*IF(ISNUMBER(J3611),J3611,IF(C3611="Futures",$C$6,$C$5)),""),"")</f>
        <v/>
      </c>
      <c r="I3611" s="139">
        <f>IFERROR(IF(AND(ISNUMBER(F3611),ISNUMBER(H3611)),F3611-H3611,""),"")</f>
        <v/>
      </c>
      <c r="J3611" s="114" t="n"/>
      <c r="K3611" s="139">
        <f>IFERROR(IF(H3611&gt;0,H3611*$C$7,""),"")</f>
        <v/>
      </c>
      <c r="L3611" s="139">
        <f>IFERROR(IF(ISNUMBER(F3611),F3611-IF(ISNUMBER(K3611),K3611,0),""),"")</f>
        <v/>
      </c>
    </row>
    <row r="3612" ht="24" customHeight="1" s="63">
      <c r="E3612" s="139" t="n"/>
      <c r="F3612" s="139" t="n"/>
      <c r="G3612" s="140">
        <f>IFERROR(IF(E3612&gt;0,(F3612/E3612)*1000,""),"")</f>
        <v/>
      </c>
      <c r="H3612" s="139">
        <f>IFERROR(IF(E3612&gt;0,E3612*IF(ISNUMBER(J3612),J3612,IF(C3612="Futures",$C$6,$C$5)),""),"")</f>
        <v/>
      </c>
      <c r="I3612" s="139">
        <f>IFERROR(IF(AND(ISNUMBER(F3612),ISNUMBER(H3612)),F3612-H3612,""),"")</f>
        <v/>
      </c>
      <c r="J3612" s="114" t="n"/>
      <c r="K3612" s="139">
        <f>IFERROR(IF(H3612&gt;0,H3612*$C$7,""),"")</f>
        <v/>
      </c>
      <c r="L3612" s="139">
        <f>IFERROR(IF(ISNUMBER(F3612),F3612-IF(ISNUMBER(K3612),K3612,0),""),"")</f>
        <v/>
      </c>
    </row>
    <row r="3613" ht="24" customHeight="1" s="63">
      <c r="E3613" s="139" t="n"/>
      <c r="F3613" s="139" t="n"/>
      <c r="G3613" s="140">
        <f>IFERROR(IF(E3613&gt;0,(F3613/E3613)*1000,""),"")</f>
        <v/>
      </c>
      <c r="H3613" s="139">
        <f>IFERROR(IF(E3613&gt;0,E3613*IF(ISNUMBER(J3613),J3613,IF(C3613="Futures",$C$6,$C$5)),""),"")</f>
        <v/>
      </c>
      <c r="I3613" s="139">
        <f>IFERROR(IF(AND(ISNUMBER(F3613),ISNUMBER(H3613)),F3613-H3613,""),"")</f>
        <v/>
      </c>
      <c r="J3613" s="114" t="n"/>
      <c r="K3613" s="139">
        <f>IFERROR(IF(H3613&gt;0,H3613*$C$7,""),"")</f>
        <v/>
      </c>
      <c r="L3613" s="139">
        <f>IFERROR(IF(ISNUMBER(F3613),F3613-IF(ISNUMBER(K3613),K3613,0),""),"")</f>
        <v/>
      </c>
    </row>
    <row r="3614" ht="24" customHeight="1" s="63">
      <c r="E3614" s="139" t="n"/>
      <c r="F3614" s="139" t="n"/>
      <c r="G3614" s="140">
        <f>IFERROR(IF(E3614&gt;0,(F3614/E3614)*1000,""),"")</f>
        <v/>
      </c>
      <c r="H3614" s="139">
        <f>IFERROR(IF(E3614&gt;0,E3614*IF(ISNUMBER(J3614),J3614,IF(C3614="Futures",$C$6,$C$5)),""),"")</f>
        <v/>
      </c>
      <c r="I3614" s="139">
        <f>IFERROR(IF(AND(ISNUMBER(F3614),ISNUMBER(H3614)),F3614-H3614,""),"")</f>
        <v/>
      </c>
      <c r="J3614" s="114" t="n"/>
      <c r="K3614" s="139">
        <f>IFERROR(IF(H3614&gt;0,H3614*$C$7,""),"")</f>
        <v/>
      </c>
      <c r="L3614" s="139">
        <f>IFERROR(IF(ISNUMBER(F3614),F3614-IF(ISNUMBER(K3614),K3614,0),""),"")</f>
        <v/>
      </c>
    </row>
    <row r="3615" ht="24" customHeight="1" s="63">
      <c r="E3615" s="139" t="n"/>
      <c r="F3615" s="139" t="n"/>
      <c r="G3615" s="140">
        <f>IFERROR(IF(E3615&gt;0,(F3615/E3615)*1000,""),"")</f>
        <v/>
      </c>
      <c r="H3615" s="139">
        <f>IFERROR(IF(E3615&gt;0,E3615*IF(ISNUMBER(J3615),J3615,IF(C3615="Futures",$C$6,$C$5)),""),"")</f>
        <v/>
      </c>
      <c r="I3615" s="139">
        <f>IFERROR(IF(AND(ISNUMBER(F3615),ISNUMBER(H3615)),F3615-H3615,""),"")</f>
        <v/>
      </c>
      <c r="J3615" s="114" t="n"/>
      <c r="K3615" s="139">
        <f>IFERROR(IF(H3615&gt;0,H3615*$C$7,""),"")</f>
        <v/>
      </c>
      <c r="L3615" s="139">
        <f>IFERROR(IF(ISNUMBER(F3615),F3615-IF(ISNUMBER(K3615),K3615,0),""),"")</f>
        <v/>
      </c>
    </row>
    <row r="3616" ht="24" customHeight="1" s="63">
      <c r="E3616" s="139" t="n"/>
      <c r="F3616" s="139" t="n"/>
      <c r="G3616" s="140">
        <f>IFERROR(IF(E3616&gt;0,(F3616/E3616)*1000,""),"")</f>
        <v/>
      </c>
      <c r="H3616" s="139">
        <f>IFERROR(IF(E3616&gt;0,E3616*IF(ISNUMBER(J3616),J3616,IF(C3616="Futures",$C$6,$C$5)),""),"")</f>
        <v/>
      </c>
      <c r="I3616" s="139">
        <f>IFERROR(IF(AND(ISNUMBER(F3616),ISNUMBER(H3616)),F3616-H3616,""),"")</f>
        <v/>
      </c>
      <c r="J3616" s="114" t="n"/>
      <c r="K3616" s="139">
        <f>IFERROR(IF(H3616&gt;0,H3616*$C$7,""),"")</f>
        <v/>
      </c>
      <c r="L3616" s="139">
        <f>IFERROR(IF(ISNUMBER(F3616),F3616-IF(ISNUMBER(K3616),K3616,0),""),"")</f>
        <v/>
      </c>
    </row>
    <row r="3617" ht="24" customHeight="1" s="63">
      <c r="E3617" s="139" t="n"/>
      <c r="F3617" s="139" t="n"/>
      <c r="G3617" s="140">
        <f>IFERROR(IF(E3617&gt;0,(F3617/E3617)*1000,""),"")</f>
        <v/>
      </c>
      <c r="H3617" s="139">
        <f>IFERROR(IF(E3617&gt;0,E3617*IF(ISNUMBER(J3617),J3617,IF(C3617="Futures",$C$6,$C$5)),""),"")</f>
        <v/>
      </c>
      <c r="I3617" s="139">
        <f>IFERROR(IF(AND(ISNUMBER(F3617),ISNUMBER(H3617)),F3617-H3617,""),"")</f>
        <v/>
      </c>
      <c r="J3617" s="114" t="n"/>
      <c r="K3617" s="139">
        <f>IFERROR(IF(H3617&gt;0,H3617*$C$7,""),"")</f>
        <v/>
      </c>
      <c r="L3617" s="139">
        <f>IFERROR(IF(ISNUMBER(F3617),F3617-IF(ISNUMBER(K3617),K3617,0),""),"")</f>
        <v/>
      </c>
    </row>
    <row r="3618" ht="24" customHeight="1" s="63">
      <c r="E3618" s="139" t="n"/>
      <c r="F3618" s="139" t="n"/>
      <c r="G3618" s="140">
        <f>IFERROR(IF(E3618&gt;0,(F3618/E3618)*1000,""),"")</f>
        <v/>
      </c>
      <c r="H3618" s="139">
        <f>IFERROR(IF(E3618&gt;0,E3618*IF(ISNUMBER(J3618),J3618,IF(C3618="Futures",$C$6,$C$5)),""),"")</f>
        <v/>
      </c>
      <c r="I3618" s="139">
        <f>IFERROR(IF(AND(ISNUMBER(F3618),ISNUMBER(H3618)),F3618-H3618,""),"")</f>
        <v/>
      </c>
      <c r="J3618" s="114" t="n"/>
      <c r="K3618" s="139">
        <f>IFERROR(IF(H3618&gt;0,H3618*$C$7,""),"")</f>
        <v/>
      </c>
      <c r="L3618" s="139">
        <f>IFERROR(IF(ISNUMBER(F3618),F3618-IF(ISNUMBER(K3618),K3618,0),""),"")</f>
        <v/>
      </c>
    </row>
    <row r="3619" ht="24" customHeight="1" s="63">
      <c r="E3619" s="139" t="n"/>
      <c r="F3619" s="139" t="n"/>
      <c r="G3619" s="140">
        <f>IFERROR(IF(E3619&gt;0,(F3619/E3619)*1000,""),"")</f>
        <v/>
      </c>
      <c r="H3619" s="139">
        <f>IFERROR(IF(E3619&gt;0,E3619*IF(ISNUMBER(J3619),J3619,IF(C3619="Futures",$C$6,$C$5)),""),"")</f>
        <v/>
      </c>
      <c r="I3619" s="139">
        <f>IFERROR(IF(AND(ISNUMBER(F3619),ISNUMBER(H3619)),F3619-H3619,""),"")</f>
        <v/>
      </c>
      <c r="J3619" s="114" t="n"/>
      <c r="K3619" s="139">
        <f>IFERROR(IF(H3619&gt;0,H3619*$C$7,""),"")</f>
        <v/>
      </c>
      <c r="L3619" s="139">
        <f>IFERROR(IF(ISNUMBER(F3619),F3619-IF(ISNUMBER(K3619),K3619,0),""),"")</f>
        <v/>
      </c>
    </row>
    <row r="3620" ht="24" customHeight="1" s="63">
      <c r="E3620" s="139" t="n"/>
      <c r="F3620" s="139" t="n"/>
      <c r="G3620" s="140">
        <f>IFERROR(IF(E3620&gt;0,(F3620/E3620)*1000,""),"")</f>
        <v/>
      </c>
      <c r="H3620" s="139">
        <f>IFERROR(IF(E3620&gt;0,E3620*IF(ISNUMBER(J3620),J3620,IF(C3620="Futures",$C$6,$C$5)),""),"")</f>
        <v/>
      </c>
      <c r="I3620" s="139">
        <f>IFERROR(IF(AND(ISNUMBER(F3620),ISNUMBER(H3620)),F3620-H3620,""),"")</f>
        <v/>
      </c>
      <c r="J3620" s="114" t="n"/>
      <c r="K3620" s="139">
        <f>IFERROR(IF(H3620&gt;0,H3620*$C$7,""),"")</f>
        <v/>
      </c>
      <c r="L3620" s="139">
        <f>IFERROR(IF(ISNUMBER(F3620),F3620-IF(ISNUMBER(K3620),K3620,0),""),"")</f>
        <v/>
      </c>
    </row>
    <row r="3621" ht="24" customHeight="1" s="63">
      <c r="E3621" s="139" t="n"/>
      <c r="F3621" s="139" t="n"/>
      <c r="G3621" s="140">
        <f>IFERROR(IF(E3621&gt;0,(F3621/E3621)*1000,""),"")</f>
        <v/>
      </c>
      <c r="H3621" s="139">
        <f>IFERROR(IF(E3621&gt;0,E3621*IF(ISNUMBER(J3621),J3621,IF(C3621="Futures",$C$6,$C$5)),""),"")</f>
        <v/>
      </c>
      <c r="I3621" s="139">
        <f>IFERROR(IF(AND(ISNUMBER(F3621),ISNUMBER(H3621)),F3621-H3621,""),"")</f>
        <v/>
      </c>
      <c r="J3621" s="114" t="n"/>
      <c r="K3621" s="139">
        <f>IFERROR(IF(H3621&gt;0,H3621*$C$7,""),"")</f>
        <v/>
      </c>
      <c r="L3621" s="139">
        <f>IFERROR(IF(ISNUMBER(F3621),F3621-IF(ISNUMBER(K3621),K3621,0),""),"")</f>
        <v/>
      </c>
    </row>
    <row r="3622" ht="24" customHeight="1" s="63">
      <c r="E3622" s="139" t="n"/>
      <c r="F3622" s="139" t="n"/>
      <c r="G3622" s="140">
        <f>IFERROR(IF(E3622&gt;0,(F3622/E3622)*1000,""),"")</f>
        <v/>
      </c>
      <c r="H3622" s="139">
        <f>IFERROR(IF(E3622&gt;0,E3622*IF(ISNUMBER(J3622),J3622,IF(C3622="Futures",$C$6,$C$5)),""),"")</f>
        <v/>
      </c>
      <c r="I3622" s="139">
        <f>IFERROR(IF(AND(ISNUMBER(F3622),ISNUMBER(H3622)),F3622-H3622,""),"")</f>
        <v/>
      </c>
      <c r="J3622" s="114" t="n"/>
      <c r="K3622" s="139">
        <f>IFERROR(IF(H3622&gt;0,H3622*$C$7,""),"")</f>
        <v/>
      </c>
      <c r="L3622" s="139">
        <f>IFERROR(IF(ISNUMBER(F3622),F3622-IF(ISNUMBER(K3622),K3622,0),""),"")</f>
        <v/>
      </c>
    </row>
    <row r="3623" ht="24" customHeight="1" s="63">
      <c r="E3623" s="139" t="n"/>
      <c r="F3623" s="139" t="n"/>
      <c r="G3623" s="140">
        <f>IFERROR(IF(E3623&gt;0,(F3623/E3623)*1000,""),"")</f>
        <v/>
      </c>
      <c r="H3623" s="139">
        <f>IFERROR(IF(E3623&gt;0,E3623*IF(ISNUMBER(J3623),J3623,IF(C3623="Futures",$C$6,$C$5)),""),"")</f>
        <v/>
      </c>
      <c r="I3623" s="139">
        <f>IFERROR(IF(AND(ISNUMBER(F3623),ISNUMBER(H3623)),F3623-H3623,""),"")</f>
        <v/>
      </c>
      <c r="J3623" s="114" t="n"/>
      <c r="K3623" s="139">
        <f>IFERROR(IF(H3623&gt;0,H3623*$C$7,""),"")</f>
        <v/>
      </c>
      <c r="L3623" s="139">
        <f>IFERROR(IF(ISNUMBER(F3623),F3623-IF(ISNUMBER(K3623),K3623,0),""),"")</f>
        <v/>
      </c>
    </row>
    <row r="3624" ht="24" customHeight="1" s="63">
      <c r="E3624" s="139" t="n"/>
      <c r="F3624" s="139" t="n"/>
      <c r="G3624" s="140">
        <f>IFERROR(IF(E3624&gt;0,(F3624/E3624)*1000,""),"")</f>
        <v/>
      </c>
      <c r="H3624" s="139">
        <f>IFERROR(IF(E3624&gt;0,E3624*IF(ISNUMBER(J3624),J3624,IF(C3624="Futures",$C$6,$C$5)),""),"")</f>
        <v/>
      </c>
      <c r="I3624" s="139">
        <f>IFERROR(IF(AND(ISNUMBER(F3624),ISNUMBER(H3624)),F3624-H3624,""),"")</f>
        <v/>
      </c>
      <c r="J3624" s="114" t="n"/>
      <c r="K3624" s="139">
        <f>IFERROR(IF(H3624&gt;0,H3624*$C$7,""),"")</f>
        <v/>
      </c>
      <c r="L3624" s="139">
        <f>IFERROR(IF(ISNUMBER(F3624),F3624-IF(ISNUMBER(K3624),K3624,0),""),"")</f>
        <v/>
      </c>
    </row>
    <row r="3625" ht="24" customHeight="1" s="63">
      <c r="E3625" s="139" t="n"/>
      <c r="F3625" s="139" t="n"/>
      <c r="G3625" s="140">
        <f>IFERROR(IF(E3625&gt;0,(F3625/E3625)*1000,""),"")</f>
        <v/>
      </c>
      <c r="H3625" s="139">
        <f>IFERROR(IF(E3625&gt;0,E3625*IF(ISNUMBER(J3625),J3625,IF(C3625="Futures",$C$6,$C$5)),""),"")</f>
        <v/>
      </c>
      <c r="I3625" s="139">
        <f>IFERROR(IF(AND(ISNUMBER(F3625),ISNUMBER(H3625)),F3625-H3625,""),"")</f>
        <v/>
      </c>
      <c r="J3625" s="114" t="n"/>
      <c r="K3625" s="139">
        <f>IFERROR(IF(H3625&gt;0,H3625*$C$7,""),"")</f>
        <v/>
      </c>
      <c r="L3625" s="139">
        <f>IFERROR(IF(ISNUMBER(F3625),F3625-IF(ISNUMBER(K3625),K3625,0),""),"")</f>
        <v/>
      </c>
    </row>
    <row r="3626" ht="24" customHeight="1" s="63">
      <c r="E3626" s="139" t="n"/>
      <c r="F3626" s="139" t="n"/>
      <c r="G3626" s="140">
        <f>IFERROR(IF(E3626&gt;0,(F3626/E3626)*1000,""),"")</f>
        <v/>
      </c>
      <c r="H3626" s="139">
        <f>IFERROR(IF(E3626&gt;0,E3626*IF(ISNUMBER(J3626),J3626,IF(C3626="Futures",$C$6,$C$5)),""),"")</f>
        <v/>
      </c>
      <c r="I3626" s="139">
        <f>IFERROR(IF(AND(ISNUMBER(F3626),ISNUMBER(H3626)),F3626-H3626,""),"")</f>
        <v/>
      </c>
      <c r="J3626" s="114" t="n"/>
      <c r="K3626" s="139">
        <f>IFERROR(IF(H3626&gt;0,H3626*$C$7,""),"")</f>
        <v/>
      </c>
      <c r="L3626" s="139">
        <f>IFERROR(IF(ISNUMBER(F3626),F3626-IF(ISNUMBER(K3626),K3626,0),""),"")</f>
        <v/>
      </c>
    </row>
    <row r="3627" ht="24" customHeight="1" s="63">
      <c r="E3627" s="139" t="n"/>
      <c r="F3627" s="139" t="n"/>
      <c r="G3627" s="140">
        <f>IFERROR(IF(E3627&gt;0,(F3627/E3627)*1000,""),"")</f>
        <v/>
      </c>
      <c r="H3627" s="139">
        <f>IFERROR(IF(E3627&gt;0,E3627*IF(ISNUMBER(J3627),J3627,IF(C3627="Futures",$C$6,$C$5)),""),"")</f>
        <v/>
      </c>
      <c r="I3627" s="139">
        <f>IFERROR(IF(AND(ISNUMBER(F3627),ISNUMBER(H3627)),F3627-H3627,""),"")</f>
        <v/>
      </c>
      <c r="J3627" s="114" t="n"/>
      <c r="K3627" s="139">
        <f>IFERROR(IF(H3627&gt;0,H3627*$C$7,""),"")</f>
        <v/>
      </c>
      <c r="L3627" s="139">
        <f>IFERROR(IF(ISNUMBER(F3627),F3627-IF(ISNUMBER(K3627),K3627,0),""),"")</f>
        <v/>
      </c>
    </row>
    <row r="3628" ht="24" customHeight="1" s="63">
      <c r="E3628" s="139" t="n"/>
      <c r="F3628" s="139" t="n"/>
      <c r="G3628" s="140">
        <f>IFERROR(IF(E3628&gt;0,(F3628/E3628)*1000,""),"")</f>
        <v/>
      </c>
      <c r="H3628" s="139">
        <f>IFERROR(IF(E3628&gt;0,E3628*IF(ISNUMBER(J3628),J3628,IF(C3628="Futures",$C$6,$C$5)),""),"")</f>
        <v/>
      </c>
      <c r="I3628" s="139">
        <f>IFERROR(IF(AND(ISNUMBER(F3628),ISNUMBER(H3628)),F3628-H3628,""),"")</f>
        <v/>
      </c>
      <c r="J3628" s="114" t="n"/>
      <c r="K3628" s="139">
        <f>IFERROR(IF(H3628&gt;0,H3628*$C$7,""),"")</f>
        <v/>
      </c>
      <c r="L3628" s="139">
        <f>IFERROR(IF(ISNUMBER(F3628),F3628-IF(ISNUMBER(K3628),K3628,0),""),"")</f>
        <v/>
      </c>
    </row>
    <row r="3629" ht="24" customHeight="1" s="63">
      <c r="E3629" s="139" t="n"/>
      <c r="F3629" s="139" t="n"/>
      <c r="G3629" s="140">
        <f>IFERROR(IF(E3629&gt;0,(F3629/E3629)*1000,""),"")</f>
        <v/>
      </c>
      <c r="H3629" s="139">
        <f>IFERROR(IF(E3629&gt;0,E3629*IF(ISNUMBER(J3629),J3629,IF(C3629="Futures",$C$6,$C$5)),""),"")</f>
        <v/>
      </c>
      <c r="I3629" s="139">
        <f>IFERROR(IF(AND(ISNUMBER(F3629),ISNUMBER(H3629)),F3629-H3629,""),"")</f>
        <v/>
      </c>
      <c r="J3629" s="114" t="n"/>
      <c r="K3629" s="139">
        <f>IFERROR(IF(H3629&gt;0,H3629*$C$7,""),"")</f>
        <v/>
      </c>
      <c r="L3629" s="139">
        <f>IFERROR(IF(ISNUMBER(F3629),F3629-IF(ISNUMBER(K3629),K3629,0),""),"")</f>
        <v/>
      </c>
    </row>
    <row r="3630" ht="24" customHeight="1" s="63">
      <c r="E3630" s="139" t="n"/>
      <c r="F3630" s="139" t="n"/>
      <c r="G3630" s="140">
        <f>IFERROR(IF(E3630&gt;0,(F3630/E3630)*1000,""),"")</f>
        <v/>
      </c>
      <c r="H3630" s="139">
        <f>IFERROR(IF(E3630&gt;0,E3630*IF(ISNUMBER(J3630),J3630,IF(C3630="Futures",$C$6,$C$5)),""),"")</f>
        <v/>
      </c>
      <c r="I3630" s="139">
        <f>IFERROR(IF(AND(ISNUMBER(F3630),ISNUMBER(H3630)),F3630-H3630,""),"")</f>
        <v/>
      </c>
      <c r="J3630" s="114" t="n"/>
      <c r="K3630" s="139">
        <f>IFERROR(IF(H3630&gt;0,H3630*$C$7,""),"")</f>
        <v/>
      </c>
      <c r="L3630" s="139">
        <f>IFERROR(IF(ISNUMBER(F3630),F3630-IF(ISNUMBER(K3630),K3630,0),""),"")</f>
        <v/>
      </c>
    </row>
    <row r="3631" ht="24" customHeight="1" s="63">
      <c r="E3631" s="139" t="n"/>
      <c r="F3631" s="139" t="n"/>
      <c r="G3631" s="140">
        <f>IFERROR(IF(E3631&gt;0,(F3631/E3631)*1000,""),"")</f>
        <v/>
      </c>
      <c r="H3631" s="139">
        <f>IFERROR(IF(E3631&gt;0,E3631*IF(ISNUMBER(J3631),J3631,IF(C3631="Futures",$C$6,$C$5)),""),"")</f>
        <v/>
      </c>
      <c r="I3631" s="139">
        <f>IFERROR(IF(AND(ISNUMBER(F3631),ISNUMBER(H3631)),F3631-H3631,""),"")</f>
        <v/>
      </c>
      <c r="J3631" s="114" t="n"/>
      <c r="K3631" s="139">
        <f>IFERROR(IF(H3631&gt;0,H3631*$C$7,""),"")</f>
        <v/>
      </c>
      <c r="L3631" s="139">
        <f>IFERROR(IF(ISNUMBER(F3631),F3631-IF(ISNUMBER(K3631),K3631,0),""),"")</f>
        <v/>
      </c>
    </row>
    <row r="3632" ht="24" customHeight="1" s="63">
      <c r="E3632" s="139" t="n"/>
      <c r="F3632" s="139" t="n"/>
      <c r="G3632" s="140">
        <f>IFERROR(IF(E3632&gt;0,(F3632/E3632)*1000,""),"")</f>
        <v/>
      </c>
      <c r="H3632" s="139">
        <f>IFERROR(IF(E3632&gt;0,E3632*IF(ISNUMBER(J3632),J3632,IF(C3632="Futures",$C$6,$C$5)),""),"")</f>
        <v/>
      </c>
      <c r="I3632" s="139">
        <f>IFERROR(IF(AND(ISNUMBER(F3632),ISNUMBER(H3632)),F3632-H3632,""),"")</f>
        <v/>
      </c>
      <c r="J3632" s="114" t="n"/>
      <c r="K3632" s="139">
        <f>IFERROR(IF(H3632&gt;0,H3632*$C$7,""),"")</f>
        <v/>
      </c>
      <c r="L3632" s="139">
        <f>IFERROR(IF(ISNUMBER(F3632),F3632-IF(ISNUMBER(K3632),K3632,0),""),"")</f>
        <v/>
      </c>
    </row>
    <row r="3633" ht="24" customHeight="1" s="63">
      <c r="E3633" s="139" t="n"/>
      <c r="F3633" s="139" t="n"/>
      <c r="G3633" s="140">
        <f>IFERROR(IF(E3633&gt;0,(F3633/E3633)*1000,""),"")</f>
        <v/>
      </c>
      <c r="H3633" s="139">
        <f>IFERROR(IF(E3633&gt;0,E3633*IF(ISNUMBER(J3633),J3633,IF(C3633="Futures",$C$6,$C$5)),""),"")</f>
        <v/>
      </c>
      <c r="I3633" s="139">
        <f>IFERROR(IF(AND(ISNUMBER(F3633),ISNUMBER(H3633)),F3633-H3633,""),"")</f>
        <v/>
      </c>
      <c r="J3633" s="114" t="n"/>
      <c r="K3633" s="139">
        <f>IFERROR(IF(H3633&gt;0,H3633*$C$7,""),"")</f>
        <v/>
      </c>
      <c r="L3633" s="139">
        <f>IFERROR(IF(ISNUMBER(F3633),F3633-IF(ISNUMBER(K3633),K3633,0),""),"")</f>
        <v/>
      </c>
    </row>
    <row r="3634" ht="24" customHeight="1" s="63">
      <c r="E3634" s="139" t="n"/>
      <c r="F3634" s="139" t="n"/>
      <c r="G3634" s="140">
        <f>IFERROR(IF(E3634&gt;0,(F3634/E3634)*1000,""),"")</f>
        <v/>
      </c>
      <c r="H3634" s="139">
        <f>IFERROR(IF(E3634&gt;0,E3634*IF(ISNUMBER(J3634),J3634,IF(C3634="Futures",$C$6,$C$5)),""),"")</f>
        <v/>
      </c>
      <c r="I3634" s="139">
        <f>IFERROR(IF(AND(ISNUMBER(F3634),ISNUMBER(H3634)),F3634-H3634,""),"")</f>
        <v/>
      </c>
      <c r="J3634" s="114" t="n"/>
      <c r="K3634" s="139">
        <f>IFERROR(IF(H3634&gt;0,H3634*$C$7,""),"")</f>
        <v/>
      </c>
      <c r="L3634" s="139">
        <f>IFERROR(IF(ISNUMBER(F3634),F3634-IF(ISNUMBER(K3634),K3634,0),""),"")</f>
        <v/>
      </c>
    </row>
    <row r="3635" ht="24" customHeight="1" s="63">
      <c r="E3635" s="139" t="n"/>
      <c r="F3635" s="139" t="n"/>
      <c r="G3635" s="140">
        <f>IFERROR(IF(E3635&gt;0,(F3635/E3635)*1000,""),"")</f>
        <v/>
      </c>
      <c r="H3635" s="139">
        <f>IFERROR(IF(E3635&gt;0,E3635*IF(ISNUMBER(J3635),J3635,IF(C3635="Futures",$C$6,$C$5)),""),"")</f>
        <v/>
      </c>
      <c r="I3635" s="139">
        <f>IFERROR(IF(AND(ISNUMBER(F3635),ISNUMBER(H3635)),F3635-H3635,""),"")</f>
        <v/>
      </c>
      <c r="J3635" s="114" t="n"/>
      <c r="K3635" s="139">
        <f>IFERROR(IF(H3635&gt;0,H3635*$C$7,""),"")</f>
        <v/>
      </c>
      <c r="L3635" s="139">
        <f>IFERROR(IF(ISNUMBER(F3635),F3635-IF(ISNUMBER(K3635),K3635,0),""),"")</f>
        <v/>
      </c>
    </row>
    <row r="3636" ht="24" customHeight="1" s="63">
      <c r="E3636" s="139" t="n"/>
      <c r="F3636" s="139" t="n"/>
      <c r="G3636" s="140">
        <f>IFERROR(IF(E3636&gt;0,(F3636/E3636)*1000,""),"")</f>
        <v/>
      </c>
      <c r="H3636" s="139">
        <f>IFERROR(IF(E3636&gt;0,E3636*IF(ISNUMBER(J3636),J3636,IF(C3636="Futures",$C$6,$C$5)),""),"")</f>
        <v/>
      </c>
      <c r="I3636" s="139">
        <f>IFERROR(IF(AND(ISNUMBER(F3636),ISNUMBER(H3636)),F3636-H3636,""),"")</f>
        <v/>
      </c>
      <c r="J3636" s="114" t="n"/>
      <c r="K3636" s="139">
        <f>IFERROR(IF(H3636&gt;0,H3636*$C$7,""),"")</f>
        <v/>
      </c>
      <c r="L3636" s="139">
        <f>IFERROR(IF(ISNUMBER(F3636),F3636-IF(ISNUMBER(K3636),K3636,0),""),"")</f>
        <v/>
      </c>
    </row>
    <row r="3637" ht="24" customHeight="1" s="63">
      <c r="E3637" s="139" t="n"/>
      <c r="F3637" s="139" t="n"/>
      <c r="G3637" s="140">
        <f>IFERROR(IF(E3637&gt;0,(F3637/E3637)*1000,""),"")</f>
        <v/>
      </c>
      <c r="H3637" s="139">
        <f>IFERROR(IF(E3637&gt;0,E3637*IF(ISNUMBER(J3637),J3637,IF(C3637="Futures",$C$6,$C$5)),""),"")</f>
        <v/>
      </c>
      <c r="I3637" s="139">
        <f>IFERROR(IF(AND(ISNUMBER(F3637),ISNUMBER(H3637)),F3637-H3637,""),"")</f>
        <v/>
      </c>
      <c r="J3637" s="114" t="n"/>
      <c r="K3637" s="139">
        <f>IFERROR(IF(H3637&gt;0,H3637*$C$7,""),"")</f>
        <v/>
      </c>
      <c r="L3637" s="139">
        <f>IFERROR(IF(ISNUMBER(F3637),F3637-IF(ISNUMBER(K3637),K3637,0),""),"")</f>
        <v/>
      </c>
    </row>
    <row r="3638" ht="24" customHeight="1" s="63">
      <c r="E3638" s="139" t="n"/>
      <c r="F3638" s="139" t="n"/>
      <c r="G3638" s="140">
        <f>IFERROR(IF(E3638&gt;0,(F3638/E3638)*1000,""),"")</f>
        <v/>
      </c>
      <c r="H3638" s="139">
        <f>IFERROR(IF(E3638&gt;0,E3638*IF(ISNUMBER(J3638),J3638,IF(C3638="Futures",$C$6,$C$5)),""),"")</f>
        <v/>
      </c>
      <c r="I3638" s="139">
        <f>IFERROR(IF(AND(ISNUMBER(F3638),ISNUMBER(H3638)),F3638-H3638,""),"")</f>
        <v/>
      </c>
      <c r="J3638" s="114" t="n"/>
      <c r="K3638" s="139">
        <f>IFERROR(IF(H3638&gt;0,H3638*$C$7,""),"")</f>
        <v/>
      </c>
      <c r="L3638" s="139">
        <f>IFERROR(IF(ISNUMBER(F3638),F3638-IF(ISNUMBER(K3638),K3638,0),""),"")</f>
        <v/>
      </c>
    </row>
    <row r="3639" ht="24" customHeight="1" s="63">
      <c r="E3639" s="139" t="n"/>
      <c r="F3639" s="139" t="n"/>
      <c r="G3639" s="140">
        <f>IFERROR(IF(E3639&gt;0,(F3639/E3639)*1000,""),"")</f>
        <v/>
      </c>
      <c r="H3639" s="139">
        <f>IFERROR(IF(E3639&gt;0,E3639*IF(ISNUMBER(J3639),J3639,IF(C3639="Futures",$C$6,$C$5)),""),"")</f>
        <v/>
      </c>
      <c r="I3639" s="139">
        <f>IFERROR(IF(AND(ISNUMBER(F3639),ISNUMBER(H3639)),F3639-H3639,""),"")</f>
        <v/>
      </c>
      <c r="J3639" s="114" t="n"/>
      <c r="K3639" s="139">
        <f>IFERROR(IF(H3639&gt;0,H3639*$C$7,""),"")</f>
        <v/>
      </c>
      <c r="L3639" s="139">
        <f>IFERROR(IF(ISNUMBER(F3639),F3639-IF(ISNUMBER(K3639),K3639,0),""),"")</f>
        <v/>
      </c>
    </row>
    <row r="3640" ht="24" customHeight="1" s="63">
      <c r="E3640" s="139" t="n"/>
      <c r="F3640" s="139" t="n"/>
      <c r="G3640" s="140">
        <f>IFERROR(IF(E3640&gt;0,(F3640/E3640)*1000,""),"")</f>
        <v/>
      </c>
      <c r="H3640" s="139">
        <f>IFERROR(IF(E3640&gt;0,E3640*IF(ISNUMBER(J3640),J3640,IF(C3640="Futures",$C$6,$C$5)),""),"")</f>
        <v/>
      </c>
      <c r="I3640" s="139">
        <f>IFERROR(IF(AND(ISNUMBER(F3640),ISNUMBER(H3640)),F3640-H3640,""),"")</f>
        <v/>
      </c>
      <c r="J3640" s="114" t="n"/>
      <c r="K3640" s="139">
        <f>IFERROR(IF(H3640&gt;0,H3640*$C$7,""),"")</f>
        <v/>
      </c>
      <c r="L3640" s="139">
        <f>IFERROR(IF(ISNUMBER(F3640),F3640-IF(ISNUMBER(K3640),K3640,0),""),"")</f>
        <v/>
      </c>
    </row>
    <row r="3641" ht="24" customHeight="1" s="63">
      <c r="E3641" s="139" t="n"/>
      <c r="F3641" s="139" t="n"/>
      <c r="G3641" s="140">
        <f>IFERROR(IF(E3641&gt;0,(F3641/E3641)*1000,""),"")</f>
        <v/>
      </c>
      <c r="H3641" s="139">
        <f>IFERROR(IF(E3641&gt;0,E3641*IF(ISNUMBER(J3641),J3641,IF(C3641="Futures",$C$6,$C$5)),""),"")</f>
        <v/>
      </c>
      <c r="I3641" s="139">
        <f>IFERROR(IF(AND(ISNUMBER(F3641),ISNUMBER(H3641)),F3641-H3641,""),"")</f>
        <v/>
      </c>
      <c r="J3641" s="114" t="n"/>
      <c r="K3641" s="139">
        <f>IFERROR(IF(H3641&gt;0,H3641*$C$7,""),"")</f>
        <v/>
      </c>
      <c r="L3641" s="139">
        <f>IFERROR(IF(ISNUMBER(F3641),F3641-IF(ISNUMBER(K3641),K3641,0),""),"")</f>
        <v/>
      </c>
    </row>
    <row r="3642" ht="24" customHeight="1" s="63">
      <c r="E3642" s="139" t="n"/>
      <c r="F3642" s="139" t="n"/>
      <c r="G3642" s="140">
        <f>IFERROR(IF(E3642&gt;0,(F3642/E3642)*1000,""),"")</f>
        <v/>
      </c>
      <c r="H3642" s="139">
        <f>IFERROR(IF(E3642&gt;0,E3642*IF(ISNUMBER(J3642),J3642,IF(C3642="Futures",$C$6,$C$5)),""),"")</f>
        <v/>
      </c>
      <c r="I3642" s="139">
        <f>IFERROR(IF(AND(ISNUMBER(F3642),ISNUMBER(H3642)),F3642-H3642,""),"")</f>
        <v/>
      </c>
      <c r="J3642" s="114" t="n"/>
      <c r="K3642" s="139">
        <f>IFERROR(IF(H3642&gt;0,H3642*$C$7,""),"")</f>
        <v/>
      </c>
      <c r="L3642" s="139">
        <f>IFERROR(IF(ISNUMBER(F3642),F3642-IF(ISNUMBER(K3642),K3642,0),""),"")</f>
        <v/>
      </c>
    </row>
    <row r="3643" ht="24" customHeight="1" s="63">
      <c r="E3643" s="139" t="n"/>
      <c r="F3643" s="139" t="n"/>
      <c r="G3643" s="140">
        <f>IFERROR(IF(E3643&gt;0,(F3643/E3643)*1000,""),"")</f>
        <v/>
      </c>
      <c r="H3643" s="139">
        <f>IFERROR(IF(E3643&gt;0,E3643*IF(ISNUMBER(J3643),J3643,IF(C3643="Futures",$C$6,$C$5)),""),"")</f>
        <v/>
      </c>
      <c r="I3643" s="139">
        <f>IFERROR(IF(AND(ISNUMBER(F3643),ISNUMBER(H3643)),F3643-H3643,""),"")</f>
        <v/>
      </c>
      <c r="J3643" s="114" t="n"/>
      <c r="K3643" s="139">
        <f>IFERROR(IF(H3643&gt;0,H3643*$C$7,""),"")</f>
        <v/>
      </c>
      <c r="L3643" s="139">
        <f>IFERROR(IF(ISNUMBER(F3643),F3643-IF(ISNUMBER(K3643),K3643,0),""),"")</f>
        <v/>
      </c>
    </row>
    <row r="3644" ht="24" customHeight="1" s="63">
      <c r="E3644" s="139" t="n"/>
      <c r="F3644" s="139" t="n"/>
      <c r="G3644" s="140">
        <f>IFERROR(IF(E3644&gt;0,(F3644/E3644)*1000,""),"")</f>
        <v/>
      </c>
      <c r="H3644" s="139">
        <f>IFERROR(IF(E3644&gt;0,E3644*IF(ISNUMBER(J3644),J3644,IF(C3644="Futures",$C$6,$C$5)),""),"")</f>
        <v/>
      </c>
      <c r="I3644" s="139">
        <f>IFERROR(IF(AND(ISNUMBER(F3644),ISNUMBER(H3644)),F3644-H3644,""),"")</f>
        <v/>
      </c>
      <c r="J3644" s="114" t="n"/>
      <c r="K3644" s="139">
        <f>IFERROR(IF(H3644&gt;0,H3644*$C$7,""),"")</f>
        <v/>
      </c>
      <c r="L3644" s="139">
        <f>IFERROR(IF(ISNUMBER(F3644),F3644-IF(ISNUMBER(K3644),K3644,0),""),"")</f>
        <v/>
      </c>
    </row>
    <row r="3645" ht="24" customHeight="1" s="63">
      <c r="E3645" s="139" t="n"/>
      <c r="F3645" s="139" t="n"/>
      <c r="G3645" s="140">
        <f>IFERROR(IF(E3645&gt;0,(F3645/E3645)*1000,""),"")</f>
        <v/>
      </c>
      <c r="H3645" s="139">
        <f>IFERROR(IF(E3645&gt;0,E3645*IF(ISNUMBER(J3645),J3645,IF(C3645="Futures",$C$6,$C$5)),""),"")</f>
        <v/>
      </c>
      <c r="I3645" s="139">
        <f>IFERROR(IF(AND(ISNUMBER(F3645),ISNUMBER(H3645)),F3645-H3645,""),"")</f>
        <v/>
      </c>
      <c r="J3645" s="114" t="n"/>
      <c r="K3645" s="139">
        <f>IFERROR(IF(H3645&gt;0,H3645*$C$7,""),"")</f>
        <v/>
      </c>
      <c r="L3645" s="139">
        <f>IFERROR(IF(ISNUMBER(F3645),F3645-IF(ISNUMBER(K3645),K3645,0),""),"")</f>
        <v/>
      </c>
    </row>
    <row r="3646" ht="24" customHeight="1" s="63">
      <c r="E3646" s="139" t="n"/>
      <c r="F3646" s="139" t="n"/>
      <c r="G3646" s="140">
        <f>IFERROR(IF(E3646&gt;0,(F3646/E3646)*1000,""),"")</f>
        <v/>
      </c>
      <c r="H3646" s="139">
        <f>IFERROR(IF(E3646&gt;0,E3646*IF(ISNUMBER(J3646),J3646,IF(C3646="Futures",$C$6,$C$5)),""),"")</f>
        <v/>
      </c>
      <c r="I3646" s="139">
        <f>IFERROR(IF(AND(ISNUMBER(F3646),ISNUMBER(H3646)),F3646-H3646,""),"")</f>
        <v/>
      </c>
      <c r="J3646" s="114" t="n"/>
      <c r="K3646" s="139">
        <f>IFERROR(IF(H3646&gt;0,H3646*$C$7,""),"")</f>
        <v/>
      </c>
      <c r="L3646" s="139">
        <f>IFERROR(IF(ISNUMBER(F3646),F3646-IF(ISNUMBER(K3646),K3646,0),""),"")</f>
        <v/>
      </c>
    </row>
    <row r="3647" ht="24" customHeight="1" s="63">
      <c r="E3647" s="139" t="n"/>
      <c r="F3647" s="139" t="n"/>
      <c r="G3647" s="140">
        <f>IFERROR(IF(E3647&gt;0,(F3647/E3647)*1000,""),"")</f>
        <v/>
      </c>
      <c r="H3647" s="139">
        <f>IFERROR(IF(E3647&gt;0,E3647*IF(ISNUMBER(J3647),J3647,IF(C3647="Futures",$C$6,$C$5)),""),"")</f>
        <v/>
      </c>
      <c r="I3647" s="139">
        <f>IFERROR(IF(AND(ISNUMBER(F3647),ISNUMBER(H3647)),F3647-H3647,""),"")</f>
        <v/>
      </c>
      <c r="J3647" s="114" t="n"/>
      <c r="K3647" s="139">
        <f>IFERROR(IF(H3647&gt;0,H3647*$C$7,""),"")</f>
        <v/>
      </c>
      <c r="L3647" s="139">
        <f>IFERROR(IF(ISNUMBER(F3647),F3647-IF(ISNUMBER(K3647),K3647,0),""),"")</f>
        <v/>
      </c>
    </row>
    <row r="3648" ht="24" customHeight="1" s="63">
      <c r="E3648" s="139" t="n"/>
      <c r="F3648" s="139" t="n"/>
      <c r="G3648" s="140">
        <f>IFERROR(IF(E3648&gt;0,(F3648/E3648)*1000,""),"")</f>
        <v/>
      </c>
      <c r="H3648" s="139">
        <f>IFERROR(IF(E3648&gt;0,E3648*IF(ISNUMBER(J3648),J3648,IF(C3648="Futures",$C$6,$C$5)),""),"")</f>
        <v/>
      </c>
      <c r="I3648" s="139">
        <f>IFERROR(IF(AND(ISNUMBER(F3648),ISNUMBER(H3648)),F3648-H3648,""),"")</f>
        <v/>
      </c>
      <c r="J3648" s="114" t="n"/>
      <c r="K3648" s="139">
        <f>IFERROR(IF(H3648&gt;0,H3648*$C$7,""),"")</f>
        <v/>
      </c>
      <c r="L3648" s="139">
        <f>IFERROR(IF(ISNUMBER(F3648),F3648-IF(ISNUMBER(K3648),K3648,0),""),"")</f>
        <v/>
      </c>
    </row>
    <row r="3649" ht="24" customHeight="1" s="63">
      <c r="E3649" s="139" t="n"/>
      <c r="F3649" s="139" t="n"/>
      <c r="G3649" s="140">
        <f>IFERROR(IF(E3649&gt;0,(F3649/E3649)*1000,""),"")</f>
        <v/>
      </c>
      <c r="H3649" s="139">
        <f>IFERROR(IF(E3649&gt;0,E3649*IF(ISNUMBER(J3649),J3649,IF(C3649="Futures",$C$6,$C$5)),""),"")</f>
        <v/>
      </c>
      <c r="I3649" s="139">
        <f>IFERROR(IF(AND(ISNUMBER(F3649),ISNUMBER(H3649)),F3649-H3649,""),"")</f>
        <v/>
      </c>
      <c r="J3649" s="114" t="n"/>
      <c r="K3649" s="139">
        <f>IFERROR(IF(H3649&gt;0,H3649*$C$7,""),"")</f>
        <v/>
      </c>
      <c r="L3649" s="139">
        <f>IFERROR(IF(ISNUMBER(F3649),F3649-IF(ISNUMBER(K3649),K3649,0),""),"")</f>
        <v/>
      </c>
    </row>
    <row r="3650" ht="24" customHeight="1" s="63">
      <c r="E3650" s="139" t="n"/>
      <c r="F3650" s="139" t="n"/>
      <c r="G3650" s="140">
        <f>IFERROR(IF(E3650&gt;0,(F3650/E3650)*1000,""),"")</f>
        <v/>
      </c>
      <c r="H3650" s="139">
        <f>IFERROR(IF(E3650&gt;0,E3650*IF(ISNUMBER(J3650),J3650,IF(C3650="Futures",$C$6,$C$5)),""),"")</f>
        <v/>
      </c>
      <c r="I3650" s="139">
        <f>IFERROR(IF(AND(ISNUMBER(F3650),ISNUMBER(H3650)),F3650-H3650,""),"")</f>
        <v/>
      </c>
      <c r="J3650" s="114" t="n"/>
      <c r="K3650" s="139">
        <f>IFERROR(IF(H3650&gt;0,H3650*$C$7,""),"")</f>
        <v/>
      </c>
      <c r="L3650" s="139">
        <f>IFERROR(IF(ISNUMBER(F3650),F3650-IF(ISNUMBER(K3650),K3650,0),""),"")</f>
        <v/>
      </c>
    </row>
    <row r="3651" ht="24" customHeight="1" s="63">
      <c r="E3651" s="139" t="n"/>
      <c r="F3651" s="139" t="n"/>
      <c r="G3651" s="140">
        <f>IFERROR(IF(E3651&gt;0,(F3651/E3651)*1000,""),"")</f>
        <v/>
      </c>
      <c r="H3651" s="139">
        <f>IFERROR(IF(E3651&gt;0,E3651*IF(ISNUMBER(J3651),J3651,IF(C3651="Futures",$C$6,$C$5)),""),"")</f>
        <v/>
      </c>
      <c r="I3651" s="139">
        <f>IFERROR(IF(AND(ISNUMBER(F3651),ISNUMBER(H3651)),F3651-H3651,""),"")</f>
        <v/>
      </c>
      <c r="J3651" s="114" t="n"/>
      <c r="K3651" s="139">
        <f>IFERROR(IF(H3651&gt;0,H3651*$C$7,""),"")</f>
        <v/>
      </c>
      <c r="L3651" s="139">
        <f>IFERROR(IF(ISNUMBER(F3651),F3651-IF(ISNUMBER(K3651),K3651,0),""),"")</f>
        <v/>
      </c>
    </row>
    <row r="3652" ht="24" customHeight="1" s="63">
      <c r="E3652" s="139" t="n"/>
      <c r="F3652" s="139" t="n"/>
      <c r="G3652" s="140">
        <f>IFERROR(IF(E3652&gt;0,(F3652/E3652)*1000,""),"")</f>
        <v/>
      </c>
      <c r="H3652" s="139">
        <f>IFERROR(IF(E3652&gt;0,E3652*IF(ISNUMBER(J3652),J3652,IF(C3652="Futures",$C$6,$C$5)),""),"")</f>
        <v/>
      </c>
      <c r="I3652" s="139">
        <f>IFERROR(IF(AND(ISNUMBER(F3652),ISNUMBER(H3652)),F3652-H3652,""),"")</f>
        <v/>
      </c>
      <c r="J3652" s="114" t="n"/>
      <c r="K3652" s="139">
        <f>IFERROR(IF(H3652&gt;0,H3652*$C$7,""),"")</f>
        <v/>
      </c>
      <c r="L3652" s="139">
        <f>IFERROR(IF(ISNUMBER(F3652),F3652-IF(ISNUMBER(K3652),K3652,0),""),"")</f>
        <v/>
      </c>
    </row>
    <row r="3653" ht="24" customHeight="1" s="63">
      <c r="E3653" s="139" t="n"/>
      <c r="F3653" s="139" t="n"/>
      <c r="G3653" s="140">
        <f>IFERROR(IF(E3653&gt;0,(F3653/E3653)*1000,""),"")</f>
        <v/>
      </c>
      <c r="H3653" s="139">
        <f>IFERROR(IF(E3653&gt;0,E3653*IF(ISNUMBER(J3653),J3653,IF(C3653="Futures",$C$6,$C$5)),""),"")</f>
        <v/>
      </c>
      <c r="I3653" s="139">
        <f>IFERROR(IF(AND(ISNUMBER(F3653),ISNUMBER(H3653)),F3653-H3653,""),"")</f>
        <v/>
      </c>
      <c r="J3653" s="114" t="n"/>
      <c r="K3653" s="139">
        <f>IFERROR(IF(H3653&gt;0,H3653*$C$7,""),"")</f>
        <v/>
      </c>
      <c r="L3653" s="139">
        <f>IFERROR(IF(ISNUMBER(F3653),F3653-IF(ISNUMBER(K3653),K3653,0),""),"")</f>
        <v/>
      </c>
    </row>
    <row r="3654" ht="24" customHeight="1" s="63">
      <c r="E3654" s="139" t="n"/>
      <c r="F3654" s="139" t="n"/>
      <c r="G3654" s="140">
        <f>IFERROR(IF(E3654&gt;0,(F3654/E3654)*1000,""),"")</f>
        <v/>
      </c>
      <c r="H3654" s="139">
        <f>IFERROR(IF(E3654&gt;0,E3654*IF(ISNUMBER(J3654),J3654,IF(C3654="Futures",$C$6,$C$5)),""),"")</f>
        <v/>
      </c>
      <c r="I3654" s="139">
        <f>IFERROR(IF(AND(ISNUMBER(F3654),ISNUMBER(H3654)),F3654-H3654,""),"")</f>
        <v/>
      </c>
      <c r="J3654" s="114" t="n"/>
      <c r="K3654" s="139">
        <f>IFERROR(IF(H3654&gt;0,H3654*$C$7,""),"")</f>
        <v/>
      </c>
      <c r="L3654" s="139">
        <f>IFERROR(IF(ISNUMBER(F3654),F3654-IF(ISNUMBER(K3654),K3654,0),""),"")</f>
        <v/>
      </c>
    </row>
    <row r="3655" ht="24" customHeight="1" s="63">
      <c r="E3655" s="139" t="n"/>
      <c r="F3655" s="139" t="n"/>
      <c r="G3655" s="140">
        <f>IFERROR(IF(E3655&gt;0,(F3655/E3655)*1000,""),"")</f>
        <v/>
      </c>
      <c r="H3655" s="139">
        <f>IFERROR(IF(E3655&gt;0,E3655*IF(ISNUMBER(J3655),J3655,IF(C3655="Futures",$C$6,$C$5)),""),"")</f>
        <v/>
      </c>
      <c r="I3655" s="139">
        <f>IFERROR(IF(AND(ISNUMBER(F3655),ISNUMBER(H3655)),F3655-H3655,""),"")</f>
        <v/>
      </c>
      <c r="J3655" s="114" t="n"/>
      <c r="K3655" s="139">
        <f>IFERROR(IF(H3655&gt;0,H3655*$C$7,""),"")</f>
        <v/>
      </c>
      <c r="L3655" s="139">
        <f>IFERROR(IF(ISNUMBER(F3655),F3655-IF(ISNUMBER(K3655),K3655,0),""),"")</f>
        <v/>
      </c>
    </row>
    <row r="3656" ht="24" customHeight="1" s="63">
      <c r="E3656" s="139" t="n"/>
      <c r="F3656" s="139" t="n"/>
      <c r="G3656" s="140">
        <f>IFERROR(IF(E3656&gt;0,(F3656/E3656)*1000,""),"")</f>
        <v/>
      </c>
      <c r="H3656" s="139">
        <f>IFERROR(IF(E3656&gt;0,E3656*IF(ISNUMBER(J3656),J3656,IF(C3656="Futures",$C$6,$C$5)),""),"")</f>
        <v/>
      </c>
      <c r="I3656" s="139">
        <f>IFERROR(IF(AND(ISNUMBER(F3656),ISNUMBER(H3656)),F3656-H3656,""),"")</f>
        <v/>
      </c>
      <c r="J3656" s="114" t="n"/>
      <c r="K3656" s="139">
        <f>IFERROR(IF(H3656&gt;0,H3656*$C$7,""),"")</f>
        <v/>
      </c>
      <c r="L3656" s="139">
        <f>IFERROR(IF(ISNUMBER(F3656),F3656-IF(ISNUMBER(K3656),K3656,0),""),"")</f>
        <v/>
      </c>
    </row>
    <row r="3657" ht="24" customHeight="1" s="63">
      <c r="E3657" s="139" t="n"/>
      <c r="F3657" s="139" t="n"/>
      <c r="G3657" s="140">
        <f>IFERROR(IF(E3657&gt;0,(F3657/E3657)*1000,""),"")</f>
        <v/>
      </c>
      <c r="H3657" s="139">
        <f>IFERROR(IF(E3657&gt;0,E3657*IF(ISNUMBER(J3657),J3657,IF(C3657="Futures",$C$6,$C$5)),""),"")</f>
        <v/>
      </c>
      <c r="I3657" s="139">
        <f>IFERROR(IF(AND(ISNUMBER(F3657),ISNUMBER(H3657)),F3657-H3657,""),"")</f>
        <v/>
      </c>
      <c r="J3657" s="114" t="n"/>
      <c r="K3657" s="139">
        <f>IFERROR(IF(H3657&gt;0,H3657*$C$7,""),"")</f>
        <v/>
      </c>
      <c r="L3657" s="139">
        <f>IFERROR(IF(ISNUMBER(F3657),F3657-IF(ISNUMBER(K3657),K3657,0),""),"")</f>
        <v/>
      </c>
    </row>
    <row r="3658" ht="24" customHeight="1" s="63">
      <c r="E3658" s="139" t="n"/>
      <c r="F3658" s="139" t="n"/>
      <c r="G3658" s="140">
        <f>IFERROR(IF(E3658&gt;0,(F3658/E3658)*1000,""),"")</f>
        <v/>
      </c>
      <c r="H3658" s="139">
        <f>IFERROR(IF(E3658&gt;0,E3658*IF(ISNUMBER(J3658),J3658,IF(C3658="Futures",$C$6,$C$5)),""),"")</f>
        <v/>
      </c>
      <c r="I3658" s="139">
        <f>IFERROR(IF(AND(ISNUMBER(F3658),ISNUMBER(H3658)),F3658-H3658,""),"")</f>
        <v/>
      </c>
      <c r="J3658" s="114" t="n"/>
      <c r="K3658" s="139">
        <f>IFERROR(IF(H3658&gt;0,H3658*$C$7,""),"")</f>
        <v/>
      </c>
      <c r="L3658" s="139">
        <f>IFERROR(IF(ISNUMBER(F3658),F3658-IF(ISNUMBER(K3658),K3658,0),""),"")</f>
        <v/>
      </c>
    </row>
    <row r="3659" ht="24" customHeight="1" s="63">
      <c r="E3659" s="139" t="n"/>
      <c r="F3659" s="139" t="n"/>
      <c r="G3659" s="140">
        <f>IFERROR(IF(E3659&gt;0,(F3659/E3659)*1000,""),"")</f>
        <v/>
      </c>
      <c r="H3659" s="139">
        <f>IFERROR(IF(E3659&gt;0,E3659*IF(ISNUMBER(J3659),J3659,IF(C3659="Futures",$C$6,$C$5)),""),"")</f>
        <v/>
      </c>
      <c r="I3659" s="139">
        <f>IFERROR(IF(AND(ISNUMBER(F3659),ISNUMBER(H3659)),F3659-H3659,""),"")</f>
        <v/>
      </c>
      <c r="J3659" s="114" t="n"/>
      <c r="K3659" s="139">
        <f>IFERROR(IF(H3659&gt;0,H3659*$C$7,""),"")</f>
        <v/>
      </c>
      <c r="L3659" s="139">
        <f>IFERROR(IF(ISNUMBER(F3659),F3659-IF(ISNUMBER(K3659),K3659,0),""),"")</f>
        <v/>
      </c>
    </row>
    <row r="3660" ht="24" customHeight="1" s="63">
      <c r="E3660" s="139" t="n"/>
      <c r="F3660" s="139" t="n"/>
      <c r="G3660" s="140">
        <f>IFERROR(IF(E3660&gt;0,(F3660/E3660)*1000,""),"")</f>
        <v/>
      </c>
      <c r="H3660" s="139">
        <f>IFERROR(IF(E3660&gt;0,E3660*IF(ISNUMBER(J3660),J3660,IF(C3660="Futures",$C$6,$C$5)),""),"")</f>
        <v/>
      </c>
      <c r="I3660" s="139">
        <f>IFERROR(IF(AND(ISNUMBER(F3660),ISNUMBER(H3660)),F3660-H3660,""),"")</f>
        <v/>
      </c>
      <c r="J3660" s="114" t="n"/>
      <c r="K3660" s="139">
        <f>IFERROR(IF(H3660&gt;0,H3660*$C$7,""),"")</f>
        <v/>
      </c>
      <c r="L3660" s="139">
        <f>IFERROR(IF(ISNUMBER(F3660),F3660-IF(ISNUMBER(K3660),K3660,0),""),"")</f>
        <v/>
      </c>
    </row>
    <row r="3661" ht="24" customHeight="1" s="63">
      <c r="E3661" s="139" t="n"/>
      <c r="F3661" s="139" t="n"/>
      <c r="G3661" s="140">
        <f>IFERROR(IF(E3661&gt;0,(F3661/E3661)*1000,""),"")</f>
        <v/>
      </c>
      <c r="H3661" s="139">
        <f>IFERROR(IF(E3661&gt;0,E3661*IF(ISNUMBER(J3661),J3661,IF(C3661="Futures",$C$6,$C$5)),""),"")</f>
        <v/>
      </c>
      <c r="I3661" s="139">
        <f>IFERROR(IF(AND(ISNUMBER(F3661),ISNUMBER(H3661)),F3661-H3661,""),"")</f>
        <v/>
      </c>
      <c r="J3661" s="114" t="n"/>
      <c r="K3661" s="139">
        <f>IFERROR(IF(H3661&gt;0,H3661*$C$7,""),"")</f>
        <v/>
      </c>
      <c r="L3661" s="139">
        <f>IFERROR(IF(ISNUMBER(F3661),F3661-IF(ISNUMBER(K3661),K3661,0),""),"")</f>
        <v/>
      </c>
    </row>
    <row r="3662" ht="24" customHeight="1" s="63">
      <c r="E3662" s="139" t="n"/>
      <c r="F3662" s="139" t="n"/>
      <c r="G3662" s="140">
        <f>IFERROR(IF(E3662&gt;0,(F3662/E3662)*1000,""),"")</f>
        <v/>
      </c>
      <c r="H3662" s="139">
        <f>IFERROR(IF(E3662&gt;0,E3662*IF(ISNUMBER(J3662),J3662,IF(C3662="Futures",$C$6,$C$5)),""),"")</f>
        <v/>
      </c>
      <c r="I3662" s="139">
        <f>IFERROR(IF(AND(ISNUMBER(F3662),ISNUMBER(H3662)),F3662-H3662,""),"")</f>
        <v/>
      </c>
      <c r="J3662" s="114" t="n"/>
      <c r="K3662" s="139">
        <f>IFERROR(IF(H3662&gt;0,H3662*$C$7,""),"")</f>
        <v/>
      </c>
      <c r="L3662" s="139">
        <f>IFERROR(IF(ISNUMBER(F3662),F3662-IF(ISNUMBER(K3662),K3662,0),""),"")</f>
        <v/>
      </c>
    </row>
    <row r="3663" ht="24" customHeight="1" s="63">
      <c r="E3663" s="139" t="n"/>
      <c r="F3663" s="139" t="n"/>
      <c r="G3663" s="140">
        <f>IFERROR(IF(E3663&gt;0,(F3663/E3663)*1000,""),"")</f>
        <v/>
      </c>
      <c r="H3663" s="139">
        <f>IFERROR(IF(E3663&gt;0,E3663*IF(ISNUMBER(J3663),J3663,IF(C3663="Futures",$C$6,$C$5)),""),"")</f>
        <v/>
      </c>
      <c r="I3663" s="139">
        <f>IFERROR(IF(AND(ISNUMBER(F3663),ISNUMBER(H3663)),F3663-H3663,""),"")</f>
        <v/>
      </c>
      <c r="J3663" s="114" t="n"/>
      <c r="K3663" s="139">
        <f>IFERROR(IF(H3663&gt;0,H3663*$C$7,""),"")</f>
        <v/>
      </c>
      <c r="L3663" s="139">
        <f>IFERROR(IF(ISNUMBER(F3663),F3663-IF(ISNUMBER(K3663),K3663,0),""),"")</f>
        <v/>
      </c>
    </row>
    <row r="3664" ht="24" customHeight="1" s="63">
      <c r="E3664" s="139" t="n"/>
      <c r="F3664" s="139" t="n"/>
      <c r="G3664" s="140">
        <f>IFERROR(IF(E3664&gt;0,(F3664/E3664)*1000,""),"")</f>
        <v/>
      </c>
      <c r="H3664" s="139">
        <f>IFERROR(IF(E3664&gt;0,E3664*IF(ISNUMBER(J3664),J3664,IF(C3664="Futures",$C$6,$C$5)),""),"")</f>
        <v/>
      </c>
      <c r="I3664" s="139">
        <f>IFERROR(IF(AND(ISNUMBER(F3664),ISNUMBER(H3664)),F3664-H3664,""),"")</f>
        <v/>
      </c>
      <c r="J3664" s="114" t="n"/>
      <c r="K3664" s="139">
        <f>IFERROR(IF(H3664&gt;0,H3664*$C$7,""),"")</f>
        <v/>
      </c>
      <c r="L3664" s="139">
        <f>IFERROR(IF(ISNUMBER(F3664),F3664-IF(ISNUMBER(K3664),K3664,0),""),"")</f>
        <v/>
      </c>
    </row>
    <row r="3665" ht="24" customHeight="1" s="63">
      <c r="E3665" s="139" t="n"/>
      <c r="F3665" s="139" t="n"/>
      <c r="G3665" s="140">
        <f>IFERROR(IF(E3665&gt;0,(F3665/E3665)*1000,""),"")</f>
        <v/>
      </c>
      <c r="H3665" s="139">
        <f>IFERROR(IF(E3665&gt;0,E3665*IF(ISNUMBER(J3665),J3665,IF(C3665="Futures",$C$6,$C$5)),""),"")</f>
        <v/>
      </c>
      <c r="I3665" s="139">
        <f>IFERROR(IF(AND(ISNUMBER(F3665),ISNUMBER(H3665)),F3665-H3665,""),"")</f>
        <v/>
      </c>
      <c r="J3665" s="114" t="n"/>
      <c r="K3665" s="139">
        <f>IFERROR(IF(H3665&gt;0,H3665*$C$7,""),"")</f>
        <v/>
      </c>
      <c r="L3665" s="139">
        <f>IFERROR(IF(ISNUMBER(F3665),F3665-IF(ISNUMBER(K3665),K3665,0),""),"")</f>
        <v/>
      </c>
    </row>
    <row r="3666" ht="24" customHeight="1" s="63">
      <c r="E3666" s="139" t="n"/>
      <c r="F3666" s="139" t="n"/>
      <c r="G3666" s="140">
        <f>IFERROR(IF(E3666&gt;0,(F3666/E3666)*1000,""),"")</f>
        <v/>
      </c>
      <c r="H3666" s="139">
        <f>IFERROR(IF(E3666&gt;0,E3666*IF(ISNUMBER(J3666),J3666,IF(C3666="Futures",$C$6,$C$5)),""),"")</f>
        <v/>
      </c>
      <c r="I3666" s="139">
        <f>IFERROR(IF(AND(ISNUMBER(F3666),ISNUMBER(H3666)),F3666-H3666,""),"")</f>
        <v/>
      </c>
      <c r="J3666" s="114" t="n"/>
      <c r="K3666" s="139">
        <f>IFERROR(IF(H3666&gt;0,H3666*$C$7,""),"")</f>
        <v/>
      </c>
      <c r="L3666" s="139">
        <f>IFERROR(IF(ISNUMBER(F3666),F3666-IF(ISNUMBER(K3666),K3666,0),""),"")</f>
        <v/>
      </c>
    </row>
    <row r="3667" ht="24" customHeight="1" s="63">
      <c r="E3667" s="139" t="n"/>
      <c r="F3667" s="139" t="n"/>
      <c r="G3667" s="140">
        <f>IFERROR(IF(E3667&gt;0,(F3667/E3667)*1000,""),"")</f>
        <v/>
      </c>
      <c r="H3667" s="139">
        <f>IFERROR(IF(E3667&gt;0,E3667*IF(ISNUMBER(J3667),J3667,IF(C3667="Futures",$C$6,$C$5)),""),"")</f>
        <v/>
      </c>
      <c r="I3667" s="139">
        <f>IFERROR(IF(AND(ISNUMBER(F3667),ISNUMBER(H3667)),F3667-H3667,""),"")</f>
        <v/>
      </c>
      <c r="J3667" s="114" t="n"/>
      <c r="K3667" s="139">
        <f>IFERROR(IF(H3667&gt;0,H3667*$C$7,""),"")</f>
        <v/>
      </c>
      <c r="L3667" s="139">
        <f>IFERROR(IF(ISNUMBER(F3667),F3667-IF(ISNUMBER(K3667),K3667,0),""),"")</f>
        <v/>
      </c>
    </row>
    <row r="3668" ht="24" customHeight="1" s="63">
      <c r="E3668" s="139" t="n"/>
      <c r="F3668" s="139" t="n"/>
      <c r="G3668" s="140">
        <f>IFERROR(IF(E3668&gt;0,(F3668/E3668)*1000,""),"")</f>
        <v/>
      </c>
      <c r="H3668" s="139">
        <f>IFERROR(IF(E3668&gt;0,E3668*IF(ISNUMBER(J3668),J3668,IF(C3668="Futures",$C$6,$C$5)),""),"")</f>
        <v/>
      </c>
      <c r="I3668" s="139">
        <f>IFERROR(IF(AND(ISNUMBER(F3668),ISNUMBER(H3668)),F3668-H3668,""),"")</f>
        <v/>
      </c>
      <c r="J3668" s="114" t="n"/>
      <c r="K3668" s="139">
        <f>IFERROR(IF(H3668&gt;0,H3668*$C$7,""),"")</f>
        <v/>
      </c>
      <c r="L3668" s="139">
        <f>IFERROR(IF(ISNUMBER(F3668),F3668-IF(ISNUMBER(K3668),K3668,0),""),"")</f>
        <v/>
      </c>
    </row>
    <row r="3669" ht="24" customHeight="1" s="63">
      <c r="E3669" s="139" t="n"/>
      <c r="F3669" s="139" t="n"/>
      <c r="G3669" s="140">
        <f>IFERROR(IF(E3669&gt;0,(F3669/E3669)*1000,""),"")</f>
        <v/>
      </c>
      <c r="H3669" s="139">
        <f>IFERROR(IF(E3669&gt;0,E3669*IF(ISNUMBER(J3669),J3669,IF(C3669="Futures",$C$6,$C$5)),""),"")</f>
        <v/>
      </c>
      <c r="I3669" s="139">
        <f>IFERROR(IF(AND(ISNUMBER(F3669),ISNUMBER(H3669)),F3669-H3669,""),"")</f>
        <v/>
      </c>
      <c r="J3669" s="114" t="n"/>
      <c r="K3669" s="139">
        <f>IFERROR(IF(H3669&gt;0,H3669*$C$7,""),"")</f>
        <v/>
      </c>
      <c r="L3669" s="139">
        <f>IFERROR(IF(ISNUMBER(F3669),F3669-IF(ISNUMBER(K3669),K3669,0),""),"")</f>
        <v/>
      </c>
    </row>
    <row r="3670" ht="24" customHeight="1" s="63">
      <c r="E3670" s="139" t="n"/>
      <c r="F3670" s="139" t="n"/>
      <c r="G3670" s="140">
        <f>IFERROR(IF(E3670&gt;0,(F3670/E3670)*1000,""),"")</f>
        <v/>
      </c>
      <c r="H3670" s="139">
        <f>IFERROR(IF(E3670&gt;0,E3670*IF(ISNUMBER(J3670),J3670,IF(C3670="Futures",$C$6,$C$5)),""),"")</f>
        <v/>
      </c>
      <c r="I3670" s="139">
        <f>IFERROR(IF(AND(ISNUMBER(F3670),ISNUMBER(H3670)),F3670-H3670,""),"")</f>
        <v/>
      </c>
      <c r="J3670" s="114" t="n"/>
      <c r="K3670" s="139">
        <f>IFERROR(IF(H3670&gt;0,H3670*$C$7,""),"")</f>
        <v/>
      </c>
      <c r="L3670" s="139">
        <f>IFERROR(IF(ISNUMBER(F3670),F3670-IF(ISNUMBER(K3670),K3670,0),""),"")</f>
        <v/>
      </c>
    </row>
    <row r="3671" ht="24" customHeight="1" s="63">
      <c r="E3671" s="139" t="n"/>
      <c r="F3671" s="139" t="n"/>
      <c r="G3671" s="140">
        <f>IFERROR(IF(E3671&gt;0,(F3671/E3671)*1000,""),"")</f>
        <v/>
      </c>
      <c r="H3671" s="139">
        <f>IFERROR(IF(E3671&gt;0,E3671*IF(ISNUMBER(J3671),J3671,IF(C3671="Futures",$C$6,$C$5)),""),"")</f>
        <v/>
      </c>
      <c r="I3671" s="139">
        <f>IFERROR(IF(AND(ISNUMBER(F3671),ISNUMBER(H3671)),F3671-H3671,""),"")</f>
        <v/>
      </c>
      <c r="J3671" s="114" t="n"/>
      <c r="K3671" s="139">
        <f>IFERROR(IF(H3671&gt;0,H3671*$C$7,""),"")</f>
        <v/>
      </c>
      <c r="L3671" s="139">
        <f>IFERROR(IF(ISNUMBER(F3671),F3671-IF(ISNUMBER(K3671),K3671,0),""),"")</f>
        <v/>
      </c>
    </row>
    <row r="3672" ht="24" customHeight="1" s="63">
      <c r="E3672" s="139" t="n"/>
      <c r="F3672" s="139" t="n"/>
      <c r="G3672" s="140">
        <f>IFERROR(IF(E3672&gt;0,(F3672/E3672)*1000,""),"")</f>
        <v/>
      </c>
      <c r="H3672" s="139">
        <f>IFERROR(IF(E3672&gt;0,E3672*IF(ISNUMBER(J3672),J3672,IF(C3672="Futures",$C$6,$C$5)),""),"")</f>
        <v/>
      </c>
      <c r="I3672" s="139">
        <f>IFERROR(IF(AND(ISNUMBER(F3672),ISNUMBER(H3672)),F3672-H3672,""),"")</f>
        <v/>
      </c>
      <c r="J3672" s="114" t="n"/>
      <c r="K3672" s="139">
        <f>IFERROR(IF(H3672&gt;0,H3672*$C$7,""),"")</f>
        <v/>
      </c>
      <c r="L3672" s="139">
        <f>IFERROR(IF(ISNUMBER(F3672),F3672-IF(ISNUMBER(K3672),K3672,0),""),"")</f>
        <v/>
      </c>
    </row>
    <row r="3673" ht="24" customHeight="1" s="63">
      <c r="E3673" s="139" t="n"/>
      <c r="F3673" s="139" t="n"/>
      <c r="G3673" s="140">
        <f>IFERROR(IF(E3673&gt;0,(F3673/E3673)*1000,""),"")</f>
        <v/>
      </c>
      <c r="H3673" s="139">
        <f>IFERROR(IF(E3673&gt;0,E3673*IF(ISNUMBER(J3673),J3673,IF(C3673="Futures",$C$6,$C$5)),""),"")</f>
        <v/>
      </c>
      <c r="I3673" s="139">
        <f>IFERROR(IF(AND(ISNUMBER(F3673),ISNUMBER(H3673)),F3673-H3673,""),"")</f>
        <v/>
      </c>
      <c r="J3673" s="114" t="n"/>
      <c r="K3673" s="139">
        <f>IFERROR(IF(H3673&gt;0,H3673*$C$7,""),"")</f>
        <v/>
      </c>
      <c r="L3673" s="139">
        <f>IFERROR(IF(ISNUMBER(F3673),F3673-IF(ISNUMBER(K3673),K3673,0),""),"")</f>
        <v/>
      </c>
    </row>
    <row r="3674" ht="24" customHeight="1" s="63">
      <c r="E3674" s="139" t="n"/>
      <c r="F3674" s="139" t="n"/>
      <c r="G3674" s="140">
        <f>IFERROR(IF(E3674&gt;0,(F3674/E3674)*1000,""),"")</f>
        <v/>
      </c>
      <c r="H3674" s="139">
        <f>IFERROR(IF(E3674&gt;0,E3674*IF(ISNUMBER(J3674),J3674,IF(C3674="Futures",$C$6,$C$5)),""),"")</f>
        <v/>
      </c>
      <c r="I3674" s="139">
        <f>IFERROR(IF(AND(ISNUMBER(F3674),ISNUMBER(H3674)),F3674-H3674,""),"")</f>
        <v/>
      </c>
      <c r="J3674" s="114" t="n"/>
      <c r="K3674" s="139">
        <f>IFERROR(IF(H3674&gt;0,H3674*$C$7,""),"")</f>
        <v/>
      </c>
      <c r="L3674" s="139">
        <f>IFERROR(IF(ISNUMBER(F3674),F3674-IF(ISNUMBER(K3674),K3674,0),""),"")</f>
        <v/>
      </c>
    </row>
    <row r="3675" ht="24" customHeight="1" s="63">
      <c r="E3675" s="139" t="n"/>
      <c r="F3675" s="139" t="n"/>
      <c r="G3675" s="140">
        <f>IFERROR(IF(E3675&gt;0,(F3675/E3675)*1000,""),"")</f>
        <v/>
      </c>
      <c r="H3675" s="139">
        <f>IFERROR(IF(E3675&gt;0,E3675*IF(ISNUMBER(J3675),J3675,IF(C3675="Futures",$C$6,$C$5)),""),"")</f>
        <v/>
      </c>
      <c r="I3675" s="139">
        <f>IFERROR(IF(AND(ISNUMBER(F3675),ISNUMBER(H3675)),F3675-H3675,""),"")</f>
        <v/>
      </c>
      <c r="J3675" s="114" t="n"/>
      <c r="K3675" s="139">
        <f>IFERROR(IF(H3675&gt;0,H3675*$C$7,""),"")</f>
        <v/>
      </c>
      <c r="L3675" s="139">
        <f>IFERROR(IF(ISNUMBER(F3675),F3675-IF(ISNUMBER(K3675),K3675,0),""),"")</f>
        <v/>
      </c>
    </row>
    <row r="3676" ht="24" customHeight="1" s="63">
      <c r="E3676" s="139" t="n"/>
      <c r="F3676" s="139" t="n"/>
      <c r="G3676" s="140">
        <f>IFERROR(IF(E3676&gt;0,(F3676/E3676)*1000,""),"")</f>
        <v/>
      </c>
      <c r="H3676" s="139">
        <f>IFERROR(IF(E3676&gt;0,E3676*IF(ISNUMBER(J3676),J3676,IF(C3676="Futures",$C$6,$C$5)),""),"")</f>
        <v/>
      </c>
      <c r="I3676" s="139">
        <f>IFERROR(IF(AND(ISNUMBER(F3676),ISNUMBER(H3676)),F3676-H3676,""),"")</f>
        <v/>
      </c>
      <c r="J3676" s="114" t="n"/>
      <c r="K3676" s="139">
        <f>IFERROR(IF(H3676&gt;0,H3676*$C$7,""),"")</f>
        <v/>
      </c>
      <c r="L3676" s="139">
        <f>IFERROR(IF(ISNUMBER(F3676),F3676-IF(ISNUMBER(K3676),K3676,0),""),"")</f>
        <v/>
      </c>
    </row>
    <row r="3677" ht="24" customHeight="1" s="63">
      <c r="E3677" s="139" t="n"/>
      <c r="F3677" s="139" t="n"/>
      <c r="G3677" s="140">
        <f>IFERROR(IF(E3677&gt;0,(F3677/E3677)*1000,""),"")</f>
        <v/>
      </c>
      <c r="H3677" s="139">
        <f>IFERROR(IF(E3677&gt;0,E3677*IF(ISNUMBER(J3677),J3677,IF(C3677="Futures",$C$6,$C$5)),""),"")</f>
        <v/>
      </c>
      <c r="I3677" s="139">
        <f>IFERROR(IF(AND(ISNUMBER(F3677),ISNUMBER(H3677)),F3677-H3677,""),"")</f>
        <v/>
      </c>
      <c r="J3677" s="114" t="n"/>
      <c r="K3677" s="139">
        <f>IFERROR(IF(H3677&gt;0,H3677*$C$7,""),"")</f>
        <v/>
      </c>
      <c r="L3677" s="139">
        <f>IFERROR(IF(ISNUMBER(F3677),F3677-IF(ISNUMBER(K3677),K3677,0),""),"")</f>
        <v/>
      </c>
    </row>
    <row r="3678" ht="24" customHeight="1" s="63">
      <c r="E3678" s="139" t="n"/>
      <c r="F3678" s="139" t="n"/>
      <c r="G3678" s="140">
        <f>IFERROR(IF(E3678&gt;0,(F3678/E3678)*1000,""),"")</f>
        <v/>
      </c>
      <c r="H3678" s="139">
        <f>IFERROR(IF(E3678&gt;0,E3678*IF(ISNUMBER(J3678),J3678,IF(C3678="Futures",$C$6,$C$5)),""),"")</f>
        <v/>
      </c>
      <c r="I3678" s="139">
        <f>IFERROR(IF(AND(ISNUMBER(F3678),ISNUMBER(H3678)),F3678-H3678,""),"")</f>
        <v/>
      </c>
      <c r="J3678" s="114" t="n"/>
      <c r="K3678" s="139">
        <f>IFERROR(IF(H3678&gt;0,H3678*$C$7,""),"")</f>
        <v/>
      </c>
      <c r="L3678" s="139">
        <f>IFERROR(IF(ISNUMBER(F3678),F3678-IF(ISNUMBER(K3678),K3678,0),""),"")</f>
        <v/>
      </c>
    </row>
    <row r="3679" ht="24" customHeight="1" s="63">
      <c r="E3679" s="139" t="n"/>
      <c r="F3679" s="139" t="n"/>
      <c r="G3679" s="140">
        <f>IFERROR(IF(E3679&gt;0,(F3679/E3679)*1000,""),"")</f>
        <v/>
      </c>
      <c r="H3679" s="139">
        <f>IFERROR(IF(E3679&gt;0,E3679*IF(ISNUMBER(J3679),J3679,IF(C3679="Futures",$C$6,$C$5)),""),"")</f>
        <v/>
      </c>
      <c r="I3679" s="139">
        <f>IFERROR(IF(AND(ISNUMBER(F3679),ISNUMBER(H3679)),F3679-H3679,""),"")</f>
        <v/>
      </c>
      <c r="J3679" s="114" t="n"/>
      <c r="K3679" s="139">
        <f>IFERROR(IF(H3679&gt;0,H3679*$C$7,""),"")</f>
        <v/>
      </c>
      <c r="L3679" s="139">
        <f>IFERROR(IF(ISNUMBER(F3679),F3679-IF(ISNUMBER(K3679),K3679,0),""),"")</f>
        <v/>
      </c>
    </row>
    <row r="3680" ht="24" customHeight="1" s="63">
      <c r="E3680" s="139" t="n"/>
      <c r="F3680" s="139" t="n"/>
      <c r="G3680" s="140">
        <f>IFERROR(IF(E3680&gt;0,(F3680/E3680)*1000,""),"")</f>
        <v/>
      </c>
      <c r="H3680" s="139">
        <f>IFERROR(IF(E3680&gt;0,E3680*IF(ISNUMBER(J3680),J3680,IF(C3680="Futures",$C$6,$C$5)),""),"")</f>
        <v/>
      </c>
      <c r="I3680" s="139">
        <f>IFERROR(IF(AND(ISNUMBER(F3680),ISNUMBER(H3680)),F3680-H3680,""),"")</f>
        <v/>
      </c>
      <c r="J3680" s="114" t="n"/>
      <c r="K3680" s="139">
        <f>IFERROR(IF(H3680&gt;0,H3680*$C$7,""),"")</f>
        <v/>
      </c>
      <c r="L3680" s="139">
        <f>IFERROR(IF(ISNUMBER(F3680),F3680-IF(ISNUMBER(K3680),K3680,0),""),"")</f>
        <v/>
      </c>
    </row>
    <row r="3681" ht="24" customHeight="1" s="63">
      <c r="E3681" s="139" t="n"/>
      <c r="F3681" s="139" t="n"/>
      <c r="G3681" s="140">
        <f>IFERROR(IF(E3681&gt;0,(F3681/E3681)*1000,""),"")</f>
        <v/>
      </c>
      <c r="H3681" s="139">
        <f>IFERROR(IF(E3681&gt;0,E3681*IF(ISNUMBER(J3681),J3681,IF(C3681="Futures",$C$6,$C$5)),""),"")</f>
        <v/>
      </c>
      <c r="I3681" s="139">
        <f>IFERROR(IF(AND(ISNUMBER(F3681),ISNUMBER(H3681)),F3681-H3681,""),"")</f>
        <v/>
      </c>
      <c r="J3681" s="114" t="n"/>
      <c r="K3681" s="139">
        <f>IFERROR(IF(H3681&gt;0,H3681*$C$7,""),"")</f>
        <v/>
      </c>
      <c r="L3681" s="139">
        <f>IFERROR(IF(ISNUMBER(F3681),F3681-IF(ISNUMBER(K3681),K3681,0),""),"")</f>
        <v/>
      </c>
    </row>
    <row r="3682" ht="24" customHeight="1" s="63">
      <c r="E3682" s="139" t="n"/>
      <c r="F3682" s="139" t="n"/>
      <c r="G3682" s="140">
        <f>IFERROR(IF(E3682&gt;0,(F3682/E3682)*1000,""),"")</f>
        <v/>
      </c>
      <c r="H3682" s="139">
        <f>IFERROR(IF(E3682&gt;0,E3682*IF(ISNUMBER(J3682),J3682,IF(C3682="Futures",$C$6,$C$5)),""),"")</f>
        <v/>
      </c>
      <c r="I3682" s="139">
        <f>IFERROR(IF(AND(ISNUMBER(F3682),ISNUMBER(H3682)),F3682-H3682,""),"")</f>
        <v/>
      </c>
      <c r="J3682" s="114" t="n"/>
      <c r="K3682" s="139">
        <f>IFERROR(IF(H3682&gt;0,H3682*$C$7,""),"")</f>
        <v/>
      </c>
      <c r="L3682" s="139">
        <f>IFERROR(IF(ISNUMBER(F3682),F3682-IF(ISNUMBER(K3682),K3682,0),""),"")</f>
        <v/>
      </c>
    </row>
    <row r="3683" ht="24" customHeight="1" s="63">
      <c r="E3683" s="139" t="n"/>
      <c r="F3683" s="139" t="n"/>
      <c r="G3683" s="140">
        <f>IFERROR(IF(E3683&gt;0,(F3683/E3683)*1000,""),"")</f>
        <v/>
      </c>
      <c r="H3683" s="139">
        <f>IFERROR(IF(E3683&gt;0,E3683*IF(ISNUMBER(J3683),J3683,IF(C3683="Futures",$C$6,$C$5)),""),"")</f>
        <v/>
      </c>
      <c r="I3683" s="139">
        <f>IFERROR(IF(AND(ISNUMBER(F3683),ISNUMBER(H3683)),F3683-H3683,""),"")</f>
        <v/>
      </c>
      <c r="J3683" s="114" t="n"/>
      <c r="K3683" s="139">
        <f>IFERROR(IF(H3683&gt;0,H3683*$C$7,""),"")</f>
        <v/>
      </c>
      <c r="L3683" s="139">
        <f>IFERROR(IF(ISNUMBER(F3683),F3683-IF(ISNUMBER(K3683),K3683,0),""),"")</f>
        <v/>
      </c>
    </row>
    <row r="3684" ht="24" customHeight="1" s="63">
      <c r="E3684" s="139" t="n"/>
      <c r="F3684" s="139" t="n"/>
      <c r="G3684" s="140">
        <f>IFERROR(IF(E3684&gt;0,(F3684/E3684)*1000,""),"")</f>
        <v/>
      </c>
      <c r="H3684" s="139">
        <f>IFERROR(IF(E3684&gt;0,E3684*IF(ISNUMBER(J3684),J3684,IF(C3684="Futures",$C$6,$C$5)),""),"")</f>
        <v/>
      </c>
      <c r="I3684" s="139">
        <f>IFERROR(IF(AND(ISNUMBER(F3684),ISNUMBER(H3684)),F3684-H3684,""),"")</f>
        <v/>
      </c>
      <c r="J3684" s="114" t="n"/>
      <c r="K3684" s="139">
        <f>IFERROR(IF(H3684&gt;0,H3684*$C$7,""),"")</f>
        <v/>
      </c>
      <c r="L3684" s="139">
        <f>IFERROR(IF(ISNUMBER(F3684),F3684-IF(ISNUMBER(K3684),K3684,0),""),"")</f>
        <v/>
      </c>
    </row>
    <row r="3685" ht="24" customHeight="1" s="63">
      <c r="E3685" s="139" t="n"/>
      <c r="F3685" s="139" t="n"/>
      <c r="G3685" s="140">
        <f>IFERROR(IF(E3685&gt;0,(F3685/E3685)*1000,""),"")</f>
        <v/>
      </c>
      <c r="H3685" s="139">
        <f>IFERROR(IF(E3685&gt;0,E3685*IF(ISNUMBER(J3685),J3685,IF(C3685="Futures",$C$6,$C$5)),""),"")</f>
        <v/>
      </c>
      <c r="I3685" s="139">
        <f>IFERROR(IF(AND(ISNUMBER(F3685),ISNUMBER(H3685)),F3685-H3685,""),"")</f>
        <v/>
      </c>
      <c r="J3685" s="114" t="n"/>
      <c r="K3685" s="139">
        <f>IFERROR(IF(H3685&gt;0,H3685*$C$7,""),"")</f>
        <v/>
      </c>
      <c r="L3685" s="139">
        <f>IFERROR(IF(ISNUMBER(F3685),F3685-IF(ISNUMBER(K3685),K3685,0),""),"")</f>
        <v/>
      </c>
    </row>
    <row r="3686" ht="24" customHeight="1" s="63">
      <c r="E3686" s="139" t="n"/>
      <c r="F3686" s="139" t="n"/>
      <c r="G3686" s="140">
        <f>IFERROR(IF(E3686&gt;0,(F3686/E3686)*1000,""),"")</f>
        <v/>
      </c>
      <c r="H3686" s="139">
        <f>IFERROR(IF(E3686&gt;0,E3686*IF(ISNUMBER(J3686),J3686,IF(C3686="Futures",$C$6,$C$5)),""),"")</f>
        <v/>
      </c>
      <c r="I3686" s="139">
        <f>IFERROR(IF(AND(ISNUMBER(F3686),ISNUMBER(H3686)),F3686-H3686,""),"")</f>
        <v/>
      </c>
      <c r="J3686" s="114" t="n"/>
      <c r="K3686" s="139">
        <f>IFERROR(IF(H3686&gt;0,H3686*$C$7,""),"")</f>
        <v/>
      </c>
      <c r="L3686" s="139">
        <f>IFERROR(IF(ISNUMBER(F3686),F3686-IF(ISNUMBER(K3686),K3686,0),""),"")</f>
        <v/>
      </c>
    </row>
    <row r="3687" ht="24" customHeight="1" s="63">
      <c r="E3687" s="139" t="n"/>
      <c r="F3687" s="139" t="n"/>
      <c r="G3687" s="140">
        <f>IFERROR(IF(E3687&gt;0,(F3687/E3687)*1000,""),"")</f>
        <v/>
      </c>
      <c r="H3687" s="139">
        <f>IFERROR(IF(E3687&gt;0,E3687*IF(ISNUMBER(J3687),J3687,IF(C3687="Futures",$C$6,$C$5)),""),"")</f>
        <v/>
      </c>
      <c r="I3687" s="139">
        <f>IFERROR(IF(AND(ISNUMBER(F3687),ISNUMBER(H3687)),F3687-H3687,""),"")</f>
        <v/>
      </c>
      <c r="J3687" s="114" t="n"/>
      <c r="K3687" s="139">
        <f>IFERROR(IF(H3687&gt;0,H3687*$C$7,""),"")</f>
        <v/>
      </c>
      <c r="L3687" s="139">
        <f>IFERROR(IF(ISNUMBER(F3687),F3687-IF(ISNUMBER(K3687),K3687,0),""),"")</f>
        <v/>
      </c>
    </row>
    <row r="3688" ht="24" customHeight="1" s="63">
      <c r="E3688" s="139" t="n"/>
      <c r="F3688" s="139" t="n"/>
      <c r="G3688" s="140">
        <f>IFERROR(IF(E3688&gt;0,(F3688/E3688)*1000,""),"")</f>
        <v/>
      </c>
      <c r="H3688" s="139">
        <f>IFERROR(IF(E3688&gt;0,E3688*IF(ISNUMBER(J3688),J3688,IF(C3688="Futures",$C$6,$C$5)),""),"")</f>
        <v/>
      </c>
      <c r="I3688" s="139">
        <f>IFERROR(IF(AND(ISNUMBER(F3688),ISNUMBER(H3688)),F3688-H3688,""),"")</f>
        <v/>
      </c>
      <c r="J3688" s="114" t="n"/>
      <c r="K3688" s="139">
        <f>IFERROR(IF(H3688&gt;0,H3688*$C$7,""),"")</f>
        <v/>
      </c>
      <c r="L3688" s="139">
        <f>IFERROR(IF(ISNUMBER(F3688),F3688-IF(ISNUMBER(K3688),K3688,0),""),"")</f>
        <v/>
      </c>
    </row>
    <row r="3689" ht="24" customHeight="1" s="63">
      <c r="E3689" s="139" t="n"/>
      <c r="F3689" s="139" t="n"/>
      <c r="G3689" s="140">
        <f>IFERROR(IF(E3689&gt;0,(F3689/E3689)*1000,""),"")</f>
        <v/>
      </c>
      <c r="H3689" s="139">
        <f>IFERROR(IF(E3689&gt;0,E3689*IF(ISNUMBER(J3689),J3689,IF(C3689="Futures",$C$6,$C$5)),""),"")</f>
        <v/>
      </c>
      <c r="I3689" s="139">
        <f>IFERROR(IF(AND(ISNUMBER(F3689),ISNUMBER(H3689)),F3689-H3689,""),"")</f>
        <v/>
      </c>
      <c r="J3689" s="114" t="n"/>
      <c r="K3689" s="139">
        <f>IFERROR(IF(H3689&gt;0,H3689*$C$7,""),"")</f>
        <v/>
      </c>
      <c r="L3689" s="139">
        <f>IFERROR(IF(ISNUMBER(F3689),F3689-IF(ISNUMBER(K3689),K3689,0),""),"")</f>
        <v/>
      </c>
    </row>
    <row r="3690" ht="24" customHeight="1" s="63">
      <c r="E3690" s="139" t="n"/>
      <c r="F3690" s="139" t="n"/>
      <c r="G3690" s="140">
        <f>IFERROR(IF(E3690&gt;0,(F3690/E3690)*1000,""),"")</f>
        <v/>
      </c>
      <c r="H3690" s="139">
        <f>IFERROR(IF(E3690&gt;0,E3690*IF(ISNUMBER(J3690),J3690,IF(C3690="Futures",$C$6,$C$5)),""),"")</f>
        <v/>
      </c>
      <c r="I3690" s="139">
        <f>IFERROR(IF(AND(ISNUMBER(F3690),ISNUMBER(H3690)),F3690-H3690,""),"")</f>
        <v/>
      </c>
      <c r="J3690" s="114" t="n"/>
      <c r="K3690" s="139">
        <f>IFERROR(IF(H3690&gt;0,H3690*$C$7,""),"")</f>
        <v/>
      </c>
      <c r="L3690" s="139">
        <f>IFERROR(IF(ISNUMBER(F3690),F3690-IF(ISNUMBER(K3690),K3690,0),""),"")</f>
        <v/>
      </c>
    </row>
    <row r="3691" ht="24" customHeight="1" s="63">
      <c r="E3691" s="139" t="n"/>
      <c r="F3691" s="139" t="n"/>
      <c r="G3691" s="140">
        <f>IFERROR(IF(E3691&gt;0,(F3691/E3691)*1000,""),"")</f>
        <v/>
      </c>
      <c r="H3691" s="139">
        <f>IFERROR(IF(E3691&gt;0,E3691*IF(ISNUMBER(J3691),J3691,IF(C3691="Futures",$C$6,$C$5)),""),"")</f>
        <v/>
      </c>
      <c r="I3691" s="139">
        <f>IFERROR(IF(AND(ISNUMBER(F3691),ISNUMBER(H3691)),F3691-H3691,""),"")</f>
        <v/>
      </c>
      <c r="J3691" s="114" t="n"/>
      <c r="K3691" s="139">
        <f>IFERROR(IF(H3691&gt;0,H3691*$C$7,""),"")</f>
        <v/>
      </c>
      <c r="L3691" s="139">
        <f>IFERROR(IF(ISNUMBER(F3691),F3691-IF(ISNUMBER(K3691),K3691,0),""),"")</f>
        <v/>
      </c>
    </row>
    <row r="3692" ht="24" customHeight="1" s="63">
      <c r="E3692" s="139" t="n"/>
      <c r="F3692" s="139" t="n"/>
      <c r="G3692" s="140">
        <f>IFERROR(IF(E3692&gt;0,(F3692/E3692)*1000,""),"")</f>
        <v/>
      </c>
      <c r="H3692" s="139">
        <f>IFERROR(IF(E3692&gt;0,E3692*IF(ISNUMBER(J3692),J3692,IF(C3692="Futures",$C$6,$C$5)),""),"")</f>
        <v/>
      </c>
      <c r="I3692" s="139">
        <f>IFERROR(IF(AND(ISNUMBER(F3692),ISNUMBER(H3692)),F3692-H3692,""),"")</f>
        <v/>
      </c>
      <c r="J3692" s="114" t="n"/>
      <c r="K3692" s="139">
        <f>IFERROR(IF(H3692&gt;0,H3692*$C$7,""),"")</f>
        <v/>
      </c>
      <c r="L3692" s="139">
        <f>IFERROR(IF(ISNUMBER(F3692),F3692-IF(ISNUMBER(K3692),K3692,0),""),"")</f>
        <v/>
      </c>
    </row>
    <row r="3693" ht="24" customHeight="1" s="63">
      <c r="E3693" s="139" t="n"/>
      <c r="F3693" s="139" t="n"/>
      <c r="G3693" s="140">
        <f>IFERROR(IF(E3693&gt;0,(F3693/E3693)*1000,""),"")</f>
        <v/>
      </c>
      <c r="H3693" s="139">
        <f>IFERROR(IF(E3693&gt;0,E3693*IF(ISNUMBER(J3693),J3693,IF(C3693="Futures",$C$6,$C$5)),""),"")</f>
        <v/>
      </c>
      <c r="I3693" s="139">
        <f>IFERROR(IF(AND(ISNUMBER(F3693),ISNUMBER(H3693)),F3693-H3693,""),"")</f>
        <v/>
      </c>
      <c r="J3693" s="114" t="n"/>
      <c r="K3693" s="139">
        <f>IFERROR(IF(H3693&gt;0,H3693*$C$7,""),"")</f>
        <v/>
      </c>
      <c r="L3693" s="139">
        <f>IFERROR(IF(ISNUMBER(F3693),F3693-IF(ISNUMBER(K3693),K3693,0),""),"")</f>
        <v/>
      </c>
    </row>
    <row r="3694" ht="24" customHeight="1" s="63">
      <c r="E3694" s="139" t="n"/>
      <c r="F3694" s="139" t="n"/>
      <c r="G3694" s="140">
        <f>IFERROR(IF(E3694&gt;0,(F3694/E3694)*1000,""),"")</f>
        <v/>
      </c>
      <c r="H3694" s="139">
        <f>IFERROR(IF(E3694&gt;0,E3694*IF(ISNUMBER(J3694),J3694,IF(C3694="Futures",$C$6,$C$5)),""),"")</f>
        <v/>
      </c>
      <c r="I3694" s="139">
        <f>IFERROR(IF(AND(ISNUMBER(F3694),ISNUMBER(H3694)),F3694-H3694,""),"")</f>
        <v/>
      </c>
      <c r="J3694" s="114" t="n"/>
      <c r="K3694" s="139">
        <f>IFERROR(IF(H3694&gt;0,H3694*$C$7,""),"")</f>
        <v/>
      </c>
      <c r="L3694" s="139">
        <f>IFERROR(IF(ISNUMBER(F3694),F3694-IF(ISNUMBER(K3694),K3694,0),""),"")</f>
        <v/>
      </c>
    </row>
    <row r="3695" ht="24" customHeight="1" s="63">
      <c r="E3695" s="139" t="n"/>
      <c r="F3695" s="139" t="n"/>
      <c r="G3695" s="140">
        <f>IFERROR(IF(E3695&gt;0,(F3695/E3695)*1000,""),"")</f>
        <v/>
      </c>
      <c r="H3695" s="139">
        <f>IFERROR(IF(E3695&gt;0,E3695*IF(ISNUMBER(J3695),J3695,IF(C3695="Futures",$C$6,$C$5)),""),"")</f>
        <v/>
      </c>
      <c r="I3695" s="139">
        <f>IFERROR(IF(AND(ISNUMBER(F3695),ISNUMBER(H3695)),F3695-H3695,""),"")</f>
        <v/>
      </c>
      <c r="J3695" s="114" t="n"/>
      <c r="K3695" s="139">
        <f>IFERROR(IF(H3695&gt;0,H3695*$C$7,""),"")</f>
        <v/>
      </c>
      <c r="L3695" s="139">
        <f>IFERROR(IF(ISNUMBER(F3695),F3695-IF(ISNUMBER(K3695),K3695,0),""),"")</f>
        <v/>
      </c>
    </row>
    <row r="3696" ht="24" customHeight="1" s="63">
      <c r="E3696" s="139" t="n"/>
      <c r="F3696" s="139" t="n"/>
      <c r="G3696" s="140">
        <f>IFERROR(IF(E3696&gt;0,(F3696/E3696)*1000,""),"")</f>
        <v/>
      </c>
      <c r="H3696" s="139">
        <f>IFERROR(IF(E3696&gt;0,E3696*IF(ISNUMBER(J3696),J3696,IF(C3696="Futures",$C$6,$C$5)),""),"")</f>
        <v/>
      </c>
      <c r="I3696" s="139">
        <f>IFERROR(IF(AND(ISNUMBER(F3696),ISNUMBER(H3696)),F3696-H3696,""),"")</f>
        <v/>
      </c>
      <c r="J3696" s="114" t="n"/>
      <c r="K3696" s="139">
        <f>IFERROR(IF(H3696&gt;0,H3696*$C$7,""),"")</f>
        <v/>
      </c>
      <c r="L3696" s="139">
        <f>IFERROR(IF(ISNUMBER(F3696),F3696-IF(ISNUMBER(K3696),K3696,0),""),"")</f>
        <v/>
      </c>
    </row>
    <row r="3697" ht="24" customHeight="1" s="63">
      <c r="E3697" s="139" t="n"/>
      <c r="F3697" s="139" t="n"/>
      <c r="G3697" s="140">
        <f>IFERROR(IF(E3697&gt;0,(F3697/E3697)*1000,""),"")</f>
        <v/>
      </c>
      <c r="H3697" s="139">
        <f>IFERROR(IF(E3697&gt;0,E3697*IF(ISNUMBER(J3697),J3697,IF(C3697="Futures",$C$6,$C$5)),""),"")</f>
        <v/>
      </c>
      <c r="I3697" s="139">
        <f>IFERROR(IF(AND(ISNUMBER(F3697),ISNUMBER(H3697)),F3697-H3697,""),"")</f>
        <v/>
      </c>
      <c r="J3697" s="114" t="n"/>
      <c r="K3697" s="139">
        <f>IFERROR(IF(H3697&gt;0,H3697*$C$7,""),"")</f>
        <v/>
      </c>
      <c r="L3697" s="139">
        <f>IFERROR(IF(ISNUMBER(F3697),F3697-IF(ISNUMBER(K3697),K3697,0),""),"")</f>
        <v/>
      </c>
    </row>
    <row r="3698" ht="24" customHeight="1" s="63">
      <c r="E3698" s="139" t="n"/>
      <c r="F3698" s="139" t="n"/>
      <c r="G3698" s="140">
        <f>IFERROR(IF(E3698&gt;0,(F3698/E3698)*1000,""),"")</f>
        <v/>
      </c>
      <c r="H3698" s="139">
        <f>IFERROR(IF(E3698&gt;0,E3698*IF(ISNUMBER(J3698),J3698,IF(C3698="Futures",$C$6,$C$5)),""),"")</f>
        <v/>
      </c>
      <c r="I3698" s="139">
        <f>IFERROR(IF(AND(ISNUMBER(F3698),ISNUMBER(H3698)),F3698-H3698,""),"")</f>
        <v/>
      </c>
      <c r="J3698" s="114" t="n"/>
      <c r="K3698" s="139">
        <f>IFERROR(IF(H3698&gt;0,H3698*$C$7,""),"")</f>
        <v/>
      </c>
      <c r="L3698" s="139">
        <f>IFERROR(IF(ISNUMBER(F3698),F3698-IF(ISNUMBER(K3698),K3698,0),""),"")</f>
        <v/>
      </c>
    </row>
    <row r="3699" ht="24" customHeight="1" s="63">
      <c r="E3699" s="139" t="n"/>
      <c r="F3699" s="139" t="n"/>
      <c r="G3699" s="140">
        <f>IFERROR(IF(E3699&gt;0,(F3699/E3699)*1000,""),"")</f>
        <v/>
      </c>
      <c r="H3699" s="139">
        <f>IFERROR(IF(E3699&gt;0,E3699*IF(ISNUMBER(J3699),J3699,IF(C3699="Futures",$C$6,$C$5)),""),"")</f>
        <v/>
      </c>
      <c r="I3699" s="139">
        <f>IFERROR(IF(AND(ISNUMBER(F3699),ISNUMBER(H3699)),F3699-H3699,""),"")</f>
        <v/>
      </c>
      <c r="J3699" s="114" t="n"/>
      <c r="K3699" s="139">
        <f>IFERROR(IF(H3699&gt;0,H3699*$C$7,""),"")</f>
        <v/>
      </c>
      <c r="L3699" s="139">
        <f>IFERROR(IF(ISNUMBER(F3699),F3699-IF(ISNUMBER(K3699),K3699,0),""),"")</f>
        <v/>
      </c>
    </row>
    <row r="3700" ht="24" customHeight="1" s="63">
      <c r="E3700" s="139" t="n"/>
      <c r="F3700" s="139" t="n"/>
      <c r="G3700" s="140">
        <f>IFERROR(IF(E3700&gt;0,(F3700/E3700)*1000,""),"")</f>
        <v/>
      </c>
      <c r="H3700" s="139">
        <f>IFERROR(IF(E3700&gt;0,E3700*IF(ISNUMBER(J3700),J3700,IF(C3700="Futures",$C$6,$C$5)),""),"")</f>
        <v/>
      </c>
      <c r="I3700" s="139">
        <f>IFERROR(IF(AND(ISNUMBER(F3700),ISNUMBER(H3700)),F3700-H3700,""),"")</f>
        <v/>
      </c>
      <c r="J3700" s="114" t="n"/>
      <c r="K3700" s="139">
        <f>IFERROR(IF(H3700&gt;0,H3700*$C$7,""),"")</f>
        <v/>
      </c>
      <c r="L3700" s="139">
        <f>IFERROR(IF(ISNUMBER(F3700),F3700-IF(ISNUMBER(K3700),K3700,0),""),"")</f>
        <v/>
      </c>
    </row>
    <row r="3701" ht="24" customHeight="1" s="63">
      <c r="E3701" s="139" t="n"/>
      <c r="F3701" s="139" t="n"/>
      <c r="G3701" s="140">
        <f>IFERROR(IF(E3701&gt;0,(F3701/E3701)*1000,""),"")</f>
        <v/>
      </c>
      <c r="H3701" s="139">
        <f>IFERROR(IF(E3701&gt;0,E3701*IF(ISNUMBER(J3701),J3701,IF(C3701="Futures",$C$6,$C$5)),""),"")</f>
        <v/>
      </c>
      <c r="I3701" s="139">
        <f>IFERROR(IF(AND(ISNUMBER(F3701),ISNUMBER(H3701)),F3701-H3701,""),"")</f>
        <v/>
      </c>
      <c r="J3701" s="114" t="n"/>
      <c r="K3701" s="139">
        <f>IFERROR(IF(H3701&gt;0,H3701*$C$7,""),"")</f>
        <v/>
      </c>
      <c r="L3701" s="139">
        <f>IFERROR(IF(ISNUMBER(F3701),F3701-IF(ISNUMBER(K3701),K3701,0),""),"")</f>
        <v/>
      </c>
    </row>
    <row r="3702" ht="24" customHeight="1" s="63">
      <c r="E3702" s="139" t="n"/>
      <c r="F3702" s="139" t="n"/>
      <c r="G3702" s="140">
        <f>IFERROR(IF(E3702&gt;0,(F3702/E3702)*1000,""),"")</f>
        <v/>
      </c>
      <c r="H3702" s="139">
        <f>IFERROR(IF(E3702&gt;0,E3702*IF(ISNUMBER(J3702),J3702,IF(C3702="Futures",$C$6,$C$5)),""),"")</f>
        <v/>
      </c>
      <c r="I3702" s="139">
        <f>IFERROR(IF(AND(ISNUMBER(F3702),ISNUMBER(H3702)),F3702-H3702,""),"")</f>
        <v/>
      </c>
      <c r="J3702" s="114" t="n"/>
      <c r="K3702" s="139">
        <f>IFERROR(IF(H3702&gt;0,H3702*$C$7,""),"")</f>
        <v/>
      </c>
      <c r="L3702" s="139">
        <f>IFERROR(IF(ISNUMBER(F3702),F3702-IF(ISNUMBER(K3702),K3702,0),""),"")</f>
        <v/>
      </c>
    </row>
    <row r="3703" ht="24" customHeight="1" s="63">
      <c r="E3703" s="139" t="n"/>
      <c r="F3703" s="139" t="n"/>
      <c r="G3703" s="140">
        <f>IFERROR(IF(E3703&gt;0,(F3703/E3703)*1000,""),"")</f>
        <v/>
      </c>
      <c r="H3703" s="139">
        <f>IFERROR(IF(E3703&gt;0,E3703*IF(ISNUMBER(J3703),J3703,IF(C3703="Futures",$C$6,$C$5)),""),"")</f>
        <v/>
      </c>
      <c r="I3703" s="139">
        <f>IFERROR(IF(AND(ISNUMBER(F3703),ISNUMBER(H3703)),F3703-H3703,""),"")</f>
        <v/>
      </c>
      <c r="J3703" s="114" t="n"/>
      <c r="K3703" s="139">
        <f>IFERROR(IF(H3703&gt;0,H3703*$C$7,""),"")</f>
        <v/>
      </c>
      <c r="L3703" s="139">
        <f>IFERROR(IF(ISNUMBER(F3703),F3703-IF(ISNUMBER(K3703),K3703,0),""),"")</f>
        <v/>
      </c>
    </row>
    <row r="3704" ht="24" customHeight="1" s="63">
      <c r="E3704" s="139" t="n"/>
      <c r="F3704" s="139" t="n"/>
      <c r="G3704" s="140">
        <f>IFERROR(IF(E3704&gt;0,(F3704/E3704)*1000,""),"")</f>
        <v/>
      </c>
      <c r="H3704" s="139">
        <f>IFERROR(IF(E3704&gt;0,E3704*IF(ISNUMBER(J3704),J3704,IF(C3704="Futures",$C$6,$C$5)),""),"")</f>
        <v/>
      </c>
      <c r="I3704" s="139">
        <f>IFERROR(IF(AND(ISNUMBER(F3704),ISNUMBER(H3704)),F3704-H3704,""),"")</f>
        <v/>
      </c>
      <c r="J3704" s="114" t="n"/>
      <c r="K3704" s="139">
        <f>IFERROR(IF(H3704&gt;0,H3704*$C$7,""),"")</f>
        <v/>
      </c>
      <c r="L3704" s="139">
        <f>IFERROR(IF(ISNUMBER(F3704),F3704-IF(ISNUMBER(K3704),K3704,0),""),"")</f>
        <v/>
      </c>
    </row>
    <row r="3705" ht="24" customHeight="1" s="63">
      <c r="E3705" s="139" t="n"/>
      <c r="F3705" s="139" t="n"/>
      <c r="G3705" s="140">
        <f>IFERROR(IF(E3705&gt;0,(F3705/E3705)*1000,""),"")</f>
        <v/>
      </c>
      <c r="H3705" s="139">
        <f>IFERROR(IF(E3705&gt;0,E3705*IF(ISNUMBER(J3705),J3705,IF(C3705="Futures",$C$6,$C$5)),""),"")</f>
        <v/>
      </c>
      <c r="I3705" s="139">
        <f>IFERROR(IF(AND(ISNUMBER(F3705),ISNUMBER(H3705)),F3705-H3705,""),"")</f>
        <v/>
      </c>
      <c r="J3705" s="114" t="n"/>
      <c r="K3705" s="139">
        <f>IFERROR(IF(H3705&gt;0,H3705*$C$7,""),"")</f>
        <v/>
      </c>
      <c r="L3705" s="139">
        <f>IFERROR(IF(ISNUMBER(F3705),F3705-IF(ISNUMBER(K3705),K3705,0),""),"")</f>
        <v/>
      </c>
    </row>
    <row r="3706" ht="24" customHeight="1" s="63">
      <c r="E3706" s="139" t="n"/>
      <c r="F3706" s="139" t="n"/>
      <c r="G3706" s="140">
        <f>IFERROR(IF(E3706&gt;0,(F3706/E3706)*1000,""),"")</f>
        <v/>
      </c>
      <c r="H3706" s="139">
        <f>IFERROR(IF(E3706&gt;0,E3706*IF(ISNUMBER(J3706),J3706,IF(C3706="Futures",$C$6,$C$5)),""),"")</f>
        <v/>
      </c>
      <c r="I3706" s="139">
        <f>IFERROR(IF(AND(ISNUMBER(F3706),ISNUMBER(H3706)),F3706-H3706,""),"")</f>
        <v/>
      </c>
      <c r="J3706" s="114" t="n"/>
      <c r="K3706" s="139">
        <f>IFERROR(IF(H3706&gt;0,H3706*$C$7,""),"")</f>
        <v/>
      </c>
      <c r="L3706" s="139">
        <f>IFERROR(IF(ISNUMBER(F3706),F3706-IF(ISNUMBER(K3706),K3706,0),""),"")</f>
        <v/>
      </c>
    </row>
    <row r="3707" ht="24" customHeight="1" s="63">
      <c r="E3707" s="139" t="n"/>
      <c r="F3707" s="139" t="n"/>
      <c r="G3707" s="140">
        <f>IFERROR(IF(E3707&gt;0,(F3707/E3707)*1000,""),"")</f>
        <v/>
      </c>
      <c r="H3707" s="139">
        <f>IFERROR(IF(E3707&gt;0,E3707*IF(ISNUMBER(J3707),J3707,IF(C3707="Futures",$C$6,$C$5)),""),"")</f>
        <v/>
      </c>
      <c r="I3707" s="139">
        <f>IFERROR(IF(AND(ISNUMBER(F3707),ISNUMBER(H3707)),F3707-H3707,""),"")</f>
        <v/>
      </c>
      <c r="J3707" s="114" t="n"/>
      <c r="K3707" s="139">
        <f>IFERROR(IF(H3707&gt;0,H3707*$C$7,""),"")</f>
        <v/>
      </c>
      <c r="L3707" s="139">
        <f>IFERROR(IF(ISNUMBER(F3707),F3707-IF(ISNUMBER(K3707),K3707,0),""),"")</f>
        <v/>
      </c>
    </row>
    <row r="3708" ht="24" customHeight="1" s="63">
      <c r="E3708" s="139" t="n"/>
      <c r="F3708" s="139" t="n"/>
      <c r="G3708" s="140">
        <f>IFERROR(IF(E3708&gt;0,(F3708/E3708)*1000,""),"")</f>
        <v/>
      </c>
      <c r="H3708" s="139">
        <f>IFERROR(IF(E3708&gt;0,E3708*IF(ISNUMBER(J3708),J3708,IF(C3708="Futures",$C$6,$C$5)),""),"")</f>
        <v/>
      </c>
      <c r="I3708" s="139">
        <f>IFERROR(IF(AND(ISNUMBER(F3708),ISNUMBER(H3708)),F3708-H3708,""),"")</f>
        <v/>
      </c>
      <c r="J3708" s="114" t="n"/>
      <c r="K3708" s="139">
        <f>IFERROR(IF(H3708&gt;0,H3708*$C$7,""),"")</f>
        <v/>
      </c>
      <c r="L3708" s="139">
        <f>IFERROR(IF(ISNUMBER(F3708),F3708-IF(ISNUMBER(K3708),K3708,0),""),"")</f>
        <v/>
      </c>
    </row>
    <row r="3709" ht="24" customHeight="1" s="63">
      <c r="E3709" s="139" t="n"/>
      <c r="F3709" s="139" t="n"/>
      <c r="G3709" s="140">
        <f>IFERROR(IF(E3709&gt;0,(F3709/E3709)*1000,""),"")</f>
        <v/>
      </c>
      <c r="H3709" s="139">
        <f>IFERROR(IF(E3709&gt;0,E3709*IF(ISNUMBER(J3709),J3709,IF(C3709="Futures",$C$6,$C$5)),""),"")</f>
        <v/>
      </c>
      <c r="I3709" s="139">
        <f>IFERROR(IF(AND(ISNUMBER(F3709),ISNUMBER(H3709)),F3709-H3709,""),"")</f>
        <v/>
      </c>
      <c r="J3709" s="114" t="n"/>
      <c r="K3709" s="139">
        <f>IFERROR(IF(H3709&gt;0,H3709*$C$7,""),"")</f>
        <v/>
      </c>
      <c r="L3709" s="139">
        <f>IFERROR(IF(ISNUMBER(F3709),F3709-IF(ISNUMBER(K3709),K3709,0),""),"")</f>
        <v/>
      </c>
    </row>
    <row r="3710" ht="24" customHeight="1" s="63">
      <c r="E3710" s="139" t="n"/>
      <c r="F3710" s="139" t="n"/>
      <c r="G3710" s="140">
        <f>IFERROR(IF(E3710&gt;0,(F3710/E3710)*1000,""),"")</f>
        <v/>
      </c>
      <c r="H3710" s="139">
        <f>IFERROR(IF(E3710&gt;0,E3710*IF(ISNUMBER(J3710),J3710,IF(C3710="Futures",$C$6,$C$5)),""),"")</f>
        <v/>
      </c>
      <c r="I3710" s="139">
        <f>IFERROR(IF(AND(ISNUMBER(F3710),ISNUMBER(H3710)),F3710-H3710,""),"")</f>
        <v/>
      </c>
      <c r="J3710" s="114" t="n"/>
      <c r="K3710" s="139">
        <f>IFERROR(IF(H3710&gt;0,H3710*$C$7,""),"")</f>
        <v/>
      </c>
      <c r="L3710" s="139">
        <f>IFERROR(IF(ISNUMBER(F3710),F3710-IF(ISNUMBER(K3710),K3710,0),""),"")</f>
        <v/>
      </c>
    </row>
    <row r="3711" ht="24" customHeight="1" s="63">
      <c r="E3711" s="139" t="n"/>
      <c r="F3711" s="139" t="n"/>
      <c r="G3711" s="140">
        <f>IFERROR(IF(E3711&gt;0,(F3711/E3711)*1000,""),"")</f>
        <v/>
      </c>
      <c r="H3711" s="139">
        <f>IFERROR(IF(E3711&gt;0,E3711*IF(ISNUMBER(J3711),J3711,IF(C3711="Futures",$C$6,$C$5)),""),"")</f>
        <v/>
      </c>
      <c r="I3711" s="139">
        <f>IFERROR(IF(AND(ISNUMBER(F3711),ISNUMBER(H3711)),F3711-H3711,""),"")</f>
        <v/>
      </c>
      <c r="J3711" s="114" t="n"/>
      <c r="K3711" s="139">
        <f>IFERROR(IF(H3711&gt;0,H3711*$C$7,""),"")</f>
        <v/>
      </c>
      <c r="L3711" s="139">
        <f>IFERROR(IF(ISNUMBER(F3711),F3711-IF(ISNUMBER(K3711),K3711,0),""),"")</f>
        <v/>
      </c>
    </row>
    <row r="3712" ht="24" customHeight="1" s="63">
      <c r="E3712" s="139" t="n"/>
      <c r="F3712" s="139" t="n"/>
      <c r="G3712" s="140">
        <f>IFERROR(IF(E3712&gt;0,(F3712/E3712)*1000,""),"")</f>
        <v/>
      </c>
      <c r="H3712" s="139">
        <f>IFERROR(IF(E3712&gt;0,E3712*IF(ISNUMBER(J3712),J3712,IF(C3712="Futures",$C$6,$C$5)),""),"")</f>
        <v/>
      </c>
      <c r="I3712" s="139">
        <f>IFERROR(IF(AND(ISNUMBER(F3712),ISNUMBER(H3712)),F3712-H3712,""),"")</f>
        <v/>
      </c>
      <c r="J3712" s="114" t="n"/>
      <c r="K3712" s="139">
        <f>IFERROR(IF(H3712&gt;0,H3712*$C$7,""),"")</f>
        <v/>
      </c>
      <c r="L3712" s="139">
        <f>IFERROR(IF(ISNUMBER(F3712),F3712-IF(ISNUMBER(K3712),K3712,0),""),"")</f>
        <v/>
      </c>
    </row>
    <row r="3713" ht="24" customHeight="1" s="63">
      <c r="E3713" s="139" t="n"/>
      <c r="F3713" s="139" t="n"/>
      <c r="G3713" s="140">
        <f>IFERROR(IF(E3713&gt;0,(F3713/E3713)*1000,""),"")</f>
        <v/>
      </c>
      <c r="H3713" s="139">
        <f>IFERROR(IF(E3713&gt;0,E3713*IF(ISNUMBER(J3713),J3713,IF(C3713="Futures",$C$6,$C$5)),""),"")</f>
        <v/>
      </c>
      <c r="I3713" s="139">
        <f>IFERROR(IF(AND(ISNUMBER(F3713),ISNUMBER(H3713)),F3713-H3713,""),"")</f>
        <v/>
      </c>
      <c r="J3713" s="114" t="n"/>
      <c r="K3713" s="139">
        <f>IFERROR(IF(H3713&gt;0,H3713*$C$7,""),"")</f>
        <v/>
      </c>
      <c r="L3713" s="139">
        <f>IFERROR(IF(ISNUMBER(F3713),F3713-IF(ISNUMBER(K3713),K3713,0),""),"")</f>
        <v/>
      </c>
    </row>
    <row r="3714" ht="24" customHeight="1" s="63">
      <c r="E3714" s="139" t="n"/>
      <c r="F3714" s="139" t="n"/>
      <c r="G3714" s="140">
        <f>IFERROR(IF(E3714&gt;0,(F3714/E3714)*1000,""),"")</f>
        <v/>
      </c>
      <c r="H3714" s="139">
        <f>IFERROR(IF(E3714&gt;0,E3714*IF(ISNUMBER(J3714),J3714,IF(C3714="Futures",$C$6,$C$5)),""),"")</f>
        <v/>
      </c>
      <c r="I3714" s="139">
        <f>IFERROR(IF(AND(ISNUMBER(F3714),ISNUMBER(H3714)),F3714-H3714,""),"")</f>
        <v/>
      </c>
      <c r="J3714" s="114" t="n"/>
      <c r="K3714" s="139">
        <f>IFERROR(IF(H3714&gt;0,H3714*$C$7,""),"")</f>
        <v/>
      </c>
      <c r="L3714" s="139">
        <f>IFERROR(IF(ISNUMBER(F3714),F3714-IF(ISNUMBER(K3714),K3714,0),""),"")</f>
        <v/>
      </c>
    </row>
    <row r="3715" ht="24" customHeight="1" s="63">
      <c r="E3715" s="139" t="n"/>
      <c r="F3715" s="139" t="n"/>
      <c r="G3715" s="140">
        <f>IFERROR(IF(E3715&gt;0,(F3715/E3715)*1000,""),"")</f>
        <v/>
      </c>
      <c r="H3715" s="139">
        <f>IFERROR(IF(E3715&gt;0,E3715*IF(ISNUMBER(J3715),J3715,IF(C3715="Futures",$C$6,$C$5)),""),"")</f>
        <v/>
      </c>
      <c r="I3715" s="139">
        <f>IFERROR(IF(AND(ISNUMBER(F3715),ISNUMBER(H3715)),F3715-H3715,""),"")</f>
        <v/>
      </c>
      <c r="J3715" s="114" t="n"/>
      <c r="K3715" s="139">
        <f>IFERROR(IF(H3715&gt;0,H3715*$C$7,""),"")</f>
        <v/>
      </c>
      <c r="L3715" s="139">
        <f>IFERROR(IF(ISNUMBER(F3715),F3715-IF(ISNUMBER(K3715),K3715,0),""),"")</f>
        <v/>
      </c>
    </row>
    <row r="3716" ht="24" customHeight="1" s="63">
      <c r="E3716" s="139" t="n"/>
      <c r="F3716" s="139" t="n"/>
      <c r="G3716" s="140">
        <f>IFERROR(IF(E3716&gt;0,(F3716/E3716)*1000,""),"")</f>
        <v/>
      </c>
      <c r="H3716" s="139">
        <f>IFERROR(IF(E3716&gt;0,E3716*IF(ISNUMBER(J3716),J3716,IF(C3716="Futures",$C$6,$C$5)),""),"")</f>
        <v/>
      </c>
      <c r="I3716" s="139">
        <f>IFERROR(IF(AND(ISNUMBER(F3716),ISNUMBER(H3716)),F3716-H3716,""),"")</f>
        <v/>
      </c>
      <c r="J3716" s="114" t="n"/>
      <c r="K3716" s="139">
        <f>IFERROR(IF(H3716&gt;0,H3716*$C$7,""),"")</f>
        <v/>
      </c>
      <c r="L3716" s="139">
        <f>IFERROR(IF(ISNUMBER(F3716),F3716-IF(ISNUMBER(K3716),K3716,0),""),"")</f>
        <v/>
      </c>
    </row>
    <row r="3717" ht="24" customHeight="1" s="63">
      <c r="E3717" s="139" t="n"/>
      <c r="F3717" s="139" t="n"/>
      <c r="G3717" s="140">
        <f>IFERROR(IF(E3717&gt;0,(F3717/E3717)*1000,""),"")</f>
        <v/>
      </c>
      <c r="H3717" s="139">
        <f>IFERROR(IF(E3717&gt;0,E3717*IF(ISNUMBER(J3717),J3717,IF(C3717="Futures",$C$6,$C$5)),""),"")</f>
        <v/>
      </c>
      <c r="I3717" s="139">
        <f>IFERROR(IF(AND(ISNUMBER(F3717),ISNUMBER(H3717)),F3717-H3717,""),"")</f>
        <v/>
      </c>
      <c r="J3717" s="114" t="n"/>
      <c r="K3717" s="139">
        <f>IFERROR(IF(H3717&gt;0,H3717*$C$7,""),"")</f>
        <v/>
      </c>
      <c r="L3717" s="139">
        <f>IFERROR(IF(ISNUMBER(F3717),F3717-IF(ISNUMBER(K3717),K3717,0),""),"")</f>
        <v/>
      </c>
    </row>
    <row r="3718" ht="24" customHeight="1" s="63">
      <c r="E3718" s="139" t="n"/>
      <c r="F3718" s="139" t="n"/>
      <c r="G3718" s="140">
        <f>IFERROR(IF(E3718&gt;0,(F3718/E3718)*1000,""),"")</f>
        <v/>
      </c>
      <c r="H3718" s="139">
        <f>IFERROR(IF(E3718&gt;0,E3718*IF(ISNUMBER(J3718),J3718,IF(C3718="Futures",$C$6,$C$5)),""),"")</f>
        <v/>
      </c>
      <c r="I3718" s="139">
        <f>IFERROR(IF(AND(ISNUMBER(F3718),ISNUMBER(H3718)),F3718-H3718,""),"")</f>
        <v/>
      </c>
      <c r="J3718" s="114" t="n"/>
      <c r="K3718" s="139">
        <f>IFERROR(IF(H3718&gt;0,H3718*$C$7,""),"")</f>
        <v/>
      </c>
      <c r="L3718" s="139">
        <f>IFERROR(IF(ISNUMBER(F3718),F3718-IF(ISNUMBER(K3718),K3718,0),""),"")</f>
        <v/>
      </c>
    </row>
    <row r="3719" ht="24" customHeight="1" s="63">
      <c r="E3719" s="139" t="n"/>
      <c r="F3719" s="139" t="n"/>
      <c r="G3719" s="140">
        <f>IFERROR(IF(E3719&gt;0,(F3719/E3719)*1000,""),"")</f>
        <v/>
      </c>
      <c r="H3719" s="139">
        <f>IFERROR(IF(E3719&gt;0,E3719*IF(ISNUMBER(J3719),J3719,IF(C3719="Futures",$C$6,$C$5)),""),"")</f>
        <v/>
      </c>
      <c r="I3719" s="139">
        <f>IFERROR(IF(AND(ISNUMBER(F3719),ISNUMBER(H3719)),F3719-H3719,""),"")</f>
        <v/>
      </c>
      <c r="J3719" s="114" t="n"/>
      <c r="K3719" s="139">
        <f>IFERROR(IF(H3719&gt;0,H3719*$C$7,""),"")</f>
        <v/>
      </c>
      <c r="L3719" s="139">
        <f>IFERROR(IF(ISNUMBER(F3719),F3719-IF(ISNUMBER(K3719),K3719,0),""),"")</f>
        <v/>
      </c>
    </row>
    <row r="3720" ht="24" customHeight="1" s="63">
      <c r="E3720" s="139" t="n"/>
      <c r="F3720" s="139" t="n"/>
      <c r="G3720" s="140">
        <f>IFERROR(IF(E3720&gt;0,(F3720/E3720)*1000,""),"")</f>
        <v/>
      </c>
      <c r="H3720" s="139">
        <f>IFERROR(IF(E3720&gt;0,E3720*IF(ISNUMBER(J3720),J3720,IF(C3720="Futures",$C$6,$C$5)),""),"")</f>
        <v/>
      </c>
      <c r="I3720" s="139">
        <f>IFERROR(IF(AND(ISNUMBER(F3720),ISNUMBER(H3720)),F3720-H3720,""),"")</f>
        <v/>
      </c>
      <c r="J3720" s="114" t="n"/>
      <c r="K3720" s="139">
        <f>IFERROR(IF(H3720&gt;0,H3720*$C$7,""),"")</f>
        <v/>
      </c>
      <c r="L3720" s="139">
        <f>IFERROR(IF(ISNUMBER(F3720),F3720-IF(ISNUMBER(K3720),K3720,0),""),"")</f>
        <v/>
      </c>
    </row>
    <row r="3721" ht="24" customHeight="1" s="63">
      <c r="E3721" s="139" t="n"/>
      <c r="F3721" s="139" t="n"/>
      <c r="G3721" s="140">
        <f>IFERROR(IF(E3721&gt;0,(F3721/E3721)*1000,""),"")</f>
        <v/>
      </c>
      <c r="H3721" s="139">
        <f>IFERROR(IF(E3721&gt;0,E3721*IF(ISNUMBER(J3721),J3721,IF(C3721="Futures",$C$6,$C$5)),""),"")</f>
        <v/>
      </c>
      <c r="I3721" s="139">
        <f>IFERROR(IF(AND(ISNUMBER(F3721),ISNUMBER(H3721)),F3721-H3721,""),"")</f>
        <v/>
      </c>
      <c r="J3721" s="114" t="n"/>
      <c r="K3721" s="139">
        <f>IFERROR(IF(H3721&gt;0,H3721*$C$7,""),"")</f>
        <v/>
      </c>
      <c r="L3721" s="139">
        <f>IFERROR(IF(ISNUMBER(F3721),F3721-IF(ISNUMBER(K3721),K3721,0),""),"")</f>
        <v/>
      </c>
    </row>
    <row r="3722" ht="24" customHeight="1" s="63">
      <c r="E3722" s="139" t="n"/>
      <c r="F3722" s="139" t="n"/>
      <c r="G3722" s="140">
        <f>IFERROR(IF(E3722&gt;0,(F3722/E3722)*1000,""),"")</f>
        <v/>
      </c>
      <c r="H3722" s="139">
        <f>IFERROR(IF(E3722&gt;0,E3722*IF(ISNUMBER(J3722),J3722,IF(C3722="Futures",$C$6,$C$5)),""),"")</f>
        <v/>
      </c>
      <c r="I3722" s="139">
        <f>IFERROR(IF(AND(ISNUMBER(F3722),ISNUMBER(H3722)),F3722-H3722,""),"")</f>
        <v/>
      </c>
      <c r="J3722" s="114" t="n"/>
      <c r="K3722" s="139">
        <f>IFERROR(IF(H3722&gt;0,H3722*$C$7,""),"")</f>
        <v/>
      </c>
      <c r="L3722" s="139">
        <f>IFERROR(IF(ISNUMBER(F3722),F3722-IF(ISNUMBER(K3722),K3722,0),""),"")</f>
        <v/>
      </c>
    </row>
    <row r="3723" ht="24" customHeight="1" s="63">
      <c r="E3723" s="139" t="n"/>
      <c r="F3723" s="139" t="n"/>
      <c r="G3723" s="140">
        <f>IFERROR(IF(E3723&gt;0,(F3723/E3723)*1000,""),"")</f>
        <v/>
      </c>
      <c r="H3723" s="139">
        <f>IFERROR(IF(E3723&gt;0,E3723*IF(ISNUMBER(J3723),J3723,IF(C3723="Futures",$C$6,$C$5)),""),"")</f>
        <v/>
      </c>
      <c r="I3723" s="139">
        <f>IFERROR(IF(AND(ISNUMBER(F3723),ISNUMBER(H3723)),F3723-H3723,""),"")</f>
        <v/>
      </c>
      <c r="J3723" s="114" t="n"/>
      <c r="K3723" s="139">
        <f>IFERROR(IF(H3723&gt;0,H3723*$C$7,""),"")</f>
        <v/>
      </c>
      <c r="L3723" s="139">
        <f>IFERROR(IF(ISNUMBER(F3723),F3723-IF(ISNUMBER(K3723),K3723,0),""),"")</f>
        <v/>
      </c>
    </row>
    <row r="3724" ht="24" customHeight="1" s="63">
      <c r="E3724" s="139" t="n"/>
      <c r="F3724" s="139" t="n"/>
      <c r="G3724" s="140">
        <f>IFERROR(IF(E3724&gt;0,(F3724/E3724)*1000,""),"")</f>
        <v/>
      </c>
      <c r="H3724" s="139">
        <f>IFERROR(IF(E3724&gt;0,E3724*IF(ISNUMBER(J3724),J3724,IF(C3724="Futures",$C$6,$C$5)),""),"")</f>
        <v/>
      </c>
      <c r="I3724" s="139">
        <f>IFERROR(IF(AND(ISNUMBER(F3724),ISNUMBER(H3724)),F3724-H3724,""),"")</f>
        <v/>
      </c>
      <c r="J3724" s="114" t="n"/>
      <c r="K3724" s="139">
        <f>IFERROR(IF(H3724&gt;0,H3724*$C$7,""),"")</f>
        <v/>
      </c>
      <c r="L3724" s="139">
        <f>IFERROR(IF(ISNUMBER(F3724),F3724-IF(ISNUMBER(K3724),K3724,0),""),"")</f>
        <v/>
      </c>
    </row>
    <row r="3725" ht="24" customHeight="1" s="63">
      <c r="E3725" s="139" t="n"/>
      <c r="F3725" s="139" t="n"/>
      <c r="G3725" s="140">
        <f>IFERROR(IF(E3725&gt;0,(F3725/E3725)*1000,""),"")</f>
        <v/>
      </c>
      <c r="H3725" s="139">
        <f>IFERROR(IF(E3725&gt;0,E3725*IF(ISNUMBER(J3725),J3725,IF(C3725="Futures",$C$6,$C$5)),""),"")</f>
        <v/>
      </c>
      <c r="I3725" s="139">
        <f>IFERROR(IF(AND(ISNUMBER(F3725),ISNUMBER(H3725)),F3725-H3725,""),"")</f>
        <v/>
      </c>
      <c r="J3725" s="114" t="n"/>
      <c r="K3725" s="139">
        <f>IFERROR(IF(H3725&gt;0,H3725*$C$7,""),"")</f>
        <v/>
      </c>
      <c r="L3725" s="139">
        <f>IFERROR(IF(ISNUMBER(F3725),F3725-IF(ISNUMBER(K3725),K3725,0),""),"")</f>
        <v/>
      </c>
    </row>
    <row r="3726" ht="24" customHeight="1" s="63">
      <c r="E3726" s="139" t="n"/>
      <c r="F3726" s="139" t="n"/>
      <c r="G3726" s="140">
        <f>IFERROR(IF(E3726&gt;0,(F3726/E3726)*1000,""),"")</f>
        <v/>
      </c>
      <c r="H3726" s="139">
        <f>IFERROR(IF(E3726&gt;0,E3726*IF(ISNUMBER(J3726),J3726,IF(C3726="Futures",$C$6,$C$5)),""),"")</f>
        <v/>
      </c>
      <c r="I3726" s="139">
        <f>IFERROR(IF(AND(ISNUMBER(F3726),ISNUMBER(H3726)),F3726-H3726,""),"")</f>
        <v/>
      </c>
      <c r="J3726" s="114" t="n"/>
      <c r="K3726" s="139">
        <f>IFERROR(IF(H3726&gt;0,H3726*$C$7,""),"")</f>
        <v/>
      </c>
      <c r="L3726" s="139">
        <f>IFERROR(IF(ISNUMBER(F3726),F3726-IF(ISNUMBER(K3726),K3726,0),""),"")</f>
        <v/>
      </c>
    </row>
    <row r="3727" ht="24" customHeight="1" s="63">
      <c r="E3727" s="139" t="n"/>
      <c r="F3727" s="139" t="n"/>
      <c r="G3727" s="140">
        <f>IFERROR(IF(E3727&gt;0,(F3727/E3727)*1000,""),"")</f>
        <v/>
      </c>
      <c r="H3727" s="139">
        <f>IFERROR(IF(E3727&gt;0,E3727*IF(ISNUMBER(J3727),J3727,IF(C3727="Futures",$C$6,$C$5)),""),"")</f>
        <v/>
      </c>
      <c r="I3727" s="139">
        <f>IFERROR(IF(AND(ISNUMBER(F3727),ISNUMBER(H3727)),F3727-H3727,""),"")</f>
        <v/>
      </c>
      <c r="J3727" s="114" t="n"/>
      <c r="K3727" s="139">
        <f>IFERROR(IF(H3727&gt;0,H3727*$C$7,""),"")</f>
        <v/>
      </c>
      <c r="L3727" s="139">
        <f>IFERROR(IF(ISNUMBER(F3727),F3727-IF(ISNUMBER(K3727),K3727,0),""),"")</f>
        <v/>
      </c>
    </row>
    <row r="3728" ht="24" customHeight="1" s="63">
      <c r="E3728" s="139" t="n"/>
      <c r="F3728" s="139" t="n"/>
      <c r="G3728" s="140">
        <f>IFERROR(IF(E3728&gt;0,(F3728/E3728)*1000,""),"")</f>
        <v/>
      </c>
      <c r="H3728" s="139">
        <f>IFERROR(IF(E3728&gt;0,E3728*IF(ISNUMBER(J3728),J3728,IF(C3728="Futures",$C$6,$C$5)),""),"")</f>
        <v/>
      </c>
      <c r="I3728" s="139">
        <f>IFERROR(IF(AND(ISNUMBER(F3728),ISNUMBER(H3728)),F3728-H3728,""),"")</f>
        <v/>
      </c>
      <c r="J3728" s="114" t="n"/>
      <c r="K3728" s="139">
        <f>IFERROR(IF(H3728&gt;0,H3728*$C$7,""),"")</f>
        <v/>
      </c>
      <c r="L3728" s="139">
        <f>IFERROR(IF(ISNUMBER(F3728),F3728-IF(ISNUMBER(K3728),K3728,0),""),"")</f>
        <v/>
      </c>
    </row>
    <row r="3729" ht="24" customHeight="1" s="63">
      <c r="E3729" s="139" t="n"/>
      <c r="F3729" s="139" t="n"/>
      <c r="G3729" s="140">
        <f>IFERROR(IF(E3729&gt;0,(F3729/E3729)*1000,""),"")</f>
        <v/>
      </c>
      <c r="H3729" s="139">
        <f>IFERROR(IF(E3729&gt;0,E3729*IF(ISNUMBER(J3729),J3729,IF(C3729="Futures",$C$6,$C$5)),""),"")</f>
        <v/>
      </c>
      <c r="I3729" s="139">
        <f>IFERROR(IF(AND(ISNUMBER(F3729),ISNUMBER(H3729)),F3729-H3729,""),"")</f>
        <v/>
      </c>
      <c r="J3729" s="114" t="n"/>
      <c r="K3729" s="139">
        <f>IFERROR(IF(H3729&gt;0,H3729*$C$7,""),"")</f>
        <v/>
      </c>
      <c r="L3729" s="139">
        <f>IFERROR(IF(ISNUMBER(F3729),F3729-IF(ISNUMBER(K3729),K3729,0),""),"")</f>
        <v/>
      </c>
    </row>
    <row r="3730" ht="24" customHeight="1" s="63">
      <c r="E3730" s="139" t="n"/>
      <c r="F3730" s="139" t="n"/>
      <c r="G3730" s="140">
        <f>IFERROR(IF(E3730&gt;0,(F3730/E3730)*1000,""),"")</f>
        <v/>
      </c>
      <c r="H3730" s="139">
        <f>IFERROR(IF(E3730&gt;0,E3730*IF(ISNUMBER(J3730),J3730,IF(C3730="Futures",$C$6,$C$5)),""),"")</f>
        <v/>
      </c>
      <c r="I3730" s="139">
        <f>IFERROR(IF(AND(ISNUMBER(F3730),ISNUMBER(H3730)),F3730-H3730,""),"")</f>
        <v/>
      </c>
      <c r="J3730" s="114" t="n"/>
      <c r="K3730" s="139">
        <f>IFERROR(IF(H3730&gt;0,H3730*$C$7,""),"")</f>
        <v/>
      </c>
      <c r="L3730" s="139">
        <f>IFERROR(IF(ISNUMBER(F3730),F3730-IF(ISNUMBER(K3730),K3730,0),""),"")</f>
        <v/>
      </c>
    </row>
    <row r="3731" ht="24" customHeight="1" s="63">
      <c r="E3731" s="139" t="n"/>
      <c r="F3731" s="139" t="n"/>
      <c r="G3731" s="140">
        <f>IFERROR(IF(E3731&gt;0,(F3731/E3731)*1000,""),"")</f>
        <v/>
      </c>
      <c r="H3731" s="139">
        <f>IFERROR(IF(E3731&gt;0,E3731*IF(ISNUMBER(J3731),J3731,IF(C3731="Futures",$C$6,$C$5)),""),"")</f>
        <v/>
      </c>
      <c r="I3731" s="139">
        <f>IFERROR(IF(AND(ISNUMBER(F3731),ISNUMBER(H3731)),F3731-H3731,""),"")</f>
        <v/>
      </c>
      <c r="J3731" s="114" t="n"/>
      <c r="K3731" s="139">
        <f>IFERROR(IF(H3731&gt;0,H3731*$C$7,""),"")</f>
        <v/>
      </c>
      <c r="L3731" s="139">
        <f>IFERROR(IF(ISNUMBER(F3731),F3731-IF(ISNUMBER(K3731),K3731,0),""),"")</f>
        <v/>
      </c>
    </row>
    <row r="3732" ht="24" customHeight="1" s="63">
      <c r="E3732" s="139" t="n"/>
      <c r="F3732" s="139" t="n"/>
      <c r="G3732" s="140">
        <f>IFERROR(IF(E3732&gt;0,(F3732/E3732)*1000,""),"")</f>
        <v/>
      </c>
      <c r="H3732" s="139">
        <f>IFERROR(IF(E3732&gt;0,E3732*IF(ISNUMBER(J3732),J3732,IF(C3732="Futures",$C$6,$C$5)),""),"")</f>
        <v/>
      </c>
      <c r="I3732" s="139">
        <f>IFERROR(IF(AND(ISNUMBER(F3732),ISNUMBER(H3732)),F3732-H3732,""),"")</f>
        <v/>
      </c>
      <c r="J3732" s="114" t="n"/>
      <c r="K3732" s="139">
        <f>IFERROR(IF(H3732&gt;0,H3732*$C$7,""),"")</f>
        <v/>
      </c>
      <c r="L3732" s="139">
        <f>IFERROR(IF(ISNUMBER(F3732),F3732-IF(ISNUMBER(K3732),K3732,0),""),"")</f>
        <v/>
      </c>
    </row>
    <row r="3733" ht="24" customHeight="1" s="63">
      <c r="E3733" s="139" t="n"/>
      <c r="F3733" s="139" t="n"/>
      <c r="G3733" s="140">
        <f>IFERROR(IF(E3733&gt;0,(F3733/E3733)*1000,""),"")</f>
        <v/>
      </c>
      <c r="H3733" s="139">
        <f>IFERROR(IF(E3733&gt;0,E3733*IF(ISNUMBER(J3733),J3733,IF(C3733="Futures",$C$6,$C$5)),""),"")</f>
        <v/>
      </c>
      <c r="I3733" s="139">
        <f>IFERROR(IF(AND(ISNUMBER(F3733),ISNUMBER(H3733)),F3733-H3733,""),"")</f>
        <v/>
      </c>
      <c r="J3733" s="114" t="n"/>
      <c r="K3733" s="139">
        <f>IFERROR(IF(H3733&gt;0,H3733*$C$7,""),"")</f>
        <v/>
      </c>
      <c r="L3733" s="139">
        <f>IFERROR(IF(ISNUMBER(F3733),F3733-IF(ISNUMBER(K3733),K3733,0),""),"")</f>
        <v/>
      </c>
    </row>
    <row r="3734" ht="24" customHeight="1" s="63">
      <c r="E3734" s="139" t="n"/>
      <c r="F3734" s="139" t="n"/>
      <c r="G3734" s="140">
        <f>IFERROR(IF(E3734&gt;0,(F3734/E3734)*1000,""),"")</f>
        <v/>
      </c>
      <c r="H3734" s="139">
        <f>IFERROR(IF(E3734&gt;0,E3734*IF(ISNUMBER(J3734),J3734,IF(C3734="Futures",$C$6,$C$5)),""),"")</f>
        <v/>
      </c>
      <c r="I3734" s="139">
        <f>IFERROR(IF(AND(ISNUMBER(F3734),ISNUMBER(H3734)),F3734-H3734,""),"")</f>
        <v/>
      </c>
      <c r="J3734" s="114" t="n"/>
      <c r="K3734" s="139">
        <f>IFERROR(IF(H3734&gt;0,H3734*$C$7,""),"")</f>
        <v/>
      </c>
      <c r="L3734" s="139">
        <f>IFERROR(IF(ISNUMBER(F3734),F3734-IF(ISNUMBER(K3734),K3734,0),""),"")</f>
        <v/>
      </c>
    </row>
    <row r="3735" ht="24" customHeight="1" s="63">
      <c r="E3735" s="139" t="n"/>
      <c r="F3735" s="139" t="n"/>
      <c r="G3735" s="140">
        <f>IFERROR(IF(E3735&gt;0,(F3735/E3735)*1000,""),"")</f>
        <v/>
      </c>
      <c r="H3735" s="139">
        <f>IFERROR(IF(E3735&gt;0,E3735*IF(ISNUMBER(J3735),J3735,IF(C3735="Futures",$C$6,$C$5)),""),"")</f>
        <v/>
      </c>
      <c r="I3735" s="139">
        <f>IFERROR(IF(AND(ISNUMBER(F3735),ISNUMBER(H3735)),F3735-H3735,""),"")</f>
        <v/>
      </c>
      <c r="J3735" s="114" t="n"/>
      <c r="K3735" s="139">
        <f>IFERROR(IF(H3735&gt;0,H3735*$C$7,""),"")</f>
        <v/>
      </c>
      <c r="L3735" s="139">
        <f>IFERROR(IF(ISNUMBER(F3735),F3735-IF(ISNUMBER(K3735),K3735,0),""),"")</f>
        <v/>
      </c>
    </row>
    <row r="3736" ht="24" customHeight="1" s="63">
      <c r="E3736" s="139" t="n"/>
      <c r="F3736" s="139" t="n"/>
      <c r="G3736" s="140">
        <f>IFERROR(IF(E3736&gt;0,(F3736/E3736)*1000,""),"")</f>
        <v/>
      </c>
      <c r="H3736" s="139">
        <f>IFERROR(IF(E3736&gt;0,E3736*IF(ISNUMBER(J3736),J3736,IF(C3736="Futures",$C$6,$C$5)),""),"")</f>
        <v/>
      </c>
      <c r="I3736" s="139">
        <f>IFERROR(IF(AND(ISNUMBER(F3736),ISNUMBER(H3736)),F3736-H3736,""),"")</f>
        <v/>
      </c>
      <c r="J3736" s="114" t="n"/>
      <c r="K3736" s="139">
        <f>IFERROR(IF(H3736&gt;0,H3736*$C$7,""),"")</f>
        <v/>
      </c>
      <c r="L3736" s="139">
        <f>IFERROR(IF(ISNUMBER(F3736),F3736-IF(ISNUMBER(K3736),K3736,0),""),"")</f>
        <v/>
      </c>
    </row>
    <row r="3737" ht="24" customHeight="1" s="63">
      <c r="E3737" s="139" t="n"/>
      <c r="F3737" s="139" t="n"/>
      <c r="G3737" s="140">
        <f>IFERROR(IF(E3737&gt;0,(F3737/E3737)*1000,""),"")</f>
        <v/>
      </c>
      <c r="H3737" s="139">
        <f>IFERROR(IF(E3737&gt;0,E3737*IF(ISNUMBER(J3737),J3737,IF(C3737="Futures",$C$6,$C$5)),""),"")</f>
        <v/>
      </c>
      <c r="I3737" s="139">
        <f>IFERROR(IF(AND(ISNUMBER(F3737),ISNUMBER(H3737)),F3737-H3737,""),"")</f>
        <v/>
      </c>
      <c r="J3737" s="114" t="n"/>
      <c r="K3737" s="139">
        <f>IFERROR(IF(H3737&gt;0,H3737*$C$7,""),"")</f>
        <v/>
      </c>
      <c r="L3737" s="139">
        <f>IFERROR(IF(ISNUMBER(F3737),F3737-IF(ISNUMBER(K3737),K3737,0),""),"")</f>
        <v/>
      </c>
    </row>
    <row r="3738" ht="24" customHeight="1" s="63">
      <c r="E3738" s="139" t="n"/>
      <c r="F3738" s="139" t="n"/>
      <c r="G3738" s="140">
        <f>IFERROR(IF(E3738&gt;0,(F3738/E3738)*1000,""),"")</f>
        <v/>
      </c>
      <c r="H3738" s="139">
        <f>IFERROR(IF(E3738&gt;0,E3738*IF(ISNUMBER(J3738),J3738,IF(C3738="Futures",$C$6,$C$5)),""),"")</f>
        <v/>
      </c>
      <c r="I3738" s="139">
        <f>IFERROR(IF(AND(ISNUMBER(F3738),ISNUMBER(H3738)),F3738-H3738,""),"")</f>
        <v/>
      </c>
      <c r="J3738" s="114" t="n"/>
      <c r="K3738" s="139">
        <f>IFERROR(IF(H3738&gt;0,H3738*$C$7,""),"")</f>
        <v/>
      </c>
      <c r="L3738" s="139">
        <f>IFERROR(IF(ISNUMBER(F3738),F3738-IF(ISNUMBER(K3738),K3738,0),""),"")</f>
        <v/>
      </c>
    </row>
    <row r="3739" ht="24" customHeight="1" s="63">
      <c r="E3739" s="139" t="n"/>
      <c r="F3739" s="139" t="n"/>
      <c r="G3739" s="140">
        <f>IFERROR(IF(E3739&gt;0,(F3739/E3739)*1000,""),"")</f>
        <v/>
      </c>
      <c r="H3739" s="139">
        <f>IFERROR(IF(E3739&gt;0,E3739*IF(ISNUMBER(J3739),J3739,IF(C3739="Futures",$C$6,$C$5)),""),"")</f>
        <v/>
      </c>
      <c r="I3739" s="139">
        <f>IFERROR(IF(AND(ISNUMBER(F3739),ISNUMBER(H3739)),F3739-H3739,""),"")</f>
        <v/>
      </c>
      <c r="J3739" s="114" t="n"/>
      <c r="K3739" s="139">
        <f>IFERROR(IF(H3739&gt;0,H3739*$C$7,""),"")</f>
        <v/>
      </c>
      <c r="L3739" s="139">
        <f>IFERROR(IF(ISNUMBER(F3739),F3739-IF(ISNUMBER(K3739),K3739,0),""),"")</f>
        <v/>
      </c>
    </row>
    <row r="3740" ht="24" customHeight="1" s="63">
      <c r="E3740" s="139" t="n"/>
      <c r="F3740" s="139" t="n"/>
      <c r="G3740" s="140">
        <f>IFERROR(IF(E3740&gt;0,(F3740/E3740)*1000,""),"")</f>
        <v/>
      </c>
      <c r="H3740" s="139">
        <f>IFERROR(IF(E3740&gt;0,E3740*IF(ISNUMBER(J3740),J3740,IF(C3740="Futures",$C$6,$C$5)),""),"")</f>
        <v/>
      </c>
      <c r="I3740" s="139">
        <f>IFERROR(IF(AND(ISNUMBER(F3740),ISNUMBER(H3740)),F3740-H3740,""),"")</f>
        <v/>
      </c>
      <c r="J3740" s="114" t="n"/>
      <c r="K3740" s="139">
        <f>IFERROR(IF(H3740&gt;0,H3740*$C$7,""),"")</f>
        <v/>
      </c>
      <c r="L3740" s="139">
        <f>IFERROR(IF(ISNUMBER(F3740),F3740-IF(ISNUMBER(K3740),K3740,0),""),"")</f>
        <v/>
      </c>
    </row>
    <row r="3741" ht="24" customHeight="1" s="63">
      <c r="E3741" s="139" t="n"/>
      <c r="F3741" s="139" t="n"/>
      <c r="G3741" s="140">
        <f>IFERROR(IF(E3741&gt;0,(F3741/E3741)*1000,""),"")</f>
        <v/>
      </c>
      <c r="H3741" s="139">
        <f>IFERROR(IF(E3741&gt;0,E3741*IF(ISNUMBER(J3741),J3741,IF(C3741="Futures",$C$6,$C$5)),""),"")</f>
        <v/>
      </c>
      <c r="I3741" s="139">
        <f>IFERROR(IF(AND(ISNUMBER(F3741),ISNUMBER(H3741)),F3741-H3741,""),"")</f>
        <v/>
      </c>
      <c r="J3741" s="114" t="n"/>
      <c r="K3741" s="139">
        <f>IFERROR(IF(H3741&gt;0,H3741*$C$7,""),"")</f>
        <v/>
      </c>
      <c r="L3741" s="139">
        <f>IFERROR(IF(ISNUMBER(F3741),F3741-IF(ISNUMBER(K3741),K3741,0),""),"")</f>
        <v/>
      </c>
    </row>
    <row r="3742" ht="24" customHeight="1" s="63">
      <c r="E3742" s="139" t="n"/>
      <c r="F3742" s="139" t="n"/>
      <c r="G3742" s="140">
        <f>IFERROR(IF(E3742&gt;0,(F3742/E3742)*1000,""),"")</f>
        <v/>
      </c>
      <c r="H3742" s="139">
        <f>IFERROR(IF(E3742&gt;0,E3742*IF(ISNUMBER(J3742),J3742,IF(C3742="Futures",$C$6,$C$5)),""),"")</f>
        <v/>
      </c>
      <c r="I3742" s="139">
        <f>IFERROR(IF(AND(ISNUMBER(F3742),ISNUMBER(H3742)),F3742-H3742,""),"")</f>
        <v/>
      </c>
      <c r="J3742" s="114" t="n"/>
      <c r="K3742" s="139">
        <f>IFERROR(IF(H3742&gt;0,H3742*$C$7,""),"")</f>
        <v/>
      </c>
      <c r="L3742" s="139">
        <f>IFERROR(IF(ISNUMBER(F3742),F3742-IF(ISNUMBER(K3742),K3742,0),""),"")</f>
        <v/>
      </c>
    </row>
    <row r="3743" ht="24" customHeight="1" s="63">
      <c r="E3743" s="139" t="n"/>
      <c r="F3743" s="139" t="n"/>
      <c r="G3743" s="140">
        <f>IFERROR(IF(E3743&gt;0,(F3743/E3743)*1000,""),"")</f>
        <v/>
      </c>
      <c r="H3743" s="139">
        <f>IFERROR(IF(E3743&gt;0,E3743*IF(ISNUMBER(J3743),J3743,IF(C3743="Futures",$C$6,$C$5)),""),"")</f>
        <v/>
      </c>
      <c r="I3743" s="139">
        <f>IFERROR(IF(AND(ISNUMBER(F3743),ISNUMBER(H3743)),F3743-H3743,""),"")</f>
        <v/>
      </c>
      <c r="J3743" s="114" t="n"/>
      <c r="K3743" s="139">
        <f>IFERROR(IF(H3743&gt;0,H3743*$C$7,""),"")</f>
        <v/>
      </c>
      <c r="L3743" s="139">
        <f>IFERROR(IF(ISNUMBER(F3743),F3743-IF(ISNUMBER(K3743),K3743,0),""),"")</f>
        <v/>
      </c>
    </row>
    <row r="3744" ht="24" customHeight="1" s="63">
      <c r="E3744" s="139" t="n"/>
      <c r="F3744" s="139" t="n"/>
      <c r="G3744" s="140">
        <f>IFERROR(IF(E3744&gt;0,(F3744/E3744)*1000,""),"")</f>
        <v/>
      </c>
      <c r="H3744" s="139">
        <f>IFERROR(IF(E3744&gt;0,E3744*IF(ISNUMBER(J3744),J3744,IF(C3744="Futures",$C$6,$C$5)),""),"")</f>
        <v/>
      </c>
      <c r="I3744" s="139">
        <f>IFERROR(IF(AND(ISNUMBER(F3744),ISNUMBER(H3744)),F3744-H3744,""),"")</f>
        <v/>
      </c>
      <c r="J3744" s="114" t="n"/>
      <c r="K3744" s="139">
        <f>IFERROR(IF(H3744&gt;0,H3744*$C$7,""),"")</f>
        <v/>
      </c>
      <c r="L3744" s="139">
        <f>IFERROR(IF(ISNUMBER(F3744),F3744-IF(ISNUMBER(K3744),K3744,0),""),"")</f>
        <v/>
      </c>
    </row>
    <row r="3745" ht="24" customHeight="1" s="63">
      <c r="E3745" s="139" t="n"/>
      <c r="F3745" s="139" t="n"/>
      <c r="G3745" s="140">
        <f>IFERROR(IF(E3745&gt;0,(F3745/E3745)*1000,""),"")</f>
        <v/>
      </c>
      <c r="H3745" s="139">
        <f>IFERROR(IF(E3745&gt;0,E3745*IF(ISNUMBER(J3745),J3745,IF(C3745="Futures",$C$6,$C$5)),""),"")</f>
        <v/>
      </c>
      <c r="I3745" s="139">
        <f>IFERROR(IF(AND(ISNUMBER(F3745),ISNUMBER(H3745)),F3745-H3745,""),"")</f>
        <v/>
      </c>
      <c r="J3745" s="114" t="n"/>
      <c r="K3745" s="139">
        <f>IFERROR(IF(H3745&gt;0,H3745*$C$7,""),"")</f>
        <v/>
      </c>
      <c r="L3745" s="139">
        <f>IFERROR(IF(ISNUMBER(F3745),F3745-IF(ISNUMBER(K3745),K3745,0),""),"")</f>
        <v/>
      </c>
    </row>
    <row r="3746" ht="24" customHeight="1" s="63">
      <c r="E3746" s="139" t="n"/>
      <c r="F3746" s="139" t="n"/>
      <c r="G3746" s="140">
        <f>IFERROR(IF(E3746&gt;0,(F3746/E3746)*1000,""),"")</f>
        <v/>
      </c>
      <c r="H3746" s="139">
        <f>IFERROR(IF(E3746&gt;0,E3746*IF(ISNUMBER(J3746),J3746,IF(C3746="Futures",$C$6,$C$5)),""),"")</f>
        <v/>
      </c>
      <c r="I3746" s="139">
        <f>IFERROR(IF(AND(ISNUMBER(F3746),ISNUMBER(H3746)),F3746-H3746,""),"")</f>
        <v/>
      </c>
      <c r="J3746" s="114" t="n"/>
      <c r="K3746" s="139">
        <f>IFERROR(IF(H3746&gt;0,H3746*$C$7,""),"")</f>
        <v/>
      </c>
      <c r="L3746" s="139">
        <f>IFERROR(IF(ISNUMBER(F3746),F3746-IF(ISNUMBER(K3746),K3746,0),""),"")</f>
        <v/>
      </c>
    </row>
    <row r="3747" ht="24" customHeight="1" s="63">
      <c r="E3747" s="139" t="n"/>
      <c r="F3747" s="139" t="n"/>
      <c r="G3747" s="140">
        <f>IFERROR(IF(E3747&gt;0,(F3747/E3747)*1000,""),"")</f>
        <v/>
      </c>
      <c r="H3747" s="139">
        <f>IFERROR(IF(E3747&gt;0,E3747*IF(ISNUMBER(J3747),J3747,IF(C3747="Futures",$C$6,$C$5)),""),"")</f>
        <v/>
      </c>
      <c r="I3747" s="139">
        <f>IFERROR(IF(AND(ISNUMBER(F3747),ISNUMBER(H3747)),F3747-H3747,""),"")</f>
        <v/>
      </c>
      <c r="J3747" s="114" t="n"/>
      <c r="K3747" s="139">
        <f>IFERROR(IF(H3747&gt;0,H3747*$C$7,""),"")</f>
        <v/>
      </c>
      <c r="L3747" s="139">
        <f>IFERROR(IF(ISNUMBER(F3747),F3747-IF(ISNUMBER(K3747),K3747,0),""),"")</f>
        <v/>
      </c>
    </row>
    <row r="3748" ht="24" customHeight="1" s="63">
      <c r="E3748" s="139" t="n"/>
      <c r="F3748" s="139" t="n"/>
      <c r="G3748" s="140">
        <f>IFERROR(IF(E3748&gt;0,(F3748/E3748)*1000,""),"")</f>
        <v/>
      </c>
      <c r="H3748" s="139">
        <f>IFERROR(IF(E3748&gt;0,E3748*IF(ISNUMBER(J3748),J3748,IF(C3748="Futures",$C$6,$C$5)),""),"")</f>
        <v/>
      </c>
      <c r="I3748" s="139">
        <f>IFERROR(IF(AND(ISNUMBER(F3748),ISNUMBER(H3748)),F3748-H3748,""),"")</f>
        <v/>
      </c>
      <c r="J3748" s="114" t="n"/>
      <c r="K3748" s="139">
        <f>IFERROR(IF(H3748&gt;0,H3748*$C$7,""),"")</f>
        <v/>
      </c>
      <c r="L3748" s="139">
        <f>IFERROR(IF(ISNUMBER(F3748),F3748-IF(ISNUMBER(K3748),K3748,0),""),"")</f>
        <v/>
      </c>
    </row>
    <row r="3749" ht="24" customHeight="1" s="63">
      <c r="E3749" s="139" t="n"/>
      <c r="F3749" s="139" t="n"/>
      <c r="G3749" s="140">
        <f>IFERROR(IF(E3749&gt;0,(F3749/E3749)*1000,""),"")</f>
        <v/>
      </c>
      <c r="H3749" s="139">
        <f>IFERROR(IF(E3749&gt;0,E3749*IF(ISNUMBER(J3749),J3749,IF(C3749="Futures",$C$6,$C$5)),""),"")</f>
        <v/>
      </c>
      <c r="I3749" s="139">
        <f>IFERROR(IF(AND(ISNUMBER(F3749),ISNUMBER(H3749)),F3749-H3749,""),"")</f>
        <v/>
      </c>
      <c r="J3749" s="114" t="n"/>
      <c r="K3749" s="139">
        <f>IFERROR(IF(H3749&gt;0,H3749*$C$7,""),"")</f>
        <v/>
      </c>
      <c r="L3749" s="139">
        <f>IFERROR(IF(ISNUMBER(F3749),F3749-IF(ISNUMBER(K3749),K3749,0),""),"")</f>
        <v/>
      </c>
    </row>
    <row r="3750" ht="24" customHeight="1" s="63">
      <c r="E3750" s="139" t="n"/>
      <c r="F3750" s="139" t="n"/>
      <c r="G3750" s="140">
        <f>IFERROR(IF(E3750&gt;0,(F3750/E3750)*1000,""),"")</f>
        <v/>
      </c>
      <c r="H3750" s="139">
        <f>IFERROR(IF(E3750&gt;0,E3750*IF(ISNUMBER(J3750),J3750,IF(C3750="Futures",$C$6,$C$5)),""),"")</f>
        <v/>
      </c>
      <c r="I3750" s="139">
        <f>IFERROR(IF(AND(ISNUMBER(F3750),ISNUMBER(H3750)),F3750-H3750,""),"")</f>
        <v/>
      </c>
      <c r="J3750" s="114" t="n"/>
      <c r="K3750" s="139">
        <f>IFERROR(IF(H3750&gt;0,H3750*$C$7,""),"")</f>
        <v/>
      </c>
      <c r="L3750" s="139">
        <f>IFERROR(IF(ISNUMBER(F3750),F3750-IF(ISNUMBER(K3750),K3750,0),""),"")</f>
        <v/>
      </c>
    </row>
    <row r="3751" ht="24" customHeight="1" s="63">
      <c r="E3751" s="139" t="n"/>
      <c r="F3751" s="139" t="n"/>
      <c r="G3751" s="140">
        <f>IFERROR(IF(E3751&gt;0,(F3751/E3751)*1000,""),"")</f>
        <v/>
      </c>
      <c r="H3751" s="139">
        <f>IFERROR(IF(E3751&gt;0,E3751*IF(ISNUMBER(J3751),J3751,IF(C3751="Futures",$C$6,$C$5)),""),"")</f>
        <v/>
      </c>
      <c r="I3751" s="139">
        <f>IFERROR(IF(AND(ISNUMBER(F3751),ISNUMBER(H3751)),F3751-H3751,""),"")</f>
        <v/>
      </c>
      <c r="J3751" s="114" t="n"/>
      <c r="K3751" s="139">
        <f>IFERROR(IF(H3751&gt;0,H3751*$C$7,""),"")</f>
        <v/>
      </c>
      <c r="L3751" s="139">
        <f>IFERROR(IF(ISNUMBER(F3751),F3751-IF(ISNUMBER(K3751),K3751,0),""),"")</f>
        <v/>
      </c>
    </row>
    <row r="3752" ht="24" customHeight="1" s="63">
      <c r="E3752" s="139" t="n"/>
      <c r="F3752" s="139" t="n"/>
      <c r="G3752" s="140">
        <f>IFERROR(IF(E3752&gt;0,(F3752/E3752)*1000,""),"")</f>
        <v/>
      </c>
      <c r="H3752" s="139">
        <f>IFERROR(IF(E3752&gt;0,E3752*IF(ISNUMBER(J3752),J3752,IF(C3752="Futures",$C$6,$C$5)),""),"")</f>
        <v/>
      </c>
      <c r="I3752" s="139">
        <f>IFERROR(IF(AND(ISNUMBER(F3752),ISNUMBER(H3752)),F3752-H3752,""),"")</f>
        <v/>
      </c>
      <c r="J3752" s="114" t="n"/>
      <c r="K3752" s="139">
        <f>IFERROR(IF(H3752&gt;0,H3752*$C$7,""),"")</f>
        <v/>
      </c>
      <c r="L3752" s="139">
        <f>IFERROR(IF(ISNUMBER(F3752),F3752-IF(ISNUMBER(K3752),K3752,0),""),"")</f>
        <v/>
      </c>
    </row>
    <row r="3753" ht="24" customHeight="1" s="63">
      <c r="E3753" s="139" t="n"/>
      <c r="F3753" s="139" t="n"/>
      <c r="G3753" s="140">
        <f>IFERROR(IF(E3753&gt;0,(F3753/E3753)*1000,""),"")</f>
        <v/>
      </c>
      <c r="H3753" s="139">
        <f>IFERROR(IF(E3753&gt;0,E3753*IF(ISNUMBER(J3753),J3753,IF(C3753="Futures",$C$6,$C$5)),""),"")</f>
        <v/>
      </c>
      <c r="I3753" s="139">
        <f>IFERROR(IF(AND(ISNUMBER(F3753),ISNUMBER(H3753)),F3753-H3753,""),"")</f>
        <v/>
      </c>
      <c r="J3753" s="114" t="n"/>
      <c r="K3753" s="139">
        <f>IFERROR(IF(H3753&gt;0,H3753*$C$7,""),"")</f>
        <v/>
      </c>
      <c r="L3753" s="139">
        <f>IFERROR(IF(ISNUMBER(F3753),F3753-IF(ISNUMBER(K3753),K3753,0),""),"")</f>
        <v/>
      </c>
    </row>
    <row r="3754" ht="24" customHeight="1" s="63">
      <c r="E3754" s="139" t="n"/>
      <c r="F3754" s="139" t="n"/>
      <c r="G3754" s="140">
        <f>IFERROR(IF(E3754&gt;0,(F3754/E3754)*1000,""),"")</f>
        <v/>
      </c>
      <c r="H3754" s="139">
        <f>IFERROR(IF(E3754&gt;0,E3754*IF(ISNUMBER(J3754),J3754,IF(C3754="Futures",$C$6,$C$5)),""),"")</f>
        <v/>
      </c>
      <c r="I3754" s="139">
        <f>IFERROR(IF(AND(ISNUMBER(F3754),ISNUMBER(H3754)),F3754-H3754,""),"")</f>
        <v/>
      </c>
      <c r="J3754" s="114" t="n"/>
      <c r="K3754" s="139">
        <f>IFERROR(IF(H3754&gt;0,H3754*$C$7,""),"")</f>
        <v/>
      </c>
      <c r="L3754" s="139">
        <f>IFERROR(IF(ISNUMBER(F3754),F3754-IF(ISNUMBER(K3754),K3754,0),""),"")</f>
        <v/>
      </c>
    </row>
    <row r="3755" ht="24" customHeight="1" s="63">
      <c r="E3755" s="139" t="n"/>
      <c r="F3755" s="139" t="n"/>
      <c r="G3755" s="140">
        <f>IFERROR(IF(E3755&gt;0,(F3755/E3755)*1000,""),"")</f>
        <v/>
      </c>
      <c r="H3755" s="139">
        <f>IFERROR(IF(E3755&gt;0,E3755*IF(ISNUMBER(J3755),J3755,IF(C3755="Futures",$C$6,$C$5)),""),"")</f>
        <v/>
      </c>
      <c r="I3755" s="139">
        <f>IFERROR(IF(AND(ISNUMBER(F3755),ISNUMBER(H3755)),F3755-H3755,""),"")</f>
        <v/>
      </c>
      <c r="J3755" s="114" t="n"/>
      <c r="K3755" s="139">
        <f>IFERROR(IF(H3755&gt;0,H3755*$C$7,""),"")</f>
        <v/>
      </c>
      <c r="L3755" s="139">
        <f>IFERROR(IF(ISNUMBER(F3755),F3755-IF(ISNUMBER(K3755),K3755,0),""),"")</f>
        <v/>
      </c>
    </row>
    <row r="3756" ht="24" customHeight="1" s="63">
      <c r="E3756" s="139" t="n"/>
      <c r="F3756" s="139" t="n"/>
      <c r="G3756" s="140">
        <f>IFERROR(IF(E3756&gt;0,(F3756/E3756)*1000,""),"")</f>
        <v/>
      </c>
      <c r="H3756" s="139">
        <f>IFERROR(IF(E3756&gt;0,E3756*IF(ISNUMBER(J3756),J3756,IF(C3756="Futures",$C$6,$C$5)),""),"")</f>
        <v/>
      </c>
      <c r="I3756" s="139">
        <f>IFERROR(IF(AND(ISNUMBER(F3756),ISNUMBER(H3756)),F3756-H3756,""),"")</f>
        <v/>
      </c>
      <c r="J3756" s="114" t="n"/>
      <c r="K3756" s="139">
        <f>IFERROR(IF(H3756&gt;0,H3756*$C$7,""),"")</f>
        <v/>
      </c>
      <c r="L3756" s="139">
        <f>IFERROR(IF(ISNUMBER(F3756),F3756-IF(ISNUMBER(K3756),K3756,0),""),"")</f>
        <v/>
      </c>
    </row>
    <row r="3757" ht="24" customHeight="1" s="63">
      <c r="E3757" s="139" t="n"/>
      <c r="F3757" s="139" t="n"/>
      <c r="G3757" s="140">
        <f>IFERROR(IF(E3757&gt;0,(F3757/E3757)*1000,""),"")</f>
        <v/>
      </c>
      <c r="H3757" s="139">
        <f>IFERROR(IF(E3757&gt;0,E3757*IF(ISNUMBER(J3757),J3757,IF(C3757="Futures",$C$6,$C$5)),""),"")</f>
        <v/>
      </c>
      <c r="I3757" s="139">
        <f>IFERROR(IF(AND(ISNUMBER(F3757),ISNUMBER(H3757)),F3757-H3757,""),"")</f>
        <v/>
      </c>
      <c r="J3757" s="114" t="n"/>
      <c r="K3757" s="139">
        <f>IFERROR(IF(H3757&gt;0,H3757*$C$7,""),"")</f>
        <v/>
      </c>
      <c r="L3757" s="139">
        <f>IFERROR(IF(ISNUMBER(F3757),F3757-IF(ISNUMBER(K3757),K3757,0),""),"")</f>
        <v/>
      </c>
    </row>
    <row r="3758" ht="24" customHeight="1" s="63">
      <c r="E3758" s="139" t="n"/>
      <c r="F3758" s="139" t="n"/>
      <c r="G3758" s="140">
        <f>IFERROR(IF(E3758&gt;0,(F3758/E3758)*1000,""),"")</f>
        <v/>
      </c>
      <c r="H3758" s="139">
        <f>IFERROR(IF(E3758&gt;0,E3758*IF(ISNUMBER(J3758),J3758,IF(C3758="Futures",$C$6,$C$5)),""),"")</f>
        <v/>
      </c>
      <c r="I3758" s="139">
        <f>IFERROR(IF(AND(ISNUMBER(F3758),ISNUMBER(H3758)),F3758-H3758,""),"")</f>
        <v/>
      </c>
      <c r="J3758" s="114" t="n"/>
      <c r="K3758" s="139">
        <f>IFERROR(IF(H3758&gt;0,H3758*$C$7,""),"")</f>
        <v/>
      </c>
      <c r="L3758" s="139">
        <f>IFERROR(IF(ISNUMBER(F3758),F3758-IF(ISNUMBER(K3758),K3758,0),""),"")</f>
        <v/>
      </c>
    </row>
    <row r="3759" ht="24" customHeight="1" s="63">
      <c r="E3759" s="139" t="n"/>
      <c r="F3759" s="139" t="n"/>
      <c r="G3759" s="140">
        <f>IFERROR(IF(E3759&gt;0,(F3759/E3759)*1000,""),"")</f>
        <v/>
      </c>
      <c r="H3759" s="139">
        <f>IFERROR(IF(E3759&gt;0,E3759*IF(ISNUMBER(J3759),J3759,IF(C3759="Futures",$C$6,$C$5)),""),"")</f>
        <v/>
      </c>
      <c r="I3759" s="139">
        <f>IFERROR(IF(AND(ISNUMBER(F3759),ISNUMBER(H3759)),F3759-H3759,""),"")</f>
        <v/>
      </c>
      <c r="J3759" s="114" t="n"/>
      <c r="K3759" s="139">
        <f>IFERROR(IF(H3759&gt;0,H3759*$C$7,""),"")</f>
        <v/>
      </c>
      <c r="L3759" s="139">
        <f>IFERROR(IF(ISNUMBER(F3759),F3759-IF(ISNUMBER(K3759),K3759,0),""),"")</f>
        <v/>
      </c>
    </row>
    <row r="3760" ht="24" customHeight="1" s="63">
      <c r="E3760" s="139" t="n"/>
      <c r="F3760" s="139" t="n"/>
      <c r="G3760" s="140">
        <f>IFERROR(IF(E3760&gt;0,(F3760/E3760)*1000,""),"")</f>
        <v/>
      </c>
      <c r="H3760" s="139">
        <f>IFERROR(IF(E3760&gt;0,E3760*IF(ISNUMBER(J3760),J3760,IF(C3760="Futures",$C$6,$C$5)),""),"")</f>
        <v/>
      </c>
      <c r="I3760" s="139">
        <f>IFERROR(IF(AND(ISNUMBER(F3760),ISNUMBER(H3760)),F3760-H3760,""),"")</f>
        <v/>
      </c>
      <c r="J3760" s="114" t="n"/>
      <c r="K3760" s="139">
        <f>IFERROR(IF(H3760&gt;0,H3760*$C$7,""),"")</f>
        <v/>
      </c>
      <c r="L3760" s="139">
        <f>IFERROR(IF(ISNUMBER(F3760),F3760-IF(ISNUMBER(K3760),K3760,0),""),"")</f>
        <v/>
      </c>
    </row>
    <row r="3761" ht="24" customHeight="1" s="63">
      <c r="E3761" s="139" t="n"/>
      <c r="F3761" s="139" t="n"/>
      <c r="G3761" s="140">
        <f>IFERROR(IF(E3761&gt;0,(F3761/E3761)*1000,""),"")</f>
        <v/>
      </c>
      <c r="H3761" s="139">
        <f>IFERROR(IF(E3761&gt;0,E3761*IF(ISNUMBER(J3761),J3761,IF(C3761="Futures",$C$6,$C$5)),""),"")</f>
        <v/>
      </c>
      <c r="I3761" s="139">
        <f>IFERROR(IF(AND(ISNUMBER(F3761),ISNUMBER(H3761)),F3761-H3761,""),"")</f>
        <v/>
      </c>
      <c r="J3761" s="114" t="n"/>
      <c r="K3761" s="139">
        <f>IFERROR(IF(H3761&gt;0,H3761*$C$7,""),"")</f>
        <v/>
      </c>
      <c r="L3761" s="139">
        <f>IFERROR(IF(ISNUMBER(F3761),F3761-IF(ISNUMBER(K3761),K3761,0),""),"")</f>
        <v/>
      </c>
    </row>
    <row r="3762" ht="24" customHeight="1" s="63">
      <c r="E3762" s="139" t="n"/>
      <c r="F3762" s="139" t="n"/>
      <c r="G3762" s="140">
        <f>IFERROR(IF(E3762&gt;0,(F3762/E3762)*1000,""),"")</f>
        <v/>
      </c>
      <c r="H3762" s="139">
        <f>IFERROR(IF(E3762&gt;0,E3762*IF(ISNUMBER(J3762),J3762,IF(C3762="Futures",$C$6,$C$5)),""),"")</f>
        <v/>
      </c>
      <c r="I3762" s="139">
        <f>IFERROR(IF(AND(ISNUMBER(F3762),ISNUMBER(H3762)),F3762-H3762,""),"")</f>
        <v/>
      </c>
      <c r="J3762" s="114" t="n"/>
      <c r="K3762" s="139">
        <f>IFERROR(IF(H3762&gt;0,H3762*$C$7,""),"")</f>
        <v/>
      </c>
      <c r="L3762" s="139">
        <f>IFERROR(IF(ISNUMBER(F3762),F3762-IF(ISNUMBER(K3762),K3762,0),""),"")</f>
        <v/>
      </c>
    </row>
    <row r="3763" ht="24" customHeight="1" s="63">
      <c r="E3763" s="139" t="n"/>
      <c r="F3763" s="139" t="n"/>
      <c r="G3763" s="140">
        <f>IFERROR(IF(E3763&gt;0,(F3763/E3763)*1000,""),"")</f>
        <v/>
      </c>
      <c r="H3763" s="139">
        <f>IFERROR(IF(E3763&gt;0,E3763*IF(ISNUMBER(J3763),J3763,IF(C3763="Futures",$C$6,$C$5)),""),"")</f>
        <v/>
      </c>
      <c r="I3763" s="139">
        <f>IFERROR(IF(AND(ISNUMBER(F3763),ISNUMBER(H3763)),F3763-H3763,""),"")</f>
        <v/>
      </c>
      <c r="J3763" s="114" t="n"/>
      <c r="K3763" s="139">
        <f>IFERROR(IF(H3763&gt;0,H3763*$C$7,""),"")</f>
        <v/>
      </c>
      <c r="L3763" s="139">
        <f>IFERROR(IF(ISNUMBER(F3763),F3763-IF(ISNUMBER(K3763),K3763,0),""),"")</f>
        <v/>
      </c>
    </row>
    <row r="3764" ht="24" customHeight="1" s="63">
      <c r="E3764" s="139" t="n"/>
      <c r="F3764" s="139" t="n"/>
      <c r="G3764" s="140">
        <f>IFERROR(IF(E3764&gt;0,(F3764/E3764)*1000,""),"")</f>
        <v/>
      </c>
      <c r="H3764" s="139">
        <f>IFERROR(IF(E3764&gt;0,E3764*IF(ISNUMBER(J3764),J3764,IF(C3764="Futures",$C$6,$C$5)),""),"")</f>
        <v/>
      </c>
      <c r="I3764" s="139">
        <f>IFERROR(IF(AND(ISNUMBER(F3764),ISNUMBER(H3764)),F3764-H3764,""),"")</f>
        <v/>
      </c>
      <c r="J3764" s="114" t="n"/>
      <c r="K3764" s="139">
        <f>IFERROR(IF(H3764&gt;0,H3764*$C$7,""),"")</f>
        <v/>
      </c>
      <c r="L3764" s="139">
        <f>IFERROR(IF(ISNUMBER(F3764),F3764-IF(ISNUMBER(K3764),K3764,0),""),"")</f>
        <v/>
      </c>
    </row>
    <row r="3765" ht="24" customHeight="1" s="63">
      <c r="E3765" s="139" t="n"/>
      <c r="F3765" s="139" t="n"/>
      <c r="G3765" s="140">
        <f>IFERROR(IF(E3765&gt;0,(F3765/E3765)*1000,""),"")</f>
        <v/>
      </c>
      <c r="H3765" s="139">
        <f>IFERROR(IF(E3765&gt;0,E3765*IF(ISNUMBER(J3765),J3765,IF(C3765="Futures",$C$6,$C$5)),""),"")</f>
        <v/>
      </c>
      <c r="I3765" s="139">
        <f>IFERROR(IF(AND(ISNUMBER(F3765),ISNUMBER(H3765)),F3765-H3765,""),"")</f>
        <v/>
      </c>
      <c r="J3765" s="114" t="n"/>
      <c r="K3765" s="139">
        <f>IFERROR(IF(H3765&gt;0,H3765*$C$7,""),"")</f>
        <v/>
      </c>
      <c r="L3765" s="139">
        <f>IFERROR(IF(ISNUMBER(F3765),F3765-IF(ISNUMBER(K3765),K3765,0),""),"")</f>
        <v/>
      </c>
    </row>
    <row r="3766" ht="24" customHeight="1" s="63">
      <c r="E3766" s="139" t="n"/>
      <c r="F3766" s="139" t="n"/>
      <c r="G3766" s="140">
        <f>IFERROR(IF(E3766&gt;0,(F3766/E3766)*1000,""),"")</f>
        <v/>
      </c>
      <c r="H3766" s="139">
        <f>IFERROR(IF(E3766&gt;0,E3766*IF(ISNUMBER(J3766),J3766,IF(C3766="Futures",$C$6,$C$5)),""),"")</f>
        <v/>
      </c>
      <c r="I3766" s="139">
        <f>IFERROR(IF(AND(ISNUMBER(F3766),ISNUMBER(H3766)),F3766-H3766,""),"")</f>
        <v/>
      </c>
      <c r="J3766" s="114" t="n"/>
      <c r="K3766" s="139">
        <f>IFERROR(IF(H3766&gt;0,H3766*$C$7,""),"")</f>
        <v/>
      </c>
      <c r="L3766" s="139">
        <f>IFERROR(IF(ISNUMBER(F3766),F3766-IF(ISNUMBER(K3766),K3766,0),""),"")</f>
        <v/>
      </c>
    </row>
    <row r="3767" ht="24" customHeight="1" s="63">
      <c r="E3767" s="139" t="n"/>
      <c r="F3767" s="139" t="n"/>
      <c r="G3767" s="140">
        <f>IFERROR(IF(E3767&gt;0,(F3767/E3767)*1000,""),"")</f>
        <v/>
      </c>
      <c r="H3767" s="139">
        <f>IFERROR(IF(E3767&gt;0,E3767*IF(ISNUMBER(J3767),J3767,IF(C3767="Futures",$C$6,$C$5)),""),"")</f>
        <v/>
      </c>
      <c r="I3767" s="139">
        <f>IFERROR(IF(AND(ISNUMBER(F3767),ISNUMBER(H3767)),F3767-H3767,""),"")</f>
        <v/>
      </c>
      <c r="J3767" s="114" t="n"/>
      <c r="K3767" s="139">
        <f>IFERROR(IF(H3767&gt;0,H3767*$C$7,""),"")</f>
        <v/>
      </c>
      <c r="L3767" s="139">
        <f>IFERROR(IF(ISNUMBER(F3767),F3767-IF(ISNUMBER(K3767),K3767,0),""),"")</f>
        <v/>
      </c>
    </row>
    <row r="3768" ht="24" customHeight="1" s="63">
      <c r="E3768" s="139" t="n"/>
      <c r="F3768" s="139" t="n"/>
      <c r="G3768" s="140">
        <f>IFERROR(IF(E3768&gt;0,(F3768/E3768)*1000,""),"")</f>
        <v/>
      </c>
      <c r="H3768" s="139">
        <f>IFERROR(IF(E3768&gt;0,E3768*IF(ISNUMBER(J3768),J3768,IF(C3768="Futures",$C$6,$C$5)),""),"")</f>
        <v/>
      </c>
      <c r="I3768" s="139">
        <f>IFERROR(IF(AND(ISNUMBER(F3768),ISNUMBER(H3768)),F3768-H3768,""),"")</f>
        <v/>
      </c>
      <c r="J3768" s="114" t="n"/>
      <c r="K3768" s="139">
        <f>IFERROR(IF(H3768&gt;0,H3768*$C$7,""),"")</f>
        <v/>
      </c>
      <c r="L3768" s="139">
        <f>IFERROR(IF(ISNUMBER(F3768),F3768-IF(ISNUMBER(K3768),K3768,0),""),"")</f>
        <v/>
      </c>
    </row>
    <row r="3769" ht="24" customHeight="1" s="63">
      <c r="E3769" s="139" t="n"/>
      <c r="F3769" s="139" t="n"/>
      <c r="G3769" s="140">
        <f>IFERROR(IF(E3769&gt;0,(F3769/E3769)*1000,""),"")</f>
        <v/>
      </c>
      <c r="H3769" s="139">
        <f>IFERROR(IF(E3769&gt;0,E3769*IF(ISNUMBER(J3769),J3769,IF(C3769="Futures",$C$6,$C$5)),""),"")</f>
        <v/>
      </c>
      <c r="I3769" s="139">
        <f>IFERROR(IF(AND(ISNUMBER(F3769),ISNUMBER(H3769)),F3769-H3769,""),"")</f>
        <v/>
      </c>
      <c r="J3769" s="114" t="n"/>
      <c r="K3769" s="139">
        <f>IFERROR(IF(H3769&gt;0,H3769*$C$7,""),"")</f>
        <v/>
      </c>
      <c r="L3769" s="139">
        <f>IFERROR(IF(ISNUMBER(F3769),F3769-IF(ISNUMBER(K3769),K3769,0),""),"")</f>
        <v/>
      </c>
    </row>
    <row r="3770" ht="24" customHeight="1" s="63">
      <c r="E3770" s="139" t="n"/>
      <c r="F3770" s="139" t="n"/>
      <c r="G3770" s="140">
        <f>IFERROR(IF(E3770&gt;0,(F3770/E3770)*1000,""),"")</f>
        <v/>
      </c>
      <c r="H3770" s="139">
        <f>IFERROR(IF(E3770&gt;0,E3770*IF(ISNUMBER(J3770),J3770,IF(C3770="Futures",$C$6,$C$5)),""),"")</f>
        <v/>
      </c>
      <c r="I3770" s="139">
        <f>IFERROR(IF(AND(ISNUMBER(F3770),ISNUMBER(H3770)),F3770-H3770,""),"")</f>
        <v/>
      </c>
      <c r="J3770" s="114" t="n"/>
      <c r="K3770" s="139">
        <f>IFERROR(IF(H3770&gt;0,H3770*$C$7,""),"")</f>
        <v/>
      </c>
      <c r="L3770" s="139">
        <f>IFERROR(IF(ISNUMBER(F3770),F3770-IF(ISNUMBER(K3770),K3770,0),""),"")</f>
        <v/>
      </c>
    </row>
    <row r="3771" ht="24" customHeight="1" s="63">
      <c r="E3771" s="139" t="n"/>
      <c r="F3771" s="139" t="n"/>
      <c r="G3771" s="140">
        <f>IFERROR(IF(E3771&gt;0,(F3771/E3771)*1000,""),"")</f>
        <v/>
      </c>
      <c r="H3771" s="139">
        <f>IFERROR(IF(E3771&gt;0,E3771*IF(ISNUMBER(J3771),J3771,IF(C3771="Futures",$C$6,$C$5)),""),"")</f>
        <v/>
      </c>
      <c r="I3771" s="139">
        <f>IFERROR(IF(AND(ISNUMBER(F3771),ISNUMBER(H3771)),F3771-H3771,""),"")</f>
        <v/>
      </c>
      <c r="J3771" s="114" t="n"/>
      <c r="K3771" s="139">
        <f>IFERROR(IF(H3771&gt;0,H3771*$C$7,""),"")</f>
        <v/>
      </c>
      <c r="L3771" s="139">
        <f>IFERROR(IF(ISNUMBER(F3771),F3771-IF(ISNUMBER(K3771),K3771,0),""),"")</f>
        <v/>
      </c>
    </row>
    <row r="3772" ht="24" customHeight="1" s="63">
      <c r="E3772" s="139" t="n"/>
      <c r="F3772" s="139" t="n"/>
      <c r="G3772" s="140">
        <f>IFERROR(IF(E3772&gt;0,(F3772/E3772)*1000,""),"")</f>
        <v/>
      </c>
      <c r="H3772" s="139">
        <f>IFERROR(IF(E3772&gt;0,E3772*IF(ISNUMBER(J3772),J3772,IF(C3772="Futures",$C$6,$C$5)),""),"")</f>
        <v/>
      </c>
      <c r="I3772" s="139">
        <f>IFERROR(IF(AND(ISNUMBER(F3772),ISNUMBER(H3772)),F3772-H3772,""),"")</f>
        <v/>
      </c>
      <c r="J3772" s="114" t="n"/>
      <c r="K3772" s="139">
        <f>IFERROR(IF(H3772&gt;0,H3772*$C$7,""),"")</f>
        <v/>
      </c>
      <c r="L3772" s="139">
        <f>IFERROR(IF(ISNUMBER(F3772),F3772-IF(ISNUMBER(K3772),K3772,0),""),"")</f>
        <v/>
      </c>
    </row>
    <row r="3773" ht="24" customHeight="1" s="63">
      <c r="E3773" s="139" t="n"/>
      <c r="F3773" s="139" t="n"/>
      <c r="G3773" s="140">
        <f>IFERROR(IF(E3773&gt;0,(F3773/E3773)*1000,""),"")</f>
        <v/>
      </c>
      <c r="H3773" s="139">
        <f>IFERROR(IF(E3773&gt;0,E3773*IF(ISNUMBER(J3773),J3773,IF(C3773="Futures",$C$6,$C$5)),""),"")</f>
        <v/>
      </c>
      <c r="I3773" s="139">
        <f>IFERROR(IF(AND(ISNUMBER(F3773),ISNUMBER(H3773)),F3773-H3773,""),"")</f>
        <v/>
      </c>
      <c r="J3773" s="114" t="n"/>
      <c r="K3773" s="139">
        <f>IFERROR(IF(H3773&gt;0,H3773*$C$7,""),"")</f>
        <v/>
      </c>
      <c r="L3773" s="139">
        <f>IFERROR(IF(ISNUMBER(F3773),F3773-IF(ISNUMBER(K3773),K3773,0),""),"")</f>
        <v/>
      </c>
    </row>
    <row r="3774" ht="24" customHeight="1" s="63">
      <c r="E3774" s="139" t="n"/>
      <c r="F3774" s="139" t="n"/>
      <c r="G3774" s="140">
        <f>IFERROR(IF(E3774&gt;0,(F3774/E3774)*1000,""),"")</f>
        <v/>
      </c>
      <c r="H3774" s="139">
        <f>IFERROR(IF(E3774&gt;0,E3774*IF(ISNUMBER(J3774),J3774,IF(C3774="Futures",$C$6,$C$5)),""),"")</f>
        <v/>
      </c>
      <c r="I3774" s="139">
        <f>IFERROR(IF(AND(ISNUMBER(F3774),ISNUMBER(H3774)),F3774-H3774,""),"")</f>
        <v/>
      </c>
      <c r="J3774" s="114" t="n"/>
      <c r="K3774" s="139">
        <f>IFERROR(IF(H3774&gt;0,H3774*$C$7,""),"")</f>
        <v/>
      </c>
      <c r="L3774" s="139">
        <f>IFERROR(IF(ISNUMBER(F3774),F3774-IF(ISNUMBER(K3774),K3774,0),""),"")</f>
        <v/>
      </c>
    </row>
    <row r="3775" ht="24" customHeight="1" s="63">
      <c r="E3775" s="139" t="n"/>
      <c r="F3775" s="139" t="n"/>
      <c r="G3775" s="140">
        <f>IFERROR(IF(E3775&gt;0,(F3775/E3775)*1000,""),"")</f>
        <v/>
      </c>
      <c r="H3775" s="139">
        <f>IFERROR(IF(E3775&gt;0,E3775*IF(ISNUMBER(J3775),J3775,IF(C3775="Futures",$C$6,$C$5)),""),"")</f>
        <v/>
      </c>
      <c r="I3775" s="139">
        <f>IFERROR(IF(AND(ISNUMBER(F3775),ISNUMBER(H3775)),F3775-H3775,""),"")</f>
        <v/>
      </c>
      <c r="J3775" s="114" t="n"/>
      <c r="K3775" s="139">
        <f>IFERROR(IF(H3775&gt;0,H3775*$C$7,""),"")</f>
        <v/>
      </c>
      <c r="L3775" s="139">
        <f>IFERROR(IF(ISNUMBER(F3775),F3775-IF(ISNUMBER(K3775),K3775,0),""),"")</f>
        <v/>
      </c>
    </row>
    <row r="3776" ht="24" customHeight="1" s="63">
      <c r="E3776" s="139" t="n"/>
      <c r="F3776" s="139" t="n"/>
      <c r="G3776" s="140">
        <f>IFERROR(IF(E3776&gt;0,(F3776/E3776)*1000,""),"")</f>
        <v/>
      </c>
      <c r="H3776" s="139">
        <f>IFERROR(IF(E3776&gt;0,E3776*IF(ISNUMBER(J3776),J3776,IF(C3776="Futures",$C$6,$C$5)),""),"")</f>
        <v/>
      </c>
      <c r="I3776" s="139">
        <f>IFERROR(IF(AND(ISNUMBER(F3776),ISNUMBER(H3776)),F3776-H3776,""),"")</f>
        <v/>
      </c>
      <c r="J3776" s="114" t="n"/>
      <c r="K3776" s="139">
        <f>IFERROR(IF(H3776&gt;0,H3776*$C$7,""),"")</f>
        <v/>
      </c>
      <c r="L3776" s="139">
        <f>IFERROR(IF(ISNUMBER(F3776),F3776-IF(ISNUMBER(K3776),K3776,0),""),"")</f>
        <v/>
      </c>
    </row>
    <row r="3777" ht="24" customHeight="1" s="63">
      <c r="E3777" s="139" t="n"/>
      <c r="F3777" s="139" t="n"/>
      <c r="G3777" s="140">
        <f>IFERROR(IF(E3777&gt;0,(F3777/E3777)*1000,""),"")</f>
        <v/>
      </c>
      <c r="H3777" s="139">
        <f>IFERROR(IF(E3777&gt;0,E3777*IF(ISNUMBER(J3777),J3777,IF(C3777="Futures",$C$6,$C$5)),""),"")</f>
        <v/>
      </c>
      <c r="I3777" s="139">
        <f>IFERROR(IF(AND(ISNUMBER(F3777),ISNUMBER(H3777)),F3777-H3777,""),"")</f>
        <v/>
      </c>
      <c r="J3777" s="114" t="n"/>
      <c r="K3777" s="139">
        <f>IFERROR(IF(H3777&gt;0,H3777*$C$7,""),"")</f>
        <v/>
      </c>
      <c r="L3777" s="139">
        <f>IFERROR(IF(ISNUMBER(F3777),F3777-IF(ISNUMBER(K3777),K3777,0),""),"")</f>
        <v/>
      </c>
    </row>
    <row r="3778" ht="24" customHeight="1" s="63">
      <c r="E3778" s="139" t="n"/>
      <c r="F3778" s="139" t="n"/>
      <c r="G3778" s="140">
        <f>IFERROR(IF(E3778&gt;0,(F3778/E3778)*1000,""),"")</f>
        <v/>
      </c>
      <c r="H3778" s="139">
        <f>IFERROR(IF(E3778&gt;0,E3778*IF(ISNUMBER(J3778),J3778,IF(C3778="Futures",$C$6,$C$5)),""),"")</f>
        <v/>
      </c>
      <c r="I3778" s="139">
        <f>IFERROR(IF(AND(ISNUMBER(F3778),ISNUMBER(H3778)),F3778-H3778,""),"")</f>
        <v/>
      </c>
      <c r="J3778" s="114" t="n"/>
      <c r="K3778" s="139">
        <f>IFERROR(IF(H3778&gt;0,H3778*$C$7,""),"")</f>
        <v/>
      </c>
      <c r="L3778" s="139">
        <f>IFERROR(IF(ISNUMBER(F3778),F3778-IF(ISNUMBER(K3778),K3778,0),""),"")</f>
        <v/>
      </c>
    </row>
    <row r="3779" ht="24" customHeight="1" s="63">
      <c r="E3779" s="139" t="n"/>
      <c r="F3779" s="139" t="n"/>
      <c r="G3779" s="140">
        <f>IFERROR(IF(E3779&gt;0,(F3779/E3779)*1000,""),"")</f>
        <v/>
      </c>
      <c r="H3779" s="139">
        <f>IFERROR(IF(E3779&gt;0,E3779*IF(ISNUMBER(J3779),J3779,IF(C3779="Futures",$C$6,$C$5)),""),"")</f>
        <v/>
      </c>
      <c r="I3779" s="139">
        <f>IFERROR(IF(AND(ISNUMBER(F3779),ISNUMBER(H3779)),F3779-H3779,""),"")</f>
        <v/>
      </c>
      <c r="J3779" s="114" t="n"/>
      <c r="K3779" s="139">
        <f>IFERROR(IF(H3779&gt;0,H3779*$C$7,""),"")</f>
        <v/>
      </c>
      <c r="L3779" s="139">
        <f>IFERROR(IF(ISNUMBER(F3779),F3779-IF(ISNUMBER(K3779),K3779,0),""),"")</f>
        <v/>
      </c>
    </row>
    <row r="3780" ht="24" customHeight="1" s="63">
      <c r="E3780" s="139" t="n"/>
      <c r="F3780" s="139" t="n"/>
      <c r="G3780" s="140">
        <f>IFERROR(IF(E3780&gt;0,(F3780/E3780)*1000,""),"")</f>
        <v/>
      </c>
      <c r="H3780" s="139">
        <f>IFERROR(IF(E3780&gt;0,E3780*IF(ISNUMBER(J3780),J3780,IF(C3780="Futures",$C$6,$C$5)),""),"")</f>
        <v/>
      </c>
      <c r="I3780" s="139">
        <f>IFERROR(IF(AND(ISNUMBER(F3780),ISNUMBER(H3780)),F3780-H3780,""),"")</f>
        <v/>
      </c>
      <c r="J3780" s="114" t="n"/>
      <c r="K3780" s="139">
        <f>IFERROR(IF(H3780&gt;0,H3780*$C$7,""),"")</f>
        <v/>
      </c>
      <c r="L3780" s="139">
        <f>IFERROR(IF(ISNUMBER(F3780),F3780-IF(ISNUMBER(K3780),K3780,0),""),"")</f>
        <v/>
      </c>
    </row>
    <row r="3781" ht="24" customHeight="1" s="63">
      <c r="E3781" s="139" t="n"/>
      <c r="F3781" s="139" t="n"/>
      <c r="G3781" s="140">
        <f>IFERROR(IF(E3781&gt;0,(F3781/E3781)*1000,""),"")</f>
        <v/>
      </c>
      <c r="H3781" s="139">
        <f>IFERROR(IF(E3781&gt;0,E3781*IF(ISNUMBER(J3781),J3781,IF(C3781="Futures",$C$6,$C$5)),""),"")</f>
        <v/>
      </c>
      <c r="I3781" s="139">
        <f>IFERROR(IF(AND(ISNUMBER(F3781),ISNUMBER(H3781)),F3781-H3781,""),"")</f>
        <v/>
      </c>
      <c r="J3781" s="114" t="n"/>
      <c r="K3781" s="139">
        <f>IFERROR(IF(H3781&gt;0,H3781*$C$7,""),"")</f>
        <v/>
      </c>
      <c r="L3781" s="139">
        <f>IFERROR(IF(ISNUMBER(F3781),F3781-IF(ISNUMBER(K3781),K3781,0),""),"")</f>
        <v/>
      </c>
    </row>
    <row r="3782" ht="24" customHeight="1" s="63">
      <c r="E3782" s="139" t="n"/>
      <c r="F3782" s="139" t="n"/>
      <c r="G3782" s="140">
        <f>IFERROR(IF(E3782&gt;0,(F3782/E3782)*1000,""),"")</f>
        <v/>
      </c>
      <c r="H3782" s="139">
        <f>IFERROR(IF(E3782&gt;0,E3782*IF(ISNUMBER(J3782),J3782,IF(C3782="Futures",$C$6,$C$5)),""),"")</f>
        <v/>
      </c>
      <c r="I3782" s="139">
        <f>IFERROR(IF(AND(ISNUMBER(F3782),ISNUMBER(H3782)),F3782-H3782,""),"")</f>
        <v/>
      </c>
      <c r="J3782" s="114" t="n"/>
      <c r="K3782" s="139">
        <f>IFERROR(IF(H3782&gt;0,H3782*$C$7,""),"")</f>
        <v/>
      </c>
      <c r="L3782" s="139">
        <f>IFERROR(IF(ISNUMBER(F3782),F3782-IF(ISNUMBER(K3782),K3782,0),""),"")</f>
        <v/>
      </c>
    </row>
    <row r="3783" ht="24" customHeight="1" s="63">
      <c r="E3783" s="139" t="n"/>
      <c r="F3783" s="139" t="n"/>
      <c r="G3783" s="140">
        <f>IFERROR(IF(E3783&gt;0,(F3783/E3783)*1000,""),"")</f>
        <v/>
      </c>
      <c r="H3783" s="139">
        <f>IFERROR(IF(E3783&gt;0,E3783*IF(ISNUMBER(J3783),J3783,IF(C3783="Futures",$C$6,$C$5)),""),"")</f>
        <v/>
      </c>
      <c r="I3783" s="139">
        <f>IFERROR(IF(AND(ISNUMBER(F3783),ISNUMBER(H3783)),F3783-H3783,""),"")</f>
        <v/>
      </c>
      <c r="J3783" s="114" t="n"/>
      <c r="K3783" s="139">
        <f>IFERROR(IF(H3783&gt;0,H3783*$C$7,""),"")</f>
        <v/>
      </c>
      <c r="L3783" s="139">
        <f>IFERROR(IF(ISNUMBER(F3783),F3783-IF(ISNUMBER(K3783),K3783,0),""),"")</f>
        <v/>
      </c>
    </row>
    <row r="3784" ht="24" customHeight="1" s="63">
      <c r="E3784" s="139" t="n"/>
      <c r="F3784" s="139" t="n"/>
      <c r="G3784" s="140">
        <f>IFERROR(IF(E3784&gt;0,(F3784/E3784)*1000,""),"")</f>
        <v/>
      </c>
      <c r="H3784" s="139">
        <f>IFERROR(IF(E3784&gt;0,E3784*IF(ISNUMBER(J3784),J3784,IF(C3784="Futures",$C$6,$C$5)),""),"")</f>
        <v/>
      </c>
      <c r="I3784" s="139">
        <f>IFERROR(IF(AND(ISNUMBER(F3784),ISNUMBER(H3784)),F3784-H3784,""),"")</f>
        <v/>
      </c>
      <c r="J3784" s="114" t="n"/>
      <c r="K3784" s="139">
        <f>IFERROR(IF(H3784&gt;0,H3784*$C$7,""),"")</f>
        <v/>
      </c>
      <c r="L3784" s="139">
        <f>IFERROR(IF(ISNUMBER(F3784),F3784-IF(ISNUMBER(K3784),K3784,0),""),"")</f>
        <v/>
      </c>
    </row>
    <row r="3785" ht="24" customHeight="1" s="63">
      <c r="E3785" s="139" t="n"/>
      <c r="F3785" s="139" t="n"/>
      <c r="G3785" s="140">
        <f>IFERROR(IF(E3785&gt;0,(F3785/E3785)*1000,""),"")</f>
        <v/>
      </c>
      <c r="H3785" s="139">
        <f>IFERROR(IF(E3785&gt;0,E3785*IF(ISNUMBER(J3785),J3785,IF(C3785="Futures",$C$6,$C$5)),""),"")</f>
        <v/>
      </c>
      <c r="I3785" s="139">
        <f>IFERROR(IF(AND(ISNUMBER(F3785),ISNUMBER(H3785)),F3785-H3785,""),"")</f>
        <v/>
      </c>
      <c r="J3785" s="114" t="n"/>
      <c r="K3785" s="139">
        <f>IFERROR(IF(H3785&gt;0,H3785*$C$7,""),"")</f>
        <v/>
      </c>
      <c r="L3785" s="139">
        <f>IFERROR(IF(ISNUMBER(F3785),F3785-IF(ISNUMBER(K3785),K3785,0),""),"")</f>
        <v/>
      </c>
    </row>
    <row r="3786" ht="24" customHeight="1" s="63">
      <c r="E3786" s="139" t="n"/>
      <c r="F3786" s="139" t="n"/>
      <c r="G3786" s="140">
        <f>IFERROR(IF(E3786&gt;0,(F3786/E3786)*1000,""),"")</f>
        <v/>
      </c>
      <c r="H3786" s="139">
        <f>IFERROR(IF(E3786&gt;0,E3786*IF(ISNUMBER(J3786),J3786,IF(C3786="Futures",$C$6,$C$5)),""),"")</f>
        <v/>
      </c>
      <c r="I3786" s="139">
        <f>IFERROR(IF(AND(ISNUMBER(F3786),ISNUMBER(H3786)),F3786-H3786,""),"")</f>
        <v/>
      </c>
      <c r="J3786" s="114" t="n"/>
      <c r="K3786" s="139">
        <f>IFERROR(IF(H3786&gt;0,H3786*$C$7,""),"")</f>
        <v/>
      </c>
      <c r="L3786" s="139">
        <f>IFERROR(IF(ISNUMBER(F3786),F3786-IF(ISNUMBER(K3786),K3786,0),""),"")</f>
        <v/>
      </c>
    </row>
    <row r="3787" ht="24" customHeight="1" s="63">
      <c r="E3787" s="139" t="n"/>
      <c r="F3787" s="139" t="n"/>
      <c r="G3787" s="140">
        <f>IFERROR(IF(E3787&gt;0,(F3787/E3787)*1000,""),"")</f>
        <v/>
      </c>
      <c r="H3787" s="139">
        <f>IFERROR(IF(E3787&gt;0,E3787*IF(ISNUMBER(J3787),J3787,IF(C3787="Futures",$C$6,$C$5)),""),"")</f>
        <v/>
      </c>
      <c r="I3787" s="139">
        <f>IFERROR(IF(AND(ISNUMBER(F3787),ISNUMBER(H3787)),F3787-H3787,""),"")</f>
        <v/>
      </c>
      <c r="J3787" s="114" t="n"/>
      <c r="K3787" s="139">
        <f>IFERROR(IF(H3787&gt;0,H3787*$C$7,""),"")</f>
        <v/>
      </c>
      <c r="L3787" s="139">
        <f>IFERROR(IF(ISNUMBER(F3787),F3787-IF(ISNUMBER(K3787),K3787,0),""),"")</f>
        <v/>
      </c>
    </row>
    <row r="3788" ht="24" customHeight="1" s="63">
      <c r="E3788" s="139" t="n"/>
      <c r="F3788" s="139" t="n"/>
      <c r="G3788" s="140">
        <f>IFERROR(IF(E3788&gt;0,(F3788/E3788)*1000,""),"")</f>
        <v/>
      </c>
      <c r="H3788" s="139">
        <f>IFERROR(IF(E3788&gt;0,E3788*IF(ISNUMBER(J3788),J3788,IF(C3788="Futures",$C$6,$C$5)),""),"")</f>
        <v/>
      </c>
      <c r="I3788" s="139">
        <f>IFERROR(IF(AND(ISNUMBER(F3788),ISNUMBER(H3788)),F3788-H3788,""),"")</f>
        <v/>
      </c>
      <c r="J3788" s="114" t="n"/>
      <c r="K3788" s="139">
        <f>IFERROR(IF(H3788&gt;0,H3788*$C$7,""),"")</f>
        <v/>
      </c>
      <c r="L3788" s="139">
        <f>IFERROR(IF(ISNUMBER(F3788),F3788-IF(ISNUMBER(K3788),K3788,0),""),"")</f>
        <v/>
      </c>
    </row>
    <row r="3789" ht="24" customHeight="1" s="63">
      <c r="E3789" s="139" t="n"/>
      <c r="F3789" s="139" t="n"/>
      <c r="G3789" s="140">
        <f>IFERROR(IF(E3789&gt;0,(F3789/E3789)*1000,""),"")</f>
        <v/>
      </c>
      <c r="H3789" s="139">
        <f>IFERROR(IF(E3789&gt;0,E3789*IF(ISNUMBER(J3789),J3789,IF(C3789="Futures",$C$6,$C$5)),""),"")</f>
        <v/>
      </c>
      <c r="I3789" s="139">
        <f>IFERROR(IF(AND(ISNUMBER(F3789),ISNUMBER(H3789)),F3789-H3789,""),"")</f>
        <v/>
      </c>
      <c r="J3789" s="114" t="n"/>
      <c r="K3789" s="139">
        <f>IFERROR(IF(H3789&gt;0,H3789*$C$7,""),"")</f>
        <v/>
      </c>
      <c r="L3789" s="139">
        <f>IFERROR(IF(ISNUMBER(F3789),F3789-IF(ISNUMBER(K3789),K3789,0),""),"")</f>
        <v/>
      </c>
    </row>
    <row r="3790" ht="24" customHeight="1" s="63">
      <c r="E3790" s="139" t="n"/>
      <c r="F3790" s="139" t="n"/>
      <c r="G3790" s="140">
        <f>IFERROR(IF(E3790&gt;0,(F3790/E3790)*1000,""),"")</f>
        <v/>
      </c>
      <c r="H3790" s="139">
        <f>IFERROR(IF(E3790&gt;0,E3790*IF(ISNUMBER(J3790),J3790,IF(C3790="Futures",$C$6,$C$5)),""),"")</f>
        <v/>
      </c>
      <c r="I3790" s="139">
        <f>IFERROR(IF(AND(ISNUMBER(F3790),ISNUMBER(H3790)),F3790-H3790,""),"")</f>
        <v/>
      </c>
      <c r="J3790" s="114" t="n"/>
      <c r="K3790" s="139">
        <f>IFERROR(IF(H3790&gt;0,H3790*$C$7,""),"")</f>
        <v/>
      </c>
      <c r="L3790" s="139">
        <f>IFERROR(IF(ISNUMBER(F3790),F3790-IF(ISNUMBER(K3790),K3790,0),""),"")</f>
        <v/>
      </c>
    </row>
    <row r="3791" ht="24" customHeight="1" s="63">
      <c r="E3791" s="139" t="n"/>
      <c r="F3791" s="139" t="n"/>
      <c r="G3791" s="140">
        <f>IFERROR(IF(E3791&gt;0,(F3791/E3791)*1000,""),"")</f>
        <v/>
      </c>
      <c r="H3791" s="139">
        <f>IFERROR(IF(E3791&gt;0,E3791*IF(ISNUMBER(J3791),J3791,IF(C3791="Futures",$C$6,$C$5)),""),"")</f>
        <v/>
      </c>
      <c r="I3791" s="139">
        <f>IFERROR(IF(AND(ISNUMBER(F3791),ISNUMBER(H3791)),F3791-H3791,""),"")</f>
        <v/>
      </c>
      <c r="J3791" s="114" t="n"/>
      <c r="K3791" s="139">
        <f>IFERROR(IF(H3791&gt;0,H3791*$C$7,""),"")</f>
        <v/>
      </c>
      <c r="L3791" s="139">
        <f>IFERROR(IF(ISNUMBER(F3791),F3791-IF(ISNUMBER(K3791),K3791,0),""),"")</f>
        <v/>
      </c>
    </row>
    <row r="3792" ht="24" customHeight="1" s="63">
      <c r="E3792" s="139" t="n"/>
      <c r="F3792" s="139" t="n"/>
      <c r="G3792" s="140">
        <f>IFERROR(IF(E3792&gt;0,(F3792/E3792)*1000,""),"")</f>
        <v/>
      </c>
      <c r="H3792" s="139">
        <f>IFERROR(IF(E3792&gt;0,E3792*IF(ISNUMBER(J3792),J3792,IF(C3792="Futures",$C$6,$C$5)),""),"")</f>
        <v/>
      </c>
      <c r="I3792" s="139">
        <f>IFERROR(IF(AND(ISNUMBER(F3792),ISNUMBER(H3792)),F3792-H3792,""),"")</f>
        <v/>
      </c>
      <c r="J3792" s="114" t="n"/>
      <c r="K3792" s="139">
        <f>IFERROR(IF(H3792&gt;0,H3792*$C$7,""),"")</f>
        <v/>
      </c>
      <c r="L3792" s="139">
        <f>IFERROR(IF(ISNUMBER(F3792),F3792-IF(ISNUMBER(K3792),K3792,0),""),"")</f>
        <v/>
      </c>
    </row>
    <row r="3793" ht="24" customHeight="1" s="63">
      <c r="E3793" s="139" t="n"/>
      <c r="F3793" s="139" t="n"/>
      <c r="G3793" s="140">
        <f>IFERROR(IF(E3793&gt;0,(F3793/E3793)*1000,""),"")</f>
        <v/>
      </c>
      <c r="H3793" s="139">
        <f>IFERROR(IF(E3793&gt;0,E3793*IF(ISNUMBER(J3793),J3793,IF(C3793="Futures",$C$6,$C$5)),""),"")</f>
        <v/>
      </c>
      <c r="I3793" s="139">
        <f>IFERROR(IF(AND(ISNUMBER(F3793),ISNUMBER(H3793)),F3793-H3793,""),"")</f>
        <v/>
      </c>
      <c r="J3793" s="114" t="n"/>
      <c r="K3793" s="139">
        <f>IFERROR(IF(H3793&gt;0,H3793*$C$7,""),"")</f>
        <v/>
      </c>
      <c r="L3793" s="139">
        <f>IFERROR(IF(ISNUMBER(F3793),F3793-IF(ISNUMBER(K3793),K3793,0),""),"")</f>
        <v/>
      </c>
    </row>
    <row r="3794" ht="24" customHeight="1" s="63">
      <c r="E3794" s="139" t="n"/>
      <c r="F3794" s="139" t="n"/>
      <c r="G3794" s="140">
        <f>IFERROR(IF(E3794&gt;0,(F3794/E3794)*1000,""),"")</f>
        <v/>
      </c>
      <c r="H3794" s="139">
        <f>IFERROR(IF(E3794&gt;0,E3794*IF(ISNUMBER(J3794),J3794,IF(C3794="Futures",$C$6,$C$5)),""),"")</f>
        <v/>
      </c>
      <c r="I3794" s="139">
        <f>IFERROR(IF(AND(ISNUMBER(F3794),ISNUMBER(H3794)),F3794-H3794,""),"")</f>
        <v/>
      </c>
      <c r="J3794" s="114" t="n"/>
      <c r="K3794" s="139">
        <f>IFERROR(IF(H3794&gt;0,H3794*$C$7,""),"")</f>
        <v/>
      </c>
      <c r="L3794" s="139">
        <f>IFERROR(IF(ISNUMBER(F3794),F3794-IF(ISNUMBER(K3794),K3794,0),""),"")</f>
        <v/>
      </c>
    </row>
    <row r="3795" ht="24" customHeight="1" s="63">
      <c r="E3795" s="139" t="n"/>
      <c r="F3795" s="139" t="n"/>
      <c r="G3795" s="140">
        <f>IFERROR(IF(E3795&gt;0,(F3795/E3795)*1000,""),"")</f>
        <v/>
      </c>
      <c r="H3795" s="139">
        <f>IFERROR(IF(E3795&gt;0,E3795*IF(ISNUMBER(J3795),J3795,IF(C3795="Futures",$C$6,$C$5)),""),"")</f>
        <v/>
      </c>
      <c r="I3795" s="139">
        <f>IFERROR(IF(AND(ISNUMBER(F3795),ISNUMBER(H3795)),F3795-H3795,""),"")</f>
        <v/>
      </c>
      <c r="J3795" s="114" t="n"/>
      <c r="K3795" s="139">
        <f>IFERROR(IF(H3795&gt;0,H3795*$C$7,""),"")</f>
        <v/>
      </c>
      <c r="L3795" s="139">
        <f>IFERROR(IF(ISNUMBER(F3795),F3795-IF(ISNUMBER(K3795),K3795,0),""),"")</f>
        <v/>
      </c>
    </row>
    <row r="3796" ht="24" customHeight="1" s="63">
      <c r="E3796" s="139" t="n"/>
      <c r="F3796" s="139" t="n"/>
      <c r="G3796" s="140">
        <f>IFERROR(IF(E3796&gt;0,(F3796/E3796)*1000,""),"")</f>
        <v/>
      </c>
      <c r="H3796" s="139">
        <f>IFERROR(IF(E3796&gt;0,E3796*IF(ISNUMBER(J3796),J3796,IF(C3796="Futures",$C$6,$C$5)),""),"")</f>
        <v/>
      </c>
      <c r="I3796" s="139">
        <f>IFERROR(IF(AND(ISNUMBER(F3796),ISNUMBER(H3796)),F3796-H3796,""),"")</f>
        <v/>
      </c>
      <c r="J3796" s="114" t="n"/>
      <c r="K3796" s="139">
        <f>IFERROR(IF(H3796&gt;0,H3796*$C$7,""),"")</f>
        <v/>
      </c>
      <c r="L3796" s="139">
        <f>IFERROR(IF(ISNUMBER(F3796),F3796-IF(ISNUMBER(K3796),K3796,0),""),"")</f>
        <v/>
      </c>
    </row>
    <row r="3797" ht="24" customHeight="1" s="63">
      <c r="E3797" s="139" t="n"/>
      <c r="F3797" s="139" t="n"/>
      <c r="G3797" s="140">
        <f>IFERROR(IF(E3797&gt;0,(F3797/E3797)*1000,""),"")</f>
        <v/>
      </c>
      <c r="H3797" s="139">
        <f>IFERROR(IF(E3797&gt;0,E3797*IF(ISNUMBER(J3797),J3797,IF(C3797="Futures",$C$6,$C$5)),""),"")</f>
        <v/>
      </c>
      <c r="I3797" s="139">
        <f>IFERROR(IF(AND(ISNUMBER(F3797),ISNUMBER(H3797)),F3797-H3797,""),"")</f>
        <v/>
      </c>
      <c r="J3797" s="114" t="n"/>
      <c r="K3797" s="139">
        <f>IFERROR(IF(H3797&gt;0,H3797*$C$7,""),"")</f>
        <v/>
      </c>
      <c r="L3797" s="139">
        <f>IFERROR(IF(ISNUMBER(F3797),F3797-IF(ISNUMBER(K3797),K3797,0),""),"")</f>
        <v/>
      </c>
    </row>
    <row r="3798" ht="24" customHeight="1" s="63">
      <c r="E3798" s="139" t="n"/>
      <c r="F3798" s="139" t="n"/>
      <c r="G3798" s="140">
        <f>IFERROR(IF(E3798&gt;0,(F3798/E3798)*1000,""),"")</f>
        <v/>
      </c>
      <c r="H3798" s="139">
        <f>IFERROR(IF(E3798&gt;0,E3798*IF(ISNUMBER(J3798),J3798,IF(C3798="Futures",$C$6,$C$5)),""),"")</f>
        <v/>
      </c>
      <c r="I3798" s="139">
        <f>IFERROR(IF(AND(ISNUMBER(F3798),ISNUMBER(H3798)),F3798-H3798,""),"")</f>
        <v/>
      </c>
      <c r="J3798" s="114" t="n"/>
      <c r="K3798" s="139">
        <f>IFERROR(IF(H3798&gt;0,H3798*$C$7,""),"")</f>
        <v/>
      </c>
      <c r="L3798" s="139">
        <f>IFERROR(IF(ISNUMBER(F3798),F3798-IF(ISNUMBER(K3798),K3798,0),""),"")</f>
        <v/>
      </c>
    </row>
    <row r="3799" ht="24" customHeight="1" s="63">
      <c r="E3799" s="139" t="n"/>
      <c r="F3799" s="139" t="n"/>
      <c r="G3799" s="140">
        <f>IFERROR(IF(E3799&gt;0,(F3799/E3799)*1000,""),"")</f>
        <v/>
      </c>
      <c r="H3799" s="139">
        <f>IFERROR(IF(E3799&gt;0,E3799*IF(ISNUMBER(J3799),J3799,IF(C3799="Futures",$C$6,$C$5)),""),"")</f>
        <v/>
      </c>
      <c r="I3799" s="139">
        <f>IFERROR(IF(AND(ISNUMBER(F3799),ISNUMBER(H3799)),F3799-H3799,""),"")</f>
        <v/>
      </c>
      <c r="J3799" s="114" t="n"/>
      <c r="K3799" s="139">
        <f>IFERROR(IF(H3799&gt;0,H3799*$C$7,""),"")</f>
        <v/>
      </c>
      <c r="L3799" s="139">
        <f>IFERROR(IF(ISNUMBER(F3799),F3799-IF(ISNUMBER(K3799),K3799,0),""),"")</f>
        <v/>
      </c>
    </row>
    <row r="3800" ht="24" customHeight="1" s="63">
      <c r="E3800" s="139" t="n"/>
      <c r="F3800" s="139" t="n"/>
      <c r="G3800" s="140">
        <f>IFERROR(IF(E3800&gt;0,(F3800/E3800)*1000,""),"")</f>
        <v/>
      </c>
      <c r="H3800" s="139">
        <f>IFERROR(IF(E3800&gt;0,E3800*IF(ISNUMBER(J3800),J3800,IF(C3800="Futures",$C$6,$C$5)),""),"")</f>
        <v/>
      </c>
      <c r="I3800" s="139">
        <f>IFERROR(IF(AND(ISNUMBER(F3800),ISNUMBER(H3800)),F3800-H3800,""),"")</f>
        <v/>
      </c>
      <c r="J3800" s="114" t="n"/>
      <c r="K3800" s="139">
        <f>IFERROR(IF(H3800&gt;0,H3800*$C$7,""),"")</f>
        <v/>
      </c>
      <c r="L3800" s="139">
        <f>IFERROR(IF(ISNUMBER(F3800),F3800-IF(ISNUMBER(K3800),K3800,0),""),"")</f>
        <v/>
      </c>
    </row>
    <row r="3801" ht="24" customHeight="1" s="63">
      <c r="E3801" s="139" t="n"/>
      <c r="F3801" s="139" t="n"/>
      <c r="G3801" s="140">
        <f>IFERROR(IF(E3801&gt;0,(F3801/E3801)*1000,""),"")</f>
        <v/>
      </c>
      <c r="H3801" s="139">
        <f>IFERROR(IF(E3801&gt;0,E3801*IF(ISNUMBER(J3801),J3801,IF(C3801="Futures",$C$6,$C$5)),""),"")</f>
        <v/>
      </c>
      <c r="I3801" s="139">
        <f>IFERROR(IF(AND(ISNUMBER(F3801),ISNUMBER(H3801)),F3801-H3801,""),"")</f>
        <v/>
      </c>
      <c r="J3801" s="114" t="n"/>
      <c r="K3801" s="139">
        <f>IFERROR(IF(H3801&gt;0,H3801*$C$7,""),"")</f>
        <v/>
      </c>
      <c r="L3801" s="139">
        <f>IFERROR(IF(ISNUMBER(F3801),F3801-IF(ISNUMBER(K3801),K3801,0),""),"")</f>
        <v/>
      </c>
    </row>
    <row r="3802" ht="24" customHeight="1" s="63">
      <c r="E3802" s="139" t="n"/>
      <c r="F3802" s="139" t="n"/>
      <c r="G3802" s="140">
        <f>IFERROR(IF(E3802&gt;0,(F3802/E3802)*1000,""),"")</f>
        <v/>
      </c>
      <c r="H3802" s="139">
        <f>IFERROR(IF(E3802&gt;0,E3802*IF(ISNUMBER(J3802),J3802,IF(C3802="Futures",$C$6,$C$5)),""),"")</f>
        <v/>
      </c>
      <c r="I3802" s="139">
        <f>IFERROR(IF(AND(ISNUMBER(F3802),ISNUMBER(H3802)),F3802-H3802,""),"")</f>
        <v/>
      </c>
      <c r="J3802" s="114" t="n"/>
      <c r="K3802" s="139">
        <f>IFERROR(IF(H3802&gt;0,H3802*$C$7,""),"")</f>
        <v/>
      </c>
      <c r="L3802" s="139">
        <f>IFERROR(IF(ISNUMBER(F3802),F3802-IF(ISNUMBER(K3802),K3802,0),""),"")</f>
        <v/>
      </c>
    </row>
    <row r="3803" ht="24" customHeight="1" s="63">
      <c r="E3803" s="139" t="n"/>
      <c r="F3803" s="139" t="n"/>
      <c r="G3803" s="140">
        <f>IFERROR(IF(E3803&gt;0,(F3803/E3803)*1000,""),"")</f>
        <v/>
      </c>
      <c r="H3803" s="139">
        <f>IFERROR(IF(E3803&gt;0,E3803*IF(ISNUMBER(J3803),J3803,IF(C3803="Futures",$C$6,$C$5)),""),"")</f>
        <v/>
      </c>
      <c r="I3803" s="139">
        <f>IFERROR(IF(AND(ISNUMBER(F3803),ISNUMBER(H3803)),F3803-H3803,""),"")</f>
        <v/>
      </c>
      <c r="J3803" s="114" t="n"/>
      <c r="K3803" s="139">
        <f>IFERROR(IF(H3803&gt;0,H3803*$C$7,""),"")</f>
        <v/>
      </c>
      <c r="L3803" s="139">
        <f>IFERROR(IF(ISNUMBER(F3803),F3803-IF(ISNUMBER(K3803),K3803,0),""),"")</f>
        <v/>
      </c>
    </row>
    <row r="3804" ht="24" customHeight="1" s="63">
      <c r="E3804" s="139" t="n"/>
      <c r="F3804" s="139" t="n"/>
      <c r="G3804" s="140">
        <f>IFERROR(IF(E3804&gt;0,(F3804/E3804)*1000,""),"")</f>
        <v/>
      </c>
      <c r="H3804" s="139">
        <f>IFERROR(IF(E3804&gt;0,E3804*IF(ISNUMBER(J3804),J3804,IF(C3804="Futures",$C$6,$C$5)),""),"")</f>
        <v/>
      </c>
      <c r="I3804" s="139">
        <f>IFERROR(IF(AND(ISNUMBER(F3804),ISNUMBER(H3804)),F3804-H3804,""),"")</f>
        <v/>
      </c>
      <c r="J3804" s="114" t="n"/>
      <c r="K3804" s="139">
        <f>IFERROR(IF(H3804&gt;0,H3804*$C$7,""),"")</f>
        <v/>
      </c>
      <c r="L3804" s="139">
        <f>IFERROR(IF(ISNUMBER(F3804),F3804-IF(ISNUMBER(K3804),K3804,0),""),"")</f>
        <v/>
      </c>
    </row>
    <row r="3805" ht="24" customHeight="1" s="63">
      <c r="E3805" s="139" t="n"/>
      <c r="F3805" s="139" t="n"/>
      <c r="G3805" s="140">
        <f>IFERROR(IF(E3805&gt;0,(F3805/E3805)*1000,""),"")</f>
        <v/>
      </c>
      <c r="H3805" s="139">
        <f>IFERROR(IF(E3805&gt;0,E3805*IF(ISNUMBER(J3805),J3805,IF(C3805="Futures",$C$6,$C$5)),""),"")</f>
        <v/>
      </c>
      <c r="I3805" s="139">
        <f>IFERROR(IF(AND(ISNUMBER(F3805),ISNUMBER(H3805)),F3805-H3805,""),"")</f>
        <v/>
      </c>
      <c r="J3805" s="114" t="n"/>
      <c r="K3805" s="139">
        <f>IFERROR(IF(H3805&gt;0,H3805*$C$7,""),"")</f>
        <v/>
      </c>
      <c r="L3805" s="139">
        <f>IFERROR(IF(ISNUMBER(F3805),F3805-IF(ISNUMBER(K3805),K3805,0),""),"")</f>
        <v/>
      </c>
    </row>
    <row r="3806" ht="24" customHeight="1" s="63">
      <c r="E3806" s="139" t="n"/>
      <c r="F3806" s="139" t="n"/>
      <c r="G3806" s="140">
        <f>IFERROR(IF(E3806&gt;0,(F3806/E3806)*1000,""),"")</f>
        <v/>
      </c>
      <c r="H3806" s="139">
        <f>IFERROR(IF(E3806&gt;0,E3806*IF(ISNUMBER(J3806),J3806,IF(C3806="Futures",$C$6,$C$5)),""),"")</f>
        <v/>
      </c>
      <c r="I3806" s="139">
        <f>IFERROR(IF(AND(ISNUMBER(F3806),ISNUMBER(H3806)),F3806-H3806,""),"")</f>
        <v/>
      </c>
      <c r="J3806" s="114" t="n"/>
      <c r="K3806" s="139">
        <f>IFERROR(IF(H3806&gt;0,H3806*$C$7,""),"")</f>
        <v/>
      </c>
      <c r="L3806" s="139">
        <f>IFERROR(IF(ISNUMBER(F3806),F3806-IF(ISNUMBER(K3806),K3806,0),""),"")</f>
        <v/>
      </c>
    </row>
    <row r="3807" ht="24" customHeight="1" s="63">
      <c r="E3807" s="139" t="n"/>
      <c r="F3807" s="139" t="n"/>
      <c r="G3807" s="140">
        <f>IFERROR(IF(E3807&gt;0,(F3807/E3807)*1000,""),"")</f>
        <v/>
      </c>
      <c r="H3807" s="139">
        <f>IFERROR(IF(E3807&gt;0,E3807*IF(ISNUMBER(J3807),J3807,IF(C3807="Futures",$C$6,$C$5)),""),"")</f>
        <v/>
      </c>
      <c r="I3807" s="139">
        <f>IFERROR(IF(AND(ISNUMBER(F3807),ISNUMBER(H3807)),F3807-H3807,""),"")</f>
        <v/>
      </c>
      <c r="J3807" s="114" t="n"/>
      <c r="K3807" s="139">
        <f>IFERROR(IF(H3807&gt;0,H3807*$C$7,""),"")</f>
        <v/>
      </c>
      <c r="L3807" s="139">
        <f>IFERROR(IF(ISNUMBER(F3807),F3807-IF(ISNUMBER(K3807),K3807,0),""),"")</f>
        <v/>
      </c>
    </row>
    <row r="3808" ht="24" customHeight="1" s="63">
      <c r="E3808" s="139" t="n"/>
      <c r="F3808" s="139" t="n"/>
      <c r="G3808" s="140">
        <f>IFERROR(IF(E3808&gt;0,(F3808/E3808)*1000,""),"")</f>
        <v/>
      </c>
      <c r="H3808" s="139">
        <f>IFERROR(IF(E3808&gt;0,E3808*IF(ISNUMBER(J3808),J3808,IF(C3808="Futures",$C$6,$C$5)),""),"")</f>
        <v/>
      </c>
      <c r="I3808" s="139">
        <f>IFERROR(IF(AND(ISNUMBER(F3808),ISNUMBER(H3808)),F3808-H3808,""),"")</f>
        <v/>
      </c>
      <c r="J3808" s="114" t="n"/>
      <c r="K3808" s="139">
        <f>IFERROR(IF(H3808&gt;0,H3808*$C$7,""),"")</f>
        <v/>
      </c>
      <c r="L3808" s="139">
        <f>IFERROR(IF(ISNUMBER(F3808),F3808-IF(ISNUMBER(K3808),K3808,0),""),"")</f>
        <v/>
      </c>
    </row>
    <row r="3809" ht="24" customHeight="1" s="63">
      <c r="E3809" s="139" t="n"/>
      <c r="F3809" s="139" t="n"/>
      <c r="G3809" s="140">
        <f>IFERROR(IF(E3809&gt;0,(F3809/E3809)*1000,""),"")</f>
        <v/>
      </c>
      <c r="H3809" s="139">
        <f>IFERROR(IF(E3809&gt;0,E3809*IF(ISNUMBER(J3809),J3809,IF(C3809="Futures",$C$6,$C$5)),""),"")</f>
        <v/>
      </c>
      <c r="I3809" s="139">
        <f>IFERROR(IF(AND(ISNUMBER(F3809),ISNUMBER(H3809)),F3809-H3809,""),"")</f>
        <v/>
      </c>
      <c r="J3809" s="114" t="n"/>
      <c r="K3809" s="139">
        <f>IFERROR(IF(H3809&gt;0,H3809*$C$7,""),"")</f>
        <v/>
      </c>
      <c r="L3809" s="139">
        <f>IFERROR(IF(ISNUMBER(F3809),F3809-IF(ISNUMBER(K3809),K3809,0),""),"")</f>
        <v/>
      </c>
    </row>
    <row r="3810" ht="24" customHeight="1" s="63">
      <c r="E3810" s="139" t="n"/>
      <c r="F3810" s="139" t="n"/>
      <c r="G3810" s="140">
        <f>IFERROR(IF(E3810&gt;0,(F3810/E3810)*1000,""),"")</f>
        <v/>
      </c>
      <c r="H3810" s="139">
        <f>IFERROR(IF(E3810&gt;0,E3810*IF(ISNUMBER(J3810),J3810,IF(C3810="Futures",$C$6,$C$5)),""),"")</f>
        <v/>
      </c>
      <c r="I3810" s="139">
        <f>IFERROR(IF(AND(ISNUMBER(F3810),ISNUMBER(H3810)),F3810-H3810,""),"")</f>
        <v/>
      </c>
      <c r="J3810" s="114" t="n"/>
      <c r="K3810" s="139">
        <f>IFERROR(IF(H3810&gt;0,H3810*$C$7,""),"")</f>
        <v/>
      </c>
      <c r="L3810" s="139">
        <f>IFERROR(IF(ISNUMBER(F3810),F3810-IF(ISNUMBER(K3810),K3810,0),""),"")</f>
        <v/>
      </c>
    </row>
    <row r="3811" ht="24" customHeight="1" s="63">
      <c r="E3811" s="139" t="n"/>
      <c r="F3811" s="139" t="n"/>
      <c r="G3811" s="140">
        <f>IFERROR(IF(E3811&gt;0,(F3811/E3811)*1000,""),"")</f>
        <v/>
      </c>
      <c r="H3811" s="139">
        <f>IFERROR(IF(E3811&gt;0,E3811*IF(ISNUMBER(J3811),J3811,IF(C3811="Futures",$C$6,$C$5)),""),"")</f>
        <v/>
      </c>
      <c r="I3811" s="139">
        <f>IFERROR(IF(AND(ISNUMBER(F3811),ISNUMBER(H3811)),F3811-H3811,""),"")</f>
        <v/>
      </c>
      <c r="J3811" s="114" t="n"/>
      <c r="K3811" s="139">
        <f>IFERROR(IF(H3811&gt;0,H3811*$C$7,""),"")</f>
        <v/>
      </c>
      <c r="L3811" s="139">
        <f>IFERROR(IF(ISNUMBER(F3811),F3811-IF(ISNUMBER(K3811),K3811,0),""),"")</f>
        <v/>
      </c>
    </row>
    <row r="3812" ht="24" customHeight="1" s="63">
      <c r="E3812" s="139" t="n"/>
      <c r="F3812" s="139" t="n"/>
      <c r="G3812" s="140">
        <f>IFERROR(IF(E3812&gt;0,(F3812/E3812)*1000,""),"")</f>
        <v/>
      </c>
      <c r="H3812" s="139">
        <f>IFERROR(IF(E3812&gt;0,E3812*IF(ISNUMBER(J3812),J3812,IF(C3812="Futures",$C$6,$C$5)),""),"")</f>
        <v/>
      </c>
      <c r="I3812" s="139">
        <f>IFERROR(IF(AND(ISNUMBER(F3812),ISNUMBER(H3812)),F3812-H3812,""),"")</f>
        <v/>
      </c>
      <c r="J3812" s="114" t="n"/>
      <c r="K3812" s="139">
        <f>IFERROR(IF(H3812&gt;0,H3812*$C$7,""),"")</f>
        <v/>
      </c>
      <c r="L3812" s="139">
        <f>IFERROR(IF(ISNUMBER(F3812),F3812-IF(ISNUMBER(K3812),K3812,0),""),"")</f>
        <v/>
      </c>
    </row>
    <row r="3813" ht="24" customHeight="1" s="63">
      <c r="E3813" s="139" t="n"/>
      <c r="F3813" s="139" t="n"/>
      <c r="G3813" s="140">
        <f>IFERROR(IF(E3813&gt;0,(F3813/E3813)*1000,""),"")</f>
        <v/>
      </c>
      <c r="H3813" s="139">
        <f>IFERROR(IF(E3813&gt;0,E3813*IF(ISNUMBER(J3813),J3813,IF(C3813="Futures",$C$6,$C$5)),""),"")</f>
        <v/>
      </c>
      <c r="I3813" s="139">
        <f>IFERROR(IF(AND(ISNUMBER(F3813),ISNUMBER(H3813)),F3813-H3813,""),"")</f>
        <v/>
      </c>
      <c r="J3813" s="114" t="n"/>
      <c r="K3813" s="139">
        <f>IFERROR(IF(H3813&gt;0,H3813*$C$7,""),"")</f>
        <v/>
      </c>
      <c r="L3813" s="139">
        <f>IFERROR(IF(ISNUMBER(F3813),F3813-IF(ISNUMBER(K3813),K3813,0),""),"")</f>
        <v/>
      </c>
    </row>
    <row r="3814" ht="24" customHeight="1" s="63">
      <c r="E3814" s="139" t="n"/>
      <c r="F3814" s="139" t="n"/>
      <c r="G3814" s="140">
        <f>IFERROR(IF(E3814&gt;0,(F3814/E3814)*1000,""),"")</f>
        <v/>
      </c>
      <c r="H3814" s="139">
        <f>IFERROR(IF(E3814&gt;0,E3814*IF(ISNUMBER(J3814),J3814,IF(C3814="Futures",$C$6,$C$5)),""),"")</f>
        <v/>
      </c>
      <c r="I3814" s="139">
        <f>IFERROR(IF(AND(ISNUMBER(F3814),ISNUMBER(H3814)),F3814-H3814,""),"")</f>
        <v/>
      </c>
      <c r="J3814" s="114" t="n"/>
      <c r="K3814" s="139">
        <f>IFERROR(IF(H3814&gt;0,H3814*$C$7,""),"")</f>
        <v/>
      </c>
      <c r="L3814" s="139">
        <f>IFERROR(IF(ISNUMBER(F3814),F3814-IF(ISNUMBER(K3814),K3814,0),""),"")</f>
        <v/>
      </c>
    </row>
    <row r="3815" ht="24" customHeight="1" s="63">
      <c r="E3815" s="139" t="n"/>
      <c r="F3815" s="139" t="n"/>
      <c r="G3815" s="140">
        <f>IFERROR(IF(E3815&gt;0,(F3815/E3815)*1000,""),"")</f>
        <v/>
      </c>
      <c r="H3815" s="139">
        <f>IFERROR(IF(E3815&gt;0,E3815*IF(ISNUMBER(J3815),J3815,IF(C3815="Futures",$C$6,$C$5)),""),"")</f>
        <v/>
      </c>
      <c r="I3815" s="139">
        <f>IFERROR(IF(AND(ISNUMBER(F3815),ISNUMBER(H3815)),F3815-H3815,""),"")</f>
        <v/>
      </c>
      <c r="J3815" s="114" t="n"/>
      <c r="K3815" s="139">
        <f>IFERROR(IF(H3815&gt;0,H3815*$C$7,""),"")</f>
        <v/>
      </c>
      <c r="L3815" s="139">
        <f>IFERROR(IF(ISNUMBER(F3815),F3815-IF(ISNUMBER(K3815),K3815,0),""),"")</f>
        <v/>
      </c>
    </row>
    <row r="3816" ht="24" customHeight="1" s="63">
      <c r="E3816" s="139" t="n"/>
      <c r="F3816" s="139" t="n"/>
      <c r="G3816" s="140">
        <f>IFERROR(IF(E3816&gt;0,(F3816/E3816)*1000,""),"")</f>
        <v/>
      </c>
      <c r="H3816" s="139">
        <f>IFERROR(IF(E3816&gt;0,E3816*IF(ISNUMBER(J3816),J3816,IF(C3816="Futures",$C$6,$C$5)),""),"")</f>
        <v/>
      </c>
      <c r="I3816" s="139">
        <f>IFERROR(IF(AND(ISNUMBER(F3816),ISNUMBER(H3816)),F3816-H3816,""),"")</f>
        <v/>
      </c>
      <c r="J3816" s="114" t="n"/>
      <c r="K3816" s="139">
        <f>IFERROR(IF(H3816&gt;0,H3816*$C$7,""),"")</f>
        <v/>
      </c>
      <c r="L3816" s="139">
        <f>IFERROR(IF(ISNUMBER(F3816),F3816-IF(ISNUMBER(K3816),K3816,0),""),"")</f>
        <v/>
      </c>
    </row>
    <row r="3817" ht="24" customHeight="1" s="63">
      <c r="E3817" s="139" t="n"/>
      <c r="F3817" s="139" t="n"/>
      <c r="G3817" s="140">
        <f>IFERROR(IF(E3817&gt;0,(F3817/E3817)*1000,""),"")</f>
        <v/>
      </c>
      <c r="H3817" s="139">
        <f>IFERROR(IF(E3817&gt;0,E3817*IF(ISNUMBER(J3817),J3817,IF(C3817="Futures",$C$6,$C$5)),""),"")</f>
        <v/>
      </c>
      <c r="I3817" s="139">
        <f>IFERROR(IF(AND(ISNUMBER(F3817),ISNUMBER(H3817)),F3817-H3817,""),"")</f>
        <v/>
      </c>
      <c r="J3817" s="114" t="n"/>
      <c r="K3817" s="139">
        <f>IFERROR(IF(H3817&gt;0,H3817*$C$7,""),"")</f>
        <v/>
      </c>
      <c r="L3817" s="139">
        <f>IFERROR(IF(ISNUMBER(F3817),F3817-IF(ISNUMBER(K3817),K3817,0),""),"")</f>
        <v/>
      </c>
    </row>
    <row r="3818" ht="24" customHeight="1" s="63">
      <c r="E3818" s="139" t="n"/>
      <c r="F3818" s="139" t="n"/>
      <c r="G3818" s="140">
        <f>IFERROR(IF(E3818&gt;0,(F3818/E3818)*1000,""),"")</f>
        <v/>
      </c>
      <c r="H3818" s="139">
        <f>IFERROR(IF(E3818&gt;0,E3818*IF(ISNUMBER(J3818),J3818,IF(C3818="Futures",$C$6,$C$5)),""),"")</f>
        <v/>
      </c>
      <c r="I3818" s="139">
        <f>IFERROR(IF(AND(ISNUMBER(F3818),ISNUMBER(H3818)),F3818-H3818,""),"")</f>
        <v/>
      </c>
      <c r="J3818" s="114" t="n"/>
      <c r="K3818" s="139">
        <f>IFERROR(IF(H3818&gt;0,H3818*$C$7,""),"")</f>
        <v/>
      </c>
      <c r="L3818" s="139">
        <f>IFERROR(IF(ISNUMBER(F3818),F3818-IF(ISNUMBER(K3818),K3818,0),""),"")</f>
        <v/>
      </c>
    </row>
    <row r="3819" ht="24" customHeight="1" s="63">
      <c r="E3819" s="139" t="n"/>
      <c r="F3819" s="139" t="n"/>
      <c r="G3819" s="140">
        <f>IFERROR(IF(E3819&gt;0,(F3819/E3819)*1000,""),"")</f>
        <v/>
      </c>
      <c r="H3819" s="139">
        <f>IFERROR(IF(E3819&gt;0,E3819*IF(ISNUMBER(J3819),J3819,IF(C3819="Futures",$C$6,$C$5)),""),"")</f>
        <v/>
      </c>
      <c r="I3819" s="139">
        <f>IFERROR(IF(AND(ISNUMBER(F3819),ISNUMBER(H3819)),F3819-H3819,""),"")</f>
        <v/>
      </c>
      <c r="J3819" s="114" t="n"/>
      <c r="K3819" s="139">
        <f>IFERROR(IF(H3819&gt;0,H3819*$C$7,""),"")</f>
        <v/>
      </c>
      <c r="L3819" s="139">
        <f>IFERROR(IF(ISNUMBER(F3819),F3819-IF(ISNUMBER(K3819),K3819,0),""),"")</f>
        <v/>
      </c>
    </row>
    <row r="3820" ht="24" customHeight="1" s="63">
      <c r="E3820" s="139" t="n"/>
      <c r="F3820" s="139" t="n"/>
      <c r="G3820" s="140">
        <f>IFERROR(IF(E3820&gt;0,(F3820/E3820)*1000,""),"")</f>
        <v/>
      </c>
      <c r="H3820" s="139">
        <f>IFERROR(IF(E3820&gt;0,E3820*IF(ISNUMBER(J3820),J3820,IF(C3820="Futures",$C$6,$C$5)),""),"")</f>
        <v/>
      </c>
      <c r="I3820" s="139">
        <f>IFERROR(IF(AND(ISNUMBER(F3820),ISNUMBER(H3820)),F3820-H3820,""),"")</f>
        <v/>
      </c>
      <c r="J3820" s="114" t="n"/>
      <c r="K3820" s="139">
        <f>IFERROR(IF(H3820&gt;0,H3820*$C$7,""),"")</f>
        <v/>
      </c>
      <c r="L3820" s="139">
        <f>IFERROR(IF(ISNUMBER(F3820),F3820-IF(ISNUMBER(K3820),K3820,0),""),"")</f>
        <v/>
      </c>
    </row>
    <row r="3821" ht="24" customHeight="1" s="63">
      <c r="E3821" s="139" t="n"/>
      <c r="F3821" s="139" t="n"/>
      <c r="G3821" s="140">
        <f>IFERROR(IF(E3821&gt;0,(F3821/E3821)*1000,""),"")</f>
        <v/>
      </c>
      <c r="H3821" s="139">
        <f>IFERROR(IF(E3821&gt;0,E3821*IF(ISNUMBER(J3821),J3821,IF(C3821="Futures",$C$6,$C$5)),""),"")</f>
        <v/>
      </c>
      <c r="I3821" s="139">
        <f>IFERROR(IF(AND(ISNUMBER(F3821),ISNUMBER(H3821)),F3821-H3821,""),"")</f>
        <v/>
      </c>
      <c r="J3821" s="114" t="n"/>
      <c r="K3821" s="139">
        <f>IFERROR(IF(H3821&gt;0,H3821*$C$7,""),"")</f>
        <v/>
      </c>
      <c r="L3821" s="139">
        <f>IFERROR(IF(ISNUMBER(F3821),F3821-IF(ISNUMBER(K3821),K3821,0),""),"")</f>
        <v/>
      </c>
    </row>
    <row r="3822" ht="24" customHeight="1" s="63">
      <c r="E3822" s="139" t="n"/>
      <c r="F3822" s="139" t="n"/>
      <c r="G3822" s="140">
        <f>IFERROR(IF(E3822&gt;0,(F3822/E3822)*1000,""),"")</f>
        <v/>
      </c>
      <c r="H3822" s="139">
        <f>IFERROR(IF(E3822&gt;0,E3822*IF(ISNUMBER(J3822),J3822,IF(C3822="Futures",$C$6,$C$5)),""),"")</f>
        <v/>
      </c>
      <c r="I3822" s="139">
        <f>IFERROR(IF(AND(ISNUMBER(F3822),ISNUMBER(H3822)),F3822-H3822,""),"")</f>
        <v/>
      </c>
      <c r="J3822" s="114" t="n"/>
      <c r="K3822" s="139">
        <f>IFERROR(IF(H3822&gt;0,H3822*$C$7,""),"")</f>
        <v/>
      </c>
      <c r="L3822" s="139">
        <f>IFERROR(IF(ISNUMBER(F3822),F3822-IF(ISNUMBER(K3822),K3822,0),""),"")</f>
        <v/>
      </c>
    </row>
    <row r="3823" ht="24" customHeight="1" s="63">
      <c r="E3823" s="139" t="n"/>
      <c r="F3823" s="139" t="n"/>
      <c r="G3823" s="140">
        <f>IFERROR(IF(E3823&gt;0,(F3823/E3823)*1000,""),"")</f>
        <v/>
      </c>
      <c r="H3823" s="139">
        <f>IFERROR(IF(E3823&gt;0,E3823*IF(ISNUMBER(J3823),J3823,IF(C3823="Futures",$C$6,$C$5)),""),"")</f>
        <v/>
      </c>
      <c r="I3823" s="139">
        <f>IFERROR(IF(AND(ISNUMBER(F3823),ISNUMBER(H3823)),F3823-H3823,""),"")</f>
        <v/>
      </c>
      <c r="J3823" s="114" t="n"/>
      <c r="K3823" s="139">
        <f>IFERROR(IF(H3823&gt;0,H3823*$C$7,""),"")</f>
        <v/>
      </c>
      <c r="L3823" s="139">
        <f>IFERROR(IF(ISNUMBER(F3823),F3823-IF(ISNUMBER(K3823),K3823,0),""),"")</f>
        <v/>
      </c>
    </row>
    <row r="3824" ht="24" customHeight="1" s="63">
      <c r="E3824" s="139" t="n"/>
      <c r="F3824" s="139" t="n"/>
      <c r="G3824" s="140">
        <f>IFERROR(IF(E3824&gt;0,(F3824/E3824)*1000,""),"")</f>
        <v/>
      </c>
      <c r="H3824" s="139">
        <f>IFERROR(IF(E3824&gt;0,E3824*IF(ISNUMBER(J3824),J3824,IF(C3824="Futures",$C$6,$C$5)),""),"")</f>
        <v/>
      </c>
      <c r="I3824" s="139">
        <f>IFERROR(IF(AND(ISNUMBER(F3824),ISNUMBER(H3824)),F3824-H3824,""),"")</f>
        <v/>
      </c>
      <c r="J3824" s="114" t="n"/>
      <c r="K3824" s="139">
        <f>IFERROR(IF(H3824&gt;0,H3824*$C$7,""),"")</f>
        <v/>
      </c>
      <c r="L3824" s="139">
        <f>IFERROR(IF(ISNUMBER(F3824),F3824-IF(ISNUMBER(K3824),K3824,0),""),"")</f>
        <v/>
      </c>
    </row>
    <row r="3825" ht="24" customHeight="1" s="63">
      <c r="E3825" s="139" t="n"/>
      <c r="F3825" s="139" t="n"/>
      <c r="G3825" s="140">
        <f>IFERROR(IF(E3825&gt;0,(F3825/E3825)*1000,""),"")</f>
        <v/>
      </c>
      <c r="H3825" s="139">
        <f>IFERROR(IF(E3825&gt;0,E3825*IF(ISNUMBER(J3825),J3825,IF(C3825="Futures",$C$6,$C$5)),""),"")</f>
        <v/>
      </c>
      <c r="I3825" s="139">
        <f>IFERROR(IF(AND(ISNUMBER(F3825),ISNUMBER(H3825)),F3825-H3825,""),"")</f>
        <v/>
      </c>
      <c r="J3825" s="114" t="n"/>
      <c r="K3825" s="139">
        <f>IFERROR(IF(H3825&gt;0,H3825*$C$7,""),"")</f>
        <v/>
      </c>
      <c r="L3825" s="139">
        <f>IFERROR(IF(ISNUMBER(F3825),F3825-IF(ISNUMBER(K3825),K3825,0),""),"")</f>
        <v/>
      </c>
    </row>
    <row r="3826" ht="24" customHeight="1" s="63">
      <c r="E3826" s="139" t="n"/>
      <c r="F3826" s="139" t="n"/>
      <c r="G3826" s="140">
        <f>IFERROR(IF(E3826&gt;0,(F3826/E3826)*1000,""),"")</f>
        <v/>
      </c>
      <c r="H3826" s="139">
        <f>IFERROR(IF(E3826&gt;0,E3826*IF(ISNUMBER(J3826),J3826,IF(C3826="Futures",$C$6,$C$5)),""),"")</f>
        <v/>
      </c>
      <c r="I3826" s="139">
        <f>IFERROR(IF(AND(ISNUMBER(F3826),ISNUMBER(H3826)),F3826-H3826,""),"")</f>
        <v/>
      </c>
      <c r="J3826" s="114" t="n"/>
      <c r="K3826" s="139">
        <f>IFERROR(IF(H3826&gt;0,H3826*$C$7,""),"")</f>
        <v/>
      </c>
      <c r="L3826" s="139">
        <f>IFERROR(IF(ISNUMBER(F3826),F3826-IF(ISNUMBER(K3826),K3826,0),""),"")</f>
        <v/>
      </c>
    </row>
    <row r="3827" ht="24" customHeight="1" s="63">
      <c r="E3827" s="139" t="n"/>
      <c r="F3827" s="139" t="n"/>
      <c r="G3827" s="140">
        <f>IFERROR(IF(E3827&gt;0,(F3827/E3827)*1000,""),"")</f>
        <v/>
      </c>
      <c r="H3827" s="139">
        <f>IFERROR(IF(E3827&gt;0,E3827*IF(ISNUMBER(J3827),J3827,IF(C3827="Futures",$C$6,$C$5)),""),"")</f>
        <v/>
      </c>
      <c r="I3827" s="139">
        <f>IFERROR(IF(AND(ISNUMBER(F3827),ISNUMBER(H3827)),F3827-H3827,""),"")</f>
        <v/>
      </c>
      <c r="J3827" s="114" t="n"/>
      <c r="K3827" s="139">
        <f>IFERROR(IF(H3827&gt;0,H3827*$C$7,""),"")</f>
        <v/>
      </c>
      <c r="L3827" s="139">
        <f>IFERROR(IF(ISNUMBER(F3827),F3827-IF(ISNUMBER(K3827),K3827,0),""),"")</f>
        <v/>
      </c>
    </row>
    <row r="3828" ht="24" customHeight="1" s="63">
      <c r="E3828" s="139" t="n"/>
      <c r="F3828" s="139" t="n"/>
      <c r="G3828" s="140">
        <f>IFERROR(IF(E3828&gt;0,(F3828/E3828)*1000,""),"")</f>
        <v/>
      </c>
      <c r="H3828" s="139">
        <f>IFERROR(IF(E3828&gt;0,E3828*IF(ISNUMBER(J3828),J3828,IF(C3828="Futures",$C$6,$C$5)),""),"")</f>
        <v/>
      </c>
      <c r="I3828" s="139">
        <f>IFERROR(IF(AND(ISNUMBER(F3828),ISNUMBER(H3828)),F3828-H3828,""),"")</f>
        <v/>
      </c>
      <c r="J3828" s="114" t="n"/>
      <c r="K3828" s="139">
        <f>IFERROR(IF(H3828&gt;0,H3828*$C$7,""),"")</f>
        <v/>
      </c>
      <c r="L3828" s="139">
        <f>IFERROR(IF(ISNUMBER(F3828),F3828-IF(ISNUMBER(K3828),K3828,0),""),"")</f>
        <v/>
      </c>
    </row>
    <row r="3829" ht="24" customHeight="1" s="63">
      <c r="E3829" s="139" t="n"/>
      <c r="F3829" s="139" t="n"/>
      <c r="G3829" s="140">
        <f>IFERROR(IF(E3829&gt;0,(F3829/E3829)*1000,""),"")</f>
        <v/>
      </c>
      <c r="H3829" s="139">
        <f>IFERROR(IF(E3829&gt;0,E3829*IF(ISNUMBER(J3829),J3829,IF(C3829="Futures",$C$6,$C$5)),""),"")</f>
        <v/>
      </c>
      <c r="I3829" s="139">
        <f>IFERROR(IF(AND(ISNUMBER(F3829),ISNUMBER(H3829)),F3829-H3829,""),"")</f>
        <v/>
      </c>
      <c r="J3829" s="114" t="n"/>
      <c r="K3829" s="139">
        <f>IFERROR(IF(H3829&gt;0,H3829*$C$7,""),"")</f>
        <v/>
      </c>
      <c r="L3829" s="139">
        <f>IFERROR(IF(ISNUMBER(F3829),F3829-IF(ISNUMBER(K3829),K3829,0),""),"")</f>
        <v/>
      </c>
    </row>
    <row r="3830" ht="24" customHeight="1" s="63">
      <c r="E3830" s="139" t="n"/>
      <c r="F3830" s="139" t="n"/>
      <c r="G3830" s="140">
        <f>IFERROR(IF(E3830&gt;0,(F3830/E3830)*1000,""),"")</f>
        <v/>
      </c>
      <c r="H3830" s="139">
        <f>IFERROR(IF(E3830&gt;0,E3830*IF(ISNUMBER(J3830),J3830,IF(C3830="Futures",$C$6,$C$5)),""),"")</f>
        <v/>
      </c>
      <c r="I3830" s="139">
        <f>IFERROR(IF(AND(ISNUMBER(F3830),ISNUMBER(H3830)),F3830-H3830,""),"")</f>
        <v/>
      </c>
      <c r="J3830" s="114" t="n"/>
      <c r="K3830" s="139">
        <f>IFERROR(IF(H3830&gt;0,H3830*$C$7,""),"")</f>
        <v/>
      </c>
      <c r="L3830" s="139">
        <f>IFERROR(IF(ISNUMBER(F3830),F3830-IF(ISNUMBER(K3830),K3830,0),""),"")</f>
        <v/>
      </c>
    </row>
    <row r="3831" ht="24" customHeight="1" s="63">
      <c r="E3831" s="139" t="n"/>
      <c r="F3831" s="139" t="n"/>
      <c r="G3831" s="140">
        <f>IFERROR(IF(E3831&gt;0,(F3831/E3831)*1000,""),"")</f>
        <v/>
      </c>
      <c r="H3831" s="139">
        <f>IFERROR(IF(E3831&gt;0,E3831*IF(ISNUMBER(J3831),J3831,IF(C3831="Futures",$C$6,$C$5)),""),"")</f>
        <v/>
      </c>
      <c r="I3831" s="139">
        <f>IFERROR(IF(AND(ISNUMBER(F3831),ISNUMBER(H3831)),F3831-H3831,""),"")</f>
        <v/>
      </c>
      <c r="J3831" s="114" t="n"/>
      <c r="K3831" s="139">
        <f>IFERROR(IF(H3831&gt;0,H3831*$C$7,""),"")</f>
        <v/>
      </c>
      <c r="L3831" s="139">
        <f>IFERROR(IF(ISNUMBER(F3831),F3831-IF(ISNUMBER(K3831),K3831,0),""),"")</f>
        <v/>
      </c>
    </row>
    <row r="3832" ht="24" customHeight="1" s="63">
      <c r="E3832" s="139" t="n"/>
      <c r="F3832" s="139" t="n"/>
      <c r="G3832" s="140">
        <f>IFERROR(IF(E3832&gt;0,(F3832/E3832)*1000,""),"")</f>
        <v/>
      </c>
      <c r="H3832" s="139">
        <f>IFERROR(IF(E3832&gt;0,E3832*IF(ISNUMBER(J3832),J3832,IF(C3832="Futures",$C$6,$C$5)),""),"")</f>
        <v/>
      </c>
      <c r="I3832" s="139">
        <f>IFERROR(IF(AND(ISNUMBER(F3832),ISNUMBER(H3832)),F3832-H3832,""),"")</f>
        <v/>
      </c>
      <c r="J3832" s="114" t="n"/>
      <c r="K3832" s="139">
        <f>IFERROR(IF(H3832&gt;0,H3832*$C$7,""),"")</f>
        <v/>
      </c>
      <c r="L3832" s="139">
        <f>IFERROR(IF(ISNUMBER(F3832),F3832-IF(ISNUMBER(K3832),K3832,0),""),"")</f>
        <v/>
      </c>
    </row>
    <row r="3833" ht="24" customHeight="1" s="63">
      <c r="E3833" s="139" t="n"/>
      <c r="F3833" s="139" t="n"/>
      <c r="G3833" s="140">
        <f>IFERROR(IF(E3833&gt;0,(F3833/E3833)*1000,""),"")</f>
        <v/>
      </c>
      <c r="H3833" s="139">
        <f>IFERROR(IF(E3833&gt;0,E3833*IF(ISNUMBER(J3833),J3833,IF(C3833="Futures",$C$6,$C$5)),""),"")</f>
        <v/>
      </c>
      <c r="I3833" s="139">
        <f>IFERROR(IF(AND(ISNUMBER(F3833),ISNUMBER(H3833)),F3833-H3833,""),"")</f>
        <v/>
      </c>
      <c r="J3833" s="114" t="n"/>
      <c r="K3833" s="139">
        <f>IFERROR(IF(H3833&gt;0,H3833*$C$7,""),"")</f>
        <v/>
      </c>
      <c r="L3833" s="139">
        <f>IFERROR(IF(ISNUMBER(F3833),F3833-IF(ISNUMBER(K3833),K3833,0),""),"")</f>
        <v/>
      </c>
    </row>
    <row r="3834" ht="24" customHeight="1" s="63">
      <c r="E3834" s="139" t="n"/>
      <c r="F3834" s="139" t="n"/>
      <c r="G3834" s="140">
        <f>IFERROR(IF(E3834&gt;0,(F3834/E3834)*1000,""),"")</f>
        <v/>
      </c>
      <c r="H3834" s="139">
        <f>IFERROR(IF(E3834&gt;0,E3834*IF(ISNUMBER(J3834),J3834,IF(C3834="Futures",$C$6,$C$5)),""),"")</f>
        <v/>
      </c>
      <c r="I3834" s="139">
        <f>IFERROR(IF(AND(ISNUMBER(F3834),ISNUMBER(H3834)),F3834-H3834,""),"")</f>
        <v/>
      </c>
      <c r="J3834" s="114" t="n"/>
      <c r="K3834" s="139">
        <f>IFERROR(IF(H3834&gt;0,H3834*$C$7,""),"")</f>
        <v/>
      </c>
      <c r="L3834" s="139">
        <f>IFERROR(IF(ISNUMBER(F3834),F3834-IF(ISNUMBER(K3834),K3834,0),""),"")</f>
        <v/>
      </c>
    </row>
    <row r="3835" ht="24" customHeight="1" s="63">
      <c r="E3835" s="139" t="n"/>
      <c r="F3835" s="139" t="n"/>
      <c r="G3835" s="140">
        <f>IFERROR(IF(E3835&gt;0,(F3835/E3835)*1000,""),"")</f>
        <v/>
      </c>
      <c r="H3835" s="139">
        <f>IFERROR(IF(E3835&gt;0,E3835*IF(ISNUMBER(J3835),J3835,IF(C3835="Futures",$C$6,$C$5)),""),"")</f>
        <v/>
      </c>
      <c r="I3835" s="139">
        <f>IFERROR(IF(AND(ISNUMBER(F3835),ISNUMBER(H3835)),F3835-H3835,""),"")</f>
        <v/>
      </c>
      <c r="J3835" s="114" t="n"/>
      <c r="K3835" s="139">
        <f>IFERROR(IF(H3835&gt;0,H3835*$C$7,""),"")</f>
        <v/>
      </c>
      <c r="L3835" s="139">
        <f>IFERROR(IF(ISNUMBER(F3835),F3835-IF(ISNUMBER(K3835),K3835,0),""),"")</f>
        <v/>
      </c>
    </row>
    <row r="3836" ht="24" customHeight="1" s="63">
      <c r="E3836" s="139" t="n"/>
      <c r="F3836" s="139" t="n"/>
      <c r="G3836" s="140">
        <f>IFERROR(IF(E3836&gt;0,(F3836/E3836)*1000,""),"")</f>
        <v/>
      </c>
      <c r="H3836" s="139">
        <f>IFERROR(IF(E3836&gt;0,E3836*IF(ISNUMBER(J3836),J3836,IF(C3836="Futures",$C$6,$C$5)),""),"")</f>
        <v/>
      </c>
      <c r="I3836" s="139">
        <f>IFERROR(IF(AND(ISNUMBER(F3836),ISNUMBER(H3836)),F3836-H3836,""),"")</f>
        <v/>
      </c>
      <c r="J3836" s="114" t="n"/>
      <c r="K3836" s="139">
        <f>IFERROR(IF(H3836&gt;0,H3836*$C$7,""),"")</f>
        <v/>
      </c>
      <c r="L3836" s="139">
        <f>IFERROR(IF(ISNUMBER(F3836),F3836-IF(ISNUMBER(K3836),K3836,0),""),"")</f>
        <v/>
      </c>
    </row>
    <row r="3837" ht="24" customHeight="1" s="63">
      <c r="E3837" s="139" t="n"/>
      <c r="F3837" s="139" t="n"/>
      <c r="G3837" s="140">
        <f>IFERROR(IF(E3837&gt;0,(F3837/E3837)*1000,""),"")</f>
        <v/>
      </c>
      <c r="H3837" s="139">
        <f>IFERROR(IF(E3837&gt;0,E3837*IF(ISNUMBER(J3837),J3837,IF(C3837="Futures",$C$6,$C$5)),""),"")</f>
        <v/>
      </c>
      <c r="I3837" s="139">
        <f>IFERROR(IF(AND(ISNUMBER(F3837),ISNUMBER(H3837)),F3837-H3837,""),"")</f>
        <v/>
      </c>
      <c r="J3837" s="114" t="n"/>
      <c r="K3837" s="139">
        <f>IFERROR(IF(H3837&gt;0,H3837*$C$7,""),"")</f>
        <v/>
      </c>
      <c r="L3837" s="139">
        <f>IFERROR(IF(ISNUMBER(F3837),F3837-IF(ISNUMBER(K3837),K3837,0),""),"")</f>
        <v/>
      </c>
    </row>
    <row r="3838" ht="24" customHeight="1" s="63">
      <c r="E3838" s="139" t="n"/>
      <c r="F3838" s="139" t="n"/>
      <c r="G3838" s="140">
        <f>IFERROR(IF(E3838&gt;0,(F3838/E3838)*1000,""),"")</f>
        <v/>
      </c>
      <c r="H3838" s="139">
        <f>IFERROR(IF(E3838&gt;0,E3838*IF(ISNUMBER(J3838),J3838,IF(C3838="Futures",$C$6,$C$5)),""),"")</f>
        <v/>
      </c>
      <c r="I3838" s="139">
        <f>IFERROR(IF(AND(ISNUMBER(F3838),ISNUMBER(H3838)),F3838-H3838,""),"")</f>
        <v/>
      </c>
      <c r="J3838" s="114" t="n"/>
      <c r="K3838" s="139">
        <f>IFERROR(IF(H3838&gt;0,H3838*$C$7,""),"")</f>
        <v/>
      </c>
      <c r="L3838" s="139">
        <f>IFERROR(IF(ISNUMBER(F3838),F3838-IF(ISNUMBER(K3838),K3838,0),""),"")</f>
        <v/>
      </c>
    </row>
    <row r="3839" ht="24" customHeight="1" s="63">
      <c r="E3839" s="139" t="n"/>
      <c r="F3839" s="139" t="n"/>
      <c r="G3839" s="140">
        <f>IFERROR(IF(E3839&gt;0,(F3839/E3839)*1000,""),"")</f>
        <v/>
      </c>
      <c r="H3839" s="139">
        <f>IFERROR(IF(E3839&gt;0,E3839*IF(ISNUMBER(J3839),J3839,IF(C3839="Futures",$C$6,$C$5)),""),"")</f>
        <v/>
      </c>
      <c r="I3839" s="139">
        <f>IFERROR(IF(AND(ISNUMBER(F3839),ISNUMBER(H3839)),F3839-H3839,""),"")</f>
        <v/>
      </c>
      <c r="J3839" s="114" t="n"/>
      <c r="K3839" s="139">
        <f>IFERROR(IF(H3839&gt;0,H3839*$C$7,""),"")</f>
        <v/>
      </c>
      <c r="L3839" s="139">
        <f>IFERROR(IF(ISNUMBER(F3839),F3839-IF(ISNUMBER(K3839),K3839,0),""),"")</f>
        <v/>
      </c>
    </row>
    <row r="3840" ht="24" customHeight="1" s="63">
      <c r="E3840" s="139" t="n"/>
      <c r="F3840" s="139" t="n"/>
      <c r="G3840" s="140">
        <f>IFERROR(IF(E3840&gt;0,(F3840/E3840)*1000,""),"")</f>
        <v/>
      </c>
      <c r="H3840" s="139">
        <f>IFERROR(IF(E3840&gt;0,E3840*IF(ISNUMBER(J3840),J3840,IF(C3840="Futures",$C$6,$C$5)),""),"")</f>
        <v/>
      </c>
      <c r="I3840" s="139">
        <f>IFERROR(IF(AND(ISNUMBER(F3840),ISNUMBER(H3840)),F3840-H3840,""),"")</f>
        <v/>
      </c>
      <c r="J3840" s="114" t="n"/>
      <c r="K3840" s="139">
        <f>IFERROR(IF(H3840&gt;0,H3840*$C$7,""),"")</f>
        <v/>
      </c>
      <c r="L3840" s="139">
        <f>IFERROR(IF(ISNUMBER(F3840),F3840-IF(ISNUMBER(K3840),K3840,0),""),"")</f>
        <v/>
      </c>
    </row>
    <row r="3841" ht="24" customHeight="1" s="63">
      <c r="E3841" s="139" t="n"/>
      <c r="F3841" s="139" t="n"/>
      <c r="G3841" s="140">
        <f>IFERROR(IF(E3841&gt;0,(F3841/E3841)*1000,""),"")</f>
        <v/>
      </c>
      <c r="H3841" s="139">
        <f>IFERROR(IF(E3841&gt;0,E3841*IF(ISNUMBER(J3841),J3841,IF(C3841="Futures",$C$6,$C$5)),""),"")</f>
        <v/>
      </c>
      <c r="I3841" s="139">
        <f>IFERROR(IF(AND(ISNUMBER(F3841),ISNUMBER(H3841)),F3841-H3841,""),"")</f>
        <v/>
      </c>
      <c r="J3841" s="114" t="n"/>
      <c r="K3841" s="139">
        <f>IFERROR(IF(H3841&gt;0,H3841*$C$7,""),"")</f>
        <v/>
      </c>
      <c r="L3841" s="139">
        <f>IFERROR(IF(ISNUMBER(F3841),F3841-IF(ISNUMBER(K3841),K3841,0),""),"")</f>
        <v/>
      </c>
    </row>
    <row r="3842" ht="24" customHeight="1" s="63">
      <c r="E3842" s="139" t="n"/>
      <c r="F3842" s="139" t="n"/>
      <c r="G3842" s="140">
        <f>IFERROR(IF(E3842&gt;0,(F3842/E3842)*1000,""),"")</f>
        <v/>
      </c>
      <c r="H3842" s="139">
        <f>IFERROR(IF(E3842&gt;0,E3842*IF(ISNUMBER(J3842),J3842,IF(C3842="Futures",$C$6,$C$5)),""),"")</f>
        <v/>
      </c>
      <c r="I3842" s="139">
        <f>IFERROR(IF(AND(ISNUMBER(F3842),ISNUMBER(H3842)),F3842-H3842,""),"")</f>
        <v/>
      </c>
      <c r="J3842" s="114" t="n"/>
      <c r="K3842" s="139">
        <f>IFERROR(IF(H3842&gt;0,H3842*$C$7,""),"")</f>
        <v/>
      </c>
      <c r="L3842" s="139">
        <f>IFERROR(IF(ISNUMBER(F3842),F3842-IF(ISNUMBER(K3842),K3842,0),""),"")</f>
        <v/>
      </c>
    </row>
    <row r="3843" ht="24" customHeight="1" s="63">
      <c r="E3843" s="139" t="n"/>
      <c r="F3843" s="139" t="n"/>
      <c r="G3843" s="140">
        <f>IFERROR(IF(E3843&gt;0,(F3843/E3843)*1000,""),"")</f>
        <v/>
      </c>
      <c r="H3843" s="139">
        <f>IFERROR(IF(E3843&gt;0,E3843*IF(ISNUMBER(J3843),J3843,IF(C3843="Futures",$C$6,$C$5)),""),"")</f>
        <v/>
      </c>
      <c r="I3843" s="139">
        <f>IFERROR(IF(AND(ISNUMBER(F3843),ISNUMBER(H3843)),F3843-H3843,""),"")</f>
        <v/>
      </c>
      <c r="J3843" s="114" t="n"/>
      <c r="K3843" s="139">
        <f>IFERROR(IF(H3843&gt;0,H3843*$C$7,""),"")</f>
        <v/>
      </c>
      <c r="L3843" s="139">
        <f>IFERROR(IF(ISNUMBER(F3843),F3843-IF(ISNUMBER(K3843),K3843,0),""),"")</f>
        <v/>
      </c>
    </row>
    <row r="3844" ht="24" customHeight="1" s="63">
      <c r="E3844" s="139" t="n"/>
      <c r="F3844" s="139" t="n"/>
      <c r="G3844" s="140">
        <f>IFERROR(IF(E3844&gt;0,(F3844/E3844)*1000,""),"")</f>
        <v/>
      </c>
      <c r="H3844" s="139">
        <f>IFERROR(IF(E3844&gt;0,E3844*IF(ISNUMBER(J3844),J3844,IF(C3844="Futures",$C$6,$C$5)),""),"")</f>
        <v/>
      </c>
      <c r="I3844" s="139">
        <f>IFERROR(IF(AND(ISNUMBER(F3844),ISNUMBER(H3844)),F3844-H3844,""),"")</f>
        <v/>
      </c>
      <c r="J3844" s="114" t="n"/>
      <c r="K3844" s="139">
        <f>IFERROR(IF(H3844&gt;0,H3844*$C$7,""),"")</f>
        <v/>
      </c>
      <c r="L3844" s="139">
        <f>IFERROR(IF(ISNUMBER(F3844),F3844-IF(ISNUMBER(K3844),K3844,0),""),"")</f>
        <v/>
      </c>
    </row>
    <row r="3845" ht="24" customHeight="1" s="63">
      <c r="E3845" s="139" t="n"/>
      <c r="F3845" s="139" t="n"/>
      <c r="G3845" s="140">
        <f>IFERROR(IF(E3845&gt;0,(F3845/E3845)*1000,""),"")</f>
        <v/>
      </c>
      <c r="H3845" s="139">
        <f>IFERROR(IF(E3845&gt;0,E3845*IF(ISNUMBER(J3845),J3845,IF(C3845="Futures",$C$6,$C$5)),""),"")</f>
        <v/>
      </c>
      <c r="I3845" s="139">
        <f>IFERROR(IF(AND(ISNUMBER(F3845),ISNUMBER(H3845)),F3845-H3845,""),"")</f>
        <v/>
      </c>
      <c r="J3845" s="114" t="n"/>
      <c r="K3845" s="139">
        <f>IFERROR(IF(H3845&gt;0,H3845*$C$7,""),"")</f>
        <v/>
      </c>
      <c r="L3845" s="139">
        <f>IFERROR(IF(ISNUMBER(F3845),F3845-IF(ISNUMBER(K3845),K3845,0),""),"")</f>
        <v/>
      </c>
    </row>
    <row r="3846" ht="24" customHeight="1" s="63">
      <c r="E3846" s="139" t="n"/>
      <c r="F3846" s="139" t="n"/>
      <c r="G3846" s="140">
        <f>IFERROR(IF(E3846&gt;0,(F3846/E3846)*1000,""),"")</f>
        <v/>
      </c>
      <c r="H3846" s="139">
        <f>IFERROR(IF(E3846&gt;0,E3846*IF(ISNUMBER(J3846),J3846,IF(C3846="Futures",$C$6,$C$5)),""),"")</f>
        <v/>
      </c>
      <c r="I3846" s="139">
        <f>IFERROR(IF(AND(ISNUMBER(F3846),ISNUMBER(H3846)),F3846-H3846,""),"")</f>
        <v/>
      </c>
      <c r="J3846" s="114" t="n"/>
      <c r="K3846" s="139">
        <f>IFERROR(IF(H3846&gt;0,H3846*$C$7,""),"")</f>
        <v/>
      </c>
      <c r="L3846" s="139">
        <f>IFERROR(IF(ISNUMBER(F3846),F3846-IF(ISNUMBER(K3846),K3846,0),""),"")</f>
        <v/>
      </c>
    </row>
    <row r="3847" ht="24" customHeight="1" s="63">
      <c r="E3847" s="139" t="n"/>
      <c r="F3847" s="139" t="n"/>
      <c r="G3847" s="140">
        <f>IFERROR(IF(E3847&gt;0,(F3847/E3847)*1000,""),"")</f>
        <v/>
      </c>
      <c r="H3847" s="139">
        <f>IFERROR(IF(E3847&gt;0,E3847*IF(ISNUMBER(J3847),J3847,IF(C3847="Futures",$C$6,$C$5)),""),"")</f>
        <v/>
      </c>
      <c r="I3847" s="139">
        <f>IFERROR(IF(AND(ISNUMBER(F3847),ISNUMBER(H3847)),F3847-H3847,""),"")</f>
        <v/>
      </c>
      <c r="J3847" s="114" t="n"/>
      <c r="K3847" s="139">
        <f>IFERROR(IF(H3847&gt;0,H3847*$C$7,""),"")</f>
        <v/>
      </c>
      <c r="L3847" s="139">
        <f>IFERROR(IF(ISNUMBER(F3847),F3847-IF(ISNUMBER(K3847),K3847,0),""),"")</f>
        <v/>
      </c>
    </row>
    <row r="3848" ht="24" customHeight="1" s="63">
      <c r="E3848" s="139" t="n"/>
      <c r="F3848" s="139" t="n"/>
      <c r="G3848" s="140">
        <f>IFERROR(IF(E3848&gt;0,(F3848/E3848)*1000,""),"")</f>
        <v/>
      </c>
      <c r="H3848" s="139">
        <f>IFERROR(IF(E3848&gt;0,E3848*IF(ISNUMBER(J3848),J3848,IF(C3848="Futures",$C$6,$C$5)),""),"")</f>
        <v/>
      </c>
      <c r="I3848" s="139">
        <f>IFERROR(IF(AND(ISNUMBER(F3848),ISNUMBER(H3848)),F3848-H3848,""),"")</f>
        <v/>
      </c>
      <c r="J3848" s="114" t="n"/>
      <c r="K3848" s="139">
        <f>IFERROR(IF(H3848&gt;0,H3848*$C$7,""),"")</f>
        <v/>
      </c>
      <c r="L3848" s="139">
        <f>IFERROR(IF(ISNUMBER(F3848),F3848-IF(ISNUMBER(K3848),K3848,0),""),"")</f>
        <v/>
      </c>
    </row>
    <row r="3849" ht="24" customHeight="1" s="63">
      <c r="E3849" s="139" t="n"/>
      <c r="F3849" s="139" t="n"/>
      <c r="G3849" s="140">
        <f>IFERROR(IF(E3849&gt;0,(F3849/E3849)*1000,""),"")</f>
        <v/>
      </c>
      <c r="H3849" s="139">
        <f>IFERROR(IF(E3849&gt;0,E3849*IF(ISNUMBER(J3849),J3849,IF(C3849="Futures",$C$6,$C$5)),""),"")</f>
        <v/>
      </c>
      <c r="I3849" s="139">
        <f>IFERROR(IF(AND(ISNUMBER(F3849),ISNUMBER(H3849)),F3849-H3849,""),"")</f>
        <v/>
      </c>
      <c r="J3849" s="114" t="n"/>
      <c r="K3849" s="139">
        <f>IFERROR(IF(H3849&gt;0,H3849*$C$7,""),"")</f>
        <v/>
      </c>
      <c r="L3849" s="139">
        <f>IFERROR(IF(ISNUMBER(F3849),F3849-IF(ISNUMBER(K3849),K3849,0),""),"")</f>
        <v/>
      </c>
    </row>
    <row r="3850" ht="24" customHeight="1" s="63">
      <c r="E3850" s="139" t="n"/>
      <c r="F3850" s="139" t="n"/>
      <c r="G3850" s="140">
        <f>IFERROR(IF(E3850&gt;0,(F3850/E3850)*1000,""),"")</f>
        <v/>
      </c>
      <c r="H3850" s="139">
        <f>IFERROR(IF(E3850&gt;0,E3850*IF(ISNUMBER(J3850),J3850,IF(C3850="Futures",$C$6,$C$5)),""),"")</f>
        <v/>
      </c>
      <c r="I3850" s="139">
        <f>IFERROR(IF(AND(ISNUMBER(F3850),ISNUMBER(H3850)),F3850-H3850,""),"")</f>
        <v/>
      </c>
      <c r="J3850" s="114" t="n"/>
      <c r="K3850" s="139">
        <f>IFERROR(IF(H3850&gt;0,H3850*$C$7,""),"")</f>
        <v/>
      </c>
      <c r="L3850" s="139">
        <f>IFERROR(IF(ISNUMBER(F3850),F3850-IF(ISNUMBER(K3850),K3850,0),""),"")</f>
        <v/>
      </c>
    </row>
    <row r="3851" ht="24" customHeight="1" s="63">
      <c r="E3851" s="139" t="n"/>
      <c r="F3851" s="139" t="n"/>
      <c r="G3851" s="140">
        <f>IFERROR(IF(E3851&gt;0,(F3851/E3851)*1000,""),"")</f>
        <v/>
      </c>
      <c r="H3851" s="139">
        <f>IFERROR(IF(E3851&gt;0,E3851*IF(ISNUMBER(J3851),J3851,IF(C3851="Futures",$C$6,$C$5)),""),"")</f>
        <v/>
      </c>
      <c r="I3851" s="139">
        <f>IFERROR(IF(AND(ISNUMBER(F3851),ISNUMBER(H3851)),F3851-H3851,""),"")</f>
        <v/>
      </c>
      <c r="J3851" s="114" t="n"/>
      <c r="K3851" s="139">
        <f>IFERROR(IF(H3851&gt;0,H3851*$C$7,""),"")</f>
        <v/>
      </c>
      <c r="L3851" s="139">
        <f>IFERROR(IF(ISNUMBER(F3851),F3851-IF(ISNUMBER(K3851),K3851,0),""),"")</f>
        <v/>
      </c>
    </row>
    <row r="3852" ht="24" customHeight="1" s="63">
      <c r="E3852" s="139" t="n"/>
      <c r="F3852" s="139" t="n"/>
      <c r="G3852" s="140">
        <f>IFERROR(IF(E3852&gt;0,(F3852/E3852)*1000,""),"")</f>
        <v/>
      </c>
      <c r="H3852" s="139">
        <f>IFERROR(IF(E3852&gt;0,E3852*IF(ISNUMBER(J3852),J3852,IF(C3852="Futures",$C$6,$C$5)),""),"")</f>
        <v/>
      </c>
      <c r="I3852" s="139">
        <f>IFERROR(IF(AND(ISNUMBER(F3852),ISNUMBER(H3852)),F3852-H3852,""),"")</f>
        <v/>
      </c>
      <c r="J3852" s="114" t="n"/>
      <c r="K3852" s="139">
        <f>IFERROR(IF(H3852&gt;0,H3852*$C$7,""),"")</f>
        <v/>
      </c>
      <c r="L3852" s="139">
        <f>IFERROR(IF(ISNUMBER(F3852),F3852-IF(ISNUMBER(K3852),K3852,0),""),"")</f>
        <v/>
      </c>
    </row>
    <row r="3853" ht="24" customHeight="1" s="63">
      <c r="E3853" s="139" t="n"/>
      <c r="F3853" s="139" t="n"/>
      <c r="G3853" s="140">
        <f>IFERROR(IF(E3853&gt;0,(F3853/E3853)*1000,""),"")</f>
        <v/>
      </c>
      <c r="H3853" s="139">
        <f>IFERROR(IF(E3853&gt;0,E3853*IF(ISNUMBER(J3853),J3853,IF(C3853="Futures",$C$6,$C$5)),""),"")</f>
        <v/>
      </c>
      <c r="I3853" s="139">
        <f>IFERROR(IF(AND(ISNUMBER(F3853),ISNUMBER(H3853)),F3853-H3853,""),"")</f>
        <v/>
      </c>
      <c r="J3853" s="114" t="n"/>
      <c r="K3853" s="139">
        <f>IFERROR(IF(H3853&gt;0,H3853*$C$7,""),"")</f>
        <v/>
      </c>
      <c r="L3853" s="139">
        <f>IFERROR(IF(ISNUMBER(F3853),F3853-IF(ISNUMBER(K3853),K3853,0),""),"")</f>
        <v/>
      </c>
    </row>
    <row r="3854" ht="24" customHeight="1" s="63">
      <c r="E3854" s="139" t="n"/>
      <c r="F3854" s="139" t="n"/>
      <c r="G3854" s="140">
        <f>IFERROR(IF(E3854&gt;0,(F3854/E3854)*1000,""),"")</f>
        <v/>
      </c>
      <c r="H3854" s="139">
        <f>IFERROR(IF(E3854&gt;0,E3854*IF(ISNUMBER(J3854),J3854,IF(C3854="Futures",$C$6,$C$5)),""),"")</f>
        <v/>
      </c>
      <c r="I3854" s="139">
        <f>IFERROR(IF(AND(ISNUMBER(F3854),ISNUMBER(H3854)),F3854-H3854,""),"")</f>
        <v/>
      </c>
      <c r="J3854" s="114" t="n"/>
      <c r="K3854" s="139">
        <f>IFERROR(IF(H3854&gt;0,H3854*$C$7,""),"")</f>
        <v/>
      </c>
      <c r="L3854" s="139">
        <f>IFERROR(IF(ISNUMBER(F3854),F3854-IF(ISNUMBER(K3854),K3854,0),""),"")</f>
        <v/>
      </c>
    </row>
    <row r="3855" ht="24" customHeight="1" s="63">
      <c r="E3855" s="139" t="n"/>
      <c r="F3855" s="139" t="n"/>
      <c r="G3855" s="140">
        <f>IFERROR(IF(E3855&gt;0,(F3855/E3855)*1000,""),"")</f>
        <v/>
      </c>
      <c r="H3855" s="139">
        <f>IFERROR(IF(E3855&gt;0,E3855*IF(ISNUMBER(J3855),J3855,IF(C3855="Futures",$C$6,$C$5)),""),"")</f>
        <v/>
      </c>
      <c r="I3855" s="139">
        <f>IFERROR(IF(AND(ISNUMBER(F3855),ISNUMBER(H3855)),F3855-H3855,""),"")</f>
        <v/>
      </c>
      <c r="J3855" s="114" t="n"/>
      <c r="K3855" s="139">
        <f>IFERROR(IF(H3855&gt;0,H3855*$C$7,""),"")</f>
        <v/>
      </c>
      <c r="L3855" s="139">
        <f>IFERROR(IF(ISNUMBER(F3855),F3855-IF(ISNUMBER(K3855),K3855,0),""),"")</f>
        <v/>
      </c>
    </row>
    <row r="3856" ht="24" customHeight="1" s="63">
      <c r="E3856" s="139" t="n"/>
      <c r="F3856" s="139" t="n"/>
      <c r="G3856" s="140">
        <f>IFERROR(IF(E3856&gt;0,(F3856/E3856)*1000,""),"")</f>
        <v/>
      </c>
      <c r="H3856" s="139">
        <f>IFERROR(IF(E3856&gt;0,E3856*IF(ISNUMBER(J3856),J3856,IF(C3856="Futures",$C$6,$C$5)),""),"")</f>
        <v/>
      </c>
      <c r="I3856" s="139">
        <f>IFERROR(IF(AND(ISNUMBER(F3856),ISNUMBER(H3856)),F3856-H3856,""),"")</f>
        <v/>
      </c>
      <c r="J3856" s="114" t="n"/>
      <c r="K3856" s="139">
        <f>IFERROR(IF(H3856&gt;0,H3856*$C$7,""),"")</f>
        <v/>
      </c>
      <c r="L3856" s="139">
        <f>IFERROR(IF(ISNUMBER(F3856),F3856-IF(ISNUMBER(K3856),K3856,0),""),"")</f>
        <v/>
      </c>
    </row>
    <row r="3857" ht="24" customHeight="1" s="63">
      <c r="E3857" s="139" t="n"/>
      <c r="F3857" s="139" t="n"/>
      <c r="G3857" s="140">
        <f>IFERROR(IF(E3857&gt;0,(F3857/E3857)*1000,""),"")</f>
        <v/>
      </c>
      <c r="H3857" s="139">
        <f>IFERROR(IF(E3857&gt;0,E3857*IF(ISNUMBER(J3857),J3857,IF(C3857="Futures",$C$6,$C$5)),""),"")</f>
        <v/>
      </c>
      <c r="I3857" s="139">
        <f>IFERROR(IF(AND(ISNUMBER(F3857),ISNUMBER(H3857)),F3857-H3857,""),"")</f>
        <v/>
      </c>
      <c r="J3857" s="114" t="n"/>
      <c r="K3857" s="139">
        <f>IFERROR(IF(H3857&gt;0,H3857*$C$7,""),"")</f>
        <v/>
      </c>
      <c r="L3857" s="139">
        <f>IFERROR(IF(ISNUMBER(F3857),F3857-IF(ISNUMBER(K3857),K3857,0),""),"")</f>
        <v/>
      </c>
    </row>
    <row r="3858" ht="24" customHeight="1" s="63">
      <c r="E3858" s="139" t="n"/>
      <c r="F3858" s="139" t="n"/>
      <c r="G3858" s="140">
        <f>IFERROR(IF(E3858&gt;0,(F3858/E3858)*1000,""),"")</f>
        <v/>
      </c>
      <c r="H3858" s="139">
        <f>IFERROR(IF(E3858&gt;0,E3858*IF(ISNUMBER(J3858),J3858,IF(C3858="Futures",$C$6,$C$5)),""),"")</f>
        <v/>
      </c>
      <c r="I3858" s="139">
        <f>IFERROR(IF(AND(ISNUMBER(F3858),ISNUMBER(H3858)),F3858-H3858,""),"")</f>
        <v/>
      </c>
      <c r="J3858" s="114" t="n"/>
      <c r="K3858" s="139">
        <f>IFERROR(IF(H3858&gt;0,H3858*$C$7,""),"")</f>
        <v/>
      </c>
      <c r="L3858" s="139">
        <f>IFERROR(IF(ISNUMBER(F3858),F3858-IF(ISNUMBER(K3858),K3858,0),""),"")</f>
        <v/>
      </c>
    </row>
    <row r="3859" ht="24" customHeight="1" s="63">
      <c r="E3859" s="139" t="n"/>
      <c r="F3859" s="139" t="n"/>
      <c r="G3859" s="140">
        <f>IFERROR(IF(E3859&gt;0,(F3859/E3859)*1000,""),"")</f>
        <v/>
      </c>
      <c r="H3859" s="139">
        <f>IFERROR(IF(E3859&gt;0,E3859*IF(ISNUMBER(J3859),J3859,IF(C3859="Futures",$C$6,$C$5)),""),"")</f>
        <v/>
      </c>
      <c r="I3859" s="139">
        <f>IFERROR(IF(AND(ISNUMBER(F3859),ISNUMBER(H3859)),F3859-H3859,""),"")</f>
        <v/>
      </c>
      <c r="J3859" s="114" t="n"/>
      <c r="K3859" s="139">
        <f>IFERROR(IF(H3859&gt;0,H3859*$C$7,""),"")</f>
        <v/>
      </c>
      <c r="L3859" s="139">
        <f>IFERROR(IF(ISNUMBER(F3859),F3859-IF(ISNUMBER(K3859),K3859,0),""),"")</f>
        <v/>
      </c>
    </row>
    <row r="3860" ht="24" customHeight="1" s="63">
      <c r="E3860" s="139" t="n"/>
      <c r="F3860" s="139" t="n"/>
      <c r="G3860" s="140">
        <f>IFERROR(IF(E3860&gt;0,(F3860/E3860)*1000,""),"")</f>
        <v/>
      </c>
      <c r="H3860" s="139">
        <f>IFERROR(IF(E3860&gt;0,E3860*IF(ISNUMBER(J3860),J3860,IF(C3860="Futures",$C$6,$C$5)),""),"")</f>
        <v/>
      </c>
      <c r="I3860" s="139">
        <f>IFERROR(IF(AND(ISNUMBER(F3860),ISNUMBER(H3860)),F3860-H3860,""),"")</f>
        <v/>
      </c>
      <c r="J3860" s="114" t="n"/>
      <c r="K3860" s="139">
        <f>IFERROR(IF(H3860&gt;0,H3860*$C$7,""),"")</f>
        <v/>
      </c>
      <c r="L3860" s="139">
        <f>IFERROR(IF(ISNUMBER(F3860),F3860-IF(ISNUMBER(K3860),K3860,0),""),"")</f>
        <v/>
      </c>
    </row>
    <row r="3861" ht="24" customHeight="1" s="63">
      <c r="E3861" s="139" t="n"/>
      <c r="F3861" s="139" t="n"/>
      <c r="G3861" s="140">
        <f>IFERROR(IF(E3861&gt;0,(F3861/E3861)*1000,""),"")</f>
        <v/>
      </c>
      <c r="H3861" s="139">
        <f>IFERROR(IF(E3861&gt;0,E3861*IF(ISNUMBER(J3861),J3861,IF(C3861="Futures",$C$6,$C$5)),""),"")</f>
        <v/>
      </c>
      <c r="I3861" s="139">
        <f>IFERROR(IF(AND(ISNUMBER(F3861),ISNUMBER(H3861)),F3861-H3861,""),"")</f>
        <v/>
      </c>
      <c r="J3861" s="114" t="n"/>
      <c r="K3861" s="139">
        <f>IFERROR(IF(H3861&gt;0,H3861*$C$7,""),"")</f>
        <v/>
      </c>
      <c r="L3861" s="139">
        <f>IFERROR(IF(ISNUMBER(F3861),F3861-IF(ISNUMBER(K3861),K3861,0),""),"")</f>
        <v/>
      </c>
    </row>
    <row r="3862" ht="24" customHeight="1" s="63">
      <c r="E3862" s="139" t="n"/>
      <c r="F3862" s="139" t="n"/>
      <c r="G3862" s="140">
        <f>IFERROR(IF(E3862&gt;0,(F3862/E3862)*1000,""),"")</f>
        <v/>
      </c>
      <c r="H3862" s="139">
        <f>IFERROR(IF(E3862&gt;0,E3862*IF(ISNUMBER(J3862),J3862,IF(C3862="Futures",$C$6,$C$5)),""),"")</f>
        <v/>
      </c>
      <c r="I3862" s="139">
        <f>IFERROR(IF(AND(ISNUMBER(F3862),ISNUMBER(H3862)),F3862-H3862,""),"")</f>
        <v/>
      </c>
      <c r="J3862" s="114" t="n"/>
      <c r="K3862" s="139">
        <f>IFERROR(IF(H3862&gt;0,H3862*$C$7,""),"")</f>
        <v/>
      </c>
      <c r="L3862" s="139">
        <f>IFERROR(IF(ISNUMBER(F3862),F3862-IF(ISNUMBER(K3862),K3862,0),""),"")</f>
        <v/>
      </c>
    </row>
    <row r="3863" ht="24" customHeight="1" s="63">
      <c r="E3863" s="139" t="n"/>
      <c r="F3863" s="139" t="n"/>
      <c r="G3863" s="140">
        <f>IFERROR(IF(E3863&gt;0,(F3863/E3863)*1000,""),"")</f>
        <v/>
      </c>
      <c r="H3863" s="139">
        <f>IFERROR(IF(E3863&gt;0,E3863*IF(ISNUMBER(J3863),J3863,IF(C3863="Futures",$C$6,$C$5)),""),"")</f>
        <v/>
      </c>
      <c r="I3863" s="139">
        <f>IFERROR(IF(AND(ISNUMBER(F3863),ISNUMBER(H3863)),F3863-H3863,""),"")</f>
        <v/>
      </c>
      <c r="J3863" s="114" t="n"/>
      <c r="K3863" s="139">
        <f>IFERROR(IF(H3863&gt;0,H3863*$C$7,""),"")</f>
        <v/>
      </c>
      <c r="L3863" s="139">
        <f>IFERROR(IF(ISNUMBER(F3863),F3863-IF(ISNUMBER(K3863),K3863,0),""),"")</f>
        <v/>
      </c>
    </row>
    <row r="3864" ht="24" customHeight="1" s="63">
      <c r="E3864" s="139" t="n"/>
      <c r="F3864" s="139" t="n"/>
      <c r="G3864" s="140">
        <f>IFERROR(IF(E3864&gt;0,(F3864/E3864)*1000,""),"")</f>
        <v/>
      </c>
      <c r="H3864" s="139">
        <f>IFERROR(IF(E3864&gt;0,E3864*IF(ISNUMBER(J3864),J3864,IF(C3864="Futures",$C$6,$C$5)),""),"")</f>
        <v/>
      </c>
      <c r="I3864" s="139">
        <f>IFERROR(IF(AND(ISNUMBER(F3864),ISNUMBER(H3864)),F3864-H3864,""),"")</f>
        <v/>
      </c>
      <c r="J3864" s="114" t="n"/>
      <c r="K3864" s="139">
        <f>IFERROR(IF(H3864&gt;0,H3864*$C$7,""),"")</f>
        <v/>
      </c>
      <c r="L3864" s="139">
        <f>IFERROR(IF(ISNUMBER(F3864),F3864-IF(ISNUMBER(K3864),K3864,0),""),"")</f>
        <v/>
      </c>
    </row>
    <row r="3865" ht="24" customHeight="1" s="63">
      <c r="E3865" s="139" t="n"/>
      <c r="F3865" s="139" t="n"/>
      <c r="G3865" s="140">
        <f>IFERROR(IF(E3865&gt;0,(F3865/E3865)*1000,""),"")</f>
        <v/>
      </c>
      <c r="H3865" s="139">
        <f>IFERROR(IF(E3865&gt;0,E3865*IF(ISNUMBER(J3865),J3865,IF(C3865="Futures",$C$6,$C$5)),""),"")</f>
        <v/>
      </c>
      <c r="I3865" s="139">
        <f>IFERROR(IF(AND(ISNUMBER(F3865),ISNUMBER(H3865)),F3865-H3865,""),"")</f>
        <v/>
      </c>
      <c r="J3865" s="114" t="n"/>
      <c r="K3865" s="139">
        <f>IFERROR(IF(H3865&gt;0,H3865*$C$7,""),"")</f>
        <v/>
      </c>
      <c r="L3865" s="139">
        <f>IFERROR(IF(ISNUMBER(F3865),F3865-IF(ISNUMBER(K3865),K3865,0),""),"")</f>
        <v/>
      </c>
    </row>
    <row r="3866" ht="24" customHeight="1" s="63">
      <c r="E3866" s="139" t="n"/>
      <c r="F3866" s="139" t="n"/>
      <c r="G3866" s="140">
        <f>IFERROR(IF(E3866&gt;0,(F3866/E3866)*1000,""),"")</f>
        <v/>
      </c>
      <c r="H3866" s="139">
        <f>IFERROR(IF(E3866&gt;0,E3866*IF(ISNUMBER(J3866),J3866,IF(C3866="Futures",$C$6,$C$5)),""),"")</f>
        <v/>
      </c>
      <c r="I3866" s="139">
        <f>IFERROR(IF(AND(ISNUMBER(F3866),ISNUMBER(H3866)),F3866-H3866,""),"")</f>
        <v/>
      </c>
      <c r="J3866" s="114" t="n"/>
      <c r="K3866" s="139">
        <f>IFERROR(IF(H3866&gt;0,H3866*$C$7,""),"")</f>
        <v/>
      </c>
      <c r="L3866" s="139">
        <f>IFERROR(IF(ISNUMBER(F3866),F3866-IF(ISNUMBER(K3866),K3866,0),""),"")</f>
        <v/>
      </c>
    </row>
    <row r="3867" ht="24" customHeight="1" s="63">
      <c r="E3867" s="139" t="n"/>
      <c r="F3867" s="139" t="n"/>
      <c r="G3867" s="140">
        <f>IFERROR(IF(E3867&gt;0,(F3867/E3867)*1000,""),"")</f>
        <v/>
      </c>
      <c r="H3867" s="139">
        <f>IFERROR(IF(E3867&gt;0,E3867*IF(ISNUMBER(J3867),J3867,IF(C3867="Futures",$C$6,$C$5)),""),"")</f>
        <v/>
      </c>
      <c r="I3867" s="139">
        <f>IFERROR(IF(AND(ISNUMBER(F3867),ISNUMBER(H3867)),F3867-H3867,""),"")</f>
        <v/>
      </c>
      <c r="J3867" s="114" t="n"/>
      <c r="K3867" s="139">
        <f>IFERROR(IF(H3867&gt;0,H3867*$C$7,""),"")</f>
        <v/>
      </c>
      <c r="L3867" s="139">
        <f>IFERROR(IF(ISNUMBER(F3867),F3867-IF(ISNUMBER(K3867),K3867,0),""),"")</f>
        <v/>
      </c>
    </row>
    <row r="3868" ht="24" customHeight="1" s="63">
      <c r="E3868" s="139" t="n"/>
      <c r="F3868" s="139" t="n"/>
      <c r="G3868" s="140">
        <f>IFERROR(IF(E3868&gt;0,(F3868/E3868)*1000,""),"")</f>
        <v/>
      </c>
      <c r="H3868" s="139">
        <f>IFERROR(IF(E3868&gt;0,E3868*IF(ISNUMBER(J3868),J3868,IF(C3868="Futures",$C$6,$C$5)),""),"")</f>
        <v/>
      </c>
      <c r="I3868" s="139">
        <f>IFERROR(IF(AND(ISNUMBER(F3868),ISNUMBER(H3868)),F3868-H3868,""),"")</f>
        <v/>
      </c>
      <c r="J3868" s="114" t="n"/>
      <c r="K3868" s="139">
        <f>IFERROR(IF(H3868&gt;0,H3868*$C$7,""),"")</f>
        <v/>
      </c>
      <c r="L3868" s="139">
        <f>IFERROR(IF(ISNUMBER(F3868),F3868-IF(ISNUMBER(K3868),K3868,0),""),"")</f>
        <v/>
      </c>
    </row>
    <row r="3869" ht="24" customHeight="1" s="63">
      <c r="E3869" s="139" t="n"/>
      <c r="F3869" s="139" t="n"/>
      <c r="G3869" s="140">
        <f>IFERROR(IF(E3869&gt;0,(F3869/E3869)*1000,""),"")</f>
        <v/>
      </c>
      <c r="H3869" s="139">
        <f>IFERROR(IF(E3869&gt;0,E3869*IF(ISNUMBER(J3869),J3869,IF(C3869="Futures",$C$6,$C$5)),""),"")</f>
        <v/>
      </c>
      <c r="I3869" s="139">
        <f>IFERROR(IF(AND(ISNUMBER(F3869),ISNUMBER(H3869)),F3869-H3869,""),"")</f>
        <v/>
      </c>
      <c r="J3869" s="114" t="n"/>
      <c r="K3869" s="139">
        <f>IFERROR(IF(H3869&gt;0,H3869*$C$7,""),"")</f>
        <v/>
      </c>
      <c r="L3869" s="139">
        <f>IFERROR(IF(ISNUMBER(F3869),F3869-IF(ISNUMBER(K3869),K3869,0),""),"")</f>
        <v/>
      </c>
    </row>
    <row r="3870" ht="24" customHeight="1" s="63">
      <c r="E3870" s="139" t="n"/>
      <c r="F3870" s="139" t="n"/>
      <c r="G3870" s="140">
        <f>IFERROR(IF(E3870&gt;0,(F3870/E3870)*1000,""),"")</f>
        <v/>
      </c>
      <c r="H3870" s="139">
        <f>IFERROR(IF(E3870&gt;0,E3870*IF(ISNUMBER(J3870),J3870,IF(C3870="Futures",$C$6,$C$5)),""),"")</f>
        <v/>
      </c>
      <c r="I3870" s="139">
        <f>IFERROR(IF(AND(ISNUMBER(F3870),ISNUMBER(H3870)),F3870-H3870,""),"")</f>
        <v/>
      </c>
      <c r="J3870" s="114" t="n"/>
      <c r="K3870" s="139">
        <f>IFERROR(IF(H3870&gt;0,H3870*$C$7,""),"")</f>
        <v/>
      </c>
      <c r="L3870" s="139">
        <f>IFERROR(IF(ISNUMBER(F3870),F3870-IF(ISNUMBER(K3870),K3870,0),""),"")</f>
        <v/>
      </c>
    </row>
    <row r="3871" ht="24" customHeight="1" s="63">
      <c r="E3871" s="139" t="n"/>
      <c r="F3871" s="139" t="n"/>
      <c r="G3871" s="140">
        <f>IFERROR(IF(E3871&gt;0,(F3871/E3871)*1000,""),"")</f>
        <v/>
      </c>
      <c r="H3871" s="139">
        <f>IFERROR(IF(E3871&gt;0,E3871*IF(ISNUMBER(J3871),J3871,IF(C3871="Futures",$C$6,$C$5)),""),"")</f>
        <v/>
      </c>
      <c r="I3871" s="139">
        <f>IFERROR(IF(AND(ISNUMBER(F3871),ISNUMBER(H3871)),F3871-H3871,""),"")</f>
        <v/>
      </c>
      <c r="J3871" s="114" t="n"/>
      <c r="K3871" s="139">
        <f>IFERROR(IF(H3871&gt;0,H3871*$C$7,""),"")</f>
        <v/>
      </c>
      <c r="L3871" s="139">
        <f>IFERROR(IF(ISNUMBER(F3871),F3871-IF(ISNUMBER(K3871),K3871,0),""),"")</f>
        <v/>
      </c>
    </row>
    <row r="3872" ht="24" customHeight="1" s="63">
      <c r="E3872" s="139" t="n"/>
      <c r="F3872" s="139" t="n"/>
      <c r="G3872" s="140">
        <f>IFERROR(IF(E3872&gt;0,(F3872/E3872)*1000,""),"")</f>
        <v/>
      </c>
      <c r="H3872" s="139">
        <f>IFERROR(IF(E3872&gt;0,E3872*IF(ISNUMBER(J3872),J3872,IF(C3872="Futures",$C$6,$C$5)),""),"")</f>
        <v/>
      </c>
      <c r="I3872" s="139">
        <f>IFERROR(IF(AND(ISNUMBER(F3872),ISNUMBER(H3872)),F3872-H3872,""),"")</f>
        <v/>
      </c>
      <c r="J3872" s="114" t="n"/>
      <c r="K3872" s="139">
        <f>IFERROR(IF(H3872&gt;0,H3872*$C$7,""),"")</f>
        <v/>
      </c>
      <c r="L3872" s="139">
        <f>IFERROR(IF(ISNUMBER(F3872),F3872-IF(ISNUMBER(K3872),K3872,0),""),"")</f>
        <v/>
      </c>
    </row>
    <row r="3873" ht="24" customHeight="1" s="63">
      <c r="E3873" s="139" t="n"/>
      <c r="F3873" s="139" t="n"/>
      <c r="G3873" s="140">
        <f>IFERROR(IF(E3873&gt;0,(F3873/E3873)*1000,""),"")</f>
        <v/>
      </c>
      <c r="H3873" s="139">
        <f>IFERROR(IF(E3873&gt;0,E3873*IF(ISNUMBER(J3873),J3873,IF(C3873="Futures",$C$6,$C$5)),""),"")</f>
        <v/>
      </c>
      <c r="I3873" s="139">
        <f>IFERROR(IF(AND(ISNUMBER(F3873),ISNUMBER(H3873)),F3873-H3873,""),"")</f>
        <v/>
      </c>
      <c r="J3873" s="114" t="n"/>
      <c r="K3873" s="139">
        <f>IFERROR(IF(H3873&gt;0,H3873*$C$7,""),"")</f>
        <v/>
      </c>
      <c r="L3873" s="139">
        <f>IFERROR(IF(ISNUMBER(F3873),F3873-IF(ISNUMBER(K3873),K3873,0),""),"")</f>
        <v/>
      </c>
    </row>
    <row r="3874" ht="24" customHeight="1" s="63">
      <c r="E3874" s="139" t="n"/>
      <c r="F3874" s="139" t="n"/>
      <c r="G3874" s="140">
        <f>IFERROR(IF(E3874&gt;0,(F3874/E3874)*1000,""),"")</f>
        <v/>
      </c>
      <c r="H3874" s="139">
        <f>IFERROR(IF(E3874&gt;0,E3874*IF(ISNUMBER(J3874),J3874,IF(C3874="Futures",$C$6,$C$5)),""),"")</f>
        <v/>
      </c>
      <c r="I3874" s="139">
        <f>IFERROR(IF(AND(ISNUMBER(F3874),ISNUMBER(H3874)),F3874-H3874,""),"")</f>
        <v/>
      </c>
      <c r="J3874" s="114" t="n"/>
      <c r="K3874" s="139">
        <f>IFERROR(IF(H3874&gt;0,H3874*$C$7,""),"")</f>
        <v/>
      </c>
      <c r="L3874" s="139">
        <f>IFERROR(IF(ISNUMBER(F3874),F3874-IF(ISNUMBER(K3874),K3874,0),""),"")</f>
        <v/>
      </c>
    </row>
    <row r="3875" ht="24" customHeight="1" s="63">
      <c r="E3875" s="139" t="n"/>
      <c r="F3875" s="139" t="n"/>
      <c r="G3875" s="140">
        <f>IFERROR(IF(E3875&gt;0,(F3875/E3875)*1000,""),"")</f>
        <v/>
      </c>
      <c r="H3875" s="139">
        <f>IFERROR(IF(E3875&gt;0,E3875*IF(ISNUMBER(J3875),J3875,IF(C3875="Futures",$C$6,$C$5)),""),"")</f>
        <v/>
      </c>
      <c r="I3875" s="139">
        <f>IFERROR(IF(AND(ISNUMBER(F3875),ISNUMBER(H3875)),F3875-H3875,""),"")</f>
        <v/>
      </c>
      <c r="J3875" s="114" t="n"/>
      <c r="K3875" s="139">
        <f>IFERROR(IF(H3875&gt;0,H3875*$C$7,""),"")</f>
        <v/>
      </c>
      <c r="L3875" s="139">
        <f>IFERROR(IF(ISNUMBER(F3875),F3875-IF(ISNUMBER(K3875),K3875,0),""),"")</f>
        <v/>
      </c>
    </row>
    <row r="3876" ht="24" customHeight="1" s="63">
      <c r="E3876" s="139" t="n"/>
      <c r="F3876" s="139" t="n"/>
      <c r="G3876" s="140">
        <f>IFERROR(IF(E3876&gt;0,(F3876/E3876)*1000,""),"")</f>
        <v/>
      </c>
      <c r="H3876" s="139">
        <f>IFERROR(IF(E3876&gt;0,E3876*IF(ISNUMBER(J3876),J3876,IF(C3876="Futures",$C$6,$C$5)),""),"")</f>
        <v/>
      </c>
      <c r="I3876" s="139">
        <f>IFERROR(IF(AND(ISNUMBER(F3876),ISNUMBER(H3876)),F3876-H3876,""),"")</f>
        <v/>
      </c>
      <c r="J3876" s="114" t="n"/>
      <c r="K3876" s="139">
        <f>IFERROR(IF(H3876&gt;0,H3876*$C$7,""),"")</f>
        <v/>
      </c>
      <c r="L3876" s="139">
        <f>IFERROR(IF(ISNUMBER(F3876),F3876-IF(ISNUMBER(K3876),K3876,0),""),"")</f>
        <v/>
      </c>
    </row>
    <row r="3877" ht="24" customHeight="1" s="63">
      <c r="E3877" s="139" t="n"/>
      <c r="F3877" s="139" t="n"/>
      <c r="G3877" s="140">
        <f>IFERROR(IF(E3877&gt;0,(F3877/E3877)*1000,""),"")</f>
        <v/>
      </c>
      <c r="H3877" s="139">
        <f>IFERROR(IF(E3877&gt;0,E3877*IF(ISNUMBER(J3877),J3877,IF(C3877="Futures",$C$6,$C$5)),""),"")</f>
        <v/>
      </c>
      <c r="I3877" s="139">
        <f>IFERROR(IF(AND(ISNUMBER(F3877),ISNUMBER(H3877)),F3877-H3877,""),"")</f>
        <v/>
      </c>
      <c r="J3877" s="114" t="n"/>
      <c r="K3877" s="139">
        <f>IFERROR(IF(H3877&gt;0,H3877*$C$7,""),"")</f>
        <v/>
      </c>
      <c r="L3877" s="139">
        <f>IFERROR(IF(ISNUMBER(F3877),F3877-IF(ISNUMBER(K3877),K3877,0),""),"")</f>
        <v/>
      </c>
    </row>
    <row r="3878" ht="24" customHeight="1" s="63">
      <c r="E3878" s="139" t="n"/>
      <c r="F3878" s="139" t="n"/>
      <c r="G3878" s="140">
        <f>IFERROR(IF(E3878&gt;0,(F3878/E3878)*1000,""),"")</f>
        <v/>
      </c>
      <c r="H3878" s="139">
        <f>IFERROR(IF(E3878&gt;0,E3878*IF(ISNUMBER(J3878),J3878,IF(C3878="Futures",$C$6,$C$5)),""),"")</f>
        <v/>
      </c>
      <c r="I3878" s="139">
        <f>IFERROR(IF(AND(ISNUMBER(F3878),ISNUMBER(H3878)),F3878-H3878,""),"")</f>
        <v/>
      </c>
      <c r="J3878" s="114" t="n"/>
      <c r="K3878" s="139">
        <f>IFERROR(IF(H3878&gt;0,H3878*$C$7,""),"")</f>
        <v/>
      </c>
      <c r="L3878" s="139">
        <f>IFERROR(IF(ISNUMBER(F3878),F3878-IF(ISNUMBER(K3878),K3878,0),""),"")</f>
        <v/>
      </c>
    </row>
    <row r="3879" ht="24" customHeight="1" s="63">
      <c r="E3879" s="139" t="n"/>
      <c r="F3879" s="139" t="n"/>
      <c r="G3879" s="140">
        <f>IFERROR(IF(E3879&gt;0,(F3879/E3879)*1000,""),"")</f>
        <v/>
      </c>
      <c r="H3879" s="139">
        <f>IFERROR(IF(E3879&gt;0,E3879*IF(ISNUMBER(J3879),J3879,IF(C3879="Futures",$C$6,$C$5)),""),"")</f>
        <v/>
      </c>
      <c r="I3879" s="139">
        <f>IFERROR(IF(AND(ISNUMBER(F3879),ISNUMBER(H3879)),F3879-H3879,""),"")</f>
        <v/>
      </c>
      <c r="J3879" s="114" t="n"/>
      <c r="K3879" s="139">
        <f>IFERROR(IF(H3879&gt;0,H3879*$C$7,""),"")</f>
        <v/>
      </c>
      <c r="L3879" s="139">
        <f>IFERROR(IF(ISNUMBER(F3879),F3879-IF(ISNUMBER(K3879),K3879,0),""),"")</f>
        <v/>
      </c>
    </row>
    <row r="3880" ht="24" customHeight="1" s="63">
      <c r="E3880" s="139" t="n"/>
      <c r="F3880" s="139" t="n"/>
      <c r="G3880" s="140">
        <f>IFERROR(IF(E3880&gt;0,(F3880/E3880)*1000,""),"")</f>
        <v/>
      </c>
      <c r="H3880" s="139">
        <f>IFERROR(IF(E3880&gt;0,E3880*IF(ISNUMBER(J3880),J3880,IF(C3880="Futures",$C$6,$C$5)),""),"")</f>
        <v/>
      </c>
      <c r="I3880" s="139">
        <f>IFERROR(IF(AND(ISNUMBER(F3880),ISNUMBER(H3880)),F3880-H3880,""),"")</f>
        <v/>
      </c>
      <c r="J3880" s="114" t="n"/>
      <c r="K3880" s="139">
        <f>IFERROR(IF(H3880&gt;0,H3880*$C$7,""),"")</f>
        <v/>
      </c>
      <c r="L3880" s="139">
        <f>IFERROR(IF(ISNUMBER(F3880),F3880-IF(ISNUMBER(K3880),K3880,0),""),"")</f>
        <v/>
      </c>
    </row>
    <row r="3881" ht="24" customHeight="1" s="63">
      <c r="E3881" s="139" t="n"/>
      <c r="F3881" s="139" t="n"/>
      <c r="G3881" s="140">
        <f>IFERROR(IF(E3881&gt;0,(F3881/E3881)*1000,""),"")</f>
        <v/>
      </c>
      <c r="H3881" s="139">
        <f>IFERROR(IF(E3881&gt;0,E3881*IF(ISNUMBER(J3881),J3881,IF(C3881="Futures",$C$6,$C$5)),""),"")</f>
        <v/>
      </c>
      <c r="I3881" s="139">
        <f>IFERROR(IF(AND(ISNUMBER(F3881),ISNUMBER(H3881)),F3881-H3881,""),"")</f>
        <v/>
      </c>
      <c r="J3881" s="114" t="n"/>
      <c r="K3881" s="139">
        <f>IFERROR(IF(H3881&gt;0,H3881*$C$7,""),"")</f>
        <v/>
      </c>
      <c r="L3881" s="139">
        <f>IFERROR(IF(ISNUMBER(F3881),F3881-IF(ISNUMBER(K3881),K3881,0),""),"")</f>
        <v/>
      </c>
    </row>
    <row r="3882" ht="24" customHeight="1" s="63">
      <c r="E3882" s="139" t="n"/>
      <c r="F3882" s="139" t="n"/>
      <c r="G3882" s="140">
        <f>IFERROR(IF(E3882&gt;0,(F3882/E3882)*1000,""),"")</f>
        <v/>
      </c>
      <c r="H3882" s="139">
        <f>IFERROR(IF(E3882&gt;0,E3882*IF(ISNUMBER(J3882),J3882,IF(C3882="Futures",$C$6,$C$5)),""),"")</f>
        <v/>
      </c>
      <c r="I3882" s="139">
        <f>IFERROR(IF(AND(ISNUMBER(F3882),ISNUMBER(H3882)),F3882-H3882,""),"")</f>
        <v/>
      </c>
      <c r="J3882" s="114" t="n"/>
      <c r="K3882" s="139">
        <f>IFERROR(IF(H3882&gt;0,H3882*$C$7,""),"")</f>
        <v/>
      </c>
      <c r="L3882" s="139">
        <f>IFERROR(IF(ISNUMBER(F3882),F3882-IF(ISNUMBER(K3882),K3882,0),""),"")</f>
        <v/>
      </c>
    </row>
    <row r="3883" ht="24" customHeight="1" s="63">
      <c r="E3883" s="139" t="n"/>
      <c r="F3883" s="139" t="n"/>
      <c r="G3883" s="140">
        <f>IFERROR(IF(E3883&gt;0,(F3883/E3883)*1000,""),"")</f>
        <v/>
      </c>
      <c r="H3883" s="139">
        <f>IFERROR(IF(E3883&gt;0,E3883*IF(ISNUMBER(J3883),J3883,IF(C3883="Futures",$C$6,$C$5)),""),"")</f>
        <v/>
      </c>
      <c r="I3883" s="139">
        <f>IFERROR(IF(AND(ISNUMBER(F3883),ISNUMBER(H3883)),F3883-H3883,""),"")</f>
        <v/>
      </c>
      <c r="J3883" s="114" t="n"/>
      <c r="K3883" s="139">
        <f>IFERROR(IF(H3883&gt;0,H3883*$C$7,""),"")</f>
        <v/>
      </c>
      <c r="L3883" s="139">
        <f>IFERROR(IF(ISNUMBER(F3883),F3883-IF(ISNUMBER(K3883),K3883,0),""),"")</f>
        <v/>
      </c>
    </row>
    <row r="3884" ht="24" customHeight="1" s="63">
      <c r="E3884" s="139" t="n"/>
      <c r="F3884" s="139" t="n"/>
      <c r="G3884" s="140">
        <f>IFERROR(IF(E3884&gt;0,(F3884/E3884)*1000,""),"")</f>
        <v/>
      </c>
      <c r="H3884" s="139">
        <f>IFERROR(IF(E3884&gt;0,E3884*IF(ISNUMBER(J3884),J3884,IF(C3884="Futures",$C$6,$C$5)),""),"")</f>
        <v/>
      </c>
      <c r="I3884" s="139">
        <f>IFERROR(IF(AND(ISNUMBER(F3884),ISNUMBER(H3884)),F3884-H3884,""),"")</f>
        <v/>
      </c>
      <c r="J3884" s="114" t="n"/>
      <c r="K3884" s="139">
        <f>IFERROR(IF(H3884&gt;0,H3884*$C$7,""),"")</f>
        <v/>
      </c>
      <c r="L3884" s="139">
        <f>IFERROR(IF(ISNUMBER(F3884),F3884-IF(ISNUMBER(K3884),K3884,0),""),"")</f>
        <v/>
      </c>
    </row>
    <row r="3885" ht="24" customHeight="1" s="63">
      <c r="E3885" s="139" t="n"/>
      <c r="F3885" s="139" t="n"/>
      <c r="G3885" s="140">
        <f>IFERROR(IF(E3885&gt;0,(F3885/E3885)*1000,""),"")</f>
        <v/>
      </c>
      <c r="H3885" s="139">
        <f>IFERROR(IF(E3885&gt;0,E3885*IF(ISNUMBER(J3885),J3885,IF(C3885="Futures",$C$6,$C$5)),""),"")</f>
        <v/>
      </c>
      <c r="I3885" s="139">
        <f>IFERROR(IF(AND(ISNUMBER(F3885),ISNUMBER(H3885)),F3885-H3885,""),"")</f>
        <v/>
      </c>
      <c r="J3885" s="114" t="n"/>
      <c r="K3885" s="139">
        <f>IFERROR(IF(H3885&gt;0,H3885*$C$7,""),"")</f>
        <v/>
      </c>
      <c r="L3885" s="139">
        <f>IFERROR(IF(ISNUMBER(F3885),F3885-IF(ISNUMBER(K3885),K3885,0),""),"")</f>
        <v/>
      </c>
    </row>
    <row r="3886" ht="24" customHeight="1" s="63">
      <c r="E3886" s="139" t="n"/>
      <c r="F3886" s="139" t="n"/>
      <c r="G3886" s="140">
        <f>IFERROR(IF(E3886&gt;0,(F3886/E3886)*1000,""),"")</f>
        <v/>
      </c>
      <c r="H3886" s="139">
        <f>IFERROR(IF(E3886&gt;0,E3886*IF(ISNUMBER(J3886),J3886,IF(C3886="Futures",$C$6,$C$5)),""),"")</f>
        <v/>
      </c>
      <c r="I3886" s="139">
        <f>IFERROR(IF(AND(ISNUMBER(F3886),ISNUMBER(H3886)),F3886-H3886,""),"")</f>
        <v/>
      </c>
      <c r="J3886" s="114" t="n"/>
      <c r="K3886" s="139">
        <f>IFERROR(IF(H3886&gt;0,H3886*$C$7,""),"")</f>
        <v/>
      </c>
      <c r="L3886" s="139">
        <f>IFERROR(IF(ISNUMBER(F3886),F3886-IF(ISNUMBER(K3886),K3886,0),""),"")</f>
        <v/>
      </c>
    </row>
    <row r="3887" ht="24" customHeight="1" s="63">
      <c r="E3887" s="139" t="n"/>
      <c r="F3887" s="139" t="n"/>
      <c r="G3887" s="140">
        <f>IFERROR(IF(E3887&gt;0,(F3887/E3887)*1000,""),"")</f>
        <v/>
      </c>
      <c r="H3887" s="139">
        <f>IFERROR(IF(E3887&gt;0,E3887*IF(ISNUMBER(J3887),J3887,IF(C3887="Futures",$C$6,$C$5)),""),"")</f>
        <v/>
      </c>
      <c r="I3887" s="139">
        <f>IFERROR(IF(AND(ISNUMBER(F3887),ISNUMBER(H3887)),F3887-H3887,""),"")</f>
        <v/>
      </c>
      <c r="J3887" s="114" t="n"/>
      <c r="K3887" s="139">
        <f>IFERROR(IF(H3887&gt;0,H3887*$C$7,""),"")</f>
        <v/>
      </c>
      <c r="L3887" s="139">
        <f>IFERROR(IF(ISNUMBER(F3887),F3887-IF(ISNUMBER(K3887),K3887,0),""),"")</f>
        <v/>
      </c>
    </row>
    <row r="3888" ht="24" customHeight="1" s="63">
      <c r="E3888" s="139" t="n"/>
      <c r="F3888" s="139" t="n"/>
      <c r="G3888" s="140">
        <f>IFERROR(IF(E3888&gt;0,(F3888/E3888)*1000,""),"")</f>
        <v/>
      </c>
      <c r="H3888" s="139">
        <f>IFERROR(IF(E3888&gt;0,E3888*IF(ISNUMBER(J3888),J3888,IF(C3888="Futures",$C$6,$C$5)),""),"")</f>
        <v/>
      </c>
      <c r="I3888" s="139">
        <f>IFERROR(IF(AND(ISNUMBER(F3888),ISNUMBER(H3888)),F3888-H3888,""),"")</f>
        <v/>
      </c>
      <c r="J3888" s="114" t="n"/>
      <c r="K3888" s="139">
        <f>IFERROR(IF(H3888&gt;0,H3888*$C$7,""),"")</f>
        <v/>
      </c>
      <c r="L3888" s="139">
        <f>IFERROR(IF(ISNUMBER(F3888),F3888-IF(ISNUMBER(K3888),K3888,0),""),"")</f>
        <v/>
      </c>
    </row>
    <row r="3889" ht="24" customHeight="1" s="63">
      <c r="E3889" s="139" t="n"/>
      <c r="F3889" s="139" t="n"/>
      <c r="G3889" s="140">
        <f>IFERROR(IF(E3889&gt;0,(F3889/E3889)*1000,""),"")</f>
        <v/>
      </c>
      <c r="H3889" s="139">
        <f>IFERROR(IF(E3889&gt;0,E3889*IF(ISNUMBER(J3889),J3889,IF(C3889="Futures",$C$6,$C$5)),""),"")</f>
        <v/>
      </c>
      <c r="I3889" s="139">
        <f>IFERROR(IF(AND(ISNUMBER(F3889),ISNUMBER(H3889)),F3889-H3889,""),"")</f>
        <v/>
      </c>
      <c r="J3889" s="114" t="n"/>
      <c r="K3889" s="139">
        <f>IFERROR(IF(H3889&gt;0,H3889*$C$7,""),"")</f>
        <v/>
      </c>
      <c r="L3889" s="139">
        <f>IFERROR(IF(ISNUMBER(F3889),F3889-IF(ISNUMBER(K3889),K3889,0),""),"")</f>
        <v/>
      </c>
    </row>
    <row r="3890" ht="24" customHeight="1" s="63">
      <c r="E3890" s="139" t="n"/>
      <c r="F3890" s="139" t="n"/>
      <c r="G3890" s="140">
        <f>IFERROR(IF(E3890&gt;0,(F3890/E3890)*1000,""),"")</f>
        <v/>
      </c>
      <c r="H3890" s="139">
        <f>IFERROR(IF(E3890&gt;0,E3890*IF(ISNUMBER(J3890),J3890,IF(C3890="Futures",$C$6,$C$5)),""),"")</f>
        <v/>
      </c>
      <c r="I3890" s="139">
        <f>IFERROR(IF(AND(ISNUMBER(F3890),ISNUMBER(H3890)),F3890-H3890,""),"")</f>
        <v/>
      </c>
      <c r="J3890" s="114" t="n"/>
      <c r="K3890" s="139">
        <f>IFERROR(IF(H3890&gt;0,H3890*$C$7,""),"")</f>
        <v/>
      </c>
      <c r="L3890" s="139">
        <f>IFERROR(IF(ISNUMBER(F3890),F3890-IF(ISNUMBER(K3890),K3890,0),""),"")</f>
        <v/>
      </c>
    </row>
    <row r="3891" ht="24" customHeight="1" s="63">
      <c r="E3891" s="139" t="n"/>
      <c r="F3891" s="139" t="n"/>
      <c r="G3891" s="140">
        <f>IFERROR(IF(E3891&gt;0,(F3891/E3891)*1000,""),"")</f>
        <v/>
      </c>
      <c r="H3891" s="139">
        <f>IFERROR(IF(E3891&gt;0,E3891*IF(ISNUMBER(J3891),J3891,IF(C3891="Futures",$C$6,$C$5)),""),"")</f>
        <v/>
      </c>
      <c r="I3891" s="139">
        <f>IFERROR(IF(AND(ISNUMBER(F3891),ISNUMBER(H3891)),F3891-H3891,""),"")</f>
        <v/>
      </c>
      <c r="J3891" s="114" t="n"/>
      <c r="K3891" s="139">
        <f>IFERROR(IF(H3891&gt;0,H3891*$C$7,""),"")</f>
        <v/>
      </c>
      <c r="L3891" s="139">
        <f>IFERROR(IF(ISNUMBER(F3891),F3891-IF(ISNUMBER(K3891),K3891,0),""),"")</f>
        <v/>
      </c>
    </row>
    <row r="3892" ht="24" customHeight="1" s="63">
      <c r="E3892" s="139" t="n"/>
      <c r="F3892" s="139" t="n"/>
      <c r="G3892" s="140">
        <f>IFERROR(IF(E3892&gt;0,(F3892/E3892)*1000,""),"")</f>
        <v/>
      </c>
      <c r="H3892" s="139">
        <f>IFERROR(IF(E3892&gt;0,E3892*IF(ISNUMBER(J3892),J3892,IF(C3892="Futures",$C$6,$C$5)),""),"")</f>
        <v/>
      </c>
      <c r="I3892" s="139">
        <f>IFERROR(IF(AND(ISNUMBER(F3892),ISNUMBER(H3892)),F3892-H3892,""),"")</f>
        <v/>
      </c>
      <c r="J3892" s="114" t="n"/>
      <c r="K3892" s="139">
        <f>IFERROR(IF(H3892&gt;0,H3892*$C$7,""),"")</f>
        <v/>
      </c>
      <c r="L3892" s="139">
        <f>IFERROR(IF(ISNUMBER(F3892),F3892-IF(ISNUMBER(K3892),K3892,0),""),"")</f>
        <v/>
      </c>
    </row>
    <row r="3893" ht="24" customHeight="1" s="63">
      <c r="E3893" s="139" t="n"/>
      <c r="F3893" s="139" t="n"/>
      <c r="G3893" s="140">
        <f>IFERROR(IF(E3893&gt;0,(F3893/E3893)*1000,""),"")</f>
        <v/>
      </c>
      <c r="H3893" s="139">
        <f>IFERROR(IF(E3893&gt;0,E3893*IF(ISNUMBER(J3893),J3893,IF(C3893="Futures",$C$6,$C$5)),""),"")</f>
        <v/>
      </c>
      <c r="I3893" s="139">
        <f>IFERROR(IF(AND(ISNUMBER(F3893),ISNUMBER(H3893)),F3893-H3893,""),"")</f>
        <v/>
      </c>
      <c r="J3893" s="114" t="n"/>
      <c r="K3893" s="139">
        <f>IFERROR(IF(H3893&gt;0,H3893*$C$7,""),"")</f>
        <v/>
      </c>
      <c r="L3893" s="139">
        <f>IFERROR(IF(ISNUMBER(F3893),F3893-IF(ISNUMBER(K3893),K3893,0),""),"")</f>
        <v/>
      </c>
    </row>
    <row r="3894" ht="24" customHeight="1" s="63">
      <c r="E3894" s="139" t="n"/>
      <c r="F3894" s="139" t="n"/>
      <c r="G3894" s="140">
        <f>IFERROR(IF(E3894&gt;0,(F3894/E3894)*1000,""),"")</f>
        <v/>
      </c>
      <c r="H3894" s="139">
        <f>IFERROR(IF(E3894&gt;0,E3894*IF(ISNUMBER(J3894),J3894,IF(C3894="Futures",$C$6,$C$5)),""),"")</f>
        <v/>
      </c>
      <c r="I3894" s="139">
        <f>IFERROR(IF(AND(ISNUMBER(F3894),ISNUMBER(H3894)),F3894-H3894,""),"")</f>
        <v/>
      </c>
      <c r="J3894" s="114" t="n"/>
      <c r="K3894" s="139">
        <f>IFERROR(IF(H3894&gt;0,H3894*$C$7,""),"")</f>
        <v/>
      </c>
      <c r="L3894" s="139">
        <f>IFERROR(IF(ISNUMBER(F3894),F3894-IF(ISNUMBER(K3894),K3894,0),""),"")</f>
        <v/>
      </c>
    </row>
    <row r="3895" ht="24" customHeight="1" s="63">
      <c r="E3895" s="139" t="n"/>
      <c r="F3895" s="139" t="n"/>
      <c r="G3895" s="140">
        <f>IFERROR(IF(E3895&gt;0,(F3895/E3895)*1000,""),"")</f>
        <v/>
      </c>
      <c r="H3895" s="139">
        <f>IFERROR(IF(E3895&gt;0,E3895*IF(ISNUMBER(J3895),J3895,IF(C3895="Futures",$C$6,$C$5)),""),"")</f>
        <v/>
      </c>
      <c r="I3895" s="139">
        <f>IFERROR(IF(AND(ISNUMBER(F3895),ISNUMBER(H3895)),F3895-H3895,""),"")</f>
        <v/>
      </c>
      <c r="J3895" s="114" t="n"/>
      <c r="K3895" s="139">
        <f>IFERROR(IF(H3895&gt;0,H3895*$C$7,""),"")</f>
        <v/>
      </c>
      <c r="L3895" s="139">
        <f>IFERROR(IF(ISNUMBER(F3895),F3895-IF(ISNUMBER(K3895),K3895,0),""),"")</f>
        <v/>
      </c>
    </row>
    <row r="3896" ht="24" customHeight="1" s="63">
      <c r="E3896" s="139" t="n"/>
      <c r="F3896" s="139" t="n"/>
      <c r="G3896" s="140">
        <f>IFERROR(IF(E3896&gt;0,(F3896/E3896)*1000,""),"")</f>
        <v/>
      </c>
      <c r="H3896" s="139">
        <f>IFERROR(IF(E3896&gt;0,E3896*IF(ISNUMBER(J3896),J3896,IF(C3896="Futures",$C$6,$C$5)),""),"")</f>
        <v/>
      </c>
      <c r="I3896" s="139">
        <f>IFERROR(IF(AND(ISNUMBER(F3896),ISNUMBER(H3896)),F3896-H3896,""),"")</f>
        <v/>
      </c>
      <c r="J3896" s="114" t="n"/>
      <c r="K3896" s="139">
        <f>IFERROR(IF(H3896&gt;0,H3896*$C$7,""),"")</f>
        <v/>
      </c>
      <c r="L3896" s="139">
        <f>IFERROR(IF(ISNUMBER(F3896),F3896-IF(ISNUMBER(K3896),K3896,0),""),"")</f>
        <v/>
      </c>
    </row>
    <row r="3897" ht="24" customHeight="1" s="63">
      <c r="E3897" s="139" t="n"/>
      <c r="F3897" s="139" t="n"/>
      <c r="G3897" s="140">
        <f>IFERROR(IF(E3897&gt;0,(F3897/E3897)*1000,""),"")</f>
        <v/>
      </c>
      <c r="H3897" s="139">
        <f>IFERROR(IF(E3897&gt;0,E3897*IF(ISNUMBER(J3897),J3897,IF(C3897="Futures",$C$6,$C$5)),""),"")</f>
        <v/>
      </c>
      <c r="I3897" s="139">
        <f>IFERROR(IF(AND(ISNUMBER(F3897),ISNUMBER(H3897)),F3897-H3897,""),"")</f>
        <v/>
      </c>
      <c r="J3897" s="114" t="n"/>
      <c r="K3897" s="139">
        <f>IFERROR(IF(H3897&gt;0,H3897*$C$7,""),"")</f>
        <v/>
      </c>
      <c r="L3897" s="139">
        <f>IFERROR(IF(ISNUMBER(F3897),F3897-IF(ISNUMBER(K3897),K3897,0),""),"")</f>
        <v/>
      </c>
    </row>
    <row r="3898" ht="24" customHeight="1" s="63">
      <c r="E3898" s="139" t="n"/>
      <c r="F3898" s="139" t="n"/>
      <c r="G3898" s="140">
        <f>IFERROR(IF(E3898&gt;0,(F3898/E3898)*1000,""),"")</f>
        <v/>
      </c>
      <c r="H3898" s="139">
        <f>IFERROR(IF(E3898&gt;0,E3898*IF(ISNUMBER(J3898),J3898,IF(C3898="Futures",$C$6,$C$5)),""),"")</f>
        <v/>
      </c>
      <c r="I3898" s="139">
        <f>IFERROR(IF(AND(ISNUMBER(F3898),ISNUMBER(H3898)),F3898-H3898,""),"")</f>
        <v/>
      </c>
      <c r="J3898" s="114" t="n"/>
      <c r="K3898" s="139">
        <f>IFERROR(IF(H3898&gt;0,H3898*$C$7,""),"")</f>
        <v/>
      </c>
      <c r="L3898" s="139">
        <f>IFERROR(IF(ISNUMBER(F3898),F3898-IF(ISNUMBER(K3898),K3898,0),""),"")</f>
        <v/>
      </c>
    </row>
    <row r="3899" ht="24" customHeight="1" s="63">
      <c r="E3899" s="139" t="n"/>
      <c r="F3899" s="139" t="n"/>
      <c r="G3899" s="140">
        <f>IFERROR(IF(E3899&gt;0,(F3899/E3899)*1000,""),"")</f>
        <v/>
      </c>
      <c r="H3899" s="139">
        <f>IFERROR(IF(E3899&gt;0,E3899*IF(ISNUMBER(J3899),J3899,IF(C3899="Futures",$C$6,$C$5)),""),"")</f>
        <v/>
      </c>
      <c r="I3899" s="139">
        <f>IFERROR(IF(AND(ISNUMBER(F3899),ISNUMBER(H3899)),F3899-H3899,""),"")</f>
        <v/>
      </c>
      <c r="J3899" s="114" t="n"/>
      <c r="K3899" s="139">
        <f>IFERROR(IF(H3899&gt;0,H3899*$C$7,""),"")</f>
        <v/>
      </c>
      <c r="L3899" s="139">
        <f>IFERROR(IF(ISNUMBER(F3899),F3899-IF(ISNUMBER(K3899),K3899,0),""),"")</f>
        <v/>
      </c>
    </row>
    <row r="3900" ht="24" customHeight="1" s="63">
      <c r="E3900" s="139" t="n"/>
      <c r="F3900" s="139" t="n"/>
      <c r="G3900" s="140">
        <f>IFERROR(IF(E3900&gt;0,(F3900/E3900)*1000,""),"")</f>
        <v/>
      </c>
      <c r="H3900" s="139">
        <f>IFERROR(IF(E3900&gt;0,E3900*IF(ISNUMBER(J3900),J3900,IF(C3900="Futures",$C$6,$C$5)),""),"")</f>
        <v/>
      </c>
      <c r="I3900" s="139">
        <f>IFERROR(IF(AND(ISNUMBER(F3900),ISNUMBER(H3900)),F3900-H3900,""),"")</f>
        <v/>
      </c>
      <c r="J3900" s="114" t="n"/>
      <c r="K3900" s="139">
        <f>IFERROR(IF(H3900&gt;0,H3900*$C$7,""),"")</f>
        <v/>
      </c>
      <c r="L3900" s="139">
        <f>IFERROR(IF(ISNUMBER(F3900),F3900-IF(ISNUMBER(K3900),K3900,0),""),"")</f>
        <v/>
      </c>
    </row>
    <row r="3901" ht="24" customHeight="1" s="63">
      <c r="E3901" s="139" t="n"/>
      <c r="F3901" s="139" t="n"/>
      <c r="G3901" s="140">
        <f>IFERROR(IF(E3901&gt;0,(F3901/E3901)*1000,""),"")</f>
        <v/>
      </c>
      <c r="H3901" s="139">
        <f>IFERROR(IF(E3901&gt;0,E3901*IF(ISNUMBER(J3901),J3901,IF(C3901="Futures",$C$6,$C$5)),""),"")</f>
        <v/>
      </c>
      <c r="I3901" s="139">
        <f>IFERROR(IF(AND(ISNUMBER(F3901),ISNUMBER(H3901)),F3901-H3901,""),"")</f>
        <v/>
      </c>
      <c r="J3901" s="114" t="n"/>
      <c r="K3901" s="139">
        <f>IFERROR(IF(H3901&gt;0,H3901*$C$7,""),"")</f>
        <v/>
      </c>
      <c r="L3901" s="139">
        <f>IFERROR(IF(ISNUMBER(F3901),F3901-IF(ISNUMBER(K3901),K3901,0),""),"")</f>
        <v/>
      </c>
    </row>
    <row r="3902" ht="24" customHeight="1" s="63">
      <c r="E3902" s="139" t="n"/>
      <c r="F3902" s="139" t="n"/>
      <c r="G3902" s="140">
        <f>IFERROR(IF(E3902&gt;0,(F3902/E3902)*1000,""),"")</f>
        <v/>
      </c>
      <c r="H3902" s="139">
        <f>IFERROR(IF(E3902&gt;0,E3902*IF(ISNUMBER(J3902),J3902,IF(C3902="Futures",$C$6,$C$5)),""),"")</f>
        <v/>
      </c>
      <c r="I3902" s="139">
        <f>IFERROR(IF(AND(ISNUMBER(F3902),ISNUMBER(H3902)),F3902-H3902,""),"")</f>
        <v/>
      </c>
      <c r="J3902" s="114" t="n"/>
      <c r="K3902" s="139">
        <f>IFERROR(IF(H3902&gt;0,H3902*$C$7,""),"")</f>
        <v/>
      </c>
      <c r="L3902" s="139">
        <f>IFERROR(IF(ISNUMBER(F3902),F3902-IF(ISNUMBER(K3902),K3902,0),""),"")</f>
        <v/>
      </c>
    </row>
    <row r="3903" ht="24" customHeight="1" s="63">
      <c r="E3903" s="139" t="n"/>
      <c r="F3903" s="139" t="n"/>
      <c r="G3903" s="140">
        <f>IFERROR(IF(E3903&gt;0,(F3903/E3903)*1000,""),"")</f>
        <v/>
      </c>
      <c r="H3903" s="139">
        <f>IFERROR(IF(E3903&gt;0,E3903*IF(ISNUMBER(J3903),J3903,IF(C3903="Futures",$C$6,$C$5)),""),"")</f>
        <v/>
      </c>
      <c r="I3903" s="139">
        <f>IFERROR(IF(AND(ISNUMBER(F3903),ISNUMBER(H3903)),F3903-H3903,""),"")</f>
        <v/>
      </c>
      <c r="J3903" s="114" t="n"/>
      <c r="K3903" s="139">
        <f>IFERROR(IF(H3903&gt;0,H3903*$C$7,""),"")</f>
        <v/>
      </c>
      <c r="L3903" s="139">
        <f>IFERROR(IF(ISNUMBER(F3903),F3903-IF(ISNUMBER(K3903),K3903,0),""),"")</f>
        <v/>
      </c>
    </row>
    <row r="3904" ht="24" customHeight="1" s="63">
      <c r="E3904" s="139" t="n"/>
      <c r="F3904" s="139" t="n"/>
      <c r="G3904" s="140">
        <f>IFERROR(IF(E3904&gt;0,(F3904/E3904)*1000,""),"")</f>
        <v/>
      </c>
      <c r="H3904" s="139">
        <f>IFERROR(IF(E3904&gt;0,E3904*IF(ISNUMBER(J3904),J3904,IF(C3904="Futures",$C$6,$C$5)),""),"")</f>
        <v/>
      </c>
      <c r="I3904" s="139">
        <f>IFERROR(IF(AND(ISNUMBER(F3904),ISNUMBER(H3904)),F3904-H3904,""),"")</f>
        <v/>
      </c>
      <c r="J3904" s="114" t="n"/>
      <c r="K3904" s="139">
        <f>IFERROR(IF(H3904&gt;0,H3904*$C$7,""),"")</f>
        <v/>
      </c>
      <c r="L3904" s="139">
        <f>IFERROR(IF(ISNUMBER(F3904),F3904-IF(ISNUMBER(K3904),K3904,0),""),"")</f>
        <v/>
      </c>
    </row>
    <row r="3905" ht="24" customHeight="1" s="63">
      <c r="E3905" s="139" t="n"/>
      <c r="F3905" s="139" t="n"/>
      <c r="G3905" s="140">
        <f>IFERROR(IF(E3905&gt;0,(F3905/E3905)*1000,""),"")</f>
        <v/>
      </c>
      <c r="H3905" s="139">
        <f>IFERROR(IF(E3905&gt;0,E3905*IF(ISNUMBER(J3905),J3905,IF(C3905="Futures",$C$6,$C$5)),""),"")</f>
        <v/>
      </c>
      <c r="I3905" s="139">
        <f>IFERROR(IF(AND(ISNUMBER(F3905),ISNUMBER(H3905)),F3905-H3905,""),"")</f>
        <v/>
      </c>
      <c r="J3905" s="114" t="n"/>
      <c r="K3905" s="139">
        <f>IFERROR(IF(H3905&gt;0,H3905*$C$7,""),"")</f>
        <v/>
      </c>
      <c r="L3905" s="139">
        <f>IFERROR(IF(ISNUMBER(F3905),F3905-IF(ISNUMBER(K3905),K3905,0),""),"")</f>
        <v/>
      </c>
    </row>
    <row r="3906" ht="24" customHeight="1" s="63">
      <c r="E3906" s="139" t="n"/>
      <c r="F3906" s="139" t="n"/>
      <c r="G3906" s="140">
        <f>IFERROR(IF(E3906&gt;0,(F3906/E3906)*1000,""),"")</f>
        <v/>
      </c>
      <c r="H3906" s="139">
        <f>IFERROR(IF(E3906&gt;0,E3906*IF(ISNUMBER(J3906),J3906,IF(C3906="Futures",$C$6,$C$5)),""),"")</f>
        <v/>
      </c>
      <c r="I3906" s="139">
        <f>IFERROR(IF(AND(ISNUMBER(F3906),ISNUMBER(H3906)),F3906-H3906,""),"")</f>
        <v/>
      </c>
      <c r="J3906" s="114" t="n"/>
      <c r="K3906" s="139">
        <f>IFERROR(IF(H3906&gt;0,H3906*$C$7,""),"")</f>
        <v/>
      </c>
      <c r="L3906" s="139">
        <f>IFERROR(IF(ISNUMBER(F3906),F3906-IF(ISNUMBER(K3906),K3906,0),""),"")</f>
        <v/>
      </c>
    </row>
    <row r="3907" ht="24" customHeight="1" s="63">
      <c r="E3907" s="139" t="n"/>
      <c r="F3907" s="139" t="n"/>
      <c r="G3907" s="140">
        <f>IFERROR(IF(E3907&gt;0,(F3907/E3907)*1000,""),"")</f>
        <v/>
      </c>
      <c r="H3907" s="139">
        <f>IFERROR(IF(E3907&gt;0,E3907*IF(ISNUMBER(J3907),J3907,IF(C3907="Futures",$C$6,$C$5)),""),"")</f>
        <v/>
      </c>
      <c r="I3907" s="139">
        <f>IFERROR(IF(AND(ISNUMBER(F3907),ISNUMBER(H3907)),F3907-H3907,""),"")</f>
        <v/>
      </c>
      <c r="J3907" s="114" t="n"/>
      <c r="K3907" s="139">
        <f>IFERROR(IF(H3907&gt;0,H3907*$C$7,""),"")</f>
        <v/>
      </c>
      <c r="L3907" s="139">
        <f>IFERROR(IF(ISNUMBER(F3907),F3907-IF(ISNUMBER(K3907),K3907,0),""),"")</f>
        <v/>
      </c>
    </row>
    <row r="3908" ht="24" customHeight="1" s="63">
      <c r="E3908" s="139" t="n"/>
      <c r="F3908" s="139" t="n"/>
      <c r="G3908" s="140">
        <f>IFERROR(IF(E3908&gt;0,(F3908/E3908)*1000,""),"")</f>
        <v/>
      </c>
      <c r="H3908" s="139">
        <f>IFERROR(IF(E3908&gt;0,E3908*IF(ISNUMBER(J3908),J3908,IF(C3908="Futures",$C$6,$C$5)),""),"")</f>
        <v/>
      </c>
      <c r="I3908" s="139">
        <f>IFERROR(IF(AND(ISNUMBER(F3908),ISNUMBER(H3908)),F3908-H3908,""),"")</f>
        <v/>
      </c>
      <c r="J3908" s="114" t="n"/>
      <c r="K3908" s="139">
        <f>IFERROR(IF(H3908&gt;0,H3908*$C$7,""),"")</f>
        <v/>
      </c>
      <c r="L3908" s="139">
        <f>IFERROR(IF(ISNUMBER(F3908),F3908-IF(ISNUMBER(K3908),K3908,0),""),"")</f>
        <v/>
      </c>
    </row>
    <row r="3909" ht="24" customHeight="1" s="63">
      <c r="E3909" s="139" t="n"/>
      <c r="F3909" s="139" t="n"/>
      <c r="G3909" s="140">
        <f>IFERROR(IF(E3909&gt;0,(F3909/E3909)*1000,""),"")</f>
        <v/>
      </c>
      <c r="H3909" s="139">
        <f>IFERROR(IF(E3909&gt;0,E3909*IF(ISNUMBER(J3909),J3909,IF(C3909="Futures",$C$6,$C$5)),""),"")</f>
        <v/>
      </c>
      <c r="I3909" s="139">
        <f>IFERROR(IF(AND(ISNUMBER(F3909),ISNUMBER(H3909)),F3909-H3909,""),"")</f>
        <v/>
      </c>
      <c r="J3909" s="114" t="n"/>
      <c r="K3909" s="139">
        <f>IFERROR(IF(H3909&gt;0,H3909*$C$7,""),"")</f>
        <v/>
      </c>
      <c r="L3909" s="139">
        <f>IFERROR(IF(ISNUMBER(F3909),F3909-IF(ISNUMBER(K3909),K3909,0),""),"")</f>
        <v/>
      </c>
    </row>
    <row r="3910" ht="24" customHeight="1" s="63">
      <c r="E3910" s="139" t="n"/>
      <c r="F3910" s="139" t="n"/>
      <c r="G3910" s="140">
        <f>IFERROR(IF(E3910&gt;0,(F3910/E3910)*1000,""),"")</f>
        <v/>
      </c>
      <c r="H3910" s="139">
        <f>IFERROR(IF(E3910&gt;0,E3910*IF(ISNUMBER(J3910),J3910,IF(C3910="Futures",$C$6,$C$5)),""),"")</f>
        <v/>
      </c>
      <c r="I3910" s="139">
        <f>IFERROR(IF(AND(ISNUMBER(F3910),ISNUMBER(H3910)),F3910-H3910,""),"")</f>
        <v/>
      </c>
      <c r="J3910" s="114" t="n"/>
      <c r="K3910" s="139">
        <f>IFERROR(IF(H3910&gt;0,H3910*$C$7,""),"")</f>
        <v/>
      </c>
      <c r="L3910" s="139">
        <f>IFERROR(IF(ISNUMBER(F3910),F3910-IF(ISNUMBER(K3910),K3910,0),""),"")</f>
        <v/>
      </c>
    </row>
    <row r="3911" ht="24" customHeight="1" s="63">
      <c r="E3911" s="139" t="n"/>
      <c r="F3911" s="139" t="n"/>
      <c r="G3911" s="140">
        <f>IFERROR(IF(E3911&gt;0,(F3911/E3911)*1000,""),"")</f>
        <v/>
      </c>
      <c r="H3911" s="139">
        <f>IFERROR(IF(E3911&gt;0,E3911*IF(ISNUMBER(J3911),J3911,IF(C3911="Futures",$C$6,$C$5)),""),"")</f>
        <v/>
      </c>
      <c r="I3911" s="139">
        <f>IFERROR(IF(AND(ISNUMBER(F3911),ISNUMBER(H3911)),F3911-H3911,""),"")</f>
        <v/>
      </c>
      <c r="J3911" s="114" t="n"/>
      <c r="K3911" s="139">
        <f>IFERROR(IF(H3911&gt;0,H3911*$C$7,""),"")</f>
        <v/>
      </c>
      <c r="L3911" s="139">
        <f>IFERROR(IF(ISNUMBER(F3911),F3911-IF(ISNUMBER(K3911),K3911,0),""),"")</f>
        <v/>
      </c>
    </row>
    <row r="3912" ht="24" customHeight="1" s="63">
      <c r="E3912" s="139" t="n"/>
      <c r="F3912" s="139" t="n"/>
      <c r="G3912" s="140">
        <f>IFERROR(IF(E3912&gt;0,(F3912/E3912)*1000,""),"")</f>
        <v/>
      </c>
      <c r="H3912" s="139">
        <f>IFERROR(IF(E3912&gt;0,E3912*IF(ISNUMBER(J3912),J3912,IF(C3912="Futures",$C$6,$C$5)),""),"")</f>
        <v/>
      </c>
      <c r="I3912" s="139">
        <f>IFERROR(IF(AND(ISNUMBER(F3912),ISNUMBER(H3912)),F3912-H3912,""),"")</f>
        <v/>
      </c>
      <c r="J3912" s="114" t="n"/>
      <c r="K3912" s="139">
        <f>IFERROR(IF(H3912&gt;0,H3912*$C$7,""),"")</f>
        <v/>
      </c>
      <c r="L3912" s="139">
        <f>IFERROR(IF(ISNUMBER(F3912),F3912-IF(ISNUMBER(K3912),K3912,0),""),"")</f>
        <v/>
      </c>
    </row>
    <row r="3913" ht="24" customHeight="1" s="63">
      <c r="E3913" s="139" t="n"/>
      <c r="F3913" s="139" t="n"/>
      <c r="G3913" s="140">
        <f>IFERROR(IF(E3913&gt;0,(F3913/E3913)*1000,""),"")</f>
        <v/>
      </c>
      <c r="H3913" s="139">
        <f>IFERROR(IF(E3913&gt;0,E3913*IF(ISNUMBER(J3913),J3913,IF(C3913="Futures",$C$6,$C$5)),""),"")</f>
        <v/>
      </c>
      <c r="I3913" s="139">
        <f>IFERROR(IF(AND(ISNUMBER(F3913),ISNUMBER(H3913)),F3913-H3913,""),"")</f>
        <v/>
      </c>
      <c r="J3913" s="114" t="n"/>
      <c r="K3913" s="139">
        <f>IFERROR(IF(H3913&gt;0,H3913*$C$7,""),"")</f>
        <v/>
      </c>
      <c r="L3913" s="139">
        <f>IFERROR(IF(ISNUMBER(F3913),F3913-IF(ISNUMBER(K3913),K3913,0),""),"")</f>
        <v/>
      </c>
    </row>
    <row r="3914" ht="24" customHeight="1" s="63">
      <c r="E3914" s="139" t="n"/>
      <c r="F3914" s="139" t="n"/>
      <c r="G3914" s="140">
        <f>IFERROR(IF(E3914&gt;0,(F3914/E3914)*1000,""),"")</f>
        <v/>
      </c>
      <c r="H3914" s="139">
        <f>IFERROR(IF(E3914&gt;0,E3914*IF(ISNUMBER(J3914),J3914,IF(C3914="Futures",$C$6,$C$5)),""),"")</f>
        <v/>
      </c>
      <c r="I3914" s="139">
        <f>IFERROR(IF(AND(ISNUMBER(F3914),ISNUMBER(H3914)),F3914-H3914,""),"")</f>
        <v/>
      </c>
      <c r="J3914" s="114" t="n"/>
      <c r="K3914" s="139">
        <f>IFERROR(IF(H3914&gt;0,H3914*$C$7,""),"")</f>
        <v/>
      </c>
      <c r="L3914" s="139">
        <f>IFERROR(IF(ISNUMBER(F3914),F3914-IF(ISNUMBER(K3914),K3914,0),""),"")</f>
        <v/>
      </c>
    </row>
    <row r="3915" ht="24" customHeight="1" s="63">
      <c r="E3915" s="139" t="n"/>
      <c r="F3915" s="139" t="n"/>
      <c r="G3915" s="140">
        <f>IFERROR(IF(E3915&gt;0,(F3915/E3915)*1000,""),"")</f>
        <v/>
      </c>
      <c r="H3915" s="139">
        <f>IFERROR(IF(E3915&gt;0,E3915*IF(ISNUMBER(J3915),J3915,IF(C3915="Futures",$C$6,$C$5)),""),"")</f>
        <v/>
      </c>
      <c r="I3915" s="139">
        <f>IFERROR(IF(AND(ISNUMBER(F3915),ISNUMBER(H3915)),F3915-H3915,""),"")</f>
        <v/>
      </c>
      <c r="J3915" s="114" t="n"/>
      <c r="K3915" s="139">
        <f>IFERROR(IF(H3915&gt;0,H3915*$C$7,""),"")</f>
        <v/>
      </c>
      <c r="L3915" s="139">
        <f>IFERROR(IF(ISNUMBER(F3915),F3915-IF(ISNUMBER(K3915),K3915,0),""),"")</f>
        <v/>
      </c>
    </row>
    <row r="3916" ht="24" customHeight="1" s="63">
      <c r="E3916" s="139" t="n"/>
      <c r="F3916" s="139" t="n"/>
      <c r="G3916" s="140">
        <f>IFERROR(IF(E3916&gt;0,(F3916/E3916)*1000,""),"")</f>
        <v/>
      </c>
      <c r="H3916" s="139">
        <f>IFERROR(IF(E3916&gt;0,E3916*IF(ISNUMBER(J3916),J3916,IF(C3916="Futures",$C$6,$C$5)),""),"")</f>
        <v/>
      </c>
      <c r="I3916" s="139">
        <f>IFERROR(IF(AND(ISNUMBER(F3916),ISNUMBER(H3916)),F3916-H3916,""),"")</f>
        <v/>
      </c>
      <c r="J3916" s="114" t="n"/>
      <c r="K3916" s="139">
        <f>IFERROR(IF(H3916&gt;0,H3916*$C$7,""),"")</f>
        <v/>
      </c>
      <c r="L3916" s="139">
        <f>IFERROR(IF(ISNUMBER(F3916),F3916-IF(ISNUMBER(K3916),K3916,0),""),"")</f>
        <v/>
      </c>
    </row>
    <row r="3917" ht="24" customHeight="1" s="63">
      <c r="E3917" s="139" t="n"/>
      <c r="F3917" s="139" t="n"/>
      <c r="G3917" s="140">
        <f>IFERROR(IF(E3917&gt;0,(F3917/E3917)*1000,""),"")</f>
        <v/>
      </c>
      <c r="H3917" s="139">
        <f>IFERROR(IF(E3917&gt;0,E3917*IF(ISNUMBER(J3917),J3917,IF(C3917="Futures",$C$6,$C$5)),""),"")</f>
        <v/>
      </c>
      <c r="I3917" s="139">
        <f>IFERROR(IF(AND(ISNUMBER(F3917),ISNUMBER(H3917)),F3917-H3917,""),"")</f>
        <v/>
      </c>
      <c r="J3917" s="114" t="n"/>
      <c r="K3917" s="139">
        <f>IFERROR(IF(H3917&gt;0,H3917*$C$7,""),"")</f>
        <v/>
      </c>
      <c r="L3917" s="139">
        <f>IFERROR(IF(ISNUMBER(F3917),F3917-IF(ISNUMBER(K3917),K3917,0),""),"")</f>
        <v/>
      </c>
    </row>
    <row r="3918" ht="24" customHeight="1" s="63">
      <c r="E3918" s="139" t="n"/>
      <c r="F3918" s="139" t="n"/>
      <c r="G3918" s="140">
        <f>IFERROR(IF(E3918&gt;0,(F3918/E3918)*1000,""),"")</f>
        <v/>
      </c>
      <c r="H3918" s="139">
        <f>IFERROR(IF(E3918&gt;0,E3918*IF(ISNUMBER(J3918),J3918,IF(C3918="Futures",$C$6,$C$5)),""),"")</f>
        <v/>
      </c>
      <c r="I3918" s="139">
        <f>IFERROR(IF(AND(ISNUMBER(F3918),ISNUMBER(H3918)),F3918-H3918,""),"")</f>
        <v/>
      </c>
      <c r="J3918" s="114" t="n"/>
      <c r="K3918" s="139">
        <f>IFERROR(IF(H3918&gt;0,H3918*$C$7,""),"")</f>
        <v/>
      </c>
      <c r="L3918" s="139">
        <f>IFERROR(IF(ISNUMBER(F3918),F3918-IF(ISNUMBER(K3918),K3918,0),""),"")</f>
        <v/>
      </c>
    </row>
    <row r="3919" ht="24" customHeight="1" s="63">
      <c r="E3919" s="139" t="n"/>
      <c r="F3919" s="139" t="n"/>
      <c r="G3919" s="140">
        <f>IFERROR(IF(E3919&gt;0,(F3919/E3919)*1000,""),"")</f>
        <v/>
      </c>
      <c r="H3919" s="139">
        <f>IFERROR(IF(E3919&gt;0,E3919*IF(ISNUMBER(J3919),J3919,IF(C3919="Futures",$C$6,$C$5)),""),"")</f>
        <v/>
      </c>
      <c r="I3919" s="139">
        <f>IFERROR(IF(AND(ISNUMBER(F3919),ISNUMBER(H3919)),F3919-H3919,""),"")</f>
        <v/>
      </c>
      <c r="J3919" s="114" t="n"/>
      <c r="K3919" s="139">
        <f>IFERROR(IF(H3919&gt;0,H3919*$C$7,""),"")</f>
        <v/>
      </c>
      <c r="L3919" s="139">
        <f>IFERROR(IF(ISNUMBER(F3919),F3919-IF(ISNUMBER(K3919),K3919,0),""),"")</f>
        <v/>
      </c>
    </row>
    <row r="3920" ht="24" customHeight="1" s="63">
      <c r="E3920" s="139" t="n"/>
      <c r="F3920" s="139" t="n"/>
      <c r="G3920" s="140">
        <f>IFERROR(IF(E3920&gt;0,(F3920/E3920)*1000,""),"")</f>
        <v/>
      </c>
      <c r="H3920" s="139">
        <f>IFERROR(IF(E3920&gt;0,E3920*IF(ISNUMBER(J3920),J3920,IF(C3920="Futures",$C$6,$C$5)),""),"")</f>
        <v/>
      </c>
      <c r="I3920" s="139">
        <f>IFERROR(IF(AND(ISNUMBER(F3920),ISNUMBER(H3920)),F3920-H3920,""),"")</f>
        <v/>
      </c>
      <c r="J3920" s="114" t="n"/>
      <c r="K3920" s="139">
        <f>IFERROR(IF(H3920&gt;0,H3920*$C$7,""),"")</f>
        <v/>
      </c>
      <c r="L3920" s="139">
        <f>IFERROR(IF(ISNUMBER(F3920),F3920-IF(ISNUMBER(K3920),K3920,0),""),"")</f>
        <v/>
      </c>
    </row>
    <row r="3921" ht="24" customHeight="1" s="63">
      <c r="E3921" s="139" t="n"/>
      <c r="F3921" s="139" t="n"/>
      <c r="G3921" s="140">
        <f>IFERROR(IF(E3921&gt;0,(F3921/E3921)*1000,""),"")</f>
        <v/>
      </c>
      <c r="H3921" s="139">
        <f>IFERROR(IF(E3921&gt;0,E3921*IF(ISNUMBER(J3921),J3921,IF(C3921="Futures",$C$6,$C$5)),""),"")</f>
        <v/>
      </c>
      <c r="I3921" s="139">
        <f>IFERROR(IF(AND(ISNUMBER(F3921),ISNUMBER(H3921)),F3921-H3921,""),"")</f>
        <v/>
      </c>
      <c r="J3921" s="114" t="n"/>
      <c r="K3921" s="139">
        <f>IFERROR(IF(H3921&gt;0,H3921*$C$7,""),"")</f>
        <v/>
      </c>
      <c r="L3921" s="139">
        <f>IFERROR(IF(ISNUMBER(F3921),F3921-IF(ISNUMBER(K3921),K3921,0),""),"")</f>
        <v/>
      </c>
    </row>
    <row r="3922" ht="24" customHeight="1" s="63">
      <c r="E3922" s="139" t="n"/>
      <c r="F3922" s="139" t="n"/>
      <c r="G3922" s="140">
        <f>IFERROR(IF(E3922&gt;0,(F3922/E3922)*1000,""),"")</f>
        <v/>
      </c>
      <c r="H3922" s="139">
        <f>IFERROR(IF(E3922&gt;0,E3922*IF(ISNUMBER(J3922),J3922,IF(C3922="Futures",$C$6,$C$5)),""),"")</f>
        <v/>
      </c>
      <c r="I3922" s="139">
        <f>IFERROR(IF(AND(ISNUMBER(F3922),ISNUMBER(H3922)),F3922-H3922,""),"")</f>
        <v/>
      </c>
      <c r="J3922" s="114" t="n"/>
      <c r="K3922" s="139">
        <f>IFERROR(IF(H3922&gt;0,H3922*$C$7,""),"")</f>
        <v/>
      </c>
      <c r="L3922" s="139">
        <f>IFERROR(IF(ISNUMBER(F3922),F3922-IF(ISNUMBER(K3922),K3922,0),""),"")</f>
        <v/>
      </c>
    </row>
    <row r="3923" ht="24" customHeight="1" s="63">
      <c r="E3923" s="139" t="n"/>
      <c r="F3923" s="139" t="n"/>
      <c r="G3923" s="140">
        <f>IFERROR(IF(E3923&gt;0,(F3923/E3923)*1000,""),"")</f>
        <v/>
      </c>
      <c r="H3923" s="139">
        <f>IFERROR(IF(E3923&gt;0,E3923*IF(ISNUMBER(J3923),J3923,IF(C3923="Futures",$C$6,$C$5)),""),"")</f>
        <v/>
      </c>
      <c r="I3923" s="139">
        <f>IFERROR(IF(AND(ISNUMBER(F3923),ISNUMBER(H3923)),F3923-H3923,""),"")</f>
        <v/>
      </c>
      <c r="J3923" s="114" t="n"/>
      <c r="K3923" s="139">
        <f>IFERROR(IF(H3923&gt;0,H3923*$C$7,""),"")</f>
        <v/>
      </c>
      <c r="L3923" s="139">
        <f>IFERROR(IF(ISNUMBER(F3923),F3923-IF(ISNUMBER(K3923),K3923,0),""),"")</f>
        <v/>
      </c>
    </row>
    <row r="3924" ht="24" customHeight="1" s="63">
      <c r="E3924" s="139" t="n"/>
      <c r="F3924" s="139" t="n"/>
      <c r="G3924" s="140">
        <f>IFERROR(IF(E3924&gt;0,(F3924/E3924)*1000,""),"")</f>
        <v/>
      </c>
      <c r="H3924" s="139">
        <f>IFERROR(IF(E3924&gt;0,E3924*IF(ISNUMBER(J3924),J3924,IF(C3924="Futures",$C$6,$C$5)),""),"")</f>
        <v/>
      </c>
      <c r="I3924" s="139">
        <f>IFERROR(IF(AND(ISNUMBER(F3924),ISNUMBER(H3924)),F3924-H3924,""),"")</f>
        <v/>
      </c>
      <c r="J3924" s="114" t="n"/>
      <c r="K3924" s="139">
        <f>IFERROR(IF(H3924&gt;0,H3924*$C$7,""),"")</f>
        <v/>
      </c>
      <c r="L3924" s="139">
        <f>IFERROR(IF(ISNUMBER(F3924),F3924-IF(ISNUMBER(K3924),K3924,0),""),"")</f>
        <v/>
      </c>
    </row>
    <row r="3925" ht="24" customHeight="1" s="63">
      <c r="E3925" s="139" t="n"/>
      <c r="F3925" s="139" t="n"/>
      <c r="G3925" s="140">
        <f>IFERROR(IF(E3925&gt;0,(F3925/E3925)*1000,""),"")</f>
        <v/>
      </c>
      <c r="H3925" s="139">
        <f>IFERROR(IF(E3925&gt;0,E3925*IF(ISNUMBER(J3925),J3925,IF(C3925="Futures",$C$6,$C$5)),""),"")</f>
        <v/>
      </c>
      <c r="I3925" s="139">
        <f>IFERROR(IF(AND(ISNUMBER(F3925),ISNUMBER(H3925)),F3925-H3925,""),"")</f>
        <v/>
      </c>
      <c r="J3925" s="114" t="n"/>
      <c r="K3925" s="139">
        <f>IFERROR(IF(H3925&gt;0,H3925*$C$7,""),"")</f>
        <v/>
      </c>
      <c r="L3925" s="139">
        <f>IFERROR(IF(ISNUMBER(F3925),F3925-IF(ISNUMBER(K3925),K3925,0),""),"")</f>
        <v/>
      </c>
    </row>
    <row r="3926" ht="24" customHeight="1" s="63">
      <c r="E3926" s="139" t="n"/>
      <c r="F3926" s="139" t="n"/>
      <c r="G3926" s="140">
        <f>IFERROR(IF(E3926&gt;0,(F3926/E3926)*1000,""),"")</f>
        <v/>
      </c>
      <c r="H3926" s="139">
        <f>IFERROR(IF(E3926&gt;0,E3926*IF(ISNUMBER(J3926),J3926,IF(C3926="Futures",$C$6,$C$5)),""),"")</f>
        <v/>
      </c>
      <c r="I3926" s="139">
        <f>IFERROR(IF(AND(ISNUMBER(F3926),ISNUMBER(H3926)),F3926-H3926,""),"")</f>
        <v/>
      </c>
      <c r="J3926" s="114" t="n"/>
      <c r="K3926" s="139">
        <f>IFERROR(IF(H3926&gt;0,H3926*$C$7,""),"")</f>
        <v/>
      </c>
      <c r="L3926" s="139">
        <f>IFERROR(IF(ISNUMBER(F3926),F3926-IF(ISNUMBER(K3926),K3926,0),""),"")</f>
        <v/>
      </c>
    </row>
    <row r="3927" ht="24" customHeight="1" s="63">
      <c r="E3927" s="139" t="n"/>
      <c r="F3927" s="139" t="n"/>
      <c r="G3927" s="140">
        <f>IFERROR(IF(E3927&gt;0,(F3927/E3927)*1000,""),"")</f>
        <v/>
      </c>
      <c r="H3927" s="139">
        <f>IFERROR(IF(E3927&gt;0,E3927*IF(ISNUMBER(J3927),J3927,IF(C3927="Futures",$C$6,$C$5)),""),"")</f>
        <v/>
      </c>
      <c r="I3927" s="139">
        <f>IFERROR(IF(AND(ISNUMBER(F3927),ISNUMBER(H3927)),F3927-H3927,""),"")</f>
        <v/>
      </c>
      <c r="J3927" s="114" t="n"/>
      <c r="K3927" s="139">
        <f>IFERROR(IF(H3927&gt;0,H3927*$C$7,""),"")</f>
        <v/>
      </c>
      <c r="L3927" s="139">
        <f>IFERROR(IF(ISNUMBER(F3927),F3927-IF(ISNUMBER(K3927),K3927,0),""),"")</f>
        <v/>
      </c>
    </row>
    <row r="3928" ht="24" customHeight="1" s="63">
      <c r="E3928" s="139" t="n"/>
      <c r="F3928" s="139" t="n"/>
      <c r="G3928" s="140">
        <f>IFERROR(IF(E3928&gt;0,(F3928/E3928)*1000,""),"")</f>
        <v/>
      </c>
      <c r="H3928" s="139">
        <f>IFERROR(IF(E3928&gt;0,E3928*IF(ISNUMBER(J3928),J3928,IF(C3928="Futures",$C$6,$C$5)),""),"")</f>
        <v/>
      </c>
      <c r="I3928" s="139">
        <f>IFERROR(IF(AND(ISNUMBER(F3928),ISNUMBER(H3928)),F3928-H3928,""),"")</f>
        <v/>
      </c>
      <c r="J3928" s="114" t="n"/>
      <c r="K3928" s="139">
        <f>IFERROR(IF(H3928&gt;0,H3928*$C$7,""),"")</f>
        <v/>
      </c>
      <c r="L3928" s="139">
        <f>IFERROR(IF(ISNUMBER(F3928),F3928-IF(ISNUMBER(K3928),K3928,0),""),"")</f>
        <v/>
      </c>
    </row>
    <row r="3929" ht="24" customHeight="1" s="63">
      <c r="E3929" s="139" t="n"/>
      <c r="F3929" s="139" t="n"/>
      <c r="G3929" s="140">
        <f>IFERROR(IF(E3929&gt;0,(F3929/E3929)*1000,""),"")</f>
        <v/>
      </c>
      <c r="H3929" s="139">
        <f>IFERROR(IF(E3929&gt;0,E3929*IF(ISNUMBER(J3929),J3929,IF(C3929="Futures",$C$6,$C$5)),""),"")</f>
        <v/>
      </c>
      <c r="I3929" s="139">
        <f>IFERROR(IF(AND(ISNUMBER(F3929),ISNUMBER(H3929)),F3929-H3929,""),"")</f>
        <v/>
      </c>
      <c r="J3929" s="114" t="n"/>
      <c r="K3929" s="139">
        <f>IFERROR(IF(H3929&gt;0,H3929*$C$7,""),"")</f>
        <v/>
      </c>
      <c r="L3929" s="139">
        <f>IFERROR(IF(ISNUMBER(F3929),F3929-IF(ISNUMBER(K3929),K3929,0),""),"")</f>
        <v/>
      </c>
    </row>
    <row r="3930" ht="24" customHeight="1" s="63">
      <c r="E3930" s="139" t="n"/>
      <c r="F3930" s="139" t="n"/>
      <c r="G3930" s="140">
        <f>IFERROR(IF(E3930&gt;0,(F3930/E3930)*1000,""),"")</f>
        <v/>
      </c>
      <c r="H3930" s="139">
        <f>IFERROR(IF(E3930&gt;0,E3930*IF(ISNUMBER(J3930),J3930,IF(C3930="Futures",$C$6,$C$5)),""),"")</f>
        <v/>
      </c>
      <c r="I3930" s="139">
        <f>IFERROR(IF(AND(ISNUMBER(F3930),ISNUMBER(H3930)),F3930-H3930,""),"")</f>
        <v/>
      </c>
      <c r="J3930" s="114" t="n"/>
      <c r="K3930" s="139">
        <f>IFERROR(IF(H3930&gt;0,H3930*$C$7,""),"")</f>
        <v/>
      </c>
      <c r="L3930" s="139">
        <f>IFERROR(IF(ISNUMBER(F3930),F3930-IF(ISNUMBER(K3930),K3930,0),""),"")</f>
        <v/>
      </c>
    </row>
    <row r="3931" ht="24" customHeight="1" s="63">
      <c r="E3931" s="139" t="n"/>
      <c r="F3931" s="139" t="n"/>
      <c r="G3931" s="140">
        <f>IFERROR(IF(E3931&gt;0,(F3931/E3931)*1000,""),"")</f>
        <v/>
      </c>
      <c r="H3931" s="139">
        <f>IFERROR(IF(E3931&gt;0,E3931*IF(ISNUMBER(J3931),J3931,IF(C3931="Futures",$C$6,$C$5)),""),"")</f>
        <v/>
      </c>
      <c r="I3931" s="139">
        <f>IFERROR(IF(AND(ISNUMBER(F3931),ISNUMBER(H3931)),F3931-H3931,""),"")</f>
        <v/>
      </c>
      <c r="J3931" s="114" t="n"/>
      <c r="K3931" s="139">
        <f>IFERROR(IF(H3931&gt;0,H3931*$C$7,""),"")</f>
        <v/>
      </c>
      <c r="L3931" s="139">
        <f>IFERROR(IF(ISNUMBER(F3931),F3931-IF(ISNUMBER(K3931),K3931,0),""),"")</f>
        <v/>
      </c>
    </row>
    <row r="3932" ht="24" customHeight="1" s="63">
      <c r="E3932" s="139" t="n"/>
      <c r="F3932" s="139" t="n"/>
      <c r="G3932" s="140">
        <f>IFERROR(IF(E3932&gt;0,(F3932/E3932)*1000,""),"")</f>
        <v/>
      </c>
      <c r="H3932" s="139">
        <f>IFERROR(IF(E3932&gt;0,E3932*IF(ISNUMBER(J3932),J3932,IF(C3932="Futures",$C$6,$C$5)),""),"")</f>
        <v/>
      </c>
      <c r="I3932" s="139">
        <f>IFERROR(IF(AND(ISNUMBER(F3932),ISNUMBER(H3932)),F3932-H3932,""),"")</f>
        <v/>
      </c>
      <c r="J3932" s="114" t="n"/>
      <c r="K3932" s="139">
        <f>IFERROR(IF(H3932&gt;0,H3932*$C$7,""),"")</f>
        <v/>
      </c>
      <c r="L3932" s="139">
        <f>IFERROR(IF(ISNUMBER(F3932),F3932-IF(ISNUMBER(K3932),K3932,0),""),"")</f>
        <v/>
      </c>
    </row>
    <row r="3933" ht="24" customHeight="1" s="63">
      <c r="E3933" s="139" t="n"/>
      <c r="F3933" s="139" t="n"/>
      <c r="G3933" s="140">
        <f>IFERROR(IF(E3933&gt;0,(F3933/E3933)*1000,""),"")</f>
        <v/>
      </c>
      <c r="H3933" s="139">
        <f>IFERROR(IF(E3933&gt;0,E3933*IF(ISNUMBER(J3933),J3933,IF(C3933="Futures",$C$6,$C$5)),""),"")</f>
        <v/>
      </c>
      <c r="I3933" s="139">
        <f>IFERROR(IF(AND(ISNUMBER(F3933),ISNUMBER(H3933)),F3933-H3933,""),"")</f>
        <v/>
      </c>
      <c r="J3933" s="114" t="n"/>
      <c r="K3933" s="139">
        <f>IFERROR(IF(H3933&gt;0,H3933*$C$7,""),"")</f>
        <v/>
      </c>
      <c r="L3933" s="139">
        <f>IFERROR(IF(ISNUMBER(F3933),F3933-IF(ISNUMBER(K3933),K3933,0),""),"")</f>
        <v/>
      </c>
    </row>
    <row r="3934" ht="24" customHeight="1" s="63">
      <c r="E3934" s="139" t="n"/>
      <c r="F3934" s="139" t="n"/>
      <c r="G3934" s="140">
        <f>IFERROR(IF(E3934&gt;0,(F3934/E3934)*1000,""),"")</f>
        <v/>
      </c>
      <c r="H3934" s="139">
        <f>IFERROR(IF(E3934&gt;0,E3934*IF(ISNUMBER(J3934),J3934,IF(C3934="Futures",$C$6,$C$5)),""),"")</f>
        <v/>
      </c>
      <c r="I3934" s="139">
        <f>IFERROR(IF(AND(ISNUMBER(F3934),ISNUMBER(H3934)),F3934-H3934,""),"")</f>
        <v/>
      </c>
      <c r="J3934" s="114" t="n"/>
      <c r="K3934" s="139">
        <f>IFERROR(IF(H3934&gt;0,H3934*$C$7,""),"")</f>
        <v/>
      </c>
      <c r="L3934" s="139">
        <f>IFERROR(IF(ISNUMBER(F3934),F3934-IF(ISNUMBER(K3934),K3934,0),""),"")</f>
        <v/>
      </c>
    </row>
    <row r="3935" ht="24" customHeight="1" s="63">
      <c r="E3935" s="139" t="n"/>
      <c r="F3935" s="139" t="n"/>
      <c r="G3935" s="140">
        <f>IFERROR(IF(E3935&gt;0,(F3935/E3935)*1000,""),"")</f>
        <v/>
      </c>
      <c r="H3935" s="139">
        <f>IFERROR(IF(E3935&gt;0,E3935*IF(ISNUMBER(J3935),J3935,IF(C3935="Futures",$C$6,$C$5)),""),"")</f>
        <v/>
      </c>
      <c r="I3935" s="139">
        <f>IFERROR(IF(AND(ISNUMBER(F3935),ISNUMBER(H3935)),F3935-H3935,""),"")</f>
        <v/>
      </c>
      <c r="J3935" s="114" t="n"/>
      <c r="K3935" s="139">
        <f>IFERROR(IF(H3935&gt;0,H3935*$C$7,""),"")</f>
        <v/>
      </c>
      <c r="L3935" s="139">
        <f>IFERROR(IF(ISNUMBER(F3935),F3935-IF(ISNUMBER(K3935),K3935,0),""),"")</f>
        <v/>
      </c>
    </row>
    <row r="3936" ht="24" customHeight="1" s="63">
      <c r="E3936" s="139" t="n"/>
      <c r="F3936" s="139" t="n"/>
      <c r="G3936" s="140">
        <f>IFERROR(IF(E3936&gt;0,(F3936/E3936)*1000,""),"")</f>
        <v/>
      </c>
      <c r="H3936" s="139">
        <f>IFERROR(IF(E3936&gt;0,E3936*IF(ISNUMBER(J3936),J3936,IF(C3936="Futures",$C$6,$C$5)),""),"")</f>
        <v/>
      </c>
      <c r="I3936" s="139">
        <f>IFERROR(IF(AND(ISNUMBER(F3936),ISNUMBER(H3936)),F3936-H3936,""),"")</f>
        <v/>
      </c>
      <c r="J3936" s="114" t="n"/>
      <c r="K3936" s="139">
        <f>IFERROR(IF(H3936&gt;0,H3936*$C$7,""),"")</f>
        <v/>
      </c>
      <c r="L3936" s="139">
        <f>IFERROR(IF(ISNUMBER(F3936),F3936-IF(ISNUMBER(K3936),K3936,0),""),"")</f>
        <v/>
      </c>
    </row>
    <row r="3937" ht="24" customHeight="1" s="63">
      <c r="E3937" s="139" t="n"/>
      <c r="F3937" s="139" t="n"/>
      <c r="G3937" s="140">
        <f>IFERROR(IF(E3937&gt;0,(F3937/E3937)*1000,""),"")</f>
        <v/>
      </c>
      <c r="H3937" s="139">
        <f>IFERROR(IF(E3937&gt;0,E3937*IF(ISNUMBER(J3937),J3937,IF(C3937="Futures",$C$6,$C$5)),""),"")</f>
        <v/>
      </c>
      <c r="I3937" s="139">
        <f>IFERROR(IF(AND(ISNUMBER(F3937),ISNUMBER(H3937)),F3937-H3937,""),"")</f>
        <v/>
      </c>
      <c r="J3937" s="114" t="n"/>
      <c r="K3937" s="139">
        <f>IFERROR(IF(H3937&gt;0,H3937*$C$7,""),"")</f>
        <v/>
      </c>
      <c r="L3937" s="139">
        <f>IFERROR(IF(ISNUMBER(F3937),F3937-IF(ISNUMBER(K3937),K3937,0),""),"")</f>
        <v/>
      </c>
    </row>
    <row r="3938" ht="24" customHeight="1" s="63">
      <c r="E3938" s="139" t="n"/>
      <c r="F3938" s="139" t="n"/>
      <c r="G3938" s="140">
        <f>IFERROR(IF(E3938&gt;0,(F3938/E3938)*1000,""),"")</f>
        <v/>
      </c>
      <c r="H3938" s="139">
        <f>IFERROR(IF(E3938&gt;0,E3938*IF(ISNUMBER(J3938),J3938,IF(C3938="Futures",$C$6,$C$5)),""),"")</f>
        <v/>
      </c>
      <c r="I3938" s="139">
        <f>IFERROR(IF(AND(ISNUMBER(F3938),ISNUMBER(H3938)),F3938-H3938,""),"")</f>
        <v/>
      </c>
      <c r="J3938" s="114" t="n"/>
      <c r="K3938" s="139">
        <f>IFERROR(IF(H3938&gt;0,H3938*$C$7,""),"")</f>
        <v/>
      </c>
      <c r="L3938" s="139">
        <f>IFERROR(IF(ISNUMBER(F3938),F3938-IF(ISNUMBER(K3938),K3938,0),""),"")</f>
        <v/>
      </c>
    </row>
    <row r="3939" ht="24" customHeight="1" s="63">
      <c r="E3939" s="139" t="n"/>
      <c r="F3939" s="139" t="n"/>
      <c r="G3939" s="140">
        <f>IFERROR(IF(E3939&gt;0,(F3939/E3939)*1000,""),"")</f>
        <v/>
      </c>
      <c r="H3939" s="139">
        <f>IFERROR(IF(E3939&gt;0,E3939*IF(ISNUMBER(J3939),J3939,IF(C3939="Futures",$C$6,$C$5)),""),"")</f>
        <v/>
      </c>
      <c r="I3939" s="139">
        <f>IFERROR(IF(AND(ISNUMBER(F3939),ISNUMBER(H3939)),F3939-H3939,""),"")</f>
        <v/>
      </c>
      <c r="J3939" s="114" t="n"/>
      <c r="K3939" s="139">
        <f>IFERROR(IF(H3939&gt;0,H3939*$C$7,""),"")</f>
        <v/>
      </c>
      <c r="L3939" s="139">
        <f>IFERROR(IF(ISNUMBER(F3939),F3939-IF(ISNUMBER(K3939),K3939,0),""),"")</f>
        <v/>
      </c>
    </row>
    <row r="3940" ht="24" customHeight="1" s="63">
      <c r="E3940" s="139" t="n"/>
      <c r="F3940" s="139" t="n"/>
      <c r="G3940" s="140">
        <f>IFERROR(IF(E3940&gt;0,(F3940/E3940)*1000,""),"")</f>
        <v/>
      </c>
      <c r="H3940" s="139">
        <f>IFERROR(IF(E3940&gt;0,E3940*IF(ISNUMBER(J3940),J3940,IF(C3940="Futures",$C$6,$C$5)),""),"")</f>
        <v/>
      </c>
      <c r="I3940" s="139">
        <f>IFERROR(IF(AND(ISNUMBER(F3940),ISNUMBER(H3940)),F3940-H3940,""),"")</f>
        <v/>
      </c>
      <c r="J3940" s="114" t="n"/>
      <c r="K3940" s="139">
        <f>IFERROR(IF(H3940&gt;0,H3940*$C$7,""),"")</f>
        <v/>
      </c>
      <c r="L3940" s="139">
        <f>IFERROR(IF(ISNUMBER(F3940),F3940-IF(ISNUMBER(K3940),K3940,0),""),"")</f>
        <v/>
      </c>
    </row>
    <row r="3941" ht="24" customHeight="1" s="63">
      <c r="E3941" s="139" t="n"/>
      <c r="F3941" s="139" t="n"/>
      <c r="G3941" s="140">
        <f>IFERROR(IF(E3941&gt;0,(F3941/E3941)*1000,""),"")</f>
        <v/>
      </c>
      <c r="H3941" s="139">
        <f>IFERROR(IF(E3941&gt;0,E3941*IF(ISNUMBER(J3941),J3941,IF(C3941="Futures",$C$6,$C$5)),""),"")</f>
        <v/>
      </c>
      <c r="I3941" s="139">
        <f>IFERROR(IF(AND(ISNUMBER(F3941),ISNUMBER(H3941)),F3941-H3941,""),"")</f>
        <v/>
      </c>
      <c r="J3941" s="114" t="n"/>
      <c r="K3941" s="139">
        <f>IFERROR(IF(H3941&gt;0,H3941*$C$7,""),"")</f>
        <v/>
      </c>
      <c r="L3941" s="139">
        <f>IFERROR(IF(ISNUMBER(F3941),F3941-IF(ISNUMBER(K3941),K3941,0),""),"")</f>
        <v/>
      </c>
    </row>
    <row r="3942" ht="24" customHeight="1" s="63">
      <c r="E3942" s="139" t="n"/>
      <c r="F3942" s="139" t="n"/>
      <c r="G3942" s="140">
        <f>IFERROR(IF(E3942&gt;0,(F3942/E3942)*1000,""),"")</f>
        <v/>
      </c>
      <c r="H3942" s="139">
        <f>IFERROR(IF(E3942&gt;0,E3942*IF(ISNUMBER(J3942),J3942,IF(C3942="Futures",$C$6,$C$5)),""),"")</f>
        <v/>
      </c>
      <c r="I3942" s="139">
        <f>IFERROR(IF(AND(ISNUMBER(F3942),ISNUMBER(H3942)),F3942-H3942,""),"")</f>
        <v/>
      </c>
      <c r="J3942" s="114" t="n"/>
      <c r="K3942" s="139">
        <f>IFERROR(IF(H3942&gt;0,H3942*$C$7,""),"")</f>
        <v/>
      </c>
      <c r="L3942" s="139">
        <f>IFERROR(IF(ISNUMBER(F3942),F3942-IF(ISNUMBER(K3942),K3942,0),""),"")</f>
        <v/>
      </c>
    </row>
    <row r="3943" ht="24" customHeight="1" s="63">
      <c r="E3943" s="139" t="n"/>
      <c r="F3943" s="139" t="n"/>
      <c r="G3943" s="140">
        <f>IFERROR(IF(E3943&gt;0,(F3943/E3943)*1000,""),"")</f>
        <v/>
      </c>
      <c r="H3943" s="139">
        <f>IFERROR(IF(E3943&gt;0,E3943*IF(ISNUMBER(J3943),J3943,IF(C3943="Futures",$C$6,$C$5)),""),"")</f>
        <v/>
      </c>
      <c r="I3943" s="139">
        <f>IFERROR(IF(AND(ISNUMBER(F3943),ISNUMBER(H3943)),F3943-H3943,""),"")</f>
        <v/>
      </c>
      <c r="J3943" s="114" t="n"/>
      <c r="K3943" s="139">
        <f>IFERROR(IF(H3943&gt;0,H3943*$C$7,""),"")</f>
        <v/>
      </c>
      <c r="L3943" s="139">
        <f>IFERROR(IF(ISNUMBER(F3943),F3943-IF(ISNUMBER(K3943),K3943,0),""),"")</f>
        <v/>
      </c>
    </row>
    <row r="3944" ht="24" customHeight="1" s="63">
      <c r="E3944" s="139" t="n"/>
      <c r="F3944" s="139" t="n"/>
      <c r="G3944" s="140">
        <f>IFERROR(IF(E3944&gt;0,(F3944/E3944)*1000,""),"")</f>
        <v/>
      </c>
      <c r="H3944" s="139">
        <f>IFERROR(IF(E3944&gt;0,E3944*IF(ISNUMBER(J3944),J3944,IF(C3944="Futures",$C$6,$C$5)),""),"")</f>
        <v/>
      </c>
      <c r="I3944" s="139">
        <f>IFERROR(IF(AND(ISNUMBER(F3944),ISNUMBER(H3944)),F3944-H3944,""),"")</f>
        <v/>
      </c>
      <c r="J3944" s="114" t="n"/>
      <c r="K3944" s="139">
        <f>IFERROR(IF(H3944&gt;0,H3944*$C$7,""),"")</f>
        <v/>
      </c>
      <c r="L3944" s="139">
        <f>IFERROR(IF(ISNUMBER(F3944),F3944-IF(ISNUMBER(K3944),K3944,0),""),"")</f>
        <v/>
      </c>
    </row>
    <row r="3945" ht="24" customHeight="1" s="63">
      <c r="E3945" s="139" t="n"/>
      <c r="F3945" s="139" t="n"/>
      <c r="G3945" s="140">
        <f>IFERROR(IF(E3945&gt;0,(F3945/E3945)*1000,""),"")</f>
        <v/>
      </c>
      <c r="H3945" s="139">
        <f>IFERROR(IF(E3945&gt;0,E3945*IF(ISNUMBER(J3945),J3945,IF(C3945="Futures",$C$6,$C$5)),""),"")</f>
        <v/>
      </c>
      <c r="I3945" s="139">
        <f>IFERROR(IF(AND(ISNUMBER(F3945),ISNUMBER(H3945)),F3945-H3945,""),"")</f>
        <v/>
      </c>
      <c r="J3945" s="114" t="n"/>
      <c r="K3945" s="139">
        <f>IFERROR(IF(H3945&gt;0,H3945*$C$7,""),"")</f>
        <v/>
      </c>
      <c r="L3945" s="139">
        <f>IFERROR(IF(ISNUMBER(F3945),F3945-IF(ISNUMBER(K3945),K3945,0),""),"")</f>
        <v/>
      </c>
    </row>
    <row r="3946" ht="24" customHeight="1" s="63">
      <c r="E3946" s="139" t="n"/>
      <c r="F3946" s="139" t="n"/>
      <c r="G3946" s="140">
        <f>IFERROR(IF(E3946&gt;0,(F3946/E3946)*1000,""),"")</f>
        <v/>
      </c>
      <c r="H3946" s="139">
        <f>IFERROR(IF(E3946&gt;0,E3946*IF(ISNUMBER(J3946),J3946,IF(C3946="Futures",$C$6,$C$5)),""),"")</f>
        <v/>
      </c>
      <c r="I3946" s="139">
        <f>IFERROR(IF(AND(ISNUMBER(F3946),ISNUMBER(H3946)),F3946-H3946,""),"")</f>
        <v/>
      </c>
      <c r="J3946" s="114" t="n"/>
      <c r="K3946" s="139">
        <f>IFERROR(IF(H3946&gt;0,H3946*$C$7,""),"")</f>
        <v/>
      </c>
      <c r="L3946" s="139">
        <f>IFERROR(IF(ISNUMBER(F3946),F3946-IF(ISNUMBER(K3946),K3946,0),""),"")</f>
        <v/>
      </c>
    </row>
    <row r="3947" ht="24" customHeight="1" s="63">
      <c r="E3947" s="139" t="n"/>
      <c r="F3947" s="139" t="n"/>
      <c r="G3947" s="140">
        <f>IFERROR(IF(E3947&gt;0,(F3947/E3947)*1000,""),"")</f>
        <v/>
      </c>
      <c r="H3947" s="139">
        <f>IFERROR(IF(E3947&gt;0,E3947*IF(ISNUMBER(J3947),J3947,IF(C3947="Futures",$C$6,$C$5)),""),"")</f>
        <v/>
      </c>
      <c r="I3947" s="139">
        <f>IFERROR(IF(AND(ISNUMBER(F3947),ISNUMBER(H3947)),F3947-H3947,""),"")</f>
        <v/>
      </c>
      <c r="J3947" s="114" t="n"/>
      <c r="K3947" s="139">
        <f>IFERROR(IF(H3947&gt;0,H3947*$C$7,""),"")</f>
        <v/>
      </c>
      <c r="L3947" s="139">
        <f>IFERROR(IF(ISNUMBER(F3947),F3947-IF(ISNUMBER(K3947),K3947,0),""),"")</f>
        <v/>
      </c>
    </row>
    <row r="3948" ht="24" customHeight="1" s="63">
      <c r="E3948" s="139" t="n"/>
      <c r="F3948" s="139" t="n"/>
      <c r="G3948" s="140">
        <f>IFERROR(IF(E3948&gt;0,(F3948/E3948)*1000,""),"")</f>
        <v/>
      </c>
      <c r="H3948" s="139">
        <f>IFERROR(IF(E3948&gt;0,E3948*IF(ISNUMBER(J3948),J3948,IF(C3948="Futures",$C$6,$C$5)),""),"")</f>
        <v/>
      </c>
      <c r="I3948" s="139">
        <f>IFERROR(IF(AND(ISNUMBER(F3948),ISNUMBER(H3948)),F3948-H3948,""),"")</f>
        <v/>
      </c>
      <c r="J3948" s="114" t="n"/>
      <c r="K3948" s="139">
        <f>IFERROR(IF(H3948&gt;0,H3948*$C$7,""),"")</f>
        <v/>
      </c>
      <c r="L3948" s="139">
        <f>IFERROR(IF(ISNUMBER(F3948),F3948-IF(ISNUMBER(K3948),K3948,0),""),"")</f>
        <v/>
      </c>
    </row>
    <row r="3949" ht="24" customHeight="1" s="63">
      <c r="E3949" s="139" t="n"/>
      <c r="F3949" s="139" t="n"/>
      <c r="G3949" s="140">
        <f>IFERROR(IF(E3949&gt;0,(F3949/E3949)*1000,""),"")</f>
        <v/>
      </c>
      <c r="H3949" s="139">
        <f>IFERROR(IF(E3949&gt;0,E3949*IF(ISNUMBER(J3949),J3949,IF(C3949="Futures",$C$6,$C$5)),""),"")</f>
        <v/>
      </c>
      <c r="I3949" s="139">
        <f>IFERROR(IF(AND(ISNUMBER(F3949),ISNUMBER(H3949)),F3949-H3949,""),"")</f>
        <v/>
      </c>
      <c r="J3949" s="114" t="n"/>
      <c r="K3949" s="139">
        <f>IFERROR(IF(H3949&gt;0,H3949*$C$7,""),"")</f>
        <v/>
      </c>
      <c r="L3949" s="139">
        <f>IFERROR(IF(ISNUMBER(F3949),F3949-IF(ISNUMBER(K3949),K3949,0),""),"")</f>
        <v/>
      </c>
    </row>
    <row r="3950" ht="24" customHeight="1" s="63">
      <c r="E3950" s="139" t="n"/>
      <c r="F3950" s="139" t="n"/>
      <c r="G3950" s="140">
        <f>IFERROR(IF(E3950&gt;0,(F3950/E3950)*1000,""),"")</f>
        <v/>
      </c>
      <c r="H3950" s="139">
        <f>IFERROR(IF(E3950&gt;0,E3950*IF(ISNUMBER(J3950),J3950,IF(C3950="Futures",$C$6,$C$5)),""),"")</f>
        <v/>
      </c>
      <c r="I3950" s="139">
        <f>IFERROR(IF(AND(ISNUMBER(F3950),ISNUMBER(H3950)),F3950-H3950,""),"")</f>
        <v/>
      </c>
      <c r="J3950" s="114" t="n"/>
      <c r="K3950" s="139">
        <f>IFERROR(IF(H3950&gt;0,H3950*$C$7,""),"")</f>
        <v/>
      </c>
      <c r="L3950" s="139">
        <f>IFERROR(IF(ISNUMBER(F3950),F3950-IF(ISNUMBER(K3950),K3950,0),""),"")</f>
        <v/>
      </c>
    </row>
    <row r="3951" ht="24" customHeight="1" s="63">
      <c r="E3951" s="139" t="n"/>
      <c r="F3951" s="139" t="n"/>
      <c r="G3951" s="140">
        <f>IFERROR(IF(E3951&gt;0,(F3951/E3951)*1000,""),"")</f>
        <v/>
      </c>
      <c r="H3951" s="139">
        <f>IFERROR(IF(E3951&gt;0,E3951*IF(ISNUMBER(J3951),J3951,IF(C3951="Futures",$C$6,$C$5)),""),"")</f>
        <v/>
      </c>
      <c r="I3951" s="139">
        <f>IFERROR(IF(AND(ISNUMBER(F3951),ISNUMBER(H3951)),F3951-H3951,""),"")</f>
        <v/>
      </c>
      <c r="J3951" s="114" t="n"/>
      <c r="K3951" s="139">
        <f>IFERROR(IF(H3951&gt;0,H3951*$C$7,""),"")</f>
        <v/>
      </c>
      <c r="L3951" s="139">
        <f>IFERROR(IF(ISNUMBER(F3951),F3951-IF(ISNUMBER(K3951),K3951,0),""),"")</f>
        <v/>
      </c>
    </row>
    <row r="3952" ht="24" customHeight="1" s="63">
      <c r="E3952" s="139" t="n"/>
      <c r="F3952" s="139" t="n"/>
      <c r="G3952" s="140">
        <f>IFERROR(IF(E3952&gt;0,(F3952/E3952)*1000,""),"")</f>
        <v/>
      </c>
      <c r="H3952" s="139">
        <f>IFERROR(IF(E3952&gt;0,E3952*IF(ISNUMBER(J3952),J3952,IF(C3952="Futures",$C$6,$C$5)),""),"")</f>
        <v/>
      </c>
      <c r="I3952" s="139">
        <f>IFERROR(IF(AND(ISNUMBER(F3952),ISNUMBER(H3952)),F3952-H3952,""),"")</f>
        <v/>
      </c>
      <c r="J3952" s="114" t="n"/>
      <c r="K3952" s="139">
        <f>IFERROR(IF(H3952&gt;0,H3952*$C$7,""),"")</f>
        <v/>
      </c>
      <c r="L3952" s="139">
        <f>IFERROR(IF(ISNUMBER(F3952),F3952-IF(ISNUMBER(K3952),K3952,0),""),"")</f>
        <v/>
      </c>
    </row>
    <row r="3953" ht="24" customHeight="1" s="63">
      <c r="E3953" s="139" t="n"/>
      <c r="F3953" s="139" t="n"/>
      <c r="G3953" s="140">
        <f>IFERROR(IF(E3953&gt;0,(F3953/E3953)*1000,""),"")</f>
        <v/>
      </c>
      <c r="H3953" s="139">
        <f>IFERROR(IF(E3953&gt;0,E3953*IF(ISNUMBER(J3953),J3953,IF(C3953="Futures",$C$6,$C$5)),""),"")</f>
        <v/>
      </c>
      <c r="I3953" s="139">
        <f>IFERROR(IF(AND(ISNUMBER(F3953),ISNUMBER(H3953)),F3953-H3953,""),"")</f>
        <v/>
      </c>
      <c r="J3953" s="114" t="n"/>
      <c r="K3953" s="139">
        <f>IFERROR(IF(H3953&gt;0,H3953*$C$7,""),"")</f>
        <v/>
      </c>
      <c r="L3953" s="139">
        <f>IFERROR(IF(ISNUMBER(F3953),F3953-IF(ISNUMBER(K3953),K3953,0),""),"")</f>
        <v/>
      </c>
    </row>
    <row r="3954" ht="24" customHeight="1" s="63">
      <c r="E3954" s="139" t="n"/>
      <c r="F3954" s="139" t="n"/>
      <c r="G3954" s="140">
        <f>IFERROR(IF(E3954&gt;0,(F3954/E3954)*1000,""),"")</f>
        <v/>
      </c>
      <c r="H3954" s="139">
        <f>IFERROR(IF(E3954&gt;0,E3954*IF(ISNUMBER(J3954),J3954,IF(C3954="Futures",$C$6,$C$5)),""),"")</f>
        <v/>
      </c>
      <c r="I3954" s="139">
        <f>IFERROR(IF(AND(ISNUMBER(F3954),ISNUMBER(H3954)),F3954-H3954,""),"")</f>
        <v/>
      </c>
      <c r="J3954" s="114" t="n"/>
      <c r="K3954" s="139">
        <f>IFERROR(IF(H3954&gt;0,H3954*$C$7,""),"")</f>
        <v/>
      </c>
      <c r="L3954" s="139">
        <f>IFERROR(IF(ISNUMBER(F3954),F3954-IF(ISNUMBER(K3954),K3954,0),""),"")</f>
        <v/>
      </c>
    </row>
    <row r="3955" ht="24" customHeight="1" s="63">
      <c r="E3955" s="139" t="n"/>
      <c r="F3955" s="139" t="n"/>
      <c r="G3955" s="140">
        <f>IFERROR(IF(E3955&gt;0,(F3955/E3955)*1000,""),"")</f>
        <v/>
      </c>
      <c r="H3955" s="139">
        <f>IFERROR(IF(E3955&gt;0,E3955*IF(ISNUMBER(J3955),J3955,IF(C3955="Futures",$C$6,$C$5)),""),"")</f>
        <v/>
      </c>
      <c r="I3955" s="139">
        <f>IFERROR(IF(AND(ISNUMBER(F3955),ISNUMBER(H3955)),F3955-H3955,""),"")</f>
        <v/>
      </c>
      <c r="J3955" s="114" t="n"/>
      <c r="K3955" s="139">
        <f>IFERROR(IF(H3955&gt;0,H3955*$C$7,""),"")</f>
        <v/>
      </c>
      <c r="L3955" s="139">
        <f>IFERROR(IF(ISNUMBER(F3955),F3955-IF(ISNUMBER(K3955),K3955,0),""),"")</f>
        <v/>
      </c>
    </row>
    <row r="3956" ht="24" customHeight="1" s="63">
      <c r="E3956" s="139" t="n"/>
      <c r="F3956" s="139" t="n"/>
      <c r="G3956" s="140">
        <f>IFERROR(IF(E3956&gt;0,(F3956/E3956)*1000,""),"")</f>
        <v/>
      </c>
      <c r="H3956" s="139">
        <f>IFERROR(IF(E3956&gt;0,E3956*IF(ISNUMBER(J3956),J3956,IF(C3956="Futures",$C$6,$C$5)),""),"")</f>
        <v/>
      </c>
      <c r="I3956" s="139">
        <f>IFERROR(IF(AND(ISNUMBER(F3956),ISNUMBER(H3956)),F3956-H3956,""),"")</f>
        <v/>
      </c>
      <c r="J3956" s="114" t="n"/>
      <c r="K3956" s="139">
        <f>IFERROR(IF(H3956&gt;0,H3956*$C$7,""),"")</f>
        <v/>
      </c>
      <c r="L3956" s="139">
        <f>IFERROR(IF(ISNUMBER(F3956),F3956-IF(ISNUMBER(K3956),K3956,0),""),"")</f>
        <v/>
      </c>
    </row>
    <row r="3957" ht="24" customHeight="1" s="63">
      <c r="E3957" s="139" t="n"/>
      <c r="F3957" s="139" t="n"/>
      <c r="G3957" s="140">
        <f>IFERROR(IF(E3957&gt;0,(F3957/E3957)*1000,""),"")</f>
        <v/>
      </c>
      <c r="H3957" s="139">
        <f>IFERROR(IF(E3957&gt;0,E3957*IF(ISNUMBER(J3957),J3957,IF(C3957="Futures",$C$6,$C$5)),""),"")</f>
        <v/>
      </c>
      <c r="I3957" s="139">
        <f>IFERROR(IF(AND(ISNUMBER(F3957),ISNUMBER(H3957)),F3957-H3957,""),"")</f>
        <v/>
      </c>
      <c r="J3957" s="114" t="n"/>
      <c r="K3957" s="139">
        <f>IFERROR(IF(H3957&gt;0,H3957*$C$7,""),"")</f>
        <v/>
      </c>
      <c r="L3957" s="139">
        <f>IFERROR(IF(ISNUMBER(F3957),F3957-IF(ISNUMBER(K3957),K3957,0),""),"")</f>
        <v/>
      </c>
    </row>
    <row r="3958" ht="24" customHeight="1" s="63">
      <c r="E3958" s="139" t="n"/>
      <c r="F3958" s="139" t="n"/>
      <c r="G3958" s="140">
        <f>IFERROR(IF(E3958&gt;0,(F3958/E3958)*1000,""),"")</f>
        <v/>
      </c>
      <c r="H3958" s="139">
        <f>IFERROR(IF(E3958&gt;0,E3958*IF(ISNUMBER(J3958),J3958,IF(C3958="Futures",$C$6,$C$5)),""),"")</f>
        <v/>
      </c>
      <c r="I3958" s="139">
        <f>IFERROR(IF(AND(ISNUMBER(F3958),ISNUMBER(H3958)),F3958-H3958,""),"")</f>
        <v/>
      </c>
      <c r="J3958" s="114" t="n"/>
      <c r="K3958" s="139">
        <f>IFERROR(IF(H3958&gt;0,H3958*$C$7,""),"")</f>
        <v/>
      </c>
      <c r="L3958" s="139">
        <f>IFERROR(IF(ISNUMBER(F3958),F3958-IF(ISNUMBER(K3958),K3958,0),""),"")</f>
        <v/>
      </c>
    </row>
    <row r="3959" ht="24" customHeight="1" s="63">
      <c r="E3959" s="139" t="n"/>
      <c r="F3959" s="139" t="n"/>
      <c r="G3959" s="140">
        <f>IFERROR(IF(E3959&gt;0,(F3959/E3959)*1000,""),"")</f>
        <v/>
      </c>
      <c r="H3959" s="139">
        <f>IFERROR(IF(E3959&gt;0,E3959*IF(ISNUMBER(J3959),J3959,IF(C3959="Futures",$C$6,$C$5)),""),"")</f>
        <v/>
      </c>
      <c r="I3959" s="139">
        <f>IFERROR(IF(AND(ISNUMBER(F3959),ISNUMBER(H3959)),F3959-H3959,""),"")</f>
        <v/>
      </c>
      <c r="J3959" s="114" t="n"/>
      <c r="K3959" s="139">
        <f>IFERROR(IF(H3959&gt;0,H3959*$C$7,""),"")</f>
        <v/>
      </c>
      <c r="L3959" s="139">
        <f>IFERROR(IF(ISNUMBER(F3959),F3959-IF(ISNUMBER(K3959),K3959,0),""),"")</f>
        <v/>
      </c>
    </row>
    <row r="3960" ht="24" customHeight="1" s="63">
      <c r="E3960" s="139" t="n"/>
      <c r="F3960" s="139" t="n"/>
      <c r="G3960" s="140">
        <f>IFERROR(IF(E3960&gt;0,(F3960/E3960)*1000,""),"")</f>
        <v/>
      </c>
      <c r="H3960" s="139">
        <f>IFERROR(IF(E3960&gt;0,E3960*IF(ISNUMBER(J3960),J3960,IF(C3960="Futures",$C$6,$C$5)),""),"")</f>
        <v/>
      </c>
      <c r="I3960" s="139">
        <f>IFERROR(IF(AND(ISNUMBER(F3960),ISNUMBER(H3960)),F3960-H3960,""),"")</f>
        <v/>
      </c>
      <c r="J3960" s="114" t="n"/>
      <c r="K3960" s="139">
        <f>IFERROR(IF(H3960&gt;0,H3960*$C$7,""),"")</f>
        <v/>
      </c>
      <c r="L3960" s="139">
        <f>IFERROR(IF(ISNUMBER(F3960),F3960-IF(ISNUMBER(K3960),K3960,0),""),"")</f>
        <v/>
      </c>
    </row>
    <row r="3961" ht="24" customHeight="1" s="63">
      <c r="E3961" s="139" t="n"/>
      <c r="F3961" s="139" t="n"/>
      <c r="G3961" s="140">
        <f>IFERROR(IF(E3961&gt;0,(F3961/E3961)*1000,""),"")</f>
        <v/>
      </c>
      <c r="H3961" s="139">
        <f>IFERROR(IF(E3961&gt;0,E3961*IF(ISNUMBER(J3961),J3961,IF(C3961="Futures",$C$6,$C$5)),""),"")</f>
        <v/>
      </c>
      <c r="I3961" s="139">
        <f>IFERROR(IF(AND(ISNUMBER(F3961),ISNUMBER(H3961)),F3961-H3961,""),"")</f>
        <v/>
      </c>
      <c r="J3961" s="114" t="n"/>
      <c r="K3961" s="139">
        <f>IFERROR(IF(H3961&gt;0,H3961*$C$7,""),"")</f>
        <v/>
      </c>
      <c r="L3961" s="139">
        <f>IFERROR(IF(ISNUMBER(F3961),F3961-IF(ISNUMBER(K3961),K3961,0),""),"")</f>
        <v/>
      </c>
    </row>
    <row r="3962" ht="24" customHeight="1" s="63">
      <c r="E3962" s="139" t="n"/>
      <c r="F3962" s="139" t="n"/>
      <c r="G3962" s="140">
        <f>IFERROR(IF(E3962&gt;0,(F3962/E3962)*1000,""),"")</f>
        <v/>
      </c>
      <c r="H3962" s="139">
        <f>IFERROR(IF(E3962&gt;0,E3962*IF(ISNUMBER(J3962),J3962,IF(C3962="Futures",$C$6,$C$5)),""),"")</f>
        <v/>
      </c>
      <c r="I3962" s="139">
        <f>IFERROR(IF(AND(ISNUMBER(F3962),ISNUMBER(H3962)),F3962-H3962,""),"")</f>
        <v/>
      </c>
      <c r="J3962" s="114" t="n"/>
      <c r="K3962" s="139">
        <f>IFERROR(IF(H3962&gt;0,H3962*$C$7,""),"")</f>
        <v/>
      </c>
      <c r="L3962" s="139">
        <f>IFERROR(IF(ISNUMBER(F3962),F3962-IF(ISNUMBER(K3962),K3962,0),""),"")</f>
        <v/>
      </c>
    </row>
    <row r="3963" ht="24" customHeight="1" s="63">
      <c r="E3963" s="139" t="n"/>
      <c r="F3963" s="139" t="n"/>
      <c r="G3963" s="140">
        <f>IFERROR(IF(E3963&gt;0,(F3963/E3963)*1000,""),"")</f>
        <v/>
      </c>
      <c r="H3963" s="139">
        <f>IFERROR(IF(E3963&gt;0,E3963*IF(ISNUMBER(J3963),J3963,IF(C3963="Futures",$C$6,$C$5)),""),"")</f>
        <v/>
      </c>
      <c r="I3963" s="139">
        <f>IFERROR(IF(AND(ISNUMBER(F3963),ISNUMBER(H3963)),F3963-H3963,""),"")</f>
        <v/>
      </c>
      <c r="J3963" s="114" t="n"/>
      <c r="K3963" s="139">
        <f>IFERROR(IF(H3963&gt;0,H3963*$C$7,""),"")</f>
        <v/>
      </c>
      <c r="L3963" s="139">
        <f>IFERROR(IF(ISNUMBER(F3963),F3963-IF(ISNUMBER(K3963),K3963,0),""),"")</f>
        <v/>
      </c>
    </row>
    <row r="3964" ht="24" customHeight="1" s="63">
      <c r="E3964" s="139" t="n"/>
      <c r="F3964" s="139" t="n"/>
      <c r="G3964" s="140">
        <f>IFERROR(IF(E3964&gt;0,(F3964/E3964)*1000,""),"")</f>
        <v/>
      </c>
      <c r="H3964" s="139">
        <f>IFERROR(IF(E3964&gt;0,E3964*IF(ISNUMBER(J3964),J3964,IF(C3964="Futures",$C$6,$C$5)),""),"")</f>
        <v/>
      </c>
      <c r="I3964" s="139">
        <f>IFERROR(IF(AND(ISNUMBER(F3964),ISNUMBER(H3964)),F3964-H3964,""),"")</f>
        <v/>
      </c>
      <c r="J3964" s="114" t="n"/>
      <c r="K3964" s="139">
        <f>IFERROR(IF(H3964&gt;0,H3964*$C$7,""),"")</f>
        <v/>
      </c>
      <c r="L3964" s="139">
        <f>IFERROR(IF(ISNUMBER(F3964),F3964-IF(ISNUMBER(K3964),K3964,0),""),"")</f>
        <v/>
      </c>
    </row>
    <row r="3965" ht="24" customHeight="1" s="63">
      <c r="E3965" s="139" t="n"/>
      <c r="F3965" s="139" t="n"/>
      <c r="G3965" s="140">
        <f>IFERROR(IF(E3965&gt;0,(F3965/E3965)*1000,""),"")</f>
        <v/>
      </c>
      <c r="H3965" s="139">
        <f>IFERROR(IF(E3965&gt;0,E3965*IF(ISNUMBER(J3965),J3965,IF(C3965="Futures",$C$6,$C$5)),""),"")</f>
        <v/>
      </c>
      <c r="I3965" s="139">
        <f>IFERROR(IF(AND(ISNUMBER(F3965),ISNUMBER(H3965)),F3965-H3965,""),"")</f>
        <v/>
      </c>
      <c r="J3965" s="114" t="n"/>
      <c r="K3965" s="139">
        <f>IFERROR(IF(H3965&gt;0,H3965*$C$7,""),"")</f>
        <v/>
      </c>
      <c r="L3965" s="139">
        <f>IFERROR(IF(ISNUMBER(F3965),F3965-IF(ISNUMBER(K3965),K3965,0),""),"")</f>
        <v/>
      </c>
    </row>
    <row r="3966" ht="24" customHeight="1" s="63">
      <c r="E3966" s="139" t="n"/>
      <c r="F3966" s="139" t="n"/>
      <c r="G3966" s="140">
        <f>IFERROR(IF(E3966&gt;0,(F3966/E3966)*1000,""),"")</f>
        <v/>
      </c>
      <c r="H3966" s="139">
        <f>IFERROR(IF(E3966&gt;0,E3966*IF(ISNUMBER(J3966),J3966,IF(C3966="Futures",$C$6,$C$5)),""),"")</f>
        <v/>
      </c>
      <c r="I3966" s="139">
        <f>IFERROR(IF(AND(ISNUMBER(F3966),ISNUMBER(H3966)),F3966-H3966,""),"")</f>
        <v/>
      </c>
      <c r="J3966" s="114" t="n"/>
      <c r="K3966" s="139">
        <f>IFERROR(IF(H3966&gt;0,H3966*$C$7,""),"")</f>
        <v/>
      </c>
      <c r="L3966" s="139">
        <f>IFERROR(IF(ISNUMBER(F3966),F3966-IF(ISNUMBER(K3966),K3966,0),""),"")</f>
        <v/>
      </c>
    </row>
    <row r="3967" ht="24" customHeight="1" s="63">
      <c r="E3967" s="139" t="n"/>
      <c r="F3967" s="139" t="n"/>
      <c r="G3967" s="140">
        <f>IFERROR(IF(E3967&gt;0,(F3967/E3967)*1000,""),"")</f>
        <v/>
      </c>
      <c r="H3967" s="139">
        <f>IFERROR(IF(E3967&gt;0,E3967*IF(ISNUMBER(J3967),J3967,IF(C3967="Futures",$C$6,$C$5)),""),"")</f>
        <v/>
      </c>
      <c r="I3967" s="139">
        <f>IFERROR(IF(AND(ISNUMBER(F3967),ISNUMBER(H3967)),F3967-H3967,""),"")</f>
        <v/>
      </c>
      <c r="J3967" s="114" t="n"/>
      <c r="K3967" s="139">
        <f>IFERROR(IF(H3967&gt;0,H3967*$C$7,""),"")</f>
        <v/>
      </c>
      <c r="L3967" s="139">
        <f>IFERROR(IF(ISNUMBER(F3967),F3967-IF(ISNUMBER(K3967),K3967,0),""),"")</f>
        <v/>
      </c>
    </row>
    <row r="3968" ht="24" customHeight="1" s="63">
      <c r="E3968" s="139" t="n"/>
      <c r="F3968" s="139" t="n"/>
      <c r="G3968" s="140">
        <f>IFERROR(IF(E3968&gt;0,(F3968/E3968)*1000,""),"")</f>
        <v/>
      </c>
      <c r="H3968" s="139">
        <f>IFERROR(IF(E3968&gt;0,E3968*IF(ISNUMBER(J3968),J3968,IF(C3968="Futures",$C$6,$C$5)),""),"")</f>
        <v/>
      </c>
      <c r="I3968" s="139">
        <f>IFERROR(IF(AND(ISNUMBER(F3968),ISNUMBER(H3968)),F3968-H3968,""),"")</f>
        <v/>
      </c>
      <c r="J3968" s="114" t="n"/>
      <c r="K3968" s="139">
        <f>IFERROR(IF(H3968&gt;0,H3968*$C$7,""),"")</f>
        <v/>
      </c>
      <c r="L3968" s="139">
        <f>IFERROR(IF(ISNUMBER(F3968),F3968-IF(ISNUMBER(K3968),K3968,0),""),"")</f>
        <v/>
      </c>
    </row>
    <row r="3969" ht="24" customHeight="1" s="63">
      <c r="E3969" s="139" t="n"/>
      <c r="F3969" s="139" t="n"/>
      <c r="G3969" s="140">
        <f>IFERROR(IF(E3969&gt;0,(F3969/E3969)*1000,""),"")</f>
        <v/>
      </c>
      <c r="H3969" s="139">
        <f>IFERROR(IF(E3969&gt;0,E3969*IF(ISNUMBER(J3969),J3969,IF(C3969="Futures",$C$6,$C$5)),""),"")</f>
        <v/>
      </c>
      <c r="I3969" s="139">
        <f>IFERROR(IF(AND(ISNUMBER(F3969),ISNUMBER(H3969)),F3969-H3969,""),"")</f>
        <v/>
      </c>
      <c r="J3969" s="114" t="n"/>
      <c r="K3969" s="139">
        <f>IFERROR(IF(H3969&gt;0,H3969*$C$7,""),"")</f>
        <v/>
      </c>
      <c r="L3969" s="139">
        <f>IFERROR(IF(ISNUMBER(F3969),F3969-IF(ISNUMBER(K3969),K3969,0),""),"")</f>
        <v/>
      </c>
    </row>
    <row r="3970" ht="24" customHeight="1" s="63">
      <c r="E3970" s="139" t="n"/>
      <c r="F3970" s="139" t="n"/>
      <c r="G3970" s="140">
        <f>IFERROR(IF(E3970&gt;0,(F3970/E3970)*1000,""),"")</f>
        <v/>
      </c>
      <c r="H3970" s="139">
        <f>IFERROR(IF(E3970&gt;0,E3970*IF(ISNUMBER(J3970),J3970,IF(C3970="Futures",$C$6,$C$5)),""),"")</f>
        <v/>
      </c>
      <c r="I3970" s="139">
        <f>IFERROR(IF(AND(ISNUMBER(F3970),ISNUMBER(H3970)),F3970-H3970,""),"")</f>
        <v/>
      </c>
      <c r="J3970" s="114" t="n"/>
      <c r="K3970" s="139">
        <f>IFERROR(IF(H3970&gt;0,H3970*$C$7,""),"")</f>
        <v/>
      </c>
      <c r="L3970" s="139">
        <f>IFERROR(IF(ISNUMBER(F3970),F3970-IF(ISNUMBER(K3970),K3970,0),""),"")</f>
        <v/>
      </c>
    </row>
    <row r="3971" ht="24" customHeight="1" s="63">
      <c r="E3971" s="139" t="n"/>
      <c r="F3971" s="139" t="n"/>
      <c r="G3971" s="140">
        <f>IFERROR(IF(E3971&gt;0,(F3971/E3971)*1000,""),"")</f>
        <v/>
      </c>
      <c r="H3971" s="139">
        <f>IFERROR(IF(E3971&gt;0,E3971*IF(ISNUMBER(J3971),J3971,IF(C3971="Futures",$C$6,$C$5)),""),"")</f>
        <v/>
      </c>
      <c r="I3971" s="139">
        <f>IFERROR(IF(AND(ISNUMBER(F3971),ISNUMBER(H3971)),F3971-H3971,""),"")</f>
        <v/>
      </c>
      <c r="J3971" s="114" t="n"/>
      <c r="K3971" s="139">
        <f>IFERROR(IF(H3971&gt;0,H3971*$C$7,""),"")</f>
        <v/>
      </c>
      <c r="L3971" s="139">
        <f>IFERROR(IF(ISNUMBER(F3971),F3971-IF(ISNUMBER(K3971),K3971,0),""),"")</f>
        <v/>
      </c>
    </row>
    <row r="3972" ht="24" customHeight="1" s="63">
      <c r="E3972" s="139" t="n"/>
      <c r="F3972" s="139" t="n"/>
      <c r="G3972" s="140">
        <f>IFERROR(IF(E3972&gt;0,(F3972/E3972)*1000,""),"")</f>
        <v/>
      </c>
      <c r="H3972" s="139">
        <f>IFERROR(IF(E3972&gt;0,E3972*IF(ISNUMBER(J3972),J3972,IF(C3972="Futures",$C$6,$C$5)),""),"")</f>
        <v/>
      </c>
      <c r="I3972" s="139">
        <f>IFERROR(IF(AND(ISNUMBER(F3972),ISNUMBER(H3972)),F3972-H3972,""),"")</f>
        <v/>
      </c>
      <c r="J3972" s="114" t="n"/>
      <c r="K3972" s="139">
        <f>IFERROR(IF(H3972&gt;0,H3972*$C$7,""),"")</f>
        <v/>
      </c>
      <c r="L3972" s="139">
        <f>IFERROR(IF(ISNUMBER(F3972),F3972-IF(ISNUMBER(K3972),K3972,0),""),"")</f>
        <v/>
      </c>
    </row>
    <row r="3973" ht="24" customHeight="1" s="63">
      <c r="E3973" s="139" t="n"/>
      <c r="F3973" s="139" t="n"/>
      <c r="G3973" s="140">
        <f>IFERROR(IF(E3973&gt;0,(F3973/E3973)*1000,""),"")</f>
        <v/>
      </c>
      <c r="H3973" s="139">
        <f>IFERROR(IF(E3973&gt;0,E3973*IF(ISNUMBER(J3973),J3973,IF(C3973="Futures",$C$6,$C$5)),""),"")</f>
        <v/>
      </c>
      <c r="I3973" s="139">
        <f>IFERROR(IF(AND(ISNUMBER(F3973),ISNUMBER(H3973)),F3973-H3973,""),"")</f>
        <v/>
      </c>
      <c r="J3973" s="114" t="n"/>
      <c r="K3973" s="139">
        <f>IFERROR(IF(H3973&gt;0,H3973*$C$7,""),"")</f>
        <v/>
      </c>
      <c r="L3973" s="139">
        <f>IFERROR(IF(ISNUMBER(F3973),F3973-IF(ISNUMBER(K3973),K3973,0),""),"")</f>
        <v/>
      </c>
    </row>
    <row r="3974" ht="24" customHeight="1" s="63">
      <c r="E3974" s="139" t="n"/>
      <c r="F3974" s="139" t="n"/>
      <c r="G3974" s="140">
        <f>IFERROR(IF(E3974&gt;0,(F3974/E3974)*1000,""),"")</f>
        <v/>
      </c>
      <c r="H3974" s="139">
        <f>IFERROR(IF(E3974&gt;0,E3974*IF(ISNUMBER(J3974),J3974,IF(C3974="Futures",$C$6,$C$5)),""),"")</f>
        <v/>
      </c>
      <c r="I3974" s="139">
        <f>IFERROR(IF(AND(ISNUMBER(F3974),ISNUMBER(H3974)),F3974-H3974,""),"")</f>
        <v/>
      </c>
      <c r="J3974" s="114" t="n"/>
      <c r="K3974" s="139">
        <f>IFERROR(IF(H3974&gt;0,H3974*$C$7,""),"")</f>
        <v/>
      </c>
      <c r="L3974" s="139">
        <f>IFERROR(IF(ISNUMBER(F3974),F3974-IF(ISNUMBER(K3974),K3974,0),""),"")</f>
        <v/>
      </c>
    </row>
    <row r="3975" ht="24" customHeight="1" s="63">
      <c r="E3975" s="139" t="n"/>
      <c r="F3975" s="139" t="n"/>
      <c r="G3975" s="140">
        <f>IFERROR(IF(E3975&gt;0,(F3975/E3975)*1000,""),"")</f>
        <v/>
      </c>
      <c r="H3975" s="139">
        <f>IFERROR(IF(E3975&gt;0,E3975*IF(ISNUMBER(J3975),J3975,IF(C3975="Futures",$C$6,$C$5)),""),"")</f>
        <v/>
      </c>
      <c r="I3975" s="139">
        <f>IFERROR(IF(AND(ISNUMBER(F3975),ISNUMBER(H3975)),F3975-H3975,""),"")</f>
        <v/>
      </c>
      <c r="J3975" s="114" t="n"/>
      <c r="K3975" s="139">
        <f>IFERROR(IF(H3975&gt;0,H3975*$C$7,""),"")</f>
        <v/>
      </c>
      <c r="L3975" s="139">
        <f>IFERROR(IF(ISNUMBER(F3975),F3975-IF(ISNUMBER(K3975),K3975,0),""),"")</f>
        <v/>
      </c>
    </row>
    <row r="3976" ht="24" customHeight="1" s="63">
      <c r="E3976" s="139" t="n"/>
      <c r="F3976" s="139" t="n"/>
      <c r="G3976" s="140">
        <f>IFERROR(IF(E3976&gt;0,(F3976/E3976)*1000,""),"")</f>
        <v/>
      </c>
      <c r="H3976" s="139">
        <f>IFERROR(IF(E3976&gt;0,E3976*IF(ISNUMBER(J3976),J3976,IF(C3976="Futures",$C$6,$C$5)),""),"")</f>
        <v/>
      </c>
      <c r="I3976" s="139">
        <f>IFERROR(IF(AND(ISNUMBER(F3976),ISNUMBER(H3976)),F3976-H3976,""),"")</f>
        <v/>
      </c>
      <c r="J3976" s="114" t="n"/>
      <c r="K3976" s="139">
        <f>IFERROR(IF(H3976&gt;0,H3976*$C$7,""),"")</f>
        <v/>
      </c>
      <c r="L3976" s="139">
        <f>IFERROR(IF(ISNUMBER(F3976),F3976-IF(ISNUMBER(K3976),K3976,0),""),"")</f>
        <v/>
      </c>
    </row>
    <row r="3977" ht="24" customHeight="1" s="63">
      <c r="E3977" s="139" t="n"/>
      <c r="F3977" s="139" t="n"/>
      <c r="G3977" s="140">
        <f>IFERROR(IF(E3977&gt;0,(F3977/E3977)*1000,""),"")</f>
        <v/>
      </c>
      <c r="H3977" s="139">
        <f>IFERROR(IF(E3977&gt;0,E3977*IF(ISNUMBER(J3977),J3977,IF(C3977="Futures",$C$6,$C$5)),""),"")</f>
        <v/>
      </c>
      <c r="I3977" s="139">
        <f>IFERROR(IF(AND(ISNUMBER(F3977),ISNUMBER(H3977)),F3977-H3977,""),"")</f>
        <v/>
      </c>
      <c r="J3977" s="114" t="n"/>
      <c r="K3977" s="139">
        <f>IFERROR(IF(H3977&gt;0,H3977*$C$7,""),"")</f>
        <v/>
      </c>
      <c r="L3977" s="139">
        <f>IFERROR(IF(ISNUMBER(F3977),F3977-IF(ISNUMBER(K3977),K3977,0),""),"")</f>
        <v/>
      </c>
    </row>
    <row r="3978" ht="24" customHeight="1" s="63">
      <c r="E3978" s="139" t="n"/>
      <c r="F3978" s="139" t="n"/>
      <c r="G3978" s="140">
        <f>IFERROR(IF(E3978&gt;0,(F3978/E3978)*1000,""),"")</f>
        <v/>
      </c>
      <c r="H3978" s="139">
        <f>IFERROR(IF(E3978&gt;0,E3978*IF(ISNUMBER(J3978),J3978,IF(C3978="Futures",$C$6,$C$5)),""),"")</f>
        <v/>
      </c>
      <c r="I3978" s="139">
        <f>IFERROR(IF(AND(ISNUMBER(F3978),ISNUMBER(H3978)),F3978-H3978,""),"")</f>
        <v/>
      </c>
      <c r="J3978" s="114" t="n"/>
      <c r="K3978" s="139">
        <f>IFERROR(IF(H3978&gt;0,H3978*$C$7,""),"")</f>
        <v/>
      </c>
      <c r="L3978" s="139">
        <f>IFERROR(IF(ISNUMBER(F3978),F3978-IF(ISNUMBER(K3978),K3978,0),""),"")</f>
        <v/>
      </c>
    </row>
    <row r="3979" ht="24" customHeight="1" s="63">
      <c r="E3979" s="139" t="n"/>
      <c r="F3979" s="139" t="n"/>
      <c r="G3979" s="140">
        <f>IFERROR(IF(E3979&gt;0,(F3979/E3979)*1000,""),"")</f>
        <v/>
      </c>
      <c r="H3979" s="139">
        <f>IFERROR(IF(E3979&gt;0,E3979*IF(ISNUMBER(J3979),J3979,IF(C3979="Futures",$C$6,$C$5)),""),"")</f>
        <v/>
      </c>
      <c r="I3979" s="139">
        <f>IFERROR(IF(AND(ISNUMBER(F3979),ISNUMBER(H3979)),F3979-H3979,""),"")</f>
        <v/>
      </c>
      <c r="J3979" s="114" t="n"/>
      <c r="K3979" s="139">
        <f>IFERROR(IF(H3979&gt;0,H3979*$C$7,""),"")</f>
        <v/>
      </c>
      <c r="L3979" s="139">
        <f>IFERROR(IF(ISNUMBER(F3979),F3979-IF(ISNUMBER(K3979),K3979,0),""),"")</f>
        <v/>
      </c>
    </row>
    <row r="3980" ht="24" customHeight="1" s="63">
      <c r="E3980" s="139" t="n"/>
      <c r="F3980" s="139" t="n"/>
      <c r="G3980" s="140">
        <f>IFERROR(IF(E3980&gt;0,(F3980/E3980)*1000,""),"")</f>
        <v/>
      </c>
      <c r="H3980" s="139">
        <f>IFERROR(IF(E3980&gt;0,E3980*IF(ISNUMBER(J3980),J3980,IF(C3980="Futures",$C$6,$C$5)),""),"")</f>
        <v/>
      </c>
      <c r="I3980" s="139">
        <f>IFERROR(IF(AND(ISNUMBER(F3980),ISNUMBER(H3980)),F3980-H3980,""),"")</f>
        <v/>
      </c>
      <c r="J3980" s="114" t="n"/>
      <c r="K3980" s="139">
        <f>IFERROR(IF(H3980&gt;0,H3980*$C$7,""),"")</f>
        <v/>
      </c>
      <c r="L3980" s="139">
        <f>IFERROR(IF(ISNUMBER(F3980),F3980-IF(ISNUMBER(K3980),K3980,0),""),"")</f>
        <v/>
      </c>
    </row>
    <row r="3981" ht="24" customHeight="1" s="63">
      <c r="E3981" s="139" t="n"/>
      <c r="F3981" s="139" t="n"/>
      <c r="G3981" s="140">
        <f>IFERROR(IF(E3981&gt;0,(F3981/E3981)*1000,""),"")</f>
        <v/>
      </c>
      <c r="H3981" s="139">
        <f>IFERROR(IF(E3981&gt;0,E3981*IF(ISNUMBER(J3981),J3981,IF(C3981="Futures",$C$6,$C$5)),""),"")</f>
        <v/>
      </c>
      <c r="I3981" s="139">
        <f>IFERROR(IF(AND(ISNUMBER(F3981),ISNUMBER(H3981)),F3981-H3981,""),"")</f>
        <v/>
      </c>
      <c r="J3981" s="114" t="n"/>
      <c r="K3981" s="139">
        <f>IFERROR(IF(H3981&gt;0,H3981*$C$7,""),"")</f>
        <v/>
      </c>
      <c r="L3981" s="139">
        <f>IFERROR(IF(ISNUMBER(F3981),F3981-IF(ISNUMBER(K3981),K3981,0),""),"")</f>
        <v/>
      </c>
    </row>
    <row r="3982" ht="24" customHeight="1" s="63">
      <c r="E3982" s="139" t="n"/>
      <c r="F3982" s="139" t="n"/>
      <c r="G3982" s="140">
        <f>IFERROR(IF(E3982&gt;0,(F3982/E3982)*1000,""),"")</f>
        <v/>
      </c>
      <c r="H3982" s="139">
        <f>IFERROR(IF(E3982&gt;0,E3982*IF(ISNUMBER(J3982),J3982,IF(C3982="Futures",$C$6,$C$5)),""),"")</f>
        <v/>
      </c>
      <c r="I3982" s="139">
        <f>IFERROR(IF(AND(ISNUMBER(F3982),ISNUMBER(H3982)),F3982-H3982,""),"")</f>
        <v/>
      </c>
      <c r="J3982" s="114" t="n"/>
      <c r="K3982" s="139">
        <f>IFERROR(IF(H3982&gt;0,H3982*$C$7,""),"")</f>
        <v/>
      </c>
      <c r="L3982" s="139">
        <f>IFERROR(IF(ISNUMBER(F3982),F3982-IF(ISNUMBER(K3982),K3982,0),""),"")</f>
        <v/>
      </c>
    </row>
    <row r="3983" ht="24" customHeight="1" s="63">
      <c r="E3983" s="139" t="n"/>
      <c r="F3983" s="139" t="n"/>
      <c r="G3983" s="140">
        <f>IFERROR(IF(E3983&gt;0,(F3983/E3983)*1000,""),"")</f>
        <v/>
      </c>
      <c r="H3983" s="139">
        <f>IFERROR(IF(E3983&gt;0,E3983*IF(ISNUMBER(J3983),J3983,IF(C3983="Futures",$C$6,$C$5)),""),"")</f>
        <v/>
      </c>
      <c r="I3983" s="139">
        <f>IFERROR(IF(AND(ISNUMBER(F3983),ISNUMBER(H3983)),F3983-H3983,""),"")</f>
        <v/>
      </c>
      <c r="J3983" s="114" t="n"/>
      <c r="K3983" s="139">
        <f>IFERROR(IF(H3983&gt;0,H3983*$C$7,""),"")</f>
        <v/>
      </c>
      <c r="L3983" s="139">
        <f>IFERROR(IF(ISNUMBER(F3983),F3983-IF(ISNUMBER(K3983),K3983,0),""),"")</f>
        <v/>
      </c>
    </row>
    <row r="3984" ht="24" customHeight="1" s="63">
      <c r="E3984" s="139" t="n"/>
      <c r="F3984" s="139" t="n"/>
      <c r="G3984" s="140">
        <f>IFERROR(IF(E3984&gt;0,(F3984/E3984)*1000,""),"")</f>
        <v/>
      </c>
      <c r="H3984" s="139">
        <f>IFERROR(IF(E3984&gt;0,E3984*IF(ISNUMBER(J3984),J3984,IF(C3984="Futures",$C$6,$C$5)),""),"")</f>
        <v/>
      </c>
      <c r="I3984" s="139">
        <f>IFERROR(IF(AND(ISNUMBER(F3984),ISNUMBER(H3984)),F3984-H3984,""),"")</f>
        <v/>
      </c>
      <c r="J3984" s="114" t="n"/>
      <c r="K3984" s="139">
        <f>IFERROR(IF(H3984&gt;0,H3984*$C$7,""),"")</f>
        <v/>
      </c>
      <c r="L3984" s="139">
        <f>IFERROR(IF(ISNUMBER(F3984),F3984-IF(ISNUMBER(K3984),K3984,0),""),"")</f>
        <v/>
      </c>
    </row>
    <row r="3985" ht="24" customHeight="1" s="63">
      <c r="E3985" s="139" t="n"/>
      <c r="F3985" s="139" t="n"/>
      <c r="G3985" s="140">
        <f>IFERROR(IF(E3985&gt;0,(F3985/E3985)*1000,""),"")</f>
        <v/>
      </c>
      <c r="H3985" s="139">
        <f>IFERROR(IF(E3985&gt;0,E3985*IF(ISNUMBER(J3985),J3985,IF(C3985="Futures",$C$6,$C$5)),""),"")</f>
        <v/>
      </c>
      <c r="I3985" s="139">
        <f>IFERROR(IF(AND(ISNUMBER(F3985),ISNUMBER(H3985)),F3985-H3985,""),"")</f>
        <v/>
      </c>
      <c r="J3985" s="114" t="n"/>
      <c r="K3985" s="139">
        <f>IFERROR(IF(H3985&gt;0,H3985*$C$7,""),"")</f>
        <v/>
      </c>
      <c r="L3985" s="139">
        <f>IFERROR(IF(ISNUMBER(F3985),F3985-IF(ISNUMBER(K3985),K3985,0),""),"")</f>
        <v/>
      </c>
    </row>
    <row r="3986" ht="24" customHeight="1" s="63">
      <c r="E3986" s="139" t="n"/>
      <c r="F3986" s="139" t="n"/>
      <c r="G3986" s="140">
        <f>IFERROR(IF(E3986&gt;0,(F3986/E3986)*1000,""),"")</f>
        <v/>
      </c>
      <c r="H3986" s="139">
        <f>IFERROR(IF(E3986&gt;0,E3986*IF(ISNUMBER(J3986),J3986,IF(C3986="Futures",$C$6,$C$5)),""),"")</f>
        <v/>
      </c>
      <c r="I3986" s="139">
        <f>IFERROR(IF(AND(ISNUMBER(F3986),ISNUMBER(H3986)),F3986-H3986,""),"")</f>
        <v/>
      </c>
      <c r="J3986" s="114" t="n"/>
      <c r="K3986" s="139">
        <f>IFERROR(IF(H3986&gt;0,H3986*$C$7,""),"")</f>
        <v/>
      </c>
      <c r="L3986" s="139">
        <f>IFERROR(IF(ISNUMBER(F3986),F3986-IF(ISNUMBER(K3986),K3986,0),""),"")</f>
        <v/>
      </c>
    </row>
    <row r="3987" ht="24" customHeight="1" s="63">
      <c r="E3987" s="139" t="n"/>
      <c r="F3987" s="139" t="n"/>
      <c r="G3987" s="140">
        <f>IFERROR(IF(E3987&gt;0,(F3987/E3987)*1000,""),"")</f>
        <v/>
      </c>
      <c r="H3987" s="139">
        <f>IFERROR(IF(E3987&gt;0,E3987*IF(ISNUMBER(J3987),J3987,IF(C3987="Futures",$C$6,$C$5)),""),"")</f>
        <v/>
      </c>
      <c r="I3987" s="139">
        <f>IFERROR(IF(AND(ISNUMBER(F3987),ISNUMBER(H3987)),F3987-H3987,""),"")</f>
        <v/>
      </c>
      <c r="J3987" s="114" t="n"/>
      <c r="K3987" s="139">
        <f>IFERROR(IF(H3987&gt;0,H3987*$C$7,""),"")</f>
        <v/>
      </c>
      <c r="L3987" s="139">
        <f>IFERROR(IF(ISNUMBER(F3987),F3987-IF(ISNUMBER(K3987),K3987,0),""),"")</f>
        <v/>
      </c>
    </row>
    <row r="3988" ht="24" customHeight="1" s="63">
      <c r="E3988" s="139" t="n"/>
      <c r="F3988" s="139" t="n"/>
      <c r="G3988" s="140">
        <f>IFERROR(IF(E3988&gt;0,(F3988/E3988)*1000,""),"")</f>
        <v/>
      </c>
      <c r="H3988" s="139">
        <f>IFERROR(IF(E3988&gt;0,E3988*IF(ISNUMBER(J3988),J3988,IF(C3988="Futures",$C$6,$C$5)),""),"")</f>
        <v/>
      </c>
      <c r="I3988" s="139">
        <f>IFERROR(IF(AND(ISNUMBER(F3988),ISNUMBER(H3988)),F3988-H3988,""),"")</f>
        <v/>
      </c>
      <c r="J3988" s="114" t="n"/>
      <c r="K3988" s="139">
        <f>IFERROR(IF(H3988&gt;0,H3988*$C$7,""),"")</f>
        <v/>
      </c>
      <c r="L3988" s="139">
        <f>IFERROR(IF(ISNUMBER(F3988),F3988-IF(ISNUMBER(K3988),K3988,0),""),"")</f>
        <v/>
      </c>
    </row>
    <row r="3989" ht="24" customHeight="1" s="63">
      <c r="E3989" s="139" t="n"/>
      <c r="F3989" s="139" t="n"/>
      <c r="G3989" s="140">
        <f>IFERROR(IF(E3989&gt;0,(F3989/E3989)*1000,""),"")</f>
        <v/>
      </c>
      <c r="H3989" s="139">
        <f>IFERROR(IF(E3989&gt;0,E3989*IF(ISNUMBER(J3989),J3989,IF(C3989="Futures",$C$6,$C$5)),""),"")</f>
        <v/>
      </c>
      <c r="I3989" s="139">
        <f>IFERROR(IF(AND(ISNUMBER(F3989),ISNUMBER(H3989)),F3989-H3989,""),"")</f>
        <v/>
      </c>
      <c r="J3989" s="114" t="n"/>
      <c r="K3989" s="139">
        <f>IFERROR(IF(H3989&gt;0,H3989*$C$7,""),"")</f>
        <v/>
      </c>
      <c r="L3989" s="139">
        <f>IFERROR(IF(ISNUMBER(F3989),F3989-IF(ISNUMBER(K3989),K3989,0),""),"")</f>
        <v/>
      </c>
    </row>
    <row r="3990" ht="24" customHeight="1" s="63">
      <c r="E3990" s="139" t="n"/>
      <c r="F3990" s="139" t="n"/>
      <c r="G3990" s="140">
        <f>IFERROR(IF(E3990&gt;0,(F3990/E3990)*1000,""),"")</f>
        <v/>
      </c>
      <c r="H3990" s="139">
        <f>IFERROR(IF(E3990&gt;0,E3990*IF(ISNUMBER(J3990),J3990,IF(C3990="Futures",$C$6,$C$5)),""),"")</f>
        <v/>
      </c>
      <c r="I3990" s="139">
        <f>IFERROR(IF(AND(ISNUMBER(F3990),ISNUMBER(H3990)),F3990-H3990,""),"")</f>
        <v/>
      </c>
      <c r="J3990" s="114" t="n"/>
      <c r="K3990" s="139">
        <f>IFERROR(IF(H3990&gt;0,H3990*$C$7,""),"")</f>
        <v/>
      </c>
      <c r="L3990" s="139">
        <f>IFERROR(IF(ISNUMBER(F3990),F3990-IF(ISNUMBER(K3990),K3990,0),""),"")</f>
        <v/>
      </c>
    </row>
    <row r="3991" ht="24" customHeight="1" s="63">
      <c r="E3991" s="139" t="n"/>
      <c r="F3991" s="139" t="n"/>
      <c r="G3991" s="140">
        <f>IFERROR(IF(E3991&gt;0,(F3991/E3991)*1000,""),"")</f>
        <v/>
      </c>
      <c r="H3991" s="139">
        <f>IFERROR(IF(E3991&gt;0,E3991*IF(ISNUMBER(J3991),J3991,IF(C3991="Futures",$C$6,$C$5)),""),"")</f>
        <v/>
      </c>
      <c r="I3991" s="139">
        <f>IFERROR(IF(AND(ISNUMBER(F3991),ISNUMBER(H3991)),F3991-H3991,""),"")</f>
        <v/>
      </c>
      <c r="J3991" s="114" t="n"/>
      <c r="K3991" s="139">
        <f>IFERROR(IF(H3991&gt;0,H3991*$C$7,""),"")</f>
        <v/>
      </c>
      <c r="L3991" s="139">
        <f>IFERROR(IF(ISNUMBER(F3991),F3991-IF(ISNUMBER(K3991),K3991,0),""),"")</f>
        <v/>
      </c>
    </row>
    <row r="3992" ht="24" customHeight="1" s="63">
      <c r="E3992" s="139" t="n"/>
      <c r="F3992" s="139" t="n"/>
      <c r="G3992" s="140">
        <f>IFERROR(IF(E3992&gt;0,(F3992/E3992)*1000,""),"")</f>
        <v/>
      </c>
      <c r="H3992" s="139">
        <f>IFERROR(IF(E3992&gt;0,E3992*IF(ISNUMBER(J3992),J3992,IF(C3992="Futures",$C$6,$C$5)),""),"")</f>
        <v/>
      </c>
      <c r="I3992" s="139">
        <f>IFERROR(IF(AND(ISNUMBER(F3992),ISNUMBER(H3992)),F3992-H3992,""),"")</f>
        <v/>
      </c>
      <c r="J3992" s="114" t="n"/>
      <c r="K3992" s="139">
        <f>IFERROR(IF(H3992&gt;0,H3992*$C$7,""),"")</f>
        <v/>
      </c>
      <c r="L3992" s="139">
        <f>IFERROR(IF(ISNUMBER(F3992),F3992-IF(ISNUMBER(K3992),K3992,0),""),"")</f>
        <v/>
      </c>
    </row>
    <row r="3993" ht="24" customHeight="1" s="63">
      <c r="E3993" s="139" t="n"/>
      <c r="F3993" s="139" t="n"/>
      <c r="G3993" s="140">
        <f>IFERROR(IF(E3993&gt;0,(F3993/E3993)*1000,""),"")</f>
        <v/>
      </c>
      <c r="H3993" s="139">
        <f>IFERROR(IF(E3993&gt;0,E3993*IF(ISNUMBER(J3993),J3993,IF(C3993="Futures",$C$6,$C$5)),""),"")</f>
        <v/>
      </c>
      <c r="I3993" s="139">
        <f>IFERROR(IF(AND(ISNUMBER(F3993),ISNUMBER(H3993)),F3993-H3993,""),"")</f>
        <v/>
      </c>
      <c r="J3993" s="114" t="n"/>
      <c r="K3993" s="139">
        <f>IFERROR(IF(H3993&gt;0,H3993*$C$7,""),"")</f>
        <v/>
      </c>
      <c r="L3993" s="139">
        <f>IFERROR(IF(ISNUMBER(F3993),F3993-IF(ISNUMBER(K3993),K3993,0),""),"")</f>
        <v/>
      </c>
    </row>
    <row r="3994" ht="24" customHeight="1" s="63">
      <c r="E3994" s="139" t="n"/>
      <c r="F3994" s="139" t="n"/>
      <c r="G3994" s="140">
        <f>IFERROR(IF(E3994&gt;0,(F3994/E3994)*1000,""),"")</f>
        <v/>
      </c>
      <c r="H3994" s="139">
        <f>IFERROR(IF(E3994&gt;0,E3994*IF(ISNUMBER(J3994),J3994,IF(C3994="Futures",$C$6,$C$5)),""),"")</f>
        <v/>
      </c>
      <c r="I3994" s="139">
        <f>IFERROR(IF(AND(ISNUMBER(F3994),ISNUMBER(H3994)),F3994-H3994,""),"")</f>
        <v/>
      </c>
      <c r="J3994" s="114" t="n"/>
      <c r="K3994" s="139">
        <f>IFERROR(IF(H3994&gt;0,H3994*$C$7,""),"")</f>
        <v/>
      </c>
      <c r="L3994" s="139">
        <f>IFERROR(IF(ISNUMBER(F3994),F3994-IF(ISNUMBER(K3994),K3994,0),""),"")</f>
        <v/>
      </c>
    </row>
    <row r="3995" ht="24" customHeight="1" s="63">
      <c r="E3995" s="139" t="n"/>
      <c r="F3995" s="139" t="n"/>
      <c r="G3995" s="140">
        <f>IFERROR(IF(E3995&gt;0,(F3995/E3995)*1000,""),"")</f>
        <v/>
      </c>
      <c r="H3995" s="139">
        <f>IFERROR(IF(E3995&gt;0,E3995*IF(ISNUMBER(J3995),J3995,IF(C3995="Futures",$C$6,$C$5)),""),"")</f>
        <v/>
      </c>
      <c r="I3995" s="139">
        <f>IFERROR(IF(AND(ISNUMBER(F3995),ISNUMBER(H3995)),F3995-H3995,""),"")</f>
        <v/>
      </c>
      <c r="J3995" s="114" t="n"/>
      <c r="K3995" s="139">
        <f>IFERROR(IF(H3995&gt;0,H3995*$C$7,""),"")</f>
        <v/>
      </c>
      <c r="L3995" s="139">
        <f>IFERROR(IF(ISNUMBER(F3995),F3995-IF(ISNUMBER(K3995),K3995,0),""),"")</f>
        <v/>
      </c>
    </row>
    <row r="3996" ht="24" customHeight="1" s="63">
      <c r="E3996" s="139" t="n"/>
      <c r="F3996" s="139" t="n"/>
      <c r="G3996" s="140">
        <f>IFERROR(IF(E3996&gt;0,(F3996/E3996)*1000,""),"")</f>
        <v/>
      </c>
      <c r="H3996" s="139">
        <f>IFERROR(IF(E3996&gt;0,E3996*IF(ISNUMBER(J3996),J3996,IF(C3996="Futures",$C$6,$C$5)),""),"")</f>
        <v/>
      </c>
      <c r="I3996" s="139">
        <f>IFERROR(IF(AND(ISNUMBER(F3996),ISNUMBER(H3996)),F3996-H3996,""),"")</f>
        <v/>
      </c>
      <c r="J3996" s="114" t="n"/>
      <c r="K3996" s="139">
        <f>IFERROR(IF(H3996&gt;0,H3996*$C$7,""),"")</f>
        <v/>
      </c>
      <c r="L3996" s="139">
        <f>IFERROR(IF(ISNUMBER(F3996),F3996-IF(ISNUMBER(K3996),K3996,0),""),"")</f>
        <v/>
      </c>
    </row>
    <row r="3997" ht="24" customHeight="1" s="63">
      <c r="E3997" s="139" t="n"/>
      <c r="F3997" s="139" t="n"/>
      <c r="G3997" s="140">
        <f>IFERROR(IF(E3997&gt;0,(F3997/E3997)*1000,""),"")</f>
        <v/>
      </c>
      <c r="H3997" s="139">
        <f>IFERROR(IF(E3997&gt;0,E3997*IF(ISNUMBER(J3997),J3997,IF(C3997="Futures",$C$6,$C$5)),""),"")</f>
        <v/>
      </c>
      <c r="I3997" s="139">
        <f>IFERROR(IF(AND(ISNUMBER(F3997),ISNUMBER(H3997)),F3997-H3997,""),"")</f>
        <v/>
      </c>
      <c r="J3997" s="114" t="n"/>
      <c r="K3997" s="139">
        <f>IFERROR(IF(H3997&gt;0,H3997*$C$7,""),"")</f>
        <v/>
      </c>
      <c r="L3997" s="139">
        <f>IFERROR(IF(ISNUMBER(F3997),F3997-IF(ISNUMBER(K3997),K3997,0),""),"")</f>
        <v/>
      </c>
    </row>
    <row r="3998" ht="24" customHeight="1" s="63">
      <c r="E3998" s="139" t="n"/>
      <c r="F3998" s="139" t="n"/>
      <c r="G3998" s="140">
        <f>IFERROR(IF(E3998&gt;0,(F3998/E3998)*1000,""),"")</f>
        <v/>
      </c>
      <c r="H3998" s="139">
        <f>IFERROR(IF(E3998&gt;0,E3998*IF(ISNUMBER(J3998),J3998,IF(C3998="Futures",$C$6,$C$5)),""),"")</f>
        <v/>
      </c>
      <c r="I3998" s="139">
        <f>IFERROR(IF(AND(ISNUMBER(F3998),ISNUMBER(H3998)),F3998-H3998,""),"")</f>
        <v/>
      </c>
      <c r="J3998" s="114" t="n"/>
      <c r="K3998" s="139">
        <f>IFERROR(IF(H3998&gt;0,H3998*$C$7,""),"")</f>
        <v/>
      </c>
      <c r="L3998" s="139">
        <f>IFERROR(IF(ISNUMBER(F3998),F3998-IF(ISNUMBER(K3998),K3998,0),""),"")</f>
        <v/>
      </c>
    </row>
    <row r="3999" ht="24" customHeight="1" s="63">
      <c r="E3999" s="139" t="n"/>
      <c r="F3999" s="139" t="n"/>
      <c r="G3999" s="140">
        <f>IFERROR(IF(E3999&gt;0,(F3999/E3999)*1000,""),"")</f>
        <v/>
      </c>
      <c r="H3999" s="139">
        <f>IFERROR(IF(E3999&gt;0,E3999*IF(ISNUMBER(J3999),J3999,IF(C3999="Futures",$C$6,$C$5)),""),"")</f>
        <v/>
      </c>
      <c r="I3999" s="139">
        <f>IFERROR(IF(AND(ISNUMBER(F3999),ISNUMBER(H3999)),F3999-H3999,""),"")</f>
        <v/>
      </c>
      <c r="J3999" s="114" t="n"/>
      <c r="K3999" s="139">
        <f>IFERROR(IF(H3999&gt;0,H3999*$C$7,""),"")</f>
        <v/>
      </c>
      <c r="L3999" s="139">
        <f>IFERROR(IF(ISNUMBER(F3999),F3999-IF(ISNUMBER(K3999),K3999,0),""),"")</f>
        <v/>
      </c>
    </row>
    <row r="4000" ht="24" customHeight="1" s="63">
      <c r="E4000" s="139" t="n"/>
      <c r="F4000" s="139" t="n"/>
      <c r="G4000" s="140">
        <f>IFERROR(IF(E4000&gt;0,(F4000/E4000)*1000,""),"")</f>
        <v/>
      </c>
      <c r="H4000" s="139">
        <f>IFERROR(IF(E4000&gt;0,E4000*IF(ISNUMBER(J4000),J4000,IF(C4000="Futures",$C$6,$C$5)),""),"")</f>
        <v/>
      </c>
      <c r="I4000" s="139">
        <f>IFERROR(IF(AND(ISNUMBER(F4000),ISNUMBER(H4000)),F4000-H4000,""),"")</f>
        <v/>
      </c>
      <c r="J4000" s="114" t="n"/>
      <c r="K4000" s="139">
        <f>IFERROR(IF(H4000&gt;0,H4000*$C$7,""),"")</f>
        <v/>
      </c>
      <c r="L4000" s="139">
        <f>IFERROR(IF(ISNUMBER(F4000),F4000-IF(ISNUMBER(K4000),K4000,0),""),"")</f>
        <v/>
      </c>
    </row>
    <row r="4001" ht="24" customHeight="1" s="63">
      <c r="E4001" s="139" t="n"/>
      <c r="F4001" s="139" t="n"/>
      <c r="G4001" s="140">
        <f>IFERROR(IF(E4001&gt;0,(F4001/E4001)*1000,""),"")</f>
        <v/>
      </c>
      <c r="H4001" s="139">
        <f>IFERROR(IF(E4001&gt;0,E4001*IF(ISNUMBER(J4001),J4001,IF(C4001="Futures",$C$6,$C$5)),""),"")</f>
        <v/>
      </c>
      <c r="I4001" s="139">
        <f>IFERROR(IF(AND(ISNUMBER(F4001),ISNUMBER(H4001)),F4001-H4001,""),"")</f>
        <v/>
      </c>
      <c r="J4001" s="114" t="n"/>
      <c r="K4001" s="139">
        <f>IFERROR(IF(H4001&gt;0,H4001*$C$7,""),"")</f>
        <v/>
      </c>
      <c r="L4001" s="139">
        <f>IFERROR(IF(ISNUMBER(F4001),F4001-IF(ISNUMBER(K4001),K4001,0),""),"")</f>
        <v/>
      </c>
    </row>
    <row r="4002" ht="24" customHeight="1" s="63">
      <c r="E4002" s="139" t="n"/>
      <c r="F4002" s="139" t="n"/>
      <c r="G4002" s="140">
        <f>IFERROR(IF(E4002&gt;0,(F4002/E4002)*1000,""),"")</f>
        <v/>
      </c>
      <c r="H4002" s="139">
        <f>IFERROR(IF(E4002&gt;0,E4002*IF(ISNUMBER(J4002),J4002,IF(C4002="Futures",$C$6,$C$5)),""),"")</f>
        <v/>
      </c>
      <c r="I4002" s="139">
        <f>IFERROR(IF(AND(ISNUMBER(F4002),ISNUMBER(H4002)),F4002-H4002,""),"")</f>
        <v/>
      </c>
      <c r="J4002" s="114" t="n"/>
      <c r="K4002" s="139">
        <f>IFERROR(IF(H4002&gt;0,H4002*$C$7,""),"")</f>
        <v/>
      </c>
      <c r="L4002" s="139">
        <f>IFERROR(IF(ISNUMBER(F4002),F4002-IF(ISNUMBER(K4002),K4002,0),""),"")</f>
        <v/>
      </c>
    </row>
    <row r="4003" ht="24" customHeight="1" s="63">
      <c r="E4003" s="139" t="n"/>
      <c r="F4003" s="139" t="n"/>
      <c r="G4003" s="140">
        <f>IFERROR(IF(E4003&gt;0,(F4003/E4003)*1000,""),"")</f>
        <v/>
      </c>
      <c r="H4003" s="139">
        <f>IFERROR(IF(E4003&gt;0,E4003*IF(ISNUMBER(J4003),J4003,IF(C4003="Futures",$C$6,$C$5)),""),"")</f>
        <v/>
      </c>
      <c r="I4003" s="139">
        <f>IFERROR(IF(AND(ISNUMBER(F4003),ISNUMBER(H4003)),F4003-H4003,""),"")</f>
        <v/>
      </c>
      <c r="J4003" s="114" t="n"/>
      <c r="K4003" s="139">
        <f>IFERROR(IF(H4003&gt;0,H4003*$C$7,""),"")</f>
        <v/>
      </c>
      <c r="L4003" s="139">
        <f>IFERROR(IF(ISNUMBER(F4003),F4003-IF(ISNUMBER(K4003),K4003,0),""),"")</f>
        <v/>
      </c>
    </row>
    <row r="4004" ht="24" customHeight="1" s="63">
      <c r="E4004" s="139" t="n"/>
      <c r="F4004" s="139" t="n"/>
      <c r="G4004" s="140">
        <f>IFERROR(IF(E4004&gt;0,(F4004/E4004)*1000,""),"")</f>
        <v/>
      </c>
      <c r="H4004" s="139">
        <f>IFERROR(IF(E4004&gt;0,E4004*IF(ISNUMBER(J4004),J4004,IF(C4004="Futures",$C$6,$C$5)),""),"")</f>
        <v/>
      </c>
      <c r="I4004" s="139">
        <f>IFERROR(IF(AND(ISNUMBER(F4004),ISNUMBER(H4004)),F4004-H4004,""),"")</f>
        <v/>
      </c>
      <c r="J4004" s="114" t="n"/>
      <c r="K4004" s="139">
        <f>IFERROR(IF(H4004&gt;0,H4004*$C$7,""),"")</f>
        <v/>
      </c>
      <c r="L4004" s="139">
        <f>IFERROR(IF(ISNUMBER(F4004),F4004-IF(ISNUMBER(K4004),K4004,0),""),"")</f>
        <v/>
      </c>
    </row>
    <row r="4005" ht="24" customHeight="1" s="63">
      <c r="E4005" s="139" t="n"/>
      <c r="F4005" s="139" t="n"/>
      <c r="G4005" s="140">
        <f>IFERROR(IF(E4005&gt;0,(F4005/E4005)*1000,""),"")</f>
        <v/>
      </c>
      <c r="H4005" s="139">
        <f>IFERROR(IF(E4005&gt;0,E4005*IF(ISNUMBER(J4005),J4005,IF(C4005="Futures",$C$6,$C$5)),""),"")</f>
        <v/>
      </c>
      <c r="I4005" s="139">
        <f>IFERROR(IF(AND(ISNUMBER(F4005),ISNUMBER(H4005)),F4005-H4005,""),"")</f>
        <v/>
      </c>
      <c r="J4005" s="114" t="n"/>
      <c r="K4005" s="139">
        <f>IFERROR(IF(H4005&gt;0,H4005*$C$7,""),"")</f>
        <v/>
      </c>
      <c r="L4005" s="139">
        <f>IFERROR(IF(ISNUMBER(F4005),F4005-IF(ISNUMBER(K4005),K4005,0),""),"")</f>
        <v/>
      </c>
    </row>
    <row r="4006" ht="24" customHeight="1" s="63">
      <c r="E4006" s="139" t="n"/>
      <c r="F4006" s="139" t="n"/>
      <c r="G4006" s="140">
        <f>IFERROR(IF(E4006&gt;0,(F4006/E4006)*1000,""),"")</f>
        <v/>
      </c>
      <c r="H4006" s="139">
        <f>IFERROR(IF(E4006&gt;0,E4006*IF(ISNUMBER(J4006),J4006,IF(C4006="Futures",$C$6,$C$5)),""),"")</f>
        <v/>
      </c>
      <c r="I4006" s="139">
        <f>IFERROR(IF(AND(ISNUMBER(F4006),ISNUMBER(H4006)),F4006-H4006,""),"")</f>
        <v/>
      </c>
      <c r="J4006" s="114" t="n"/>
      <c r="K4006" s="139">
        <f>IFERROR(IF(H4006&gt;0,H4006*$C$7,""),"")</f>
        <v/>
      </c>
      <c r="L4006" s="139">
        <f>IFERROR(IF(ISNUMBER(F4006),F4006-IF(ISNUMBER(K4006),K4006,0),""),"")</f>
        <v/>
      </c>
    </row>
    <row r="4007" ht="24" customHeight="1" s="63">
      <c r="E4007" s="139" t="n"/>
      <c r="F4007" s="139" t="n"/>
      <c r="G4007" s="140">
        <f>IFERROR(IF(E4007&gt;0,(F4007/E4007)*1000,""),"")</f>
        <v/>
      </c>
      <c r="H4007" s="139">
        <f>IFERROR(IF(E4007&gt;0,E4007*IF(ISNUMBER(J4007),J4007,IF(C4007="Futures",$C$6,$C$5)),""),"")</f>
        <v/>
      </c>
      <c r="I4007" s="139">
        <f>IFERROR(IF(AND(ISNUMBER(F4007),ISNUMBER(H4007)),F4007-H4007,""),"")</f>
        <v/>
      </c>
      <c r="J4007" s="114" t="n"/>
      <c r="K4007" s="139">
        <f>IFERROR(IF(H4007&gt;0,H4007*$C$7,""),"")</f>
        <v/>
      </c>
      <c r="L4007" s="139">
        <f>IFERROR(IF(ISNUMBER(F4007),F4007-IF(ISNUMBER(K4007),K4007,0),""),"")</f>
        <v/>
      </c>
    </row>
    <row r="4008" ht="24" customHeight="1" s="63">
      <c r="E4008" s="139" t="n"/>
      <c r="F4008" s="139" t="n"/>
      <c r="G4008" s="140">
        <f>IFERROR(IF(E4008&gt;0,(F4008/E4008)*1000,""),"")</f>
        <v/>
      </c>
      <c r="H4008" s="139">
        <f>IFERROR(IF(E4008&gt;0,E4008*IF(ISNUMBER(J4008),J4008,IF(C4008="Futures",$C$6,$C$5)),""),"")</f>
        <v/>
      </c>
      <c r="I4008" s="139">
        <f>IFERROR(IF(AND(ISNUMBER(F4008),ISNUMBER(H4008)),F4008-H4008,""),"")</f>
        <v/>
      </c>
      <c r="J4008" s="114" t="n"/>
      <c r="K4008" s="139">
        <f>IFERROR(IF(H4008&gt;0,H4008*$C$7,""),"")</f>
        <v/>
      </c>
      <c r="L4008" s="139">
        <f>IFERROR(IF(ISNUMBER(F4008),F4008-IF(ISNUMBER(K4008),K4008,0),""),"")</f>
        <v/>
      </c>
    </row>
    <row r="4009" ht="24" customHeight="1" s="63">
      <c r="E4009" s="139" t="n"/>
      <c r="F4009" s="139" t="n"/>
      <c r="G4009" s="140">
        <f>IFERROR(IF(E4009&gt;0,(F4009/E4009)*1000,""),"")</f>
        <v/>
      </c>
      <c r="H4009" s="139">
        <f>IFERROR(IF(E4009&gt;0,E4009*IF(ISNUMBER(J4009),J4009,IF(C4009="Futures",$C$6,$C$5)),""),"")</f>
        <v/>
      </c>
      <c r="I4009" s="139">
        <f>IFERROR(IF(AND(ISNUMBER(F4009),ISNUMBER(H4009)),F4009-H4009,""),"")</f>
        <v/>
      </c>
      <c r="J4009" s="114" t="n"/>
      <c r="K4009" s="139">
        <f>IFERROR(IF(H4009&gt;0,H4009*$C$7,""),"")</f>
        <v/>
      </c>
      <c r="L4009" s="139">
        <f>IFERROR(IF(ISNUMBER(F4009),F4009-IF(ISNUMBER(K4009),K4009,0),""),"")</f>
        <v/>
      </c>
    </row>
    <row r="4010" ht="24" customHeight="1" s="63">
      <c r="E4010" s="139" t="n"/>
      <c r="F4010" s="139" t="n"/>
      <c r="G4010" s="140">
        <f>IFERROR(IF(E4010&gt;0,(F4010/E4010)*1000,""),"")</f>
        <v/>
      </c>
      <c r="H4010" s="139">
        <f>IFERROR(IF(E4010&gt;0,E4010*IF(ISNUMBER(J4010),J4010,IF(C4010="Futures",$C$6,$C$5)),""),"")</f>
        <v/>
      </c>
      <c r="I4010" s="139">
        <f>IFERROR(IF(AND(ISNUMBER(F4010),ISNUMBER(H4010)),F4010-H4010,""),"")</f>
        <v/>
      </c>
      <c r="J4010" s="114" t="n"/>
      <c r="K4010" s="139">
        <f>IFERROR(IF(H4010&gt;0,H4010*$C$7,""),"")</f>
        <v/>
      </c>
      <c r="L4010" s="139">
        <f>IFERROR(IF(ISNUMBER(F4010),F4010-IF(ISNUMBER(K4010),K4010,0),""),"")</f>
        <v/>
      </c>
    </row>
    <row r="4011" ht="24" customHeight="1" s="63">
      <c r="E4011" s="139" t="n"/>
      <c r="F4011" s="139" t="n"/>
      <c r="G4011" s="140">
        <f>IFERROR(IF(E4011&gt;0,(F4011/E4011)*1000,""),"")</f>
        <v/>
      </c>
      <c r="H4011" s="139">
        <f>IFERROR(IF(E4011&gt;0,E4011*IF(ISNUMBER(J4011),J4011,IF(C4011="Futures",$C$6,$C$5)),""),"")</f>
        <v/>
      </c>
      <c r="I4011" s="139">
        <f>IFERROR(IF(AND(ISNUMBER(F4011),ISNUMBER(H4011)),F4011-H4011,""),"")</f>
        <v/>
      </c>
      <c r="J4011" s="114" t="n"/>
      <c r="K4011" s="139">
        <f>IFERROR(IF(H4011&gt;0,H4011*$C$7,""),"")</f>
        <v/>
      </c>
      <c r="L4011" s="139">
        <f>IFERROR(IF(ISNUMBER(F4011),F4011-IF(ISNUMBER(K4011),K4011,0),""),"")</f>
        <v/>
      </c>
    </row>
    <row r="4012" ht="24" customHeight="1" s="63">
      <c r="E4012" s="139" t="n"/>
      <c r="F4012" s="139" t="n"/>
      <c r="G4012" s="140">
        <f>IFERROR(IF(E4012&gt;0,(F4012/E4012)*1000,""),"")</f>
        <v/>
      </c>
      <c r="H4012" s="139">
        <f>IFERROR(IF(E4012&gt;0,E4012*IF(ISNUMBER(J4012),J4012,IF(C4012="Futures",$C$6,$C$5)),""),"")</f>
        <v/>
      </c>
      <c r="I4012" s="139">
        <f>IFERROR(IF(AND(ISNUMBER(F4012),ISNUMBER(H4012)),F4012-H4012,""),"")</f>
        <v/>
      </c>
      <c r="J4012" s="114" t="n"/>
      <c r="K4012" s="139">
        <f>IFERROR(IF(H4012&gt;0,H4012*$C$7,""),"")</f>
        <v/>
      </c>
      <c r="L4012" s="139">
        <f>IFERROR(IF(ISNUMBER(F4012),F4012-IF(ISNUMBER(K4012),K4012,0),""),"")</f>
        <v/>
      </c>
    </row>
    <row r="4013" ht="24" customHeight="1" s="63">
      <c r="E4013" s="139" t="n"/>
      <c r="F4013" s="139" t="n"/>
      <c r="G4013" s="140">
        <f>IFERROR(IF(E4013&gt;0,(F4013/E4013)*1000,""),"")</f>
        <v/>
      </c>
      <c r="H4013" s="139">
        <f>IFERROR(IF(E4013&gt;0,E4013*IF(ISNUMBER(J4013),J4013,IF(C4013="Futures",$C$6,$C$5)),""),"")</f>
        <v/>
      </c>
      <c r="I4013" s="139">
        <f>IFERROR(IF(AND(ISNUMBER(F4013),ISNUMBER(H4013)),F4013-H4013,""),"")</f>
        <v/>
      </c>
      <c r="J4013" s="114" t="n"/>
      <c r="K4013" s="139">
        <f>IFERROR(IF(H4013&gt;0,H4013*$C$7,""),"")</f>
        <v/>
      </c>
      <c r="L4013" s="139">
        <f>IFERROR(IF(ISNUMBER(F4013),F4013-IF(ISNUMBER(K4013),K4013,0),""),"")</f>
        <v/>
      </c>
    </row>
    <row r="4014" ht="24" customHeight="1" s="63">
      <c r="E4014" s="139" t="n"/>
      <c r="F4014" s="139" t="n"/>
      <c r="G4014" s="140">
        <f>IFERROR(IF(E4014&gt;0,(F4014/E4014)*1000,""),"")</f>
        <v/>
      </c>
      <c r="H4014" s="139">
        <f>IFERROR(IF(E4014&gt;0,E4014*IF(ISNUMBER(J4014),J4014,IF(C4014="Futures",$C$6,$C$5)),""),"")</f>
        <v/>
      </c>
      <c r="I4014" s="139">
        <f>IFERROR(IF(AND(ISNUMBER(F4014),ISNUMBER(H4014)),F4014-H4014,""),"")</f>
        <v/>
      </c>
      <c r="J4014" s="114" t="n"/>
      <c r="K4014" s="139">
        <f>IFERROR(IF(H4014&gt;0,H4014*$C$7,""),"")</f>
        <v/>
      </c>
      <c r="L4014" s="139">
        <f>IFERROR(IF(ISNUMBER(F4014),F4014-IF(ISNUMBER(K4014),K4014,0),""),"")</f>
        <v/>
      </c>
    </row>
    <row r="4015" ht="24" customHeight="1" s="63">
      <c r="E4015" s="139" t="n"/>
      <c r="F4015" s="139" t="n"/>
      <c r="G4015" s="140">
        <f>IFERROR(IF(E4015&gt;0,(F4015/E4015)*1000,""),"")</f>
        <v/>
      </c>
      <c r="H4015" s="139">
        <f>IFERROR(IF(E4015&gt;0,E4015*IF(ISNUMBER(J4015),J4015,IF(C4015="Futures",$C$6,$C$5)),""),"")</f>
        <v/>
      </c>
      <c r="I4015" s="139">
        <f>IFERROR(IF(AND(ISNUMBER(F4015),ISNUMBER(H4015)),F4015-H4015,""),"")</f>
        <v/>
      </c>
      <c r="J4015" s="114" t="n"/>
      <c r="K4015" s="139">
        <f>IFERROR(IF(H4015&gt;0,H4015*$C$7,""),"")</f>
        <v/>
      </c>
      <c r="L4015" s="139">
        <f>IFERROR(IF(ISNUMBER(F4015),F4015-IF(ISNUMBER(K4015),K4015,0),""),"")</f>
        <v/>
      </c>
    </row>
    <row r="4016" ht="24" customHeight="1" s="63">
      <c r="E4016" s="139" t="n"/>
      <c r="F4016" s="139" t="n"/>
      <c r="G4016" s="140">
        <f>IFERROR(IF(E4016&gt;0,(F4016/E4016)*1000,""),"")</f>
        <v/>
      </c>
      <c r="H4016" s="139">
        <f>IFERROR(IF(E4016&gt;0,E4016*IF(ISNUMBER(J4016),J4016,IF(C4016="Futures",$C$6,$C$5)),""),"")</f>
        <v/>
      </c>
      <c r="I4016" s="139">
        <f>IFERROR(IF(AND(ISNUMBER(F4016),ISNUMBER(H4016)),F4016-H4016,""),"")</f>
        <v/>
      </c>
      <c r="J4016" s="114" t="n"/>
      <c r="K4016" s="139">
        <f>IFERROR(IF(H4016&gt;0,H4016*$C$7,""),"")</f>
        <v/>
      </c>
      <c r="L4016" s="139">
        <f>IFERROR(IF(ISNUMBER(F4016),F4016-IF(ISNUMBER(K4016),K4016,0),""),"")</f>
        <v/>
      </c>
    </row>
    <row r="4017" ht="24" customHeight="1" s="63">
      <c r="E4017" s="139" t="n"/>
      <c r="F4017" s="139" t="n"/>
      <c r="G4017" s="140">
        <f>IFERROR(IF(E4017&gt;0,(F4017/E4017)*1000,""),"")</f>
        <v/>
      </c>
      <c r="H4017" s="139">
        <f>IFERROR(IF(E4017&gt;0,E4017*IF(ISNUMBER(J4017),J4017,IF(C4017="Futures",$C$6,$C$5)),""),"")</f>
        <v/>
      </c>
      <c r="I4017" s="139">
        <f>IFERROR(IF(AND(ISNUMBER(F4017),ISNUMBER(H4017)),F4017-H4017,""),"")</f>
        <v/>
      </c>
      <c r="J4017" s="114" t="n"/>
      <c r="K4017" s="139">
        <f>IFERROR(IF(H4017&gt;0,H4017*$C$7,""),"")</f>
        <v/>
      </c>
      <c r="L4017" s="139">
        <f>IFERROR(IF(ISNUMBER(F4017),F4017-IF(ISNUMBER(K4017),K4017,0),""),"")</f>
        <v/>
      </c>
    </row>
    <row r="4018" ht="24" customHeight="1" s="63">
      <c r="E4018" s="139" t="n"/>
      <c r="F4018" s="139" t="n"/>
      <c r="G4018" s="140">
        <f>IFERROR(IF(E4018&gt;0,(F4018/E4018)*1000,""),"")</f>
        <v/>
      </c>
      <c r="H4018" s="139">
        <f>IFERROR(IF(E4018&gt;0,E4018*IF(ISNUMBER(J4018),J4018,IF(C4018="Futures",$C$6,$C$5)),""),"")</f>
        <v/>
      </c>
      <c r="I4018" s="139">
        <f>IFERROR(IF(AND(ISNUMBER(F4018),ISNUMBER(H4018)),F4018-H4018,""),"")</f>
        <v/>
      </c>
      <c r="J4018" s="114" t="n"/>
      <c r="K4018" s="139">
        <f>IFERROR(IF(H4018&gt;0,H4018*$C$7,""),"")</f>
        <v/>
      </c>
      <c r="L4018" s="139">
        <f>IFERROR(IF(ISNUMBER(F4018),F4018-IF(ISNUMBER(K4018),K4018,0),""),"")</f>
        <v/>
      </c>
    </row>
    <row r="4019" ht="24" customHeight="1" s="63">
      <c r="E4019" s="139" t="n"/>
      <c r="F4019" s="139" t="n"/>
      <c r="G4019" s="140">
        <f>IFERROR(IF(E4019&gt;0,(F4019/E4019)*1000,""),"")</f>
        <v/>
      </c>
      <c r="H4019" s="139">
        <f>IFERROR(IF(E4019&gt;0,E4019*IF(ISNUMBER(J4019),J4019,IF(C4019="Futures",$C$6,$C$5)),""),"")</f>
        <v/>
      </c>
      <c r="I4019" s="139">
        <f>IFERROR(IF(AND(ISNUMBER(F4019),ISNUMBER(H4019)),F4019-H4019,""),"")</f>
        <v/>
      </c>
      <c r="J4019" s="114" t="n"/>
      <c r="K4019" s="139">
        <f>IFERROR(IF(H4019&gt;0,H4019*$C$7,""),"")</f>
        <v/>
      </c>
      <c r="L4019" s="139">
        <f>IFERROR(IF(ISNUMBER(F4019),F4019-IF(ISNUMBER(K4019),K4019,0),""),"")</f>
        <v/>
      </c>
    </row>
    <row r="4020" ht="24" customHeight="1" s="63">
      <c r="E4020" s="139" t="n"/>
      <c r="F4020" s="139" t="n"/>
      <c r="G4020" s="140">
        <f>IFERROR(IF(E4020&gt;0,(F4020/E4020)*1000,""),"")</f>
        <v/>
      </c>
      <c r="H4020" s="139">
        <f>IFERROR(IF(E4020&gt;0,E4020*IF(ISNUMBER(J4020),J4020,IF(C4020="Futures",$C$6,$C$5)),""),"")</f>
        <v/>
      </c>
      <c r="I4020" s="139">
        <f>IFERROR(IF(AND(ISNUMBER(F4020),ISNUMBER(H4020)),F4020-H4020,""),"")</f>
        <v/>
      </c>
      <c r="J4020" s="114" t="n"/>
      <c r="K4020" s="139">
        <f>IFERROR(IF(H4020&gt;0,H4020*$C$7,""),"")</f>
        <v/>
      </c>
      <c r="L4020" s="139">
        <f>IFERROR(IF(ISNUMBER(F4020),F4020-IF(ISNUMBER(K4020),K4020,0),""),"")</f>
        <v/>
      </c>
    </row>
    <row r="4021" ht="24" customHeight="1" s="63">
      <c r="E4021" s="139" t="n"/>
      <c r="F4021" s="139" t="n"/>
      <c r="G4021" s="140">
        <f>IFERROR(IF(E4021&gt;0,(F4021/E4021)*1000,""),"")</f>
        <v/>
      </c>
      <c r="H4021" s="139">
        <f>IFERROR(IF(E4021&gt;0,E4021*IF(ISNUMBER(J4021),J4021,IF(C4021="Futures",$C$6,$C$5)),""),"")</f>
        <v/>
      </c>
      <c r="I4021" s="139">
        <f>IFERROR(IF(AND(ISNUMBER(F4021),ISNUMBER(H4021)),F4021-H4021,""),"")</f>
        <v/>
      </c>
      <c r="J4021" s="114" t="n"/>
      <c r="K4021" s="139">
        <f>IFERROR(IF(H4021&gt;0,H4021*$C$7,""),"")</f>
        <v/>
      </c>
      <c r="L4021" s="139">
        <f>IFERROR(IF(ISNUMBER(F4021),F4021-IF(ISNUMBER(K4021),K4021,0),""),"")</f>
        <v/>
      </c>
    </row>
    <row r="4022" ht="24" customHeight="1" s="63">
      <c r="E4022" s="139" t="n"/>
      <c r="F4022" s="139" t="n"/>
      <c r="G4022" s="140">
        <f>IFERROR(IF(E4022&gt;0,(F4022/E4022)*1000,""),"")</f>
        <v/>
      </c>
      <c r="H4022" s="139">
        <f>IFERROR(IF(E4022&gt;0,E4022*IF(ISNUMBER(J4022),J4022,IF(C4022="Futures",$C$6,$C$5)),""),"")</f>
        <v/>
      </c>
      <c r="I4022" s="139">
        <f>IFERROR(IF(AND(ISNUMBER(F4022),ISNUMBER(H4022)),F4022-H4022,""),"")</f>
        <v/>
      </c>
      <c r="J4022" s="114" t="n"/>
      <c r="K4022" s="139">
        <f>IFERROR(IF(H4022&gt;0,H4022*$C$7,""),"")</f>
        <v/>
      </c>
      <c r="L4022" s="139">
        <f>IFERROR(IF(ISNUMBER(F4022),F4022-IF(ISNUMBER(K4022),K4022,0),""),"")</f>
        <v/>
      </c>
    </row>
    <row r="4023" ht="24" customHeight="1" s="63">
      <c r="E4023" s="139" t="n"/>
      <c r="F4023" s="139" t="n"/>
      <c r="G4023" s="140">
        <f>IFERROR(IF(E4023&gt;0,(F4023/E4023)*1000,""),"")</f>
        <v/>
      </c>
      <c r="H4023" s="139">
        <f>IFERROR(IF(E4023&gt;0,E4023*IF(ISNUMBER(J4023),J4023,IF(C4023="Futures",$C$6,$C$5)),""),"")</f>
        <v/>
      </c>
      <c r="I4023" s="139">
        <f>IFERROR(IF(AND(ISNUMBER(F4023),ISNUMBER(H4023)),F4023-H4023,""),"")</f>
        <v/>
      </c>
      <c r="J4023" s="114" t="n"/>
      <c r="K4023" s="139">
        <f>IFERROR(IF(H4023&gt;0,H4023*$C$7,""),"")</f>
        <v/>
      </c>
      <c r="L4023" s="139">
        <f>IFERROR(IF(ISNUMBER(F4023),F4023-IF(ISNUMBER(K4023),K4023,0),""),"")</f>
        <v/>
      </c>
    </row>
    <row r="4024" ht="24" customHeight="1" s="63">
      <c r="E4024" s="139" t="n"/>
      <c r="F4024" s="139" t="n"/>
      <c r="G4024" s="140">
        <f>IFERROR(IF(E4024&gt;0,(F4024/E4024)*1000,""),"")</f>
        <v/>
      </c>
      <c r="H4024" s="139">
        <f>IFERROR(IF(E4024&gt;0,E4024*IF(ISNUMBER(J4024),J4024,IF(C4024="Futures",$C$6,$C$5)),""),"")</f>
        <v/>
      </c>
      <c r="I4024" s="139">
        <f>IFERROR(IF(AND(ISNUMBER(F4024),ISNUMBER(H4024)),F4024-H4024,""),"")</f>
        <v/>
      </c>
      <c r="J4024" s="114" t="n"/>
      <c r="K4024" s="139">
        <f>IFERROR(IF(H4024&gt;0,H4024*$C$7,""),"")</f>
        <v/>
      </c>
      <c r="L4024" s="139">
        <f>IFERROR(IF(ISNUMBER(F4024),F4024-IF(ISNUMBER(K4024),K4024,0),""),"")</f>
        <v/>
      </c>
    </row>
    <row r="4025" ht="24" customHeight="1" s="63">
      <c r="E4025" s="139" t="n"/>
      <c r="F4025" s="139" t="n"/>
      <c r="G4025" s="140">
        <f>IFERROR(IF(E4025&gt;0,(F4025/E4025)*1000,""),"")</f>
        <v/>
      </c>
      <c r="H4025" s="139">
        <f>IFERROR(IF(E4025&gt;0,E4025*IF(ISNUMBER(J4025),J4025,IF(C4025="Futures",$C$6,$C$5)),""),"")</f>
        <v/>
      </c>
      <c r="I4025" s="139">
        <f>IFERROR(IF(AND(ISNUMBER(F4025),ISNUMBER(H4025)),F4025-H4025,""),"")</f>
        <v/>
      </c>
      <c r="J4025" s="114" t="n"/>
      <c r="K4025" s="139">
        <f>IFERROR(IF(H4025&gt;0,H4025*$C$7,""),"")</f>
        <v/>
      </c>
      <c r="L4025" s="139">
        <f>IFERROR(IF(ISNUMBER(F4025),F4025-IF(ISNUMBER(K4025),K4025,0),""),"")</f>
        <v/>
      </c>
    </row>
    <row r="4026" ht="24" customHeight="1" s="63">
      <c r="E4026" s="139" t="n"/>
      <c r="F4026" s="139" t="n"/>
      <c r="G4026" s="140">
        <f>IFERROR(IF(E4026&gt;0,(F4026/E4026)*1000,""),"")</f>
        <v/>
      </c>
      <c r="H4026" s="139">
        <f>IFERROR(IF(E4026&gt;0,E4026*IF(ISNUMBER(J4026),J4026,IF(C4026="Futures",$C$6,$C$5)),""),"")</f>
        <v/>
      </c>
      <c r="I4026" s="139">
        <f>IFERROR(IF(AND(ISNUMBER(F4026),ISNUMBER(H4026)),F4026-H4026,""),"")</f>
        <v/>
      </c>
      <c r="J4026" s="114" t="n"/>
      <c r="K4026" s="139">
        <f>IFERROR(IF(H4026&gt;0,H4026*$C$7,""),"")</f>
        <v/>
      </c>
      <c r="L4026" s="139">
        <f>IFERROR(IF(ISNUMBER(F4026),F4026-IF(ISNUMBER(K4026),K4026,0),""),"")</f>
        <v/>
      </c>
    </row>
    <row r="4027" ht="24" customHeight="1" s="63">
      <c r="E4027" s="139" t="n"/>
      <c r="F4027" s="139" t="n"/>
      <c r="G4027" s="140">
        <f>IFERROR(IF(E4027&gt;0,(F4027/E4027)*1000,""),"")</f>
        <v/>
      </c>
      <c r="H4027" s="139">
        <f>IFERROR(IF(E4027&gt;0,E4027*IF(ISNUMBER(J4027),J4027,IF(C4027="Futures",$C$6,$C$5)),""),"")</f>
        <v/>
      </c>
      <c r="I4027" s="139">
        <f>IFERROR(IF(AND(ISNUMBER(F4027),ISNUMBER(H4027)),F4027-H4027,""),"")</f>
        <v/>
      </c>
      <c r="J4027" s="114" t="n"/>
      <c r="K4027" s="139">
        <f>IFERROR(IF(H4027&gt;0,H4027*$C$7,""),"")</f>
        <v/>
      </c>
      <c r="L4027" s="139">
        <f>IFERROR(IF(ISNUMBER(F4027),F4027-IF(ISNUMBER(K4027),K4027,0),""),"")</f>
        <v/>
      </c>
    </row>
    <row r="4028" ht="24" customHeight="1" s="63">
      <c r="E4028" s="139" t="n"/>
      <c r="F4028" s="139" t="n"/>
      <c r="G4028" s="140">
        <f>IFERROR(IF(E4028&gt;0,(F4028/E4028)*1000,""),"")</f>
        <v/>
      </c>
      <c r="H4028" s="139">
        <f>IFERROR(IF(E4028&gt;0,E4028*IF(ISNUMBER(J4028),J4028,IF(C4028="Futures",$C$6,$C$5)),""),"")</f>
        <v/>
      </c>
      <c r="I4028" s="139">
        <f>IFERROR(IF(AND(ISNUMBER(F4028),ISNUMBER(H4028)),F4028-H4028,""),"")</f>
        <v/>
      </c>
      <c r="J4028" s="114" t="n"/>
      <c r="K4028" s="139">
        <f>IFERROR(IF(H4028&gt;0,H4028*$C$7,""),"")</f>
        <v/>
      </c>
      <c r="L4028" s="139">
        <f>IFERROR(IF(ISNUMBER(F4028),F4028-IF(ISNUMBER(K4028),K4028,0),""),"")</f>
        <v/>
      </c>
    </row>
    <row r="4029" ht="24" customHeight="1" s="63">
      <c r="E4029" s="139" t="n"/>
      <c r="F4029" s="139" t="n"/>
      <c r="G4029" s="140">
        <f>IFERROR(IF(E4029&gt;0,(F4029/E4029)*1000,""),"")</f>
        <v/>
      </c>
      <c r="H4029" s="139">
        <f>IFERROR(IF(E4029&gt;0,E4029*IF(ISNUMBER(J4029),J4029,IF(C4029="Futures",$C$6,$C$5)),""),"")</f>
        <v/>
      </c>
      <c r="I4029" s="139">
        <f>IFERROR(IF(AND(ISNUMBER(F4029),ISNUMBER(H4029)),F4029-H4029,""),"")</f>
        <v/>
      </c>
      <c r="J4029" s="114" t="n"/>
      <c r="K4029" s="139">
        <f>IFERROR(IF(H4029&gt;0,H4029*$C$7,""),"")</f>
        <v/>
      </c>
      <c r="L4029" s="139">
        <f>IFERROR(IF(ISNUMBER(F4029),F4029-IF(ISNUMBER(K4029),K4029,0),""),"")</f>
        <v/>
      </c>
    </row>
    <row r="4030" ht="24" customHeight="1" s="63">
      <c r="E4030" s="139" t="n"/>
      <c r="F4030" s="139" t="n"/>
      <c r="G4030" s="140">
        <f>IFERROR(IF(E4030&gt;0,(F4030/E4030)*1000,""),"")</f>
        <v/>
      </c>
      <c r="H4030" s="139">
        <f>IFERROR(IF(E4030&gt;0,E4030*IF(ISNUMBER(J4030),J4030,IF(C4030="Futures",$C$6,$C$5)),""),"")</f>
        <v/>
      </c>
      <c r="I4030" s="139">
        <f>IFERROR(IF(AND(ISNUMBER(F4030),ISNUMBER(H4030)),F4030-H4030,""),"")</f>
        <v/>
      </c>
      <c r="J4030" s="114" t="n"/>
      <c r="K4030" s="139">
        <f>IFERROR(IF(H4030&gt;0,H4030*$C$7,""),"")</f>
        <v/>
      </c>
      <c r="L4030" s="139">
        <f>IFERROR(IF(ISNUMBER(F4030),F4030-IF(ISNUMBER(K4030),K4030,0),""),"")</f>
        <v/>
      </c>
    </row>
    <row r="4031" ht="24" customHeight="1" s="63">
      <c r="E4031" s="139" t="n"/>
      <c r="F4031" s="139" t="n"/>
      <c r="G4031" s="140">
        <f>IFERROR(IF(E4031&gt;0,(F4031/E4031)*1000,""),"")</f>
        <v/>
      </c>
      <c r="H4031" s="139">
        <f>IFERROR(IF(E4031&gt;0,E4031*IF(ISNUMBER(J4031),J4031,IF(C4031="Futures",$C$6,$C$5)),""),"")</f>
        <v/>
      </c>
      <c r="I4031" s="139">
        <f>IFERROR(IF(AND(ISNUMBER(F4031),ISNUMBER(H4031)),F4031-H4031,""),"")</f>
        <v/>
      </c>
      <c r="J4031" s="114" t="n"/>
      <c r="K4031" s="139">
        <f>IFERROR(IF(H4031&gt;0,H4031*$C$7,""),"")</f>
        <v/>
      </c>
      <c r="L4031" s="139">
        <f>IFERROR(IF(ISNUMBER(F4031),F4031-IF(ISNUMBER(K4031),K4031,0),""),"")</f>
        <v/>
      </c>
    </row>
    <row r="4032" ht="24" customHeight="1" s="63">
      <c r="E4032" s="139" t="n"/>
      <c r="F4032" s="139" t="n"/>
      <c r="G4032" s="140">
        <f>IFERROR(IF(E4032&gt;0,(F4032/E4032)*1000,""),"")</f>
        <v/>
      </c>
      <c r="H4032" s="139">
        <f>IFERROR(IF(E4032&gt;0,E4032*IF(ISNUMBER(J4032),J4032,IF(C4032="Futures",$C$6,$C$5)),""),"")</f>
        <v/>
      </c>
      <c r="I4032" s="139">
        <f>IFERROR(IF(AND(ISNUMBER(F4032),ISNUMBER(H4032)),F4032-H4032,""),"")</f>
        <v/>
      </c>
      <c r="J4032" s="114" t="n"/>
      <c r="K4032" s="139">
        <f>IFERROR(IF(H4032&gt;0,H4032*$C$7,""),"")</f>
        <v/>
      </c>
      <c r="L4032" s="139">
        <f>IFERROR(IF(ISNUMBER(F4032),F4032-IF(ISNUMBER(K4032),K4032,0),""),"")</f>
        <v/>
      </c>
    </row>
    <row r="4033" ht="24" customHeight="1" s="63">
      <c r="E4033" s="139" t="n"/>
      <c r="F4033" s="139" t="n"/>
      <c r="G4033" s="140">
        <f>IFERROR(IF(E4033&gt;0,(F4033/E4033)*1000,""),"")</f>
        <v/>
      </c>
      <c r="H4033" s="139">
        <f>IFERROR(IF(E4033&gt;0,E4033*IF(ISNUMBER(J4033),J4033,IF(C4033="Futures",$C$6,$C$5)),""),"")</f>
        <v/>
      </c>
      <c r="I4033" s="139">
        <f>IFERROR(IF(AND(ISNUMBER(F4033),ISNUMBER(H4033)),F4033-H4033,""),"")</f>
        <v/>
      </c>
      <c r="J4033" s="114" t="n"/>
      <c r="K4033" s="139">
        <f>IFERROR(IF(H4033&gt;0,H4033*$C$7,""),"")</f>
        <v/>
      </c>
      <c r="L4033" s="139">
        <f>IFERROR(IF(ISNUMBER(F4033),F4033-IF(ISNUMBER(K4033),K4033,0),""),"")</f>
        <v/>
      </c>
    </row>
    <row r="4034" ht="24" customHeight="1" s="63">
      <c r="E4034" s="139" t="n"/>
      <c r="F4034" s="139" t="n"/>
      <c r="G4034" s="140">
        <f>IFERROR(IF(E4034&gt;0,(F4034/E4034)*1000,""),"")</f>
        <v/>
      </c>
      <c r="H4034" s="139">
        <f>IFERROR(IF(E4034&gt;0,E4034*IF(ISNUMBER(J4034),J4034,IF(C4034="Futures",$C$6,$C$5)),""),"")</f>
        <v/>
      </c>
      <c r="I4034" s="139">
        <f>IFERROR(IF(AND(ISNUMBER(F4034),ISNUMBER(H4034)),F4034-H4034,""),"")</f>
        <v/>
      </c>
      <c r="J4034" s="114" t="n"/>
      <c r="K4034" s="139">
        <f>IFERROR(IF(H4034&gt;0,H4034*$C$7,""),"")</f>
        <v/>
      </c>
      <c r="L4034" s="139">
        <f>IFERROR(IF(ISNUMBER(F4034),F4034-IF(ISNUMBER(K4034),K4034,0),""),"")</f>
        <v/>
      </c>
    </row>
    <row r="4035" ht="24" customHeight="1" s="63">
      <c r="E4035" s="139" t="n"/>
      <c r="F4035" s="139" t="n"/>
      <c r="G4035" s="140">
        <f>IFERROR(IF(E4035&gt;0,(F4035/E4035)*1000,""),"")</f>
        <v/>
      </c>
      <c r="H4035" s="139">
        <f>IFERROR(IF(E4035&gt;0,E4035*IF(ISNUMBER(J4035),J4035,IF(C4035="Futures",$C$6,$C$5)),""),"")</f>
        <v/>
      </c>
      <c r="I4035" s="139">
        <f>IFERROR(IF(AND(ISNUMBER(F4035),ISNUMBER(H4035)),F4035-H4035,""),"")</f>
        <v/>
      </c>
      <c r="J4035" s="114" t="n"/>
      <c r="K4035" s="139">
        <f>IFERROR(IF(H4035&gt;0,H4035*$C$7,""),"")</f>
        <v/>
      </c>
      <c r="L4035" s="139">
        <f>IFERROR(IF(ISNUMBER(F4035),F4035-IF(ISNUMBER(K4035),K4035,0),""),"")</f>
        <v/>
      </c>
    </row>
    <row r="4036" ht="24" customHeight="1" s="63">
      <c r="E4036" s="139" t="n"/>
      <c r="F4036" s="139" t="n"/>
      <c r="G4036" s="140">
        <f>IFERROR(IF(E4036&gt;0,(F4036/E4036)*1000,""),"")</f>
        <v/>
      </c>
      <c r="H4036" s="139">
        <f>IFERROR(IF(E4036&gt;0,E4036*IF(ISNUMBER(J4036),J4036,IF(C4036="Futures",$C$6,$C$5)),""),"")</f>
        <v/>
      </c>
      <c r="I4036" s="139">
        <f>IFERROR(IF(AND(ISNUMBER(F4036),ISNUMBER(H4036)),F4036-H4036,""),"")</f>
        <v/>
      </c>
      <c r="J4036" s="114" t="n"/>
      <c r="K4036" s="139">
        <f>IFERROR(IF(H4036&gt;0,H4036*$C$7,""),"")</f>
        <v/>
      </c>
      <c r="L4036" s="139">
        <f>IFERROR(IF(ISNUMBER(F4036),F4036-IF(ISNUMBER(K4036),K4036,0),""),"")</f>
        <v/>
      </c>
    </row>
    <row r="4037" ht="24" customHeight="1" s="63">
      <c r="E4037" s="139" t="n"/>
      <c r="F4037" s="139" t="n"/>
      <c r="G4037" s="140">
        <f>IFERROR(IF(E4037&gt;0,(F4037/E4037)*1000,""),"")</f>
        <v/>
      </c>
      <c r="H4037" s="139">
        <f>IFERROR(IF(E4037&gt;0,E4037*IF(ISNUMBER(J4037),J4037,IF(C4037="Futures",$C$6,$C$5)),""),"")</f>
        <v/>
      </c>
      <c r="I4037" s="139">
        <f>IFERROR(IF(AND(ISNUMBER(F4037),ISNUMBER(H4037)),F4037-H4037,""),"")</f>
        <v/>
      </c>
      <c r="J4037" s="114" t="n"/>
      <c r="K4037" s="139">
        <f>IFERROR(IF(H4037&gt;0,H4037*$C$7,""),"")</f>
        <v/>
      </c>
      <c r="L4037" s="139">
        <f>IFERROR(IF(ISNUMBER(F4037),F4037-IF(ISNUMBER(K4037),K4037,0),""),"")</f>
        <v/>
      </c>
    </row>
    <row r="4038" ht="24" customHeight="1" s="63">
      <c r="E4038" s="139" t="n"/>
      <c r="F4038" s="139" t="n"/>
      <c r="G4038" s="140">
        <f>IFERROR(IF(E4038&gt;0,(F4038/E4038)*1000,""),"")</f>
        <v/>
      </c>
      <c r="H4038" s="139">
        <f>IFERROR(IF(E4038&gt;0,E4038*IF(ISNUMBER(J4038),J4038,IF(C4038="Futures",$C$6,$C$5)),""),"")</f>
        <v/>
      </c>
      <c r="I4038" s="139">
        <f>IFERROR(IF(AND(ISNUMBER(F4038),ISNUMBER(H4038)),F4038-H4038,""),"")</f>
        <v/>
      </c>
      <c r="J4038" s="114" t="n"/>
      <c r="K4038" s="139">
        <f>IFERROR(IF(H4038&gt;0,H4038*$C$7,""),"")</f>
        <v/>
      </c>
      <c r="L4038" s="139">
        <f>IFERROR(IF(ISNUMBER(F4038),F4038-IF(ISNUMBER(K4038),K4038,0),""),"")</f>
        <v/>
      </c>
    </row>
    <row r="4039" ht="24" customHeight="1" s="63">
      <c r="E4039" s="139" t="n"/>
      <c r="F4039" s="139" t="n"/>
      <c r="G4039" s="140">
        <f>IFERROR(IF(E4039&gt;0,(F4039/E4039)*1000,""),"")</f>
        <v/>
      </c>
      <c r="H4039" s="139">
        <f>IFERROR(IF(E4039&gt;0,E4039*IF(ISNUMBER(J4039),J4039,IF(C4039="Futures",$C$6,$C$5)),""),"")</f>
        <v/>
      </c>
      <c r="I4039" s="139">
        <f>IFERROR(IF(AND(ISNUMBER(F4039),ISNUMBER(H4039)),F4039-H4039,""),"")</f>
        <v/>
      </c>
      <c r="J4039" s="114" t="n"/>
      <c r="K4039" s="139">
        <f>IFERROR(IF(H4039&gt;0,H4039*$C$7,""),"")</f>
        <v/>
      </c>
      <c r="L4039" s="139">
        <f>IFERROR(IF(ISNUMBER(F4039),F4039-IF(ISNUMBER(K4039),K4039,0),""),"")</f>
        <v/>
      </c>
    </row>
    <row r="4040" ht="24" customHeight="1" s="63">
      <c r="E4040" s="139" t="n"/>
      <c r="F4040" s="139" t="n"/>
      <c r="G4040" s="140">
        <f>IFERROR(IF(E4040&gt;0,(F4040/E4040)*1000,""),"")</f>
        <v/>
      </c>
      <c r="H4040" s="139">
        <f>IFERROR(IF(E4040&gt;0,E4040*IF(ISNUMBER(J4040),J4040,IF(C4040="Futures",$C$6,$C$5)),""),"")</f>
        <v/>
      </c>
      <c r="I4040" s="139">
        <f>IFERROR(IF(AND(ISNUMBER(F4040),ISNUMBER(H4040)),F4040-H4040,""),"")</f>
        <v/>
      </c>
      <c r="J4040" s="114" t="n"/>
      <c r="K4040" s="139">
        <f>IFERROR(IF(H4040&gt;0,H4040*$C$7,""),"")</f>
        <v/>
      </c>
      <c r="L4040" s="139">
        <f>IFERROR(IF(ISNUMBER(F4040),F4040-IF(ISNUMBER(K4040),K4040,0),""),"")</f>
        <v/>
      </c>
    </row>
    <row r="4041" ht="24" customHeight="1" s="63">
      <c r="E4041" s="139" t="n"/>
      <c r="F4041" s="139" t="n"/>
      <c r="G4041" s="140">
        <f>IFERROR(IF(E4041&gt;0,(F4041/E4041)*1000,""),"")</f>
        <v/>
      </c>
      <c r="H4041" s="139">
        <f>IFERROR(IF(E4041&gt;0,E4041*IF(ISNUMBER(J4041),J4041,IF(C4041="Futures",$C$6,$C$5)),""),"")</f>
        <v/>
      </c>
      <c r="I4041" s="139">
        <f>IFERROR(IF(AND(ISNUMBER(F4041),ISNUMBER(H4041)),F4041-H4041,""),"")</f>
        <v/>
      </c>
      <c r="J4041" s="114" t="n"/>
      <c r="K4041" s="139">
        <f>IFERROR(IF(H4041&gt;0,H4041*$C$7,""),"")</f>
        <v/>
      </c>
      <c r="L4041" s="139">
        <f>IFERROR(IF(ISNUMBER(F4041),F4041-IF(ISNUMBER(K4041),K4041,0),""),"")</f>
        <v/>
      </c>
    </row>
    <row r="4042" ht="24" customHeight="1" s="63">
      <c r="E4042" s="139" t="n"/>
      <c r="F4042" s="139" t="n"/>
      <c r="G4042" s="140">
        <f>IFERROR(IF(E4042&gt;0,(F4042/E4042)*1000,""),"")</f>
        <v/>
      </c>
      <c r="H4042" s="139">
        <f>IFERROR(IF(E4042&gt;0,E4042*IF(ISNUMBER(J4042),J4042,IF(C4042="Futures",$C$6,$C$5)),""),"")</f>
        <v/>
      </c>
      <c r="I4042" s="139">
        <f>IFERROR(IF(AND(ISNUMBER(F4042),ISNUMBER(H4042)),F4042-H4042,""),"")</f>
        <v/>
      </c>
      <c r="J4042" s="114" t="n"/>
      <c r="K4042" s="139">
        <f>IFERROR(IF(H4042&gt;0,H4042*$C$7,""),"")</f>
        <v/>
      </c>
      <c r="L4042" s="139">
        <f>IFERROR(IF(ISNUMBER(F4042),F4042-IF(ISNUMBER(K4042),K4042,0),""),"")</f>
        <v/>
      </c>
    </row>
    <row r="4043" ht="24" customHeight="1" s="63">
      <c r="E4043" s="139" t="n"/>
      <c r="F4043" s="139" t="n"/>
      <c r="G4043" s="140">
        <f>IFERROR(IF(E4043&gt;0,(F4043/E4043)*1000,""),"")</f>
        <v/>
      </c>
      <c r="H4043" s="139">
        <f>IFERROR(IF(E4043&gt;0,E4043*IF(ISNUMBER(J4043),J4043,IF(C4043="Futures",$C$6,$C$5)),""),"")</f>
        <v/>
      </c>
      <c r="I4043" s="139">
        <f>IFERROR(IF(AND(ISNUMBER(F4043),ISNUMBER(H4043)),F4043-H4043,""),"")</f>
        <v/>
      </c>
      <c r="J4043" s="114" t="n"/>
      <c r="K4043" s="139">
        <f>IFERROR(IF(H4043&gt;0,H4043*$C$7,""),"")</f>
        <v/>
      </c>
      <c r="L4043" s="139">
        <f>IFERROR(IF(ISNUMBER(F4043),F4043-IF(ISNUMBER(K4043),K4043,0),""),"")</f>
        <v/>
      </c>
    </row>
    <row r="4044" ht="24" customHeight="1" s="63">
      <c r="E4044" s="139" t="n"/>
      <c r="F4044" s="139" t="n"/>
      <c r="G4044" s="140">
        <f>IFERROR(IF(E4044&gt;0,(F4044/E4044)*1000,""),"")</f>
        <v/>
      </c>
      <c r="H4044" s="139">
        <f>IFERROR(IF(E4044&gt;0,E4044*IF(ISNUMBER(J4044),J4044,IF(C4044="Futures",$C$6,$C$5)),""),"")</f>
        <v/>
      </c>
      <c r="I4044" s="139">
        <f>IFERROR(IF(AND(ISNUMBER(F4044),ISNUMBER(H4044)),F4044-H4044,""),"")</f>
        <v/>
      </c>
      <c r="J4044" s="114" t="n"/>
      <c r="K4044" s="139">
        <f>IFERROR(IF(H4044&gt;0,H4044*$C$7,""),"")</f>
        <v/>
      </c>
      <c r="L4044" s="139">
        <f>IFERROR(IF(ISNUMBER(F4044),F4044-IF(ISNUMBER(K4044),K4044,0),""),"")</f>
        <v/>
      </c>
    </row>
    <row r="4045" ht="24" customHeight="1" s="63">
      <c r="E4045" s="139" t="n"/>
      <c r="F4045" s="139" t="n"/>
      <c r="G4045" s="140">
        <f>IFERROR(IF(E4045&gt;0,(F4045/E4045)*1000,""),"")</f>
        <v/>
      </c>
      <c r="H4045" s="139">
        <f>IFERROR(IF(E4045&gt;0,E4045*IF(ISNUMBER(J4045),J4045,IF(C4045="Futures",$C$6,$C$5)),""),"")</f>
        <v/>
      </c>
      <c r="I4045" s="139">
        <f>IFERROR(IF(AND(ISNUMBER(F4045),ISNUMBER(H4045)),F4045-H4045,""),"")</f>
        <v/>
      </c>
      <c r="J4045" s="114" t="n"/>
      <c r="K4045" s="139">
        <f>IFERROR(IF(H4045&gt;0,H4045*$C$7,""),"")</f>
        <v/>
      </c>
      <c r="L4045" s="139">
        <f>IFERROR(IF(ISNUMBER(F4045),F4045-IF(ISNUMBER(K4045),K4045,0),""),"")</f>
        <v/>
      </c>
    </row>
    <row r="4046" ht="24" customHeight="1" s="63">
      <c r="E4046" s="139" t="n"/>
      <c r="F4046" s="139" t="n"/>
      <c r="G4046" s="140">
        <f>IFERROR(IF(E4046&gt;0,(F4046/E4046)*1000,""),"")</f>
        <v/>
      </c>
      <c r="H4046" s="139">
        <f>IFERROR(IF(E4046&gt;0,E4046*IF(ISNUMBER(J4046),J4046,IF(C4046="Futures",$C$6,$C$5)),""),"")</f>
        <v/>
      </c>
      <c r="I4046" s="139">
        <f>IFERROR(IF(AND(ISNUMBER(F4046),ISNUMBER(H4046)),F4046-H4046,""),"")</f>
        <v/>
      </c>
      <c r="J4046" s="114" t="n"/>
      <c r="K4046" s="139">
        <f>IFERROR(IF(H4046&gt;0,H4046*$C$7,""),"")</f>
        <v/>
      </c>
      <c r="L4046" s="139">
        <f>IFERROR(IF(ISNUMBER(F4046),F4046-IF(ISNUMBER(K4046),K4046,0),""),"")</f>
        <v/>
      </c>
    </row>
    <row r="4047" ht="24" customHeight="1" s="63">
      <c r="E4047" s="139" t="n"/>
      <c r="F4047" s="139" t="n"/>
      <c r="G4047" s="140">
        <f>IFERROR(IF(E4047&gt;0,(F4047/E4047)*1000,""),"")</f>
        <v/>
      </c>
      <c r="H4047" s="139">
        <f>IFERROR(IF(E4047&gt;0,E4047*IF(ISNUMBER(J4047),J4047,IF(C4047="Futures",$C$6,$C$5)),""),"")</f>
        <v/>
      </c>
      <c r="I4047" s="139">
        <f>IFERROR(IF(AND(ISNUMBER(F4047),ISNUMBER(H4047)),F4047-H4047,""),"")</f>
        <v/>
      </c>
      <c r="J4047" s="114" t="n"/>
      <c r="K4047" s="139">
        <f>IFERROR(IF(H4047&gt;0,H4047*$C$7,""),"")</f>
        <v/>
      </c>
      <c r="L4047" s="139">
        <f>IFERROR(IF(ISNUMBER(F4047),F4047-IF(ISNUMBER(K4047),K4047,0),""),"")</f>
        <v/>
      </c>
    </row>
    <row r="4048" ht="24" customHeight="1" s="63">
      <c r="E4048" s="139" t="n"/>
      <c r="F4048" s="139" t="n"/>
      <c r="G4048" s="140">
        <f>IFERROR(IF(E4048&gt;0,(F4048/E4048)*1000,""),"")</f>
        <v/>
      </c>
      <c r="H4048" s="139">
        <f>IFERROR(IF(E4048&gt;0,E4048*IF(ISNUMBER(J4048),J4048,IF(C4048="Futures",$C$6,$C$5)),""),"")</f>
        <v/>
      </c>
      <c r="I4048" s="139">
        <f>IFERROR(IF(AND(ISNUMBER(F4048),ISNUMBER(H4048)),F4048-H4048,""),"")</f>
        <v/>
      </c>
      <c r="J4048" s="114" t="n"/>
      <c r="K4048" s="139">
        <f>IFERROR(IF(H4048&gt;0,H4048*$C$7,""),"")</f>
        <v/>
      </c>
      <c r="L4048" s="139">
        <f>IFERROR(IF(ISNUMBER(F4048),F4048-IF(ISNUMBER(K4048),K4048,0),""),"")</f>
        <v/>
      </c>
    </row>
    <row r="4049" ht="24" customHeight="1" s="63">
      <c r="E4049" s="139" t="n"/>
      <c r="F4049" s="139" t="n"/>
      <c r="G4049" s="140">
        <f>IFERROR(IF(E4049&gt;0,(F4049/E4049)*1000,""),"")</f>
        <v/>
      </c>
      <c r="H4049" s="139">
        <f>IFERROR(IF(E4049&gt;0,E4049*IF(ISNUMBER(J4049),J4049,IF(C4049="Futures",$C$6,$C$5)),""),"")</f>
        <v/>
      </c>
      <c r="I4049" s="139">
        <f>IFERROR(IF(AND(ISNUMBER(F4049),ISNUMBER(H4049)),F4049-H4049,""),"")</f>
        <v/>
      </c>
      <c r="J4049" s="114" t="n"/>
      <c r="K4049" s="139">
        <f>IFERROR(IF(H4049&gt;0,H4049*$C$7,""),"")</f>
        <v/>
      </c>
      <c r="L4049" s="139">
        <f>IFERROR(IF(ISNUMBER(F4049),F4049-IF(ISNUMBER(K4049),K4049,0),""),"")</f>
        <v/>
      </c>
    </row>
    <row r="4050" ht="24" customHeight="1" s="63">
      <c r="E4050" s="139" t="n"/>
      <c r="F4050" s="139" t="n"/>
      <c r="G4050" s="140">
        <f>IFERROR(IF(E4050&gt;0,(F4050/E4050)*1000,""),"")</f>
        <v/>
      </c>
      <c r="H4050" s="139">
        <f>IFERROR(IF(E4050&gt;0,E4050*IF(ISNUMBER(J4050),J4050,IF(C4050="Futures",$C$6,$C$5)),""),"")</f>
        <v/>
      </c>
      <c r="I4050" s="139">
        <f>IFERROR(IF(AND(ISNUMBER(F4050),ISNUMBER(H4050)),F4050-H4050,""),"")</f>
        <v/>
      </c>
      <c r="J4050" s="114" t="n"/>
      <c r="K4050" s="139">
        <f>IFERROR(IF(H4050&gt;0,H4050*$C$7,""),"")</f>
        <v/>
      </c>
      <c r="L4050" s="139">
        <f>IFERROR(IF(ISNUMBER(F4050),F4050-IF(ISNUMBER(K4050),K4050,0),""),"")</f>
        <v/>
      </c>
    </row>
    <row r="4051" ht="24" customHeight="1" s="63">
      <c r="E4051" s="139" t="n"/>
      <c r="F4051" s="139" t="n"/>
      <c r="G4051" s="140">
        <f>IFERROR(IF(E4051&gt;0,(F4051/E4051)*1000,""),"")</f>
        <v/>
      </c>
      <c r="H4051" s="139">
        <f>IFERROR(IF(E4051&gt;0,E4051*IF(ISNUMBER(J4051),J4051,IF(C4051="Futures",$C$6,$C$5)),""),"")</f>
        <v/>
      </c>
      <c r="I4051" s="139">
        <f>IFERROR(IF(AND(ISNUMBER(F4051),ISNUMBER(H4051)),F4051-H4051,""),"")</f>
        <v/>
      </c>
      <c r="J4051" s="114" t="n"/>
      <c r="K4051" s="139">
        <f>IFERROR(IF(H4051&gt;0,H4051*$C$7,""),"")</f>
        <v/>
      </c>
      <c r="L4051" s="139">
        <f>IFERROR(IF(ISNUMBER(F4051),F4051-IF(ISNUMBER(K4051),K4051,0),""),"")</f>
        <v/>
      </c>
    </row>
    <row r="4052" ht="24" customHeight="1" s="63">
      <c r="E4052" s="139" t="n"/>
      <c r="F4052" s="139" t="n"/>
      <c r="G4052" s="140">
        <f>IFERROR(IF(E4052&gt;0,(F4052/E4052)*1000,""),"")</f>
        <v/>
      </c>
      <c r="H4052" s="139">
        <f>IFERROR(IF(E4052&gt;0,E4052*IF(ISNUMBER(J4052),J4052,IF(C4052="Futures",$C$6,$C$5)),""),"")</f>
        <v/>
      </c>
      <c r="I4052" s="139">
        <f>IFERROR(IF(AND(ISNUMBER(F4052),ISNUMBER(H4052)),F4052-H4052,""),"")</f>
        <v/>
      </c>
      <c r="J4052" s="114" t="n"/>
      <c r="K4052" s="139">
        <f>IFERROR(IF(H4052&gt;0,H4052*$C$7,""),"")</f>
        <v/>
      </c>
      <c r="L4052" s="139">
        <f>IFERROR(IF(ISNUMBER(F4052),F4052-IF(ISNUMBER(K4052),K4052,0),""),"")</f>
        <v/>
      </c>
    </row>
    <row r="4053" ht="24" customHeight="1" s="63">
      <c r="E4053" s="139" t="n"/>
      <c r="F4053" s="139" t="n"/>
      <c r="G4053" s="140">
        <f>IFERROR(IF(E4053&gt;0,(F4053/E4053)*1000,""),"")</f>
        <v/>
      </c>
      <c r="H4053" s="139">
        <f>IFERROR(IF(E4053&gt;0,E4053*IF(ISNUMBER(J4053),J4053,IF(C4053="Futures",$C$6,$C$5)),""),"")</f>
        <v/>
      </c>
      <c r="I4053" s="139">
        <f>IFERROR(IF(AND(ISNUMBER(F4053),ISNUMBER(H4053)),F4053-H4053,""),"")</f>
        <v/>
      </c>
      <c r="J4053" s="114" t="n"/>
      <c r="K4053" s="139">
        <f>IFERROR(IF(H4053&gt;0,H4053*$C$7,""),"")</f>
        <v/>
      </c>
      <c r="L4053" s="139">
        <f>IFERROR(IF(ISNUMBER(F4053),F4053-IF(ISNUMBER(K4053),K4053,0),""),"")</f>
        <v/>
      </c>
    </row>
    <row r="4054" ht="24" customHeight="1" s="63">
      <c r="E4054" s="139" t="n"/>
      <c r="F4054" s="139" t="n"/>
      <c r="G4054" s="140">
        <f>IFERROR(IF(E4054&gt;0,(F4054/E4054)*1000,""),"")</f>
        <v/>
      </c>
      <c r="H4054" s="139">
        <f>IFERROR(IF(E4054&gt;0,E4054*IF(ISNUMBER(J4054),J4054,IF(C4054="Futures",$C$6,$C$5)),""),"")</f>
        <v/>
      </c>
      <c r="I4054" s="139">
        <f>IFERROR(IF(AND(ISNUMBER(F4054),ISNUMBER(H4054)),F4054-H4054,""),"")</f>
        <v/>
      </c>
      <c r="J4054" s="114" t="n"/>
      <c r="K4054" s="139">
        <f>IFERROR(IF(H4054&gt;0,H4054*$C$7,""),"")</f>
        <v/>
      </c>
      <c r="L4054" s="139">
        <f>IFERROR(IF(ISNUMBER(F4054),F4054-IF(ISNUMBER(K4054),K4054,0),""),"")</f>
        <v/>
      </c>
    </row>
    <row r="4055" ht="24" customHeight="1" s="63">
      <c r="E4055" s="139" t="n"/>
      <c r="F4055" s="139" t="n"/>
      <c r="G4055" s="140">
        <f>IFERROR(IF(E4055&gt;0,(F4055/E4055)*1000,""),"")</f>
        <v/>
      </c>
      <c r="H4055" s="139">
        <f>IFERROR(IF(E4055&gt;0,E4055*IF(ISNUMBER(J4055),J4055,IF(C4055="Futures",$C$6,$C$5)),""),"")</f>
        <v/>
      </c>
      <c r="I4055" s="139">
        <f>IFERROR(IF(AND(ISNUMBER(F4055),ISNUMBER(H4055)),F4055-H4055,""),"")</f>
        <v/>
      </c>
      <c r="J4055" s="114" t="n"/>
      <c r="K4055" s="139">
        <f>IFERROR(IF(H4055&gt;0,H4055*$C$7,""),"")</f>
        <v/>
      </c>
      <c r="L4055" s="139">
        <f>IFERROR(IF(ISNUMBER(F4055),F4055-IF(ISNUMBER(K4055),K4055,0),""),"")</f>
        <v/>
      </c>
    </row>
    <row r="4056" ht="24" customHeight="1" s="63">
      <c r="E4056" s="139" t="n"/>
      <c r="F4056" s="139" t="n"/>
      <c r="G4056" s="140">
        <f>IFERROR(IF(E4056&gt;0,(F4056/E4056)*1000,""),"")</f>
        <v/>
      </c>
      <c r="H4056" s="139">
        <f>IFERROR(IF(E4056&gt;0,E4056*IF(ISNUMBER(J4056),J4056,IF(C4056="Futures",$C$6,$C$5)),""),"")</f>
        <v/>
      </c>
      <c r="I4056" s="139">
        <f>IFERROR(IF(AND(ISNUMBER(F4056),ISNUMBER(H4056)),F4056-H4056,""),"")</f>
        <v/>
      </c>
      <c r="J4056" s="114" t="n"/>
      <c r="K4056" s="139">
        <f>IFERROR(IF(H4056&gt;0,H4056*$C$7,""),"")</f>
        <v/>
      </c>
      <c r="L4056" s="139">
        <f>IFERROR(IF(ISNUMBER(F4056),F4056-IF(ISNUMBER(K4056),K4056,0),""),"")</f>
        <v/>
      </c>
    </row>
    <row r="4057" ht="24" customHeight="1" s="63">
      <c r="E4057" s="139" t="n"/>
      <c r="F4057" s="139" t="n"/>
      <c r="G4057" s="140">
        <f>IFERROR(IF(E4057&gt;0,(F4057/E4057)*1000,""),"")</f>
        <v/>
      </c>
      <c r="H4057" s="139">
        <f>IFERROR(IF(E4057&gt;0,E4057*IF(ISNUMBER(J4057),J4057,IF(C4057="Futures",$C$6,$C$5)),""),"")</f>
        <v/>
      </c>
      <c r="I4057" s="139">
        <f>IFERROR(IF(AND(ISNUMBER(F4057),ISNUMBER(H4057)),F4057-H4057,""),"")</f>
        <v/>
      </c>
      <c r="J4057" s="114" t="n"/>
      <c r="K4057" s="139">
        <f>IFERROR(IF(H4057&gt;0,H4057*$C$7,""),"")</f>
        <v/>
      </c>
      <c r="L4057" s="139">
        <f>IFERROR(IF(ISNUMBER(F4057),F4057-IF(ISNUMBER(K4057),K4057,0),""),"")</f>
        <v/>
      </c>
    </row>
    <row r="4058" ht="24" customHeight="1" s="63">
      <c r="E4058" s="139" t="n"/>
      <c r="F4058" s="139" t="n"/>
      <c r="G4058" s="140">
        <f>IFERROR(IF(E4058&gt;0,(F4058/E4058)*1000,""),"")</f>
        <v/>
      </c>
      <c r="H4058" s="139">
        <f>IFERROR(IF(E4058&gt;0,E4058*IF(ISNUMBER(J4058),J4058,IF(C4058="Futures",$C$6,$C$5)),""),"")</f>
        <v/>
      </c>
      <c r="I4058" s="139">
        <f>IFERROR(IF(AND(ISNUMBER(F4058),ISNUMBER(H4058)),F4058-H4058,""),"")</f>
        <v/>
      </c>
      <c r="J4058" s="114" t="n"/>
      <c r="K4058" s="139">
        <f>IFERROR(IF(H4058&gt;0,H4058*$C$7,""),"")</f>
        <v/>
      </c>
      <c r="L4058" s="139">
        <f>IFERROR(IF(ISNUMBER(F4058),F4058-IF(ISNUMBER(K4058),K4058,0),""),"")</f>
        <v/>
      </c>
    </row>
    <row r="4059" ht="24" customHeight="1" s="63">
      <c r="E4059" s="139" t="n"/>
      <c r="F4059" s="139" t="n"/>
      <c r="G4059" s="140">
        <f>IFERROR(IF(E4059&gt;0,(F4059/E4059)*1000,""),"")</f>
        <v/>
      </c>
      <c r="H4059" s="139">
        <f>IFERROR(IF(E4059&gt;0,E4059*IF(ISNUMBER(J4059),J4059,IF(C4059="Futures",$C$6,$C$5)),""),"")</f>
        <v/>
      </c>
      <c r="I4059" s="139">
        <f>IFERROR(IF(AND(ISNUMBER(F4059),ISNUMBER(H4059)),F4059-H4059,""),"")</f>
        <v/>
      </c>
      <c r="J4059" s="114" t="n"/>
      <c r="K4059" s="139">
        <f>IFERROR(IF(H4059&gt;0,H4059*$C$7,""),"")</f>
        <v/>
      </c>
      <c r="L4059" s="139">
        <f>IFERROR(IF(ISNUMBER(F4059),F4059-IF(ISNUMBER(K4059),K4059,0),""),"")</f>
        <v/>
      </c>
    </row>
    <row r="4060" ht="24" customHeight="1" s="63">
      <c r="E4060" s="139" t="n"/>
      <c r="F4060" s="139" t="n"/>
      <c r="G4060" s="140">
        <f>IFERROR(IF(E4060&gt;0,(F4060/E4060)*1000,""),"")</f>
        <v/>
      </c>
      <c r="H4060" s="139">
        <f>IFERROR(IF(E4060&gt;0,E4060*IF(ISNUMBER(J4060),J4060,IF(C4060="Futures",$C$6,$C$5)),""),"")</f>
        <v/>
      </c>
      <c r="I4060" s="139">
        <f>IFERROR(IF(AND(ISNUMBER(F4060),ISNUMBER(H4060)),F4060-H4060,""),"")</f>
        <v/>
      </c>
      <c r="J4060" s="114" t="n"/>
      <c r="K4060" s="139">
        <f>IFERROR(IF(H4060&gt;0,H4060*$C$7,""),"")</f>
        <v/>
      </c>
      <c r="L4060" s="139">
        <f>IFERROR(IF(ISNUMBER(F4060),F4060-IF(ISNUMBER(K4060),K4060,0),""),"")</f>
        <v/>
      </c>
    </row>
    <row r="4061" ht="24" customHeight="1" s="63">
      <c r="E4061" s="139" t="n"/>
      <c r="F4061" s="139" t="n"/>
      <c r="G4061" s="140">
        <f>IFERROR(IF(E4061&gt;0,(F4061/E4061)*1000,""),"")</f>
        <v/>
      </c>
      <c r="H4061" s="139">
        <f>IFERROR(IF(E4061&gt;0,E4061*IF(ISNUMBER(J4061),J4061,IF(C4061="Futures",$C$6,$C$5)),""),"")</f>
        <v/>
      </c>
      <c r="I4061" s="139">
        <f>IFERROR(IF(AND(ISNUMBER(F4061),ISNUMBER(H4061)),F4061-H4061,""),"")</f>
        <v/>
      </c>
      <c r="J4061" s="114" t="n"/>
      <c r="K4061" s="139">
        <f>IFERROR(IF(H4061&gt;0,H4061*$C$7,""),"")</f>
        <v/>
      </c>
      <c r="L4061" s="139">
        <f>IFERROR(IF(ISNUMBER(F4061),F4061-IF(ISNUMBER(K4061),K4061,0),""),"")</f>
        <v/>
      </c>
    </row>
    <row r="4062" ht="24" customHeight="1" s="63">
      <c r="E4062" s="139" t="n"/>
      <c r="F4062" s="139" t="n"/>
      <c r="G4062" s="140">
        <f>IFERROR(IF(E4062&gt;0,(F4062/E4062)*1000,""),"")</f>
        <v/>
      </c>
      <c r="H4062" s="139">
        <f>IFERROR(IF(E4062&gt;0,E4062*IF(ISNUMBER(J4062),J4062,IF(C4062="Futures",$C$6,$C$5)),""),"")</f>
        <v/>
      </c>
      <c r="I4062" s="139">
        <f>IFERROR(IF(AND(ISNUMBER(F4062),ISNUMBER(H4062)),F4062-H4062,""),"")</f>
        <v/>
      </c>
      <c r="J4062" s="114" t="n"/>
      <c r="K4062" s="139">
        <f>IFERROR(IF(H4062&gt;0,H4062*$C$7,""),"")</f>
        <v/>
      </c>
      <c r="L4062" s="139">
        <f>IFERROR(IF(ISNUMBER(F4062),F4062-IF(ISNUMBER(K4062),K4062,0),""),"")</f>
        <v/>
      </c>
    </row>
    <row r="4063" ht="24" customHeight="1" s="63">
      <c r="E4063" s="139" t="n"/>
      <c r="F4063" s="139" t="n"/>
      <c r="G4063" s="140">
        <f>IFERROR(IF(E4063&gt;0,(F4063/E4063)*1000,""),"")</f>
        <v/>
      </c>
      <c r="H4063" s="139">
        <f>IFERROR(IF(E4063&gt;0,E4063*IF(ISNUMBER(J4063),J4063,IF(C4063="Futures",$C$6,$C$5)),""),"")</f>
        <v/>
      </c>
      <c r="I4063" s="139">
        <f>IFERROR(IF(AND(ISNUMBER(F4063),ISNUMBER(H4063)),F4063-H4063,""),"")</f>
        <v/>
      </c>
      <c r="J4063" s="114" t="n"/>
      <c r="K4063" s="139">
        <f>IFERROR(IF(H4063&gt;0,H4063*$C$7,""),"")</f>
        <v/>
      </c>
      <c r="L4063" s="139">
        <f>IFERROR(IF(ISNUMBER(F4063),F4063-IF(ISNUMBER(K4063),K4063,0),""),"")</f>
        <v/>
      </c>
    </row>
    <row r="4064" ht="24" customHeight="1" s="63">
      <c r="E4064" s="139" t="n"/>
      <c r="F4064" s="139" t="n"/>
      <c r="G4064" s="140">
        <f>IFERROR(IF(E4064&gt;0,(F4064/E4064)*1000,""),"")</f>
        <v/>
      </c>
      <c r="H4064" s="139">
        <f>IFERROR(IF(E4064&gt;0,E4064*IF(ISNUMBER(J4064),J4064,IF(C4064="Futures",$C$6,$C$5)),""),"")</f>
        <v/>
      </c>
      <c r="I4064" s="139">
        <f>IFERROR(IF(AND(ISNUMBER(F4064),ISNUMBER(H4064)),F4064-H4064,""),"")</f>
        <v/>
      </c>
      <c r="J4064" s="114" t="n"/>
      <c r="K4064" s="139">
        <f>IFERROR(IF(H4064&gt;0,H4064*$C$7,""),"")</f>
        <v/>
      </c>
      <c r="L4064" s="139">
        <f>IFERROR(IF(ISNUMBER(F4064),F4064-IF(ISNUMBER(K4064),K4064,0),""),"")</f>
        <v/>
      </c>
    </row>
    <row r="4065" ht="24" customHeight="1" s="63">
      <c r="E4065" s="139" t="n"/>
      <c r="F4065" s="139" t="n"/>
      <c r="G4065" s="140">
        <f>IFERROR(IF(E4065&gt;0,(F4065/E4065)*1000,""),"")</f>
        <v/>
      </c>
      <c r="H4065" s="139">
        <f>IFERROR(IF(E4065&gt;0,E4065*IF(ISNUMBER(J4065),J4065,IF(C4065="Futures",$C$6,$C$5)),""),"")</f>
        <v/>
      </c>
      <c r="I4065" s="139">
        <f>IFERROR(IF(AND(ISNUMBER(F4065),ISNUMBER(H4065)),F4065-H4065,""),"")</f>
        <v/>
      </c>
      <c r="J4065" s="114" t="n"/>
      <c r="K4065" s="139">
        <f>IFERROR(IF(H4065&gt;0,H4065*$C$7,""),"")</f>
        <v/>
      </c>
      <c r="L4065" s="139">
        <f>IFERROR(IF(ISNUMBER(F4065),F4065-IF(ISNUMBER(K4065),K4065,0),""),"")</f>
        <v/>
      </c>
    </row>
    <row r="4066" ht="24" customHeight="1" s="63">
      <c r="E4066" s="139" t="n"/>
      <c r="F4066" s="139" t="n"/>
      <c r="G4066" s="140">
        <f>IFERROR(IF(E4066&gt;0,(F4066/E4066)*1000,""),"")</f>
        <v/>
      </c>
      <c r="H4066" s="139">
        <f>IFERROR(IF(E4066&gt;0,E4066*IF(ISNUMBER(J4066),J4066,IF(C4066="Futures",$C$6,$C$5)),""),"")</f>
        <v/>
      </c>
      <c r="I4066" s="139">
        <f>IFERROR(IF(AND(ISNUMBER(F4066),ISNUMBER(H4066)),F4066-H4066,""),"")</f>
        <v/>
      </c>
      <c r="J4066" s="114" t="n"/>
      <c r="K4066" s="139">
        <f>IFERROR(IF(H4066&gt;0,H4066*$C$7,""),"")</f>
        <v/>
      </c>
      <c r="L4066" s="139">
        <f>IFERROR(IF(ISNUMBER(F4066),F4066-IF(ISNUMBER(K4066),K4066,0),""),"")</f>
        <v/>
      </c>
    </row>
    <row r="4067" ht="24" customHeight="1" s="63">
      <c r="E4067" s="139" t="n"/>
      <c r="F4067" s="139" t="n"/>
      <c r="G4067" s="140">
        <f>IFERROR(IF(E4067&gt;0,(F4067/E4067)*1000,""),"")</f>
        <v/>
      </c>
      <c r="H4067" s="139">
        <f>IFERROR(IF(E4067&gt;0,E4067*IF(ISNUMBER(J4067),J4067,IF(C4067="Futures",$C$6,$C$5)),""),"")</f>
        <v/>
      </c>
      <c r="I4067" s="139">
        <f>IFERROR(IF(AND(ISNUMBER(F4067),ISNUMBER(H4067)),F4067-H4067,""),"")</f>
        <v/>
      </c>
      <c r="J4067" s="114" t="n"/>
      <c r="K4067" s="139">
        <f>IFERROR(IF(H4067&gt;0,H4067*$C$7,""),"")</f>
        <v/>
      </c>
      <c r="L4067" s="139">
        <f>IFERROR(IF(ISNUMBER(F4067),F4067-IF(ISNUMBER(K4067),K4067,0),""),"")</f>
        <v/>
      </c>
    </row>
    <row r="4068" ht="24" customHeight="1" s="63">
      <c r="E4068" s="139" t="n"/>
      <c r="F4068" s="139" t="n"/>
      <c r="G4068" s="140">
        <f>IFERROR(IF(E4068&gt;0,(F4068/E4068)*1000,""),"")</f>
        <v/>
      </c>
      <c r="H4068" s="139">
        <f>IFERROR(IF(E4068&gt;0,E4068*IF(ISNUMBER(J4068),J4068,IF(C4068="Futures",$C$6,$C$5)),""),"")</f>
        <v/>
      </c>
      <c r="I4068" s="139">
        <f>IFERROR(IF(AND(ISNUMBER(F4068),ISNUMBER(H4068)),F4068-H4068,""),"")</f>
        <v/>
      </c>
      <c r="J4068" s="114" t="n"/>
      <c r="K4068" s="139">
        <f>IFERROR(IF(H4068&gt;0,H4068*$C$7,""),"")</f>
        <v/>
      </c>
      <c r="L4068" s="139">
        <f>IFERROR(IF(ISNUMBER(F4068),F4068-IF(ISNUMBER(K4068),K4068,0),""),"")</f>
        <v/>
      </c>
    </row>
    <row r="4069" ht="24" customHeight="1" s="63">
      <c r="E4069" s="139" t="n"/>
      <c r="F4069" s="139" t="n"/>
      <c r="G4069" s="140">
        <f>IFERROR(IF(E4069&gt;0,(F4069/E4069)*1000,""),"")</f>
        <v/>
      </c>
      <c r="H4069" s="139">
        <f>IFERROR(IF(E4069&gt;0,E4069*IF(ISNUMBER(J4069),J4069,IF(C4069="Futures",$C$6,$C$5)),""),"")</f>
        <v/>
      </c>
      <c r="I4069" s="139">
        <f>IFERROR(IF(AND(ISNUMBER(F4069),ISNUMBER(H4069)),F4069-H4069,""),"")</f>
        <v/>
      </c>
      <c r="J4069" s="114" t="n"/>
      <c r="K4069" s="139">
        <f>IFERROR(IF(H4069&gt;0,H4069*$C$7,""),"")</f>
        <v/>
      </c>
      <c r="L4069" s="139">
        <f>IFERROR(IF(ISNUMBER(F4069),F4069-IF(ISNUMBER(K4069),K4069,0),""),"")</f>
        <v/>
      </c>
    </row>
    <row r="4070" ht="24" customHeight="1" s="63">
      <c r="E4070" s="139" t="n"/>
      <c r="F4070" s="139" t="n"/>
      <c r="G4070" s="140">
        <f>IFERROR(IF(E4070&gt;0,(F4070/E4070)*1000,""),"")</f>
        <v/>
      </c>
      <c r="H4070" s="139">
        <f>IFERROR(IF(E4070&gt;0,E4070*IF(ISNUMBER(J4070),J4070,IF(C4070="Futures",$C$6,$C$5)),""),"")</f>
        <v/>
      </c>
      <c r="I4070" s="139">
        <f>IFERROR(IF(AND(ISNUMBER(F4070),ISNUMBER(H4070)),F4070-H4070,""),"")</f>
        <v/>
      </c>
      <c r="J4070" s="114" t="n"/>
      <c r="K4070" s="139">
        <f>IFERROR(IF(H4070&gt;0,H4070*$C$7,""),"")</f>
        <v/>
      </c>
      <c r="L4070" s="139">
        <f>IFERROR(IF(ISNUMBER(F4070),F4070-IF(ISNUMBER(K4070),K4070,0),""),"")</f>
        <v/>
      </c>
    </row>
    <row r="4071" ht="24" customHeight="1" s="63">
      <c r="E4071" s="139" t="n"/>
      <c r="F4071" s="139" t="n"/>
      <c r="G4071" s="140">
        <f>IFERROR(IF(E4071&gt;0,(F4071/E4071)*1000,""),"")</f>
        <v/>
      </c>
      <c r="H4071" s="139">
        <f>IFERROR(IF(E4071&gt;0,E4071*IF(ISNUMBER(J4071),J4071,IF(C4071="Futures",$C$6,$C$5)),""),"")</f>
        <v/>
      </c>
      <c r="I4071" s="139">
        <f>IFERROR(IF(AND(ISNUMBER(F4071),ISNUMBER(H4071)),F4071-H4071,""),"")</f>
        <v/>
      </c>
      <c r="J4071" s="114" t="n"/>
      <c r="K4071" s="139">
        <f>IFERROR(IF(H4071&gt;0,H4071*$C$7,""),"")</f>
        <v/>
      </c>
      <c r="L4071" s="139">
        <f>IFERROR(IF(ISNUMBER(F4071),F4071-IF(ISNUMBER(K4071),K4071,0),""),"")</f>
        <v/>
      </c>
    </row>
    <row r="4072" ht="24" customHeight="1" s="63">
      <c r="E4072" s="139" t="n"/>
      <c r="F4072" s="139" t="n"/>
      <c r="G4072" s="140">
        <f>IFERROR(IF(E4072&gt;0,(F4072/E4072)*1000,""),"")</f>
        <v/>
      </c>
      <c r="H4072" s="139">
        <f>IFERROR(IF(E4072&gt;0,E4072*IF(ISNUMBER(J4072),J4072,IF(C4072="Futures",$C$6,$C$5)),""),"")</f>
        <v/>
      </c>
      <c r="I4072" s="139">
        <f>IFERROR(IF(AND(ISNUMBER(F4072),ISNUMBER(H4072)),F4072-H4072,""),"")</f>
        <v/>
      </c>
      <c r="J4072" s="114" t="n"/>
      <c r="K4072" s="139">
        <f>IFERROR(IF(H4072&gt;0,H4072*$C$7,""),"")</f>
        <v/>
      </c>
      <c r="L4072" s="139">
        <f>IFERROR(IF(ISNUMBER(F4072),F4072-IF(ISNUMBER(K4072),K4072,0),""),"")</f>
        <v/>
      </c>
    </row>
    <row r="4073" ht="24" customHeight="1" s="63">
      <c r="E4073" s="139" t="n"/>
      <c r="F4073" s="139" t="n"/>
      <c r="G4073" s="140">
        <f>IFERROR(IF(E4073&gt;0,(F4073/E4073)*1000,""),"")</f>
        <v/>
      </c>
      <c r="H4073" s="139">
        <f>IFERROR(IF(E4073&gt;0,E4073*IF(ISNUMBER(J4073),J4073,IF(C4073="Futures",$C$6,$C$5)),""),"")</f>
        <v/>
      </c>
      <c r="I4073" s="139">
        <f>IFERROR(IF(AND(ISNUMBER(F4073),ISNUMBER(H4073)),F4073-H4073,""),"")</f>
        <v/>
      </c>
      <c r="J4073" s="114" t="n"/>
      <c r="K4073" s="139">
        <f>IFERROR(IF(H4073&gt;0,H4073*$C$7,""),"")</f>
        <v/>
      </c>
      <c r="L4073" s="139">
        <f>IFERROR(IF(ISNUMBER(F4073),F4073-IF(ISNUMBER(K4073),K4073,0),""),"")</f>
        <v/>
      </c>
    </row>
    <row r="4074" ht="24" customHeight="1" s="63">
      <c r="E4074" s="139" t="n"/>
      <c r="F4074" s="139" t="n"/>
      <c r="G4074" s="140">
        <f>IFERROR(IF(E4074&gt;0,(F4074/E4074)*1000,""),"")</f>
        <v/>
      </c>
      <c r="H4074" s="139">
        <f>IFERROR(IF(E4074&gt;0,E4074*IF(ISNUMBER(J4074),J4074,IF(C4074="Futures",$C$6,$C$5)),""),"")</f>
        <v/>
      </c>
      <c r="I4074" s="139">
        <f>IFERROR(IF(AND(ISNUMBER(F4074),ISNUMBER(H4074)),F4074-H4074,""),"")</f>
        <v/>
      </c>
      <c r="J4074" s="114" t="n"/>
      <c r="K4074" s="139">
        <f>IFERROR(IF(H4074&gt;0,H4074*$C$7,""),"")</f>
        <v/>
      </c>
      <c r="L4074" s="139">
        <f>IFERROR(IF(ISNUMBER(F4074),F4074-IF(ISNUMBER(K4074),K4074,0),""),"")</f>
        <v/>
      </c>
    </row>
    <row r="4075" ht="24" customHeight="1" s="63">
      <c r="E4075" s="139" t="n"/>
      <c r="F4075" s="139" t="n"/>
      <c r="G4075" s="140">
        <f>IFERROR(IF(E4075&gt;0,(F4075/E4075)*1000,""),"")</f>
        <v/>
      </c>
      <c r="H4075" s="139">
        <f>IFERROR(IF(E4075&gt;0,E4075*IF(ISNUMBER(J4075),J4075,IF(C4075="Futures",$C$6,$C$5)),""),"")</f>
        <v/>
      </c>
      <c r="I4075" s="139">
        <f>IFERROR(IF(AND(ISNUMBER(F4075),ISNUMBER(H4075)),F4075-H4075,""),"")</f>
        <v/>
      </c>
      <c r="J4075" s="114" t="n"/>
      <c r="K4075" s="139">
        <f>IFERROR(IF(H4075&gt;0,H4075*$C$7,""),"")</f>
        <v/>
      </c>
      <c r="L4075" s="139">
        <f>IFERROR(IF(ISNUMBER(F4075),F4075-IF(ISNUMBER(K4075),K4075,0),""),"")</f>
        <v/>
      </c>
    </row>
    <row r="4076" ht="24" customHeight="1" s="63">
      <c r="E4076" s="139" t="n"/>
      <c r="F4076" s="139" t="n"/>
      <c r="G4076" s="140">
        <f>IFERROR(IF(E4076&gt;0,(F4076/E4076)*1000,""),"")</f>
        <v/>
      </c>
      <c r="H4076" s="139">
        <f>IFERROR(IF(E4076&gt;0,E4076*IF(ISNUMBER(J4076),J4076,IF(C4076="Futures",$C$6,$C$5)),""),"")</f>
        <v/>
      </c>
      <c r="I4076" s="139">
        <f>IFERROR(IF(AND(ISNUMBER(F4076),ISNUMBER(H4076)),F4076-H4076,""),"")</f>
        <v/>
      </c>
      <c r="J4076" s="114" t="n"/>
      <c r="K4076" s="139">
        <f>IFERROR(IF(H4076&gt;0,H4076*$C$7,""),"")</f>
        <v/>
      </c>
      <c r="L4076" s="139">
        <f>IFERROR(IF(ISNUMBER(F4076),F4076-IF(ISNUMBER(K4076),K4076,0),""),"")</f>
        <v/>
      </c>
    </row>
    <row r="4077" ht="24" customHeight="1" s="63">
      <c r="E4077" s="139" t="n"/>
      <c r="F4077" s="139" t="n"/>
      <c r="G4077" s="140">
        <f>IFERROR(IF(E4077&gt;0,(F4077/E4077)*1000,""),"")</f>
        <v/>
      </c>
      <c r="H4077" s="139">
        <f>IFERROR(IF(E4077&gt;0,E4077*IF(ISNUMBER(J4077),J4077,IF(C4077="Futures",$C$6,$C$5)),""),"")</f>
        <v/>
      </c>
      <c r="I4077" s="139">
        <f>IFERROR(IF(AND(ISNUMBER(F4077),ISNUMBER(H4077)),F4077-H4077,""),"")</f>
        <v/>
      </c>
      <c r="J4077" s="114" t="n"/>
      <c r="K4077" s="139">
        <f>IFERROR(IF(H4077&gt;0,H4077*$C$7,""),"")</f>
        <v/>
      </c>
      <c r="L4077" s="139">
        <f>IFERROR(IF(ISNUMBER(F4077),F4077-IF(ISNUMBER(K4077),K4077,0),""),"")</f>
        <v/>
      </c>
    </row>
    <row r="4078" ht="24" customHeight="1" s="63">
      <c r="E4078" s="139" t="n"/>
      <c r="F4078" s="139" t="n"/>
      <c r="G4078" s="140">
        <f>IFERROR(IF(E4078&gt;0,(F4078/E4078)*1000,""),"")</f>
        <v/>
      </c>
      <c r="H4078" s="139">
        <f>IFERROR(IF(E4078&gt;0,E4078*IF(ISNUMBER(J4078),J4078,IF(C4078="Futures",$C$6,$C$5)),""),"")</f>
        <v/>
      </c>
      <c r="I4078" s="139">
        <f>IFERROR(IF(AND(ISNUMBER(F4078),ISNUMBER(H4078)),F4078-H4078,""),"")</f>
        <v/>
      </c>
      <c r="J4078" s="114" t="n"/>
      <c r="K4078" s="139">
        <f>IFERROR(IF(H4078&gt;0,H4078*$C$7,""),"")</f>
        <v/>
      </c>
      <c r="L4078" s="139">
        <f>IFERROR(IF(ISNUMBER(F4078),F4078-IF(ISNUMBER(K4078),K4078,0),""),"")</f>
        <v/>
      </c>
    </row>
    <row r="4079" ht="24" customHeight="1" s="63">
      <c r="E4079" s="139" t="n"/>
      <c r="F4079" s="139" t="n"/>
      <c r="G4079" s="140">
        <f>IFERROR(IF(E4079&gt;0,(F4079/E4079)*1000,""),"")</f>
        <v/>
      </c>
      <c r="H4079" s="139">
        <f>IFERROR(IF(E4079&gt;0,E4079*IF(ISNUMBER(J4079),J4079,IF(C4079="Futures",$C$6,$C$5)),""),"")</f>
        <v/>
      </c>
      <c r="I4079" s="139">
        <f>IFERROR(IF(AND(ISNUMBER(F4079),ISNUMBER(H4079)),F4079-H4079,""),"")</f>
        <v/>
      </c>
      <c r="J4079" s="114" t="n"/>
      <c r="K4079" s="139">
        <f>IFERROR(IF(H4079&gt;0,H4079*$C$7,""),"")</f>
        <v/>
      </c>
      <c r="L4079" s="139">
        <f>IFERROR(IF(ISNUMBER(F4079),F4079-IF(ISNUMBER(K4079),K4079,0),""),"")</f>
        <v/>
      </c>
    </row>
    <row r="4080" ht="24" customHeight="1" s="63">
      <c r="E4080" s="139" t="n"/>
      <c r="F4080" s="139" t="n"/>
      <c r="G4080" s="140">
        <f>IFERROR(IF(E4080&gt;0,(F4080/E4080)*1000,""),"")</f>
        <v/>
      </c>
      <c r="H4080" s="139">
        <f>IFERROR(IF(E4080&gt;0,E4080*IF(ISNUMBER(J4080),J4080,IF(C4080="Futures",$C$6,$C$5)),""),"")</f>
        <v/>
      </c>
      <c r="I4080" s="139">
        <f>IFERROR(IF(AND(ISNUMBER(F4080),ISNUMBER(H4080)),F4080-H4080,""),"")</f>
        <v/>
      </c>
      <c r="J4080" s="114" t="n"/>
      <c r="K4080" s="139">
        <f>IFERROR(IF(H4080&gt;0,H4080*$C$7,""),"")</f>
        <v/>
      </c>
      <c r="L4080" s="139">
        <f>IFERROR(IF(ISNUMBER(F4080),F4080-IF(ISNUMBER(K4080),K4080,0),""),"")</f>
        <v/>
      </c>
    </row>
    <row r="4081" ht="24" customHeight="1" s="63">
      <c r="E4081" s="139" t="n"/>
      <c r="F4081" s="139" t="n"/>
      <c r="G4081" s="140">
        <f>IFERROR(IF(E4081&gt;0,(F4081/E4081)*1000,""),"")</f>
        <v/>
      </c>
      <c r="H4081" s="139">
        <f>IFERROR(IF(E4081&gt;0,E4081*IF(ISNUMBER(J4081),J4081,IF(C4081="Futures",$C$6,$C$5)),""),"")</f>
        <v/>
      </c>
      <c r="I4081" s="139">
        <f>IFERROR(IF(AND(ISNUMBER(F4081),ISNUMBER(H4081)),F4081-H4081,""),"")</f>
        <v/>
      </c>
      <c r="J4081" s="114" t="n"/>
      <c r="K4081" s="139">
        <f>IFERROR(IF(H4081&gt;0,H4081*$C$7,""),"")</f>
        <v/>
      </c>
      <c r="L4081" s="139">
        <f>IFERROR(IF(ISNUMBER(F4081),F4081-IF(ISNUMBER(K4081),K4081,0),""),"")</f>
        <v/>
      </c>
    </row>
    <row r="4082" ht="24" customHeight="1" s="63">
      <c r="E4082" s="139" t="n"/>
      <c r="F4082" s="139" t="n"/>
      <c r="G4082" s="140">
        <f>IFERROR(IF(E4082&gt;0,(F4082/E4082)*1000,""),"")</f>
        <v/>
      </c>
      <c r="H4082" s="139">
        <f>IFERROR(IF(E4082&gt;0,E4082*IF(ISNUMBER(J4082),J4082,IF(C4082="Futures",$C$6,$C$5)),""),"")</f>
        <v/>
      </c>
      <c r="I4082" s="139">
        <f>IFERROR(IF(AND(ISNUMBER(F4082),ISNUMBER(H4082)),F4082-H4082,""),"")</f>
        <v/>
      </c>
      <c r="J4082" s="114" t="n"/>
      <c r="K4082" s="139">
        <f>IFERROR(IF(H4082&gt;0,H4082*$C$7,""),"")</f>
        <v/>
      </c>
      <c r="L4082" s="139">
        <f>IFERROR(IF(ISNUMBER(F4082),F4082-IF(ISNUMBER(K4082),K4082,0),""),"")</f>
        <v/>
      </c>
    </row>
    <row r="4083" ht="24" customHeight="1" s="63">
      <c r="E4083" s="139" t="n"/>
      <c r="F4083" s="139" t="n"/>
      <c r="G4083" s="140">
        <f>IFERROR(IF(E4083&gt;0,(F4083/E4083)*1000,""),"")</f>
        <v/>
      </c>
      <c r="H4083" s="139">
        <f>IFERROR(IF(E4083&gt;0,E4083*IF(ISNUMBER(J4083),J4083,IF(C4083="Futures",$C$6,$C$5)),""),"")</f>
        <v/>
      </c>
      <c r="I4083" s="139">
        <f>IFERROR(IF(AND(ISNUMBER(F4083),ISNUMBER(H4083)),F4083-H4083,""),"")</f>
        <v/>
      </c>
      <c r="J4083" s="114" t="n"/>
      <c r="K4083" s="139">
        <f>IFERROR(IF(H4083&gt;0,H4083*$C$7,""),"")</f>
        <v/>
      </c>
      <c r="L4083" s="139">
        <f>IFERROR(IF(ISNUMBER(F4083),F4083-IF(ISNUMBER(K4083),K4083,0),""),"")</f>
        <v/>
      </c>
    </row>
    <row r="4084" ht="24" customHeight="1" s="63">
      <c r="E4084" s="139" t="n"/>
      <c r="F4084" s="139" t="n"/>
      <c r="G4084" s="140">
        <f>IFERROR(IF(E4084&gt;0,(F4084/E4084)*1000,""),"")</f>
        <v/>
      </c>
      <c r="H4084" s="139">
        <f>IFERROR(IF(E4084&gt;0,E4084*IF(ISNUMBER(J4084),J4084,IF(C4084="Futures",$C$6,$C$5)),""),"")</f>
        <v/>
      </c>
      <c r="I4084" s="139">
        <f>IFERROR(IF(AND(ISNUMBER(F4084),ISNUMBER(H4084)),F4084-H4084,""),"")</f>
        <v/>
      </c>
      <c r="J4084" s="114" t="n"/>
      <c r="K4084" s="139">
        <f>IFERROR(IF(H4084&gt;0,H4084*$C$7,""),"")</f>
        <v/>
      </c>
      <c r="L4084" s="139">
        <f>IFERROR(IF(ISNUMBER(F4084),F4084-IF(ISNUMBER(K4084),K4084,0),""),"")</f>
        <v/>
      </c>
    </row>
    <row r="4085" ht="24" customHeight="1" s="63">
      <c r="E4085" s="139" t="n"/>
      <c r="F4085" s="139" t="n"/>
      <c r="G4085" s="140">
        <f>IFERROR(IF(E4085&gt;0,(F4085/E4085)*1000,""),"")</f>
        <v/>
      </c>
      <c r="H4085" s="139">
        <f>IFERROR(IF(E4085&gt;0,E4085*IF(ISNUMBER(J4085),J4085,IF(C4085="Futures",$C$6,$C$5)),""),"")</f>
        <v/>
      </c>
      <c r="I4085" s="139">
        <f>IFERROR(IF(AND(ISNUMBER(F4085),ISNUMBER(H4085)),F4085-H4085,""),"")</f>
        <v/>
      </c>
      <c r="J4085" s="114" t="n"/>
      <c r="K4085" s="139">
        <f>IFERROR(IF(H4085&gt;0,H4085*$C$7,""),"")</f>
        <v/>
      </c>
      <c r="L4085" s="139">
        <f>IFERROR(IF(ISNUMBER(F4085),F4085-IF(ISNUMBER(K4085),K4085,0),""),"")</f>
        <v/>
      </c>
    </row>
    <row r="4086" ht="24" customHeight="1" s="63">
      <c r="E4086" s="139" t="n"/>
      <c r="F4086" s="139" t="n"/>
      <c r="G4086" s="140">
        <f>IFERROR(IF(E4086&gt;0,(F4086/E4086)*1000,""),"")</f>
        <v/>
      </c>
      <c r="H4086" s="139">
        <f>IFERROR(IF(E4086&gt;0,E4086*IF(ISNUMBER(J4086),J4086,IF(C4086="Futures",$C$6,$C$5)),""),"")</f>
        <v/>
      </c>
      <c r="I4086" s="139">
        <f>IFERROR(IF(AND(ISNUMBER(F4086),ISNUMBER(H4086)),F4086-H4086,""),"")</f>
        <v/>
      </c>
      <c r="J4086" s="114" t="n"/>
      <c r="K4086" s="139">
        <f>IFERROR(IF(H4086&gt;0,H4086*$C$7,""),"")</f>
        <v/>
      </c>
      <c r="L4086" s="139">
        <f>IFERROR(IF(ISNUMBER(F4086),F4086-IF(ISNUMBER(K4086),K4086,0),""),"")</f>
        <v/>
      </c>
    </row>
    <row r="4087" ht="24" customHeight="1" s="63">
      <c r="E4087" s="139" t="n"/>
      <c r="F4087" s="139" t="n"/>
      <c r="G4087" s="140">
        <f>IFERROR(IF(E4087&gt;0,(F4087/E4087)*1000,""),"")</f>
        <v/>
      </c>
      <c r="H4087" s="139">
        <f>IFERROR(IF(E4087&gt;0,E4087*IF(ISNUMBER(J4087),J4087,IF(C4087="Futures",$C$6,$C$5)),""),"")</f>
        <v/>
      </c>
      <c r="I4087" s="139">
        <f>IFERROR(IF(AND(ISNUMBER(F4087),ISNUMBER(H4087)),F4087-H4087,""),"")</f>
        <v/>
      </c>
      <c r="J4087" s="114" t="n"/>
      <c r="K4087" s="139">
        <f>IFERROR(IF(H4087&gt;0,H4087*$C$7,""),"")</f>
        <v/>
      </c>
      <c r="L4087" s="139">
        <f>IFERROR(IF(ISNUMBER(F4087),F4087-IF(ISNUMBER(K4087),K4087,0),""),"")</f>
        <v/>
      </c>
    </row>
    <row r="4088" ht="24" customHeight="1" s="63">
      <c r="E4088" s="139" t="n"/>
      <c r="F4088" s="139" t="n"/>
      <c r="G4088" s="140">
        <f>IFERROR(IF(E4088&gt;0,(F4088/E4088)*1000,""),"")</f>
        <v/>
      </c>
      <c r="H4088" s="139">
        <f>IFERROR(IF(E4088&gt;0,E4088*IF(ISNUMBER(J4088),J4088,IF(C4088="Futures",$C$6,$C$5)),""),"")</f>
        <v/>
      </c>
      <c r="I4088" s="139">
        <f>IFERROR(IF(AND(ISNUMBER(F4088),ISNUMBER(H4088)),F4088-H4088,""),"")</f>
        <v/>
      </c>
      <c r="J4088" s="114" t="n"/>
      <c r="K4088" s="139">
        <f>IFERROR(IF(H4088&gt;0,H4088*$C$7,""),"")</f>
        <v/>
      </c>
      <c r="L4088" s="139">
        <f>IFERROR(IF(ISNUMBER(F4088),F4088-IF(ISNUMBER(K4088),K4088,0),""),"")</f>
        <v/>
      </c>
    </row>
    <row r="4089" ht="24" customHeight="1" s="63">
      <c r="E4089" s="139" t="n"/>
      <c r="F4089" s="139" t="n"/>
      <c r="G4089" s="140">
        <f>IFERROR(IF(E4089&gt;0,(F4089/E4089)*1000,""),"")</f>
        <v/>
      </c>
      <c r="H4089" s="139">
        <f>IFERROR(IF(E4089&gt;0,E4089*IF(ISNUMBER(J4089),J4089,IF(C4089="Futures",$C$6,$C$5)),""),"")</f>
        <v/>
      </c>
      <c r="I4089" s="139">
        <f>IFERROR(IF(AND(ISNUMBER(F4089),ISNUMBER(H4089)),F4089-H4089,""),"")</f>
        <v/>
      </c>
      <c r="J4089" s="114" t="n"/>
      <c r="K4089" s="139">
        <f>IFERROR(IF(H4089&gt;0,H4089*$C$7,""),"")</f>
        <v/>
      </c>
      <c r="L4089" s="139">
        <f>IFERROR(IF(ISNUMBER(F4089),F4089-IF(ISNUMBER(K4089),K4089,0),""),"")</f>
        <v/>
      </c>
    </row>
    <row r="4090" ht="24" customHeight="1" s="63">
      <c r="E4090" s="139" t="n"/>
      <c r="F4090" s="139" t="n"/>
      <c r="G4090" s="140">
        <f>IFERROR(IF(E4090&gt;0,(F4090/E4090)*1000,""),"")</f>
        <v/>
      </c>
      <c r="H4090" s="139">
        <f>IFERROR(IF(E4090&gt;0,E4090*IF(ISNUMBER(J4090),J4090,IF(C4090="Futures",$C$6,$C$5)),""),"")</f>
        <v/>
      </c>
      <c r="I4090" s="139">
        <f>IFERROR(IF(AND(ISNUMBER(F4090),ISNUMBER(H4090)),F4090-H4090,""),"")</f>
        <v/>
      </c>
      <c r="J4090" s="114" t="n"/>
      <c r="K4090" s="139">
        <f>IFERROR(IF(H4090&gt;0,H4090*$C$7,""),"")</f>
        <v/>
      </c>
      <c r="L4090" s="139">
        <f>IFERROR(IF(ISNUMBER(F4090),F4090-IF(ISNUMBER(K4090),K4090,0),""),"")</f>
        <v/>
      </c>
    </row>
    <row r="4091" ht="24" customHeight="1" s="63">
      <c r="E4091" s="139" t="n"/>
      <c r="F4091" s="139" t="n"/>
      <c r="G4091" s="140">
        <f>IFERROR(IF(E4091&gt;0,(F4091/E4091)*1000,""),"")</f>
        <v/>
      </c>
      <c r="H4091" s="139">
        <f>IFERROR(IF(E4091&gt;0,E4091*IF(ISNUMBER(J4091),J4091,IF(C4091="Futures",$C$6,$C$5)),""),"")</f>
        <v/>
      </c>
      <c r="I4091" s="139">
        <f>IFERROR(IF(AND(ISNUMBER(F4091),ISNUMBER(H4091)),F4091-H4091,""),"")</f>
        <v/>
      </c>
      <c r="J4091" s="114" t="n"/>
      <c r="K4091" s="139">
        <f>IFERROR(IF(H4091&gt;0,H4091*$C$7,""),"")</f>
        <v/>
      </c>
      <c r="L4091" s="139">
        <f>IFERROR(IF(ISNUMBER(F4091),F4091-IF(ISNUMBER(K4091),K4091,0),""),"")</f>
        <v/>
      </c>
    </row>
    <row r="4092" ht="24" customHeight="1" s="63">
      <c r="E4092" s="139" t="n"/>
      <c r="F4092" s="139" t="n"/>
      <c r="G4092" s="140">
        <f>IFERROR(IF(E4092&gt;0,(F4092/E4092)*1000,""),"")</f>
        <v/>
      </c>
      <c r="H4092" s="139">
        <f>IFERROR(IF(E4092&gt;0,E4092*IF(ISNUMBER(J4092),J4092,IF(C4092="Futures",$C$6,$C$5)),""),"")</f>
        <v/>
      </c>
      <c r="I4092" s="139">
        <f>IFERROR(IF(AND(ISNUMBER(F4092),ISNUMBER(H4092)),F4092-H4092,""),"")</f>
        <v/>
      </c>
      <c r="J4092" s="114" t="n"/>
      <c r="K4092" s="139">
        <f>IFERROR(IF(H4092&gt;0,H4092*$C$7,""),"")</f>
        <v/>
      </c>
      <c r="L4092" s="139">
        <f>IFERROR(IF(ISNUMBER(F4092),F4092-IF(ISNUMBER(K4092),K4092,0),""),"")</f>
        <v/>
      </c>
    </row>
    <row r="4093" ht="24" customHeight="1" s="63">
      <c r="E4093" s="139" t="n"/>
      <c r="F4093" s="139" t="n"/>
      <c r="G4093" s="140">
        <f>IFERROR(IF(E4093&gt;0,(F4093/E4093)*1000,""),"")</f>
        <v/>
      </c>
      <c r="H4093" s="139">
        <f>IFERROR(IF(E4093&gt;0,E4093*IF(ISNUMBER(J4093),J4093,IF(C4093="Futures",$C$6,$C$5)),""),"")</f>
        <v/>
      </c>
      <c r="I4093" s="139">
        <f>IFERROR(IF(AND(ISNUMBER(F4093),ISNUMBER(H4093)),F4093-H4093,""),"")</f>
        <v/>
      </c>
      <c r="J4093" s="114" t="n"/>
      <c r="K4093" s="139">
        <f>IFERROR(IF(H4093&gt;0,H4093*$C$7,""),"")</f>
        <v/>
      </c>
      <c r="L4093" s="139">
        <f>IFERROR(IF(ISNUMBER(F4093),F4093-IF(ISNUMBER(K4093),K4093,0),""),"")</f>
        <v/>
      </c>
    </row>
    <row r="4094" ht="24" customHeight="1" s="63">
      <c r="E4094" s="139" t="n"/>
      <c r="F4094" s="139" t="n"/>
      <c r="G4094" s="140">
        <f>IFERROR(IF(E4094&gt;0,(F4094/E4094)*1000,""),"")</f>
        <v/>
      </c>
      <c r="H4094" s="139">
        <f>IFERROR(IF(E4094&gt;0,E4094*IF(ISNUMBER(J4094),J4094,IF(C4094="Futures",$C$6,$C$5)),""),"")</f>
        <v/>
      </c>
      <c r="I4094" s="139">
        <f>IFERROR(IF(AND(ISNUMBER(F4094),ISNUMBER(H4094)),F4094-H4094,""),"")</f>
        <v/>
      </c>
      <c r="J4094" s="114" t="n"/>
      <c r="K4094" s="139">
        <f>IFERROR(IF(H4094&gt;0,H4094*$C$7,""),"")</f>
        <v/>
      </c>
      <c r="L4094" s="139">
        <f>IFERROR(IF(ISNUMBER(F4094),F4094-IF(ISNUMBER(K4094),K4094,0),""),"")</f>
        <v/>
      </c>
    </row>
    <row r="4095" ht="24" customHeight="1" s="63">
      <c r="E4095" s="139" t="n"/>
      <c r="F4095" s="139" t="n"/>
      <c r="G4095" s="140">
        <f>IFERROR(IF(E4095&gt;0,(F4095/E4095)*1000,""),"")</f>
        <v/>
      </c>
      <c r="H4095" s="139">
        <f>IFERROR(IF(E4095&gt;0,E4095*IF(ISNUMBER(J4095),J4095,IF(C4095="Futures",$C$6,$C$5)),""),"")</f>
        <v/>
      </c>
      <c r="I4095" s="139">
        <f>IFERROR(IF(AND(ISNUMBER(F4095),ISNUMBER(H4095)),F4095-H4095,""),"")</f>
        <v/>
      </c>
      <c r="J4095" s="114" t="n"/>
      <c r="K4095" s="139">
        <f>IFERROR(IF(H4095&gt;0,H4095*$C$7,""),"")</f>
        <v/>
      </c>
      <c r="L4095" s="139">
        <f>IFERROR(IF(ISNUMBER(F4095),F4095-IF(ISNUMBER(K4095),K4095,0),""),"")</f>
        <v/>
      </c>
    </row>
    <row r="4096" ht="24" customHeight="1" s="63">
      <c r="E4096" s="139" t="n"/>
      <c r="F4096" s="139" t="n"/>
      <c r="G4096" s="140">
        <f>IFERROR(IF(E4096&gt;0,(F4096/E4096)*1000,""),"")</f>
        <v/>
      </c>
      <c r="H4096" s="139">
        <f>IFERROR(IF(E4096&gt;0,E4096*IF(ISNUMBER(J4096),J4096,IF(C4096="Futures",$C$6,$C$5)),""),"")</f>
        <v/>
      </c>
      <c r="I4096" s="139">
        <f>IFERROR(IF(AND(ISNUMBER(F4096),ISNUMBER(H4096)),F4096-H4096,""),"")</f>
        <v/>
      </c>
      <c r="J4096" s="114" t="n"/>
      <c r="K4096" s="139">
        <f>IFERROR(IF(H4096&gt;0,H4096*$C$7,""),"")</f>
        <v/>
      </c>
      <c r="L4096" s="139">
        <f>IFERROR(IF(ISNUMBER(F4096),F4096-IF(ISNUMBER(K4096),K4096,0),""),"")</f>
        <v/>
      </c>
    </row>
    <row r="4097" ht="24" customHeight="1" s="63">
      <c r="E4097" s="139" t="n"/>
      <c r="F4097" s="139" t="n"/>
      <c r="G4097" s="140">
        <f>IFERROR(IF(E4097&gt;0,(F4097/E4097)*1000,""),"")</f>
        <v/>
      </c>
      <c r="H4097" s="139">
        <f>IFERROR(IF(E4097&gt;0,E4097*IF(ISNUMBER(J4097),J4097,IF(C4097="Futures",$C$6,$C$5)),""),"")</f>
        <v/>
      </c>
      <c r="I4097" s="139">
        <f>IFERROR(IF(AND(ISNUMBER(F4097),ISNUMBER(H4097)),F4097-H4097,""),"")</f>
        <v/>
      </c>
      <c r="J4097" s="114" t="n"/>
      <c r="K4097" s="139">
        <f>IFERROR(IF(H4097&gt;0,H4097*$C$7,""),"")</f>
        <v/>
      </c>
      <c r="L4097" s="139">
        <f>IFERROR(IF(ISNUMBER(F4097),F4097-IF(ISNUMBER(K4097),K4097,0),""),"")</f>
        <v/>
      </c>
    </row>
    <row r="4098" ht="24" customHeight="1" s="63">
      <c r="E4098" s="139" t="n"/>
      <c r="F4098" s="139" t="n"/>
      <c r="G4098" s="140">
        <f>IFERROR(IF(E4098&gt;0,(F4098/E4098)*1000,""),"")</f>
        <v/>
      </c>
      <c r="H4098" s="139">
        <f>IFERROR(IF(E4098&gt;0,E4098*IF(ISNUMBER(J4098),J4098,IF(C4098="Futures",$C$6,$C$5)),""),"")</f>
        <v/>
      </c>
      <c r="I4098" s="139">
        <f>IFERROR(IF(AND(ISNUMBER(F4098),ISNUMBER(H4098)),F4098-H4098,""),"")</f>
        <v/>
      </c>
      <c r="J4098" s="114" t="n"/>
      <c r="K4098" s="139">
        <f>IFERROR(IF(H4098&gt;0,H4098*$C$7,""),"")</f>
        <v/>
      </c>
      <c r="L4098" s="139">
        <f>IFERROR(IF(ISNUMBER(F4098),F4098-IF(ISNUMBER(K4098),K4098,0),""),"")</f>
        <v/>
      </c>
    </row>
    <row r="4099" ht="24" customHeight="1" s="63">
      <c r="E4099" s="139" t="n"/>
      <c r="F4099" s="139" t="n"/>
      <c r="G4099" s="140">
        <f>IFERROR(IF(E4099&gt;0,(F4099/E4099)*1000,""),"")</f>
        <v/>
      </c>
      <c r="H4099" s="139">
        <f>IFERROR(IF(E4099&gt;0,E4099*IF(ISNUMBER(J4099),J4099,IF(C4099="Futures",$C$6,$C$5)),""),"")</f>
        <v/>
      </c>
      <c r="I4099" s="139">
        <f>IFERROR(IF(AND(ISNUMBER(F4099),ISNUMBER(H4099)),F4099-H4099,""),"")</f>
        <v/>
      </c>
      <c r="J4099" s="114" t="n"/>
      <c r="K4099" s="139">
        <f>IFERROR(IF(H4099&gt;0,H4099*$C$7,""),"")</f>
        <v/>
      </c>
      <c r="L4099" s="139">
        <f>IFERROR(IF(ISNUMBER(F4099),F4099-IF(ISNUMBER(K4099),K4099,0),""),"")</f>
        <v/>
      </c>
    </row>
    <row r="4100" ht="24" customHeight="1" s="63">
      <c r="E4100" s="139" t="n"/>
      <c r="F4100" s="139" t="n"/>
      <c r="G4100" s="140">
        <f>IFERROR(IF(E4100&gt;0,(F4100/E4100)*1000,""),"")</f>
        <v/>
      </c>
      <c r="H4100" s="139">
        <f>IFERROR(IF(E4100&gt;0,E4100*IF(ISNUMBER(J4100),J4100,IF(C4100="Futures",$C$6,$C$5)),""),"")</f>
        <v/>
      </c>
      <c r="I4100" s="139">
        <f>IFERROR(IF(AND(ISNUMBER(F4100),ISNUMBER(H4100)),F4100-H4100,""),"")</f>
        <v/>
      </c>
      <c r="J4100" s="114" t="n"/>
      <c r="K4100" s="139">
        <f>IFERROR(IF(H4100&gt;0,H4100*$C$7,""),"")</f>
        <v/>
      </c>
      <c r="L4100" s="139">
        <f>IFERROR(IF(ISNUMBER(F4100),F4100-IF(ISNUMBER(K4100),K4100,0),""),"")</f>
        <v/>
      </c>
    </row>
    <row r="4101" ht="24" customHeight="1" s="63">
      <c r="E4101" s="139" t="n"/>
      <c r="F4101" s="139" t="n"/>
      <c r="G4101" s="140">
        <f>IFERROR(IF(E4101&gt;0,(F4101/E4101)*1000,""),"")</f>
        <v/>
      </c>
      <c r="H4101" s="139">
        <f>IFERROR(IF(E4101&gt;0,E4101*IF(ISNUMBER(J4101),J4101,IF(C4101="Futures",$C$6,$C$5)),""),"")</f>
        <v/>
      </c>
      <c r="I4101" s="139">
        <f>IFERROR(IF(AND(ISNUMBER(F4101),ISNUMBER(H4101)),F4101-H4101,""),"")</f>
        <v/>
      </c>
      <c r="J4101" s="114" t="n"/>
      <c r="K4101" s="139">
        <f>IFERROR(IF(H4101&gt;0,H4101*$C$7,""),"")</f>
        <v/>
      </c>
      <c r="L4101" s="139">
        <f>IFERROR(IF(ISNUMBER(F4101),F4101-IF(ISNUMBER(K4101),K4101,0),""),"")</f>
        <v/>
      </c>
    </row>
    <row r="4102" ht="24" customHeight="1" s="63">
      <c r="E4102" s="139" t="n"/>
      <c r="F4102" s="139" t="n"/>
      <c r="G4102" s="140">
        <f>IFERROR(IF(E4102&gt;0,(F4102/E4102)*1000,""),"")</f>
        <v/>
      </c>
      <c r="H4102" s="139">
        <f>IFERROR(IF(E4102&gt;0,E4102*IF(ISNUMBER(J4102),J4102,IF(C4102="Futures",$C$6,$C$5)),""),"")</f>
        <v/>
      </c>
      <c r="I4102" s="139">
        <f>IFERROR(IF(AND(ISNUMBER(F4102),ISNUMBER(H4102)),F4102-H4102,""),"")</f>
        <v/>
      </c>
      <c r="J4102" s="114" t="n"/>
      <c r="K4102" s="139">
        <f>IFERROR(IF(H4102&gt;0,H4102*$C$7,""),"")</f>
        <v/>
      </c>
      <c r="L4102" s="139">
        <f>IFERROR(IF(ISNUMBER(F4102),F4102-IF(ISNUMBER(K4102),K4102,0),""),"")</f>
        <v/>
      </c>
    </row>
    <row r="4103" ht="24" customHeight="1" s="63">
      <c r="E4103" s="139" t="n"/>
      <c r="F4103" s="139" t="n"/>
      <c r="G4103" s="140">
        <f>IFERROR(IF(E4103&gt;0,(F4103/E4103)*1000,""),"")</f>
        <v/>
      </c>
      <c r="H4103" s="139">
        <f>IFERROR(IF(E4103&gt;0,E4103*IF(ISNUMBER(J4103),J4103,IF(C4103="Futures",$C$6,$C$5)),""),"")</f>
        <v/>
      </c>
      <c r="I4103" s="139">
        <f>IFERROR(IF(AND(ISNUMBER(F4103),ISNUMBER(H4103)),F4103-H4103,""),"")</f>
        <v/>
      </c>
      <c r="J4103" s="114" t="n"/>
      <c r="K4103" s="139">
        <f>IFERROR(IF(H4103&gt;0,H4103*$C$7,""),"")</f>
        <v/>
      </c>
      <c r="L4103" s="139">
        <f>IFERROR(IF(ISNUMBER(F4103),F4103-IF(ISNUMBER(K4103),K4103,0),""),"")</f>
        <v/>
      </c>
    </row>
    <row r="4104" ht="24" customHeight="1" s="63">
      <c r="E4104" s="139" t="n"/>
      <c r="F4104" s="139" t="n"/>
      <c r="G4104" s="140">
        <f>IFERROR(IF(E4104&gt;0,(F4104/E4104)*1000,""),"")</f>
        <v/>
      </c>
      <c r="H4104" s="139">
        <f>IFERROR(IF(E4104&gt;0,E4104*IF(ISNUMBER(J4104),J4104,IF(C4104="Futures",$C$6,$C$5)),""),"")</f>
        <v/>
      </c>
      <c r="I4104" s="139">
        <f>IFERROR(IF(AND(ISNUMBER(F4104),ISNUMBER(H4104)),F4104-H4104,""),"")</f>
        <v/>
      </c>
      <c r="J4104" s="114" t="n"/>
      <c r="K4104" s="139">
        <f>IFERROR(IF(H4104&gt;0,H4104*$C$7,""),"")</f>
        <v/>
      </c>
      <c r="L4104" s="139">
        <f>IFERROR(IF(ISNUMBER(F4104),F4104-IF(ISNUMBER(K4104),K4104,0),""),"")</f>
        <v/>
      </c>
    </row>
    <row r="4105" ht="24" customHeight="1" s="63">
      <c r="E4105" s="139" t="n"/>
      <c r="F4105" s="139" t="n"/>
      <c r="G4105" s="140">
        <f>IFERROR(IF(E4105&gt;0,(F4105/E4105)*1000,""),"")</f>
        <v/>
      </c>
      <c r="H4105" s="139">
        <f>IFERROR(IF(E4105&gt;0,E4105*IF(ISNUMBER(J4105),J4105,IF(C4105="Futures",$C$6,$C$5)),""),"")</f>
        <v/>
      </c>
      <c r="I4105" s="139">
        <f>IFERROR(IF(AND(ISNUMBER(F4105),ISNUMBER(H4105)),F4105-H4105,""),"")</f>
        <v/>
      </c>
      <c r="J4105" s="114" t="n"/>
      <c r="K4105" s="139">
        <f>IFERROR(IF(H4105&gt;0,H4105*$C$7,""),"")</f>
        <v/>
      </c>
      <c r="L4105" s="139">
        <f>IFERROR(IF(ISNUMBER(F4105),F4105-IF(ISNUMBER(K4105),K4105,0),""),"")</f>
        <v/>
      </c>
    </row>
    <row r="4106" ht="24" customHeight="1" s="63">
      <c r="E4106" s="139" t="n"/>
      <c r="F4106" s="139" t="n"/>
      <c r="G4106" s="140">
        <f>IFERROR(IF(E4106&gt;0,(F4106/E4106)*1000,""),"")</f>
        <v/>
      </c>
      <c r="H4106" s="139">
        <f>IFERROR(IF(E4106&gt;0,E4106*IF(ISNUMBER(J4106),J4106,IF(C4106="Futures",$C$6,$C$5)),""),"")</f>
        <v/>
      </c>
      <c r="I4106" s="139">
        <f>IFERROR(IF(AND(ISNUMBER(F4106),ISNUMBER(H4106)),F4106-H4106,""),"")</f>
        <v/>
      </c>
      <c r="J4106" s="114" t="n"/>
      <c r="K4106" s="139">
        <f>IFERROR(IF(H4106&gt;0,H4106*$C$7,""),"")</f>
        <v/>
      </c>
      <c r="L4106" s="139">
        <f>IFERROR(IF(ISNUMBER(F4106),F4106-IF(ISNUMBER(K4106),K4106,0),""),"")</f>
        <v/>
      </c>
    </row>
    <row r="4107" ht="24" customHeight="1" s="63">
      <c r="E4107" s="139" t="n"/>
      <c r="F4107" s="139" t="n"/>
      <c r="G4107" s="140">
        <f>IFERROR(IF(E4107&gt;0,(F4107/E4107)*1000,""),"")</f>
        <v/>
      </c>
      <c r="H4107" s="139">
        <f>IFERROR(IF(E4107&gt;0,E4107*IF(ISNUMBER(J4107),J4107,IF(C4107="Futures",$C$6,$C$5)),""),"")</f>
        <v/>
      </c>
      <c r="I4107" s="139">
        <f>IFERROR(IF(AND(ISNUMBER(F4107),ISNUMBER(H4107)),F4107-H4107,""),"")</f>
        <v/>
      </c>
      <c r="J4107" s="114" t="n"/>
      <c r="K4107" s="139">
        <f>IFERROR(IF(H4107&gt;0,H4107*$C$7,""),"")</f>
        <v/>
      </c>
      <c r="L4107" s="139">
        <f>IFERROR(IF(ISNUMBER(F4107),F4107-IF(ISNUMBER(K4107),K4107,0),""),"")</f>
        <v/>
      </c>
    </row>
    <row r="4108" ht="24" customHeight="1" s="63">
      <c r="E4108" s="139" t="n"/>
      <c r="F4108" s="139" t="n"/>
      <c r="G4108" s="140">
        <f>IFERROR(IF(E4108&gt;0,(F4108/E4108)*1000,""),"")</f>
        <v/>
      </c>
      <c r="H4108" s="139">
        <f>IFERROR(IF(E4108&gt;0,E4108*IF(ISNUMBER(J4108),J4108,IF(C4108="Futures",$C$6,$C$5)),""),"")</f>
        <v/>
      </c>
      <c r="I4108" s="139">
        <f>IFERROR(IF(AND(ISNUMBER(F4108),ISNUMBER(H4108)),F4108-H4108,""),"")</f>
        <v/>
      </c>
      <c r="J4108" s="114" t="n"/>
      <c r="K4108" s="139">
        <f>IFERROR(IF(H4108&gt;0,H4108*$C$7,""),"")</f>
        <v/>
      </c>
      <c r="L4108" s="139">
        <f>IFERROR(IF(ISNUMBER(F4108),F4108-IF(ISNUMBER(K4108),K4108,0),""),"")</f>
        <v/>
      </c>
    </row>
    <row r="4109" ht="24" customHeight="1" s="63">
      <c r="E4109" s="139" t="n"/>
      <c r="F4109" s="139" t="n"/>
      <c r="G4109" s="140">
        <f>IFERROR(IF(E4109&gt;0,(F4109/E4109)*1000,""),"")</f>
        <v/>
      </c>
      <c r="H4109" s="139">
        <f>IFERROR(IF(E4109&gt;0,E4109*IF(ISNUMBER(J4109),J4109,IF(C4109="Futures",$C$6,$C$5)),""),"")</f>
        <v/>
      </c>
      <c r="I4109" s="139">
        <f>IFERROR(IF(AND(ISNUMBER(F4109),ISNUMBER(H4109)),F4109-H4109,""),"")</f>
        <v/>
      </c>
      <c r="J4109" s="114" t="n"/>
      <c r="K4109" s="139">
        <f>IFERROR(IF(H4109&gt;0,H4109*$C$7,""),"")</f>
        <v/>
      </c>
      <c r="L4109" s="139">
        <f>IFERROR(IF(ISNUMBER(F4109),F4109-IF(ISNUMBER(K4109),K4109,0),""),"")</f>
        <v/>
      </c>
    </row>
    <row r="4110" ht="24" customHeight="1" s="63">
      <c r="E4110" s="139" t="n"/>
      <c r="F4110" s="139" t="n"/>
      <c r="G4110" s="140">
        <f>IFERROR(IF(E4110&gt;0,(F4110/E4110)*1000,""),"")</f>
        <v/>
      </c>
      <c r="H4110" s="139">
        <f>IFERROR(IF(E4110&gt;0,E4110*IF(ISNUMBER(J4110),J4110,IF(C4110="Futures",$C$6,$C$5)),""),"")</f>
        <v/>
      </c>
      <c r="I4110" s="139">
        <f>IFERROR(IF(AND(ISNUMBER(F4110),ISNUMBER(H4110)),F4110-H4110,""),"")</f>
        <v/>
      </c>
      <c r="J4110" s="114" t="n"/>
      <c r="K4110" s="139">
        <f>IFERROR(IF(H4110&gt;0,H4110*$C$7,""),"")</f>
        <v/>
      </c>
      <c r="L4110" s="139">
        <f>IFERROR(IF(ISNUMBER(F4110),F4110-IF(ISNUMBER(K4110),K4110,0),""),"")</f>
        <v/>
      </c>
    </row>
    <row r="4111" ht="24" customHeight="1" s="63">
      <c r="E4111" s="139" t="n"/>
      <c r="F4111" s="139" t="n"/>
      <c r="G4111" s="140">
        <f>IFERROR(IF(E4111&gt;0,(F4111/E4111)*1000,""),"")</f>
        <v/>
      </c>
      <c r="H4111" s="139">
        <f>IFERROR(IF(E4111&gt;0,E4111*IF(ISNUMBER(J4111),J4111,IF(C4111="Futures",$C$6,$C$5)),""),"")</f>
        <v/>
      </c>
      <c r="I4111" s="139">
        <f>IFERROR(IF(AND(ISNUMBER(F4111),ISNUMBER(H4111)),F4111-H4111,""),"")</f>
        <v/>
      </c>
      <c r="J4111" s="114" t="n"/>
      <c r="K4111" s="139">
        <f>IFERROR(IF(H4111&gt;0,H4111*$C$7,""),"")</f>
        <v/>
      </c>
      <c r="L4111" s="139">
        <f>IFERROR(IF(ISNUMBER(F4111),F4111-IF(ISNUMBER(K4111),K4111,0),""),"")</f>
        <v/>
      </c>
    </row>
    <row r="4112" ht="24" customHeight="1" s="63">
      <c r="E4112" s="139" t="n"/>
      <c r="F4112" s="139" t="n"/>
      <c r="G4112" s="140">
        <f>IFERROR(IF(E4112&gt;0,(F4112/E4112)*1000,""),"")</f>
        <v/>
      </c>
      <c r="H4112" s="139">
        <f>IFERROR(IF(E4112&gt;0,E4112*IF(ISNUMBER(J4112),J4112,IF(C4112="Futures",$C$6,$C$5)),""),"")</f>
        <v/>
      </c>
      <c r="I4112" s="139">
        <f>IFERROR(IF(AND(ISNUMBER(F4112),ISNUMBER(H4112)),F4112-H4112,""),"")</f>
        <v/>
      </c>
      <c r="J4112" s="114" t="n"/>
      <c r="K4112" s="139">
        <f>IFERROR(IF(H4112&gt;0,H4112*$C$7,""),"")</f>
        <v/>
      </c>
      <c r="L4112" s="139">
        <f>IFERROR(IF(ISNUMBER(F4112),F4112-IF(ISNUMBER(K4112),K4112,0),""),"")</f>
        <v/>
      </c>
    </row>
    <row r="4113" ht="24" customHeight="1" s="63">
      <c r="E4113" s="139" t="n"/>
      <c r="F4113" s="139" t="n"/>
      <c r="G4113" s="140">
        <f>IFERROR(IF(E4113&gt;0,(F4113/E4113)*1000,""),"")</f>
        <v/>
      </c>
      <c r="H4113" s="139">
        <f>IFERROR(IF(E4113&gt;0,E4113*IF(ISNUMBER(J4113),J4113,IF(C4113="Futures",$C$6,$C$5)),""),"")</f>
        <v/>
      </c>
      <c r="I4113" s="139">
        <f>IFERROR(IF(AND(ISNUMBER(F4113),ISNUMBER(H4113)),F4113-H4113,""),"")</f>
        <v/>
      </c>
      <c r="J4113" s="114" t="n"/>
      <c r="K4113" s="139">
        <f>IFERROR(IF(H4113&gt;0,H4113*$C$7,""),"")</f>
        <v/>
      </c>
      <c r="L4113" s="139">
        <f>IFERROR(IF(ISNUMBER(F4113),F4113-IF(ISNUMBER(K4113),K4113,0),""),"")</f>
        <v/>
      </c>
    </row>
    <row r="4114" ht="24" customHeight="1" s="63">
      <c r="E4114" s="139" t="n"/>
      <c r="F4114" s="139" t="n"/>
      <c r="G4114" s="140">
        <f>IFERROR(IF(E4114&gt;0,(F4114/E4114)*1000,""),"")</f>
        <v/>
      </c>
      <c r="H4114" s="139">
        <f>IFERROR(IF(E4114&gt;0,E4114*IF(ISNUMBER(J4114),J4114,IF(C4114="Futures",$C$6,$C$5)),""),"")</f>
        <v/>
      </c>
      <c r="I4114" s="139">
        <f>IFERROR(IF(AND(ISNUMBER(F4114),ISNUMBER(H4114)),F4114-H4114,""),"")</f>
        <v/>
      </c>
      <c r="J4114" s="114" t="n"/>
      <c r="K4114" s="139">
        <f>IFERROR(IF(H4114&gt;0,H4114*$C$7,""),"")</f>
        <v/>
      </c>
      <c r="L4114" s="139">
        <f>IFERROR(IF(ISNUMBER(F4114),F4114-IF(ISNUMBER(K4114),K4114,0),""),"")</f>
        <v/>
      </c>
    </row>
    <row r="4115" ht="24" customHeight="1" s="63">
      <c r="E4115" s="139" t="n"/>
      <c r="F4115" s="139" t="n"/>
      <c r="G4115" s="140">
        <f>IFERROR(IF(E4115&gt;0,(F4115/E4115)*1000,""),"")</f>
        <v/>
      </c>
      <c r="H4115" s="139">
        <f>IFERROR(IF(E4115&gt;0,E4115*IF(ISNUMBER(J4115),J4115,IF(C4115="Futures",$C$6,$C$5)),""),"")</f>
        <v/>
      </c>
      <c r="I4115" s="139">
        <f>IFERROR(IF(AND(ISNUMBER(F4115),ISNUMBER(H4115)),F4115-H4115,""),"")</f>
        <v/>
      </c>
      <c r="J4115" s="114" t="n"/>
      <c r="K4115" s="139">
        <f>IFERROR(IF(H4115&gt;0,H4115*$C$7,""),"")</f>
        <v/>
      </c>
      <c r="L4115" s="139">
        <f>IFERROR(IF(ISNUMBER(F4115),F4115-IF(ISNUMBER(K4115),K4115,0),""),"")</f>
        <v/>
      </c>
    </row>
    <row r="4116" ht="24" customHeight="1" s="63">
      <c r="E4116" s="139" t="n"/>
      <c r="F4116" s="139" t="n"/>
      <c r="G4116" s="140">
        <f>IFERROR(IF(E4116&gt;0,(F4116/E4116)*1000,""),"")</f>
        <v/>
      </c>
      <c r="H4116" s="139">
        <f>IFERROR(IF(E4116&gt;0,E4116*IF(ISNUMBER(J4116),J4116,IF(C4116="Futures",$C$6,$C$5)),""),"")</f>
        <v/>
      </c>
      <c r="I4116" s="139">
        <f>IFERROR(IF(AND(ISNUMBER(F4116),ISNUMBER(H4116)),F4116-H4116,""),"")</f>
        <v/>
      </c>
      <c r="J4116" s="114" t="n"/>
      <c r="K4116" s="139">
        <f>IFERROR(IF(H4116&gt;0,H4116*$C$7,""),"")</f>
        <v/>
      </c>
      <c r="L4116" s="139">
        <f>IFERROR(IF(ISNUMBER(F4116),F4116-IF(ISNUMBER(K4116),K4116,0),""),"")</f>
        <v/>
      </c>
    </row>
    <row r="4117" ht="24" customHeight="1" s="63">
      <c r="E4117" s="139" t="n"/>
      <c r="F4117" s="139" t="n"/>
      <c r="G4117" s="140">
        <f>IFERROR(IF(E4117&gt;0,(F4117/E4117)*1000,""),"")</f>
        <v/>
      </c>
      <c r="H4117" s="139">
        <f>IFERROR(IF(E4117&gt;0,E4117*IF(ISNUMBER(J4117),J4117,IF(C4117="Futures",$C$6,$C$5)),""),"")</f>
        <v/>
      </c>
      <c r="I4117" s="139">
        <f>IFERROR(IF(AND(ISNUMBER(F4117),ISNUMBER(H4117)),F4117-H4117,""),"")</f>
        <v/>
      </c>
      <c r="J4117" s="114" t="n"/>
      <c r="K4117" s="139">
        <f>IFERROR(IF(H4117&gt;0,H4117*$C$7,""),"")</f>
        <v/>
      </c>
      <c r="L4117" s="139">
        <f>IFERROR(IF(ISNUMBER(F4117),F4117-IF(ISNUMBER(K4117),K4117,0),""),"")</f>
        <v/>
      </c>
    </row>
    <row r="4118" ht="24" customHeight="1" s="63">
      <c r="E4118" s="139" t="n"/>
      <c r="F4118" s="139" t="n"/>
      <c r="G4118" s="140">
        <f>IFERROR(IF(E4118&gt;0,(F4118/E4118)*1000,""),"")</f>
        <v/>
      </c>
      <c r="H4118" s="139">
        <f>IFERROR(IF(E4118&gt;0,E4118*IF(ISNUMBER(J4118),J4118,IF(C4118="Futures",$C$6,$C$5)),""),"")</f>
        <v/>
      </c>
      <c r="I4118" s="139">
        <f>IFERROR(IF(AND(ISNUMBER(F4118),ISNUMBER(H4118)),F4118-H4118,""),"")</f>
        <v/>
      </c>
      <c r="J4118" s="114" t="n"/>
      <c r="K4118" s="139">
        <f>IFERROR(IF(H4118&gt;0,H4118*$C$7,""),"")</f>
        <v/>
      </c>
      <c r="L4118" s="139">
        <f>IFERROR(IF(ISNUMBER(F4118),F4118-IF(ISNUMBER(K4118),K4118,0),""),"")</f>
        <v/>
      </c>
    </row>
    <row r="4119" ht="24" customHeight="1" s="63">
      <c r="E4119" s="139" t="n"/>
      <c r="F4119" s="139" t="n"/>
      <c r="G4119" s="140">
        <f>IFERROR(IF(E4119&gt;0,(F4119/E4119)*1000,""),"")</f>
        <v/>
      </c>
      <c r="H4119" s="139">
        <f>IFERROR(IF(E4119&gt;0,E4119*IF(ISNUMBER(J4119),J4119,IF(C4119="Futures",$C$6,$C$5)),""),"")</f>
        <v/>
      </c>
      <c r="I4119" s="139">
        <f>IFERROR(IF(AND(ISNUMBER(F4119),ISNUMBER(H4119)),F4119-H4119,""),"")</f>
        <v/>
      </c>
      <c r="J4119" s="114" t="n"/>
      <c r="K4119" s="139">
        <f>IFERROR(IF(H4119&gt;0,H4119*$C$7,""),"")</f>
        <v/>
      </c>
      <c r="L4119" s="139">
        <f>IFERROR(IF(ISNUMBER(F4119),F4119-IF(ISNUMBER(K4119),K4119,0),""),"")</f>
        <v/>
      </c>
    </row>
    <row r="4120" ht="24" customHeight="1" s="63">
      <c r="E4120" s="139" t="n"/>
      <c r="F4120" s="139" t="n"/>
      <c r="G4120" s="140">
        <f>IFERROR(IF(E4120&gt;0,(F4120/E4120)*1000,""),"")</f>
        <v/>
      </c>
      <c r="H4120" s="139">
        <f>IFERROR(IF(E4120&gt;0,E4120*IF(ISNUMBER(J4120),J4120,IF(C4120="Futures",$C$6,$C$5)),""),"")</f>
        <v/>
      </c>
      <c r="I4120" s="139">
        <f>IFERROR(IF(AND(ISNUMBER(F4120),ISNUMBER(H4120)),F4120-H4120,""),"")</f>
        <v/>
      </c>
      <c r="J4120" s="114" t="n"/>
      <c r="K4120" s="139">
        <f>IFERROR(IF(H4120&gt;0,H4120*$C$7,""),"")</f>
        <v/>
      </c>
      <c r="L4120" s="139">
        <f>IFERROR(IF(ISNUMBER(F4120),F4120-IF(ISNUMBER(K4120),K4120,0),""),"")</f>
        <v/>
      </c>
    </row>
    <row r="4121" ht="24" customHeight="1" s="63">
      <c r="E4121" s="139" t="n"/>
      <c r="F4121" s="139" t="n"/>
      <c r="G4121" s="140">
        <f>IFERROR(IF(E4121&gt;0,(F4121/E4121)*1000,""),"")</f>
        <v/>
      </c>
      <c r="H4121" s="139">
        <f>IFERROR(IF(E4121&gt;0,E4121*IF(ISNUMBER(J4121),J4121,IF(C4121="Futures",$C$6,$C$5)),""),"")</f>
        <v/>
      </c>
      <c r="I4121" s="139">
        <f>IFERROR(IF(AND(ISNUMBER(F4121),ISNUMBER(H4121)),F4121-H4121,""),"")</f>
        <v/>
      </c>
      <c r="J4121" s="114" t="n"/>
      <c r="K4121" s="139">
        <f>IFERROR(IF(H4121&gt;0,H4121*$C$7,""),"")</f>
        <v/>
      </c>
      <c r="L4121" s="139">
        <f>IFERROR(IF(ISNUMBER(F4121),F4121-IF(ISNUMBER(K4121),K4121,0),""),"")</f>
        <v/>
      </c>
    </row>
    <row r="4122" ht="24" customHeight="1" s="63">
      <c r="E4122" s="139" t="n"/>
      <c r="F4122" s="139" t="n"/>
      <c r="G4122" s="140">
        <f>IFERROR(IF(E4122&gt;0,(F4122/E4122)*1000,""),"")</f>
        <v/>
      </c>
      <c r="H4122" s="139">
        <f>IFERROR(IF(E4122&gt;0,E4122*IF(ISNUMBER(J4122),J4122,IF(C4122="Futures",$C$6,$C$5)),""),"")</f>
        <v/>
      </c>
      <c r="I4122" s="139">
        <f>IFERROR(IF(AND(ISNUMBER(F4122),ISNUMBER(H4122)),F4122-H4122,""),"")</f>
        <v/>
      </c>
      <c r="J4122" s="114" t="n"/>
      <c r="K4122" s="139">
        <f>IFERROR(IF(H4122&gt;0,H4122*$C$7,""),"")</f>
        <v/>
      </c>
      <c r="L4122" s="139">
        <f>IFERROR(IF(ISNUMBER(F4122),F4122-IF(ISNUMBER(K4122),K4122,0),""),"")</f>
        <v/>
      </c>
    </row>
    <row r="4123" ht="24" customHeight="1" s="63">
      <c r="E4123" s="139" t="n"/>
      <c r="F4123" s="139" t="n"/>
      <c r="G4123" s="140">
        <f>IFERROR(IF(E4123&gt;0,(F4123/E4123)*1000,""),"")</f>
        <v/>
      </c>
      <c r="H4123" s="139">
        <f>IFERROR(IF(E4123&gt;0,E4123*IF(ISNUMBER(J4123),J4123,IF(C4123="Futures",$C$6,$C$5)),""),"")</f>
        <v/>
      </c>
      <c r="I4123" s="139">
        <f>IFERROR(IF(AND(ISNUMBER(F4123),ISNUMBER(H4123)),F4123-H4123,""),"")</f>
        <v/>
      </c>
      <c r="J4123" s="114" t="n"/>
      <c r="K4123" s="139">
        <f>IFERROR(IF(H4123&gt;0,H4123*$C$7,""),"")</f>
        <v/>
      </c>
      <c r="L4123" s="139">
        <f>IFERROR(IF(ISNUMBER(F4123),F4123-IF(ISNUMBER(K4123),K4123,0),""),"")</f>
        <v/>
      </c>
    </row>
    <row r="4124" ht="24" customHeight="1" s="63">
      <c r="E4124" s="139" t="n"/>
      <c r="F4124" s="139" t="n"/>
      <c r="G4124" s="140">
        <f>IFERROR(IF(E4124&gt;0,(F4124/E4124)*1000,""),"")</f>
        <v/>
      </c>
      <c r="H4124" s="139">
        <f>IFERROR(IF(E4124&gt;0,E4124*IF(ISNUMBER(J4124),J4124,IF(C4124="Futures",$C$6,$C$5)),""),"")</f>
        <v/>
      </c>
      <c r="I4124" s="139">
        <f>IFERROR(IF(AND(ISNUMBER(F4124),ISNUMBER(H4124)),F4124-H4124,""),"")</f>
        <v/>
      </c>
      <c r="J4124" s="114" t="n"/>
      <c r="K4124" s="139">
        <f>IFERROR(IF(H4124&gt;0,H4124*$C$7,""),"")</f>
        <v/>
      </c>
      <c r="L4124" s="139">
        <f>IFERROR(IF(ISNUMBER(F4124),F4124-IF(ISNUMBER(K4124),K4124,0),""),"")</f>
        <v/>
      </c>
    </row>
    <row r="4125" ht="24" customHeight="1" s="63">
      <c r="E4125" s="139" t="n"/>
      <c r="F4125" s="139" t="n"/>
      <c r="G4125" s="140">
        <f>IFERROR(IF(E4125&gt;0,(F4125/E4125)*1000,""),"")</f>
        <v/>
      </c>
      <c r="H4125" s="139">
        <f>IFERROR(IF(E4125&gt;0,E4125*IF(ISNUMBER(J4125),J4125,IF(C4125="Futures",$C$6,$C$5)),""),"")</f>
        <v/>
      </c>
      <c r="I4125" s="139">
        <f>IFERROR(IF(AND(ISNUMBER(F4125),ISNUMBER(H4125)),F4125-H4125,""),"")</f>
        <v/>
      </c>
      <c r="J4125" s="114" t="n"/>
      <c r="K4125" s="139">
        <f>IFERROR(IF(H4125&gt;0,H4125*$C$7,""),"")</f>
        <v/>
      </c>
      <c r="L4125" s="139">
        <f>IFERROR(IF(ISNUMBER(F4125),F4125-IF(ISNUMBER(K4125),K4125,0),""),"")</f>
        <v/>
      </c>
    </row>
    <row r="4126" ht="24" customHeight="1" s="63">
      <c r="E4126" s="139" t="n"/>
      <c r="F4126" s="139" t="n"/>
      <c r="G4126" s="140">
        <f>IFERROR(IF(E4126&gt;0,(F4126/E4126)*1000,""),"")</f>
        <v/>
      </c>
      <c r="H4126" s="139">
        <f>IFERROR(IF(E4126&gt;0,E4126*IF(ISNUMBER(J4126),J4126,IF(C4126="Futures",$C$6,$C$5)),""),"")</f>
        <v/>
      </c>
      <c r="I4126" s="139">
        <f>IFERROR(IF(AND(ISNUMBER(F4126),ISNUMBER(H4126)),F4126-H4126,""),"")</f>
        <v/>
      </c>
      <c r="J4126" s="114" t="n"/>
      <c r="K4126" s="139">
        <f>IFERROR(IF(H4126&gt;0,H4126*$C$7,""),"")</f>
        <v/>
      </c>
      <c r="L4126" s="139">
        <f>IFERROR(IF(ISNUMBER(F4126),F4126-IF(ISNUMBER(K4126),K4126,0),""),"")</f>
        <v/>
      </c>
    </row>
    <row r="4127" ht="24" customHeight="1" s="63">
      <c r="E4127" s="139" t="n"/>
      <c r="F4127" s="139" t="n"/>
      <c r="G4127" s="140">
        <f>IFERROR(IF(E4127&gt;0,(F4127/E4127)*1000,""),"")</f>
        <v/>
      </c>
      <c r="H4127" s="139">
        <f>IFERROR(IF(E4127&gt;0,E4127*IF(ISNUMBER(J4127),J4127,IF(C4127="Futures",$C$6,$C$5)),""),"")</f>
        <v/>
      </c>
      <c r="I4127" s="139">
        <f>IFERROR(IF(AND(ISNUMBER(F4127),ISNUMBER(H4127)),F4127-H4127,""),"")</f>
        <v/>
      </c>
      <c r="J4127" s="114" t="n"/>
      <c r="K4127" s="139">
        <f>IFERROR(IF(H4127&gt;0,H4127*$C$7,""),"")</f>
        <v/>
      </c>
      <c r="L4127" s="139">
        <f>IFERROR(IF(ISNUMBER(F4127),F4127-IF(ISNUMBER(K4127),K4127,0),""),"")</f>
        <v/>
      </c>
    </row>
    <row r="4128" ht="24" customHeight="1" s="63">
      <c r="E4128" s="139" t="n"/>
      <c r="F4128" s="139" t="n"/>
      <c r="G4128" s="140">
        <f>IFERROR(IF(E4128&gt;0,(F4128/E4128)*1000,""),"")</f>
        <v/>
      </c>
      <c r="H4128" s="139">
        <f>IFERROR(IF(E4128&gt;0,E4128*IF(ISNUMBER(J4128),J4128,IF(C4128="Futures",$C$6,$C$5)),""),"")</f>
        <v/>
      </c>
      <c r="I4128" s="139">
        <f>IFERROR(IF(AND(ISNUMBER(F4128),ISNUMBER(H4128)),F4128-H4128,""),"")</f>
        <v/>
      </c>
      <c r="J4128" s="114" t="n"/>
      <c r="K4128" s="139">
        <f>IFERROR(IF(H4128&gt;0,H4128*$C$7,""),"")</f>
        <v/>
      </c>
      <c r="L4128" s="139">
        <f>IFERROR(IF(ISNUMBER(F4128),F4128-IF(ISNUMBER(K4128),K4128,0),""),"")</f>
        <v/>
      </c>
    </row>
    <row r="4129" ht="24" customHeight="1" s="63">
      <c r="E4129" s="139" t="n"/>
      <c r="F4129" s="139" t="n"/>
      <c r="G4129" s="140">
        <f>IFERROR(IF(E4129&gt;0,(F4129/E4129)*1000,""),"")</f>
        <v/>
      </c>
      <c r="H4129" s="139">
        <f>IFERROR(IF(E4129&gt;0,E4129*IF(ISNUMBER(J4129),J4129,IF(C4129="Futures",$C$6,$C$5)),""),"")</f>
        <v/>
      </c>
      <c r="I4129" s="139">
        <f>IFERROR(IF(AND(ISNUMBER(F4129),ISNUMBER(H4129)),F4129-H4129,""),"")</f>
        <v/>
      </c>
      <c r="J4129" s="114" t="n"/>
      <c r="K4129" s="139">
        <f>IFERROR(IF(H4129&gt;0,H4129*$C$7,""),"")</f>
        <v/>
      </c>
      <c r="L4129" s="139">
        <f>IFERROR(IF(ISNUMBER(F4129),F4129-IF(ISNUMBER(K4129),K4129,0),""),"")</f>
        <v/>
      </c>
    </row>
    <row r="4130" ht="24" customHeight="1" s="63">
      <c r="E4130" s="139" t="n"/>
      <c r="F4130" s="139" t="n"/>
      <c r="G4130" s="140">
        <f>IFERROR(IF(E4130&gt;0,(F4130/E4130)*1000,""),"")</f>
        <v/>
      </c>
      <c r="H4130" s="139">
        <f>IFERROR(IF(E4130&gt;0,E4130*IF(ISNUMBER(J4130),J4130,IF(C4130="Futures",$C$6,$C$5)),""),"")</f>
        <v/>
      </c>
      <c r="I4130" s="139">
        <f>IFERROR(IF(AND(ISNUMBER(F4130),ISNUMBER(H4130)),F4130-H4130,""),"")</f>
        <v/>
      </c>
      <c r="J4130" s="114" t="n"/>
      <c r="K4130" s="139">
        <f>IFERROR(IF(H4130&gt;0,H4130*$C$7,""),"")</f>
        <v/>
      </c>
      <c r="L4130" s="139">
        <f>IFERROR(IF(ISNUMBER(F4130),F4130-IF(ISNUMBER(K4130),K4130,0),""),"")</f>
        <v/>
      </c>
    </row>
    <row r="4131" ht="24" customHeight="1" s="63">
      <c r="E4131" s="139" t="n"/>
      <c r="F4131" s="139" t="n"/>
      <c r="G4131" s="140">
        <f>IFERROR(IF(E4131&gt;0,(F4131/E4131)*1000,""),"")</f>
        <v/>
      </c>
      <c r="H4131" s="139">
        <f>IFERROR(IF(E4131&gt;0,E4131*IF(ISNUMBER(J4131),J4131,IF(C4131="Futures",$C$6,$C$5)),""),"")</f>
        <v/>
      </c>
      <c r="I4131" s="139">
        <f>IFERROR(IF(AND(ISNUMBER(F4131),ISNUMBER(H4131)),F4131-H4131,""),"")</f>
        <v/>
      </c>
      <c r="J4131" s="114" t="n"/>
      <c r="K4131" s="139">
        <f>IFERROR(IF(H4131&gt;0,H4131*$C$7,""),"")</f>
        <v/>
      </c>
      <c r="L4131" s="139">
        <f>IFERROR(IF(ISNUMBER(F4131),F4131-IF(ISNUMBER(K4131),K4131,0),""),"")</f>
        <v/>
      </c>
    </row>
    <row r="4132" ht="24" customHeight="1" s="63">
      <c r="E4132" s="139" t="n"/>
      <c r="F4132" s="139" t="n"/>
      <c r="G4132" s="140">
        <f>IFERROR(IF(E4132&gt;0,(F4132/E4132)*1000,""),"")</f>
        <v/>
      </c>
      <c r="H4132" s="139">
        <f>IFERROR(IF(E4132&gt;0,E4132*IF(ISNUMBER(J4132),J4132,IF(C4132="Futures",$C$6,$C$5)),""),"")</f>
        <v/>
      </c>
      <c r="I4132" s="139">
        <f>IFERROR(IF(AND(ISNUMBER(F4132),ISNUMBER(H4132)),F4132-H4132,""),"")</f>
        <v/>
      </c>
      <c r="J4132" s="114" t="n"/>
      <c r="K4132" s="139">
        <f>IFERROR(IF(H4132&gt;0,H4132*$C$7,""),"")</f>
        <v/>
      </c>
      <c r="L4132" s="139">
        <f>IFERROR(IF(ISNUMBER(F4132),F4132-IF(ISNUMBER(K4132),K4132,0),""),"")</f>
        <v/>
      </c>
    </row>
    <row r="4133" ht="24" customHeight="1" s="63">
      <c r="E4133" s="139" t="n"/>
      <c r="F4133" s="139" t="n"/>
      <c r="G4133" s="140">
        <f>IFERROR(IF(E4133&gt;0,(F4133/E4133)*1000,""),"")</f>
        <v/>
      </c>
      <c r="H4133" s="139">
        <f>IFERROR(IF(E4133&gt;0,E4133*IF(ISNUMBER(J4133),J4133,IF(C4133="Futures",$C$6,$C$5)),""),"")</f>
        <v/>
      </c>
      <c r="I4133" s="139">
        <f>IFERROR(IF(AND(ISNUMBER(F4133),ISNUMBER(H4133)),F4133-H4133,""),"")</f>
        <v/>
      </c>
      <c r="J4133" s="114" t="n"/>
      <c r="K4133" s="139">
        <f>IFERROR(IF(H4133&gt;0,H4133*$C$7,""),"")</f>
        <v/>
      </c>
      <c r="L4133" s="139">
        <f>IFERROR(IF(ISNUMBER(F4133),F4133-IF(ISNUMBER(K4133),K4133,0),""),"")</f>
        <v/>
      </c>
    </row>
    <row r="4134" ht="24" customHeight="1" s="63">
      <c r="E4134" s="139" t="n"/>
      <c r="F4134" s="139" t="n"/>
      <c r="G4134" s="140">
        <f>IFERROR(IF(E4134&gt;0,(F4134/E4134)*1000,""),"")</f>
        <v/>
      </c>
      <c r="H4134" s="139">
        <f>IFERROR(IF(E4134&gt;0,E4134*IF(ISNUMBER(J4134),J4134,IF(C4134="Futures",$C$6,$C$5)),""),"")</f>
        <v/>
      </c>
      <c r="I4134" s="139">
        <f>IFERROR(IF(AND(ISNUMBER(F4134),ISNUMBER(H4134)),F4134-H4134,""),"")</f>
        <v/>
      </c>
      <c r="J4134" s="114" t="n"/>
      <c r="K4134" s="139">
        <f>IFERROR(IF(H4134&gt;0,H4134*$C$7,""),"")</f>
        <v/>
      </c>
      <c r="L4134" s="139">
        <f>IFERROR(IF(ISNUMBER(F4134),F4134-IF(ISNUMBER(K4134),K4134,0),""),"")</f>
        <v/>
      </c>
    </row>
    <row r="4135" ht="24" customHeight="1" s="63">
      <c r="E4135" s="139" t="n"/>
      <c r="F4135" s="139" t="n"/>
      <c r="G4135" s="140">
        <f>IFERROR(IF(E4135&gt;0,(F4135/E4135)*1000,""),"")</f>
        <v/>
      </c>
      <c r="H4135" s="139">
        <f>IFERROR(IF(E4135&gt;0,E4135*IF(ISNUMBER(J4135),J4135,IF(C4135="Futures",$C$6,$C$5)),""),"")</f>
        <v/>
      </c>
      <c r="I4135" s="139">
        <f>IFERROR(IF(AND(ISNUMBER(F4135),ISNUMBER(H4135)),F4135-H4135,""),"")</f>
        <v/>
      </c>
      <c r="J4135" s="114" t="n"/>
      <c r="K4135" s="139">
        <f>IFERROR(IF(H4135&gt;0,H4135*$C$7,""),"")</f>
        <v/>
      </c>
      <c r="L4135" s="139">
        <f>IFERROR(IF(ISNUMBER(F4135),F4135-IF(ISNUMBER(K4135),K4135,0),""),"")</f>
        <v/>
      </c>
    </row>
    <row r="4136" ht="24" customHeight="1" s="63">
      <c r="E4136" s="139" t="n"/>
      <c r="F4136" s="139" t="n"/>
      <c r="G4136" s="140">
        <f>IFERROR(IF(E4136&gt;0,(F4136/E4136)*1000,""),"")</f>
        <v/>
      </c>
      <c r="H4136" s="139">
        <f>IFERROR(IF(E4136&gt;0,E4136*IF(ISNUMBER(J4136),J4136,IF(C4136="Futures",$C$6,$C$5)),""),"")</f>
        <v/>
      </c>
      <c r="I4136" s="139">
        <f>IFERROR(IF(AND(ISNUMBER(F4136),ISNUMBER(H4136)),F4136-H4136,""),"")</f>
        <v/>
      </c>
      <c r="J4136" s="114" t="n"/>
      <c r="K4136" s="139">
        <f>IFERROR(IF(H4136&gt;0,H4136*$C$7,""),"")</f>
        <v/>
      </c>
      <c r="L4136" s="139">
        <f>IFERROR(IF(ISNUMBER(F4136),F4136-IF(ISNUMBER(K4136),K4136,0),""),"")</f>
        <v/>
      </c>
    </row>
    <row r="4137" ht="24" customHeight="1" s="63">
      <c r="E4137" s="139" t="n"/>
      <c r="F4137" s="139" t="n"/>
      <c r="G4137" s="140">
        <f>IFERROR(IF(E4137&gt;0,(F4137/E4137)*1000,""),"")</f>
        <v/>
      </c>
      <c r="H4137" s="139">
        <f>IFERROR(IF(E4137&gt;0,E4137*IF(ISNUMBER(J4137),J4137,IF(C4137="Futures",$C$6,$C$5)),""),"")</f>
        <v/>
      </c>
      <c r="I4137" s="139">
        <f>IFERROR(IF(AND(ISNUMBER(F4137),ISNUMBER(H4137)),F4137-H4137,""),"")</f>
        <v/>
      </c>
      <c r="J4137" s="114" t="n"/>
      <c r="K4137" s="139">
        <f>IFERROR(IF(H4137&gt;0,H4137*$C$7,""),"")</f>
        <v/>
      </c>
      <c r="L4137" s="139">
        <f>IFERROR(IF(ISNUMBER(F4137),F4137-IF(ISNUMBER(K4137),K4137,0),""),"")</f>
        <v/>
      </c>
    </row>
    <row r="4138" ht="24" customHeight="1" s="63">
      <c r="E4138" s="139" t="n"/>
      <c r="F4138" s="139" t="n"/>
      <c r="G4138" s="140">
        <f>IFERROR(IF(E4138&gt;0,(F4138/E4138)*1000,""),"")</f>
        <v/>
      </c>
      <c r="H4138" s="139">
        <f>IFERROR(IF(E4138&gt;0,E4138*IF(ISNUMBER(J4138),J4138,IF(C4138="Futures",$C$6,$C$5)),""),"")</f>
        <v/>
      </c>
      <c r="I4138" s="139">
        <f>IFERROR(IF(AND(ISNUMBER(F4138),ISNUMBER(H4138)),F4138-H4138,""),"")</f>
        <v/>
      </c>
      <c r="J4138" s="114" t="n"/>
      <c r="K4138" s="139">
        <f>IFERROR(IF(H4138&gt;0,H4138*$C$7,""),"")</f>
        <v/>
      </c>
      <c r="L4138" s="139">
        <f>IFERROR(IF(ISNUMBER(F4138),F4138-IF(ISNUMBER(K4138),K4138,0),""),"")</f>
        <v/>
      </c>
    </row>
    <row r="4139" ht="24" customHeight="1" s="63">
      <c r="E4139" s="139" t="n"/>
      <c r="F4139" s="139" t="n"/>
      <c r="G4139" s="140">
        <f>IFERROR(IF(E4139&gt;0,(F4139/E4139)*1000,""),"")</f>
        <v/>
      </c>
      <c r="H4139" s="139">
        <f>IFERROR(IF(E4139&gt;0,E4139*IF(ISNUMBER(J4139),J4139,IF(C4139="Futures",$C$6,$C$5)),""),"")</f>
        <v/>
      </c>
      <c r="I4139" s="139">
        <f>IFERROR(IF(AND(ISNUMBER(F4139),ISNUMBER(H4139)),F4139-H4139,""),"")</f>
        <v/>
      </c>
      <c r="J4139" s="114" t="n"/>
      <c r="K4139" s="139">
        <f>IFERROR(IF(H4139&gt;0,H4139*$C$7,""),"")</f>
        <v/>
      </c>
      <c r="L4139" s="139">
        <f>IFERROR(IF(ISNUMBER(F4139),F4139-IF(ISNUMBER(K4139),K4139,0),""),"")</f>
        <v/>
      </c>
    </row>
    <row r="4140" ht="24" customHeight="1" s="63">
      <c r="E4140" s="139" t="n"/>
      <c r="F4140" s="139" t="n"/>
      <c r="G4140" s="140">
        <f>IFERROR(IF(E4140&gt;0,(F4140/E4140)*1000,""),"")</f>
        <v/>
      </c>
      <c r="H4140" s="139">
        <f>IFERROR(IF(E4140&gt;0,E4140*IF(ISNUMBER(J4140),J4140,IF(C4140="Futures",$C$6,$C$5)),""),"")</f>
        <v/>
      </c>
      <c r="I4140" s="139">
        <f>IFERROR(IF(AND(ISNUMBER(F4140),ISNUMBER(H4140)),F4140-H4140,""),"")</f>
        <v/>
      </c>
      <c r="J4140" s="114" t="n"/>
      <c r="K4140" s="139">
        <f>IFERROR(IF(H4140&gt;0,H4140*$C$7,""),"")</f>
        <v/>
      </c>
      <c r="L4140" s="139">
        <f>IFERROR(IF(ISNUMBER(F4140),F4140-IF(ISNUMBER(K4140),K4140,0),""),"")</f>
        <v/>
      </c>
    </row>
    <row r="4141" ht="24" customHeight="1" s="63">
      <c r="E4141" s="139" t="n"/>
      <c r="F4141" s="139" t="n"/>
      <c r="G4141" s="140">
        <f>IFERROR(IF(E4141&gt;0,(F4141/E4141)*1000,""),"")</f>
        <v/>
      </c>
      <c r="H4141" s="139">
        <f>IFERROR(IF(E4141&gt;0,E4141*IF(ISNUMBER(J4141),J4141,IF(C4141="Futures",$C$6,$C$5)),""),"")</f>
        <v/>
      </c>
      <c r="I4141" s="139">
        <f>IFERROR(IF(AND(ISNUMBER(F4141),ISNUMBER(H4141)),F4141-H4141,""),"")</f>
        <v/>
      </c>
      <c r="J4141" s="114" t="n"/>
      <c r="K4141" s="139">
        <f>IFERROR(IF(H4141&gt;0,H4141*$C$7,""),"")</f>
        <v/>
      </c>
      <c r="L4141" s="139">
        <f>IFERROR(IF(ISNUMBER(F4141),F4141-IF(ISNUMBER(K4141),K4141,0),""),"")</f>
        <v/>
      </c>
    </row>
    <row r="4142" ht="24" customHeight="1" s="63">
      <c r="E4142" s="139" t="n"/>
      <c r="F4142" s="139" t="n"/>
      <c r="G4142" s="140">
        <f>IFERROR(IF(E4142&gt;0,(F4142/E4142)*1000,""),"")</f>
        <v/>
      </c>
      <c r="H4142" s="139">
        <f>IFERROR(IF(E4142&gt;0,E4142*IF(ISNUMBER(J4142),J4142,IF(C4142="Futures",$C$6,$C$5)),""),"")</f>
        <v/>
      </c>
      <c r="I4142" s="139">
        <f>IFERROR(IF(AND(ISNUMBER(F4142),ISNUMBER(H4142)),F4142-H4142,""),"")</f>
        <v/>
      </c>
      <c r="J4142" s="114" t="n"/>
      <c r="K4142" s="139">
        <f>IFERROR(IF(H4142&gt;0,H4142*$C$7,""),"")</f>
        <v/>
      </c>
      <c r="L4142" s="139">
        <f>IFERROR(IF(ISNUMBER(F4142),F4142-IF(ISNUMBER(K4142),K4142,0),""),"")</f>
        <v/>
      </c>
    </row>
    <row r="4143" ht="24" customHeight="1" s="63">
      <c r="E4143" s="139" t="n"/>
      <c r="F4143" s="139" t="n"/>
      <c r="G4143" s="140">
        <f>IFERROR(IF(E4143&gt;0,(F4143/E4143)*1000,""),"")</f>
        <v/>
      </c>
      <c r="H4143" s="139">
        <f>IFERROR(IF(E4143&gt;0,E4143*IF(ISNUMBER(J4143),J4143,IF(C4143="Futures",$C$6,$C$5)),""),"")</f>
        <v/>
      </c>
      <c r="I4143" s="139">
        <f>IFERROR(IF(AND(ISNUMBER(F4143),ISNUMBER(H4143)),F4143-H4143,""),"")</f>
        <v/>
      </c>
      <c r="J4143" s="114" t="n"/>
      <c r="K4143" s="139">
        <f>IFERROR(IF(H4143&gt;0,H4143*$C$7,""),"")</f>
        <v/>
      </c>
      <c r="L4143" s="139">
        <f>IFERROR(IF(ISNUMBER(F4143),F4143-IF(ISNUMBER(K4143),K4143,0),""),"")</f>
        <v/>
      </c>
    </row>
    <row r="4144" ht="24" customHeight="1" s="63">
      <c r="E4144" s="139" t="n"/>
      <c r="F4144" s="139" t="n"/>
      <c r="G4144" s="140">
        <f>IFERROR(IF(E4144&gt;0,(F4144/E4144)*1000,""),"")</f>
        <v/>
      </c>
      <c r="H4144" s="139">
        <f>IFERROR(IF(E4144&gt;0,E4144*IF(ISNUMBER(J4144),J4144,IF(C4144="Futures",$C$6,$C$5)),""),"")</f>
        <v/>
      </c>
      <c r="I4144" s="139">
        <f>IFERROR(IF(AND(ISNUMBER(F4144),ISNUMBER(H4144)),F4144-H4144,""),"")</f>
        <v/>
      </c>
      <c r="J4144" s="114" t="n"/>
      <c r="K4144" s="139">
        <f>IFERROR(IF(H4144&gt;0,H4144*$C$7,""),"")</f>
        <v/>
      </c>
      <c r="L4144" s="139">
        <f>IFERROR(IF(ISNUMBER(F4144),F4144-IF(ISNUMBER(K4144),K4144,0),""),"")</f>
        <v/>
      </c>
    </row>
    <row r="4145" ht="24" customHeight="1" s="63">
      <c r="E4145" s="139" t="n"/>
      <c r="F4145" s="139" t="n"/>
      <c r="G4145" s="140">
        <f>IFERROR(IF(E4145&gt;0,(F4145/E4145)*1000,""),"")</f>
        <v/>
      </c>
      <c r="H4145" s="139">
        <f>IFERROR(IF(E4145&gt;0,E4145*IF(ISNUMBER(J4145),J4145,IF(C4145="Futures",$C$6,$C$5)),""),"")</f>
        <v/>
      </c>
      <c r="I4145" s="139">
        <f>IFERROR(IF(AND(ISNUMBER(F4145),ISNUMBER(H4145)),F4145-H4145,""),"")</f>
        <v/>
      </c>
      <c r="J4145" s="114" t="n"/>
      <c r="K4145" s="139">
        <f>IFERROR(IF(H4145&gt;0,H4145*$C$7,""),"")</f>
        <v/>
      </c>
      <c r="L4145" s="139">
        <f>IFERROR(IF(ISNUMBER(F4145),F4145-IF(ISNUMBER(K4145),K4145,0),""),"")</f>
        <v/>
      </c>
    </row>
    <row r="4146" ht="24" customHeight="1" s="63">
      <c r="E4146" s="139" t="n"/>
      <c r="F4146" s="139" t="n"/>
      <c r="G4146" s="140">
        <f>IFERROR(IF(E4146&gt;0,(F4146/E4146)*1000,""),"")</f>
        <v/>
      </c>
      <c r="H4146" s="139">
        <f>IFERROR(IF(E4146&gt;0,E4146*IF(ISNUMBER(J4146),J4146,IF(C4146="Futures",$C$6,$C$5)),""),"")</f>
        <v/>
      </c>
      <c r="I4146" s="139">
        <f>IFERROR(IF(AND(ISNUMBER(F4146),ISNUMBER(H4146)),F4146-H4146,""),"")</f>
        <v/>
      </c>
      <c r="J4146" s="114" t="n"/>
      <c r="K4146" s="139">
        <f>IFERROR(IF(H4146&gt;0,H4146*$C$7,""),"")</f>
        <v/>
      </c>
      <c r="L4146" s="139">
        <f>IFERROR(IF(ISNUMBER(F4146),F4146-IF(ISNUMBER(K4146),K4146,0),""),"")</f>
        <v/>
      </c>
    </row>
    <row r="4147" ht="24" customHeight="1" s="63">
      <c r="E4147" s="139" t="n"/>
      <c r="F4147" s="139" t="n"/>
      <c r="G4147" s="140">
        <f>IFERROR(IF(E4147&gt;0,(F4147/E4147)*1000,""),"")</f>
        <v/>
      </c>
      <c r="H4147" s="139">
        <f>IFERROR(IF(E4147&gt;0,E4147*IF(ISNUMBER(J4147),J4147,IF(C4147="Futures",$C$6,$C$5)),""),"")</f>
        <v/>
      </c>
      <c r="I4147" s="139">
        <f>IFERROR(IF(AND(ISNUMBER(F4147),ISNUMBER(H4147)),F4147-H4147,""),"")</f>
        <v/>
      </c>
      <c r="J4147" s="114" t="n"/>
      <c r="K4147" s="139">
        <f>IFERROR(IF(H4147&gt;0,H4147*$C$7,""),"")</f>
        <v/>
      </c>
      <c r="L4147" s="139">
        <f>IFERROR(IF(ISNUMBER(F4147),F4147-IF(ISNUMBER(K4147),K4147,0),""),"")</f>
        <v/>
      </c>
    </row>
    <row r="4148" ht="24" customHeight="1" s="63">
      <c r="E4148" s="139" t="n"/>
      <c r="F4148" s="139" t="n"/>
      <c r="G4148" s="140">
        <f>IFERROR(IF(E4148&gt;0,(F4148/E4148)*1000,""),"")</f>
        <v/>
      </c>
      <c r="H4148" s="139">
        <f>IFERROR(IF(E4148&gt;0,E4148*IF(ISNUMBER(J4148),J4148,IF(C4148="Futures",$C$6,$C$5)),""),"")</f>
        <v/>
      </c>
      <c r="I4148" s="139">
        <f>IFERROR(IF(AND(ISNUMBER(F4148),ISNUMBER(H4148)),F4148-H4148,""),"")</f>
        <v/>
      </c>
      <c r="J4148" s="114" t="n"/>
      <c r="K4148" s="139">
        <f>IFERROR(IF(H4148&gt;0,H4148*$C$7,""),"")</f>
        <v/>
      </c>
      <c r="L4148" s="139">
        <f>IFERROR(IF(ISNUMBER(F4148),F4148-IF(ISNUMBER(K4148),K4148,0),""),"")</f>
        <v/>
      </c>
    </row>
    <row r="4149" ht="24" customHeight="1" s="63">
      <c r="E4149" s="139" t="n"/>
      <c r="F4149" s="139" t="n"/>
      <c r="G4149" s="140">
        <f>IFERROR(IF(E4149&gt;0,(F4149/E4149)*1000,""),"")</f>
        <v/>
      </c>
      <c r="H4149" s="139">
        <f>IFERROR(IF(E4149&gt;0,E4149*IF(ISNUMBER(J4149),J4149,IF(C4149="Futures",$C$6,$C$5)),""),"")</f>
        <v/>
      </c>
      <c r="I4149" s="139">
        <f>IFERROR(IF(AND(ISNUMBER(F4149),ISNUMBER(H4149)),F4149-H4149,""),"")</f>
        <v/>
      </c>
      <c r="J4149" s="114" t="n"/>
      <c r="K4149" s="139">
        <f>IFERROR(IF(H4149&gt;0,H4149*$C$7,""),"")</f>
        <v/>
      </c>
      <c r="L4149" s="139">
        <f>IFERROR(IF(ISNUMBER(F4149),F4149-IF(ISNUMBER(K4149),K4149,0),""),"")</f>
        <v/>
      </c>
    </row>
    <row r="4150" ht="24" customHeight="1" s="63">
      <c r="E4150" s="139" t="n"/>
      <c r="F4150" s="139" t="n"/>
      <c r="G4150" s="140">
        <f>IFERROR(IF(E4150&gt;0,(F4150/E4150)*1000,""),"")</f>
        <v/>
      </c>
      <c r="H4150" s="139">
        <f>IFERROR(IF(E4150&gt;0,E4150*IF(ISNUMBER(J4150),J4150,IF(C4150="Futures",$C$6,$C$5)),""),"")</f>
        <v/>
      </c>
      <c r="I4150" s="139">
        <f>IFERROR(IF(AND(ISNUMBER(F4150),ISNUMBER(H4150)),F4150-H4150,""),"")</f>
        <v/>
      </c>
      <c r="J4150" s="114" t="n"/>
      <c r="K4150" s="139">
        <f>IFERROR(IF(H4150&gt;0,H4150*$C$7,""),"")</f>
        <v/>
      </c>
      <c r="L4150" s="139">
        <f>IFERROR(IF(ISNUMBER(F4150),F4150-IF(ISNUMBER(K4150),K4150,0),""),"")</f>
        <v/>
      </c>
    </row>
    <row r="4151" ht="24" customHeight="1" s="63">
      <c r="E4151" s="139" t="n"/>
      <c r="F4151" s="139" t="n"/>
      <c r="G4151" s="140">
        <f>IFERROR(IF(E4151&gt;0,(F4151/E4151)*1000,""),"")</f>
        <v/>
      </c>
      <c r="H4151" s="139">
        <f>IFERROR(IF(E4151&gt;0,E4151*IF(ISNUMBER(J4151),J4151,IF(C4151="Futures",$C$6,$C$5)),""),"")</f>
        <v/>
      </c>
      <c r="I4151" s="139">
        <f>IFERROR(IF(AND(ISNUMBER(F4151),ISNUMBER(H4151)),F4151-H4151,""),"")</f>
        <v/>
      </c>
      <c r="J4151" s="114" t="n"/>
      <c r="K4151" s="139">
        <f>IFERROR(IF(H4151&gt;0,H4151*$C$7,""),"")</f>
        <v/>
      </c>
      <c r="L4151" s="139">
        <f>IFERROR(IF(ISNUMBER(F4151),F4151-IF(ISNUMBER(K4151),K4151,0),""),"")</f>
        <v/>
      </c>
    </row>
    <row r="4152" ht="24" customHeight="1" s="63">
      <c r="E4152" s="139" t="n"/>
      <c r="F4152" s="139" t="n"/>
      <c r="G4152" s="140">
        <f>IFERROR(IF(E4152&gt;0,(F4152/E4152)*1000,""),"")</f>
        <v/>
      </c>
      <c r="H4152" s="139">
        <f>IFERROR(IF(E4152&gt;0,E4152*IF(ISNUMBER(J4152),J4152,IF(C4152="Futures",$C$6,$C$5)),""),"")</f>
        <v/>
      </c>
      <c r="I4152" s="139">
        <f>IFERROR(IF(AND(ISNUMBER(F4152),ISNUMBER(H4152)),F4152-H4152,""),"")</f>
        <v/>
      </c>
      <c r="J4152" s="114" t="n"/>
      <c r="K4152" s="139">
        <f>IFERROR(IF(H4152&gt;0,H4152*$C$7,""),"")</f>
        <v/>
      </c>
      <c r="L4152" s="139">
        <f>IFERROR(IF(ISNUMBER(F4152),F4152-IF(ISNUMBER(K4152),K4152,0),""),"")</f>
        <v/>
      </c>
    </row>
    <row r="4153" ht="24" customHeight="1" s="63">
      <c r="E4153" s="139" t="n"/>
      <c r="F4153" s="139" t="n"/>
      <c r="G4153" s="140">
        <f>IFERROR(IF(E4153&gt;0,(F4153/E4153)*1000,""),"")</f>
        <v/>
      </c>
      <c r="H4153" s="139">
        <f>IFERROR(IF(E4153&gt;0,E4153*IF(ISNUMBER(J4153),J4153,IF(C4153="Futures",$C$6,$C$5)),""),"")</f>
        <v/>
      </c>
      <c r="I4153" s="139">
        <f>IFERROR(IF(AND(ISNUMBER(F4153),ISNUMBER(H4153)),F4153-H4153,""),"")</f>
        <v/>
      </c>
      <c r="J4153" s="114" t="n"/>
      <c r="K4153" s="139">
        <f>IFERROR(IF(H4153&gt;0,H4153*$C$7,""),"")</f>
        <v/>
      </c>
      <c r="L4153" s="139">
        <f>IFERROR(IF(ISNUMBER(F4153),F4153-IF(ISNUMBER(K4153),K4153,0),""),"")</f>
        <v/>
      </c>
    </row>
    <row r="4154" ht="24" customHeight="1" s="63">
      <c r="E4154" s="139" t="n"/>
      <c r="F4154" s="139" t="n"/>
      <c r="G4154" s="140">
        <f>IFERROR(IF(E4154&gt;0,(F4154/E4154)*1000,""),"")</f>
        <v/>
      </c>
      <c r="H4154" s="139">
        <f>IFERROR(IF(E4154&gt;0,E4154*IF(ISNUMBER(J4154),J4154,IF(C4154="Futures",$C$6,$C$5)),""),"")</f>
        <v/>
      </c>
      <c r="I4154" s="139">
        <f>IFERROR(IF(AND(ISNUMBER(F4154),ISNUMBER(H4154)),F4154-H4154,""),"")</f>
        <v/>
      </c>
      <c r="J4154" s="114" t="n"/>
      <c r="K4154" s="139">
        <f>IFERROR(IF(H4154&gt;0,H4154*$C$7,""),"")</f>
        <v/>
      </c>
      <c r="L4154" s="139">
        <f>IFERROR(IF(ISNUMBER(F4154),F4154-IF(ISNUMBER(K4154),K4154,0),""),"")</f>
        <v/>
      </c>
    </row>
    <row r="4155" ht="24" customHeight="1" s="63">
      <c r="E4155" s="139" t="n"/>
      <c r="F4155" s="139" t="n"/>
      <c r="G4155" s="140">
        <f>IFERROR(IF(E4155&gt;0,(F4155/E4155)*1000,""),"")</f>
        <v/>
      </c>
      <c r="H4155" s="139">
        <f>IFERROR(IF(E4155&gt;0,E4155*IF(ISNUMBER(J4155),J4155,IF(C4155="Futures",$C$6,$C$5)),""),"")</f>
        <v/>
      </c>
      <c r="I4155" s="139">
        <f>IFERROR(IF(AND(ISNUMBER(F4155),ISNUMBER(H4155)),F4155-H4155,""),"")</f>
        <v/>
      </c>
      <c r="J4155" s="114" t="n"/>
      <c r="K4155" s="139">
        <f>IFERROR(IF(H4155&gt;0,H4155*$C$7,""),"")</f>
        <v/>
      </c>
      <c r="L4155" s="139">
        <f>IFERROR(IF(ISNUMBER(F4155),F4155-IF(ISNUMBER(K4155),K4155,0),""),"")</f>
        <v/>
      </c>
    </row>
    <row r="4156" ht="24" customHeight="1" s="63">
      <c r="E4156" s="139" t="n"/>
      <c r="F4156" s="139" t="n"/>
      <c r="G4156" s="140">
        <f>IFERROR(IF(E4156&gt;0,(F4156/E4156)*1000,""),"")</f>
        <v/>
      </c>
      <c r="H4156" s="139">
        <f>IFERROR(IF(E4156&gt;0,E4156*IF(ISNUMBER(J4156),J4156,IF(C4156="Futures",$C$6,$C$5)),""),"")</f>
        <v/>
      </c>
      <c r="I4156" s="139">
        <f>IFERROR(IF(AND(ISNUMBER(F4156),ISNUMBER(H4156)),F4156-H4156,""),"")</f>
        <v/>
      </c>
      <c r="J4156" s="114" t="n"/>
      <c r="K4156" s="139">
        <f>IFERROR(IF(H4156&gt;0,H4156*$C$7,""),"")</f>
        <v/>
      </c>
      <c r="L4156" s="139">
        <f>IFERROR(IF(ISNUMBER(F4156),F4156-IF(ISNUMBER(K4156),K4156,0),""),"")</f>
        <v/>
      </c>
    </row>
    <row r="4157" ht="24" customHeight="1" s="63">
      <c r="E4157" s="139" t="n"/>
      <c r="F4157" s="139" t="n"/>
      <c r="G4157" s="140">
        <f>IFERROR(IF(E4157&gt;0,(F4157/E4157)*1000,""),"")</f>
        <v/>
      </c>
      <c r="H4157" s="139">
        <f>IFERROR(IF(E4157&gt;0,E4157*IF(ISNUMBER(J4157),J4157,IF(C4157="Futures",$C$6,$C$5)),""),"")</f>
        <v/>
      </c>
      <c r="I4157" s="139">
        <f>IFERROR(IF(AND(ISNUMBER(F4157),ISNUMBER(H4157)),F4157-H4157,""),"")</f>
        <v/>
      </c>
      <c r="J4157" s="114" t="n"/>
      <c r="K4157" s="139">
        <f>IFERROR(IF(H4157&gt;0,H4157*$C$7,""),"")</f>
        <v/>
      </c>
      <c r="L4157" s="139">
        <f>IFERROR(IF(ISNUMBER(F4157),F4157-IF(ISNUMBER(K4157),K4157,0),""),"")</f>
        <v/>
      </c>
    </row>
    <row r="4158" ht="24" customHeight="1" s="63">
      <c r="E4158" s="139" t="n"/>
      <c r="F4158" s="139" t="n"/>
      <c r="G4158" s="140">
        <f>IFERROR(IF(E4158&gt;0,(F4158/E4158)*1000,""),"")</f>
        <v/>
      </c>
      <c r="H4158" s="139">
        <f>IFERROR(IF(E4158&gt;0,E4158*IF(ISNUMBER(J4158),J4158,IF(C4158="Futures",$C$6,$C$5)),""),"")</f>
        <v/>
      </c>
      <c r="I4158" s="139">
        <f>IFERROR(IF(AND(ISNUMBER(F4158),ISNUMBER(H4158)),F4158-H4158,""),"")</f>
        <v/>
      </c>
      <c r="J4158" s="114" t="n"/>
      <c r="K4158" s="139">
        <f>IFERROR(IF(H4158&gt;0,H4158*$C$7,""),"")</f>
        <v/>
      </c>
      <c r="L4158" s="139">
        <f>IFERROR(IF(ISNUMBER(F4158),F4158-IF(ISNUMBER(K4158),K4158,0),""),"")</f>
        <v/>
      </c>
    </row>
    <row r="4159" ht="24" customHeight="1" s="63">
      <c r="E4159" s="139" t="n"/>
      <c r="F4159" s="139" t="n"/>
      <c r="G4159" s="140">
        <f>IFERROR(IF(E4159&gt;0,(F4159/E4159)*1000,""),"")</f>
        <v/>
      </c>
      <c r="H4159" s="139">
        <f>IFERROR(IF(E4159&gt;0,E4159*IF(ISNUMBER(J4159),J4159,IF(C4159="Futures",$C$6,$C$5)),""),"")</f>
        <v/>
      </c>
      <c r="I4159" s="139">
        <f>IFERROR(IF(AND(ISNUMBER(F4159),ISNUMBER(H4159)),F4159-H4159,""),"")</f>
        <v/>
      </c>
      <c r="J4159" s="114" t="n"/>
      <c r="K4159" s="139">
        <f>IFERROR(IF(H4159&gt;0,H4159*$C$7,""),"")</f>
        <v/>
      </c>
      <c r="L4159" s="139">
        <f>IFERROR(IF(ISNUMBER(F4159),F4159-IF(ISNUMBER(K4159),K4159,0),""),"")</f>
        <v/>
      </c>
    </row>
    <row r="4160" ht="24" customHeight="1" s="63">
      <c r="E4160" s="139" t="n"/>
      <c r="F4160" s="139" t="n"/>
      <c r="G4160" s="140">
        <f>IFERROR(IF(E4160&gt;0,(F4160/E4160)*1000,""),"")</f>
        <v/>
      </c>
      <c r="H4160" s="139">
        <f>IFERROR(IF(E4160&gt;0,E4160*IF(ISNUMBER(J4160),J4160,IF(C4160="Futures",$C$6,$C$5)),""),"")</f>
        <v/>
      </c>
      <c r="I4160" s="139">
        <f>IFERROR(IF(AND(ISNUMBER(F4160),ISNUMBER(H4160)),F4160-H4160,""),"")</f>
        <v/>
      </c>
      <c r="J4160" s="114" t="n"/>
      <c r="K4160" s="139">
        <f>IFERROR(IF(H4160&gt;0,H4160*$C$7,""),"")</f>
        <v/>
      </c>
      <c r="L4160" s="139">
        <f>IFERROR(IF(ISNUMBER(F4160),F4160-IF(ISNUMBER(K4160),K4160,0),""),"")</f>
        <v/>
      </c>
    </row>
    <row r="4161" ht="24" customHeight="1" s="63">
      <c r="E4161" s="139" t="n"/>
      <c r="F4161" s="139" t="n"/>
      <c r="G4161" s="140">
        <f>IFERROR(IF(E4161&gt;0,(F4161/E4161)*1000,""),"")</f>
        <v/>
      </c>
      <c r="H4161" s="139">
        <f>IFERROR(IF(E4161&gt;0,E4161*IF(ISNUMBER(J4161),J4161,IF(C4161="Futures",$C$6,$C$5)),""),"")</f>
        <v/>
      </c>
      <c r="I4161" s="139">
        <f>IFERROR(IF(AND(ISNUMBER(F4161),ISNUMBER(H4161)),F4161-H4161,""),"")</f>
        <v/>
      </c>
      <c r="J4161" s="114" t="n"/>
      <c r="K4161" s="139">
        <f>IFERROR(IF(H4161&gt;0,H4161*$C$7,""),"")</f>
        <v/>
      </c>
      <c r="L4161" s="139">
        <f>IFERROR(IF(ISNUMBER(F4161),F4161-IF(ISNUMBER(K4161),K4161,0),""),"")</f>
        <v/>
      </c>
    </row>
    <row r="4162" ht="24" customHeight="1" s="63">
      <c r="E4162" s="139" t="n"/>
      <c r="F4162" s="139" t="n"/>
      <c r="G4162" s="140">
        <f>IFERROR(IF(E4162&gt;0,(F4162/E4162)*1000,""),"")</f>
        <v/>
      </c>
      <c r="H4162" s="139">
        <f>IFERROR(IF(E4162&gt;0,E4162*IF(ISNUMBER(J4162),J4162,IF(C4162="Futures",$C$6,$C$5)),""),"")</f>
        <v/>
      </c>
      <c r="I4162" s="139">
        <f>IFERROR(IF(AND(ISNUMBER(F4162),ISNUMBER(H4162)),F4162-H4162,""),"")</f>
        <v/>
      </c>
      <c r="J4162" s="114" t="n"/>
      <c r="K4162" s="139">
        <f>IFERROR(IF(H4162&gt;0,H4162*$C$7,""),"")</f>
        <v/>
      </c>
      <c r="L4162" s="139">
        <f>IFERROR(IF(ISNUMBER(F4162),F4162-IF(ISNUMBER(K4162),K4162,0),""),"")</f>
        <v/>
      </c>
    </row>
    <row r="4163" ht="24" customHeight="1" s="63">
      <c r="E4163" s="139" t="n"/>
      <c r="F4163" s="139" t="n"/>
      <c r="G4163" s="140">
        <f>IFERROR(IF(E4163&gt;0,(F4163/E4163)*1000,""),"")</f>
        <v/>
      </c>
      <c r="H4163" s="139">
        <f>IFERROR(IF(E4163&gt;0,E4163*IF(ISNUMBER(J4163),J4163,IF(C4163="Futures",$C$6,$C$5)),""),"")</f>
        <v/>
      </c>
      <c r="I4163" s="139">
        <f>IFERROR(IF(AND(ISNUMBER(F4163),ISNUMBER(H4163)),F4163-H4163,""),"")</f>
        <v/>
      </c>
      <c r="J4163" s="114" t="n"/>
      <c r="K4163" s="139">
        <f>IFERROR(IF(H4163&gt;0,H4163*$C$7,""),"")</f>
        <v/>
      </c>
      <c r="L4163" s="139">
        <f>IFERROR(IF(ISNUMBER(F4163),F4163-IF(ISNUMBER(K4163),K4163,0),""),"")</f>
        <v/>
      </c>
    </row>
    <row r="4164" ht="24" customHeight="1" s="63">
      <c r="E4164" s="139" t="n"/>
      <c r="F4164" s="139" t="n"/>
      <c r="G4164" s="140">
        <f>IFERROR(IF(E4164&gt;0,(F4164/E4164)*1000,""),"")</f>
        <v/>
      </c>
      <c r="H4164" s="139">
        <f>IFERROR(IF(E4164&gt;0,E4164*IF(ISNUMBER(J4164),J4164,IF(C4164="Futures",$C$6,$C$5)),""),"")</f>
        <v/>
      </c>
      <c r="I4164" s="139">
        <f>IFERROR(IF(AND(ISNUMBER(F4164),ISNUMBER(H4164)),F4164-H4164,""),"")</f>
        <v/>
      </c>
      <c r="J4164" s="114" t="n"/>
      <c r="K4164" s="139">
        <f>IFERROR(IF(H4164&gt;0,H4164*$C$7,""),"")</f>
        <v/>
      </c>
      <c r="L4164" s="139">
        <f>IFERROR(IF(ISNUMBER(F4164),F4164-IF(ISNUMBER(K4164),K4164,0),""),"")</f>
        <v/>
      </c>
    </row>
    <row r="4165" ht="24" customHeight="1" s="63">
      <c r="E4165" s="139" t="n"/>
      <c r="F4165" s="139" t="n"/>
      <c r="G4165" s="140">
        <f>IFERROR(IF(E4165&gt;0,(F4165/E4165)*1000,""),"")</f>
        <v/>
      </c>
      <c r="H4165" s="139">
        <f>IFERROR(IF(E4165&gt;0,E4165*IF(ISNUMBER(J4165),J4165,IF(C4165="Futures",$C$6,$C$5)),""),"")</f>
        <v/>
      </c>
      <c r="I4165" s="139">
        <f>IFERROR(IF(AND(ISNUMBER(F4165),ISNUMBER(H4165)),F4165-H4165,""),"")</f>
        <v/>
      </c>
      <c r="J4165" s="114" t="n"/>
      <c r="K4165" s="139">
        <f>IFERROR(IF(H4165&gt;0,H4165*$C$7,""),"")</f>
        <v/>
      </c>
      <c r="L4165" s="139">
        <f>IFERROR(IF(ISNUMBER(F4165),F4165-IF(ISNUMBER(K4165),K4165,0),""),"")</f>
        <v/>
      </c>
    </row>
    <row r="4166" ht="24" customHeight="1" s="63">
      <c r="E4166" s="139" t="n"/>
      <c r="F4166" s="139" t="n"/>
      <c r="G4166" s="140">
        <f>IFERROR(IF(E4166&gt;0,(F4166/E4166)*1000,""),"")</f>
        <v/>
      </c>
      <c r="H4166" s="139">
        <f>IFERROR(IF(E4166&gt;0,E4166*IF(ISNUMBER(J4166),J4166,IF(C4166="Futures",$C$6,$C$5)),""),"")</f>
        <v/>
      </c>
      <c r="I4166" s="139">
        <f>IFERROR(IF(AND(ISNUMBER(F4166),ISNUMBER(H4166)),F4166-H4166,""),"")</f>
        <v/>
      </c>
      <c r="J4166" s="114" t="n"/>
      <c r="K4166" s="139">
        <f>IFERROR(IF(H4166&gt;0,H4166*$C$7,""),"")</f>
        <v/>
      </c>
      <c r="L4166" s="139">
        <f>IFERROR(IF(ISNUMBER(F4166),F4166-IF(ISNUMBER(K4166),K4166,0),""),"")</f>
        <v/>
      </c>
    </row>
    <row r="4167" ht="24" customHeight="1" s="63">
      <c r="E4167" s="139" t="n"/>
      <c r="F4167" s="139" t="n"/>
      <c r="G4167" s="140">
        <f>IFERROR(IF(E4167&gt;0,(F4167/E4167)*1000,""),"")</f>
        <v/>
      </c>
      <c r="H4167" s="139">
        <f>IFERROR(IF(E4167&gt;0,E4167*IF(ISNUMBER(J4167),J4167,IF(C4167="Futures",$C$6,$C$5)),""),"")</f>
        <v/>
      </c>
      <c r="I4167" s="139">
        <f>IFERROR(IF(AND(ISNUMBER(F4167),ISNUMBER(H4167)),F4167-H4167,""),"")</f>
        <v/>
      </c>
      <c r="J4167" s="114" t="n"/>
      <c r="K4167" s="139">
        <f>IFERROR(IF(H4167&gt;0,H4167*$C$7,""),"")</f>
        <v/>
      </c>
      <c r="L4167" s="139">
        <f>IFERROR(IF(ISNUMBER(F4167),F4167-IF(ISNUMBER(K4167),K4167,0),""),"")</f>
        <v/>
      </c>
    </row>
    <row r="4168" ht="24" customHeight="1" s="63">
      <c r="E4168" s="139" t="n"/>
      <c r="F4168" s="139" t="n"/>
      <c r="G4168" s="140">
        <f>IFERROR(IF(E4168&gt;0,(F4168/E4168)*1000,""),"")</f>
        <v/>
      </c>
      <c r="H4168" s="139">
        <f>IFERROR(IF(E4168&gt;0,E4168*IF(ISNUMBER(J4168),J4168,IF(C4168="Futures",$C$6,$C$5)),""),"")</f>
        <v/>
      </c>
      <c r="I4168" s="139">
        <f>IFERROR(IF(AND(ISNUMBER(F4168),ISNUMBER(H4168)),F4168-H4168,""),"")</f>
        <v/>
      </c>
      <c r="J4168" s="114" t="n"/>
      <c r="K4168" s="139">
        <f>IFERROR(IF(H4168&gt;0,H4168*$C$7,""),"")</f>
        <v/>
      </c>
      <c r="L4168" s="139">
        <f>IFERROR(IF(ISNUMBER(F4168),F4168-IF(ISNUMBER(K4168),K4168,0),""),"")</f>
        <v/>
      </c>
    </row>
    <row r="4169" ht="24" customHeight="1" s="63">
      <c r="E4169" s="139" t="n"/>
      <c r="F4169" s="139" t="n"/>
      <c r="G4169" s="140">
        <f>IFERROR(IF(E4169&gt;0,(F4169/E4169)*1000,""),"")</f>
        <v/>
      </c>
      <c r="H4169" s="139">
        <f>IFERROR(IF(E4169&gt;0,E4169*IF(ISNUMBER(J4169),J4169,IF(C4169="Futures",$C$6,$C$5)),""),"")</f>
        <v/>
      </c>
      <c r="I4169" s="139">
        <f>IFERROR(IF(AND(ISNUMBER(F4169),ISNUMBER(H4169)),F4169-H4169,""),"")</f>
        <v/>
      </c>
      <c r="J4169" s="114" t="n"/>
      <c r="K4169" s="139">
        <f>IFERROR(IF(H4169&gt;0,H4169*$C$7,""),"")</f>
        <v/>
      </c>
      <c r="L4169" s="139">
        <f>IFERROR(IF(ISNUMBER(F4169),F4169-IF(ISNUMBER(K4169),K4169,0),""),"")</f>
        <v/>
      </c>
    </row>
    <row r="4170" ht="24" customHeight="1" s="63">
      <c r="E4170" s="139" t="n"/>
      <c r="F4170" s="139" t="n"/>
      <c r="G4170" s="140">
        <f>IFERROR(IF(E4170&gt;0,(F4170/E4170)*1000,""),"")</f>
        <v/>
      </c>
      <c r="H4170" s="139">
        <f>IFERROR(IF(E4170&gt;0,E4170*IF(ISNUMBER(J4170),J4170,IF(C4170="Futures",$C$6,$C$5)),""),"")</f>
        <v/>
      </c>
      <c r="I4170" s="139">
        <f>IFERROR(IF(AND(ISNUMBER(F4170),ISNUMBER(H4170)),F4170-H4170,""),"")</f>
        <v/>
      </c>
      <c r="J4170" s="114" t="n"/>
      <c r="K4170" s="139">
        <f>IFERROR(IF(H4170&gt;0,H4170*$C$7,""),"")</f>
        <v/>
      </c>
      <c r="L4170" s="139">
        <f>IFERROR(IF(ISNUMBER(F4170),F4170-IF(ISNUMBER(K4170),K4170,0),""),"")</f>
        <v/>
      </c>
    </row>
    <row r="4171" ht="24" customHeight="1" s="63">
      <c r="E4171" s="139" t="n"/>
      <c r="F4171" s="139" t="n"/>
      <c r="G4171" s="140">
        <f>IFERROR(IF(E4171&gt;0,(F4171/E4171)*1000,""),"")</f>
        <v/>
      </c>
      <c r="H4171" s="139">
        <f>IFERROR(IF(E4171&gt;0,E4171*IF(ISNUMBER(J4171),J4171,IF(C4171="Futures",$C$6,$C$5)),""),"")</f>
        <v/>
      </c>
      <c r="I4171" s="139">
        <f>IFERROR(IF(AND(ISNUMBER(F4171),ISNUMBER(H4171)),F4171-H4171,""),"")</f>
        <v/>
      </c>
      <c r="J4171" s="114" t="n"/>
      <c r="K4171" s="139">
        <f>IFERROR(IF(H4171&gt;0,H4171*$C$7,""),"")</f>
        <v/>
      </c>
      <c r="L4171" s="139">
        <f>IFERROR(IF(ISNUMBER(F4171),F4171-IF(ISNUMBER(K4171),K4171,0),""),"")</f>
        <v/>
      </c>
    </row>
    <row r="4172" ht="24" customHeight="1" s="63">
      <c r="E4172" s="139" t="n"/>
      <c r="F4172" s="139" t="n"/>
      <c r="G4172" s="140">
        <f>IFERROR(IF(E4172&gt;0,(F4172/E4172)*1000,""),"")</f>
        <v/>
      </c>
      <c r="H4172" s="139">
        <f>IFERROR(IF(E4172&gt;0,E4172*IF(ISNUMBER(J4172),J4172,IF(C4172="Futures",$C$6,$C$5)),""),"")</f>
        <v/>
      </c>
      <c r="I4172" s="139">
        <f>IFERROR(IF(AND(ISNUMBER(F4172),ISNUMBER(H4172)),F4172-H4172,""),"")</f>
        <v/>
      </c>
      <c r="J4172" s="114" t="n"/>
      <c r="K4172" s="139">
        <f>IFERROR(IF(H4172&gt;0,H4172*$C$7,""),"")</f>
        <v/>
      </c>
      <c r="L4172" s="139">
        <f>IFERROR(IF(ISNUMBER(F4172),F4172-IF(ISNUMBER(K4172),K4172,0),""),"")</f>
        <v/>
      </c>
    </row>
    <row r="4173" ht="24" customHeight="1" s="63">
      <c r="E4173" s="139" t="n"/>
      <c r="F4173" s="139" t="n"/>
      <c r="G4173" s="140">
        <f>IFERROR(IF(E4173&gt;0,(F4173/E4173)*1000,""),"")</f>
        <v/>
      </c>
      <c r="H4173" s="139">
        <f>IFERROR(IF(E4173&gt;0,E4173*IF(ISNUMBER(J4173),J4173,IF(C4173="Futures",$C$6,$C$5)),""),"")</f>
        <v/>
      </c>
      <c r="I4173" s="139">
        <f>IFERROR(IF(AND(ISNUMBER(F4173),ISNUMBER(H4173)),F4173-H4173,""),"")</f>
        <v/>
      </c>
      <c r="J4173" s="114" t="n"/>
      <c r="K4173" s="139">
        <f>IFERROR(IF(H4173&gt;0,H4173*$C$7,""),"")</f>
        <v/>
      </c>
      <c r="L4173" s="139">
        <f>IFERROR(IF(ISNUMBER(F4173),F4173-IF(ISNUMBER(K4173),K4173,0),""),"")</f>
        <v/>
      </c>
    </row>
    <row r="4174" ht="24" customHeight="1" s="63">
      <c r="E4174" s="139" t="n"/>
      <c r="F4174" s="139" t="n"/>
      <c r="G4174" s="140">
        <f>IFERROR(IF(E4174&gt;0,(F4174/E4174)*1000,""),"")</f>
        <v/>
      </c>
      <c r="H4174" s="139">
        <f>IFERROR(IF(E4174&gt;0,E4174*IF(ISNUMBER(J4174),J4174,IF(C4174="Futures",$C$6,$C$5)),""),"")</f>
        <v/>
      </c>
      <c r="I4174" s="139">
        <f>IFERROR(IF(AND(ISNUMBER(F4174),ISNUMBER(H4174)),F4174-H4174,""),"")</f>
        <v/>
      </c>
      <c r="J4174" s="114" t="n"/>
      <c r="K4174" s="139">
        <f>IFERROR(IF(H4174&gt;0,H4174*$C$7,""),"")</f>
        <v/>
      </c>
      <c r="L4174" s="139">
        <f>IFERROR(IF(ISNUMBER(F4174),F4174-IF(ISNUMBER(K4174),K4174,0),""),"")</f>
        <v/>
      </c>
    </row>
    <row r="4175" ht="24" customHeight="1" s="63">
      <c r="E4175" s="139" t="n"/>
      <c r="F4175" s="139" t="n"/>
      <c r="G4175" s="140">
        <f>IFERROR(IF(E4175&gt;0,(F4175/E4175)*1000,""),"")</f>
        <v/>
      </c>
      <c r="H4175" s="139">
        <f>IFERROR(IF(E4175&gt;0,E4175*IF(ISNUMBER(J4175),J4175,IF(C4175="Futures",$C$6,$C$5)),""),"")</f>
        <v/>
      </c>
      <c r="I4175" s="139">
        <f>IFERROR(IF(AND(ISNUMBER(F4175),ISNUMBER(H4175)),F4175-H4175,""),"")</f>
        <v/>
      </c>
      <c r="J4175" s="114" t="n"/>
      <c r="K4175" s="139">
        <f>IFERROR(IF(H4175&gt;0,H4175*$C$7,""),"")</f>
        <v/>
      </c>
      <c r="L4175" s="139">
        <f>IFERROR(IF(ISNUMBER(F4175),F4175-IF(ISNUMBER(K4175),K4175,0),""),"")</f>
        <v/>
      </c>
    </row>
    <row r="4176" ht="24" customHeight="1" s="63">
      <c r="E4176" s="139" t="n"/>
      <c r="F4176" s="139" t="n"/>
      <c r="G4176" s="140">
        <f>IFERROR(IF(E4176&gt;0,(F4176/E4176)*1000,""),"")</f>
        <v/>
      </c>
      <c r="H4176" s="139">
        <f>IFERROR(IF(E4176&gt;0,E4176*IF(ISNUMBER(J4176),J4176,IF(C4176="Futures",$C$6,$C$5)),""),"")</f>
        <v/>
      </c>
      <c r="I4176" s="139">
        <f>IFERROR(IF(AND(ISNUMBER(F4176),ISNUMBER(H4176)),F4176-H4176,""),"")</f>
        <v/>
      </c>
      <c r="J4176" s="114" t="n"/>
      <c r="K4176" s="139">
        <f>IFERROR(IF(H4176&gt;0,H4176*$C$7,""),"")</f>
        <v/>
      </c>
      <c r="L4176" s="139">
        <f>IFERROR(IF(ISNUMBER(F4176),F4176-IF(ISNUMBER(K4176),K4176,0),""),"")</f>
        <v/>
      </c>
    </row>
    <row r="4177" ht="24" customHeight="1" s="63">
      <c r="E4177" s="139" t="n"/>
      <c r="F4177" s="139" t="n"/>
      <c r="G4177" s="140">
        <f>IFERROR(IF(E4177&gt;0,(F4177/E4177)*1000,""),"")</f>
        <v/>
      </c>
      <c r="H4177" s="139">
        <f>IFERROR(IF(E4177&gt;0,E4177*IF(ISNUMBER(J4177),J4177,IF(C4177="Futures",$C$6,$C$5)),""),"")</f>
        <v/>
      </c>
      <c r="I4177" s="139">
        <f>IFERROR(IF(AND(ISNUMBER(F4177),ISNUMBER(H4177)),F4177-H4177,""),"")</f>
        <v/>
      </c>
      <c r="J4177" s="114" t="n"/>
      <c r="K4177" s="139">
        <f>IFERROR(IF(H4177&gt;0,H4177*$C$7,""),"")</f>
        <v/>
      </c>
      <c r="L4177" s="139">
        <f>IFERROR(IF(ISNUMBER(F4177),F4177-IF(ISNUMBER(K4177),K4177,0),""),"")</f>
        <v/>
      </c>
    </row>
    <row r="4178" ht="24" customHeight="1" s="63">
      <c r="E4178" s="139" t="n"/>
      <c r="F4178" s="139" t="n"/>
      <c r="G4178" s="140">
        <f>IFERROR(IF(E4178&gt;0,(F4178/E4178)*1000,""),"")</f>
        <v/>
      </c>
      <c r="H4178" s="139">
        <f>IFERROR(IF(E4178&gt;0,E4178*IF(ISNUMBER(J4178),J4178,IF(C4178="Futures",$C$6,$C$5)),""),"")</f>
        <v/>
      </c>
      <c r="I4178" s="139">
        <f>IFERROR(IF(AND(ISNUMBER(F4178),ISNUMBER(H4178)),F4178-H4178,""),"")</f>
        <v/>
      </c>
      <c r="J4178" s="114" t="n"/>
      <c r="K4178" s="139">
        <f>IFERROR(IF(H4178&gt;0,H4178*$C$7,""),"")</f>
        <v/>
      </c>
      <c r="L4178" s="139">
        <f>IFERROR(IF(ISNUMBER(F4178),F4178-IF(ISNUMBER(K4178),K4178,0),""),"")</f>
        <v/>
      </c>
    </row>
    <row r="4179" ht="24" customHeight="1" s="63">
      <c r="E4179" s="139" t="n"/>
      <c r="F4179" s="139" t="n"/>
      <c r="G4179" s="140">
        <f>IFERROR(IF(E4179&gt;0,(F4179/E4179)*1000,""),"")</f>
        <v/>
      </c>
      <c r="H4179" s="139">
        <f>IFERROR(IF(E4179&gt;0,E4179*IF(ISNUMBER(J4179),J4179,IF(C4179="Futures",$C$6,$C$5)),""),"")</f>
        <v/>
      </c>
      <c r="I4179" s="139">
        <f>IFERROR(IF(AND(ISNUMBER(F4179),ISNUMBER(H4179)),F4179-H4179,""),"")</f>
        <v/>
      </c>
      <c r="J4179" s="114" t="n"/>
      <c r="K4179" s="139">
        <f>IFERROR(IF(H4179&gt;0,H4179*$C$7,""),"")</f>
        <v/>
      </c>
      <c r="L4179" s="139">
        <f>IFERROR(IF(ISNUMBER(F4179),F4179-IF(ISNUMBER(K4179),K4179,0),""),"")</f>
        <v/>
      </c>
    </row>
    <row r="4180" ht="24" customHeight="1" s="63">
      <c r="E4180" s="139" t="n"/>
      <c r="F4180" s="139" t="n"/>
      <c r="G4180" s="140">
        <f>IFERROR(IF(E4180&gt;0,(F4180/E4180)*1000,""),"")</f>
        <v/>
      </c>
      <c r="H4180" s="139">
        <f>IFERROR(IF(E4180&gt;0,E4180*IF(ISNUMBER(J4180),J4180,IF(C4180="Futures",$C$6,$C$5)),""),"")</f>
        <v/>
      </c>
      <c r="I4180" s="139">
        <f>IFERROR(IF(AND(ISNUMBER(F4180),ISNUMBER(H4180)),F4180-H4180,""),"")</f>
        <v/>
      </c>
      <c r="J4180" s="114" t="n"/>
      <c r="K4180" s="139">
        <f>IFERROR(IF(H4180&gt;0,H4180*$C$7,""),"")</f>
        <v/>
      </c>
      <c r="L4180" s="139">
        <f>IFERROR(IF(ISNUMBER(F4180),F4180-IF(ISNUMBER(K4180),K4180,0),""),"")</f>
        <v/>
      </c>
    </row>
    <row r="4181" ht="24" customHeight="1" s="63">
      <c r="E4181" s="139" t="n"/>
      <c r="F4181" s="139" t="n"/>
      <c r="G4181" s="140">
        <f>IFERROR(IF(E4181&gt;0,(F4181/E4181)*1000,""),"")</f>
        <v/>
      </c>
      <c r="H4181" s="139">
        <f>IFERROR(IF(E4181&gt;0,E4181*IF(ISNUMBER(J4181),J4181,IF(C4181="Futures",$C$6,$C$5)),""),"")</f>
        <v/>
      </c>
      <c r="I4181" s="139">
        <f>IFERROR(IF(AND(ISNUMBER(F4181),ISNUMBER(H4181)),F4181-H4181,""),"")</f>
        <v/>
      </c>
      <c r="J4181" s="114" t="n"/>
      <c r="K4181" s="139">
        <f>IFERROR(IF(H4181&gt;0,H4181*$C$7,""),"")</f>
        <v/>
      </c>
      <c r="L4181" s="139">
        <f>IFERROR(IF(ISNUMBER(F4181),F4181-IF(ISNUMBER(K4181),K4181,0),""),"")</f>
        <v/>
      </c>
    </row>
    <row r="4182" ht="24" customHeight="1" s="63">
      <c r="E4182" s="139" t="n"/>
      <c r="F4182" s="139" t="n"/>
      <c r="G4182" s="140">
        <f>IFERROR(IF(E4182&gt;0,(F4182/E4182)*1000,""),"")</f>
        <v/>
      </c>
      <c r="H4182" s="139">
        <f>IFERROR(IF(E4182&gt;0,E4182*IF(ISNUMBER(J4182),J4182,IF(C4182="Futures",$C$6,$C$5)),""),"")</f>
        <v/>
      </c>
      <c r="I4182" s="139">
        <f>IFERROR(IF(AND(ISNUMBER(F4182),ISNUMBER(H4182)),F4182-H4182,""),"")</f>
        <v/>
      </c>
      <c r="J4182" s="114" t="n"/>
      <c r="K4182" s="139">
        <f>IFERROR(IF(H4182&gt;0,H4182*$C$7,""),"")</f>
        <v/>
      </c>
      <c r="L4182" s="139">
        <f>IFERROR(IF(ISNUMBER(F4182),F4182-IF(ISNUMBER(K4182),K4182,0),""),"")</f>
        <v/>
      </c>
    </row>
    <row r="4183" ht="24" customHeight="1" s="63">
      <c r="E4183" s="139" t="n"/>
      <c r="F4183" s="139" t="n"/>
      <c r="G4183" s="140">
        <f>IFERROR(IF(E4183&gt;0,(F4183/E4183)*1000,""),"")</f>
        <v/>
      </c>
      <c r="H4183" s="139">
        <f>IFERROR(IF(E4183&gt;0,E4183*IF(ISNUMBER(J4183),J4183,IF(C4183="Futures",$C$6,$C$5)),""),"")</f>
        <v/>
      </c>
      <c r="I4183" s="139">
        <f>IFERROR(IF(AND(ISNUMBER(F4183),ISNUMBER(H4183)),F4183-H4183,""),"")</f>
        <v/>
      </c>
      <c r="J4183" s="114" t="n"/>
      <c r="K4183" s="139">
        <f>IFERROR(IF(H4183&gt;0,H4183*$C$7,""),"")</f>
        <v/>
      </c>
      <c r="L4183" s="139">
        <f>IFERROR(IF(ISNUMBER(F4183),F4183-IF(ISNUMBER(K4183),K4183,0),""),"")</f>
        <v/>
      </c>
    </row>
    <row r="4184" ht="24" customHeight="1" s="63">
      <c r="E4184" s="139" t="n"/>
      <c r="F4184" s="139" t="n"/>
      <c r="G4184" s="140">
        <f>IFERROR(IF(E4184&gt;0,(F4184/E4184)*1000,""),"")</f>
        <v/>
      </c>
      <c r="H4184" s="139">
        <f>IFERROR(IF(E4184&gt;0,E4184*IF(ISNUMBER(J4184),J4184,IF(C4184="Futures",$C$6,$C$5)),""),"")</f>
        <v/>
      </c>
      <c r="I4184" s="139">
        <f>IFERROR(IF(AND(ISNUMBER(F4184),ISNUMBER(H4184)),F4184-H4184,""),"")</f>
        <v/>
      </c>
      <c r="J4184" s="114" t="n"/>
      <c r="K4184" s="139">
        <f>IFERROR(IF(H4184&gt;0,H4184*$C$7,""),"")</f>
        <v/>
      </c>
      <c r="L4184" s="139">
        <f>IFERROR(IF(ISNUMBER(F4184),F4184-IF(ISNUMBER(K4184),K4184,0),""),"")</f>
        <v/>
      </c>
    </row>
    <row r="4185" ht="24" customHeight="1" s="63">
      <c r="E4185" s="139" t="n"/>
      <c r="F4185" s="139" t="n"/>
      <c r="G4185" s="140">
        <f>IFERROR(IF(E4185&gt;0,(F4185/E4185)*1000,""),"")</f>
        <v/>
      </c>
      <c r="H4185" s="139">
        <f>IFERROR(IF(E4185&gt;0,E4185*IF(ISNUMBER(J4185),J4185,IF(C4185="Futures",$C$6,$C$5)),""),"")</f>
        <v/>
      </c>
      <c r="I4185" s="139">
        <f>IFERROR(IF(AND(ISNUMBER(F4185),ISNUMBER(H4185)),F4185-H4185,""),"")</f>
        <v/>
      </c>
      <c r="J4185" s="114" t="n"/>
      <c r="K4185" s="139">
        <f>IFERROR(IF(H4185&gt;0,H4185*$C$7,""),"")</f>
        <v/>
      </c>
      <c r="L4185" s="139">
        <f>IFERROR(IF(ISNUMBER(F4185),F4185-IF(ISNUMBER(K4185),K4185,0),""),"")</f>
        <v/>
      </c>
    </row>
    <row r="4186" ht="24" customHeight="1" s="63">
      <c r="E4186" s="139" t="n"/>
      <c r="F4186" s="139" t="n"/>
      <c r="G4186" s="140">
        <f>IFERROR(IF(E4186&gt;0,(F4186/E4186)*1000,""),"")</f>
        <v/>
      </c>
      <c r="H4186" s="139">
        <f>IFERROR(IF(E4186&gt;0,E4186*IF(ISNUMBER(J4186),J4186,IF(C4186="Futures",$C$6,$C$5)),""),"")</f>
        <v/>
      </c>
      <c r="I4186" s="139">
        <f>IFERROR(IF(AND(ISNUMBER(F4186),ISNUMBER(H4186)),F4186-H4186,""),"")</f>
        <v/>
      </c>
      <c r="J4186" s="114" t="n"/>
      <c r="K4186" s="139">
        <f>IFERROR(IF(H4186&gt;0,H4186*$C$7,""),"")</f>
        <v/>
      </c>
      <c r="L4186" s="139">
        <f>IFERROR(IF(ISNUMBER(F4186),F4186-IF(ISNUMBER(K4186),K4186,0),""),"")</f>
        <v/>
      </c>
    </row>
    <row r="4187" ht="24" customHeight="1" s="63">
      <c r="E4187" s="139" t="n"/>
      <c r="F4187" s="139" t="n"/>
      <c r="G4187" s="140">
        <f>IFERROR(IF(E4187&gt;0,(F4187/E4187)*1000,""),"")</f>
        <v/>
      </c>
      <c r="H4187" s="139">
        <f>IFERROR(IF(E4187&gt;0,E4187*IF(ISNUMBER(J4187),J4187,IF(C4187="Futures",$C$6,$C$5)),""),"")</f>
        <v/>
      </c>
      <c r="I4187" s="139">
        <f>IFERROR(IF(AND(ISNUMBER(F4187),ISNUMBER(H4187)),F4187-H4187,""),"")</f>
        <v/>
      </c>
      <c r="J4187" s="114" t="n"/>
      <c r="K4187" s="139">
        <f>IFERROR(IF(H4187&gt;0,H4187*$C$7,""),"")</f>
        <v/>
      </c>
      <c r="L4187" s="139">
        <f>IFERROR(IF(ISNUMBER(F4187),F4187-IF(ISNUMBER(K4187),K4187,0),""),"")</f>
        <v/>
      </c>
    </row>
    <row r="4188" ht="24" customHeight="1" s="63">
      <c r="E4188" s="139" t="n"/>
      <c r="F4188" s="139" t="n"/>
      <c r="G4188" s="140">
        <f>IFERROR(IF(E4188&gt;0,(F4188/E4188)*1000,""),"")</f>
        <v/>
      </c>
      <c r="H4188" s="139">
        <f>IFERROR(IF(E4188&gt;0,E4188*IF(ISNUMBER(J4188),J4188,IF(C4188="Futures",$C$6,$C$5)),""),"")</f>
        <v/>
      </c>
      <c r="I4188" s="139">
        <f>IFERROR(IF(AND(ISNUMBER(F4188),ISNUMBER(H4188)),F4188-H4188,""),"")</f>
        <v/>
      </c>
      <c r="J4188" s="114" t="n"/>
      <c r="K4188" s="139">
        <f>IFERROR(IF(H4188&gt;0,H4188*$C$7,""),"")</f>
        <v/>
      </c>
      <c r="L4188" s="139">
        <f>IFERROR(IF(ISNUMBER(F4188),F4188-IF(ISNUMBER(K4188),K4188,0),""),"")</f>
        <v/>
      </c>
    </row>
    <row r="4189" ht="24" customHeight="1" s="63">
      <c r="E4189" s="139" t="n"/>
      <c r="F4189" s="139" t="n"/>
      <c r="G4189" s="140">
        <f>IFERROR(IF(E4189&gt;0,(F4189/E4189)*1000,""),"")</f>
        <v/>
      </c>
      <c r="H4189" s="139">
        <f>IFERROR(IF(E4189&gt;0,E4189*IF(ISNUMBER(J4189),J4189,IF(C4189="Futures",$C$6,$C$5)),""),"")</f>
        <v/>
      </c>
      <c r="I4189" s="139">
        <f>IFERROR(IF(AND(ISNUMBER(F4189),ISNUMBER(H4189)),F4189-H4189,""),"")</f>
        <v/>
      </c>
      <c r="J4189" s="114" t="n"/>
      <c r="K4189" s="139">
        <f>IFERROR(IF(H4189&gt;0,H4189*$C$7,""),"")</f>
        <v/>
      </c>
      <c r="L4189" s="139">
        <f>IFERROR(IF(ISNUMBER(F4189),F4189-IF(ISNUMBER(K4189),K4189,0),""),"")</f>
        <v/>
      </c>
    </row>
    <row r="4190" ht="24" customHeight="1" s="63">
      <c r="E4190" s="139" t="n"/>
      <c r="F4190" s="139" t="n"/>
      <c r="G4190" s="140">
        <f>IFERROR(IF(E4190&gt;0,(F4190/E4190)*1000,""),"")</f>
        <v/>
      </c>
      <c r="H4190" s="139">
        <f>IFERROR(IF(E4190&gt;0,E4190*IF(ISNUMBER(J4190),J4190,IF(C4190="Futures",$C$6,$C$5)),""),"")</f>
        <v/>
      </c>
      <c r="I4190" s="139">
        <f>IFERROR(IF(AND(ISNUMBER(F4190),ISNUMBER(H4190)),F4190-H4190,""),"")</f>
        <v/>
      </c>
      <c r="J4190" s="114" t="n"/>
      <c r="K4190" s="139">
        <f>IFERROR(IF(H4190&gt;0,H4190*$C$7,""),"")</f>
        <v/>
      </c>
      <c r="L4190" s="139">
        <f>IFERROR(IF(ISNUMBER(F4190),F4190-IF(ISNUMBER(K4190),K4190,0),""),"")</f>
        <v/>
      </c>
    </row>
    <row r="4191" ht="24" customHeight="1" s="63">
      <c r="E4191" s="139" t="n"/>
      <c r="F4191" s="139" t="n"/>
      <c r="G4191" s="140">
        <f>IFERROR(IF(E4191&gt;0,(F4191/E4191)*1000,""),"")</f>
        <v/>
      </c>
      <c r="H4191" s="139">
        <f>IFERROR(IF(E4191&gt;0,E4191*IF(ISNUMBER(J4191),J4191,IF(C4191="Futures",$C$6,$C$5)),""),"")</f>
        <v/>
      </c>
      <c r="I4191" s="139">
        <f>IFERROR(IF(AND(ISNUMBER(F4191),ISNUMBER(H4191)),F4191-H4191,""),"")</f>
        <v/>
      </c>
      <c r="J4191" s="114" t="n"/>
      <c r="K4191" s="139">
        <f>IFERROR(IF(H4191&gt;0,H4191*$C$7,""),"")</f>
        <v/>
      </c>
      <c r="L4191" s="139">
        <f>IFERROR(IF(ISNUMBER(F4191),F4191-IF(ISNUMBER(K4191),K4191,0),""),"")</f>
        <v/>
      </c>
    </row>
    <row r="4192" ht="24" customHeight="1" s="63">
      <c r="E4192" s="139" t="n"/>
      <c r="F4192" s="139" t="n"/>
      <c r="G4192" s="140">
        <f>IFERROR(IF(E4192&gt;0,(F4192/E4192)*1000,""),"")</f>
        <v/>
      </c>
      <c r="H4192" s="139">
        <f>IFERROR(IF(E4192&gt;0,E4192*IF(ISNUMBER(J4192),J4192,IF(C4192="Futures",$C$6,$C$5)),""),"")</f>
        <v/>
      </c>
      <c r="I4192" s="139">
        <f>IFERROR(IF(AND(ISNUMBER(F4192),ISNUMBER(H4192)),F4192-H4192,""),"")</f>
        <v/>
      </c>
      <c r="J4192" s="114" t="n"/>
      <c r="K4192" s="139">
        <f>IFERROR(IF(H4192&gt;0,H4192*$C$7,""),"")</f>
        <v/>
      </c>
      <c r="L4192" s="139">
        <f>IFERROR(IF(ISNUMBER(F4192),F4192-IF(ISNUMBER(K4192),K4192,0),""),"")</f>
        <v/>
      </c>
    </row>
    <row r="4193" ht="24" customHeight="1" s="63">
      <c r="E4193" s="139" t="n"/>
      <c r="F4193" s="139" t="n"/>
      <c r="G4193" s="140">
        <f>IFERROR(IF(E4193&gt;0,(F4193/E4193)*1000,""),"")</f>
        <v/>
      </c>
      <c r="H4193" s="139">
        <f>IFERROR(IF(E4193&gt;0,E4193*IF(ISNUMBER(J4193),J4193,IF(C4193="Futures",$C$6,$C$5)),""),"")</f>
        <v/>
      </c>
      <c r="I4193" s="139">
        <f>IFERROR(IF(AND(ISNUMBER(F4193),ISNUMBER(H4193)),F4193-H4193,""),"")</f>
        <v/>
      </c>
      <c r="J4193" s="114" t="n"/>
      <c r="K4193" s="139">
        <f>IFERROR(IF(H4193&gt;0,H4193*$C$7,""),"")</f>
        <v/>
      </c>
      <c r="L4193" s="139">
        <f>IFERROR(IF(ISNUMBER(F4193),F4193-IF(ISNUMBER(K4193),K4193,0),""),"")</f>
        <v/>
      </c>
    </row>
    <row r="4194" ht="24" customHeight="1" s="63">
      <c r="E4194" s="139" t="n"/>
      <c r="F4194" s="139" t="n"/>
      <c r="G4194" s="140">
        <f>IFERROR(IF(E4194&gt;0,(F4194/E4194)*1000,""),"")</f>
        <v/>
      </c>
      <c r="H4194" s="139">
        <f>IFERROR(IF(E4194&gt;0,E4194*IF(ISNUMBER(J4194),J4194,IF(C4194="Futures",$C$6,$C$5)),""),"")</f>
        <v/>
      </c>
      <c r="I4194" s="139">
        <f>IFERROR(IF(AND(ISNUMBER(F4194),ISNUMBER(H4194)),F4194-H4194,""),"")</f>
        <v/>
      </c>
      <c r="J4194" s="114" t="n"/>
      <c r="K4194" s="139">
        <f>IFERROR(IF(H4194&gt;0,H4194*$C$7,""),"")</f>
        <v/>
      </c>
      <c r="L4194" s="139">
        <f>IFERROR(IF(ISNUMBER(F4194),F4194-IF(ISNUMBER(K4194),K4194,0),""),"")</f>
        <v/>
      </c>
    </row>
    <row r="4195" ht="24" customHeight="1" s="63">
      <c r="E4195" s="139" t="n"/>
      <c r="F4195" s="139" t="n"/>
      <c r="G4195" s="140">
        <f>IFERROR(IF(E4195&gt;0,(F4195/E4195)*1000,""),"")</f>
        <v/>
      </c>
      <c r="H4195" s="139">
        <f>IFERROR(IF(E4195&gt;0,E4195*IF(ISNUMBER(J4195),J4195,IF(C4195="Futures",$C$6,$C$5)),""),"")</f>
        <v/>
      </c>
      <c r="I4195" s="139">
        <f>IFERROR(IF(AND(ISNUMBER(F4195),ISNUMBER(H4195)),F4195-H4195,""),"")</f>
        <v/>
      </c>
      <c r="J4195" s="114" t="n"/>
      <c r="K4195" s="139">
        <f>IFERROR(IF(H4195&gt;0,H4195*$C$7,""),"")</f>
        <v/>
      </c>
      <c r="L4195" s="139">
        <f>IFERROR(IF(ISNUMBER(F4195),F4195-IF(ISNUMBER(K4195),K4195,0),""),"")</f>
        <v/>
      </c>
    </row>
    <row r="4196" ht="24" customHeight="1" s="63">
      <c r="E4196" s="139" t="n"/>
      <c r="F4196" s="139" t="n"/>
      <c r="G4196" s="140">
        <f>IFERROR(IF(E4196&gt;0,(F4196/E4196)*1000,""),"")</f>
        <v/>
      </c>
      <c r="H4196" s="139">
        <f>IFERROR(IF(E4196&gt;0,E4196*IF(ISNUMBER(J4196),J4196,IF(C4196="Futures",$C$6,$C$5)),""),"")</f>
        <v/>
      </c>
      <c r="I4196" s="139">
        <f>IFERROR(IF(AND(ISNUMBER(F4196),ISNUMBER(H4196)),F4196-H4196,""),"")</f>
        <v/>
      </c>
      <c r="J4196" s="114" t="n"/>
      <c r="K4196" s="139">
        <f>IFERROR(IF(H4196&gt;0,H4196*$C$7,""),"")</f>
        <v/>
      </c>
      <c r="L4196" s="139">
        <f>IFERROR(IF(ISNUMBER(F4196),F4196-IF(ISNUMBER(K4196),K4196,0),""),"")</f>
        <v/>
      </c>
    </row>
    <row r="4197" ht="24" customHeight="1" s="63">
      <c r="E4197" s="139" t="n"/>
      <c r="F4197" s="139" t="n"/>
      <c r="G4197" s="140">
        <f>IFERROR(IF(E4197&gt;0,(F4197/E4197)*1000,""),"")</f>
        <v/>
      </c>
      <c r="H4197" s="139">
        <f>IFERROR(IF(E4197&gt;0,E4197*IF(ISNUMBER(J4197),J4197,IF(C4197="Futures",$C$6,$C$5)),""),"")</f>
        <v/>
      </c>
      <c r="I4197" s="139">
        <f>IFERROR(IF(AND(ISNUMBER(F4197),ISNUMBER(H4197)),F4197-H4197,""),"")</f>
        <v/>
      </c>
      <c r="J4197" s="114" t="n"/>
      <c r="K4197" s="139">
        <f>IFERROR(IF(H4197&gt;0,H4197*$C$7,""),"")</f>
        <v/>
      </c>
      <c r="L4197" s="139">
        <f>IFERROR(IF(ISNUMBER(F4197),F4197-IF(ISNUMBER(K4197),K4197,0),""),"")</f>
        <v/>
      </c>
    </row>
    <row r="4198" ht="24" customHeight="1" s="63">
      <c r="E4198" s="139" t="n"/>
      <c r="F4198" s="139" t="n"/>
      <c r="G4198" s="140">
        <f>IFERROR(IF(E4198&gt;0,(F4198/E4198)*1000,""),"")</f>
        <v/>
      </c>
      <c r="H4198" s="139">
        <f>IFERROR(IF(E4198&gt;0,E4198*IF(ISNUMBER(J4198),J4198,IF(C4198="Futures",$C$6,$C$5)),""),"")</f>
        <v/>
      </c>
      <c r="I4198" s="139">
        <f>IFERROR(IF(AND(ISNUMBER(F4198),ISNUMBER(H4198)),F4198-H4198,""),"")</f>
        <v/>
      </c>
      <c r="J4198" s="114" t="n"/>
      <c r="K4198" s="139">
        <f>IFERROR(IF(H4198&gt;0,H4198*$C$7,""),"")</f>
        <v/>
      </c>
      <c r="L4198" s="139">
        <f>IFERROR(IF(ISNUMBER(F4198),F4198-IF(ISNUMBER(K4198),K4198,0),""),"")</f>
        <v/>
      </c>
    </row>
    <row r="4199" ht="24" customHeight="1" s="63">
      <c r="E4199" s="139" t="n"/>
      <c r="F4199" s="139" t="n"/>
      <c r="G4199" s="140">
        <f>IFERROR(IF(E4199&gt;0,(F4199/E4199)*1000,""),"")</f>
        <v/>
      </c>
      <c r="H4199" s="139">
        <f>IFERROR(IF(E4199&gt;0,E4199*IF(ISNUMBER(J4199),J4199,IF(C4199="Futures",$C$6,$C$5)),""),"")</f>
        <v/>
      </c>
      <c r="I4199" s="139">
        <f>IFERROR(IF(AND(ISNUMBER(F4199),ISNUMBER(H4199)),F4199-H4199,""),"")</f>
        <v/>
      </c>
      <c r="J4199" s="114" t="n"/>
      <c r="K4199" s="139">
        <f>IFERROR(IF(H4199&gt;0,H4199*$C$7,""),"")</f>
        <v/>
      </c>
      <c r="L4199" s="139">
        <f>IFERROR(IF(ISNUMBER(F4199),F4199-IF(ISNUMBER(K4199),K4199,0),""),"")</f>
        <v/>
      </c>
    </row>
    <row r="4200" ht="24" customHeight="1" s="63">
      <c r="E4200" s="139" t="n"/>
      <c r="F4200" s="139" t="n"/>
      <c r="G4200" s="140">
        <f>IFERROR(IF(E4200&gt;0,(F4200/E4200)*1000,""),"")</f>
        <v/>
      </c>
      <c r="H4200" s="139">
        <f>IFERROR(IF(E4200&gt;0,E4200*IF(ISNUMBER(J4200),J4200,IF(C4200="Futures",$C$6,$C$5)),""),"")</f>
        <v/>
      </c>
      <c r="I4200" s="139">
        <f>IFERROR(IF(AND(ISNUMBER(F4200),ISNUMBER(H4200)),F4200-H4200,""),"")</f>
        <v/>
      </c>
      <c r="J4200" s="114" t="n"/>
      <c r="K4200" s="139">
        <f>IFERROR(IF(H4200&gt;0,H4200*$C$7,""),"")</f>
        <v/>
      </c>
      <c r="L4200" s="139">
        <f>IFERROR(IF(ISNUMBER(F4200),F4200-IF(ISNUMBER(K4200),K4200,0),""),"")</f>
        <v/>
      </c>
    </row>
    <row r="4201" ht="24" customHeight="1" s="63">
      <c r="E4201" s="139" t="n"/>
      <c r="F4201" s="139" t="n"/>
      <c r="G4201" s="140">
        <f>IFERROR(IF(E4201&gt;0,(F4201/E4201)*1000,""),"")</f>
        <v/>
      </c>
      <c r="H4201" s="139">
        <f>IFERROR(IF(E4201&gt;0,E4201*IF(ISNUMBER(J4201),J4201,IF(C4201="Futures",$C$6,$C$5)),""),"")</f>
        <v/>
      </c>
      <c r="I4201" s="139">
        <f>IFERROR(IF(AND(ISNUMBER(F4201),ISNUMBER(H4201)),F4201-H4201,""),"")</f>
        <v/>
      </c>
      <c r="J4201" s="114" t="n"/>
      <c r="K4201" s="139">
        <f>IFERROR(IF(H4201&gt;0,H4201*$C$7,""),"")</f>
        <v/>
      </c>
      <c r="L4201" s="139">
        <f>IFERROR(IF(ISNUMBER(F4201),F4201-IF(ISNUMBER(K4201),K4201,0),""),"")</f>
        <v/>
      </c>
    </row>
    <row r="4202" ht="24" customHeight="1" s="63">
      <c r="E4202" s="139" t="n"/>
      <c r="F4202" s="139" t="n"/>
      <c r="G4202" s="140">
        <f>IFERROR(IF(E4202&gt;0,(F4202/E4202)*1000,""),"")</f>
        <v/>
      </c>
      <c r="H4202" s="139">
        <f>IFERROR(IF(E4202&gt;0,E4202*IF(ISNUMBER(J4202),J4202,IF(C4202="Futures",$C$6,$C$5)),""),"")</f>
        <v/>
      </c>
      <c r="I4202" s="139">
        <f>IFERROR(IF(AND(ISNUMBER(F4202),ISNUMBER(H4202)),F4202-H4202,""),"")</f>
        <v/>
      </c>
      <c r="J4202" s="114" t="n"/>
      <c r="K4202" s="139">
        <f>IFERROR(IF(H4202&gt;0,H4202*$C$7,""),"")</f>
        <v/>
      </c>
      <c r="L4202" s="139">
        <f>IFERROR(IF(ISNUMBER(F4202),F4202-IF(ISNUMBER(K4202),K4202,0),""),"")</f>
        <v/>
      </c>
    </row>
    <row r="4203" ht="24" customHeight="1" s="63">
      <c r="E4203" s="139" t="n"/>
      <c r="F4203" s="139" t="n"/>
      <c r="G4203" s="140">
        <f>IFERROR(IF(E4203&gt;0,(F4203/E4203)*1000,""),"")</f>
        <v/>
      </c>
      <c r="H4203" s="139">
        <f>IFERROR(IF(E4203&gt;0,E4203*IF(ISNUMBER(J4203),J4203,IF(C4203="Futures",$C$6,$C$5)),""),"")</f>
        <v/>
      </c>
      <c r="I4203" s="139">
        <f>IFERROR(IF(AND(ISNUMBER(F4203),ISNUMBER(H4203)),F4203-H4203,""),"")</f>
        <v/>
      </c>
      <c r="J4203" s="114" t="n"/>
      <c r="K4203" s="139">
        <f>IFERROR(IF(H4203&gt;0,H4203*$C$7,""),"")</f>
        <v/>
      </c>
      <c r="L4203" s="139">
        <f>IFERROR(IF(ISNUMBER(F4203),F4203-IF(ISNUMBER(K4203),K4203,0),""),"")</f>
        <v/>
      </c>
    </row>
    <row r="4204" ht="24" customHeight="1" s="63">
      <c r="E4204" s="139" t="n"/>
      <c r="F4204" s="139" t="n"/>
      <c r="G4204" s="140">
        <f>IFERROR(IF(E4204&gt;0,(F4204/E4204)*1000,""),"")</f>
        <v/>
      </c>
      <c r="H4204" s="139">
        <f>IFERROR(IF(E4204&gt;0,E4204*IF(ISNUMBER(J4204),J4204,IF(C4204="Futures",$C$6,$C$5)),""),"")</f>
        <v/>
      </c>
      <c r="I4204" s="139">
        <f>IFERROR(IF(AND(ISNUMBER(F4204),ISNUMBER(H4204)),F4204-H4204,""),"")</f>
        <v/>
      </c>
      <c r="J4204" s="114" t="n"/>
      <c r="K4204" s="139">
        <f>IFERROR(IF(H4204&gt;0,H4204*$C$7,""),"")</f>
        <v/>
      </c>
      <c r="L4204" s="139">
        <f>IFERROR(IF(ISNUMBER(F4204),F4204-IF(ISNUMBER(K4204),K4204,0),""),"")</f>
        <v/>
      </c>
    </row>
    <row r="4205" ht="24" customHeight="1" s="63">
      <c r="E4205" s="139" t="n"/>
      <c r="F4205" s="139" t="n"/>
      <c r="G4205" s="140">
        <f>IFERROR(IF(E4205&gt;0,(F4205/E4205)*1000,""),"")</f>
        <v/>
      </c>
      <c r="H4205" s="139">
        <f>IFERROR(IF(E4205&gt;0,E4205*IF(ISNUMBER(J4205),J4205,IF(C4205="Futures",$C$6,$C$5)),""),"")</f>
        <v/>
      </c>
      <c r="I4205" s="139">
        <f>IFERROR(IF(AND(ISNUMBER(F4205),ISNUMBER(H4205)),F4205-H4205,""),"")</f>
        <v/>
      </c>
      <c r="J4205" s="114" t="n"/>
      <c r="K4205" s="139">
        <f>IFERROR(IF(H4205&gt;0,H4205*$C$7,""),"")</f>
        <v/>
      </c>
      <c r="L4205" s="139">
        <f>IFERROR(IF(ISNUMBER(F4205),F4205-IF(ISNUMBER(K4205),K4205,0),""),"")</f>
        <v/>
      </c>
    </row>
    <row r="4206" ht="24" customHeight="1" s="63">
      <c r="E4206" s="139" t="n"/>
      <c r="F4206" s="139" t="n"/>
      <c r="G4206" s="140">
        <f>IFERROR(IF(E4206&gt;0,(F4206/E4206)*1000,""),"")</f>
        <v/>
      </c>
      <c r="H4206" s="139">
        <f>IFERROR(IF(E4206&gt;0,E4206*IF(ISNUMBER(J4206),J4206,IF(C4206="Futures",$C$6,$C$5)),""),"")</f>
        <v/>
      </c>
      <c r="I4206" s="139">
        <f>IFERROR(IF(AND(ISNUMBER(F4206),ISNUMBER(H4206)),F4206-H4206,""),"")</f>
        <v/>
      </c>
      <c r="J4206" s="114" t="n"/>
      <c r="K4206" s="139">
        <f>IFERROR(IF(H4206&gt;0,H4206*$C$7,""),"")</f>
        <v/>
      </c>
      <c r="L4206" s="139">
        <f>IFERROR(IF(ISNUMBER(F4206),F4206-IF(ISNUMBER(K4206),K4206,0),""),"")</f>
        <v/>
      </c>
    </row>
    <row r="4207" ht="24" customHeight="1" s="63">
      <c r="E4207" s="139" t="n"/>
      <c r="F4207" s="139" t="n"/>
      <c r="G4207" s="140">
        <f>IFERROR(IF(E4207&gt;0,(F4207/E4207)*1000,""),"")</f>
        <v/>
      </c>
      <c r="H4207" s="139">
        <f>IFERROR(IF(E4207&gt;0,E4207*IF(ISNUMBER(J4207),J4207,IF(C4207="Futures",$C$6,$C$5)),""),"")</f>
        <v/>
      </c>
      <c r="I4207" s="139">
        <f>IFERROR(IF(AND(ISNUMBER(F4207),ISNUMBER(H4207)),F4207-H4207,""),"")</f>
        <v/>
      </c>
      <c r="J4207" s="114" t="n"/>
      <c r="K4207" s="139">
        <f>IFERROR(IF(H4207&gt;0,H4207*$C$7,""),"")</f>
        <v/>
      </c>
      <c r="L4207" s="139">
        <f>IFERROR(IF(ISNUMBER(F4207),F4207-IF(ISNUMBER(K4207),K4207,0),""),"")</f>
        <v/>
      </c>
    </row>
    <row r="4208" ht="24" customHeight="1" s="63">
      <c r="E4208" s="139" t="n"/>
      <c r="F4208" s="139" t="n"/>
      <c r="G4208" s="140">
        <f>IFERROR(IF(E4208&gt;0,(F4208/E4208)*1000,""),"")</f>
        <v/>
      </c>
      <c r="H4208" s="139">
        <f>IFERROR(IF(E4208&gt;0,E4208*IF(ISNUMBER(J4208),J4208,IF(C4208="Futures",$C$6,$C$5)),""),"")</f>
        <v/>
      </c>
      <c r="I4208" s="139">
        <f>IFERROR(IF(AND(ISNUMBER(F4208),ISNUMBER(H4208)),F4208-H4208,""),"")</f>
        <v/>
      </c>
      <c r="J4208" s="114" t="n"/>
      <c r="K4208" s="139">
        <f>IFERROR(IF(H4208&gt;0,H4208*$C$7,""),"")</f>
        <v/>
      </c>
      <c r="L4208" s="139">
        <f>IFERROR(IF(ISNUMBER(F4208),F4208-IF(ISNUMBER(K4208),K4208,0),""),"")</f>
        <v/>
      </c>
    </row>
    <row r="4209" ht="24" customHeight="1" s="63">
      <c r="E4209" s="139" t="n"/>
      <c r="F4209" s="139" t="n"/>
      <c r="G4209" s="140">
        <f>IFERROR(IF(E4209&gt;0,(F4209/E4209)*1000,""),"")</f>
        <v/>
      </c>
      <c r="H4209" s="139">
        <f>IFERROR(IF(E4209&gt;0,E4209*IF(ISNUMBER(J4209),J4209,IF(C4209="Futures",$C$6,$C$5)),""),"")</f>
        <v/>
      </c>
      <c r="I4209" s="139">
        <f>IFERROR(IF(AND(ISNUMBER(F4209),ISNUMBER(H4209)),F4209-H4209,""),"")</f>
        <v/>
      </c>
      <c r="J4209" s="114" t="n"/>
      <c r="K4209" s="139">
        <f>IFERROR(IF(H4209&gt;0,H4209*$C$7,""),"")</f>
        <v/>
      </c>
      <c r="L4209" s="139">
        <f>IFERROR(IF(ISNUMBER(F4209),F4209-IF(ISNUMBER(K4209),K4209,0),""),"")</f>
        <v/>
      </c>
    </row>
    <row r="4210" ht="24" customHeight="1" s="63">
      <c r="E4210" s="139" t="n"/>
      <c r="F4210" s="139" t="n"/>
      <c r="G4210" s="140">
        <f>IFERROR(IF(E4210&gt;0,(F4210/E4210)*1000,""),"")</f>
        <v/>
      </c>
      <c r="H4210" s="139">
        <f>IFERROR(IF(E4210&gt;0,E4210*IF(ISNUMBER(J4210),J4210,IF(C4210="Futures",$C$6,$C$5)),""),"")</f>
        <v/>
      </c>
      <c r="I4210" s="139">
        <f>IFERROR(IF(AND(ISNUMBER(F4210),ISNUMBER(H4210)),F4210-H4210,""),"")</f>
        <v/>
      </c>
      <c r="J4210" s="114" t="n"/>
      <c r="K4210" s="139">
        <f>IFERROR(IF(H4210&gt;0,H4210*$C$7,""),"")</f>
        <v/>
      </c>
      <c r="L4210" s="139">
        <f>IFERROR(IF(ISNUMBER(F4210),F4210-IF(ISNUMBER(K4210),K4210,0),""),"")</f>
        <v/>
      </c>
    </row>
    <row r="4211" ht="24" customHeight="1" s="63">
      <c r="E4211" s="139" t="n"/>
      <c r="F4211" s="139" t="n"/>
      <c r="G4211" s="140">
        <f>IFERROR(IF(E4211&gt;0,(F4211/E4211)*1000,""),"")</f>
        <v/>
      </c>
      <c r="H4211" s="139">
        <f>IFERROR(IF(E4211&gt;0,E4211*IF(ISNUMBER(J4211),J4211,IF(C4211="Futures",$C$6,$C$5)),""),"")</f>
        <v/>
      </c>
      <c r="I4211" s="139">
        <f>IFERROR(IF(AND(ISNUMBER(F4211),ISNUMBER(H4211)),F4211-H4211,""),"")</f>
        <v/>
      </c>
      <c r="J4211" s="114" t="n"/>
      <c r="K4211" s="139">
        <f>IFERROR(IF(H4211&gt;0,H4211*$C$7,""),"")</f>
        <v/>
      </c>
      <c r="L4211" s="139">
        <f>IFERROR(IF(ISNUMBER(F4211),F4211-IF(ISNUMBER(K4211),K4211,0),""),"")</f>
        <v/>
      </c>
    </row>
    <row r="4212" ht="24" customHeight="1" s="63">
      <c r="E4212" s="139" t="n"/>
      <c r="F4212" s="139" t="n"/>
      <c r="G4212" s="140">
        <f>IFERROR(IF(E4212&gt;0,(F4212/E4212)*1000,""),"")</f>
        <v/>
      </c>
      <c r="H4212" s="139">
        <f>IFERROR(IF(E4212&gt;0,E4212*IF(ISNUMBER(J4212),J4212,IF(C4212="Futures",$C$6,$C$5)),""),"")</f>
        <v/>
      </c>
      <c r="I4212" s="139">
        <f>IFERROR(IF(AND(ISNUMBER(F4212),ISNUMBER(H4212)),F4212-H4212,""),"")</f>
        <v/>
      </c>
      <c r="J4212" s="114" t="n"/>
      <c r="K4212" s="139">
        <f>IFERROR(IF(H4212&gt;0,H4212*$C$7,""),"")</f>
        <v/>
      </c>
      <c r="L4212" s="139">
        <f>IFERROR(IF(ISNUMBER(F4212),F4212-IF(ISNUMBER(K4212),K4212,0),""),"")</f>
        <v/>
      </c>
    </row>
    <row r="4213" ht="24" customHeight="1" s="63">
      <c r="E4213" s="139" t="n"/>
      <c r="F4213" s="139" t="n"/>
      <c r="G4213" s="140">
        <f>IFERROR(IF(E4213&gt;0,(F4213/E4213)*1000,""),"")</f>
        <v/>
      </c>
      <c r="H4213" s="139">
        <f>IFERROR(IF(E4213&gt;0,E4213*IF(ISNUMBER(J4213),J4213,IF(C4213="Futures",$C$6,$C$5)),""),"")</f>
        <v/>
      </c>
      <c r="I4213" s="139">
        <f>IFERROR(IF(AND(ISNUMBER(F4213),ISNUMBER(H4213)),F4213-H4213,""),"")</f>
        <v/>
      </c>
      <c r="J4213" s="114" t="n"/>
      <c r="K4213" s="139">
        <f>IFERROR(IF(H4213&gt;0,H4213*$C$7,""),"")</f>
        <v/>
      </c>
      <c r="L4213" s="139">
        <f>IFERROR(IF(ISNUMBER(F4213),F4213-IF(ISNUMBER(K4213),K4213,0),""),"")</f>
        <v/>
      </c>
    </row>
    <row r="4214" ht="24" customHeight="1" s="63">
      <c r="E4214" s="139" t="n"/>
      <c r="F4214" s="139" t="n"/>
      <c r="G4214" s="140">
        <f>IFERROR(IF(E4214&gt;0,(F4214/E4214)*1000,""),"")</f>
        <v/>
      </c>
      <c r="H4214" s="139">
        <f>IFERROR(IF(E4214&gt;0,E4214*IF(ISNUMBER(J4214),J4214,IF(C4214="Futures",$C$6,$C$5)),""),"")</f>
        <v/>
      </c>
      <c r="I4214" s="139">
        <f>IFERROR(IF(AND(ISNUMBER(F4214),ISNUMBER(H4214)),F4214-H4214,""),"")</f>
        <v/>
      </c>
      <c r="J4214" s="114" t="n"/>
      <c r="K4214" s="139">
        <f>IFERROR(IF(H4214&gt;0,H4214*$C$7,""),"")</f>
        <v/>
      </c>
      <c r="L4214" s="139">
        <f>IFERROR(IF(ISNUMBER(F4214),F4214-IF(ISNUMBER(K4214),K4214,0),""),"")</f>
        <v/>
      </c>
    </row>
    <row r="4215" ht="24" customHeight="1" s="63">
      <c r="E4215" s="139" t="n"/>
      <c r="F4215" s="139" t="n"/>
      <c r="G4215" s="140">
        <f>IFERROR(IF(E4215&gt;0,(F4215/E4215)*1000,""),"")</f>
        <v/>
      </c>
      <c r="H4215" s="139">
        <f>IFERROR(IF(E4215&gt;0,E4215*IF(ISNUMBER(J4215),J4215,IF(C4215="Futures",$C$6,$C$5)),""),"")</f>
        <v/>
      </c>
      <c r="I4215" s="139">
        <f>IFERROR(IF(AND(ISNUMBER(F4215),ISNUMBER(H4215)),F4215-H4215,""),"")</f>
        <v/>
      </c>
      <c r="J4215" s="114" t="n"/>
      <c r="K4215" s="139">
        <f>IFERROR(IF(H4215&gt;0,H4215*$C$7,""),"")</f>
        <v/>
      </c>
      <c r="L4215" s="139">
        <f>IFERROR(IF(ISNUMBER(F4215),F4215-IF(ISNUMBER(K4215),K4215,0),""),"")</f>
        <v/>
      </c>
    </row>
    <row r="4216" ht="24" customHeight="1" s="63">
      <c r="E4216" s="139" t="n"/>
      <c r="F4216" s="139" t="n"/>
      <c r="G4216" s="140">
        <f>IFERROR(IF(E4216&gt;0,(F4216/E4216)*1000,""),"")</f>
        <v/>
      </c>
      <c r="H4216" s="139">
        <f>IFERROR(IF(E4216&gt;0,E4216*IF(ISNUMBER(J4216),J4216,IF(C4216="Futures",$C$6,$C$5)),""),"")</f>
        <v/>
      </c>
      <c r="I4216" s="139">
        <f>IFERROR(IF(AND(ISNUMBER(F4216),ISNUMBER(H4216)),F4216-H4216,""),"")</f>
        <v/>
      </c>
      <c r="J4216" s="114" t="n"/>
      <c r="K4216" s="139">
        <f>IFERROR(IF(H4216&gt;0,H4216*$C$7,""),"")</f>
        <v/>
      </c>
      <c r="L4216" s="139">
        <f>IFERROR(IF(ISNUMBER(F4216),F4216-IF(ISNUMBER(K4216),K4216,0),""),"")</f>
        <v/>
      </c>
    </row>
    <row r="4217" ht="24" customHeight="1" s="63">
      <c r="E4217" s="139" t="n"/>
      <c r="F4217" s="139" t="n"/>
      <c r="G4217" s="140">
        <f>IFERROR(IF(E4217&gt;0,(F4217/E4217)*1000,""),"")</f>
        <v/>
      </c>
      <c r="H4217" s="139">
        <f>IFERROR(IF(E4217&gt;0,E4217*IF(ISNUMBER(J4217),J4217,IF(C4217="Futures",$C$6,$C$5)),""),"")</f>
        <v/>
      </c>
      <c r="I4217" s="139">
        <f>IFERROR(IF(AND(ISNUMBER(F4217),ISNUMBER(H4217)),F4217-H4217,""),"")</f>
        <v/>
      </c>
      <c r="J4217" s="114" t="n"/>
      <c r="K4217" s="139">
        <f>IFERROR(IF(H4217&gt;0,H4217*$C$7,""),"")</f>
        <v/>
      </c>
      <c r="L4217" s="139">
        <f>IFERROR(IF(ISNUMBER(F4217),F4217-IF(ISNUMBER(K4217),K4217,0),""),"")</f>
        <v/>
      </c>
    </row>
    <row r="4218" ht="24" customHeight="1" s="63">
      <c r="E4218" s="139" t="n"/>
      <c r="F4218" s="139" t="n"/>
      <c r="G4218" s="140">
        <f>IFERROR(IF(E4218&gt;0,(F4218/E4218)*1000,""),"")</f>
        <v/>
      </c>
      <c r="H4218" s="139">
        <f>IFERROR(IF(E4218&gt;0,E4218*IF(ISNUMBER(J4218),J4218,IF(C4218="Futures",$C$6,$C$5)),""),"")</f>
        <v/>
      </c>
      <c r="I4218" s="139">
        <f>IFERROR(IF(AND(ISNUMBER(F4218),ISNUMBER(H4218)),F4218-H4218,""),"")</f>
        <v/>
      </c>
      <c r="J4218" s="114" t="n"/>
      <c r="K4218" s="139">
        <f>IFERROR(IF(H4218&gt;0,H4218*$C$7,""),"")</f>
        <v/>
      </c>
      <c r="L4218" s="139">
        <f>IFERROR(IF(ISNUMBER(F4218),F4218-IF(ISNUMBER(K4218),K4218,0),""),"")</f>
        <v/>
      </c>
    </row>
    <row r="4219" ht="24" customHeight="1" s="63">
      <c r="E4219" s="139" t="n"/>
      <c r="F4219" s="139" t="n"/>
      <c r="G4219" s="140">
        <f>IFERROR(IF(E4219&gt;0,(F4219/E4219)*1000,""),"")</f>
        <v/>
      </c>
      <c r="H4219" s="139">
        <f>IFERROR(IF(E4219&gt;0,E4219*IF(ISNUMBER(J4219),J4219,IF(C4219="Futures",$C$6,$C$5)),""),"")</f>
        <v/>
      </c>
      <c r="I4219" s="139">
        <f>IFERROR(IF(AND(ISNUMBER(F4219),ISNUMBER(H4219)),F4219-H4219,""),"")</f>
        <v/>
      </c>
      <c r="J4219" s="114" t="n"/>
      <c r="K4219" s="139">
        <f>IFERROR(IF(H4219&gt;0,H4219*$C$7,""),"")</f>
        <v/>
      </c>
      <c r="L4219" s="139">
        <f>IFERROR(IF(ISNUMBER(F4219),F4219-IF(ISNUMBER(K4219),K4219,0),""),"")</f>
        <v/>
      </c>
    </row>
    <row r="4220" ht="24" customHeight="1" s="63">
      <c r="E4220" s="139" t="n"/>
      <c r="F4220" s="139" t="n"/>
      <c r="G4220" s="140">
        <f>IFERROR(IF(E4220&gt;0,(F4220/E4220)*1000,""),"")</f>
        <v/>
      </c>
      <c r="H4220" s="139">
        <f>IFERROR(IF(E4220&gt;0,E4220*IF(ISNUMBER(J4220),J4220,IF(C4220="Futures",$C$6,$C$5)),""),"")</f>
        <v/>
      </c>
      <c r="I4220" s="139">
        <f>IFERROR(IF(AND(ISNUMBER(F4220),ISNUMBER(H4220)),F4220-H4220,""),"")</f>
        <v/>
      </c>
      <c r="J4220" s="114" t="n"/>
      <c r="K4220" s="139">
        <f>IFERROR(IF(H4220&gt;0,H4220*$C$7,""),"")</f>
        <v/>
      </c>
      <c r="L4220" s="139">
        <f>IFERROR(IF(ISNUMBER(F4220),F4220-IF(ISNUMBER(K4220),K4220,0),""),"")</f>
        <v/>
      </c>
    </row>
    <row r="4221" ht="24" customHeight="1" s="63">
      <c r="E4221" s="139" t="n"/>
      <c r="F4221" s="139" t="n"/>
      <c r="G4221" s="140">
        <f>IFERROR(IF(E4221&gt;0,(F4221/E4221)*1000,""),"")</f>
        <v/>
      </c>
      <c r="H4221" s="139">
        <f>IFERROR(IF(E4221&gt;0,E4221*IF(ISNUMBER(J4221),J4221,IF(C4221="Futures",$C$6,$C$5)),""),"")</f>
        <v/>
      </c>
      <c r="I4221" s="139">
        <f>IFERROR(IF(AND(ISNUMBER(F4221),ISNUMBER(H4221)),F4221-H4221,""),"")</f>
        <v/>
      </c>
      <c r="J4221" s="114" t="n"/>
      <c r="K4221" s="139">
        <f>IFERROR(IF(H4221&gt;0,H4221*$C$7,""),"")</f>
        <v/>
      </c>
      <c r="L4221" s="139">
        <f>IFERROR(IF(ISNUMBER(F4221),F4221-IF(ISNUMBER(K4221),K4221,0),""),"")</f>
        <v/>
      </c>
    </row>
    <row r="4222" ht="24" customHeight="1" s="63">
      <c r="E4222" s="139" t="n"/>
      <c r="F4222" s="139" t="n"/>
      <c r="G4222" s="140">
        <f>IFERROR(IF(E4222&gt;0,(F4222/E4222)*1000,""),"")</f>
        <v/>
      </c>
      <c r="H4222" s="139">
        <f>IFERROR(IF(E4222&gt;0,E4222*IF(ISNUMBER(J4222),J4222,IF(C4222="Futures",$C$6,$C$5)),""),"")</f>
        <v/>
      </c>
      <c r="I4222" s="139">
        <f>IFERROR(IF(AND(ISNUMBER(F4222),ISNUMBER(H4222)),F4222-H4222,""),"")</f>
        <v/>
      </c>
      <c r="J4222" s="114" t="n"/>
      <c r="K4222" s="139">
        <f>IFERROR(IF(H4222&gt;0,H4222*$C$7,""),"")</f>
        <v/>
      </c>
      <c r="L4222" s="139">
        <f>IFERROR(IF(ISNUMBER(F4222),F4222-IF(ISNUMBER(K4222),K4222,0),""),"")</f>
        <v/>
      </c>
    </row>
    <row r="4223" ht="24" customHeight="1" s="63">
      <c r="E4223" s="139" t="n"/>
      <c r="F4223" s="139" t="n"/>
      <c r="G4223" s="140">
        <f>IFERROR(IF(E4223&gt;0,(F4223/E4223)*1000,""),"")</f>
        <v/>
      </c>
      <c r="H4223" s="139">
        <f>IFERROR(IF(E4223&gt;0,E4223*IF(ISNUMBER(J4223),J4223,IF(C4223="Futures",$C$6,$C$5)),""),"")</f>
        <v/>
      </c>
      <c r="I4223" s="139">
        <f>IFERROR(IF(AND(ISNUMBER(F4223),ISNUMBER(H4223)),F4223-H4223,""),"")</f>
        <v/>
      </c>
      <c r="J4223" s="114" t="n"/>
      <c r="K4223" s="139">
        <f>IFERROR(IF(H4223&gt;0,H4223*$C$7,""),"")</f>
        <v/>
      </c>
      <c r="L4223" s="139">
        <f>IFERROR(IF(ISNUMBER(F4223),F4223-IF(ISNUMBER(K4223),K4223,0),""),"")</f>
        <v/>
      </c>
    </row>
    <row r="4224" ht="24" customHeight="1" s="63">
      <c r="E4224" s="139" t="n"/>
      <c r="F4224" s="139" t="n"/>
      <c r="G4224" s="140">
        <f>IFERROR(IF(E4224&gt;0,(F4224/E4224)*1000,""),"")</f>
        <v/>
      </c>
      <c r="H4224" s="139">
        <f>IFERROR(IF(E4224&gt;0,E4224*IF(ISNUMBER(J4224),J4224,IF(C4224="Futures",$C$6,$C$5)),""),"")</f>
        <v/>
      </c>
      <c r="I4224" s="139">
        <f>IFERROR(IF(AND(ISNUMBER(F4224),ISNUMBER(H4224)),F4224-H4224,""),"")</f>
        <v/>
      </c>
      <c r="J4224" s="114" t="n"/>
      <c r="K4224" s="139">
        <f>IFERROR(IF(H4224&gt;0,H4224*$C$7,""),"")</f>
        <v/>
      </c>
      <c r="L4224" s="139">
        <f>IFERROR(IF(ISNUMBER(F4224),F4224-IF(ISNUMBER(K4224),K4224,0),""),"")</f>
        <v/>
      </c>
    </row>
    <row r="4225" ht="24" customHeight="1" s="63">
      <c r="E4225" s="139" t="n"/>
      <c r="F4225" s="139" t="n"/>
      <c r="G4225" s="140">
        <f>IFERROR(IF(E4225&gt;0,(F4225/E4225)*1000,""),"")</f>
        <v/>
      </c>
      <c r="H4225" s="139">
        <f>IFERROR(IF(E4225&gt;0,E4225*IF(ISNUMBER(J4225),J4225,IF(C4225="Futures",$C$6,$C$5)),""),"")</f>
        <v/>
      </c>
      <c r="I4225" s="139">
        <f>IFERROR(IF(AND(ISNUMBER(F4225),ISNUMBER(H4225)),F4225-H4225,""),"")</f>
        <v/>
      </c>
      <c r="J4225" s="114" t="n"/>
      <c r="K4225" s="139">
        <f>IFERROR(IF(H4225&gt;0,H4225*$C$7,""),"")</f>
        <v/>
      </c>
      <c r="L4225" s="139">
        <f>IFERROR(IF(ISNUMBER(F4225),F4225-IF(ISNUMBER(K4225),K4225,0),""),"")</f>
        <v/>
      </c>
    </row>
    <row r="4226" ht="24" customHeight="1" s="63">
      <c r="E4226" s="139" t="n"/>
      <c r="F4226" s="139" t="n"/>
      <c r="G4226" s="140">
        <f>IFERROR(IF(E4226&gt;0,(F4226/E4226)*1000,""),"")</f>
        <v/>
      </c>
      <c r="H4226" s="139">
        <f>IFERROR(IF(E4226&gt;0,E4226*IF(ISNUMBER(J4226),J4226,IF(C4226="Futures",$C$6,$C$5)),""),"")</f>
        <v/>
      </c>
      <c r="I4226" s="139">
        <f>IFERROR(IF(AND(ISNUMBER(F4226),ISNUMBER(H4226)),F4226-H4226,""),"")</f>
        <v/>
      </c>
      <c r="J4226" s="114" t="n"/>
      <c r="K4226" s="139">
        <f>IFERROR(IF(H4226&gt;0,H4226*$C$7,""),"")</f>
        <v/>
      </c>
      <c r="L4226" s="139">
        <f>IFERROR(IF(ISNUMBER(F4226),F4226-IF(ISNUMBER(K4226),K4226,0),""),"")</f>
        <v/>
      </c>
    </row>
    <row r="4227" ht="24" customHeight="1" s="63">
      <c r="E4227" s="139" t="n"/>
      <c r="F4227" s="139" t="n"/>
      <c r="G4227" s="140">
        <f>IFERROR(IF(E4227&gt;0,(F4227/E4227)*1000,""),"")</f>
        <v/>
      </c>
      <c r="H4227" s="139">
        <f>IFERROR(IF(E4227&gt;0,E4227*IF(ISNUMBER(J4227),J4227,IF(C4227="Futures",$C$6,$C$5)),""),"")</f>
        <v/>
      </c>
      <c r="I4227" s="139">
        <f>IFERROR(IF(AND(ISNUMBER(F4227),ISNUMBER(H4227)),F4227-H4227,""),"")</f>
        <v/>
      </c>
      <c r="J4227" s="114" t="n"/>
      <c r="K4227" s="139">
        <f>IFERROR(IF(H4227&gt;0,H4227*$C$7,""),"")</f>
        <v/>
      </c>
      <c r="L4227" s="139">
        <f>IFERROR(IF(ISNUMBER(F4227),F4227-IF(ISNUMBER(K4227),K4227,0),""),"")</f>
        <v/>
      </c>
    </row>
    <row r="4228" ht="24" customHeight="1" s="63">
      <c r="E4228" s="139" t="n"/>
      <c r="F4228" s="139" t="n"/>
      <c r="G4228" s="140">
        <f>IFERROR(IF(E4228&gt;0,(F4228/E4228)*1000,""),"")</f>
        <v/>
      </c>
      <c r="H4228" s="139">
        <f>IFERROR(IF(E4228&gt;0,E4228*IF(ISNUMBER(J4228),J4228,IF(C4228="Futures",$C$6,$C$5)),""),"")</f>
        <v/>
      </c>
      <c r="I4228" s="139">
        <f>IFERROR(IF(AND(ISNUMBER(F4228),ISNUMBER(H4228)),F4228-H4228,""),"")</f>
        <v/>
      </c>
      <c r="J4228" s="114" t="n"/>
      <c r="K4228" s="139">
        <f>IFERROR(IF(H4228&gt;0,H4228*$C$7,""),"")</f>
        <v/>
      </c>
      <c r="L4228" s="139">
        <f>IFERROR(IF(ISNUMBER(F4228),F4228-IF(ISNUMBER(K4228),K4228,0),""),"")</f>
        <v/>
      </c>
    </row>
    <row r="4229" ht="24" customHeight="1" s="63">
      <c r="E4229" s="139" t="n"/>
      <c r="F4229" s="139" t="n"/>
      <c r="G4229" s="140">
        <f>IFERROR(IF(E4229&gt;0,(F4229/E4229)*1000,""),"")</f>
        <v/>
      </c>
      <c r="H4229" s="139">
        <f>IFERROR(IF(E4229&gt;0,E4229*IF(ISNUMBER(J4229),J4229,IF(C4229="Futures",$C$6,$C$5)),""),"")</f>
        <v/>
      </c>
      <c r="I4229" s="139">
        <f>IFERROR(IF(AND(ISNUMBER(F4229),ISNUMBER(H4229)),F4229-H4229,""),"")</f>
        <v/>
      </c>
      <c r="J4229" s="114" t="n"/>
      <c r="K4229" s="139">
        <f>IFERROR(IF(H4229&gt;0,H4229*$C$7,""),"")</f>
        <v/>
      </c>
      <c r="L4229" s="139">
        <f>IFERROR(IF(ISNUMBER(F4229),F4229-IF(ISNUMBER(K4229),K4229,0),""),"")</f>
        <v/>
      </c>
    </row>
    <row r="4230" ht="24" customHeight="1" s="63">
      <c r="E4230" s="139" t="n"/>
      <c r="F4230" s="139" t="n"/>
      <c r="G4230" s="140">
        <f>IFERROR(IF(E4230&gt;0,(F4230/E4230)*1000,""),"")</f>
        <v/>
      </c>
      <c r="H4230" s="139">
        <f>IFERROR(IF(E4230&gt;0,E4230*IF(ISNUMBER(J4230),J4230,IF(C4230="Futures",$C$6,$C$5)),""),"")</f>
        <v/>
      </c>
      <c r="I4230" s="139">
        <f>IFERROR(IF(AND(ISNUMBER(F4230),ISNUMBER(H4230)),F4230-H4230,""),"")</f>
        <v/>
      </c>
      <c r="J4230" s="114" t="n"/>
      <c r="K4230" s="139">
        <f>IFERROR(IF(H4230&gt;0,H4230*$C$7,""),"")</f>
        <v/>
      </c>
      <c r="L4230" s="139">
        <f>IFERROR(IF(ISNUMBER(F4230),F4230-IF(ISNUMBER(K4230),K4230,0),""),"")</f>
        <v/>
      </c>
    </row>
    <row r="4231" ht="24" customHeight="1" s="63">
      <c r="E4231" s="139" t="n"/>
      <c r="F4231" s="139" t="n"/>
      <c r="G4231" s="140">
        <f>IFERROR(IF(E4231&gt;0,(F4231/E4231)*1000,""),"")</f>
        <v/>
      </c>
      <c r="H4231" s="139">
        <f>IFERROR(IF(E4231&gt;0,E4231*IF(ISNUMBER(J4231),J4231,IF(C4231="Futures",$C$6,$C$5)),""),"")</f>
        <v/>
      </c>
      <c r="I4231" s="139">
        <f>IFERROR(IF(AND(ISNUMBER(F4231),ISNUMBER(H4231)),F4231-H4231,""),"")</f>
        <v/>
      </c>
      <c r="J4231" s="114" t="n"/>
      <c r="K4231" s="139">
        <f>IFERROR(IF(H4231&gt;0,H4231*$C$7,""),"")</f>
        <v/>
      </c>
      <c r="L4231" s="139">
        <f>IFERROR(IF(ISNUMBER(F4231),F4231-IF(ISNUMBER(K4231),K4231,0),""),"")</f>
        <v/>
      </c>
    </row>
    <row r="4232" ht="24" customHeight="1" s="63">
      <c r="E4232" s="139" t="n"/>
      <c r="F4232" s="139" t="n"/>
      <c r="G4232" s="140">
        <f>IFERROR(IF(E4232&gt;0,(F4232/E4232)*1000,""),"")</f>
        <v/>
      </c>
      <c r="H4232" s="139">
        <f>IFERROR(IF(E4232&gt;0,E4232*IF(ISNUMBER(J4232),J4232,IF(C4232="Futures",$C$6,$C$5)),""),"")</f>
        <v/>
      </c>
      <c r="I4232" s="139">
        <f>IFERROR(IF(AND(ISNUMBER(F4232),ISNUMBER(H4232)),F4232-H4232,""),"")</f>
        <v/>
      </c>
      <c r="J4232" s="114" t="n"/>
      <c r="K4232" s="139">
        <f>IFERROR(IF(H4232&gt;0,H4232*$C$7,""),"")</f>
        <v/>
      </c>
      <c r="L4232" s="139">
        <f>IFERROR(IF(ISNUMBER(F4232),F4232-IF(ISNUMBER(K4232),K4232,0),""),"")</f>
        <v/>
      </c>
    </row>
    <row r="4233" ht="24" customHeight="1" s="63">
      <c r="E4233" s="139" t="n"/>
      <c r="F4233" s="139" t="n"/>
      <c r="G4233" s="140">
        <f>IFERROR(IF(E4233&gt;0,(F4233/E4233)*1000,""),"")</f>
        <v/>
      </c>
      <c r="H4233" s="139">
        <f>IFERROR(IF(E4233&gt;0,E4233*IF(ISNUMBER(J4233),J4233,IF(C4233="Futures",$C$6,$C$5)),""),"")</f>
        <v/>
      </c>
      <c r="I4233" s="139">
        <f>IFERROR(IF(AND(ISNUMBER(F4233),ISNUMBER(H4233)),F4233-H4233,""),"")</f>
        <v/>
      </c>
      <c r="J4233" s="114" t="n"/>
      <c r="K4233" s="139">
        <f>IFERROR(IF(H4233&gt;0,H4233*$C$7,""),"")</f>
        <v/>
      </c>
      <c r="L4233" s="139">
        <f>IFERROR(IF(ISNUMBER(F4233),F4233-IF(ISNUMBER(K4233),K4233,0),""),"")</f>
        <v/>
      </c>
    </row>
    <row r="4234" ht="24" customHeight="1" s="63">
      <c r="E4234" s="139" t="n"/>
      <c r="F4234" s="139" t="n"/>
      <c r="G4234" s="140">
        <f>IFERROR(IF(E4234&gt;0,(F4234/E4234)*1000,""),"")</f>
        <v/>
      </c>
      <c r="H4234" s="139">
        <f>IFERROR(IF(E4234&gt;0,E4234*IF(ISNUMBER(J4234),J4234,IF(C4234="Futures",$C$6,$C$5)),""),"")</f>
        <v/>
      </c>
      <c r="I4234" s="139">
        <f>IFERROR(IF(AND(ISNUMBER(F4234),ISNUMBER(H4234)),F4234-H4234,""),"")</f>
        <v/>
      </c>
      <c r="J4234" s="114" t="n"/>
      <c r="K4234" s="139">
        <f>IFERROR(IF(H4234&gt;0,H4234*$C$7,""),"")</f>
        <v/>
      </c>
      <c r="L4234" s="139">
        <f>IFERROR(IF(ISNUMBER(F4234),F4234-IF(ISNUMBER(K4234),K4234,0),""),"")</f>
        <v/>
      </c>
    </row>
    <row r="4235" ht="24" customHeight="1" s="63">
      <c r="E4235" s="139" t="n"/>
      <c r="F4235" s="139" t="n"/>
      <c r="G4235" s="140">
        <f>IFERROR(IF(E4235&gt;0,(F4235/E4235)*1000,""),"")</f>
        <v/>
      </c>
      <c r="H4235" s="139">
        <f>IFERROR(IF(E4235&gt;0,E4235*IF(ISNUMBER(J4235),J4235,IF(C4235="Futures",$C$6,$C$5)),""),"")</f>
        <v/>
      </c>
      <c r="I4235" s="139">
        <f>IFERROR(IF(AND(ISNUMBER(F4235),ISNUMBER(H4235)),F4235-H4235,""),"")</f>
        <v/>
      </c>
      <c r="J4235" s="114" t="n"/>
      <c r="K4235" s="139">
        <f>IFERROR(IF(H4235&gt;0,H4235*$C$7,""),"")</f>
        <v/>
      </c>
      <c r="L4235" s="139">
        <f>IFERROR(IF(ISNUMBER(F4235),F4235-IF(ISNUMBER(K4235),K4235,0),""),"")</f>
        <v/>
      </c>
    </row>
    <row r="4236" ht="24" customHeight="1" s="63">
      <c r="E4236" s="139" t="n"/>
      <c r="F4236" s="139" t="n"/>
      <c r="G4236" s="140">
        <f>IFERROR(IF(E4236&gt;0,(F4236/E4236)*1000,""),"")</f>
        <v/>
      </c>
      <c r="H4236" s="139">
        <f>IFERROR(IF(E4236&gt;0,E4236*IF(ISNUMBER(J4236),J4236,IF(C4236="Futures",$C$6,$C$5)),""),"")</f>
        <v/>
      </c>
      <c r="I4236" s="139">
        <f>IFERROR(IF(AND(ISNUMBER(F4236),ISNUMBER(H4236)),F4236-H4236,""),"")</f>
        <v/>
      </c>
      <c r="J4236" s="114" t="n"/>
      <c r="K4236" s="139">
        <f>IFERROR(IF(H4236&gt;0,H4236*$C$7,""),"")</f>
        <v/>
      </c>
      <c r="L4236" s="139">
        <f>IFERROR(IF(ISNUMBER(F4236),F4236-IF(ISNUMBER(K4236),K4236,0),""),"")</f>
        <v/>
      </c>
    </row>
    <row r="4237" ht="24" customHeight="1" s="63">
      <c r="E4237" s="139" t="n"/>
      <c r="F4237" s="139" t="n"/>
      <c r="G4237" s="140">
        <f>IFERROR(IF(E4237&gt;0,(F4237/E4237)*1000,""),"")</f>
        <v/>
      </c>
      <c r="H4237" s="139">
        <f>IFERROR(IF(E4237&gt;0,E4237*IF(ISNUMBER(J4237),J4237,IF(C4237="Futures",$C$6,$C$5)),""),"")</f>
        <v/>
      </c>
      <c r="I4237" s="139">
        <f>IFERROR(IF(AND(ISNUMBER(F4237),ISNUMBER(H4237)),F4237-H4237,""),"")</f>
        <v/>
      </c>
      <c r="J4237" s="114" t="n"/>
      <c r="K4237" s="139">
        <f>IFERROR(IF(H4237&gt;0,H4237*$C$7,""),"")</f>
        <v/>
      </c>
      <c r="L4237" s="139">
        <f>IFERROR(IF(ISNUMBER(F4237),F4237-IF(ISNUMBER(K4237),K4237,0),""),"")</f>
        <v/>
      </c>
    </row>
    <row r="4238" ht="24" customHeight="1" s="63">
      <c r="E4238" s="139" t="n"/>
      <c r="F4238" s="139" t="n"/>
      <c r="G4238" s="140">
        <f>IFERROR(IF(E4238&gt;0,(F4238/E4238)*1000,""),"")</f>
        <v/>
      </c>
      <c r="H4238" s="139">
        <f>IFERROR(IF(E4238&gt;0,E4238*IF(ISNUMBER(J4238),J4238,IF(C4238="Futures",$C$6,$C$5)),""),"")</f>
        <v/>
      </c>
      <c r="I4238" s="139">
        <f>IFERROR(IF(AND(ISNUMBER(F4238),ISNUMBER(H4238)),F4238-H4238,""),"")</f>
        <v/>
      </c>
      <c r="J4238" s="114" t="n"/>
      <c r="K4238" s="139">
        <f>IFERROR(IF(H4238&gt;0,H4238*$C$7,""),"")</f>
        <v/>
      </c>
      <c r="L4238" s="139">
        <f>IFERROR(IF(ISNUMBER(F4238),F4238-IF(ISNUMBER(K4238),K4238,0),""),"")</f>
        <v/>
      </c>
    </row>
    <row r="4239" ht="24" customHeight="1" s="63">
      <c r="E4239" s="139" t="n"/>
      <c r="F4239" s="139" t="n"/>
      <c r="G4239" s="140">
        <f>IFERROR(IF(E4239&gt;0,(F4239/E4239)*1000,""),"")</f>
        <v/>
      </c>
      <c r="H4239" s="139">
        <f>IFERROR(IF(E4239&gt;0,E4239*IF(ISNUMBER(J4239),J4239,IF(C4239="Futures",$C$6,$C$5)),""),"")</f>
        <v/>
      </c>
      <c r="I4239" s="139">
        <f>IFERROR(IF(AND(ISNUMBER(F4239),ISNUMBER(H4239)),F4239-H4239,""),"")</f>
        <v/>
      </c>
      <c r="J4239" s="114" t="n"/>
      <c r="K4239" s="139">
        <f>IFERROR(IF(H4239&gt;0,H4239*$C$7,""),"")</f>
        <v/>
      </c>
      <c r="L4239" s="139">
        <f>IFERROR(IF(ISNUMBER(F4239),F4239-IF(ISNUMBER(K4239),K4239,0),""),"")</f>
        <v/>
      </c>
    </row>
    <row r="4240" ht="24" customHeight="1" s="63">
      <c r="E4240" s="139" t="n"/>
      <c r="F4240" s="139" t="n"/>
      <c r="G4240" s="140">
        <f>IFERROR(IF(E4240&gt;0,(F4240/E4240)*1000,""),"")</f>
        <v/>
      </c>
      <c r="H4240" s="139">
        <f>IFERROR(IF(E4240&gt;0,E4240*IF(ISNUMBER(J4240),J4240,IF(C4240="Futures",$C$6,$C$5)),""),"")</f>
        <v/>
      </c>
      <c r="I4240" s="139">
        <f>IFERROR(IF(AND(ISNUMBER(F4240),ISNUMBER(H4240)),F4240-H4240,""),"")</f>
        <v/>
      </c>
      <c r="J4240" s="114" t="n"/>
      <c r="K4240" s="139">
        <f>IFERROR(IF(H4240&gt;0,H4240*$C$7,""),"")</f>
        <v/>
      </c>
      <c r="L4240" s="139">
        <f>IFERROR(IF(ISNUMBER(F4240),F4240-IF(ISNUMBER(K4240),K4240,0),""),"")</f>
        <v/>
      </c>
    </row>
    <row r="4241" ht="24" customHeight="1" s="63">
      <c r="E4241" s="139" t="n"/>
      <c r="F4241" s="139" t="n"/>
      <c r="G4241" s="140">
        <f>IFERROR(IF(E4241&gt;0,(F4241/E4241)*1000,""),"")</f>
        <v/>
      </c>
      <c r="H4241" s="139">
        <f>IFERROR(IF(E4241&gt;0,E4241*IF(ISNUMBER(J4241),J4241,IF(C4241="Futures",$C$6,$C$5)),""),"")</f>
        <v/>
      </c>
      <c r="I4241" s="139">
        <f>IFERROR(IF(AND(ISNUMBER(F4241),ISNUMBER(H4241)),F4241-H4241,""),"")</f>
        <v/>
      </c>
      <c r="J4241" s="114" t="n"/>
      <c r="K4241" s="139">
        <f>IFERROR(IF(H4241&gt;0,H4241*$C$7,""),"")</f>
        <v/>
      </c>
      <c r="L4241" s="139">
        <f>IFERROR(IF(ISNUMBER(F4241),F4241-IF(ISNUMBER(K4241),K4241,0),""),"")</f>
        <v/>
      </c>
    </row>
    <row r="4242" ht="24" customHeight="1" s="63">
      <c r="E4242" s="139" t="n"/>
      <c r="F4242" s="139" t="n"/>
      <c r="G4242" s="140">
        <f>IFERROR(IF(E4242&gt;0,(F4242/E4242)*1000,""),"")</f>
        <v/>
      </c>
      <c r="H4242" s="139">
        <f>IFERROR(IF(E4242&gt;0,E4242*IF(ISNUMBER(J4242),J4242,IF(C4242="Futures",$C$6,$C$5)),""),"")</f>
        <v/>
      </c>
      <c r="I4242" s="139">
        <f>IFERROR(IF(AND(ISNUMBER(F4242),ISNUMBER(H4242)),F4242-H4242,""),"")</f>
        <v/>
      </c>
      <c r="J4242" s="114" t="n"/>
      <c r="K4242" s="139">
        <f>IFERROR(IF(H4242&gt;0,H4242*$C$7,""),"")</f>
        <v/>
      </c>
      <c r="L4242" s="139">
        <f>IFERROR(IF(ISNUMBER(F4242),F4242-IF(ISNUMBER(K4242),K4242,0),""),"")</f>
        <v/>
      </c>
    </row>
    <row r="4243" ht="24" customHeight="1" s="63">
      <c r="E4243" s="139" t="n"/>
      <c r="F4243" s="139" t="n"/>
      <c r="G4243" s="140">
        <f>IFERROR(IF(E4243&gt;0,(F4243/E4243)*1000,""),"")</f>
        <v/>
      </c>
      <c r="H4243" s="139">
        <f>IFERROR(IF(E4243&gt;0,E4243*IF(ISNUMBER(J4243),J4243,IF(C4243="Futures",$C$6,$C$5)),""),"")</f>
        <v/>
      </c>
      <c r="I4243" s="139">
        <f>IFERROR(IF(AND(ISNUMBER(F4243),ISNUMBER(H4243)),F4243-H4243,""),"")</f>
        <v/>
      </c>
      <c r="J4243" s="114" t="n"/>
      <c r="K4243" s="139">
        <f>IFERROR(IF(H4243&gt;0,H4243*$C$7,""),"")</f>
        <v/>
      </c>
      <c r="L4243" s="139">
        <f>IFERROR(IF(ISNUMBER(F4243),F4243-IF(ISNUMBER(K4243),K4243,0),""),"")</f>
        <v/>
      </c>
    </row>
    <row r="4244" ht="24" customHeight="1" s="63">
      <c r="E4244" s="139" t="n"/>
      <c r="F4244" s="139" t="n"/>
      <c r="G4244" s="140">
        <f>IFERROR(IF(E4244&gt;0,(F4244/E4244)*1000,""),"")</f>
        <v/>
      </c>
      <c r="H4244" s="139">
        <f>IFERROR(IF(E4244&gt;0,E4244*IF(ISNUMBER(J4244),J4244,IF(C4244="Futures",$C$6,$C$5)),""),"")</f>
        <v/>
      </c>
      <c r="I4244" s="139">
        <f>IFERROR(IF(AND(ISNUMBER(F4244),ISNUMBER(H4244)),F4244-H4244,""),"")</f>
        <v/>
      </c>
      <c r="J4244" s="114" t="n"/>
      <c r="K4244" s="139">
        <f>IFERROR(IF(H4244&gt;0,H4244*$C$7,""),"")</f>
        <v/>
      </c>
      <c r="L4244" s="139">
        <f>IFERROR(IF(ISNUMBER(F4244),F4244-IF(ISNUMBER(K4244),K4244,0),""),"")</f>
        <v/>
      </c>
    </row>
    <row r="4245" ht="24" customHeight="1" s="63">
      <c r="E4245" s="139" t="n"/>
      <c r="F4245" s="139" t="n"/>
      <c r="G4245" s="140">
        <f>IFERROR(IF(E4245&gt;0,(F4245/E4245)*1000,""),"")</f>
        <v/>
      </c>
      <c r="H4245" s="139">
        <f>IFERROR(IF(E4245&gt;0,E4245*IF(ISNUMBER(J4245),J4245,IF(C4245="Futures",$C$6,$C$5)),""),"")</f>
        <v/>
      </c>
      <c r="I4245" s="139">
        <f>IFERROR(IF(AND(ISNUMBER(F4245),ISNUMBER(H4245)),F4245-H4245,""),"")</f>
        <v/>
      </c>
      <c r="J4245" s="114" t="n"/>
      <c r="K4245" s="139">
        <f>IFERROR(IF(H4245&gt;0,H4245*$C$7,""),"")</f>
        <v/>
      </c>
      <c r="L4245" s="139">
        <f>IFERROR(IF(ISNUMBER(F4245),F4245-IF(ISNUMBER(K4245),K4245,0),""),"")</f>
        <v/>
      </c>
    </row>
    <row r="4246" ht="24" customHeight="1" s="63">
      <c r="E4246" s="139" t="n"/>
      <c r="F4246" s="139" t="n"/>
      <c r="G4246" s="140">
        <f>IFERROR(IF(E4246&gt;0,(F4246/E4246)*1000,""),"")</f>
        <v/>
      </c>
      <c r="H4246" s="139">
        <f>IFERROR(IF(E4246&gt;0,E4246*IF(ISNUMBER(J4246),J4246,IF(C4246="Futures",$C$6,$C$5)),""),"")</f>
        <v/>
      </c>
      <c r="I4246" s="139">
        <f>IFERROR(IF(AND(ISNUMBER(F4246),ISNUMBER(H4246)),F4246-H4246,""),"")</f>
        <v/>
      </c>
      <c r="J4246" s="114" t="n"/>
      <c r="K4246" s="139">
        <f>IFERROR(IF(H4246&gt;0,H4246*$C$7,""),"")</f>
        <v/>
      </c>
      <c r="L4246" s="139">
        <f>IFERROR(IF(ISNUMBER(F4246),F4246-IF(ISNUMBER(K4246),K4246,0),""),"")</f>
        <v/>
      </c>
    </row>
    <row r="4247" ht="24" customHeight="1" s="63">
      <c r="E4247" s="139" t="n"/>
      <c r="F4247" s="139" t="n"/>
      <c r="G4247" s="140">
        <f>IFERROR(IF(E4247&gt;0,(F4247/E4247)*1000,""),"")</f>
        <v/>
      </c>
      <c r="H4247" s="139">
        <f>IFERROR(IF(E4247&gt;0,E4247*IF(ISNUMBER(J4247),J4247,IF(C4247="Futures",$C$6,$C$5)),""),"")</f>
        <v/>
      </c>
      <c r="I4247" s="139">
        <f>IFERROR(IF(AND(ISNUMBER(F4247),ISNUMBER(H4247)),F4247-H4247,""),"")</f>
        <v/>
      </c>
      <c r="J4247" s="114" t="n"/>
      <c r="K4247" s="139">
        <f>IFERROR(IF(H4247&gt;0,H4247*$C$7,""),"")</f>
        <v/>
      </c>
      <c r="L4247" s="139">
        <f>IFERROR(IF(ISNUMBER(F4247),F4247-IF(ISNUMBER(K4247),K4247,0),""),"")</f>
        <v/>
      </c>
    </row>
    <row r="4248" ht="24" customHeight="1" s="63">
      <c r="E4248" s="139" t="n"/>
      <c r="F4248" s="139" t="n"/>
      <c r="G4248" s="140">
        <f>IFERROR(IF(E4248&gt;0,(F4248/E4248)*1000,""),"")</f>
        <v/>
      </c>
      <c r="H4248" s="139">
        <f>IFERROR(IF(E4248&gt;0,E4248*IF(ISNUMBER(J4248),J4248,IF(C4248="Futures",$C$6,$C$5)),""),"")</f>
        <v/>
      </c>
      <c r="I4248" s="139">
        <f>IFERROR(IF(AND(ISNUMBER(F4248),ISNUMBER(H4248)),F4248-H4248,""),"")</f>
        <v/>
      </c>
      <c r="J4248" s="114" t="n"/>
      <c r="K4248" s="139">
        <f>IFERROR(IF(H4248&gt;0,H4248*$C$7,""),"")</f>
        <v/>
      </c>
      <c r="L4248" s="139">
        <f>IFERROR(IF(ISNUMBER(F4248),F4248-IF(ISNUMBER(K4248),K4248,0),""),"")</f>
        <v/>
      </c>
    </row>
    <row r="4249" ht="24" customHeight="1" s="63">
      <c r="E4249" s="139" t="n"/>
      <c r="F4249" s="139" t="n"/>
      <c r="G4249" s="140">
        <f>IFERROR(IF(E4249&gt;0,(F4249/E4249)*1000,""),"")</f>
        <v/>
      </c>
      <c r="H4249" s="139">
        <f>IFERROR(IF(E4249&gt;0,E4249*IF(ISNUMBER(J4249),J4249,IF(C4249="Futures",$C$6,$C$5)),""),"")</f>
        <v/>
      </c>
      <c r="I4249" s="139">
        <f>IFERROR(IF(AND(ISNUMBER(F4249),ISNUMBER(H4249)),F4249-H4249,""),"")</f>
        <v/>
      </c>
      <c r="J4249" s="114" t="n"/>
      <c r="K4249" s="139">
        <f>IFERROR(IF(H4249&gt;0,H4249*$C$7,""),"")</f>
        <v/>
      </c>
      <c r="L4249" s="139">
        <f>IFERROR(IF(ISNUMBER(F4249),F4249-IF(ISNUMBER(K4249),K4249,0),""),"")</f>
        <v/>
      </c>
    </row>
    <row r="4250" ht="24" customHeight="1" s="63">
      <c r="E4250" s="139" t="n"/>
      <c r="F4250" s="139" t="n"/>
      <c r="G4250" s="140">
        <f>IFERROR(IF(E4250&gt;0,(F4250/E4250)*1000,""),"")</f>
        <v/>
      </c>
      <c r="H4250" s="139">
        <f>IFERROR(IF(E4250&gt;0,E4250*IF(ISNUMBER(J4250),J4250,IF(C4250="Futures",$C$6,$C$5)),""),"")</f>
        <v/>
      </c>
      <c r="I4250" s="139">
        <f>IFERROR(IF(AND(ISNUMBER(F4250),ISNUMBER(H4250)),F4250-H4250,""),"")</f>
        <v/>
      </c>
      <c r="J4250" s="114" t="n"/>
      <c r="K4250" s="139">
        <f>IFERROR(IF(H4250&gt;0,H4250*$C$7,""),"")</f>
        <v/>
      </c>
      <c r="L4250" s="139">
        <f>IFERROR(IF(ISNUMBER(F4250),F4250-IF(ISNUMBER(K4250),K4250,0),""),"")</f>
        <v/>
      </c>
    </row>
    <row r="4251" ht="24" customHeight="1" s="63">
      <c r="E4251" s="139" t="n"/>
      <c r="F4251" s="139" t="n"/>
      <c r="G4251" s="140">
        <f>IFERROR(IF(E4251&gt;0,(F4251/E4251)*1000,""),"")</f>
        <v/>
      </c>
      <c r="H4251" s="139">
        <f>IFERROR(IF(E4251&gt;0,E4251*IF(ISNUMBER(J4251),J4251,IF(C4251="Futures",$C$6,$C$5)),""),"")</f>
        <v/>
      </c>
      <c r="I4251" s="139">
        <f>IFERROR(IF(AND(ISNUMBER(F4251),ISNUMBER(H4251)),F4251-H4251,""),"")</f>
        <v/>
      </c>
      <c r="J4251" s="114" t="n"/>
      <c r="K4251" s="139">
        <f>IFERROR(IF(H4251&gt;0,H4251*$C$7,""),"")</f>
        <v/>
      </c>
      <c r="L4251" s="139">
        <f>IFERROR(IF(ISNUMBER(F4251),F4251-IF(ISNUMBER(K4251),K4251,0),""),"")</f>
        <v/>
      </c>
    </row>
    <row r="4252" ht="24" customHeight="1" s="63">
      <c r="E4252" s="139" t="n"/>
      <c r="F4252" s="139" t="n"/>
      <c r="G4252" s="140">
        <f>IFERROR(IF(E4252&gt;0,(F4252/E4252)*1000,""),"")</f>
        <v/>
      </c>
      <c r="H4252" s="139">
        <f>IFERROR(IF(E4252&gt;0,E4252*IF(ISNUMBER(J4252),J4252,IF(C4252="Futures",$C$6,$C$5)),""),"")</f>
        <v/>
      </c>
      <c r="I4252" s="139">
        <f>IFERROR(IF(AND(ISNUMBER(F4252),ISNUMBER(H4252)),F4252-H4252,""),"")</f>
        <v/>
      </c>
      <c r="J4252" s="114" t="n"/>
      <c r="K4252" s="139">
        <f>IFERROR(IF(H4252&gt;0,H4252*$C$7,""),"")</f>
        <v/>
      </c>
      <c r="L4252" s="139">
        <f>IFERROR(IF(ISNUMBER(F4252),F4252-IF(ISNUMBER(K4252),K4252,0),""),"")</f>
        <v/>
      </c>
    </row>
    <row r="4253" ht="24" customHeight="1" s="63">
      <c r="E4253" s="139" t="n"/>
      <c r="F4253" s="139" t="n"/>
      <c r="G4253" s="140">
        <f>IFERROR(IF(E4253&gt;0,(F4253/E4253)*1000,""),"")</f>
        <v/>
      </c>
      <c r="H4253" s="139">
        <f>IFERROR(IF(E4253&gt;0,E4253*IF(ISNUMBER(J4253),J4253,IF(C4253="Futures",$C$6,$C$5)),""),"")</f>
        <v/>
      </c>
      <c r="I4253" s="139">
        <f>IFERROR(IF(AND(ISNUMBER(F4253),ISNUMBER(H4253)),F4253-H4253,""),"")</f>
        <v/>
      </c>
      <c r="J4253" s="114" t="n"/>
      <c r="K4253" s="139">
        <f>IFERROR(IF(H4253&gt;0,H4253*$C$7,""),"")</f>
        <v/>
      </c>
      <c r="L4253" s="139">
        <f>IFERROR(IF(ISNUMBER(F4253),F4253-IF(ISNUMBER(K4253),K4253,0),""),"")</f>
        <v/>
      </c>
    </row>
    <row r="4254" ht="24" customHeight="1" s="63">
      <c r="E4254" s="139" t="n"/>
      <c r="F4254" s="139" t="n"/>
      <c r="G4254" s="140">
        <f>IFERROR(IF(E4254&gt;0,(F4254/E4254)*1000,""),"")</f>
        <v/>
      </c>
      <c r="H4254" s="139">
        <f>IFERROR(IF(E4254&gt;0,E4254*IF(ISNUMBER(J4254),J4254,IF(C4254="Futures",$C$6,$C$5)),""),"")</f>
        <v/>
      </c>
      <c r="I4254" s="139">
        <f>IFERROR(IF(AND(ISNUMBER(F4254),ISNUMBER(H4254)),F4254-H4254,""),"")</f>
        <v/>
      </c>
      <c r="J4254" s="114" t="n"/>
      <c r="K4254" s="139">
        <f>IFERROR(IF(H4254&gt;0,H4254*$C$7,""),"")</f>
        <v/>
      </c>
      <c r="L4254" s="139">
        <f>IFERROR(IF(ISNUMBER(F4254),F4254-IF(ISNUMBER(K4254),K4254,0),""),"")</f>
        <v/>
      </c>
    </row>
    <row r="4255" ht="24" customHeight="1" s="63">
      <c r="E4255" s="139" t="n"/>
      <c r="F4255" s="139" t="n"/>
      <c r="G4255" s="140">
        <f>IFERROR(IF(E4255&gt;0,(F4255/E4255)*1000,""),"")</f>
        <v/>
      </c>
      <c r="H4255" s="139">
        <f>IFERROR(IF(E4255&gt;0,E4255*IF(ISNUMBER(J4255),J4255,IF(C4255="Futures",$C$6,$C$5)),""),"")</f>
        <v/>
      </c>
      <c r="I4255" s="139">
        <f>IFERROR(IF(AND(ISNUMBER(F4255),ISNUMBER(H4255)),F4255-H4255,""),"")</f>
        <v/>
      </c>
      <c r="J4255" s="114" t="n"/>
      <c r="K4255" s="139">
        <f>IFERROR(IF(H4255&gt;0,H4255*$C$7,""),"")</f>
        <v/>
      </c>
      <c r="L4255" s="139">
        <f>IFERROR(IF(ISNUMBER(F4255),F4255-IF(ISNUMBER(K4255),K4255,0),""),"")</f>
        <v/>
      </c>
    </row>
    <row r="4256" ht="24" customHeight="1" s="63">
      <c r="E4256" s="139" t="n"/>
      <c r="F4256" s="139" t="n"/>
      <c r="G4256" s="140">
        <f>IFERROR(IF(E4256&gt;0,(F4256/E4256)*1000,""),"")</f>
        <v/>
      </c>
      <c r="H4256" s="139">
        <f>IFERROR(IF(E4256&gt;0,E4256*IF(ISNUMBER(J4256),J4256,IF(C4256="Futures",$C$6,$C$5)),""),"")</f>
        <v/>
      </c>
      <c r="I4256" s="139">
        <f>IFERROR(IF(AND(ISNUMBER(F4256),ISNUMBER(H4256)),F4256-H4256,""),"")</f>
        <v/>
      </c>
      <c r="J4256" s="114" t="n"/>
      <c r="K4256" s="139">
        <f>IFERROR(IF(H4256&gt;0,H4256*$C$7,""),"")</f>
        <v/>
      </c>
      <c r="L4256" s="139">
        <f>IFERROR(IF(ISNUMBER(F4256),F4256-IF(ISNUMBER(K4256),K4256,0),""),"")</f>
        <v/>
      </c>
    </row>
    <row r="4257" ht="24" customHeight="1" s="63">
      <c r="E4257" s="139" t="n"/>
      <c r="F4257" s="139" t="n"/>
      <c r="G4257" s="140">
        <f>IFERROR(IF(E4257&gt;0,(F4257/E4257)*1000,""),"")</f>
        <v/>
      </c>
      <c r="H4257" s="139">
        <f>IFERROR(IF(E4257&gt;0,E4257*IF(ISNUMBER(J4257),J4257,IF(C4257="Futures",$C$6,$C$5)),""),"")</f>
        <v/>
      </c>
      <c r="I4257" s="139">
        <f>IFERROR(IF(AND(ISNUMBER(F4257),ISNUMBER(H4257)),F4257-H4257,""),"")</f>
        <v/>
      </c>
      <c r="J4257" s="114" t="n"/>
      <c r="K4257" s="139">
        <f>IFERROR(IF(H4257&gt;0,H4257*$C$7,""),"")</f>
        <v/>
      </c>
      <c r="L4257" s="139">
        <f>IFERROR(IF(ISNUMBER(F4257),F4257-IF(ISNUMBER(K4257),K4257,0),""),"")</f>
        <v/>
      </c>
    </row>
    <row r="4258" ht="24" customHeight="1" s="63">
      <c r="E4258" s="139" t="n"/>
      <c r="F4258" s="139" t="n"/>
      <c r="G4258" s="140">
        <f>IFERROR(IF(E4258&gt;0,(F4258/E4258)*1000,""),"")</f>
        <v/>
      </c>
      <c r="H4258" s="139">
        <f>IFERROR(IF(E4258&gt;0,E4258*IF(ISNUMBER(J4258),J4258,IF(C4258="Futures",$C$6,$C$5)),""),"")</f>
        <v/>
      </c>
      <c r="I4258" s="139">
        <f>IFERROR(IF(AND(ISNUMBER(F4258),ISNUMBER(H4258)),F4258-H4258,""),"")</f>
        <v/>
      </c>
      <c r="J4258" s="114" t="n"/>
      <c r="K4258" s="139">
        <f>IFERROR(IF(H4258&gt;0,H4258*$C$7,""),"")</f>
        <v/>
      </c>
      <c r="L4258" s="139">
        <f>IFERROR(IF(ISNUMBER(F4258),F4258-IF(ISNUMBER(K4258),K4258,0),""),"")</f>
        <v/>
      </c>
    </row>
    <row r="4259" ht="24" customHeight="1" s="63">
      <c r="E4259" s="139" t="n"/>
      <c r="F4259" s="139" t="n"/>
      <c r="G4259" s="140">
        <f>IFERROR(IF(E4259&gt;0,(F4259/E4259)*1000,""),"")</f>
        <v/>
      </c>
      <c r="H4259" s="139">
        <f>IFERROR(IF(E4259&gt;0,E4259*IF(ISNUMBER(J4259),J4259,IF(C4259="Futures",$C$6,$C$5)),""),"")</f>
        <v/>
      </c>
      <c r="I4259" s="139">
        <f>IFERROR(IF(AND(ISNUMBER(F4259),ISNUMBER(H4259)),F4259-H4259,""),"")</f>
        <v/>
      </c>
      <c r="J4259" s="114" t="n"/>
      <c r="K4259" s="139">
        <f>IFERROR(IF(H4259&gt;0,H4259*$C$7,""),"")</f>
        <v/>
      </c>
      <c r="L4259" s="139">
        <f>IFERROR(IF(ISNUMBER(F4259),F4259-IF(ISNUMBER(K4259),K4259,0),""),"")</f>
        <v/>
      </c>
    </row>
    <row r="4260" ht="24" customHeight="1" s="63">
      <c r="E4260" s="139" t="n"/>
      <c r="F4260" s="139" t="n"/>
      <c r="G4260" s="140">
        <f>IFERROR(IF(E4260&gt;0,(F4260/E4260)*1000,""),"")</f>
        <v/>
      </c>
      <c r="H4260" s="139">
        <f>IFERROR(IF(E4260&gt;0,E4260*IF(ISNUMBER(J4260),J4260,IF(C4260="Futures",$C$6,$C$5)),""),"")</f>
        <v/>
      </c>
      <c r="I4260" s="139">
        <f>IFERROR(IF(AND(ISNUMBER(F4260),ISNUMBER(H4260)),F4260-H4260,""),"")</f>
        <v/>
      </c>
      <c r="J4260" s="114" t="n"/>
      <c r="K4260" s="139">
        <f>IFERROR(IF(H4260&gt;0,H4260*$C$7,""),"")</f>
        <v/>
      </c>
      <c r="L4260" s="139">
        <f>IFERROR(IF(ISNUMBER(F4260),F4260-IF(ISNUMBER(K4260),K4260,0),""),"")</f>
        <v/>
      </c>
    </row>
    <row r="4261" ht="24" customHeight="1" s="63">
      <c r="E4261" s="139" t="n"/>
      <c r="F4261" s="139" t="n"/>
      <c r="G4261" s="140">
        <f>IFERROR(IF(E4261&gt;0,(F4261/E4261)*1000,""),"")</f>
        <v/>
      </c>
      <c r="H4261" s="139">
        <f>IFERROR(IF(E4261&gt;0,E4261*IF(ISNUMBER(J4261),J4261,IF(C4261="Futures",$C$6,$C$5)),""),"")</f>
        <v/>
      </c>
      <c r="I4261" s="139">
        <f>IFERROR(IF(AND(ISNUMBER(F4261),ISNUMBER(H4261)),F4261-H4261,""),"")</f>
        <v/>
      </c>
      <c r="J4261" s="114" t="n"/>
      <c r="K4261" s="139">
        <f>IFERROR(IF(H4261&gt;0,H4261*$C$7,""),"")</f>
        <v/>
      </c>
      <c r="L4261" s="139">
        <f>IFERROR(IF(ISNUMBER(F4261),F4261-IF(ISNUMBER(K4261),K4261,0),""),"")</f>
        <v/>
      </c>
    </row>
    <row r="4262" ht="24" customHeight="1" s="63">
      <c r="E4262" s="139" t="n"/>
      <c r="F4262" s="139" t="n"/>
      <c r="G4262" s="140">
        <f>IFERROR(IF(E4262&gt;0,(F4262/E4262)*1000,""),"")</f>
        <v/>
      </c>
      <c r="H4262" s="139">
        <f>IFERROR(IF(E4262&gt;0,E4262*IF(ISNUMBER(J4262),J4262,IF(C4262="Futures",$C$6,$C$5)),""),"")</f>
        <v/>
      </c>
      <c r="I4262" s="139">
        <f>IFERROR(IF(AND(ISNUMBER(F4262),ISNUMBER(H4262)),F4262-H4262,""),"")</f>
        <v/>
      </c>
      <c r="J4262" s="114" t="n"/>
      <c r="K4262" s="139">
        <f>IFERROR(IF(H4262&gt;0,H4262*$C$7,""),"")</f>
        <v/>
      </c>
      <c r="L4262" s="139">
        <f>IFERROR(IF(ISNUMBER(F4262),F4262-IF(ISNUMBER(K4262),K4262,0),""),"")</f>
        <v/>
      </c>
    </row>
    <row r="4263" ht="24" customHeight="1" s="63">
      <c r="E4263" s="139" t="n"/>
      <c r="F4263" s="139" t="n"/>
      <c r="G4263" s="140">
        <f>IFERROR(IF(E4263&gt;0,(F4263/E4263)*1000,""),"")</f>
        <v/>
      </c>
      <c r="H4263" s="139">
        <f>IFERROR(IF(E4263&gt;0,E4263*IF(ISNUMBER(J4263),J4263,IF(C4263="Futures",$C$6,$C$5)),""),"")</f>
        <v/>
      </c>
      <c r="I4263" s="139">
        <f>IFERROR(IF(AND(ISNUMBER(F4263),ISNUMBER(H4263)),F4263-H4263,""),"")</f>
        <v/>
      </c>
      <c r="J4263" s="114" t="n"/>
      <c r="K4263" s="139">
        <f>IFERROR(IF(H4263&gt;0,H4263*$C$7,""),"")</f>
        <v/>
      </c>
      <c r="L4263" s="139">
        <f>IFERROR(IF(ISNUMBER(F4263),F4263-IF(ISNUMBER(K4263),K4263,0),""),"")</f>
        <v/>
      </c>
    </row>
    <row r="4264" ht="24" customHeight="1" s="63">
      <c r="E4264" s="139" t="n"/>
      <c r="F4264" s="139" t="n"/>
      <c r="G4264" s="140">
        <f>IFERROR(IF(E4264&gt;0,(F4264/E4264)*1000,""),"")</f>
        <v/>
      </c>
      <c r="H4264" s="139">
        <f>IFERROR(IF(E4264&gt;0,E4264*IF(ISNUMBER(J4264),J4264,IF(C4264="Futures",$C$6,$C$5)),""),"")</f>
        <v/>
      </c>
      <c r="I4264" s="139">
        <f>IFERROR(IF(AND(ISNUMBER(F4264),ISNUMBER(H4264)),F4264-H4264,""),"")</f>
        <v/>
      </c>
      <c r="J4264" s="114" t="n"/>
      <c r="K4264" s="139">
        <f>IFERROR(IF(H4264&gt;0,H4264*$C$7,""),"")</f>
        <v/>
      </c>
      <c r="L4264" s="139">
        <f>IFERROR(IF(ISNUMBER(F4264),F4264-IF(ISNUMBER(K4264),K4264,0),""),"")</f>
        <v/>
      </c>
    </row>
    <row r="4265" ht="24" customHeight="1" s="63">
      <c r="E4265" s="139" t="n"/>
      <c r="F4265" s="139" t="n"/>
      <c r="G4265" s="140">
        <f>IFERROR(IF(E4265&gt;0,(F4265/E4265)*1000,""),"")</f>
        <v/>
      </c>
      <c r="H4265" s="139">
        <f>IFERROR(IF(E4265&gt;0,E4265*IF(ISNUMBER(J4265),J4265,IF(C4265="Futures",$C$6,$C$5)),""),"")</f>
        <v/>
      </c>
      <c r="I4265" s="139">
        <f>IFERROR(IF(AND(ISNUMBER(F4265),ISNUMBER(H4265)),F4265-H4265,""),"")</f>
        <v/>
      </c>
      <c r="J4265" s="114" t="n"/>
      <c r="K4265" s="139">
        <f>IFERROR(IF(H4265&gt;0,H4265*$C$7,""),"")</f>
        <v/>
      </c>
      <c r="L4265" s="139">
        <f>IFERROR(IF(ISNUMBER(F4265),F4265-IF(ISNUMBER(K4265),K4265,0),""),"")</f>
        <v/>
      </c>
    </row>
    <row r="4266" ht="24" customHeight="1" s="63">
      <c r="E4266" s="139" t="n"/>
      <c r="F4266" s="139" t="n"/>
      <c r="G4266" s="140">
        <f>IFERROR(IF(E4266&gt;0,(F4266/E4266)*1000,""),"")</f>
        <v/>
      </c>
      <c r="H4266" s="139">
        <f>IFERROR(IF(E4266&gt;0,E4266*IF(ISNUMBER(J4266),J4266,IF(C4266="Futures",$C$6,$C$5)),""),"")</f>
        <v/>
      </c>
      <c r="I4266" s="139">
        <f>IFERROR(IF(AND(ISNUMBER(F4266),ISNUMBER(H4266)),F4266-H4266,""),"")</f>
        <v/>
      </c>
      <c r="J4266" s="114" t="n"/>
      <c r="K4266" s="139">
        <f>IFERROR(IF(H4266&gt;0,H4266*$C$7,""),"")</f>
        <v/>
      </c>
      <c r="L4266" s="139">
        <f>IFERROR(IF(ISNUMBER(F4266),F4266-IF(ISNUMBER(K4266),K4266,0),""),"")</f>
        <v/>
      </c>
    </row>
    <row r="4267" ht="24" customHeight="1" s="63">
      <c r="E4267" s="139" t="n"/>
      <c r="F4267" s="139" t="n"/>
      <c r="G4267" s="140">
        <f>IFERROR(IF(E4267&gt;0,(F4267/E4267)*1000,""),"")</f>
        <v/>
      </c>
      <c r="H4267" s="139">
        <f>IFERROR(IF(E4267&gt;0,E4267*IF(ISNUMBER(J4267),J4267,IF(C4267="Futures",$C$6,$C$5)),""),"")</f>
        <v/>
      </c>
      <c r="I4267" s="139">
        <f>IFERROR(IF(AND(ISNUMBER(F4267),ISNUMBER(H4267)),F4267-H4267,""),"")</f>
        <v/>
      </c>
      <c r="J4267" s="114" t="n"/>
      <c r="K4267" s="139">
        <f>IFERROR(IF(H4267&gt;0,H4267*$C$7,""),"")</f>
        <v/>
      </c>
      <c r="L4267" s="139">
        <f>IFERROR(IF(ISNUMBER(F4267),F4267-IF(ISNUMBER(K4267),K4267,0),""),"")</f>
        <v/>
      </c>
    </row>
    <row r="4268" ht="24" customHeight="1" s="63">
      <c r="E4268" s="139" t="n"/>
      <c r="F4268" s="139" t="n"/>
      <c r="G4268" s="140">
        <f>IFERROR(IF(E4268&gt;0,(F4268/E4268)*1000,""),"")</f>
        <v/>
      </c>
      <c r="H4268" s="139">
        <f>IFERROR(IF(E4268&gt;0,E4268*IF(ISNUMBER(J4268),J4268,IF(C4268="Futures",$C$6,$C$5)),""),"")</f>
        <v/>
      </c>
      <c r="I4268" s="139">
        <f>IFERROR(IF(AND(ISNUMBER(F4268),ISNUMBER(H4268)),F4268-H4268,""),"")</f>
        <v/>
      </c>
      <c r="J4268" s="114" t="n"/>
      <c r="K4268" s="139">
        <f>IFERROR(IF(H4268&gt;0,H4268*$C$7,""),"")</f>
        <v/>
      </c>
      <c r="L4268" s="139">
        <f>IFERROR(IF(ISNUMBER(F4268),F4268-IF(ISNUMBER(K4268),K4268,0),""),"")</f>
        <v/>
      </c>
    </row>
    <row r="4269" ht="24" customHeight="1" s="63">
      <c r="E4269" s="139" t="n"/>
      <c r="F4269" s="139" t="n"/>
      <c r="G4269" s="140">
        <f>IFERROR(IF(E4269&gt;0,(F4269/E4269)*1000,""),"")</f>
        <v/>
      </c>
      <c r="H4269" s="139">
        <f>IFERROR(IF(E4269&gt;0,E4269*IF(ISNUMBER(J4269),J4269,IF(C4269="Futures",$C$6,$C$5)),""),"")</f>
        <v/>
      </c>
      <c r="I4269" s="139">
        <f>IFERROR(IF(AND(ISNUMBER(F4269),ISNUMBER(H4269)),F4269-H4269,""),"")</f>
        <v/>
      </c>
      <c r="J4269" s="114" t="n"/>
      <c r="K4269" s="139">
        <f>IFERROR(IF(H4269&gt;0,H4269*$C$7,""),"")</f>
        <v/>
      </c>
      <c r="L4269" s="139">
        <f>IFERROR(IF(ISNUMBER(F4269),F4269-IF(ISNUMBER(K4269),K4269,0),""),"")</f>
        <v/>
      </c>
    </row>
    <row r="4270" ht="24" customHeight="1" s="63">
      <c r="E4270" s="139" t="n"/>
      <c r="F4270" s="139" t="n"/>
      <c r="G4270" s="140">
        <f>IFERROR(IF(E4270&gt;0,(F4270/E4270)*1000,""),"")</f>
        <v/>
      </c>
      <c r="H4270" s="139">
        <f>IFERROR(IF(E4270&gt;0,E4270*IF(ISNUMBER(J4270),J4270,IF(C4270="Futures",$C$6,$C$5)),""),"")</f>
        <v/>
      </c>
      <c r="I4270" s="139">
        <f>IFERROR(IF(AND(ISNUMBER(F4270),ISNUMBER(H4270)),F4270-H4270,""),"")</f>
        <v/>
      </c>
      <c r="J4270" s="114" t="n"/>
      <c r="K4270" s="139">
        <f>IFERROR(IF(H4270&gt;0,H4270*$C$7,""),"")</f>
        <v/>
      </c>
      <c r="L4270" s="139">
        <f>IFERROR(IF(ISNUMBER(F4270),F4270-IF(ISNUMBER(K4270),K4270,0),""),"")</f>
        <v/>
      </c>
    </row>
    <row r="4271" ht="24" customHeight="1" s="63">
      <c r="E4271" s="139" t="n"/>
      <c r="F4271" s="139" t="n"/>
      <c r="G4271" s="140">
        <f>IFERROR(IF(E4271&gt;0,(F4271/E4271)*1000,""),"")</f>
        <v/>
      </c>
      <c r="H4271" s="139">
        <f>IFERROR(IF(E4271&gt;0,E4271*IF(ISNUMBER(J4271),J4271,IF(C4271="Futures",$C$6,$C$5)),""),"")</f>
        <v/>
      </c>
      <c r="I4271" s="139">
        <f>IFERROR(IF(AND(ISNUMBER(F4271),ISNUMBER(H4271)),F4271-H4271,""),"")</f>
        <v/>
      </c>
      <c r="J4271" s="114" t="n"/>
      <c r="K4271" s="139">
        <f>IFERROR(IF(H4271&gt;0,H4271*$C$7,""),"")</f>
        <v/>
      </c>
      <c r="L4271" s="139">
        <f>IFERROR(IF(ISNUMBER(F4271),F4271-IF(ISNUMBER(K4271),K4271,0),""),"")</f>
        <v/>
      </c>
    </row>
    <row r="4272" ht="24" customHeight="1" s="63">
      <c r="E4272" s="139" t="n"/>
      <c r="F4272" s="139" t="n"/>
      <c r="G4272" s="140">
        <f>IFERROR(IF(E4272&gt;0,(F4272/E4272)*1000,""),"")</f>
        <v/>
      </c>
      <c r="H4272" s="139">
        <f>IFERROR(IF(E4272&gt;0,E4272*IF(ISNUMBER(J4272),J4272,IF(C4272="Futures",$C$6,$C$5)),""),"")</f>
        <v/>
      </c>
      <c r="I4272" s="139">
        <f>IFERROR(IF(AND(ISNUMBER(F4272),ISNUMBER(H4272)),F4272-H4272,""),"")</f>
        <v/>
      </c>
      <c r="J4272" s="114" t="n"/>
      <c r="K4272" s="139">
        <f>IFERROR(IF(H4272&gt;0,H4272*$C$7,""),"")</f>
        <v/>
      </c>
      <c r="L4272" s="139">
        <f>IFERROR(IF(ISNUMBER(F4272),F4272-IF(ISNUMBER(K4272),K4272,0),""),"")</f>
        <v/>
      </c>
    </row>
    <row r="4273" ht="24" customHeight="1" s="63">
      <c r="E4273" s="139" t="n"/>
      <c r="F4273" s="139" t="n"/>
      <c r="G4273" s="140">
        <f>IFERROR(IF(E4273&gt;0,(F4273/E4273)*1000,""),"")</f>
        <v/>
      </c>
      <c r="H4273" s="139">
        <f>IFERROR(IF(E4273&gt;0,E4273*IF(ISNUMBER(J4273),J4273,IF(C4273="Futures",$C$6,$C$5)),""),"")</f>
        <v/>
      </c>
      <c r="I4273" s="139">
        <f>IFERROR(IF(AND(ISNUMBER(F4273),ISNUMBER(H4273)),F4273-H4273,""),"")</f>
        <v/>
      </c>
      <c r="J4273" s="114" t="n"/>
      <c r="K4273" s="139">
        <f>IFERROR(IF(H4273&gt;0,H4273*$C$7,""),"")</f>
        <v/>
      </c>
      <c r="L4273" s="139">
        <f>IFERROR(IF(ISNUMBER(F4273),F4273-IF(ISNUMBER(K4273),K4273,0),""),"")</f>
        <v/>
      </c>
    </row>
    <row r="4274" ht="24" customHeight="1" s="63">
      <c r="E4274" s="139" t="n"/>
      <c r="F4274" s="139" t="n"/>
      <c r="G4274" s="140">
        <f>IFERROR(IF(E4274&gt;0,(F4274/E4274)*1000,""),"")</f>
        <v/>
      </c>
      <c r="H4274" s="139">
        <f>IFERROR(IF(E4274&gt;0,E4274*IF(ISNUMBER(J4274),J4274,IF(C4274="Futures",$C$6,$C$5)),""),"")</f>
        <v/>
      </c>
      <c r="I4274" s="139">
        <f>IFERROR(IF(AND(ISNUMBER(F4274),ISNUMBER(H4274)),F4274-H4274,""),"")</f>
        <v/>
      </c>
      <c r="J4274" s="114" t="n"/>
      <c r="K4274" s="139">
        <f>IFERROR(IF(H4274&gt;0,H4274*$C$7,""),"")</f>
        <v/>
      </c>
      <c r="L4274" s="139">
        <f>IFERROR(IF(ISNUMBER(F4274),F4274-IF(ISNUMBER(K4274),K4274,0),""),"")</f>
        <v/>
      </c>
    </row>
    <row r="4275" ht="24" customHeight="1" s="63">
      <c r="E4275" s="139" t="n"/>
      <c r="F4275" s="139" t="n"/>
      <c r="G4275" s="140">
        <f>IFERROR(IF(E4275&gt;0,(F4275/E4275)*1000,""),"")</f>
        <v/>
      </c>
      <c r="H4275" s="139">
        <f>IFERROR(IF(E4275&gt;0,E4275*IF(ISNUMBER(J4275),J4275,IF(C4275="Futures",$C$6,$C$5)),""),"")</f>
        <v/>
      </c>
      <c r="I4275" s="139">
        <f>IFERROR(IF(AND(ISNUMBER(F4275),ISNUMBER(H4275)),F4275-H4275,""),"")</f>
        <v/>
      </c>
      <c r="J4275" s="114" t="n"/>
      <c r="K4275" s="139">
        <f>IFERROR(IF(H4275&gt;0,H4275*$C$7,""),"")</f>
        <v/>
      </c>
      <c r="L4275" s="139">
        <f>IFERROR(IF(ISNUMBER(F4275),F4275-IF(ISNUMBER(K4275),K4275,0),""),"")</f>
        <v/>
      </c>
    </row>
    <row r="4276" ht="24" customHeight="1" s="63">
      <c r="E4276" s="139" t="n"/>
      <c r="F4276" s="139" t="n"/>
      <c r="G4276" s="140">
        <f>IFERROR(IF(E4276&gt;0,(F4276/E4276)*1000,""),"")</f>
        <v/>
      </c>
      <c r="H4276" s="139">
        <f>IFERROR(IF(E4276&gt;0,E4276*IF(ISNUMBER(J4276),J4276,IF(C4276="Futures",$C$6,$C$5)),""),"")</f>
        <v/>
      </c>
      <c r="I4276" s="139">
        <f>IFERROR(IF(AND(ISNUMBER(F4276),ISNUMBER(H4276)),F4276-H4276,""),"")</f>
        <v/>
      </c>
      <c r="J4276" s="114" t="n"/>
      <c r="K4276" s="139">
        <f>IFERROR(IF(H4276&gt;0,H4276*$C$7,""),"")</f>
        <v/>
      </c>
      <c r="L4276" s="139">
        <f>IFERROR(IF(ISNUMBER(F4276),F4276-IF(ISNUMBER(K4276),K4276,0),""),"")</f>
        <v/>
      </c>
    </row>
    <row r="4277" ht="24" customHeight="1" s="63">
      <c r="E4277" s="139" t="n"/>
      <c r="F4277" s="139" t="n"/>
      <c r="G4277" s="140">
        <f>IFERROR(IF(E4277&gt;0,(F4277/E4277)*1000,""),"")</f>
        <v/>
      </c>
      <c r="H4277" s="139">
        <f>IFERROR(IF(E4277&gt;0,E4277*IF(ISNUMBER(J4277),J4277,IF(C4277="Futures",$C$6,$C$5)),""),"")</f>
        <v/>
      </c>
      <c r="I4277" s="139">
        <f>IFERROR(IF(AND(ISNUMBER(F4277),ISNUMBER(H4277)),F4277-H4277,""),"")</f>
        <v/>
      </c>
      <c r="J4277" s="114" t="n"/>
      <c r="K4277" s="139">
        <f>IFERROR(IF(H4277&gt;0,H4277*$C$7,""),"")</f>
        <v/>
      </c>
      <c r="L4277" s="139">
        <f>IFERROR(IF(ISNUMBER(F4277),F4277-IF(ISNUMBER(K4277),K4277,0),""),"")</f>
        <v/>
      </c>
    </row>
    <row r="4278" ht="24" customHeight="1" s="63">
      <c r="E4278" s="139" t="n"/>
      <c r="F4278" s="139" t="n"/>
      <c r="G4278" s="140">
        <f>IFERROR(IF(E4278&gt;0,(F4278/E4278)*1000,""),"")</f>
        <v/>
      </c>
      <c r="H4278" s="139">
        <f>IFERROR(IF(E4278&gt;0,E4278*IF(ISNUMBER(J4278),J4278,IF(C4278="Futures",$C$6,$C$5)),""),"")</f>
        <v/>
      </c>
      <c r="I4278" s="139">
        <f>IFERROR(IF(AND(ISNUMBER(F4278),ISNUMBER(H4278)),F4278-H4278,""),"")</f>
        <v/>
      </c>
      <c r="J4278" s="114" t="n"/>
      <c r="K4278" s="139">
        <f>IFERROR(IF(H4278&gt;0,H4278*$C$7,""),"")</f>
        <v/>
      </c>
      <c r="L4278" s="139">
        <f>IFERROR(IF(ISNUMBER(F4278),F4278-IF(ISNUMBER(K4278),K4278,0),""),"")</f>
        <v/>
      </c>
    </row>
    <row r="4279" ht="24" customHeight="1" s="63">
      <c r="E4279" s="139" t="n"/>
      <c r="F4279" s="139" t="n"/>
      <c r="G4279" s="140">
        <f>IFERROR(IF(E4279&gt;0,(F4279/E4279)*1000,""),"")</f>
        <v/>
      </c>
      <c r="H4279" s="139">
        <f>IFERROR(IF(E4279&gt;0,E4279*IF(ISNUMBER(J4279),J4279,IF(C4279="Futures",$C$6,$C$5)),""),"")</f>
        <v/>
      </c>
      <c r="I4279" s="139">
        <f>IFERROR(IF(AND(ISNUMBER(F4279),ISNUMBER(H4279)),F4279-H4279,""),"")</f>
        <v/>
      </c>
      <c r="J4279" s="114" t="n"/>
      <c r="K4279" s="139">
        <f>IFERROR(IF(H4279&gt;0,H4279*$C$7,""),"")</f>
        <v/>
      </c>
      <c r="L4279" s="139">
        <f>IFERROR(IF(ISNUMBER(F4279),F4279-IF(ISNUMBER(K4279),K4279,0),""),"")</f>
        <v/>
      </c>
    </row>
    <row r="4280" ht="24" customHeight="1" s="63">
      <c r="E4280" s="139" t="n"/>
      <c r="F4280" s="139" t="n"/>
      <c r="G4280" s="140">
        <f>IFERROR(IF(E4280&gt;0,(F4280/E4280)*1000,""),"")</f>
        <v/>
      </c>
      <c r="H4280" s="139">
        <f>IFERROR(IF(E4280&gt;0,E4280*IF(ISNUMBER(J4280),J4280,IF(C4280="Futures",$C$6,$C$5)),""),"")</f>
        <v/>
      </c>
      <c r="I4280" s="139">
        <f>IFERROR(IF(AND(ISNUMBER(F4280),ISNUMBER(H4280)),F4280-H4280,""),"")</f>
        <v/>
      </c>
      <c r="J4280" s="114" t="n"/>
      <c r="K4280" s="139">
        <f>IFERROR(IF(H4280&gt;0,H4280*$C$7,""),"")</f>
        <v/>
      </c>
      <c r="L4280" s="139">
        <f>IFERROR(IF(ISNUMBER(F4280),F4280-IF(ISNUMBER(K4280),K4280,0),""),"")</f>
        <v/>
      </c>
    </row>
    <row r="4281" ht="24" customHeight="1" s="63">
      <c r="E4281" s="139" t="n"/>
      <c r="F4281" s="139" t="n"/>
      <c r="G4281" s="140">
        <f>IFERROR(IF(E4281&gt;0,(F4281/E4281)*1000,""),"")</f>
        <v/>
      </c>
      <c r="H4281" s="139">
        <f>IFERROR(IF(E4281&gt;0,E4281*IF(ISNUMBER(J4281),J4281,IF(C4281="Futures",$C$6,$C$5)),""),"")</f>
        <v/>
      </c>
      <c r="I4281" s="139">
        <f>IFERROR(IF(AND(ISNUMBER(F4281),ISNUMBER(H4281)),F4281-H4281,""),"")</f>
        <v/>
      </c>
      <c r="J4281" s="114" t="n"/>
      <c r="K4281" s="139">
        <f>IFERROR(IF(H4281&gt;0,H4281*$C$7,""),"")</f>
        <v/>
      </c>
      <c r="L4281" s="139">
        <f>IFERROR(IF(ISNUMBER(F4281),F4281-IF(ISNUMBER(K4281),K4281,0),""),"")</f>
        <v/>
      </c>
    </row>
    <row r="4282" ht="24" customHeight="1" s="63">
      <c r="E4282" s="139" t="n"/>
      <c r="F4282" s="139" t="n"/>
      <c r="G4282" s="140">
        <f>IFERROR(IF(E4282&gt;0,(F4282/E4282)*1000,""),"")</f>
        <v/>
      </c>
      <c r="H4282" s="139">
        <f>IFERROR(IF(E4282&gt;0,E4282*IF(ISNUMBER(J4282),J4282,IF(C4282="Futures",$C$6,$C$5)),""),"")</f>
        <v/>
      </c>
      <c r="I4282" s="139">
        <f>IFERROR(IF(AND(ISNUMBER(F4282),ISNUMBER(H4282)),F4282-H4282,""),"")</f>
        <v/>
      </c>
      <c r="J4282" s="114" t="n"/>
      <c r="K4282" s="139">
        <f>IFERROR(IF(H4282&gt;0,H4282*$C$7,""),"")</f>
        <v/>
      </c>
      <c r="L4282" s="139">
        <f>IFERROR(IF(ISNUMBER(F4282),F4282-IF(ISNUMBER(K4282),K4282,0),""),"")</f>
        <v/>
      </c>
    </row>
    <row r="4283" ht="24" customHeight="1" s="63">
      <c r="E4283" s="139" t="n"/>
      <c r="F4283" s="139" t="n"/>
      <c r="G4283" s="140">
        <f>IFERROR(IF(E4283&gt;0,(F4283/E4283)*1000,""),"")</f>
        <v/>
      </c>
      <c r="H4283" s="139">
        <f>IFERROR(IF(E4283&gt;0,E4283*IF(ISNUMBER(J4283),J4283,IF(C4283="Futures",$C$6,$C$5)),""),"")</f>
        <v/>
      </c>
      <c r="I4283" s="139">
        <f>IFERROR(IF(AND(ISNUMBER(F4283),ISNUMBER(H4283)),F4283-H4283,""),"")</f>
        <v/>
      </c>
      <c r="J4283" s="114" t="n"/>
      <c r="K4283" s="139">
        <f>IFERROR(IF(H4283&gt;0,H4283*$C$7,""),"")</f>
        <v/>
      </c>
      <c r="L4283" s="139">
        <f>IFERROR(IF(ISNUMBER(F4283),F4283-IF(ISNUMBER(K4283),K4283,0),""),"")</f>
        <v/>
      </c>
    </row>
    <row r="4284" ht="24" customHeight="1" s="63">
      <c r="E4284" s="139" t="n"/>
      <c r="F4284" s="139" t="n"/>
      <c r="G4284" s="140">
        <f>IFERROR(IF(E4284&gt;0,(F4284/E4284)*1000,""),"")</f>
        <v/>
      </c>
      <c r="H4284" s="139">
        <f>IFERROR(IF(E4284&gt;0,E4284*IF(ISNUMBER(J4284),J4284,IF(C4284="Futures",$C$6,$C$5)),""),"")</f>
        <v/>
      </c>
      <c r="I4284" s="139">
        <f>IFERROR(IF(AND(ISNUMBER(F4284),ISNUMBER(H4284)),F4284-H4284,""),"")</f>
        <v/>
      </c>
      <c r="J4284" s="114" t="n"/>
      <c r="K4284" s="139">
        <f>IFERROR(IF(H4284&gt;0,H4284*$C$7,""),"")</f>
        <v/>
      </c>
      <c r="L4284" s="139">
        <f>IFERROR(IF(ISNUMBER(F4284),F4284-IF(ISNUMBER(K4284),K4284,0),""),"")</f>
        <v/>
      </c>
    </row>
    <row r="4285" ht="24" customHeight="1" s="63">
      <c r="E4285" s="139" t="n"/>
      <c r="F4285" s="139" t="n"/>
      <c r="G4285" s="140">
        <f>IFERROR(IF(E4285&gt;0,(F4285/E4285)*1000,""),"")</f>
        <v/>
      </c>
      <c r="H4285" s="139">
        <f>IFERROR(IF(E4285&gt;0,E4285*IF(ISNUMBER(J4285),J4285,IF(C4285="Futures",$C$6,$C$5)),""),"")</f>
        <v/>
      </c>
      <c r="I4285" s="139">
        <f>IFERROR(IF(AND(ISNUMBER(F4285),ISNUMBER(H4285)),F4285-H4285,""),"")</f>
        <v/>
      </c>
      <c r="J4285" s="114" t="n"/>
      <c r="K4285" s="139">
        <f>IFERROR(IF(H4285&gt;0,H4285*$C$7,""),"")</f>
        <v/>
      </c>
      <c r="L4285" s="139">
        <f>IFERROR(IF(ISNUMBER(F4285),F4285-IF(ISNUMBER(K4285),K4285,0),""),"")</f>
        <v/>
      </c>
    </row>
    <row r="4286" ht="24" customHeight="1" s="63">
      <c r="E4286" s="139" t="n"/>
      <c r="F4286" s="139" t="n"/>
      <c r="G4286" s="140">
        <f>IFERROR(IF(E4286&gt;0,(F4286/E4286)*1000,""),"")</f>
        <v/>
      </c>
      <c r="H4286" s="139">
        <f>IFERROR(IF(E4286&gt;0,E4286*IF(ISNUMBER(J4286),J4286,IF(C4286="Futures",$C$6,$C$5)),""),"")</f>
        <v/>
      </c>
      <c r="I4286" s="139">
        <f>IFERROR(IF(AND(ISNUMBER(F4286),ISNUMBER(H4286)),F4286-H4286,""),"")</f>
        <v/>
      </c>
      <c r="J4286" s="114" t="n"/>
      <c r="K4286" s="139">
        <f>IFERROR(IF(H4286&gt;0,H4286*$C$7,""),"")</f>
        <v/>
      </c>
      <c r="L4286" s="139">
        <f>IFERROR(IF(ISNUMBER(F4286),F4286-IF(ISNUMBER(K4286),K4286,0),""),"")</f>
        <v/>
      </c>
    </row>
    <row r="4287" ht="24" customHeight="1" s="63">
      <c r="E4287" s="139" t="n"/>
      <c r="F4287" s="139" t="n"/>
      <c r="G4287" s="140">
        <f>IFERROR(IF(E4287&gt;0,(F4287/E4287)*1000,""),"")</f>
        <v/>
      </c>
      <c r="H4287" s="139">
        <f>IFERROR(IF(E4287&gt;0,E4287*IF(ISNUMBER(J4287),J4287,IF(C4287="Futures",$C$6,$C$5)),""),"")</f>
        <v/>
      </c>
      <c r="I4287" s="139">
        <f>IFERROR(IF(AND(ISNUMBER(F4287),ISNUMBER(H4287)),F4287-H4287,""),"")</f>
        <v/>
      </c>
      <c r="J4287" s="114" t="n"/>
      <c r="K4287" s="139">
        <f>IFERROR(IF(H4287&gt;0,H4287*$C$7,""),"")</f>
        <v/>
      </c>
      <c r="L4287" s="139">
        <f>IFERROR(IF(ISNUMBER(F4287),F4287-IF(ISNUMBER(K4287),K4287,0),""),"")</f>
        <v/>
      </c>
    </row>
    <row r="4288" ht="24" customHeight="1" s="63">
      <c r="E4288" s="139" t="n"/>
      <c r="F4288" s="139" t="n"/>
      <c r="G4288" s="140">
        <f>IFERROR(IF(E4288&gt;0,(F4288/E4288)*1000,""),"")</f>
        <v/>
      </c>
      <c r="H4288" s="139">
        <f>IFERROR(IF(E4288&gt;0,E4288*IF(ISNUMBER(J4288),J4288,IF(C4288="Futures",$C$6,$C$5)),""),"")</f>
        <v/>
      </c>
      <c r="I4288" s="139">
        <f>IFERROR(IF(AND(ISNUMBER(F4288),ISNUMBER(H4288)),F4288-H4288,""),"")</f>
        <v/>
      </c>
      <c r="J4288" s="114" t="n"/>
      <c r="K4288" s="139">
        <f>IFERROR(IF(H4288&gt;0,H4288*$C$7,""),"")</f>
        <v/>
      </c>
      <c r="L4288" s="139">
        <f>IFERROR(IF(ISNUMBER(F4288),F4288-IF(ISNUMBER(K4288),K4288,0),""),"")</f>
        <v/>
      </c>
    </row>
    <row r="4289" ht="24" customHeight="1" s="63">
      <c r="E4289" s="139" t="n"/>
      <c r="F4289" s="139" t="n"/>
      <c r="G4289" s="140">
        <f>IFERROR(IF(E4289&gt;0,(F4289/E4289)*1000,""),"")</f>
        <v/>
      </c>
      <c r="H4289" s="139">
        <f>IFERROR(IF(E4289&gt;0,E4289*IF(ISNUMBER(J4289),J4289,IF(C4289="Futures",$C$6,$C$5)),""),"")</f>
        <v/>
      </c>
      <c r="I4289" s="139">
        <f>IFERROR(IF(AND(ISNUMBER(F4289),ISNUMBER(H4289)),F4289-H4289,""),"")</f>
        <v/>
      </c>
      <c r="J4289" s="114" t="n"/>
      <c r="K4289" s="139">
        <f>IFERROR(IF(H4289&gt;0,H4289*$C$7,""),"")</f>
        <v/>
      </c>
      <c r="L4289" s="139">
        <f>IFERROR(IF(ISNUMBER(F4289),F4289-IF(ISNUMBER(K4289),K4289,0),""),"")</f>
        <v/>
      </c>
    </row>
    <row r="4290" ht="24" customHeight="1" s="63">
      <c r="E4290" s="139" t="n"/>
      <c r="F4290" s="139" t="n"/>
      <c r="G4290" s="140">
        <f>IFERROR(IF(E4290&gt;0,(F4290/E4290)*1000,""),"")</f>
        <v/>
      </c>
      <c r="H4290" s="139">
        <f>IFERROR(IF(E4290&gt;0,E4290*IF(ISNUMBER(J4290),J4290,IF(C4290="Futures",$C$6,$C$5)),""),"")</f>
        <v/>
      </c>
      <c r="I4290" s="139">
        <f>IFERROR(IF(AND(ISNUMBER(F4290),ISNUMBER(H4290)),F4290-H4290,""),"")</f>
        <v/>
      </c>
      <c r="J4290" s="114" t="n"/>
      <c r="K4290" s="139">
        <f>IFERROR(IF(H4290&gt;0,H4290*$C$7,""),"")</f>
        <v/>
      </c>
      <c r="L4290" s="139">
        <f>IFERROR(IF(ISNUMBER(F4290),F4290-IF(ISNUMBER(K4290),K4290,0),""),"")</f>
        <v/>
      </c>
    </row>
    <row r="4291" ht="24" customHeight="1" s="63">
      <c r="E4291" s="139" t="n"/>
      <c r="F4291" s="139" t="n"/>
      <c r="G4291" s="140">
        <f>IFERROR(IF(E4291&gt;0,(F4291/E4291)*1000,""),"")</f>
        <v/>
      </c>
      <c r="H4291" s="139">
        <f>IFERROR(IF(E4291&gt;0,E4291*IF(ISNUMBER(J4291),J4291,IF(C4291="Futures",$C$6,$C$5)),""),"")</f>
        <v/>
      </c>
      <c r="I4291" s="139">
        <f>IFERROR(IF(AND(ISNUMBER(F4291),ISNUMBER(H4291)),F4291-H4291,""),"")</f>
        <v/>
      </c>
      <c r="J4291" s="114" t="n"/>
      <c r="K4291" s="139">
        <f>IFERROR(IF(H4291&gt;0,H4291*$C$7,""),"")</f>
        <v/>
      </c>
      <c r="L4291" s="139">
        <f>IFERROR(IF(ISNUMBER(F4291),F4291-IF(ISNUMBER(K4291),K4291,0),""),"")</f>
        <v/>
      </c>
    </row>
    <row r="4292" ht="24" customHeight="1" s="63">
      <c r="E4292" s="139" t="n"/>
      <c r="F4292" s="139" t="n"/>
      <c r="G4292" s="140">
        <f>IFERROR(IF(E4292&gt;0,(F4292/E4292)*1000,""),"")</f>
        <v/>
      </c>
      <c r="H4292" s="139">
        <f>IFERROR(IF(E4292&gt;0,E4292*IF(ISNUMBER(J4292),J4292,IF(C4292="Futures",$C$6,$C$5)),""),"")</f>
        <v/>
      </c>
      <c r="I4292" s="139">
        <f>IFERROR(IF(AND(ISNUMBER(F4292),ISNUMBER(H4292)),F4292-H4292,""),"")</f>
        <v/>
      </c>
      <c r="J4292" s="114" t="n"/>
      <c r="K4292" s="139">
        <f>IFERROR(IF(H4292&gt;0,H4292*$C$7,""),"")</f>
        <v/>
      </c>
      <c r="L4292" s="139">
        <f>IFERROR(IF(ISNUMBER(F4292),F4292-IF(ISNUMBER(K4292),K4292,0),""),"")</f>
        <v/>
      </c>
    </row>
    <row r="4293" ht="24" customHeight="1" s="63">
      <c r="E4293" s="139" t="n"/>
      <c r="F4293" s="139" t="n"/>
      <c r="G4293" s="140">
        <f>IFERROR(IF(E4293&gt;0,(F4293/E4293)*1000,""),"")</f>
        <v/>
      </c>
      <c r="H4293" s="139">
        <f>IFERROR(IF(E4293&gt;0,E4293*IF(ISNUMBER(J4293),J4293,IF(C4293="Futures",$C$6,$C$5)),""),"")</f>
        <v/>
      </c>
      <c r="I4293" s="139">
        <f>IFERROR(IF(AND(ISNUMBER(F4293),ISNUMBER(H4293)),F4293-H4293,""),"")</f>
        <v/>
      </c>
      <c r="J4293" s="114" t="n"/>
      <c r="K4293" s="139">
        <f>IFERROR(IF(H4293&gt;0,H4293*$C$7,""),"")</f>
        <v/>
      </c>
      <c r="L4293" s="139">
        <f>IFERROR(IF(ISNUMBER(F4293),F4293-IF(ISNUMBER(K4293),K4293,0),""),"")</f>
        <v/>
      </c>
    </row>
    <row r="4294" ht="24" customHeight="1" s="63">
      <c r="E4294" s="139" t="n"/>
      <c r="F4294" s="139" t="n"/>
      <c r="G4294" s="140">
        <f>IFERROR(IF(E4294&gt;0,(F4294/E4294)*1000,""),"")</f>
        <v/>
      </c>
      <c r="H4294" s="139">
        <f>IFERROR(IF(E4294&gt;0,E4294*IF(ISNUMBER(J4294),J4294,IF(C4294="Futures",$C$6,$C$5)),""),"")</f>
        <v/>
      </c>
      <c r="I4294" s="139">
        <f>IFERROR(IF(AND(ISNUMBER(F4294),ISNUMBER(H4294)),F4294-H4294,""),"")</f>
        <v/>
      </c>
      <c r="J4294" s="114" t="n"/>
      <c r="K4294" s="139">
        <f>IFERROR(IF(H4294&gt;0,H4294*$C$7,""),"")</f>
        <v/>
      </c>
      <c r="L4294" s="139">
        <f>IFERROR(IF(ISNUMBER(F4294),F4294-IF(ISNUMBER(K4294),K4294,0),""),"")</f>
        <v/>
      </c>
    </row>
    <row r="4295" ht="24" customHeight="1" s="63">
      <c r="E4295" s="139" t="n"/>
      <c r="F4295" s="139" t="n"/>
      <c r="G4295" s="140">
        <f>IFERROR(IF(E4295&gt;0,(F4295/E4295)*1000,""),"")</f>
        <v/>
      </c>
      <c r="H4295" s="139">
        <f>IFERROR(IF(E4295&gt;0,E4295*IF(ISNUMBER(J4295),J4295,IF(C4295="Futures",$C$6,$C$5)),""),"")</f>
        <v/>
      </c>
      <c r="I4295" s="139">
        <f>IFERROR(IF(AND(ISNUMBER(F4295),ISNUMBER(H4295)),F4295-H4295,""),"")</f>
        <v/>
      </c>
      <c r="J4295" s="114" t="n"/>
      <c r="K4295" s="139">
        <f>IFERROR(IF(H4295&gt;0,H4295*$C$7,""),"")</f>
        <v/>
      </c>
      <c r="L4295" s="139">
        <f>IFERROR(IF(ISNUMBER(F4295),F4295-IF(ISNUMBER(K4295),K4295,0),""),"")</f>
        <v/>
      </c>
    </row>
    <row r="4296" ht="24" customHeight="1" s="63">
      <c r="E4296" s="139" t="n"/>
      <c r="F4296" s="139" t="n"/>
      <c r="G4296" s="140">
        <f>IFERROR(IF(E4296&gt;0,(F4296/E4296)*1000,""),"")</f>
        <v/>
      </c>
      <c r="H4296" s="139">
        <f>IFERROR(IF(E4296&gt;0,E4296*IF(ISNUMBER(J4296),J4296,IF(C4296="Futures",$C$6,$C$5)),""),"")</f>
        <v/>
      </c>
      <c r="I4296" s="139">
        <f>IFERROR(IF(AND(ISNUMBER(F4296),ISNUMBER(H4296)),F4296-H4296,""),"")</f>
        <v/>
      </c>
      <c r="J4296" s="114" t="n"/>
      <c r="K4296" s="139">
        <f>IFERROR(IF(H4296&gt;0,H4296*$C$7,""),"")</f>
        <v/>
      </c>
      <c r="L4296" s="139">
        <f>IFERROR(IF(ISNUMBER(F4296),F4296-IF(ISNUMBER(K4296),K4296,0),""),"")</f>
        <v/>
      </c>
    </row>
    <row r="4297" ht="24" customHeight="1" s="63">
      <c r="E4297" s="139" t="n"/>
      <c r="F4297" s="139" t="n"/>
      <c r="G4297" s="140">
        <f>IFERROR(IF(E4297&gt;0,(F4297/E4297)*1000,""),"")</f>
        <v/>
      </c>
      <c r="H4297" s="139">
        <f>IFERROR(IF(E4297&gt;0,E4297*IF(ISNUMBER(J4297),J4297,IF(C4297="Futures",$C$6,$C$5)),""),"")</f>
        <v/>
      </c>
      <c r="I4297" s="139">
        <f>IFERROR(IF(AND(ISNUMBER(F4297),ISNUMBER(H4297)),F4297-H4297,""),"")</f>
        <v/>
      </c>
      <c r="J4297" s="114" t="n"/>
      <c r="K4297" s="139">
        <f>IFERROR(IF(H4297&gt;0,H4297*$C$7,""),"")</f>
        <v/>
      </c>
      <c r="L4297" s="139">
        <f>IFERROR(IF(ISNUMBER(F4297),F4297-IF(ISNUMBER(K4297),K4297,0),""),"")</f>
        <v/>
      </c>
    </row>
    <row r="4298" ht="24" customHeight="1" s="63">
      <c r="E4298" s="139" t="n"/>
      <c r="F4298" s="139" t="n"/>
      <c r="G4298" s="140">
        <f>IFERROR(IF(E4298&gt;0,(F4298/E4298)*1000,""),"")</f>
        <v/>
      </c>
      <c r="H4298" s="139">
        <f>IFERROR(IF(E4298&gt;0,E4298*IF(ISNUMBER(J4298),J4298,IF(C4298="Futures",$C$6,$C$5)),""),"")</f>
        <v/>
      </c>
      <c r="I4298" s="139">
        <f>IFERROR(IF(AND(ISNUMBER(F4298),ISNUMBER(H4298)),F4298-H4298,""),"")</f>
        <v/>
      </c>
      <c r="J4298" s="114" t="n"/>
      <c r="K4298" s="139">
        <f>IFERROR(IF(H4298&gt;0,H4298*$C$7,""),"")</f>
        <v/>
      </c>
      <c r="L4298" s="139">
        <f>IFERROR(IF(ISNUMBER(F4298),F4298-IF(ISNUMBER(K4298),K4298,0),""),"")</f>
        <v/>
      </c>
    </row>
    <row r="4299" ht="24" customHeight="1" s="63">
      <c r="E4299" s="139" t="n"/>
      <c r="F4299" s="139" t="n"/>
      <c r="G4299" s="140">
        <f>IFERROR(IF(E4299&gt;0,(F4299/E4299)*1000,""),"")</f>
        <v/>
      </c>
      <c r="H4299" s="139">
        <f>IFERROR(IF(E4299&gt;0,E4299*IF(ISNUMBER(J4299),J4299,IF(C4299="Futures",$C$6,$C$5)),""),"")</f>
        <v/>
      </c>
      <c r="I4299" s="139">
        <f>IFERROR(IF(AND(ISNUMBER(F4299),ISNUMBER(H4299)),F4299-H4299,""),"")</f>
        <v/>
      </c>
      <c r="J4299" s="114" t="n"/>
      <c r="K4299" s="139">
        <f>IFERROR(IF(H4299&gt;0,H4299*$C$7,""),"")</f>
        <v/>
      </c>
      <c r="L4299" s="139">
        <f>IFERROR(IF(ISNUMBER(F4299),F4299-IF(ISNUMBER(K4299),K4299,0),""),"")</f>
        <v/>
      </c>
    </row>
    <row r="4300" ht="24" customHeight="1" s="63">
      <c r="E4300" s="139" t="n"/>
      <c r="F4300" s="139" t="n"/>
      <c r="G4300" s="140">
        <f>IFERROR(IF(E4300&gt;0,(F4300/E4300)*1000,""),"")</f>
        <v/>
      </c>
      <c r="H4300" s="139">
        <f>IFERROR(IF(E4300&gt;0,E4300*IF(ISNUMBER(J4300),J4300,IF(C4300="Futures",$C$6,$C$5)),""),"")</f>
        <v/>
      </c>
      <c r="I4300" s="139">
        <f>IFERROR(IF(AND(ISNUMBER(F4300),ISNUMBER(H4300)),F4300-H4300,""),"")</f>
        <v/>
      </c>
      <c r="J4300" s="114" t="n"/>
      <c r="K4300" s="139">
        <f>IFERROR(IF(H4300&gt;0,H4300*$C$7,""),"")</f>
        <v/>
      </c>
      <c r="L4300" s="139">
        <f>IFERROR(IF(ISNUMBER(F4300),F4300-IF(ISNUMBER(K4300),K4300,0),""),"")</f>
        <v/>
      </c>
    </row>
    <row r="4301" ht="24" customHeight="1" s="63">
      <c r="E4301" s="139" t="n"/>
      <c r="F4301" s="139" t="n"/>
      <c r="G4301" s="140">
        <f>IFERROR(IF(E4301&gt;0,(F4301/E4301)*1000,""),"")</f>
        <v/>
      </c>
      <c r="H4301" s="139">
        <f>IFERROR(IF(E4301&gt;0,E4301*IF(ISNUMBER(J4301),J4301,IF(C4301="Futures",$C$6,$C$5)),""),"")</f>
        <v/>
      </c>
      <c r="I4301" s="139">
        <f>IFERROR(IF(AND(ISNUMBER(F4301),ISNUMBER(H4301)),F4301-H4301,""),"")</f>
        <v/>
      </c>
      <c r="J4301" s="114" t="n"/>
      <c r="K4301" s="139">
        <f>IFERROR(IF(H4301&gt;0,H4301*$C$7,""),"")</f>
        <v/>
      </c>
      <c r="L4301" s="139">
        <f>IFERROR(IF(ISNUMBER(F4301),F4301-IF(ISNUMBER(K4301),K4301,0),""),"")</f>
        <v/>
      </c>
    </row>
    <row r="4302" ht="24" customHeight="1" s="63">
      <c r="E4302" s="139" t="n"/>
      <c r="F4302" s="139" t="n"/>
      <c r="G4302" s="140">
        <f>IFERROR(IF(E4302&gt;0,(F4302/E4302)*1000,""),"")</f>
        <v/>
      </c>
      <c r="H4302" s="139">
        <f>IFERROR(IF(E4302&gt;0,E4302*IF(ISNUMBER(J4302),J4302,IF(C4302="Futures",$C$6,$C$5)),""),"")</f>
        <v/>
      </c>
      <c r="I4302" s="139">
        <f>IFERROR(IF(AND(ISNUMBER(F4302),ISNUMBER(H4302)),F4302-H4302,""),"")</f>
        <v/>
      </c>
      <c r="J4302" s="114" t="n"/>
      <c r="K4302" s="139">
        <f>IFERROR(IF(H4302&gt;0,H4302*$C$7,""),"")</f>
        <v/>
      </c>
      <c r="L4302" s="139">
        <f>IFERROR(IF(ISNUMBER(F4302),F4302-IF(ISNUMBER(K4302),K4302,0),""),"")</f>
        <v/>
      </c>
    </row>
    <row r="4303" ht="24" customHeight="1" s="63">
      <c r="E4303" s="139" t="n"/>
      <c r="F4303" s="139" t="n"/>
      <c r="G4303" s="140">
        <f>IFERROR(IF(E4303&gt;0,(F4303/E4303)*1000,""),"")</f>
        <v/>
      </c>
      <c r="H4303" s="139">
        <f>IFERROR(IF(E4303&gt;0,E4303*IF(ISNUMBER(J4303),J4303,IF(C4303="Futures",$C$6,$C$5)),""),"")</f>
        <v/>
      </c>
      <c r="I4303" s="139">
        <f>IFERROR(IF(AND(ISNUMBER(F4303),ISNUMBER(H4303)),F4303-H4303,""),"")</f>
        <v/>
      </c>
      <c r="J4303" s="114" t="n"/>
      <c r="K4303" s="139">
        <f>IFERROR(IF(H4303&gt;0,H4303*$C$7,""),"")</f>
        <v/>
      </c>
      <c r="L4303" s="139">
        <f>IFERROR(IF(ISNUMBER(F4303),F4303-IF(ISNUMBER(K4303),K4303,0),""),"")</f>
        <v/>
      </c>
    </row>
    <row r="4304" ht="24" customHeight="1" s="63">
      <c r="E4304" s="139" t="n"/>
      <c r="F4304" s="139" t="n"/>
      <c r="G4304" s="140">
        <f>IFERROR(IF(E4304&gt;0,(F4304/E4304)*1000,""),"")</f>
        <v/>
      </c>
      <c r="H4304" s="139">
        <f>IFERROR(IF(E4304&gt;0,E4304*IF(ISNUMBER(J4304),J4304,IF(C4304="Futures",$C$6,$C$5)),""),"")</f>
        <v/>
      </c>
      <c r="I4304" s="139">
        <f>IFERROR(IF(AND(ISNUMBER(F4304),ISNUMBER(H4304)),F4304-H4304,""),"")</f>
        <v/>
      </c>
      <c r="J4304" s="114" t="n"/>
      <c r="K4304" s="139">
        <f>IFERROR(IF(H4304&gt;0,H4304*$C$7,""),"")</f>
        <v/>
      </c>
      <c r="L4304" s="139">
        <f>IFERROR(IF(ISNUMBER(F4304),F4304-IF(ISNUMBER(K4304),K4304,0),""),"")</f>
        <v/>
      </c>
    </row>
    <row r="4305" ht="24" customHeight="1" s="63">
      <c r="E4305" s="139" t="n"/>
      <c r="F4305" s="139" t="n"/>
      <c r="G4305" s="140">
        <f>IFERROR(IF(E4305&gt;0,(F4305/E4305)*1000,""),"")</f>
        <v/>
      </c>
      <c r="H4305" s="139">
        <f>IFERROR(IF(E4305&gt;0,E4305*IF(ISNUMBER(J4305),J4305,IF(C4305="Futures",$C$6,$C$5)),""),"")</f>
        <v/>
      </c>
      <c r="I4305" s="139">
        <f>IFERROR(IF(AND(ISNUMBER(F4305),ISNUMBER(H4305)),F4305-H4305,""),"")</f>
        <v/>
      </c>
      <c r="J4305" s="114" t="n"/>
      <c r="K4305" s="139">
        <f>IFERROR(IF(H4305&gt;0,H4305*$C$7,""),"")</f>
        <v/>
      </c>
      <c r="L4305" s="139">
        <f>IFERROR(IF(ISNUMBER(F4305),F4305-IF(ISNUMBER(K4305),K4305,0),""),"")</f>
        <v/>
      </c>
    </row>
    <row r="4306" ht="24" customHeight="1" s="63">
      <c r="E4306" s="139" t="n"/>
      <c r="F4306" s="139" t="n"/>
      <c r="G4306" s="140">
        <f>IFERROR(IF(E4306&gt;0,(F4306/E4306)*1000,""),"")</f>
        <v/>
      </c>
      <c r="H4306" s="139">
        <f>IFERROR(IF(E4306&gt;0,E4306*IF(ISNUMBER(J4306),J4306,IF(C4306="Futures",$C$6,$C$5)),""),"")</f>
        <v/>
      </c>
      <c r="I4306" s="139">
        <f>IFERROR(IF(AND(ISNUMBER(F4306),ISNUMBER(H4306)),F4306-H4306,""),"")</f>
        <v/>
      </c>
      <c r="J4306" s="114" t="n"/>
      <c r="K4306" s="139">
        <f>IFERROR(IF(H4306&gt;0,H4306*$C$7,""),"")</f>
        <v/>
      </c>
      <c r="L4306" s="139">
        <f>IFERROR(IF(ISNUMBER(F4306),F4306-IF(ISNUMBER(K4306),K4306,0),""),"")</f>
        <v/>
      </c>
    </row>
    <row r="4307" ht="24" customHeight="1" s="63">
      <c r="E4307" s="139" t="n"/>
      <c r="F4307" s="139" t="n"/>
      <c r="G4307" s="140">
        <f>IFERROR(IF(E4307&gt;0,(F4307/E4307)*1000,""),"")</f>
        <v/>
      </c>
      <c r="H4307" s="139">
        <f>IFERROR(IF(E4307&gt;0,E4307*IF(ISNUMBER(J4307),J4307,IF(C4307="Futures",$C$6,$C$5)),""),"")</f>
        <v/>
      </c>
      <c r="I4307" s="139">
        <f>IFERROR(IF(AND(ISNUMBER(F4307),ISNUMBER(H4307)),F4307-H4307,""),"")</f>
        <v/>
      </c>
      <c r="J4307" s="114" t="n"/>
      <c r="K4307" s="139">
        <f>IFERROR(IF(H4307&gt;0,H4307*$C$7,""),"")</f>
        <v/>
      </c>
      <c r="L4307" s="139">
        <f>IFERROR(IF(ISNUMBER(F4307),F4307-IF(ISNUMBER(K4307),K4307,0),""),"")</f>
        <v/>
      </c>
    </row>
    <row r="4308" ht="24" customHeight="1" s="63">
      <c r="E4308" s="139" t="n"/>
      <c r="F4308" s="139" t="n"/>
      <c r="G4308" s="140">
        <f>IFERROR(IF(E4308&gt;0,(F4308/E4308)*1000,""),"")</f>
        <v/>
      </c>
      <c r="H4308" s="139">
        <f>IFERROR(IF(E4308&gt;0,E4308*IF(ISNUMBER(J4308),J4308,IF(C4308="Futures",$C$6,$C$5)),""),"")</f>
        <v/>
      </c>
      <c r="I4308" s="139">
        <f>IFERROR(IF(AND(ISNUMBER(F4308),ISNUMBER(H4308)),F4308-H4308,""),"")</f>
        <v/>
      </c>
      <c r="J4308" s="114" t="n"/>
      <c r="K4308" s="139">
        <f>IFERROR(IF(H4308&gt;0,H4308*$C$7,""),"")</f>
        <v/>
      </c>
      <c r="L4308" s="139">
        <f>IFERROR(IF(ISNUMBER(F4308),F4308-IF(ISNUMBER(K4308),K4308,0),""),"")</f>
        <v/>
      </c>
    </row>
    <row r="4309" ht="24" customHeight="1" s="63">
      <c r="E4309" s="139" t="n"/>
      <c r="F4309" s="139" t="n"/>
      <c r="G4309" s="140">
        <f>IFERROR(IF(E4309&gt;0,(F4309/E4309)*1000,""),"")</f>
        <v/>
      </c>
      <c r="H4309" s="139">
        <f>IFERROR(IF(E4309&gt;0,E4309*IF(ISNUMBER(J4309),J4309,IF(C4309="Futures",$C$6,$C$5)),""),"")</f>
        <v/>
      </c>
      <c r="I4309" s="139">
        <f>IFERROR(IF(AND(ISNUMBER(F4309),ISNUMBER(H4309)),F4309-H4309,""),"")</f>
        <v/>
      </c>
      <c r="J4309" s="114" t="n"/>
      <c r="K4309" s="139">
        <f>IFERROR(IF(H4309&gt;0,H4309*$C$7,""),"")</f>
        <v/>
      </c>
      <c r="L4309" s="139">
        <f>IFERROR(IF(ISNUMBER(F4309),F4309-IF(ISNUMBER(K4309),K4309,0),""),"")</f>
        <v/>
      </c>
    </row>
    <row r="4310" ht="24" customHeight="1" s="63">
      <c r="E4310" s="139" t="n"/>
      <c r="F4310" s="139" t="n"/>
      <c r="G4310" s="140">
        <f>IFERROR(IF(E4310&gt;0,(F4310/E4310)*1000,""),"")</f>
        <v/>
      </c>
      <c r="H4310" s="139">
        <f>IFERROR(IF(E4310&gt;0,E4310*IF(ISNUMBER(J4310),J4310,IF(C4310="Futures",$C$6,$C$5)),""),"")</f>
        <v/>
      </c>
      <c r="I4310" s="139">
        <f>IFERROR(IF(AND(ISNUMBER(F4310),ISNUMBER(H4310)),F4310-H4310,""),"")</f>
        <v/>
      </c>
      <c r="J4310" s="114" t="n"/>
      <c r="K4310" s="139">
        <f>IFERROR(IF(H4310&gt;0,H4310*$C$7,""),"")</f>
        <v/>
      </c>
      <c r="L4310" s="139">
        <f>IFERROR(IF(ISNUMBER(F4310),F4310-IF(ISNUMBER(K4310),K4310,0),""),"")</f>
        <v/>
      </c>
    </row>
    <row r="4311" ht="24" customHeight="1" s="63">
      <c r="E4311" s="139" t="n"/>
      <c r="F4311" s="139" t="n"/>
      <c r="G4311" s="140">
        <f>IFERROR(IF(E4311&gt;0,(F4311/E4311)*1000,""),"")</f>
        <v/>
      </c>
      <c r="H4311" s="139">
        <f>IFERROR(IF(E4311&gt;0,E4311*IF(ISNUMBER(J4311),J4311,IF(C4311="Futures",$C$6,$C$5)),""),"")</f>
        <v/>
      </c>
      <c r="I4311" s="139">
        <f>IFERROR(IF(AND(ISNUMBER(F4311),ISNUMBER(H4311)),F4311-H4311,""),"")</f>
        <v/>
      </c>
      <c r="J4311" s="114" t="n"/>
      <c r="K4311" s="139">
        <f>IFERROR(IF(H4311&gt;0,H4311*$C$7,""),"")</f>
        <v/>
      </c>
      <c r="L4311" s="139">
        <f>IFERROR(IF(ISNUMBER(F4311),F4311-IF(ISNUMBER(K4311),K4311,0),""),"")</f>
        <v/>
      </c>
    </row>
    <row r="4312" ht="24" customHeight="1" s="63">
      <c r="E4312" s="139" t="n"/>
      <c r="F4312" s="139" t="n"/>
      <c r="G4312" s="140">
        <f>IFERROR(IF(E4312&gt;0,(F4312/E4312)*1000,""),"")</f>
        <v/>
      </c>
      <c r="H4312" s="139">
        <f>IFERROR(IF(E4312&gt;0,E4312*IF(ISNUMBER(J4312),J4312,IF(C4312="Futures",$C$6,$C$5)),""),"")</f>
        <v/>
      </c>
      <c r="I4312" s="139">
        <f>IFERROR(IF(AND(ISNUMBER(F4312),ISNUMBER(H4312)),F4312-H4312,""),"")</f>
        <v/>
      </c>
      <c r="J4312" s="114" t="n"/>
      <c r="K4312" s="139">
        <f>IFERROR(IF(H4312&gt;0,H4312*$C$7,""),"")</f>
        <v/>
      </c>
      <c r="L4312" s="139">
        <f>IFERROR(IF(ISNUMBER(F4312),F4312-IF(ISNUMBER(K4312),K4312,0),""),"")</f>
        <v/>
      </c>
    </row>
    <row r="4313" ht="24" customHeight="1" s="63">
      <c r="E4313" s="139" t="n"/>
      <c r="F4313" s="139" t="n"/>
      <c r="G4313" s="140">
        <f>IFERROR(IF(E4313&gt;0,(F4313/E4313)*1000,""),"")</f>
        <v/>
      </c>
      <c r="H4313" s="139">
        <f>IFERROR(IF(E4313&gt;0,E4313*IF(ISNUMBER(J4313),J4313,IF(C4313="Futures",$C$6,$C$5)),""),"")</f>
        <v/>
      </c>
      <c r="I4313" s="139">
        <f>IFERROR(IF(AND(ISNUMBER(F4313),ISNUMBER(H4313)),F4313-H4313,""),"")</f>
        <v/>
      </c>
      <c r="J4313" s="114" t="n"/>
      <c r="K4313" s="139">
        <f>IFERROR(IF(H4313&gt;0,H4313*$C$7,""),"")</f>
        <v/>
      </c>
      <c r="L4313" s="139">
        <f>IFERROR(IF(ISNUMBER(F4313),F4313-IF(ISNUMBER(K4313),K4313,0),""),"")</f>
        <v/>
      </c>
    </row>
    <row r="4314" ht="24" customHeight="1" s="63">
      <c r="E4314" s="139" t="n"/>
      <c r="F4314" s="139" t="n"/>
      <c r="G4314" s="140">
        <f>IFERROR(IF(E4314&gt;0,(F4314/E4314)*1000,""),"")</f>
        <v/>
      </c>
      <c r="H4314" s="139">
        <f>IFERROR(IF(E4314&gt;0,E4314*IF(ISNUMBER(J4314),J4314,IF(C4314="Futures",$C$6,$C$5)),""),"")</f>
        <v/>
      </c>
      <c r="I4314" s="139">
        <f>IFERROR(IF(AND(ISNUMBER(F4314),ISNUMBER(H4314)),F4314-H4314,""),"")</f>
        <v/>
      </c>
      <c r="J4314" s="114" t="n"/>
      <c r="K4314" s="139">
        <f>IFERROR(IF(H4314&gt;0,H4314*$C$7,""),"")</f>
        <v/>
      </c>
      <c r="L4314" s="139">
        <f>IFERROR(IF(ISNUMBER(F4314),F4314-IF(ISNUMBER(K4314),K4314,0),""),"")</f>
        <v/>
      </c>
    </row>
    <row r="4315" ht="24" customHeight="1" s="63">
      <c r="E4315" s="139" t="n"/>
      <c r="F4315" s="139" t="n"/>
      <c r="G4315" s="140">
        <f>IFERROR(IF(E4315&gt;0,(F4315/E4315)*1000,""),"")</f>
        <v/>
      </c>
      <c r="H4315" s="139">
        <f>IFERROR(IF(E4315&gt;0,E4315*IF(ISNUMBER(J4315),J4315,IF(C4315="Futures",$C$6,$C$5)),""),"")</f>
        <v/>
      </c>
      <c r="I4315" s="139">
        <f>IFERROR(IF(AND(ISNUMBER(F4315),ISNUMBER(H4315)),F4315-H4315,""),"")</f>
        <v/>
      </c>
      <c r="J4315" s="114" t="n"/>
      <c r="K4315" s="139">
        <f>IFERROR(IF(H4315&gt;0,H4315*$C$7,""),"")</f>
        <v/>
      </c>
      <c r="L4315" s="139">
        <f>IFERROR(IF(ISNUMBER(F4315),F4315-IF(ISNUMBER(K4315),K4315,0),""),"")</f>
        <v/>
      </c>
    </row>
    <row r="4316" ht="24" customHeight="1" s="63">
      <c r="E4316" s="139" t="n"/>
      <c r="F4316" s="139" t="n"/>
      <c r="G4316" s="140">
        <f>IFERROR(IF(E4316&gt;0,(F4316/E4316)*1000,""),"")</f>
        <v/>
      </c>
      <c r="H4316" s="139">
        <f>IFERROR(IF(E4316&gt;0,E4316*IF(ISNUMBER(J4316),J4316,IF(C4316="Futures",$C$6,$C$5)),""),"")</f>
        <v/>
      </c>
      <c r="I4316" s="139">
        <f>IFERROR(IF(AND(ISNUMBER(F4316),ISNUMBER(H4316)),F4316-H4316,""),"")</f>
        <v/>
      </c>
      <c r="J4316" s="114" t="n"/>
      <c r="K4316" s="139">
        <f>IFERROR(IF(H4316&gt;0,H4316*$C$7,""),"")</f>
        <v/>
      </c>
      <c r="L4316" s="139">
        <f>IFERROR(IF(ISNUMBER(F4316),F4316-IF(ISNUMBER(K4316),K4316,0),""),"")</f>
        <v/>
      </c>
    </row>
    <row r="4317" ht="24" customHeight="1" s="63">
      <c r="E4317" s="139" t="n"/>
      <c r="F4317" s="139" t="n"/>
      <c r="G4317" s="140">
        <f>IFERROR(IF(E4317&gt;0,(F4317/E4317)*1000,""),"")</f>
        <v/>
      </c>
      <c r="H4317" s="139">
        <f>IFERROR(IF(E4317&gt;0,E4317*IF(ISNUMBER(J4317),J4317,IF(C4317="Futures",$C$6,$C$5)),""),"")</f>
        <v/>
      </c>
      <c r="I4317" s="139">
        <f>IFERROR(IF(AND(ISNUMBER(F4317),ISNUMBER(H4317)),F4317-H4317,""),"")</f>
        <v/>
      </c>
      <c r="J4317" s="114" t="n"/>
      <c r="K4317" s="139">
        <f>IFERROR(IF(H4317&gt;0,H4317*$C$7,""),"")</f>
        <v/>
      </c>
      <c r="L4317" s="139">
        <f>IFERROR(IF(ISNUMBER(F4317),F4317-IF(ISNUMBER(K4317),K4317,0),""),"")</f>
        <v/>
      </c>
    </row>
    <row r="4318" ht="24" customHeight="1" s="63">
      <c r="E4318" s="139" t="n"/>
      <c r="F4318" s="139" t="n"/>
      <c r="G4318" s="140">
        <f>IFERROR(IF(E4318&gt;0,(F4318/E4318)*1000,""),"")</f>
        <v/>
      </c>
      <c r="H4318" s="139">
        <f>IFERROR(IF(E4318&gt;0,E4318*IF(ISNUMBER(J4318),J4318,IF(C4318="Futures",$C$6,$C$5)),""),"")</f>
        <v/>
      </c>
      <c r="I4318" s="139">
        <f>IFERROR(IF(AND(ISNUMBER(F4318),ISNUMBER(H4318)),F4318-H4318,""),"")</f>
        <v/>
      </c>
      <c r="J4318" s="114" t="n"/>
      <c r="K4318" s="139">
        <f>IFERROR(IF(H4318&gt;0,H4318*$C$7,""),"")</f>
        <v/>
      </c>
      <c r="L4318" s="139">
        <f>IFERROR(IF(ISNUMBER(F4318),F4318-IF(ISNUMBER(K4318),K4318,0),""),"")</f>
        <v/>
      </c>
    </row>
    <row r="4319" ht="24" customHeight="1" s="63">
      <c r="E4319" s="139" t="n"/>
      <c r="F4319" s="139" t="n"/>
      <c r="G4319" s="140">
        <f>IFERROR(IF(E4319&gt;0,(F4319/E4319)*1000,""),"")</f>
        <v/>
      </c>
      <c r="H4319" s="139">
        <f>IFERROR(IF(E4319&gt;0,E4319*IF(ISNUMBER(J4319),J4319,IF(C4319="Futures",$C$6,$C$5)),""),"")</f>
        <v/>
      </c>
      <c r="I4319" s="139">
        <f>IFERROR(IF(AND(ISNUMBER(F4319),ISNUMBER(H4319)),F4319-H4319,""),"")</f>
        <v/>
      </c>
      <c r="J4319" s="114" t="n"/>
      <c r="K4319" s="139">
        <f>IFERROR(IF(H4319&gt;0,H4319*$C$7,""),"")</f>
        <v/>
      </c>
      <c r="L4319" s="139">
        <f>IFERROR(IF(ISNUMBER(F4319),F4319-IF(ISNUMBER(K4319),K4319,0),""),"")</f>
        <v/>
      </c>
    </row>
    <row r="4320" ht="24" customHeight="1" s="63">
      <c r="E4320" s="139" t="n"/>
      <c r="F4320" s="139" t="n"/>
      <c r="G4320" s="140">
        <f>IFERROR(IF(E4320&gt;0,(F4320/E4320)*1000,""),"")</f>
        <v/>
      </c>
      <c r="H4320" s="139">
        <f>IFERROR(IF(E4320&gt;0,E4320*IF(ISNUMBER(J4320),J4320,IF(C4320="Futures",$C$6,$C$5)),""),"")</f>
        <v/>
      </c>
      <c r="I4320" s="139">
        <f>IFERROR(IF(AND(ISNUMBER(F4320),ISNUMBER(H4320)),F4320-H4320,""),"")</f>
        <v/>
      </c>
      <c r="J4320" s="114" t="n"/>
      <c r="K4320" s="139">
        <f>IFERROR(IF(H4320&gt;0,H4320*$C$7,""),"")</f>
        <v/>
      </c>
      <c r="L4320" s="139">
        <f>IFERROR(IF(ISNUMBER(F4320),F4320-IF(ISNUMBER(K4320),K4320,0),""),"")</f>
        <v/>
      </c>
    </row>
    <row r="4321" ht="24" customHeight="1" s="63">
      <c r="E4321" s="139" t="n"/>
      <c r="F4321" s="139" t="n"/>
      <c r="G4321" s="140">
        <f>IFERROR(IF(E4321&gt;0,(F4321/E4321)*1000,""),"")</f>
        <v/>
      </c>
      <c r="H4321" s="139">
        <f>IFERROR(IF(E4321&gt;0,E4321*IF(ISNUMBER(J4321),J4321,IF(C4321="Futures",$C$6,$C$5)),""),"")</f>
        <v/>
      </c>
      <c r="I4321" s="139">
        <f>IFERROR(IF(AND(ISNUMBER(F4321),ISNUMBER(H4321)),F4321-H4321,""),"")</f>
        <v/>
      </c>
      <c r="J4321" s="114" t="n"/>
      <c r="K4321" s="139">
        <f>IFERROR(IF(H4321&gt;0,H4321*$C$7,""),"")</f>
        <v/>
      </c>
      <c r="L4321" s="139">
        <f>IFERROR(IF(ISNUMBER(F4321),F4321-IF(ISNUMBER(K4321),K4321,0),""),"")</f>
        <v/>
      </c>
    </row>
    <row r="4322" ht="24" customHeight="1" s="63">
      <c r="E4322" s="139" t="n"/>
      <c r="F4322" s="139" t="n"/>
      <c r="G4322" s="140">
        <f>IFERROR(IF(E4322&gt;0,(F4322/E4322)*1000,""),"")</f>
        <v/>
      </c>
      <c r="H4322" s="139">
        <f>IFERROR(IF(E4322&gt;0,E4322*IF(ISNUMBER(J4322),J4322,IF(C4322="Futures",$C$6,$C$5)),""),"")</f>
        <v/>
      </c>
      <c r="I4322" s="139">
        <f>IFERROR(IF(AND(ISNUMBER(F4322),ISNUMBER(H4322)),F4322-H4322,""),"")</f>
        <v/>
      </c>
      <c r="J4322" s="114" t="n"/>
      <c r="K4322" s="139">
        <f>IFERROR(IF(H4322&gt;0,H4322*$C$7,""),"")</f>
        <v/>
      </c>
      <c r="L4322" s="139">
        <f>IFERROR(IF(ISNUMBER(F4322),F4322-IF(ISNUMBER(K4322),K4322,0),""),"")</f>
        <v/>
      </c>
    </row>
    <row r="4323" ht="24" customHeight="1" s="63">
      <c r="E4323" s="139" t="n"/>
      <c r="F4323" s="139" t="n"/>
      <c r="G4323" s="140">
        <f>IFERROR(IF(E4323&gt;0,(F4323/E4323)*1000,""),"")</f>
        <v/>
      </c>
      <c r="H4323" s="139">
        <f>IFERROR(IF(E4323&gt;0,E4323*IF(ISNUMBER(J4323),J4323,IF(C4323="Futures",$C$6,$C$5)),""),"")</f>
        <v/>
      </c>
      <c r="I4323" s="139">
        <f>IFERROR(IF(AND(ISNUMBER(F4323),ISNUMBER(H4323)),F4323-H4323,""),"")</f>
        <v/>
      </c>
      <c r="J4323" s="114" t="n"/>
      <c r="K4323" s="139">
        <f>IFERROR(IF(H4323&gt;0,H4323*$C$7,""),"")</f>
        <v/>
      </c>
      <c r="L4323" s="139">
        <f>IFERROR(IF(ISNUMBER(F4323),F4323-IF(ISNUMBER(K4323),K4323,0),""),"")</f>
        <v/>
      </c>
    </row>
    <row r="4324" ht="24" customHeight="1" s="63">
      <c r="E4324" s="139" t="n"/>
      <c r="F4324" s="139" t="n"/>
      <c r="G4324" s="140">
        <f>IFERROR(IF(E4324&gt;0,(F4324/E4324)*1000,""),"")</f>
        <v/>
      </c>
      <c r="H4324" s="139">
        <f>IFERROR(IF(E4324&gt;0,E4324*IF(ISNUMBER(J4324),J4324,IF(C4324="Futures",$C$6,$C$5)),""),"")</f>
        <v/>
      </c>
      <c r="I4324" s="139">
        <f>IFERROR(IF(AND(ISNUMBER(F4324),ISNUMBER(H4324)),F4324-H4324,""),"")</f>
        <v/>
      </c>
      <c r="J4324" s="114" t="n"/>
      <c r="K4324" s="139">
        <f>IFERROR(IF(H4324&gt;0,H4324*$C$7,""),"")</f>
        <v/>
      </c>
      <c r="L4324" s="139">
        <f>IFERROR(IF(ISNUMBER(F4324),F4324-IF(ISNUMBER(K4324),K4324,0),""),"")</f>
        <v/>
      </c>
    </row>
    <row r="4325" ht="24" customHeight="1" s="63">
      <c r="E4325" s="139" t="n"/>
      <c r="F4325" s="139" t="n"/>
      <c r="G4325" s="140">
        <f>IFERROR(IF(E4325&gt;0,(F4325/E4325)*1000,""),"")</f>
        <v/>
      </c>
      <c r="H4325" s="139">
        <f>IFERROR(IF(E4325&gt;0,E4325*IF(ISNUMBER(J4325),J4325,IF(C4325="Futures",$C$6,$C$5)),""),"")</f>
        <v/>
      </c>
      <c r="I4325" s="139">
        <f>IFERROR(IF(AND(ISNUMBER(F4325),ISNUMBER(H4325)),F4325-H4325,""),"")</f>
        <v/>
      </c>
      <c r="J4325" s="114" t="n"/>
      <c r="K4325" s="139">
        <f>IFERROR(IF(H4325&gt;0,H4325*$C$7,""),"")</f>
        <v/>
      </c>
      <c r="L4325" s="139">
        <f>IFERROR(IF(ISNUMBER(F4325),F4325-IF(ISNUMBER(K4325),K4325,0),""),"")</f>
        <v/>
      </c>
    </row>
    <row r="4326" ht="24" customHeight="1" s="63">
      <c r="E4326" s="139" t="n"/>
      <c r="F4326" s="139" t="n"/>
      <c r="G4326" s="140">
        <f>IFERROR(IF(E4326&gt;0,(F4326/E4326)*1000,""),"")</f>
        <v/>
      </c>
      <c r="H4326" s="139">
        <f>IFERROR(IF(E4326&gt;0,E4326*IF(ISNUMBER(J4326),J4326,IF(C4326="Futures",$C$6,$C$5)),""),"")</f>
        <v/>
      </c>
      <c r="I4326" s="139">
        <f>IFERROR(IF(AND(ISNUMBER(F4326),ISNUMBER(H4326)),F4326-H4326,""),"")</f>
        <v/>
      </c>
      <c r="J4326" s="114" t="n"/>
      <c r="K4326" s="139">
        <f>IFERROR(IF(H4326&gt;0,H4326*$C$7,""),"")</f>
        <v/>
      </c>
      <c r="L4326" s="139">
        <f>IFERROR(IF(ISNUMBER(F4326),F4326-IF(ISNUMBER(K4326),K4326,0),""),"")</f>
        <v/>
      </c>
    </row>
    <row r="4327" ht="24" customHeight="1" s="63">
      <c r="E4327" s="139" t="n"/>
      <c r="F4327" s="139" t="n"/>
      <c r="G4327" s="140">
        <f>IFERROR(IF(E4327&gt;0,(F4327/E4327)*1000,""),"")</f>
        <v/>
      </c>
      <c r="H4327" s="139">
        <f>IFERROR(IF(E4327&gt;0,E4327*IF(ISNUMBER(J4327),J4327,IF(C4327="Futures",$C$6,$C$5)),""),"")</f>
        <v/>
      </c>
      <c r="I4327" s="139">
        <f>IFERROR(IF(AND(ISNUMBER(F4327),ISNUMBER(H4327)),F4327-H4327,""),"")</f>
        <v/>
      </c>
      <c r="J4327" s="114" t="n"/>
      <c r="K4327" s="139">
        <f>IFERROR(IF(H4327&gt;0,H4327*$C$7,""),"")</f>
        <v/>
      </c>
      <c r="L4327" s="139">
        <f>IFERROR(IF(ISNUMBER(F4327),F4327-IF(ISNUMBER(K4327),K4327,0),""),"")</f>
        <v/>
      </c>
    </row>
    <row r="4328" ht="24" customHeight="1" s="63">
      <c r="E4328" s="139" t="n"/>
      <c r="F4328" s="139" t="n"/>
      <c r="G4328" s="140">
        <f>IFERROR(IF(E4328&gt;0,(F4328/E4328)*1000,""),"")</f>
        <v/>
      </c>
      <c r="H4328" s="139">
        <f>IFERROR(IF(E4328&gt;0,E4328*IF(ISNUMBER(J4328),J4328,IF(C4328="Futures",$C$6,$C$5)),""),"")</f>
        <v/>
      </c>
      <c r="I4328" s="139">
        <f>IFERROR(IF(AND(ISNUMBER(F4328),ISNUMBER(H4328)),F4328-H4328,""),"")</f>
        <v/>
      </c>
      <c r="J4328" s="114" t="n"/>
      <c r="K4328" s="139">
        <f>IFERROR(IF(H4328&gt;0,H4328*$C$7,""),"")</f>
        <v/>
      </c>
      <c r="L4328" s="139">
        <f>IFERROR(IF(ISNUMBER(F4328),F4328-IF(ISNUMBER(K4328),K4328,0),""),"")</f>
        <v/>
      </c>
    </row>
    <row r="4329" ht="24" customHeight="1" s="63">
      <c r="E4329" s="139" t="n"/>
      <c r="F4329" s="139" t="n"/>
      <c r="G4329" s="140">
        <f>IFERROR(IF(E4329&gt;0,(F4329/E4329)*1000,""),"")</f>
        <v/>
      </c>
      <c r="H4329" s="139">
        <f>IFERROR(IF(E4329&gt;0,E4329*IF(ISNUMBER(J4329),J4329,IF(C4329="Futures",$C$6,$C$5)),""),"")</f>
        <v/>
      </c>
      <c r="I4329" s="139">
        <f>IFERROR(IF(AND(ISNUMBER(F4329),ISNUMBER(H4329)),F4329-H4329,""),"")</f>
        <v/>
      </c>
      <c r="J4329" s="114" t="n"/>
      <c r="K4329" s="139">
        <f>IFERROR(IF(H4329&gt;0,H4329*$C$7,""),"")</f>
        <v/>
      </c>
      <c r="L4329" s="139">
        <f>IFERROR(IF(ISNUMBER(F4329),F4329-IF(ISNUMBER(K4329),K4329,0),""),"")</f>
        <v/>
      </c>
    </row>
    <row r="4330" ht="24" customHeight="1" s="63">
      <c r="E4330" s="139" t="n"/>
      <c r="F4330" s="139" t="n"/>
      <c r="G4330" s="140">
        <f>IFERROR(IF(E4330&gt;0,(F4330/E4330)*1000,""),"")</f>
        <v/>
      </c>
      <c r="H4330" s="139">
        <f>IFERROR(IF(E4330&gt;0,E4330*IF(ISNUMBER(J4330),J4330,IF(C4330="Futures",$C$6,$C$5)),""),"")</f>
        <v/>
      </c>
      <c r="I4330" s="139">
        <f>IFERROR(IF(AND(ISNUMBER(F4330),ISNUMBER(H4330)),F4330-H4330,""),"")</f>
        <v/>
      </c>
      <c r="J4330" s="114" t="n"/>
      <c r="K4330" s="139">
        <f>IFERROR(IF(H4330&gt;0,H4330*$C$7,""),"")</f>
        <v/>
      </c>
      <c r="L4330" s="139">
        <f>IFERROR(IF(ISNUMBER(F4330),F4330-IF(ISNUMBER(K4330),K4330,0),""),"")</f>
        <v/>
      </c>
    </row>
    <row r="4331" ht="24" customHeight="1" s="63">
      <c r="E4331" s="139" t="n"/>
      <c r="F4331" s="139" t="n"/>
      <c r="G4331" s="140">
        <f>IFERROR(IF(E4331&gt;0,(F4331/E4331)*1000,""),"")</f>
        <v/>
      </c>
      <c r="H4331" s="139">
        <f>IFERROR(IF(E4331&gt;0,E4331*IF(ISNUMBER(J4331),J4331,IF(C4331="Futures",$C$6,$C$5)),""),"")</f>
        <v/>
      </c>
      <c r="I4331" s="139">
        <f>IFERROR(IF(AND(ISNUMBER(F4331),ISNUMBER(H4331)),F4331-H4331,""),"")</f>
        <v/>
      </c>
      <c r="J4331" s="114" t="n"/>
      <c r="K4331" s="139">
        <f>IFERROR(IF(H4331&gt;0,H4331*$C$7,""),"")</f>
        <v/>
      </c>
      <c r="L4331" s="139">
        <f>IFERROR(IF(ISNUMBER(F4331),F4331-IF(ISNUMBER(K4331),K4331,0),""),"")</f>
        <v/>
      </c>
    </row>
    <row r="4332" ht="24" customHeight="1" s="63">
      <c r="E4332" s="139" t="n"/>
      <c r="F4332" s="139" t="n"/>
      <c r="G4332" s="140">
        <f>IFERROR(IF(E4332&gt;0,(F4332/E4332)*1000,""),"")</f>
        <v/>
      </c>
      <c r="H4332" s="139">
        <f>IFERROR(IF(E4332&gt;0,E4332*IF(ISNUMBER(J4332),J4332,IF(C4332="Futures",$C$6,$C$5)),""),"")</f>
        <v/>
      </c>
      <c r="I4332" s="139">
        <f>IFERROR(IF(AND(ISNUMBER(F4332),ISNUMBER(H4332)),F4332-H4332,""),"")</f>
        <v/>
      </c>
      <c r="J4332" s="114" t="n"/>
      <c r="K4332" s="139">
        <f>IFERROR(IF(H4332&gt;0,H4332*$C$7,""),"")</f>
        <v/>
      </c>
      <c r="L4332" s="139">
        <f>IFERROR(IF(ISNUMBER(F4332),F4332-IF(ISNUMBER(K4332),K4332,0),""),"")</f>
        <v/>
      </c>
    </row>
    <row r="4333" ht="24" customHeight="1" s="63">
      <c r="E4333" s="139" t="n"/>
      <c r="F4333" s="139" t="n"/>
      <c r="G4333" s="140">
        <f>IFERROR(IF(E4333&gt;0,(F4333/E4333)*1000,""),"")</f>
        <v/>
      </c>
      <c r="H4333" s="139">
        <f>IFERROR(IF(E4333&gt;0,E4333*IF(ISNUMBER(J4333),J4333,IF(C4333="Futures",$C$6,$C$5)),""),"")</f>
        <v/>
      </c>
      <c r="I4333" s="139">
        <f>IFERROR(IF(AND(ISNUMBER(F4333),ISNUMBER(H4333)),F4333-H4333,""),"")</f>
        <v/>
      </c>
      <c r="J4333" s="114" t="n"/>
      <c r="K4333" s="139">
        <f>IFERROR(IF(H4333&gt;0,H4333*$C$7,""),"")</f>
        <v/>
      </c>
      <c r="L4333" s="139">
        <f>IFERROR(IF(ISNUMBER(F4333),F4333-IF(ISNUMBER(K4333),K4333,0),""),"")</f>
        <v/>
      </c>
    </row>
    <row r="4334" ht="24" customHeight="1" s="63">
      <c r="E4334" s="139" t="n"/>
      <c r="F4334" s="139" t="n"/>
      <c r="G4334" s="140">
        <f>IFERROR(IF(E4334&gt;0,(F4334/E4334)*1000,""),"")</f>
        <v/>
      </c>
      <c r="H4334" s="139">
        <f>IFERROR(IF(E4334&gt;0,E4334*IF(ISNUMBER(J4334),J4334,IF(C4334="Futures",$C$6,$C$5)),""),"")</f>
        <v/>
      </c>
      <c r="I4334" s="139">
        <f>IFERROR(IF(AND(ISNUMBER(F4334),ISNUMBER(H4334)),F4334-H4334,""),"")</f>
        <v/>
      </c>
      <c r="J4334" s="114" t="n"/>
      <c r="K4334" s="139">
        <f>IFERROR(IF(H4334&gt;0,H4334*$C$7,""),"")</f>
        <v/>
      </c>
      <c r="L4334" s="139">
        <f>IFERROR(IF(ISNUMBER(F4334),F4334-IF(ISNUMBER(K4334),K4334,0),""),"")</f>
        <v/>
      </c>
    </row>
    <row r="4335" ht="24" customHeight="1" s="63">
      <c r="E4335" s="139" t="n"/>
      <c r="F4335" s="139" t="n"/>
      <c r="G4335" s="140">
        <f>IFERROR(IF(E4335&gt;0,(F4335/E4335)*1000,""),"")</f>
        <v/>
      </c>
      <c r="H4335" s="139">
        <f>IFERROR(IF(E4335&gt;0,E4335*IF(ISNUMBER(J4335),J4335,IF(C4335="Futures",$C$6,$C$5)),""),"")</f>
        <v/>
      </c>
      <c r="I4335" s="139">
        <f>IFERROR(IF(AND(ISNUMBER(F4335),ISNUMBER(H4335)),F4335-H4335,""),"")</f>
        <v/>
      </c>
      <c r="J4335" s="114" t="n"/>
      <c r="K4335" s="139">
        <f>IFERROR(IF(H4335&gt;0,H4335*$C$7,""),"")</f>
        <v/>
      </c>
      <c r="L4335" s="139">
        <f>IFERROR(IF(ISNUMBER(F4335),F4335-IF(ISNUMBER(K4335),K4335,0),""),"")</f>
        <v/>
      </c>
    </row>
    <row r="4336" ht="24" customHeight="1" s="63">
      <c r="E4336" s="139" t="n"/>
      <c r="F4336" s="139" t="n"/>
      <c r="G4336" s="140">
        <f>IFERROR(IF(E4336&gt;0,(F4336/E4336)*1000,""),"")</f>
        <v/>
      </c>
      <c r="H4336" s="139">
        <f>IFERROR(IF(E4336&gt;0,E4336*IF(ISNUMBER(J4336),J4336,IF(C4336="Futures",$C$6,$C$5)),""),"")</f>
        <v/>
      </c>
      <c r="I4336" s="139">
        <f>IFERROR(IF(AND(ISNUMBER(F4336),ISNUMBER(H4336)),F4336-H4336,""),"")</f>
        <v/>
      </c>
      <c r="J4336" s="114" t="n"/>
      <c r="K4336" s="139">
        <f>IFERROR(IF(H4336&gt;0,H4336*$C$7,""),"")</f>
        <v/>
      </c>
      <c r="L4336" s="139">
        <f>IFERROR(IF(ISNUMBER(F4336),F4336-IF(ISNUMBER(K4336),K4336,0),""),"")</f>
        <v/>
      </c>
    </row>
    <row r="4337" ht="24" customHeight="1" s="63">
      <c r="E4337" s="139" t="n"/>
      <c r="F4337" s="139" t="n"/>
      <c r="G4337" s="140">
        <f>IFERROR(IF(E4337&gt;0,(F4337/E4337)*1000,""),"")</f>
        <v/>
      </c>
      <c r="H4337" s="139">
        <f>IFERROR(IF(E4337&gt;0,E4337*IF(ISNUMBER(J4337),J4337,IF(C4337="Futures",$C$6,$C$5)),""),"")</f>
        <v/>
      </c>
      <c r="I4337" s="139">
        <f>IFERROR(IF(AND(ISNUMBER(F4337),ISNUMBER(H4337)),F4337-H4337,""),"")</f>
        <v/>
      </c>
      <c r="J4337" s="114" t="n"/>
      <c r="K4337" s="139">
        <f>IFERROR(IF(H4337&gt;0,H4337*$C$7,""),"")</f>
        <v/>
      </c>
      <c r="L4337" s="139">
        <f>IFERROR(IF(ISNUMBER(F4337),F4337-IF(ISNUMBER(K4337),K4337,0),""),"")</f>
        <v/>
      </c>
    </row>
    <row r="4338" ht="24" customHeight="1" s="63">
      <c r="E4338" s="139" t="n"/>
      <c r="F4338" s="139" t="n"/>
      <c r="G4338" s="140">
        <f>IFERROR(IF(E4338&gt;0,(F4338/E4338)*1000,""),"")</f>
        <v/>
      </c>
      <c r="H4338" s="139">
        <f>IFERROR(IF(E4338&gt;0,E4338*IF(ISNUMBER(J4338),J4338,IF(C4338="Futures",$C$6,$C$5)),""),"")</f>
        <v/>
      </c>
      <c r="I4338" s="139">
        <f>IFERROR(IF(AND(ISNUMBER(F4338),ISNUMBER(H4338)),F4338-H4338,""),"")</f>
        <v/>
      </c>
      <c r="J4338" s="114" t="n"/>
      <c r="K4338" s="139">
        <f>IFERROR(IF(H4338&gt;0,H4338*$C$7,""),"")</f>
        <v/>
      </c>
      <c r="L4338" s="139">
        <f>IFERROR(IF(ISNUMBER(F4338),F4338-IF(ISNUMBER(K4338),K4338,0),""),"")</f>
        <v/>
      </c>
    </row>
    <row r="4339" ht="24" customHeight="1" s="63">
      <c r="E4339" s="139" t="n"/>
      <c r="F4339" s="139" t="n"/>
      <c r="G4339" s="140">
        <f>IFERROR(IF(E4339&gt;0,(F4339/E4339)*1000,""),"")</f>
        <v/>
      </c>
      <c r="H4339" s="139">
        <f>IFERROR(IF(E4339&gt;0,E4339*IF(ISNUMBER(J4339),J4339,IF(C4339="Futures",$C$6,$C$5)),""),"")</f>
        <v/>
      </c>
      <c r="I4339" s="139">
        <f>IFERROR(IF(AND(ISNUMBER(F4339),ISNUMBER(H4339)),F4339-H4339,""),"")</f>
        <v/>
      </c>
      <c r="J4339" s="114" t="n"/>
      <c r="K4339" s="139">
        <f>IFERROR(IF(H4339&gt;0,H4339*$C$7,""),"")</f>
        <v/>
      </c>
      <c r="L4339" s="139">
        <f>IFERROR(IF(ISNUMBER(F4339),F4339-IF(ISNUMBER(K4339),K4339,0),""),"")</f>
        <v/>
      </c>
    </row>
    <row r="4340" ht="24" customHeight="1" s="63">
      <c r="E4340" s="139" t="n"/>
      <c r="F4340" s="139" t="n"/>
      <c r="G4340" s="140">
        <f>IFERROR(IF(E4340&gt;0,(F4340/E4340)*1000,""),"")</f>
        <v/>
      </c>
      <c r="H4340" s="139">
        <f>IFERROR(IF(E4340&gt;0,E4340*IF(ISNUMBER(J4340),J4340,IF(C4340="Futures",$C$6,$C$5)),""),"")</f>
        <v/>
      </c>
      <c r="I4340" s="139">
        <f>IFERROR(IF(AND(ISNUMBER(F4340),ISNUMBER(H4340)),F4340-H4340,""),"")</f>
        <v/>
      </c>
      <c r="J4340" s="114" t="n"/>
      <c r="K4340" s="139">
        <f>IFERROR(IF(H4340&gt;0,H4340*$C$7,""),"")</f>
        <v/>
      </c>
      <c r="L4340" s="139">
        <f>IFERROR(IF(ISNUMBER(F4340),F4340-IF(ISNUMBER(K4340),K4340,0),""),"")</f>
        <v/>
      </c>
    </row>
    <row r="4341" ht="24" customHeight="1" s="63">
      <c r="E4341" s="139" t="n"/>
      <c r="F4341" s="139" t="n"/>
      <c r="G4341" s="140">
        <f>IFERROR(IF(E4341&gt;0,(F4341/E4341)*1000,""),"")</f>
        <v/>
      </c>
      <c r="H4341" s="139">
        <f>IFERROR(IF(E4341&gt;0,E4341*IF(ISNUMBER(J4341),J4341,IF(C4341="Futures",$C$6,$C$5)),""),"")</f>
        <v/>
      </c>
      <c r="I4341" s="139">
        <f>IFERROR(IF(AND(ISNUMBER(F4341),ISNUMBER(H4341)),F4341-H4341,""),"")</f>
        <v/>
      </c>
      <c r="J4341" s="114" t="n"/>
      <c r="K4341" s="139">
        <f>IFERROR(IF(H4341&gt;0,H4341*$C$7,""),"")</f>
        <v/>
      </c>
      <c r="L4341" s="139">
        <f>IFERROR(IF(ISNUMBER(F4341),F4341-IF(ISNUMBER(K4341),K4341,0),""),"")</f>
        <v/>
      </c>
    </row>
    <row r="4342" ht="24" customHeight="1" s="63">
      <c r="E4342" s="139" t="n"/>
      <c r="F4342" s="139" t="n"/>
      <c r="G4342" s="140">
        <f>IFERROR(IF(E4342&gt;0,(F4342/E4342)*1000,""),"")</f>
        <v/>
      </c>
      <c r="H4342" s="139">
        <f>IFERROR(IF(E4342&gt;0,E4342*IF(ISNUMBER(J4342),J4342,IF(C4342="Futures",$C$6,$C$5)),""),"")</f>
        <v/>
      </c>
      <c r="I4342" s="139">
        <f>IFERROR(IF(AND(ISNUMBER(F4342),ISNUMBER(H4342)),F4342-H4342,""),"")</f>
        <v/>
      </c>
      <c r="J4342" s="114" t="n"/>
      <c r="K4342" s="139">
        <f>IFERROR(IF(H4342&gt;0,H4342*$C$7,""),"")</f>
        <v/>
      </c>
      <c r="L4342" s="139">
        <f>IFERROR(IF(ISNUMBER(F4342),F4342-IF(ISNUMBER(K4342),K4342,0),""),"")</f>
        <v/>
      </c>
    </row>
    <row r="4343" ht="24" customHeight="1" s="63">
      <c r="E4343" s="139" t="n"/>
      <c r="F4343" s="139" t="n"/>
      <c r="G4343" s="140">
        <f>IFERROR(IF(E4343&gt;0,(F4343/E4343)*1000,""),"")</f>
        <v/>
      </c>
      <c r="H4343" s="139">
        <f>IFERROR(IF(E4343&gt;0,E4343*IF(ISNUMBER(J4343),J4343,IF(C4343="Futures",$C$6,$C$5)),""),"")</f>
        <v/>
      </c>
      <c r="I4343" s="139">
        <f>IFERROR(IF(AND(ISNUMBER(F4343),ISNUMBER(H4343)),F4343-H4343,""),"")</f>
        <v/>
      </c>
      <c r="J4343" s="114" t="n"/>
      <c r="K4343" s="139">
        <f>IFERROR(IF(H4343&gt;0,H4343*$C$7,""),"")</f>
        <v/>
      </c>
      <c r="L4343" s="139">
        <f>IFERROR(IF(ISNUMBER(F4343),F4343-IF(ISNUMBER(K4343),K4343,0),""),"")</f>
        <v/>
      </c>
    </row>
    <row r="4344" ht="24" customHeight="1" s="63">
      <c r="E4344" s="139" t="n"/>
      <c r="F4344" s="139" t="n"/>
      <c r="G4344" s="140">
        <f>IFERROR(IF(E4344&gt;0,(F4344/E4344)*1000,""),"")</f>
        <v/>
      </c>
      <c r="H4344" s="139">
        <f>IFERROR(IF(E4344&gt;0,E4344*IF(ISNUMBER(J4344),J4344,IF(C4344="Futures",$C$6,$C$5)),""),"")</f>
        <v/>
      </c>
      <c r="I4344" s="139">
        <f>IFERROR(IF(AND(ISNUMBER(F4344),ISNUMBER(H4344)),F4344-H4344,""),"")</f>
        <v/>
      </c>
      <c r="J4344" s="114" t="n"/>
      <c r="K4344" s="139">
        <f>IFERROR(IF(H4344&gt;0,H4344*$C$7,""),"")</f>
        <v/>
      </c>
      <c r="L4344" s="139">
        <f>IFERROR(IF(ISNUMBER(F4344),F4344-IF(ISNUMBER(K4344),K4344,0),""),"")</f>
        <v/>
      </c>
    </row>
    <row r="4345" ht="24" customHeight="1" s="63">
      <c r="E4345" s="139" t="n"/>
      <c r="F4345" s="139" t="n"/>
      <c r="G4345" s="140">
        <f>IFERROR(IF(E4345&gt;0,(F4345/E4345)*1000,""),"")</f>
        <v/>
      </c>
      <c r="H4345" s="139">
        <f>IFERROR(IF(E4345&gt;0,E4345*IF(ISNUMBER(J4345),J4345,IF(C4345="Futures",$C$6,$C$5)),""),"")</f>
        <v/>
      </c>
      <c r="I4345" s="139">
        <f>IFERROR(IF(AND(ISNUMBER(F4345),ISNUMBER(H4345)),F4345-H4345,""),"")</f>
        <v/>
      </c>
      <c r="J4345" s="114" t="n"/>
      <c r="K4345" s="139">
        <f>IFERROR(IF(H4345&gt;0,H4345*$C$7,""),"")</f>
        <v/>
      </c>
      <c r="L4345" s="139">
        <f>IFERROR(IF(ISNUMBER(F4345),F4345-IF(ISNUMBER(K4345),K4345,0),""),"")</f>
        <v/>
      </c>
    </row>
    <row r="4346" ht="24" customHeight="1" s="63">
      <c r="E4346" s="139" t="n"/>
      <c r="F4346" s="139" t="n"/>
      <c r="G4346" s="140">
        <f>IFERROR(IF(E4346&gt;0,(F4346/E4346)*1000,""),"")</f>
        <v/>
      </c>
      <c r="H4346" s="139">
        <f>IFERROR(IF(E4346&gt;0,E4346*IF(ISNUMBER(J4346),J4346,IF(C4346="Futures",$C$6,$C$5)),""),"")</f>
        <v/>
      </c>
      <c r="I4346" s="139">
        <f>IFERROR(IF(AND(ISNUMBER(F4346),ISNUMBER(H4346)),F4346-H4346,""),"")</f>
        <v/>
      </c>
      <c r="J4346" s="114" t="n"/>
      <c r="K4346" s="139">
        <f>IFERROR(IF(H4346&gt;0,H4346*$C$7,""),"")</f>
        <v/>
      </c>
      <c r="L4346" s="139">
        <f>IFERROR(IF(ISNUMBER(F4346),F4346-IF(ISNUMBER(K4346),K4346,0),""),"")</f>
        <v/>
      </c>
    </row>
    <row r="4347" ht="24" customHeight="1" s="63">
      <c r="E4347" s="139" t="n"/>
      <c r="F4347" s="139" t="n"/>
      <c r="G4347" s="140">
        <f>IFERROR(IF(E4347&gt;0,(F4347/E4347)*1000,""),"")</f>
        <v/>
      </c>
      <c r="H4347" s="139">
        <f>IFERROR(IF(E4347&gt;0,E4347*IF(ISNUMBER(J4347),J4347,IF(C4347="Futures",$C$6,$C$5)),""),"")</f>
        <v/>
      </c>
      <c r="I4347" s="139">
        <f>IFERROR(IF(AND(ISNUMBER(F4347),ISNUMBER(H4347)),F4347-H4347,""),"")</f>
        <v/>
      </c>
      <c r="J4347" s="114" t="n"/>
      <c r="K4347" s="139">
        <f>IFERROR(IF(H4347&gt;0,H4347*$C$7,""),"")</f>
        <v/>
      </c>
      <c r="L4347" s="139">
        <f>IFERROR(IF(ISNUMBER(F4347),F4347-IF(ISNUMBER(K4347),K4347,0),""),"")</f>
        <v/>
      </c>
    </row>
    <row r="4348" ht="24" customHeight="1" s="63">
      <c r="E4348" s="139" t="n"/>
      <c r="F4348" s="139" t="n"/>
      <c r="G4348" s="140">
        <f>IFERROR(IF(E4348&gt;0,(F4348/E4348)*1000,""),"")</f>
        <v/>
      </c>
      <c r="H4348" s="139">
        <f>IFERROR(IF(E4348&gt;0,E4348*IF(ISNUMBER(J4348),J4348,IF(C4348="Futures",$C$6,$C$5)),""),"")</f>
        <v/>
      </c>
      <c r="I4348" s="139">
        <f>IFERROR(IF(AND(ISNUMBER(F4348),ISNUMBER(H4348)),F4348-H4348,""),"")</f>
        <v/>
      </c>
      <c r="J4348" s="114" t="n"/>
      <c r="K4348" s="139">
        <f>IFERROR(IF(H4348&gt;0,H4348*$C$7,""),"")</f>
        <v/>
      </c>
      <c r="L4348" s="139">
        <f>IFERROR(IF(ISNUMBER(F4348),F4348-IF(ISNUMBER(K4348),K4348,0),""),"")</f>
        <v/>
      </c>
    </row>
    <row r="4349" ht="24" customHeight="1" s="63">
      <c r="E4349" s="139" t="n"/>
      <c r="F4349" s="139" t="n"/>
      <c r="G4349" s="140">
        <f>IFERROR(IF(E4349&gt;0,(F4349/E4349)*1000,""),"")</f>
        <v/>
      </c>
      <c r="H4349" s="139">
        <f>IFERROR(IF(E4349&gt;0,E4349*IF(ISNUMBER(J4349),J4349,IF(C4349="Futures",$C$6,$C$5)),""),"")</f>
        <v/>
      </c>
      <c r="I4349" s="139">
        <f>IFERROR(IF(AND(ISNUMBER(F4349),ISNUMBER(H4349)),F4349-H4349,""),"")</f>
        <v/>
      </c>
      <c r="J4349" s="114" t="n"/>
      <c r="K4349" s="139">
        <f>IFERROR(IF(H4349&gt;0,H4349*$C$7,""),"")</f>
        <v/>
      </c>
      <c r="L4349" s="139">
        <f>IFERROR(IF(ISNUMBER(F4349),F4349-IF(ISNUMBER(K4349),K4349,0),""),"")</f>
        <v/>
      </c>
    </row>
    <row r="4350" ht="24" customHeight="1" s="63">
      <c r="E4350" s="139" t="n"/>
      <c r="F4350" s="139" t="n"/>
      <c r="G4350" s="140">
        <f>IFERROR(IF(E4350&gt;0,(F4350/E4350)*1000,""),"")</f>
        <v/>
      </c>
      <c r="H4350" s="139">
        <f>IFERROR(IF(E4350&gt;0,E4350*IF(ISNUMBER(J4350),J4350,IF(C4350="Futures",$C$6,$C$5)),""),"")</f>
        <v/>
      </c>
      <c r="I4350" s="139">
        <f>IFERROR(IF(AND(ISNUMBER(F4350),ISNUMBER(H4350)),F4350-H4350,""),"")</f>
        <v/>
      </c>
      <c r="J4350" s="114" t="n"/>
      <c r="K4350" s="139">
        <f>IFERROR(IF(H4350&gt;0,H4350*$C$7,""),"")</f>
        <v/>
      </c>
      <c r="L4350" s="139">
        <f>IFERROR(IF(ISNUMBER(F4350),F4350-IF(ISNUMBER(K4350),K4350,0),""),"")</f>
        <v/>
      </c>
    </row>
    <row r="4351" ht="24" customHeight="1" s="63">
      <c r="E4351" s="139" t="n"/>
      <c r="F4351" s="139" t="n"/>
      <c r="G4351" s="140">
        <f>IFERROR(IF(E4351&gt;0,(F4351/E4351)*1000,""),"")</f>
        <v/>
      </c>
      <c r="H4351" s="139">
        <f>IFERROR(IF(E4351&gt;0,E4351*IF(ISNUMBER(J4351),J4351,IF(C4351="Futures",$C$6,$C$5)),""),"")</f>
        <v/>
      </c>
      <c r="I4351" s="139">
        <f>IFERROR(IF(AND(ISNUMBER(F4351),ISNUMBER(H4351)),F4351-H4351,""),"")</f>
        <v/>
      </c>
      <c r="J4351" s="114" t="n"/>
      <c r="K4351" s="139">
        <f>IFERROR(IF(H4351&gt;0,H4351*$C$7,""),"")</f>
        <v/>
      </c>
      <c r="L4351" s="139">
        <f>IFERROR(IF(ISNUMBER(F4351),F4351-IF(ISNUMBER(K4351),K4351,0),""),"")</f>
        <v/>
      </c>
    </row>
    <row r="4352" ht="24" customHeight="1" s="63">
      <c r="E4352" s="139" t="n"/>
      <c r="F4352" s="139" t="n"/>
      <c r="G4352" s="140">
        <f>IFERROR(IF(E4352&gt;0,(F4352/E4352)*1000,""),"")</f>
        <v/>
      </c>
      <c r="H4352" s="139">
        <f>IFERROR(IF(E4352&gt;0,E4352*IF(ISNUMBER(J4352),J4352,IF(C4352="Futures",$C$6,$C$5)),""),"")</f>
        <v/>
      </c>
      <c r="I4352" s="139">
        <f>IFERROR(IF(AND(ISNUMBER(F4352),ISNUMBER(H4352)),F4352-H4352,""),"")</f>
        <v/>
      </c>
      <c r="J4352" s="114" t="n"/>
      <c r="K4352" s="139">
        <f>IFERROR(IF(H4352&gt;0,H4352*$C$7,""),"")</f>
        <v/>
      </c>
      <c r="L4352" s="139">
        <f>IFERROR(IF(ISNUMBER(F4352),F4352-IF(ISNUMBER(K4352),K4352,0),""),"")</f>
        <v/>
      </c>
    </row>
    <row r="4353" ht="24" customHeight="1" s="63">
      <c r="E4353" s="139" t="n"/>
      <c r="F4353" s="139" t="n"/>
      <c r="G4353" s="140">
        <f>IFERROR(IF(E4353&gt;0,(F4353/E4353)*1000,""),"")</f>
        <v/>
      </c>
      <c r="H4353" s="139">
        <f>IFERROR(IF(E4353&gt;0,E4353*IF(ISNUMBER(J4353),J4353,IF(C4353="Futures",$C$6,$C$5)),""),"")</f>
        <v/>
      </c>
      <c r="I4353" s="139">
        <f>IFERROR(IF(AND(ISNUMBER(F4353),ISNUMBER(H4353)),F4353-H4353,""),"")</f>
        <v/>
      </c>
      <c r="J4353" s="114" t="n"/>
      <c r="K4353" s="139">
        <f>IFERROR(IF(H4353&gt;0,H4353*$C$7,""),"")</f>
        <v/>
      </c>
      <c r="L4353" s="139">
        <f>IFERROR(IF(ISNUMBER(F4353),F4353-IF(ISNUMBER(K4353),K4353,0),""),"")</f>
        <v/>
      </c>
    </row>
    <row r="4354" ht="24" customHeight="1" s="63">
      <c r="E4354" s="139" t="n"/>
      <c r="F4354" s="139" t="n"/>
      <c r="G4354" s="140">
        <f>IFERROR(IF(E4354&gt;0,(F4354/E4354)*1000,""),"")</f>
        <v/>
      </c>
      <c r="H4354" s="139">
        <f>IFERROR(IF(E4354&gt;0,E4354*IF(ISNUMBER(J4354),J4354,IF(C4354="Futures",$C$6,$C$5)),""),"")</f>
        <v/>
      </c>
      <c r="I4354" s="139">
        <f>IFERROR(IF(AND(ISNUMBER(F4354),ISNUMBER(H4354)),F4354-H4354,""),"")</f>
        <v/>
      </c>
      <c r="J4354" s="114" t="n"/>
      <c r="K4354" s="139">
        <f>IFERROR(IF(H4354&gt;0,H4354*$C$7,""),"")</f>
        <v/>
      </c>
      <c r="L4354" s="139">
        <f>IFERROR(IF(ISNUMBER(F4354),F4354-IF(ISNUMBER(K4354),K4354,0),""),"")</f>
        <v/>
      </c>
    </row>
    <row r="4355" ht="24" customHeight="1" s="63">
      <c r="E4355" s="139" t="n"/>
      <c r="F4355" s="139" t="n"/>
      <c r="G4355" s="140">
        <f>IFERROR(IF(E4355&gt;0,(F4355/E4355)*1000,""),"")</f>
        <v/>
      </c>
      <c r="H4355" s="139">
        <f>IFERROR(IF(E4355&gt;0,E4355*IF(ISNUMBER(J4355),J4355,IF(C4355="Futures",$C$6,$C$5)),""),"")</f>
        <v/>
      </c>
      <c r="I4355" s="139">
        <f>IFERROR(IF(AND(ISNUMBER(F4355),ISNUMBER(H4355)),F4355-H4355,""),"")</f>
        <v/>
      </c>
      <c r="J4355" s="114" t="n"/>
      <c r="K4355" s="139">
        <f>IFERROR(IF(H4355&gt;0,H4355*$C$7,""),"")</f>
        <v/>
      </c>
      <c r="L4355" s="139">
        <f>IFERROR(IF(ISNUMBER(F4355),F4355-IF(ISNUMBER(K4355),K4355,0),""),"")</f>
        <v/>
      </c>
    </row>
    <row r="4356" ht="24" customHeight="1" s="63">
      <c r="E4356" s="139" t="n"/>
      <c r="F4356" s="139" t="n"/>
      <c r="G4356" s="140">
        <f>IFERROR(IF(E4356&gt;0,(F4356/E4356)*1000,""),"")</f>
        <v/>
      </c>
      <c r="H4356" s="139">
        <f>IFERROR(IF(E4356&gt;0,E4356*IF(ISNUMBER(J4356),J4356,IF(C4356="Futures",$C$6,$C$5)),""),"")</f>
        <v/>
      </c>
      <c r="I4356" s="139">
        <f>IFERROR(IF(AND(ISNUMBER(F4356),ISNUMBER(H4356)),F4356-H4356,""),"")</f>
        <v/>
      </c>
      <c r="J4356" s="114" t="n"/>
      <c r="K4356" s="139">
        <f>IFERROR(IF(H4356&gt;0,H4356*$C$7,""),"")</f>
        <v/>
      </c>
      <c r="L4356" s="139">
        <f>IFERROR(IF(ISNUMBER(F4356),F4356-IF(ISNUMBER(K4356),K4356,0),""),"")</f>
        <v/>
      </c>
    </row>
    <row r="4357" ht="24" customHeight="1" s="63">
      <c r="E4357" s="139" t="n"/>
      <c r="F4357" s="139" t="n"/>
      <c r="G4357" s="140">
        <f>IFERROR(IF(E4357&gt;0,(F4357/E4357)*1000,""),"")</f>
        <v/>
      </c>
      <c r="H4357" s="139">
        <f>IFERROR(IF(E4357&gt;0,E4357*IF(ISNUMBER(J4357),J4357,IF(C4357="Futures",$C$6,$C$5)),""),"")</f>
        <v/>
      </c>
      <c r="I4357" s="139">
        <f>IFERROR(IF(AND(ISNUMBER(F4357),ISNUMBER(H4357)),F4357-H4357,""),"")</f>
        <v/>
      </c>
      <c r="J4357" s="114" t="n"/>
      <c r="K4357" s="139">
        <f>IFERROR(IF(H4357&gt;0,H4357*$C$7,""),"")</f>
        <v/>
      </c>
      <c r="L4357" s="139">
        <f>IFERROR(IF(ISNUMBER(F4357),F4357-IF(ISNUMBER(K4357),K4357,0),""),"")</f>
        <v/>
      </c>
    </row>
    <row r="4358" ht="24" customHeight="1" s="63">
      <c r="E4358" s="139" t="n"/>
      <c r="F4358" s="139" t="n"/>
      <c r="G4358" s="140">
        <f>IFERROR(IF(E4358&gt;0,(F4358/E4358)*1000,""),"")</f>
        <v/>
      </c>
      <c r="H4358" s="139">
        <f>IFERROR(IF(E4358&gt;0,E4358*IF(ISNUMBER(J4358),J4358,IF(C4358="Futures",$C$6,$C$5)),""),"")</f>
        <v/>
      </c>
      <c r="I4358" s="139">
        <f>IFERROR(IF(AND(ISNUMBER(F4358),ISNUMBER(H4358)),F4358-H4358,""),"")</f>
        <v/>
      </c>
      <c r="J4358" s="114" t="n"/>
      <c r="K4358" s="139">
        <f>IFERROR(IF(H4358&gt;0,H4358*$C$7,""),"")</f>
        <v/>
      </c>
      <c r="L4358" s="139">
        <f>IFERROR(IF(ISNUMBER(F4358),F4358-IF(ISNUMBER(K4358),K4358,0),""),"")</f>
        <v/>
      </c>
    </row>
    <row r="4359" ht="24" customHeight="1" s="63">
      <c r="E4359" s="139" t="n"/>
      <c r="F4359" s="139" t="n"/>
      <c r="G4359" s="140">
        <f>IFERROR(IF(E4359&gt;0,(F4359/E4359)*1000,""),"")</f>
        <v/>
      </c>
      <c r="H4359" s="139">
        <f>IFERROR(IF(E4359&gt;0,E4359*IF(ISNUMBER(J4359),J4359,IF(C4359="Futures",$C$6,$C$5)),""),"")</f>
        <v/>
      </c>
      <c r="I4359" s="139">
        <f>IFERROR(IF(AND(ISNUMBER(F4359),ISNUMBER(H4359)),F4359-H4359,""),"")</f>
        <v/>
      </c>
      <c r="J4359" s="114" t="n"/>
      <c r="K4359" s="139">
        <f>IFERROR(IF(H4359&gt;0,H4359*$C$7,""),"")</f>
        <v/>
      </c>
      <c r="L4359" s="139">
        <f>IFERROR(IF(ISNUMBER(F4359),F4359-IF(ISNUMBER(K4359),K4359,0),""),"")</f>
        <v/>
      </c>
    </row>
    <row r="4360" ht="24" customHeight="1" s="63">
      <c r="E4360" s="139" t="n"/>
      <c r="F4360" s="139" t="n"/>
      <c r="G4360" s="140">
        <f>IFERROR(IF(E4360&gt;0,(F4360/E4360)*1000,""),"")</f>
        <v/>
      </c>
      <c r="H4360" s="139">
        <f>IFERROR(IF(E4360&gt;0,E4360*IF(ISNUMBER(J4360),J4360,IF(C4360="Futures",$C$6,$C$5)),""),"")</f>
        <v/>
      </c>
      <c r="I4360" s="139">
        <f>IFERROR(IF(AND(ISNUMBER(F4360),ISNUMBER(H4360)),F4360-H4360,""),"")</f>
        <v/>
      </c>
      <c r="J4360" s="114" t="n"/>
      <c r="K4360" s="139">
        <f>IFERROR(IF(H4360&gt;0,H4360*$C$7,""),"")</f>
        <v/>
      </c>
      <c r="L4360" s="139">
        <f>IFERROR(IF(ISNUMBER(F4360),F4360-IF(ISNUMBER(K4360),K4360,0),""),"")</f>
        <v/>
      </c>
    </row>
    <row r="4361" ht="24" customHeight="1" s="63">
      <c r="E4361" s="139" t="n"/>
      <c r="F4361" s="139" t="n"/>
      <c r="G4361" s="140">
        <f>IFERROR(IF(E4361&gt;0,(F4361/E4361)*1000,""),"")</f>
        <v/>
      </c>
      <c r="H4361" s="139">
        <f>IFERROR(IF(E4361&gt;0,E4361*IF(ISNUMBER(J4361),J4361,IF(C4361="Futures",$C$6,$C$5)),""),"")</f>
        <v/>
      </c>
      <c r="I4361" s="139">
        <f>IFERROR(IF(AND(ISNUMBER(F4361),ISNUMBER(H4361)),F4361-H4361,""),"")</f>
        <v/>
      </c>
      <c r="J4361" s="114" t="n"/>
      <c r="K4361" s="139">
        <f>IFERROR(IF(H4361&gt;0,H4361*$C$7,""),"")</f>
        <v/>
      </c>
      <c r="L4361" s="139">
        <f>IFERROR(IF(ISNUMBER(F4361),F4361-IF(ISNUMBER(K4361),K4361,0),""),"")</f>
        <v/>
      </c>
    </row>
    <row r="4362" ht="24" customHeight="1" s="63">
      <c r="E4362" s="139" t="n"/>
      <c r="F4362" s="139" t="n"/>
      <c r="G4362" s="140">
        <f>IFERROR(IF(E4362&gt;0,(F4362/E4362)*1000,""),"")</f>
        <v/>
      </c>
      <c r="H4362" s="139">
        <f>IFERROR(IF(E4362&gt;0,E4362*IF(ISNUMBER(J4362),J4362,IF(C4362="Futures",$C$6,$C$5)),""),"")</f>
        <v/>
      </c>
      <c r="I4362" s="139">
        <f>IFERROR(IF(AND(ISNUMBER(F4362),ISNUMBER(H4362)),F4362-H4362,""),"")</f>
        <v/>
      </c>
      <c r="J4362" s="114" t="n"/>
      <c r="K4362" s="139">
        <f>IFERROR(IF(H4362&gt;0,H4362*$C$7,""),"")</f>
        <v/>
      </c>
      <c r="L4362" s="139">
        <f>IFERROR(IF(ISNUMBER(F4362),F4362-IF(ISNUMBER(K4362),K4362,0),""),"")</f>
        <v/>
      </c>
    </row>
    <row r="4363" ht="24" customHeight="1" s="63">
      <c r="E4363" s="139" t="n"/>
      <c r="F4363" s="139" t="n"/>
      <c r="G4363" s="140">
        <f>IFERROR(IF(E4363&gt;0,(F4363/E4363)*1000,""),"")</f>
        <v/>
      </c>
      <c r="H4363" s="139">
        <f>IFERROR(IF(E4363&gt;0,E4363*IF(ISNUMBER(J4363),J4363,IF(C4363="Futures",$C$6,$C$5)),""),"")</f>
        <v/>
      </c>
      <c r="I4363" s="139">
        <f>IFERROR(IF(AND(ISNUMBER(F4363),ISNUMBER(H4363)),F4363-H4363,""),"")</f>
        <v/>
      </c>
      <c r="J4363" s="114" t="n"/>
      <c r="K4363" s="139">
        <f>IFERROR(IF(H4363&gt;0,H4363*$C$7,""),"")</f>
        <v/>
      </c>
      <c r="L4363" s="139">
        <f>IFERROR(IF(ISNUMBER(F4363),F4363-IF(ISNUMBER(K4363),K4363,0),""),"")</f>
        <v/>
      </c>
    </row>
    <row r="4364" ht="24" customHeight="1" s="63">
      <c r="E4364" s="139" t="n"/>
      <c r="F4364" s="139" t="n"/>
      <c r="G4364" s="140">
        <f>IFERROR(IF(E4364&gt;0,(F4364/E4364)*1000,""),"")</f>
        <v/>
      </c>
      <c r="H4364" s="139">
        <f>IFERROR(IF(E4364&gt;0,E4364*IF(ISNUMBER(J4364),J4364,IF(C4364="Futures",$C$6,$C$5)),""),"")</f>
        <v/>
      </c>
      <c r="I4364" s="139">
        <f>IFERROR(IF(AND(ISNUMBER(F4364),ISNUMBER(H4364)),F4364-H4364,""),"")</f>
        <v/>
      </c>
      <c r="J4364" s="114" t="n"/>
      <c r="K4364" s="139">
        <f>IFERROR(IF(H4364&gt;0,H4364*$C$7,""),"")</f>
        <v/>
      </c>
      <c r="L4364" s="139">
        <f>IFERROR(IF(ISNUMBER(F4364),F4364-IF(ISNUMBER(K4364),K4364,0),""),"")</f>
        <v/>
      </c>
    </row>
    <row r="4365" ht="24" customHeight="1" s="63">
      <c r="E4365" s="139" t="n"/>
      <c r="F4365" s="139" t="n"/>
      <c r="G4365" s="140">
        <f>IFERROR(IF(E4365&gt;0,(F4365/E4365)*1000,""),"")</f>
        <v/>
      </c>
      <c r="H4365" s="139">
        <f>IFERROR(IF(E4365&gt;0,E4365*IF(ISNUMBER(J4365),J4365,IF(C4365="Futures",$C$6,$C$5)),""),"")</f>
        <v/>
      </c>
      <c r="I4365" s="139">
        <f>IFERROR(IF(AND(ISNUMBER(F4365),ISNUMBER(H4365)),F4365-H4365,""),"")</f>
        <v/>
      </c>
      <c r="J4365" s="114" t="n"/>
      <c r="K4365" s="139">
        <f>IFERROR(IF(H4365&gt;0,H4365*$C$7,""),"")</f>
        <v/>
      </c>
      <c r="L4365" s="139">
        <f>IFERROR(IF(ISNUMBER(F4365),F4365-IF(ISNUMBER(K4365),K4365,0),""),"")</f>
        <v/>
      </c>
    </row>
    <row r="4366" ht="24" customHeight="1" s="63">
      <c r="E4366" s="139" t="n"/>
      <c r="F4366" s="139" t="n"/>
      <c r="G4366" s="140">
        <f>IFERROR(IF(E4366&gt;0,(F4366/E4366)*1000,""),"")</f>
        <v/>
      </c>
      <c r="H4366" s="139">
        <f>IFERROR(IF(E4366&gt;0,E4366*IF(ISNUMBER(J4366),J4366,IF(C4366="Futures",$C$6,$C$5)),""),"")</f>
        <v/>
      </c>
      <c r="I4366" s="139">
        <f>IFERROR(IF(AND(ISNUMBER(F4366),ISNUMBER(H4366)),F4366-H4366,""),"")</f>
        <v/>
      </c>
      <c r="J4366" s="114" t="n"/>
      <c r="K4366" s="139">
        <f>IFERROR(IF(H4366&gt;0,H4366*$C$7,""),"")</f>
        <v/>
      </c>
      <c r="L4366" s="139">
        <f>IFERROR(IF(ISNUMBER(F4366),F4366-IF(ISNUMBER(K4366),K4366,0),""),"")</f>
        <v/>
      </c>
    </row>
    <row r="4367" ht="24" customHeight="1" s="63">
      <c r="E4367" s="139" t="n"/>
      <c r="F4367" s="139" t="n"/>
      <c r="G4367" s="140">
        <f>IFERROR(IF(E4367&gt;0,(F4367/E4367)*1000,""),"")</f>
        <v/>
      </c>
      <c r="H4367" s="139">
        <f>IFERROR(IF(E4367&gt;0,E4367*IF(ISNUMBER(J4367),J4367,IF(C4367="Futures",$C$6,$C$5)),""),"")</f>
        <v/>
      </c>
      <c r="I4367" s="139">
        <f>IFERROR(IF(AND(ISNUMBER(F4367),ISNUMBER(H4367)),F4367-H4367,""),"")</f>
        <v/>
      </c>
      <c r="J4367" s="114" t="n"/>
      <c r="K4367" s="139">
        <f>IFERROR(IF(H4367&gt;0,H4367*$C$7,""),"")</f>
        <v/>
      </c>
      <c r="L4367" s="139">
        <f>IFERROR(IF(ISNUMBER(F4367),F4367-IF(ISNUMBER(K4367),K4367,0),""),"")</f>
        <v/>
      </c>
    </row>
    <row r="4368" ht="24" customHeight="1" s="63">
      <c r="E4368" s="139" t="n"/>
      <c r="F4368" s="139" t="n"/>
      <c r="G4368" s="140">
        <f>IFERROR(IF(E4368&gt;0,(F4368/E4368)*1000,""),"")</f>
        <v/>
      </c>
      <c r="H4368" s="139">
        <f>IFERROR(IF(E4368&gt;0,E4368*IF(ISNUMBER(J4368),J4368,IF(C4368="Futures",$C$6,$C$5)),""),"")</f>
        <v/>
      </c>
      <c r="I4368" s="139">
        <f>IFERROR(IF(AND(ISNUMBER(F4368),ISNUMBER(H4368)),F4368-H4368,""),"")</f>
        <v/>
      </c>
      <c r="J4368" s="114" t="n"/>
      <c r="K4368" s="139">
        <f>IFERROR(IF(H4368&gt;0,H4368*$C$7,""),"")</f>
        <v/>
      </c>
      <c r="L4368" s="139">
        <f>IFERROR(IF(ISNUMBER(F4368),F4368-IF(ISNUMBER(K4368),K4368,0),""),"")</f>
        <v/>
      </c>
    </row>
    <row r="4369" ht="24" customHeight="1" s="63">
      <c r="E4369" s="139" t="n"/>
      <c r="F4369" s="139" t="n"/>
      <c r="G4369" s="140">
        <f>IFERROR(IF(E4369&gt;0,(F4369/E4369)*1000,""),"")</f>
        <v/>
      </c>
      <c r="H4369" s="139">
        <f>IFERROR(IF(E4369&gt;0,E4369*IF(ISNUMBER(J4369),J4369,IF(C4369="Futures",$C$6,$C$5)),""),"")</f>
        <v/>
      </c>
      <c r="I4369" s="139">
        <f>IFERROR(IF(AND(ISNUMBER(F4369),ISNUMBER(H4369)),F4369-H4369,""),"")</f>
        <v/>
      </c>
      <c r="J4369" s="114" t="n"/>
      <c r="K4369" s="139">
        <f>IFERROR(IF(H4369&gt;0,H4369*$C$7,""),"")</f>
        <v/>
      </c>
      <c r="L4369" s="139">
        <f>IFERROR(IF(ISNUMBER(F4369),F4369-IF(ISNUMBER(K4369),K4369,0),""),"")</f>
        <v/>
      </c>
    </row>
    <row r="4370" ht="24" customHeight="1" s="63">
      <c r="E4370" s="139" t="n"/>
      <c r="F4370" s="139" t="n"/>
      <c r="G4370" s="140">
        <f>IFERROR(IF(E4370&gt;0,(F4370/E4370)*1000,""),"")</f>
        <v/>
      </c>
      <c r="H4370" s="139">
        <f>IFERROR(IF(E4370&gt;0,E4370*IF(ISNUMBER(J4370),J4370,IF(C4370="Futures",$C$6,$C$5)),""),"")</f>
        <v/>
      </c>
      <c r="I4370" s="139">
        <f>IFERROR(IF(AND(ISNUMBER(F4370),ISNUMBER(H4370)),F4370-H4370,""),"")</f>
        <v/>
      </c>
      <c r="J4370" s="114" t="n"/>
      <c r="K4370" s="139">
        <f>IFERROR(IF(H4370&gt;0,H4370*$C$7,""),"")</f>
        <v/>
      </c>
      <c r="L4370" s="139">
        <f>IFERROR(IF(ISNUMBER(F4370),F4370-IF(ISNUMBER(K4370),K4370,0),""),"")</f>
        <v/>
      </c>
    </row>
    <row r="4371" ht="24" customHeight="1" s="63">
      <c r="E4371" s="139" t="n"/>
      <c r="F4371" s="139" t="n"/>
      <c r="G4371" s="140">
        <f>IFERROR(IF(E4371&gt;0,(F4371/E4371)*1000,""),"")</f>
        <v/>
      </c>
      <c r="H4371" s="139">
        <f>IFERROR(IF(E4371&gt;0,E4371*IF(ISNUMBER(J4371),J4371,IF(C4371="Futures",$C$6,$C$5)),""),"")</f>
        <v/>
      </c>
      <c r="I4371" s="139">
        <f>IFERROR(IF(AND(ISNUMBER(F4371),ISNUMBER(H4371)),F4371-H4371,""),"")</f>
        <v/>
      </c>
      <c r="J4371" s="114" t="n"/>
      <c r="K4371" s="139">
        <f>IFERROR(IF(H4371&gt;0,H4371*$C$7,""),"")</f>
        <v/>
      </c>
      <c r="L4371" s="139">
        <f>IFERROR(IF(ISNUMBER(F4371),F4371-IF(ISNUMBER(K4371),K4371,0),""),"")</f>
        <v/>
      </c>
    </row>
    <row r="4372" ht="24" customHeight="1" s="63">
      <c r="E4372" s="139" t="n"/>
      <c r="F4372" s="139" t="n"/>
      <c r="G4372" s="140">
        <f>IFERROR(IF(E4372&gt;0,(F4372/E4372)*1000,""),"")</f>
        <v/>
      </c>
      <c r="H4372" s="139">
        <f>IFERROR(IF(E4372&gt;0,E4372*IF(ISNUMBER(J4372),J4372,IF(C4372="Futures",$C$6,$C$5)),""),"")</f>
        <v/>
      </c>
      <c r="I4372" s="139">
        <f>IFERROR(IF(AND(ISNUMBER(F4372),ISNUMBER(H4372)),F4372-H4372,""),"")</f>
        <v/>
      </c>
      <c r="J4372" s="114" t="n"/>
      <c r="K4372" s="139">
        <f>IFERROR(IF(H4372&gt;0,H4372*$C$7,""),"")</f>
        <v/>
      </c>
      <c r="L4372" s="139">
        <f>IFERROR(IF(ISNUMBER(F4372),F4372-IF(ISNUMBER(K4372),K4372,0),""),"")</f>
        <v/>
      </c>
    </row>
    <row r="4373" ht="24" customHeight="1" s="63">
      <c r="E4373" s="139" t="n"/>
      <c r="F4373" s="139" t="n"/>
      <c r="G4373" s="140">
        <f>IFERROR(IF(E4373&gt;0,(F4373/E4373)*1000,""),"")</f>
        <v/>
      </c>
      <c r="H4373" s="139">
        <f>IFERROR(IF(E4373&gt;0,E4373*IF(ISNUMBER(J4373),J4373,IF(C4373="Futures",$C$6,$C$5)),""),"")</f>
        <v/>
      </c>
      <c r="I4373" s="139">
        <f>IFERROR(IF(AND(ISNUMBER(F4373),ISNUMBER(H4373)),F4373-H4373,""),"")</f>
        <v/>
      </c>
      <c r="J4373" s="114" t="n"/>
      <c r="K4373" s="139">
        <f>IFERROR(IF(H4373&gt;0,H4373*$C$7,""),"")</f>
        <v/>
      </c>
      <c r="L4373" s="139">
        <f>IFERROR(IF(ISNUMBER(F4373),F4373-IF(ISNUMBER(K4373),K4373,0),""),"")</f>
        <v/>
      </c>
    </row>
    <row r="4374" ht="24" customHeight="1" s="63">
      <c r="E4374" s="139" t="n"/>
      <c r="F4374" s="139" t="n"/>
      <c r="G4374" s="140">
        <f>IFERROR(IF(E4374&gt;0,(F4374/E4374)*1000,""),"")</f>
        <v/>
      </c>
      <c r="H4374" s="139">
        <f>IFERROR(IF(E4374&gt;0,E4374*IF(ISNUMBER(J4374),J4374,IF(C4374="Futures",$C$6,$C$5)),""),"")</f>
        <v/>
      </c>
      <c r="I4374" s="139">
        <f>IFERROR(IF(AND(ISNUMBER(F4374),ISNUMBER(H4374)),F4374-H4374,""),"")</f>
        <v/>
      </c>
      <c r="J4374" s="114" t="n"/>
      <c r="K4374" s="139">
        <f>IFERROR(IF(H4374&gt;0,H4374*$C$7,""),"")</f>
        <v/>
      </c>
      <c r="L4374" s="139">
        <f>IFERROR(IF(ISNUMBER(F4374),F4374-IF(ISNUMBER(K4374),K4374,0),""),"")</f>
        <v/>
      </c>
    </row>
    <row r="4375" ht="24" customHeight="1" s="63">
      <c r="E4375" s="139" t="n"/>
      <c r="F4375" s="139" t="n"/>
      <c r="G4375" s="140">
        <f>IFERROR(IF(E4375&gt;0,(F4375/E4375)*1000,""),"")</f>
        <v/>
      </c>
      <c r="H4375" s="139">
        <f>IFERROR(IF(E4375&gt;0,E4375*IF(ISNUMBER(J4375),J4375,IF(C4375="Futures",$C$6,$C$5)),""),"")</f>
        <v/>
      </c>
      <c r="I4375" s="139">
        <f>IFERROR(IF(AND(ISNUMBER(F4375),ISNUMBER(H4375)),F4375-H4375,""),"")</f>
        <v/>
      </c>
      <c r="J4375" s="114" t="n"/>
      <c r="K4375" s="139">
        <f>IFERROR(IF(H4375&gt;0,H4375*$C$7,""),"")</f>
        <v/>
      </c>
      <c r="L4375" s="139">
        <f>IFERROR(IF(ISNUMBER(F4375),F4375-IF(ISNUMBER(K4375),K4375,0),""),"")</f>
        <v/>
      </c>
    </row>
    <row r="4376" ht="24" customHeight="1" s="63">
      <c r="E4376" s="139" t="n"/>
      <c r="F4376" s="139" t="n"/>
      <c r="G4376" s="140">
        <f>IFERROR(IF(E4376&gt;0,(F4376/E4376)*1000,""),"")</f>
        <v/>
      </c>
      <c r="H4376" s="139">
        <f>IFERROR(IF(E4376&gt;0,E4376*IF(ISNUMBER(J4376),J4376,IF(C4376="Futures",$C$6,$C$5)),""),"")</f>
        <v/>
      </c>
      <c r="I4376" s="139">
        <f>IFERROR(IF(AND(ISNUMBER(F4376),ISNUMBER(H4376)),F4376-H4376,""),"")</f>
        <v/>
      </c>
      <c r="J4376" s="114" t="n"/>
      <c r="K4376" s="139">
        <f>IFERROR(IF(H4376&gt;0,H4376*$C$7,""),"")</f>
        <v/>
      </c>
      <c r="L4376" s="139">
        <f>IFERROR(IF(ISNUMBER(F4376),F4376-IF(ISNUMBER(K4376),K4376,0),""),"")</f>
        <v/>
      </c>
    </row>
    <row r="4377" ht="24" customHeight="1" s="63">
      <c r="E4377" s="139" t="n"/>
      <c r="F4377" s="139" t="n"/>
      <c r="G4377" s="140">
        <f>IFERROR(IF(E4377&gt;0,(F4377/E4377)*1000,""),"")</f>
        <v/>
      </c>
      <c r="H4377" s="139">
        <f>IFERROR(IF(E4377&gt;0,E4377*IF(ISNUMBER(J4377),J4377,IF(C4377="Futures",$C$6,$C$5)),""),"")</f>
        <v/>
      </c>
      <c r="I4377" s="139">
        <f>IFERROR(IF(AND(ISNUMBER(F4377),ISNUMBER(H4377)),F4377-H4377,""),"")</f>
        <v/>
      </c>
      <c r="J4377" s="114" t="n"/>
      <c r="K4377" s="139">
        <f>IFERROR(IF(H4377&gt;0,H4377*$C$7,""),"")</f>
        <v/>
      </c>
      <c r="L4377" s="139">
        <f>IFERROR(IF(ISNUMBER(F4377),F4377-IF(ISNUMBER(K4377),K4377,0),""),"")</f>
        <v/>
      </c>
    </row>
    <row r="4378" ht="24" customHeight="1" s="63">
      <c r="E4378" s="139" t="n"/>
      <c r="F4378" s="139" t="n"/>
      <c r="G4378" s="140">
        <f>IFERROR(IF(E4378&gt;0,(F4378/E4378)*1000,""),"")</f>
        <v/>
      </c>
      <c r="H4378" s="139">
        <f>IFERROR(IF(E4378&gt;0,E4378*IF(ISNUMBER(J4378),J4378,IF(C4378="Futures",$C$6,$C$5)),""),"")</f>
        <v/>
      </c>
      <c r="I4378" s="139">
        <f>IFERROR(IF(AND(ISNUMBER(F4378),ISNUMBER(H4378)),F4378-H4378,""),"")</f>
        <v/>
      </c>
      <c r="J4378" s="114" t="n"/>
      <c r="K4378" s="139">
        <f>IFERROR(IF(H4378&gt;0,H4378*$C$7,""),"")</f>
        <v/>
      </c>
      <c r="L4378" s="139">
        <f>IFERROR(IF(ISNUMBER(F4378),F4378-IF(ISNUMBER(K4378),K4378,0),""),"")</f>
        <v/>
      </c>
    </row>
    <row r="4379" ht="24" customHeight="1" s="63">
      <c r="E4379" s="139" t="n"/>
      <c r="F4379" s="139" t="n"/>
      <c r="G4379" s="140">
        <f>IFERROR(IF(E4379&gt;0,(F4379/E4379)*1000,""),"")</f>
        <v/>
      </c>
      <c r="H4379" s="139">
        <f>IFERROR(IF(E4379&gt;0,E4379*IF(ISNUMBER(J4379),J4379,IF(C4379="Futures",$C$6,$C$5)),""),"")</f>
        <v/>
      </c>
      <c r="I4379" s="139">
        <f>IFERROR(IF(AND(ISNUMBER(F4379),ISNUMBER(H4379)),F4379-H4379,""),"")</f>
        <v/>
      </c>
      <c r="J4379" s="114" t="n"/>
      <c r="K4379" s="139">
        <f>IFERROR(IF(H4379&gt;0,H4379*$C$7,""),"")</f>
        <v/>
      </c>
      <c r="L4379" s="139">
        <f>IFERROR(IF(ISNUMBER(F4379),F4379-IF(ISNUMBER(K4379),K4379,0),""),"")</f>
        <v/>
      </c>
    </row>
    <row r="4380" ht="24" customHeight="1" s="63">
      <c r="E4380" s="139" t="n"/>
      <c r="F4380" s="139" t="n"/>
      <c r="G4380" s="140">
        <f>IFERROR(IF(E4380&gt;0,(F4380/E4380)*1000,""),"")</f>
        <v/>
      </c>
      <c r="H4380" s="139">
        <f>IFERROR(IF(E4380&gt;0,E4380*IF(ISNUMBER(J4380),J4380,IF(C4380="Futures",$C$6,$C$5)),""),"")</f>
        <v/>
      </c>
      <c r="I4380" s="139">
        <f>IFERROR(IF(AND(ISNUMBER(F4380),ISNUMBER(H4380)),F4380-H4380,""),"")</f>
        <v/>
      </c>
      <c r="J4380" s="114" t="n"/>
      <c r="K4380" s="139">
        <f>IFERROR(IF(H4380&gt;0,H4380*$C$7,""),"")</f>
        <v/>
      </c>
      <c r="L4380" s="139">
        <f>IFERROR(IF(ISNUMBER(F4380),F4380-IF(ISNUMBER(K4380),K4380,0),""),"")</f>
        <v/>
      </c>
    </row>
    <row r="4381" ht="24" customHeight="1" s="63">
      <c r="E4381" s="139" t="n"/>
      <c r="F4381" s="139" t="n"/>
      <c r="G4381" s="140">
        <f>IFERROR(IF(E4381&gt;0,(F4381/E4381)*1000,""),"")</f>
        <v/>
      </c>
      <c r="H4381" s="139">
        <f>IFERROR(IF(E4381&gt;0,E4381*IF(ISNUMBER(J4381),J4381,IF(C4381="Futures",$C$6,$C$5)),""),"")</f>
        <v/>
      </c>
      <c r="I4381" s="139">
        <f>IFERROR(IF(AND(ISNUMBER(F4381),ISNUMBER(H4381)),F4381-H4381,""),"")</f>
        <v/>
      </c>
      <c r="J4381" s="114" t="n"/>
      <c r="K4381" s="139">
        <f>IFERROR(IF(H4381&gt;0,H4381*$C$7,""),"")</f>
        <v/>
      </c>
      <c r="L4381" s="139">
        <f>IFERROR(IF(ISNUMBER(F4381),F4381-IF(ISNUMBER(K4381),K4381,0),""),"")</f>
        <v/>
      </c>
    </row>
    <row r="4382" ht="24" customHeight="1" s="63">
      <c r="E4382" s="139" t="n"/>
      <c r="F4382" s="139" t="n"/>
      <c r="G4382" s="140">
        <f>IFERROR(IF(E4382&gt;0,(F4382/E4382)*1000,""),"")</f>
        <v/>
      </c>
      <c r="H4382" s="139">
        <f>IFERROR(IF(E4382&gt;0,E4382*IF(ISNUMBER(J4382),J4382,IF(C4382="Futures",$C$6,$C$5)),""),"")</f>
        <v/>
      </c>
      <c r="I4382" s="139">
        <f>IFERROR(IF(AND(ISNUMBER(F4382),ISNUMBER(H4382)),F4382-H4382,""),"")</f>
        <v/>
      </c>
      <c r="J4382" s="114" t="n"/>
      <c r="K4382" s="139">
        <f>IFERROR(IF(H4382&gt;0,H4382*$C$7,""),"")</f>
        <v/>
      </c>
      <c r="L4382" s="139">
        <f>IFERROR(IF(ISNUMBER(F4382),F4382-IF(ISNUMBER(K4382),K4382,0),""),"")</f>
        <v/>
      </c>
    </row>
    <row r="4383" ht="24" customHeight="1" s="63">
      <c r="E4383" s="139" t="n"/>
      <c r="F4383" s="139" t="n"/>
      <c r="G4383" s="140">
        <f>IFERROR(IF(E4383&gt;0,(F4383/E4383)*1000,""),"")</f>
        <v/>
      </c>
      <c r="H4383" s="139">
        <f>IFERROR(IF(E4383&gt;0,E4383*IF(ISNUMBER(J4383),J4383,IF(C4383="Futures",$C$6,$C$5)),""),"")</f>
        <v/>
      </c>
      <c r="I4383" s="139">
        <f>IFERROR(IF(AND(ISNUMBER(F4383),ISNUMBER(H4383)),F4383-H4383,""),"")</f>
        <v/>
      </c>
      <c r="J4383" s="114" t="n"/>
      <c r="K4383" s="139">
        <f>IFERROR(IF(H4383&gt;0,H4383*$C$7,""),"")</f>
        <v/>
      </c>
      <c r="L4383" s="139">
        <f>IFERROR(IF(ISNUMBER(F4383),F4383-IF(ISNUMBER(K4383),K4383,0),""),"")</f>
        <v/>
      </c>
    </row>
    <row r="4384" ht="24" customHeight="1" s="63">
      <c r="E4384" s="139" t="n"/>
      <c r="F4384" s="139" t="n"/>
      <c r="G4384" s="140">
        <f>IFERROR(IF(E4384&gt;0,(F4384/E4384)*1000,""),"")</f>
        <v/>
      </c>
      <c r="H4384" s="139">
        <f>IFERROR(IF(E4384&gt;0,E4384*IF(ISNUMBER(J4384),J4384,IF(C4384="Futures",$C$6,$C$5)),""),"")</f>
        <v/>
      </c>
      <c r="I4384" s="139">
        <f>IFERROR(IF(AND(ISNUMBER(F4384),ISNUMBER(H4384)),F4384-H4384,""),"")</f>
        <v/>
      </c>
      <c r="J4384" s="114" t="n"/>
      <c r="K4384" s="139">
        <f>IFERROR(IF(H4384&gt;0,H4384*$C$7,""),"")</f>
        <v/>
      </c>
      <c r="L4384" s="139">
        <f>IFERROR(IF(ISNUMBER(F4384),F4384-IF(ISNUMBER(K4384),K4384,0),""),"")</f>
        <v/>
      </c>
    </row>
    <row r="4385" ht="24" customHeight="1" s="63">
      <c r="E4385" s="139" t="n"/>
      <c r="F4385" s="139" t="n"/>
      <c r="G4385" s="140">
        <f>IFERROR(IF(E4385&gt;0,(F4385/E4385)*1000,""),"")</f>
        <v/>
      </c>
      <c r="H4385" s="139">
        <f>IFERROR(IF(E4385&gt;0,E4385*IF(ISNUMBER(J4385),J4385,IF(C4385="Futures",$C$6,$C$5)),""),"")</f>
        <v/>
      </c>
      <c r="I4385" s="139">
        <f>IFERROR(IF(AND(ISNUMBER(F4385),ISNUMBER(H4385)),F4385-H4385,""),"")</f>
        <v/>
      </c>
      <c r="J4385" s="114" t="n"/>
      <c r="K4385" s="139">
        <f>IFERROR(IF(H4385&gt;0,H4385*$C$7,""),"")</f>
        <v/>
      </c>
      <c r="L4385" s="139">
        <f>IFERROR(IF(ISNUMBER(F4385),F4385-IF(ISNUMBER(K4385),K4385,0),""),"")</f>
        <v/>
      </c>
    </row>
    <row r="4386" ht="24" customHeight="1" s="63">
      <c r="E4386" s="139" t="n"/>
      <c r="F4386" s="139" t="n"/>
      <c r="G4386" s="140">
        <f>IFERROR(IF(E4386&gt;0,(F4386/E4386)*1000,""),"")</f>
        <v/>
      </c>
      <c r="H4386" s="139">
        <f>IFERROR(IF(E4386&gt;0,E4386*IF(ISNUMBER(J4386),J4386,IF(C4386="Futures",$C$6,$C$5)),""),"")</f>
        <v/>
      </c>
      <c r="I4386" s="139">
        <f>IFERROR(IF(AND(ISNUMBER(F4386),ISNUMBER(H4386)),F4386-H4386,""),"")</f>
        <v/>
      </c>
      <c r="J4386" s="114" t="n"/>
      <c r="K4386" s="139">
        <f>IFERROR(IF(H4386&gt;0,H4386*$C$7,""),"")</f>
        <v/>
      </c>
      <c r="L4386" s="139">
        <f>IFERROR(IF(ISNUMBER(F4386),F4386-IF(ISNUMBER(K4386),K4386,0),""),"")</f>
        <v/>
      </c>
    </row>
    <row r="4387" ht="24" customHeight="1" s="63">
      <c r="E4387" s="139" t="n"/>
      <c r="F4387" s="139" t="n"/>
      <c r="G4387" s="140">
        <f>IFERROR(IF(E4387&gt;0,(F4387/E4387)*1000,""),"")</f>
        <v/>
      </c>
      <c r="H4387" s="139">
        <f>IFERROR(IF(E4387&gt;0,E4387*IF(ISNUMBER(J4387),J4387,IF(C4387="Futures",$C$6,$C$5)),""),"")</f>
        <v/>
      </c>
      <c r="I4387" s="139">
        <f>IFERROR(IF(AND(ISNUMBER(F4387),ISNUMBER(H4387)),F4387-H4387,""),"")</f>
        <v/>
      </c>
      <c r="J4387" s="114" t="n"/>
      <c r="K4387" s="139">
        <f>IFERROR(IF(H4387&gt;0,H4387*$C$7,""),"")</f>
        <v/>
      </c>
      <c r="L4387" s="139">
        <f>IFERROR(IF(ISNUMBER(F4387),F4387-IF(ISNUMBER(K4387),K4387,0),""),"")</f>
        <v/>
      </c>
    </row>
    <row r="4388" ht="24" customHeight="1" s="63">
      <c r="E4388" s="139" t="n"/>
      <c r="F4388" s="139" t="n"/>
      <c r="G4388" s="140">
        <f>IFERROR(IF(E4388&gt;0,(F4388/E4388)*1000,""),"")</f>
        <v/>
      </c>
      <c r="H4388" s="139">
        <f>IFERROR(IF(E4388&gt;0,E4388*IF(ISNUMBER(J4388),J4388,IF(C4388="Futures",$C$6,$C$5)),""),"")</f>
        <v/>
      </c>
      <c r="I4388" s="139">
        <f>IFERROR(IF(AND(ISNUMBER(F4388),ISNUMBER(H4388)),F4388-H4388,""),"")</f>
        <v/>
      </c>
      <c r="J4388" s="114" t="n"/>
      <c r="K4388" s="139">
        <f>IFERROR(IF(H4388&gt;0,H4388*$C$7,""),"")</f>
        <v/>
      </c>
      <c r="L4388" s="139">
        <f>IFERROR(IF(ISNUMBER(F4388),F4388-IF(ISNUMBER(K4388),K4388,0),""),"")</f>
        <v/>
      </c>
    </row>
    <row r="4389" ht="24" customHeight="1" s="63">
      <c r="E4389" s="139" t="n"/>
      <c r="F4389" s="139" t="n"/>
      <c r="G4389" s="140">
        <f>IFERROR(IF(E4389&gt;0,(F4389/E4389)*1000,""),"")</f>
        <v/>
      </c>
      <c r="H4389" s="139">
        <f>IFERROR(IF(E4389&gt;0,E4389*IF(ISNUMBER(J4389),J4389,IF(C4389="Futures",$C$6,$C$5)),""),"")</f>
        <v/>
      </c>
      <c r="I4389" s="139">
        <f>IFERROR(IF(AND(ISNUMBER(F4389),ISNUMBER(H4389)),F4389-H4389,""),"")</f>
        <v/>
      </c>
      <c r="J4389" s="114" t="n"/>
      <c r="K4389" s="139">
        <f>IFERROR(IF(H4389&gt;0,H4389*$C$7,""),"")</f>
        <v/>
      </c>
      <c r="L4389" s="139">
        <f>IFERROR(IF(ISNUMBER(F4389),F4389-IF(ISNUMBER(K4389),K4389,0),""),"")</f>
        <v/>
      </c>
    </row>
    <row r="4390" ht="24" customHeight="1" s="63">
      <c r="E4390" s="139" t="n"/>
      <c r="F4390" s="139" t="n"/>
      <c r="G4390" s="140">
        <f>IFERROR(IF(E4390&gt;0,(F4390/E4390)*1000,""),"")</f>
        <v/>
      </c>
      <c r="H4390" s="139">
        <f>IFERROR(IF(E4390&gt;0,E4390*IF(ISNUMBER(J4390),J4390,IF(C4390="Futures",$C$6,$C$5)),""),"")</f>
        <v/>
      </c>
      <c r="I4390" s="139">
        <f>IFERROR(IF(AND(ISNUMBER(F4390),ISNUMBER(H4390)),F4390-H4390,""),"")</f>
        <v/>
      </c>
      <c r="J4390" s="114" t="n"/>
      <c r="K4390" s="139">
        <f>IFERROR(IF(H4390&gt;0,H4390*$C$7,""),"")</f>
        <v/>
      </c>
      <c r="L4390" s="139">
        <f>IFERROR(IF(ISNUMBER(F4390),F4390-IF(ISNUMBER(K4390),K4390,0),""),"")</f>
        <v/>
      </c>
    </row>
    <row r="4391" ht="24" customHeight="1" s="63">
      <c r="E4391" s="139" t="n"/>
      <c r="F4391" s="139" t="n"/>
      <c r="G4391" s="140">
        <f>IFERROR(IF(E4391&gt;0,(F4391/E4391)*1000,""),"")</f>
        <v/>
      </c>
      <c r="H4391" s="139">
        <f>IFERROR(IF(E4391&gt;0,E4391*IF(ISNUMBER(J4391),J4391,IF(C4391="Futures",$C$6,$C$5)),""),"")</f>
        <v/>
      </c>
      <c r="I4391" s="139">
        <f>IFERROR(IF(AND(ISNUMBER(F4391),ISNUMBER(H4391)),F4391-H4391,""),"")</f>
        <v/>
      </c>
      <c r="J4391" s="114" t="n"/>
      <c r="K4391" s="139">
        <f>IFERROR(IF(H4391&gt;0,H4391*$C$7,""),"")</f>
        <v/>
      </c>
      <c r="L4391" s="139">
        <f>IFERROR(IF(ISNUMBER(F4391),F4391-IF(ISNUMBER(K4391),K4391,0),""),"")</f>
        <v/>
      </c>
    </row>
    <row r="4392" ht="24" customHeight="1" s="63">
      <c r="E4392" s="139" t="n"/>
      <c r="F4392" s="139" t="n"/>
      <c r="G4392" s="140">
        <f>IFERROR(IF(E4392&gt;0,(F4392/E4392)*1000,""),"")</f>
        <v/>
      </c>
      <c r="H4392" s="139">
        <f>IFERROR(IF(E4392&gt;0,E4392*IF(ISNUMBER(J4392),J4392,IF(C4392="Futures",$C$6,$C$5)),""),"")</f>
        <v/>
      </c>
      <c r="I4392" s="139">
        <f>IFERROR(IF(AND(ISNUMBER(F4392),ISNUMBER(H4392)),F4392-H4392,""),"")</f>
        <v/>
      </c>
      <c r="J4392" s="114" t="n"/>
      <c r="K4392" s="139">
        <f>IFERROR(IF(H4392&gt;0,H4392*$C$7,""),"")</f>
        <v/>
      </c>
      <c r="L4392" s="139">
        <f>IFERROR(IF(ISNUMBER(F4392),F4392-IF(ISNUMBER(K4392),K4392,0),""),"")</f>
        <v/>
      </c>
    </row>
    <row r="4393" ht="24" customHeight="1" s="63">
      <c r="E4393" s="139" t="n"/>
      <c r="F4393" s="139" t="n"/>
      <c r="G4393" s="140">
        <f>IFERROR(IF(E4393&gt;0,(F4393/E4393)*1000,""),"")</f>
        <v/>
      </c>
      <c r="H4393" s="139">
        <f>IFERROR(IF(E4393&gt;0,E4393*IF(ISNUMBER(J4393),J4393,IF(C4393="Futures",$C$6,$C$5)),""),"")</f>
        <v/>
      </c>
      <c r="I4393" s="139">
        <f>IFERROR(IF(AND(ISNUMBER(F4393),ISNUMBER(H4393)),F4393-H4393,""),"")</f>
        <v/>
      </c>
      <c r="J4393" s="114" t="n"/>
      <c r="K4393" s="139">
        <f>IFERROR(IF(H4393&gt;0,H4393*$C$7,""),"")</f>
        <v/>
      </c>
      <c r="L4393" s="139">
        <f>IFERROR(IF(ISNUMBER(F4393),F4393-IF(ISNUMBER(K4393),K4393,0),""),"")</f>
        <v/>
      </c>
    </row>
    <row r="4394" ht="24" customHeight="1" s="63">
      <c r="E4394" s="139" t="n"/>
      <c r="F4394" s="139" t="n"/>
      <c r="G4394" s="140">
        <f>IFERROR(IF(E4394&gt;0,(F4394/E4394)*1000,""),"")</f>
        <v/>
      </c>
      <c r="H4394" s="139">
        <f>IFERROR(IF(E4394&gt;0,E4394*IF(ISNUMBER(J4394),J4394,IF(C4394="Futures",$C$6,$C$5)),""),"")</f>
        <v/>
      </c>
      <c r="I4394" s="139">
        <f>IFERROR(IF(AND(ISNUMBER(F4394),ISNUMBER(H4394)),F4394-H4394,""),"")</f>
        <v/>
      </c>
      <c r="J4394" s="114" t="n"/>
      <c r="K4394" s="139">
        <f>IFERROR(IF(H4394&gt;0,H4394*$C$7,""),"")</f>
        <v/>
      </c>
      <c r="L4394" s="139">
        <f>IFERROR(IF(ISNUMBER(F4394),F4394-IF(ISNUMBER(K4394),K4394,0),""),"")</f>
        <v/>
      </c>
    </row>
    <row r="4395" ht="24" customHeight="1" s="63">
      <c r="E4395" s="139" t="n"/>
      <c r="F4395" s="139" t="n"/>
      <c r="G4395" s="140">
        <f>IFERROR(IF(E4395&gt;0,(F4395/E4395)*1000,""),"")</f>
        <v/>
      </c>
      <c r="H4395" s="139">
        <f>IFERROR(IF(E4395&gt;0,E4395*IF(ISNUMBER(J4395),J4395,IF(C4395="Futures",$C$6,$C$5)),""),"")</f>
        <v/>
      </c>
      <c r="I4395" s="139">
        <f>IFERROR(IF(AND(ISNUMBER(F4395),ISNUMBER(H4395)),F4395-H4395,""),"")</f>
        <v/>
      </c>
      <c r="J4395" s="114" t="n"/>
      <c r="K4395" s="139">
        <f>IFERROR(IF(H4395&gt;0,H4395*$C$7,""),"")</f>
        <v/>
      </c>
      <c r="L4395" s="139">
        <f>IFERROR(IF(ISNUMBER(F4395),F4395-IF(ISNUMBER(K4395),K4395,0),""),"")</f>
        <v/>
      </c>
    </row>
    <row r="4396" ht="24" customHeight="1" s="63">
      <c r="E4396" s="139" t="n"/>
      <c r="F4396" s="139" t="n"/>
      <c r="G4396" s="140">
        <f>IFERROR(IF(E4396&gt;0,(F4396/E4396)*1000,""),"")</f>
        <v/>
      </c>
      <c r="H4396" s="139">
        <f>IFERROR(IF(E4396&gt;0,E4396*IF(ISNUMBER(J4396),J4396,IF(C4396="Futures",$C$6,$C$5)),""),"")</f>
        <v/>
      </c>
      <c r="I4396" s="139">
        <f>IFERROR(IF(AND(ISNUMBER(F4396),ISNUMBER(H4396)),F4396-H4396,""),"")</f>
        <v/>
      </c>
      <c r="J4396" s="114" t="n"/>
      <c r="K4396" s="139">
        <f>IFERROR(IF(H4396&gt;0,H4396*$C$7,""),"")</f>
        <v/>
      </c>
      <c r="L4396" s="139">
        <f>IFERROR(IF(ISNUMBER(F4396),F4396-IF(ISNUMBER(K4396),K4396,0),""),"")</f>
        <v/>
      </c>
    </row>
    <row r="4397" ht="24" customHeight="1" s="63">
      <c r="E4397" s="139" t="n"/>
      <c r="F4397" s="139" t="n"/>
      <c r="G4397" s="140">
        <f>IFERROR(IF(E4397&gt;0,(F4397/E4397)*1000,""),"")</f>
        <v/>
      </c>
      <c r="H4397" s="139">
        <f>IFERROR(IF(E4397&gt;0,E4397*IF(ISNUMBER(J4397),J4397,IF(C4397="Futures",$C$6,$C$5)),""),"")</f>
        <v/>
      </c>
      <c r="I4397" s="139">
        <f>IFERROR(IF(AND(ISNUMBER(F4397),ISNUMBER(H4397)),F4397-H4397,""),"")</f>
        <v/>
      </c>
      <c r="J4397" s="114" t="n"/>
      <c r="K4397" s="139">
        <f>IFERROR(IF(H4397&gt;0,H4397*$C$7,""),"")</f>
        <v/>
      </c>
      <c r="L4397" s="139">
        <f>IFERROR(IF(ISNUMBER(F4397),F4397-IF(ISNUMBER(K4397),K4397,0),""),"")</f>
        <v/>
      </c>
    </row>
    <row r="4398" ht="24" customHeight="1" s="63">
      <c r="E4398" s="139" t="n"/>
      <c r="F4398" s="139" t="n"/>
      <c r="G4398" s="140">
        <f>IFERROR(IF(E4398&gt;0,(F4398/E4398)*1000,""),"")</f>
        <v/>
      </c>
      <c r="H4398" s="139">
        <f>IFERROR(IF(E4398&gt;0,E4398*IF(ISNUMBER(J4398),J4398,IF(C4398="Futures",$C$6,$C$5)),""),"")</f>
        <v/>
      </c>
      <c r="I4398" s="139">
        <f>IFERROR(IF(AND(ISNUMBER(F4398),ISNUMBER(H4398)),F4398-H4398,""),"")</f>
        <v/>
      </c>
      <c r="J4398" s="114" t="n"/>
      <c r="K4398" s="139">
        <f>IFERROR(IF(H4398&gt;0,H4398*$C$7,""),"")</f>
        <v/>
      </c>
      <c r="L4398" s="139">
        <f>IFERROR(IF(ISNUMBER(F4398),F4398-IF(ISNUMBER(K4398),K4398,0),""),"")</f>
        <v/>
      </c>
    </row>
    <row r="4399" ht="24" customHeight="1" s="63">
      <c r="E4399" s="139" t="n"/>
      <c r="F4399" s="139" t="n"/>
      <c r="G4399" s="140">
        <f>IFERROR(IF(E4399&gt;0,(F4399/E4399)*1000,""),"")</f>
        <v/>
      </c>
      <c r="H4399" s="139">
        <f>IFERROR(IF(E4399&gt;0,E4399*IF(ISNUMBER(J4399),J4399,IF(C4399="Futures",$C$6,$C$5)),""),"")</f>
        <v/>
      </c>
      <c r="I4399" s="139">
        <f>IFERROR(IF(AND(ISNUMBER(F4399),ISNUMBER(H4399)),F4399-H4399,""),"")</f>
        <v/>
      </c>
      <c r="J4399" s="114" t="n"/>
      <c r="K4399" s="139">
        <f>IFERROR(IF(H4399&gt;0,H4399*$C$7,""),"")</f>
        <v/>
      </c>
      <c r="L4399" s="139">
        <f>IFERROR(IF(ISNUMBER(F4399),F4399-IF(ISNUMBER(K4399),K4399,0),""),"")</f>
        <v/>
      </c>
    </row>
    <row r="4400" ht="24" customHeight="1" s="63">
      <c r="E4400" s="139" t="n"/>
      <c r="F4400" s="139" t="n"/>
      <c r="G4400" s="140">
        <f>IFERROR(IF(E4400&gt;0,(F4400/E4400)*1000,""),"")</f>
        <v/>
      </c>
      <c r="H4400" s="139">
        <f>IFERROR(IF(E4400&gt;0,E4400*IF(ISNUMBER(J4400),J4400,IF(C4400="Futures",$C$6,$C$5)),""),"")</f>
        <v/>
      </c>
      <c r="I4400" s="139">
        <f>IFERROR(IF(AND(ISNUMBER(F4400),ISNUMBER(H4400)),F4400-H4400,""),"")</f>
        <v/>
      </c>
      <c r="J4400" s="114" t="n"/>
      <c r="K4400" s="139">
        <f>IFERROR(IF(H4400&gt;0,H4400*$C$7,""),"")</f>
        <v/>
      </c>
      <c r="L4400" s="139">
        <f>IFERROR(IF(ISNUMBER(F4400),F4400-IF(ISNUMBER(K4400),K4400,0),""),"")</f>
        <v/>
      </c>
    </row>
    <row r="4401" ht="24" customHeight="1" s="63">
      <c r="E4401" s="139" t="n"/>
      <c r="F4401" s="139" t="n"/>
      <c r="G4401" s="140">
        <f>IFERROR(IF(E4401&gt;0,(F4401/E4401)*1000,""),"")</f>
        <v/>
      </c>
      <c r="H4401" s="139">
        <f>IFERROR(IF(E4401&gt;0,E4401*IF(ISNUMBER(J4401),J4401,IF(C4401="Futures",$C$6,$C$5)),""),"")</f>
        <v/>
      </c>
      <c r="I4401" s="139">
        <f>IFERROR(IF(AND(ISNUMBER(F4401),ISNUMBER(H4401)),F4401-H4401,""),"")</f>
        <v/>
      </c>
      <c r="J4401" s="114" t="n"/>
      <c r="K4401" s="139">
        <f>IFERROR(IF(H4401&gt;0,H4401*$C$7,""),"")</f>
        <v/>
      </c>
      <c r="L4401" s="139">
        <f>IFERROR(IF(ISNUMBER(F4401),F4401-IF(ISNUMBER(K4401),K4401,0),""),"")</f>
        <v/>
      </c>
    </row>
    <row r="4402" ht="24" customHeight="1" s="63">
      <c r="E4402" s="139" t="n"/>
      <c r="F4402" s="139" t="n"/>
      <c r="G4402" s="140">
        <f>IFERROR(IF(E4402&gt;0,(F4402/E4402)*1000,""),"")</f>
        <v/>
      </c>
      <c r="H4402" s="139">
        <f>IFERROR(IF(E4402&gt;0,E4402*IF(ISNUMBER(J4402),J4402,IF(C4402="Futures",$C$6,$C$5)),""),"")</f>
        <v/>
      </c>
      <c r="I4402" s="139">
        <f>IFERROR(IF(AND(ISNUMBER(F4402),ISNUMBER(H4402)),F4402-H4402,""),"")</f>
        <v/>
      </c>
      <c r="J4402" s="114" t="n"/>
      <c r="K4402" s="139">
        <f>IFERROR(IF(H4402&gt;0,H4402*$C$7,""),"")</f>
        <v/>
      </c>
      <c r="L4402" s="139">
        <f>IFERROR(IF(ISNUMBER(F4402),F4402-IF(ISNUMBER(K4402),K4402,0),""),"")</f>
        <v/>
      </c>
    </row>
    <row r="4403" ht="24" customHeight="1" s="63">
      <c r="E4403" s="139" t="n"/>
      <c r="F4403" s="139" t="n"/>
      <c r="G4403" s="140">
        <f>IFERROR(IF(E4403&gt;0,(F4403/E4403)*1000,""),"")</f>
        <v/>
      </c>
      <c r="H4403" s="139">
        <f>IFERROR(IF(E4403&gt;0,E4403*IF(ISNUMBER(J4403),J4403,IF(C4403="Futures",$C$6,$C$5)),""),"")</f>
        <v/>
      </c>
      <c r="I4403" s="139">
        <f>IFERROR(IF(AND(ISNUMBER(F4403),ISNUMBER(H4403)),F4403-H4403,""),"")</f>
        <v/>
      </c>
      <c r="J4403" s="114" t="n"/>
      <c r="K4403" s="139">
        <f>IFERROR(IF(H4403&gt;0,H4403*$C$7,""),"")</f>
        <v/>
      </c>
      <c r="L4403" s="139">
        <f>IFERROR(IF(ISNUMBER(F4403),F4403-IF(ISNUMBER(K4403),K4403,0),""),"")</f>
        <v/>
      </c>
    </row>
    <row r="4404" ht="24" customHeight="1" s="63">
      <c r="E4404" s="139" t="n"/>
      <c r="F4404" s="139" t="n"/>
      <c r="G4404" s="140">
        <f>IFERROR(IF(E4404&gt;0,(F4404/E4404)*1000,""),"")</f>
        <v/>
      </c>
      <c r="H4404" s="139">
        <f>IFERROR(IF(E4404&gt;0,E4404*IF(ISNUMBER(J4404),J4404,IF(C4404="Futures",$C$6,$C$5)),""),"")</f>
        <v/>
      </c>
      <c r="I4404" s="139">
        <f>IFERROR(IF(AND(ISNUMBER(F4404),ISNUMBER(H4404)),F4404-H4404,""),"")</f>
        <v/>
      </c>
      <c r="J4404" s="114" t="n"/>
      <c r="K4404" s="139">
        <f>IFERROR(IF(H4404&gt;0,H4404*$C$7,""),"")</f>
        <v/>
      </c>
      <c r="L4404" s="139">
        <f>IFERROR(IF(ISNUMBER(F4404),F4404-IF(ISNUMBER(K4404),K4404,0),""),"")</f>
        <v/>
      </c>
    </row>
    <row r="4405" ht="24" customHeight="1" s="63">
      <c r="E4405" s="139" t="n"/>
      <c r="F4405" s="139" t="n"/>
      <c r="G4405" s="140">
        <f>IFERROR(IF(E4405&gt;0,(F4405/E4405)*1000,""),"")</f>
        <v/>
      </c>
      <c r="H4405" s="139">
        <f>IFERROR(IF(E4405&gt;0,E4405*IF(ISNUMBER(J4405),J4405,IF(C4405="Futures",$C$6,$C$5)),""),"")</f>
        <v/>
      </c>
      <c r="I4405" s="139">
        <f>IFERROR(IF(AND(ISNUMBER(F4405),ISNUMBER(H4405)),F4405-H4405,""),"")</f>
        <v/>
      </c>
      <c r="J4405" s="114" t="n"/>
      <c r="K4405" s="139">
        <f>IFERROR(IF(H4405&gt;0,H4405*$C$7,""),"")</f>
        <v/>
      </c>
      <c r="L4405" s="139">
        <f>IFERROR(IF(ISNUMBER(F4405),F4405-IF(ISNUMBER(K4405),K4405,0),""),"")</f>
        <v/>
      </c>
    </row>
    <row r="4406" ht="24" customHeight="1" s="63">
      <c r="E4406" s="139" t="n"/>
      <c r="F4406" s="139" t="n"/>
      <c r="G4406" s="140">
        <f>IFERROR(IF(E4406&gt;0,(F4406/E4406)*1000,""),"")</f>
        <v/>
      </c>
      <c r="H4406" s="139">
        <f>IFERROR(IF(E4406&gt;0,E4406*IF(ISNUMBER(J4406),J4406,IF(C4406="Futures",$C$6,$C$5)),""),"")</f>
        <v/>
      </c>
      <c r="I4406" s="139">
        <f>IFERROR(IF(AND(ISNUMBER(F4406),ISNUMBER(H4406)),F4406-H4406,""),"")</f>
        <v/>
      </c>
      <c r="J4406" s="114" t="n"/>
      <c r="K4406" s="139">
        <f>IFERROR(IF(H4406&gt;0,H4406*$C$7,""),"")</f>
        <v/>
      </c>
      <c r="L4406" s="139">
        <f>IFERROR(IF(ISNUMBER(F4406),F4406-IF(ISNUMBER(K4406),K4406,0),""),"")</f>
        <v/>
      </c>
    </row>
    <row r="4407" ht="24" customHeight="1" s="63">
      <c r="E4407" s="139" t="n"/>
      <c r="F4407" s="139" t="n"/>
      <c r="G4407" s="140">
        <f>IFERROR(IF(E4407&gt;0,(F4407/E4407)*1000,""),"")</f>
        <v/>
      </c>
      <c r="H4407" s="139">
        <f>IFERROR(IF(E4407&gt;0,E4407*IF(ISNUMBER(J4407),J4407,IF(C4407="Futures",$C$6,$C$5)),""),"")</f>
        <v/>
      </c>
      <c r="I4407" s="139">
        <f>IFERROR(IF(AND(ISNUMBER(F4407),ISNUMBER(H4407)),F4407-H4407,""),"")</f>
        <v/>
      </c>
      <c r="J4407" s="114" t="n"/>
      <c r="K4407" s="139">
        <f>IFERROR(IF(H4407&gt;0,H4407*$C$7,""),"")</f>
        <v/>
      </c>
      <c r="L4407" s="139">
        <f>IFERROR(IF(ISNUMBER(F4407),F4407-IF(ISNUMBER(K4407),K4407,0),""),"")</f>
        <v/>
      </c>
    </row>
    <row r="4408" ht="24" customHeight="1" s="63">
      <c r="E4408" s="139" t="n"/>
      <c r="F4408" s="139" t="n"/>
      <c r="G4408" s="140">
        <f>IFERROR(IF(E4408&gt;0,(F4408/E4408)*1000,""),"")</f>
        <v/>
      </c>
      <c r="H4408" s="139">
        <f>IFERROR(IF(E4408&gt;0,E4408*IF(ISNUMBER(J4408),J4408,IF(C4408="Futures",$C$6,$C$5)),""),"")</f>
        <v/>
      </c>
      <c r="I4408" s="139">
        <f>IFERROR(IF(AND(ISNUMBER(F4408),ISNUMBER(H4408)),F4408-H4408,""),"")</f>
        <v/>
      </c>
      <c r="J4408" s="114" t="n"/>
      <c r="K4408" s="139">
        <f>IFERROR(IF(H4408&gt;0,H4408*$C$7,""),"")</f>
        <v/>
      </c>
      <c r="L4408" s="139">
        <f>IFERROR(IF(ISNUMBER(F4408),F4408-IF(ISNUMBER(K4408),K4408,0),""),"")</f>
        <v/>
      </c>
    </row>
    <row r="4409" ht="24" customHeight="1" s="63">
      <c r="E4409" s="139" t="n"/>
      <c r="F4409" s="139" t="n"/>
      <c r="G4409" s="140">
        <f>IFERROR(IF(E4409&gt;0,(F4409/E4409)*1000,""),"")</f>
        <v/>
      </c>
      <c r="H4409" s="139">
        <f>IFERROR(IF(E4409&gt;0,E4409*IF(ISNUMBER(J4409),J4409,IF(C4409="Futures",$C$6,$C$5)),""),"")</f>
        <v/>
      </c>
      <c r="I4409" s="139">
        <f>IFERROR(IF(AND(ISNUMBER(F4409),ISNUMBER(H4409)),F4409-H4409,""),"")</f>
        <v/>
      </c>
      <c r="J4409" s="114" t="n"/>
      <c r="K4409" s="139">
        <f>IFERROR(IF(H4409&gt;0,H4409*$C$7,""),"")</f>
        <v/>
      </c>
      <c r="L4409" s="139">
        <f>IFERROR(IF(ISNUMBER(F4409),F4409-IF(ISNUMBER(K4409),K4409,0),""),"")</f>
        <v/>
      </c>
    </row>
    <row r="4410" ht="24" customHeight="1" s="63">
      <c r="E4410" s="139" t="n"/>
      <c r="F4410" s="139" t="n"/>
      <c r="G4410" s="140">
        <f>IFERROR(IF(E4410&gt;0,(F4410/E4410)*1000,""),"")</f>
        <v/>
      </c>
      <c r="H4410" s="139">
        <f>IFERROR(IF(E4410&gt;0,E4410*IF(ISNUMBER(J4410),J4410,IF(C4410="Futures",$C$6,$C$5)),""),"")</f>
        <v/>
      </c>
      <c r="I4410" s="139">
        <f>IFERROR(IF(AND(ISNUMBER(F4410),ISNUMBER(H4410)),F4410-H4410,""),"")</f>
        <v/>
      </c>
      <c r="J4410" s="114" t="n"/>
      <c r="K4410" s="139">
        <f>IFERROR(IF(H4410&gt;0,H4410*$C$7,""),"")</f>
        <v/>
      </c>
      <c r="L4410" s="139">
        <f>IFERROR(IF(ISNUMBER(F4410),F4410-IF(ISNUMBER(K4410),K4410,0),""),"")</f>
        <v/>
      </c>
    </row>
    <row r="4411" ht="24" customHeight="1" s="63">
      <c r="E4411" s="139" t="n"/>
      <c r="F4411" s="139" t="n"/>
      <c r="G4411" s="140">
        <f>IFERROR(IF(E4411&gt;0,(F4411/E4411)*1000,""),"")</f>
        <v/>
      </c>
      <c r="H4411" s="139">
        <f>IFERROR(IF(E4411&gt;0,E4411*IF(ISNUMBER(J4411),J4411,IF(C4411="Futures",$C$6,$C$5)),""),"")</f>
        <v/>
      </c>
      <c r="I4411" s="139">
        <f>IFERROR(IF(AND(ISNUMBER(F4411),ISNUMBER(H4411)),F4411-H4411,""),"")</f>
        <v/>
      </c>
      <c r="J4411" s="114" t="n"/>
      <c r="K4411" s="139">
        <f>IFERROR(IF(H4411&gt;0,H4411*$C$7,""),"")</f>
        <v/>
      </c>
      <c r="L4411" s="139">
        <f>IFERROR(IF(ISNUMBER(F4411),F4411-IF(ISNUMBER(K4411),K4411,0),""),"")</f>
        <v/>
      </c>
    </row>
    <row r="4412" ht="24" customHeight="1" s="63">
      <c r="E4412" s="139" t="n"/>
      <c r="F4412" s="139" t="n"/>
      <c r="G4412" s="140">
        <f>IFERROR(IF(E4412&gt;0,(F4412/E4412)*1000,""),"")</f>
        <v/>
      </c>
      <c r="H4412" s="139">
        <f>IFERROR(IF(E4412&gt;0,E4412*IF(ISNUMBER(J4412),J4412,IF(C4412="Futures",$C$6,$C$5)),""),"")</f>
        <v/>
      </c>
      <c r="I4412" s="139">
        <f>IFERROR(IF(AND(ISNUMBER(F4412),ISNUMBER(H4412)),F4412-H4412,""),"")</f>
        <v/>
      </c>
      <c r="J4412" s="114" t="n"/>
      <c r="K4412" s="139">
        <f>IFERROR(IF(H4412&gt;0,H4412*$C$7,""),"")</f>
        <v/>
      </c>
      <c r="L4412" s="139">
        <f>IFERROR(IF(ISNUMBER(F4412),F4412-IF(ISNUMBER(K4412),K4412,0),""),"")</f>
        <v/>
      </c>
    </row>
    <row r="4413" ht="24" customHeight="1" s="63">
      <c r="E4413" s="139" t="n"/>
      <c r="F4413" s="139" t="n"/>
      <c r="G4413" s="140">
        <f>IFERROR(IF(E4413&gt;0,(F4413/E4413)*1000,""),"")</f>
        <v/>
      </c>
      <c r="H4413" s="139">
        <f>IFERROR(IF(E4413&gt;0,E4413*IF(ISNUMBER(J4413),J4413,IF(C4413="Futures",$C$6,$C$5)),""),"")</f>
        <v/>
      </c>
      <c r="I4413" s="139">
        <f>IFERROR(IF(AND(ISNUMBER(F4413),ISNUMBER(H4413)),F4413-H4413,""),"")</f>
        <v/>
      </c>
      <c r="J4413" s="114" t="n"/>
      <c r="K4413" s="139">
        <f>IFERROR(IF(H4413&gt;0,H4413*$C$7,""),"")</f>
        <v/>
      </c>
      <c r="L4413" s="139">
        <f>IFERROR(IF(ISNUMBER(F4413),F4413-IF(ISNUMBER(K4413),K4413,0),""),"")</f>
        <v/>
      </c>
    </row>
    <row r="4414" ht="24" customHeight="1" s="63">
      <c r="E4414" s="139" t="n"/>
      <c r="F4414" s="139" t="n"/>
      <c r="G4414" s="140">
        <f>IFERROR(IF(E4414&gt;0,(F4414/E4414)*1000,""),"")</f>
        <v/>
      </c>
      <c r="H4414" s="139">
        <f>IFERROR(IF(E4414&gt;0,E4414*IF(ISNUMBER(J4414),J4414,IF(C4414="Futures",$C$6,$C$5)),""),"")</f>
        <v/>
      </c>
      <c r="I4414" s="139">
        <f>IFERROR(IF(AND(ISNUMBER(F4414),ISNUMBER(H4414)),F4414-H4414,""),"")</f>
        <v/>
      </c>
      <c r="J4414" s="114" t="n"/>
      <c r="K4414" s="139">
        <f>IFERROR(IF(H4414&gt;0,H4414*$C$7,""),"")</f>
        <v/>
      </c>
      <c r="L4414" s="139">
        <f>IFERROR(IF(ISNUMBER(F4414),F4414-IF(ISNUMBER(K4414),K4414,0),""),"")</f>
        <v/>
      </c>
    </row>
    <row r="4415" ht="24" customHeight="1" s="63">
      <c r="E4415" s="139" t="n"/>
      <c r="F4415" s="139" t="n"/>
      <c r="G4415" s="140">
        <f>IFERROR(IF(E4415&gt;0,(F4415/E4415)*1000,""),"")</f>
        <v/>
      </c>
      <c r="H4415" s="139">
        <f>IFERROR(IF(E4415&gt;0,E4415*IF(ISNUMBER(J4415),J4415,IF(C4415="Futures",$C$6,$C$5)),""),"")</f>
        <v/>
      </c>
      <c r="I4415" s="139">
        <f>IFERROR(IF(AND(ISNUMBER(F4415),ISNUMBER(H4415)),F4415-H4415,""),"")</f>
        <v/>
      </c>
      <c r="J4415" s="114" t="n"/>
      <c r="K4415" s="139">
        <f>IFERROR(IF(H4415&gt;0,H4415*$C$7,""),"")</f>
        <v/>
      </c>
      <c r="L4415" s="139">
        <f>IFERROR(IF(ISNUMBER(F4415),F4415-IF(ISNUMBER(K4415),K4415,0),""),"")</f>
        <v/>
      </c>
    </row>
    <row r="4416" ht="24" customHeight="1" s="63">
      <c r="E4416" s="139" t="n"/>
      <c r="F4416" s="139" t="n"/>
      <c r="G4416" s="140">
        <f>IFERROR(IF(E4416&gt;0,(F4416/E4416)*1000,""),"")</f>
        <v/>
      </c>
      <c r="H4416" s="139">
        <f>IFERROR(IF(E4416&gt;0,E4416*IF(ISNUMBER(J4416),J4416,IF(C4416="Futures",$C$6,$C$5)),""),"")</f>
        <v/>
      </c>
      <c r="I4416" s="139">
        <f>IFERROR(IF(AND(ISNUMBER(F4416),ISNUMBER(H4416)),F4416-H4416,""),"")</f>
        <v/>
      </c>
      <c r="J4416" s="114" t="n"/>
      <c r="K4416" s="139">
        <f>IFERROR(IF(H4416&gt;0,H4416*$C$7,""),"")</f>
        <v/>
      </c>
      <c r="L4416" s="139">
        <f>IFERROR(IF(ISNUMBER(F4416),F4416-IF(ISNUMBER(K4416),K4416,0),""),"")</f>
        <v/>
      </c>
    </row>
    <row r="4417" ht="24" customHeight="1" s="63">
      <c r="E4417" s="139" t="n"/>
      <c r="F4417" s="139" t="n"/>
      <c r="G4417" s="140">
        <f>IFERROR(IF(E4417&gt;0,(F4417/E4417)*1000,""),"")</f>
        <v/>
      </c>
      <c r="H4417" s="139">
        <f>IFERROR(IF(E4417&gt;0,E4417*IF(ISNUMBER(J4417),J4417,IF(C4417="Futures",$C$6,$C$5)),""),"")</f>
        <v/>
      </c>
      <c r="I4417" s="139">
        <f>IFERROR(IF(AND(ISNUMBER(F4417),ISNUMBER(H4417)),F4417-H4417,""),"")</f>
        <v/>
      </c>
      <c r="J4417" s="114" t="n"/>
      <c r="K4417" s="139">
        <f>IFERROR(IF(H4417&gt;0,H4417*$C$7,""),"")</f>
        <v/>
      </c>
      <c r="L4417" s="139">
        <f>IFERROR(IF(ISNUMBER(F4417),F4417-IF(ISNUMBER(K4417),K4417,0),""),"")</f>
        <v/>
      </c>
    </row>
    <row r="4418" ht="24" customHeight="1" s="63">
      <c r="E4418" s="139" t="n"/>
      <c r="F4418" s="139" t="n"/>
      <c r="G4418" s="140">
        <f>IFERROR(IF(E4418&gt;0,(F4418/E4418)*1000,""),"")</f>
        <v/>
      </c>
      <c r="H4418" s="139">
        <f>IFERROR(IF(E4418&gt;0,E4418*IF(ISNUMBER(J4418),J4418,IF(C4418="Futures",$C$6,$C$5)),""),"")</f>
        <v/>
      </c>
      <c r="I4418" s="139">
        <f>IFERROR(IF(AND(ISNUMBER(F4418),ISNUMBER(H4418)),F4418-H4418,""),"")</f>
        <v/>
      </c>
      <c r="J4418" s="114" t="n"/>
      <c r="K4418" s="139">
        <f>IFERROR(IF(H4418&gt;0,H4418*$C$7,""),"")</f>
        <v/>
      </c>
      <c r="L4418" s="139">
        <f>IFERROR(IF(ISNUMBER(F4418),F4418-IF(ISNUMBER(K4418),K4418,0),""),"")</f>
        <v/>
      </c>
    </row>
    <row r="4419" ht="24" customHeight="1" s="63">
      <c r="E4419" s="139" t="n"/>
      <c r="F4419" s="139" t="n"/>
      <c r="G4419" s="140">
        <f>IFERROR(IF(E4419&gt;0,(F4419/E4419)*1000,""),"")</f>
        <v/>
      </c>
      <c r="H4419" s="139">
        <f>IFERROR(IF(E4419&gt;0,E4419*IF(ISNUMBER(J4419),J4419,IF(C4419="Futures",$C$6,$C$5)),""),"")</f>
        <v/>
      </c>
      <c r="I4419" s="139">
        <f>IFERROR(IF(AND(ISNUMBER(F4419),ISNUMBER(H4419)),F4419-H4419,""),"")</f>
        <v/>
      </c>
      <c r="J4419" s="114" t="n"/>
      <c r="K4419" s="139">
        <f>IFERROR(IF(H4419&gt;0,H4419*$C$7,""),"")</f>
        <v/>
      </c>
      <c r="L4419" s="139">
        <f>IFERROR(IF(ISNUMBER(F4419),F4419-IF(ISNUMBER(K4419),K4419,0),""),"")</f>
        <v/>
      </c>
    </row>
    <row r="4420" ht="24" customHeight="1" s="63">
      <c r="E4420" s="139" t="n"/>
      <c r="F4420" s="139" t="n"/>
      <c r="G4420" s="140">
        <f>IFERROR(IF(E4420&gt;0,(F4420/E4420)*1000,""),"")</f>
        <v/>
      </c>
      <c r="H4420" s="139">
        <f>IFERROR(IF(E4420&gt;0,E4420*IF(ISNUMBER(J4420),J4420,IF(C4420="Futures",$C$6,$C$5)),""),"")</f>
        <v/>
      </c>
      <c r="I4420" s="139">
        <f>IFERROR(IF(AND(ISNUMBER(F4420),ISNUMBER(H4420)),F4420-H4420,""),"")</f>
        <v/>
      </c>
      <c r="J4420" s="114" t="n"/>
      <c r="K4420" s="139">
        <f>IFERROR(IF(H4420&gt;0,H4420*$C$7,""),"")</f>
        <v/>
      </c>
      <c r="L4420" s="139">
        <f>IFERROR(IF(ISNUMBER(F4420),F4420-IF(ISNUMBER(K4420),K4420,0),""),"")</f>
        <v/>
      </c>
    </row>
    <row r="4421" ht="24" customHeight="1" s="63">
      <c r="E4421" s="139" t="n"/>
      <c r="F4421" s="139" t="n"/>
      <c r="G4421" s="140">
        <f>IFERROR(IF(E4421&gt;0,(F4421/E4421)*1000,""),"")</f>
        <v/>
      </c>
      <c r="H4421" s="139">
        <f>IFERROR(IF(E4421&gt;0,E4421*IF(ISNUMBER(J4421),J4421,IF(C4421="Futures",$C$6,$C$5)),""),"")</f>
        <v/>
      </c>
      <c r="I4421" s="139">
        <f>IFERROR(IF(AND(ISNUMBER(F4421),ISNUMBER(H4421)),F4421-H4421,""),"")</f>
        <v/>
      </c>
      <c r="J4421" s="114" t="n"/>
      <c r="K4421" s="139">
        <f>IFERROR(IF(H4421&gt;0,H4421*$C$7,""),"")</f>
        <v/>
      </c>
      <c r="L4421" s="139">
        <f>IFERROR(IF(ISNUMBER(F4421),F4421-IF(ISNUMBER(K4421),K4421,0),""),"")</f>
        <v/>
      </c>
    </row>
    <row r="4422" ht="24" customHeight="1" s="63">
      <c r="E4422" s="139" t="n"/>
      <c r="F4422" s="139" t="n"/>
      <c r="G4422" s="140">
        <f>IFERROR(IF(E4422&gt;0,(F4422/E4422)*1000,""),"")</f>
        <v/>
      </c>
      <c r="H4422" s="139">
        <f>IFERROR(IF(E4422&gt;0,E4422*IF(ISNUMBER(J4422),J4422,IF(C4422="Futures",$C$6,$C$5)),""),"")</f>
        <v/>
      </c>
      <c r="I4422" s="139">
        <f>IFERROR(IF(AND(ISNUMBER(F4422),ISNUMBER(H4422)),F4422-H4422,""),"")</f>
        <v/>
      </c>
      <c r="J4422" s="114" t="n"/>
      <c r="K4422" s="139">
        <f>IFERROR(IF(H4422&gt;0,H4422*$C$7,""),"")</f>
        <v/>
      </c>
      <c r="L4422" s="139">
        <f>IFERROR(IF(ISNUMBER(F4422),F4422-IF(ISNUMBER(K4422),K4422,0),""),"")</f>
        <v/>
      </c>
    </row>
    <row r="4423" ht="24" customHeight="1" s="63">
      <c r="E4423" s="139" t="n"/>
      <c r="F4423" s="139" t="n"/>
      <c r="G4423" s="140">
        <f>IFERROR(IF(E4423&gt;0,(F4423/E4423)*1000,""),"")</f>
        <v/>
      </c>
      <c r="H4423" s="139">
        <f>IFERROR(IF(E4423&gt;0,E4423*IF(ISNUMBER(J4423),J4423,IF(C4423="Futures",$C$6,$C$5)),""),"")</f>
        <v/>
      </c>
      <c r="I4423" s="139">
        <f>IFERROR(IF(AND(ISNUMBER(F4423),ISNUMBER(H4423)),F4423-H4423,""),"")</f>
        <v/>
      </c>
      <c r="J4423" s="114" t="n"/>
      <c r="K4423" s="139">
        <f>IFERROR(IF(H4423&gt;0,H4423*$C$7,""),"")</f>
        <v/>
      </c>
      <c r="L4423" s="139">
        <f>IFERROR(IF(ISNUMBER(F4423),F4423-IF(ISNUMBER(K4423),K4423,0),""),"")</f>
        <v/>
      </c>
    </row>
    <row r="4424" ht="24" customHeight="1" s="63">
      <c r="E4424" s="139" t="n"/>
      <c r="F4424" s="139" t="n"/>
      <c r="G4424" s="140">
        <f>IFERROR(IF(E4424&gt;0,(F4424/E4424)*1000,""),"")</f>
        <v/>
      </c>
      <c r="H4424" s="139">
        <f>IFERROR(IF(E4424&gt;0,E4424*IF(ISNUMBER(J4424),J4424,IF(C4424="Futures",$C$6,$C$5)),""),"")</f>
        <v/>
      </c>
      <c r="I4424" s="139">
        <f>IFERROR(IF(AND(ISNUMBER(F4424),ISNUMBER(H4424)),F4424-H4424,""),"")</f>
        <v/>
      </c>
      <c r="J4424" s="114" t="n"/>
      <c r="K4424" s="139">
        <f>IFERROR(IF(H4424&gt;0,H4424*$C$7,""),"")</f>
        <v/>
      </c>
      <c r="L4424" s="139">
        <f>IFERROR(IF(ISNUMBER(F4424),F4424-IF(ISNUMBER(K4424),K4424,0),""),"")</f>
        <v/>
      </c>
    </row>
    <row r="4425" ht="24" customHeight="1" s="63">
      <c r="E4425" s="139" t="n"/>
      <c r="F4425" s="139" t="n"/>
      <c r="G4425" s="140">
        <f>IFERROR(IF(E4425&gt;0,(F4425/E4425)*1000,""),"")</f>
        <v/>
      </c>
      <c r="H4425" s="139">
        <f>IFERROR(IF(E4425&gt;0,E4425*IF(ISNUMBER(J4425),J4425,IF(C4425="Futures",$C$6,$C$5)),""),"")</f>
        <v/>
      </c>
      <c r="I4425" s="139">
        <f>IFERROR(IF(AND(ISNUMBER(F4425),ISNUMBER(H4425)),F4425-H4425,""),"")</f>
        <v/>
      </c>
      <c r="J4425" s="114" t="n"/>
      <c r="K4425" s="139">
        <f>IFERROR(IF(H4425&gt;0,H4425*$C$7,""),"")</f>
        <v/>
      </c>
      <c r="L4425" s="139">
        <f>IFERROR(IF(ISNUMBER(F4425),F4425-IF(ISNUMBER(K4425),K4425,0),""),"")</f>
        <v/>
      </c>
    </row>
    <row r="4426" ht="24" customHeight="1" s="63">
      <c r="E4426" s="139" t="n"/>
      <c r="F4426" s="139" t="n"/>
      <c r="G4426" s="140">
        <f>IFERROR(IF(E4426&gt;0,(F4426/E4426)*1000,""),"")</f>
        <v/>
      </c>
      <c r="H4426" s="139">
        <f>IFERROR(IF(E4426&gt;0,E4426*IF(ISNUMBER(J4426),J4426,IF(C4426="Futures",$C$6,$C$5)),""),"")</f>
        <v/>
      </c>
      <c r="I4426" s="139">
        <f>IFERROR(IF(AND(ISNUMBER(F4426),ISNUMBER(H4426)),F4426-H4426,""),"")</f>
        <v/>
      </c>
      <c r="J4426" s="114" t="n"/>
      <c r="K4426" s="139">
        <f>IFERROR(IF(H4426&gt;0,H4426*$C$7,""),"")</f>
        <v/>
      </c>
      <c r="L4426" s="139">
        <f>IFERROR(IF(ISNUMBER(F4426),F4426-IF(ISNUMBER(K4426),K4426,0),""),"")</f>
        <v/>
      </c>
    </row>
    <row r="4427" ht="24" customHeight="1" s="63">
      <c r="E4427" s="139" t="n"/>
      <c r="F4427" s="139" t="n"/>
      <c r="G4427" s="140">
        <f>IFERROR(IF(E4427&gt;0,(F4427/E4427)*1000,""),"")</f>
        <v/>
      </c>
      <c r="H4427" s="139">
        <f>IFERROR(IF(E4427&gt;0,E4427*IF(ISNUMBER(J4427),J4427,IF(C4427="Futures",$C$6,$C$5)),""),"")</f>
        <v/>
      </c>
      <c r="I4427" s="139">
        <f>IFERROR(IF(AND(ISNUMBER(F4427),ISNUMBER(H4427)),F4427-H4427,""),"")</f>
        <v/>
      </c>
      <c r="J4427" s="114" t="n"/>
      <c r="K4427" s="139">
        <f>IFERROR(IF(H4427&gt;0,H4427*$C$7,""),"")</f>
        <v/>
      </c>
      <c r="L4427" s="139">
        <f>IFERROR(IF(ISNUMBER(F4427),F4427-IF(ISNUMBER(K4427),K4427,0),""),"")</f>
        <v/>
      </c>
    </row>
    <row r="4428" ht="24" customHeight="1" s="63">
      <c r="E4428" s="139" t="n"/>
      <c r="F4428" s="139" t="n"/>
      <c r="G4428" s="140">
        <f>IFERROR(IF(E4428&gt;0,(F4428/E4428)*1000,""),"")</f>
        <v/>
      </c>
      <c r="H4428" s="139">
        <f>IFERROR(IF(E4428&gt;0,E4428*IF(ISNUMBER(J4428),J4428,IF(C4428="Futures",$C$6,$C$5)),""),"")</f>
        <v/>
      </c>
      <c r="I4428" s="139">
        <f>IFERROR(IF(AND(ISNUMBER(F4428),ISNUMBER(H4428)),F4428-H4428,""),"")</f>
        <v/>
      </c>
      <c r="J4428" s="114" t="n"/>
      <c r="K4428" s="139">
        <f>IFERROR(IF(H4428&gt;0,H4428*$C$7,""),"")</f>
        <v/>
      </c>
      <c r="L4428" s="139">
        <f>IFERROR(IF(ISNUMBER(F4428),F4428-IF(ISNUMBER(K4428),K4428,0),""),"")</f>
        <v/>
      </c>
    </row>
    <row r="4429" ht="24" customHeight="1" s="63">
      <c r="E4429" s="139" t="n"/>
      <c r="F4429" s="139" t="n"/>
      <c r="G4429" s="140">
        <f>IFERROR(IF(E4429&gt;0,(F4429/E4429)*1000,""),"")</f>
        <v/>
      </c>
      <c r="H4429" s="139">
        <f>IFERROR(IF(E4429&gt;0,E4429*IF(ISNUMBER(J4429),J4429,IF(C4429="Futures",$C$6,$C$5)),""),"")</f>
        <v/>
      </c>
      <c r="I4429" s="139">
        <f>IFERROR(IF(AND(ISNUMBER(F4429),ISNUMBER(H4429)),F4429-H4429,""),"")</f>
        <v/>
      </c>
      <c r="J4429" s="114" t="n"/>
      <c r="K4429" s="139">
        <f>IFERROR(IF(H4429&gt;0,H4429*$C$7,""),"")</f>
        <v/>
      </c>
      <c r="L4429" s="139">
        <f>IFERROR(IF(ISNUMBER(F4429),F4429-IF(ISNUMBER(K4429),K4429,0),""),"")</f>
        <v/>
      </c>
    </row>
    <row r="4430" ht="24" customHeight="1" s="63">
      <c r="E4430" s="139" t="n"/>
      <c r="F4430" s="139" t="n"/>
      <c r="G4430" s="140">
        <f>IFERROR(IF(E4430&gt;0,(F4430/E4430)*1000,""),"")</f>
        <v/>
      </c>
      <c r="H4430" s="139">
        <f>IFERROR(IF(E4430&gt;0,E4430*IF(ISNUMBER(J4430),J4430,IF(C4430="Futures",$C$6,$C$5)),""),"")</f>
        <v/>
      </c>
      <c r="I4430" s="139">
        <f>IFERROR(IF(AND(ISNUMBER(F4430),ISNUMBER(H4430)),F4430-H4430,""),"")</f>
        <v/>
      </c>
      <c r="J4430" s="114" t="n"/>
      <c r="K4430" s="139">
        <f>IFERROR(IF(H4430&gt;0,H4430*$C$7,""),"")</f>
        <v/>
      </c>
      <c r="L4430" s="139">
        <f>IFERROR(IF(ISNUMBER(F4430),F4430-IF(ISNUMBER(K4430),K4430,0),""),"")</f>
        <v/>
      </c>
    </row>
    <row r="4431" ht="24" customHeight="1" s="63">
      <c r="E4431" s="139" t="n"/>
      <c r="F4431" s="139" t="n"/>
      <c r="G4431" s="140">
        <f>IFERROR(IF(E4431&gt;0,(F4431/E4431)*1000,""),"")</f>
        <v/>
      </c>
      <c r="H4431" s="139">
        <f>IFERROR(IF(E4431&gt;0,E4431*IF(ISNUMBER(J4431),J4431,IF(C4431="Futures",$C$6,$C$5)),""),"")</f>
        <v/>
      </c>
      <c r="I4431" s="139">
        <f>IFERROR(IF(AND(ISNUMBER(F4431),ISNUMBER(H4431)),F4431-H4431,""),"")</f>
        <v/>
      </c>
      <c r="J4431" s="114" t="n"/>
      <c r="K4431" s="139">
        <f>IFERROR(IF(H4431&gt;0,H4431*$C$7,""),"")</f>
        <v/>
      </c>
      <c r="L4431" s="139">
        <f>IFERROR(IF(ISNUMBER(F4431),F4431-IF(ISNUMBER(K4431),K4431,0),""),"")</f>
        <v/>
      </c>
    </row>
    <row r="4432" ht="24" customHeight="1" s="63">
      <c r="E4432" s="139" t="n"/>
      <c r="F4432" s="139" t="n"/>
      <c r="G4432" s="140">
        <f>IFERROR(IF(E4432&gt;0,(F4432/E4432)*1000,""),"")</f>
        <v/>
      </c>
      <c r="H4432" s="139">
        <f>IFERROR(IF(E4432&gt;0,E4432*IF(ISNUMBER(J4432),J4432,IF(C4432="Futures",$C$6,$C$5)),""),"")</f>
        <v/>
      </c>
      <c r="I4432" s="139">
        <f>IFERROR(IF(AND(ISNUMBER(F4432),ISNUMBER(H4432)),F4432-H4432,""),"")</f>
        <v/>
      </c>
      <c r="J4432" s="114" t="n"/>
      <c r="K4432" s="139">
        <f>IFERROR(IF(H4432&gt;0,H4432*$C$7,""),"")</f>
        <v/>
      </c>
      <c r="L4432" s="139">
        <f>IFERROR(IF(ISNUMBER(F4432),F4432-IF(ISNUMBER(K4432),K4432,0),""),"")</f>
        <v/>
      </c>
    </row>
    <row r="4433" ht="24" customHeight="1" s="63">
      <c r="E4433" s="139" t="n"/>
      <c r="F4433" s="139" t="n"/>
      <c r="G4433" s="140">
        <f>IFERROR(IF(E4433&gt;0,(F4433/E4433)*1000,""),"")</f>
        <v/>
      </c>
      <c r="H4433" s="139">
        <f>IFERROR(IF(E4433&gt;0,E4433*IF(ISNUMBER(J4433),J4433,IF(C4433="Futures",$C$6,$C$5)),""),"")</f>
        <v/>
      </c>
      <c r="I4433" s="139">
        <f>IFERROR(IF(AND(ISNUMBER(F4433),ISNUMBER(H4433)),F4433-H4433,""),"")</f>
        <v/>
      </c>
      <c r="J4433" s="114" t="n"/>
      <c r="K4433" s="139">
        <f>IFERROR(IF(H4433&gt;0,H4433*$C$7,""),"")</f>
        <v/>
      </c>
      <c r="L4433" s="139">
        <f>IFERROR(IF(ISNUMBER(F4433),F4433-IF(ISNUMBER(K4433),K4433,0),""),"")</f>
        <v/>
      </c>
    </row>
    <row r="4434" ht="24" customHeight="1" s="63">
      <c r="E4434" s="139" t="n"/>
      <c r="F4434" s="139" t="n"/>
      <c r="G4434" s="140">
        <f>IFERROR(IF(E4434&gt;0,(F4434/E4434)*1000,""),"")</f>
        <v/>
      </c>
      <c r="H4434" s="139">
        <f>IFERROR(IF(E4434&gt;0,E4434*IF(ISNUMBER(J4434),J4434,IF(C4434="Futures",$C$6,$C$5)),""),"")</f>
        <v/>
      </c>
      <c r="I4434" s="139">
        <f>IFERROR(IF(AND(ISNUMBER(F4434),ISNUMBER(H4434)),F4434-H4434,""),"")</f>
        <v/>
      </c>
      <c r="J4434" s="114" t="n"/>
      <c r="K4434" s="139">
        <f>IFERROR(IF(H4434&gt;0,H4434*$C$7,""),"")</f>
        <v/>
      </c>
      <c r="L4434" s="139">
        <f>IFERROR(IF(ISNUMBER(F4434),F4434-IF(ISNUMBER(K4434),K4434,0),""),"")</f>
        <v/>
      </c>
    </row>
    <row r="4435" ht="24" customHeight="1" s="63">
      <c r="E4435" s="139" t="n"/>
      <c r="F4435" s="139" t="n"/>
      <c r="G4435" s="140">
        <f>IFERROR(IF(E4435&gt;0,(F4435/E4435)*1000,""),"")</f>
        <v/>
      </c>
      <c r="H4435" s="139">
        <f>IFERROR(IF(E4435&gt;0,E4435*IF(ISNUMBER(J4435),J4435,IF(C4435="Futures",$C$6,$C$5)),""),"")</f>
        <v/>
      </c>
      <c r="I4435" s="139">
        <f>IFERROR(IF(AND(ISNUMBER(F4435),ISNUMBER(H4435)),F4435-H4435,""),"")</f>
        <v/>
      </c>
      <c r="J4435" s="114" t="n"/>
      <c r="K4435" s="139">
        <f>IFERROR(IF(H4435&gt;0,H4435*$C$7,""),"")</f>
        <v/>
      </c>
      <c r="L4435" s="139">
        <f>IFERROR(IF(ISNUMBER(F4435),F4435-IF(ISNUMBER(K4435),K4435,0),""),"")</f>
        <v/>
      </c>
    </row>
    <row r="4436" ht="24" customHeight="1" s="63">
      <c r="E4436" s="139" t="n"/>
      <c r="F4436" s="139" t="n"/>
      <c r="G4436" s="140">
        <f>IFERROR(IF(E4436&gt;0,(F4436/E4436)*1000,""),"")</f>
        <v/>
      </c>
      <c r="H4436" s="139">
        <f>IFERROR(IF(E4436&gt;0,E4436*IF(ISNUMBER(J4436),J4436,IF(C4436="Futures",$C$6,$C$5)),""),"")</f>
        <v/>
      </c>
      <c r="I4436" s="139">
        <f>IFERROR(IF(AND(ISNUMBER(F4436),ISNUMBER(H4436)),F4436-H4436,""),"")</f>
        <v/>
      </c>
      <c r="J4436" s="114" t="n"/>
      <c r="K4436" s="139">
        <f>IFERROR(IF(H4436&gt;0,H4436*$C$7,""),"")</f>
        <v/>
      </c>
      <c r="L4436" s="139">
        <f>IFERROR(IF(ISNUMBER(F4436),F4436-IF(ISNUMBER(K4436),K4436,0),""),"")</f>
        <v/>
      </c>
    </row>
    <row r="4437" ht="24" customHeight="1" s="63">
      <c r="E4437" s="139" t="n"/>
      <c r="F4437" s="139" t="n"/>
      <c r="G4437" s="140">
        <f>IFERROR(IF(E4437&gt;0,(F4437/E4437)*1000,""),"")</f>
        <v/>
      </c>
      <c r="H4437" s="139">
        <f>IFERROR(IF(E4437&gt;0,E4437*IF(ISNUMBER(J4437),J4437,IF(C4437="Futures",$C$6,$C$5)),""),"")</f>
        <v/>
      </c>
      <c r="I4437" s="139">
        <f>IFERROR(IF(AND(ISNUMBER(F4437),ISNUMBER(H4437)),F4437-H4437,""),"")</f>
        <v/>
      </c>
      <c r="J4437" s="114" t="n"/>
      <c r="K4437" s="139">
        <f>IFERROR(IF(H4437&gt;0,H4437*$C$7,""),"")</f>
        <v/>
      </c>
      <c r="L4437" s="139">
        <f>IFERROR(IF(ISNUMBER(F4437),F4437-IF(ISNUMBER(K4437),K4437,0),""),"")</f>
        <v/>
      </c>
    </row>
    <row r="4438" ht="24" customHeight="1" s="63">
      <c r="E4438" s="139" t="n"/>
      <c r="F4438" s="139" t="n"/>
      <c r="G4438" s="140">
        <f>IFERROR(IF(E4438&gt;0,(F4438/E4438)*1000,""),"")</f>
        <v/>
      </c>
      <c r="H4438" s="139">
        <f>IFERROR(IF(E4438&gt;0,E4438*IF(ISNUMBER(J4438),J4438,IF(C4438="Futures",$C$6,$C$5)),""),"")</f>
        <v/>
      </c>
      <c r="I4438" s="139">
        <f>IFERROR(IF(AND(ISNUMBER(F4438),ISNUMBER(H4438)),F4438-H4438,""),"")</f>
        <v/>
      </c>
      <c r="J4438" s="114" t="n"/>
      <c r="K4438" s="139">
        <f>IFERROR(IF(H4438&gt;0,H4438*$C$7,""),"")</f>
        <v/>
      </c>
      <c r="L4438" s="139">
        <f>IFERROR(IF(ISNUMBER(F4438),F4438-IF(ISNUMBER(K4438),K4438,0),""),"")</f>
        <v/>
      </c>
    </row>
    <row r="4439" ht="24" customHeight="1" s="63">
      <c r="E4439" s="139" t="n"/>
      <c r="F4439" s="139" t="n"/>
      <c r="G4439" s="140">
        <f>IFERROR(IF(E4439&gt;0,(F4439/E4439)*1000,""),"")</f>
        <v/>
      </c>
      <c r="H4439" s="139">
        <f>IFERROR(IF(E4439&gt;0,E4439*IF(ISNUMBER(J4439),J4439,IF(C4439="Futures",$C$6,$C$5)),""),"")</f>
        <v/>
      </c>
      <c r="I4439" s="139">
        <f>IFERROR(IF(AND(ISNUMBER(F4439),ISNUMBER(H4439)),F4439-H4439,""),"")</f>
        <v/>
      </c>
      <c r="J4439" s="114" t="n"/>
      <c r="K4439" s="139">
        <f>IFERROR(IF(H4439&gt;0,H4439*$C$7,""),"")</f>
        <v/>
      </c>
      <c r="L4439" s="139">
        <f>IFERROR(IF(ISNUMBER(F4439),F4439-IF(ISNUMBER(K4439),K4439,0),""),"")</f>
        <v/>
      </c>
    </row>
    <row r="4440" ht="24" customHeight="1" s="63">
      <c r="E4440" s="139" t="n"/>
      <c r="F4440" s="139" t="n"/>
      <c r="G4440" s="140">
        <f>IFERROR(IF(E4440&gt;0,(F4440/E4440)*1000,""),"")</f>
        <v/>
      </c>
      <c r="H4440" s="139">
        <f>IFERROR(IF(E4440&gt;0,E4440*IF(ISNUMBER(J4440),J4440,IF(C4440="Futures",$C$6,$C$5)),""),"")</f>
        <v/>
      </c>
      <c r="I4440" s="139">
        <f>IFERROR(IF(AND(ISNUMBER(F4440),ISNUMBER(H4440)),F4440-H4440,""),"")</f>
        <v/>
      </c>
      <c r="J4440" s="114" t="n"/>
      <c r="K4440" s="139">
        <f>IFERROR(IF(H4440&gt;0,H4440*$C$7,""),"")</f>
        <v/>
      </c>
      <c r="L4440" s="139">
        <f>IFERROR(IF(ISNUMBER(F4440),F4440-IF(ISNUMBER(K4440),K4440,0),""),"")</f>
        <v/>
      </c>
    </row>
    <row r="4441" ht="24" customHeight="1" s="63">
      <c r="E4441" s="139" t="n"/>
      <c r="F4441" s="139" t="n"/>
      <c r="G4441" s="140">
        <f>IFERROR(IF(E4441&gt;0,(F4441/E4441)*1000,""),"")</f>
        <v/>
      </c>
      <c r="H4441" s="139">
        <f>IFERROR(IF(E4441&gt;0,E4441*IF(ISNUMBER(J4441),J4441,IF(C4441="Futures",$C$6,$C$5)),""),"")</f>
        <v/>
      </c>
      <c r="I4441" s="139">
        <f>IFERROR(IF(AND(ISNUMBER(F4441),ISNUMBER(H4441)),F4441-H4441,""),"")</f>
        <v/>
      </c>
      <c r="J4441" s="114" t="n"/>
      <c r="K4441" s="139">
        <f>IFERROR(IF(H4441&gt;0,H4441*$C$7,""),"")</f>
        <v/>
      </c>
      <c r="L4441" s="139">
        <f>IFERROR(IF(ISNUMBER(F4441),F4441-IF(ISNUMBER(K4441),K4441,0),""),"")</f>
        <v/>
      </c>
    </row>
    <row r="4442" ht="24" customHeight="1" s="63">
      <c r="E4442" s="139" t="n"/>
      <c r="F4442" s="139" t="n"/>
      <c r="G4442" s="140">
        <f>IFERROR(IF(E4442&gt;0,(F4442/E4442)*1000,""),"")</f>
        <v/>
      </c>
      <c r="H4442" s="139">
        <f>IFERROR(IF(E4442&gt;0,E4442*IF(ISNUMBER(J4442),J4442,IF(C4442="Futures",$C$6,$C$5)),""),"")</f>
        <v/>
      </c>
      <c r="I4442" s="139">
        <f>IFERROR(IF(AND(ISNUMBER(F4442),ISNUMBER(H4442)),F4442-H4442,""),"")</f>
        <v/>
      </c>
      <c r="J4442" s="114" t="n"/>
      <c r="K4442" s="139">
        <f>IFERROR(IF(H4442&gt;0,H4442*$C$7,""),"")</f>
        <v/>
      </c>
      <c r="L4442" s="139">
        <f>IFERROR(IF(ISNUMBER(F4442),F4442-IF(ISNUMBER(K4442),K4442,0),""),"")</f>
        <v/>
      </c>
    </row>
    <row r="4443" ht="24" customHeight="1" s="63">
      <c r="E4443" s="139" t="n"/>
      <c r="F4443" s="139" t="n"/>
      <c r="G4443" s="140">
        <f>IFERROR(IF(E4443&gt;0,(F4443/E4443)*1000,""),"")</f>
        <v/>
      </c>
      <c r="H4443" s="139">
        <f>IFERROR(IF(E4443&gt;0,E4443*IF(ISNUMBER(J4443),J4443,IF(C4443="Futures",$C$6,$C$5)),""),"")</f>
        <v/>
      </c>
      <c r="I4443" s="139">
        <f>IFERROR(IF(AND(ISNUMBER(F4443),ISNUMBER(H4443)),F4443-H4443,""),"")</f>
        <v/>
      </c>
      <c r="J4443" s="114" t="n"/>
      <c r="K4443" s="139">
        <f>IFERROR(IF(H4443&gt;0,H4443*$C$7,""),"")</f>
        <v/>
      </c>
      <c r="L4443" s="139">
        <f>IFERROR(IF(ISNUMBER(F4443),F4443-IF(ISNUMBER(K4443),K4443,0),""),"")</f>
        <v/>
      </c>
    </row>
    <row r="4444" ht="24" customHeight="1" s="63">
      <c r="E4444" s="139" t="n"/>
      <c r="F4444" s="139" t="n"/>
      <c r="G4444" s="140">
        <f>IFERROR(IF(E4444&gt;0,(F4444/E4444)*1000,""),"")</f>
        <v/>
      </c>
      <c r="H4444" s="139">
        <f>IFERROR(IF(E4444&gt;0,E4444*IF(ISNUMBER(J4444),J4444,IF(C4444="Futures",$C$6,$C$5)),""),"")</f>
        <v/>
      </c>
      <c r="I4444" s="139">
        <f>IFERROR(IF(AND(ISNUMBER(F4444),ISNUMBER(H4444)),F4444-H4444,""),"")</f>
        <v/>
      </c>
      <c r="J4444" s="114" t="n"/>
      <c r="K4444" s="139">
        <f>IFERROR(IF(H4444&gt;0,H4444*$C$7,""),"")</f>
        <v/>
      </c>
      <c r="L4444" s="139">
        <f>IFERROR(IF(ISNUMBER(F4444),F4444-IF(ISNUMBER(K4444),K4444,0),""),"")</f>
        <v/>
      </c>
    </row>
    <row r="4445" ht="24" customHeight="1" s="63">
      <c r="E4445" s="139" t="n"/>
      <c r="F4445" s="139" t="n"/>
      <c r="G4445" s="140">
        <f>IFERROR(IF(E4445&gt;0,(F4445/E4445)*1000,""),"")</f>
        <v/>
      </c>
      <c r="H4445" s="139">
        <f>IFERROR(IF(E4445&gt;0,E4445*IF(ISNUMBER(J4445),J4445,IF(C4445="Futures",$C$6,$C$5)),""),"")</f>
        <v/>
      </c>
      <c r="I4445" s="139">
        <f>IFERROR(IF(AND(ISNUMBER(F4445),ISNUMBER(H4445)),F4445-H4445,""),"")</f>
        <v/>
      </c>
      <c r="J4445" s="114" t="n"/>
      <c r="K4445" s="139">
        <f>IFERROR(IF(H4445&gt;0,H4445*$C$7,""),"")</f>
        <v/>
      </c>
      <c r="L4445" s="139">
        <f>IFERROR(IF(ISNUMBER(F4445),F4445-IF(ISNUMBER(K4445),K4445,0),""),"")</f>
        <v/>
      </c>
    </row>
    <row r="4446" ht="24" customHeight="1" s="63">
      <c r="E4446" s="139" t="n"/>
      <c r="F4446" s="139" t="n"/>
      <c r="G4446" s="140">
        <f>IFERROR(IF(E4446&gt;0,(F4446/E4446)*1000,""),"")</f>
        <v/>
      </c>
      <c r="H4446" s="139">
        <f>IFERROR(IF(E4446&gt;0,E4446*IF(ISNUMBER(J4446),J4446,IF(C4446="Futures",$C$6,$C$5)),""),"")</f>
        <v/>
      </c>
      <c r="I4446" s="139">
        <f>IFERROR(IF(AND(ISNUMBER(F4446),ISNUMBER(H4446)),F4446-H4446,""),"")</f>
        <v/>
      </c>
      <c r="J4446" s="114" t="n"/>
      <c r="K4446" s="139">
        <f>IFERROR(IF(H4446&gt;0,H4446*$C$7,""),"")</f>
        <v/>
      </c>
      <c r="L4446" s="139">
        <f>IFERROR(IF(ISNUMBER(F4446),F4446-IF(ISNUMBER(K4446),K4446,0),""),"")</f>
        <v/>
      </c>
    </row>
    <row r="4447" ht="24" customHeight="1" s="63">
      <c r="E4447" s="139" t="n"/>
      <c r="F4447" s="139" t="n"/>
      <c r="G4447" s="140">
        <f>IFERROR(IF(E4447&gt;0,(F4447/E4447)*1000,""),"")</f>
        <v/>
      </c>
      <c r="H4447" s="139">
        <f>IFERROR(IF(E4447&gt;0,E4447*IF(ISNUMBER(J4447),J4447,IF(C4447="Futures",$C$6,$C$5)),""),"")</f>
        <v/>
      </c>
      <c r="I4447" s="139">
        <f>IFERROR(IF(AND(ISNUMBER(F4447),ISNUMBER(H4447)),F4447-H4447,""),"")</f>
        <v/>
      </c>
      <c r="J4447" s="114" t="n"/>
      <c r="K4447" s="139">
        <f>IFERROR(IF(H4447&gt;0,H4447*$C$7,""),"")</f>
        <v/>
      </c>
      <c r="L4447" s="139">
        <f>IFERROR(IF(ISNUMBER(F4447),F4447-IF(ISNUMBER(K4447),K4447,0),""),"")</f>
        <v/>
      </c>
    </row>
    <row r="4448" ht="24" customHeight="1" s="63">
      <c r="E4448" s="139" t="n"/>
      <c r="F4448" s="139" t="n"/>
      <c r="G4448" s="140">
        <f>IFERROR(IF(E4448&gt;0,(F4448/E4448)*1000,""),"")</f>
        <v/>
      </c>
      <c r="H4448" s="139">
        <f>IFERROR(IF(E4448&gt;0,E4448*IF(ISNUMBER(J4448),J4448,IF(C4448="Futures",$C$6,$C$5)),""),"")</f>
        <v/>
      </c>
      <c r="I4448" s="139">
        <f>IFERROR(IF(AND(ISNUMBER(F4448),ISNUMBER(H4448)),F4448-H4448,""),"")</f>
        <v/>
      </c>
      <c r="J4448" s="114" t="n"/>
      <c r="K4448" s="139">
        <f>IFERROR(IF(H4448&gt;0,H4448*$C$7,""),"")</f>
        <v/>
      </c>
      <c r="L4448" s="139">
        <f>IFERROR(IF(ISNUMBER(F4448),F4448-IF(ISNUMBER(K4448),K4448,0),""),"")</f>
        <v/>
      </c>
    </row>
    <row r="4449" ht="24" customHeight="1" s="63">
      <c r="E4449" s="139" t="n"/>
      <c r="F4449" s="139" t="n"/>
      <c r="G4449" s="140">
        <f>IFERROR(IF(E4449&gt;0,(F4449/E4449)*1000,""),"")</f>
        <v/>
      </c>
      <c r="H4449" s="139">
        <f>IFERROR(IF(E4449&gt;0,E4449*IF(ISNUMBER(J4449),J4449,IF(C4449="Futures",$C$6,$C$5)),""),"")</f>
        <v/>
      </c>
      <c r="I4449" s="139">
        <f>IFERROR(IF(AND(ISNUMBER(F4449),ISNUMBER(H4449)),F4449-H4449,""),"")</f>
        <v/>
      </c>
      <c r="J4449" s="114" t="n"/>
      <c r="K4449" s="139">
        <f>IFERROR(IF(H4449&gt;0,H4449*$C$7,""),"")</f>
        <v/>
      </c>
      <c r="L4449" s="139">
        <f>IFERROR(IF(ISNUMBER(F4449),F4449-IF(ISNUMBER(K4449),K4449,0),""),"")</f>
        <v/>
      </c>
    </row>
    <row r="4450" ht="24" customHeight="1" s="63">
      <c r="E4450" s="139" t="n"/>
      <c r="F4450" s="139" t="n"/>
      <c r="G4450" s="140">
        <f>IFERROR(IF(E4450&gt;0,(F4450/E4450)*1000,""),"")</f>
        <v/>
      </c>
      <c r="H4450" s="139">
        <f>IFERROR(IF(E4450&gt;0,E4450*IF(ISNUMBER(J4450),J4450,IF(C4450="Futures",$C$6,$C$5)),""),"")</f>
        <v/>
      </c>
      <c r="I4450" s="139">
        <f>IFERROR(IF(AND(ISNUMBER(F4450),ISNUMBER(H4450)),F4450-H4450,""),"")</f>
        <v/>
      </c>
      <c r="J4450" s="114" t="n"/>
      <c r="K4450" s="139">
        <f>IFERROR(IF(H4450&gt;0,H4450*$C$7,""),"")</f>
        <v/>
      </c>
      <c r="L4450" s="139">
        <f>IFERROR(IF(ISNUMBER(F4450),F4450-IF(ISNUMBER(K4450),K4450,0),""),"")</f>
        <v/>
      </c>
    </row>
    <row r="4451" ht="24" customHeight="1" s="63">
      <c r="E4451" s="139" t="n"/>
      <c r="F4451" s="139" t="n"/>
      <c r="G4451" s="140">
        <f>IFERROR(IF(E4451&gt;0,(F4451/E4451)*1000,""),"")</f>
        <v/>
      </c>
      <c r="H4451" s="139">
        <f>IFERROR(IF(E4451&gt;0,E4451*IF(ISNUMBER(J4451),J4451,IF(C4451="Futures",$C$6,$C$5)),""),"")</f>
        <v/>
      </c>
      <c r="I4451" s="139">
        <f>IFERROR(IF(AND(ISNUMBER(F4451),ISNUMBER(H4451)),F4451-H4451,""),"")</f>
        <v/>
      </c>
      <c r="J4451" s="114" t="n"/>
      <c r="K4451" s="139">
        <f>IFERROR(IF(H4451&gt;0,H4451*$C$7,""),"")</f>
        <v/>
      </c>
      <c r="L4451" s="139">
        <f>IFERROR(IF(ISNUMBER(F4451),F4451-IF(ISNUMBER(K4451),K4451,0),""),"")</f>
        <v/>
      </c>
    </row>
    <row r="4452" ht="24" customHeight="1" s="63">
      <c r="E4452" s="139" t="n"/>
      <c r="F4452" s="139" t="n"/>
      <c r="G4452" s="140">
        <f>IFERROR(IF(E4452&gt;0,(F4452/E4452)*1000,""),"")</f>
        <v/>
      </c>
      <c r="H4452" s="139">
        <f>IFERROR(IF(E4452&gt;0,E4452*IF(ISNUMBER(J4452),J4452,IF(C4452="Futures",$C$6,$C$5)),""),"")</f>
        <v/>
      </c>
      <c r="I4452" s="139">
        <f>IFERROR(IF(AND(ISNUMBER(F4452),ISNUMBER(H4452)),F4452-H4452,""),"")</f>
        <v/>
      </c>
      <c r="J4452" s="114" t="n"/>
      <c r="K4452" s="139">
        <f>IFERROR(IF(H4452&gt;0,H4452*$C$7,""),"")</f>
        <v/>
      </c>
      <c r="L4452" s="139">
        <f>IFERROR(IF(ISNUMBER(F4452),F4452-IF(ISNUMBER(K4452),K4452,0),""),"")</f>
        <v/>
      </c>
    </row>
    <row r="4453" ht="24" customHeight="1" s="63">
      <c r="E4453" s="139" t="n"/>
      <c r="F4453" s="139" t="n"/>
      <c r="G4453" s="140">
        <f>IFERROR(IF(E4453&gt;0,(F4453/E4453)*1000,""),"")</f>
        <v/>
      </c>
      <c r="H4453" s="139">
        <f>IFERROR(IF(E4453&gt;0,E4453*IF(ISNUMBER(J4453),J4453,IF(C4453="Futures",$C$6,$C$5)),""),"")</f>
        <v/>
      </c>
      <c r="I4453" s="139">
        <f>IFERROR(IF(AND(ISNUMBER(F4453),ISNUMBER(H4453)),F4453-H4453,""),"")</f>
        <v/>
      </c>
      <c r="J4453" s="114" t="n"/>
      <c r="K4453" s="139">
        <f>IFERROR(IF(H4453&gt;0,H4453*$C$7,""),"")</f>
        <v/>
      </c>
      <c r="L4453" s="139">
        <f>IFERROR(IF(ISNUMBER(F4453),F4453-IF(ISNUMBER(K4453),K4453,0),""),"")</f>
        <v/>
      </c>
    </row>
    <row r="4454" ht="24" customHeight="1" s="63">
      <c r="E4454" s="139" t="n"/>
      <c r="F4454" s="139" t="n"/>
      <c r="G4454" s="140">
        <f>IFERROR(IF(E4454&gt;0,(F4454/E4454)*1000,""),"")</f>
        <v/>
      </c>
      <c r="H4454" s="139">
        <f>IFERROR(IF(E4454&gt;0,E4454*IF(ISNUMBER(J4454),J4454,IF(C4454="Futures",$C$6,$C$5)),""),"")</f>
        <v/>
      </c>
      <c r="I4454" s="139">
        <f>IFERROR(IF(AND(ISNUMBER(F4454),ISNUMBER(H4454)),F4454-H4454,""),"")</f>
        <v/>
      </c>
      <c r="J4454" s="114" t="n"/>
      <c r="K4454" s="139">
        <f>IFERROR(IF(H4454&gt;0,H4454*$C$7,""),"")</f>
        <v/>
      </c>
      <c r="L4454" s="139">
        <f>IFERROR(IF(ISNUMBER(F4454),F4454-IF(ISNUMBER(K4454),K4454,0),""),"")</f>
        <v/>
      </c>
    </row>
    <row r="4455" ht="24" customHeight="1" s="63">
      <c r="E4455" s="139" t="n"/>
      <c r="F4455" s="139" t="n"/>
      <c r="G4455" s="140">
        <f>IFERROR(IF(E4455&gt;0,(F4455/E4455)*1000,""),"")</f>
        <v/>
      </c>
      <c r="H4455" s="139">
        <f>IFERROR(IF(E4455&gt;0,E4455*IF(ISNUMBER(J4455),J4455,IF(C4455="Futures",$C$6,$C$5)),""),"")</f>
        <v/>
      </c>
      <c r="I4455" s="139">
        <f>IFERROR(IF(AND(ISNUMBER(F4455),ISNUMBER(H4455)),F4455-H4455,""),"")</f>
        <v/>
      </c>
      <c r="J4455" s="114" t="n"/>
      <c r="K4455" s="139">
        <f>IFERROR(IF(H4455&gt;0,H4455*$C$7,""),"")</f>
        <v/>
      </c>
      <c r="L4455" s="139">
        <f>IFERROR(IF(ISNUMBER(F4455),F4455-IF(ISNUMBER(K4455),K4455,0),""),"")</f>
        <v/>
      </c>
    </row>
    <row r="4456" ht="24" customHeight="1" s="63">
      <c r="E4456" s="139" t="n"/>
      <c r="F4456" s="139" t="n"/>
      <c r="G4456" s="140">
        <f>IFERROR(IF(E4456&gt;0,(F4456/E4456)*1000,""),"")</f>
        <v/>
      </c>
      <c r="H4456" s="139">
        <f>IFERROR(IF(E4456&gt;0,E4456*IF(ISNUMBER(J4456),J4456,IF(C4456="Futures",$C$6,$C$5)),""),"")</f>
        <v/>
      </c>
      <c r="I4456" s="139">
        <f>IFERROR(IF(AND(ISNUMBER(F4456),ISNUMBER(H4456)),F4456-H4456,""),"")</f>
        <v/>
      </c>
      <c r="J4456" s="114" t="n"/>
      <c r="K4456" s="139">
        <f>IFERROR(IF(H4456&gt;0,H4456*$C$7,""),"")</f>
        <v/>
      </c>
      <c r="L4456" s="139">
        <f>IFERROR(IF(ISNUMBER(F4456),F4456-IF(ISNUMBER(K4456),K4456,0),""),"")</f>
        <v/>
      </c>
    </row>
    <row r="4457" ht="24" customHeight="1" s="63">
      <c r="E4457" s="139" t="n"/>
      <c r="F4457" s="139" t="n"/>
      <c r="G4457" s="140">
        <f>IFERROR(IF(E4457&gt;0,(F4457/E4457)*1000,""),"")</f>
        <v/>
      </c>
      <c r="H4457" s="139">
        <f>IFERROR(IF(E4457&gt;0,E4457*IF(ISNUMBER(J4457),J4457,IF(C4457="Futures",$C$6,$C$5)),""),"")</f>
        <v/>
      </c>
      <c r="I4457" s="139">
        <f>IFERROR(IF(AND(ISNUMBER(F4457),ISNUMBER(H4457)),F4457-H4457,""),"")</f>
        <v/>
      </c>
      <c r="J4457" s="114" t="n"/>
      <c r="K4457" s="139">
        <f>IFERROR(IF(H4457&gt;0,H4457*$C$7,""),"")</f>
        <v/>
      </c>
      <c r="L4457" s="139">
        <f>IFERROR(IF(ISNUMBER(F4457),F4457-IF(ISNUMBER(K4457),K4457,0),""),"")</f>
        <v/>
      </c>
    </row>
    <row r="4458" ht="24" customHeight="1" s="63">
      <c r="E4458" s="139" t="n"/>
      <c r="F4458" s="139" t="n"/>
      <c r="G4458" s="140">
        <f>IFERROR(IF(E4458&gt;0,(F4458/E4458)*1000,""),"")</f>
        <v/>
      </c>
      <c r="H4458" s="139">
        <f>IFERROR(IF(E4458&gt;0,E4458*IF(ISNUMBER(J4458),J4458,IF(C4458="Futures",$C$6,$C$5)),""),"")</f>
        <v/>
      </c>
      <c r="I4458" s="139">
        <f>IFERROR(IF(AND(ISNUMBER(F4458),ISNUMBER(H4458)),F4458-H4458,""),"")</f>
        <v/>
      </c>
      <c r="J4458" s="114" t="n"/>
      <c r="K4458" s="139">
        <f>IFERROR(IF(H4458&gt;0,H4458*$C$7,""),"")</f>
        <v/>
      </c>
      <c r="L4458" s="139">
        <f>IFERROR(IF(ISNUMBER(F4458),F4458-IF(ISNUMBER(K4458),K4458,0),""),"")</f>
        <v/>
      </c>
    </row>
    <row r="4459" ht="24" customHeight="1" s="63">
      <c r="E4459" s="139" t="n"/>
      <c r="F4459" s="139" t="n"/>
      <c r="G4459" s="140">
        <f>IFERROR(IF(E4459&gt;0,(F4459/E4459)*1000,""),"")</f>
        <v/>
      </c>
      <c r="H4459" s="139">
        <f>IFERROR(IF(E4459&gt;0,E4459*IF(ISNUMBER(J4459),J4459,IF(C4459="Futures",$C$6,$C$5)),""),"")</f>
        <v/>
      </c>
      <c r="I4459" s="139">
        <f>IFERROR(IF(AND(ISNUMBER(F4459),ISNUMBER(H4459)),F4459-H4459,""),"")</f>
        <v/>
      </c>
      <c r="J4459" s="114" t="n"/>
      <c r="K4459" s="139">
        <f>IFERROR(IF(H4459&gt;0,H4459*$C$7,""),"")</f>
        <v/>
      </c>
      <c r="L4459" s="139">
        <f>IFERROR(IF(ISNUMBER(F4459),F4459-IF(ISNUMBER(K4459),K4459,0),""),"")</f>
        <v/>
      </c>
    </row>
    <row r="4460" ht="24" customHeight="1" s="63">
      <c r="E4460" s="139" t="n"/>
      <c r="F4460" s="139" t="n"/>
      <c r="G4460" s="140">
        <f>IFERROR(IF(E4460&gt;0,(F4460/E4460)*1000,""),"")</f>
        <v/>
      </c>
      <c r="H4460" s="139">
        <f>IFERROR(IF(E4460&gt;0,E4460*IF(ISNUMBER(J4460),J4460,IF(C4460="Futures",$C$6,$C$5)),""),"")</f>
        <v/>
      </c>
      <c r="I4460" s="139">
        <f>IFERROR(IF(AND(ISNUMBER(F4460),ISNUMBER(H4460)),F4460-H4460,""),"")</f>
        <v/>
      </c>
      <c r="J4460" s="114" t="n"/>
      <c r="K4460" s="139">
        <f>IFERROR(IF(H4460&gt;0,H4460*$C$7,""),"")</f>
        <v/>
      </c>
      <c r="L4460" s="139">
        <f>IFERROR(IF(ISNUMBER(F4460),F4460-IF(ISNUMBER(K4460),K4460,0),""),"")</f>
        <v/>
      </c>
    </row>
    <row r="4461" ht="24" customHeight="1" s="63">
      <c r="E4461" s="139" t="n"/>
      <c r="F4461" s="139" t="n"/>
      <c r="G4461" s="140">
        <f>IFERROR(IF(E4461&gt;0,(F4461/E4461)*1000,""),"")</f>
        <v/>
      </c>
      <c r="H4461" s="139">
        <f>IFERROR(IF(E4461&gt;0,E4461*IF(ISNUMBER(J4461),J4461,IF(C4461="Futures",$C$6,$C$5)),""),"")</f>
        <v/>
      </c>
      <c r="I4461" s="139">
        <f>IFERROR(IF(AND(ISNUMBER(F4461),ISNUMBER(H4461)),F4461-H4461,""),"")</f>
        <v/>
      </c>
      <c r="J4461" s="114" t="n"/>
      <c r="K4461" s="139">
        <f>IFERROR(IF(H4461&gt;0,H4461*$C$7,""),"")</f>
        <v/>
      </c>
      <c r="L4461" s="139">
        <f>IFERROR(IF(ISNUMBER(F4461),F4461-IF(ISNUMBER(K4461),K4461,0),""),"")</f>
        <v/>
      </c>
    </row>
    <row r="4462" ht="24" customHeight="1" s="63">
      <c r="E4462" s="139" t="n"/>
      <c r="F4462" s="139" t="n"/>
      <c r="G4462" s="140">
        <f>IFERROR(IF(E4462&gt;0,(F4462/E4462)*1000,""),"")</f>
        <v/>
      </c>
      <c r="H4462" s="139">
        <f>IFERROR(IF(E4462&gt;0,E4462*IF(ISNUMBER(J4462),J4462,IF(C4462="Futures",$C$6,$C$5)),""),"")</f>
        <v/>
      </c>
      <c r="I4462" s="139">
        <f>IFERROR(IF(AND(ISNUMBER(F4462),ISNUMBER(H4462)),F4462-H4462,""),"")</f>
        <v/>
      </c>
      <c r="J4462" s="114" t="n"/>
      <c r="K4462" s="139">
        <f>IFERROR(IF(H4462&gt;0,H4462*$C$7,""),"")</f>
        <v/>
      </c>
      <c r="L4462" s="139">
        <f>IFERROR(IF(ISNUMBER(F4462),F4462-IF(ISNUMBER(K4462),K4462,0),""),"")</f>
        <v/>
      </c>
    </row>
    <row r="4463" ht="24" customHeight="1" s="63">
      <c r="E4463" s="139" t="n"/>
      <c r="F4463" s="139" t="n"/>
      <c r="G4463" s="140">
        <f>IFERROR(IF(E4463&gt;0,(F4463/E4463)*1000,""),"")</f>
        <v/>
      </c>
      <c r="H4463" s="139">
        <f>IFERROR(IF(E4463&gt;0,E4463*IF(ISNUMBER(J4463),J4463,IF(C4463="Futures",$C$6,$C$5)),""),"")</f>
        <v/>
      </c>
      <c r="I4463" s="139">
        <f>IFERROR(IF(AND(ISNUMBER(F4463),ISNUMBER(H4463)),F4463-H4463,""),"")</f>
        <v/>
      </c>
      <c r="J4463" s="114" t="n"/>
      <c r="K4463" s="139">
        <f>IFERROR(IF(H4463&gt;0,H4463*$C$7,""),"")</f>
        <v/>
      </c>
      <c r="L4463" s="139">
        <f>IFERROR(IF(ISNUMBER(F4463),F4463-IF(ISNUMBER(K4463),K4463,0),""),"")</f>
        <v/>
      </c>
    </row>
    <row r="4464" ht="24" customHeight="1" s="63">
      <c r="E4464" s="139" t="n"/>
      <c r="F4464" s="139" t="n"/>
      <c r="G4464" s="140">
        <f>IFERROR(IF(E4464&gt;0,(F4464/E4464)*1000,""),"")</f>
        <v/>
      </c>
      <c r="H4464" s="139">
        <f>IFERROR(IF(E4464&gt;0,E4464*IF(ISNUMBER(J4464),J4464,IF(C4464="Futures",$C$6,$C$5)),""),"")</f>
        <v/>
      </c>
      <c r="I4464" s="139">
        <f>IFERROR(IF(AND(ISNUMBER(F4464),ISNUMBER(H4464)),F4464-H4464,""),"")</f>
        <v/>
      </c>
      <c r="J4464" s="114" t="n"/>
      <c r="K4464" s="139">
        <f>IFERROR(IF(H4464&gt;0,H4464*$C$7,""),"")</f>
        <v/>
      </c>
      <c r="L4464" s="139">
        <f>IFERROR(IF(ISNUMBER(F4464),F4464-IF(ISNUMBER(K4464),K4464,0),""),"")</f>
        <v/>
      </c>
    </row>
    <row r="4465" ht="24" customHeight="1" s="63">
      <c r="E4465" s="139" t="n"/>
      <c r="F4465" s="139" t="n"/>
      <c r="G4465" s="140">
        <f>IFERROR(IF(E4465&gt;0,(F4465/E4465)*1000,""),"")</f>
        <v/>
      </c>
      <c r="H4465" s="139">
        <f>IFERROR(IF(E4465&gt;0,E4465*IF(ISNUMBER(J4465),J4465,IF(C4465="Futures",$C$6,$C$5)),""),"")</f>
        <v/>
      </c>
      <c r="I4465" s="139">
        <f>IFERROR(IF(AND(ISNUMBER(F4465),ISNUMBER(H4465)),F4465-H4465,""),"")</f>
        <v/>
      </c>
      <c r="J4465" s="114" t="n"/>
      <c r="K4465" s="139">
        <f>IFERROR(IF(H4465&gt;0,H4465*$C$7,""),"")</f>
        <v/>
      </c>
      <c r="L4465" s="139">
        <f>IFERROR(IF(ISNUMBER(F4465),F4465-IF(ISNUMBER(K4465),K4465,0),""),"")</f>
        <v/>
      </c>
    </row>
    <row r="4466" ht="24" customHeight="1" s="63">
      <c r="E4466" s="139" t="n"/>
      <c r="F4466" s="139" t="n"/>
      <c r="G4466" s="140">
        <f>IFERROR(IF(E4466&gt;0,(F4466/E4466)*1000,""),"")</f>
        <v/>
      </c>
      <c r="H4466" s="139">
        <f>IFERROR(IF(E4466&gt;0,E4466*IF(ISNUMBER(J4466),J4466,IF(C4466="Futures",$C$6,$C$5)),""),"")</f>
        <v/>
      </c>
      <c r="I4466" s="139">
        <f>IFERROR(IF(AND(ISNUMBER(F4466),ISNUMBER(H4466)),F4466-H4466,""),"")</f>
        <v/>
      </c>
      <c r="J4466" s="114" t="n"/>
      <c r="K4466" s="139">
        <f>IFERROR(IF(H4466&gt;0,H4466*$C$7,""),"")</f>
        <v/>
      </c>
      <c r="L4466" s="139">
        <f>IFERROR(IF(ISNUMBER(F4466),F4466-IF(ISNUMBER(K4466),K4466,0),""),"")</f>
        <v/>
      </c>
    </row>
    <row r="4467" ht="24" customHeight="1" s="63">
      <c r="E4467" s="139" t="n"/>
      <c r="F4467" s="139" t="n"/>
      <c r="G4467" s="140">
        <f>IFERROR(IF(E4467&gt;0,(F4467/E4467)*1000,""),"")</f>
        <v/>
      </c>
      <c r="H4467" s="139">
        <f>IFERROR(IF(E4467&gt;0,E4467*IF(ISNUMBER(J4467),J4467,IF(C4467="Futures",$C$6,$C$5)),""),"")</f>
        <v/>
      </c>
      <c r="I4467" s="139">
        <f>IFERROR(IF(AND(ISNUMBER(F4467),ISNUMBER(H4467)),F4467-H4467,""),"")</f>
        <v/>
      </c>
      <c r="J4467" s="114" t="n"/>
      <c r="K4467" s="139">
        <f>IFERROR(IF(H4467&gt;0,H4467*$C$7,""),"")</f>
        <v/>
      </c>
      <c r="L4467" s="139">
        <f>IFERROR(IF(ISNUMBER(F4467),F4467-IF(ISNUMBER(K4467),K4467,0),""),"")</f>
        <v/>
      </c>
    </row>
    <row r="4468" ht="24" customHeight="1" s="63">
      <c r="E4468" s="139" t="n"/>
      <c r="F4468" s="139" t="n"/>
      <c r="G4468" s="140">
        <f>IFERROR(IF(E4468&gt;0,(F4468/E4468)*1000,""),"")</f>
        <v/>
      </c>
      <c r="H4468" s="139">
        <f>IFERROR(IF(E4468&gt;0,E4468*IF(ISNUMBER(J4468),J4468,IF(C4468="Futures",$C$6,$C$5)),""),"")</f>
        <v/>
      </c>
      <c r="I4468" s="139">
        <f>IFERROR(IF(AND(ISNUMBER(F4468),ISNUMBER(H4468)),F4468-H4468,""),"")</f>
        <v/>
      </c>
      <c r="J4468" s="114" t="n"/>
      <c r="K4468" s="139">
        <f>IFERROR(IF(H4468&gt;0,H4468*$C$7,""),"")</f>
        <v/>
      </c>
      <c r="L4468" s="139">
        <f>IFERROR(IF(ISNUMBER(F4468),F4468-IF(ISNUMBER(K4468),K4468,0),""),"")</f>
        <v/>
      </c>
    </row>
    <row r="4469" ht="24" customHeight="1" s="63">
      <c r="E4469" s="139" t="n"/>
      <c r="F4469" s="139" t="n"/>
      <c r="G4469" s="140">
        <f>IFERROR(IF(E4469&gt;0,(F4469/E4469)*1000,""),"")</f>
        <v/>
      </c>
      <c r="H4469" s="139">
        <f>IFERROR(IF(E4469&gt;0,E4469*IF(ISNUMBER(J4469),J4469,IF(C4469="Futures",$C$6,$C$5)),""),"")</f>
        <v/>
      </c>
      <c r="I4469" s="139">
        <f>IFERROR(IF(AND(ISNUMBER(F4469),ISNUMBER(H4469)),F4469-H4469,""),"")</f>
        <v/>
      </c>
      <c r="J4469" s="114" t="n"/>
      <c r="K4469" s="139">
        <f>IFERROR(IF(H4469&gt;0,H4469*$C$7,""),"")</f>
        <v/>
      </c>
      <c r="L4469" s="139">
        <f>IFERROR(IF(ISNUMBER(F4469),F4469-IF(ISNUMBER(K4469),K4469,0),""),"")</f>
        <v/>
      </c>
    </row>
    <row r="4470" ht="24" customHeight="1" s="63">
      <c r="E4470" s="139" t="n"/>
      <c r="F4470" s="139" t="n"/>
      <c r="G4470" s="140">
        <f>IFERROR(IF(E4470&gt;0,(F4470/E4470)*1000,""),"")</f>
        <v/>
      </c>
      <c r="H4470" s="139">
        <f>IFERROR(IF(E4470&gt;0,E4470*IF(ISNUMBER(J4470),J4470,IF(C4470="Futures",$C$6,$C$5)),""),"")</f>
        <v/>
      </c>
      <c r="I4470" s="139">
        <f>IFERROR(IF(AND(ISNUMBER(F4470),ISNUMBER(H4470)),F4470-H4470,""),"")</f>
        <v/>
      </c>
      <c r="J4470" s="114" t="n"/>
      <c r="K4470" s="139">
        <f>IFERROR(IF(H4470&gt;0,H4470*$C$7,""),"")</f>
        <v/>
      </c>
      <c r="L4470" s="139">
        <f>IFERROR(IF(ISNUMBER(F4470),F4470-IF(ISNUMBER(K4470),K4470,0),""),"")</f>
        <v/>
      </c>
    </row>
    <row r="4471" ht="24" customHeight="1" s="63">
      <c r="E4471" s="139" t="n"/>
      <c r="F4471" s="139" t="n"/>
      <c r="G4471" s="140">
        <f>IFERROR(IF(E4471&gt;0,(F4471/E4471)*1000,""),"")</f>
        <v/>
      </c>
      <c r="H4471" s="139">
        <f>IFERROR(IF(E4471&gt;0,E4471*IF(ISNUMBER(J4471),J4471,IF(C4471="Futures",$C$6,$C$5)),""),"")</f>
        <v/>
      </c>
      <c r="I4471" s="139">
        <f>IFERROR(IF(AND(ISNUMBER(F4471),ISNUMBER(H4471)),F4471-H4471,""),"")</f>
        <v/>
      </c>
      <c r="J4471" s="114" t="n"/>
      <c r="K4471" s="139">
        <f>IFERROR(IF(H4471&gt;0,H4471*$C$7,""),"")</f>
        <v/>
      </c>
      <c r="L4471" s="139">
        <f>IFERROR(IF(ISNUMBER(F4471),F4471-IF(ISNUMBER(K4471),K4471,0),""),"")</f>
        <v/>
      </c>
    </row>
    <row r="4472" ht="24" customHeight="1" s="63">
      <c r="E4472" s="139" t="n"/>
      <c r="F4472" s="139" t="n"/>
      <c r="G4472" s="140">
        <f>IFERROR(IF(E4472&gt;0,(F4472/E4472)*1000,""),"")</f>
        <v/>
      </c>
      <c r="H4472" s="139">
        <f>IFERROR(IF(E4472&gt;0,E4472*IF(ISNUMBER(J4472),J4472,IF(C4472="Futures",$C$6,$C$5)),""),"")</f>
        <v/>
      </c>
      <c r="I4472" s="139">
        <f>IFERROR(IF(AND(ISNUMBER(F4472),ISNUMBER(H4472)),F4472-H4472,""),"")</f>
        <v/>
      </c>
      <c r="J4472" s="114" t="n"/>
      <c r="K4472" s="139">
        <f>IFERROR(IF(H4472&gt;0,H4472*$C$7,""),"")</f>
        <v/>
      </c>
      <c r="L4472" s="139">
        <f>IFERROR(IF(ISNUMBER(F4472),F4472-IF(ISNUMBER(K4472),K4472,0),""),"")</f>
        <v/>
      </c>
    </row>
    <row r="4473" ht="24" customHeight="1" s="63">
      <c r="E4473" s="139" t="n"/>
      <c r="F4473" s="139" t="n"/>
      <c r="G4473" s="140">
        <f>IFERROR(IF(E4473&gt;0,(F4473/E4473)*1000,""),"")</f>
        <v/>
      </c>
      <c r="H4473" s="139">
        <f>IFERROR(IF(E4473&gt;0,E4473*IF(ISNUMBER(J4473),J4473,IF(C4473="Futures",$C$6,$C$5)),""),"")</f>
        <v/>
      </c>
      <c r="I4473" s="139">
        <f>IFERROR(IF(AND(ISNUMBER(F4473),ISNUMBER(H4473)),F4473-H4473,""),"")</f>
        <v/>
      </c>
      <c r="J4473" s="114" t="n"/>
      <c r="K4473" s="139">
        <f>IFERROR(IF(H4473&gt;0,H4473*$C$7,""),"")</f>
        <v/>
      </c>
      <c r="L4473" s="139">
        <f>IFERROR(IF(ISNUMBER(F4473),F4473-IF(ISNUMBER(K4473),K4473,0),""),"")</f>
        <v/>
      </c>
    </row>
    <row r="4474" ht="24" customHeight="1" s="63">
      <c r="E4474" s="139" t="n"/>
      <c r="F4474" s="139" t="n"/>
      <c r="G4474" s="140">
        <f>IFERROR(IF(E4474&gt;0,(F4474/E4474)*1000,""),"")</f>
        <v/>
      </c>
      <c r="H4474" s="139">
        <f>IFERROR(IF(E4474&gt;0,E4474*IF(ISNUMBER(J4474),J4474,IF(C4474="Futures",$C$6,$C$5)),""),"")</f>
        <v/>
      </c>
      <c r="I4474" s="139">
        <f>IFERROR(IF(AND(ISNUMBER(F4474),ISNUMBER(H4474)),F4474-H4474,""),"")</f>
        <v/>
      </c>
      <c r="J4474" s="114" t="n"/>
      <c r="K4474" s="139">
        <f>IFERROR(IF(H4474&gt;0,H4474*$C$7,""),"")</f>
        <v/>
      </c>
      <c r="L4474" s="139">
        <f>IFERROR(IF(ISNUMBER(F4474),F4474-IF(ISNUMBER(K4474),K4474,0),""),"")</f>
        <v/>
      </c>
    </row>
    <row r="4475" ht="24" customHeight="1" s="63">
      <c r="E4475" s="139" t="n"/>
      <c r="F4475" s="139" t="n"/>
      <c r="G4475" s="140">
        <f>IFERROR(IF(E4475&gt;0,(F4475/E4475)*1000,""),"")</f>
        <v/>
      </c>
      <c r="H4475" s="139">
        <f>IFERROR(IF(E4475&gt;0,E4475*IF(ISNUMBER(J4475),J4475,IF(C4475="Futures",$C$6,$C$5)),""),"")</f>
        <v/>
      </c>
      <c r="I4475" s="139">
        <f>IFERROR(IF(AND(ISNUMBER(F4475),ISNUMBER(H4475)),F4475-H4475,""),"")</f>
        <v/>
      </c>
      <c r="J4475" s="114" t="n"/>
      <c r="K4475" s="139">
        <f>IFERROR(IF(H4475&gt;0,H4475*$C$7,""),"")</f>
        <v/>
      </c>
      <c r="L4475" s="139">
        <f>IFERROR(IF(ISNUMBER(F4475),F4475-IF(ISNUMBER(K4475),K4475,0),""),"")</f>
        <v/>
      </c>
    </row>
    <row r="4476" ht="24" customHeight="1" s="63">
      <c r="E4476" s="139" t="n"/>
      <c r="F4476" s="139" t="n"/>
      <c r="G4476" s="140">
        <f>IFERROR(IF(E4476&gt;0,(F4476/E4476)*1000,""),"")</f>
        <v/>
      </c>
      <c r="H4476" s="139">
        <f>IFERROR(IF(E4476&gt;0,E4476*IF(ISNUMBER(J4476),J4476,IF(C4476="Futures",$C$6,$C$5)),""),"")</f>
        <v/>
      </c>
      <c r="I4476" s="139">
        <f>IFERROR(IF(AND(ISNUMBER(F4476),ISNUMBER(H4476)),F4476-H4476,""),"")</f>
        <v/>
      </c>
      <c r="J4476" s="114" t="n"/>
      <c r="K4476" s="139">
        <f>IFERROR(IF(H4476&gt;0,H4476*$C$7,""),"")</f>
        <v/>
      </c>
      <c r="L4476" s="139">
        <f>IFERROR(IF(ISNUMBER(F4476),F4476-IF(ISNUMBER(K4476),K4476,0),""),"")</f>
        <v/>
      </c>
    </row>
    <row r="4477" ht="24" customHeight="1" s="63">
      <c r="E4477" s="139" t="n"/>
      <c r="F4477" s="139" t="n"/>
      <c r="G4477" s="140">
        <f>IFERROR(IF(E4477&gt;0,(F4477/E4477)*1000,""),"")</f>
        <v/>
      </c>
      <c r="H4477" s="139">
        <f>IFERROR(IF(E4477&gt;0,E4477*IF(ISNUMBER(J4477),J4477,IF(C4477="Futures",$C$6,$C$5)),""),"")</f>
        <v/>
      </c>
      <c r="I4477" s="139">
        <f>IFERROR(IF(AND(ISNUMBER(F4477),ISNUMBER(H4477)),F4477-H4477,""),"")</f>
        <v/>
      </c>
      <c r="J4477" s="114" t="n"/>
      <c r="K4477" s="139">
        <f>IFERROR(IF(H4477&gt;0,H4477*$C$7,""),"")</f>
        <v/>
      </c>
      <c r="L4477" s="139">
        <f>IFERROR(IF(ISNUMBER(F4477),F4477-IF(ISNUMBER(K4477),K4477,0),""),"")</f>
        <v/>
      </c>
    </row>
    <row r="4478" ht="24" customHeight="1" s="63">
      <c r="E4478" s="139" t="n"/>
      <c r="F4478" s="139" t="n"/>
      <c r="G4478" s="140">
        <f>IFERROR(IF(E4478&gt;0,(F4478/E4478)*1000,""),"")</f>
        <v/>
      </c>
      <c r="H4478" s="139">
        <f>IFERROR(IF(E4478&gt;0,E4478*IF(ISNUMBER(J4478),J4478,IF(C4478="Futures",$C$6,$C$5)),""),"")</f>
        <v/>
      </c>
      <c r="I4478" s="139">
        <f>IFERROR(IF(AND(ISNUMBER(F4478),ISNUMBER(H4478)),F4478-H4478,""),"")</f>
        <v/>
      </c>
      <c r="J4478" s="114" t="n"/>
      <c r="K4478" s="139">
        <f>IFERROR(IF(H4478&gt;0,H4478*$C$7,""),"")</f>
        <v/>
      </c>
      <c r="L4478" s="139">
        <f>IFERROR(IF(ISNUMBER(F4478),F4478-IF(ISNUMBER(K4478),K4478,0),""),"")</f>
        <v/>
      </c>
    </row>
    <row r="4479" ht="24" customHeight="1" s="63">
      <c r="E4479" s="139" t="n"/>
      <c r="F4479" s="139" t="n"/>
      <c r="G4479" s="140">
        <f>IFERROR(IF(E4479&gt;0,(F4479/E4479)*1000,""),"")</f>
        <v/>
      </c>
      <c r="H4479" s="139">
        <f>IFERROR(IF(E4479&gt;0,E4479*IF(ISNUMBER(J4479),J4479,IF(C4479="Futures",$C$6,$C$5)),""),"")</f>
        <v/>
      </c>
      <c r="I4479" s="139">
        <f>IFERROR(IF(AND(ISNUMBER(F4479),ISNUMBER(H4479)),F4479-H4479,""),"")</f>
        <v/>
      </c>
      <c r="J4479" s="114" t="n"/>
      <c r="K4479" s="139">
        <f>IFERROR(IF(H4479&gt;0,H4479*$C$7,""),"")</f>
        <v/>
      </c>
      <c r="L4479" s="139">
        <f>IFERROR(IF(ISNUMBER(F4479),F4479-IF(ISNUMBER(K4479),K4479,0),""),"")</f>
        <v/>
      </c>
    </row>
    <row r="4480" ht="24" customHeight="1" s="63">
      <c r="E4480" s="139" t="n"/>
      <c r="F4480" s="139" t="n"/>
      <c r="G4480" s="140">
        <f>IFERROR(IF(E4480&gt;0,(F4480/E4480)*1000,""),"")</f>
        <v/>
      </c>
      <c r="H4480" s="139">
        <f>IFERROR(IF(E4480&gt;0,E4480*IF(ISNUMBER(J4480),J4480,IF(C4480="Futures",$C$6,$C$5)),""),"")</f>
        <v/>
      </c>
      <c r="I4480" s="139">
        <f>IFERROR(IF(AND(ISNUMBER(F4480),ISNUMBER(H4480)),F4480-H4480,""),"")</f>
        <v/>
      </c>
      <c r="J4480" s="114" t="n"/>
      <c r="K4480" s="139">
        <f>IFERROR(IF(H4480&gt;0,H4480*$C$7,""),"")</f>
        <v/>
      </c>
      <c r="L4480" s="139">
        <f>IFERROR(IF(ISNUMBER(F4480),F4480-IF(ISNUMBER(K4480),K4480,0),""),"")</f>
        <v/>
      </c>
    </row>
    <row r="4481" ht="24" customHeight="1" s="63">
      <c r="E4481" s="139" t="n"/>
      <c r="F4481" s="139" t="n"/>
      <c r="G4481" s="140">
        <f>IFERROR(IF(E4481&gt;0,(F4481/E4481)*1000,""),"")</f>
        <v/>
      </c>
      <c r="H4481" s="139">
        <f>IFERROR(IF(E4481&gt;0,E4481*IF(ISNUMBER(J4481),J4481,IF(C4481="Futures",$C$6,$C$5)),""),"")</f>
        <v/>
      </c>
      <c r="I4481" s="139">
        <f>IFERROR(IF(AND(ISNUMBER(F4481),ISNUMBER(H4481)),F4481-H4481,""),"")</f>
        <v/>
      </c>
      <c r="J4481" s="114" t="n"/>
      <c r="K4481" s="139">
        <f>IFERROR(IF(H4481&gt;0,H4481*$C$7,""),"")</f>
        <v/>
      </c>
      <c r="L4481" s="139">
        <f>IFERROR(IF(ISNUMBER(F4481),F4481-IF(ISNUMBER(K4481),K4481,0),""),"")</f>
        <v/>
      </c>
    </row>
    <row r="4482" ht="24" customHeight="1" s="63">
      <c r="E4482" s="139" t="n"/>
      <c r="F4482" s="139" t="n"/>
      <c r="G4482" s="140">
        <f>IFERROR(IF(E4482&gt;0,(F4482/E4482)*1000,""),"")</f>
        <v/>
      </c>
      <c r="H4482" s="139">
        <f>IFERROR(IF(E4482&gt;0,E4482*IF(ISNUMBER(J4482),J4482,IF(C4482="Futures",$C$6,$C$5)),""),"")</f>
        <v/>
      </c>
      <c r="I4482" s="139">
        <f>IFERROR(IF(AND(ISNUMBER(F4482),ISNUMBER(H4482)),F4482-H4482,""),"")</f>
        <v/>
      </c>
      <c r="J4482" s="114" t="n"/>
      <c r="K4482" s="139">
        <f>IFERROR(IF(H4482&gt;0,H4482*$C$7,""),"")</f>
        <v/>
      </c>
      <c r="L4482" s="139">
        <f>IFERROR(IF(ISNUMBER(F4482),F4482-IF(ISNUMBER(K4482),K4482,0),""),"")</f>
        <v/>
      </c>
    </row>
    <row r="4483" ht="24" customHeight="1" s="63">
      <c r="E4483" s="139" t="n"/>
      <c r="F4483" s="139" t="n"/>
      <c r="G4483" s="140">
        <f>IFERROR(IF(E4483&gt;0,(F4483/E4483)*1000,""),"")</f>
        <v/>
      </c>
      <c r="H4483" s="139">
        <f>IFERROR(IF(E4483&gt;0,E4483*IF(ISNUMBER(J4483),J4483,IF(C4483="Futures",$C$6,$C$5)),""),"")</f>
        <v/>
      </c>
      <c r="I4483" s="139">
        <f>IFERROR(IF(AND(ISNUMBER(F4483),ISNUMBER(H4483)),F4483-H4483,""),"")</f>
        <v/>
      </c>
      <c r="J4483" s="114" t="n"/>
      <c r="K4483" s="139">
        <f>IFERROR(IF(H4483&gt;0,H4483*$C$7,""),"")</f>
        <v/>
      </c>
      <c r="L4483" s="139">
        <f>IFERROR(IF(ISNUMBER(F4483),F4483-IF(ISNUMBER(K4483),K4483,0),""),"")</f>
        <v/>
      </c>
    </row>
    <row r="4484" ht="24" customHeight="1" s="63">
      <c r="E4484" s="139" t="n"/>
      <c r="F4484" s="139" t="n"/>
      <c r="G4484" s="140">
        <f>IFERROR(IF(E4484&gt;0,(F4484/E4484)*1000,""),"")</f>
        <v/>
      </c>
      <c r="H4484" s="139">
        <f>IFERROR(IF(E4484&gt;0,E4484*IF(ISNUMBER(J4484),J4484,IF(C4484="Futures",$C$6,$C$5)),""),"")</f>
        <v/>
      </c>
      <c r="I4484" s="139">
        <f>IFERROR(IF(AND(ISNUMBER(F4484),ISNUMBER(H4484)),F4484-H4484,""),"")</f>
        <v/>
      </c>
      <c r="J4484" s="114" t="n"/>
      <c r="K4484" s="139">
        <f>IFERROR(IF(H4484&gt;0,H4484*$C$7,""),"")</f>
        <v/>
      </c>
      <c r="L4484" s="139">
        <f>IFERROR(IF(ISNUMBER(F4484),F4484-IF(ISNUMBER(K4484),K4484,0),""),"")</f>
        <v/>
      </c>
    </row>
    <row r="4485" ht="24" customHeight="1" s="63">
      <c r="E4485" s="139" t="n"/>
      <c r="F4485" s="139" t="n"/>
      <c r="G4485" s="140">
        <f>IFERROR(IF(E4485&gt;0,(F4485/E4485)*1000,""),"")</f>
        <v/>
      </c>
      <c r="H4485" s="139">
        <f>IFERROR(IF(E4485&gt;0,E4485*IF(ISNUMBER(J4485),J4485,IF(C4485="Futures",$C$6,$C$5)),""),"")</f>
        <v/>
      </c>
      <c r="I4485" s="139">
        <f>IFERROR(IF(AND(ISNUMBER(F4485),ISNUMBER(H4485)),F4485-H4485,""),"")</f>
        <v/>
      </c>
      <c r="J4485" s="114" t="n"/>
      <c r="K4485" s="139">
        <f>IFERROR(IF(H4485&gt;0,H4485*$C$7,""),"")</f>
        <v/>
      </c>
      <c r="L4485" s="139">
        <f>IFERROR(IF(ISNUMBER(F4485),F4485-IF(ISNUMBER(K4485),K4485,0),""),"")</f>
        <v/>
      </c>
    </row>
    <row r="4486" ht="24" customHeight="1" s="63">
      <c r="E4486" s="139" t="n"/>
      <c r="F4486" s="139" t="n"/>
      <c r="G4486" s="140">
        <f>IFERROR(IF(E4486&gt;0,(F4486/E4486)*1000,""),"")</f>
        <v/>
      </c>
      <c r="H4486" s="139">
        <f>IFERROR(IF(E4486&gt;0,E4486*IF(ISNUMBER(J4486),J4486,IF(C4486="Futures",$C$6,$C$5)),""),"")</f>
        <v/>
      </c>
      <c r="I4486" s="139">
        <f>IFERROR(IF(AND(ISNUMBER(F4486),ISNUMBER(H4486)),F4486-H4486,""),"")</f>
        <v/>
      </c>
      <c r="J4486" s="114" t="n"/>
      <c r="K4486" s="139">
        <f>IFERROR(IF(H4486&gt;0,H4486*$C$7,""),"")</f>
        <v/>
      </c>
      <c r="L4486" s="139">
        <f>IFERROR(IF(ISNUMBER(F4486),F4486-IF(ISNUMBER(K4486),K4486,0),""),"")</f>
        <v/>
      </c>
    </row>
    <row r="4487" ht="24" customHeight="1" s="63">
      <c r="E4487" s="139" t="n"/>
      <c r="F4487" s="139" t="n"/>
      <c r="G4487" s="140">
        <f>IFERROR(IF(E4487&gt;0,(F4487/E4487)*1000,""),"")</f>
        <v/>
      </c>
      <c r="H4487" s="139">
        <f>IFERROR(IF(E4487&gt;0,E4487*IF(ISNUMBER(J4487),J4487,IF(C4487="Futures",$C$6,$C$5)),""),"")</f>
        <v/>
      </c>
      <c r="I4487" s="139">
        <f>IFERROR(IF(AND(ISNUMBER(F4487),ISNUMBER(H4487)),F4487-H4487,""),"")</f>
        <v/>
      </c>
      <c r="J4487" s="114" t="n"/>
      <c r="K4487" s="139">
        <f>IFERROR(IF(H4487&gt;0,H4487*$C$7,""),"")</f>
        <v/>
      </c>
      <c r="L4487" s="139">
        <f>IFERROR(IF(ISNUMBER(F4487),F4487-IF(ISNUMBER(K4487),K4487,0),""),"")</f>
        <v/>
      </c>
    </row>
    <row r="4488" ht="24" customHeight="1" s="63">
      <c r="E4488" s="139" t="n"/>
      <c r="F4488" s="139" t="n"/>
      <c r="G4488" s="140">
        <f>IFERROR(IF(E4488&gt;0,(F4488/E4488)*1000,""),"")</f>
        <v/>
      </c>
      <c r="H4488" s="139">
        <f>IFERROR(IF(E4488&gt;0,E4488*IF(ISNUMBER(J4488),J4488,IF(C4488="Futures",$C$6,$C$5)),""),"")</f>
        <v/>
      </c>
      <c r="I4488" s="139">
        <f>IFERROR(IF(AND(ISNUMBER(F4488),ISNUMBER(H4488)),F4488-H4488,""),"")</f>
        <v/>
      </c>
      <c r="J4488" s="114" t="n"/>
      <c r="K4488" s="139">
        <f>IFERROR(IF(H4488&gt;0,H4488*$C$7,""),"")</f>
        <v/>
      </c>
      <c r="L4488" s="139">
        <f>IFERROR(IF(ISNUMBER(F4488),F4488-IF(ISNUMBER(K4488),K4488,0),""),"")</f>
        <v/>
      </c>
    </row>
    <row r="4489" ht="24" customHeight="1" s="63">
      <c r="E4489" s="139" t="n"/>
      <c r="F4489" s="139" t="n"/>
      <c r="G4489" s="140">
        <f>IFERROR(IF(E4489&gt;0,(F4489/E4489)*1000,""),"")</f>
        <v/>
      </c>
      <c r="H4489" s="139">
        <f>IFERROR(IF(E4489&gt;0,E4489*IF(ISNUMBER(J4489),J4489,IF(C4489="Futures",$C$6,$C$5)),""),"")</f>
        <v/>
      </c>
      <c r="I4489" s="139">
        <f>IFERROR(IF(AND(ISNUMBER(F4489),ISNUMBER(H4489)),F4489-H4489,""),"")</f>
        <v/>
      </c>
      <c r="J4489" s="114" t="n"/>
      <c r="K4489" s="139">
        <f>IFERROR(IF(H4489&gt;0,H4489*$C$7,""),"")</f>
        <v/>
      </c>
      <c r="L4489" s="139">
        <f>IFERROR(IF(ISNUMBER(F4489),F4489-IF(ISNUMBER(K4489),K4489,0),""),"")</f>
        <v/>
      </c>
    </row>
    <row r="4490" ht="24" customHeight="1" s="63">
      <c r="E4490" s="139" t="n"/>
      <c r="F4490" s="139" t="n"/>
      <c r="G4490" s="140">
        <f>IFERROR(IF(E4490&gt;0,(F4490/E4490)*1000,""),"")</f>
        <v/>
      </c>
      <c r="H4490" s="139">
        <f>IFERROR(IF(E4490&gt;0,E4490*IF(ISNUMBER(J4490),J4490,IF(C4490="Futures",$C$6,$C$5)),""),"")</f>
        <v/>
      </c>
      <c r="I4490" s="139">
        <f>IFERROR(IF(AND(ISNUMBER(F4490),ISNUMBER(H4490)),F4490-H4490,""),"")</f>
        <v/>
      </c>
      <c r="J4490" s="114" t="n"/>
      <c r="K4490" s="139">
        <f>IFERROR(IF(H4490&gt;0,H4490*$C$7,""),"")</f>
        <v/>
      </c>
      <c r="L4490" s="139">
        <f>IFERROR(IF(ISNUMBER(F4490),F4490-IF(ISNUMBER(K4490),K4490,0),""),"")</f>
        <v/>
      </c>
    </row>
    <row r="4491" ht="24" customHeight="1" s="63">
      <c r="E4491" s="139" t="n"/>
      <c r="F4491" s="139" t="n"/>
      <c r="G4491" s="140">
        <f>IFERROR(IF(E4491&gt;0,(F4491/E4491)*1000,""),"")</f>
        <v/>
      </c>
      <c r="H4491" s="139">
        <f>IFERROR(IF(E4491&gt;0,E4491*IF(ISNUMBER(J4491),J4491,IF(C4491="Futures",$C$6,$C$5)),""),"")</f>
        <v/>
      </c>
      <c r="I4491" s="139">
        <f>IFERROR(IF(AND(ISNUMBER(F4491),ISNUMBER(H4491)),F4491-H4491,""),"")</f>
        <v/>
      </c>
      <c r="J4491" s="114" t="n"/>
      <c r="K4491" s="139">
        <f>IFERROR(IF(H4491&gt;0,H4491*$C$7,""),"")</f>
        <v/>
      </c>
      <c r="L4491" s="139">
        <f>IFERROR(IF(ISNUMBER(F4491),F4491-IF(ISNUMBER(K4491),K4491,0),""),"")</f>
        <v/>
      </c>
    </row>
    <row r="4492" ht="24" customHeight="1" s="63">
      <c r="E4492" s="139" t="n"/>
      <c r="F4492" s="139" t="n"/>
      <c r="G4492" s="140">
        <f>IFERROR(IF(E4492&gt;0,(F4492/E4492)*1000,""),"")</f>
        <v/>
      </c>
      <c r="H4492" s="139">
        <f>IFERROR(IF(E4492&gt;0,E4492*IF(ISNUMBER(J4492),J4492,IF(C4492="Futures",$C$6,$C$5)),""),"")</f>
        <v/>
      </c>
      <c r="I4492" s="139">
        <f>IFERROR(IF(AND(ISNUMBER(F4492),ISNUMBER(H4492)),F4492-H4492,""),"")</f>
        <v/>
      </c>
      <c r="J4492" s="114" t="n"/>
      <c r="K4492" s="139">
        <f>IFERROR(IF(H4492&gt;0,H4492*$C$7,""),"")</f>
        <v/>
      </c>
      <c r="L4492" s="139">
        <f>IFERROR(IF(ISNUMBER(F4492),F4492-IF(ISNUMBER(K4492),K4492,0),""),"")</f>
        <v/>
      </c>
    </row>
    <row r="4493" ht="24" customHeight="1" s="63">
      <c r="E4493" s="139" t="n"/>
      <c r="F4493" s="139" t="n"/>
      <c r="G4493" s="140">
        <f>IFERROR(IF(E4493&gt;0,(F4493/E4493)*1000,""),"")</f>
        <v/>
      </c>
      <c r="H4493" s="139">
        <f>IFERROR(IF(E4493&gt;0,E4493*IF(ISNUMBER(J4493),J4493,IF(C4493="Futures",$C$6,$C$5)),""),"")</f>
        <v/>
      </c>
      <c r="I4493" s="139">
        <f>IFERROR(IF(AND(ISNUMBER(F4493),ISNUMBER(H4493)),F4493-H4493,""),"")</f>
        <v/>
      </c>
      <c r="J4493" s="114" t="n"/>
      <c r="K4493" s="139">
        <f>IFERROR(IF(H4493&gt;0,H4493*$C$7,""),"")</f>
        <v/>
      </c>
      <c r="L4493" s="139">
        <f>IFERROR(IF(ISNUMBER(F4493),F4493-IF(ISNUMBER(K4493),K4493,0),""),"")</f>
        <v/>
      </c>
    </row>
    <row r="4494" ht="24" customHeight="1" s="63">
      <c r="E4494" s="139" t="n"/>
      <c r="F4494" s="139" t="n"/>
      <c r="G4494" s="140">
        <f>IFERROR(IF(E4494&gt;0,(F4494/E4494)*1000,""),"")</f>
        <v/>
      </c>
      <c r="H4494" s="139">
        <f>IFERROR(IF(E4494&gt;0,E4494*IF(ISNUMBER(J4494),J4494,IF(C4494="Futures",$C$6,$C$5)),""),"")</f>
        <v/>
      </c>
      <c r="I4494" s="139">
        <f>IFERROR(IF(AND(ISNUMBER(F4494),ISNUMBER(H4494)),F4494-H4494,""),"")</f>
        <v/>
      </c>
      <c r="J4494" s="114" t="n"/>
      <c r="K4494" s="139">
        <f>IFERROR(IF(H4494&gt;0,H4494*$C$7,""),"")</f>
        <v/>
      </c>
      <c r="L4494" s="139">
        <f>IFERROR(IF(ISNUMBER(F4494),F4494-IF(ISNUMBER(K4494),K4494,0),""),"")</f>
        <v/>
      </c>
    </row>
    <row r="4495" ht="24" customHeight="1" s="63">
      <c r="E4495" s="139" t="n"/>
      <c r="F4495" s="139" t="n"/>
      <c r="G4495" s="140">
        <f>IFERROR(IF(E4495&gt;0,(F4495/E4495)*1000,""),"")</f>
        <v/>
      </c>
      <c r="H4495" s="139">
        <f>IFERROR(IF(E4495&gt;0,E4495*IF(ISNUMBER(J4495),J4495,IF(C4495="Futures",$C$6,$C$5)),""),"")</f>
        <v/>
      </c>
      <c r="I4495" s="139">
        <f>IFERROR(IF(AND(ISNUMBER(F4495),ISNUMBER(H4495)),F4495-H4495,""),"")</f>
        <v/>
      </c>
      <c r="J4495" s="114" t="n"/>
      <c r="K4495" s="139">
        <f>IFERROR(IF(H4495&gt;0,H4495*$C$7,""),"")</f>
        <v/>
      </c>
      <c r="L4495" s="139">
        <f>IFERROR(IF(ISNUMBER(F4495),F4495-IF(ISNUMBER(K4495),K4495,0),""),"")</f>
        <v/>
      </c>
    </row>
    <row r="4496" ht="24" customHeight="1" s="63">
      <c r="E4496" s="139" t="n"/>
      <c r="F4496" s="139" t="n"/>
      <c r="G4496" s="140">
        <f>IFERROR(IF(E4496&gt;0,(F4496/E4496)*1000,""),"")</f>
        <v/>
      </c>
      <c r="H4496" s="139">
        <f>IFERROR(IF(E4496&gt;0,E4496*IF(ISNUMBER(J4496),J4496,IF(C4496="Futures",$C$6,$C$5)),""),"")</f>
        <v/>
      </c>
      <c r="I4496" s="139">
        <f>IFERROR(IF(AND(ISNUMBER(F4496),ISNUMBER(H4496)),F4496-H4496,""),"")</f>
        <v/>
      </c>
      <c r="J4496" s="114" t="n"/>
      <c r="K4496" s="139">
        <f>IFERROR(IF(H4496&gt;0,H4496*$C$7,""),"")</f>
        <v/>
      </c>
      <c r="L4496" s="139">
        <f>IFERROR(IF(ISNUMBER(F4496),F4496-IF(ISNUMBER(K4496),K4496,0),""),"")</f>
        <v/>
      </c>
    </row>
    <row r="4497" ht="24" customHeight="1" s="63">
      <c r="E4497" s="139" t="n"/>
      <c r="F4497" s="139" t="n"/>
      <c r="G4497" s="140">
        <f>IFERROR(IF(E4497&gt;0,(F4497/E4497)*1000,""),"")</f>
        <v/>
      </c>
      <c r="H4497" s="139">
        <f>IFERROR(IF(E4497&gt;0,E4497*IF(ISNUMBER(J4497),J4497,IF(C4497="Futures",$C$6,$C$5)),""),"")</f>
        <v/>
      </c>
      <c r="I4497" s="139">
        <f>IFERROR(IF(AND(ISNUMBER(F4497),ISNUMBER(H4497)),F4497-H4497,""),"")</f>
        <v/>
      </c>
      <c r="J4497" s="114" t="n"/>
      <c r="K4497" s="139">
        <f>IFERROR(IF(H4497&gt;0,H4497*$C$7,""),"")</f>
        <v/>
      </c>
      <c r="L4497" s="139">
        <f>IFERROR(IF(ISNUMBER(F4497),F4497-IF(ISNUMBER(K4497),K4497,0),""),"")</f>
        <v/>
      </c>
    </row>
    <row r="4498" ht="24" customHeight="1" s="63">
      <c r="E4498" s="139" t="n"/>
      <c r="F4498" s="139" t="n"/>
      <c r="G4498" s="140">
        <f>IFERROR(IF(E4498&gt;0,(F4498/E4498)*1000,""),"")</f>
        <v/>
      </c>
      <c r="H4498" s="139">
        <f>IFERROR(IF(E4498&gt;0,E4498*IF(ISNUMBER(J4498),J4498,IF(C4498="Futures",$C$6,$C$5)),""),"")</f>
        <v/>
      </c>
      <c r="I4498" s="139">
        <f>IFERROR(IF(AND(ISNUMBER(F4498),ISNUMBER(H4498)),F4498-H4498,""),"")</f>
        <v/>
      </c>
      <c r="J4498" s="114" t="n"/>
      <c r="K4498" s="139">
        <f>IFERROR(IF(H4498&gt;0,H4498*$C$7,""),"")</f>
        <v/>
      </c>
      <c r="L4498" s="139">
        <f>IFERROR(IF(ISNUMBER(F4498),F4498-IF(ISNUMBER(K4498),K4498,0),""),"")</f>
        <v/>
      </c>
    </row>
    <row r="4499" ht="24" customHeight="1" s="63">
      <c r="E4499" s="139" t="n"/>
      <c r="F4499" s="139" t="n"/>
      <c r="G4499" s="140">
        <f>IFERROR(IF(E4499&gt;0,(F4499/E4499)*1000,""),"")</f>
        <v/>
      </c>
      <c r="H4499" s="139">
        <f>IFERROR(IF(E4499&gt;0,E4499*IF(ISNUMBER(J4499),J4499,IF(C4499="Futures",$C$6,$C$5)),""),"")</f>
        <v/>
      </c>
      <c r="I4499" s="139">
        <f>IFERROR(IF(AND(ISNUMBER(F4499),ISNUMBER(H4499)),F4499-H4499,""),"")</f>
        <v/>
      </c>
      <c r="J4499" s="114" t="n"/>
      <c r="K4499" s="139">
        <f>IFERROR(IF(H4499&gt;0,H4499*$C$7,""),"")</f>
        <v/>
      </c>
      <c r="L4499" s="139">
        <f>IFERROR(IF(ISNUMBER(F4499),F4499-IF(ISNUMBER(K4499),K4499,0),""),"")</f>
        <v/>
      </c>
    </row>
    <row r="4500" ht="24" customHeight="1" s="63">
      <c r="E4500" s="139" t="n"/>
      <c r="F4500" s="139" t="n"/>
      <c r="G4500" s="140">
        <f>IFERROR(IF(E4500&gt;0,(F4500/E4500)*1000,""),"")</f>
        <v/>
      </c>
      <c r="H4500" s="139">
        <f>IFERROR(IF(E4500&gt;0,E4500*IF(ISNUMBER(J4500),J4500,IF(C4500="Futures",$C$6,$C$5)),""),"")</f>
        <v/>
      </c>
      <c r="I4500" s="139">
        <f>IFERROR(IF(AND(ISNUMBER(F4500),ISNUMBER(H4500)),F4500-H4500,""),"")</f>
        <v/>
      </c>
      <c r="J4500" s="114" t="n"/>
      <c r="K4500" s="139">
        <f>IFERROR(IF(H4500&gt;0,H4500*$C$7,""),"")</f>
        <v/>
      </c>
      <c r="L4500" s="139">
        <f>IFERROR(IF(ISNUMBER(F4500),F4500-IF(ISNUMBER(K4500),K4500,0),""),"")</f>
        <v/>
      </c>
    </row>
    <row r="4501" ht="24" customHeight="1" s="63">
      <c r="E4501" s="139" t="n"/>
      <c r="F4501" s="139" t="n"/>
      <c r="G4501" s="140">
        <f>IFERROR(IF(E4501&gt;0,(F4501/E4501)*1000,""),"")</f>
        <v/>
      </c>
      <c r="H4501" s="139">
        <f>IFERROR(IF(E4501&gt;0,E4501*IF(ISNUMBER(J4501),J4501,IF(C4501="Futures",$C$6,$C$5)),""),"")</f>
        <v/>
      </c>
      <c r="I4501" s="139">
        <f>IFERROR(IF(AND(ISNUMBER(F4501),ISNUMBER(H4501)),F4501-H4501,""),"")</f>
        <v/>
      </c>
      <c r="J4501" s="114" t="n"/>
      <c r="K4501" s="139">
        <f>IFERROR(IF(H4501&gt;0,H4501*$C$7,""),"")</f>
        <v/>
      </c>
      <c r="L4501" s="139">
        <f>IFERROR(IF(ISNUMBER(F4501),F4501-IF(ISNUMBER(K4501),K4501,0),""),"")</f>
        <v/>
      </c>
    </row>
    <row r="4502" ht="24" customHeight="1" s="63">
      <c r="E4502" s="139" t="n"/>
      <c r="F4502" s="139" t="n"/>
      <c r="G4502" s="140">
        <f>IFERROR(IF(E4502&gt;0,(F4502/E4502)*1000,""),"")</f>
        <v/>
      </c>
      <c r="H4502" s="139">
        <f>IFERROR(IF(E4502&gt;0,E4502*IF(ISNUMBER(J4502),J4502,IF(C4502="Futures",$C$6,$C$5)),""),"")</f>
        <v/>
      </c>
      <c r="I4502" s="139">
        <f>IFERROR(IF(AND(ISNUMBER(F4502),ISNUMBER(H4502)),F4502-H4502,""),"")</f>
        <v/>
      </c>
      <c r="J4502" s="114" t="n"/>
      <c r="K4502" s="139">
        <f>IFERROR(IF(H4502&gt;0,H4502*$C$7,""),"")</f>
        <v/>
      </c>
      <c r="L4502" s="139">
        <f>IFERROR(IF(ISNUMBER(F4502),F4502-IF(ISNUMBER(K4502),K4502,0),""),"")</f>
        <v/>
      </c>
    </row>
    <row r="4503" ht="24" customHeight="1" s="63">
      <c r="E4503" s="139" t="n"/>
      <c r="F4503" s="139" t="n"/>
      <c r="G4503" s="140">
        <f>IFERROR(IF(E4503&gt;0,(F4503/E4503)*1000,""),"")</f>
        <v/>
      </c>
      <c r="H4503" s="139">
        <f>IFERROR(IF(E4503&gt;0,E4503*IF(ISNUMBER(J4503),J4503,IF(C4503="Futures",$C$6,$C$5)),""),"")</f>
        <v/>
      </c>
      <c r="I4503" s="139">
        <f>IFERROR(IF(AND(ISNUMBER(F4503),ISNUMBER(H4503)),F4503-H4503,""),"")</f>
        <v/>
      </c>
      <c r="J4503" s="114" t="n"/>
      <c r="K4503" s="139">
        <f>IFERROR(IF(H4503&gt;0,H4503*$C$7,""),"")</f>
        <v/>
      </c>
      <c r="L4503" s="139">
        <f>IFERROR(IF(ISNUMBER(F4503),F4503-IF(ISNUMBER(K4503),K4503,0),""),"")</f>
        <v/>
      </c>
    </row>
    <row r="4504" ht="24" customHeight="1" s="63">
      <c r="E4504" s="139" t="n"/>
      <c r="F4504" s="139" t="n"/>
      <c r="G4504" s="140">
        <f>IFERROR(IF(E4504&gt;0,(F4504/E4504)*1000,""),"")</f>
        <v/>
      </c>
      <c r="H4504" s="139">
        <f>IFERROR(IF(E4504&gt;0,E4504*IF(ISNUMBER(J4504),J4504,IF(C4504="Futures",$C$6,$C$5)),""),"")</f>
        <v/>
      </c>
      <c r="I4504" s="139">
        <f>IFERROR(IF(AND(ISNUMBER(F4504),ISNUMBER(H4504)),F4504-H4504,""),"")</f>
        <v/>
      </c>
      <c r="J4504" s="114" t="n"/>
      <c r="K4504" s="139">
        <f>IFERROR(IF(H4504&gt;0,H4504*$C$7,""),"")</f>
        <v/>
      </c>
      <c r="L4504" s="139">
        <f>IFERROR(IF(ISNUMBER(F4504),F4504-IF(ISNUMBER(K4504),K4504,0),""),"")</f>
        <v/>
      </c>
    </row>
    <row r="4505" ht="24" customHeight="1" s="63">
      <c r="E4505" s="139" t="n"/>
      <c r="F4505" s="139" t="n"/>
      <c r="G4505" s="140">
        <f>IFERROR(IF(E4505&gt;0,(F4505/E4505)*1000,""),"")</f>
        <v/>
      </c>
      <c r="H4505" s="139">
        <f>IFERROR(IF(E4505&gt;0,E4505*IF(ISNUMBER(J4505),J4505,IF(C4505="Futures",$C$6,$C$5)),""),"")</f>
        <v/>
      </c>
      <c r="I4505" s="139">
        <f>IFERROR(IF(AND(ISNUMBER(F4505),ISNUMBER(H4505)),F4505-H4505,""),"")</f>
        <v/>
      </c>
      <c r="J4505" s="114" t="n"/>
      <c r="K4505" s="139">
        <f>IFERROR(IF(H4505&gt;0,H4505*$C$7,""),"")</f>
        <v/>
      </c>
      <c r="L4505" s="139">
        <f>IFERROR(IF(ISNUMBER(F4505),F4505-IF(ISNUMBER(K4505),K4505,0),""),"")</f>
        <v/>
      </c>
    </row>
    <row r="4506" ht="24" customHeight="1" s="63">
      <c r="E4506" s="139" t="n"/>
      <c r="F4506" s="139" t="n"/>
      <c r="G4506" s="140">
        <f>IFERROR(IF(E4506&gt;0,(F4506/E4506)*1000,""),"")</f>
        <v/>
      </c>
      <c r="H4506" s="139">
        <f>IFERROR(IF(E4506&gt;0,E4506*IF(ISNUMBER(J4506),J4506,IF(C4506="Futures",$C$6,$C$5)),""),"")</f>
        <v/>
      </c>
      <c r="I4506" s="139">
        <f>IFERROR(IF(AND(ISNUMBER(F4506),ISNUMBER(H4506)),F4506-H4506,""),"")</f>
        <v/>
      </c>
      <c r="J4506" s="114" t="n"/>
      <c r="K4506" s="139">
        <f>IFERROR(IF(H4506&gt;0,H4506*$C$7,""),"")</f>
        <v/>
      </c>
      <c r="L4506" s="139">
        <f>IFERROR(IF(ISNUMBER(F4506),F4506-IF(ISNUMBER(K4506),K4506,0),""),"")</f>
        <v/>
      </c>
    </row>
    <row r="4507" ht="24" customHeight="1" s="63">
      <c r="E4507" s="139" t="n"/>
      <c r="F4507" s="139" t="n"/>
      <c r="G4507" s="140">
        <f>IFERROR(IF(E4507&gt;0,(F4507/E4507)*1000,""),"")</f>
        <v/>
      </c>
      <c r="H4507" s="139">
        <f>IFERROR(IF(E4507&gt;0,E4507*IF(ISNUMBER(J4507),J4507,IF(C4507="Futures",$C$6,$C$5)),""),"")</f>
        <v/>
      </c>
      <c r="I4507" s="139">
        <f>IFERROR(IF(AND(ISNUMBER(F4507),ISNUMBER(H4507)),F4507-H4507,""),"")</f>
        <v/>
      </c>
      <c r="J4507" s="114" t="n"/>
      <c r="K4507" s="139">
        <f>IFERROR(IF(H4507&gt;0,H4507*$C$7,""),"")</f>
        <v/>
      </c>
      <c r="L4507" s="139">
        <f>IFERROR(IF(ISNUMBER(F4507),F4507-IF(ISNUMBER(K4507),K4507,0),""),"")</f>
        <v/>
      </c>
    </row>
    <row r="4508" ht="24" customHeight="1" s="63">
      <c r="E4508" s="139" t="n"/>
      <c r="F4508" s="139" t="n"/>
      <c r="G4508" s="140">
        <f>IFERROR(IF(E4508&gt;0,(F4508/E4508)*1000,""),"")</f>
        <v/>
      </c>
      <c r="H4508" s="139">
        <f>IFERROR(IF(E4508&gt;0,E4508*IF(ISNUMBER(J4508),J4508,IF(C4508="Futures",$C$6,$C$5)),""),"")</f>
        <v/>
      </c>
      <c r="I4508" s="139">
        <f>IFERROR(IF(AND(ISNUMBER(F4508),ISNUMBER(H4508)),F4508-H4508,""),"")</f>
        <v/>
      </c>
      <c r="J4508" s="114" t="n"/>
      <c r="K4508" s="139">
        <f>IFERROR(IF(H4508&gt;0,H4508*$C$7,""),"")</f>
        <v/>
      </c>
      <c r="L4508" s="139">
        <f>IFERROR(IF(ISNUMBER(F4508),F4508-IF(ISNUMBER(K4508),K4508,0),""),"")</f>
        <v/>
      </c>
    </row>
    <row r="4509" ht="24" customHeight="1" s="63">
      <c r="E4509" s="139" t="n"/>
      <c r="F4509" s="139" t="n"/>
      <c r="G4509" s="140">
        <f>IFERROR(IF(E4509&gt;0,(F4509/E4509)*1000,""),"")</f>
        <v/>
      </c>
      <c r="H4509" s="139">
        <f>IFERROR(IF(E4509&gt;0,E4509*IF(ISNUMBER(J4509),J4509,IF(C4509="Futures",$C$6,$C$5)),""),"")</f>
        <v/>
      </c>
      <c r="I4509" s="139">
        <f>IFERROR(IF(AND(ISNUMBER(F4509),ISNUMBER(H4509)),F4509-H4509,""),"")</f>
        <v/>
      </c>
      <c r="J4509" s="114" t="n"/>
      <c r="K4509" s="139">
        <f>IFERROR(IF(H4509&gt;0,H4509*$C$7,""),"")</f>
        <v/>
      </c>
      <c r="L4509" s="139">
        <f>IFERROR(IF(ISNUMBER(F4509),F4509-IF(ISNUMBER(K4509),K4509,0),""),"")</f>
        <v/>
      </c>
    </row>
    <row r="4510" ht="24" customHeight="1" s="63">
      <c r="E4510" s="139" t="n"/>
      <c r="F4510" s="139" t="n"/>
      <c r="G4510" s="140">
        <f>IFERROR(IF(E4510&gt;0,(F4510/E4510)*1000,""),"")</f>
        <v/>
      </c>
      <c r="H4510" s="139">
        <f>IFERROR(IF(E4510&gt;0,E4510*IF(ISNUMBER(J4510),J4510,IF(C4510="Futures",$C$6,$C$5)),""),"")</f>
        <v/>
      </c>
      <c r="I4510" s="139">
        <f>IFERROR(IF(AND(ISNUMBER(F4510),ISNUMBER(H4510)),F4510-H4510,""),"")</f>
        <v/>
      </c>
      <c r="J4510" s="114" t="n"/>
      <c r="K4510" s="139">
        <f>IFERROR(IF(H4510&gt;0,H4510*$C$7,""),"")</f>
        <v/>
      </c>
      <c r="L4510" s="139">
        <f>IFERROR(IF(ISNUMBER(F4510),F4510-IF(ISNUMBER(K4510),K4510,0),""),"")</f>
        <v/>
      </c>
    </row>
    <row r="4511" ht="24" customHeight="1" s="63">
      <c r="E4511" s="139" t="n"/>
      <c r="F4511" s="139" t="n"/>
      <c r="G4511" s="140">
        <f>IFERROR(IF(E4511&gt;0,(F4511/E4511)*1000,""),"")</f>
        <v/>
      </c>
      <c r="H4511" s="139">
        <f>IFERROR(IF(E4511&gt;0,E4511*IF(ISNUMBER(J4511),J4511,IF(C4511="Futures",$C$6,$C$5)),""),"")</f>
        <v/>
      </c>
      <c r="I4511" s="139">
        <f>IFERROR(IF(AND(ISNUMBER(F4511),ISNUMBER(H4511)),F4511-H4511,""),"")</f>
        <v/>
      </c>
      <c r="J4511" s="114" t="n"/>
      <c r="K4511" s="139">
        <f>IFERROR(IF(H4511&gt;0,H4511*$C$7,""),"")</f>
        <v/>
      </c>
      <c r="L4511" s="139">
        <f>IFERROR(IF(ISNUMBER(F4511),F4511-IF(ISNUMBER(K4511),K4511,0),""),"")</f>
        <v/>
      </c>
    </row>
    <row r="4512" ht="24" customHeight="1" s="63">
      <c r="E4512" s="139" t="n"/>
      <c r="F4512" s="139" t="n"/>
      <c r="G4512" s="140">
        <f>IFERROR(IF(E4512&gt;0,(F4512/E4512)*1000,""),"")</f>
        <v/>
      </c>
      <c r="H4512" s="139">
        <f>IFERROR(IF(E4512&gt;0,E4512*IF(ISNUMBER(J4512),J4512,IF(C4512="Futures",$C$6,$C$5)),""),"")</f>
        <v/>
      </c>
      <c r="I4512" s="139">
        <f>IFERROR(IF(AND(ISNUMBER(F4512),ISNUMBER(H4512)),F4512-H4512,""),"")</f>
        <v/>
      </c>
      <c r="J4512" s="114" t="n"/>
      <c r="K4512" s="139">
        <f>IFERROR(IF(H4512&gt;0,H4512*$C$7,""),"")</f>
        <v/>
      </c>
      <c r="L4512" s="139">
        <f>IFERROR(IF(ISNUMBER(F4512),F4512-IF(ISNUMBER(K4512),K4512,0),""),"")</f>
        <v/>
      </c>
    </row>
    <row r="4513" ht="24" customHeight="1" s="63">
      <c r="E4513" s="139" t="n"/>
      <c r="F4513" s="139" t="n"/>
      <c r="G4513" s="140">
        <f>IFERROR(IF(E4513&gt;0,(F4513/E4513)*1000,""),"")</f>
        <v/>
      </c>
      <c r="H4513" s="139">
        <f>IFERROR(IF(E4513&gt;0,E4513*IF(ISNUMBER(J4513),J4513,IF(C4513="Futures",$C$6,$C$5)),""),"")</f>
        <v/>
      </c>
      <c r="I4513" s="139">
        <f>IFERROR(IF(AND(ISNUMBER(F4513),ISNUMBER(H4513)),F4513-H4513,""),"")</f>
        <v/>
      </c>
      <c r="J4513" s="114" t="n"/>
      <c r="K4513" s="139">
        <f>IFERROR(IF(H4513&gt;0,H4513*$C$7,""),"")</f>
        <v/>
      </c>
      <c r="L4513" s="139">
        <f>IFERROR(IF(ISNUMBER(F4513),F4513-IF(ISNUMBER(K4513),K4513,0),""),"")</f>
        <v/>
      </c>
    </row>
    <row r="4514" ht="24" customHeight="1" s="63">
      <c r="E4514" s="139" t="n"/>
      <c r="F4514" s="139" t="n"/>
      <c r="G4514" s="140">
        <f>IFERROR(IF(E4514&gt;0,(F4514/E4514)*1000,""),"")</f>
        <v/>
      </c>
      <c r="H4514" s="139">
        <f>IFERROR(IF(E4514&gt;0,E4514*IF(ISNUMBER(J4514),J4514,IF(C4514="Futures",$C$6,$C$5)),""),"")</f>
        <v/>
      </c>
      <c r="I4514" s="139">
        <f>IFERROR(IF(AND(ISNUMBER(F4514),ISNUMBER(H4514)),F4514-H4514,""),"")</f>
        <v/>
      </c>
      <c r="J4514" s="114" t="n"/>
      <c r="K4514" s="139">
        <f>IFERROR(IF(H4514&gt;0,H4514*$C$7,""),"")</f>
        <v/>
      </c>
      <c r="L4514" s="139">
        <f>IFERROR(IF(ISNUMBER(F4514),F4514-IF(ISNUMBER(K4514),K4514,0),""),"")</f>
        <v/>
      </c>
    </row>
    <row r="4515" ht="24" customHeight="1" s="63">
      <c r="E4515" s="139" t="n"/>
      <c r="F4515" s="139" t="n"/>
      <c r="G4515" s="140">
        <f>IFERROR(IF(E4515&gt;0,(F4515/E4515)*1000,""),"")</f>
        <v/>
      </c>
      <c r="H4515" s="139">
        <f>IFERROR(IF(E4515&gt;0,E4515*IF(ISNUMBER(J4515),J4515,IF(C4515="Futures",$C$6,$C$5)),""),"")</f>
        <v/>
      </c>
      <c r="I4515" s="139">
        <f>IFERROR(IF(AND(ISNUMBER(F4515),ISNUMBER(H4515)),F4515-H4515,""),"")</f>
        <v/>
      </c>
      <c r="J4515" s="114" t="n"/>
      <c r="K4515" s="139">
        <f>IFERROR(IF(H4515&gt;0,H4515*$C$7,""),"")</f>
        <v/>
      </c>
      <c r="L4515" s="139">
        <f>IFERROR(IF(ISNUMBER(F4515),F4515-IF(ISNUMBER(K4515),K4515,0),""),"")</f>
        <v/>
      </c>
    </row>
    <row r="4516" ht="24" customHeight="1" s="63">
      <c r="E4516" s="139" t="n"/>
      <c r="F4516" s="139" t="n"/>
      <c r="G4516" s="140">
        <f>IFERROR(IF(E4516&gt;0,(F4516/E4516)*1000,""),"")</f>
        <v/>
      </c>
      <c r="H4516" s="139">
        <f>IFERROR(IF(E4516&gt;0,E4516*IF(ISNUMBER(J4516),J4516,IF(C4516="Futures",$C$6,$C$5)),""),"")</f>
        <v/>
      </c>
      <c r="I4516" s="139">
        <f>IFERROR(IF(AND(ISNUMBER(F4516),ISNUMBER(H4516)),F4516-H4516,""),"")</f>
        <v/>
      </c>
      <c r="J4516" s="114" t="n"/>
      <c r="K4516" s="139">
        <f>IFERROR(IF(H4516&gt;0,H4516*$C$7,""),"")</f>
        <v/>
      </c>
      <c r="L4516" s="139">
        <f>IFERROR(IF(ISNUMBER(F4516),F4516-IF(ISNUMBER(K4516),K4516,0),""),"")</f>
        <v/>
      </c>
    </row>
    <row r="4517" ht="24" customHeight="1" s="63">
      <c r="E4517" s="139" t="n"/>
      <c r="F4517" s="139" t="n"/>
      <c r="G4517" s="140">
        <f>IFERROR(IF(E4517&gt;0,(F4517/E4517)*1000,""),"")</f>
        <v/>
      </c>
      <c r="H4517" s="139">
        <f>IFERROR(IF(E4517&gt;0,E4517*IF(ISNUMBER(J4517),J4517,IF(C4517="Futures",$C$6,$C$5)),""),"")</f>
        <v/>
      </c>
      <c r="I4517" s="139">
        <f>IFERROR(IF(AND(ISNUMBER(F4517),ISNUMBER(H4517)),F4517-H4517,""),"")</f>
        <v/>
      </c>
      <c r="J4517" s="114" t="n"/>
      <c r="K4517" s="139">
        <f>IFERROR(IF(H4517&gt;0,H4517*$C$7,""),"")</f>
        <v/>
      </c>
      <c r="L4517" s="139">
        <f>IFERROR(IF(ISNUMBER(F4517),F4517-IF(ISNUMBER(K4517),K4517,0),""),"")</f>
        <v/>
      </c>
    </row>
    <row r="4518" ht="24" customHeight="1" s="63">
      <c r="E4518" s="139" t="n"/>
      <c r="F4518" s="139" t="n"/>
      <c r="G4518" s="140">
        <f>IFERROR(IF(E4518&gt;0,(F4518/E4518)*1000,""),"")</f>
        <v/>
      </c>
      <c r="H4518" s="139">
        <f>IFERROR(IF(E4518&gt;0,E4518*IF(ISNUMBER(J4518),J4518,IF(C4518="Futures",$C$6,$C$5)),""),"")</f>
        <v/>
      </c>
      <c r="I4518" s="139">
        <f>IFERROR(IF(AND(ISNUMBER(F4518),ISNUMBER(H4518)),F4518-H4518,""),"")</f>
        <v/>
      </c>
      <c r="J4518" s="114" t="n"/>
      <c r="K4518" s="139">
        <f>IFERROR(IF(H4518&gt;0,H4518*$C$7,""),"")</f>
        <v/>
      </c>
      <c r="L4518" s="139">
        <f>IFERROR(IF(ISNUMBER(F4518),F4518-IF(ISNUMBER(K4518),K4518,0),""),"")</f>
        <v/>
      </c>
    </row>
    <row r="4519" ht="24" customHeight="1" s="63">
      <c r="E4519" s="139" t="n"/>
      <c r="F4519" s="139" t="n"/>
      <c r="G4519" s="140">
        <f>IFERROR(IF(E4519&gt;0,(F4519/E4519)*1000,""),"")</f>
        <v/>
      </c>
      <c r="H4519" s="139">
        <f>IFERROR(IF(E4519&gt;0,E4519*IF(ISNUMBER(J4519),J4519,IF(C4519="Futures",$C$6,$C$5)),""),"")</f>
        <v/>
      </c>
      <c r="I4519" s="139">
        <f>IFERROR(IF(AND(ISNUMBER(F4519),ISNUMBER(H4519)),F4519-H4519,""),"")</f>
        <v/>
      </c>
      <c r="J4519" s="114" t="n"/>
      <c r="K4519" s="139">
        <f>IFERROR(IF(H4519&gt;0,H4519*$C$7,""),"")</f>
        <v/>
      </c>
      <c r="L4519" s="139">
        <f>IFERROR(IF(ISNUMBER(F4519),F4519-IF(ISNUMBER(K4519),K4519,0),""),"")</f>
        <v/>
      </c>
    </row>
    <row r="4520" ht="24" customHeight="1" s="63">
      <c r="E4520" s="139" t="n"/>
      <c r="F4520" s="139" t="n"/>
      <c r="G4520" s="140">
        <f>IFERROR(IF(E4520&gt;0,(F4520/E4520)*1000,""),"")</f>
        <v/>
      </c>
      <c r="H4520" s="139">
        <f>IFERROR(IF(E4520&gt;0,E4520*IF(ISNUMBER(J4520),J4520,IF(C4520="Futures",$C$6,$C$5)),""),"")</f>
        <v/>
      </c>
      <c r="I4520" s="139">
        <f>IFERROR(IF(AND(ISNUMBER(F4520),ISNUMBER(H4520)),F4520-H4520,""),"")</f>
        <v/>
      </c>
      <c r="J4520" s="114" t="n"/>
      <c r="K4520" s="139">
        <f>IFERROR(IF(H4520&gt;0,H4520*$C$7,""),"")</f>
        <v/>
      </c>
      <c r="L4520" s="139">
        <f>IFERROR(IF(ISNUMBER(F4520),F4520-IF(ISNUMBER(K4520),K4520,0),""),"")</f>
        <v/>
      </c>
    </row>
    <row r="4521" ht="24" customHeight="1" s="63">
      <c r="E4521" s="139" t="n"/>
      <c r="F4521" s="139" t="n"/>
      <c r="G4521" s="140">
        <f>IFERROR(IF(E4521&gt;0,(F4521/E4521)*1000,""),"")</f>
        <v/>
      </c>
      <c r="H4521" s="139">
        <f>IFERROR(IF(E4521&gt;0,E4521*IF(ISNUMBER(J4521),J4521,IF(C4521="Futures",$C$6,$C$5)),""),"")</f>
        <v/>
      </c>
      <c r="I4521" s="139">
        <f>IFERROR(IF(AND(ISNUMBER(F4521),ISNUMBER(H4521)),F4521-H4521,""),"")</f>
        <v/>
      </c>
      <c r="J4521" s="114" t="n"/>
      <c r="K4521" s="139">
        <f>IFERROR(IF(H4521&gt;0,H4521*$C$7,""),"")</f>
        <v/>
      </c>
      <c r="L4521" s="139">
        <f>IFERROR(IF(ISNUMBER(F4521),F4521-IF(ISNUMBER(K4521),K4521,0),""),"")</f>
        <v/>
      </c>
    </row>
    <row r="4522" ht="24" customHeight="1" s="63">
      <c r="E4522" s="139" t="n"/>
      <c r="F4522" s="139" t="n"/>
      <c r="G4522" s="140">
        <f>IFERROR(IF(E4522&gt;0,(F4522/E4522)*1000,""),"")</f>
        <v/>
      </c>
      <c r="H4522" s="139">
        <f>IFERROR(IF(E4522&gt;0,E4522*IF(ISNUMBER(J4522),J4522,IF(C4522="Futures",$C$6,$C$5)),""),"")</f>
        <v/>
      </c>
      <c r="I4522" s="139">
        <f>IFERROR(IF(AND(ISNUMBER(F4522),ISNUMBER(H4522)),F4522-H4522,""),"")</f>
        <v/>
      </c>
      <c r="J4522" s="114" t="n"/>
      <c r="K4522" s="139">
        <f>IFERROR(IF(H4522&gt;0,H4522*$C$7,""),"")</f>
        <v/>
      </c>
      <c r="L4522" s="139">
        <f>IFERROR(IF(ISNUMBER(F4522),F4522-IF(ISNUMBER(K4522),K4522,0),""),"")</f>
        <v/>
      </c>
    </row>
    <row r="4523" ht="24" customHeight="1" s="63">
      <c r="E4523" s="139" t="n"/>
      <c r="F4523" s="139" t="n"/>
      <c r="G4523" s="140">
        <f>IFERROR(IF(E4523&gt;0,(F4523/E4523)*1000,""),"")</f>
        <v/>
      </c>
      <c r="H4523" s="139">
        <f>IFERROR(IF(E4523&gt;0,E4523*IF(ISNUMBER(J4523),J4523,IF(C4523="Futures",$C$6,$C$5)),""),"")</f>
        <v/>
      </c>
      <c r="I4523" s="139">
        <f>IFERROR(IF(AND(ISNUMBER(F4523),ISNUMBER(H4523)),F4523-H4523,""),"")</f>
        <v/>
      </c>
      <c r="J4523" s="114" t="n"/>
      <c r="K4523" s="139">
        <f>IFERROR(IF(H4523&gt;0,H4523*$C$7,""),"")</f>
        <v/>
      </c>
      <c r="L4523" s="139">
        <f>IFERROR(IF(ISNUMBER(F4523),F4523-IF(ISNUMBER(K4523),K4523,0),""),"")</f>
        <v/>
      </c>
    </row>
    <row r="4524" ht="24" customHeight="1" s="63">
      <c r="E4524" s="139" t="n"/>
      <c r="F4524" s="139" t="n"/>
      <c r="G4524" s="140">
        <f>IFERROR(IF(E4524&gt;0,(F4524/E4524)*1000,""),"")</f>
        <v/>
      </c>
      <c r="H4524" s="139">
        <f>IFERROR(IF(E4524&gt;0,E4524*IF(ISNUMBER(J4524),J4524,IF(C4524="Futures",$C$6,$C$5)),""),"")</f>
        <v/>
      </c>
      <c r="I4524" s="139">
        <f>IFERROR(IF(AND(ISNUMBER(F4524),ISNUMBER(H4524)),F4524-H4524,""),"")</f>
        <v/>
      </c>
      <c r="J4524" s="114" t="n"/>
      <c r="K4524" s="139">
        <f>IFERROR(IF(H4524&gt;0,H4524*$C$7,""),"")</f>
        <v/>
      </c>
      <c r="L4524" s="139">
        <f>IFERROR(IF(ISNUMBER(F4524),F4524-IF(ISNUMBER(K4524),K4524,0),""),"")</f>
        <v/>
      </c>
    </row>
    <row r="4525" ht="24" customHeight="1" s="63">
      <c r="E4525" s="139" t="n"/>
      <c r="F4525" s="139" t="n"/>
      <c r="G4525" s="140">
        <f>IFERROR(IF(E4525&gt;0,(F4525/E4525)*1000,""),"")</f>
        <v/>
      </c>
      <c r="H4525" s="139">
        <f>IFERROR(IF(E4525&gt;0,E4525*IF(ISNUMBER(J4525),J4525,IF(C4525="Futures",$C$6,$C$5)),""),"")</f>
        <v/>
      </c>
      <c r="I4525" s="139">
        <f>IFERROR(IF(AND(ISNUMBER(F4525),ISNUMBER(H4525)),F4525-H4525,""),"")</f>
        <v/>
      </c>
      <c r="J4525" s="114" t="n"/>
      <c r="K4525" s="139">
        <f>IFERROR(IF(H4525&gt;0,H4525*$C$7,""),"")</f>
        <v/>
      </c>
      <c r="L4525" s="139">
        <f>IFERROR(IF(ISNUMBER(F4525),F4525-IF(ISNUMBER(K4525),K4525,0),""),"")</f>
        <v/>
      </c>
    </row>
    <row r="4526" ht="24" customHeight="1" s="63">
      <c r="E4526" s="139" t="n"/>
      <c r="F4526" s="139" t="n"/>
      <c r="G4526" s="140">
        <f>IFERROR(IF(E4526&gt;0,(F4526/E4526)*1000,""),"")</f>
        <v/>
      </c>
      <c r="H4526" s="139">
        <f>IFERROR(IF(E4526&gt;0,E4526*IF(ISNUMBER(J4526),J4526,IF(C4526="Futures",$C$6,$C$5)),""),"")</f>
        <v/>
      </c>
      <c r="I4526" s="139">
        <f>IFERROR(IF(AND(ISNUMBER(F4526),ISNUMBER(H4526)),F4526-H4526,""),"")</f>
        <v/>
      </c>
      <c r="J4526" s="114" t="n"/>
      <c r="K4526" s="139">
        <f>IFERROR(IF(H4526&gt;0,H4526*$C$7,""),"")</f>
        <v/>
      </c>
      <c r="L4526" s="139">
        <f>IFERROR(IF(ISNUMBER(F4526),F4526-IF(ISNUMBER(K4526),K4526,0),""),"")</f>
        <v/>
      </c>
    </row>
    <row r="4527" ht="24" customHeight="1" s="63">
      <c r="E4527" s="139" t="n"/>
      <c r="F4527" s="139" t="n"/>
      <c r="G4527" s="140">
        <f>IFERROR(IF(E4527&gt;0,(F4527/E4527)*1000,""),"")</f>
        <v/>
      </c>
      <c r="H4527" s="139">
        <f>IFERROR(IF(E4527&gt;0,E4527*IF(ISNUMBER(J4527),J4527,IF(C4527="Futures",$C$6,$C$5)),""),"")</f>
        <v/>
      </c>
      <c r="I4527" s="139">
        <f>IFERROR(IF(AND(ISNUMBER(F4527),ISNUMBER(H4527)),F4527-H4527,""),"")</f>
        <v/>
      </c>
      <c r="J4527" s="114" t="n"/>
      <c r="K4527" s="139">
        <f>IFERROR(IF(H4527&gt;0,H4527*$C$7,""),"")</f>
        <v/>
      </c>
      <c r="L4527" s="139">
        <f>IFERROR(IF(ISNUMBER(F4527),F4527-IF(ISNUMBER(K4527),K4527,0),""),"")</f>
        <v/>
      </c>
    </row>
    <row r="4528" ht="24" customHeight="1" s="63">
      <c r="E4528" s="139" t="n"/>
      <c r="F4528" s="139" t="n"/>
      <c r="G4528" s="140">
        <f>IFERROR(IF(E4528&gt;0,(F4528/E4528)*1000,""),"")</f>
        <v/>
      </c>
      <c r="H4528" s="139">
        <f>IFERROR(IF(E4528&gt;0,E4528*IF(ISNUMBER(J4528),J4528,IF(C4528="Futures",$C$6,$C$5)),""),"")</f>
        <v/>
      </c>
      <c r="I4528" s="139">
        <f>IFERROR(IF(AND(ISNUMBER(F4528),ISNUMBER(H4528)),F4528-H4528,""),"")</f>
        <v/>
      </c>
      <c r="J4528" s="114" t="n"/>
      <c r="K4528" s="139">
        <f>IFERROR(IF(H4528&gt;0,H4528*$C$7,""),"")</f>
        <v/>
      </c>
      <c r="L4528" s="139">
        <f>IFERROR(IF(ISNUMBER(F4528),F4528-IF(ISNUMBER(K4528),K4528,0),""),"")</f>
        <v/>
      </c>
    </row>
    <row r="4529" ht="24" customHeight="1" s="63">
      <c r="E4529" s="139" t="n"/>
      <c r="F4529" s="139" t="n"/>
      <c r="G4529" s="140">
        <f>IFERROR(IF(E4529&gt;0,(F4529/E4529)*1000,""),"")</f>
        <v/>
      </c>
      <c r="H4529" s="139">
        <f>IFERROR(IF(E4529&gt;0,E4529*IF(ISNUMBER(J4529),J4529,IF(C4529="Futures",$C$6,$C$5)),""),"")</f>
        <v/>
      </c>
      <c r="I4529" s="139">
        <f>IFERROR(IF(AND(ISNUMBER(F4529),ISNUMBER(H4529)),F4529-H4529,""),"")</f>
        <v/>
      </c>
      <c r="J4529" s="114" t="n"/>
      <c r="K4529" s="139">
        <f>IFERROR(IF(H4529&gt;0,H4529*$C$7,""),"")</f>
        <v/>
      </c>
      <c r="L4529" s="139">
        <f>IFERROR(IF(ISNUMBER(F4529),F4529-IF(ISNUMBER(K4529),K4529,0),""),"")</f>
        <v/>
      </c>
    </row>
    <row r="4530" ht="24" customHeight="1" s="63">
      <c r="E4530" s="139" t="n"/>
      <c r="F4530" s="139" t="n"/>
      <c r="G4530" s="140">
        <f>IFERROR(IF(E4530&gt;0,(F4530/E4530)*1000,""),"")</f>
        <v/>
      </c>
      <c r="H4530" s="139">
        <f>IFERROR(IF(E4530&gt;0,E4530*IF(ISNUMBER(J4530),J4530,IF(C4530="Futures",$C$6,$C$5)),""),"")</f>
        <v/>
      </c>
      <c r="I4530" s="139">
        <f>IFERROR(IF(AND(ISNUMBER(F4530),ISNUMBER(H4530)),F4530-H4530,""),"")</f>
        <v/>
      </c>
      <c r="J4530" s="114" t="n"/>
      <c r="K4530" s="139">
        <f>IFERROR(IF(H4530&gt;0,H4530*$C$7,""),"")</f>
        <v/>
      </c>
      <c r="L4530" s="139">
        <f>IFERROR(IF(ISNUMBER(F4530),F4530-IF(ISNUMBER(K4530),K4530,0),""),"")</f>
        <v/>
      </c>
    </row>
    <row r="4531" ht="24" customHeight="1" s="63">
      <c r="E4531" s="139" t="n"/>
      <c r="F4531" s="139" t="n"/>
      <c r="G4531" s="140">
        <f>IFERROR(IF(E4531&gt;0,(F4531/E4531)*1000,""),"")</f>
        <v/>
      </c>
      <c r="H4531" s="139">
        <f>IFERROR(IF(E4531&gt;0,E4531*IF(ISNUMBER(J4531),J4531,IF(C4531="Futures",$C$6,$C$5)),""),"")</f>
        <v/>
      </c>
      <c r="I4531" s="139">
        <f>IFERROR(IF(AND(ISNUMBER(F4531),ISNUMBER(H4531)),F4531-H4531,""),"")</f>
        <v/>
      </c>
      <c r="J4531" s="114" t="n"/>
      <c r="K4531" s="139">
        <f>IFERROR(IF(H4531&gt;0,H4531*$C$7,""),"")</f>
        <v/>
      </c>
      <c r="L4531" s="139">
        <f>IFERROR(IF(ISNUMBER(F4531),F4531-IF(ISNUMBER(K4531),K4531,0),""),"")</f>
        <v/>
      </c>
    </row>
    <row r="4532" ht="24" customHeight="1" s="63">
      <c r="E4532" s="139" t="n"/>
      <c r="F4532" s="139" t="n"/>
      <c r="G4532" s="140">
        <f>IFERROR(IF(E4532&gt;0,(F4532/E4532)*1000,""),"")</f>
        <v/>
      </c>
      <c r="H4532" s="139">
        <f>IFERROR(IF(E4532&gt;0,E4532*IF(ISNUMBER(J4532),J4532,IF(C4532="Futures",$C$6,$C$5)),""),"")</f>
        <v/>
      </c>
      <c r="I4532" s="139">
        <f>IFERROR(IF(AND(ISNUMBER(F4532),ISNUMBER(H4532)),F4532-H4532,""),"")</f>
        <v/>
      </c>
      <c r="J4532" s="114" t="n"/>
      <c r="K4532" s="139">
        <f>IFERROR(IF(H4532&gt;0,H4532*$C$7,""),"")</f>
        <v/>
      </c>
      <c r="L4532" s="139">
        <f>IFERROR(IF(ISNUMBER(F4532),F4532-IF(ISNUMBER(K4532),K4532,0),""),"")</f>
        <v/>
      </c>
    </row>
    <row r="4533" ht="24" customHeight="1" s="63">
      <c r="E4533" s="139" t="n"/>
      <c r="F4533" s="139" t="n"/>
      <c r="G4533" s="140">
        <f>IFERROR(IF(E4533&gt;0,(F4533/E4533)*1000,""),"")</f>
        <v/>
      </c>
      <c r="H4533" s="139">
        <f>IFERROR(IF(E4533&gt;0,E4533*IF(ISNUMBER(J4533),J4533,IF(C4533="Futures",$C$6,$C$5)),""),"")</f>
        <v/>
      </c>
      <c r="I4533" s="139">
        <f>IFERROR(IF(AND(ISNUMBER(F4533),ISNUMBER(H4533)),F4533-H4533,""),"")</f>
        <v/>
      </c>
      <c r="J4533" s="114" t="n"/>
      <c r="K4533" s="139">
        <f>IFERROR(IF(H4533&gt;0,H4533*$C$7,""),"")</f>
        <v/>
      </c>
      <c r="L4533" s="139">
        <f>IFERROR(IF(ISNUMBER(F4533),F4533-IF(ISNUMBER(K4533),K4533,0),""),"")</f>
        <v/>
      </c>
    </row>
    <row r="4534" ht="24" customHeight="1" s="63">
      <c r="E4534" s="139" t="n"/>
      <c r="F4534" s="139" t="n"/>
      <c r="G4534" s="140">
        <f>IFERROR(IF(E4534&gt;0,(F4534/E4534)*1000,""),"")</f>
        <v/>
      </c>
      <c r="H4534" s="139">
        <f>IFERROR(IF(E4534&gt;0,E4534*IF(ISNUMBER(J4534),J4534,IF(C4534="Futures",$C$6,$C$5)),""),"")</f>
        <v/>
      </c>
      <c r="I4534" s="139">
        <f>IFERROR(IF(AND(ISNUMBER(F4534),ISNUMBER(H4534)),F4534-H4534,""),"")</f>
        <v/>
      </c>
      <c r="J4534" s="114" t="n"/>
      <c r="K4534" s="139">
        <f>IFERROR(IF(H4534&gt;0,H4534*$C$7,""),"")</f>
        <v/>
      </c>
      <c r="L4534" s="139">
        <f>IFERROR(IF(ISNUMBER(F4534),F4534-IF(ISNUMBER(K4534),K4534,0),""),"")</f>
        <v/>
      </c>
    </row>
    <row r="4535" ht="24" customHeight="1" s="63">
      <c r="E4535" s="139" t="n"/>
      <c r="F4535" s="139" t="n"/>
      <c r="G4535" s="140">
        <f>IFERROR(IF(E4535&gt;0,(F4535/E4535)*1000,""),"")</f>
        <v/>
      </c>
      <c r="H4535" s="139">
        <f>IFERROR(IF(E4535&gt;0,E4535*IF(ISNUMBER(J4535),J4535,IF(C4535="Futures",$C$6,$C$5)),""),"")</f>
        <v/>
      </c>
      <c r="I4535" s="139">
        <f>IFERROR(IF(AND(ISNUMBER(F4535),ISNUMBER(H4535)),F4535-H4535,""),"")</f>
        <v/>
      </c>
      <c r="J4535" s="114" t="n"/>
      <c r="K4535" s="139">
        <f>IFERROR(IF(H4535&gt;0,H4535*$C$7,""),"")</f>
        <v/>
      </c>
      <c r="L4535" s="139">
        <f>IFERROR(IF(ISNUMBER(F4535),F4535-IF(ISNUMBER(K4535),K4535,0),""),"")</f>
        <v/>
      </c>
    </row>
    <row r="4536" ht="24" customHeight="1" s="63">
      <c r="E4536" s="139" t="n"/>
      <c r="F4536" s="139" t="n"/>
      <c r="G4536" s="140">
        <f>IFERROR(IF(E4536&gt;0,(F4536/E4536)*1000,""),"")</f>
        <v/>
      </c>
      <c r="H4536" s="139">
        <f>IFERROR(IF(E4536&gt;0,E4536*IF(ISNUMBER(J4536),J4536,IF(C4536="Futures",$C$6,$C$5)),""),"")</f>
        <v/>
      </c>
      <c r="I4536" s="139">
        <f>IFERROR(IF(AND(ISNUMBER(F4536),ISNUMBER(H4536)),F4536-H4536,""),"")</f>
        <v/>
      </c>
      <c r="J4536" s="114" t="n"/>
      <c r="K4536" s="139">
        <f>IFERROR(IF(H4536&gt;0,H4536*$C$7,""),"")</f>
        <v/>
      </c>
      <c r="L4536" s="139">
        <f>IFERROR(IF(ISNUMBER(F4536),F4536-IF(ISNUMBER(K4536),K4536,0),""),"")</f>
        <v/>
      </c>
    </row>
    <row r="4537" ht="24" customHeight="1" s="63">
      <c r="E4537" s="139" t="n"/>
      <c r="F4537" s="139" t="n"/>
      <c r="G4537" s="140">
        <f>IFERROR(IF(E4537&gt;0,(F4537/E4537)*1000,""),"")</f>
        <v/>
      </c>
      <c r="H4537" s="139">
        <f>IFERROR(IF(E4537&gt;0,E4537*IF(ISNUMBER(J4537),J4537,IF(C4537="Futures",$C$6,$C$5)),""),"")</f>
        <v/>
      </c>
      <c r="I4537" s="139">
        <f>IFERROR(IF(AND(ISNUMBER(F4537),ISNUMBER(H4537)),F4537-H4537,""),"")</f>
        <v/>
      </c>
      <c r="J4537" s="114" t="n"/>
      <c r="K4537" s="139">
        <f>IFERROR(IF(H4537&gt;0,H4537*$C$7,""),"")</f>
        <v/>
      </c>
      <c r="L4537" s="139">
        <f>IFERROR(IF(ISNUMBER(F4537),F4537-IF(ISNUMBER(K4537),K4537,0),""),"")</f>
        <v/>
      </c>
    </row>
    <row r="4538" ht="24" customHeight="1" s="63">
      <c r="E4538" s="139" t="n"/>
      <c r="F4538" s="139" t="n"/>
      <c r="G4538" s="140">
        <f>IFERROR(IF(E4538&gt;0,(F4538/E4538)*1000,""),"")</f>
        <v/>
      </c>
      <c r="H4538" s="139">
        <f>IFERROR(IF(E4538&gt;0,E4538*IF(ISNUMBER(J4538),J4538,IF(C4538="Futures",$C$6,$C$5)),""),"")</f>
        <v/>
      </c>
      <c r="I4538" s="139">
        <f>IFERROR(IF(AND(ISNUMBER(F4538),ISNUMBER(H4538)),F4538-H4538,""),"")</f>
        <v/>
      </c>
      <c r="J4538" s="114" t="n"/>
      <c r="K4538" s="139">
        <f>IFERROR(IF(H4538&gt;0,H4538*$C$7,""),"")</f>
        <v/>
      </c>
      <c r="L4538" s="139">
        <f>IFERROR(IF(ISNUMBER(F4538),F4538-IF(ISNUMBER(K4538),K4538,0),""),"")</f>
        <v/>
      </c>
    </row>
    <row r="4539" ht="24" customHeight="1" s="63">
      <c r="E4539" s="139" t="n"/>
      <c r="F4539" s="139" t="n"/>
      <c r="G4539" s="140">
        <f>IFERROR(IF(E4539&gt;0,(F4539/E4539)*1000,""),"")</f>
        <v/>
      </c>
      <c r="H4539" s="139">
        <f>IFERROR(IF(E4539&gt;0,E4539*IF(ISNUMBER(J4539),J4539,IF(C4539="Futures",$C$6,$C$5)),""),"")</f>
        <v/>
      </c>
      <c r="I4539" s="139">
        <f>IFERROR(IF(AND(ISNUMBER(F4539),ISNUMBER(H4539)),F4539-H4539,""),"")</f>
        <v/>
      </c>
      <c r="J4539" s="114" t="n"/>
      <c r="K4539" s="139">
        <f>IFERROR(IF(H4539&gt;0,H4539*$C$7,""),"")</f>
        <v/>
      </c>
      <c r="L4539" s="139">
        <f>IFERROR(IF(ISNUMBER(F4539),F4539-IF(ISNUMBER(K4539),K4539,0),""),"")</f>
        <v/>
      </c>
    </row>
    <row r="4540" ht="24" customHeight="1" s="63">
      <c r="E4540" s="139" t="n"/>
      <c r="F4540" s="139" t="n"/>
      <c r="G4540" s="140">
        <f>IFERROR(IF(E4540&gt;0,(F4540/E4540)*1000,""),"")</f>
        <v/>
      </c>
      <c r="H4540" s="139">
        <f>IFERROR(IF(E4540&gt;0,E4540*IF(ISNUMBER(J4540),J4540,IF(C4540="Futures",$C$6,$C$5)),""),"")</f>
        <v/>
      </c>
      <c r="I4540" s="139">
        <f>IFERROR(IF(AND(ISNUMBER(F4540),ISNUMBER(H4540)),F4540-H4540,""),"")</f>
        <v/>
      </c>
      <c r="J4540" s="114" t="n"/>
      <c r="K4540" s="139">
        <f>IFERROR(IF(H4540&gt;0,H4540*$C$7,""),"")</f>
        <v/>
      </c>
      <c r="L4540" s="139">
        <f>IFERROR(IF(ISNUMBER(F4540),F4540-IF(ISNUMBER(K4540),K4540,0),""),"")</f>
        <v/>
      </c>
    </row>
    <row r="4541" ht="24" customHeight="1" s="63">
      <c r="E4541" s="139" t="n"/>
      <c r="F4541" s="139" t="n"/>
      <c r="G4541" s="140">
        <f>IFERROR(IF(E4541&gt;0,(F4541/E4541)*1000,""),"")</f>
        <v/>
      </c>
      <c r="H4541" s="139">
        <f>IFERROR(IF(E4541&gt;0,E4541*IF(ISNUMBER(J4541),J4541,IF(C4541="Futures",$C$6,$C$5)),""),"")</f>
        <v/>
      </c>
      <c r="I4541" s="139">
        <f>IFERROR(IF(AND(ISNUMBER(F4541),ISNUMBER(H4541)),F4541-H4541,""),"")</f>
        <v/>
      </c>
      <c r="J4541" s="114" t="n"/>
      <c r="K4541" s="139">
        <f>IFERROR(IF(H4541&gt;0,H4541*$C$7,""),"")</f>
        <v/>
      </c>
      <c r="L4541" s="139">
        <f>IFERROR(IF(ISNUMBER(F4541),F4541-IF(ISNUMBER(K4541),K4541,0),""),"")</f>
        <v/>
      </c>
    </row>
    <row r="4542" ht="24" customHeight="1" s="63">
      <c r="E4542" s="139" t="n"/>
      <c r="F4542" s="139" t="n"/>
      <c r="G4542" s="140">
        <f>IFERROR(IF(E4542&gt;0,(F4542/E4542)*1000,""),"")</f>
        <v/>
      </c>
      <c r="H4542" s="139">
        <f>IFERROR(IF(E4542&gt;0,E4542*IF(ISNUMBER(J4542),J4542,IF(C4542="Futures",$C$6,$C$5)),""),"")</f>
        <v/>
      </c>
      <c r="I4542" s="139">
        <f>IFERROR(IF(AND(ISNUMBER(F4542),ISNUMBER(H4542)),F4542-H4542,""),"")</f>
        <v/>
      </c>
      <c r="J4542" s="114" t="n"/>
      <c r="K4542" s="139">
        <f>IFERROR(IF(H4542&gt;0,H4542*$C$7,""),"")</f>
        <v/>
      </c>
      <c r="L4542" s="139">
        <f>IFERROR(IF(ISNUMBER(F4542),F4542-IF(ISNUMBER(K4542),K4542,0),""),"")</f>
        <v/>
      </c>
    </row>
    <row r="4543" ht="24" customHeight="1" s="63">
      <c r="E4543" s="139" t="n"/>
      <c r="F4543" s="139" t="n"/>
      <c r="G4543" s="140">
        <f>IFERROR(IF(E4543&gt;0,(F4543/E4543)*1000,""),"")</f>
        <v/>
      </c>
      <c r="H4543" s="139">
        <f>IFERROR(IF(E4543&gt;0,E4543*IF(ISNUMBER(J4543),J4543,IF(C4543="Futures",$C$6,$C$5)),""),"")</f>
        <v/>
      </c>
      <c r="I4543" s="139">
        <f>IFERROR(IF(AND(ISNUMBER(F4543),ISNUMBER(H4543)),F4543-H4543,""),"")</f>
        <v/>
      </c>
      <c r="J4543" s="114" t="n"/>
      <c r="K4543" s="139">
        <f>IFERROR(IF(H4543&gt;0,H4543*$C$7,""),"")</f>
        <v/>
      </c>
      <c r="L4543" s="139">
        <f>IFERROR(IF(ISNUMBER(F4543),F4543-IF(ISNUMBER(K4543),K4543,0),""),"")</f>
        <v/>
      </c>
    </row>
    <row r="4544" ht="24" customHeight="1" s="63">
      <c r="E4544" s="139" t="n"/>
      <c r="F4544" s="139" t="n"/>
      <c r="G4544" s="140">
        <f>IFERROR(IF(E4544&gt;0,(F4544/E4544)*1000,""),"")</f>
        <v/>
      </c>
      <c r="H4544" s="139">
        <f>IFERROR(IF(E4544&gt;0,E4544*IF(ISNUMBER(J4544),J4544,IF(C4544="Futures",$C$6,$C$5)),""),"")</f>
        <v/>
      </c>
      <c r="I4544" s="139">
        <f>IFERROR(IF(AND(ISNUMBER(F4544),ISNUMBER(H4544)),F4544-H4544,""),"")</f>
        <v/>
      </c>
      <c r="J4544" s="114" t="n"/>
      <c r="K4544" s="139">
        <f>IFERROR(IF(H4544&gt;0,H4544*$C$7,""),"")</f>
        <v/>
      </c>
      <c r="L4544" s="139">
        <f>IFERROR(IF(ISNUMBER(F4544),F4544-IF(ISNUMBER(K4544),K4544,0),""),"")</f>
        <v/>
      </c>
    </row>
    <row r="4545" ht="24" customHeight="1" s="63">
      <c r="E4545" s="139" t="n"/>
      <c r="F4545" s="139" t="n"/>
      <c r="G4545" s="140">
        <f>IFERROR(IF(E4545&gt;0,(F4545/E4545)*1000,""),"")</f>
        <v/>
      </c>
      <c r="H4545" s="139">
        <f>IFERROR(IF(E4545&gt;0,E4545*IF(ISNUMBER(J4545),J4545,IF(C4545="Futures",$C$6,$C$5)),""),"")</f>
        <v/>
      </c>
      <c r="I4545" s="139">
        <f>IFERROR(IF(AND(ISNUMBER(F4545),ISNUMBER(H4545)),F4545-H4545,""),"")</f>
        <v/>
      </c>
      <c r="J4545" s="114" t="n"/>
      <c r="K4545" s="139">
        <f>IFERROR(IF(H4545&gt;0,H4545*$C$7,""),"")</f>
        <v/>
      </c>
      <c r="L4545" s="139">
        <f>IFERROR(IF(ISNUMBER(F4545),F4545-IF(ISNUMBER(K4545),K4545,0),""),"")</f>
        <v/>
      </c>
    </row>
    <row r="4546" ht="24" customHeight="1" s="63">
      <c r="E4546" s="139" t="n"/>
      <c r="F4546" s="139" t="n"/>
      <c r="G4546" s="140">
        <f>IFERROR(IF(E4546&gt;0,(F4546/E4546)*1000,""),"")</f>
        <v/>
      </c>
      <c r="H4546" s="139">
        <f>IFERROR(IF(E4546&gt;0,E4546*IF(ISNUMBER(J4546),J4546,IF(C4546="Futures",$C$6,$C$5)),""),"")</f>
        <v/>
      </c>
      <c r="I4546" s="139">
        <f>IFERROR(IF(AND(ISNUMBER(F4546),ISNUMBER(H4546)),F4546-H4546,""),"")</f>
        <v/>
      </c>
      <c r="J4546" s="114" t="n"/>
      <c r="K4546" s="139">
        <f>IFERROR(IF(H4546&gt;0,H4546*$C$7,""),"")</f>
        <v/>
      </c>
      <c r="L4546" s="139">
        <f>IFERROR(IF(ISNUMBER(F4546),F4546-IF(ISNUMBER(K4546),K4546,0),""),"")</f>
        <v/>
      </c>
    </row>
    <row r="4547" ht="24" customHeight="1" s="63">
      <c r="E4547" s="139" t="n"/>
      <c r="F4547" s="139" t="n"/>
      <c r="G4547" s="140">
        <f>IFERROR(IF(E4547&gt;0,(F4547/E4547)*1000,""),"")</f>
        <v/>
      </c>
      <c r="H4547" s="139">
        <f>IFERROR(IF(E4547&gt;0,E4547*IF(ISNUMBER(J4547),J4547,IF(C4547="Futures",$C$6,$C$5)),""),"")</f>
        <v/>
      </c>
      <c r="I4547" s="139">
        <f>IFERROR(IF(AND(ISNUMBER(F4547),ISNUMBER(H4547)),F4547-H4547,""),"")</f>
        <v/>
      </c>
      <c r="J4547" s="114" t="n"/>
      <c r="K4547" s="139">
        <f>IFERROR(IF(H4547&gt;0,H4547*$C$7,""),"")</f>
        <v/>
      </c>
      <c r="L4547" s="139">
        <f>IFERROR(IF(ISNUMBER(F4547),F4547-IF(ISNUMBER(K4547),K4547,0),""),"")</f>
        <v/>
      </c>
    </row>
    <row r="4548" ht="24" customHeight="1" s="63">
      <c r="E4548" s="139" t="n"/>
      <c r="F4548" s="139" t="n"/>
      <c r="G4548" s="140">
        <f>IFERROR(IF(E4548&gt;0,(F4548/E4548)*1000,""),"")</f>
        <v/>
      </c>
      <c r="H4548" s="139">
        <f>IFERROR(IF(E4548&gt;0,E4548*IF(ISNUMBER(J4548),J4548,IF(C4548="Futures",$C$6,$C$5)),""),"")</f>
        <v/>
      </c>
      <c r="I4548" s="139">
        <f>IFERROR(IF(AND(ISNUMBER(F4548),ISNUMBER(H4548)),F4548-H4548,""),"")</f>
        <v/>
      </c>
      <c r="J4548" s="114" t="n"/>
      <c r="K4548" s="139">
        <f>IFERROR(IF(H4548&gt;0,H4548*$C$7,""),"")</f>
        <v/>
      </c>
      <c r="L4548" s="139">
        <f>IFERROR(IF(ISNUMBER(F4548),F4548-IF(ISNUMBER(K4548),K4548,0),""),"")</f>
        <v/>
      </c>
    </row>
    <row r="4549" ht="24" customHeight="1" s="63">
      <c r="E4549" s="139" t="n"/>
      <c r="F4549" s="139" t="n"/>
      <c r="G4549" s="140">
        <f>IFERROR(IF(E4549&gt;0,(F4549/E4549)*1000,""),"")</f>
        <v/>
      </c>
      <c r="H4549" s="139">
        <f>IFERROR(IF(E4549&gt;0,E4549*IF(ISNUMBER(J4549),J4549,IF(C4549="Futures",$C$6,$C$5)),""),"")</f>
        <v/>
      </c>
      <c r="I4549" s="139">
        <f>IFERROR(IF(AND(ISNUMBER(F4549),ISNUMBER(H4549)),F4549-H4549,""),"")</f>
        <v/>
      </c>
      <c r="J4549" s="114" t="n"/>
      <c r="K4549" s="139">
        <f>IFERROR(IF(H4549&gt;0,H4549*$C$7,""),"")</f>
        <v/>
      </c>
      <c r="L4549" s="139">
        <f>IFERROR(IF(ISNUMBER(F4549),F4549-IF(ISNUMBER(K4549),K4549,0),""),"")</f>
        <v/>
      </c>
    </row>
    <row r="4550" ht="24" customHeight="1" s="63">
      <c r="E4550" s="139" t="n"/>
      <c r="F4550" s="139" t="n"/>
      <c r="G4550" s="140">
        <f>IFERROR(IF(E4550&gt;0,(F4550/E4550)*1000,""),"")</f>
        <v/>
      </c>
      <c r="H4550" s="139">
        <f>IFERROR(IF(E4550&gt;0,E4550*IF(ISNUMBER(J4550),J4550,IF(C4550="Futures",$C$6,$C$5)),""),"")</f>
        <v/>
      </c>
      <c r="I4550" s="139">
        <f>IFERROR(IF(AND(ISNUMBER(F4550),ISNUMBER(H4550)),F4550-H4550,""),"")</f>
        <v/>
      </c>
      <c r="J4550" s="114" t="n"/>
      <c r="K4550" s="139">
        <f>IFERROR(IF(H4550&gt;0,H4550*$C$7,""),"")</f>
        <v/>
      </c>
      <c r="L4550" s="139">
        <f>IFERROR(IF(ISNUMBER(F4550),F4550-IF(ISNUMBER(K4550),K4550,0),""),"")</f>
        <v/>
      </c>
    </row>
    <row r="4551" ht="24" customHeight="1" s="63">
      <c r="E4551" s="139" t="n"/>
      <c r="F4551" s="139" t="n"/>
      <c r="G4551" s="140">
        <f>IFERROR(IF(E4551&gt;0,(F4551/E4551)*1000,""),"")</f>
        <v/>
      </c>
      <c r="H4551" s="139">
        <f>IFERROR(IF(E4551&gt;0,E4551*IF(ISNUMBER(J4551),J4551,IF(C4551="Futures",$C$6,$C$5)),""),"")</f>
        <v/>
      </c>
      <c r="I4551" s="139">
        <f>IFERROR(IF(AND(ISNUMBER(F4551),ISNUMBER(H4551)),F4551-H4551,""),"")</f>
        <v/>
      </c>
      <c r="J4551" s="114" t="n"/>
      <c r="K4551" s="139">
        <f>IFERROR(IF(H4551&gt;0,H4551*$C$7,""),"")</f>
        <v/>
      </c>
      <c r="L4551" s="139">
        <f>IFERROR(IF(ISNUMBER(F4551),F4551-IF(ISNUMBER(K4551),K4551,0),""),"")</f>
        <v/>
      </c>
    </row>
    <row r="4552" ht="24" customHeight="1" s="63">
      <c r="E4552" s="139" t="n"/>
      <c r="F4552" s="139" t="n"/>
      <c r="G4552" s="140">
        <f>IFERROR(IF(E4552&gt;0,(F4552/E4552)*1000,""),"")</f>
        <v/>
      </c>
      <c r="H4552" s="139">
        <f>IFERROR(IF(E4552&gt;0,E4552*IF(ISNUMBER(J4552),J4552,IF(C4552="Futures",$C$6,$C$5)),""),"")</f>
        <v/>
      </c>
      <c r="I4552" s="139">
        <f>IFERROR(IF(AND(ISNUMBER(F4552),ISNUMBER(H4552)),F4552-H4552,""),"")</f>
        <v/>
      </c>
      <c r="J4552" s="114" t="n"/>
      <c r="K4552" s="139">
        <f>IFERROR(IF(H4552&gt;0,H4552*$C$7,""),"")</f>
        <v/>
      </c>
      <c r="L4552" s="139">
        <f>IFERROR(IF(ISNUMBER(F4552),F4552-IF(ISNUMBER(K4552),K4552,0),""),"")</f>
        <v/>
      </c>
    </row>
    <row r="4553" ht="24" customHeight="1" s="63">
      <c r="E4553" s="139" t="n"/>
      <c r="F4553" s="139" t="n"/>
      <c r="G4553" s="140">
        <f>IFERROR(IF(E4553&gt;0,(F4553/E4553)*1000,""),"")</f>
        <v/>
      </c>
      <c r="H4553" s="139">
        <f>IFERROR(IF(E4553&gt;0,E4553*IF(ISNUMBER(J4553),J4553,IF(C4553="Futures",$C$6,$C$5)),""),"")</f>
        <v/>
      </c>
      <c r="I4553" s="139">
        <f>IFERROR(IF(AND(ISNUMBER(F4553),ISNUMBER(H4553)),F4553-H4553,""),"")</f>
        <v/>
      </c>
      <c r="J4553" s="114" t="n"/>
      <c r="K4553" s="139">
        <f>IFERROR(IF(H4553&gt;0,H4553*$C$7,""),"")</f>
        <v/>
      </c>
      <c r="L4553" s="139">
        <f>IFERROR(IF(ISNUMBER(F4553),F4553-IF(ISNUMBER(K4553),K4553,0),""),"")</f>
        <v/>
      </c>
    </row>
    <row r="4554" ht="24" customHeight="1" s="63">
      <c r="E4554" s="139" t="n"/>
      <c r="F4554" s="139" t="n"/>
      <c r="G4554" s="140">
        <f>IFERROR(IF(E4554&gt;0,(F4554/E4554)*1000,""),"")</f>
        <v/>
      </c>
      <c r="H4554" s="139">
        <f>IFERROR(IF(E4554&gt;0,E4554*IF(ISNUMBER(J4554),J4554,IF(C4554="Futures",$C$6,$C$5)),""),"")</f>
        <v/>
      </c>
      <c r="I4554" s="139">
        <f>IFERROR(IF(AND(ISNUMBER(F4554),ISNUMBER(H4554)),F4554-H4554,""),"")</f>
        <v/>
      </c>
      <c r="J4554" s="114" t="n"/>
      <c r="K4554" s="139">
        <f>IFERROR(IF(H4554&gt;0,H4554*$C$7,""),"")</f>
        <v/>
      </c>
      <c r="L4554" s="139">
        <f>IFERROR(IF(ISNUMBER(F4554),F4554-IF(ISNUMBER(K4554),K4554,0),""),"")</f>
        <v/>
      </c>
    </row>
    <row r="4555" ht="24" customHeight="1" s="63">
      <c r="E4555" s="139" t="n"/>
      <c r="F4555" s="139" t="n"/>
      <c r="G4555" s="140">
        <f>IFERROR(IF(E4555&gt;0,(F4555/E4555)*1000,""),"")</f>
        <v/>
      </c>
      <c r="H4555" s="139">
        <f>IFERROR(IF(E4555&gt;0,E4555*IF(ISNUMBER(J4555),J4555,IF(C4555="Futures",$C$6,$C$5)),""),"")</f>
        <v/>
      </c>
      <c r="I4555" s="139">
        <f>IFERROR(IF(AND(ISNUMBER(F4555),ISNUMBER(H4555)),F4555-H4555,""),"")</f>
        <v/>
      </c>
      <c r="J4555" s="114" t="n"/>
      <c r="K4555" s="139">
        <f>IFERROR(IF(H4555&gt;0,H4555*$C$7,""),"")</f>
        <v/>
      </c>
      <c r="L4555" s="139">
        <f>IFERROR(IF(ISNUMBER(F4555),F4555-IF(ISNUMBER(K4555),K4555,0),""),"")</f>
        <v/>
      </c>
    </row>
    <row r="4556" ht="24" customHeight="1" s="63">
      <c r="E4556" s="139" t="n"/>
      <c r="F4556" s="139" t="n"/>
      <c r="G4556" s="140">
        <f>IFERROR(IF(E4556&gt;0,(F4556/E4556)*1000,""),"")</f>
        <v/>
      </c>
      <c r="H4556" s="139">
        <f>IFERROR(IF(E4556&gt;0,E4556*IF(ISNUMBER(J4556),J4556,IF(C4556="Futures",$C$6,$C$5)),""),"")</f>
        <v/>
      </c>
      <c r="I4556" s="139">
        <f>IFERROR(IF(AND(ISNUMBER(F4556),ISNUMBER(H4556)),F4556-H4556,""),"")</f>
        <v/>
      </c>
      <c r="J4556" s="114" t="n"/>
      <c r="K4556" s="139">
        <f>IFERROR(IF(H4556&gt;0,H4556*$C$7,""),"")</f>
        <v/>
      </c>
      <c r="L4556" s="139">
        <f>IFERROR(IF(ISNUMBER(F4556),F4556-IF(ISNUMBER(K4556),K4556,0),""),"")</f>
        <v/>
      </c>
    </row>
    <row r="4557" ht="24" customHeight="1" s="63">
      <c r="E4557" s="139" t="n"/>
      <c r="F4557" s="139" t="n"/>
      <c r="G4557" s="140">
        <f>IFERROR(IF(E4557&gt;0,(F4557/E4557)*1000,""),"")</f>
        <v/>
      </c>
      <c r="H4557" s="139">
        <f>IFERROR(IF(E4557&gt;0,E4557*IF(ISNUMBER(J4557),J4557,IF(C4557="Futures",$C$6,$C$5)),""),"")</f>
        <v/>
      </c>
      <c r="I4557" s="139">
        <f>IFERROR(IF(AND(ISNUMBER(F4557),ISNUMBER(H4557)),F4557-H4557,""),"")</f>
        <v/>
      </c>
      <c r="J4557" s="114" t="n"/>
      <c r="K4557" s="139">
        <f>IFERROR(IF(H4557&gt;0,H4557*$C$7,""),"")</f>
        <v/>
      </c>
      <c r="L4557" s="139">
        <f>IFERROR(IF(ISNUMBER(F4557),F4557-IF(ISNUMBER(K4557),K4557,0),""),"")</f>
        <v/>
      </c>
    </row>
    <row r="4558" ht="24" customHeight="1" s="63">
      <c r="E4558" s="139" t="n"/>
      <c r="F4558" s="139" t="n"/>
      <c r="G4558" s="140">
        <f>IFERROR(IF(E4558&gt;0,(F4558/E4558)*1000,""),"")</f>
        <v/>
      </c>
      <c r="H4558" s="139">
        <f>IFERROR(IF(E4558&gt;0,E4558*IF(ISNUMBER(J4558),J4558,IF(C4558="Futures",$C$6,$C$5)),""),"")</f>
        <v/>
      </c>
      <c r="I4558" s="139">
        <f>IFERROR(IF(AND(ISNUMBER(F4558),ISNUMBER(H4558)),F4558-H4558,""),"")</f>
        <v/>
      </c>
      <c r="J4558" s="114" t="n"/>
      <c r="K4558" s="139">
        <f>IFERROR(IF(H4558&gt;0,H4558*$C$7,""),"")</f>
        <v/>
      </c>
      <c r="L4558" s="139">
        <f>IFERROR(IF(ISNUMBER(F4558),F4558-IF(ISNUMBER(K4558),K4558,0),""),"")</f>
        <v/>
      </c>
    </row>
    <row r="4559" ht="24" customHeight="1" s="63">
      <c r="E4559" s="139" t="n"/>
      <c r="F4559" s="139" t="n"/>
      <c r="G4559" s="140">
        <f>IFERROR(IF(E4559&gt;0,(F4559/E4559)*1000,""),"")</f>
        <v/>
      </c>
      <c r="H4559" s="139">
        <f>IFERROR(IF(E4559&gt;0,E4559*IF(ISNUMBER(J4559),J4559,IF(C4559="Futures",$C$6,$C$5)),""),"")</f>
        <v/>
      </c>
      <c r="I4559" s="139">
        <f>IFERROR(IF(AND(ISNUMBER(F4559),ISNUMBER(H4559)),F4559-H4559,""),"")</f>
        <v/>
      </c>
      <c r="J4559" s="114" t="n"/>
      <c r="K4559" s="139">
        <f>IFERROR(IF(H4559&gt;0,H4559*$C$7,""),"")</f>
        <v/>
      </c>
      <c r="L4559" s="139">
        <f>IFERROR(IF(ISNUMBER(F4559),F4559-IF(ISNUMBER(K4559),K4559,0),""),"")</f>
        <v/>
      </c>
    </row>
    <row r="4560" ht="24" customHeight="1" s="63">
      <c r="E4560" s="139" t="n"/>
      <c r="F4560" s="139" t="n"/>
      <c r="G4560" s="140">
        <f>IFERROR(IF(E4560&gt;0,(F4560/E4560)*1000,""),"")</f>
        <v/>
      </c>
      <c r="H4560" s="139">
        <f>IFERROR(IF(E4560&gt;0,E4560*IF(ISNUMBER(J4560),J4560,IF(C4560="Futures",$C$6,$C$5)),""),"")</f>
        <v/>
      </c>
      <c r="I4560" s="139">
        <f>IFERROR(IF(AND(ISNUMBER(F4560),ISNUMBER(H4560)),F4560-H4560,""),"")</f>
        <v/>
      </c>
      <c r="J4560" s="114" t="n"/>
      <c r="K4560" s="139">
        <f>IFERROR(IF(H4560&gt;0,H4560*$C$7,""),"")</f>
        <v/>
      </c>
      <c r="L4560" s="139">
        <f>IFERROR(IF(ISNUMBER(F4560),F4560-IF(ISNUMBER(K4560),K4560,0),""),"")</f>
        <v/>
      </c>
    </row>
    <row r="4561" ht="24" customHeight="1" s="63">
      <c r="E4561" s="139" t="n"/>
      <c r="F4561" s="139" t="n"/>
      <c r="G4561" s="140">
        <f>IFERROR(IF(E4561&gt;0,(F4561/E4561)*1000,""),"")</f>
        <v/>
      </c>
      <c r="H4561" s="139">
        <f>IFERROR(IF(E4561&gt;0,E4561*IF(ISNUMBER(J4561),J4561,IF(C4561="Futures",$C$6,$C$5)),""),"")</f>
        <v/>
      </c>
      <c r="I4561" s="139">
        <f>IFERROR(IF(AND(ISNUMBER(F4561),ISNUMBER(H4561)),F4561-H4561,""),"")</f>
        <v/>
      </c>
      <c r="J4561" s="114" t="n"/>
      <c r="K4561" s="139">
        <f>IFERROR(IF(H4561&gt;0,H4561*$C$7,""),"")</f>
        <v/>
      </c>
      <c r="L4561" s="139">
        <f>IFERROR(IF(ISNUMBER(F4561),F4561-IF(ISNUMBER(K4561),K4561,0),""),"")</f>
        <v/>
      </c>
    </row>
    <row r="4562" ht="24" customHeight="1" s="63">
      <c r="E4562" s="139" t="n"/>
      <c r="F4562" s="139" t="n"/>
      <c r="G4562" s="140">
        <f>IFERROR(IF(E4562&gt;0,(F4562/E4562)*1000,""),"")</f>
        <v/>
      </c>
      <c r="H4562" s="139">
        <f>IFERROR(IF(E4562&gt;0,E4562*IF(ISNUMBER(J4562),J4562,IF(C4562="Futures",$C$6,$C$5)),""),"")</f>
        <v/>
      </c>
      <c r="I4562" s="139">
        <f>IFERROR(IF(AND(ISNUMBER(F4562),ISNUMBER(H4562)),F4562-H4562,""),"")</f>
        <v/>
      </c>
      <c r="J4562" s="114" t="n"/>
      <c r="K4562" s="139">
        <f>IFERROR(IF(H4562&gt;0,H4562*$C$7,""),"")</f>
        <v/>
      </c>
      <c r="L4562" s="139">
        <f>IFERROR(IF(ISNUMBER(F4562),F4562-IF(ISNUMBER(K4562),K4562,0),""),"")</f>
        <v/>
      </c>
    </row>
    <row r="4563" ht="24" customHeight="1" s="63">
      <c r="E4563" s="139" t="n"/>
      <c r="F4563" s="139" t="n"/>
      <c r="G4563" s="140">
        <f>IFERROR(IF(E4563&gt;0,(F4563/E4563)*1000,""),"")</f>
        <v/>
      </c>
      <c r="H4563" s="139">
        <f>IFERROR(IF(E4563&gt;0,E4563*IF(ISNUMBER(J4563),J4563,IF(C4563="Futures",$C$6,$C$5)),""),"")</f>
        <v/>
      </c>
      <c r="I4563" s="139">
        <f>IFERROR(IF(AND(ISNUMBER(F4563),ISNUMBER(H4563)),F4563-H4563,""),"")</f>
        <v/>
      </c>
      <c r="J4563" s="114" t="n"/>
      <c r="K4563" s="139">
        <f>IFERROR(IF(H4563&gt;0,H4563*$C$7,""),"")</f>
        <v/>
      </c>
      <c r="L4563" s="139">
        <f>IFERROR(IF(ISNUMBER(F4563),F4563-IF(ISNUMBER(K4563),K4563,0),""),"")</f>
        <v/>
      </c>
    </row>
    <row r="4564" ht="24" customHeight="1" s="63">
      <c r="E4564" s="139" t="n"/>
      <c r="F4564" s="139" t="n"/>
      <c r="G4564" s="140">
        <f>IFERROR(IF(E4564&gt;0,(F4564/E4564)*1000,""),"")</f>
        <v/>
      </c>
      <c r="H4564" s="139">
        <f>IFERROR(IF(E4564&gt;0,E4564*IF(ISNUMBER(J4564),J4564,IF(C4564="Futures",$C$6,$C$5)),""),"")</f>
        <v/>
      </c>
      <c r="I4564" s="139">
        <f>IFERROR(IF(AND(ISNUMBER(F4564),ISNUMBER(H4564)),F4564-H4564,""),"")</f>
        <v/>
      </c>
      <c r="J4564" s="114" t="n"/>
      <c r="K4564" s="139">
        <f>IFERROR(IF(H4564&gt;0,H4564*$C$7,""),"")</f>
        <v/>
      </c>
      <c r="L4564" s="139">
        <f>IFERROR(IF(ISNUMBER(F4564),F4564-IF(ISNUMBER(K4564),K4564,0),""),"")</f>
        <v/>
      </c>
    </row>
    <row r="4565" ht="24" customHeight="1" s="63">
      <c r="E4565" s="139" t="n"/>
      <c r="F4565" s="139" t="n"/>
      <c r="G4565" s="140">
        <f>IFERROR(IF(E4565&gt;0,(F4565/E4565)*1000,""),"")</f>
        <v/>
      </c>
      <c r="H4565" s="139">
        <f>IFERROR(IF(E4565&gt;0,E4565*IF(ISNUMBER(J4565),J4565,IF(C4565="Futures",$C$6,$C$5)),""),"")</f>
        <v/>
      </c>
      <c r="I4565" s="139">
        <f>IFERROR(IF(AND(ISNUMBER(F4565),ISNUMBER(H4565)),F4565-H4565,""),"")</f>
        <v/>
      </c>
      <c r="J4565" s="114" t="n"/>
      <c r="K4565" s="139">
        <f>IFERROR(IF(H4565&gt;0,H4565*$C$7,""),"")</f>
        <v/>
      </c>
      <c r="L4565" s="139">
        <f>IFERROR(IF(ISNUMBER(F4565),F4565-IF(ISNUMBER(K4565),K4565,0),""),"")</f>
        <v/>
      </c>
    </row>
    <row r="4566" ht="24" customHeight="1" s="63">
      <c r="E4566" s="139" t="n"/>
      <c r="F4566" s="139" t="n"/>
      <c r="G4566" s="140">
        <f>IFERROR(IF(E4566&gt;0,(F4566/E4566)*1000,""),"")</f>
        <v/>
      </c>
      <c r="H4566" s="139">
        <f>IFERROR(IF(E4566&gt;0,E4566*IF(ISNUMBER(J4566),J4566,IF(C4566="Futures",$C$6,$C$5)),""),"")</f>
        <v/>
      </c>
      <c r="I4566" s="139">
        <f>IFERROR(IF(AND(ISNUMBER(F4566),ISNUMBER(H4566)),F4566-H4566,""),"")</f>
        <v/>
      </c>
      <c r="J4566" s="114" t="n"/>
      <c r="K4566" s="139">
        <f>IFERROR(IF(H4566&gt;0,H4566*$C$7,""),"")</f>
        <v/>
      </c>
      <c r="L4566" s="139">
        <f>IFERROR(IF(ISNUMBER(F4566),F4566-IF(ISNUMBER(K4566),K4566,0),""),"")</f>
        <v/>
      </c>
    </row>
    <row r="4567" ht="24" customHeight="1" s="63">
      <c r="E4567" s="139" t="n"/>
      <c r="F4567" s="139" t="n"/>
      <c r="G4567" s="140">
        <f>IFERROR(IF(E4567&gt;0,(F4567/E4567)*1000,""),"")</f>
        <v/>
      </c>
      <c r="H4567" s="139">
        <f>IFERROR(IF(E4567&gt;0,E4567*IF(ISNUMBER(J4567),J4567,IF(C4567="Futures",$C$6,$C$5)),""),"")</f>
        <v/>
      </c>
      <c r="I4567" s="139">
        <f>IFERROR(IF(AND(ISNUMBER(F4567),ISNUMBER(H4567)),F4567-H4567,""),"")</f>
        <v/>
      </c>
      <c r="J4567" s="114" t="n"/>
      <c r="K4567" s="139">
        <f>IFERROR(IF(H4567&gt;0,H4567*$C$7,""),"")</f>
        <v/>
      </c>
      <c r="L4567" s="139">
        <f>IFERROR(IF(ISNUMBER(F4567),F4567-IF(ISNUMBER(K4567),K4567,0),""),"")</f>
        <v/>
      </c>
    </row>
    <row r="4568" ht="24" customHeight="1" s="63">
      <c r="E4568" s="139" t="n"/>
      <c r="F4568" s="139" t="n"/>
      <c r="G4568" s="140">
        <f>IFERROR(IF(E4568&gt;0,(F4568/E4568)*1000,""),"")</f>
        <v/>
      </c>
      <c r="H4568" s="139">
        <f>IFERROR(IF(E4568&gt;0,E4568*IF(ISNUMBER(J4568),J4568,IF(C4568="Futures",$C$6,$C$5)),""),"")</f>
        <v/>
      </c>
      <c r="I4568" s="139">
        <f>IFERROR(IF(AND(ISNUMBER(F4568),ISNUMBER(H4568)),F4568-H4568,""),"")</f>
        <v/>
      </c>
      <c r="J4568" s="114" t="n"/>
      <c r="K4568" s="139">
        <f>IFERROR(IF(H4568&gt;0,H4568*$C$7,""),"")</f>
        <v/>
      </c>
      <c r="L4568" s="139">
        <f>IFERROR(IF(ISNUMBER(F4568),F4568-IF(ISNUMBER(K4568),K4568,0),""),"")</f>
        <v/>
      </c>
    </row>
    <row r="4569" ht="24" customHeight="1" s="63">
      <c r="E4569" s="139" t="n"/>
      <c r="F4569" s="139" t="n"/>
      <c r="G4569" s="140">
        <f>IFERROR(IF(E4569&gt;0,(F4569/E4569)*1000,""),"")</f>
        <v/>
      </c>
      <c r="H4569" s="139">
        <f>IFERROR(IF(E4569&gt;0,E4569*IF(ISNUMBER(J4569),J4569,IF(C4569="Futures",$C$6,$C$5)),""),"")</f>
        <v/>
      </c>
      <c r="I4569" s="139">
        <f>IFERROR(IF(AND(ISNUMBER(F4569),ISNUMBER(H4569)),F4569-H4569,""),"")</f>
        <v/>
      </c>
      <c r="J4569" s="114" t="n"/>
      <c r="K4569" s="139">
        <f>IFERROR(IF(H4569&gt;0,H4569*$C$7,""),"")</f>
        <v/>
      </c>
      <c r="L4569" s="139">
        <f>IFERROR(IF(ISNUMBER(F4569),F4569-IF(ISNUMBER(K4569),K4569,0),""),"")</f>
        <v/>
      </c>
    </row>
    <row r="4570" ht="24" customHeight="1" s="63">
      <c r="E4570" s="139" t="n"/>
      <c r="F4570" s="139" t="n"/>
      <c r="G4570" s="140">
        <f>IFERROR(IF(E4570&gt;0,(F4570/E4570)*1000,""),"")</f>
        <v/>
      </c>
      <c r="H4570" s="139">
        <f>IFERROR(IF(E4570&gt;0,E4570*IF(ISNUMBER(J4570),J4570,IF(C4570="Futures",$C$6,$C$5)),""),"")</f>
        <v/>
      </c>
      <c r="I4570" s="139">
        <f>IFERROR(IF(AND(ISNUMBER(F4570),ISNUMBER(H4570)),F4570-H4570,""),"")</f>
        <v/>
      </c>
      <c r="J4570" s="114" t="n"/>
      <c r="K4570" s="139">
        <f>IFERROR(IF(H4570&gt;0,H4570*$C$7,""),"")</f>
        <v/>
      </c>
      <c r="L4570" s="139">
        <f>IFERROR(IF(ISNUMBER(F4570),F4570-IF(ISNUMBER(K4570),K4570,0),""),"")</f>
        <v/>
      </c>
    </row>
    <row r="4571" ht="24" customHeight="1" s="63">
      <c r="E4571" s="139" t="n"/>
      <c r="F4571" s="139" t="n"/>
      <c r="G4571" s="140">
        <f>IFERROR(IF(E4571&gt;0,(F4571/E4571)*1000,""),"")</f>
        <v/>
      </c>
      <c r="H4571" s="139">
        <f>IFERROR(IF(E4571&gt;0,E4571*IF(ISNUMBER(J4571),J4571,IF(C4571="Futures",$C$6,$C$5)),""),"")</f>
        <v/>
      </c>
      <c r="I4571" s="139">
        <f>IFERROR(IF(AND(ISNUMBER(F4571),ISNUMBER(H4571)),F4571-H4571,""),"")</f>
        <v/>
      </c>
      <c r="J4571" s="114" t="n"/>
      <c r="K4571" s="139">
        <f>IFERROR(IF(H4571&gt;0,H4571*$C$7,""),"")</f>
        <v/>
      </c>
      <c r="L4571" s="139">
        <f>IFERROR(IF(ISNUMBER(F4571),F4571-IF(ISNUMBER(K4571),K4571,0),""),"")</f>
        <v/>
      </c>
    </row>
    <row r="4572" ht="24" customHeight="1" s="63">
      <c r="E4572" s="139" t="n"/>
      <c r="F4572" s="139" t="n"/>
      <c r="G4572" s="140">
        <f>IFERROR(IF(E4572&gt;0,(F4572/E4572)*1000,""),"")</f>
        <v/>
      </c>
      <c r="H4572" s="139">
        <f>IFERROR(IF(E4572&gt;0,E4572*IF(ISNUMBER(J4572),J4572,IF(C4572="Futures",$C$6,$C$5)),""),"")</f>
        <v/>
      </c>
      <c r="I4572" s="139">
        <f>IFERROR(IF(AND(ISNUMBER(F4572),ISNUMBER(H4572)),F4572-H4572,""),"")</f>
        <v/>
      </c>
      <c r="J4572" s="114" t="n"/>
      <c r="K4572" s="139">
        <f>IFERROR(IF(H4572&gt;0,H4572*$C$7,""),"")</f>
        <v/>
      </c>
      <c r="L4572" s="139">
        <f>IFERROR(IF(ISNUMBER(F4572),F4572-IF(ISNUMBER(K4572),K4572,0),""),"")</f>
        <v/>
      </c>
    </row>
    <row r="4573" ht="24" customHeight="1" s="63">
      <c r="E4573" s="139" t="n"/>
      <c r="F4573" s="139" t="n"/>
      <c r="G4573" s="140">
        <f>IFERROR(IF(E4573&gt;0,(F4573/E4573)*1000,""),"")</f>
        <v/>
      </c>
      <c r="H4573" s="139">
        <f>IFERROR(IF(E4573&gt;0,E4573*IF(ISNUMBER(J4573),J4573,IF(C4573="Futures",$C$6,$C$5)),""),"")</f>
        <v/>
      </c>
      <c r="I4573" s="139">
        <f>IFERROR(IF(AND(ISNUMBER(F4573),ISNUMBER(H4573)),F4573-H4573,""),"")</f>
        <v/>
      </c>
      <c r="J4573" s="114" t="n"/>
      <c r="K4573" s="139">
        <f>IFERROR(IF(H4573&gt;0,H4573*$C$7,""),"")</f>
        <v/>
      </c>
      <c r="L4573" s="139">
        <f>IFERROR(IF(ISNUMBER(F4573),F4573-IF(ISNUMBER(K4573),K4573,0),""),"")</f>
        <v/>
      </c>
    </row>
    <row r="4574" ht="24" customHeight="1" s="63">
      <c r="E4574" s="139" t="n"/>
      <c r="F4574" s="139" t="n"/>
      <c r="G4574" s="140">
        <f>IFERROR(IF(E4574&gt;0,(F4574/E4574)*1000,""),"")</f>
        <v/>
      </c>
      <c r="H4574" s="139">
        <f>IFERROR(IF(E4574&gt;0,E4574*IF(ISNUMBER(J4574),J4574,IF(C4574="Futures",$C$6,$C$5)),""),"")</f>
        <v/>
      </c>
      <c r="I4574" s="139">
        <f>IFERROR(IF(AND(ISNUMBER(F4574),ISNUMBER(H4574)),F4574-H4574,""),"")</f>
        <v/>
      </c>
      <c r="J4574" s="114" t="n"/>
      <c r="K4574" s="139">
        <f>IFERROR(IF(H4574&gt;0,H4574*$C$7,""),"")</f>
        <v/>
      </c>
      <c r="L4574" s="139">
        <f>IFERROR(IF(ISNUMBER(F4574),F4574-IF(ISNUMBER(K4574),K4574,0),""),"")</f>
        <v/>
      </c>
    </row>
    <row r="4575" ht="24" customHeight="1" s="63">
      <c r="E4575" s="139" t="n"/>
      <c r="F4575" s="139" t="n"/>
      <c r="G4575" s="140">
        <f>IFERROR(IF(E4575&gt;0,(F4575/E4575)*1000,""),"")</f>
        <v/>
      </c>
      <c r="H4575" s="139">
        <f>IFERROR(IF(E4575&gt;0,E4575*IF(ISNUMBER(J4575),J4575,IF(C4575="Futures",$C$6,$C$5)),""),"")</f>
        <v/>
      </c>
      <c r="I4575" s="139">
        <f>IFERROR(IF(AND(ISNUMBER(F4575),ISNUMBER(H4575)),F4575-H4575,""),"")</f>
        <v/>
      </c>
      <c r="J4575" s="114" t="n"/>
      <c r="K4575" s="139">
        <f>IFERROR(IF(H4575&gt;0,H4575*$C$7,""),"")</f>
        <v/>
      </c>
      <c r="L4575" s="139">
        <f>IFERROR(IF(ISNUMBER(F4575),F4575-IF(ISNUMBER(K4575),K4575,0),""),"")</f>
        <v/>
      </c>
    </row>
    <row r="4576" ht="24" customHeight="1" s="63">
      <c r="E4576" s="139" t="n"/>
      <c r="F4576" s="139" t="n"/>
      <c r="G4576" s="140">
        <f>IFERROR(IF(E4576&gt;0,(F4576/E4576)*1000,""),"")</f>
        <v/>
      </c>
      <c r="H4576" s="139">
        <f>IFERROR(IF(E4576&gt;0,E4576*IF(ISNUMBER(J4576),J4576,IF(C4576="Futures",$C$6,$C$5)),""),"")</f>
        <v/>
      </c>
      <c r="I4576" s="139">
        <f>IFERROR(IF(AND(ISNUMBER(F4576),ISNUMBER(H4576)),F4576-H4576,""),"")</f>
        <v/>
      </c>
      <c r="J4576" s="114" t="n"/>
      <c r="K4576" s="139">
        <f>IFERROR(IF(H4576&gt;0,H4576*$C$7,""),"")</f>
        <v/>
      </c>
      <c r="L4576" s="139">
        <f>IFERROR(IF(ISNUMBER(F4576),F4576-IF(ISNUMBER(K4576),K4576,0),""),"")</f>
        <v/>
      </c>
    </row>
    <row r="4577" ht="24" customHeight="1" s="63">
      <c r="E4577" s="139" t="n"/>
      <c r="F4577" s="139" t="n"/>
      <c r="G4577" s="140">
        <f>IFERROR(IF(E4577&gt;0,(F4577/E4577)*1000,""),"")</f>
        <v/>
      </c>
      <c r="H4577" s="139">
        <f>IFERROR(IF(E4577&gt;0,E4577*IF(ISNUMBER(J4577),J4577,IF(C4577="Futures",$C$6,$C$5)),""),"")</f>
        <v/>
      </c>
      <c r="I4577" s="139">
        <f>IFERROR(IF(AND(ISNUMBER(F4577),ISNUMBER(H4577)),F4577-H4577,""),"")</f>
        <v/>
      </c>
      <c r="J4577" s="114" t="n"/>
      <c r="K4577" s="139">
        <f>IFERROR(IF(H4577&gt;0,H4577*$C$7,""),"")</f>
        <v/>
      </c>
      <c r="L4577" s="139">
        <f>IFERROR(IF(ISNUMBER(F4577),F4577-IF(ISNUMBER(K4577),K4577,0),""),"")</f>
        <v/>
      </c>
    </row>
    <row r="4578" ht="24" customHeight="1" s="63">
      <c r="E4578" s="139" t="n"/>
      <c r="F4578" s="139" t="n"/>
      <c r="G4578" s="140">
        <f>IFERROR(IF(E4578&gt;0,(F4578/E4578)*1000,""),"")</f>
        <v/>
      </c>
      <c r="H4578" s="139">
        <f>IFERROR(IF(E4578&gt;0,E4578*IF(ISNUMBER(J4578),J4578,IF(C4578="Futures",$C$6,$C$5)),""),"")</f>
        <v/>
      </c>
      <c r="I4578" s="139">
        <f>IFERROR(IF(AND(ISNUMBER(F4578),ISNUMBER(H4578)),F4578-H4578,""),"")</f>
        <v/>
      </c>
      <c r="J4578" s="114" t="n"/>
      <c r="K4578" s="139">
        <f>IFERROR(IF(H4578&gt;0,H4578*$C$7,""),"")</f>
        <v/>
      </c>
      <c r="L4578" s="139">
        <f>IFERROR(IF(ISNUMBER(F4578),F4578-IF(ISNUMBER(K4578),K4578,0),""),"")</f>
        <v/>
      </c>
    </row>
    <row r="4579" ht="24" customHeight="1" s="63">
      <c r="E4579" s="139" t="n"/>
      <c r="F4579" s="139" t="n"/>
      <c r="G4579" s="140">
        <f>IFERROR(IF(E4579&gt;0,(F4579/E4579)*1000,""),"")</f>
        <v/>
      </c>
      <c r="H4579" s="139">
        <f>IFERROR(IF(E4579&gt;0,E4579*IF(ISNUMBER(J4579),J4579,IF(C4579="Futures",$C$6,$C$5)),""),"")</f>
        <v/>
      </c>
      <c r="I4579" s="139">
        <f>IFERROR(IF(AND(ISNUMBER(F4579),ISNUMBER(H4579)),F4579-H4579,""),"")</f>
        <v/>
      </c>
      <c r="J4579" s="114" t="n"/>
      <c r="K4579" s="139">
        <f>IFERROR(IF(H4579&gt;0,H4579*$C$7,""),"")</f>
        <v/>
      </c>
      <c r="L4579" s="139">
        <f>IFERROR(IF(ISNUMBER(F4579),F4579-IF(ISNUMBER(K4579),K4579,0),""),"")</f>
        <v/>
      </c>
    </row>
    <row r="4580" ht="24" customHeight="1" s="63">
      <c r="E4580" s="139" t="n"/>
      <c r="F4580" s="139" t="n"/>
      <c r="G4580" s="140">
        <f>IFERROR(IF(E4580&gt;0,(F4580/E4580)*1000,""),"")</f>
        <v/>
      </c>
      <c r="H4580" s="139">
        <f>IFERROR(IF(E4580&gt;0,E4580*IF(ISNUMBER(J4580),J4580,IF(C4580="Futures",$C$6,$C$5)),""),"")</f>
        <v/>
      </c>
      <c r="I4580" s="139">
        <f>IFERROR(IF(AND(ISNUMBER(F4580),ISNUMBER(H4580)),F4580-H4580,""),"")</f>
        <v/>
      </c>
      <c r="J4580" s="114" t="n"/>
      <c r="K4580" s="139">
        <f>IFERROR(IF(H4580&gt;0,H4580*$C$7,""),"")</f>
        <v/>
      </c>
      <c r="L4580" s="139">
        <f>IFERROR(IF(ISNUMBER(F4580),F4580-IF(ISNUMBER(K4580),K4580,0),""),"")</f>
        <v/>
      </c>
    </row>
    <row r="4581" ht="24" customHeight="1" s="63">
      <c r="E4581" s="139" t="n"/>
      <c r="F4581" s="139" t="n"/>
      <c r="G4581" s="140">
        <f>IFERROR(IF(E4581&gt;0,(F4581/E4581)*1000,""),"")</f>
        <v/>
      </c>
      <c r="H4581" s="139">
        <f>IFERROR(IF(E4581&gt;0,E4581*IF(ISNUMBER(J4581),J4581,IF(C4581="Futures",$C$6,$C$5)),""),"")</f>
        <v/>
      </c>
      <c r="I4581" s="139">
        <f>IFERROR(IF(AND(ISNUMBER(F4581),ISNUMBER(H4581)),F4581-H4581,""),"")</f>
        <v/>
      </c>
      <c r="J4581" s="114" t="n"/>
      <c r="K4581" s="139">
        <f>IFERROR(IF(H4581&gt;0,H4581*$C$7,""),"")</f>
        <v/>
      </c>
      <c r="L4581" s="139">
        <f>IFERROR(IF(ISNUMBER(F4581),F4581-IF(ISNUMBER(K4581),K4581,0),""),"")</f>
        <v/>
      </c>
    </row>
    <row r="4582" ht="24" customHeight="1" s="63">
      <c r="E4582" s="139" t="n"/>
      <c r="F4582" s="139" t="n"/>
      <c r="G4582" s="140">
        <f>IFERROR(IF(E4582&gt;0,(F4582/E4582)*1000,""),"")</f>
        <v/>
      </c>
      <c r="H4582" s="139">
        <f>IFERROR(IF(E4582&gt;0,E4582*IF(ISNUMBER(J4582),J4582,IF(C4582="Futures",$C$6,$C$5)),""),"")</f>
        <v/>
      </c>
      <c r="I4582" s="139">
        <f>IFERROR(IF(AND(ISNUMBER(F4582),ISNUMBER(H4582)),F4582-H4582,""),"")</f>
        <v/>
      </c>
      <c r="J4582" s="114" t="n"/>
      <c r="K4582" s="139">
        <f>IFERROR(IF(H4582&gt;0,H4582*$C$7,""),"")</f>
        <v/>
      </c>
      <c r="L4582" s="139">
        <f>IFERROR(IF(ISNUMBER(F4582),F4582-IF(ISNUMBER(K4582),K4582,0),""),"")</f>
        <v/>
      </c>
    </row>
    <row r="4583" ht="24" customHeight="1" s="63">
      <c r="E4583" s="139" t="n"/>
      <c r="F4583" s="139" t="n"/>
      <c r="G4583" s="140">
        <f>IFERROR(IF(E4583&gt;0,(F4583/E4583)*1000,""),"")</f>
        <v/>
      </c>
      <c r="H4583" s="139">
        <f>IFERROR(IF(E4583&gt;0,E4583*IF(ISNUMBER(J4583),J4583,IF(C4583="Futures",$C$6,$C$5)),""),"")</f>
        <v/>
      </c>
      <c r="I4583" s="139">
        <f>IFERROR(IF(AND(ISNUMBER(F4583),ISNUMBER(H4583)),F4583-H4583,""),"")</f>
        <v/>
      </c>
      <c r="J4583" s="114" t="n"/>
      <c r="K4583" s="139">
        <f>IFERROR(IF(H4583&gt;0,H4583*$C$7,""),"")</f>
        <v/>
      </c>
      <c r="L4583" s="139">
        <f>IFERROR(IF(ISNUMBER(F4583),F4583-IF(ISNUMBER(K4583),K4583,0),""),"")</f>
        <v/>
      </c>
    </row>
    <row r="4584" ht="24" customHeight="1" s="63">
      <c r="E4584" s="139" t="n"/>
      <c r="F4584" s="139" t="n"/>
      <c r="G4584" s="140">
        <f>IFERROR(IF(E4584&gt;0,(F4584/E4584)*1000,""),"")</f>
        <v/>
      </c>
      <c r="H4584" s="139">
        <f>IFERROR(IF(E4584&gt;0,E4584*IF(ISNUMBER(J4584),J4584,IF(C4584="Futures",$C$6,$C$5)),""),"")</f>
        <v/>
      </c>
      <c r="I4584" s="139">
        <f>IFERROR(IF(AND(ISNUMBER(F4584),ISNUMBER(H4584)),F4584-H4584,""),"")</f>
        <v/>
      </c>
      <c r="J4584" s="114" t="n"/>
      <c r="K4584" s="139">
        <f>IFERROR(IF(H4584&gt;0,H4584*$C$7,""),"")</f>
        <v/>
      </c>
      <c r="L4584" s="139">
        <f>IFERROR(IF(ISNUMBER(F4584),F4584-IF(ISNUMBER(K4584),K4584,0),""),"")</f>
        <v/>
      </c>
    </row>
    <row r="4585" ht="24" customHeight="1" s="63">
      <c r="E4585" s="139" t="n"/>
      <c r="F4585" s="139" t="n"/>
      <c r="G4585" s="140">
        <f>IFERROR(IF(E4585&gt;0,(F4585/E4585)*1000,""),"")</f>
        <v/>
      </c>
      <c r="H4585" s="139">
        <f>IFERROR(IF(E4585&gt;0,E4585*IF(ISNUMBER(J4585),J4585,IF(C4585="Futures",$C$6,$C$5)),""),"")</f>
        <v/>
      </c>
      <c r="I4585" s="139">
        <f>IFERROR(IF(AND(ISNUMBER(F4585),ISNUMBER(H4585)),F4585-H4585,""),"")</f>
        <v/>
      </c>
      <c r="J4585" s="114" t="n"/>
      <c r="K4585" s="139">
        <f>IFERROR(IF(H4585&gt;0,H4585*$C$7,""),"")</f>
        <v/>
      </c>
      <c r="L4585" s="139">
        <f>IFERROR(IF(ISNUMBER(F4585),F4585-IF(ISNUMBER(K4585),K4585,0),""),"")</f>
        <v/>
      </c>
    </row>
    <row r="4586" ht="24" customHeight="1" s="63">
      <c r="E4586" s="139" t="n"/>
      <c r="F4586" s="139" t="n"/>
      <c r="G4586" s="140">
        <f>IFERROR(IF(E4586&gt;0,(F4586/E4586)*1000,""),"")</f>
        <v/>
      </c>
      <c r="H4586" s="139">
        <f>IFERROR(IF(E4586&gt;0,E4586*IF(ISNUMBER(J4586),J4586,IF(C4586="Futures",$C$6,$C$5)),""),"")</f>
        <v/>
      </c>
      <c r="I4586" s="139">
        <f>IFERROR(IF(AND(ISNUMBER(F4586),ISNUMBER(H4586)),F4586-H4586,""),"")</f>
        <v/>
      </c>
      <c r="J4586" s="114" t="n"/>
      <c r="K4586" s="139">
        <f>IFERROR(IF(H4586&gt;0,H4586*$C$7,""),"")</f>
        <v/>
      </c>
      <c r="L4586" s="139">
        <f>IFERROR(IF(ISNUMBER(F4586),F4586-IF(ISNUMBER(K4586),K4586,0),""),"")</f>
        <v/>
      </c>
    </row>
    <row r="4587" ht="24" customHeight="1" s="63">
      <c r="E4587" s="139" t="n"/>
      <c r="F4587" s="139" t="n"/>
      <c r="G4587" s="140">
        <f>IFERROR(IF(E4587&gt;0,(F4587/E4587)*1000,""),"")</f>
        <v/>
      </c>
      <c r="H4587" s="139">
        <f>IFERROR(IF(E4587&gt;0,E4587*IF(ISNUMBER(J4587),J4587,IF(C4587="Futures",$C$6,$C$5)),""),"")</f>
        <v/>
      </c>
      <c r="I4587" s="139">
        <f>IFERROR(IF(AND(ISNUMBER(F4587),ISNUMBER(H4587)),F4587-H4587,""),"")</f>
        <v/>
      </c>
      <c r="J4587" s="114" t="n"/>
      <c r="K4587" s="139">
        <f>IFERROR(IF(H4587&gt;0,H4587*$C$7,""),"")</f>
        <v/>
      </c>
      <c r="L4587" s="139">
        <f>IFERROR(IF(ISNUMBER(F4587),F4587-IF(ISNUMBER(K4587),K4587,0),""),"")</f>
        <v/>
      </c>
    </row>
    <row r="4588" ht="24" customHeight="1" s="63">
      <c r="E4588" s="139" t="n"/>
      <c r="F4588" s="139" t="n"/>
      <c r="G4588" s="140">
        <f>IFERROR(IF(E4588&gt;0,(F4588/E4588)*1000,""),"")</f>
        <v/>
      </c>
      <c r="H4588" s="139">
        <f>IFERROR(IF(E4588&gt;0,E4588*IF(ISNUMBER(J4588),J4588,IF(C4588="Futures",$C$6,$C$5)),""),"")</f>
        <v/>
      </c>
      <c r="I4588" s="139">
        <f>IFERROR(IF(AND(ISNUMBER(F4588),ISNUMBER(H4588)),F4588-H4588,""),"")</f>
        <v/>
      </c>
      <c r="J4588" s="114" t="n"/>
      <c r="K4588" s="139">
        <f>IFERROR(IF(H4588&gt;0,H4588*$C$7,""),"")</f>
        <v/>
      </c>
      <c r="L4588" s="139">
        <f>IFERROR(IF(ISNUMBER(F4588),F4588-IF(ISNUMBER(K4588),K4588,0),""),"")</f>
        <v/>
      </c>
    </row>
    <row r="4589" ht="24" customHeight="1" s="63">
      <c r="E4589" s="139" t="n"/>
      <c r="F4589" s="139" t="n"/>
      <c r="G4589" s="140">
        <f>IFERROR(IF(E4589&gt;0,(F4589/E4589)*1000,""),"")</f>
        <v/>
      </c>
      <c r="H4589" s="139">
        <f>IFERROR(IF(E4589&gt;0,E4589*IF(ISNUMBER(J4589),J4589,IF(C4589="Futures",$C$6,$C$5)),""),"")</f>
        <v/>
      </c>
      <c r="I4589" s="139">
        <f>IFERROR(IF(AND(ISNUMBER(F4589),ISNUMBER(H4589)),F4589-H4589,""),"")</f>
        <v/>
      </c>
      <c r="J4589" s="114" t="n"/>
      <c r="K4589" s="139">
        <f>IFERROR(IF(H4589&gt;0,H4589*$C$7,""),"")</f>
        <v/>
      </c>
      <c r="L4589" s="139">
        <f>IFERROR(IF(ISNUMBER(F4589),F4589-IF(ISNUMBER(K4589),K4589,0),""),"")</f>
        <v/>
      </c>
    </row>
    <row r="4590" ht="24" customHeight="1" s="63">
      <c r="E4590" s="139" t="n"/>
      <c r="F4590" s="139" t="n"/>
      <c r="G4590" s="140">
        <f>IFERROR(IF(E4590&gt;0,(F4590/E4590)*1000,""),"")</f>
        <v/>
      </c>
      <c r="H4590" s="139">
        <f>IFERROR(IF(E4590&gt;0,E4590*IF(ISNUMBER(J4590),J4590,IF(C4590="Futures",$C$6,$C$5)),""),"")</f>
        <v/>
      </c>
      <c r="I4590" s="139">
        <f>IFERROR(IF(AND(ISNUMBER(F4590),ISNUMBER(H4590)),F4590-H4590,""),"")</f>
        <v/>
      </c>
      <c r="J4590" s="114" t="n"/>
      <c r="K4590" s="139">
        <f>IFERROR(IF(H4590&gt;0,H4590*$C$7,""),"")</f>
        <v/>
      </c>
      <c r="L4590" s="139">
        <f>IFERROR(IF(ISNUMBER(F4590),F4590-IF(ISNUMBER(K4590),K4590,0),""),"")</f>
        <v/>
      </c>
    </row>
    <row r="4591" ht="24" customHeight="1" s="63">
      <c r="E4591" s="139" t="n"/>
      <c r="F4591" s="139" t="n"/>
      <c r="G4591" s="140">
        <f>IFERROR(IF(E4591&gt;0,(F4591/E4591)*1000,""),"")</f>
        <v/>
      </c>
      <c r="H4591" s="139">
        <f>IFERROR(IF(E4591&gt;0,E4591*IF(ISNUMBER(J4591),J4591,IF(C4591="Futures",$C$6,$C$5)),""),"")</f>
        <v/>
      </c>
      <c r="I4591" s="139">
        <f>IFERROR(IF(AND(ISNUMBER(F4591),ISNUMBER(H4591)),F4591-H4591,""),"")</f>
        <v/>
      </c>
      <c r="J4591" s="114" t="n"/>
      <c r="K4591" s="139">
        <f>IFERROR(IF(H4591&gt;0,H4591*$C$7,""),"")</f>
        <v/>
      </c>
      <c r="L4591" s="139">
        <f>IFERROR(IF(ISNUMBER(F4591),F4591-IF(ISNUMBER(K4591),K4591,0),""),"")</f>
        <v/>
      </c>
    </row>
    <row r="4592" ht="24" customHeight="1" s="63">
      <c r="E4592" s="139" t="n"/>
      <c r="F4592" s="139" t="n"/>
      <c r="G4592" s="140">
        <f>IFERROR(IF(E4592&gt;0,(F4592/E4592)*1000,""),"")</f>
        <v/>
      </c>
      <c r="H4592" s="139">
        <f>IFERROR(IF(E4592&gt;0,E4592*IF(ISNUMBER(J4592),J4592,IF(C4592="Futures",$C$6,$C$5)),""),"")</f>
        <v/>
      </c>
      <c r="I4592" s="139">
        <f>IFERROR(IF(AND(ISNUMBER(F4592),ISNUMBER(H4592)),F4592-H4592,""),"")</f>
        <v/>
      </c>
      <c r="J4592" s="114" t="n"/>
      <c r="K4592" s="139">
        <f>IFERROR(IF(H4592&gt;0,H4592*$C$7,""),"")</f>
        <v/>
      </c>
      <c r="L4592" s="139">
        <f>IFERROR(IF(ISNUMBER(F4592),F4592-IF(ISNUMBER(K4592),K4592,0),""),"")</f>
        <v/>
      </c>
    </row>
    <row r="4593" ht="24" customHeight="1" s="63">
      <c r="E4593" s="139" t="n"/>
      <c r="F4593" s="139" t="n"/>
      <c r="G4593" s="140">
        <f>IFERROR(IF(E4593&gt;0,(F4593/E4593)*1000,""),"")</f>
        <v/>
      </c>
      <c r="H4593" s="139">
        <f>IFERROR(IF(E4593&gt;0,E4593*IF(ISNUMBER(J4593),J4593,IF(C4593="Futures",$C$6,$C$5)),""),"")</f>
        <v/>
      </c>
      <c r="I4593" s="139">
        <f>IFERROR(IF(AND(ISNUMBER(F4593),ISNUMBER(H4593)),F4593-H4593,""),"")</f>
        <v/>
      </c>
      <c r="J4593" s="114" t="n"/>
      <c r="K4593" s="139">
        <f>IFERROR(IF(H4593&gt;0,H4593*$C$7,""),"")</f>
        <v/>
      </c>
      <c r="L4593" s="139">
        <f>IFERROR(IF(ISNUMBER(F4593),F4593-IF(ISNUMBER(K4593),K4593,0),""),"")</f>
        <v/>
      </c>
    </row>
    <row r="4594" ht="24" customHeight="1" s="63">
      <c r="E4594" s="139" t="n"/>
      <c r="F4594" s="139" t="n"/>
      <c r="G4594" s="140">
        <f>IFERROR(IF(E4594&gt;0,(F4594/E4594)*1000,""),"")</f>
        <v/>
      </c>
      <c r="H4594" s="139">
        <f>IFERROR(IF(E4594&gt;0,E4594*IF(ISNUMBER(J4594),J4594,IF(C4594="Futures",$C$6,$C$5)),""),"")</f>
        <v/>
      </c>
      <c r="I4594" s="139">
        <f>IFERROR(IF(AND(ISNUMBER(F4594),ISNUMBER(H4594)),F4594-H4594,""),"")</f>
        <v/>
      </c>
      <c r="J4594" s="114" t="n"/>
      <c r="K4594" s="139">
        <f>IFERROR(IF(H4594&gt;0,H4594*$C$7,""),"")</f>
        <v/>
      </c>
      <c r="L4594" s="139">
        <f>IFERROR(IF(ISNUMBER(F4594),F4594-IF(ISNUMBER(K4594),K4594,0),""),"")</f>
        <v/>
      </c>
    </row>
    <row r="4595" ht="24" customHeight="1" s="63">
      <c r="E4595" s="139" t="n"/>
      <c r="F4595" s="139" t="n"/>
      <c r="G4595" s="140">
        <f>IFERROR(IF(E4595&gt;0,(F4595/E4595)*1000,""),"")</f>
        <v/>
      </c>
      <c r="H4595" s="139">
        <f>IFERROR(IF(E4595&gt;0,E4595*IF(ISNUMBER(J4595),J4595,IF(C4595="Futures",$C$6,$C$5)),""),"")</f>
        <v/>
      </c>
      <c r="I4595" s="139">
        <f>IFERROR(IF(AND(ISNUMBER(F4595),ISNUMBER(H4595)),F4595-H4595,""),"")</f>
        <v/>
      </c>
      <c r="J4595" s="114" t="n"/>
      <c r="K4595" s="139">
        <f>IFERROR(IF(H4595&gt;0,H4595*$C$7,""),"")</f>
        <v/>
      </c>
      <c r="L4595" s="139">
        <f>IFERROR(IF(ISNUMBER(F4595),F4595-IF(ISNUMBER(K4595),K4595,0),""),"")</f>
        <v/>
      </c>
    </row>
    <row r="4596" ht="24" customHeight="1" s="63">
      <c r="E4596" s="139" t="n"/>
      <c r="F4596" s="139" t="n"/>
      <c r="G4596" s="140">
        <f>IFERROR(IF(E4596&gt;0,(F4596/E4596)*1000,""),"")</f>
        <v/>
      </c>
      <c r="H4596" s="139">
        <f>IFERROR(IF(E4596&gt;0,E4596*IF(ISNUMBER(J4596),J4596,IF(C4596="Futures",$C$6,$C$5)),""),"")</f>
        <v/>
      </c>
      <c r="I4596" s="139">
        <f>IFERROR(IF(AND(ISNUMBER(F4596),ISNUMBER(H4596)),F4596-H4596,""),"")</f>
        <v/>
      </c>
      <c r="J4596" s="114" t="n"/>
      <c r="K4596" s="139">
        <f>IFERROR(IF(H4596&gt;0,H4596*$C$7,""),"")</f>
        <v/>
      </c>
      <c r="L4596" s="139">
        <f>IFERROR(IF(ISNUMBER(F4596),F4596-IF(ISNUMBER(K4596),K4596,0),""),"")</f>
        <v/>
      </c>
    </row>
    <row r="4597" ht="24" customHeight="1" s="63">
      <c r="E4597" s="139" t="n"/>
      <c r="F4597" s="139" t="n"/>
      <c r="G4597" s="140">
        <f>IFERROR(IF(E4597&gt;0,(F4597/E4597)*1000,""),"")</f>
        <v/>
      </c>
      <c r="H4597" s="139">
        <f>IFERROR(IF(E4597&gt;0,E4597*IF(ISNUMBER(J4597),J4597,IF(C4597="Futures",$C$6,$C$5)),""),"")</f>
        <v/>
      </c>
      <c r="I4597" s="139">
        <f>IFERROR(IF(AND(ISNUMBER(F4597),ISNUMBER(H4597)),F4597-H4597,""),"")</f>
        <v/>
      </c>
      <c r="J4597" s="114" t="n"/>
      <c r="K4597" s="139">
        <f>IFERROR(IF(H4597&gt;0,H4597*$C$7,""),"")</f>
        <v/>
      </c>
      <c r="L4597" s="139">
        <f>IFERROR(IF(ISNUMBER(F4597),F4597-IF(ISNUMBER(K4597),K4597,0),""),"")</f>
        <v/>
      </c>
    </row>
    <row r="4598" ht="24" customHeight="1" s="63">
      <c r="E4598" s="139" t="n"/>
      <c r="F4598" s="139" t="n"/>
      <c r="G4598" s="140">
        <f>IFERROR(IF(E4598&gt;0,(F4598/E4598)*1000,""),"")</f>
        <v/>
      </c>
      <c r="H4598" s="139">
        <f>IFERROR(IF(E4598&gt;0,E4598*IF(ISNUMBER(J4598),J4598,IF(C4598="Futures",$C$6,$C$5)),""),"")</f>
        <v/>
      </c>
      <c r="I4598" s="139">
        <f>IFERROR(IF(AND(ISNUMBER(F4598),ISNUMBER(H4598)),F4598-H4598,""),"")</f>
        <v/>
      </c>
      <c r="J4598" s="114" t="n"/>
      <c r="K4598" s="139">
        <f>IFERROR(IF(H4598&gt;0,H4598*$C$7,""),"")</f>
        <v/>
      </c>
      <c r="L4598" s="139">
        <f>IFERROR(IF(ISNUMBER(F4598),F4598-IF(ISNUMBER(K4598),K4598,0),""),"")</f>
        <v/>
      </c>
    </row>
    <row r="4599" ht="24" customHeight="1" s="63">
      <c r="E4599" s="139" t="n"/>
      <c r="F4599" s="139" t="n"/>
      <c r="G4599" s="140">
        <f>IFERROR(IF(E4599&gt;0,(F4599/E4599)*1000,""),"")</f>
        <v/>
      </c>
      <c r="H4599" s="139">
        <f>IFERROR(IF(E4599&gt;0,E4599*IF(ISNUMBER(J4599),J4599,IF(C4599="Futures",$C$6,$C$5)),""),"")</f>
        <v/>
      </c>
      <c r="I4599" s="139">
        <f>IFERROR(IF(AND(ISNUMBER(F4599),ISNUMBER(H4599)),F4599-H4599,""),"")</f>
        <v/>
      </c>
      <c r="J4599" s="114" t="n"/>
      <c r="K4599" s="139">
        <f>IFERROR(IF(H4599&gt;0,H4599*$C$7,""),"")</f>
        <v/>
      </c>
      <c r="L4599" s="139">
        <f>IFERROR(IF(ISNUMBER(F4599),F4599-IF(ISNUMBER(K4599),K4599,0),""),"")</f>
        <v/>
      </c>
    </row>
    <row r="4600" ht="24" customHeight="1" s="63">
      <c r="E4600" s="139" t="n"/>
      <c r="F4600" s="139" t="n"/>
      <c r="G4600" s="140">
        <f>IFERROR(IF(E4600&gt;0,(F4600/E4600)*1000,""),"")</f>
        <v/>
      </c>
      <c r="H4600" s="139">
        <f>IFERROR(IF(E4600&gt;0,E4600*IF(ISNUMBER(J4600),J4600,IF(C4600="Futures",$C$6,$C$5)),""),"")</f>
        <v/>
      </c>
      <c r="I4600" s="139">
        <f>IFERROR(IF(AND(ISNUMBER(F4600),ISNUMBER(H4600)),F4600-H4600,""),"")</f>
        <v/>
      </c>
      <c r="J4600" s="114" t="n"/>
      <c r="K4600" s="139">
        <f>IFERROR(IF(H4600&gt;0,H4600*$C$7,""),"")</f>
        <v/>
      </c>
      <c r="L4600" s="139">
        <f>IFERROR(IF(ISNUMBER(F4600),F4600-IF(ISNUMBER(K4600),K4600,0),""),"")</f>
        <v/>
      </c>
    </row>
    <row r="4601" ht="24" customHeight="1" s="63">
      <c r="E4601" s="139" t="n"/>
      <c r="F4601" s="139" t="n"/>
      <c r="G4601" s="140">
        <f>IFERROR(IF(E4601&gt;0,(F4601/E4601)*1000,""),"")</f>
        <v/>
      </c>
      <c r="H4601" s="139">
        <f>IFERROR(IF(E4601&gt;0,E4601*IF(ISNUMBER(J4601),J4601,IF(C4601="Futures",$C$6,$C$5)),""),"")</f>
        <v/>
      </c>
      <c r="I4601" s="139">
        <f>IFERROR(IF(AND(ISNUMBER(F4601),ISNUMBER(H4601)),F4601-H4601,""),"")</f>
        <v/>
      </c>
      <c r="J4601" s="114" t="n"/>
      <c r="K4601" s="139">
        <f>IFERROR(IF(H4601&gt;0,H4601*$C$7,""),"")</f>
        <v/>
      </c>
      <c r="L4601" s="139">
        <f>IFERROR(IF(ISNUMBER(F4601),F4601-IF(ISNUMBER(K4601),K4601,0),""),"")</f>
        <v/>
      </c>
    </row>
    <row r="4602" ht="24" customHeight="1" s="63">
      <c r="E4602" s="139" t="n"/>
      <c r="F4602" s="139" t="n"/>
      <c r="G4602" s="140">
        <f>IFERROR(IF(E4602&gt;0,(F4602/E4602)*1000,""),"")</f>
        <v/>
      </c>
      <c r="H4602" s="139">
        <f>IFERROR(IF(E4602&gt;0,E4602*IF(ISNUMBER(J4602),J4602,IF(C4602="Futures",$C$6,$C$5)),""),"")</f>
        <v/>
      </c>
      <c r="I4602" s="139">
        <f>IFERROR(IF(AND(ISNUMBER(F4602),ISNUMBER(H4602)),F4602-H4602,""),"")</f>
        <v/>
      </c>
      <c r="J4602" s="114" t="n"/>
      <c r="K4602" s="139">
        <f>IFERROR(IF(H4602&gt;0,H4602*$C$7,""),"")</f>
        <v/>
      </c>
      <c r="L4602" s="139">
        <f>IFERROR(IF(ISNUMBER(F4602),F4602-IF(ISNUMBER(K4602),K4602,0),""),"")</f>
        <v/>
      </c>
    </row>
    <row r="4603" ht="24" customHeight="1" s="63">
      <c r="E4603" s="139" t="n"/>
      <c r="F4603" s="139" t="n"/>
      <c r="G4603" s="140">
        <f>IFERROR(IF(E4603&gt;0,(F4603/E4603)*1000,""),"")</f>
        <v/>
      </c>
      <c r="H4603" s="139">
        <f>IFERROR(IF(E4603&gt;0,E4603*IF(ISNUMBER(J4603),J4603,IF(C4603="Futures",$C$6,$C$5)),""),"")</f>
        <v/>
      </c>
      <c r="I4603" s="139">
        <f>IFERROR(IF(AND(ISNUMBER(F4603),ISNUMBER(H4603)),F4603-H4603,""),"")</f>
        <v/>
      </c>
      <c r="J4603" s="114" t="n"/>
      <c r="K4603" s="139">
        <f>IFERROR(IF(H4603&gt;0,H4603*$C$7,""),"")</f>
        <v/>
      </c>
      <c r="L4603" s="139">
        <f>IFERROR(IF(ISNUMBER(F4603),F4603-IF(ISNUMBER(K4603),K4603,0),""),"")</f>
        <v/>
      </c>
    </row>
    <row r="4604" ht="24" customHeight="1" s="63">
      <c r="E4604" s="139" t="n"/>
      <c r="F4604" s="139" t="n"/>
      <c r="G4604" s="140">
        <f>IFERROR(IF(E4604&gt;0,(F4604/E4604)*1000,""),"")</f>
        <v/>
      </c>
      <c r="H4604" s="139">
        <f>IFERROR(IF(E4604&gt;0,E4604*IF(ISNUMBER(J4604),J4604,IF(C4604="Futures",$C$6,$C$5)),""),"")</f>
        <v/>
      </c>
      <c r="I4604" s="139">
        <f>IFERROR(IF(AND(ISNUMBER(F4604),ISNUMBER(H4604)),F4604-H4604,""),"")</f>
        <v/>
      </c>
      <c r="J4604" s="114" t="n"/>
      <c r="K4604" s="139">
        <f>IFERROR(IF(H4604&gt;0,H4604*$C$7,""),"")</f>
        <v/>
      </c>
      <c r="L4604" s="139">
        <f>IFERROR(IF(ISNUMBER(F4604),F4604-IF(ISNUMBER(K4604),K4604,0),""),"")</f>
        <v/>
      </c>
    </row>
    <row r="4605" ht="24" customHeight="1" s="63">
      <c r="E4605" s="139" t="n"/>
      <c r="F4605" s="139" t="n"/>
      <c r="G4605" s="140">
        <f>IFERROR(IF(E4605&gt;0,(F4605/E4605)*1000,""),"")</f>
        <v/>
      </c>
      <c r="H4605" s="139">
        <f>IFERROR(IF(E4605&gt;0,E4605*IF(ISNUMBER(J4605),J4605,IF(C4605="Futures",$C$6,$C$5)),""),"")</f>
        <v/>
      </c>
      <c r="I4605" s="139">
        <f>IFERROR(IF(AND(ISNUMBER(F4605),ISNUMBER(H4605)),F4605-H4605,""),"")</f>
        <v/>
      </c>
      <c r="J4605" s="114" t="n"/>
      <c r="K4605" s="139">
        <f>IFERROR(IF(H4605&gt;0,H4605*$C$7,""),"")</f>
        <v/>
      </c>
      <c r="L4605" s="139">
        <f>IFERROR(IF(ISNUMBER(F4605),F4605-IF(ISNUMBER(K4605),K4605,0),""),"")</f>
        <v/>
      </c>
    </row>
    <row r="4606" ht="24" customHeight="1" s="63">
      <c r="E4606" s="139" t="n"/>
      <c r="F4606" s="139" t="n"/>
      <c r="G4606" s="140">
        <f>IFERROR(IF(E4606&gt;0,(F4606/E4606)*1000,""),"")</f>
        <v/>
      </c>
      <c r="H4606" s="139">
        <f>IFERROR(IF(E4606&gt;0,E4606*IF(ISNUMBER(J4606),J4606,IF(C4606="Futures",$C$6,$C$5)),""),"")</f>
        <v/>
      </c>
      <c r="I4606" s="139">
        <f>IFERROR(IF(AND(ISNUMBER(F4606),ISNUMBER(H4606)),F4606-H4606,""),"")</f>
        <v/>
      </c>
      <c r="J4606" s="114" t="n"/>
      <c r="K4606" s="139">
        <f>IFERROR(IF(H4606&gt;0,H4606*$C$7,""),"")</f>
        <v/>
      </c>
      <c r="L4606" s="139">
        <f>IFERROR(IF(ISNUMBER(F4606),F4606-IF(ISNUMBER(K4606),K4606,0),""),"")</f>
        <v/>
      </c>
    </row>
    <row r="4607" ht="24" customHeight="1" s="63">
      <c r="E4607" s="139" t="n"/>
      <c r="F4607" s="139" t="n"/>
      <c r="G4607" s="140">
        <f>IFERROR(IF(E4607&gt;0,(F4607/E4607)*1000,""),"")</f>
        <v/>
      </c>
      <c r="H4607" s="139">
        <f>IFERROR(IF(E4607&gt;0,E4607*IF(ISNUMBER(J4607),J4607,IF(C4607="Futures",$C$6,$C$5)),""),"")</f>
        <v/>
      </c>
      <c r="I4607" s="139">
        <f>IFERROR(IF(AND(ISNUMBER(F4607),ISNUMBER(H4607)),F4607-H4607,""),"")</f>
        <v/>
      </c>
      <c r="J4607" s="114" t="n"/>
      <c r="K4607" s="139">
        <f>IFERROR(IF(H4607&gt;0,H4607*$C$7,""),"")</f>
        <v/>
      </c>
      <c r="L4607" s="139">
        <f>IFERROR(IF(ISNUMBER(F4607),F4607-IF(ISNUMBER(K4607),K4607,0),""),"")</f>
        <v/>
      </c>
    </row>
    <row r="4608" ht="24" customHeight="1" s="63">
      <c r="E4608" s="139" t="n"/>
      <c r="F4608" s="139" t="n"/>
      <c r="G4608" s="140">
        <f>IFERROR(IF(E4608&gt;0,(F4608/E4608)*1000,""),"")</f>
        <v/>
      </c>
      <c r="H4608" s="139">
        <f>IFERROR(IF(E4608&gt;0,E4608*IF(ISNUMBER(J4608),J4608,IF(C4608="Futures",$C$6,$C$5)),""),"")</f>
        <v/>
      </c>
      <c r="I4608" s="139">
        <f>IFERROR(IF(AND(ISNUMBER(F4608),ISNUMBER(H4608)),F4608-H4608,""),"")</f>
        <v/>
      </c>
      <c r="J4608" s="114" t="n"/>
      <c r="K4608" s="139">
        <f>IFERROR(IF(H4608&gt;0,H4608*$C$7,""),"")</f>
        <v/>
      </c>
      <c r="L4608" s="139">
        <f>IFERROR(IF(ISNUMBER(F4608),F4608-IF(ISNUMBER(K4608),K4608,0),""),"")</f>
        <v/>
      </c>
    </row>
    <row r="4609" ht="24" customHeight="1" s="63">
      <c r="E4609" s="139" t="n"/>
      <c r="F4609" s="139" t="n"/>
      <c r="G4609" s="140">
        <f>IFERROR(IF(E4609&gt;0,(F4609/E4609)*1000,""),"")</f>
        <v/>
      </c>
      <c r="H4609" s="139">
        <f>IFERROR(IF(E4609&gt;0,E4609*IF(ISNUMBER(J4609),J4609,IF(C4609="Futures",$C$6,$C$5)),""),"")</f>
        <v/>
      </c>
      <c r="I4609" s="139">
        <f>IFERROR(IF(AND(ISNUMBER(F4609),ISNUMBER(H4609)),F4609-H4609,""),"")</f>
        <v/>
      </c>
      <c r="J4609" s="114" t="n"/>
      <c r="K4609" s="139">
        <f>IFERROR(IF(H4609&gt;0,H4609*$C$7,""),"")</f>
        <v/>
      </c>
      <c r="L4609" s="139">
        <f>IFERROR(IF(ISNUMBER(F4609),F4609-IF(ISNUMBER(K4609),K4609,0),""),"")</f>
        <v/>
      </c>
    </row>
    <row r="4610" ht="24" customHeight="1" s="63">
      <c r="E4610" s="139" t="n"/>
      <c r="F4610" s="139" t="n"/>
      <c r="G4610" s="140">
        <f>IFERROR(IF(E4610&gt;0,(F4610/E4610)*1000,""),"")</f>
        <v/>
      </c>
      <c r="H4610" s="139">
        <f>IFERROR(IF(E4610&gt;0,E4610*IF(ISNUMBER(J4610),J4610,IF(C4610="Futures",$C$6,$C$5)),""),"")</f>
        <v/>
      </c>
      <c r="I4610" s="139">
        <f>IFERROR(IF(AND(ISNUMBER(F4610),ISNUMBER(H4610)),F4610-H4610,""),"")</f>
        <v/>
      </c>
      <c r="J4610" s="114" t="n"/>
      <c r="K4610" s="139">
        <f>IFERROR(IF(H4610&gt;0,H4610*$C$7,""),"")</f>
        <v/>
      </c>
      <c r="L4610" s="139">
        <f>IFERROR(IF(ISNUMBER(F4610),F4610-IF(ISNUMBER(K4610),K4610,0),""),"")</f>
        <v/>
      </c>
    </row>
    <row r="4611" ht="24" customHeight="1" s="63">
      <c r="E4611" s="139" t="n"/>
      <c r="F4611" s="139" t="n"/>
      <c r="G4611" s="140">
        <f>IFERROR(IF(E4611&gt;0,(F4611/E4611)*1000,""),"")</f>
        <v/>
      </c>
      <c r="H4611" s="139">
        <f>IFERROR(IF(E4611&gt;0,E4611*IF(ISNUMBER(J4611),J4611,IF(C4611="Futures",$C$6,$C$5)),""),"")</f>
        <v/>
      </c>
      <c r="I4611" s="139">
        <f>IFERROR(IF(AND(ISNUMBER(F4611),ISNUMBER(H4611)),F4611-H4611,""),"")</f>
        <v/>
      </c>
      <c r="J4611" s="114" t="n"/>
      <c r="K4611" s="139">
        <f>IFERROR(IF(H4611&gt;0,H4611*$C$7,""),"")</f>
        <v/>
      </c>
      <c r="L4611" s="139">
        <f>IFERROR(IF(ISNUMBER(F4611),F4611-IF(ISNUMBER(K4611),K4611,0),""),"")</f>
        <v/>
      </c>
    </row>
    <row r="4612" ht="24" customHeight="1" s="63">
      <c r="E4612" s="139" t="n"/>
      <c r="F4612" s="139" t="n"/>
      <c r="G4612" s="140">
        <f>IFERROR(IF(E4612&gt;0,(F4612/E4612)*1000,""),"")</f>
        <v/>
      </c>
      <c r="H4612" s="139">
        <f>IFERROR(IF(E4612&gt;0,E4612*IF(ISNUMBER(J4612),J4612,IF(C4612="Futures",$C$6,$C$5)),""),"")</f>
        <v/>
      </c>
      <c r="I4612" s="139">
        <f>IFERROR(IF(AND(ISNUMBER(F4612),ISNUMBER(H4612)),F4612-H4612,""),"")</f>
        <v/>
      </c>
      <c r="J4612" s="114" t="n"/>
      <c r="K4612" s="139">
        <f>IFERROR(IF(H4612&gt;0,H4612*$C$7,""),"")</f>
        <v/>
      </c>
      <c r="L4612" s="139">
        <f>IFERROR(IF(ISNUMBER(F4612),F4612-IF(ISNUMBER(K4612),K4612,0),""),"")</f>
        <v/>
      </c>
    </row>
    <row r="4613" ht="24" customHeight="1" s="63">
      <c r="E4613" s="139" t="n"/>
      <c r="F4613" s="139" t="n"/>
      <c r="G4613" s="140">
        <f>IFERROR(IF(E4613&gt;0,(F4613/E4613)*1000,""),"")</f>
        <v/>
      </c>
      <c r="H4613" s="139">
        <f>IFERROR(IF(E4613&gt;0,E4613*IF(ISNUMBER(J4613),J4613,IF(C4613="Futures",$C$6,$C$5)),""),"")</f>
        <v/>
      </c>
      <c r="I4613" s="139">
        <f>IFERROR(IF(AND(ISNUMBER(F4613),ISNUMBER(H4613)),F4613-H4613,""),"")</f>
        <v/>
      </c>
      <c r="J4613" s="114" t="n"/>
      <c r="K4613" s="139">
        <f>IFERROR(IF(H4613&gt;0,H4613*$C$7,""),"")</f>
        <v/>
      </c>
      <c r="L4613" s="139">
        <f>IFERROR(IF(ISNUMBER(F4613),F4613-IF(ISNUMBER(K4613),K4613,0),""),"")</f>
        <v/>
      </c>
    </row>
    <row r="4614" ht="24" customHeight="1" s="63">
      <c r="E4614" s="139" t="n"/>
      <c r="F4614" s="139" t="n"/>
      <c r="G4614" s="140">
        <f>IFERROR(IF(E4614&gt;0,(F4614/E4614)*1000,""),"")</f>
        <v/>
      </c>
      <c r="H4614" s="139">
        <f>IFERROR(IF(E4614&gt;0,E4614*IF(ISNUMBER(J4614),J4614,IF(C4614="Futures",$C$6,$C$5)),""),"")</f>
        <v/>
      </c>
      <c r="I4614" s="139">
        <f>IFERROR(IF(AND(ISNUMBER(F4614),ISNUMBER(H4614)),F4614-H4614,""),"")</f>
        <v/>
      </c>
      <c r="J4614" s="114" t="n"/>
      <c r="K4614" s="139">
        <f>IFERROR(IF(H4614&gt;0,H4614*$C$7,""),"")</f>
        <v/>
      </c>
      <c r="L4614" s="139">
        <f>IFERROR(IF(ISNUMBER(F4614),F4614-IF(ISNUMBER(K4614),K4614,0),""),"")</f>
        <v/>
      </c>
    </row>
    <row r="4615" ht="24" customHeight="1" s="63">
      <c r="E4615" s="139" t="n"/>
      <c r="F4615" s="139" t="n"/>
      <c r="G4615" s="140">
        <f>IFERROR(IF(E4615&gt;0,(F4615/E4615)*1000,""),"")</f>
        <v/>
      </c>
      <c r="H4615" s="139">
        <f>IFERROR(IF(E4615&gt;0,E4615*IF(ISNUMBER(J4615),J4615,IF(C4615="Futures",$C$6,$C$5)),""),"")</f>
        <v/>
      </c>
      <c r="I4615" s="139">
        <f>IFERROR(IF(AND(ISNUMBER(F4615),ISNUMBER(H4615)),F4615-H4615,""),"")</f>
        <v/>
      </c>
      <c r="J4615" s="114" t="n"/>
      <c r="K4615" s="139">
        <f>IFERROR(IF(H4615&gt;0,H4615*$C$7,""),"")</f>
        <v/>
      </c>
      <c r="L4615" s="139">
        <f>IFERROR(IF(ISNUMBER(F4615),F4615-IF(ISNUMBER(K4615),K4615,0),""),"")</f>
        <v/>
      </c>
    </row>
    <row r="4616" ht="24" customHeight="1" s="63">
      <c r="E4616" s="139" t="n"/>
      <c r="F4616" s="139" t="n"/>
      <c r="G4616" s="140">
        <f>IFERROR(IF(E4616&gt;0,(F4616/E4616)*1000,""),"")</f>
        <v/>
      </c>
      <c r="H4616" s="139">
        <f>IFERROR(IF(E4616&gt;0,E4616*IF(ISNUMBER(J4616),J4616,IF(C4616="Futures",$C$6,$C$5)),""),"")</f>
        <v/>
      </c>
      <c r="I4616" s="139">
        <f>IFERROR(IF(AND(ISNUMBER(F4616),ISNUMBER(H4616)),F4616-H4616,""),"")</f>
        <v/>
      </c>
      <c r="J4616" s="114" t="n"/>
      <c r="K4616" s="139">
        <f>IFERROR(IF(H4616&gt;0,H4616*$C$7,""),"")</f>
        <v/>
      </c>
      <c r="L4616" s="139">
        <f>IFERROR(IF(ISNUMBER(F4616),F4616-IF(ISNUMBER(K4616),K4616,0),""),"")</f>
        <v/>
      </c>
    </row>
    <row r="4617" ht="24" customHeight="1" s="63">
      <c r="E4617" s="139" t="n"/>
      <c r="F4617" s="139" t="n"/>
      <c r="G4617" s="140">
        <f>IFERROR(IF(E4617&gt;0,(F4617/E4617)*1000,""),"")</f>
        <v/>
      </c>
      <c r="H4617" s="139">
        <f>IFERROR(IF(E4617&gt;0,E4617*IF(ISNUMBER(J4617),J4617,IF(C4617="Futures",$C$6,$C$5)),""),"")</f>
        <v/>
      </c>
      <c r="I4617" s="139">
        <f>IFERROR(IF(AND(ISNUMBER(F4617),ISNUMBER(H4617)),F4617-H4617,""),"")</f>
        <v/>
      </c>
      <c r="J4617" s="114" t="n"/>
      <c r="K4617" s="139">
        <f>IFERROR(IF(H4617&gt;0,H4617*$C$7,""),"")</f>
        <v/>
      </c>
      <c r="L4617" s="139">
        <f>IFERROR(IF(ISNUMBER(F4617),F4617-IF(ISNUMBER(K4617),K4617,0),""),"")</f>
        <v/>
      </c>
    </row>
    <row r="4618" ht="24" customHeight="1" s="63">
      <c r="E4618" s="139" t="n"/>
      <c r="F4618" s="139" t="n"/>
      <c r="G4618" s="140">
        <f>IFERROR(IF(E4618&gt;0,(F4618/E4618)*1000,""),"")</f>
        <v/>
      </c>
      <c r="H4618" s="139">
        <f>IFERROR(IF(E4618&gt;0,E4618*IF(ISNUMBER(J4618),J4618,IF(C4618="Futures",$C$6,$C$5)),""),"")</f>
        <v/>
      </c>
      <c r="I4618" s="139">
        <f>IFERROR(IF(AND(ISNUMBER(F4618),ISNUMBER(H4618)),F4618-H4618,""),"")</f>
        <v/>
      </c>
      <c r="J4618" s="114" t="n"/>
      <c r="K4618" s="139">
        <f>IFERROR(IF(H4618&gt;0,H4618*$C$7,""),"")</f>
        <v/>
      </c>
      <c r="L4618" s="139">
        <f>IFERROR(IF(ISNUMBER(F4618),F4618-IF(ISNUMBER(K4618),K4618,0),""),"")</f>
        <v/>
      </c>
    </row>
    <row r="4619" ht="24" customHeight="1" s="63">
      <c r="E4619" s="139" t="n"/>
      <c r="F4619" s="139" t="n"/>
      <c r="G4619" s="140">
        <f>IFERROR(IF(E4619&gt;0,(F4619/E4619)*1000,""),"")</f>
        <v/>
      </c>
      <c r="H4619" s="139">
        <f>IFERROR(IF(E4619&gt;0,E4619*IF(ISNUMBER(J4619),J4619,IF(C4619="Futures",$C$6,$C$5)),""),"")</f>
        <v/>
      </c>
      <c r="I4619" s="139">
        <f>IFERROR(IF(AND(ISNUMBER(F4619),ISNUMBER(H4619)),F4619-H4619,""),"")</f>
        <v/>
      </c>
      <c r="J4619" s="114" t="n"/>
      <c r="K4619" s="139">
        <f>IFERROR(IF(H4619&gt;0,H4619*$C$7,""),"")</f>
        <v/>
      </c>
      <c r="L4619" s="139">
        <f>IFERROR(IF(ISNUMBER(F4619),F4619-IF(ISNUMBER(K4619),K4619,0),""),"")</f>
        <v/>
      </c>
    </row>
    <row r="4620" ht="24" customHeight="1" s="63">
      <c r="E4620" s="139" t="n"/>
      <c r="F4620" s="139" t="n"/>
      <c r="G4620" s="140">
        <f>IFERROR(IF(E4620&gt;0,(F4620/E4620)*1000,""),"")</f>
        <v/>
      </c>
      <c r="H4620" s="139">
        <f>IFERROR(IF(E4620&gt;0,E4620*IF(ISNUMBER(J4620),J4620,IF(C4620="Futures",$C$6,$C$5)),""),"")</f>
        <v/>
      </c>
      <c r="I4620" s="139">
        <f>IFERROR(IF(AND(ISNUMBER(F4620),ISNUMBER(H4620)),F4620-H4620,""),"")</f>
        <v/>
      </c>
      <c r="J4620" s="114" t="n"/>
      <c r="K4620" s="139">
        <f>IFERROR(IF(H4620&gt;0,H4620*$C$7,""),"")</f>
        <v/>
      </c>
      <c r="L4620" s="139">
        <f>IFERROR(IF(ISNUMBER(F4620),F4620-IF(ISNUMBER(K4620),K4620,0),""),"")</f>
        <v/>
      </c>
    </row>
    <row r="4621" ht="24" customHeight="1" s="63">
      <c r="E4621" s="139" t="n"/>
      <c r="F4621" s="139" t="n"/>
      <c r="G4621" s="140">
        <f>IFERROR(IF(E4621&gt;0,(F4621/E4621)*1000,""),"")</f>
        <v/>
      </c>
      <c r="H4621" s="139">
        <f>IFERROR(IF(E4621&gt;0,E4621*IF(ISNUMBER(J4621),J4621,IF(C4621="Futures",$C$6,$C$5)),""),"")</f>
        <v/>
      </c>
      <c r="I4621" s="139">
        <f>IFERROR(IF(AND(ISNUMBER(F4621),ISNUMBER(H4621)),F4621-H4621,""),"")</f>
        <v/>
      </c>
      <c r="J4621" s="114" t="n"/>
      <c r="K4621" s="139">
        <f>IFERROR(IF(H4621&gt;0,H4621*$C$7,""),"")</f>
        <v/>
      </c>
      <c r="L4621" s="139">
        <f>IFERROR(IF(ISNUMBER(F4621),F4621-IF(ISNUMBER(K4621),K4621,0),""),"")</f>
        <v/>
      </c>
    </row>
    <row r="4622" ht="24" customHeight="1" s="63">
      <c r="E4622" s="139" t="n"/>
      <c r="F4622" s="139" t="n"/>
      <c r="G4622" s="140">
        <f>IFERROR(IF(E4622&gt;0,(F4622/E4622)*1000,""),"")</f>
        <v/>
      </c>
      <c r="H4622" s="139">
        <f>IFERROR(IF(E4622&gt;0,E4622*IF(ISNUMBER(J4622),J4622,IF(C4622="Futures",$C$6,$C$5)),""),"")</f>
        <v/>
      </c>
      <c r="I4622" s="139">
        <f>IFERROR(IF(AND(ISNUMBER(F4622),ISNUMBER(H4622)),F4622-H4622,""),"")</f>
        <v/>
      </c>
      <c r="J4622" s="114" t="n"/>
      <c r="K4622" s="139">
        <f>IFERROR(IF(H4622&gt;0,H4622*$C$7,""),"")</f>
        <v/>
      </c>
      <c r="L4622" s="139">
        <f>IFERROR(IF(ISNUMBER(F4622),F4622-IF(ISNUMBER(K4622),K4622,0),""),"")</f>
        <v/>
      </c>
    </row>
    <row r="4623" ht="24" customHeight="1" s="63">
      <c r="E4623" s="139" t="n"/>
      <c r="F4623" s="139" t="n"/>
      <c r="G4623" s="140">
        <f>IFERROR(IF(E4623&gt;0,(F4623/E4623)*1000,""),"")</f>
        <v/>
      </c>
      <c r="H4623" s="139">
        <f>IFERROR(IF(E4623&gt;0,E4623*IF(ISNUMBER(J4623),J4623,IF(C4623="Futures",$C$6,$C$5)),""),"")</f>
        <v/>
      </c>
      <c r="I4623" s="139">
        <f>IFERROR(IF(AND(ISNUMBER(F4623),ISNUMBER(H4623)),F4623-H4623,""),"")</f>
        <v/>
      </c>
      <c r="J4623" s="114" t="n"/>
      <c r="K4623" s="139">
        <f>IFERROR(IF(H4623&gt;0,H4623*$C$7,""),"")</f>
        <v/>
      </c>
      <c r="L4623" s="139">
        <f>IFERROR(IF(ISNUMBER(F4623),F4623-IF(ISNUMBER(K4623),K4623,0),""),"")</f>
        <v/>
      </c>
    </row>
    <row r="4624" ht="24" customHeight="1" s="63">
      <c r="E4624" s="139" t="n"/>
      <c r="F4624" s="139" t="n"/>
      <c r="G4624" s="140">
        <f>IFERROR(IF(E4624&gt;0,(F4624/E4624)*1000,""),"")</f>
        <v/>
      </c>
      <c r="H4624" s="139">
        <f>IFERROR(IF(E4624&gt;0,E4624*IF(ISNUMBER(J4624),J4624,IF(C4624="Futures",$C$6,$C$5)),""),"")</f>
        <v/>
      </c>
      <c r="I4624" s="139">
        <f>IFERROR(IF(AND(ISNUMBER(F4624),ISNUMBER(H4624)),F4624-H4624,""),"")</f>
        <v/>
      </c>
      <c r="J4624" s="114" t="n"/>
      <c r="K4624" s="139">
        <f>IFERROR(IF(H4624&gt;0,H4624*$C$7,""),"")</f>
        <v/>
      </c>
      <c r="L4624" s="139">
        <f>IFERROR(IF(ISNUMBER(F4624),F4624-IF(ISNUMBER(K4624),K4624,0),""),"")</f>
        <v/>
      </c>
    </row>
    <row r="4625" ht="24" customHeight="1" s="63">
      <c r="E4625" s="139" t="n"/>
      <c r="F4625" s="139" t="n"/>
      <c r="G4625" s="140">
        <f>IFERROR(IF(E4625&gt;0,(F4625/E4625)*1000,""),"")</f>
        <v/>
      </c>
      <c r="H4625" s="139">
        <f>IFERROR(IF(E4625&gt;0,E4625*IF(ISNUMBER(J4625),J4625,IF(C4625="Futures",$C$6,$C$5)),""),"")</f>
        <v/>
      </c>
      <c r="I4625" s="139">
        <f>IFERROR(IF(AND(ISNUMBER(F4625),ISNUMBER(H4625)),F4625-H4625,""),"")</f>
        <v/>
      </c>
      <c r="J4625" s="114" t="n"/>
      <c r="K4625" s="139">
        <f>IFERROR(IF(H4625&gt;0,H4625*$C$7,""),"")</f>
        <v/>
      </c>
      <c r="L4625" s="139">
        <f>IFERROR(IF(ISNUMBER(F4625),F4625-IF(ISNUMBER(K4625),K4625,0),""),"")</f>
        <v/>
      </c>
    </row>
    <row r="4626" ht="24" customHeight="1" s="63">
      <c r="E4626" s="139" t="n"/>
      <c r="F4626" s="139" t="n"/>
      <c r="G4626" s="140">
        <f>IFERROR(IF(E4626&gt;0,(F4626/E4626)*1000,""),"")</f>
        <v/>
      </c>
      <c r="H4626" s="139">
        <f>IFERROR(IF(E4626&gt;0,E4626*IF(ISNUMBER(J4626),J4626,IF(C4626="Futures",$C$6,$C$5)),""),"")</f>
        <v/>
      </c>
      <c r="I4626" s="139">
        <f>IFERROR(IF(AND(ISNUMBER(F4626),ISNUMBER(H4626)),F4626-H4626,""),"")</f>
        <v/>
      </c>
      <c r="J4626" s="114" t="n"/>
      <c r="K4626" s="139">
        <f>IFERROR(IF(H4626&gt;0,H4626*$C$7,""),"")</f>
        <v/>
      </c>
      <c r="L4626" s="139">
        <f>IFERROR(IF(ISNUMBER(F4626),F4626-IF(ISNUMBER(K4626),K4626,0),""),"")</f>
        <v/>
      </c>
    </row>
    <row r="4627" ht="24" customHeight="1" s="63">
      <c r="E4627" s="139" t="n"/>
      <c r="F4627" s="139" t="n"/>
      <c r="G4627" s="140">
        <f>IFERROR(IF(E4627&gt;0,(F4627/E4627)*1000,""),"")</f>
        <v/>
      </c>
      <c r="H4627" s="139">
        <f>IFERROR(IF(E4627&gt;0,E4627*IF(ISNUMBER(J4627),J4627,IF(C4627="Futures",$C$6,$C$5)),""),"")</f>
        <v/>
      </c>
      <c r="I4627" s="139">
        <f>IFERROR(IF(AND(ISNUMBER(F4627),ISNUMBER(H4627)),F4627-H4627,""),"")</f>
        <v/>
      </c>
      <c r="J4627" s="114" t="n"/>
      <c r="K4627" s="139">
        <f>IFERROR(IF(H4627&gt;0,H4627*$C$7,""),"")</f>
        <v/>
      </c>
      <c r="L4627" s="139">
        <f>IFERROR(IF(ISNUMBER(F4627),F4627-IF(ISNUMBER(K4627),K4627,0),""),"")</f>
        <v/>
      </c>
    </row>
    <row r="4628" ht="24" customHeight="1" s="63">
      <c r="E4628" s="139" t="n"/>
      <c r="F4628" s="139" t="n"/>
      <c r="G4628" s="140">
        <f>IFERROR(IF(E4628&gt;0,(F4628/E4628)*1000,""),"")</f>
        <v/>
      </c>
      <c r="H4628" s="139">
        <f>IFERROR(IF(E4628&gt;0,E4628*IF(ISNUMBER(J4628),J4628,IF(C4628="Futures",$C$6,$C$5)),""),"")</f>
        <v/>
      </c>
      <c r="I4628" s="139">
        <f>IFERROR(IF(AND(ISNUMBER(F4628),ISNUMBER(H4628)),F4628-H4628,""),"")</f>
        <v/>
      </c>
      <c r="J4628" s="114" t="n"/>
      <c r="K4628" s="139">
        <f>IFERROR(IF(H4628&gt;0,H4628*$C$7,""),"")</f>
        <v/>
      </c>
      <c r="L4628" s="139">
        <f>IFERROR(IF(ISNUMBER(F4628),F4628-IF(ISNUMBER(K4628),K4628,0),""),"")</f>
        <v/>
      </c>
    </row>
    <row r="4629" ht="24" customHeight="1" s="63">
      <c r="E4629" s="139" t="n"/>
      <c r="F4629" s="139" t="n"/>
      <c r="G4629" s="140">
        <f>IFERROR(IF(E4629&gt;0,(F4629/E4629)*1000,""),"")</f>
        <v/>
      </c>
      <c r="H4629" s="139">
        <f>IFERROR(IF(E4629&gt;0,E4629*IF(ISNUMBER(J4629),J4629,IF(C4629="Futures",$C$6,$C$5)),""),"")</f>
        <v/>
      </c>
      <c r="I4629" s="139">
        <f>IFERROR(IF(AND(ISNUMBER(F4629),ISNUMBER(H4629)),F4629-H4629,""),"")</f>
        <v/>
      </c>
      <c r="J4629" s="114" t="n"/>
      <c r="K4629" s="139">
        <f>IFERROR(IF(H4629&gt;0,H4629*$C$7,""),"")</f>
        <v/>
      </c>
      <c r="L4629" s="139">
        <f>IFERROR(IF(ISNUMBER(F4629),F4629-IF(ISNUMBER(K4629),K4629,0),""),"")</f>
        <v/>
      </c>
    </row>
    <row r="4630" ht="24" customHeight="1" s="63">
      <c r="E4630" s="139" t="n"/>
      <c r="F4630" s="139" t="n"/>
      <c r="G4630" s="140">
        <f>IFERROR(IF(E4630&gt;0,(F4630/E4630)*1000,""),"")</f>
        <v/>
      </c>
      <c r="H4630" s="139">
        <f>IFERROR(IF(E4630&gt;0,E4630*IF(ISNUMBER(J4630),J4630,IF(C4630="Futures",$C$6,$C$5)),""),"")</f>
        <v/>
      </c>
      <c r="I4630" s="139">
        <f>IFERROR(IF(AND(ISNUMBER(F4630),ISNUMBER(H4630)),F4630-H4630,""),"")</f>
        <v/>
      </c>
      <c r="J4630" s="114" t="n"/>
      <c r="K4630" s="139">
        <f>IFERROR(IF(H4630&gt;0,H4630*$C$7,""),"")</f>
        <v/>
      </c>
      <c r="L4630" s="139">
        <f>IFERROR(IF(ISNUMBER(F4630),F4630-IF(ISNUMBER(K4630),K4630,0),""),"")</f>
        <v/>
      </c>
    </row>
    <row r="4631" ht="24" customHeight="1" s="63">
      <c r="E4631" s="139" t="n"/>
      <c r="F4631" s="139" t="n"/>
      <c r="G4631" s="140">
        <f>IFERROR(IF(E4631&gt;0,(F4631/E4631)*1000,""),"")</f>
        <v/>
      </c>
      <c r="H4631" s="139">
        <f>IFERROR(IF(E4631&gt;0,E4631*IF(ISNUMBER(J4631),J4631,IF(C4631="Futures",$C$6,$C$5)),""),"")</f>
        <v/>
      </c>
      <c r="I4631" s="139">
        <f>IFERROR(IF(AND(ISNUMBER(F4631),ISNUMBER(H4631)),F4631-H4631,""),"")</f>
        <v/>
      </c>
      <c r="J4631" s="114" t="n"/>
      <c r="K4631" s="139">
        <f>IFERROR(IF(H4631&gt;0,H4631*$C$7,""),"")</f>
        <v/>
      </c>
      <c r="L4631" s="139">
        <f>IFERROR(IF(ISNUMBER(F4631),F4631-IF(ISNUMBER(K4631),K4631,0),""),"")</f>
        <v/>
      </c>
    </row>
    <row r="4632" ht="24" customHeight="1" s="63">
      <c r="E4632" s="139" t="n"/>
      <c r="F4632" s="139" t="n"/>
      <c r="G4632" s="140">
        <f>IFERROR(IF(E4632&gt;0,(F4632/E4632)*1000,""),"")</f>
        <v/>
      </c>
      <c r="H4632" s="139">
        <f>IFERROR(IF(E4632&gt;0,E4632*IF(ISNUMBER(J4632),J4632,IF(C4632="Futures",$C$6,$C$5)),""),"")</f>
        <v/>
      </c>
      <c r="I4632" s="139">
        <f>IFERROR(IF(AND(ISNUMBER(F4632),ISNUMBER(H4632)),F4632-H4632,""),"")</f>
        <v/>
      </c>
      <c r="J4632" s="114" t="n"/>
      <c r="K4632" s="139">
        <f>IFERROR(IF(H4632&gt;0,H4632*$C$7,""),"")</f>
        <v/>
      </c>
      <c r="L4632" s="139">
        <f>IFERROR(IF(ISNUMBER(F4632),F4632-IF(ISNUMBER(K4632),K4632,0),""),"")</f>
        <v/>
      </c>
    </row>
    <row r="4633" ht="24" customHeight="1" s="63">
      <c r="E4633" s="139" t="n"/>
      <c r="F4633" s="139" t="n"/>
      <c r="G4633" s="140">
        <f>IFERROR(IF(E4633&gt;0,(F4633/E4633)*1000,""),"")</f>
        <v/>
      </c>
      <c r="H4633" s="139">
        <f>IFERROR(IF(E4633&gt;0,E4633*IF(ISNUMBER(J4633),J4633,IF(C4633="Futures",$C$6,$C$5)),""),"")</f>
        <v/>
      </c>
      <c r="I4633" s="139">
        <f>IFERROR(IF(AND(ISNUMBER(F4633),ISNUMBER(H4633)),F4633-H4633,""),"")</f>
        <v/>
      </c>
      <c r="J4633" s="114" t="n"/>
      <c r="K4633" s="139">
        <f>IFERROR(IF(H4633&gt;0,H4633*$C$7,""),"")</f>
        <v/>
      </c>
      <c r="L4633" s="139">
        <f>IFERROR(IF(ISNUMBER(F4633),F4633-IF(ISNUMBER(K4633),K4633,0),""),"")</f>
        <v/>
      </c>
    </row>
    <row r="4634" ht="24" customHeight="1" s="63">
      <c r="E4634" s="139" t="n"/>
      <c r="F4634" s="139" t="n"/>
      <c r="G4634" s="140">
        <f>IFERROR(IF(E4634&gt;0,(F4634/E4634)*1000,""),"")</f>
        <v/>
      </c>
      <c r="H4634" s="139">
        <f>IFERROR(IF(E4634&gt;0,E4634*IF(ISNUMBER(J4634),J4634,IF(C4634="Futures",$C$6,$C$5)),""),"")</f>
        <v/>
      </c>
      <c r="I4634" s="139">
        <f>IFERROR(IF(AND(ISNUMBER(F4634),ISNUMBER(H4634)),F4634-H4634,""),"")</f>
        <v/>
      </c>
      <c r="J4634" s="114" t="n"/>
      <c r="K4634" s="139">
        <f>IFERROR(IF(H4634&gt;0,H4634*$C$7,""),"")</f>
        <v/>
      </c>
      <c r="L4634" s="139">
        <f>IFERROR(IF(ISNUMBER(F4634),F4634-IF(ISNUMBER(K4634),K4634,0),""),"")</f>
        <v/>
      </c>
    </row>
    <row r="4635" ht="24" customHeight="1" s="63">
      <c r="E4635" s="139" t="n"/>
      <c r="F4635" s="139" t="n"/>
      <c r="G4635" s="140">
        <f>IFERROR(IF(E4635&gt;0,(F4635/E4635)*1000,""),"")</f>
        <v/>
      </c>
      <c r="H4635" s="139">
        <f>IFERROR(IF(E4635&gt;0,E4635*IF(ISNUMBER(J4635),J4635,IF(C4635="Futures",$C$6,$C$5)),""),"")</f>
        <v/>
      </c>
      <c r="I4635" s="139">
        <f>IFERROR(IF(AND(ISNUMBER(F4635),ISNUMBER(H4635)),F4635-H4635,""),"")</f>
        <v/>
      </c>
      <c r="J4635" s="114" t="n"/>
      <c r="K4635" s="139">
        <f>IFERROR(IF(H4635&gt;0,H4635*$C$7,""),"")</f>
        <v/>
      </c>
      <c r="L4635" s="139">
        <f>IFERROR(IF(ISNUMBER(F4635),F4635-IF(ISNUMBER(K4635),K4635,0),""),"")</f>
        <v/>
      </c>
    </row>
    <row r="4636" ht="24" customHeight="1" s="63">
      <c r="E4636" s="139" t="n"/>
      <c r="F4636" s="139" t="n"/>
      <c r="G4636" s="140">
        <f>IFERROR(IF(E4636&gt;0,(F4636/E4636)*1000,""),"")</f>
        <v/>
      </c>
      <c r="H4636" s="139">
        <f>IFERROR(IF(E4636&gt;0,E4636*IF(ISNUMBER(J4636),J4636,IF(C4636="Futures",$C$6,$C$5)),""),"")</f>
        <v/>
      </c>
      <c r="I4636" s="139">
        <f>IFERROR(IF(AND(ISNUMBER(F4636),ISNUMBER(H4636)),F4636-H4636,""),"")</f>
        <v/>
      </c>
      <c r="J4636" s="114" t="n"/>
      <c r="K4636" s="139">
        <f>IFERROR(IF(H4636&gt;0,H4636*$C$7,""),"")</f>
        <v/>
      </c>
      <c r="L4636" s="139">
        <f>IFERROR(IF(ISNUMBER(F4636),F4636-IF(ISNUMBER(K4636),K4636,0),""),"")</f>
        <v/>
      </c>
    </row>
    <row r="4637" ht="24" customHeight="1" s="63">
      <c r="E4637" s="139" t="n"/>
      <c r="F4637" s="139" t="n"/>
      <c r="G4637" s="140">
        <f>IFERROR(IF(E4637&gt;0,(F4637/E4637)*1000,""),"")</f>
        <v/>
      </c>
      <c r="H4637" s="139">
        <f>IFERROR(IF(E4637&gt;0,E4637*IF(ISNUMBER(J4637),J4637,IF(C4637="Futures",$C$6,$C$5)),""),"")</f>
        <v/>
      </c>
      <c r="I4637" s="139">
        <f>IFERROR(IF(AND(ISNUMBER(F4637),ISNUMBER(H4637)),F4637-H4637,""),"")</f>
        <v/>
      </c>
      <c r="J4637" s="114" t="n"/>
      <c r="K4637" s="139">
        <f>IFERROR(IF(H4637&gt;0,H4637*$C$7,""),"")</f>
        <v/>
      </c>
      <c r="L4637" s="139">
        <f>IFERROR(IF(ISNUMBER(F4637),F4637-IF(ISNUMBER(K4637),K4637,0),""),"")</f>
        <v/>
      </c>
    </row>
    <row r="4638" ht="24" customHeight="1" s="63">
      <c r="E4638" s="139" t="n"/>
      <c r="F4638" s="139" t="n"/>
      <c r="G4638" s="140">
        <f>IFERROR(IF(E4638&gt;0,(F4638/E4638)*1000,""),"")</f>
        <v/>
      </c>
      <c r="H4638" s="139">
        <f>IFERROR(IF(E4638&gt;0,E4638*IF(ISNUMBER(J4638),J4638,IF(C4638="Futures",$C$6,$C$5)),""),"")</f>
        <v/>
      </c>
      <c r="I4638" s="139">
        <f>IFERROR(IF(AND(ISNUMBER(F4638),ISNUMBER(H4638)),F4638-H4638,""),"")</f>
        <v/>
      </c>
      <c r="J4638" s="114" t="n"/>
      <c r="K4638" s="139">
        <f>IFERROR(IF(H4638&gt;0,H4638*$C$7,""),"")</f>
        <v/>
      </c>
      <c r="L4638" s="139">
        <f>IFERROR(IF(ISNUMBER(F4638),F4638-IF(ISNUMBER(K4638),K4638,0),""),"")</f>
        <v/>
      </c>
    </row>
    <row r="4639" ht="24" customHeight="1" s="63">
      <c r="E4639" s="139" t="n"/>
      <c r="F4639" s="139" t="n"/>
      <c r="G4639" s="140">
        <f>IFERROR(IF(E4639&gt;0,(F4639/E4639)*1000,""),"")</f>
        <v/>
      </c>
      <c r="H4639" s="139">
        <f>IFERROR(IF(E4639&gt;0,E4639*IF(ISNUMBER(J4639),J4639,IF(C4639="Futures",$C$6,$C$5)),""),"")</f>
        <v/>
      </c>
      <c r="I4639" s="139">
        <f>IFERROR(IF(AND(ISNUMBER(F4639),ISNUMBER(H4639)),F4639-H4639,""),"")</f>
        <v/>
      </c>
      <c r="J4639" s="114" t="n"/>
      <c r="K4639" s="139">
        <f>IFERROR(IF(H4639&gt;0,H4639*$C$7,""),"")</f>
        <v/>
      </c>
      <c r="L4639" s="139">
        <f>IFERROR(IF(ISNUMBER(F4639),F4639-IF(ISNUMBER(K4639),K4639,0),""),"")</f>
        <v/>
      </c>
    </row>
    <row r="4640" ht="24" customHeight="1" s="63">
      <c r="E4640" s="139" t="n"/>
      <c r="F4640" s="139" t="n"/>
      <c r="G4640" s="140">
        <f>IFERROR(IF(E4640&gt;0,(F4640/E4640)*1000,""),"")</f>
        <v/>
      </c>
      <c r="H4640" s="139">
        <f>IFERROR(IF(E4640&gt;0,E4640*IF(ISNUMBER(J4640),J4640,IF(C4640="Futures",$C$6,$C$5)),""),"")</f>
        <v/>
      </c>
      <c r="I4640" s="139">
        <f>IFERROR(IF(AND(ISNUMBER(F4640),ISNUMBER(H4640)),F4640-H4640,""),"")</f>
        <v/>
      </c>
      <c r="J4640" s="114" t="n"/>
      <c r="K4640" s="139">
        <f>IFERROR(IF(H4640&gt;0,H4640*$C$7,""),"")</f>
        <v/>
      </c>
      <c r="L4640" s="139">
        <f>IFERROR(IF(ISNUMBER(F4640),F4640-IF(ISNUMBER(K4640),K4640,0),""),"")</f>
        <v/>
      </c>
    </row>
    <row r="4641" ht="24" customHeight="1" s="63">
      <c r="E4641" s="139" t="n"/>
      <c r="F4641" s="139" t="n"/>
      <c r="G4641" s="140">
        <f>IFERROR(IF(E4641&gt;0,(F4641/E4641)*1000,""),"")</f>
        <v/>
      </c>
      <c r="H4641" s="139">
        <f>IFERROR(IF(E4641&gt;0,E4641*IF(ISNUMBER(J4641),J4641,IF(C4641="Futures",$C$6,$C$5)),""),"")</f>
        <v/>
      </c>
      <c r="I4641" s="139">
        <f>IFERROR(IF(AND(ISNUMBER(F4641),ISNUMBER(H4641)),F4641-H4641,""),"")</f>
        <v/>
      </c>
      <c r="J4641" s="114" t="n"/>
      <c r="K4641" s="139">
        <f>IFERROR(IF(H4641&gt;0,H4641*$C$7,""),"")</f>
        <v/>
      </c>
      <c r="L4641" s="139">
        <f>IFERROR(IF(ISNUMBER(F4641),F4641-IF(ISNUMBER(K4641),K4641,0),""),"")</f>
        <v/>
      </c>
    </row>
    <row r="4642" ht="24" customHeight="1" s="63">
      <c r="E4642" s="139" t="n"/>
      <c r="F4642" s="139" t="n"/>
      <c r="G4642" s="140">
        <f>IFERROR(IF(E4642&gt;0,(F4642/E4642)*1000,""),"")</f>
        <v/>
      </c>
      <c r="H4642" s="139">
        <f>IFERROR(IF(E4642&gt;0,E4642*IF(ISNUMBER(J4642),J4642,IF(C4642="Futures",$C$6,$C$5)),""),"")</f>
        <v/>
      </c>
      <c r="I4642" s="139">
        <f>IFERROR(IF(AND(ISNUMBER(F4642),ISNUMBER(H4642)),F4642-H4642,""),"")</f>
        <v/>
      </c>
      <c r="J4642" s="114" t="n"/>
      <c r="K4642" s="139">
        <f>IFERROR(IF(H4642&gt;0,H4642*$C$7,""),"")</f>
        <v/>
      </c>
      <c r="L4642" s="139">
        <f>IFERROR(IF(ISNUMBER(F4642),F4642-IF(ISNUMBER(K4642),K4642,0),""),"")</f>
        <v/>
      </c>
    </row>
    <row r="4643" ht="24" customHeight="1" s="63">
      <c r="E4643" s="139" t="n"/>
      <c r="F4643" s="139" t="n"/>
      <c r="G4643" s="140">
        <f>IFERROR(IF(E4643&gt;0,(F4643/E4643)*1000,""),"")</f>
        <v/>
      </c>
      <c r="H4643" s="139">
        <f>IFERROR(IF(E4643&gt;0,E4643*IF(ISNUMBER(J4643),J4643,IF(C4643="Futures",$C$6,$C$5)),""),"")</f>
        <v/>
      </c>
      <c r="I4643" s="139">
        <f>IFERROR(IF(AND(ISNUMBER(F4643),ISNUMBER(H4643)),F4643-H4643,""),"")</f>
        <v/>
      </c>
      <c r="J4643" s="114" t="n"/>
      <c r="K4643" s="139">
        <f>IFERROR(IF(H4643&gt;0,H4643*$C$7,""),"")</f>
        <v/>
      </c>
      <c r="L4643" s="139">
        <f>IFERROR(IF(ISNUMBER(F4643),F4643-IF(ISNUMBER(K4643),K4643,0),""),"")</f>
        <v/>
      </c>
    </row>
    <row r="4644" ht="24" customHeight="1" s="63">
      <c r="E4644" s="139" t="n"/>
      <c r="F4644" s="139" t="n"/>
      <c r="G4644" s="140">
        <f>IFERROR(IF(E4644&gt;0,(F4644/E4644)*1000,""),"")</f>
        <v/>
      </c>
      <c r="H4644" s="139">
        <f>IFERROR(IF(E4644&gt;0,E4644*IF(ISNUMBER(J4644),J4644,IF(C4644="Futures",$C$6,$C$5)),""),"")</f>
        <v/>
      </c>
      <c r="I4644" s="139">
        <f>IFERROR(IF(AND(ISNUMBER(F4644),ISNUMBER(H4644)),F4644-H4644,""),"")</f>
        <v/>
      </c>
      <c r="J4644" s="114" t="n"/>
      <c r="K4644" s="139">
        <f>IFERROR(IF(H4644&gt;0,H4644*$C$7,""),"")</f>
        <v/>
      </c>
      <c r="L4644" s="139">
        <f>IFERROR(IF(ISNUMBER(F4644),F4644-IF(ISNUMBER(K4644),K4644,0),""),"")</f>
        <v/>
      </c>
    </row>
    <row r="4645" ht="24" customHeight="1" s="63">
      <c r="E4645" s="139" t="n"/>
      <c r="F4645" s="139" t="n"/>
      <c r="G4645" s="140">
        <f>IFERROR(IF(E4645&gt;0,(F4645/E4645)*1000,""),"")</f>
        <v/>
      </c>
      <c r="H4645" s="139">
        <f>IFERROR(IF(E4645&gt;0,E4645*IF(ISNUMBER(J4645),J4645,IF(C4645="Futures",$C$6,$C$5)),""),"")</f>
        <v/>
      </c>
      <c r="I4645" s="139">
        <f>IFERROR(IF(AND(ISNUMBER(F4645),ISNUMBER(H4645)),F4645-H4645,""),"")</f>
        <v/>
      </c>
      <c r="J4645" s="114" t="n"/>
      <c r="K4645" s="139">
        <f>IFERROR(IF(H4645&gt;0,H4645*$C$7,""),"")</f>
        <v/>
      </c>
      <c r="L4645" s="139">
        <f>IFERROR(IF(ISNUMBER(F4645),F4645-IF(ISNUMBER(K4645),K4645,0),""),"")</f>
        <v/>
      </c>
    </row>
    <row r="4646" ht="24" customHeight="1" s="63">
      <c r="E4646" s="139" t="n"/>
      <c r="F4646" s="139" t="n"/>
      <c r="G4646" s="140">
        <f>IFERROR(IF(E4646&gt;0,(F4646/E4646)*1000,""),"")</f>
        <v/>
      </c>
      <c r="H4646" s="139">
        <f>IFERROR(IF(E4646&gt;0,E4646*IF(ISNUMBER(J4646),J4646,IF(C4646="Futures",$C$6,$C$5)),""),"")</f>
        <v/>
      </c>
      <c r="I4646" s="139">
        <f>IFERROR(IF(AND(ISNUMBER(F4646),ISNUMBER(H4646)),F4646-H4646,""),"")</f>
        <v/>
      </c>
      <c r="J4646" s="114" t="n"/>
      <c r="K4646" s="139">
        <f>IFERROR(IF(H4646&gt;0,H4646*$C$7,""),"")</f>
        <v/>
      </c>
      <c r="L4646" s="139">
        <f>IFERROR(IF(ISNUMBER(F4646),F4646-IF(ISNUMBER(K4646),K4646,0),""),"")</f>
        <v/>
      </c>
    </row>
    <row r="4647" ht="24" customHeight="1" s="63">
      <c r="E4647" s="139" t="n"/>
      <c r="F4647" s="139" t="n"/>
      <c r="G4647" s="140">
        <f>IFERROR(IF(E4647&gt;0,(F4647/E4647)*1000,""),"")</f>
        <v/>
      </c>
      <c r="H4647" s="139">
        <f>IFERROR(IF(E4647&gt;0,E4647*IF(ISNUMBER(J4647),J4647,IF(C4647="Futures",$C$6,$C$5)),""),"")</f>
        <v/>
      </c>
      <c r="I4647" s="139">
        <f>IFERROR(IF(AND(ISNUMBER(F4647),ISNUMBER(H4647)),F4647-H4647,""),"")</f>
        <v/>
      </c>
      <c r="J4647" s="114" t="n"/>
      <c r="K4647" s="139">
        <f>IFERROR(IF(H4647&gt;0,H4647*$C$7,""),"")</f>
        <v/>
      </c>
      <c r="L4647" s="139">
        <f>IFERROR(IF(ISNUMBER(F4647),F4647-IF(ISNUMBER(K4647),K4647,0),""),"")</f>
        <v/>
      </c>
    </row>
    <row r="4648" ht="24" customHeight="1" s="63">
      <c r="E4648" s="139" t="n"/>
      <c r="F4648" s="139" t="n"/>
      <c r="G4648" s="140">
        <f>IFERROR(IF(E4648&gt;0,(F4648/E4648)*1000,""),"")</f>
        <v/>
      </c>
      <c r="H4648" s="139">
        <f>IFERROR(IF(E4648&gt;0,E4648*IF(ISNUMBER(J4648),J4648,IF(C4648="Futures",$C$6,$C$5)),""),"")</f>
        <v/>
      </c>
      <c r="I4648" s="139">
        <f>IFERROR(IF(AND(ISNUMBER(F4648),ISNUMBER(H4648)),F4648-H4648,""),"")</f>
        <v/>
      </c>
      <c r="J4648" s="114" t="n"/>
      <c r="K4648" s="139">
        <f>IFERROR(IF(H4648&gt;0,H4648*$C$7,""),"")</f>
        <v/>
      </c>
      <c r="L4648" s="139">
        <f>IFERROR(IF(ISNUMBER(F4648),F4648-IF(ISNUMBER(K4648),K4648,0),""),"")</f>
        <v/>
      </c>
    </row>
    <row r="4649" ht="24" customHeight="1" s="63">
      <c r="E4649" s="139" t="n"/>
      <c r="F4649" s="139" t="n"/>
      <c r="G4649" s="140">
        <f>IFERROR(IF(E4649&gt;0,(F4649/E4649)*1000,""),"")</f>
        <v/>
      </c>
      <c r="H4649" s="139">
        <f>IFERROR(IF(E4649&gt;0,E4649*IF(ISNUMBER(J4649),J4649,IF(C4649="Futures",$C$6,$C$5)),""),"")</f>
        <v/>
      </c>
      <c r="I4649" s="139">
        <f>IFERROR(IF(AND(ISNUMBER(F4649),ISNUMBER(H4649)),F4649-H4649,""),"")</f>
        <v/>
      </c>
      <c r="J4649" s="114" t="n"/>
      <c r="K4649" s="139">
        <f>IFERROR(IF(H4649&gt;0,H4649*$C$7,""),"")</f>
        <v/>
      </c>
      <c r="L4649" s="139">
        <f>IFERROR(IF(ISNUMBER(F4649),F4649-IF(ISNUMBER(K4649),K4649,0),""),"")</f>
        <v/>
      </c>
    </row>
    <row r="4650" ht="24" customHeight="1" s="63">
      <c r="E4650" s="139" t="n"/>
      <c r="F4650" s="139" t="n"/>
      <c r="G4650" s="140">
        <f>IFERROR(IF(E4650&gt;0,(F4650/E4650)*1000,""),"")</f>
        <v/>
      </c>
      <c r="H4650" s="139">
        <f>IFERROR(IF(E4650&gt;0,E4650*IF(ISNUMBER(J4650),J4650,IF(C4650="Futures",$C$6,$C$5)),""),"")</f>
        <v/>
      </c>
      <c r="I4650" s="139">
        <f>IFERROR(IF(AND(ISNUMBER(F4650),ISNUMBER(H4650)),F4650-H4650,""),"")</f>
        <v/>
      </c>
      <c r="J4650" s="114" t="n"/>
      <c r="K4650" s="139">
        <f>IFERROR(IF(H4650&gt;0,H4650*$C$7,""),"")</f>
        <v/>
      </c>
      <c r="L4650" s="139">
        <f>IFERROR(IF(ISNUMBER(F4650),F4650-IF(ISNUMBER(K4650),K4650,0),""),"")</f>
        <v/>
      </c>
    </row>
    <row r="4651" ht="24" customHeight="1" s="63">
      <c r="E4651" s="139" t="n"/>
      <c r="F4651" s="139" t="n"/>
      <c r="G4651" s="140">
        <f>IFERROR(IF(E4651&gt;0,(F4651/E4651)*1000,""),"")</f>
        <v/>
      </c>
      <c r="H4651" s="139">
        <f>IFERROR(IF(E4651&gt;0,E4651*IF(ISNUMBER(J4651),J4651,IF(C4651="Futures",$C$6,$C$5)),""),"")</f>
        <v/>
      </c>
      <c r="I4651" s="139">
        <f>IFERROR(IF(AND(ISNUMBER(F4651),ISNUMBER(H4651)),F4651-H4651,""),"")</f>
        <v/>
      </c>
      <c r="J4651" s="114" t="n"/>
      <c r="K4651" s="139">
        <f>IFERROR(IF(H4651&gt;0,H4651*$C$7,""),"")</f>
        <v/>
      </c>
      <c r="L4651" s="139">
        <f>IFERROR(IF(ISNUMBER(F4651),F4651-IF(ISNUMBER(K4651),K4651,0),""),"")</f>
        <v/>
      </c>
    </row>
    <row r="4652" ht="24" customHeight="1" s="63">
      <c r="E4652" s="139" t="n"/>
      <c r="F4652" s="139" t="n"/>
      <c r="G4652" s="140">
        <f>IFERROR(IF(E4652&gt;0,(F4652/E4652)*1000,""),"")</f>
        <v/>
      </c>
      <c r="H4652" s="139">
        <f>IFERROR(IF(E4652&gt;0,E4652*IF(ISNUMBER(J4652),J4652,IF(C4652="Futures",$C$6,$C$5)),""),"")</f>
        <v/>
      </c>
      <c r="I4652" s="139">
        <f>IFERROR(IF(AND(ISNUMBER(F4652),ISNUMBER(H4652)),F4652-H4652,""),"")</f>
        <v/>
      </c>
      <c r="J4652" s="114" t="n"/>
      <c r="K4652" s="139">
        <f>IFERROR(IF(H4652&gt;0,H4652*$C$7,""),"")</f>
        <v/>
      </c>
      <c r="L4652" s="139">
        <f>IFERROR(IF(ISNUMBER(F4652),F4652-IF(ISNUMBER(K4652),K4652,0),""),"")</f>
        <v/>
      </c>
    </row>
    <row r="4653" ht="24" customHeight="1" s="63">
      <c r="E4653" s="139" t="n"/>
      <c r="F4653" s="139" t="n"/>
      <c r="G4653" s="140">
        <f>IFERROR(IF(E4653&gt;0,(F4653/E4653)*1000,""),"")</f>
        <v/>
      </c>
      <c r="H4653" s="139">
        <f>IFERROR(IF(E4653&gt;0,E4653*IF(ISNUMBER(J4653),J4653,IF(C4653="Futures",$C$6,$C$5)),""),"")</f>
        <v/>
      </c>
      <c r="I4653" s="139">
        <f>IFERROR(IF(AND(ISNUMBER(F4653),ISNUMBER(H4653)),F4653-H4653,""),"")</f>
        <v/>
      </c>
      <c r="J4653" s="114" t="n"/>
      <c r="K4653" s="139">
        <f>IFERROR(IF(H4653&gt;0,H4653*$C$7,""),"")</f>
        <v/>
      </c>
      <c r="L4653" s="139">
        <f>IFERROR(IF(ISNUMBER(F4653),F4653-IF(ISNUMBER(K4653),K4653,0),""),"")</f>
        <v/>
      </c>
    </row>
    <row r="4654" ht="24" customHeight="1" s="63">
      <c r="E4654" s="139" t="n"/>
      <c r="F4654" s="139" t="n"/>
      <c r="G4654" s="140">
        <f>IFERROR(IF(E4654&gt;0,(F4654/E4654)*1000,""),"")</f>
        <v/>
      </c>
      <c r="H4654" s="139">
        <f>IFERROR(IF(E4654&gt;0,E4654*IF(ISNUMBER(J4654),J4654,IF(C4654="Futures",$C$6,$C$5)),""),"")</f>
        <v/>
      </c>
      <c r="I4654" s="139">
        <f>IFERROR(IF(AND(ISNUMBER(F4654),ISNUMBER(H4654)),F4654-H4654,""),"")</f>
        <v/>
      </c>
      <c r="J4654" s="114" t="n"/>
      <c r="K4654" s="139">
        <f>IFERROR(IF(H4654&gt;0,H4654*$C$7,""),"")</f>
        <v/>
      </c>
      <c r="L4654" s="139">
        <f>IFERROR(IF(ISNUMBER(F4654),F4654-IF(ISNUMBER(K4654),K4654,0),""),"")</f>
        <v/>
      </c>
    </row>
    <row r="4655" ht="24" customHeight="1" s="63">
      <c r="E4655" s="139" t="n"/>
      <c r="F4655" s="139" t="n"/>
      <c r="G4655" s="140">
        <f>IFERROR(IF(E4655&gt;0,(F4655/E4655)*1000,""),"")</f>
        <v/>
      </c>
      <c r="H4655" s="139">
        <f>IFERROR(IF(E4655&gt;0,E4655*IF(ISNUMBER(J4655),J4655,IF(C4655="Futures",$C$6,$C$5)),""),"")</f>
        <v/>
      </c>
      <c r="I4655" s="139">
        <f>IFERROR(IF(AND(ISNUMBER(F4655),ISNUMBER(H4655)),F4655-H4655,""),"")</f>
        <v/>
      </c>
      <c r="J4655" s="114" t="n"/>
      <c r="K4655" s="139">
        <f>IFERROR(IF(H4655&gt;0,H4655*$C$7,""),"")</f>
        <v/>
      </c>
      <c r="L4655" s="139">
        <f>IFERROR(IF(ISNUMBER(F4655),F4655-IF(ISNUMBER(K4655),K4655,0),""),"")</f>
        <v/>
      </c>
    </row>
    <row r="4656" ht="24" customHeight="1" s="63">
      <c r="E4656" s="139" t="n"/>
      <c r="F4656" s="139" t="n"/>
      <c r="G4656" s="140">
        <f>IFERROR(IF(E4656&gt;0,(F4656/E4656)*1000,""),"")</f>
        <v/>
      </c>
      <c r="H4656" s="139">
        <f>IFERROR(IF(E4656&gt;0,E4656*IF(ISNUMBER(J4656),J4656,IF(C4656="Futures",$C$6,$C$5)),""),"")</f>
        <v/>
      </c>
      <c r="I4656" s="139">
        <f>IFERROR(IF(AND(ISNUMBER(F4656),ISNUMBER(H4656)),F4656-H4656,""),"")</f>
        <v/>
      </c>
      <c r="J4656" s="114" t="n"/>
      <c r="K4656" s="139">
        <f>IFERROR(IF(H4656&gt;0,H4656*$C$7,""),"")</f>
        <v/>
      </c>
      <c r="L4656" s="139">
        <f>IFERROR(IF(ISNUMBER(F4656),F4656-IF(ISNUMBER(K4656),K4656,0),""),"")</f>
        <v/>
      </c>
    </row>
    <row r="4657" ht="24" customHeight="1" s="63">
      <c r="E4657" s="139" t="n"/>
      <c r="F4657" s="139" t="n"/>
      <c r="G4657" s="140">
        <f>IFERROR(IF(E4657&gt;0,(F4657/E4657)*1000,""),"")</f>
        <v/>
      </c>
      <c r="H4657" s="139">
        <f>IFERROR(IF(E4657&gt;0,E4657*IF(ISNUMBER(J4657),J4657,IF(C4657="Futures",$C$6,$C$5)),""),"")</f>
        <v/>
      </c>
      <c r="I4657" s="139">
        <f>IFERROR(IF(AND(ISNUMBER(F4657),ISNUMBER(H4657)),F4657-H4657,""),"")</f>
        <v/>
      </c>
      <c r="J4657" s="114" t="n"/>
      <c r="K4657" s="139">
        <f>IFERROR(IF(H4657&gt;0,H4657*$C$7,""),"")</f>
        <v/>
      </c>
      <c r="L4657" s="139">
        <f>IFERROR(IF(ISNUMBER(F4657),F4657-IF(ISNUMBER(K4657),K4657,0),""),"")</f>
        <v/>
      </c>
    </row>
    <row r="4658" ht="24" customHeight="1" s="63">
      <c r="E4658" s="139" t="n"/>
      <c r="F4658" s="139" t="n"/>
      <c r="G4658" s="140">
        <f>IFERROR(IF(E4658&gt;0,(F4658/E4658)*1000,""),"")</f>
        <v/>
      </c>
      <c r="H4658" s="139">
        <f>IFERROR(IF(E4658&gt;0,E4658*IF(ISNUMBER(J4658),J4658,IF(C4658="Futures",$C$6,$C$5)),""),"")</f>
        <v/>
      </c>
      <c r="I4658" s="139">
        <f>IFERROR(IF(AND(ISNUMBER(F4658),ISNUMBER(H4658)),F4658-H4658,""),"")</f>
        <v/>
      </c>
      <c r="J4658" s="114" t="n"/>
      <c r="K4658" s="139">
        <f>IFERROR(IF(H4658&gt;0,H4658*$C$7,""),"")</f>
        <v/>
      </c>
      <c r="L4658" s="139">
        <f>IFERROR(IF(ISNUMBER(F4658),F4658-IF(ISNUMBER(K4658),K4658,0),""),"")</f>
        <v/>
      </c>
    </row>
    <row r="4659" ht="24" customHeight="1" s="63">
      <c r="E4659" s="139" t="n"/>
      <c r="F4659" s="139" t="n"/>
      <c r="G4659" s="140">
        <f>IFERROR(IF(E4659&gt;0,(F4659/E4659)*1000,""),"")</f>
        <v/>
      </c>
      <c r="H4659" s="139">
        <f>IFERROR(IF(E4659&gt;0,E4659*IF(ISNUMBER(J4659),J4659,IF(C4659="Futures",$C$6,$C$5)),""),"")</f>
        <v/>
      </c>
      <c r="I4659" s="139">
        <f>IFERROR(IF(AND(ISNUMBER(F4659),ISNUMBER(H4659)),F4659-H4659,""),"")</f>
        <v/>
      </c>
      <c r="J4659" s="114" t="n"/>
      <c r="K4659" s="139">
        <f>IFERROR(IF(H4659&gt;0,H4659*$C$7,""),"")</f>
        <v/>
      </c>
      <c r="L4659" s="139">
        <f>IFERROR(IF(ISNUMBER(F4659),F4659-IF(ISNUMBER(K4659),K4659,0),""),"")</f>
        <v/>
      </c>
    </row>
    <row r="4660" ht="24" customHeight="1" s="63">
      <c r="E4660" s="139" t="n"/>
      <c r="F4660" s="139" t="n"/>
      <c r="G4660" s="140">
        <f>IFERROR(IF(E4660&gt;0,(F4660/E4660)*1000,""),"")</f>
        <v/>
      </c>
      <c r="H4660" s="139">
        <f>IFERROR(IF(E4660&gt;0,E4660*IF(ISNUMBER(J4660),J4660,IF(C4660="Futures",$C$6,$C$5)),""),"")</f>
        <v/>
      </c>
      <c r="I4660" s="139">
        <f>IFERROR(IF(AND(ISNUMBER(F4660),ISNUMBER(H4660)),F4660-H4660,""),"")</f>
        <v/>
      </c>
      <c r="J4660" s="114" t="n"/>
      <c r="K4660" s="139">
        <f>IFERROR(IF(H4660&gt;0,H4660*$C$7,""),"")</f>
        <v/>
      </c>
      <c r="L4660" s="139">
        <f>IFERROR(IF(ISNUMBER(F4660),F4660-IF(ISNUMBER(K4660),K4660,0),""),"")</f>
        <v/>
      </c>
    </row>
    <row r="4661" ht="24" customHeight="1" s="63">
      <c r="E4661" s="139" t="n"/>
      <c r="F4661" s="139" t="n"/>
      <c r="G4661" s="140">
        <f>IFERROR(IF(E4661&gt;0,(F4661/E4661)*1000,""),"")</f>
        <v/>
      </c>
      <c r="H4661" s="139">
        <f>IFERROR(IF(E4661&gt;0,E4661*IF(ISNUMBER(J4661),J4661,IF(C4661="Futures",$C$6,$C$5)),""),"")</f>
        <v/>
      </c>
      <c r="I4661" s="139">
        <f>IFERROR(IF(AND(ISNUMBER(F4661),ISNUMBER(H4661)),F4661-H4661,""),"")</f>
        <v/>
      </c>
      <c r="J4661" s="114" t="n"/>
      <c r="K4661" s="139">
        <f>IFERROR(IF(H4661&gt;0,H4661*$C$7,""),"")</f>
        <v/>
      </c>
      <c r="L4661" s="139">
        <f>IFERROR(IF(ISNUMBER(F4661),F4661-IF(ISNUMBER(K4661),K4661,0),""),"")</f>
        <v/>
      </c>
    </row>
    <row r="4662" ht="24" customHeight="1" s="63">
      <c r="E4662" s="139" t="n"/>
      <c r="F4662" s="139" t="n"/>
      <c r="G4662" s="140">
        <f>IFERROR(IF(E4662&gt;0,(F4662/E4662)*1000,""),"")</f>
        <v/>
      </c>
      <c r="H4662" s="139">
        <f>IFERROR(IF(E4662&gt;0,E4662*IF(ISNUMBER(J4662),J4662,IF(C4662="Futures",$C$6,$C$5)),""),"")</f>
        <v/>
      </c>
      <c r="I4662" s="139">
        <f>IFERROR(IF(AND(ISNUMBER(F4662),ISNUMBER(H4662)),F4662-H4662,""),"")</f>
        <v/>
      </c>
      <c r="J4662" s="114" t="n"/>
      <c r="K4662" s="139">
        <f>IFERROR(IF(H4662&gt;0,H4662*$C$7,""),"")</f>
        <v/>
      </c>
      <c r="L4662" s="139">
        <f>IFERROR(IF(ISNUMBER(F4662),F4662-IF(ISNUMBER(K4662),K4662,0),""),"")</f>
        <v/>
      </c>
    </row>
    <row r="4663" ht="24" customHeight="1" s="63">
      <c r="E4663" s="139" t="n"/>
      <c r="F4663" s="139" t="n"/>
      <c r="G4663" s="140">
        <f>IFERROR(IF(E4663&gt;0,(F4663/E4663)*1000,""),"")</f>
        <v/>
      </c>
      <c r="H4663" s="139">
        <f>IFERROR(IF(E4663&gt;0,E4663*IF(ISNUMBER(J4663),J4663,IF(C4663="Futures",$C$6,$C$5)),""),"")</f>
        <v/>
      </c>
      <c r="I4663" s="139">
        <f>IFERROR(IF(AND(ISNUMBER(F4663),ISNUMBER(H4663)),F4663-H4663,""),"")</f>
        <v/>
      </c>
      <c r="J4663" s="114" t="n"/>
      <c r="K4663" s="139">
        <f>IFERROR(IF(H4663&gt;0,H4663*$C$7,""),"")</f>
        <v/>
      </c>
      <c r="L4663" s="139">
        <f>IFERROR(IF(ISNUMBER(F4663),F4663-IF(ISNUMBER(K4663),K4663,0),""),"")</f>
        <v/>
      </c>
    </row>
    <row r="4664" ht="24" customHeight="1" s="63">
      <c r="E4664" s="139" t="n"/>
      <c r="F4664" s="139" t="n"/>
      <c r="G4664" s="140">
        <f>IFERROR(IF(E4664&gt;0,(F4664/E4664)*1000,""),"")</f>
        <v/>
      </c>
      <c r="H4664" s="139">
        <f>IFERROR(IF(E4664&gt;0,E4664*IF(ISNUMBER(J4664),J4664,IF(C4664="Futures",$C$6,$C$5)),""),"")</f>
        <v/>
      </c>
      <c r="I4664" s="139">
        <f>IFERROR(IF(AND(ISNUMBER(F4664),ISNUMBER(H4664)),F4664-H4664,""),"")</f>
        <v/>
      </c>
      <c r="J4664" s="114" t="n"/>
      <c r="K4664" s="139">
        <f>IFERROR(IF(H4664&gt;0,H4664*$C$7,""),"")</f>
        <v/>
      </c>
      <c r="L4664" s="139">
        <f>IFERROR(IF(ISNUMBER(F4664),F4664-IF(ISNUMBER(K4664),K4664,0),""),"")</f>
        <v/>
      </c>
    </row>
    <row r="4665" ht="24" customHeight="1" s="63">
      <c r="E4665" s="139" t="n"/>
      <c r="F4665" s="139" t="n"/>
      <c r="G4665" s="140">
        <f>IFERROR(IF(E4665&gt;0,(F4665/E4665)*1000,""),"")</f>
        <v/>
      </c>
      <c r="H4665" s="139">
        <f>IFERROR(IF(E4665&gt;0,E4665*IF(ISNUMBER(J4665),J4665,IF(C4665="Futures",$C$6,$C$5)),""),"")</f>
        <v/>
      </c>
      <c r="I4665" s="139">
        <f>IFERROR(IF(AND(ISNUMBER(F4665),ISNUMBER(H4665)),F4665-H4665,""),"")</f>
        <v/>
      </c>
      <c r="J4665" s="114" t="n"/>
      <c r="K4665" s="139">
        <f>IFERROR(IF(H4665&gt;0,H4665*$C$7,""),"")</f>
        <v/>
      </c>
      <c r="L4665" s="139">
        <f>IFERROR(IF(ISNUMBER(F4665),F4665-IF(ISNUMBER(K4665),K4665,0),""),"")</f>
        <v/>
      </c>
    </row>
    <row r="4666" ht="24" customHeight="1" s="63">
      <c r="E4666" s="139" t="n"/>
      <c r="F4666" s="139" t="n"/>
      <c r="G4666" s="140">
        <f>IFERROR(IF(E4666&gt;0,(F4666/E4666)*1000,""),"")</f>
        <v/>
      </c>
      <c r="H4666" s="139">
        <f>IFERROR(IF(E4666&gt;0,E4666*IF(ISNUMBER(J4666),J4666,IF(C4666="Futures",$C$6,$C$5)),""),"")</f>
        <v/>
      </c>
      <c r="I4666" s="139">
        <f>IFERROR(IF(AND(ISNUMBER(F4666),ISNUMBER(H4666)),F4666-H4666,""),"")</f>
        <v/>
      </c>
      <c r="J4666" s="114" t="n"/>
      <c r="K4666" s="139">
        <f>IFERROR(IF(H4666&gt;0,H4666*$C$7,""),"")</f>
        <v/>
      </c>
      <c r="L4666" s="139">
        <f>IFERROR(IF(ISNUMBER(F4666),F4666-IF(ISNUMBER(K4666),K4666,0),""),"")</f>
        <v/>
      </c>
    </row>
    <row r="4667" ht="24" customHeight="1" s="63">
      <c r="E4667" s="139" t="n"/>
      <c r="F4667" s="139" t="n"/>
      <c r="G4667" s="140">
        <f>IFERROR(IF(E4667&gt;0,(F4667/E4667)*1000,""),"")</f>
        <v/>
      </c>
      <c r="H4667" s="139">
        <f>IFERROR(IF(E4667&gt;0,E4667*IF(ISNUMBER(J4667),J4667,IF(C4667="Futures",$C$6,$C$5)),""),"")</f>
        <v/>
      </c>
      <c r="I4667" s="139">
        <f>IFERROR(IF(AND(ISNUMBER(F4667),ISNUMBER(H4667)),F4667-H4667,""),"")</f>
        <v/>
      </c>
      <c r="J4667" s="114" t="n"/>
      <c r="K4667" s="139">
        <f>IFERROR(IF(H4667&gt;0,H4667*$C$7,""),"")</f>
        <v/>
      </c>
      <c r="L4667" s="139">
        <f>IFERROR(IF(ISNUMBER(F4667),F4667-IF(ISNUMBER(K4667),K4667,0),""),"")</f>
        <v/>
      </c>
    </row>
    <row r="4668" ht="24" customHeight="1" s="63">
      <c r="E4668" s="139" t="n"/>
      <c r="F4668" s="139" t="n"/>
      <c r="G4668" s="140">
        <f>IFERROR(IF(E4668&gt;0,(F4668/E4668)*1000,""),"")</f>
        <v/>
      </c>
      <c r="H4668" s="139">
        <f>IFERROR(IF(E4668&gt;0,E4668*IF(ISNUMBER(J4668),J4668,IF(C4668="Futures",$C$6,$C$5)),""),"")</f>
        <v/>
      </c>
      <c r="I4668" s="139">
        <f>IFERROR(IF(AND(ISNUMBER(F4668),ISNUMBER(H4668)),F4668-H4668,""),"")</f>
        <v/>
      </c>
      <c r="J4668" s="114" t="n"/>
      <c r="K4668" s="139">
        <f>IFERROR(IF(H4668&gt;0,H4668*$C$7,""),"")</f>
        <v/>
      </c>
      <c r="L4668" s="139">
        <f>IFERROR(IF(ISNUMBER(F4668),F4668-IF(ISNUMBER(K4668),K4668,0),""),"")</f>
        <v/>
      </c>
    </row>
    <row r="4669" ht="24" customHeight="1" s="63">
      <c r="E4669" s="139" t="n"/>
      <c r="F4669" s="139" t="n"/>
      <c r="G4669" s="140">
        <f>IFERROR(IF(E4669&gt;0,(F4669/E4669)*1000,""),"")</f>
        <v/>
      </c>
      <c r="H4669" s="139">
        <f>IFERROR(IF(E4669&gt;0,E4669*IF(ISNUMBER(J4669),J4669,IF(C4669="Futures",$C$6,$C$5)),""),"")</f>
        <v/>
      </c>
      <c r="I4669" s="139">
        <f>IFERROR(IF(AND(ISNUMBER(F4669),ISNUMBER(H4669)),F4669-H4669,""),"")</f>
        <v/>
      </c>
      <c r="J4669" s="114" t="n"/>
      <c r="K4669" s="139">
        <f>IFERROR(IF(H4669&gt;0,H4669*$C$7,""),"")</f>
        <v/>
      </c>
      <c r="L4669" s="139">
        <f>IFERROR(IF(ISNUMBER(F4669),F4669-IF(ISNUMBER(K4669),K4669,0),""),"")</f>
        <v/>
      </c>
    </row>
    <row r="4670" ht="24" customHeight="1" s="63">
      <c r="E4670" s="139" t="n"/>
      <c r="F4670" s="139" t="n"/>
      <c r="G4670" s="140">
        <f>IFERROR(IF(E4670&gt;0,(F4670/E4670)*1000,""),"")</f>
        <v/>
      </c>
      <c r="H4670" s="139">
        <f>IFERROR(IF(E4670&gt;0,E4670*IF(ISNUMBER(J4670),J4670,IF(C4670="Futures",$C$6,$C$5)),""),"")</f>
        <v/>
      </c>
      <c r="I4670" s="139">
        <f>IFERROR(IF(AND(ISNUMBER(F4670),ISNUMBER(H4670)),F4670-H4670,""),"")</f>
        <v/>
      </c>
      <c r="J4670" s="114" t="n"/>
      <c r="K4670" s="139">
        <f>IFERROR(IF(H4670&gt;0,H4670*$C$7,""),"")</f>
        <v/>
      </c>
      <c r="L4670" s="139">
        <f>IFERROR(IF(ISNUMBER(F4670),F4670-IF(ISNUMBER(K4670),K4670,0),""),"")</f>
        <v/>
      </c>
    </row>
    <row r="4671" ht="24" customHeight="1" s="63">
      <c r="E4671" s="139" t="n"/>
      <c r="F4671" s="139" t="n"/>
      <c r="G4671" s="140">
        <f>IFERROR(IF(E4671&gt;0,(F4671/E4671)*1000,""),"")</f>
        <v/>
      </c>
      <c r="H4671" s="139">
        <f>IFERROR(IF(E4671&gt;0,E4671*IF(ISNUMBER(J4671),J4671,IF(C4671="Futures",$C$6,$C$5)),""),"")</f>
        <v/>
      </c>
      <c r="I4671" s="139">
        <f>IFERROR(IF(AND(ISNUMBER(F4671),ISNUMBER(H4671)),F4671-H4671,""),"")</f>
        <v/>
      </c>
      <c r="J4671" s="114" t="n"/>
      <c r="K4671" s="139">
        <f>IFERROR(IF(H4671&gt;0,H4671*$C$7,""),"")</f>
        <v/>
      </c>
      <c r="L4671" s="139">
        <f>IFERROR(IF(ISNUMBER(F4671),F4671-IF(ISNUMBER(K4671),K4671,0),""),"")</f>
        <v/>
      </c>
    </row>
    <row r="4672" ht="24" customHeight="1" s="63">
      <c r="E4672" s="139" t="n"/>
      <c r="F4672" s="139" t="n"/>
      <c r="G4672" s="140">
        <f>IFERROR(IF(E4672&gt;0,(F4672/E4672)*1000,""),"")</f>
        <v/>
      </c>
      <c r="H4672" s="139">
        <f>IFERROR(IF(E4672&gt;0,E4672*IF(ISNUMBER(J4672),J4672,IF(C4672="Futures",$C$6,$C$5)),""),"")</f>
        <v/>
      </c>
      <c r="I4672" s="139">
        <f>IFERROR(IF(AND(ISNUMBER(F4672),ISNUMBER(H4672)),F4672-H4672,""),"")</f>
        <v/>
      </c>
      <c r="J4672" s="114" t="n"/>
      <c r="K4672" s="139">
        <f>IFERROR(IF(H4672&gt;0,H4672*$C$7,""),"")</f>
        <v/>
      </c>
      <c r="L4672" s="139">
        <f>IFERROR(IF(ISNUMBER(F4672),F4672-IF(ISNUMBER(K4672),K4672,0),""),"")</f>
        <v/>
      </c>
    </row>
    <row r="4673" ht="24" customHeight="1" s="63">
      <c r="E4673" s="139" t="n"/>
      <c r="F4673" s="139" t="n"/>
      <c r="G4673" s="140">
        <f>IFERROR(IF(E4673&gt;0,(F4673/E4673)*1000,""),"")</f>
        <v/>
      </c>
      <c r="H4673" s="139">
        <f>IFERROR(IF(E4673&gt;0,E4673*IF(ISNUMBER(J4673),J4673,IF(C4673="Futures",$C$6,$C$5)),""),"")</f>
        <v/>
      </c>
      <c r="I4673" s="139">
        <f>IFERROR(IF(AND(ISNUMBER(F4673),ISNUMBER(H4673)),F4673-H4673,""),"")</f>
        <v/>
      </c>
      <c r="J4673" s="114" t="n"/>
      <c r="K4673" s="139">
        <f>IFERROR(IF(H4673&gt;0,H4673*$C$7,""),"")</f>
        <v/>
      </c>
      <c r="L4673" s="139">
        <f>IFERROR(IF(ISNUMBER(F4673),F4673-IF(ISNUMBER(K4673),K4673,0),""),"")</f>
        <v/>
      </c>
    </row>
    <row r="4674" ht="24" customHeight="1" s="63">
      <c r="E4674" s="139" t="n"/>
      <c r="F4674" s="139" t="n"/>
      <c r="G4674" s="140">
        <f>IFERROR(IF(E4674&gt;0,(F4674/E4674)*1000,""),"")</f>
        <v/>
      </c>
      <c r="H4674" s="139">
        <f>IFERROR(IF(E4674&gt;0,E4674*IF(ISNUMBER(J4674),J4674,IF(C4674="Futures",$C$6,$C$5)),""),"")</f>
        <v/>
      </c>
      <c r="I4674" s="139">
        <f>IFERROR(IF(AND(ISNUMBER(F4674),ISNUMBER(H4674)),F4674-H4674,""),"")</f>
        <v/>
      </c>
      <c r="J4674" s="114" t="n"/>
      <c r="K4674" s="139">
        <f>IFERROR(IF(H4674&gt;0,H4674*$C$7,""),"")</f>
        <v/>
      </c>
      <c r="L4674" s="139">
        <f>IFERROR(IF(ISNUMBER(F4674),F4674-IF(ISNUMBER(K4674),K4674,0),""),"")</f>
        <v/>
      </c>
    </row>
    <row r="4675" ht="24" customHeight="1" s="63">
      <c r="E4675" s="139" t="n"/>
      <c r="F4675" s="139" t="n"/>
      <c r="G4675" s="140">
        <f>IFERROR(IF(E4675&gt;0,(F4675/E4675)*1000,""),"")</f>
        <v/>
      </c>
      <c r="H4675" s="139">
        <f>IFERROR(IF(E4675&gt;0,E4675*IF(ISNUMBER(J4675),J4675,IF(C4675="Futures",$C$6,$C$5)),""),"")</f>
        <v/>
      </c>
      <c r="I4675" s="139">
        <f>IFERROR(IF(AND(ISNUMBER(F4675),ISNUMBER(H4675)),F4675-H4675,""),"")</f>
        <v/>
      </c>
      <c r="J4675" s="114" t="n"/>
      <c r="K4675" s="139">
        <f>IFERROR(IF(H4675&gt;0,H4675*$C$7,""),"")</f>
        <v/>
      </c>
      <c r="L4675" s="139">
        <f>IFERROR(IF(ISNUMBER(F4675),F4675-IF(ISNUMBER(K4675),K4675,0),""),"")</f>
        <v/>
      </c>
    </row>
    <row r="4676" ht="24" customHeight="1" s="63">
      <c r="E4676" s="139" t="n"/>
      <c r="F4676" s="139" t="n"/>
      <c r="G4676" s="140">
        <f>IFERROR(IF(E4676&gt;0,(F4676/E4676)*1000,""),"")</f>
        <v/>
      </c>
      <c r="H4676" s="139">
        <f>IFERROR(IF(E4676&gt;0,E4676*IF(ISNUMBER(J4676),J4676,IF(C4676="Futures",$C$6,$C$5)),""),"")</f>
        <v/>
      </c>
      <c r="I4676" s="139">
        <f>IFERROR(IF(AND(ISNUMBER(F4676),ISNUMBER(H4676)),F4676-H4676,""),"")</f>
        <v/>
      </c>
      <c r="J4676" s="114" t="n"/>
      <c r="K4676" s="139">
        <f>IFERROR(IF(H4676&gt;0,H4676*$C$7,""),"")</f>
        <v/>
      </c>
      <c r="L4676" s="139">
        <f>IFERROR(IF(ISNUMBER(F4676),F4676-IF(ISNUMBER(K4676),K4676,0),""),"")</f>
        <v/>
      </c>
    </row>
    <row r="4677" ht="24" customHeight="1" s="63">
      <c r="E4677" s="139" t="n"/>
      <c r="F4677" s="139" t="n"/>
      <c r="G4677" s="140">
        <f>IFERROR(IF(E4677&gt;0,(F4677/E4677)*1000,""),"")</f>
        <v/>
      </c>
      <c r="H4677" s="139">
        <f>IFERROR(IF(E4677&gt;0,E4677*IF(ISNUMBER(J4677),J4677,IF(C4677="Futures",$C$6,$C$5)),""),"")</f>
        <v/>
      </c>
      <c r="I4677" s="139">
        <f>IFERROR(IF(AND(ISNUMBER(F4677),ISNUMBER(H4677)),F4677-H4677,""),"")</f>
        <v/>
      </c>
      <c r="J4677" s="114" t="n"/>
      <c r="K4677" s="139">
        <f>IFERROR(IF(H4677&gt;0,H4677*$C$7,""),"")</f>
        <v/>
      </c>
      <c r="L4677" s="139">
        <f>IFERROR(IF(ISNUMBER(F4677),F4677-IF(ISNUMBER(K4677),K4677,0),""),"")</f>
        <v/>
      </c>
    </row>
    <row r="4678" ht="24" customHeight="1" s="63">
      <c r="E4678" s="139" t="n"/>
      <c r="F4678" s="139" t="n"/>
      <c r="G4678" s="140">
        <f>IFERROR(IF(E4678&gt;0,(F4678/E4678)*1000,""),"")</f>
        <v/>
      </c>
      <c r="H4678" s="139">
        <f>IFERROR(IF(E4678&gt;0,E4678*IF(ISNUMBER(J4678),J4678,IF(C4678="Futures",$C$6,$C$5)),""),"")</f>
        <v/>
      </c>
      <c r="I4678" s="139">
        <f>IFERROR(IF(AND(ISNUMBER(F4678),ISNUMBER(H4678)),F4678-H4678,""),"")</f>
        <v/>
      </c>
      <c r="J4678" s="114" t="n"/>
      <c r="K4678" s="139">
        <f>IFERROR(IF(H4678&gt;0,H4678*$C$7,""),"")</f>
        <v/>
      </c>
      <c r="L4678" s="139">
        <f>IFERROR(IF(ISNUMBER(F4678),F4678-IF(ISNUMBER(K4678),K4678,0),""),"")</f>
        <v/>
      </c>
    </row>
    <row r="4679" ht="24" customHeight="1" s="63">
      <c r="E4679" s="139" t="n"/>
      <c r="F4679" s="139" t="n"/>
      <c r="G4679" s="140">
        <f>IFERROR(IF(E4679&gt;0,(F4679/E4679)*1000,""),"")</f>
        <v/>
      </c>
      <c r="H4679" s="139">
        <f>IFERROR(IF(E4679&gt;0,E4679*IF(ISNUMBER(J4679),J4679,IF(C4679="Futures",$C$6,$C$5)),""),"")</f>
        <v/>
      </c>
      <c r="I4679" s="139">
        <f>IFERROR(IF(AND(ISNUMBER(F4679),ISNUMBER(H4679)),F4679-H4679,""),"")</f>
        <v/>
      </c>
      <c r="J4679" s="114" t="n"/>
      <c r="K4679" s="139">
        <f>IFERROR(IF(H4679&gt;0,H4679*$C$7,""),"")</f>
        <v/>
      </c>
      <c r="L4679" s="139">
        <f>IFERROR(IF(ISNUMBER(F4679),F4679-IF(ISNUMBER(K4679),K4679,0),""),"")</f>
        <v/>
      </c>
    </row>
    <row r="4680" ht="24" customHeight="1" s="63">
      <c r="E4680" s="139" t="n"/>
      <c r="F4680" s="139" t="n"/>
      <c r="G4680" s="140">
        <f>IFERROR(IF(E4680&gt;0,(F4680/E4680)*1000,""),"")</f>
        <v/>
      </c>
      <c r="H4680" s="139">
        <f>IFERROR(IF(E4680&gt;0,E4680*IF(ISNUMBER(J4680),J4680,IF(C4680="Futures",$C$6,$C$5)),""),"")</f>
        <v/>
      </c>
      <c r="I4680" s="139">
        <f>IFERROR(IF(AND(ISNUMBER(F4680),ISNUMBER(H4680)),F4680-H4680,""),"")</f>
        <v/>
      </c>
      <c r="J4680" s="114" t="n"/>
      <c r="K4680" s="139">
        <f>IFERROR(IF(H4680&gt;0,H4680*$C$7,""),"")</f>
        <v/>
      </c>
      <c r="L4680" s="139">
        <f>IFERROR(IF(ISNUMBER(F4680),F4680-IF(ISNUMBER(K4680),K4680,0),""),"")</f>
        <v/>
      </c>
    </row>
    <row r="4681" ht="24" customHeight="1" s="63">
      <c r="E4681" s="139" t="n"/>
      <c r="F4681" s="139" t="n"/>
      <c r="G4681" s="140">
        <f>IFERROR(IF(E4681&gt;0,(F4681/E4681)*1000,""),"")</f>
        <v/>
      </c>
      <c r="H4681" s="139">
        <f>IFERROR(IF(E4681&gt;0,E4681*IF(ISNUMBER(J4681),J4681,IF(C4681="Futures",$C$6,$C$5)),""),"")</f>
        <v/>
      </c>
      <c r="I4681" s="139">
        <f>IFERROR(IF(AND(ISNUMBER(F4681),ISNUMBER(H4681)),F4681-H4681,""),"")</f>
        <v/>
      </c>
      <c r="J4681" s="114" t="n"/>
      <c r="K4681" s="139">
        <f>IFERROR(IF(H4681&gt;0,H4681*$C$7,""),"")</f>
        <v/>
      </c>
      <c r="L4681" s="139">
        <f>IFERROR(IF(ISNUMBER(F4681),F4681-IF(ISNUMBER(K4681),K4681,0),""),"")</f>
        <v/>
      </c>
    </row>
    <row r="4682" ht="24" customHeight="1" s="63">
      <c r="E4682" s="139" t="n"/>
      <c r="F4682" s="139" t="n"/>
      <c r="G4682" s="140">
        <f>IFERROR(IF(E4682&gt;0,(F4682/E4682)*1000,""),"")</f>
        <v/>
      </c>
      <c r="H4682" s="139">
        <f>IFERROR(IF(E4682&gt;0,E4682*IF(ISNUMBER(J4682),J4682,IF(C4682="Futures",$C$6,$C$5)),""),"")</f>
        <v/>
      </c>
      <c r="I4682" s="139">
        <f>IFERROR(IF(AND(ISNUMBER(F4682),ISNUMBER(H4682)),F4682-H4682,""),"")</f>
        <v/>
      </c>
      <c r="J4682" s="114" t="n"/>
      <c r="K4682" s="139">
        <f>IFERROR(IF(H4682&gt;0,H4682*$C$7,""),"")</f>
        <v/>
      </c>
      <c r="L4682" s="139">
        <f>IFERROR(IF(ISNUMBER(F4682),F4682-IF(ISNUMBER(K4682),K4682,0),""),"")</f>
        <v/>
      </c>
    </row>
    <row r="4683" ht="24" customHeight="1" s="63">
      <c r="E4683" s="139" t="n"/>
      <c r="F4683" s="139" t="n"/>
      <c r="G4683" s="140">
        <f>IFERROR(IF(E4683&gt;0,(F4683/E4683)*1000,""),"")</f>
        <v/>
      </c>
      <c r="H4683" s="139">
        <f>IFERROR(IF(E4683&gt;0,E4683*IF(ISNUMBER(J4683),J4683,IF(C4683="Futures",$C$6,$C$5)),""),"")</f>
        <v/>
      </c>
      <c r="I4683" s="139">
        <f>IFERROR(IF(AND(ISNUMBER(F4683),ISNUMBER(H4683)),F4683-H4683,""),"")</f>
        <v/>
      </c>
      <c r="J4683" s="114" t="n"/>
      <c r="K4683" s="139">
        <f>IFERROR(IF(H4683&gt;0,H4683*$C$7,""),"")</f>
        <v/>
      </c>
      <c r="L4683" s="139">
        <f>IFERROR(IF(ISNUMBER(F4683),F4683-IF(ISNUMBER(K4683),K4683,0),""),"")</f>
        <v/>
      </c>
    </row>
    <row r="4684" ht="24" customHeight="1" s="63">
      <c r="E4684" s="139" t="n"/>
      <c r="F4684" s="139" t="n"/>
      <c r="G4684" s="140">
        <f>IFERROR(IF(E4684&gt;0,(F4684/E4684)*1000,""),"")</f>
        <v/>
      </c>
      <c r="H4684" s="139">
        <f>IFERROR(IF(E4684&gt;0,E4684*IF(ISNUMBER(J4684),J4684,IF(C4684="Futures",$C$6,$C$5)),""),"")</f>
        <v/>
      </c>
      <c r="I4684" s="139">
        <f>IFERROR(IF(AND(ISNUMBER(F4684),ISNUMBER(H4684)),F4684-H4684,""),"")</f>
        <v/>
      </c>
      <c r="J4684" s="114" t="n"/>
      <c r="K4684" s="139">
        <f>IFERROR(IF(H4684&gt;0,H4684*$C$7,""),"")</f>
        <v/>
      </c>
      <c r="L4684" s="139">
        <f>IFERROR(IF(ISNUMBER(F4684),F4684-IF(ISNUMBER(K4684),K4684,0),""),"")</f>
        <v/>
      </c>
    </row>
    <row r="4685" ht="24" customHeight="1" s="63">
      <c r="E4685" s="139" t="n"/>
      <c r="F4685" s="139" t="n"/>
      <c r="G4685" s="140">
        <f>IFERROR(IF(E4685&gt;0,(F4685/E4685)*1000,""),"")</f>
        <v/>
      </c>
      <c r="H4685" s="139">
        <f>IFERROR(IF(E4685&gt;0,E4685*IF(ISNUMBER(J4685),J4685,IF(C4685="Futures",$C$6,$C$5)),""),"")</f>
        <v/>
      </c>
      <c r="I4685" s="139">
        <f>IFERROR(IF(AND(ISNUMBER(F4685),ISNUMBER(H4685)),F4685-H4685,""),"")</f>
        <v/>
      </c>
      <c r="J4685" s="114" t="n"/>
      <c r="K4685" s="139">
        <f>IFERROR(IF(H4685&gt;0,H4685*$C$7,""),"")</f>
        <v/>
      </c>
      <c r="L4685" s="139">
        <f>IFERROR(IF(ISNUMBER(F4685),F4685-IF(ISNUMBER(K4685),K4685,0),""),"")</f>
        <v/>
      </c>
    </row>
    <row r="4686" ht="24" customHeight="1" s="63">
      <c r="E4686" s="139" t="n"/>
      <c r="F4686" s="139" t="n"/>
      <c r="G4686" s="140">
        <f>IFERROR(IF(E4686&gt;0,(F4686/E4686)*1000,""),"")</f>
        <v/>
      </c>
      <c r="H4686" s="139">
        <f>IFERROR(IF(E4686&gt;0,E4686*IF(ISNUMBER(J4686),J4686,IF(C4686="Futures",$C$6,$C$5)),""),"")</f>
        <v/>
      </c>
      <c r="I4686" s="139">
        <f>IFERROR(IF(AND(ISNUMBER(F4686),ISNUMBER(H4686)),F4686-H4686,""),"")</f>
        <v/>
      </c>
      <c r="J4686" s="114" t="n"/>
      <c r="K4686" s="139">
        <f>IFERROR(IF(H4686&gt;0,H4686*$C$7,""),"")</f>
        <v/>
      </c>
      <c r="L4686" s="139">
        <f>IFERROR(IF(ISNUMBER(F4686),F4686-IF(ISNUMBER(K4686),K4686,0),""),"")</f>
        <v/>
      </c>
    </row>
    <row r="4687" ht="24" customHeight="1" s="63">
      <c r="E4687" s="139" t="n"/>
      <c r="F4687" s="139" t="n"/>
      <c r="G4687" s="140">
        <f>IFERROR(IF(E4687&gt;0,(F4687/E4687)*1000,""),"")</f>
        <v/>
      </c>
      <c r="H4687" s="139">
        <f>IFERROR(IF(E4687&gt;0,E4687*IF(ISNUMBER(J4687),J4687,IF(C4687="Futures",$C$6,$C$5)),""),"")</f>
        <v/>
      </c>
      <c r="I4687" s="139">
        <f>IFERROR(IF(AND(ISNUMBER(F4687),ISNUMBER(H4687)),F4687-H4687,""),"")</f>
        <v/>
      </c>
      <c r="J4687" s="114" t="n"/>
      <c r="K4687" s="139">
        <f>IFERROR(IF(H4687&gt;0,H4687*$C$7,""),"")</f>
        <v/>
      </c>
      <c r="L4687" s="139">
        <f>IFERROR(IF(ISNUMBER(F4687),F4687-IF(ISNUMBER(K4687),K4687,0),""),"")</f>
        <v/>
      </c>
    </row>
    <row r="4688" ht="24" customHeight="1" s="63">
      <c r="E4688" s="139" t="n"/>
      <c r="F4688" s="139" t="n"/>
      <c r="G4688" s="140">
        <f>IFERROR(IF(E4688&gt;0,(F4688/E4688)*1000,""),"")</f>
        <v/>
      </c>
      <c r="H4688" s="139">
        <f>IFERROR(IF(E4688&gt;0,E4688*IF(ISNUMBER(J4688),J4688,IF(C4688="Futures",$C$6,$C$5)),""),"")</f>
        <v/>
      </c>
      <c r="I4688" s="139">
        <f>IFERROR(IF(AND(ISNUMBER(F4688),ISNUMBER(H4688)),F4688-H4688,""),"")</f>
        <v/>
      </c>
      <c r="J4688" s="114" t="n"/>
      <c r="K4688" s="139">
        <f>IFERROR(IF(H4688&gt;0,H4688*$C$7,""),"")</f>
        <v/>
      </c>
      <c r="L4688" s="139">
        <f>IFERROR(IF(ISNUMBER(F4688),F4688-IF(ISNUMBER(K4688),K4688,0),""),"")</f>
        <v/>
      </c>
    </row>
    <row r="4689" ht="24" customHeight="1" s="63">
      <c r="E4689" s="139" t="n"/>
      <c r="F4689" s="139" t="n"/>
      <c r="G4689" s="140">
        <f>IFERROR(IF(E4689&gt;0,(F4689/E4689)*1000,""),"")</f>
        <v/>
      </c>
      <c r="H4689" s="139">
        <f>IFERROR(IF(E4689&gt;0,E4689*IF(ISNUMBER(J4689),J4689,IF(C4689="Futures",$C$6,$C$5)),""),"")</f>
        <v/>
      </c>
      <c r="I4689" s="139">
        <f>IFERROR(IF(AND(ISNUMBER(F4689),ISNUMBER(H4689)),F4689-H4689,""),"")</f>
        <v/>
      </c>
      <c r="J4689" s="114" t="n"/>
      <c r="K4689" s="139">
        <f>IFERROR(IF(H4689&gt;0,H4689*$C$7,""),"")</f>
        <v/>
      </c>
      <c r="L4689" s="139">
        <f>IFERROR(IF(ISNUMBER(F4689),F4689-IF(ISNUMBER(K4689),K4689,0),""),"")</f>
        <v/>
      </c>
    </row>
    <row r="4690" ht="24" customHeight="1" s="63">
      <c r="E4690" s="139" t="n"/>
      <c r="F4690" s="139" t="n"/>
      <c r="G4690" s="140">
        <f>IFERROR(IF(E4690&gt;0,(F4690/E4690)*1000,""),"")</f>
        <v/>
      </c>
      <c r="H4690" s="139">
        <f>IFERROR(IF(E4690&gt;0,E4690*IF(ISNUMBER(J4690),J4690,IF(C4690="Futures",$C$6,$C$5)),""),"")</f>
        <v/>
      </c>
      <c r="I4690" s="139">
        <f>IFERROR(IF(AND(ISNUMBER(F4690),ISNUMBER(H4690)),F4690-H4690,""),"")</f>
        <v/>
      </c>
      <c r="J4690" s="114" t="n"/>
      <c r="K4690" s="139">
        <f>IFERROR(IF(H4690&gt;0,H4690*$C$7,""),"")</f>
        <v/>
      </c>
      <c r="L4690" s="139">
        <f>IFERROR(IF(ISNUMBER(F4690),F4690-IF(ISNUMBER(K4690),K4690,0),""),"")</f>
        <v/>
      </c>
    </row>
    <row r="4691" ht="24" customHeight="1" s="63">
      <c r="E4691" s="139" t="n"/>
      <c r="F4691" s="139" t="n"/>
      <c r="G4691" s="140">
        <f>IFERROR(IF(E4691&gt;0,(F4691/E4691)*1000,""),"")</f>
        <v/>
      </c>
      <c r="H4691" s="139">
        <f>IFERROR(IF(E4691&gt;0,E4691*IF(ISNUMBER(J4691),J4691,IF(C4691="Futures",$C$6,$C$5)),""),"")</f>
        <v/>
      </c>
      <c r="I4691" s="139">
        <f>IFERROR(IF(AND(ISNUMBER(F4691),ISNUMBER(H4691)),F4691-H4691,""),"")</f>
        <v/>
      </c>
      <c r="J4691" s="114" t="n"/>
      <c r="K4691" s="139">
        <f>IFERROR(IF(H4691&gt;0,H4691*$C$7,""),"")</f>
        <v/>
      </c>
      <c r="L4691" s="139">
        <f>IFERROR(IF(ISNUMBER(F4691),F4691-IF(ISNUMBER(K4691),K4691,0),""),"")</f>
        <v/>
      </c>
    </row>
    <row r="4692" ht="24" customHeight="1" s="63">
      <c r="E4692" s="139" t="n"/>
      <c r="F4692" s="139" t="n"/>
      <c r="G4692" s="140">
        <f>IFERROR(IF(E4692&gt;0,(F4692/E4692)*1000,""),"")</f>
        <v/>
      </c>
      <c r="H4692" s="139">
        <f>IFERROR(IF(E4692&gt;0,E4692*IF(ISNUMBER(J4692),J4692,IF(C4692="Futures",$C$6,$C$5)),""),"")</f>
        <v/>
      </c>
      <c r="I4692" s="139">
        <f>IFERROR(IF(AND(ISNUMBER(F4692),ISNUMBER(H4692)),F4692-H4692,""),"")</f>
        <v/>
      </c>
      <c r="J4692" s="114" t="n"/>
      <c r="K4692" s="139">
        <f>IFERROR(IF(H4692&gt;0,H4692*$C$7,""),"")</f>
        <v/>
      </c>
      <c r="L4692" s="139">
        <f>IFERROR(IF(ISNUMBER(F4692),F4692-IF(ISNUMBER(K4692),K4692,0),""),"")</f>
        <v/>
      </c>
    </row>
    <row r="4693" ht="24" customHeight="1" s="63">
      <c r="E4693" s="139" t="n"/>
      <c r="F4693" s="139" t="n"/>
      <c r="G4693" s="140">
        <f>IFERROR(IF(E4693&gt;0,(F4693/E4693)*1000,""),"")</f>
        <v/>
      </c>
      <c r="H4693" s="139">
        <f>IFERROR(IF(E4693&gt;0,E4693*IF(ISNUMBER(J4693),J4693,IF(C4693="Futures",$C$6,$C$5)),""),"")</f>
        <v/>
      </c>
      <c r="I4693" s="139">
        <f>IFERROR(IF(AND(ISNUMBER(F4693),ISNUMBER(H4693)),F4693-H4693,""),"")</f>
        <v/>
      </c>
      <c r="J4693" s="114" t="n"/>
      <c r="K4693" s="139">
        <f>IFERROR(IF(H4693&gt;0,H4693*$C$7,""),"")</f>
        <v/>
      </c>
      <c r="L4693" s="139">
        <f>IFERROR(IF(ISNUMBER(F4693),F4693-IF(ISNUMBER(K4693),K4693,0),""),"")</f>
        <v/>
      </c>
    </row>
    <row r="4694" ht="24" customHeight="1" s="63">
      <c r="E4694" s="139" t="n"/>
      <c r="F4694" s="139" t="n"/>
      <c r="G4694" s="140">
        <f>IFERROR(IF(E4694&gt;0,(F4694/E4694)*1000,""),"")</f>
        <v/>
      </c>
      <c r="H4694" s="139">
        <f>IFERROR(IF(E4694&gt;0,E4694*IF(ISNUMBER(J4694),J4694,IF(C4694="Futures",$C$6,$C$5)),""),"")</f>
        <v/>
      </c>
      <c r="I4694" s="139">
        <f>IFERROR(IF(AND(ISNUMBER(F4694),ISNUMBER(H4694)),F4694-H4694,""),"")</f>
        <v/>
      </c>
      <c r="J4694" s="114" t="n"/>
      <c r="K4694" s="139">
        <f>IFERROR(IF(H4694&gt;0,H4694*$C$7,""),"")</f>
        <v/>
      </c>
      <c r="L4694" s="139">
        <f>IFERROR(IF(ISNUMBER(F4694),F4694-IF(ISNUMBER(K4694),K4694,0),""),"")</f>
        <v/>
      </c>
    </row>
    <row r="4695" ht="24" customHeight="1" s="63">
      <c r="E4695" s="139" t="n"/>
      <c r="F4695" s="139" t="n"/>
      <c r="G4695" s="140">
        <f>IFERROR(IF(E4695&gt;0,(F4695/E4695)*1000,""),"")</f>
        <v/>
      </c>
      <c r="H4695" s="139">
        <f>IFERROR(IF(E4695&gt;0,E4695*IF(ISNUMBER(J4695),J4695,IF(C4695="Futures",$C$6,$C$5)),""),"")</f>
        <v/>
      </c>
      <c r="I4695" s="139">
        <f>IFERROR(IF(AND(ISNUMBER(F4695),ISNUMBER(H4695)),F4695-H4695,""),"")</f>
        <v/>
      </c>
      <c r="J4695" s="114" t="n"/>
      <c r="K4695" s="139">
        <f>IFERROR(IF(H4695&gt;0,H4695*$C$7,""),"")</f>
        <v/>
      </c>
      <c r="L4695" s="139">
        <f>IFERROR(IF(ISNUMBER(F4695),F4695-IF(ISNUMBER(K4695),K4695,0),""),"")</f>
        <v/>
      </c>
    </row>
    <row r="4696" ht="24" customHeight="1" s="63">
      <c r="E4696" s="139" t="n"/>
      <c r="F4696" s="139" t="n"/>
      <c r="G4696" s="140">
        <f>IFERROR(IF(E4696&gt;0,(F4696/E4696)*1000,""),"")</f>
        <v/>
      </c>
      <c r="H4696" s="139">
        <f>IFERROR(IF(E4696&gt;0,E4696*IF(ISNUMBER(J4696),J4696,IF(C4696="Futures",$C$6,$C$5)),""),"")</f>
        <v/>
      </c>
      <c r="I4696" s="139">
        <f>IFERROR(IF(AND(ISNUMBER(F4696),ISNUMBER(H4696)),F4696-H4696,""),"")</f>
        <v/>
      </c>
      <c r="J4696" s="114" t="n"/>
      <c r="K4696" s="139">
        <f>IFERROR(IF(H4696&gt;0,H4696*$C$7,""),"")</f>
        <v/>
      </c>
      <c r="L4696" s="139">
        <f>IFERROR(IF(ISNUMBER(F4696),F4696-IF(ISNUMBER(K4696),K4696,0),""),"")</f>
        <v/>
      </c>
    </row>
    <row r="4697" ht="24" customHeight="1" s="63">
      <c r="E4697" s="139" t="n"/>
      <c r="F4697" s="139" t="n"/>
      <c r="G4697" s="140">
        <f>IFERROR(IF(E4697&gt;0,(F4697/E4697)*1000,""),"")</f>
        <v/>
      </c>
      <c r="H4697" s="139">
        <f>IFERROR(IF(E4697&gt;0,E4697*IF(ISNUMBER(J4697),J4697,IF(C4697="Futures",$C$6,$C$5)),""),"")</f>
        <v/>
      </c>
      <c r="I4697" s="139">
        <f>IFERROR(IF(AND(ISNUMBER(F4697),ISNUMBER(H4697)),F4697-H4697,""),"")</f>
        <v/>
      </c>
      <c r="J4697" s="114" t="n"/>
      <c r="K4697" s="139">
        <f>IFERROR(IF(H4697&gt;0,H4697*$C$7,""),"")</f>
        <v/>
      </c>
      <c r="L4697" s="139">
        <f>IFERROR(IF(ISNUMBER(F4697),F4697-IF(ISNUMBER(K4697),K4697,0),""),"")</f>
        <v/>
      </c>
    </row>
    <row r="4698" ht="24" customHeight="1" s="63">
      <c r="E4698" s="139" t="n"/>
      <c r="F4698" s="139" t="n"/>
      <c r="G4698" s="140">
        <f>IFERROR(IF(E4698&gt;0,(F4698/E4698)*1000,""),"")</f>
        <v/>
      </c>
      <c r="H4698" s="139">
        <f>IFERROR(IF(E4698&gt;0,E4698*IF(ISNUMBER(J4698),J4698,IF(C4698="Futures",$C$6,$C$5)),""),"")</f>
        <v/>
      </c>
      <c r="I4698" s="139">
        <f>IFERROR(IF(AND(ISNUMBER(F4698),ISNUMBER(H4698)),F4698-H4698,""),"")</f>
        <v/>
      </c>
      <c r="J4698" s="114" t="n"/>
      <c r="K4698" s="139">
        <f>IFERROR(IF(H4698&gt;0,H4698*$C$7,""),"")</f>
        <v/>
      </c>
      <c r="L4698" s="139">
        <f>IFERROR(IF(ISNUMBER(F4698),F4698-IF(ISNUMBER(K4698),K4698,0),""),"")</f>
        <v/>
      </c>
    </row>
    <row r="4699" ht="24" customHeight="1" s="63">
      <c r="E4699" s="139" t="n"/>
      <c r="F4699" s="139" t="n"/>
      <c r="G4699" s="140">
        <f>IFERROR(IF(E4699&gt;0,(F4699/E4699)*1000,""),"")</f>
        <v/>
      </c>
      <c r="H4699" s="139">
        <f>IFERROR(IF(E4699&gt;0,E4699*IF(ISNUMBER(J4699),J4699,IF(C4699="Futures",$C$6,$C$5)),""),"")</f>
        <v/>
      </c>
      <c r="I4699" s="139">
        <f>IFERROR(IF(AND(ISNUMBER(F4699),ISNUMBER(H4699)),F4699-H4699,""),"")</f>
        <v/>
      </c>
      <c r="J4699" s="114" t="n"/>
      <c r="K4699" s="139">
        <f>IFERROR(IF(H4699&gt;0,H4699*$C$7,""),"")</f>
        <v/>
      </c>
      <c r="L4699" s="139">
        <f>IFERROR(IF(ISNUMBER(F4699),F4699-IF(ISNUMBER(K4699),K4699,0),""),"")</f>
        <v/>
      </c>
    </row>
    <row r="4700" ht="24" customHeight="1" s="63">
      <c r="E4700" s="139" t="n"/>
      <c r="F4700" s="139" t="n"/>
      <c r="G4700" s="140">
        <f>IFERROR(IF(E4700&gt;0,(F4700/E4700)*1000,""),"")</f>
        <v/>
      </c>
      <c r="H4700" s="139">
        <f>IFERROR(IF(E4700&gt;0,E4700*IF(ISNUMBER(J4700),J4700,IF(C4700="Futures",$C$6,$C$5)),""),"")</f>
        <v/>
      </c>
      <c r="I4700" s="139">
        <f>IFERROR(IF(AND(ISNUMBER(F4700),ISNUMBER(H4700)),F4700-H4700,""),"")</f>
        <v/>
      </c>
      <c r="J4700" s="114" t="n"/>
      <c r="K4700" s="139">
        <f>IFERROR(IF(H4700&gt;0,H4700*$C$7,""),"")</f>
        <v/>
      </c>
      <c r="L4700" s="139">
        <f>IFERROR(IF(ISNUMBER(F4700),F4700-IF(ISNUMBER(K4700),K4700,0),""),"")</f>
        <v/>
      </c>
    </row>
    <row r="4701" ht="24" customHeight="1" s="63">
      <c r="E4701" s="139" t="n"/>
      <c r="F4701" s="139" t="n"/>
      <c r="G4701" s="140">
        <f>IFERROR(IF(E4701&gt;0,(F4701/E4701)*1000,""),"")</f>
        <v/>
      </c>
      <c r="H4701" s="139">
        <f>IFERROR(IF(E4701&gt;0,E4701*IF(ISNUMBER(J4701),J4701,IF(C4701="Futures",$C$6,$C$5)),""),"")</f>
        <v/>
      </c>
      <c r="I4701" s="139">
        <f>IFERROR(IF(AND(ISNUMBER(F4701),ISNUMBER(H4701)),F4701-H4701,""),"")</f>
        <v/>
      </c>
      <c r="J4701" s="114" t="n"/>
      <c r="K4701" s="139">
        <f>IFERROR(IF(H4701&gt;0,H4701*$C$7,""),"")</f>
        <v/>
      </c>
      <c r="L4701" s="139">
        <f>IFERROR(IF(ISNUMBER(F4701),F4701-IF(ISNUMBER(K4701),K4701,0),""),"")</f>
        <v/>
      </c>
    </row>
    <row r="4702" ht="24" customHeight="1" s="63">
      <c r="E4702" s="139" t="n"/>
      <c r="F4702" s="139" t="n"/>
      <c r="G4702" s="140">
        <f>IFERROR(IF(E4702&gt;0,(F4702/E4702)*1000,""),"")</f>
        <v/>
      </c>
      <c r="H4702" s="139">
        <f>IFERROR(IF(E4702&gt;0,E4702*IF(ISNUMBER(J4702),J4702,IF(C4702="Futures",$C$6,$C$5)),""),"")</f>
        <v/>
      </c>
      <c r="I4702" s="139">
        <f>IFERROR(IF(AND(ISNUMBER(F4702),ISNUMBER(H4702)),F4702-H4702,""),"")</f>
        <v/>
      </c>
      <c r="J4702" s="114" t="n"/>
      <c r="K4702" s="139">
        <f>IFERROR(IF(H4702&gt;0,H4702*$C$7,""),"")</f>
        <v/>
      </c>
      <c r="L4702" s="139">
        <f>IFERROR(IF(ISNUMBER(F4702),F4702-IF(ISNUMBER(K4702),K4702,0),""),"")</f>
        <v/>
      </c>
    </row>
    <row r="4703" ht="24" customHeight="1" s="63">
      <c r="E4703" s="139" t="n"/>
      <c r="F4703" s="139" t="n"/>
      <c r="G4703" s="140">
        <f>IFERROR(IF(E4703&gt;0,(F4703/E4703)*1000,""),"")</f>
        <v/>
      </c>
      <c r="H4703" s="139">
        <f>IFERROR(IF(E4703&gt;0,E4703*IF(ISNUMBER(J4703),J4703,IF(C4703="Futures",$C$6,$C$5)),""),"")</f>
        <v/>
      </c>
      <c r="I4703" s="139">
        <f>IFERROR(IF(AND(ISNUMBER(F4703),ISNUMBER(H4703)),F4703-H4703,""),"")</f>
        <v/>
      </c>
      <c r="J4703" s="114" t="n"/>
      <c r="K4703" s="139">
        <f>IFERROR(IF(H4703&gt;0,H4703*$C$7,""),"")</f>
        <v/>
      </c>
      <c r="L4703" s="139">
        <f>IFERROR(IF(ISNUMBER(F4703),F4703-IF(ISNUMBER(K4703),K4703,0),""),"")</f>
        <v/>
      </c>
    </row>
    <row r="4704" ht="24" customHeight="1" s="63">
      <c r="E4704" s="139" t="n"/>
      <c r="F4704" s="139" t="n"/>
      <c r="G4704" s="140">
        <f>IFERROR(IF(E4704&gt;0,(F4704/E4704)*1000,""),"")</f>
        <v/>
      </c>
      <c r="H4704" s="139">
        <f>IFERROR(IF(E4704&gt;0,E4704*IF(ISNUMBER(J4704),J4704,IF(C4704="Futures",$C$6,$C$5)),""),"")</f>
        <v/>
      </c>
      <c r="I4704" s="139">
        <f>IFERROR(IF(AND(ISNUMBER(F4704),ISNUMBER(H4704)),F4704-H4704,""),"")</f>
        <v/>
      </c>
      <c r="J4704" s="114" t="n"/>
      <c r="K4704" s="139">
        <f>IFERROR(IF(H4704&gt;0,H4704*$C$7,""),"")</f>
        <v/>
      </c>
      <c r="L4704" s="139">
        <f>IFERROR(IF(ISNUMBER(F4704),F4704-IF(ISNUMBER(K4704),K4704,0),""),"")</f>
        <v/>
      </c>
    </row>
    <row r="4705" ht="24" customHeight="1" s="63">
      <c r="E4705" s="139" t="n"/>
      <c r="F4705" s="139" t="n"/>
      <c r="G4705" s="140">
        <f>IFERROR(IF(E4705&gt;0,(F4705/E4705)*1000,""),"")</f>
        <v/>
      </c>
      <c r="H4705" s="139">
        <f>IFERROR(IF(E4705&gt;0,E4705*IF(ISNUMBER(J4705),J4705,IF(C4705="Futures",$C$6,$C$5)),""),"")</f>
        <v/>
      </c>
      <c r="I4705" s="139">
        <f>IFERROR(IF(AND(ISNUMBER(F4705),ISNUMBER(H4705)),F4705-H4705,""),"")</f>
        <v/>
      </c>
      <c r="J4705" s="114" t="n"/>
      <c r="K4705" s="139">
        <f>IFERROR(IF(H4705&gt;0,H4705*$C$7,""),"")</f>
        <v/>
      </c>
      <c r="L4705" s="139">
        <f>IFERROR(IF(ISNUMBER(F4705),F4705-IF(ISNUMBER(K4705),K4705,0),""),"")</f>
        <v/>
      </c>
    </row>
    <row r="4706" ht="24" customHeight="1" s="63">
      <c r="E4706" s="139" t="n"/>
      <c r="F4706" s="139" t="n"/>
      <c r="G4706" s="140">
        <f>IFERROR(IF(E4706&gt;0,(F4706/E4706)*1000,""),"")</f>
        <v/>
      </c>
      <c r="H4706" s="139">
        <f>IFERROR(IF(E4706&gt;0,E4706*IF(ISNUMBER(J4706),J4706,IF(C4706="Futures",$C$6,$C$5)),""),"")</f>
        <v/>
      </c>
      <c r="I4706" s="139">
        <f>IFERROR(IF(AND(ISNUMBER(F4706),ISNUMBER(H4706)),F4706-H4706,""),"")</f>
        <v/>
      </c>
      <c r="J4706" s="114" t="n"/>
      <c r="K4706" s="139">
        <f>IFERROR(IF(H4706&gt;0,H4706*$C$7,""),"")</f>
        <v/>
      </c>
      <c r="L4706" s="139">
        <f>IFERROR(IF(ISNUMBER(F4706),F4706-IF(ISNUMBER(K4706),K4706,0),""),"")</f>
        <v/>
      </c>
    </row>
    <row r="4707" ht="24" customHeight="1" s="63">
      <c r="E4707" s="139" t="n"/>
      <c r="F4707" s="139" t="n"/>
      <c r="G4707" s="140">
        <f>IFERROR(IF(E4707&gt;0,(F4707/E4707)*1000,""),"")</f>
        <v/>
      </c>
      <c r="H4707" s="139">
        <f>IFERROR(IF(E4707&gt;0,E4707*IF(ISNUMBER(J4707),J4707,IF(C4707="Futures",$C$6,$C$5)),""),"")</f>
        <v/>
      </c>
      <c r="I4707" s="139">
        <f>IFERROR(IF(AND(ISNUMBER(F4707),ISNUMBER(H4707)),F4707-H4707,""),"")</f>
        <v/>
      </c>
      <c r="J4707" s="114" t="n"/>
      <c r="K4707" s="139">
        <f>IFERROR(IF(H4707&gt;0,H4707*$C$7,""),"")</f>
        <v/>
      </c>
      <c r="L4707" s="139">
        <f>IFERROR(IF(ISNUMBER(F4707),F4707-IF(ISNUMBER(K4707),K4707,0),""),"")</f>
        <v/>
      </c>
    </row>
    <row r="4708" ht="24" customHeight="1" s="63">
      <c r="E4708" s="139" t="n"/>
      <c r="F4708" s="139" t="n"/>
      <c r="G4708" s="140">
        <f>IFERROR(IF(E4708&gt;0,(F4708/E4708)*1000,""),"")</f>
        <v/>
      </c>
      <c r="H4708" s="139">
        <f>IFERROR(IF(E4708&gt;0,E4708*IF(ISNUMBER(J4708),J4708,IF(C4708="Futures",$C$6,$C$5)),""),"")</f>
        <v/>
      </c>
      <c r="I4708" s="139">
        <f>IFERROR(IF(AND(ISNUMBER(F4708),ISNUMBER(H4708)),F4708-H4708,""),"")</f>
        <v/>
      </c>
      <c r="J4708" s="114" t="n"/>
      <c r="K4708" s="139">
        <f>IFERROR(IF(H4708&gt;0,H4708*$C$7,""),"")</f>
        <v/>
      </c>
      <c r="L4708" s="139">
        <f>IFERROR(IF(ISNUMBER(F4708),F4708-IF(ISNUMBER(K4708),K4708,0),""),"")</f>
        <v/>
      </c>
    </row>
    <row r="4709" ht="24" customHeight="1" s="63">
      <c r="E4709" s="139" t="n"/>
      <c r="F4709" s="139" t="n"/>
      <c r="G4709" s="140">
        <f>IFERROR(IF(E4709&gt;0,(F4709/E4709)*1000,""),"")</f>
        <v/>
      </c>
      <c r="H4709" s="139">
        <f>IFERROR(IF(E4709&gt;0,E4709*IF(ISNUMBER(J4709),J4709,IF(C4709="Futures",$C$6,$C$5)),""),"")</f>
        <v/>
      </c>
      <c r="I4709" s="139">
        <f>IFERROR(IF(AND(ISNUMBER(F4709),ISNUMBER(H4709)),F4709-H4709,""),"")</f>
        <v/>
      </c>
      <c r="J4709" s="114" t="n"/>
      <c r="K4709" s="139">
        <f>IFERROR(IF(H4709&gt;0,H4709*$C$7,""),"")</f>
        <v/>
      </c>
      <c r="L4709" s="139">
        <f>IFERROR(IF(ISNUMBER(F4709),F4709-IF(ISNUMBER(K4709),K4709,0),""),"")</f>
        <v/>
      </c>
    </row>
    <row r="4710" ht="24" customHeight="1" s="63">
      <c r="E4710" s="139" t="n"/>
      <c r="F4710" s="139" t="n"/>
      <c r="G4710" s="140">
        <f>IFERROR(IF(E4710&gt;0,(F4710/E4710)*1000,""),"")</f>
        <v/>
      </c>
      <c r="H4710" s="139">
        <f>IFERROR(IF(E4710&gt;0,E4710*IF(ISNUMBER(J4710),J4710,IF(C4710="Futures",$C$6,$C$5)),""),"")</f>
        <v/>
      </c>
      <c r="I4710" s="139">
        <f>IFERROR(IF(AND(ISNUMBER(F4710),ISNUMBER(H4710)),F4710-H4710,""),"")</f>
        <v/>
      </c>
      <c r="J4710" s="114" t="n"/>
      <c r="K4710" s="139">
        <f>IFERROR(IF(H4710&gt;0,H4710*$C$7,""),"")</f>
        <v/>
      </c>
      <c r="L4710" s="139">
        <f>IFERROR(IF(ISNUMBER(F4710),F4710-IF(ISNUMBER(K4710),K4710,0),""),"")</f>
        <v/>
      </c>
    </row>
    <row r="4711" ht="24" customHeight="1" s="63">
      <c r="E4711" s="139" t="n"/>
      <c r="F4711" s="139" t="n"/>
      <c r="G4711" s="140">
        <f>IFERROR(IF(E4711&gt;0,(F4711/E4711)*1000,""),"")</f>
        <v/>
      </c>
      <c r="H4711" s="139">
        <f>IFERROR(IF(E4711&gt;0,E4711*IF(ISNUMBER(J4711),J4711,IF(C4711="Futures",$C$6,$C$5)),""),"")</f>
        <v/>
      </c>
      <c r="I4711" s="139">
        <f>IFERROR(IF(AND(ISNUMBER(F4711),ISNUMBER(H4711)),F4711-H4711,""),"")</f>
        <v/>
      </c>
      <c r="J4711" s="114" t="n"/>
      <c r="K4711" s="139">
        <f>IFERROR(IF(H4711&gt;0,H4711*$C$7,""),"")</f>
        <v/>
      </c>
      <c r="L4711" s="139">
        <f>IFERROR(IF(ISNUMBER(F4711),F4711-IF(ISNUMBER(K4711),K4711,0),""),"")</f>
        <v/>
      </c>
    </row>
    <row r="4712" ht="24" customHeight="1" s="63">
      <c r="E4712" s="139" t="n"/>
      <c r="F4712" s="139" t="n"/>
      <c r="G4712" s="140">
        <f>IFERROR(IF(E4712&gt;0,(F4712/E4712)*1000,""),"")</f>
        <v/>
      </c>
      <c r="H4712" s="139">
        <f>IFERROR(IF(E4712&gt;0,E4712*IF(ISNUMBER(J4712),J4712,IF(C4712="Futures",$C$6,$C$5)),""),"")</f>
        <v/>
      </c>
      <c r="I4712" s="139">
        <f>IFERROR(IF(AND(ISNUMBER(F4712),ISNUMBER(H4712)),F4712-H4712,""),"")</f>
        <v/>
      </c>
      <c r="J4712" s="114" t="n"/>
      <c r="K4712" s="139">
        <f>IFERROR(IF(H4712&gt;0,H4712*$C$7,""),"")</f>
        <v/>
      </c>
      <c r="L4712" s="139">
        <f>IFERROR(IF(ISNUMBER(F4712),F4712-IF(ISNUMBER(K4712),K4712,0),""),"")</f>
        <v/>
      </c>
    </row>
    <row r="4713" ht="24" customHeight="1" s="63">
      <c r="E4713" s="139" t="n"/>
      <c r="F4713" s="139" t="n"/>
      <c r="G4713" s="140">
        <f>IFERROR(IF(E4713&gt;0,(F4713/E4713)*1000,""),"")</f>
        <v/>
      </c>
      <c r="H4713" s="139">
        <f>IFERROR(IF(E4713&gt;0,E4713*IF(ISNUMBER(J4713),J4713,IF(C4713="Futures",$C$6,$C$5)),""),"")</f>
        <v/>
      </c>
      <c r="I4713" s="139">
        <f>IFERROR(IF(AND(ISNUMBER(F4713),ISNUMBER(H4713)),F4713-H4713,""),"")</f>
        <v/>
      </c>
      <c r="J4713" s="114" t="n"/>
      <c r="K4713" s="139">
        <f>IFERROR(IF(H4713&gt;0,H4713*$C$7,""),"")</f>
        <v/>
      </c>
      <c r="L4713" s="139">
        <f>IFERROR(IF(ISNUMBER(F4713),F4713-IF(ISNUMBER(K4713),K4713,0),""),"")</f>
        <v/>
      </c>
    </row>
    <row r="4714" ht="24" customHeight="1" s="63">
      <c r="E4714" s="139" t="n"/>
      <c r="F4714" s="139" t="n"/>
      <c r="G4714" s="140">
        <f>IFERROR(IF(E4714&gt;0,(F4714/E4714)*1000,""),"")</f>
        <v/>
      </c>
      <c r="H4714" s="139">
        <f>IFERROR(IF(E4714&gt;0,E4714*IF(ISNUMBER(J4714),J4714,IF(C4714="Futures",$C$6,$C$5)),""),"")</f>
        <v/>
      </c>
      <c r="I4714" s="139">
        <f>IFERROR(IF(AND(ISNUMBER(F4714),ISNUMBER(H4714)),F4714-H4714,""),"")</f>
        <v/>
      </c>
      <c r="J4714" s="114" t="n"/>
      <c r="K4714" s="139">
        <f>IFERROR(IF(H4714&gt;0,H4714*$C$7,""),"")</f>
        <v/>
      </c>
      <c r="L4714" s="139">
        <f>IFERROR(IF(ISNUMBER(F4714),F4714-IF(ISNUMBER(K4714),K4714,0),""),"")</f>
        <v/>
      </c>
    </row>
    <row r="4715" ht="24" customHeight="1" s="63">
      <c r="E4715" s="139" t="n"/>
      <c r="F4715" s="139" t="n"/>
      <c r="G4715" s="140">
        <f>IFERROR(IF(E4715&gt;0,(F4715/E4715)*1000,""),"")</f>
        <v/>
      </c>
      <c r="H4715" s="139">
        <f>IFERROR(IF(E4715&gt;0,E4715*IF(ISNUMBER(J4715),J4715,IF(C4715="Futures",$C$6,$C$5)),""),"")</f>
        <v/>
      </c>
      <c r="I4715" s="139">
        <f>IFERROR(IF(AND(ISNUMBER(F4715),ISNUMBER(H4715)),F4715-H4715,""),"")</f>
        <v/>
      </c>
      <c r="J4715" s="114" t="n"/>
      <c r="K4715" s="139">
        <f>IFERROR(IF(H4715&gt;0,H4715*$C$7,""),"")</f>
        <v/>
      </c>
      <c r="L4715" s="139">
        <f>IFERROR(IF(ISNUMBER(F4715),F4715-IF(ISNUMBER(K4715),K4715,0),""),"")</f>
        <v/>
      </c>
    </row>
    <row r="4716" ht="24" customHeight="1" s="63">
      <c r="E4716" s="139" t="n"/>
      <c r="F4716" s="139" t="n"/>
      <c r="G4716" s="140">
        <f>IFERROR(IF(E4716&gt;0,(F4716/E4716)*1000,""),"")</f>
        <v/>
      </c>
      <c r="H4716" s="139">
        <f>IFERROR(IF(E4716&gt;0,E4716*IF(ISNUMBER(J4716),J4716,IF(C4716="Futures",$C$6,$C$5)),""),"")</f>
        <v/>
      </c>
      <c r="I4716" s="139">
        <f>IFERROR(IF(AND(ISNUMBER(F4716),ISNUMBER(H4716)),F4716-H4716,""),"")</f>
        <v/>
      </c>
      <c r="J4716" s="114" t="n"/>
      <c r="K4716" s="139">
        <f>IFERROR(IF(H4716&gt;0,H4716*$C$7,""),"")</f>
        <v/>
      </c>
      <c r="L4716" s="139">
        <f>IFERROR(IF(ISNUMBER(F4716),F4716-IF(ISNUMBER(K4716),K4716,0),""),"")</f>
        <v/>
      </c>
    </row>
    <row r="4717" ht="24" customHeight="1" s="63">
      <c r="E4717" s="139" t="n"/>
      <c r="F4717" s="139" t="n"/>
      <c r="G4717" s="140">
        <f>IFERROR(IF(E4717&gt;0,(F4717/E4717)*1000,""),"")</f>
        <v/>
      </c>
      <c r="H4717" s="139">
        <f>IFERROR(IF(E4717&gt;0,E4717*IF(ISNUMBER(J4717),J4717,IF(C4717="Futures",$C$6,$C$5)),""),"")</f>
        <v/>
      </c>
      <c r="I4717" s="139">
        <f>IFERROR(IF(AND(ISNUMBER(F4717),ISNUMBER(H4717)),F4717-H4717,""),"")</f>
        <v/>
      </c>
      <c r="J4717" s="114" t="n"/>
      <c r="K4717" s="139">
        <f>IFERROR(IF(H4717&gt;0,H4717*$C$7,""),"")</f>
        <v/>
      </c>
      <c r="L4717" s="139">
        <f>IFERROR(IF(ISNUMBER(F4717),F4717-IF(ISNUMBER(K4717),K4717,0),""),"")</f>
        <v/>
      </c>
    </row>
    <row r="4718" ht="24" customHeight="1" s="63">
      <c r="E4718" s="139" t="n"/>
      <c r="F4718" s="139" t="n"/>
      <c r="G4718" s="140">
        <f>IFERROR(IF(E4718&gt;0,(F4718/E4718)*1000,""),"")</f>
        <v/>
      </c>
      <c r="H4718" s="139">
        <f>IFERROR(IF(E4718&gt;0,E4718*IF(ISNUMBER(J4718),J4718,IF(C4718="Futures",$C$6,$C$5)),""),"")</f>
        <v/>
      </c>
      <c r="I4718" s="139">
        <f>IFERROR(IF(AND(ISNUMBER(F4718),ISNUMBER(H4718)),F4718-H4718,""),"")</f>
        <v/>
      </c>
      <c r="J4718" s="114" t="n"/>
      <c r="K4718" s="139">
        <f>IFERROR(IF(H4718&gt;0,H4718*$C$7,""),"")</f>
        <v/>
      </c>
      <c r="L4718" s="139">
        <f>IFERROR(IF(ISNUMBER(F4718),F4718-IF(ISNUMBER(K4718),K4718,0),""),"")</f>
        <v/>
      </c>
    </row>
    <row r="4719" ht="24" customHeight="1" s="63">
      <c r="E4719" s="139" t="n"/>
      <c r="F4719" s="139" t="n"/>
      <c r="G4719" s="140">
        <f>IFERROR(IF(E4719&gt;0,(F4719/E4719)*1000,""),"")</f>
        <v/>
      </c>
      <c r="H4719" s="139">
        <f>IFERROR(IF(E4719&gt;0,E4719*IF(ISNUMBER(J4719),J4719,IF(C4719="Futures",$C$6,$C$5)),""),"")</f>
        <v/>
      </c>
      <c r="I4719" s="139">
        <f>IFERROR(IF(AND(ISNUMBER(F4719),ISNUMBER(H4719)),F4719-H4719,""),"")</f>
        <v/>
      </c>
      <c r="J4719" s="114" t="n"/>
      <c r="K4719" s="139">
        <f>IFERROR(IF(H4719&gt;0,H4719*$C$7,""),"")</f>
        <v/>
      </c>
      <c r="L4719" s="139">
        <f>IFERROR(IF(ISNUMBER(F4719),F4719-IF(ISNUMBER(K4719),K4719,0),""),"")</f>
        <v/>
      </c>
    </row>
    <row r="4720" ht="24" customHeight="1" s="63">
      <c r="E4720" s="139" t="n"/>
      <c r="F4720" s="139" t="n"/>
      <c r="G4720" s="140">
        <f>IFERROR(IF(E4720&gt;0,(F4720/E4720)*1000,""),"")</f>
        <v/>
      </c>
      <c r="H4720" s="139">
        <f>IFERROR(IF(E4720&gt;0,E4720*IF(ISNUMBER(J4720),J4720,IF(C4720="Futures",$C$6,$C$5)),""),"")</f>
        <v/>
      </c>
      <c r="I4720" s="139">
        <f>IFERROR(IF(AND(ISNUMBER(F4720),ISNUMBER(H4720)),F4720-H4720,""),"")</f>
        <v/>
      </c>
      <c r="J4720" s="114" t="n"/>
      <c r="K4720" s="139">
        <f>IFERROR(IF(H4720&gt;0,H4720*$C$7,""),"")</f>
        <v/>
      </c>
      <c r="L4720" s="139">
        <f>IFERROR(IF(ISNUMBER(F4720),F4720-IF(ISNUMBER(K4720),K4720,0),""),"")</f>
        <v/>
      </c>
    </row>
    <row r="4721" ht="24" customHeight="1" s="63">
      <c r="E4721" s="139" t="n"/>
      <c r="F4721" s="139" t="n"/>
      <c r="G4721" s="140">
        <f>IFERROR(IF(E4721&gt;0,(F4721/E4721)*1000,""),"")</f>
        <v/>
      </c>
      <c r="H4721" s="139">
        <f>IFERROR(IF(E4721&gt;0,E4721*IF(ISNUMBER(J4721),J4721,IF(C4721="Futures",$C$6,$C$5)),""),"")</f>
        <v/>
      </c>
      <c r="I4721" s="139">
        <f>IFERROR(IF(AND(ISNUMBER(F4721),ISNUMBER(H4721)),F4721-H4721,""),"")</f>
        <v/>
      </c>
      <c r="J4721" s="114" t="n"/>
      <c r="K4721" s="139">
        <f>IFERROR(IF(H4721&gt;0,H4721*$C$7,""),"")</f>
        <v/>
      </c>
      <c r="L4721" s="139">
        <f>IFERROR(IF(ISNUMBER(F4721),F4721-IF(ISNUMBER(K4721),K4721,0),""),"")</f>
        <v/>
      </c>
    </row>
    <row r="4722" ht="24" customHeight="1" s="63">
      <c r="E4722" s="139" t="n"/>
      <c r="F4722" s="139" t="n"/>
      <c r="G4722" s="140">
        <f>IFERROR(IF(E4722&gt;0,(F4722/E4722)*1000,""),"")</f>
        <v/>
      </c>
      <c r="H4722" s="139">
        <f>IFERROR(IF(E4722&gt;0,E4722*IF(ISNUMBER(J4722),J4722,IF(C4722="Futures",$C$6,$C$5)),""),"")</f>
        <v/>
      </c>
      <c r="I4722" s="139">
        <f>IFERROR(IF(AND(ISNUMBER(F4722),ISNUMBER(H4722)),F4722-H4722,""),"")</f>
        <v/>
      </c>
      <c r="J4722" s="114" t="n"/>
      <c r="K4722" s="139">
        <f>IFERROR(IF(H4722&gt;0,H4722*$C$7,""),"")</f>
        <v/>
      </c>
      <c r="L4722" s="139">
        <f>IFERROR(IF(ISNUMBER(F4722),F4722-IF(ISNUMBER(K4722),K4722,0),""),"")</f>
        <v/>
      </c>
    </row>
    <row r="4723" ht="24" customHeight="1" s="63">
      <c r="E4723" s="139" t="n"/>
      <c r="F4723" s="139" t="n"/>
      <c r="G4723" s="140">
        <f>IFERROR(IF(E4723&gt;0,(F4723/E4723)*1000,""),"")</f>
        <v/>
      </c>
      <c r="H4723" s="139">
        <f>IFERROR(IF(E4723&gt;0,E4723*IF(ISNUMBER(J4723),J4723,IF(C4723="Futures",$C$6,$C$5)),""),"")</f>
        <v/>
      </c>
      <c r="I4723" s="139">
        <f>IFERROR(IF(AND(ISNUMBER(F4723),ISNUMBER(H4723)),F4723-H4723,""),"")</f>
        <v/>
      </c>
      <c r="J4723" s="114" t="n"/>
      <c r="K4723" s="139">
        <f>IFERROR(IF(H4723&gt;0,H4723*$C$7,""),"")</f>
        <v/>
      </c>
      <c r="L4723" s="139">
        <f>IFERROR(IF(ISNUMBER(F4723),F4723-IF(ISNUMBER(K4723),K4723,0),""),"")</f>
        <v/>
      </c>
    </row>
    <row r="4724" ht="24" customHeight="1" s="63">
      <c r="E4724" s="139" t="n"/>
      <c r="F4724" s="139" t="n"/>
      <c r="G4724" s="140">
        <f>IFERROR(IF(E4724&gt;0,(F4724/E4724)*1000,""),"")</f>
        <v/>
      </c>
      <c r="H4724" s="139">
        <f>IFERROR(IF(E4724&gt;0,E4724*IF(ISNUMBER(J4724),J4724,IF(C4724="Futures",$C$6,$C$5)),""),"")</f>
        <v/>
      </c>
      <c r="I4724" s="139">
        <f>IFERROR(IF(AND(ISNUMBER(F4724),ISNUMBER(H4724)),F4724-H4724,""),"")</f>
        <v/>
      </c>
      <c r="J4724" s="114" t="n"/>
      <c r="K4724" s="139">
        <f>IFERROR(IF(H4724&gt;0,H4724*$C$7,""),"")</f>
        <v/>
      </c>
      <c r="L4724" s="139">
        <f>IFERROR(IF(ISNUMBER(F4724),F4724-IF(ISNUMBER(K4724),K4724,0),""),"")</f>
        <v/>
      </c>
    </row>
    <row r="4725" ht="24" customHeight="1" s="63">
      <c r="E4725" s="139" t="n"/>
      <c r="F4725" s="139" t="n"/>
      <c r="G4725" s="140">
        <f>IFERROR(IF(E4725&gt;0,(F4725/E4725)*1000,""),"")</f>
        <v/>
      </c>
      <c r="H4725" s="139">
        <f>IFERROR(IF(E4725&gt;0,E4725*IF(ISNUMBER(J4725),J4725,IF(C4725="Futures",$C$6,$C$5)),""),"")</f>
        <v/>
      </c>
      <c r="I4725" s="139">
        <f>IFERROR(IF(AND(ISNUMBER(F4725),ISNUMBER(H4725)),F4725-H4725,""),"")</f>
        <v/>
      </c>
      <c r="J4725" s="114" t="n"/>
      <c r="K4725" s="139">
        <f>IFERROR(IF(H4725&gt;0,H4725*$C$7,""),"")</f>
        <v/>
      </c>
      <c r="L4725" s="139">
        <f>IFERROR(IF(ISNUMBER(F4725),F4725-IF(ISNUMBER(K4725),K4725,0),""),"")</f>
        <v/>
      </c>
    </row>
    <row r="4726" ht="24" customHeight="1" s="63">
      <c r="E4726" s="139" t="n"/>
      <c r="F4726" s="139" t="n"/>
      <c r="G4726" s="140">
        <f>IFERROR(IF(E4726&gt;0,(F4726/E4726)*1000,""),"")</f>
        <v/>
      </c>
      <c r="H4726" s="139">
        <f>IFERROR(IF(E4726&gt;0,E4726*IF(ISNUMBER(J4726),J4726,IF(C4726="Futures",$C$6,$C$5)),""),"")</f>
        <v/>
      </c>
      <c r="I4726" s="139">
        <f>IFERROR(IF(AND(ISNUMBER(F4726),ISNUMBER(H4726)),F4726-H4726,""),"")</f>
        <v/>
      </c>
      <c r="J4726" s="114" t="n"/>
      <c r="K4726" s="139">
        <f>IFERROR(IF(H4726&gt;0,H4726*$C$7,""),"")</f>
        <v/>
      </c>
      <c r="L4726" s="139">
        <f>IFERROR(IF(ISNUMBER(F4726),F4726-IF(ISNUMBER(K4726),K4726,0),""),"")</f>
        <v/>
      </c>
    </row>
    <row r="4727" ht="24" customHeight="1" s="63">
      <c r="E4727" s="139" t="n"/>
      <c r="F4727" s="139" t="n"/>
      <c r="G4727" s="140">
        <f>IFERROR(IF(E4727&gt;0,(F4727/E4727)*1000,""),"")</f>
        <v/>
      </c>
      <c r="H4727" s="139">
        <f>IFERROR(IF(E4727&gt;0,E4727*IF(ISNUMBER(J4727),J4727,IF(C4727="Futures",$C$6,$C$5)),""),"")</f>
        <v/>
      </c>
      <c r="I4727" s="139">
        <f>IFERROR(IF(AND(ISNUMBER(F4727),ISNUMBER(H4727)),F4727-H4727,""),"")</f>
        <v/>
      </c>
      <c r="J4727" s="114" t="n"/>
      <c r="K4727" s="139">
        <f>IFERROR(IF(H4727&gt;0,H4727*$C$7,""),"")</f>
        <v/>
      </c>
      <c r="L4727" s="139">
        <f>IFERROR(IF(ISNUMBER(F4727),F4727-IF(ISNUMBER(K4727),K4727,0),""),"")</f>
        <v/>
      </c>
    </row>
    <row r="4728" ht="24" customHeight="1" s="63">
      <c r="E4728" s="139" t="n"/>
      <c r="F4728" s="139" t="n"/>
      <c r="G4728" s="140">
        <f>IFERROR(IF(E4728&gt;0,(F4728/E4728)*1000,""),"")</f>
        <v/>
      </c>
      <c r="H4728" s="139">
        <f>IFERROR(IF(E4728&gt;0,E4728*IF(ISNUMBER(J4728),J4728,IF(C4728="Futures",$C$6,$C$5)),""),"")</f>
        <v/>
      </c>
      <c r="I4728" s="139">
        <f>IFERROR(IF(AND(ISNUMBER(F4728),ISNUMBER(H4728)),F4728-H4728,""),"")</f>
        <v/>
      </c>
      <c r="J4728" s="114" t="n"/>
      <c r="K4728" s="139">
        <f>IFERROR(IF(H4728&gt;0,H4728*$C$7,""),"")</f>
        <v/>
      </c>
      <c r="L4728" s="139">
        <f>IFERROR(IF(ISNUMBER(F4728),F4728-IF(ISNUMBER(K4728),K4728,0),""),"")</f>
        <v/>
      </c>
    </row>
    <row r="4729" ht="24" customHeight="1" s="63">
      <c r="E4729" s="139" t="n"/>
      <c r="F4729" s="139" t="n"/>
      <c r="G4729" s="140">
        <f>IFERROR(IF(E4729&gt;0,(F4729/E4729)*1000,""),"")</f>
        <v/>
      </c>
      <c r="H4729" s="139">
        <f>IFERROR(IF(E4729&gt;0,E4729*IF(ISNUMBER(J4729),J4729,IF(C4729="Futures",$C$6,$C$5)),""),"")</f>
        <v/>
      </c>
      <c r="I4729" s="139">
        <f>IFERROR(IF(AND(ISNUMBER(F4729),ISNUMBER(H4729)),F4729-H4729,""),"")</f>
        <v/>
      </c>
      <c r="J4729" s="114" t="n"/>
      <c r="K4729" s="139">
        <f>IFERROR(IF(H4729&gt;0,H4729*$C$7,""),"")</f>
        <v/>
      </c>
      <c r="L4729" s="139">
        <f>IFERROR(IF(ISNUMBER(F4729),F4729-IF(ISNUMBER(K4729),K4729,0),""),"")</f>
        <v/>
      </c>
    </row>
    <row r="4730" ht="24" customHeight="1" s="63">
      <c r="E4730" s="139" t="n"/>
      <c r="F4730" s="139" t="n"/>
      <c r="G4730" s="140">
        <f>IFERROR(IF(E4730&gt;0,(F4730/E4730)*1000,""),"")</f>
        <v/>
      </c>
      <c r="H4730" s="139">
        <f>IFERROR(IF(E4730&gt;0,E4730*IF(ISNUMBER(J4730),J4730,IF(C4730="Futures",$C$6,$C$5)),""),"")</f>
        <v/>
      </c>
      <c r="I4730" s="139">
        <f>IFERROR(IF(AND(ISNUMBER(F4730),ISNUMBER(H4730)),F4730-H4730,""),"")</f>
        <v/>
      </c>
      <c r="J4730" s="114" t="n"/>
      <c r="K4730" s="139">
        <f>IFERROR(IF(H4730&gt;0,H4730*$C$7,""),"")</f>
        <v/>
      </c>
      <c r="L4730" s="139">
        <f>IFERROR(IF(ISNUMBER(F4730),F4730-IF(ISNUMBER(K4730),K4730,0),""),"")</f>
        <v/>
      </c>
    </row>
    <row r="4731" ht="24" customHeight="1" s="63">
      <c r="E4731" s="139" t="n"/>
      <c r="F4731" s="139" t="n"/>
      <c r="G4731" s="140">
        <f>IFERROR(IF(E4731&gt;0,(F4731/E4731)*1000,""),"")</f>
        <v/>
      </c>
      <c r="H4731" s="139">
        <f>IFERROR(IF(E4731&gt;0,E4731*IF(ISNUMBER(J4731),J4731,IF(C4731="Futures",$C$6,$C$5)),""),"")</f>
        <v/>
      </c>
      <c r="I4731" s="139">
        <f>IFERROR(IF(AND(ISNUMBER(F4731),ISNUMBER(H4731)),F4731-H4731,""),"")</f>
        <v/>
      </c>
      <c r="J4731" s="114" t="n"/>
      <c r="K4731" s="139">
        <f>IFERROR(IF(H4731&gt;0,H4731*$C$7,""),"")</f>
        <v/>
      </c>
      <c r="L4731" s="139">
        <f>IFERROR(IF(ISNUMBER(F4731),F4731-IF(ISNUMBER(K4731),K4731,0),""),"")</f>
        <v/>
      </c>
    </row>
    <row r="4732" ht="24" customHeight="1" s="63">
      <c r="E4732" s="139" t="n"/>
      <c r="F4732" s="139" t="n"/>
      <c r="G4732" s="140">
        <f>IFERROR(IF(E4732&gt;0,(F4732/E4732)*1000,""),"")</f>
        <v/>
      </c>
      <c r="H4732" s="139">
        <f>IFERROR(IF(E4732&gt;0,E4732*IF(ISNUMBER(J4732),J4732,IF(C4732="Futures",$C$6,$C$5)),""),"")</f>
        <v/>
      </c>
      <c r="I4732" s="139">
        <f>IFERROR(IF(AND(ISNUMBER(F4732),ISNUMBER(H4732)),F4732-H4732,""),"")</f>
        <v/>
      </c>
      <c r="J4732" s="114" t="n"/>
      <c r="K4732" s="139">
        <f>IFERROR(IF(H4732&gt;0,H4732*$C$7,""),"")</f>
        <v/>
      </c>
      <c r="L4732" s="139">
        <f>IFERROR(IF(ISNUMBER(F4732),F4732-IF(ISNUMBER(K4732),K4732,0),""),"")</f>
        <v/>
      </c>
    </row>
    <row r="4733" ht="24" customHeight="1" s="63">
      <c r="E4733" s="139" t="n"/>
      <c r="F4733" s="139" t="n"/>
      <c r="G4733" s="140">
        <f>IFERROR(IF(E4733&gt;0,(F4733/E4733)*1000,""),"")</f>
        <v/>
      </c>
      <c r="H4733" s="139">
        <f>IFERROR(IF(E4733&gt;0,E4733*IF(ISNUMBER(J4733),J4733,IF(C4733="Futures",$C$6,$C$5)),""),"")</f>
        <v/>
      </c>
      <c r="I4733" s="139">
        <f>IFERROR(IF(AND(ISNUMBER(F4733),ISNUMBER(H4733)),F4733-H4733,""),"")</f>
        <v/>
      </c>
      <c r="J4733" s="114" t="n"/>
      <c r="K4733" s="139">
        <f>IFERROR(IF(H4733&gt;0,H4733*$C$7,""),"")</f>
        <v/>
      </c>
      <c r="L4733" s="139">
        <f>IFERROR(IF(ISNUMBER(F4733),F4733-IF(ISNUMBER(K4733),K4733,0),""),"")</f>
        <v/>
      </c>
    </row>
    <row r="4734" ht="24" customHeight="1" s="63">
      <c r="E4734" s="139" t="n"/>
      <c r="F4734" s="139" t="n"/>
      <c r="G4734" s="140">
        <f>IFERROR(IF(E4734&gt;0,(F4734/E4734)*1000,""),"")</f>
        <v/>
      </c>
      <c r="H4734" s="139">
        <f>IFERROR(IF(E4734&gt;0,E4734*IF(ISNUMBER(J4734),J4734,IF(C4734="Futures",$C$6,$C$5)),""),"")</f>
        <v/>
      </c>
      <c r="I4734" s="139">
        <f>IFERROR(IF(AND(ISNUMBER(F4734),ISNUMBER(H4734)),F4734-H4734,""),"")</f>
        <v/>
      </c>
      <c r="J4734" s="114" t="n"/>
      <c r="K4734" s="139">
        <f>IFERROR(IF(H4734&gt;0,H4734*$C$7,""),"")</f>
        <v/>
      </c>
      <c r="L4734" s="139">
        <f>IFERROR(IF(ISNUMBER(F4734),F4734-IF(ISNUMBER(K4734),K4734,0),""),"")</f>
        <v/>
      </c>
    </row>
    <row r="4735" ht="24" customHeight="1" s="63">
      <c r="E4735" s="139" t="n"/>
      <c r="F4735" s="139" t="n"/>
      <c r="G4735" s="140">
        <f>IFERROR(IF(E4735&gt;0,(F4735/E4735)*1000,""),"")</f>
        <v/>
      </c>
      <c r="H4735" s="139">
        <f>IFERROR(IF(E4735&gt;0,E4735*IF(ISNUMBER(J4735),J4735,IF(C4735="Futures",$C$6,$C$5)),""),"")</f>
        <v/>
      </c>
      <c r="I4735" s="139">
        <f>IFERROR(IF(AND(ISNUMBER(F4735),ISNUMBER(H4735)),F4735-H4735,""),"")</f>
        <v/>
      </c>
      <c r="J4735" s="114" t="n"/>
      <c r="K4735" s="139">
        <f>IFERROR(IF(H4735&gt;0,H4735*$C$7,""),"")</f>
        <v/>
      </c>
      <c r="L4735" s="139">
        <f>IFERROR(IF(ISNUMBER(F4735),F4735-IF(ISNUMBER(K4735),K4735,0),""),"")</f>
        <v/>
      </c>
    </row>
    <row r="4736" ht="24" customHeight="1" s="63">
      <c r="E4736" s="139" t="n"/>
      <c r="F4736" s="139" t="n"/>
      <c r="G4736" s="140">
        <f>IFERROR(IF(E4736&gt;0,(F4736/E4736)*1000,""),"")</f>
        <v/>
      </c>
      <c r="H4736" s="139">
        <f>IFERROR(IF(E4736&gt;0,E4736*IF(ISNUMBER(J4736),J4736,IF(C4736="Futures",$C$6,$C$5)),""),"")</f>
        <v/>
      </c>
      <c r="I4736" s="139">
        <f>IFERROR(IF(AND(ISNUMBER(F4736),ISNUMBER(H4736)),F4736-H4736,""),"")</f>
        <v/>
      </c>
      <c r="J4736" s="114" t="n"/>
      <c r="K4736" s="139">
        <f>IFERROR(IF(H4736&gt;0,H4736*$C$7,""),"")</f>
        <v/>
      </c>
      <c r="L4736" s="139">
        <f>IFERROR(IF(ISNUMBER(F4736),F4736-IF(ISNUMBER(K4736),K4736,0),""),"")</f>
        <v/>
      </c>
    </row>
    <row r="4737" ht="24" customHeight="1" s="63">
      <c r="E4737" s="139" t="n"/>
      <c r="F4737" s="139" t="n"/>
      <c r="G4737" s="140">
        <f>IFERROR(IF(E4737&gt;0,(F4737/E4737)*1000,""),"")</f>
        <v/>
      </c>
      <c r="H4737" s="139">
        <f>IFERROR(IF(E4737&gt;0,E4737*IF(ISNUMBER(J4737),J4737,IF(C4737="Futures",$C$6,$C$5)),""),"")</f>
        <v/>
      </c>
      <c r="I4737" s="139">
        <f>IFERROR(IF(AND(ISNUMBER(F4737),ISNUMBER(H4737)),F4737-H4737,""),"")</f>
        <v/>
      </c>
      <c r="J4737" s="114" t="n"/>
      <c r="K4737" s="139">
        <f>IFERROR(IF(H4737&gt;0,H4737*$C$7,""),"")</f>
        <v/>
      </c>
      <c r="L4737" s="139">
        <f>IFERROR(IF(ISNUMBER(F4737),F4737-IF(ISNUMBER(K4737),K4737,0),""),"")</f>
        <v/>
      </c>
    </row>
    <row r="4738" ht="24" customHeight="1" s="63">
      <c r="E4738" s="139" t="n"/>
      <c r="F4738" s="139" t="n"/>
      <c r="G4738" s="140">
        <f>IFERROR(IF(E4738&gt;0,(F4738/E4738)*1000,""),"")</f>
        <v/>
      </c>
      <c r="H4738" s="139">
        <f>IFERROR(IF(E4738&gt;0,E4738*IF(ISNUMBER(J4738),J4738,IF(C4738="Futures",$C$6,$C$5)),""),"")</f>
        <v/>
      </c>
      <c r="I4738" s="139">
        <f>IFERROR(IF(AND(ISNUMBER(F4738),ISNUMBER(H4738)),F4738-H4738,""),"")</f>
        <v/>
      </c>
      <c r="J4738" s="114" t="n"/>
      <c r="K4738" s="139">
        <f>IFERROR(IF(H4738&gt;0,H4738*$C$7,""),"")</f>
        <v/>
      </c>
      <c r="L4738" s="139">
        <f>IFERROR(IF(ISNUMBER(F4738),F4738-IF(ISNUMBER(K4738),K4738,0),""),"")</f>
        <v/>
      </c>
    </row>
    <row r="4739" ht="24" customHeight="1" s="63">
      <c r="E4739" s="139" t="n"/>
      <c r="F4739" s="139" t="n"/>
      <c r="G4739" s="140">
        <f>IFERROR(IF(E4739&gt;0,(F4739/E4739)*1000,""),"")</f>
        <v/>
      </c>
      <c r="H4739" s="139">
        <f>IFERROR(IF(E4739&gt;0,E4739*IF(ISNUMBER(J4739),J4739,IF(C4739="Futures",$C$6,$C$5)),""),"")</f>
        <v/>
      </c>
      <c r="I4739" s="139">
        <f>IFERROR(IF(AND(ISNUMBER(F4739),ISNUMBER(H4739)),F4739-H4739,""),"")</f>
        <v/>
      </c>
      <c r="J4739" s="114" t="n"/>
      <c r="K4739" s="139">
        <f>IFERROR(IF(H4739&gt;0,H4739*$C$7,""),"")</f>
        <v/>
      </c>
      <c r="L4739" s="139">
        <f>IFERROR(IF(ISNUMBER(F4739),F4739-IF(ISNUMBER(K4739),K4739,0),""),"")</f>
        <v/>
      </c>
    </row>
    <row r="4740" ht="24" customHeight="1" s="63">
      <c r="E4740" s="139" t="n"/>
      <c r="F4740" s="139" t="n"/>
      <c r="G4740" s="140">
        <f>IFERROR(IF(E4740&gt;0,(F4740/E4740)*1000,""),"")</f>
        <v/>
      </c>
      <c r="H4740" s="139">
        <f>IFERROR(IF(E4740&gt;0,E4740*IF(ISNUMBER(J4740),J4740,IF(C4740="Futures",$C$6,$C$5)),""),"")</f>
        <v/>
      </c>
      <c r="I4740" s="139">
        <f>IFERROR(IF(AND(ISNUMBER(F4740),ISNUMBER(H4740)),F4740-H4740,""),"")</f>
        <v/>
      </c>
      <c r="J4740" s="114" t="n"/>
      <c r="K4740" s="139">
        <f>IFERROR(IF(H4740&gt;0,H4740*$C$7,""),"")</f>
        <v/>
      </c>
      <c r="L4740" s="139">
        <f>IFERROR(IF(ISNUMBER(F4740),F4740-IF(ISNUMBER(K4740),K4740,0),""),"")</f>
        <v/>
      </c>
    </row>
    <row r="4741" ht="24" customHeight="1" s="63">
      <c r="E4741" s="139" t="n"/>
      <c r="F4741" s="139" t="n"/>
      <c r="G4741" s="140">
        <f>IFERROR(IF(E4741&gt;0,(F4741/E4741)*1000,""),"")</f>
        <v/>
      </c>
      <c r="H4741" s="139">
        <f>IFERROR(IF(E4741&gt;0,E4741*IF(ISNUMBER(J4741),J4741,IF(C4741="Futures",$C$6,$C$5)),""),"")</f>
        <v/>
      </c>
      <c r="I4741" s="139">
        <f>IFERROR(IF(AND(ISNUMBER(F4741),ISNUMBER(H4741)),F4741-H4741,""),"")</f>
        <v/>
      </c>
      <c r="J4741" s="114" t="n"/>
      <c r="K4741" s="139">
        <f>IFERROR(IF(H4741&gt;0,H4741*$C$7,""),"")</f>
        <v/>
      </c>
      <c r="L4741" s="139">
        <f>IFERROR(IF(ISNUMBER(F4741),F4741-IF(ISNUMBER(K4741),K4741,0),""),"")</f>
        <v/>
      </c>
    </row>
    <row r="4742" ht="24" customHeight="1" s="63">
      <c r="E4742" s="139" t="n"/>
      <c r="F4742" s="139" t="n"/>
      <c r="G4742" s="140">
        <f>IFERROR(IF(E4742&gt;0,(F4742/E4742)*1000,""),"")</f>
        <v/>
      </c>
      <c r="H4742" s="139">
        <f>IFERROR(IF(E4742&gt;0,E4742*IF(ISNUMBER(J4742),J4742,IF(C4742="Futures",$C$6,$C$5)),""),"")</f>
        <v/>
      </c>
      <c r="I4742" s="139">
        <f>IFERROR(IF(AND(ISNUMBER(F4742),ISNUMBER(H4742)),F4742-H4742,""),"")</f>
        <v/>
      </c>
      <c r="J4742" s="114" t="n"/>
      <c r="K4742" s="139">
        <f>IFERROR(IF(H4742&gt;0,H4742*$C$7,""),"")</f>
        <v/>
      </c>
      <c r="L4742" s="139">
        <f>IFERROR(IF(ISNUMBER(F4742),F4742-IF(ISNUMBER(K4742),K4742,0),""),"")</f>
        <v/>
      </c>
    </row>
    <row r="4743" ht="24" customHeight="1" s="63">
      <c r="E4743" s="139" t="n"/>
      <c r="F4743" s="139" t="n"/>
      <c r="G4743" s="140">
        <f>IFERROR(IF(E4743&gt;0,(F4743/E4743)*1000,""),"")</f>
        <v/>
      </c>
      <c r="H4743" s="139">
        <f>IFERROR(IF(E4743&gt;0,E4743*IF(ISNUMBER(J4743),J4743,IF(C4743="Futures",$C$6,$C$5)),""),"")</f>
        <v/>
      </c>
      <c r="I4743" s="139">
        <f>IFERROR(IF(AND(ISNUMBER(F4743),ISNUMBER(H4743)),F4743-H4743,""),"")</f>
        <v/>
      </c>
      <c r="J4743" s="114" t="n"/>
      <c r="K4743" s="139">
        <f>IFERROR(IF(H4743&gt;0,H4743*$C$7,""),"")</f>
        <v/>
      </c>
      <c r="L4743" s="139">
        <f>IFERROR(IF(ISNUMBER(F4743),F4743-IF(ISNUMBER(K4743),K4743,0),""),"")</f>
        <v/>
      </c>
    </row>
    <row r="4744" ht="24" customHeight="1" s="63">
      <c r="E4744" s="139" t="n"/>
      <c r="F4744" s="139" t="n"/>
      <c r="G4744" s="140">
        <f>IFERROR(IF(E4744&gt;0,(F4744/E4744)*1000,""),"")</f>
        <v/>
      </c>
      <c r="H4744" s="139">
        <f>IFERROR(IF(E4744&gt;0,E4744*IF(ISNUMBER(J4744),J4744,IF(C4744="Futures",$C$6,$C$5)),""),"")</f>
        <v/>
      </c>
      <c r="I4744" s="139">
        <f>IFERROR(IF(AND(ISNUMBER(F4744),ISNUMBER(H4744)),F4744-H4744,""),"")</f>
        <v/>
      </c>
      <c r="J4744" s="114" t="n"/>
      <c r="K4744" s="139">
        <f>IFERROR(IF(H4744&gt;0,H4744*$C$7,""),"")</f>
        <v/>
      </c>
      <c r="L4744" s="139">
        <f>IFERROR(IF(ISNUMBER(F4744),F4744-IF(ISNUMBER(K4744),K4744,0),""),"")</f>
        <v/>
      </c>
    </row>
    <row r="4745" ht="24" customHeight="1" s="63">
      <c r="E4745" s="139" t="n"/>
      <c r="F4745" s="139" t="n"/>
      <c r="G4745" s="140">
        <f>IFERROR(IF(E4745&gt;0,(F4745/E4745)*1000,""),"")</f>
        <v/>
      </c>
      <c r="H4745" s="139">
        <f>IFERROR(IF(E4745&gt;0,E4745*IF(ISNUMBER(J4745),J4745,IF(C4745="Futures",$C$6,$C$5)),""),"")</f>
        <v/>
      </c>
      <c r="I4745" s="139">
        <f>IFERROR(IF(AND(ISNUMBER(F4745),ISNUMBER(H4745)),F4745-H4745,""),"")</f>
        <v/>
      </c>
      <c r="J4745" s="114" t="n"/>
      <c r="K4745" s="139">
        <f>IFERROR(IF(H4745&gt;0,H4745*$C$7,""),"")</f>
        <v/>
      </c>
      <c r="L4745" s="139">
        <f>IFERROR(IF(ISNUMBER(F4745),F4745-IF(ISNUMBER(K4745),K4745,0),""),"")</f>
        <v/>
      </c>
    </row>
    <row r="4746" ht="24" customHeight="1" s="63">
      <c r="E4746" s="139" t="n"/>
      <c r="F4746" s="139" t="n"/>
      <c r="G4746" s="140">
        <f>IFERROR(IF(E4746&gt;0,(F4746/E4746)*1000,""),"")</f>
        <v/>
      </c>
      <c r="H4746" s="139">
        <f>IFERROR(IF(E4746&gt;0,E4746*IF(ISNUMBER(J4746),J4746,IF(C4746="Futures",$C$6,$C$5)),""),"")</f>
        <v/>
      </c>
      <c r="I4746" s="139">
        <f>IFERROR(IF(AND(ISNUMBER(F4746),ISNUMBER(H4746)),F4746-H4746,""),"")</f>
        <v/>
      </c>
      <c r="J4746" s="114" t="n"/>
      <c r="K4746" s="139">
        <f>IFERROR(IF(H4746&gt;0,H4746*$C$7,""),"")</f>
        <v/>
      </c>
      <c r="L4746" s="139">
        <f>IFERROR(IF(ISNUMBER(F4746),F4746-IF(ISNUMBER(K4746),K4746,0),""),"")</f>
        <v/>
      </c>
    </row>
    <row r="4747" ht="24" customHeight="1" s="63">
      <c r="E4747" s="139" t="n"/>
      <c r="F4747" s="139" t="n"/>
      <c r="G4747" s="140">
        <f>IFERROR(IF(E4747&gt;0,(F4747/E4747)*1000,""),"")</f>
        <v/>
      </c>
      <c r="H4747" s="139">
        <f>IFERROR(IF(E4747&gt;0,E4747*IF(ISNUMBER(J4747),J4747,IF(C4747="Futures",$C$6,$C$5)),""),"")</f>
        <v/>
      </c>
      <c r="I4747" s="139">
        <f>IFERROR(IF(AND(ISNUMBER(F4747),ISNUMBER(H4747)),F4747-H4747,""),"")</f>
        <v/>
      </c>
      <c r="J4747" s="114" t="n"/>
      <c r="K4747" s="139">
        <f>IFERROR(IF(H4747&gt;0,H4747*$C$7,""),"")</f>
        <v/>
      </c>
      <c r="L4747" s="139">
        <f>IFERROR(IF(ISNUMBER(F4747),F4747-IF(ISNUMBER(K4747),K4747,0),""),"")</f>
        <v/>
      </c>
    </row>
    <row r="4748" ht="24" customHeight="1" s="63">
      <c r="E4748" s="139" t="n"/>
      <c r="F4748" s="139" t="n"/>
      <c r="G4748" s="140">
        <f>IFERROR(IF(E4748&gt;0,(F4748/E4748)*1000,""),"")</f>
        <v/>
      </c>
      <c r="H4748" s="139">
        <f>IFERROR(IF(E4748&gt;0,E4748*IF(ISNUMBER(J4748),J4748,IF(C4748="Futures",$C$6,$C$5)),""),"")</f>
        <v/>
      </c>
      <c r="I4748" s="139">
        <f>IFERROR(IF(AND(ISNUMBER(F4748),ISNUMBER(H4748)),F4748-H4748,""),"")</f>
        <v/>
      </c>
      <c r="J4748" s="114" t="n"/>
      <c r="K4748" s="139">
        <f>IFERROR(IF(H4748&gt;0,H4748*$C$7,""),"")</f>
        <v/>
      </c>
      <c r="L4748" s="139">
        <f>IFERROR(IF(ISNUMBER(F4748),F4748-IF(ISNUMBER(K4748),K4748,0),""),"")</f>
        <v/>
      </c>
    </row>
    <row r="4749" ht="24" customHeight="1" s="63">
      <c r="E4749" s="139" t="n"/>
      <c r="F4749" s="139" t="n"/>
      <c r="G4749" s="140">
        <f>IFERROR(IF(E4749&gt;0,(F4749/E4749)*1000,""),"")</f>
        <v/>
      </c>
      <c r="H4749" s="139">
        <f>IFERROR(IF(E4749&gt;0,E4749*IF(ISNUMBER(J4749),J4749,IF(C4749="Futures",$C$6,$C$5)),""),"")</f>
        <v/>
      </c>
      <c r="I4749" s="139">
        <f>IFERROR(IF(AND(ISNUMBER(F4749),ISNUMBER(H4749)),F4749-H4749,""),"")</f>
        <v/>
      </c>
      <c r="J4749" s="114" t="n"/>
      <c r="K4749" s="139">
        <f>IFERROR(IF(H4749&gt;0,H4749*$C$7,""),"")</f>
        <v/>
      </c>
      <c r="L4749" s="139">
        <f>IFERROR(IF(ISNUMBER(F4749),F4749-IF(ISNUMBER(K4749),K4749,0),""),"")</f>
        <v/>
      </c>
    </row>
    <row r="4750" ht="24" customHeight="1" s="63">
      <c r="E4750" s="139" t="n"/>
      <c r="F4750" s="139" t="n"/>
      <c r="G4750" s="140">
        <f>IFERROR(IF(E4750&gt;0,(F4750/E4750)*1000,""),"")</f>
        <v/>
      </c>
      <c r="H4750" s="139">
        <f>IFERROR(IF(E4750&gt;0,E4750*IF(ISNUMBER(J4750),J4750,IF(C4750="Futures",$C$6,$C$5)),""),"")</f>
        <v/>
      </c>
      <c r="I4750" s="139">
        <f>IFERROR(IF(AND(ISNUMBER(F4750),ISNUMBER(H4750)),F4750-H4750,""),"")</f>
        <v/>
      </c>
      <c r="J4750" s="114" t="n"/>
      <c r="K4750" s="139">
        <f>IFERROR(IF(H4750&gt;0,H4750*$C$7,""),"")</f>
        <v/>
      </c>
      <c r="L4750" s="139">
        <f>IFERROR(IF(ISNUMBER(F4750),F4750-IF(ISNUMBER(K4750),K4750,0),""),"")</f>
        <v/>
      </c>
    </row>
    <row r="4751" ht="24" customHeight="1" s="63">
      <c r="E4751" s="139" t="n"/>
      <c r="F4751" s="139" t="n"/>
      <c r="G4751" s="140">
        <f>IFERROR(IF(E4751&gt;0,(F4751/E4751)*1000,""),"")</f>
        <v/>
      </c>
      <c r="H4751" s="139">
        <f>IFERROR(IF(E4751&gt;0,E4751*IF(ISNUMBER(J4751),J4751,IF(C4751="Futures",$C$6,$C$5)),""),"")</f>
        <v/>
      </c>
      <c r="I4751" s="139">
        <f>IFERROR(IF(AND(ISNUMBER(F4751),ISNUMBER(H4751)),F4751-H4751,""),"")</f>
        <v/>
      </c>
      <c r="J4751" s="114" t="n"/>
      <c r="K4751" s="139">
        <f>IFERROR(IF(H4751&gt;0,H4751*$C$7,""),"")</f>
        <v/>
      </c>
      <c r="L4751" s="139">
        <f>IFERROR(IF(ISNUMBER(F4751),F4751-IF(ISNUMBER(K4751),K4751,0),""),"")</f>
        <v/>
      </c>
    </row>
    <row r="4752" ht="24" customHeight="1" s="63">
      <c r="E4752" s="139" t="n"/>
      <c r="F4752" s="139" t="n"/>
      <c r="G4752" s="140">
        <f>IFERROR(IF(E4752&gt;0,(F4752/E4752)*1000,""),"")</f>
        <v/>
      </c>
      <c r="H4752" s="139">
        <f>IFERROR(IF(E4752&gt;0,E4752*IF(ISNUMBER(J4752),J4752,IF(C4752="Futures",$C$6,$C$5)),""),"")</f>
        <v/>
      </c>
      <c r="I4752" s="139">
        <f>IFERROR(IF(AND(ISNUMBER(F4752),ISNUMBER(H4752)),F4752-H4752,""),"")</f>
        <v/>
      </c>
      <c r="J4752" s="114" t="n"/>
      <c r="K4752" s="139">
        <f>IFERROR(IF(H4752&gt;0,H4752*$C$7,""),"")</f>
        <v/>
      </c>
      <c r="L4752" s="139">
        <f>IFERROR(IF(ISNUMBER(F4752),F4752-IF(ISNUMBER(K4752),K4752,0),""),"")</f>
        <v/>
      </c>
    </row>
    <row r="4753" ht="24" customHeight="1" s="63">
      <c r="E4753" s="139" t="n"/>
      <c r="F4753" s="139" t="n"/>
      <c r="G4753" s="140">
        <f>IFERROR(IF(E4753&gt;0,(F4753/E4753)*1000,""),"")</f>
        <v/>
      </c>
      <c r="H4753" s="139">
        <f>IFERROR(IF(E4753&gt;0,E4753*IF(ISNUMBER(J4753),J4753,IF(C4753="Futures",$C$6,$C$5)),""),"")</f>
        <v/>
      </c>
      <c r="I4753" s="139">
        <f>IFERROR(IF(AND(ISNUMBER(F4753),ISNUMBER(H4753)),F4753-H4753,""),"")</f>
        <v/>
      </c>
      <c r="J4753" s="114" t="n"/>
      <c r="K4753" s="139">
        <f>IFERROR(IF(H4753&gt;0,H4753*$C$7,""),"")</f>
        <v/>
      </c>
      <c r="L4753" s="139">
        <f>IFERROR(IF(ISNUMBER(F4753),F4753-IF(ISNUMBER(K4753),K4753,0),""),"")</f>
        <v/>
      </c>
    </row>
    <row r="4754" ht="24" customHeight="1" s="63">
      <c r="E4754" s="139" t="n"/>
      <c r="F4754" s="139" t="n"/>
      <c r="G4754" s="140">
        <f>IFERROR(IF(E4754&gt;0,(F4754/E4754)*1000,""),"")</f>
        <v/>
      </c>
      <c r="H4754" s="139">
        <f>IFERROR(IF(E4754&gt;0,E4754*IF(ISNUMBER(J4754),J4754,IF(C4754="Futures",$C$6,$C$5)),""),"")</f>
        <v/>
      </c>
      <c r="I4754" s="139">
        <f>IFERROR(IF(AND(ISNUMBER(F4754),ISNUMBER(H4754)),F4754-H4754,""),"")</f>
        <v/>
      </c>
      <c r="J4754" s="114" t="n"/>
      <c r="K4754" s="139">
        <f>IFERROR(IF(H4754&gt;0,H4754*$C$7,""),"")</f>
        <v/>
      </c>
      <c r="L4754" s="139">
        <f>IFERROR(IF(ISNUMBER(F4754),F4754-IF(ISNUMBER(K4754),K4754,0),""),"")</f>
        <v/>
      </c>
    </row>
    <row r="4755" ht="24" customHeight="1" s="63">
      <c r="E4755" s="139" t="n"/>
      <c r="F4755" s="139" t="n"/>
      <c r="G4755" s="140">
        <f>IFERROR(IF(E4755&gt;0,(F4755/E4755)*1000,""),"")</f>
        <v/>
      </c>
      <c r="H4755" s="139">
        <f>IFERROR(IF(E4755&gt;0,E4755*IF(ISNUMBER(J4755),J4755,IF(C4755="Futures",$C$6,$C$5)),""),"")</f>
        <v/>
      </c>
      <c r="I4755" s="139">
        <f>IFERROR(IF(AND(ISNUMBER(F4755),ISNUMBER(H4755)),F4755-H4755,""),"")</f>
        <v/>
      </c>
      <c r="J4755" s="114" t="n"/>
      <c r="K4755" s="139">
        <f>IFERROR(IF(H4755&gt;0,H4755*$C$7,""),"")</f>
        <v/>
      </c>
      <c r="L4755" s="139">
        <f>IFERROR(IF(ISNUMBER(F4755),F4755-IF(ISNUMBER(K4755),K4755,0),""),"")</f>
        <v/>
      </c>
    </row>
    <row r="4756" ht="24" customHeight="1" s="63">
      <c r="E4756" s="139" t="n"/>
      <c r="F4756" s="139" t="n"/>
      <c r="G4756" s="140">
        <f>IFERROR(IF(E4756&gt;0,(F4756/E4756)*1000,""),"")</f>
        <v/>
      </c>
      <c r="H4756" s="139">
        <f>IFERROR(IF(E4756&gt;0,E4756*IF(ISNUMBER(J4756),J4756,IF(C4756="Futures",$C$6,$C$5)),""),"")</f>
        <v/>
      </c>
      <c r="I4756" s="139">
        <f>IFERROR(IF(AND(ISNUMBER(F4756),ISNUMBER(H4756)),F4756-H4756,""),"")</f>
        <v/>
      </c>
      <c r="J4756" s="114" t="n"/>
      <c r="K4756" s="139">
        <f>IFERROR(IF(H4756&gt;0,H4756*$C$7,""),"")</f>
        <v/>
      </c>
      <c r="L4756" s="139">
        <f>IFERROR(IF(ISNUMBER(F4756),F4756-IF(ISNUMBER(K4756),K4756,0),""),"")</f>
        <v/>
      </c>
    </row>
    <row r="4757" ht="24" customHeight="1" s="63">
      <c r="E4757" s="139" t="n"/>
      <c r="F4757" s="139" t="n"/>
      <c r="G4757" s="140">
        <f>IFERROR(IF(E4757&gt;0,(F4757/E4757)*1000,""),"")</f>
        <v/>
      </c>
      <c r="H4757" s="139">
        <f>IFERROR(IF(E4757&gt;0,E4757*IF(ISNUMBER(J4757),J4757,IF(C4757="Futures",$C$6,$C$5)),""),"")</f>
        <v/>
      </c>
      <c r="I4757" s="139">
        <f>IFERROR(IF(AND(ISNUMBER(F4757),ISNUMBER(H4757)),F4757-H4757,""),"")</f>
        <v/>
      </c>
      <c r="J4757" s="114" t="n"/>
      <c r="K4757" s="139">
        <f>IFERROR(IF(H4757&gt;0,H4757*$C$7,""),"")</f>
        <v/>
      </c>
      <c r="L4757" s="139">
        <f>IFERROR(IF(ISNUMBER(F4757),F4757-IF(ISNUMBER(K4757),K4757,0),""),"")</f>
        <v/>
      </c>
    </row>
    <row r="4758" ht="24" customHeight="1" s="63">
      <c r="E4758" s="139" t="n"/>
      <c r="F4758" s="139" t="n"/>
      <c r="G4758" s="140">
        <f>IFERROR(IF(E4758&gt;0,(F4758/E4758)*1000,""),"")</f>
        <v/>
      </c>
      <c r="H4758" s="139">
        <f>IFERROR(IF(E4758&gt;0,E4758*IF(ISNUMBER(J4758),J4758,IF(C4758="Futures",$C$6,$C$5)),""),"")</f>
        <v/>
      </c>
      <c r="I4758" s="139">
        <f>IFERROR(IF(AND(ISNUMBER(F4758),ISNUMBER(H4758)),F4758-H4758,""),"")</f>
        <v/>
      </c>
      <c r="J4758" s="114" t="n"/>
      <c r="K4758" s="139">
        <f>IFERROR(IF(H4758&gt;0,H4758*$C$7,""),"")</f>
        <v/>
      </c>
      <c r="L4758" s="139">
        <f>IFERROR(IF(ISNUMBER(F4758),F4758-IF(ISNUMBER(K4758),K4758,0),""),"")</f>
        <v/>
      </c>
    </row>
    <row r="4759" ht="24" customHeight="1" s="63">
      <c r="E4759" s="139" t="n"/>
      <c r="F4759" s="139" t="n"/>
      <c r="G4759" s="140">
        <f>IFERROR(IF(E4759&gt;0,(F4759/E4759)*1000,""),"")</f>
        <v/>
      </c>
      <c r="H4759" s="139">
        <f>IFERROR(IF(E4759&gt;0,E4759*IF(ISNUMBER(J4759),J4759,IF(C4759="Futures",$C$6,$C$5)),""),"")</f>
        <v/>
      </c>
      <c r="I4759" s="139">
        <f>IFERROR(IF(AND(ISNUMBER(F4759),ISNUMBER(H4759)),F4759-H4759,""),"")</f>
        <v/>
      </c>
      <c r="J4759" s="114" t="n"/>
      <c r="K4759" s="139">
        <f>IFERROR(IF(H4759&gt;0,H4759*$C$7,""),"")</f>
        <v/>
      </c>
      <c r="L4759" s="139">
        <f>IFERROR(IF(ISNUMBER(F4759),F4759-IF(ISNUMBER(K4759),K4759,0),""),"")</f>
        <v/>
      </c>
    </row>
    <row r="4760" ht="24" customHeight="1" s="63">
      <c r="E4760" s="139" t="n"/>
      <c r="F4760" s="139" t="n"/>
      <c r="G4760" s="140">
        <f>IFERROR(IF(E4760&gt;0,(F4760/E4760)*1000,""),"")</f>
        <v/>
      </c>
      <c r="H4760" s="139">
        <f>IFERROR(IF(E4760&gt;0,E4760*IF(ISNUMBER(J4760),J4760,IF(C4760="Futures",$C$6,$C$5)),""),"")</f>
        <v/>
      </c>
      <c r="I4760" s="139">
        <f>IFERROR(IF(AND(ISNUMBER(F4760),ISNUMBER(H4760)),F4760-H4760,""),"")</f>
        <v/>
      </c>
      <c r="J4760" s="114" t="n"/>
      <c r="K4760" s="139">
        <f>IFERROR(IF(H4760&gt;0,H4760*$C$7,""),"")</f>
        <v/>
      </c>
      <c r="L4760" s="139">
        <f>IFERROR(IF(ISNUMBER(F4760),F4760-IF(ISNUMBER(K4760),K4760,0),""),"")</f>
        <v/>
      </c>
    </row>
    <row r="4761" ht="24" customHeight="1" s="63">
      <c r="E4761" s="139" t="n"/>
      <c r="F4761" s="139" t="n"/>
      <c r="G4761" s="140">
        <f>IFERROR(IF(E4761&gt;0,(F4761/E4761)*1000,""),"")</f>
        <v/>
      </c>
      <c r="H4761" s="139">
        <f>IFERROR(IF(E4761&gt;0,E4761*IF(ISNUMBER(J4761),J4761,IF(C4761="Futures",$C$6,$C$5)),""),"")</f>
        <v/>
      </c>
      <c r="I4761" s="139">
        <f>IFERROR(IF(AND(ISNUMBER(F4761),ISNUMBER(H4761)),F4761-H4761,""),"")</f>
        <v/>
      </c>
      <c r="J4761" s="114" t="n"/>
      <c r="K4761" s="139">
        <f>IFERROR(IF(H4761&gt;0,H4761*$C$7,""),"")</f>
        <v/>
      </c>
      <c r="L4761" s="139">
        <f>IFERROR(IF(ISNUMBER(F4761),F4761-IF(ISNUMBER(K4761),K4761,0),""),"")</f>
        <v/>
      </c>
    </row>
    <row r="4762" ht="24" customHeight="1" s="63">
      <c r="E4762" s="139" t="n"/>
      <c r="F4762" s="139" t="n"/>
      <c r="G4762" s="140">
        <f>IFERROR(IF(E4762&gt;0,(F4762/E4762)*1000,""),"")</f>
        <v/>
      </c>
      <c r="H4762" s="139">
        <f>IFERROR(IF(E4762&gt;0,E4762*IF(ISNUMBER(J4762),J4762,IF(C4762="Futures",$C$6,$C$5)),""),"")</f>
        <v/>
      </c>
      <c r="I4762" s="139">
        <f>IFERROR(IF(AND(ISNUMBER(F4762),ISNUMBER(H4762)),F4762-H4762,""),"")</f>
        <v/>
      </c>
      <c r="J4762" s="114" t="n"/>
      <c r="K4762" s="139">
        <f>IFERROR(IF(H4762&gt;0,H4762*$C$7,""),"")</f>
        <v/>
      </c>
      <c r="L4762" s="139">
        <f>IFERROR(IF(ISNUMBER(F4762),F4762-IF(ISNUMBER(K4762),K4762,0),""),"")</f>
        <v/>
      </c>
    </row>
    <row r="4763" ht="24" customHeight="1" s="63">
      <c r="E4763" s="139" t="n"/>
      <c r="F4763" s="139" t="n"/>
      <c r="G4763" s="140">
        <f>IFERROR(IF(E4763&gt;0,(F4763/E4763)*1000,""),"")</f>
        <v/>
      </c>
      <c r="H4763" s="139">
        <f>IFERROR(IF(E4763&gt;0,E4763*IF(ISNUMBER(J4763),J4763,IF(C4763="Futures",$C$6,$C$5)),""),"")</f>
        <v/>
      </c>
      <c r="I4763" s="139">
        <f>IFERROR(IF(AND(ISNUMBER(F4763),ISNUMBER(H4763)),F4763-H4763,""),"")</f>
        <v/>
      </c>
      <c r="J4763" s="114" t="n"/>
      <c r="K4763" s="139">
        <f>IFERROR(IF(H4763&gt;0,H4763*$C$7,""),"")</f>
        <v/>
      </c>
      <c r="L4763" s="139">
        <f>IFERROR(IF(ISNUMBER(F4763),F4763-IF(ISNUMBER(K4763),K4763,0),""),"")</f>
        <v/>
      </c>
    </row>
    <row r="4764" ht="24" customHeight="1" s="63">
      <c r="E4764" s="139" t="n"/>
      <c r="F4764" s="139" t="n"/>
      <c r="G4764" s="140">
        <f>IFERROR(IF(E4764&gt;0,(F4764/E4764)*1000,""),"")</f>
        <v/>
      </c>
      <c r="H4764" s="139">
        <f>IFERROR(IF(E4764&gt;0,E4764*IF(ISNUMBER(J4764),J4764,IF(C4764="Futures",$C$6,$C$5)),""),"")</f>
        <v/>
      </c>
      <c r="I4764" s="139">
        <f>IFERROR(IF(AND(ISNUMBER(F4764),ISNUMBER(H4764)),F4764-H4764,""),"")</f>
        <v/>
      </c>
      <c r="J4764" s="114" t="n"/>
      <c r="K4764" s="139">
        <f>IFERROR(IF(H4764&gt;0,H4764*$C$7,""),"")</f>
        <v/>
      </c>
      <c r="L4764" s="139">
        <f>IFERROR(IF(ISNUMBER(F4764),F4764-IF(ISNUMBER(K4764),K4764,0),""),"")</f>
        <v/>
      </c>
    </row>
    <row r="4765" ht="24" customHeight="1" s="63">
      <c r="E4765" s="139" t="n"/>
      <c r="F4765" s="139" t="n"/>
      <c r="G4765" s="140">
        <f>IFERROR(IF(E4765&gt;0,(F4765/E4765)*1000,""),"")</f>
        <v/>
      </c>
      <c r="H4765" s="139">
        <f>IFERROR(IF(E4765&gt;0,E4765*IF(ISNUMBER(J4765),J4765,IF(C4765="Futures",$C$6,$C$5)),""),"")</f>
        <v/>
      </c>
      <c r="I4765" s="139">
        <f>IFERROR(IF(AND(ISNUMBER(F4765),ISNUMBER(H4765)),F4765-H4765,""),"")</f>
        <v/>
      </c>
      <c r="J4765" s="114" t="n"/>
      <c r="K4765" s="139">
        <f>IFERROR(IF(H4765&gt;0,H4765*$C$7,""),"")</f>
        <v/>
      </c>
      <c r="L4765" s="139">
        <f>IFERROR(IF(ISNUMBER(F4765),F4765-IF(ISNUMBER(K4765),K4765,0),""),"")</f>
        <v/>
      </c>
    </row>
    <row r="4766" ht="24" customHeight="1" s="63">
      <c r="E4766" s="139" t="n"/>
      <c r="F4766" s="139" t="n"/>
      <c r="G4766" s="140">
        <f>IFERROR(IF(E4766&gt;0,(F4766/E4766)*1000,""),"")</f>
        <v/>
      </c>
      <c r="H4766" s="139">
        <f>IFERROR(IF(E4766&gt;0,E4766*IF(ISNUMBER(J4766),J4766,IF(C4766="Futures",$C$6,$C$5)),""),"")</f>
        <v/>
      </c>
      <c r="I4766" s="139">
        <f>IFERROR(IF(AND(ISNUMBER(F4766),ISNUMBER(H4766)),F4766-H4766,""),"")</f>
        <v/>
      </c>
      <c r="J4766" s="114" t="n"/>
      <c r="K4766" s="139">
        <f>IFERROR(IF(H4766&gt;0,H4766*$C$7,""),"")</f>
        <v/>
      </c>
      <c r="L4766" s="139">
        <f>IFERROR(IF(ISNUMBER(F4766),F4766-IF(ISNUMBER(K4766),K4766,0),""),"")</f>
        <v/>
      </c>
    </row>
    <row r="4767" ht="24" customHeight="1" s="63">
      <c r="E4767" s="139" t="n"/>
      <c r="F4767" s="139" t="n"/>
      <c r="G4767" s="140">
        <f>IFERROR(IF(E4767&gt;0,(F4767/E4767)*1000,""),"")</f>
        <v/>
      </c>
      <c r="H4767" s="139">
        <f>IFERROR(IF(E4767&gt;0,E4767*IF(ISNUMBER(J4767),J4767,IF(C4767="Futures",$C$6,$C$5)),""),"")</f>
        <v/>
      </c>
      <c r="I4767" s="139">
        <f>IFERROR(IF(AND(ISNUMBER(F4767),ISNUMBER(H4767)),F4767-H4767,""),"")</f>
        <v/>
      </c>
      <c r="J4767" s="114" t="n"/>
      <c r="K4767" s="139">
        <f>IFERROR(IF(H4767&gt;0,H4767*$C$7,""),"")</f>
        <v/>
      </c>
      <c r="L4767" s="139">
        <f>IFERROR(IF(ISNUMBER(F4767),F4767-IF(ISNUMBER(K4767),K4767,0),""),"")</f>
        <v/>
      </c>
    </row>
    <row r="4768" ht="24" customHeight="1" s="63">
      <c r="E4768" s="139" t="n"/>
      <c r="F4768" s="139" t="n"/>
      <c r="G4768" s="140">
        <f>IFERROR(IF(E4768&gt;0,(F4768/E4768)*1000,""),"")</f>
        <v/>
      </c>
      <c r="H4768" s="139">
        <f>IFERROR(IF(E4768&gt;0,E4768*IF(ISNUMBER(J4768),J4768,IF(C4768="Futures",$C$6,$C$5)),""),"")</f>
        <v/>
      </c>
      <c r="I4768" s="139">
        <f>IFERROR(IF(AND(ISNUMBER(F4768),ISNUMBER(H4768)),F4768-H4768,""),"")</f>
        <v/>
      </c>
      <c r="J4768" s="114" t="n"/>
      <c r="K4768" s="139">
        <f>IFERROR(IF(H4768&gt;0,H4768*$C$7,""),"")</f>
        <v/>
      </c>
      <c r="L4768" s="139">
        <f>IFERROR(IF(ISNUMBER(F4768),F4768-IF(ISNUMBER(K4768),K4768,0),""),"")</f>
        <v/>
      </c>
    </row>
    <row r="4769" ht="24" customHeight="1" s="63">
      <c r="E4769" s="139" t="n"/>
      <c r="F4769" s="139" t="n"/>
      <c r="G4769" s="140">
        <f>IFERROR(IF(E4769&gt;0,(F4769/E4769)*1000,""),"")</f>
        <v/>
      </c>
      <c r="H4769" s="139">
        <f>IFERROR(IF(E4769&gt;0,E4769*IF(ISNUMBER(J4769),J4769,IF(C4769="Futures",$C$6,$C$5)),""),"")</f>
        <v/>
      </c>
      <c r="I4769" s="139">
        <f>IFERROR(IF(AND(ISNUMBER(F4769),ISNUMBER(H4769)),F4769-H4769,""),"")</f>
        <v/>
      </c>
      <c r="J4769" s="114" t="n"/>
      <c r="K4769" s="139">
        <f>IFERROR(IF(H4769&gt;0,H4769*$C$7,""),"")</f>
        <v/>
      </c>
      <c r="L4769" s="139">
        <f>IFERROR(IF(ISNUMBER(F4769),F4769-IF(ISNUMBER(K4769),K4769,0),""),"")</f>
        <v/>
      </c>
    </row>
    <row r="4770" ht="24" customHeight="1" s="63">
      <c r="E4770" s="139" t="n"/>
      <c r="F4770" s="139" t="n"/>
      <c r="G4770" s="140">
        <f>IFERROR(IF(E4770&gt;0,(F4770/E4770)*1000,""),"")</f>
        <v/>
      </c>
      <c r="H4770" s="139">
        <f>IFERROR(IF(E4770&gt;0,E4770*IF(ISNUMBER(J4770),J4770,IF(C4770="Futures",$C$6,$C$5)),""),"")</f>
        <v/>
      </c>
      <c r="I4770" s="139">
        <f>IFERROR(IF(AND(ISNUMBER(F4770),ISNUMBER(H4770)),F4770-H4770,""),"")</f>
        <v/>
      </c>
      <c r="J4770" s="114" t="n"/>
      <c r="K4770" s="139">
        <f>IFERROR(IF(H4770&gt;0,H4770*$C$7,""),"")</f>
        <v/>
      </c>
      <c r="L4770" s="139">
        <f>IFERROR(IF(ISNUMBER(F4770),F4770-IF(ISNUMBER(K4770),K4770,0),""),"")</f>
        <v/>
      </c>
    </row>
    <row r="4771" ht="24" customHeight="1" s="63">
      <c r="E4771" s="139" t="n"/>
      <c r="F4771" s="139" t="n"/>
      <c r="G4771" s="140">
        <f>IFERROR(IF(E4771&gt;0,(F4771/E4771)*1000,""),"")</f>
        <v/>
      </c>
      <c r="H4771" s="139">
        <f>IFERROR(IF(E4771&gt;0,E4771*IF(ISNUMBER(J4771),J4771,IF(C4771="Futures",$C$6,$C$5)),""),"")</f>
        <v/>
      </c>
      <c r="I4771" s="139">
        <f>IFERROR(IF(AND(ISNUMBER(F4771),ISNUMBER(H4771)),F4771-H4771,""),"")</f>
        <v/>
      </c>
      <c r="J4771" s="114" t="n"/>
      <c r="K4771" s="139">
        <f>IFERROR(IF(H4771&gt;0,H4771*$C$7,""),"")</f>
        <v/>
      </c>
      <c r="L4771" s="139">
        <f>IFERROR(IF(ISNUMBER(F4771),F4771-IF(ISNUMBER(K4771),K4771,0),""),"")</f>
        <v/>
      </c>
    </row>
    <row r="4772" ht="24" customHeight="1" s="63">
      <c r="E4772" s="139" t="n"/>
      <c r="F4772" s="139" t="n"/>
      <c r="G4772" s="140">
        <f>IFERROR(IF(E4772&gt;0,(F4772/E4772)*1000,""),"")</f>
        <v/>
      </c>
      <c r="H4772" s="139">
        <f>IFERROR(IF(E4772&gt;0,E4772*IF(ISNUMBER(J4772),J4772,IF(C4772="Futures",$C$6,$C$5)),""),"")</f>
        <v/>
      </c>
      <c r="I4772" s="139">
        <f>IFERROR(IF(AND(ISNUMBER(F4772),ISNUMBER(H4772)),F4772-H4772,""),"")</f>
        <v/>
      </c>
      <c r="J4772" s="114" t="n"/>
      <c r="K4772" s="139">
        <f>IFERROR(IF(H4772&gt;0,H4772*$C$7,""),"")</f>
        <v/>
      </c>
      <c r="L4772" s="139">
        <f>IFERROR(IF(ISNUMBER(F4772),F4772-IF(ISNUMBER(K4772),K4772,0),""),"")</f>
        <v/>
      </c>
    </row>
    <row r="4773" ht="24" customHeight="1" s="63">
      <c r="E4773" s="139" t="n"/>
      <c r="F4773" s="139" t="n"/>
      <c r="G4773" s="140">
        <f>IFERROR(IF(E4773&gt;0,(F4773/E4773)*1000,""),"")</f>
        <v/>
      </c>
      <c r="H4773" s="139">
        <f>IFERROR(IF(E4773&gt;0,E4773*IF(ISNUMBER(J4773),J4773,IF(C4773="Futures",$C$6,$C$5)),""),"")</f>
        <v/>
      </c>
      <c r="I4773" s="139">
        <f>IFERROR(IF(AND(ISNUMBER(F4773),ISNUMBER(H4773)),F4773-H4773,""),"")</f>
        <v/>
      </c>
      <c r="J4773" s="114" t="n"/>
      <c r="K4773" s="139">
        <f>IFERROR(IF(H4773&gt;0,H4773*$C$7,""),"")</f>
        <v/>
      </c>
      <c r="L4773" s="139">
        <f>IFERROR(IF(ISNUMBER(F4773),F4773-IF(ISNUMBER(K4773),K4773,0),""),"")</f>
        <v/>
      </c>
    </row>
    <row r="4774" ht="24" customHeight="1" s="63">
      <c r="E4774" s="139" t="n"/>
      <c r="F4774" s="139" t="n"/>
      <c r="G4774" s="140">
        <f>IFERROR(IF(E4774&gt;0,(F4774/E4774)*1000,""),"")</f>
        <v/>
      </c>
      <c r="H4774" s="139">
        <f>IFERROR(IF(E4774&gt;0,E4774*IF(ISNUMBER(J4774),J4774,IF(C4774="Futures",$C$6,$C$5)),""),"")</f>
        <v/>
      </c>
      <c r="I4774" s="139">
        <f>IFERROR(IF(AND(ISNUMBER(F4774),ISNUMBER(H4774)),F4774-H4774,""),"")</f>
        <v/>
      </c>
      <c r="J4774" s="114" t="n"/>
      <c r="K4774" s="139">
        <f>IFERROR(IF(H4774&gt;0,H4774*$C$7,""),"")</f>
        <v/>
      </c>
      <c r="L4774" s="139">
        <f>IFERROR(IF(ISNUMBER(F4774),F4774-IF(ISNUMBER(K4774),K4774,0),""),"")</f>
        <v/>
      </c>
    </row>
    <row r="4775" ht="24" customHeight="1" s="63">
      <c r="E4775" s="139" t="n"/>
      <c r="F4775" s="139" t="n"/>
      <c r="G4775" s="140">
        <f>IFERROR(IF(E4775&gt;0,(F4775/E4775)*1000,""),"")</f>
        <v/>
      </c>
      <c r="H4775" s="139">
        <f>IFERROR(IF(E4775&gt;0,E4775*IF(ISNUMBER(J4775),J4775,IF(C4775="Futures",$C$6,$C$5)),""),"")</f>
        <v/>
      </c>
      <c r="I4775" s="139">
        <f>IFERROR(IF(AND(ISNUMBER(F4775),ISNUMBER(H4775)),F4775-H4775,""),"")</f>
        <v/>
      </c>
      <c r="J4775" s="114" t="n"/>
      <c r="K4775" s="139">
        <f>IFERROR(IF(H4775&gt;0,H4775*$C$7,""),"")</f>
        <v/>
      </c>
      <c r="L4775" s="139">
        <f>IFERROR(IF(ISNUMBER(F4775),F4775-IF(ISNUMBER(K4775),K4775,0),""),"")</f>
        <v/>
      </c>
    </row>
    <row r="4776" ht="24" customHeight="1" s="63">
      <c r="E4776" s="139" t="n"/>
      <c r="F4776" s="139" t="n"/>
      <c r="G4776" s="140">
        <f>IFERROR(IF(E4776&gt;0,(F4776/E4776)*1000,""),"")</f>
        <v/>
      </c>
      <c r="H4776" s="139">
        <f>IFERROR(IF(E4776&gt;0,E4776*IF(ISNUMBER(J4776),J4776,IF(C4776="Futures",$C$6,$C$5)),""),"")</f>
        <v/>
      </c>
      <c r="I4776" s="139">
        <f>IFERROR(IF(AND(ISNUMBER(F4776),ISNUMBER(H4776)),F4776-H4776,""),"")</f>
        <v/>
      </c>
      <c r="J4776" s="114" t="n"/>
      <c r="K4776" s="139">
        <f>IFERROR(IF(H4776&gt;0,H4776*$C$7,""),"")</f>
        <v/>
      </c>
      <c r="L4776" s="139">
        <f>IFERROR(IF(ISNUMBER(F4776),F4776-IF(ISNUMBER(K4776),K4776,0),""),"")</f>
        <v/>
      </c>
    </row>
    <row r="4777" ht="24" customHeight="1" s="63">
      <c r="E4777" s="139" t="n"/>
      <c r="F4777" s="139" t="n"/>
      <c r="G4777" s="140">
        <f>IFERROR(IF(E4777&gt;0,(F4777/E4777)*1000,""),"")</f>
        <v/>
      </c>
      <c r="H4777" s="139">
        <f>IFERROR(IF(E4777&gt;0,E4777*IF(ISNUMBER(J4777),J4777,IF(C4777="Futures",$C$6,$C$5)),""),"")</f>
        <v/>
      </c>
      <c r="I4777" s="139">
        <f>IFERROR(IF(AND(ISNUMBER(F4777),ISNUMBER(H4777)),F4777-H4777,""),"")</f>
        <v/>
      </c>
      <c r="J4777" s="114" t="n"/>
      <c r="K4777" s="139">
        <f>IFERROR(IF(H4777&gt;0,H4777*$C$7,""),"")</f>
        <v/>
      </c>
      <c r="L4777" s="139">
        <f>IFERROR(IF(ISNUMBER(F4777),F4777-IF(ISNUMBER(K4777),K4777,0),""),"")</f>
        <v/>
      </c>
    </row>
    <row r="4778" ht="24" customHeight="1" s="63">
      <c r="E4778" s="139" t="n"/>
      <c r="F4778" s="139" t="n"/>
      <c r="G4778" s="140">
        <f>IFERROR(IF(E4778&gt;0,(F4778/E4778)*1000,""),"")</f>
        <v/>
      </c>
      <c r="H4778" s="139">
        <f>IFERROR(IF(E4778&gt;0,E4778*IF(ISNUMBER(J4778),J4778,IF(C4778="Futures",$C$6,$C$5)),""),"")</f>
        <v/>
      </c>
      <c r="I4778" s="139">
        <f>IFERROR(IF(AND(ISNUMBER(F4778),ISNUMBER(H4778)),F4778-H4778,""),"")</f>
        <v/>
      </c>
      <c r="J4778" s="114" t="n"/>
      <c r="K4778" s="139">
        <f>IFERROR(IF(H4778&gt;0,H4778*$C$7,""),"")</f>
        <v/>
      </c>
      <c r="L4778" s="139">
        <f>IFERROR(IF(ISNUMBER(F4778),F4778-IF(ISNUMBER(K4778),K4778,0),""),"")</f>
        <v/>
      </c>
    </row>
    <row r="4779" ht="24" customHeight="1" s="63">
      <c r="E4779" s="139" t="n"/>
      <c r="F4779" s="139" t="n"/>
      <c r="G4779" s="140">
        <f>IFERROR(IF(E4779&gt;0,(F4779/E4779)*1000,""),"")</f>
        <v/>
      </c>
      <c r="H4779" s="139">
        <f>IFERROR(IF(E4779&gt;0,E4779*IF(ISNUMBER(J4779),J4779,IF(C4779="Futures",$C$6,$C$5)),""),"")</f>
        <v/>
      </c>
      <c r="I4779" s="139">
        <f>IFERROR(IF(AND(ISNUMBER(F4779),ISNUMBER(H4779)),F4779-H4779,""),"")</f>
        <v/>
      </c>
      <c r="J4779" s="114" t="n"/>
      <c r="K4779" s="139">
        <f>IFERROR(IF(H4779&gt;0,H4779*$C$7,""),"")</f>
        <v/>
      </c>
      <c r="L4779" s="139">
        <f>IFERROR(IF(ISNUMBER(F4779),F4779-IF(ISNUMBER(K4779),K4779,0),""),"")</f>
        <v/>
      </c>
    </row>
    <row r="4780" ht="24" customHeight="1" s="63">
      <c r="E4780" s="139" t="n"/>
      <c r="F4780" s="139" t="n"/>
      <c r="G4780" s="140">
        <f>IFERROR(IF(E4780&gt;0,(F4780/E4780)*1000,""),"")</f>
        <v/>
      </c>
      <c r="H4780" s="139">
        <f>IFERROR(IF(E4780&gt;0,E4780*IF(ISNUMBER(J4780),J4780,IF(C4780="Futures",$C$6,$C$5)),""),"")</f>
        <v/>
      </c>
      <c r="I4780" s="139">
        <f>IFERROR(IF(AND(ISNUMBER(F4780),ISNUMBER(H4780)),F4780-H4780,""),"")</f>
        <v/>
      </c>
      <c r="J4780" s="114" t="n"/>
      <c r="K4780" s="139">
        <f>IFERROR(IF(H4780&gt;0,H4780*$C$7,""),"")</f>
        <v/>
      </c>
      <c r="L4780" s="139">
        <f>IFERROR(IF(ISNUMBER(F4780),F4780-IF(ISNUMBER(K4780),K4780,0),""),"")</f>
        <v/>
      </c>
    </row>
    <row r="4781" ht="24" customHeight="1" s="63">
      <c r="E4781" s="139" t="n"/>
      <c r="F4781" s="139" t="n"/>
      <c r="G4781" s="140">
        <f>IFERROR(IF(E4781&gt;0,(F4781/E4781)*1000,""),"")</f>
        <v/>
      </c>
      <c r="H4781" s="139">
        <f>IFERROR(IF(E4781&gt;0,E4781*IF(ISNUMBER(J4781),J4781,IF(C4781="Futures",$C$6,$C$5)),""),"")</f>
        <v/>
      </c>
      <c r="I4781" s="139">
        <f>IFERROR(IF(AND(ISNUMBER(F4781),ISNUMBER(H4781)),F4781-H4781,""),"")</f>
        <v/>
      </c>
      <c r="J4781" s="114" t="n"/>
      <c r="K4781" s="139">
        <f>IFERROR(IF(H4781&gt;0,H4781*$C$7,""),"")</f>
        <v/>
      </c>
      <c r="L4781" s="139">
        <f>IFERROR(IF(ISNUMBER(F4781),F4781-IF(ISNUMBER(K4781),K4781,0),""),"")</f>
        <v/>
      </c>
    </row>
    <row r="4782" ht="24" customHeight="1" s="63">
      <c r="E4782" s="139" t="n"/>
      <c r="F4782" s="139" t="n"/>
      <c r="G4782" s="140">
        <f>IFERROR(IF(E4782&gt;0,(F4782/E4782)*1000,""),"")</f>
        <v/>
      </c>
      <c r="H4782" s="139">
        <f>IFERROR(IF(E4782&gt;0,E4782*IF(ISNUMBER(J4782),J4782,IF(C4782="Futures",$C$6,$C$5)),""),"")</f>
        <v/>
      </c>
      <c r="I4782" s="139">
        <f>IFERROR(IF(AND(ISNUMBER(F4782),ISNUMBER(H4782)),F4782-H4782,""),"")</f>
        <v/>
      </c>
      <c r="J4782" s="114" t="n"/>
      <c r="K4782" s="139">
        <f>IFERROR(IF(H4782&gt;0,H4782*$C$7,""),"")</f>
        <v/>
      </c>
      <c r="L4782" s="139">
        <f>IFERROR(IF(ISNUMBER(F4782),F4782-IF(ISNUMBER(K4782),K4782,0),""),"")</f>
        <v/>
      </c>
    </row>
    <row r="4783" ht="24" customHeight="1" s="63">
      <c r="E4783" s="139" t="n"/>
      <c r="F4783" s="139" t="n"/>
      <c r="G4783" s="140">
        <f>IFERROR(IF(E4783&gt;0,(F4783/E4783)*1000,""),"")</f>
        <v/>
      </c>
      <c r="H4783" s="139">
        <f>IFERROR(IF(E4783&gt;0,E4783*IF(ISNUMBER(J4783),J4783,IF(C4783="Futures",$C$6,$C$5)),""),"")</f>
        <v/>
      </c>
      <c r="I4783" s="139">
        <f>IFERROR(IF(AND(ISNUMBER(F4783),ISNUMBER(H4783)),F4783-H4783,""),"")</f>
        <v/>
      </c>
      <c r="J4783" s="114" t="n"/>
      <c r="K4783" s="139">
        <f>IFERROR(IF(H4783&gt;0,H4783*$C$7,""),"")</f>
        <v/>
      </c>
      <c r="L4783" s="139">
        <f>IFERROR(IF(ISNUMBER(F4783),F4783-IF(ISNUMBER(K4783),K4783,0),""),"")</f>
        <v/>
      </c>
    </row>
    <row r="4784" ht="24" customHeight="1" s="63">
      <c r="E4784" s="139" t="n"/>
      <c r="F4784" s="139" t="n"/>
      <c r="G4784" s="140">
        <f>IFERROR(IF(E4784&gt;0,(F4784/E4784)*1000,""),"")</f>
        <v/>
      </c>
      <c r="H4784" s="139">
        <f>IFERROR(IF(E4784&gt;0,E4784*IF(ISNUMBER(J4784),J4784,IF(C4784="Futures",$C$6,$C$5)),""),"")</f>
        <v/>
      </c>
      <c r="I4784" s="139">
        <f>IFERROR(IF(AND(ISNUMBER(F4784),ISNUMBER(H4784)),F4784-H4784,""),"")</f>
        <v/>
      </c>
      <c r="J4784" s="114" t="n"/>
      <c r="K4784" s="139">
        <f>IFERROR(IF(H4784&gt;0,H4784*$C$7,""),"")</f>
        <v/>
      </c>
      <c r="L4784" s="139">
        <f>IFERROR(IF(ISNUMBER(F4784),F4784-IF(ISNUMBER(K4784),K4784,0),""),"")</f>
        <v/>
      </c>
    </row>
    <row r="4785" ht="24" customHeight="1" s="63">
      <c r="E4785" s="139" t="n"/>
      <c r="F4785" s="139" t="n"/>
      <c r="G4785" s="140">
        <f>IFERROR(IF(E4785&gt;0,(F4785/E4785)*1000,""),"")</f>
        <v/>
      </c>
      <c r="H4785" s="139">
        <f>IFERROR(IF(E4785&gt;0,E4785*IF(ISNUMBER(J4785),J4785,IF(C4785="Futures",$C$6,$C$5)),""),"")</f>
        <v/>
      </c>
      <c r="I4785" s="139">
        <f>IFERROR(IF(AND(ISNUMBER(F4785),ISNUMBER(H4785)),F4785-H4785,""),"")</f>
        <v/>
      </c>
      <c r="J4785" s="114" t="n"/>
      <c r="K4785" s="139">
        <f>IFERROR(IF(H4785&gt;0,H4785*$C$7,""),"")</f>
        <v/>
      </c>
      <c r="L4785" s="139">
        <f>IFERROR(IF(ISNUMBER(F4785),F4785-IF(ISNUMBER(K4785),K4785,0),""),"")</f>
        <v/>
      </c>
    </row>
    <row r="4786" ht="24" customHeight="1" s="63">
      <c r="E4786" s="139" t="n"/>
      <c r="F4786" s="139" t="n"/>
      <c r="G4786" s="140">
        <f>IFERROR(IF(E4786&gt;0,(F4786/E4786)*1000,""),"")</f>
        <v/>
      </c>
      <c r="H4786" s="139">
        <f>IFERROR(IF(E4786&gt;0,E4786*IF(ISNUMBER(J4786),J4786,IF(C4786="Futures",$C$6,$C$5)),""),"")</f>
        <v/>
      </c>
      <c r="I4786" s="139">
        <f>IFERROR(IF(AND(ISNUMBER(F4786),ISNUMBER(H4786)),F4786-H4786,""),"")</f>
        <v/>
      </c>
      <c r="J4786" s="114" t="n"/>
      <c r="K4786" s="139">
        <f>IFERROR(IF(H4786&gt;0,H4786*$C$7,""),"")</f>
        <v/>
      </c>
      <c r="L4786" s="139">
        <f>IFERROR(IF(ISNUMBER(F4786),F4786-IF(ISNUMBER(K4786),K4786,0),""),"")</f>
        <v/>
      </c>
    </row>
    <row r="4787" ht="24" customHeight="1" s="63">
      <c r="E4787" s="139" t="n"/>
      <c r="F4787" s="139" t="n"/>
      <c r="G4787" s="140">
        <f>IFERROR(IF(E4787&gt;0,(F4787/E4787)*1000,""),"")</f>
        <v/>
      </c>
      <c r="H4787" s="139">
        <f>IFERROR(IF(E4787&gt;0,E4787*IF(ISNUMBER(J4787),J4787,IF(C4787="Futures",$C$6,$C$5)),""),"")</f>
        <v/>
      </c>
      <c r="I4787" s="139">
        <f>IFERROR(IF(AND(ISNUMBER(F4787),ISNUMBER(H4787)),F4787-H4787,""),"")</f>
        <v/>
      </c>
      <c r="J4787" s="114" t="n"/>
      <c r="K4787" s="139">
        <f>IFERROR(IF(H4787&gt;0,H4787*$C$7,""),"")</f>
        <v/>
      </c>
      <c r="L4787" s="139">
        <f>IFERROR(IF(ISNUMBER(F4787),F4787-IF(ISNUMBER(K4787),K4787,0),""),"")</f>
        <v/>
      </c>
    </row>
    <row r="4788" ht="24" customHeight="1" s="63">
      <c r="E4788" s="139" t="n"/>
      <c r="F4788" s="139" t="n"/>
      <c r="G4788" s="140">
        <f>IFERROR(IF(E4788&gt;0,(F4788/E4788)*1000,""),"")</f>
        <v/>
      </c>
      <c r="H4788" s="139">
        <f>IFERROR(IF(E4788&gt;0,E4788*IF(ISNUMBER(J4788),J4788,IF(C4788="Futures",$C$6,$C$5)),""),"")</f>
        <v/>
      </c>
      <c r="I4788" s="139">
        <f>IFERROR(IF(AND(ISNUMBER(F4788),ISNUMBER(H4788)),F4788-H4788,""),"")</f>
        <v/>
      </c>
      <c r="J4788" s="114" t="n"/>
      <c r="K4788" s="139">
        <f>IFERROR(IF(H4788&gt;0,H4788*$C$7,""),"")</f>
        <v/>
      </c>
      <c r="L4788" s="139">
        <f>IFERROR(IF(ISNUMBER(F4788),F4788-IF(ISNUMBER(K4788),K4788,0),""),"")</f>
        <v/>
      </c>
    </row>
    <row r="4789" ht="24" customHeight="1" s="63">
      <c r="E4789" s="139" t="n"/>
      <c r="F4789" s="139" t="n"/>
      <c r="G4789" s="140">
        <f>IFERROR(IF(E4789&gt;0,(F4789/E4789)*1000,""),"")</f>
        <v/>
      </c>
      <c r="H4789" s="139">
        <f>IFERROR(IF(E4789&gt;0,E4789*IF(ISNUMBER(J4789),J4789,IF(C4789="Futures",$C$6,$C$5)),""),"")</f>
        <v/>
      </c>
      <c r="I4789" s="139">
        <f>IFERROR(IF(AND(ISNUMBER(F4789),ISNUMBER(H4789)),F4789-H4789,""),"")</f>
        <v/>
      </c>
      <c r="J4789" s="114" t="n"/>
      <c r="K4789" s="139">
        <f>IFERROR(IF(H4789&gt;0,H4789*$C$7,""),"")</f>
        <v/>
      </c>
      <c r="L4789" s="139">
        <f>IFERROR(IF(ISNUMBER(F4789),F4789-IF(ISNUMBER(K4789),K4789,0),""),"")</f>
        <v/>
      </c>
    </row>
    <row r="4790" ht="24" customHeight="1" s="63">
      <c r="E4790" s="139" t="n"/>
      <c r="F4790" s="139" t="n"/>
      <c r="G4790" s="140">
        <f>IFERROR(IF(E4790&gt;0,(F4790/E4790)*1000,""),"")</f>
        <v/>
      </c>
      <c r="H4790" s="139">
        <f>IFERROR(IF(E4790&gt;0,E4790*IF(ISNUMBER(J4790),J4790,IF(C4790="Futures",$C$6,$C$5)),""),"")</f>
        <v/>
      </c>
      <c r="I4790" s="139">
        <f>IFERROR(IF(AND(ISNUMBER(F4790),ISNUMBER(H4790)),F4790-H4790,""),"")</f>
        <v/>
      </c>
      <c r="J4790" s="114" t="n"/>
      <c r="K4790" s="139">
        <f>IFERROR(IF(H4790&gt;0,H4790*$C$7,""),"")</f>
        <v/>
      </c>
      <c r="L4790" s="139">
        <f>IFERROR(IF(ISNUMBER(F4790),F4790-IF(ISNUMBER(K4790),K4790,0),""),"")</f>
        <v/>
      </c>
    </row>
    <row r="4791" ht="24" customHeight="1" s="63">
      <c r="E4791" s="139" t="n"/>
      <c r="F4791" s="139" t="n"/>
      <c r="G4791" s="140">
        <f>IFERROR(IF(E4791&gt;0,(F4791/E4791)*1000,""),"")</f>
        <v/>
      </c>
      <c r="H4791" s="139">
        <f>IFERROR(IF(E4791&gt;0,E4791*IF(ISNUMBER(J4791),J4791,IF(C4791="Futures",$C$6,$C$5)),""),"")</f>
        <v/>
      </c>
      <c r="I4791" s="139">
        <f>IFERROR(IF(AND(ISNUMBER(F4791),ISNUMBER(H4791)),F4791-H4791,""),"")</f>
        <v/>
      </c>
      <c r="J4791" s="114" t="n"/>
      <c r="K4791" s="139">
        <f>IFERROR(IF(H4791&gt;0,H4791*$C$7,""),"")</f>
        <v/>
      </c>
      <c r="L4791" s="139">
        <f>IFERROR(IF(ISNUMBER(F4791),F4791-IF(ISNUMBER(K4791),K4791,0),""),"")</f>
        <v/>
      </c>
    </row>
    <row r="4792" ht="24" customHeight="1" s="63">
      <c r="E4792" s="139" t="n"/>
      <c r="F4792" s="139" t="n"/>
      <c r="G4792" s="140">
        <f>IFERROR(IF(E4792&gt;0,(F4792/E4792)*1000,""),"")</f>
        <v/>
      </c>
      <c r="H4792" s="139">
        <f>IFERROR(IF(E4792&gt;0,E4792*IF(ISNUMBER(J4792),J4792,IF(C4792="Futures",$C$6,$C$5)),""),"")</f>
        <v/>
      </c>
      <c r="I4792" s="139">
        <f>IFERROR(IF(AND(ISNUMBER(F4792),ISNUMBER(H4792)),F4792-H4792,""),"")</f>
        <v/>
      </c>
      <c r="J4792" s="114" t="n"/>
      <c r="K4792" s="139">
        <f>IFERROR(IF(H4792&gt;0,H4792*$C$7,""),"")</f>
        <v/>
      </c>
      <c r="L4792" s="139">
        <f>IFERROR(IF(ISNUMBER(F4792),F4792-IF(ISNUMBER(K4792),K4792,0),""),"")</f>
        <v/>
      </c>
    </row>
    <row r="4793" ht="24" customHeight="1" s="63">
      <c r="E4793" s="139" t="n"/>
      <c r="F4793" s="139" t="n"/>
      <c r="G4793" s="140">
        <f>IFERROR(IF(E4793&gt;0,(F4793/E4793)*1000,""),"")</f>
        <v/>
      </c>
      <c r="H4793" s="139">
        <f>IFERROR(IF(E4793&gt;0,E4793*IF(ISNUMBER(J4793),J4793,IF(C4793="Futures",$C$6,$C$5)),""),"")</f>
        <v/>
      </c>
      <c r="I4793" s="139">
        <f>IFERROR(IF(AND(ISNUMBER(F4793),ISNUMBER(H4793)),F4793-H4793,""),"")</f>
        <v/>
      </c>
      <c r="J4793" s="114" t="n"/>
      <c r="K4793" s="139">
        <f>IFERROR(IF(H4793&gt;0,H4793*$C$7,""),"")</f>
        <v/>
      </c>
      <c r="L4793" s="139">
        <f>IFERROR(IF(ISNUMBER(F4793),F4793-IF(ISNUMBER(K4793),K4793,0),""),"")</f>
        <v/>
      </c>
    </row>
    <row r="4794" ht="24" customHeight="1" s="63">
      <c r="E4794" s="139" t="n"/>
      <c r="F4794" s="139" t="n"/>
      <c r="G4794" s="140">
        <f>IFERROR(IF(E4794&gt;0,(F4794/E4794)*1000,""),"")</f>
        <v/>
      </c>
      <c r="H4794" s="139">
        <f>IFERROR(IF(E4794&gt;0,E4794*IF(ISNUMBER(J4794),J4794,IF(C4794="Futures",$C$6,$C$5)),""),"")</f>
        <v/>
      </c>
      <c r="I4794" s="139">
        <f>IFERROR(IF(AND(ISNUMBER(F4794),ISNUMBER(H4794)),F4794-H4794,""),"")</f>
        <v/>
      </c>
      <c r="J4794" s="114" t="n"/>
      <c r="K4794" s="139">
        <f>IFERROR(IF(H4794&gt;0,H4794*$C$7,""),"")</f>
        <v/>
      </c>
      <c r="L4794" s="139">
        <f>IFERROR(IF(ISNUMBER(F4794),F4794-IF(ISNUMBER(K4794),K4794,0),""),"")</f>
        <v/>
      </c>
    </row>
    <row r="4795" ht="24" customHeight="1" s="63">
      <c r="E4795" s="139" t="n"/>
      <c r="F4795" s="139" t="n"/>
      <c r="G4795" s="140">
        <f>IFERROR(IF(E4795&gt;0,(F4795/E4795)*1000,""),"")</f>
        <v/>
      </c>
      <c r="H4795" s="139">
        <f>IFERROR(IF(E4795&gt;0,E4795*IF(ISNUMBER(J4795),J4795,IF(C4795="Futures",$C$6,$C$5)),""),"")</f>
        <v/>
      </c>
      <c r="I4795" s="139">
        <f>IFERROR(IF(AND(ISNUMBER(F4795),ISNUMBER(H4795)),F4795-H4795,""),"")</f>
        <v/>
      </c>
      <c r="J4795" s="114" t="n"/>
      <c r="K4795" s="139">
        <f>IFERROR(IF(H4795&gt;0,H4795*$C$7,""),"")</f>
        <v/>
      </c>
      <c r="L4795" s="139">
        <f>IFERROR(IF(ISNUMBER(F4795),F4795-IF(ISNUMBER(K4795),K4795,0),""),"")</f>
        <v/>
      </c>
    </row>
    <row r="4796" ht="24" customHeight="1" s="63">
      <c r="E4796" s="139" t="n"/>
      <c r="F4796" s="139" t="n"/>
      <c r="G4796" s="140">
        <f>IFERROR(IF(E4796&gt;0,(F4796/E4796)*1000,""),"")</f>
        <v/>
      </c>
      <c r="H4796" s="139">
        <f>IFERROR(IF(E4796&gt;0,E4796*IF(ISNUMBER(J4796),J4796,IF(C4796="Futures",$C$6,$C$5)),""),"")</f>
        <v/>
      </c>
      <c r="I4796" s="139">
        <f>IFERROR(IF(AND(ISNUMBER(F4796),ISNUMBER(H4796)),F4796-H4796,""),"")</f>
        <v/>
      </c>
      <c r="J4796" s="114" t="n"/>
      <c r="K4796" s="139">
        <f>IFERROR(IF(H4796&gt;0,H4796*$C$7,""),"")</f>
        <v/>
      </c>
      <c r="L4796" s="139">
        <f>IFERROR(IF(ISNUMBER(F4796),F4796-IF(ISNUMBER(K4796),K4796,0),""),"")</f>
        <v/>
      </c>
    </row>
    <row r="4797" ht="24" customHeight="1" s="63">
      <c r="E4797" s="139" t="n"/>
      <c r="F4797" s="139" t="n"/>
      <c r="G4797" s="140">
        <f>IFERROR(IF(E4797&gt;0,(F4797/E4797)*1000,""),"")</f>
        <v/>
      </c>
      <c r="H4797" s="139">
        <f>IFERROR(IF(E4797&gt;0,E4797*IF(ISNUMBER(J4797),J4797,IF(C4797="Futures",$C$6,$C$5)),""),"")</f>
        <v/>
      </c>
      <c r="I4797" s="139">
        <f>IFERROR(IF(AND(ISNUMBER(F4797),ISNUMBER(H4797)),F4797-H4797,""),"")</f>
        <v/>
      </c>
      <c r="J4797" s="114" t="n"/>
      <c r="K4797" s="139">
        <f>IFERROR(IF(H4797&gt;0,H4797*$C$7,""),"")</f>
        <v/>
      </c>
      <c r="L4797" s="139">
        <f>IFERROR(IF(ISNUMBER(F4797),F4797-IF(ISNUMBER(K4797),K4797,0),""),"")</f>
        <v/>
      </c>
    </row>
    <row r="4798" ht="24" customHeight="1" s="63">
      <c r="E4798" s="139" t="n"/>
      <c r="F4798" s="139" t="n"/>
      <c r="G4798" s="140">
        <f>IFERROR(IF(E4798&gt;0,(F4798/E4798)*1000,""),"")</f>
        <v/>
      </c>
      <c r="H4798" s="139">
        <f>IFERROR(IF(E4798&gt;0,E4798*IF(ISNUMBER(J4798),J4798,IF(C4798="Futures",$C$6,$C$5)),""),"")</f>
        <v/>
      </c>
      <c r="I4798" s="139">
        <f>IFERROR(IF(AND(ISNUMBER(F4798),ISNUMBER(H4798)),F4798-H4798,""),"")</f>
        <v/>
      </c>
      <c r="J4798" s="114" t="n"/>
      <c r="K4798" s="139">
        <f>IFERROR(IF(H4798&gt;0,H4798*$C$7,""),"")</f>
        <v/>
      </c>
      <c r="L4798" s="139">
        <f>IFERROR(IF(ISNUMBER(F4798),F4798-IF(ISNUMBER(K4798),K4798,0),""),"")</f>
        <v/>
      </c>
    </row>
    <row r="4799" ht="24" customHeight="1" s="63">
      <c r="E4799" s="139" t="n"/>
      <c r="F4799" s="139" t="n"/>
      <c r="G4799" s="140">
        <f>IFERROR(IF(E4799&gt;0,(F4799/E4799)*1000,""),"")</f>
        <v/>
      </c>
      <c r="H4799" s="139">
        <f>IFERROR(IF(E4799&gt;0,E4799*IF(ISNUMBER(J4799),J4799,IF(C4799="Futures",$C$6,$C$5)),""),"")</f>
        <v/>
      </c>
      <c r="I4799" s="139">
        <f>IFERROR(IF(AND(ISNUMBER(F4799),ISNUMBER(H4799)),F4799-H4799,""),"")</f>
        <v/>
      </c>
      <c r="J4799" s="114" t="n"/>
      <c r="K4799" s="139">
        <f>IFERROR(IF(H4799&gt;0,H4799*$C$7,""),"")</f>
        <v/>
      </c>
      <c r="L4799" s="139">
        <f>IFERROR(IF(ISNUMBER(F4799),F4799-IF(ISNUMBER(K4799),K4799,0),""),"")</f>
        <v/>
      </c>
    </row>
    <row r="4800" ht="24" customHeight="1" s="63">
      <c r="E4800" s="139" t="n"/>
      <c r="F4800" s="139" t="n"/>
      <c r="G4800" s="140">
        <f>IFERROR(IF(E4800&gt;0,(F4800/E4800)*1000,""),"")</f>
        <v/>
      </c>
      <c r="H4800" s="139">
        <f>IFERROR(IF(E4800&gt;0,E4800*IF(ISNUMBER(J4800),J4800,IF(C4800="Futures",$C$6,$C$5)),""),"")</f>
        <v/>
      </c>
      <c r="I4800" s="139">
        <f>IFERROR(IF(AND(ISNUMBER(F4800),ISNUMBER(H4800)),F4800-H4800,""),"")</f>
        <v/>
      </c>
      <c r="J4800" s="114" t="n"/>
      <c r="K4800" s="139">
        <f>IFERROR(IF(H4800&gt;0,H4800*$C$7,""),"")</f>
        <v/>
      </c>
      <c r="L4800" s="139">
        <f>IFERROR(IF(ISNUMBER(F4800),F4800-IF(ISNUMBER(K4800),K4800,0),""),"")</f>
        <v/>
      </c>
    </row>
    <row r="4801" ht="24" customHeight="1" s="63">
      <c r="E4801" s="139" t="n"/>
      <c r="F4801" s="139" t="n"/>
      <c r="G4801" s="140">
        <f>IFERROR(IF(E4801&gt;0,(F4801/E4801)*1000,""),"")</f>
        <v/>
      </c>
      <c r="H4801" s="139">
        <f>IFERROR(IF(E4801&gt;0,E4801*IF(ISNUMBER(J4801),J4801,IF(C4801="Futures",$C$6,$C$5)),""),"")</f>
        <v/>
      </c>
      <c r="I4801" s="139">
        <f>IFERROR(IF(AND(ISNUMBER(F4801),ISNUMBER(H4801)),F4801-H4801,""),"")</f>
        <v/>
      </c>
      <c r="J4801" s="114" t="n"/>
      <c r="K4801" s="139">
        <f>IFERROR(IF(H4801&gt;0,H4801*$C$7,""),"")</f>
        <v/>
      </c>
      <c r="L4801" s="139">
        <f>IFERROR(IF(ISNUMBER(F4801),F4801-IF(ISNUMBER(K4801),K4801,0),""),"")</f>
        <v/>
      </c>
    </row>
    <row r="4802" ht="24" customHeight="1" s="63">
      <c r="E4802" s="139" t="n"/>
      <c r="F4802" s="139" t="n"/>
      <c r="G4802" s="140">
        <f>IFERROR(IF(E4802&gt;0,(F4802/E4802)*1000,""),"")</f>
        <v/>
      </c>
      <c r="H4802" s="139">
        <f>IFERROR(IF(E4802&gt;0,E4802*IF(ISNUMBER(J4802),J4802,IF(C4802="Futures",$C$6,$C$5)),""),"")</f>
        <v/>
      </c>
      <c r="I4802" s="139">
        <f>IFERROR(IF(AND(ISNUMBER(F4802),ISNUMBER(H4802)),F4802-H4802,""),"")</f>
        <v/>
      </c>
      <c r="J4802" s="114" t="n"/>
      <c r="K4802" s="139">
        <f>IFERROR(IF(H4802&gt;0,H4802*$C$7,""),"")</f>
        <v/>
      </c>
      <c r="L4802" s="139">
        <f>IFERROR(IF(ISNUMBER(F4802),F4802-IF(ISNUMBER(K4802),K4802,0),""),"")</f>
        <v/>
      </c>
    </row>
    <row r="4803" ht="24" customHeight="1" s="63">
      <c r="E4803" s="139" t="n"/>
      <c r="F4803" s="139" t="n"/>
      <c r="G4803" s="140">
        <f>IFERROR(IF(E4803&gt;0,(F4803/E4803)*1000,""),"")</f>
        <v/>
      </c>
      <c r="H4803" s="139">
        <f>IFERROR(IF(E4803&gt;0,E4803*IF(ISNUMBER(J4803),J4803,IF(C4803="Futures",$C$6,$C$5)),""),"")</f>
        <v/>
      </c>
      <c r="I4803" s="139">
        <f>IFERROR(IF(AND(ISNUMBER(F4803),ISNUMBER(H4803)),F4803-H4803,""),"")</f>
        <v/>
      </c>
      <c r="J4803" s="114" t="n"/>
      <c r="K4803" s="139">
        <f>IFERROR(IF(H4803&gt;0,H4803*$C$7,""),"")</f>
        <v/>
      </c>
      <c r="L4803" s="139">
        <f>IFERROR(IF(ISNUMBER(F4803),F4803-IF(ISNUMBER(K4803),K4803,0),""),"")</f>
        <v/>
      </c>
    </row>
    <row r="4804" ht="24" customHeight="1" s="63">
      <c r="E4804" s="139" t="n"/>
      <c r="F4804" s="139" t="n"/>
      <c r="G4804" s="140">
        <f>IFERROR(IF(E4804&gt;0,(F4804/E4804)*1000,""),"")</f>
        <v/>
      </c>
      <c r="H4804" s="139">
        <f>IFERROR(IF(E4804&gt;0,E4804*IF(ISNUMBER(J4804),J4804,IF(C4804="Futures",$C$6,$C$5)),""),"")</f>
        <v/>
      </c>
      <c r="I4804" s="139">
        <f>IFERROR(IF(AND(ISNUMBER(F4804),ISNUMBER(H4804)),F4804-H4804,""),"")</f>
        <v/>
      </c>
      <c r="J4804" s="114" t="n"/>
      <c r="K4804" s="139">
        <f>IFERROR(IF(H4804&gt;0,H4804*$C$7,""),"")</f>
        <v/>
      </c>
      <c r="L4804" s="139">
        <f>IFERROR(IF(ISNUMBER(F4804),F4804-IF(ISNUMBER(K4804),K4804,0),""),"")</f>
        <v/>
      </c>
    </row>
    <row r="4805" ht="24" customHeight="1" s="63">
      <c r="E4805" s="139" t="n"/>
      <c r="F4805" s="139" t="n"/>
      <c r="G4805" s="140">
        <f>IFERROR(IF(E4805&gt;0,(F4805/E4805)*1000,""),"")</f>
        <v/>
      </c>
      <c r="H4805" s="139">
        <f>IFERROR(IF(E4805&gt;0,E4805*IF(ISNUMBER(J4805),J4805,IF(C4805="Futures",$C$6,$C$5)),""),"")</f>
        <v/>
      </c>
      <c r="I4805" s="139">
        <f>IFERROR(IF(AND(ISNUMBER(F4805),ISNUMBER(H4805)),F4805-H4805,""),"")</f>
        <v/>
      </c>
      <c r="J4805" s="114" t="n"/>
      <c r="K4805" s="139">
        <f>IFERROR(IF(H4805&gt;0,H4805*$C$7,""),"")</f>
        <v/>
      </c>
      <c r="L4805" s="139">
        <f>IFERROR(IF(ISNUMBER(F4805),F4805-IF(ISNUMBER(K4805),K4805,0),""),"")</f>
        <v/>
      </c>
    </row>
    <row r="4806" ht="24" customHeight="1" s="63">
      <c r="E4806" s="139" t="n"/>
      <c r="F4806" s="139" t="n"/>
      <c r="G4806" s="140">
        <f>IFERROR(IF(E4806&gt;0,(F4806/E4806)*1000,""),"")</f>
        <v/>
      </c>
      <c r="H4806" s="139">
        <f>IFERROR(IF(E4806&gt;0,E4806*IF(ISNUMBER(J4806),J4806,IF(C4806="Futures",$C$6,$C$5)),""),"")</f>
        <v/>
      </c>
      <c r="I4806" s="139">
        <f>IFERROR(IF(AND(ISNUMBER(F4806),ISNUMBER(H4806)),F4806-H4806,""),"")</f>
        <v/>
      </c>
      <c r="J4806" s="114" t="n"/>
      <c r="K4806" s="139">
        <f>IFERROR(IF(H4806&gt;0,H4806*$C$7,""),"")</f>
        <v/>
      </c>
      <c r="L4806" s="139">
        <f>IFERROR(IF(ISNUMBER(F4806),F4806-IF(ISNUMBER(K4806),K4806,0),""),"")</f>
        <v/>
      </c>
    </row>
    <row r="4807" ht="24" customHeight="1" s="63">
      <c r="E4807" s="139" t="n"/>
      <c r="F4807" s="139" t="n"/>
      <c r="G4807" s="140">
        <f>IFERROR(IF(E4807&gt;0,(F4807/E4807)*1000,""),"")</f>
        <v/>
      </c>
      <c r="H4807" s="139">
        <f>IFERROR(IF(E4807&gt;0,E4807*IF(ISNUMBER(J4807),J4807,IF(C4807="Futures",$C$6,$C$5)),""),"")</f>
        <v/>
      </c>
      <c r="I4807" s="139">
        <f>IFERROR(IF(AND(ISNUMBER(F4807),ISNUMBER(H4807)),F4807-H4807,""),"")</f>
        <v/>
      </c>
      <c r="J4807" s="114" t="n"/>
      <c r="K4807" s="139">
        <f>IFERROR(IF(H4807&gt;0,H4807*$C$7,""),"")</f>
        <v/>
      </c>
      <c r="L4807" s="139">
        <f>IFERROR(IF(ISNUMBER(F4807),F4807-IF(ISNUMBER(K4807),K4807,0),""),"")</f>
        <v/>
      </c>
    </row>
    <row r="4808" ht="24" customHeight="1" s="63">
      <c r="E4808" s="139" t="n"/>
      <c r="F4808" s="139" t="n"/>
      <c r="G4808" s="140">
        <f>IFERROR(IF(E4808&gt;0,(F4808/E4808)*1000,""),"")</f>
        <v/>
      </c>
      <c r="H4808" s="139">
        <f>IFERROR(IF(E4808&gt;0,E4808*IF(ISNUMBER(J4808),J4808,IF(C4808="Futures",$C$6,$C$5)),""),"")</f>
        <v/>
      </c>
      <c r="I4808" s="139">
        <f>IFERROR(IF(AND(ISNUMBER(F4808),ISNUMBER(H4808)),F4808-H4808,""),"")</f>
        <v/>
      </c>
      <c r="J4808" s="114" t="n"/>
      <c r="K4808" s="139">
        <f>IFERROR(IF(H4808&gt;0,H4808*$C$7,""),"")</f>
        <v/>
      </c>
      <c r="L4808" s="139">
        <f>IFERROR(IF(ISNUMBER(F4808),F4808-IF(ISNUMBER(K4808),K4808,0),""),"")</f>
        <v/>
      </c>
    </row>
    <row r="4809" ht="24" customHeight="1" s="63">
      <c r="E4809" s="139" t="n"/>
      <c r="F4809" s="139" t="n"/>
      <c r="G4809" s="140">
        <f>IFERROR(IF(E4809&gt;0,(F4809/E4809)*1000,""),"")</f>
        <v/>
      </c>
      <c r="H4809" s="139">
        <f>IFERROR(IF(E4809&gt;0,E4809*IF(ISNUMBER(J4809),J4809,IF(C4809="Futures",$C$6,$C$5)),""),"")</f>
        <v/>
      </c>
      <c r="I4809" s="139">
        <f>IFERROR(IF(AND(ISNUMBER(F4809),ISNUMBER(H4809)),F4809-H4809,""),"")</f>
        <v/>
      </c>
      <c r="J4809" s="114" t="n"/>
      <c r="K4809" s="139">
        <f>IFERROR(IF(H4809&gt;0,H4809*$C$7,""),"")</f>
        <v/>
      </c>
      <c r="L4809" s="139">
        <f>IFERROR(IF(ISNUMBER(F4809),F4809-IF(ISNUMBER(K4809),K4809,0),""),"")</f>
        <v/>
      </c>
    </row>
    <row r="4810" ht="24" customHeight="1" s="63">
      <c r="E4810" s="139" t="n"/>
      <c r="F4810" s="139" t="n"/>
      <c r="G4810" s="140">
        <f>IFERROR(IF(E4810&gt;0,(F4810/E4810)*1000,""),"")</f>
        <v/>
      </c>
      <c r="H4810" s="139">
        <f>IFERROR(IF(E4810&gt;0,E4810*IF(ISNUMBER(J4810),J4810,IF(C4810="Futures",$C$6,$C$5)),""),"")</f>
        <v/>
      </c>
      <c r="I4810" s="139">
        <f>IFERROR(IF(AND(ISNUMBER(F4810),ISNUMBER(H4810)),F4810-H4810,""),"")</f>
        <v/>
      </c>
      <c r="J4810" s="114" t="n"/>
      <c r="K4810" s="139">
        <f>IFERROR(IF(H4810&gt;0,H4810*$C$7,""),"")</f>
        <v/>
      </c>
      <c r="L4810" s="139">
        <f>IFERROR(IF(ISNUMBER(F4810),F4810-IF(ISNUMBER(K4810),K4810,0),""),"")</f>
        <v/>
      </c>
    </row>
    <row r="4811" ht="24" customHeight="1" s="63">
      <c r="E4811" s="139" t="n"/>
      <c r="F4811" s="139" t="n"/>
      <c r="G4811" s="140">
        <f>IFERROR(IF(E4811&gt;0,(F4811/E4811)*1000,""),"")</f>
        <v/>
      </c>
      <c r="H4811" s="139">
        <f>IFERROR(IF(E4811&gt;0,E4811*IF(ISNUMBER(J4811),J4811,IF(C4811="Futures",$C$6,$C$5)),""),"")</f>
        <v/>
      </c>
      <c r="I4811" s="139">
        <f>IFERROR(IF(AND(ISNUMBER(F4811),ISNUMBER(H4811)),F4811-H4811,""),"")</f>
        <v/>
      </c>
      <c r="J4811" s="114" t="n"/>
      <c r="K4811" s="139">
        <f>IFERROR(IF(H4811&gt;0,H4811*$C$7,""),"")</f>
        <v/>
      </c>
      <c r="L4811" s="139">
        <f>IFERROR(IF(ISNUMBER(F4811),F4811-IF(ISNUMBER(K4811),K4811,0),""),"")</f>
        <v/>
      </c>
    </row>
    <row r="4812" ht="24" customHeight="1" s="63">
      <c r="E4812" s="139" t="n"/>
      <c r="F4812" s="139" t="n"/>
      <c r="G4812" s="140">
        <f>IFERROR(IF(E4812&gt;0,(F4812/E4812)*1000,""),"")</f>
        <v/>
      </c>
      <c r="H4812" s="139">
        <f>IFERROR(IF(E4812&gt;0,E4812*IF(ISNUMBER(J4812),J4812,IF(C4812="Futures",$C$6,$C$5)),""),"")</f>
        <v/>
      </c>
      <c r="I4812" s="139">
        <f>IFERROR(IF(AND(ISNUMBER(F4812),ISNUMBER(H4812)),F4812-H4812,""),"")</f>
        <v/>
      </c>
      <c r="J4812" s="114" t="n"/>
      <c r="K4812" s="139">
        <f>IFERROR(IF(H4812&gt;0,H4812*$C$7,""),"")</f>
        <v/>
      </c>
      <c r="L4812" s="139">
        <f>IFERROR(IF(ISNUMBER(F4812),F4812-IF(ISNUMBER(K4812),K4812,0),""),"")</f>
        <v/>
      </c>
    </row>
    <row r="4813" ht="24" customHeight="1" s="63">
      <c r="E4813" s="139" t="n"/>
      <c r="F4813" s="139" t="n"/>
      <c r="G4813" s="140">
        <f>IFERROR(IF(E4813&gt;0,(F4813/E4813)*1000,""),"")</f>
        <v/>
      </c>
      <c r="H4813" s="139">
        <f>IFERROR(IF(E4813&gt;0,E4813*IF(ISNUMBER(J4813),J4813,IF(C4813="Futures",$C$6,$C$5)),""),"")</f>
        <v/>
      </c>
      <c r="I4813" s="139">
        <f>IFERROR(IF(AND(ISNUMBER(F4813),ISNUMBER(H4813)),F4813-H4813,""),"")</f>
        <v/>
      </c>
      <c r="J4813" s="114" t="n"/>
      <c r="K4813" s="139">
        <f>IFERROR(IF(H4813&gt;0,H4813*$C$7,""),"")</f>
        <v/>
      </c>
      <c r="L4813" s="139">
        <f>IFERROR(IF(ISNUMBER(F4813),F4813-IF(ISNUMBER(K4813),K4813,0),""),"")</f>
        <v/>
      </c>
    </row>
    <row r="4814" ht="24" customHeight="1" s="63">
      <c r="E4814" s="139" t="n"/>
      <c r="F4814" s="139" t="n"/>
      <c r="G4814" s="140">
        <f>IFERROR(IF(E4814&gt;0,(F4814/E4814)*1000,""),"")</f>
        <v/>
      </c>
      <c r="H4814" s="139">
        <f>IFERROR(IF(E4814&gt;0,E4814*IF(ISNUMBER(J4814),J4814,IF(C4814="Futures",$C$6,$C$5)),""),"")</f>
        <v/>
      </c>
      <c r="I4814" s="139">
        <f>IFERROR(IF(AND(ISNUMBER(F4814),ISNUMBER(H4814)),F4814-H4814,""),"")</f>
        <v/>
      </c>
      <c r="J4814" s="114" t="n"/>
      <c r="K4814" s="139">
        <f>IFERROR(IF(H4814&gt;0,H4814*$C$7,""),"")</f>
        <v/>
      </c>
      <c r="L4814" s="139">
        <f>IFERROR(IF(ISNUMBER(F4814),F4814-IF(ISNUMBER(K4814),K4814,0),""),"")</f>
        <v/>
      </c>
    </row>
    <row r="4815" ht="24" customHeight="1" s="63">
      <c r="E4815" s="139" t="n"/>
      <c r="F4815" s="139" t="n"/>
      <c r="G4815" s="140">
        <f>IFERROR(IF(E4815&gt;0,(F4815/E4815)*1000,""),"")</f>
        <v/>
      </c>
      <c r="H4815" s="139">
        <f>IFERROR(IF(E4815&gt;0,E4815*IF(ISNUMBER(J4815),J4815,IF(C4815="Futures",$C$6,$C$5)),""),"")</f>
        <v/>
      </c>
      <c r="I4815" s="139">
        <f>IFERROR(IF(AND(ISNUMBER(F4815),ISNUMBER(H4815)),F4815-H4815,""),"")</f>
        <v/>
      </c>
      <c r="J4815" s="114" t="n"/>
      <c r="K4815" s="139">
        <f>IFERROR(IF(H4815&gt;0,H4815*$C$7,""),"")</f>
        <v/>
      </c>
      <c r="L4815" s="139">
        <f>IFERROR(IF(ISNUMBER(F4815),F4815-IF(ISNUMBER(K4815),K4815,0),""),"")</f>
        <v/>
      </c>
    </row>
    <row r="4816" ht="24" customHeight="1" s="63">
      <c r="E4816" s="139" t="n"/>
      <c r="F4816" s="139" t="n"/>
      <c r="G4816" s="140">
        <f>IFERROR(IF(E4816&gt;0,(F4816/E4816)*1000,""),"")</f>
        <v/>
      </c>
      <c r="H4816" s="139">
        <f>IFERROR(IF(E4816&gt;0,E4816*IF(ISNUMBER(J4816),J4816,IF(C4816="Futures",$C$6,$C$5)),""),"")</f>
        <v/>
      </c>
      <c r="I4816" s="139">
        <f>IFERROR(IF(AND(ISNUMBER(F4816),ISNUMBER(H4816)),F4816-H4816,""),"")</f>
        <v/>
      </c>
      <c r="J4816" s="114" t="n"/>
      <c r="K4816" s="139">
        <f>IFERROR(IF(H4816&gt;0,H4816*$C$7,""),"")</f>
        <v/>
      </c>
      <c r="L4816" s="139">
        <f>IFERROR(IF(ISNUMBER(F4816),F4816-IF(ISNUMBER(K4816),K4816,0),""),"")</f>
        <v/>
      </c>
    </row>
    <row r="4817" ht="24" customHeight="1" s="63">
      <c r="E4817" s="139" t="n"/>
      <c r="F4817" s="139" t="n"/>
      <c r="G4817" s="140">
        <f>IFERROR(IF(E4817&gt;0,(F4817/E4817)*1000,""),"")</f>
        <v/>
      </c>
      <c r="H4817" s="139">
        <f>IFERROR(IF(E4817&gt;0,E4817*IF(ISNUMBER(J4817),J4817,IF(C4817="Futures",$C$6,$C$5)),""),"")</f>
        <v/>
      </c>
      <c r="I4817" s="139">
        <f>IFERROR(IF(AND(ISNUMBER(F4817),ISNUMBER(H4817)),F4817-H4817,""),"")</f>
        <v/>
      </c>
      <c r="J4817" s="114" t="n"/>
      <c r="K4817" s="139">
        <f>IFERROR(IF(H4817&gt;0,H4817*$C$7,""),"")</f>
        <v/>
      </c>
      <c r="L4817" s="139">
        <f>IFERROR(IF(ISNUMBER(F4817),F4817-IF(ISNUMBER(K4817),K4817,0),""),"")</f>
        <v/>
      </c>
    </row>
    <row r="4818" ht="24" customHeight="1" s="63">
      <c r="E4818" s="139" t="n"/>
      <c r="F4818" s="139" t="n"/>
      <c r="G4818" s="140">
        <f>IFERROR(IF(E4818&gt;0,(F4818/E4818)*1000,""),"")</f>
        <v/>
      </c>
      <c r="H4818" s="139">
        <f>IFERROR(IF(E4818&gt;0,E4818*IF(ISNUMBER(J4818),J4818,IF(C4818="Futures",$C$6,$C$5)),""),"")</f>
        <v/>
      </c>
      <c r="I4818" s="139">
        <f>IFERROR(IF(AND(ISNUMBER(F4818),ISNUMBER(H4818)),F4818-H4818,""),"")</f>
        <v/>
      </c>
      <c r="J4818" s="114" t="n"/>
      <c r="K4818" s="139">
        <f>IFERROR(IF(H4818&gt;0,H4818*$C$7,""),"")</f>
        <v/>
      </c>
      <c r="L4818" s="139">
        <f>IFERROR(IF(ISNUMBER(F4818),F4818-IF(ISNUMBER(K4818),K4818,0),""),"")</f>
        <v/>
      </c>
    </row>
    <row r="4819" ht="24" customHeight="1" s="63">
      <c r="E4819" s="139" t="n"/>
      <c r="F4819" s="139" t="n"/>
      <c r="G4819" s="140">
        <f>IFERROR(IF(E4819&gt;0,(F4819/E4819)*1000,""),"")</f>
        <v/>
      </c>
      <c r="H4819" s="139">
        <f>IFERROR(IF(E4819&gt;0,E4819*IF(ISNUMBER(J4819),J4819,IF(C4819="Futures",$C$6,$C$5)),""),"")</f>
        <v/>
      </c>
      <c r="I4819" s="139">
        <f>IFERROR(IF(AND(ISNUMBER(F4819),ISNUMBER(H4819)),F4819-H4819,""),"")</f>
        <v/>
      </c>
      <c r="J4819" s="114" t="n"/>
      <c r="K4819" s="139">
        <f>IFERROR(IF(H4819&gt;0,H4819*$C$7,""),"")</f>
        <v/>
      </c>
      <c r="L4819" s="139">
        <f>IFERROR(IF(ISNUMBER(F4819),F4819-IF(ISNUMBER(K4819),K4819,0),""),"")</f>
        <v/>
      </c>
    </row>
    <row r="4820" ht="24" customHeight="1" s="63">
      <c r="E4820" s="139" t="n"/>
      <c r="F4820" s="139" t="n"/>
      <c r="G4820" s="140">
        <f>IFERROR(IF(E4820&gt;0,(F4820/E4820)*1000,""),"")</f>
        <v/>
      </c>
      <c r="H4820" s="139">
        <f>IFERROR(IF(E4820&gt;0,E4820*IF(ISNUMBER(J4820),J4820,IF(C4820="Futures",$C$6,$C$5)),""),"")</f>
        <v/>
      </c>
      <c r="I4820" s="139">
        <f>IFERROR(IF(AND(ISNUMBER(F4820),ISNUMBER(H4820)),F4820-H4820,""),"")</f>
        <v/>
      </c>
      <c r="J4820" s="114" t="n"/>
      <c r="K4820" s="139">
        <f>IFERROR(IF(H4820&gt;0,H4820*$C$7,""),"")</f>
        <v/>
      </c>
      <c r="L4820" s="139">
        <f>IFERROR(IF(ISNUMBER(F4820),F4820-IF(ISNUMBER(K4820),K4820,0),""),"")</f>
        <v/>
      </c>
    </row>
    <row r="4821" ht="24" customHeight="1" s="63">
      <c r="E4821" s="139" t="n"/>
      <c r="F4821" s="139" t="n"/>
      <c r="G4821" s="140">
        <f>IFERROR(IF(E4821&gt;0,(F4821/E4821)*1000,""),"")</f>
        <v/>
      </c>
      <c r="H4821" s="139">
        <f>IFERROR(IF(E4821&gt;0,E4821*IF(ISNUMBER(J4821),J4821,IF(C4821="Futures",$C$6,$C$5)),""),"")</f>
        <v/>
      </c>
      <c r="I4821" s="139">
        <f>IFERROR(IF(AND(ISNUMBER(F4821),ISNUMBER(H4821)),F4821-H4821,""),"")</f>
        <v/>
      </c>
      <c r="J4821" s="114" t="n"/>
      <c r="K4821" s="139">
        <f>IFERROR(IF(H4821&gt;0,H4821*$C$7,""),"")</f>
        <v/>
      </c>
      <c r="L4821" s="139">
        <f>IFERROR(IF(ISNUMBER(F4821),F4821-IF(ISNUMBER(K4821),K4821,0),""),"")</f>
        <v/>
      </c>
    </row>
    <row r="4822" ht="24" customHeight="1" s="63">
      <c r="E4822" s="139" t="n"/>
      <c r="F4822" s="139" t="n"/>
      <c r="G4822" s="140">
        <f>IFERROR(IF(E4822&gt;0,(F4822/E4822)*1000,""),"")</f>
        <v/>
      </c>
      <c r="H4822" s="139">
        <f>IFERROR(IF(E4822&gt;0,E4822*IF(ISNUMBER(J4822),J4822,IF(C4822="Futures",$C$6,$C$5)),""),"")</f>
        <v/>
      </c>
      <c r="I4822" s="139">
        <f>IFERROR(IF(AND(ISNUMBER(F4822),ISNUMBER(H4822)),F4822-H4822,""),"")</f>
        <v/>
      </c>
      <c r="J4822" s="114" t="n"/>
      <c r="K4822" s="139">
        <f>IFERROR(IF(H4822&gt;0,H4822*$C$7,""),"")</f>
        <v/>
      </c>
      <c r="L4822" s="139">
        <f>IFERROR(IF(ISNUMBER(F4822),F4822-IF(ISNUMBER(K4822),K4822,0),""),"")</f>
        <v/>
      </c>
    </row>
    <row r="4823" ht="24" customHeight="1" s="63">
      <c r="E4823" s="139" t="n"/>
      <c r="F4823" s="139" t="n"/>
      <c r="G4823" s="140">
        <f>IFERROR(IF(E4823&gt;0,(F4823/E4823)*1000,""),"")</f>
        <v/>
      </c>
      <c r="H4823" s="139">
        <f>IFERROR(IF(E4823&gt;0,E4823*IF(ISNUMBER(J4823),J4823,IF(C4823="Futures",$C$6,$C$5)),""),"")</f>
        <v/>
      </c>
      <c r="I4823" s="139">
        <f>IFERROR(IF(AND(ISNUMBER(F4823),ISNUMBER(H4823)),F4823-H4823,""),"")</f>
        <v/>
      </c>
      <c r="J4823" s="114" t="n"/>
      <c r="K4823" s="139">
        <f>IFERROR(IF(H4823&gt;0,H4823*$C$7,""),"")</f>
        <v/>
      </c>
      <c r="L4823" s="139">
        <f>IFERROR(IF(ISNUMBER(F4823),F4823-IF(ISNUMBER(K4823),K4823,0),""),"")</f>
        <v/>
      </c>
    </row>
    <row r="4824" ht="24" customHeight="1" s="63">
      <c r="E4824" s="139" t="n"/>
      <c r="F4824" s="139" t="n"/>
      <c r="G4824" s="140">
        <f>IFERROR(IF(E4824&gt;0,(F4824/E4824)*1000,""),"")</f>
        <v/>
      </c>
      <c r="H4824" s="139">
        <f>IFERROR(IF(E4824&gt;0,E4824*IF(ISNUMBER(J4824),J4824,IF(C4824="Futures",$C$6,$C$5)),""),"")</f>
        <v/>
      </c>
      <c r="I4824" s="139">
        <f>IFERROR(IF(AND(ISNUMBER(F4824),ISNUMBER(H4824)),F4824-H4824,""),"")</f>
        <v/>
      </c>
      <c r="J4824" s="114" t="n"/>
      <c r="K4824" s="139">
        <f>IFERROR(IF(H4824&gt;0,H4824*$C$7,""),"")</f>
        <v/>
      </c>
      <c r="L4824" s="139">
        <f>IFERROR(IF(ISNUMBER(F4824),F4824-IF(ISNUMBER(K4824),K4824,0),""),"")</f>
        <v/>
      </c>
    </row>
    <row r="4825" ht="24" customHeight="1" s="63">
      <c r="E4825" s="139" t="n"/>
      <c r="F4825" s="139" t="n"/>
      <c r="G4825" s="140">
        <f>IFERROR(IF(E4825&gt;0,(F4825/E4825)*1000,""),"")</f>
        <v/>
      </c>
      <c r="H4825" s="139">
        <f>IFERROR(IF(E4825&gt;0,E4825*IF(ISNUMBER(J4825),J4825,IF(C4825="Futures",$C$6,$C$5)),""),"")</f>
        <v/>
      </c>
      <c r="I4825" s="139">
        <f>IFERROR(IF(AND(ISNUMBER(F4825),ISNUMBER(H4825)),F4825-H4825,""),"")</f>
        <v/>
      </c>
      <c r="J4825" s="114" t="n"/>
      <c r="K4825" s="139">
        <f>IFERROR(IF(H4825&gt;0,H4825*$C$7,""),"")</f>
        <v/>
      </c>
      <c r="L4825" s="139">
        <f>IFERROR(IF(ISNUMBER(F4825),F4825-IF(ISNUMBER(K4825),K4825,0),""),"")</f>
        <v/>
      </c>
    </row>
    <row r="4826" ht="24" customHeight="1" s="63">
      <c r="E4826" s="139" t="n"/>
      <c r="F4826" s="139" t="n"/>
      <c r="G4826" s="140">
        <f>IFERROR(IF(E4826&gt;0,(F4826/E4826)*1000,""),"")</f>
        <v/>
      </c>
      <c r="H4826" s="139">
        <f>IFERROR(IF(E4826&gt;0,E4826*IF(ISNUMBER(J4826),J4826,IF(C4826="Futures",$C$6,$C$5)),""),"")</f>
        <v/>
      </c>
      <c r="I4826" s="139">
        <f>IFERROR(IF(AND(ISNUMBER(F4826),ISNUMBER(H4826)),F4826-H4826,""),"")</f>
        <v/>
      </c>
      <c r="J4826" s="114" t="n"/>
      <c r="K4826" s="139">
        <f>IFERROR(IF(H4826&gt;0,H4826*$C$7,""),"")</f>
        <v/>
      </c>
      <c r="L4826" s="139">
        <f>IFERROR(IF(ISNUMBER(F4826),F4826-IF(ISNUMBER(K4826),K4826,0),""),"")</f>
        <v/>
      </c>
    </row>
    <row r="4827" ht="24" customHeight="1" s="63">
      <c r="E4827" s="139" t="n"/>
      <c r="F4827" s="139" t="n"/>
      <c r="G4827" s="140">
        <f>IFERROR(IF(E4827&gt;0,(F4827/E4827)*1000,""),"")</f>
        <v/>
      </c>
      <c r="H4827" s="139">
        <f>IFERROR(IF(E4827&gt;0,E4827*IF(ISNUMBER(J4827),J4827,IF(C4827="Futures",$C$6,$C$5)),""),"")</f>
        <v/>
      </c>
      <c r="I4827" s="139">
        <f>IFERROR(IF(AND(ISNUMBER(F4827),ISNUMBER(H4827)),F4827-H4827,""),"")</f>
        <v/>
      </c>
      <c r="J4827" s="114" t="n"/>
      <c r="K4827" s="139">
        <f>IFERROR(IF(H4827&gt;0,H4827*$C$7,""),"")</f>
        <v/>
      </c>
      <c r="L4827" s="139">
        <f>IFERROR(IF(ISNUMBER(F4827),F4827-IF(ISNUMBER(K4827),K4827,0),""),"")</f>
        <v/>
      </c>
    </row>
    <row r="4828" ht="24" customHeight="1" s="63">
      <c r="E4828" s="139" t="n"/>
      <c r="F4828" s="139" t="n"/>
      <c r="G4828" s="140">
        <f>IFERROR(IF(E4828&gt;0,(F4828/E4828)*1000,""),"")</f>
        <v/>
      </c>
      <c r="H4828" s="139">
        <f>IFERROR(IF(E4828&gt;0,E4828*IF(ISNUMBER(J4828),J4828,IF(C4828="Futures",$C$6,$C$5)),""),"")</f>
        <v/>
      </c>
      <c r="I4828" s="139">
        <f>IFERROR(IF(AND(ISNUMBER(F4828),ISNUMBER(H4828)),F4828-H4828,""),"")</f>
        <v/>
      </c>
      <c r="J4828" s="114" t="n"/>
      <c r="K4828" s="139">
        <f>IFERROR(IF(H4828&gt;0,H4828*$C$7,""),"")</f>
        <v/>
      </c>
      <c r="L4828" s="139">
        <f>IFERROR(IF(ISNUMBER(F4828),F4828-IF(ISNUMBER(K4828),K4828,0),""),"")</f>
        <v/>
      </c>
    </row>
    <row r="4829" ht="24" customHeight="1" s="63">
      <c r="E4829" s="139" t="n"/>
      <c r="F4829" s="139" t="n"/>
      <c r="G4829" s="140">
        <f>IFERROR(IF(E4829&gt;0,(F4829/E4829)*1000,""),"")</f>
        <v/>
      </c>
      <c r="H4829" s="139">
        <f>IFERROR(IF(E4829&gt;0,E4829*IF(ISNUMBER(J4829),J4829,IF(C4829="Futures",$C$6,$C$5)),""),"")</f>
        <v/>
      </c>
      <c r="I4829" s="139">
        <f>IFERROR(IF(AND(ISNUMBER(F4829),ISNUMBER(H4829)),F4829-H4829,""),"")</f>
        <v/>
      </c>
      <c r="J4829" s="114" t="n"/>
      <c r="K4829" s="139">
        <f>IFERROR(IF(H4829&gt;0,H4829*$C$7,""),"")</f>
        <v/>
      </c>
      <c r="L4829" s="139">
        <f>IFERROR(IF(ISNUMBER(F4829),F4829-IF(ISNUMBER(K4829),K4829,0),""),"")</f>
        <v/>
      </c>
    </row>
    <row r="4830" ht="24" customHeight="1" s="63">
      <c r="E4830" s="139" t="n"/>
      <c r="F4830" s="139" t="n"/>
      <c r="G4830" s="140">
        <f>IFERROR(IF(E4830&gt;0,(F4830/E4830)*1000,""),"")</f>
        <v/>
      </c>
      <c r="H4830" s="139">
        <f>IFERROR(IF(E4830&gt;0,E4830*IF(ISNUMBER(J4830),J4830,IF(C4830="Futures",$C$6,$C$5)),""),"")</f>
        <v/>
      </c>
      <c r="I4830" s="139">
        <f>IFERROR(IF(AND(ISNUMBER(F4830),ISNUMBER(H4830)),F4830-H4830,""),"")</f>
        <v/>
      </c>
      <c r="J4830" s="114" t="n"/>
      <c r="K4830" s="139">
        <f>IFERROR(IF(H4830&gt;0,H4830*$C$7,""),"")</f>
        <v/>
      </c>
      <c r="L4830" s="139">
        <f>IFERROR(IF(ISNUMBER(F4830),F4830-IF(ISNUMBER(K4830),K4830,0),""),"")</f>
        <v/>
      </c>
    </row>
    <row r="4831" ht="24" customHeight="1" s="63">
      <c r="E4831" s="139" t="n"/>
      <c r="F4831" s="139" t="n"/>
      <c r="G4831" s="140">
        <f>IFERROR(IF(E4831&gt;0,(F4831/E4831)*1000,""),"")</f>
        <v/>
      </c>
      <c r="H4831" s="139">
        <f>IFERROR(IF(E4831&gt;0,E4831*IF(ISNUMBER(J4831),J4831,IF(C4831="Futures",$C$6,$C$5)),""),"")</f>
        <v/>
      </c>
      <c r="I4831" s="139">
        <f>IFERROR(IF(AND(ISNUMBER(F4831),ISNUMBER(H4831)),F4831-H4831,""),"")</f>
        <v/>
      </c>
      <c r="J4831" s="114" t="n"/>
      <c r="K4831" s="139">
        <f>IFERROR(IF(H4831&gt;0,H4831*$C$7,""),"")</f>
        <v/>
      </c>
      <c r="L4831" s="139">
        <f>IFERROR(IF(ISNUMBER(F4831),F4831-IF(ISNUMBER(K4831),K4831,0),""),"")</f>
        <v/>
      </c>
    </row>
    <row r="4832" ht="24" customHeight="1" s="63">
      <c r="E4832" s="139" t="n"/>
      <c r="F4832" s="139" t="n"/>
      <c r="G4832" s="140">
        <f>IFERROR(IF(E4832&gt;0,(F4832/E4832)*1000,""),"")</f>
        <v/>
      </c>
      <c r="H4832" s="139">
        <f>IFERROR(IF(E4832&gt;0,E4832*IF(ISNUMBER(J4832),J4832,IF(C4832="Futures",$C$6,$C$5)),""),"")</f>
        <v/>
      </c>
      <c r="I4832" s="139">
        <f>IFERROR(IF(AND(ISNUMBER(F4832),ISNUMBER(H4832)),F4832-H4832,""),"")</f>
        <v/>
      </c>
      <c r="J4832" s="114" t="n"/>
      <c r="K4832" s="139">
        <f>IFERROR(IF(H4832&gt;0,H4832*$C$7,""),"")</f>
        <v/>
      </c>
      <c r="L4832" s="139">
        <f>IFERROR(IF(ISNUMBER(F4832),F4832-IF(ISNUMBER(K4832),K4832,0),""),"")</f>
        <v/>
      </c>
    </row>
    <row r="4833" ht="24" customHeight="1" s="63">
      <c r="E4833" s="139" t="n"/>
      <c r="F4833" s="139" t="n"/>
      <c r="G4833" s="140">
        <f>IFERROR(IF(E4833&gt;0,(F4833/E4833)*1000,""),"")</f>
        <v/>
      </c>
      <c r="H4833" s="139">
        <f>IFERROR(IF(E4833&gt;0,E4833*IF(ISNUMBER(J4833),J4833,IF(C4833="Futures",$C$6,$C$5)),""),"")</f>
        <v/>
      </c>
      <c r="I4833" s="139">
        <f>IFERROR(IF(AND(ISNUMBER(F4833),ISNUMBER(H4833)),F4833-H4833,""),"")</f>
        <v/>
      </c>
      <c r="J4833" s="114" t="n"/>
      <c r="K4833" s="139">
        <f>IFERROR(IF(H4833&gt;0,H4833*$C$7,""),"")</f>
        <v/>
      </c>
      <c r="L4833" s="139">
        <f>IFERROR(IF(ISNUMBER(F4833),F4833-IF(ISNUMBER(K4833),K4833,0),""),"")</f>
        <v/>
      </c>
    </row>
    <row r="4834" ht="24" customHeight="1" s="63">
      <c r="E4834" s="139" t="n"/>
      <c r="F4834" s="139" t="n"/>
      <c r="G4834" s="140">
        <f>IFERROR(IF(E4834&gt;0,(F4834/E4834)*1000,""),"")</f>
        <v/>
      </c>
      <c r="H4834" s="139">
        <f>IFERROR(IF(E4834&gt;0,E4834*IF(ISNUMBER(J4834),J4834,IF(C4834="Futures",$C$6,$C$5)),""),"")</f>
        <v/>
      </c>
      <c r="I4834" s="139">
        <f>IFERROR(IF(AND(ISNUMBER(F4834),ISNUMBER(H4834)),F4834-H4834,""),"")</f>
        <v/>
      </c>
      <c r="J4834" s="114" t="n"/>
      <c r="K4834" s="139">
        <f>IFERROR(IF(H4834&gt;0,H4834*$C$7,""),"")</f>
        <v/>
      </c>
      <c r="L4834" s="139">
        <f>IFERROR(IF(ISNUMBER(F4834),F4834-IF(ISNUMBER(K4834),K4834,0),""),"")</f>
        <v/>
      </c>
    </row>
    <row r="4835" ht="24" customHeight="1" s="63">
      <c r="E4835" s="139" t="n"/>
      <c r="F4835" s="139" t="n"/>
      <c r="G4835" s="140">
        <f>IFERROR(IF(E4835&gt;0,(F4835/E4835)*1000,""),"")</f>
        <v/>
      </c>
      <c r="H4835" s="139">
        <f>IFERROR(IF(E4835&gt;0,E4835*IF(ISNUMBER(J4835),J4835,IF(C4835="Futures",$C$6,$C$5)),""),"")</f>
        <v/>
      </c>
      <c r="I4835" s="139">
        <f>IFERROR(IF(AND(ISNUMBER(F4835),ISNUMBER(H4835)),F4835-H4835,""),"")</f>
        <v/>
      </c>
      <c r="J4835" s="114" t="n"/>
      <c r="K4835" s="139">
        <f>IFERROR(IF(H4835&gt;0,H4835*$C$7,""),"")</f>
        <v/>
      </c>
      <c r="L4835" s="139">
        <f>IFERROR(IF(ISNUMBER(F4835),F4835-IF(ISNUMBER(K4835),K4835,0),""),"")</f>
        <v/>
      </c>
    </row>
    <row r="4836" ht="24" customHeight="1" s="63">
      <c r="E4836" s="139" t="n"/>
      <c r="F4836" s="139" t="n"/>
      <c r="G4836" s="140">
        <f>IFERROR(IF(E4836&gt;0,(F4836/E4836)*1000,""),"")</f>
        <v/>
      </c>
      <c r="H4836" s="139">
        <f>IFERROR(IF(E4836&gt;0,E4836*IF(ISNUMBER(J4836),J4836,IF(C4836="Futures",$C$6,$C$5)),""),"")</f>
        <v/>
      </c>
      <c r="I4836" s="139">
        <f>IFERROR(IF(AND(ISNUMBER(F4836),ISNUMBER(H4836)),F4836-H4836,""),"")</f>
        <v/>
      </c>
      <c r="J4836" s="114" t="n"/>
      <c r="K4836" s="139">
        <f>IFERROR(IF(H4836&gt;0,H4836*$C$7,""),"")</f>
        <v/>
      </c>
      <c r="L4836" s="139">
        <f>IFERROR(IF(ISNUMBER(F4836),F4836-IF(ISNUMBER(K4836),K4836,0),""),"")</f>
        <v/>
      </c>
    </row>
    <row r="4837" ht="24" customHeight="1" s="63">
      <c r="E4837" s="139" t="n"/>
      <c r="F4837" s="139" t="n"/>
      <c r="G4837" s="140">
        <f>IFERROR(IF(E4837&gt;0,(F4837/E4837)*1000,""),"")</f>
        <v/>
      </c>
      <c r="H4837" s="139">
        <f>IFERROR(IF(E4837&gt;0,E4837*IF(ISNUMBER(J4837),J4837,IF(C4837="Futures",$C$6,$C$5)),""),"")</f>
        <v/>
      </c>
      <c r="I4837" s="139">
        <f>IFERROR(IF(AND(ISNUMBER(F4837),ISNUMBER(H4837)),F4837-H4837,""),"")</f>
        <v/>
      </c>
      <c r="J4837" s="114" t="n"/>
      <c r="K4837" s="139">
        <f>IFERROR(IF(H4837&gt;0,H4837*$C$7,""),"")</f>
        <v/>
      </c>
      <c r="L4837" s="139">
        <f>IFERROR(IF(ISNUMBER(F4837),F4837-IF(ISNUMBER(K4837),K4837,0),""),"")</f>
        <v/>
      </c>
    </row>
    <row r="4838" ht="24" customHeight="1" s="63">
      <c r="E4838" s="139" t="n"/>
      <c r="F4838" s="139" t="n"/>
      <c r="G4838" s="140">
        <f>IFERROR(IF(E4838&gt;0,(F4838/E4838)*1000,""),"")</f>
        <v/>
      </c>
      <c r="H4838" s="139">
        <f>IFERROR(IF(E4838&gt;0,E4838*IF(ISNUMBER(J4838),J4838,IF(C4838="Futures",$C$6,$C$5)),""),"")</f>
        <v/>
      </c>
      <c r="I4838" s="139">
        <f>IFERROR(IF(AND(ISNUMBER(F4838),ISNUMBER(H4838)),F4838-H4838,""),"")</f>
        <v/>
      </c>
      <c r="J4838" s="114" t="n"/>
      <c r="K4838" s="139">
        <f>IFERROR(IF(H4838&gt;0,H4838*$C$7,""),"")</f>
        <v/>
      </c>
      <c r="L4838" s="139">
        <f>IFERROR(IF(ISNUMBER(F4838),F4838-IF(ISNUMBER(K4838),K4838,0),""),"")</f>
        <v/>
      </c>
    </row>
    <row r="4839" ht="24" customHeight="1" s="63">
      <c r="E4839" s="139" t="n"/>
      <c r="F4839" s="139" t="n"/>
      <c r="G4839" s="140">
        <f>IFERROR(IF(E4839&gt;0,(F4839/E4839)*1000,""),"")</f>
        <v/>
      </c>
      <c r="H4839" s="139">
        <f>IFERROR(IF(E4839&gt;0,E4839*IF(ISNUMBER(J4839),J4839,IF(C4839="Futures",$C$6,$C$5)),""),"")</f>
        <v/>
      </c>
      <c r="I4839" s="139">
        <f>IFERROR(IF(AND(ISNUMBER(F4839),ISNUMBER(H4839)),F4839-H4839,""),"")</f>
        <v/>
      </c>
      <c r="J4839" s="114" t="n"/>
      <c r="K4839" s="139">
        <f>IFERROR(IF(H4839&gt;0,H4839*$C$7,""),"")</f>
        <v/>
      </c>
      <c r="L4839" s="139">
        <f>IFERROR(IF(ISNUMBER(F4839),F4839-IF(ISNUMBER(K4839),K4839,0),""),"")</f>
        <v/>
      </c>
    </row>
    <row r="4840" ht="24" customHeight="1" s="63">
      <c r="E4840" s="139" t="n"/>
      <c r="F4840" s="139" t="n"/>
      <c r="G4840" s="140">
        <f>IFERROR(IF(E4840&gt;0,(F4840/E4840)*1000,""),"")</f>
        <v/>
      </c>
      <c r="H4840" s="139">
        <f>IFERROR(IF(E4840&gt;0,E4840*IF(ISNUMBER(J4840),J4840,IF(C4840="Futures",$C$6,$C$5)),""),"")</f>
        <v/>
      </c>
      <c r="I4840" s="139">
        <f>IFERROR(IF(AND(ISNUMBER(F4840),ISNUMBER(H4840)),F4840-H4840,""),"")</f>
        <v/>
      </c>
      <c r="J4840" s="114" t="n"/>
      <c r="K4840" s="139">
        <f>IFERROR(IF(H4840&gt;0,H4840*$C$7,""),"")</f>
        <v/>
      </c>
      <c r="L4840" s="139">
        <f>IFERROR(IF(ISNUMBER(F4840),F4840-IF(ISNUMBER(K4840),K4840,0),""),"")</f>
        <v/>
      </c>
    </row>
    <row r="4841" ht="24" customHeight="1" s="63">
      <c r="E4841" s="139" t="n"/>
      <c r="F4841" s="139" t="n"/>
      <c r="G4841" s="140">
        <f>IFERROR(IF(E4841&gt;0,(F4841/E4841)*1000,""),"")</f>
        <v/>
      </c>
      <c r="H4841" s="139">
        <f>IFERROR(IF(E4841&gt;0,E4841*IF(ISNUMBER(J4841),J4841,IF(C4841="Futures",$C$6,$C$5)),""),"")</f>
        <v/>
      </c>
      <c r="I4841" s="139">
        <f>IFERROR(IF(AND(ISNUMBER(F4841),ISNUMBER(H4841)),F4841-H4841,""),"")</f>
        <v/>
      </c>
      <c r="J4841" s="114" t="n"/>
      <c r="K4841" s="139">
        <f>IFERROR(IF(H4841&gt;0,H4841*$C$7,""),"")</f>
        <v/>
      </c>
      <c r="L4841" s="139">
        <f>IFERROR(IF(ISNUMBER(F4841),F4841-IF(ISNUMBER(K4841),K4841,0),""),"")</f>
        <v/>
      </c>
    </row>
    <row r="4842" ht="24" customHeight="1" s="63">
      <c r="E4842" s="139" t="n"/>
      <c r="F4842" s="139" t="n"/>
      <c r="G4842" s="140">
        <f>IFERROR(IF(E4842&gt;0,(F4842/E4842)*1000,""),"")</f>
        <v/>
      </c>
      <c r="H4842" s="139">
        <f>IFERROR(IF(E4842&gt;0,E4842*IF(ISNUMBER(J4842),J4842,IF(C4842="Futures",$C$6,$C$5)),""),"")</f>
        <v/>
      </c>
      <c r="I4842" s="139">
        <f>IFERROR(IF(AND(ISNUMBER(F4842),ISNUMBER(H4842)),F4842-H4842,""),"")</f>
        <v/>
      </c>
      <c r="J4842" s="114" t="n"/>
      <c r="K4842" s="139">
        <f>IFERROR(IF(H4842&gt;0,H4842*$C$7,""),"")</f>
        <v/>
      </c>
      <c r="L4842" s="139">
        <f>IFERROR(IF(ISNUMBER(F4842),F4842-IF(ISNUMBER(K4842),K4842,0),""),"")</f>
        <v/>
      </c>
    </row>
    <row r="4843" ht="24" customHeight="1" s="63">
      <c r="E4843" s="139" t="n"/>
      <c r="F4843" s="139" t="n"/>
      <c r="G4843" s="140">
        <f>IFERROR(IF(E4843&gt;0,(F4843/E4843)*1000,""),"")</f>
        <v/>
      </c>
      <c r="H4843" s="139">
        <f>IFERROR(IF(E4843&gt;0,E4843*IF(ISNUMBER(J4843),J4843,IF(C4843="Futures",$C$6,$C$5)),""),"")</f>
        <v/>
      </c>
      <c r="I4843" s="139">
        <f>IFERROR(IF(AND(ISNUMBER(F4843),ISNUMBER(H4843)),F4843-H4843,""),"")</f>
        <v/>
      </c>
      <c r="J4843" s="114" t="n"/>
      <c r="K4843" s="139">
        <f>IFERROR(IF(H4843&gt;0,H4843*$C$7,""),"")</f>
        <v/>
      </c>
      <c r="L4843" s="139">
        <f>IFERROR(IF(ISNUMBER(F4843),F4843-IF(ISNUMBER(K4843),K4843,0),""),"")</f>
        <v/>
      </c>
    </row>
    <row r="4844" ht="24" customHeight="1" s="63">
      <c r="E4844" s="139" t="n"/>
      <c r="F4844" s="139" t="n"/>
      <c r="G4844" s="140">
        <f>IFERROR(IF(E4844&gt;0,(F4844/E4844)*1000,""),"")</f>
        <v/>
      </c>
      <c r="H4844" s="139">
        <f>IFERROR(IF(E4844&gt;0,E4844*IF(ISNUMBER(J4844),J4844,IF(C4844="Futures",$C$6,$C$5)),""),"")</f>
        <v/>
      </c>
      <c r="I4844" s="139">
        <f>IFERROR(IF(AND(ISNUMBER(F4844),ISNUMBER(H4844)),F4844-H4844,""),"")</f>
        <v/>
      </c>
      <c r="J4844" s="114" t="n"/>
      <c r="K4844" s="139">
        <f>IFERROR(IF(H4844&gt;0,H4844*$C$7,""),"")</f>
        <v/>
      </c>
      <c r="L4844" s="139">
        <f>IFERROR(IF(ISNUMBER(F4844),F4844-IF(ISNUMBER(K4844),K4844,0),""),"")</f>
        <v/>
      </c>
    </row>
    <row r="4845" ht="24" customHeight="1" s="63">
      <c r="E4845" s="139" t="n"/>
      <c r="F4845" s="139" t="n"/>
      <c r="G4845" s="140">
        <f>IFERROR(IF(E4845&gt;0,(F4845/E4845)*1000,""),"")</f>
        <v/>
      </c>
      <c r="H4845" s="139">
        <f>IFERROR(IF(E4845&gt;0,E4845*IF(ISNUMBER(J4845),J4845,IF(C4845="Futures",$C$6,$C$5)),""),"")</f>
        <v/>
      </c>
      <c r="I4845" s="139">
        <f>IFERROR(IF(AND(ISNUMBER(F4845),ISNUMBER(H4845)),F4845-H4845,""),"")</f>
        <v/>
      </c>
      <c r="J4845" s="114" t="n"/>
      <c r="K4845" s="139">
        <f>IFERROR(IF(H4845&gt;0,H4845*$C$7,""),"")</f>
        <v/>
      </c>
      <c r="L4845" s="139">
        <f>IFERROR(IF(ISNUMBER(F4845),F4845-IF(ISNUMBER(K4845),K4845,0),""),"")</f>
        <v/>
      </c>
    </row>
    <row r="4846" ht="24" customHeight="1" s="63">
      <c r="E4846" s="139" t="n"/>
      <c r="F4846" s="139" t="n"/>
      <c r="G4846" s="140">
        <f>IFERROR(IF(E4846&gt;0,(F4846/E4846)*1000,""),"")</f>
        <v/>
      </c>
      <c r="H4846" s="139">
        <f>IFERROR(IF(E4846&gt;0,E4846*IF(ISNUMBER(J4846),J4846,IF(C4846="Futures",$C$6,$C$5)),""),"")</f>
        <v/>
      </c>
      <c r="I4846" s="139">
        <f>IFERROR(IF(AND(ISNUMBER(F4846),ISNUMBER(H4846)),F4846-H4846,""),"")</f>
        <v/>
      </c>
      <c r="J4846" s="114" t="n"/>
      <c r="K4846" s="139">
        <f>IFERROR(IF(H4846&gt;0,H4846*$C$7,""),"")</f>
        <v/>
      </c>
      <c r="L4846" s="139">
        <f>IFERROR(IF(ISNUMBER(F4846),F4846-IF(ISNUMBER(K4846),K4846,0),""),"")</f>
        <v/>
      </c>
    </row>
    <row r="4847" ht="24" customHeight="1" s="63">
      <c r="E4847" s="139" t="n"/>
      <c r="F4847" s="139" t="n"/>
      <c r="G4847" s="140">
        <f>IFERROR(IF(E4847&gt;0,(F4847/E4847)*1000,""),"")</f>
        <v/>
      </c>
      <c r="H4847" s="139">
        <f>IFERROR(IF(E4847&gt;0,E4847*IF(ISNUMBER(J4847),J4847,IF(C4847="Futures",$C$6,$C$5)),""),"")</f>
        <v/>
      </c>
      <c r="I4847" s="139">
        <f>IFERROR(IF(AND(ISNUMBER(F4847),ISNUMBER(H4847)),F4847-H4847,""),"")</f>
        <v/>
      </c>
      <c r="J4847" s="114" t="n"/>
      <c r="K4847" s="139">
        <f>IFERROR(IF(H4847&gt;0,H4847*$C$7,""),"")</f>
        <v/>
      </c>
      <c r="L4847" s="139">
        <f>IFERROR(IF(ISNUMBER(F4847),F4847-IF(ISNUMBER(K4847),K4847,0),""),"")</f>
        <v/>
      </c>
    </row>
    <row r="4848" ht="24" customHeight="1" s="63">
      <c r="E4848" s="139" t="n"/>
      <c r="F4848" s="139" t="n"/>
      <c r="G4848" s="140">
        <f>IFERROR(IF(E4848&gt;0,(F4848/E4848)*1000,""),"")</f>
        <v/>
      </c>
      <c r="H4848" s="139">
        <f>IFERROR(IF(E4848&gt;0,E4848*IF(ISNUMBER(J4848),J4848,IF(C4848="Futures",$C$6,$C$5)),""),"")</f>
        <v/>
      </c>
      <c r="I4848" s="139">
        <f>IFERROR(IF(AND(ISNUMBER(F4848),ISNUMBER(H4848)),F4848-H4848,""),"")</f>
        <v/>
      </c>
      <c r="J4848" s="114" t="n"/>
      <c r="K4848" s="139">
        <f>IFERROR(IF(H4848&gt;0,H4848*$C$7,""),"")</f>
        <v/>
      </c>
      <c r="L4848" s="139">
        <f>IFERROR(IF(ISNUMBER(F4848),F4848-IF(ISNUMBER(K4848),K4848,0),""),"")</f>
        <v/>
      </c>
    </row>
    <row r="4849" ht="24" customHeight="1" s="63">
      <c r="E4849" s="139" t="n"/>
      <c r="F4849" s="139" t="n"/>
      <c r="G4849" s="140">
        <f>IFERROR(IF(E4849&gt;0,(F4849/E4849)*1000,""),"")</f>
        <v/>
      </c>
      <c r="H4849" s="139">
        <f>IFERROR(IF(E4849&gt;0,E4849*IF(ISNUMBER(J4849),J4849,IF(C4849="Futures",$C$6,$C$5)),""),"")</f>
        <v/>
      </c>
      <c r="I4849" s="139">
        <f>IFERROR(IF(AND(ISNUMBER(F4849),ISNUMBER(H4849)),F4849-H4849,""),"")</f>
        <v/>
      </c>
      <c r="J4849" s="114" t="n"/>
      <c r="K4849" s="139">
        <f>IFERROR(IF(H4849&gt;0,H4849*$C$7,""),"")</f>
        <v/>
      </c>
      <c r="L4849" s="139">
        <f>IFERROR(IF(ISNUMBER(F4849),F4849-IF(ISNUMBER(K4849),K4849,0),""),"")</f>
        <v/>
      </c>
    </row>
    <row r="4850" ht="24" customHeight="1" s="63">
      <c r="E4850" s="139" t="n"/>
      <c r="F4850" s="139" t="n"/>
      <c r="G4850" s="140">
        <f>IFERROR(IF(E4850&gt;0,(F4850/E4850)*1000,""),"")</f>
        <v/>
      </c>
      <c r="H4850" s="139">
        <f>IFERROR(IF(E4850&gt;0,E4850*IF(ISNUMBER(J4850),J4850,IF(C4850="Futures",$C$6,$C$5)),""),"")</f>
        <v/>
      </c>
      <c r="I4850" s="139">
        <f>IFERROR(IF(AND(ISNUMBER(F4850),ISNUMBER(H4850)),F4850-H4850,""),"")</f>
        <v/>
      </c>
      <c r="J4850" s="114" t="n"/>
      <c r="K4850" s="139">
        <f>IFERROR(IF(H4850&gt;0,H4850*$C$7,""),"")</f>
        <v/>
      </c>
      <c r="L4850" s="139">
        <f>IFERROR(IF(ISNUMBER(F4850),F4850-IF(ISNUMBER(K4850),K4850,0),""),"")</f>
        <v/>
      </c>
    </row>
    <row r="4851" ht="24" customHeight="1" s="63">
      <c r="E4851" s="139" t="n"/>
      <c r="F4851" s="139" t="n"/>
      <c r="G4851" s="140">
        <f>IFERROR(IF(E4851&gt;0,(F4851/E4851)*1000,""),"")</f>
        <v/>
      </c>
      <c r="H4851" s="139">
        <f>IFERROR(IF(E4851&gt;0,E4851*IF(ISNUMBER(J4851),J4851,IF(C4851="Futures",$C$6,$C$5)),""),"")</f>
        <v/>
      </c>
      <c r="I4851" s="139">
        <f>IFERROR(IF(AND(ISNUMBER(F4851),ISNUMBER(H4851)),F4851-H4851,""),"")</f>
        <v/>
      </c>
      <c r="J4851" s="114" t="n"/>
      <c r="K4851" s="139">
        <f>IFERROR(IF(H4851&gt;0,H4851*$C$7,""),"")</f>
        <v/>
      </c>
      <c r="L4851" s="139">
        <f>IFERROR(IF(ISNUMBER(F4851),F4851-IF(ISNUMBER(K4851),K4851,0),""),"")</f>
        <v/>
      </c>
    </row>
    <row r="4852" ht="24" customHeight="1" s="63">
      <c r="E4852" s="139" t="n"/>
      <c r="F4852" s="139" t="n"/>
      <c r="G4852" s="140">
        <f>IFERROR(IF(E4852&gt;0,(F4852/E4852)*1000,""),"")</f>
        <v/>
      </c>
      <c r="H4852" s="139">
        <f>IFERROR(IF(E4852&gt;0,E4852*IF(ISNUMBER(J4852),J4852,IF(C4852="Futures",$C$6,$C$5)),""),"")</f>
        <v/>
      </c>
      <c r="I4852" s="139">
        <f>IFERROR(IF(AND(ISNUMBER(F4852),ISNUMBER(H4852)),F4852-H4852,""),"")</f>
        <v/>
      </c>
      <c r="J4852" s="114" t="n"/>
      <c r="K4852" s="139">
        <f>IFERROR(IF(H4852&gt;0,H4852*$C$7,""),"")</f>
        <v/>
      </c>
      <c r="L4852" s="139">
        <f>IFERROR(IF(ISNUMBER(F4852),F4852-IF(ISNUMBER(K4852),K4852,0),""),"")</f>
        <v/>
      </c>
    </row>
    <row r="4853" ht="24" customHeight="1" s="63">
      <c r="E4853" s="139" t="n"/>
      <c r="F4853" s="139" t="n"/>
      <c r="G4853" s="140">
        <f>IFERROR(IF(E4853&gt;0,(F4853/E4853)*1000,""),"")</f>
        <v/>
      </c>
      <c r="H4853" s="139">
        <f>IFERROR(IF(E4853&gt;0,E4853*IF(ISNUMBER(J4853),J4853,IF(C4853="Futures",$C$6,$C$5)),""),"")</f>
        <v/>
      </c>
      <c r="I4853" s="139">
        <f>IFERROR(IF(AND(ISNUMBER(F4853),ISNUMBER(H4853)),F4853-H4853,""),"")</f>
        <v/>
      </c>
      <c r="J4853" s="114" t="n"/>
      <c r="K4853" s="139">
        <f>IFERROR(IF(H4853&gt;0,H4853*$C$7,""),"")</f>
        <v/>
      </c>
      <c r="L4853" s="139">
        <f>IFERROR(IF(ISNUMBER(F4853),F4853-IF(ISNUMBER(K4853),K4853,0),""),"")</f>
        <v/>
      </c>
    </row>
    <row r="4854" ht="24" customHeight="1" s="63">
      <c r="E4854" s="139" t="n"/>
      <c r="F4854" s="139" t="n"/>
      <c r="G4854" s="140">
        <f>IFERROR(IF(E4854&gt;0,(F4854/E4854)*1000,""),"")</f>
        <v/>
      </c>
      <c r="H4854" s="139">
        <f>IFERROR(IF(E4854&gt;0,E4854*IF(ISNUMBER(J4854),J4854,IF(C4854="Futures",$C$6,$C$5)),""),"")</f>
        <v/>
      </c>
      <c r="I4854" s="139">
        <f>IFERROR(IF(AND(ISNUMBER(F4854),ISNUMBER(H4854)),F4854-H4854,""),"")</f>
        <v/>
      </c>
      <c r="J4854" s="114" t="n"/>
      <c r="K4854" s="139">
        <f>IFERROR(IF(H4854&gt;0,H4854*$C$7,""),"")</f>
        <v/>
      </c>
      <c r="L4854" s="139">
        <f>IFERROR(IF(ISNUMBER(F4854),F4854-IF(ISNUMBER(K4854),K4854,0),""),"")</f>
        <v/>
      </c>
    </row>
    <row r="4855" ht="24" customHeight="1" s="63">
      <c r="E4855" s="139" t="n"/>
      <c r="F4855" s="139" t="n"/>
      <c r="G4855" s="140">
        <f>IFERROR(IF(E4855&gt;0,(F4855/E4855)*1000,""),"")</f>
        <v/>
      </c>
      <c r="H4855" s="139">
        <f>IFERROR(IF(E4855&gt;0,E4855*IF(ISNUMBER(J4855),J4855,IF(C4855="Futures",$C$6,$C$5)),""),"")</f>
        <v/>
      </c>
      <c r="I4855" s="139">
        <f>IFERROR(IF(AND(ISNUMBER(F4855),ISNUMBER(H4855)),F4855-H4855,""),"")</f>
        <v/>
      </c>
      <c r="J4855" s="114" t="n"/>
      <c r="K4855" s="139">
        <f>IFERROR(IF(H4855&gt;0,H4855*$C$7,""),"")</f>
        <v/>
      </c>
      <c r="L4855" s="139">
        <f>IFERROR(IF(ISNUMBER(F4855),F4855-IF(ISNUMBER(K4855),K4855,0),""),"")</f>
        <v/>
      </c>
    </row>
    <row r="4856" ht="24" customHeight="1" s="63">
      <c r="E4856" s="139" t="n"/>
      <c r="F4856" s="139" t="n"/>
      <c r="G4856" s="140">
        <f>IFERROR(IF(E4856&gt;0,(F4856/E4856)*1000,""),"")</f>
        <v/>
      </c>
      <c r="H4856" s="139">
        <f>IFERROR(IF(E4856&gt;0,E4856*IF(ISNUMBER(J4856),J4856,IF(C4856="Futures",$C$6,$C$5)),""),"")</f>
        <v/>
      </c>
      <c r="I4856" s="139">
        <f>IFERROR(IF(AND(ISNUMBER(F4856),ISNUMBER(H4856)),F4856-H4856,""),"")</f>
        <v/>
      </c>
      <c r="J4856" s="114" t="n"/>
      <c r="K4856" s="139">
        <f>IFERROR(IF(H4856&gt;0,H4856*$C$7,""),"")</f>
        <v/>
      </c>
      <c r="L4856" s="139">
        <f>IFERROR(IF(ISNUMBER(F4856),F4856-IF(ISNUMBER(K4856),K4856,0),""),"")</f>
        <v/>
      </c>
    </row>
    <row r="4857" ht="24" customHeight="1" s="63">
      <c r="E4857" s="139" t="n"/>
      <c r="F4857" s="139" t="n"/>
      <c r="G4857" s="140">
        <f>IFERROR(IF(E4857&gt;0,(F4857/E4857)*1000,""),"")</f>
        <v/>
      </c>
      <c r="H4857" s="139">
        <f>IFERROR(IF(E4857&gt;0,E4857*IF(ISNUMBER(J4857),J4857,IF(C4857="Futures",$C$6,$C$5)),""),"")</f>
        <v/>
      </c>
      <c r="I4857" s="139">
        <f>IFERROR(IF(AND(ISNUMBER(F4857),ISNUMBER(H4857)),F4857-H4857,""),"")</f>
        <v/>
      </c>
      <c r="J4857" s="114" t="n"/>
      <c r="K4857" s="139">
        <f>IFERROR(IF(H4857&gt;0,H4857*$C$7,""),"")</f>
        <v/>
      </c>
      <c r="L4857" s="139">
        <f>IFERROR(IF(ISNUMBER(F4857),F4857-IF(ISNUMBER(K4857),K4857,0),""),"")</f>
        <v/>
      </c>
    </row>
    <row r="4858" ht="24" customHeight="1" s="63">
      <c r="E4858" s="139" t="n"/>
      <c r="F4858" s="139" t="n"/>
      <c r="G4858" s="140">
        <f>IFERROR(IF(E4858&gt;0,(F4858/E4858)*1000,""),"")</f>
        <v/>
      </c>
      <c r="H4858" s="139">
        <f>IFERROR(IF(E4858&gt;0,E4858*IF(ISNUMBER(J4858),J4858,IF(C4858="Futures",$C$6,$C$5)),""),"")</f>
        <v/>
      </c>
      <c r="I4858" s="139">
        <f>IFERROR(IF(AND(ISNUMBER(F4858),ISNUMBER(H4858)),F4858-H4858,""),"")</f>
        <v/>
      </c>
      <c r="J4858" s="114" t="n"/>
      <c r="K4858" s="139">
        <f>IFERROR(IF(H4858&gt;0,H4858*$C$7,""),"")</f>
        <v/>
      </c>
      <c r="L4858" s="139">
        <f>IFERROR(IF(ISNUMBER(F4858),F4858-IF(ISNUMBER(K4858),K4858,0),""),"")</f>
        <v/>
      </c>
    </row>
    <row r="4859" ht="24" customHeight="1" s="63">
      <c r="E4859" s="139" t="n"/>
      <c r="F4859" s="139" t="n"/>
      <c r="G4859" s="140">
        <f>IFERROR(IF(E4859&gt;0,(F4859/E4859)*1000,""),"")</f>
        <v/>
      </c>
      <c r="H4859" s="139">
        <f>IFERROR(IF(E4859&gt;0,E4859*IF(ISNUMBER(J4859),J4859,IF(C4859="Futures",$C$6,$C$5)),""),"")</f>
        <v/>
      </c>
      <c r="I4859" s="139">
        <f>IFERROR(IF(AND(ISNUMBER(F4859),ISNUMBER(H4859)),F4859-H4859,""),"")</f>
        <v/>
      </c>
      <c r="J4859" s="114" t="n"/>
      <c r="K4859" s="139">
        <f>IFERROR(IF(H4859&gt;0,H4859*$C$7,""),"")</f>
        <v/>
      </c>
      <c r="L4859" s="139">
        <f>IFERROR(IF(ISNUMBER(F4859),F4859-IF(ISNUMBER(K4859),K4859,0),""),"")</f>
        <v/>
      </c>
    </row>
    <row r="4860" ht="24" customHeight="1" s="63">
      <c r="E4860" s="139" t="n"/>
      <c r="F4860" s="139" t="n"/>
      <c r="G4860" s="140">
        <f>IFERROR(IF(E4860&gt;0,(F4860/E4860)*1000,""),"")</f>
        <v/>
      </c>
      <c r="H4860" s="139">
        <f>IFERROR(IF(E4860&gt;0,E4860*IF(ISNUMBER(J4860),J4860,IF(C4860="Futures",$C$6,$C$5)),""),"")</f>
        <v/>
      </c>
      <c r="I4860" s="139">
        <f>IFERROR(IF(AND(ISNUMBER(F4860),ISNUMBER(H4860)),F4860-H4860,""),"")</f>
        <v/>
      </c>
      <c r="J4860" s="114" t="n"/>
      <c r="K4860" s="139">
        <f>IFERROR(IF(H4860&gt;0,H4860*$C$7,""),"")</f>
        <v/>
      </c>
      <c r="L4860" s="139">
        <f>IFERROR(IF(ISNUMBER(F4860),F4860-IF(ISNUMBER(K4860),K4860,0),""),"")</f>
        <v/>
      </c>
    </row>
    <row r="4861" ht="24" customHeight="1" s="63">
      <c r="E4861" s="139" t="n"/>
      <c r="F4861" s="139" t="n"/>
      <c r="G4861" s="140">
        <f>IFERROR(IF(E4861&gt;0,(F4861/E4861)*1000,""),"")</f>
        <v/>
      </c>
      <c r="H4861" s="139">
        <f>IFERROR(IF(E4861&gt;0,E4861*IF(ISNUMBER(J4861),J4861,IF(C4861="Futures",$C$6,$C$5)),""),"")</f>
        <v/>
      </c>
      <c r="I4861" s="139">
        <f>IFERROR(IF(AND(ISNUMBER(F4861),ISNUMBER(H4861)),F4861-H4861,""),"")</f>
        <v/>
      </c>
      <c r="J4861" s="114" t="n"/>
      <c r="K4861" s="139">
        <f>IFERROR(IF(H4861&gt;0,H4861*$C$7,""),"")</f>
        <v/>
      </c>
      <c r="L4861" s="139">
        <f>IFERROR(IF(ISNUMBER(F4861),F4861-IF(ISNUMBER(K4861),K4861,0),""),"")</f>
        <v/>
      </c>
    </row>
    <row r="4862" ht="24" customHeight="1" s="63">
      <c r="E4862" s="139" t="n"/>
      <c r="F4862" s="139" t="n"/>
      <c r="G4862" s="140">
        <f>IFERROR(IF(E4862&gt;0,(F4862/E4862)*1000,""),"")</f>
        <v/>
      </c>
      <c r="H4862" s="139">
        <f>IFERROR(IF(E4862&gt;0,E4862*IF(ISNUMBER(J4862),J4862,IF(C4862="Futures",$C$6,$C$5)),""),"")</f>
        <v/>
      </c>
      <c r="I4862" s="139">
        <f>IFERROR(IF(AND(ISNUMBER(F4862),ISNUMBER(H4862)),F4862-H4862,""),"")</f>
        <v/>
      </c>
      <c r="J4862" s="114" t="n"/>
      <c r="K4862" s="139">
        <f>IFERROR(IF(H4862&gt;0,H4862*$C$7,""),"")</f>
        <v/>
      </c>
      <c r="L4862" s="139">
        <f>IFERROR(IF(ISNUMBER(F4862),F4862-IF(ISNUMBER(K4862),K4862,0),""),"")</f>
        <v/>
      </c>
    </row>
    <row r="4863" ht="24" customHeight="1" s="63">
      <c r="E4863" s="139" t="n"/>
      <c r="F4863" s="139" t="n"/>
      <c r="G4863" s="140">
        <f>IFERROR(IF(E4863&gt;0,(F4863/E4863)*1000,""),"")</f>
        <v/>
      </c>
      <c r="H4863" s="139">
        <f>IFERROR(IF(E4863&gt;0,E4863*IF(ISNUMBER(J4863),J4863,IF(C4863="Futures",$C$6,$C$5)),""),"")</f>
        <v/>
      </c>
      <c r="I4863" s="139">
        <f>IFERROR(IF(AND(ISNUMBER(F4863),ISNUMBER(H4863)),F4863-H4863,""),"")</f>
        <v/>
      </c>
      <c r="J4863" s="114" t="n"/>
      <c r="K4863" s="139">
        <f>IFERROR(IF(H4863&gt;0,H4863*$C$7,""),"")</f>
        <v/>
      </c>
      <c r="L4863" s="139">
        <f>IFERROR(IF(ISNUMBER(F4863),F4863-IF(ISNUMBER(K4863),K4863,0),""),"")</f>
        <v/>
      </c>
    </row>
    <row r="4864" ht="24" customHeight="1" s="63">
      <c r="E4864" s="139" t="n"/>
      <c r="F4864" s="139" t="n"/>
      <c r="G4864" s="140">
        <f>IFERROR(IF(E4864&gt;0,(F4864/E4864)*1000,""),"")</f>
        <v/>
      </c>
      <c r="H4864" s="139">
        <f>IFERROR(IF(E4864&gt;0,E4864*IF(ISNUMBER(J4864),J4864,IF(C4864="Futures",$C$6,$C$5)),""),"")</f>
        <v/>
      </c>
      <c r="I4864" s="139">
        <f>IFERROR(IF(AND(ISNUMBER(F4864),ISNUMBER(H4864)),F4864-H4864,""),"")</f>
        <v/>
      </c>
      <c r="J4864" s="114" t="n"/>
      <c r="K4864" s="139">
        <f>IFERROR(IF(H4864&gt;0,H4864*$C$7,""),"")</f>
        <v/>
      </c>
      <c r="L4864" s="139">
        <f>IFERROR(IF(ISNUMBER(F4864),F4864-IF(ISNUMBER(K4864),K4864,0),""),"")</f>
        <v/>
      </c>
    </row>
    <row r="4865" ht="24" customHeight="1" s="63">
      <c r="E4865" s="139" t="n"/>
      <c r="F4865" s="139" t="n"/>
      <c r="G4865" s="140">
        <f>IFERROR(IF(E4865&gt;0,(F4865/E4865)*1000,""),"")</f>
        <v/>
      </c>
      <c r="H4865" s="139">
        <f>IFERROR(IF(E4865&gt;0,E4865*IF(ISNUMBER(J4865),J4865,IF(C4865="Futures",$C$6,$C$5)),""),"")</f>
        <v/>
      </c>
      <c r="I4865" s="139">
        <f>IFERROR(IF(AND(ISNUMBER(F4865),ISNUMBER(H4865)),F4865-H4865,""),"")</f>
        <v/>
      </c>
      <c r="J4865" s="114" t="n"/>
      <c r="K4865" s="139">
        <f>IFERROR(IF(H4865&gt;0,H4865*$C$7,""),"")</f>
        <v/>
      </c>
      <c r="L4865" s="139">
        <f>IFERROR(IF(ISNUMBER(F4865),F4865-IF(ISNUMBER(K4865),K4865,0),""),"")</f>
        <v/>
      </c>
    </row>
    <row r="4866" ht="24" customHeight="1" s="63">
      <c r="E4866" s="139" t="n"/>
      <c r="F4866" s="139" t="n"/>
      <c r="G4866" s="140">
        <f>IFERROR(IF(E4866&gt;0,(F4866/E4866)*1000,""),"")</f>
        <v/>
      </c>
      <c r="H4866" s="139">
        <f>IFERROR(IF(E4866&gt;0,E4866*IF(ISNUMBER(J4866),J4866,IF(C4866="Futures",$C$6,$C$5)),""),"")</f>
        <v/>
      </c>
      <c r="I4866" s="139">
        <f>IFERROR(IF(AND(ISNUMBER(F4866),ISNUMBER(H4866)),F4866-H4866,""),"")</f>
        <v/>
      </c>
      <c r="J4866" s="114" t="n"/>
      <c r="K4866" s="139">
        <f>IFERROR(IF(H4866&gt;0,H4866*$C$7,""),"")</f>
        <v/>
      </c>
      <c r="L4866" s="139">
        <f>IFERROR(IF(ISNUMBER(F4866),F4866-IF(ISNUMBER(K4866),K4866,0),""),"")</f>
        <v/>
      </c>
    </row>
    <row r="4867" ht="24" customHeight="1" s="63">
      <c r="E4867" s="139" t="n"/>
      <c r="F4867" s="139" t="n"/>
      <c r="G4867" s="140">
        <f>IFERROR(IF(E4867&gt;0,(F4867/E4867)*1000,""),"")</f>
        <v/>
      </c>
      <c r="H4867" s="139">
        <f>IFERROR(IF(E4867&gt;0,E4867*IF(ISNUMBER(J4867),J4867,IF(C4867="Futures",$C$6,$C$5)),""),"")</f>
        <v/>
      </c>
      <c r="I4867" s="139">
        <f>IFERROR(IF(AND(ISNUMBER(F4867),ISNUMBER(H4867)),F4867-H4867,""),"")</f>
        <v/>
      </c>
      <c r="J4867" s="114" t="n"/>
      <c r="K4867" s="139">
        <f>IFERROR(IF(H4867&gt;0,H4867*$C$7,""),"")</f>
        <v/>
      </c>
      <c r="L4867" s="139">
        <f>IFERROR(IF(ISNUMBER(F4867),F4867-IF(ISNUMBER(K4867),K4867,0),""),"")</f>
        <v/>
      </c>
    </row>
    <row r="4868" ht="24" customHeight="1" s="63">
      <c r="E4868" s="139" t="n"/>
      <c r="F4868" s="139" t="n"/>
      <c r="G4868" s="140">
        <f>IFERROR(IF(E4868&gt;0,(F4868/E4868)*1000,""),"")</f>
        <v/>
      </c>
      <c r="H4868" s="139">
        <f>IFERROR(IF(E4868&gt;0,E4868*IF(ISNUMBER(J4868),J4868,IF(C4868="Futures",$C$6,$C$5)),""),"")</f>
        <v/>
      </c>
      <c r="I4868" s="139">
        <f>IFERROR(IF(AND(ISNUMBER(F4868),ISNUMBER(H4868)),F4868-H4868,""),"")</f>
        <v/>
      </c>
      <c r="J4868" s="114" t="n"/>
      <c r="K4868" s="139">
        <f>IFERROR(IF(H4868&gt;0,H4868*$C$7,""),"")</f>
        <v/>
      </c>
      <c r="L4868" s="139">
        <f>IFERROR(IF(ISNUMBER(F4868),F4868-IF(ISNUMBER(K4868),K4868,0),""),"")</f>
        <v/>
      </c>
    </row>
    <row r="4869" ht="24" customHeight="1" s="63">
      <c r="E4869" s="139" t="n"/>
      <c r="F4869" s="139" t="n"/>
      <c r="G4869" s="140">
        <f>IFERROR(IF(E4869&gt;0,(F4869/E4869)*1000,""),"")</f>
        <v/>
      </c>
      <c r="H4869" s="139">
        <f>IFERROR(IF(E4869&gt;0,E4869*IF(ISNUMBER(J4869),J4869,IF(C4869="Futures",$C$6,$C$5)),""),"")</f>
        <v/>
      </c>
      <c r="I4869" s="139">
        <f>IFERROR(IF(AND(ISNUMBER(F4869),ISNUMBER(H4869)),F4869-H4869,""),"")</f>
        <v/>
      </c>
      <c r="J4869" s="114" t="n"/>
      <c r="K4869" s="139">
        <f>IFERROR(IF(H4869&gt;0,H4869*$C$7,""),"")</f>
        <v/>
      </c>
      <c r="L4869" s="139">
        <f>IFERROR(IF(ISNUMBER(F4869),F4869-IF(ISNUMBER(K4869),K4869,0),""),"")</f>
        <v/>
      </c>
    </row>
    <row r="4870" ht="24" customHeight="1" s="63">
      <c r="E4870" s="139" t="n"/>
      <c r="F4870" s="139" t="n"/>
      <c r="G4870" s="140">
        <f>IFERROR(IF(E4870&gt;0,(F4870/E4870)*1000,""),"")</f>
        <v/>
      </c>
      <c r="H4870" s="139">
        <f>IFERROR(IF(E4870&gt;0,E4870*IF(ISNUMBER(J4870),J4870,IF(C4870="Futures",$C$6,$C$5)),""),"")</f>
        <v/>
      </c>
      <c r="I4870" s="139">
        <f>IFERROR(IF(AND(ISNUMBER(F4870),ISNUMBER(H4870)),F4870-H4870,""),"")</f>
        <v/>
      </c>
      <c r="J4870" s="114" t="n"/>
      <c r="K4870" s="139">
        <f>IFERROR(IF(H4870&gt;0,H4870*$C$7,""),"")</f>
        <v/>
      </c>
      <c r="L4870" s="139">
        <f>IFERROR(IF(ISNUMBER(F4870),F4870-IF(ISNUMBER(K4870),K4870,0),""),"")</f>
        <v/>
      </c>
    </row>
    <row r="4871" ht="24" customHeight="1" s="63">
      <c r="E4871" s="139" t="n"/>
      <c r="F4871" s="139" t="n"/>
      <c r="G4871" s="140">
        <f>IFERROR(IF(E4871&gt;0,(F4871/E4871)*1000,""),"")</f>
        <v/>
      </c>
      <c r="H4871" s="139">
        <f>IFERROR(IF(E4871&gt;0,E4871*IF(ISNUMBER(J4871),J4871,IF(C4871="Futures",$C$6,$C$5)),""),"")</f>
        <v/>
      </c>
      <c r="I4871" s="139">
        <f>IFERROR(IF(AND(ISNUMBER(F4871),ISNUMBER(H4871)),F4871-H4871,""),"")</f>
        <v/>
      </c>
      <c r="J4871" s="114" t="n"/>
      <c r="K4871" s="139">
        <f>IFERROR(IF(H4871&gt;0,H4871*$C$7,""),"")</f>
        <v/>
      </c>
      <c r="L4871" s="139">
        <f>IFERROR(IF(ISNUMBER(F4871),F4871-IF(ISNUMBER(K4871),K4871,0),""),"")</f>
        <v/>
      </c>
    </row>
    <row r="4872" ht="24" customHeight="1" s="63">
      <c r="E4872" s="139" t="n"/>
      <c r="F4872" s="139" t="n"/>
      <c r="G4872" s="140">
        <f>IFERROR(IF(E4872&gt;0,(F4872/E4872)*1000,""),"")</f>
        <v/>
      </c>
      <c r="H4872" s="139">
        <f>IFERROR(IF(E4872&gt;0,E4872*IF(ISNUMBER(J4872),J4872,IF(C4872="Futures",$C$6,$C$5)),""),"")</f>
        <v/>
      </c>
      <c r="I4872" s="139">
        <f>IFERROR(IF(AND(ISNUMBER(F4872),ISNUMBER(H4872)),F4872-H4872,""),"")</f>
        <v/>
      </c>
      <c r="J4872" s="114" t="n"/>
      <c r="K4872" s="139">
        <f>IFERROR(IF(H4872&gt;0,H4872*$C$7,""),"")</f>
        <v/>
      </c>
      <c r="L4872" s="139">
        <f>IFERROR(IF(ISNUMBER(F4872),F4872-IF(ISNUMBER(K4872),K4872,0),""),"")</f>
        <v/>
      </c>
    </row>
    <row r="4873" ht="24" customHeight="1" s="63">
      <c r="E4873" s="139" t="n"/>
      <c r="F4873" s="139" t="n"/>
      <c r="G4873" s="140">
        <f>IFERROR(IF(E4873&gt;0,(F4873/E4873)*1000,""),"")</f>
        <v/>
      </c>
      <c r="H4873" s="139">
        <f>IFERROR(IF(E4873&gt;0,E4873*IF(ISNUMBER(J4873),J4873,IF(C4873="Futures",$C$6,$C$5)),""),"")</f>
        <v/>
      </c>
      <c r="I4873" s="139">
        <f>IFERROR(IF(AND(ISNUMBER(F4873),ISNUMBER(H4873)),F4873-H4873,""),"")</f>
        <v/>
      </c>
      <c r="J4873" s="114" t="n"/>
      <c r="K4873" s="139">
        <f>IFERROR(IF(H4873&gt;0,H4873*$C$7,""),"")</f>
        <v/>
      </c>
      <c r="L4873" s="139">
        <f>IFERROR(IF(ISNUMBER(F4873),F4873-IF(ISNUMBER(K4873),K4873,0),""),"")</f>
        <v/>
      </c>
    </row>
    <row r="4874" ht="24" customHeight="1" s="63">
      <c r="E4874" s="139" t="n"/>
      <c r="F4874" s="139" t="n"/>
      <c r="G4874" s="140">
        <f>IFERROR(IF(E4874&gt;0,(F4874/E4874)*1000,""),"")</f>
        <v/>
      </c>
      <c r="H4874" s="139">
        <f>IFERROR(IF(E4874&gt;0,E4874*IF(ISNUMBER(J4874),J4874,IF(C4874="Futures",$C$6,$C$5)),""),"")</f>
        <v/>
      </c>
      <c r="I4874" s="139">
        <f>IFERROR(IF(AND(ISNUMBER(F4874),ISNUMBER(H4874)),F4874-H4874,""),"")</f>
        <v/>
      </c>
      <c r="J4874" s="114" t="n"/>
      <c r="K4874" s="139">
        <f>IFERROR(IF(H4874&gt;0,H4874*$C$7,""),"")</f>
        <v/>
      </c>
      <c r="L4874" s="139">
        <f>IFERROR(IF(ISNUMBER(F4874),F4874-IF(ISNUMBER(K4874),K4874,0),""),"")</f>
        <v/>
      </c>
    </row>
    <row r="4875" ht="24" customHeight="1" s="63">
      <c r="E4875" s="139" t="n"/>
      <c r="F4875" s="139" t="n"/>
      <c r="G4875" s="140">
        <f>IFERROR(IF(E4875&gt;0,(F4875/E4875)*1000,""),"")</f>
        <v/>
      </c>
      <c r="H4875" s="139">
        <f>IFERROR(IF(E4875&gt;0,E4875*IF(ISNUMBER(J4875),J4875,IF(C4875="Futures",$C$6,$C$5)),""),"")</f>
        <v/>
      </c>
      <c r="I4875" s="139">
        <f>IFERROR(IF(AND(ISNUMBER(F4875),ISNUMBER(H4875)),F4875-H4875,""),"")</f>
        <v/>
      </c>
      <c r="J4875" s="114" t="n"/>
      <c r="K4875" s="139">
        <f>IFERROR(IF(H4875&gt;0,H4875*$C$7,""),"")</f>
        <v/>
      </c>
      <c r="L4875" s="139">
        <f>IFERROR(IF(ISNUMBER(F4875),F4875-IF(ISNUMBER(K4875),K4875,0),""),"")</f>
        <v/>
      </c>
    </row>
    <row r="4876" ht="24" customHeight="1" s="63">
      <c r="E4876" s="139" t="n"/>
      <c r="F4876" s="139" t="n"/>
      <c r="G4876" s="140">
        <f>IFERROR(IF(E4876&gt;0,(F4876/E4876)*1000,""),"")</f>
        <v/>
      </c>
      <c r="H4876" s="139">
        <f>IFERROR(IF(E4876&gt;0,E4876*IF(ISNUMBER(J4876),J4876,IF(C4876="Futures",$C$6,$C$5)),""),"")</f>
        <v/>
      </c>
      <c r="I4876" s="139">
        <f>IFERROR(IF(AND(ISNUMBER(F4876),ISNUMBER(H4876)),F4876-H4876,""),"")</f>
        <v/>
      </c>
      <c r="J4876" s="114" t="n"/>
      <c r="K4876" s="139">
        <f>IFERROR(IF(H4876&gt;0,H4876*$C$7,""),"")</f>
        <v/>
      </c>
      <c r="L4876" s="139">
        <f>IFERROR(IF(ISNUMBER(F4876),F4876-IF(ISNUMBER(K4876),K4876,0),""),"")</f>
        <v/>
      </c>
    </row>
    <row r="4877" ht="24" customHeight="1" s="63">
      <c r="E4877" s="139" t="n"/>
      <c r="F4877" s="139" t="n"/>
      <c r="G4877" s="140">
        <f>IFERROR(IF(E4877&gt;0,(F4877/E4877)*1000,""),"")</f>
        <v/>
      </c>
      <c r="H4877" s="139">
        <f>IFERROR(IF(E4877&gt;0,E4877*IF(ISNUMBER(J4877),J4877,IF(C4877="Futures",$C$6,$C$5)),""),"")</f>
        <v/>
      </c>
      <c r="I4877" s="139">
        <f>IFERROR(IF(AND(ISNUMBER(F4877),ISNUMBER(H4877)),F4877-H4877,""),"")</f>
        <v/>
      </c>
      <c r="J4877" s="114" t="n"/>
      <c r="K4877" s="139">
        <f>IFERROR(IF(H4877&gt;0,H4877*$C$7,""),"")</f>
        <v/>
      </c>
      <c r="L4877" s="139">
        <f>IFERROR(IF(ISNUMBER(F4877),F4877-IF(ISNUMBER(K4877),K4877,0),""),"")</f>
        <v/>
      </c>
    </row>
    <row r="4878" ht="24" customHeight="1" s="63">
      <c r="E4878" s="139" t="n"/>
      <c r="F4878" s="139" t="n"/>
      <c r="G4878" s="140">
        <f>IFERROR(IF(E4878&gt;0,(F4878/E4878)*1000,""),"")</f>
        <v/>
      </c>
      <c r="H4878" s="139">
        <f>IFERROR(IF(E4878&gt;0,E4878*IF(ISNUMBER(J4878),J4878,IF(C4878="Futures",$C$6,$C$5)),""),"")</f>
        <v/>
      </c>
      <c r="I4878" s="139">
        <f>IFERROR(IF(AND(ISNUMBER(F4878),ISNUMBER(H4878)),F4878-H4878,""),"")</f>
        <v/>
      </c>
      <c r="J4878" s="114" t="n"/>
      <c r="K4878" s="139">
        <f>IFERROR(IF(H4878&gt;0,H4878*$C$7,""),"")</f>
        <v/>
      </c>
      <c r="L4878" s="139">
        <f>IFERROR(IF(ISNUMBER(F4878),F4878-IF(ISNUMBER(K4878),K4878,0),""),"")</f>
        <v/>
      </c>
    </row>
    <row r="4879" ht="24" customHeight="1" s="63">
      <c r="E4879" s="139" t="n"/>
      <c r="F4879" s="139" t="n"/>
      <c r="G4879" s="140">
        <f>IFERROR(IF(E4879&gt;0,(F4879/E4879)*1000,""),"")</f>
        <v/>
      </c>
      <c r="H4879" s="139">
        <f>IFERROR(IF(E4879&gt;0,E4879*IF(ISNUMBER(J4879),J4879,IF(C4879="Futures",$C$6,$C$5)),""),"")</f>
        <v/>
      </c>
      <c r="I4879" s="139">
        <f>IFERROR(IF(AND(ISNUMBER(F4879),ISNUMBER(H4879)),F4879-H4879,""),"")</f>
        <v/>
      </c>
      <c r="J4879" s="114" t="n"/>
      <c r="K4879" s="139">
        <f>IFERROR(IF(H4879&gt;0,H4879*$C$7,""),"")</f>
        <v/>
      </c>
      <c r="L4879" s="139">
        <f>IFERROR(IF(ISNUMBER(F4879),F4879-IF(ISNUMBER(K4879),K4879,0),""),"")</f>
        <v/>
      </c>
    </row>
    <row r="4880" ht="24" customHeight="1" s="63">
      <c r="E4880" s="139" t="n"/>
      <c r="F4880" s="139" t="n"/>
      <c r="G4880" s="140">
        <f>IFERROR(IF(E4880&gt;0,(F4880/E4880)*1000,""),"")</f>
        <v/>
      </c>
      <c r="H4880" s="139">
        <f>IFERROR(IF(E4880&gt;0,E4880*IF(ISNUMBER(J4880),J4880,IF(C4880="Futures",$C$6,$C$5)),""),"")</f>
        <v/>
      </c>
      <c r="I4880" s="139">
        <f>IFERROR(IF(AND(ISNUMBER(F4880),ISNUMBER(H4880)),F4880-H4880,""),"")</f>
        <v/>
      </c>
      <c r="J4880" s="114" t="n"/>
      <c r="K4880" s="139">
        <f>IFERROR(IF(H4880&gt;0,H4880*$C$7,""),"")</f>
        <v/>
      </c>
      <c r="L4880" s="139">
        <f>IFERROR(IF(ISNUMBER(F4880),F4880-IF(ISNUMBER(K4880),K4880,0),""),"")</f>
        <v/>
      </c>
    </row>
    <row r="4881" ht="24" customHeight="1" s="63">
      <c r="E4881" s="139" t="n"/>
      <c r="F4881" s="139" t="n"/>
      <c r="G4881" s="140">
        <f>IFERROR(IF(E4881&gt;0,(F4881/E4881)*1000,""),"")</f>
        <v/>
      </c>
      <c r="H4881" s="139">
        <f>IFERROR(IF(E4881&gt;0,E4881*IF(ISNUMBER(J4881),J4881,IF(C4881="Futures",$C$6,$C$5)),""),"")</f>
        <v/>
      </c>
      <c r="I4881" s="139">
        <f>IFERROR(IF(AND(ISNUMBER(F4881),ISNUMBER(H4881)),F4881-H4881,""),"")</f>
        <v/>
      </c>
      <c r="J4881" s="114" t="n"/>
      <c r="K4881" s="139">
        <f>IFERROR(IF(H4881&gt;0,H4881*$C$7,""),"")</f>
        <v/>
      </c>
      <c r="L4881" s="139">
        <f>IFERROR(IF(ISNUMBER(F4881),F4881-IF(ISNUMBER(K4881),K4881,0),""),"")</f>
        <v/>
      </c>
    </row>
    <row r="4882" ht="24" customHeight="1" s="63">
      <c r="E4882" s="139" t="n"/>
      <c r="F4882" s="139" t="n"/>
      <c r="G4882" s="140">
        <f>IFERROR(IF(E4882&gt;0,(F4882/E4882)*1000,""),"")</f>
        <v/>
      </c>
      <c r="H4882" s="139">
        <f>IFERROR(IF(E4882&gt;0,E4882*IF(ISNUMBER(J4882),J4882,IF(C4882="Futures",$C$6,$C$5)),""),"")</f>
        <v/>
      </c>
      <c r="I4882" s="139">
        <f>IFERROR(IF(AND(ISNUMBER(F4882),ISNUMBER(H4882)),F4882-H4882,""),"")</f>
        <v/>
      </c>
      <c r="J4882" s="114" t="n"/>
      <c r="K4882" s="139">
        <f>IFERROR(IF(H4882&gt;0,H4882*$C$7,""),"")</f>
        <v/>
      </c>
      <c r="L4882" s="139">
        <f>IFERROR(IF(ISNUMBER(F4882),F4882-IF(ISNUMBER(K4882),K4882,0),""),"")</f>
        <v/>
      </c>
    </row>
    <row r="4883" ht="24" customHeight="1" s="63">
      <c r="E4883" s="139" t="n"/>
      <c r="F4883" s="139" t="n"/>
      <c r="G4883" s="140">
        <f>IFERROR(IF(E4883&gt;0,(F4883/E4883)*1000,""),"")</f>
        <v/>
      </c>
      <c r="H4883" s="139">
        <f>IFERROR(IF(E4883&gt;0,E4883*IF(ISNUMBER(J4883),J4883,IF(C4883="Futures",$C$6,$C$5)),""),"")</f>
        <v/>
      </c>
      <c r="I4883" s="139">
        <f>IFERROR(IF(AND(ISNUMBER(F4883),ISNUMBER(H4883)),F4883-H4883,""),"")</f>
        <v/>
      </c>
      <c r="J4883" s="114" t="n"/>
      <c r="K4883" s="139">
        <f>IFERROR(IF(H4883&gt;0,H4883*$C$7,""),"")</f>
        <v/>
      </c>
      <c r="L4883" s="139">
        <f>IFERROR(IF(ISNUMBER(F4883),F4883-IF(ISNUMBER(K4883),K4883,0),""),"")</f>
        <v/>
      </c>
    </row>
    <row r="4884" ht="24" customHeight="1" s="63">
      <c r="E4884" s="139" t="n"/>
      <c r="F4884" s="139" t="n"/>
      <c r="G4884" s="140">
        <f>IFERROR(IF(E4884&gt;0,(F4884/E4884)*1000,""),"")</f>
        <v/>
      </c>
      <c r="H4884" s="139">
        <f>IFERROR(IF(E4884&gt;0,E4884*IF(ISNUMBER(J4884),J4884,IF(C4884="Futures",$C$6,$C$5)),""),"")</f>
        <v/>
      </c>
      <c r="I4884" s="139">
        <f>IFERROR(IF(AND(ISNUMBER(F4884),ISNUMBER(H4884)),F4884-H4884,""),"")</f>
        <v/>
      </c>
      <c r="J4884" s="114" t="n"/>
      <c r="K4884" s="139">
        <f>IFERROR(IF(H4884&gt;0,H4884*$C$7,""),"")</f>
        <v/>
      </c>
      <c r="L4884" s="139">
        <f>IFERROR(IF(ISNUMBER(F4884),F4884-IF(ISNUMBER(K4884),K4884,0),""),"")</f>
        <v/>
      </c>
    </row>
    <row r="4885" ht="24" customHeight="1" s="63">
      <c r="E4885" s="139" t="n"/>
      <c r="F4885" s="139" t="n"/>
      <c r="G4885" s="140">
        <f>IFERROR(IF(E4885&gt;0,(F4885/E4885)*1000,""),"")</f>
        <v/>
      </c>
      <c r="H4885" s="139">
        <f>IFERROR(IF(E4885&gt;0,E4885*IF(ISNUMBER(J4885),J4885,IF(C4885="Futures",$C$6,$C$5)),""),"")</f>
        <v/>
      </c>
      <c r="I4885" s="139">
        <f>IFERROR(IF(AND(ISNUMBER(F4885),ISNUMBER(H4885)),F4885-H4885,""),"")</f>
        <v/>
      </c>
      <c r="J4885" s="114" t="n"/>
      <c r="K4885" s="139">
        <f>IFERROR(IF(H4885&gt;0,H4885*$C$7,""),"")</f>
        <v/>
      </c>
      <c r="L4885" s="139">
        <f>IFERROR(IF(ISNUMBER(F4885),F4885-IF(ISNUMBER(K4885),K4885,0),""),"")</f>
        <v/>
      </c>
    </row>
    <row r="4886" ht="24" customHeight="1" s="63">
      <c r="E4886" s="139" t="n"/>
      <c r="F4886" s="139" t="n"/>
      <c r="G4886" s="140">
        <f>IFERROR(IF(E4886&gt;0,(F4886/E4886)*1000,""),"")</f>
        <v/>
      </c>
      <c r="H4886" s="139">
        <f>IFERROR(IF(E4886&gt;0,E4886*IF(ISNUMBER(J4886),J4886,IF(C4886="Futures",$C$6,$C$5)),""),"")</f>
        <v/>
      </c>
      <c r="I4886" s="139">
        <f>IFERROR(IF(AND(ISNUMBER(F4886),ISNUMBER(H4886)),F4886-H4886,""),"")</f>
        <v/>
      </c>
      <c r="J4886" s="114" t="n"/>
      <c r="K4886" s="139">
        <f>IFERROR(IF(H4886&gt;0,H4886*$C$7,""),"")</f>
        <v/>
      </c>
      <c r="L4886" s="139">
        <f>IFERROR(IF(ISNUMBER(F4886),F4886-IF(ISNUMBER(K4886),K4886,0),""),"")</f>
        <v/>
      </c>
    </row>
    <row r="4887" ht="24" customHeight="1" s="63">
      <c r="E4887" s="139" t="n"/>
      <c r="F4887" s="139" t="n"/>
      <c r="G4887" s="140">
        <f>IFERROR(IF(E4887&gt;0,(F4887/E4887)*1000,""),"")</f>
        <v/>
      </c>
      <c r="H4887" s="139">
        <f>IFERROR(IF(E4887&gt;0,E4887*IF(ISNUMBER(J4887),J4887,IF(C4887="Futures",$C$6,$C$5)),""),"")</f>
        <v/>
      </c>
      <c r="I4887" s="139">
        <f>IFERROR(IF(AND(ISNUMBER(F4887),ISNUMBER(H4887)),F4887-H4887,""),"")</f>
        <v/>
      </c>
      <c r="J4887" s="114" t="n"/>
      <c r="K4887" s="139">
        <f>IFERROR(IF(H4887&gt;0,H4887*$C$7,""),"")</f>
        <v/>
      </c>
      <c r="L4887" s="139">
        <f>IFERROR(IF(ISNUMBER(F4887),F4887-IF(ISNUMBER(K4887),K4887,0),""),"")</f>
        <v/>
      </c>
    </row>
    <row r="4888" ht="24" customHeight="1" s="63">
      <c r="E4888" s="139" t="n"/>
      <c r="F4888" s="139" t="n"/>
      <c r="G4888" s="140">
        <f>IFERROR(IF(E4888&gt;0,(F4888/E4888)*1000,""),"")</f>
        <v/>
      </c>
      <c r="H4888" s="139">
        <f>IFERROR(IF(E4888&gt;0,E4888*IF(ISNUMBER(J4888),J4888,IF(C4888="Futures",$C$6,$C$5)),""),"")</f>
        <v/>
      </c>
      <c r="I4888" s="139">
        <f>IFERROR(IF(AND(ISNUMBER(F4888),ISNUMBER(H4888)),F4888-H4888,""),"")</f>
        <v/>
      </c>
      <c r="J4888" s="114" t="n"/>
      <c r="K4888" s="139">
        <f>IFERROR(IF(H4888&gt;0,H4888*$C$7,""),"")</f>
        <v/>
      </c>
      <c r="L4888" s="139">
        <f>IFERROR(IF(ISNUMBER(F4888),F4888-IF(ISNUMBER(K4888),K4888,0),""),"")</f>
        <v/>
      </c>
    </row>
    <row r="4889" ht="24" customHeight="1" s="63">
      <c r="E4889" s="139" t="n"/>
      <c r="F4889" s="139" t="n"/>
      <c r="G4889" s="140">
        <f>IFERROR(IF(E4889&gt;0,(F4889/E4889)*1000,""),"")</f>
        <v/>
      </c>
      <c r="H4889" s="139">
        <f>IFERROR(IF(E4889&gt;0,E4889*IF(ISNUMBER(J4889),J4889,IF(C4889="Futures",$C$6,$C$5)),""),"")</f>
        <v/>
      </c>
      <c r="I4889" s="139">
        <f>IFERROR(IF(AND(ISNUMBER(F4889),ISNUMBER(H4889)),F4889-H4889,""),"")</f>
        <v/>
      </c>
      <c r="J4889" s="114" t="n"/>
      <c r="K4889" s="139">
        <f>IFERROR(IF(H4889&gt;0,H4889*$C$7,""),"")</f>
        <v/>
      </c>
      <c r="L4889" s="139">
        <f>IFERROR(IF(ISNUMBER(F4889),F4889-IF(ISNUMBER(K4889),K4889,0),""),"")</f>
        <v/>
      </c>
    </row>
    <row r="4890" ht="24" customHeight="1" s="63">
      <c r="E4890" s="139" t="n"/>
      <c r="F4890" s="139" t="n"/>
      <c r="G4890" s="140">
        <f>IFERROR(IF(E4890&gt;0,(F4890/E4890)*1000,""),"")</f>
        <v/>
      </c>
      <c r="H4890" s="139">
        <f>IFERROR(IF(E4890&gt;0,E4890*IF(ISNUMBER(J4890),J4890,IF(C4890="Futures",$C$6,$C$5)),""),"")</f>
        <v/>
      </c>
      <c r="I4890" s="139">
        <f>IFERROR(IF(AND(ISNUMBER(F4890),ISNUMBER(H4890)),F4890-H4890,""),"")</f>
        <v/>
      </c>
      <c r="J4890" s="114" t="n"/>
      <c r="K4890" s="139">
        <f>IFERROR(IF(H4890&gt;0,H4890*$C$7,""),"")</f>
        <v/>
      </c>
      <c r="L4890" s="139">
        <f>IFERROR(IF(ISNUMBER(F4890),F4890-IF(ISNUMBER(K4890),K4890,0),""),"")</f>
        <v/>
      </c>
    </row>
    <row r="4891" ht="24" customHeight="1" s="63">
      <c r="E4891" s="139" t="n"/>
      <c r="F4891" s="139" t="n"/>
      <c r="G4891" s="140">
        <f>IFERROR(IF(E4891&gt;0,(F4891/E4891)*1000,""),"")</f>
        <v/>
      </c>
      <c r="H4891" s="139">
        <f>IFERROR(IF(E4891&gt;0,E4891*IF(ISNUMBER(J4891),J4891,IF(C4891="Futures",$C$6,$C$5)),""),"")</f>
        <v/>
      </c>
      <c r="I4891" s="139">
        <f>IFERROR(IF(AND(ISNUMBER(F4891),ISNUMBER(H4891)),F4891-H4891,""),"")</f>
        <v/>
      </c>
      <c r="J4891" s="114" t="n"/>
      <c r="K4891" s="139">
        <f>IFERROR(IF(H4891&gt;0,H4891*$C$7,""),"")</f>
        <v/>
      </c>
      <c r="L4891" s="139">
        <f>IFERROR(IF(ISNUMBER(F4891),F4891-IF(ISNUMBER(K4891),K4891,0),""),"")</f>
        <v/>
      </c>
    </row>
    <row r="4892" ht="24" customHeight="1" s="63">
      <c r="E4892" s="139" t="n"/>
      <c r="F4892" s="139" t="n"/>
      <c r="G4892" s="140">
        <f>IFERROR(IF(E4892&gt;0,(F4892/E4892)*1000,""),"")</f>
        <v/>
      </c>
      <c r="H4892" s="139">
        <f>IFERROR(IF(E4892&gt;0,E4892*IF(ISNUMBER(J4892),J4892,IF(C4892="Futures",$C$6,$C$5)),""),"")</f>
        <v/>
      </c>
      <c r="I4892" s="139">
        <f>IFERROR(IF(AND(ISNUMBER(F4892),ISNUMBER(H4892)),F4892-H4892,""),"")</f>
        <v/>
      </c>
      <c r="J4892" s="114" t="n"/>
      <c r="K4892" s="139">
        <f>IFERROR(IF(H4892&gt;0,H4892*$C$7,""),"")</f>
        <v/>
      </c>
      <c r="L4892" s="139">
        <f>IFERROR(IF(ISNUMBER(F4892),F4892-IF(ISNUMBER(K4892),K4892,0),""),"")</f>
        <v/>
      </c>
    </row>
    <row r="4893" ht="24" customHeight="1" s="63">
      <c r="E4893" s="139" t="n"/>
      <c r="F4893" s="139" t="n"/>
      <c r="G4893" s="140">
        <f>IFERROR(IF(E4893&gt;0,(F4893/E4893)*1000,""),"")</f>
        <v/>
      </c>
      <c r="H4893" s="139">
        <f>IFERROR(IF(E4893&gt;0,E4893*IF(ISNUMBER(J4893),J4893,IF(C4893="Futures",$C$6,$C$5)),""),"")</f>
        <v/>
      </c>
      <c r="I4893" s="139">
        <f>IFERROR(IF(AND(ISNUMBER(F4893),ISNUMBER(H4893)),F4893-H4893,""),"")</f>
        <v/>
      </c>
      <c r="J4893" s="114" t="n"/>
      <c r="K4893" s="139">
        <f>IFERROR(IF(H4893&gt;0,H4893*$C$7,""),"")</f>
        <v/>
      </c>
      <c r="L4893" s="139">
        <f>IFERROR(IF(ISNUMBER(F4893),F4893-IF(ISNUMBER(K4893),K4893,0),""),"")</f>
        <v/>
      </c>
    </row>
    <row r="4894" ht="24" customHeight="1" s="63">
      <c r="E4894" s="139" t="n"/>
      <c r="F4894" s="139" t="n"/>
      <c r="G4894" s="140">
        <f>IFERROR(IF(E4894&gt;0,(F4894/E4894)*1000,""),"")</f>
        <v/>
      </c>
      <c r="H4894" s="139">
        <f>IFERROR(IF(E4894&gt;0,E4894*IF(ISNUMBER(J4894),J4894,IF(C4894="Futures",$C$6,$C$5)),""),"")</f>
        <v/>
      </c>
      <c r="I4894" s="139">
        <f>IFERROR(IF(AND(ISNUMBER(F4894),ISNUMBER(H4894)),F4894-H4894,""),"")</f>
        <v/>
      </c>
      <c r="J4894" s="114" t="n"/>
      <c r="K4894" s="139">
        <f>IFERROR(IF(H4894&gt;0,H4894*$C$7,""),"")</f>
        <v/>
      </c>
      <c r="L4894" s="139">
        <f>IFERROR(IF(ISNUMBER(F4894),F4894-IF(ISNUMBER(K4894),K4894,0),""),"")</f>
        <v/>
      </c>
    </row>
    <row r="4895" ht="24" customHeight="1" s="63">
      <c r="E4895" s="139" t="n"/>
      <c r="F4895" s="139" t="n"/>
      <c r="G4895" s="140">
        <f>IFERROR(IF(E4895&gt;0,(F4895/E4895)*1000,""),"")</f>
        <v/>
      </c>
      <c r="H4895" s="139">
        <f>IFERROR(IF(E4895&gt;0,E4895*IF(ISNUMBER(J4895),J4895,IF(C4895="Futures",$C$6,$C$5)),""),"")</f>
        <v/>
      </c>
      <c r="I4895" s="139">
        <f>IFERROR(IF(AND(ISNUMBER(F4895),ISNUMBER(H4895)),F4895-H4895,""),"")</f>
        <v/>
      </c>
      <c r="J4895" s="114" t="n"/>
      <c r="K4895" s="139">
        <f>IFERROR(IF(H4895&gt;0,H4895*$C$7,""),"")</f>
        <v/>
      </c>
      <c r="L4895" s="139">
        <f>IFERROR(IF(ISNUMBER(F4895),F4895-IF(ISNUMBER(K4895),K4895,0),""),"")</f>
        <v/>
      </c>
    </row>
    <row r="4896" ht="24" customHeight="1" s="63">
      <c r="E4896" s="139" t="n"/>
      <c r="F4896" s="139" t="n"/>
      <c r="G4896" s="140">
        <f>IFERROR(IF(E4896&gt;0,(F4896/E4896)*1000,""),"")</f>
        <v/>
      </c>
      <c r="H4896" s="139">
        <f>IFERROR(IF(E4896&gt;0,E4896*IF(ISNUMBER(J4896),J4896,IF(C4896="Futures",$C$6,$C$5)),""),"")</f>
        <v/>
      </c>
      <c r="I4896" s="139">
        <f>IFERROR(IF(AND(ISNUMBER(F4896),ISNUMBER(H4896)),F4896-H4896,""),"")</f>
        <v/>
      </c>
      <c r="J4896" s="114" t="n"/>
      <c r="K4896" s="139">
        <f>IFERROR(IF(H4896&gt;0,H4896*$C$7,""),"")</f>
        <v/>
      </c>
      <c r="L4896" s="139">
        <f>IFERROR(IF(ISNUMBER(F4896),F4896-IF(ISNUMBER(K4896),K4896,0),""),"")</f>
        <v/>
      </c>
    </row>
    <row r="4897" ht="24" customHeight="1" s="63">
      <c r="E4897" s="139" t="n"/>
      <c r="F4897" s="139" t="n"/>
      <c r="G4897" s="140">
        <f>IFERROR(IF(E4897&gt;0,(F4897/E4897)*1000,""),"")</f>
        <v/>
      </c>
      <c r="H4897" s="139">
        <f>IFERROR(IF(E4897&gt;0,E4897*IF(ISNUMBER(J4897),J4897,IF(C4897="Futures",$C$6,$C$5)),""),"")</f>
        <v/>
      </c>
      <c r="I4897" s="139">
        <f>IFERROR(IF(AND(ISNUMBER(F4897),ISNUMBER(H4897)),F4897-H4897,""),"")</f>
        <v/>
      </c>
      <c r="J4897" s="114" t="n"/>
      <c r="K4897" s="139">
        <f>IFERROR(IF(H4897&gt;0,H4897*$C$7,""),"")</f>
        <v/>
      </c>
      <c r="L4897" s="139">
        <f>IFERROR(IF(ISNUMBER(F4897),F4897-IF(ISNUMBER(K4897),K4897,0),""),"")</f>
        <v/>
      </c>
    </row>
    <row r="4898" ht="24" customHeight="1" s="63">
      <c r="E4898" s="139" t="n"/>
      <c r="F4898" s="139" t="n"/>
      <c r="G4898" s="140">
        <f>IFERROR(IF(E4898&gt;0,(F4898/E4898)*1000,""),"")</f>
        <v/>
      </c>
      <c r="H4898" s="139">
        <f>IFERROR(IF(E4898&gt;0,E4898*IF(ISNUMBER(J4898),J4898,IF(C4898="Futures",$C$6,$C$5)),""),"")</f>
        <v/>
      </c>
      <c r="I4898" s="139">
        <f>IFERROR(IF(AND(ISNUMBER(F4898),ISNUMBER(H4898)),F4898-H4898,""),"")</f>
        <v/>
      </c>
      <c r="J4898" s="114" t="n"/>
      <c r="K4898" s="139">
        <f>IFERROR(IF(H4898&gt;0,H4898*$C$7,""),"")</f>
        <v/>
      </c>
      <c r="L4898" s="139">
        <f>IFERROR(IF(ISNUMBER(F4898),F4898-IF(ISNUMBER(K4898),K4898,0),""),"")</f>
        <v/>
      </c>
    </row>
    <row r="4899" ht="24" customHeight="1" s="63">
      <c r="E4899" s="139" t="n"/>
      <c r="F4899" s="139" t="n"/>
      <c r="G4899" s="140">
        <f>IFERROR(IF(E4899&gt;0,(F4899/E4899)*1000,""),"")</f>
        <v/>
      </c>
      <c r="H4899" s="139">
        <f>IFERROR(IF(E4899&gt;0,E4899*IF(ISNUMBER(J4899),J4899,IF(C4899="Futures",$C$6,$C$5)),""),"")</f>
        <v/>
      </c>
      <c r="I4899" s="139">
        <f>IFERROR(IF(AND(ISNUMBER(F4899),ISNUMBER(H4899)),F4899-H4899,""),"")</f>
        <v/>
      </c>
      <c r="J4899" s="114" t="n"/>
      <c r="K4899" s="139">
        <f>IFERROR(IF(H4899&gt;0,H4899*$C$7,""),"")</f>
        <v/>
      </c>
      <c r="L4899" s="139">
        <f>IFERROR(IF(ISNUMBER(F4899),F4899-IF(ISNUMBER(K4899),K4899,0),""),"")</f>
        <v/>
      </c>
    </row>
    <row r="4900" ht="24" customHeight="1" s="63">
      <c r="E4900" s="139" t="n"/>
      <c r="F4900" s="139" t="n"/>
      <c r="G4900" s="140">
        <f>IFERROR(IF(E4900&gt;0,(F4900/E4900)*1000,""),"")</f>
        <v/>
      </c>
      <c r="H4900" s="139">
        <f>IFERROR(IF(E4900&gt;0,E4900*IF(ISNUMBER(J4900),J4900,IF(C4900="Futures",$C$6,$C$5)),""),"")</f>
        <v/>
      </c>
      <c r="I4900" s="139">
        <f>IFERROR(IF(AND(ISNUMBER(F4900),ISNUMBER(H4900)),F4900-H4900,""),"")</f>
        <v/>
      </c>
      <c r="J4900" s="114" t="n"/>
      <c r="K4900" s="139">
        <f>IFERROR(IF(H4900&gt;0,H4900*$C$7,""),"")</f>
        <v/>
      </c>
      <c r="L4900" s="139">
        <f>IFERROR(IF(ISNUMBER(F4900),F4900-IF(ISNUMBER(K4900),K4900,0),""),"")</f>
        <v/>
      </c>
    </row>
    <row r="4901" ht="24" customHeight="1" s="63">
      <c r="E4901" s="139" t="n"/>
      <c r="F4901" s="139" t="n"/>
      <c r="G4901" s="140">
        <f>IFERROR(IF(E4901&gt;0,(F4901/E4901)*1000,""),"")</f>
        <v/>
      </c>
      <c r="H4901" s="139">
        <f>IFERROR(IF(E4901&gt;0,E4901*IF(ISNUMBER(J4901),J4901,IF(C4901="Futures",$C$6,$C$5)),""),"")</f>
        <v/>
      </c>
      <c r="I4901" s="139">
        <f>IFERROR(IF(AND(ISNUMBER(F4901),ISNUMBER(H4901)),F4901-H4901,""),"")</f>
        <v/>
      </c>
      <c r="J4901" s="114" t="n"/>
      <c r="K4901" s="139">
        <f>IFERROR(IF(H4901&gt;0,H4901*$C$7,""),"")</f>
        <v/>
      </c>
      <c r="L4901" s="139">
        <f>IFERROR(IF(ISNUMBER(F4901),F4901-IF(ISNUMBER(K4901),K4901,0),""),"")</f>
        <v/>
      </c>
    </row>
    <row r="4902" ht="24" customHeight="1" s="63">
      <c r="E4902" s="139" t="n"/>
      <c r="F4902" s="139" t="n"/>
      <c r="G4902" s="140">
        <f>IFERROR(IF(E4902&gt;0,(F4902/E4902)*1000,""),"")</f>
        <v/>
      </c>
      <c r="H4902" s="139">
        <f>IFERROR(IF(E4902&gt;0,E4902*IF(ISNUMBER(J4902),J4902,IF(C4902="Futures",$C$6,$C$5)),""),"")</f>
        <v/>
      </c>
      <c r="I4902" s="139">
        <f>IFERROR(IF(AND(ISNUMBER(F4902),ISNUMBER(H4902)),F4902-H4902,""),"")</f>
        <v/>
      </c>
      <c r="J4902" s="114" t="n"/>
      <c r="K4902" s="139">
        <f>IFERROR(IF(H4902&gt;0,H4902*$C$7,""),"")</f>
        <v/>
      </c>
      <c r="L4902" s="139">
        <f>IFERROR(IF(ISNUMBER(F4902),F4902-IF(ISNUMBER(K4902),K4902,0),""),"")</f>
        <v/>
      </c>
    </row>
    <row r="4903" ht="24" customHeight="1" s="63">
      <c r="E4903" s="139" t="n"/>
      <c r="F4903" s="139" t="n"/>
      <c r="G4903" s="140">
        <f>IFERROR(IF(E4903&gt;0,(F4903/E4903)*1000,""),"")</f>
        <v/>
      </c>
      <c r="H4903" s="139">
        <f>IFERROR(IF(E4903&gt;0,E4903*IF(ISNUMBER(J4903),J4903,IF(C4903="Futures",$C$6,$C$5)),""),"")</f>
        <v/>
      </c>
      <c r="I4903" s="139">
        <f>IFERROR(IF(AND(ISNUMBER(F4903),ISNUMBER(H4903)),F4903-H4903,""),"")</f>
        <v/>
      </c>
      <c r="J4903" s="114" t="n"/>
      <c r="K4903" s="139">
        <f>IFERROR(IF(H4903&gt;0,H4903*$C$7,""),"")</f>
        <v/>
      </c>
      <c r="L4903" s="139">
        <f>IFERROR(IF(ISNUMBER(F4903),F4903-IF(ISNUMBER(K4903),K4903,0),""),"")</f>
        <v/>
      </c>
    </row>
    <row r="4904" ht="24" customHeight="1" s="63">
      <c r="E4904" s="139" t="n"/>
      <c r="F4904" s="139" t="n"/>
      <c r="G4904" s="140">
        <f>IFERROR(IF(E4904&gt;0,(F4904/E4904)*1000,""),"")</f>
        <v/>
      </c>
      <c r="H4904" s="139">
        <f>IFERROR(IF(E4904&gt;0,E4904*IF(ISNUMBER(J4904),J4904,IF(C4904="Futures",$C$6,$C$5)),""),"")</f>
        <v/>
      </c>
      <c r="I4904" s="139">
        <f>IFERROR(IF(AND(ISNUMBER(F4904),ISNUMBER(H4904)),F4904-H4904,""),"")</f>
        <v/>
      </c>
      <c r="J4904" s="114" t="n"/>
      <c r="K4904" s="139">
        <f>IFERROR(IF(H4904&gt;0,H4904*$C$7,""),"")</f>
        <v/>
      </c>
      <c r="L4904" s="139">
        <f>IFERROR(IF(ISNUMBER(F4904),F4904-IF(ISNUMBER(K4904),K4904,0),""),"")</f>
        <v/>
      </c>
    </row>
    <row r="4905" ht="24" customHeight="1" s="63">
      <c r="E4905" s="139" t="n"/>
      <c r="F4905" s="139" t="n"/>
      <c r="G4905" s="140">
        <f>IFERROR(IF(E4905&gt;0,(F4905/E4905)*1000,""),"")</f>
        <v/>
      </c>
      <c r="H4905" s="139">
        <f>IFERROR(IF(E4905&gt;0,E4905*IF(ISNUMBER(J4905),J4905,IF(C4905="Futures",$C$6,$C$5)),""),"")</f>
        <v/>
      </c>
      <c r="I4905" s="139">
        <f>IFERROR(IF(AND(ISNUMBER(F4905),ISNUMBER(H4905)),F4905-H4905,""),"")</f>
        <v/>
      </c>
      <c r="J4905" s="114" t="n"/>
      <c r="K4905" s="139">
        <f>IFERROR(IF(H4905&gt;0,H4905*$C$7,""),"")</f>
        <v/>
      </c>
      <c r="L4905" s="139">
        <f>IFERROR(IF(ISNUMBER(F4905),F4905-IF(ISNUMBER(K4905),K4905,0),""),"")</f>
        <v/>
      </c>
    </row>
    <row r="4906" ht="24" customHeight="1" s="63">
      <c r="E4906" s="139" t="n"/>
      <c r="F4906" s="139" t="n"/>
      <c r="G4906" s="140">
        <f>IFERROR(IF(E4906&gt;0,(F4906/E4906)*1000,""),"")</f>
        <v/>
      </c>
      <c r="H4906" s="139">
        <f>IFERROR(IF(E4906&gt;0,E4906*IF(ISNUMBER(J4906),J4906,IF(C4906="Futures",$C$6,$C$5)),""),"")</f>
        <v/>
      </c>
      <c r="I4906" s="139">
        <f>IFERROR(IF(AND(ISNUMBER(F4906),ISNUMBER(H4906)),F4906-H4906,""),"")</f>
        <v/>
      </c>
      <c r="J4906" s="114" t="n"/>
      <c r="K4906" s="139">
        <f>IFERROR(IF(H4906&gt;0,H4906*$C$7,""),"")</f>
        <v/>
      </c>
      <c r="L4906" s="139">
        <f>IFERROR(IF(ISNUMBER(F4906),F4906-IF(ISNUMBER(K4906),K4906,0),""),"")</f>
        <v/>
      </c>
    </row>
    <row r="4907" ht="24" customHeight="1" s="63">
      <c r="E4907" s="139" t="n"/>
      <c r="F4907" s="139" t="n"/>
      <c r="G4907" s="140">
        <f>IFERROR(IF(E4907&gt;0,(F4907/E4907)*1000,""),"")</f>
        <v/>
      </c>
      <c r="H4907" s="139">
        <f>IFERROR(IF(E4907&gt;0,E4907*IF(ISNUMBER(J4907),J4907,IF(C4907="Futures",$C$6,$C$5)),""),"")</f>
        <v/>
      </c>
      <c r="I4907" s="139">
        <f>IFERROR(IF(AND(ISNUMBER(F4907),ISNUMBER(H4907)),F4907-H4907,""),"")</f>
        <v/>
      </c>
      <c r="J4907" s="114" t="n"/>
      <c r="K4907" s="139">
        <f>IFERROR(IF(H4907&gt;0,H4907*$C$7,""),"")</f>
        <v/>
      </c>
      <c r="L4907" s="139">
        <f>IFERROR(IF(ISNUMBER(F4907),F4907-IF(ISNUMBER(K4907),K4907,0),""),"")</f>
        <v/>
      </c>
    </row>
    <row r="4908" ht="24" customHeight="1" s="63">
      <c r="E4908" s="139" t="n"/>
      <c r="F4908" s="139" t="n"/>
      <c r="G4908" s="140">
        <f>IFERROR(IF(E4908&gt;0,(F4908/E4908)*1000,""),"")</f>
        <v/>
      </c>
      <c r="H4908" s="139">
        <f>IFERROR(IF(E4908&gt;0,E4908*IF(ISNUMBER(J4908),J4908,IF(C4908="Futures",$C$6,$C$5)),""),"")</f>
        <v/>
      </c>
      <c r="I4908" s="139">
        <f>IFERROR(IF(AND(ISNUMBER(F4908),ISNUMBER(H4908)),F4908-H4908,""),"")</f>
        <v/>
      </c>
      <c r="J4908" s="114" t="n"/>
      <c r="K4908" s="139">
        <f>IFERROR(IF(H4908&gt;0,H4908*$C$7,""),"")</f>
        <v/>
      </c>
      <c r="L4908" s="139">
        <f>IFERROR(IF(ISNUMBER(F4908),F4908-IF(ISNUMBER(K4908),K4908,0),""),"")</f>
        <v/>
      </c>
    </row>
    <row r="4909" ht="24" customHeight="1" s="63">
      <c r="E4909" s="139" t="n"/>
      <c r="F4909" s="139" t="n"/>
      <c r="G4909" s="140">
        <f>IFERROR(IF(E4909&gt;0,(F4909/E4909)*1000,""),"")</f>
        <v/>
      </c>
      <c r="H4909" s="139">
        <f>IFERROR(IF(E4909&gt;0,E4909*IF(ISNUMBER(J4909),J4909,IF(C4909="Futures",$C$6,$C$5)),""),"")</f>
        <v/>
      </c>
      <c r="I4909" s="139">
        <f>IFERROR(IF(AND(ISNUMBER(F4909),ISNUMBER(H4909)),F4909-H4909,""),"")</f>
        <v/>
      </c>
      <c r="J4909" s="114" t="n"/>
      <c r="K4909" s="139">
        <f>IFERROR(IF(H4909&gt;0,H4909*$C$7,""),"")</f>
        <v/>
      </c>
      <c r="L4909" s="139">
        <f>IFERROR(IF(ISNUMBER(F4909),F4909-IF(ISNUMBER(K4909),K4909,0),""),"")</f>
        <v/>
      </c>
    </row>
    <row r="4910" ht="24" customHeight="1" s="63">
      <c r="E4910" s="139" t="n"/>
      <c r="F4910" s="139" t="n"/>
      <c r="G4910" s="140">
        <f>IFERROR(IF(E4910&gt;0,(F4910/E4910)*1000,""),"")</f>
        <v/>
      </c>
      <c r="H4910" s="139">
        <f>IFERROR(IF(E4910&gt;0,E4910*IF(ISNUMBER(J4910),J4910,IF(C4910="Futures",$C$6,$C$5)),""),"")</f>
        <v/>
      </c>
      <c r="I4910" s="139">
        <f>IFERROR(IF(AND(ISNUMBER(F4910),ISNUMBER(H4910)),F4910-H4910,""),"")</f>
        <v/>
      </c>
      <c r="J4910" s="114" t="n"/>
      <c r="K4910" s="139">
        <f>IFERROR(IF(H4910&gt;0,H4910*$C$7,""),"")</f>
        <v/>
      </c>
      <c r="L4910" s="139">
        <f>IFERROR(IF(ISNUMBER(F4910),F4910-IF(ISNUMBER(K4910),K4910,0),""),"")</f>
        <v/>
      </c>
    </row>
    <row r="4911" ht="24" customHeight="1" s="63">
      <c r="E4911" s="139" t="n"/>
      <c r="F4911" s="139" t="n"/>
      <c r="G4911" s="140">
        <f>IFERROR(IF(E4911&gt;0,(F4911/E4911)*1000,""),"")</f>
        <v/>
      </c>
      <c r="H4911" s="139">
        <f>IFERROR(IF(E4911&gt;0,E4911*IF(ISNUMBER(J4911),J4911,IF(C4911="Futures",$C$6,$C$5)),""),"")</f>
        <v/>
      </c>
      <c r="I4911" s="139">
        <f>IFERROR(IF(AND(ISNUMBER(F4911),ISNUMBER(H4911)),F4911-H4911,""),"")</f>
        <v/>
      </c>
      <c r="J4911" s="114" t="n"/>
      <c r="K4911" s="139">
        <f>IFERROR(IF(H4911&gt;0,H4911*$C$7,""),"")</f>
        <v/>
      </c>
      <c r="L4911" s="139">
        <f>IFERROR(IF(ISNUMBER(F4911),F4911-IF(ISNUMBER(K4911),K4911,0),""),"")</f>
        <v/>
      </c>
    </row>
    <row r="4912" ht="24" customHeight="1" s="63">
      <c r="E4912" s="139" t="n"/>
      <c r="F4912" s="139" t="n"/>
      <c r="G4912" s="140">
        <f>IFERROR(IF(E4912&gt;0,(F4912/E4912)*1000,""),"")</f>
        <v/>
      </c>
      <c r="H4912" s="139">
        <f>IFERROR(IF(E4912&gt;0,E4912*IF(ISNUMBER(J4912),J4912,IF(C4912="Futures",$C$6,$C$5)),""),"")</f>
        <v/>
      </c>
      <c r="I4912" s="139">
        <f>IFERROR(IF(AND(ISNUMBER(F4912),ISNUMBER(H4912)),F4912-H4912,""),"")</f>
        <v/>
      </c>
      <c r="J4912" s="114" t="n"/>
      <c r="K4912" s="139">
        <f>IFERROR(IF(H4912&gt;0,H4912*$C$7,""),"")</f>
        <v/>
      </c>
      <c r="L4912" s="139">
        <f>IFERROR(IF(ISNUMBER(F4912),F4912-IF(ISNUMBER(K4912),K4912,0),""),"")</f>
        <v/>
      </c>
    </row>
    <row r="4913" ht="24" customHeight="1" s="63">
      <c r="E4913" s="139" t="n"/>
      <c r="F4913" s="139" t="n"/>
      <c r="G4913" s="140">
        <f>IFERROR(IF(E4913&gt;0,(F4913/E4913)*1000,""),"")</f>
        <v/>
      </c>
      <c r="H4913" s="139">
        <f>IFERROR(IF(E4913&gt;0,E4913*IF(ISNUMBER(J4913),J4913,IF(C4913="Futures",$C$6,$C$5)),""),"")</f>
        <v/>
      </c>
      <c r="I4913" s="139">
        <f>IFERROR(IF(AND(ISNUMBER(F4913),ISNUMBER(H4913)),F4913-H4913,""),"")</f>
        <v/>
      </c>
      <c r="J4913" s="114" t="n"/>
      <c r="K4913" s="139">
        <f>IFERROR(IF(H4913&gt;0,H4913*$C$7,""),"")</f>
        <v/>
      </c>
      <c r="L4913" s="139">
        <f>IFERROR(IF(ISNUMBER(F4913),F4913-IF(ISNUMBER(K4913),K4913,0),""),"")</f>
        <v/>
      </c>
    </row>
    <row r="4914" ht="24" customHeight="1" s="63">
      <c r="E4914" s="139" t="n"/>
      <c r="F4914" s="139" t="n"/>
      <c r="G4914" s="140">
        <f>IFERROR(IF(E4914&gt;0,(F4914/E4914)*1000,""),"")</f>
        <v/>
      </c>
      <c r="H4914" s="139">
        <f>IFERROR(IF(E4914&gt;0,E4914*IF(ISNUMBER(J4914),J4914,IF(C4914="Futures",$C$6,$C$5)),""),"")</f>
        <v/>
      </c>
      <c r="I4914" s="139">
        <f>IFERROR(IF(AND(ISNUMBER(F4914),ISNUMBER(H4914)),F4914-H4914,""),"")</f>
        <v/>
      </c>
      <c r="J4914" s="114" t="n"/>
      <c r="K4914" s="139">
        <f>IFERROR(IF(H4914&gt;0,H4914*$C$7,""),"")</f>
        <v/>
      </c>
      <c r="L4914" s="139">
        <f>IFERROR(IF(ISNUMBER(F4914),F4914-IF(ISNUMBER(K4914),K4914,0),""),"")</f>
        <v/>
      </c>
    </row>
    <row r="4915" ht="24" customHeight="1" s="63">
      <c r="E4915" s="139" t="n"/>
      <c r="F4915" s="139" t="n"/>
      <c r="G4915" s="140">
        <f>IFERROR(IF(E4915&gt;0,(F4915/E4915)*1000,""),"")</f>
        <v/>
      </c>
      <c r="H4915" s="139">
        <f>IFERROR(IF(E4915&gt;0,E4915*IF(ISNUMBER(J4915),J4915,IF(C4915="Futures",$C$6,$C$5)),""),"")</f>
        <v/>
      </c>
      <c r="I4915" s="139">
        <f>IFERROR(IF(AND(ISNUMBER(F4915),ISNUMBER(H4915)),F4915-H4915,""),"")</f>
        <v/>
      </c>
      <c r="J4915" s="114" t="n"/>
      <c r="K4915" s="139">
        <f>IFERROR(IF(H4915&gt;0,H4915*$C$7,""),"")</f>
        <v/>
      </c>
      <c r="L4915" s="139">
        <f>IFERROR(IF(ISNUMBER(F4915),F4915-IF(ISNUMBER(K4915),K4915,0),""),"")</f>
        <v/>
      </c>
    </row>
    <row r="4916" ht="24" customHeight="1" s="63">
      <c r="E4916" s="139" t="n"/>
      <c r="F4916" s="139" t="n"/>
      <c r="G4916" s="140">
        <f>IFERROR(IF(E4916&gt;0,(F4916/E4916)*1000,""),"")</f>
        <v/>
      </c>
      <c r="H4916" s="139">
        <f>IFERROR(IF(E4916&gt;0,E4916*IF(ISNUMBER(J4916),J4916,IF(C4916="Futures",$C$6,$C$5)),""),"")</f>
        <v/>
      </c>
      <c r="I4916" s="139">
        <f>IFERROR(IF(AND(ISNUMBER(F4916),ISNUMBER(H4916)),F4916-H4916,""),"")</f>
        <v/>
      </c>
      <c r="J4916" s="114" t="n"/>
      <c r="K4916" s="139">
        <f>IFERROR(IF(H4916&gt;0,H4916*$C$7,""),"")</f>
        <v/>
      </c>
      <c r="L4916" s="139">
        <f>IFERROR(IF(ISNUMBER(F4916),F4916-IF(ISNUMBER(K4916),K4916,0),""),"")</f>
        <v/>
      </c>
    </row>
    <row r="4917" ht="24" customHeight="1" s="63">
      <c r="E4917" s="139" t="n"/>
      <c r="F4917" s="139" t="n"/>
      <c r="G4917" s="140">
        <f>IFERROR(IF(E4917&gt;0,(F4917/E4917)*1000,""),"")</f>
        <v/>
      </c>
      <c r="H4917" s="139">
        <f>IFERROR(IF(E4917&gt;0,E4917*IF(ISNUMBER(J4917),J4917,IF(C4917="Futures",$C$6,$C$5)),""),"")</f>
        <v/>
      </c>
      <c r="I4917" s="139">
        <f>IFERROR(IF(AND(ISNUMBER(F4917),ISNUMBER(H4917)),F4917-H4917,""),"")</f>
        <v/>
      </c>
      <c r="J4917" s="114" t="n"/>
      <c r="K4917" s="139">
        <f>IFERROR(IF(H4917&gt;0,H4917*$C$7,""),"")</f>
        <v/>
      </c>
      <c r="L4917" s="139">
        <f>IFERROR(IF(ISNUMBER(F4917),F4917-IF(ISNUMBER(K4917),K4917,0),""),"")</f>
        <v/>
      </c>
    </row>
    <row r="4918" ht="24" customHeight="1" s="63">
      <c r="E4918" s="139" t="n"/>
      <c r="F4918" s="139" t="n"/>
      <c r="G4918" s="140">
        <f>IFERROR(IF(E4918&gt;0,(F4918/E4918)*1000,""),"")</f>
        <v/>
      </c>
      <c r="H4918" s="139">
        <f>IFERROR(IF(E4918&gt;0,E4918*IF(ISNUMBER(J4918),J4918,IF(C4918="Futures",$C$6,$C$5)),""),"")</f>
        <v/>
      </c>
      <c r="I4918" s="139">
        <f>IFERROR(IF(AND(ISNUMBER(F4918),ISNUMBER(H4918)),F4918-H4918,""),"")</f>
        <v/>
      </c>
      <c r="J4918" s="114" t="n"/>
      <c r="K4918" s="139">
        <f>IFERROR(IF(H4918&gt;0,H4918*$C$7,""),"")</f>
        <v/>
      </c>
      <c r="L4918" s="139">
        <f>IFERROR(IF(ISNUMBER(F4918),F4918-IF(ISNUMBER(K4918),K4918,0),""),"")</f>
        <v/>
      </c>
    </row>
    <row r="4919" ht="24" customHeight="1" s="63">
      <c r="E4919" s="139" t="n"/>
      <c r="F4919" s="139" t="n"/>
      <c r="G4919" s="140">
        <f>IFERROR(IF(E4919&gt;0,(F4919/E4919)*1000,""),"")</f>
        <v/>
      </c>
      <c r="H4919" s="139">
        <f>IFERROR(IF(E4919&gt;0,E4919*IF(ISNUMBER(J4919),J4919,IF(C4919="Futures",$C$6,$C$5)),""),"")</f>
        <v/>
      </c>
      <c r="I4919" s="139">
        <f>IFERROR(IF(AND(ISNUMBER(F4919),ISNUMBER(H4919)),F4919-H4919,""),"")</f>
        <v/>
      </c>
      <c r="J4919" s="114" t="n"/>
      <c r="K4919" s="139">
        <f>IFERROR(IF(H4919&gt;0,H4919*$C$7,""),"")</f>
        <v/>
      </c>
      <c r="L4919" s="139">
        <f>IFERROR(IF(ISNUMBER(F4919),F4919-IF(ISNUMBER(K4919),K4919,0),""),"")</f>
        <v/>
      </c>
    </row>
    <row r="4920" ht="24" customHeight="1" s="63">
      <c r="E4920" s="139" t="n"/>
      <c r="F4920" s="139" t="n"/>
      <c r="G4920" s="140">
        <f>IFERROR(IF(E4920&gt;0,(F4920/E4920)*1000,""),"")</f>
        <v/>
      </c>
      <c r="H4920" s="139">
        <f>IFERROR(IF(E4920&gt;0,E4920*IF(ISNUMBER(J4920),J4920,IF(C4920="Futures",$C$6,$C$5)),""),"")</f>
        <v/>
      </c>
      <c r="I4920" s="139">
        <f>IFERROR(IF(AND(ISNUMBER(F4920),ISNUMBER(H4920)),F4920-H4920,""),"")</f>
        <v/>
      </c>
      <c r="J4920" s="114" t="n"/>
      <c r="K4920" s="139">
        <f>IFERROR(IF(H4920&gt;0,H4920*$C$7,""),"")</f>
        <v/>
      </c>
      <c r="L4920" s="139">
        <f>IFERROR(IF(ISNUMBER(F4920),F4920-IF(ISNUMBER(K4920),K4920,0),""),"")</f>
        <v/>
      </c>
    </row>
    <row r="4921" ht="24" customHeight="1" s="63">
      <c r="E4921" s="139" t="n"/>
      <c r="F4921" s="139" t="n"/>
      <c r="G4921" s="140">
        <f>IFERROR(IF(E4921&gt;0,(F4921/E4921)*1000,""),"")</f>
        <v/>
      </c>
      <c r="H4921" s="139">
        <f>IFERROR(IF(E4921&gt;0,E4921*IF(ISNUMBER(J4921),J4921,IF(C4921="Futures",$C$6,$C$5)),""),"")</f>
        <v/>
      </c>
      <c r="I4921" s="139">
        <f>IFERROR(IF(AND(ISNUMBER(F4921),ISNUMBER(H4921)),F4921-H4921,""),"")</f>
        <v/>
      </c>
      <c r="J4921" s="114" t="n"/>
      <c r="K4921" s="139">
        <f>IFERROR(IF(H4921&gt;0,H4921*$C$7,""),"")</f>
        <v/>
      </c>
      <c r="L4921" s="139">
        <f>IFERROR(IF(ISNUMBER(F4921),F4921-IF(ISNUMBER(K4921),K4921,0),""),"")</f>
        <v/>
      </c>
    </row>
    <row r="4922" ht="24" customHeight="1" s="63">
      <c r="E4922" s="139" t="n"/>
      <c r="F4922" s="139" t="n"/>
      <c r="G4922" s="140">
        <f>IFERROR(IF(E4922&gt;0,(F4922/E4922)*1000,""),"")</f>
        <v/>
      </c>
      <c r="H4922" s="139">
        <f>IFERROR(IF(E4922&gt;0,E4922*IF(ISNUMBER(J4922),J4922,IF(C4922="Futures",$C$6,$C$5)),""),"")</f>
        <v/>
      </c>
      <c r="I4922" s="139">
        <f>IFERROR(IF(AND(ISNUMBER(F4922),ISNUMBER(H4922)),F4922-H4922,""),"")</f>
        <v/>
      </c>
      <c r="J4922" s="114" t="n"/>
      <c r="K4922" s="139">
        <f>IFERROR(IF(H4922&gt;0,H4922*$C$7,""),"")</f>
        <v/>
      </c>
      <c r="L4922" s="139">
        <f>IFERROR(IF(ISNUMBER(F4922),F4922-IF(ISNUMBER(K4922),K4922,0),""),"")</f>
        <v/>
      </c>
    </row>
    <row r="4923" ht="24" customHeight="1" s="63">
      <c r="E4923" s="139" t="n"/>
      <c r="F4923" s="139" t="n"/>
      <c r="G4923" s="140">
        <f>IFERROR(IF(E4923&gt;0,(F4923/E4923)*1000,""),"")</f>
        <v/>
      </c>
      <c r="H4923" s="139">
        <f>IFERROR(IF(E4923&gt;0,E4923*IF(ISNUMBER(J4923),J4923,IF(C4923="Futures",$C$6,$C$5)),""),"")</f>
        <v/>
      </c>
      <c r="I4923" s="139">
        <f>IFERROR(IF(AND(ISNUMBER(F4923),ISNUMBER(H4923)),F4923-H4923,""),"")</f>
        <v/>
      </c>
      <c r="J4923" s="114" t="n"/>
      <c r="K4923" s="139">
        <f>IFERROR(IF(H4923&gt;0,H4923*$C$7,""),"")</f>
        <v/>
      </c>
      <c r="L4923" s="139">
        <f>IFERROR(IF(ISNUMBER(F4923),F4923-IF(ISNUMBER(K4923),K4923,0),""),"")</f>
        <v/>
      </c>
    </row>
    <row r="4924" ht="24" customHeight="1" s="63">
      <c r="E4924" s="139" t="n"/>
      <c r="F4924" s="139" t="n"/>
      <c r="G4924" s="140">
        <f>IFERROR(IF(E4924&gt;0,(F4924/E4924)*1000,""),"")</f>
        <v/>
      </c>
      <c r="H4924" s="139">
        <f>IFERROR(IF(E4924&gt;0,E4924*IF(ISNUMBER(J4924),J4924,IF(C4924="Futures",$C$6,$C$5)),""),"")</f>
        <v/>
      </c>
      <c r="I4924" s="139">
        <f>IFERROR(IF(AND(ISNUMBER(F4924),ISNUMBER(H4924)),F4924-H4924,""),"")</f>
        <v/>
      </c>
      <c r="J4924" s="114" t="n"/>
      <c r="K4924" s="139">
        <f>IFERROR(IF(H4924&gt;0,H4924*$C$7,""),"")</f>
        <v/>
      </c>
      <c r="L4924" s="139">
        <f>IFERROR(IF(ISNUMBER(F4924),F4924-IF(ISNUMBER(K4924),K4924,0),""),"")</f>
        <v/>
      </c>
    </row>
    <row r="4925" ht="24" customHeight="1" s="63">
      <c r="E4925" s="139" t="n"/>
      <c r="F4925" s="139" t="n"/>
      <c r="G4925" s="140">
        <f>IFERROR(IF(E4925&gt;0,(F4925/E4925)*1000,""),"")</f>
        <v/>
      </c>
      <c r="H4925" s="139">
        <f>IFERROR(IF(E4925&gt;0,E4925*IF(ISNUMBER(J4925),J4925,IF(C4925="Futures",$C$6,$C$5)),""),"")</f>
        <v/>
      </c>
      <c r="I4925" s="139">
        <f>IFERROR(IF(AND(ISNUMBER(F4925),ISNUMBER(H4925)),F4925-H4925,""),"")</f>
        <v/>
      </c>
      <c r="J4925" s="114" t="n"/>
      <c r="K4925" s="139">
        <f>IFERROR(IF(H4925&gt;0,H4925*$C$7,""),"")</f>
        <v/>
      </c>
      <c r="L4925" s="139">
        <f>IFERROR(IF(ISNUMBER(F4925),F4925-IF(ISNUMBER(K4925),K4925,0),""),"")</f>
        <v/>
      </c>
    </row>
    <row r="4926" ht="24" customHeight="1" s="63">
      <c r="E4926" s="139" t="n"/>
      <c r="F4926" s="139" t="n"/>
      <c r="G4926" s="140">
        <f>IFERROR(IF(E4926&gt;0,(F4926/E4926)*1000,""),"")</f>
        <v/>
      </c>
      <c r="H4926" s="139">
        <f>IFERROR(IF(E4926&gt;0,E4926*IF(ISNUMBER(J4926),J4926,IF(C4926="Futures",$C$6,$C$5)),""),"")</f>
        <v/>
      </c>
      <c r="I4926" s="139">
        <f>IFERROR(IF(AND(ISNUMBER(F4926),ISNUMBER(H4926)),F4926-H4926,""),"")</f>
        <v/>
      </c>
      <c r="J4926" s="114" t="n"/>
      <c r="K4926" s="139">
        <f>IFERROR(IF(H4926&gt;0,H4926*$C$7,""),"")</f>
        <v/>
      </c>
      <c r="L4926" s="139">
        <f>IFERROR(IF(ISNUMBER(F4926),F4926-IF(ISNUMBER(K4926),K4926,0),""),"")</f>
        <v/>
      </c>
    </row>
    <row r="4927" ht="24" customHeight="1" s="63">
      <c r="E4927" s="139" t="n"/>
      <c r="F4927" s="139" t="n"/>
      <c r="G4927" s="140">
        <f>IFERROR(IF(E4927&gt;0,(F4927/E4927)*1000,""),"")</f>
        <v/>
      </c>
      <c r="H4927" s="139">
        <f>IFERROR(IF(E4927&gt;0,E4927*IF(ISNUMBER(J4927),J4927,IF(C4927="Futures",$C$6,$C$5)),""),"")</f>
        <v/>
      </c>
      <c r="I4927" s="139">
        <f>IFERROR(IF(AND(ISNUMBER(F4927),ISNUMBER(H4927)),F4927-H4927,""),"")</f>
        <v/>
      </c>
      <c r="J4927" s="114" t="n"/>
      <c r="K4927" s="139">
        <f>IFERROR(IF(H4927&gt;0,H4927*$C$7,""),"")</f>
        <v/>
      </c>
      <c r="L4927" s="139">
        <f>IFERROR(IF(ISNUMBER(F4927),F4927-IF(ISNUMBER(K4927),K4927,0),""),"")</f>
        <v/>
      </c>
    </row>
    <row r="4928" ht="24" customHeight="1" s="63">
      <c r="E4928" s="139" t="n"/>
      <c r="F4928" s="139" t="n"/>
      <c r="G4928" s="140">
        <f>IFERROR(IF(E4928&gt;0,(F4928/E4928)*1000,""),"")</f>
        <v/>
      </c>
      <c r="H4928" s="139">
        <f>IFERROR(IF(E4928&gt;0,E4928*IF(ISNUMBER(J4928),J4928,IF(C4928="Futures",$C$6,$C$5)),""),"")</f>
        <v/>
      </c>
      <c r="I4928" s="139">
        <f>IFERROR(IF(AND(ISNUMBER(F4928),ISNUMBER(H4928)),F4928-H4928,""),"")</f>
        <v/>
      </c>
      <c r="J4928" s="114" t="n"/>
      <c r="K4928" s="139">
        <f>IFERROR(IF(H4928&gt;0,H4928*$C$7,""),"")</f>
        <v/>
      </c>
      <c r="L4928" s="139">
        <f>IFERROR(IF(ISNUMBER(F4928),F4928-IF(ISNUMBER(K4928),K4928,0),""),"")</f>
        <v/>
      </c>
    </row>
    <row r="4929" ht="24" customHeight="1" s="63">
      <c r="E4929" s="139" t="n"/>
      <c r="F4929" s="139" t="n"/>
      <c r="G4929" s="140">
        <f>IFERROR(IF(E4929&gt;0,(F4929/E4929)*1000,""),"")</f>
        <v/>
      </c>
      <c r="H4929" s="139">
        <f>IFERROR(IF(E4929&gt;0,E4929*IF(ISNUMBER(J4929),J4929,IF(C4929="Futures",$C$6,$C$5)),""),"")</f>
        <v/>
      </c>
      <c r="I4929" s="139">
        <f>IFERROR(IF(AND(ISNUMBER(F4929),ISNUMBER(H4929)),F4929-H4929,""),"")</f>
        <v/>
      </c>
      <c r="J4929" s="114" t="n"/>
      <c r="K4929" s="139">
        <f>IFERROR(IF(H4929&gt;0,H4929*$C$7,""),"")</f>
        <v/>
      </c>
      <c r="L4929" s="139">
        <f>IFERROR(IF(ISNUMBER(F4929),F4929-IF(ISNUMBER(K4929),K4929,0),""),"")</f>
        <v/>
      </c>
    </row>
    <row r="4930" ht="24" customHeight="1" s="63">
      <c r="E4930" s="139" t="n"/>
      <c r="F4930" s="139" t="n"/>
      <c r="G4930" s="140">
        <f>IFERROR(IF(E4930&gt;0,(F4930/E4930)*1000,""),"")</f>
        <v/>
      </c>
      <c r="H4930" s="139">
        <f>IFERROR(IF(E4930&gt;0,E4930*IF(ISNUMBER(J4930),J4930,IF(C4930="Futures",$C$6,$C$5)),""),"")</f>
        <v/>
      </c>
      <c r="I4930" s="139">
        <f>IFERROR(IF(AND(ISNUMBER(F4930),ISNUMBER(H4930)),F4930-H4930,""),"")</f>
        <v/>
      </c>
      <c r="J4930" s="114" t="n"/>
      <c r="K4930" s="139">
        <f>IFERROR(IF(H4930&gt;0,H4930*$C$7,""),"")</f>
        <v/>
      </c>
      <c r="L4930" s="139">
        <f>IFERROR(IF(ISNUMBER(F4930),F4930-IF(ISNUMBER(K4930),K4930,0),""),"")</f>
        <v/>
      </c>
    </row>
    <row r="4931" ht="24" customHeight="1" s="63">
      <c r="E4931" s="139" t="n"/>
      <c r="F4931" s="139" t="n"/>
      <c r="G4931" s="140">
        <f>IFERROR(IF(E4931&gt;0,(F4931/E4931)*1000,""),"")</f>
        <v/>
      </c>
      <c r="H4931" s="139">
        <f>IFERROR(IF(E4931&gt;0,E4931*IF(ISNUMBER(J4931),J4931,IF(C4931="Futures",$C$6,$C$5)),""),"")</f>
        <v/>
      </c>
      <c r="I4931" s="139">
        <f>IFERROR(IF(AND(ISNUMBER(F4931),ISNUMBER(H4931)),F4931-H4931,""),"")</f>
        <v/>
      </c>
      <c r="J4931" s="114" t="n"/>
      <c r="K4931" s="139">
        <f>IFERROR(IF(H4931&gt;0,H4931*$C$7,""),"")</f>
        <v/>
      </c>
      <c r="L4931" s="139">
        <f>IFERROR(IF(ISNUMBER(F4931),F4931-IF(ISNUMBER(K4931),K4931,0),""),"")</f>
        <v/>
      </c>
    </row>
    <row r="4932" ht="24" customHeight="1" s="63">
      <c r="E4932" s="139" t="n"/>
      <c r="F4932" s="139" t="n"/>
      <c r="G4932" s="140">
        <f>IFERROR(IF(E4932&gt;0,(F4932/E4932)*1000,""),"")</f>
        <v/>
      </c>
      <c r="H4932" s="139">
        <f>IFERROR(IF(E4932&gt;0,E4932*IF(ISNUMBER(J4932),J4932,IF(C4932="Futures",$C$6,$C$5)),""),"")</f>
        <v/>
      </c>
      <c r="I4932" s="139">
        <f>IFERROR(IF(AND(ISNUMBER(F4932),ISNUMBER(H4932)),F4932-H4932,""),"")</f>
        <v/>
      </c>
      <c r="J4932" s="114" t="n"/>
      <c r="K4932" s="139">
        <f>IFERROR(IF(H4932&gt;0,H4932*$C$7,""),"")</f>
        <v/>
      </c>
      <c r="L4932" s="139">
        <f>IFERROR(IF(ISNUMBER(F4932),F4932-IF(ISNUMBER(K4932),K4932,0),""),"")</f>
        <v/>
      </c>
    </row>
    <row r="4933" ht="24" customHeight="1" s="63">
      <c r="E4933" s="139" t="n"/>
      <c r="F4933" s="139" t="n"/>
      <c r="G4933" s="140">
        <f>IFERROR(IF(E4933&gt;0,(F4933/E4933)*1000,""),"")</f>
        <v/>
      </c>
      <c r="H4933" s="139">
        <f>IFERROR(IF(E4933&gt;0,E4933*IF(ISNUMBER(J4933),J4933,IF(C4933="Futures",$C$6,$C$5)),""),"")</f>
        <v/>
      </c>
      <c r="I4933" s="139">
        <f>IFERROR(IF(AND(ISNUMBER(F4933),ISNUMBER(H4933)),F4933-H4933,""),"")</f>
        <v/>
      </c>
      <c r="J4933" s="114" t="n"/>
      <c r="K4933" s="139">
        <f>IFERROR(IF(H4933&gt;0,H4933*$C$7,""),"")</f>
        <v/>
      </c>
      <c r="L4933" s="139">
        <f>IFERROR(IF(ISNUMBER(F4933),F4933-IF(ISNUMBER(K4933),K4933,0),""),"")</f>
        <v/>
      </c>
    </row>
    <row r="4934" ht="24" customHeight="1" s="63">
      <c r="E4934" s="139" t="n"/>
      <c r="F4934" s="139" t="n"/>
      <c r="G4934" s="140">
        <f>IFERROR(IF(E4934&gt;0,(F4934/E4934)*1000,""),"")</f>
        <v/>
      </c>
      <c r="H4934" s="139">
        <f>IFERROR(IF(E4934&gt;0,E4934*IF(ISNUMBER(J4934),J4934,IF(C4934="Futures",$C$6,$C$5)),""),"")</f>
        <v/>
      </c>
      <c r="I4934" s="139">
        <f>IFERROR(IF(AND(ISNUMBER(F4934),ISNUMBER(H4934)),F4934-H4934,""),"")</f>
        <v/>
      </c>
      <c r="J4934" s="114" t="n"/>
      <c r="K4934" s="139">
        <f>IFERROR(IF(H4934&gt;0,H4934*$C$7,""),"")</f>
        <v/>
      </c>
      <c r="L4934" s="139">
        <f>IFERROR(IF(ISNUMBER(F4934),F4934-IF(ISNUMBER(K4934),K4934,0),""),"")</f>
        <v/>
      </c>
    </row>
    <row r="4935" ht="24" customHeight="1" s="63">
      <c r="E4935" s="139" t="n"/>
      <c r="F4935" s="139" t="n"/>
      <c r="G4935" s="140">
        <f>IFERROR(IF(E4935&gt;0,(F4935/E4935)*1000,""),"")</f>
        <v/>
      </c>
      <c r="H4935" s="139">
        <f>IFERROR(IF(E4935&gt;0,E4935*IF(ISNUMBER(J4935),J4935,IF(C4935="Futures",$C$6,$C$5)),""),"")</f>
        <v/>
      </c>
      <c r="I4935" s="139">
        <f>IFERROR(IF(AND(ISNUMBER(F4935),ISNUMBER(H4935)),F4935-H4935,""),"")</f>
        <v/>
      </c>
      <c r="J4935" s="114" t="n"/>
      <c r="K4935" s="139">
        <f>IFERROR(IF(H4935&gt;0,H4935*$C$7,""),"")</f>
        <v/>
      </c>
      <c r="L4935" s="139">
        <f>IFERROR(IF(ISNUMBER(F4935),F4935-IF(ISNUMBER(K4935),K4935,0),""),"")</f>
        <v/>
      </c>
    </row>
    <row r="4936" ht="24" customHeight="1" s="63">
      <c r="E4936" s="139" t="n"/>
      <c r="F4936" s="139" t="n"/>
      <c r="G4936" s="140">
        <f>IFERROR(IF(E4936&gt;0,(F4936/E4936)*1000,""),"")</f>
        <v/>
      </c>
      <c r="H4936" s="139">
        <f>IFERROR(IF(E4936&gt;0,E4936*IF(ISNUMBER(J4936),J4936,IF(C4936="Futures",$C$6,$C$5)),""),"")</f>
        <v/>
      </c>
      <c r="I4936" s="139">
        <f>IFERROR(IF(AND(ISNUMBER(F4936),ISNUMBER(H4936)),F4936-H4936,""),"")</f>
        <v/>
      </c>
      <c r="J4936" s="114" t="n"/>
      <c r="K4936" s="139">
        <f>IFERROR(IF(H4936&gt;0,H4936*$C$7,""),"")</f>
        <v/>
      </c>
      <c r="L4936" s="139">
        <f>IFERROR(IF(ISNUMBER(F4936),F4936-IF(ISNUMBER(K4936),K4936,0),""),"")</f>
        <v/>
      </c>
    </row>
    <row r="4937" ht="24" customHeight="1" s="63">
      <c r="E4937" s="139" t="n"/>
      <c r="F4937" s="139" t="n"/>
      <c r="G4937" s="140">
        <f>IFERROR(IF(E4937&gt;0,(F4937/E4937)*1000,""),"")</f>
        <v/>
      </c>
      <c r="H4937" s="139">
        <f>IFERROR(IF(E4937&gt;0,E4937*IF(ISNUMBER(J4937),J4937,IF(C4937="Futures",$C$6,$C$5)),""),"")</f>
        <v/>
      </c>
      <c r="I4937" s="139">
        <f>IFERROR(IF(AND(ISNUMBER(F4937),ISNUMBER(H4937)),F4937-H4937,""),"")</f>
        <v/>
      </c>
      <c r="J4937" s="114" t="n"/>
      <c r="K4937" s="139">
        <f>IFERROR(IF(H4937&gt;0,H4937*$C$7,""),"")</f>
        <v/>
      </c>
      <c r="L4937" s="139">
        <f>IFERROR(IF(ISNUMBER(F4937),F4937-IF(ISNUMBER(K4937),K4937,0),""),"")</f>
        <v/>
      </c>
    </row>
    <row r="4938" ht="24" customHeight="1" s="63">
      <c r="E4938" s="139" t="n"/>
      <c r="F4938" s="139" t="n"/>
      <c r="G4938" s="140">
        <f>IFERROR(IF(E4938&gt;0,(F4938/E4938)*1000,""),"")</f>
        <v/>
      </c>
      <c r="H4938" s="139">
        <f>IFERROR(IF(E4938&gt;0,E4938*IF(ISNUMBER(J4938),J4938,IF(C4938="Futures",$C$6,$C$5)),""),"")</f>
        <v/>
      </c>
      <c r="I4938" s="139">
        <f>IFERROR(IF(AND(ISNUMBER(F4938),ISNUMBER(H4938)),F4938-H4938,""),"")</f>
        <v/>
      </c>
      <c r="J4938" s="114" t="n"/>
      <c r="K4938" s="139">
        <f>IFERROR(IF(H4938&gt;0,H4938*$C$7,""),"")</f>
        <v/>
      </c>
      <c r="L4938" s="139">
        <f>IFERROR(IF(ISNUMBER(F4938),F4938-IF(ISNUMBER(K4938),K4938,0),""),"")</f>
        <v/>
      </c>
    </row>
    <row r="4939" ht="24" customHeight="1" s="63">
      <c r="E4939" s="139" t="n"/>
      <c r="F4939" s="139" t="n"/>
      <c r="G4939" s="140">
        <f>IFERROR(IF(E4939&gt;0,(F4939/E4939)*1000,""),"")</f>
        <v/>
      </c>
      <c r="H4939" s="139">
        <f>IFERROR(IF(E4939&gt;0,E4939*IF(ISNUMBER(J4939),J4939,IF(C4939="Futures",$C$6,$C$5)),""),"")</f>
        <v/>
      </c>
      <c r="I4939" s="139">
        <f>IFERROR(IF(AND(ISNUMBER(F4939),ISNUMBER(H4939)),F4939-H4939,""),"")</f>
        <v/>
      </c>
      <c r="J4939" s="114" t="n"/>
      <c r="K4939" s="139">
        <f>IFERROR(IF(H4939&gt;0,H4939*$C$7,""),"")</f>
        <v/>
      </c>
      <c r="L4939" s="139">
        <f>IFERROR(IF(ISNUMBER(F4939),F4939-IF(ISNUMBER(K4939),K4939,0),""),"")</f>
        <v/>
      </c>
    </row>
    <row r="4940" ht="24" customHeight="1" s="63">
      <c r="E4940" s="139" t="n"/>
      <c r="F4940" s="139" t="n"/>
      <c r="G4940" s="140">
        <f>IFERROR(IF(E4940&gt;0,(F4940/E4940)*1000,""),"")</f>
        <v/>
      </c>
      <c r="H4940" s="139">
        <f>IFERROR(IF(E4940&gt;0,E4940*IF(ISNUMBER(J4940),J4940,IF(C4940="Futures",$C$6,$C$5)),""),"")</f>
        <v/>
      </c>
      <c r="I4940" s="139">
        <f>IFERROR(IF(AND(ISNUMBER(F4940),ISNUMBER(H4940)),F4940-H4940,""),"")</f>
        <v/>
      </c>
      <c r="J4940" s="114" t="n"/>
      <c r="K4940" s="139">
        <f>IFERROR(IF(H4940&gt;0,H4940*$C$7,""),"")</f>
        <v/>
      </c>
      <c r="L4940" s="139">
        <f>IFERROR(IF(ISNUMBER(F4940),F4940-IF(ISNUMBER(K4940),K4940,0),""),"")</f>
        <v/>
      </c>
    </row>
    <row r="4941" ht="24" customHeight="1" s="63">
      <c r="E4941" s="139" t="n"/>
      <c r="F4941" s="139" t="n"/>
      <c r="G4941" s="140">
        <f>IFERROR(IF(E4941&gt;0,(F4941/E4941)*1000,""),"")</f>
        <v/>
      </c>
      <c r="H4941" s="139">
        <f>IFERROR(IF(E4941&gt;0,E4941*IF(ISNUMBER(J4941),J4941,IF(C4941="Futures",$C$6,$C$5)),""),"")</f>
        <v/>
      </c>
      <c r="I4941" s="139">
        <f>IFERROR(IF(AND(ISNUMBER(F4941),ISNUMBER(H4941)),F4941-H4941,""),"")</f>
        <v/>
      </c>
      <c r="J4941" s="114" t="n"/>
      <c r="K4941" s="139">
        <f>IFERROR(IF(H4941&gt;0,H4941*$C$7,""),"")</f>
        <v/>
      </c>
      <c r="L4941" s="139">
        <f>IFERROR(IF(ISNUMBER(F4941),F4941-IF(ISNUMBER(K4941),K4941,0),""),"")</f>
        <v/>
      </c>
    </row>
    <row r="4942" ht="24" customHeight="1" s="63">
      <c r="E4942" s="139" t="n"/>
      <c r="F4942" s="139" t="n"/>
      <c r="G4942" s="140">
        <f>IFERROR(IF(E4942&gt;0,(F4942/E4942)*1000,""),"")</f>
        <v/>
      </c>
      <c r="H4942" s="139">
        <f>IFERROR(IF(E4942&gt;0,E4942*IF(ISNUMBER(J4942),J4942,IF(C4942="Futures",$C$6,$C$5)),""),"")</f>
        <v/>
      </c>
      <c r="I4942" s="139">
        <f>IFERROR(IF(AND(ISNUMBER(F4942),ISNUMBER(H4942)),F4942-H4942,""),"")</f>
        <v/>
      </c>
      <c r="J4942" s="114" t="n"/>
      <c r="K4942" s="139">
        <f>IFERROR(IF(H4942&gt;0,H4942*$C$7,""),"")</f>
        <v/>
      </c>
      <c r="L4942" s="139">
        <f>IFERROR(IF(ISNUMBER(F4942),F4942-IF(ISNUMBER(K4942),K4942,0),""),"")</f>
        <v/>
      </c>
    </row>
    <row r="4943" ht="24" customHeight="1" s="63">
      <c r="E4943" s="139" t="n"/>
      <c r="F4943" s="139" t="n"/>
      <c r="G4943" s="140">
        <f>IFERROR(IF(E4943&gt;0,(F4943/E4943)*1000,""),"")</f>
        <v/>
      </c>
      <c r="H4943" s="139">
        <f>IFERROR(IF(E4943&gt;0,E4943*IF(ISNUMBER(J4943),J4943,IF(C4943="Futures",$C$6,$C$5)),""),"")</f>
        <v/>
      </c>
      <c r="I4943" s="139">
        <f>IFERROR(IF(AND(ISNUMBER(F4943),ISNUMBER(H4943)),F4943-H4943,""),"")</f>
        <v/>
      </c>
      <c r="J4943" s="114" t="n"/>
      <c r="K4943" s="139">
        <f>IFERROR(IF(H4943&gt;0,H4943*$C$7,""),"")</f>
        <v/>
      </c>
      <c r="L4943" s="139">
        <f>IFERROR(IF(ISNUMBER(F4943),F4943-IF(ISNUMBER(K4943),K4943,0),""),"")</f>
        <v/>
      </c>
    </row>
    <row r="4944" ht="24" customHeight="1" s="63">
      <c r="E4944" s="139" t="n"/>
      <c r="F4944" s="139" t="n"/>
      <c r="G4944" s="140">
        <f>IFERROR(IF(E4944&gt;0,(F4944/E4944)*1000,""),"")</f>
        <v/>
      </c>
      <c r="H4944" s="139">
        <f>IFERROR(IF(E4944&gt;0,E4944*IF(ISNUMBER(J4944),J4944,IF(C4944="Futures",$C$6,$C$5)),""),"")</f>
        <v/>
      </c>
      <c r="I4944" s="139">
        <f>IFERROR(IF(AND(ISNUMBER(F4944),ISNUMBER(H4944)),F4944-H4944,""),"")</f>
        <v/>
      </c>
      <c r="J4944" s="114" t="n"/>
      <c r="K4944" s="139">
        <f>IFERROR(IF(H4944&gt;0,H4944*$C$7,""),"")</f>
        <v/>
      </c>
      <c r="L4944" s="139">
        <f>IFERROR(IF(ISNUMBER(F4944),F4944-IF(ISNUMBER(K4944),K4944,0),""),"")</f>
        <v/>
      </c>
    </row>
    <row r="4945" ht="24" customHeight="1" s="63">
      <c r="E4945" s="139" t="n"/>
      <c r="F4945" s="139" t="n"/>
      <c r="G4945" s="140">
        <f>IFERROR(IF(E4945&gt;0,(F4945/E4945)*1000,""),"")</f>
        <v/>
      </c>
      <c r="H4945" s="139">
        <f>IFERROR(IF(E4945&gt;0,E4945*IF(ISNUMBER(J4945),J4945,IF(C4945="Futures",$C$6,$C$5)),""),"")</f>
        <v/>
      </c>
      <c r="I4945" s="139">
        <f>IFERROR(IF(AND(ISNUMBER(F4945),ISNUMBER(H4945)),F4945-H4945,""),"")</f>
        <v/>
      </c>
      <c r="J4945" s="114" t="n"/>
      <c r="K4945" s="139">
        <f>IFERROR(IF(H4945&gt;0,H4945*$C$7,""),"")</f>
        <v/>
      </c>
      <c r="L4945" s="139">
        <f>IFERROR(IF(ISNUMBER(F4945),F4945-IF(ISNUMBER(K4945),K4945,0),""),"")</f>
        <v/>
      </c>
    </row>
    <row r="4946" ht="24" customHeight="1" s="63">
      <c r="E4946" s="139" t="n"/>
      <c r="F4946" s="139" t="n"/>
      <c r="G4946" s="140">
        <f>IFERROR(IF(E4946&gt;0,(F4946/E4946)*1000,""),"")</f>
        <v/>
      </c>
      <c r="H4946" s="139">
        <f>IFERROR(IF(E4946&gt;0,E4946*IF(ISNUMBER(J4946),J4946,IF(C4946="Futures",$C$6,$C$5)),""),"")</f>
        <v/>
      </c>
      <c r="I4946" s="139">
        <f>IFERROR(IF(AND(ISNUMBER(F4946),ISNUMBER(H4946)),F4946-H4946,""),"")</f>
        <v/>
      </c>
      <c r="J4946" s="114" t="n"/>
      <c r="K4946" s="139">
        <f>IFERROR(IF(H4946&gt;0,H4946*$C$7,""),"")</f>
        <v/>
      </c>
      <c r="L4946" s="139">
        <f>IFERROR(IF(ISNUMBER(F4946),F4946-IF(ISNUMBER(K4946),K4946,0),""),"")</f>
        <v/>
      </c>
    </row>
    <row r="4947" ht="24" customHeight="1" s="63">
      <c r="E4947" s="139" t="n"/>
      <c r="F4947" s="139" t="n"/>
      <c r="G4947" s="140">
        <f>IFERROR(IF(E4947&gt;0,(F4947/E4947)*1000,""),"")</f>
        <v/>
      </c>
      <c r="H4947" s="139">
        <f>IFERROR(IF(E4947&gt;0,E4947*IF(ISNUMBER(J4947),J4947,IF(C4947="Futures",$C$6,$C$5)),""),"")</f>
        <v/>
      </c>
      <c r="I4947" s="139">
        <f>IFERROR(IF(AND(ISNUMBER(F4947),ISNUMBER(H4947)),F4947-H4947,""),"")</f>
        <v/>
      </c>
      <c r="J4947" s="114" t="n"/>
      <c r="K4947" s="139">
        <f>IFERROR(IF(H4947&gt;0,H4947*$C$7,""),"")</f>
        <v/>
      </c>
      <c r="L4947" s="139">
        <f>IFERROR(IF(ISNUMBER(F4947),F4947-IF(ISNUMBER(K4947),K4947,0),""),"")</f>
        <v/>
      </c>
    </row>
    <row r="4948" ht="24" customHeight="1" s="63">
      <c r="E4948" s="139" t="n"/>
      <c r="F4948" s="139" t="n"/>
      <c r="G4948" s="140">
        <f>IFERROR(IF(E4948&gt;0,(F4948/E4948)*1000,""),"")</f>
        <v/>
      </c>
      <c r="H4948" s="139">
        <f>IFERROR(IF(E4948&gt;0,E4948*IF(ISNUMBER(J4948),J4948,IF(C4948="Futures",$C$6,$C$5)),""),"")</f>
        <v/>
      </c>
      <c r="I4948" s="139">
        <f>IFERROR(IF(AND(ISNUMBER(F4948),ISNUMBER(H4948)),F4948-H4948,""),"")</f>
        <v/>
      </c>
      <c r="J4948" s="114" t="n"/>
      <c r="K4948" s="139">
        <f>IFERROR(IF(H4948&gt;0,H4948*$C$7,""),"")</f>
        <v/>
      </c>
      <c r="L4948" s="139">
        <f>IFERROR(IF(ISNUMBER(F4948),F4948-IF(ISNUMBER(K4948),K4948,0),""),"")</f>
        <v/>
      </c>
    </row>
    <row r="4949" ht="24" customHeight="1" s="63">
      <c r="E4949" s="139" t="n"/>
      <c r="F4949" s="139" t="n"/>
      <c r="G4949" s="140">
        <f>IFERROR(IF(E4949&gt;0,(F4949/E4949)*1000,""),"")</f>
        <v/>
      </c>
      <c r="H4949" s="139">
        <f>IFERROR(IF(E4949&gt;0,E4949*IF(ISNUMBER(J4949),J4949,IF(C4949="Futures",$C$6,$C$5)),""),"")</f>
        <v/>
      </c>
      <c r="I4949" s="139">
        <f>IFERROR(IF(AND(ISNUMBER(F4949),ISNUMBER(H4949)),F4949-H4949,""),"")</f>
        <v/>
      </c>
      <c r="J4949" s="114" t="n"/>
      <c r="K4949" s="139">
        <f>IFERROR(IF(H4949&gt;0,H4949*$C$7,""),"")</f>
        <v/>
      </c>
      <c r="L4949" s="139">
        <f>IFERROR(IF(ISNUMBER(F4949),F4949-IF(ISNUMBER(K4949),K4949,0),""),"")</f>
        <v/>
      </c>
    </row>
    <row r="4950" ht="24" customHeight="1" s="63">
      <c r="E4950" s="139" t="n"/>
      <c r="F4950" s="139" t="n"/>
      <c r="G4950" s="140">
        <f>IFERROR(IF(E4950&gt;0,(F4950/E4950)*1000,""),"")</f>
        <v/>
      </c>
      <c r="H4950" s="139">
        <f>IFERROR(IF(E4950&gt;0,E4950*IF(ISNUMBER(J4950),J4950,IF(C4950="Futures",$C$6,$C$5)),""),"")</f>
        <v/>
      </c>
      <c r="I4950" s="139">
        <f>IFERROR(IF(AND(ISNUMBER(F4950),ISNUMBER(H4950)),F4950-H4950,""),"")</f>
        <v/>
      </c>
      <c r="J4950" s="114" t="n"/>
      <c r="K4950" s="139">
        <f>IFERROR(IF(H4950&gt;0,H4950*$C$7,""),"")</f>
        <v/>
      </c>
      <c r="L4950" s="139">
        <f>IFERROR(IF(ISNUMBER(F4950),F4950-IF(ISNUMBER(K4950),K4950,0),""),"")</f>
        <v/>
      </c>
    </row>
    <row r="4951" ht="24" customHeight="1" s="63">
      <c r="E4951" s="139" t="n"/>
      <c r="F4951" s="139" t="n"/>
      <c r="G4951" s="140">
        <f>IFERROR(IF(E4951&gt;0,(F4951/E4951)*1000,""),"")</f>
        <v/>
      </c>
      <c r="H4951" s="139">
        <f>IFERROR(IF(E4951&gt;0,E4951*IF(ISNUMBER(J4951),J4951,IF(C4951="Futures",$C$6,$C$5)),""),"")</f>
        <v/>
      </c>
      <c r="I4951" s="139">
        <f>IFERROR(IF(AND(ISNUMBER(F4951),ISNUMBER(H4951)),F4951-H4951,""),"")</f>
        <v/>
      </c>
      <c r="J4951" s="114" t="n"/>
      <c r="K4951" s="139">
        <f>IFERROR(IF(H4951&gt;0,H4951*$C$7,""),"")</f>
        <v/>
      </c>
      <c r="L4951" s="139">
        <f>IFERROR(IF(ISNUMBER(F4951),F4951-IF(ISNUMBER(K4951),K4951,0),""),"")</f>
        <v/>
      </c>
    </row>
    <row r="4952" ht="24" customHeight="1" s="63">
      <c r="E4952" s="139" t="n"/>
      <c r="F4952" s="139" t="n"/>
      <c r="G4952" s="140">
        <f>IFERROR(IF(E4952&gt;0,(F4952/E4952)*1000,""),"")</f>
        <v/>
      </c>
      <c r="H4952" s="139">
        <f>IFERROR(IF(E4952&gt;0,E4952*IF(ISNUMBER(J4952),J4952,IF(C4952="Futures",$C$6,$C$5)),""),"")</f>
        <v/>
      </c>
      <c r="I4952" s="139">
        <f>IFERROR(IF(AND(ISNUMBER(F4952),ISNUMBER(H4952)),F4952-H4952,""),"")</f>
        <v/>
      </c>
      <c r="J4952" s="114" t="n"/>
      <c r="K4952" s="139">
        <f>IFERROR(IF(H4952&gt;0,H4952*$C$7,""),"")</f>
        <v/>
      </c>
      <c r="L4952" s="139">
        <f>IFERROR(IF(ISNUMBER(F4952),F4952-IF(ISNUMBER(K4952),K4952,0),""),"")</f>
        <v/>
      </c>
    </row>
    <row r="4953" ht="24" customHeight="1" s="63">
      <c r="E4953" s="139" t="n"/>
      <c r="F4953" s="139" t="n"/>
      <c r="G4953" s="140">
        <f>IFERROR(IF(E4953&gt;0,(F4953/E4953)*1000,""),"")</f>
        <v/>
      </c>
      <c r="H4953" s="139">
        <f>IFERROR(IF(E4953&gt;0,E4953*IF(ISNUMBER(J4953),J4953,IF(C4953="Futures",$C$6,$C$5)),""),"")</f>
        <v/>
      </c>
      <c r="I4953" s="139">
        <f>IFERROR(IF(AND(ISNUMBER(F4953),ISNUMBER(H4953)),F4953-H4953,""),"")</f>
        <v/>
      </c>
      <c r="J4953" s="114" t="n"/>
      <c r="K4953" s="139">
        <f>IFERROR(IF(H4953&gt;0,H4953*$C$7,""),"")</f>
        <v/>
      </c>
      <c r="L4953" s="139">
        <f>IFERROR(IF(ISNUMBER(F4953),F4953-IF(ISNUMBER(K4953),K4953,0),""),"")</f>
        <v/>
      </c>
    </row>
    <row r="4954" ht="24" customHeight="1" s="63">
      <c r="E4954" s="139" t="n"/>
      <c r="F4954" s="139" t="n"/>
      <c r="G4954" s="140">
        <f>IFERROR(IF(E4954&gt;0,(F4954/E4954)*1000,""),"")</f>
        <v/>
      </c>
      <c r="H4954" s="139">
        <f>IFERROR(IF(E4954&gt;0,E4954*IF(ISNUMBER(J4954),J4954,IF(C4954="Futures",$C$6,$C$5)),""),"")</f>
        <v/>
      </c>
      <c r="I4954" s="139">
        <f>IFERROR(IF(AND(ISNUMBER(F4954),ISNUMBER(H4954)),F4954-H4954,""),"")</f>
        <v/>
      </c>
      <c r="J4954" s="114" t="n"/>
      <c r="K4954" s="139">
        <f>IFERROR(IF(H4954&gt;0,H4954*$C$7,""),"")</f>
        <v/>
      </c>
      <c r="L4954" s="139">
        <f>IFERROR(IF(ISNUMBER(F4954),F4954-IF(ISNUMBER(K4954),K4954,0),""),"")</f>
        <v/>
      </c>
    </row>
    <row r="4955" ht="24" customHeight="1" s="63">
      <c r="E4955" s="139" t="n"/>
      <c r="F4955" s="139" t="n"/>
      <c r="G4955" s="140">
        <f>IFERROR(IF(E4955&gt;0,(F4955/E4955)*1000,""),"")</f>
        <v/>
      </c>
      <c r="H4955" s="139">
        <f>IFERROR(IF(E4955&gt;0,E4955*IF(ISNUMBER(J4955),J4955,IF(C4955="Futures",$C$6,$C$5)),""),"")</f>
        <v/>
      </c>
      <c r="I4955" s="139">
        <f>IFERROR(IF(AND(ISNUMBER(F4955),ISNUMBER(H4955)),F4955-H4955,""),"")</f>
        <v/>
      </c>
      <c r="J4955" s="114" t="n"/>
      <c r="K4955" s="139">
        <f>IFERROR(IF(H4955&gt;0,H4955*$C$7,""),"")</f>
        <v/>
      </c>
      <c r="L4955" s="139">
        <f>IFERROR(IF(ISNUMBER(F4955),F4955-IF(ISNUMBER(K4955),K4955,0),""),"")</f>
        <v/>
      </c>
    </row>
    <row r="4956" ht="24" customHeight="1" s="63">
      <c r="E4956" s="139" t="n"/>
      <c r="F4956" s="139" t="n"/>
      <c r="G4956" s="140">
        <f>IFERROR(IF(E4956&gt;0,(F4956/E4956)*1000,""),"")</f>
        <v/>
      </c>
      <c r="H4956" s="139">
        <f>IFERROR(IF(E4956&gt;0,E4956*IF(ISNUMBER(J4956),J4956,IF(C4956="Futures",$C$6,$C$5)),""),"")</f>
        <v/>
      </c>
      <c r="I4956" s="139">
        <f>IFERROR(IF(AND(ISNUMBER(F4956),ISNUMBER(H4956)),F4956-H4956,""),"")</f>
        <v/>
      </c>
      <c r="J4956" s="114" t="n"/>
      <c r="K4956" s="139">
        <f>IFERROR(IF(H4956&gt;0,H4956*$C$7,""),"")</f>
        <v/>
      </c>
      <c r="L4956" s="139">
        <f>IFERROR(IF(ISNUMBER(F4956),F4956-IF(ISNUMBER(K4956),K4956,0),""),"")</f>
        <v/>
      </c>
    </row>
    <row r="4957" ht="24" customHeight="1" s="63">
      <c r="E4957" s="139" t="n"/>
      <c r="F4957" s="139" t="n"/>
      <c r="G4957" s="140">
        <f>IFERROR(IF(E4957&gt;0,(F4957/E4957)*1000,""),"")</f>
        <v/>
      </c>
      <c r="H4957" s="139">
        <f>IFERROR(IF(E4957&gt;0,E4957*IF(ISNUMBER(J4957),J4957,IF(C4957="Futures",$C$6,$C$5)),""),"")</f>
        <v/>
      </c>
      <c r="I4957" s="139">
        <f>IFERROR(IF(AND(ISNUMBER(F4957),ISNUMBER(H4957)),F4957-H4957,""),"")</f>
        <v/>
      </c>
      <c r="J4957" s="114" t="n"/>
      <c r="K4957" s="139">
        <f>IFERROR(IF(H4957&gt;0,H4957*$C$7,""),"")</f>
        <v/>
      </c>
      <c r="L4957" s="139">
        <f>IFERROR(IF(ISNUMBER(F4957),F4957-IF(ISNUMBER(K4957),K4957,0),""),"")</f>
        <v/>
      </c>
    </row>
    <row r="4958" ht="24" customHeight="1" s="63">
      <c r="E4958" s="139" t="n"/>
      <c r="F4958" s="139" t="n"/>
      <c r="G4958" s="140">
        <f>IFERROR(IF(E4958&gt;0,(F4958/E4958)*1000,""),"")</f>
        <v/>
      </c>
      <c r="H4958" s="139">
        <f>IFERROR(IF(E4958&gt;0,E4958*IF(ISNUMBER(J4958),J4958,IF(C4958="Futures",$C$6,$C$5)),""),"")</f>
        <v/>
      </c>
      <c r="I4958" s="139">
        <f>IFERROR(IF(AND(ISNUMBER(F4958),ISNUMBER(H4958)),F4958-H4958,""),"")</f>
        <v/>
      </c>
      <c r="J4958" s="114" t="n"/>
      <c r="K4958" s="139">
        <f>IFERROR(IF(H4958&gt;0,H4958*$C$7,""),"")</f>
        <v/>
      </c>
      <c r="L4958" s="139">
        <f>IFERROR(IF(ISNUMBER(F4958),F4958-IF(ISNUMBER(K4958),K4958,0),""),"")</f>
        <v/>
      </c>
    </row>
    <row r="4959" ht="24" customHeight="1" s="63">
      <c r="E4959" s="139" t="n"/>
      <c r="F4959" s="139" t="n"/>
      <c r="G4959" s="140">
        <f>IFERROR(IF(E4959&gt;0,(F4959/E4959)*1000,""),"")</f>
        <v/>
      </c>
      <c r="H4959" s="139">
        <f>IFERROR(IF(E4959&gt;0,E4959*IF(ISNUMBER(J4959),J4959,IF(C4959="Futures",$C$6,$C$5)),""),"")</f>
        <v/>
      </c>
      <c r="I4959" s="139">
        <f>IFERROR(IF(AND(ISNUMBER(F4959),ISNUMBER(H4959)),F4959-H4959,""),"")</f>
        <v/>
      </c>
      <c r="J4959" s="114" t="n"/>
      <c r="K4959" s="139">
        <f>IFERROR(IF(H4959&gt;0,H4959*$C$7,""),"")</f>
        <v/>
      </c>
      <c r="L4959" s="139">
        <f>IFERROR(IF(ISNUMBER(F4959),F4959-IF(ISNUMBER(K4959),K4959,0),""),"")</f>
        <v/>
      </c>
    </row>
    <row r="4960" ht="24" customHeight="1" s="63">
      <c r="E4960" s="139" t="n"/>
      <c r="F4960" s="139" t="n"/>
      <c r="G4960" s="140">
        <f>IFERROR(IF(E4960&gt;0,(F4960/E4960)*1000,""),"")</f>
        <v/>
      </c>
      <c r="H4960" s="139">
        <f>IFERROR(IF(E4960&gt;0,E4960*IF(ISNUMBER(J4960),J4960,IF(C4960="Futures",$C$6,$C$5)),""),"")</f>
        <v/>
      </c>
      <c r="I4960" s="139">
        <f>IFERROR(IF(AND(ISNUMBER(F4960),ISNUMBER(H4960)),F4960-H4960,""),"")</f>
        <v/>
      </c>
      <c r="J4960" s="114" t="n"/>
      <c r="K4960" s="139">
        <f>IFERROR(IF(H4960&gt;0,H4960*$C$7,""),"")</f>
        <v/>
      </c>
      <c r="L4960" s="139">
        <f>IFERROR(IF(ISNUMBER(F4960),F4960-IF(ISNUMBER(K4960),K4960,0),""),"")</f>
        <v/>
      </c>
    </row>
    <row r="4961" ht="24" customHeight="1" s="63">
      <c r="E4961" s="139" t="n"/>
      <c r="F4961" s="139" t="n"/>
      <c r="G4961" s="140">
        <f>IFERROR(IF(E4961&gt;0,(F4961/E4961)*1000,""),"")</f>
        <v/>
      </c>
      <c r="H4961" s="139">
        <f>IFERROR(IF(E4961&gt;0,E4961*IF(ISNUMBER(J4961),J4961,IF(C4961="Futures",$C$6,$C$5)),""),"")</f>
        <v/>
      </c>
      <c r="I4961" s="139">
        <f>IFERROR(IF(AND(ISNUMBER(F4961),ISNUMBER(H4961)),F4961-H4961,""),"")</f>
        <v/>
      </c>
      <c r="J4961" s="114" t="n"/>
      <c r="K4961" s="139">
        <f>IFERROR(IF(H4961&gt;0,H4961*$C$7,""),"")</f>
        <v/>
      </c>
      <c r="L4961" s="139">
        <f>IFERROR(IF(ISNUMBER(F4961),F4961-IF(ISNUMBER(K4961),K4961,0),""),"")</f>
        <v/>
      </c>
    </row>
    <row r="4962" ht="24" customHeight="1" s="63">
      <c r="E4962" s="139" t="n"/>
      <c r="F4962" s="139" t="n"/>
      <c r="G4962" s="140">
        <f>IFERROR(IF(E4962&gt;0,(F4962/E4962)*1000,""),"")</f>
        <v/>
      </c>
      <c r="H4962" s="139">
        <f>IFERROR(IF(E4962&gt;0,E4962*IF(ISNUMBER(J4962),J4962,IF(C4962="Futures",$C$6,$C$5)),""),"")</f>
        <v/>
      </c>
      <c r="I4962" s="139">
        <f>IFERROR(IF(AND(ISNUMBER(F4962),ISNUMBER(H4962)),F4962-H4962,""),"")</f>
        <v/>
      </c>
      <c r="J4962" s="114" t="n"/>
      <c r="K4962" s="139">
        <f>IFERROR(IF(H4962&gt;0,H4962*$C$7,""),"")</f>
        <v/>
      </c>
      <c r="L4962" s="139">
        <f>IFERROR(IF(ISNUMBER(F4962),F4962-IF(ISNUMBER(K4962),K4962,0),""),"")</f>
        <v/>
      </c>
    </row>
    <row r="4963" ht="24" customHeight="1" s="63">
      <c r="E4963" s="139" t="n"/>
      <c r="F4963" s="139" t="n"/>
      <c r="G4963" s="140">
        <f>IFERROR(IF(E4963&gt;0,(F4963/E4963)*1000,""),"")</f>
        <v/>
      </c>
      <c r="H4963" s="139">
        <f>IFERROR(IF(E4963&gt;0,E4963*IF(ISNUMBER(J4963),J4963,IF(C4963="Futures",$C$6,$C$5)),""),"")</f>
        <v/>
      </c>
      <c r="I4963" s="139">
        <f>IFERROR(IF(AND(ISNUMBER(F4963),ISNUMBER(H4963)),F4963-H4963,""),"")</f>
        <v/>
      </c>
      <c r="J4963" s="114" t="n"/>
      <c r="K4963" s="139">
        <f>IFERROR(IF(H4963&gt;0,H4963*$C$7,""),"")</f>
        <v/>
      </c>
      <c r="L4963" s="139">
        <f>IFERROR(IF(ISNUMBER(F4963),F4963-IF(ISNUMBER(K4963),K4963,0),""),"")</f>
        <v/>
      </c>
    </row>
    <row r="4964" ht="24" customHeight="1" s="63">
      <c r="E4964" s="139" t="n"/>
      <c r="F4964" s="139" t="n"/>
      <c r="G4964" s="140">
        <f>IFERROR(IF(E4964&gt;0,(F4964/E4964)*1000,""),"")</f>
        <v/>
      </c>
      <c r="H4964" s="139">
        <f>IFERROR(IF(E4964&gt;0,E4964*IF(ISNUMBER(J4964),J4964,IF(C4964="Futures",$C$6,$C$5)),""),"")</f>
        <v/>
      </c>
      <c r="I4964" s="139">
        <f>IFERROR(IF(AND(ISNUMBER(F4964),ISNUMBER(H4964)),F4964-H4964,""),"")</f>
        <v/>
      </c>
      <c r="J4964" s="114" t="n"/>
      <c r="K4964" s="139">
        <f>IFERROR(IF(H4964&gt;0,H4964*$C$7,""),"")</f>
        <v/>
      </c>
      <c r="L4964" s="139">
        <f>IFERROR(IF(ISNUMBER(F4964),F4964-IF(ISNUMBER(K4964),K4964,0),""),"")</f>
        <v/>
      </c>
    </row>
    <row r="4965" ht="24" customHeight="1" s="63">
      <c r="E4965" s="139" t="n"/>
      <c r="F4965" s="139" t="n"/>
      <c r="G4965" s="140">
        <f>IFERROR(IF(E4965&gt;0,(F4965/E4965)*1000,""),"")</f>
        <v/>
      </c>
      <c r="H4965" s="139">
        <f>IFERROR(IF(E4965&gt;0,E4965*IF(ISNUMBER(J4965),J4965,IF(C4965="Futures",$C$6,$C$5)),""),"")</f>
        <v/>
      </c>
      <c r="I4965" s="139">
        <f>IFERROR(IF(AND(ISNUMBER(F4965),ISNUMBER(H4965)),F4965-H4965,""),"")</f>
        <v/>
      </c>
      <c r="J4965" s="114" t="n"/>
      <c r="K4965" s="139">
        <f>IFERROR(IF(H4965&gt;0,H4965*$C$7,""),"")</f>
        <v/>
      </c>
      <c r="L4965" s="139">
        <f>IFERROR(IF(ISNUMBER(F4965),F4965-IF(ISNUMBER(K4965),K4965,0),""),"")</f>
        <v/>
      </c>
    </row>
    <row r="4966" ht="24" customHeight="1" s="63">
      <c r="E4966" s="139" t="n"/>
      <c r="F4966" s="139" t="n"/>
      <c r="G4966" s="140">
        <f>IFERROR(IF(E4966&gt;0,(F4966/E4966)*1000,""),"")</f>
        <v/>
      </c>
      <c r="H4966" s="139">
        <f>IFERROR(IF(E4966&gt;0,E4966*IF(ISNUMBER(J4966),J4966,IF(C4966="Futures",$C$6,$C$5)),""),"")</f>
        <v/>
      </c>
      <c r="I4966" s="139">
        <f>IFERROR(IF(AND(ISNUMBER(F4966),ISNUMBER(H4966)),F4966-H4966,""),"")</f>
        <v/>
      </c>
      <c r="J4966" s="114" t="n"/>
      <c r="K4966" s="139">
        <f>IFERROR(IF(H4966&gt;0,H4966*$C$7,""),"")</f>
        <v/>
      </c>
      <c r="L4966" s="139">
        <f>IFERROR(IF(ISNUMBER(F4966),F4966-IF(ISNUMBER(K4966),K4966,0),""),"")</f>
        <v/>
      </c>
    </row>
    <row r="4967" ht="24" customHeight="1" s="63">
      <c r="E4967" s="139" t="n"/>
      <c r="F4967" s="139" t="n"/>
      <c r="G4967" s="140">
        <f>IFERROR(IF(E4967&gt;0,(F4967/E4967)*1000,""),"")</f>
        <v/>
      </c>
      <c r="H4967" s="139">
        <f>IFERROR(IF(E4967&gt;0,E4967*IF(ISNUMBER(J4967),J4967,IF(C4967="Futures",$C$6,$C$5)),""),"")</f>
        <v/>
      </c>
      <c r="I4967" s="139">
        <f>IFERROR(IF(AND(ISNUMBER(F4967),ISNUMBER(H4967)),F4967-H4967,""),"")</f>
        <v/>
      </c>
      <c r="J4967" s="114" t="n"/>
      <c r="K4967" s="139">
        <f>IFERROR(IF(H4967&gt;0,H4967*$C$7,""),"")</f>
        <v/>
      </c>
      <c r="L4967" s="139">
        <f>IFERROR(IF(ISNUMBER(F4967),F4967-IF(ISNUMBER(K4967),K4967,0),""),"")</f>
        <v/>
      </c>
    </row>
    <row r="4968" ht="24" customHeight="1" s="63">
      <c r="E4968" s="139" t="n"/>
      <c r="F4968" s="139" t="n"/>
      <c r="G4968" s="140">
        <f>IFERROR(IF(E4968&gt;0,(F4968/E4968)*1000,""),"")</f>
        <v/>
      </c>
      <c r="H4968" s="139">
        <f>IFERROR(IF(E4968&gt;0,E4968*IF(ISNUMBER(J4968),J4968,IF(C4968="Futures",$C$6,$C$5)),""),"")</f>
        <v/>
      </c>
      <c r="I4968" s="139">
        <f>IFERROR(IF(AND(ISNUMBER(F4968),ISNUMBER(H4968)),F4968-H4968,""),"")</f>
        <v/>
      </c>
      <c r="J4968" s="114" t="n"/>
      <c r="K4968" s="139">
        <f>IFERROR(IF(H4968&gt;0,H4968*$C$7,""),"")</f>
        <v/>
      </c>
      <c r="L4968" s="139">
        <f>IFERROR(IF(ISNUMBER(F4968),F4968-IF(ISNUMBER(K4968),K4968,0),""),"")</f>
        <v/>
      </c>
    </row>
    <row r="4969" ht="24" customHeight="1" s="63">
      <c r="E4969" s="139" t="n"/>
      <c r="F4969" s="139" t="n"/>
      <c r="G4969" s="140">
        <f>IFERROR(IF(E4969&gt;0,(F4969/E4969)*1000,""),"")</f>
        <v/>
      </c>
      <c r="H4969" s="139">
        <f>IFERROR(IF(E4969&gt;0,E4969*IF(ISNUMBER(J4969),J4969,IF(C4969="Futures",$C$6,$C$5)),""),"")</f>
        <v/>
      </c>
      <c r="I4969" s="139">
        <f>IFERROR(IF(AND(ISNUMBER(F4969),ISNUMBER(H4969)),F4969-H4969,""),"")</f>
        <v/>
      </c>
      <c r="J4969" s="114" t="n"/>
      <c r="K4969" s="139">
        <f>IFERROR(IF(H4969&gt;0,H4969*$C$7,""),"")</f>
        <v/>
      </c>
      <c r="L4969" s="139">
        <f>IFERROR(IF(ISNUMBER(F4969),F4969-IF(ISNUMBER(K4969),K4969,0),""),"")</f>
        <v/>
      </c>
    </row>
    <row r="4970" ht="24" customHeight="1" s="63">
      <c r="E4970" s="139" t="n"/>
      <c r="F4970" s="139" t="n"/>
      <c r="G4970" s="140">
        <f>IFERROR(IF(E4970&gt;0,(F4970/E4970)*1000,""),"")</f>
        <v/>
      </c>
      <c r="H4970" s="139">
        <f>IFERROR(IF(E4970&gt;0,E4970*IF(ISNUMBER(J4970),J4970,IF(C4970="Futures",$C$6,$C$5)),""),"")</f>
        <v/>
      </c>
      <c r="I4970" s="139">
        <f>IFERROR(IF(AND(ISNUMBER(F4970),ISNUMBER(H4970)),F4970-H4970,""),"")</f>
        <v/>
      </c>
      <c r="J4970" s="114" t="n"/>
      <c r="K4970" s="139">
        <f>IFERROR(IF(H4970&gt;0,H4970*$C$7,""),"")</f>
        <v/>
      </c>
      <c r="L4970" s="139">
        <f>IFERROR(IF(ISNUMBER(F4970),F4970-IF(ISNUMBER(K4970),K4970,0),""),"")</f>
        <v/>
      </c>
    </row>
    <row r="4971" ht="24" customHeight="1" s="63">
      <c r="E4971" s="139" t="n"/>
      <c r="F4971" s="139" t="n"/>
      <c r="G4971" s="140">
        <f>IFERROR(IF(E4971&gt;0,(F4971/E4971)*1000,""),"")</f>
        <v/>
      </c>
      <c r="H4971" s="139">
        <f>IFERROR(IF(E4971&gt;0,E4971*IF(ISNUMBER(J4971),J4971,IF(C4971="Futures",$C$6,$C$5)),""),"")</f>
        <v/>
      </c>
      <c r="I4971" s="139">
        <f>IFERROR(IF(AND(ISNUMBER(F4971),ISNUMBER(H4971)),F4971-H4971,""),"")</f>
        <v/>
      </c>
      <c r="J4971" s="114" t="n"/>
      <c r="K4971" s="139">
        <f>IFERROR(IF(H4971&gt;0,H4971*$C$7,""),"")</f>
        <v/>
      </c>
      <c r="L4971" s="139">
        <f>IFERROR(IF(ISNUMBER(F4971),F4971-IF(ISNUMBER(K4971),K4971,0),""),"")</f>
        <v/>
      </c>
    </row>
    <row r="4972" ht="24" customHeight="1" s="63">
      <c r="E4972" s="139" t="n"/>
      <c r="F4972" s="139" t="n"/>
      <c r="G4972" s="140">
        <f>IFERROR(IF(E4972&gt;0,(F4972/E4972)*1000,""),"")</f>
        <v/>
      </c>
      <c r="H4972" s="139">
        <f>IFERROR(IF(E4972&gt;0,E4972*IF(ISNUMBER(J4972),J4972,IF(C4972="Futures",$C$6,$C$5)),""),"")</f>
        <v/>
      </c>
      <c r="I4972" s="139">
        <f>IFERROR(IF(AND(ISNUMBER(F4972),ISNUMBER(H4972)),F4972-H4972,""),"")</f>
        <v/>
      </c>
      <c r="J4972" s="114" t="n"/>
      <c r="K4972" s="139">
        <f>IFERROR(IF(H4972&gt;0,H4972*$C$7,""),"")</f>
        <v/>
      </c>
      <c r="L4972" s="139">
        <f>IFERROR(IF(ISNUMBER(F4972),F4972-IF(ISNUMBER(K4972),K4972,0),""),"")</f>
        <v/>
      </c>
    </row>
    <row r="4973" ht="24" customHeight="1" s="63">
      <c r="E4973" s="139" t="n"/>
      <c r="F4973" s="139" t="n"/>
      <c r="G4973" s="140">
        <f>IFERROR(IF(E4973&gt;0,(F4973/E4973)*1000,""),"")</f>
        <v/>
      </c>
      <c r="H4973" s="139">
        <f>IFERROR(IF(E4973&gt;0,E4973*IF(ISNUMBER(J4973),J4973,IF(C4973="Futures",$C$6,$C$5)),""),"")</f>
        <v/>
      </c>
      <c r="I4973" s="139">
        <f>IFERROR(IF(AND(ISNUMBER(F4973),ISNUMBER(H4973)),F4973-H4973,""),"")</f>
        <v/>
      </c>
      <c r="J4973" s="114" t="n"/>
      <c r="K4973" s="139">
        <f>IFERROR(IF(H4973&gt;0,H4973*$C$7,""),"")</f>
        <v/>
      </c>
      <c r="L4973" s="139">
        <f>IFERROR(IF(ISNUMBER(F4973),F4973-IF(ISNUMBER(K4973),K4973,0),""),"")</f>
        <v/>
      </c>
    </row>
    <row r="4974" ht="24" customHeight="1" s="63">
      <c r="E4974" s="139" t="n"/>
      <c r="F4974" s="139" t="n"/>
      <c r="G4974" s="140">
        <f>IFERROR(IF(E4974&gt;0,(F4974/E4974)*1000,""),"")</f>
        <v/>
      </c>
      <c r="H4974" s="139">
        <f>IFERROR(IF(E4974&gt;0,E4974*IF(ISNUMBER(J4974),J4974,IF(C4974="Futures",$C$6,$C$5)),""),"")</f>
        <v/>
      </c>
      <c r="I4974" s="139">
        <f>IFERROR(IF(AND(ISNUMBER(F4974),ISNUMBER(H4974)),F4974-H4974,""),"")</f>
        <v/>
      </c>
      <c r="J4974" s="114" t="n"/>
      <c r="K4974" s="139">
        <f>IFERROR(IF(H4974&gt;0,H4974*$C$7,""),"")</f>
        <v/>
      </c>
      <c r="L4974" s="139">
        <f>IFERROR(IF(ISNUMBER(F4974),F4974-IF(ISNUMBER(K4974),K4974,0),""),"")</f>
        <v/>
      </c>
    </row>
    <row r="4975" ht="24" customHeight="1" s="63">
      <c r="E4975" s="139" t="n"/>
      <c r="F4975" s="139" t="n"/>
      <c r="G4975" s="140">
        <f>IFERROR(IF(E4975&gt;0,(F4975/E4975)*1000,""),"")</f>
        <v/>
      </c>
      <c r="H4975" s="139">
        <f>IFERROR(IF(E4975&gt;0,E4975*IF(ISNUMBER(J4975),J4975,IF(C4975="Futures",$C$6,$C$5)),""),"")</f>
        <v/>
      </c>
      <c r="I4975" s="139">
        <f>IFERROR(IF(AND(ISNUMBER(F4975),ISNUMBER(H4975)),F4975-H4975,""),"")</f>
        <v/>
      </c>
      <c r="J4975" s="114" t="n"/>
      <c r="K4975" s="139">
        <f>IFERROR(IF(H4975&gt;0,H4975*$C$7,""),"")</f>
        <v/>
      </c>
      <c r="L4975" s="139">
        <f>IFERROR(IF(ISNUMBER(F4975),F4975-IF(ISNUMBER(K4975),K4975,0),""),"")</f>
        <v/>
      </c>
    </row>
    <row r="4976" ht="24" customHeight="1" s="63">
      <c r="E4976" s="139" t="n"/>
      <c r="F4976" s="139" t="n"/>
      <c r="G4976" s="140">
        <f>IFERROR(IF(E4976&gt;0,(F4976/E4976)*1000,""),"")</f>
        <v/>
      </c>
      <c r="H4976" s="139">
        <f>IFERROR(IF(E4976&gt;0,E4976*IF(ISNUMBER(J4976),J4976,IF(C4976="Futures",$C$6,$C$5)),""),"")</f>
        <v/>
      </c>
      <c r="I4976" s="139">
        <f>IFERROR(IF(AND(ISNUMBER(F4976),ISNUMBER(H4976)),F4976-H4976,""),"")</f>
        <v/>
      </c>
      <c r="J4976" s="114" t="n"/>
      <c r="K4976" s="139">
        <f>IFERROR(IF(H4976&gt;0,H4976*$C$7,""),"")</f>
        <v/>
      </c>
      <c r="L4976" s="139">
        <f>IFERROR(IF(ISNUMBER(F4976),F4976-IF(ISNUMBER(K4976),K4976,0),""),"")</f>
        <v/>
      </c>
    </row>
    <row r="4977" ht="24" customHeight="1" s="63">
      <c r="E4977" s="139" t="n"/>
      <c r="F4977" s="139" t="n"/>
      <c r="G4977" s="140">
        <f>IFERROR(IF(E4977&gt;0,(F4977/E4977)*1000,""),"")</f>
        <v/>
      </c>
      <c r="H4977" s="139">
        <f>IFERROR(IF(E4977&gt;0,E4977*IF(ISNUMBER(J4977),J4977,IF(C4977="Futures",$C$6,$C$5)),""),"")</f>
        <v/>
      </c>
      <c r="I4977" s="139">
        <f>IFERROR(IF(AND(ISNUMBER(F4977),ISNUMBER(H4977)),F4977-H4977,""),"")</f>
        <v/>
      </c>
      <c r="J4977" s="114" t="n"/>
      <c r="K4977" s="139">
        <f>IFERROR(IF(H4977&gt;0,H4977*$C$7,""),"")</f>
        <v/>
      </c>
      <c r="L4977" s="139">
        <f>IFERROR(IF(ISNUMBER(F4977),F4977-IF(ISNUMBER(K4977),K4977,0),""),"")</f>
        <v/>
      </c>
    </row>
    <row r="4978" ht="24" customHeight="1" s="63">
      <c r="E4978" s="139" t="n"/>
      <c r="F4978" s="139" t="n"/>
      <c r="G4978" s="140">
        <f>IFERROR(IF(E4978&gt;0,(F4978/E4978)*1000,""),"")</f>
        <v/>
      </c>
      <c r="H4978" s="139">
        <f>IFERROR(IF(E4978&gt;0,E4978*IF(ISNUMBER(J4978),J4978,IF(C4978="Futures",$C$6,$C$5)),""),"")</f>
        <v/>
      </c>
      <c r="I4978" s="139">
        <f>IFERROR(IF(AND(ISNUMBER(F4978),ISNUMBER(H4978)),F4978-H4978,""),"")</f>
        <v/>
      </c>
      <c r="J4978" s="114" t="n"/>
      <c r="K4978" s="139">
        <f>IFERROR(IF(H4978&gt;0,H4978*$C$7,""),"")</f>
        <v/>
      </c>
      <c r="L4978" s="139">
        <f>IFERROR(IF(ISNUMBER(F4978),F4978-IF(ISNUMBER(K4978),K4978,0),""),"")</f>
        <v/>
      </c>
    </row>
    <row r="4979" ht="24" customHeight="1" s="63">
      <c r="E4979" s="139" t="n"/>
      <c r="F4979" s="139" t="n"/>
      <c r="G4979" s="140">
        <f>IFERROR(IF(E4979&gt;0,(F4979/E4979)*1000,""),"")</f>
        <v/>
      </c>
      <c r="H4979" s="139">
        <f>IFERROR(IF(E4979&gt;0,E4979*IF(ISNUMBER(J4979),J4979,IF(C4979="Futures",$C$6,$C$5)),""),"")</f>
        <v/>
      </c>
      <c r="I4979" s="139">
        <f>IFERROR(IF(AND(ISNUMBER(F4979),ISNUMBER(H4979)),F4979-H4979,""),"")</f>
        <v/>
      </c>
      <c r="J4979" s="114" t="n"/>
      <c r="K4979" s="139">
        <f>IFERROR(IF(H4979&gt;0,H4979*$C$7,""),"")</f>
        <v/>
      </c>
      <c r="L4979" s="139">
        <f>IFERROR(IF(ISNUMBER(F4979),F4979-IF(ISNUMBER(K4979),K4979,0),""),"")</f>
        <v/>
      </c>
    </row>
    <row r="4980" ht="24" customHeight="1" s="63">
      <c r="E4980" s="139" t="n"/>
      <c r="F4980" s="139" t="n"/>
      <c r="G4980" s="140">
        <f>IFERROR(IF(E4980&gt;0,(F4980/E4980)*1000,""),"")</f>
        <v/>
      </c>
      <c r="H4980" s="139">
        <f>IFERROR(IF(E4980&gt;0,E4980*IF(ISNUMBER(J4980),J4980,IF(C4980="Futures",$C$6,$C$5)),""),"")</f>
        <v/>
      </c>
      <c r="I4980" s="139">
        <f>IFERROR(IF(AND(ISNUMBER(F4980),ISNUMBER(H4980)),F4980-H4980,""),"")</f>
        <v/>
      </c>
      <c r="J4980" s="114" t="n"/>
      <c r="K4980" s="139">
        <f>IFERROR(IF(H4980&gt;0,H4980*$C$7,""),"")</f>
        <v/>
      </c>
      <c r="L4980" s="139">
        <f>IFERROR(IF(ISNUMBER(F4980),F4980-IF(ISNUMBER(K4980),K4980,0),""),"")</f>
        <v/>
      </c>
    </row>
    <row r="4981" ht="24" customHeight="1" s="63">
      <c r="E4981" s="139" t="n"/>
      <c r="F4981" s="139" t="n"/>
      <c r="G4981" s="140">
        <f>IFERROR(IF(E4981&gt;0,(F4981/E4981)*1000,""),"")</f>
        <v/>
      </c>
      <c r="H4981" s="139">
        <f>IFERROR(IF(E4981&gt;0,E4981*IF(ISNUMBER(J4981),J4981,IF(C4981="Futures",$C$6,$C$5)),""),"")</f>
        <v/>
      </c>
      <c r="I4981" s="139">
        <f>IFERROR(IF(AND(ISNUMBER(F4981),ISNUMBER(H4981)),F4981-H4981,""),"")</f>
        <v/>
      </c>
      <c r="J4981" s="114" t="n"/>
      <c r="K4981" s="139">
        <f>IFERROR(IF(H4981&gt;0,H4981*$C$7,""),"")</f>
        <v/>
      </c>
      <c r="L4981" s="139">
        <f>IFERROR(IF(ISNUMBER(F4981),F4981-IF(ISNUMBER(K4981),K4981,0),""),"")</f>
        <v/>
      </c>
    </row>
    <row r="4982" ht="24" customHeight="1" s="63">
      <c r="E4982" s="139" t="n"/>
      <c r="F4982" s="139" t="n"/>
      <c r="G4982" s="140">
        <f>IFERROR(IF(E4982&gt;0,(F4982/E4982)*1000,""),"")</f>
        <v/>
      </c>
      <c r="H4982" s="139">
        <f>IFERROR(IF(E4982&gt;0,E4982*IF(ISNUMBER(J4982),J4982,IF(C4982="Futures",$C$6,$C$5)),""),"")</f>
        <v/>
      </c>
      <c r="I4982" s="139">
        <f>IFERROR(IF(AND(ISNUMBER(F4982),ISNUMBER(H4982)),F4982-H4982,""),"")</f>
        <v/>
      </c>
      <c r="J4982" s="114" t="n"/>
      <c r="K4982" s="139">
        <f>IFERROR(IF(H4982&gt;0,H4982*$C$7,""),"")</f>
        <v/>
      </c>
      <c r="L4982" s="139">
        <f>IFERROR(IF(ISNUMBER(F4982),F4982-IF(ISNUMBER(K4982),K4982,0),""),"")</f>
        <v/>
      </c>
    </row>
    <row r="4983" ht="24" customHeight="1" s="63">
      <c r="E4983" s="139" t="n"/>
      <c r="F4983" s="139" t="n"/>
      <c r="G4983" s="140">
        <f>IFERROR(IF(E4983&gt;0,(F4983/E4983)*1000,""),"")</f>
        <v/>
      </c>
      <c r="H4983" s="139">
        <f>IFERROR(IF(E4983&gt;0,E4983*IF(ISNUMBER(J4983),J4983,IF(C4983="Futures",$C$6,$C$5)),""),"")</f>
        <v/>
      </c>
      <c r="I4983" s="139">
        <f>IFERROR(IF(AND(ISNUMBER(F4983),ISNUMBER(H4983)),F4983-H4983,""),"")</f>
        <v/>
      </c>
      <c r="J4983" s="114" t="n"/>
      <c r="K4983" s="139">
        <f>IFERROR(IF(H4983&gt;0,H4983*$C$7,""),"")</f>
        <v/>
      </c>
      <c r="L4983" s="139">
        <f>IFERROR(IF(ISNUMBER(F4983),F4983-IF(ISNUMBER(K4983),K4983,0),""),"")</f>
        <v/>
      </c>
    </row>
    <row r="4984" ht="24" customHeight="1" s="63">
      <c r="E4984" s="139" t="n"/>
      <c r="F4984" s="139" t="n"/>
      <c r="G4984" s="140">
        <f>IFERROR(IF(E4984&gt;0,(F4984/E4984)*1000,""),"")</f>
        <v/>
      </c>
      <c r="H4984" s="139">
        <f>IFERROR(IF(E4984&gt;0,E4984*IF(ISNUMBER(J4984),J4984,IF(C4984="Futures",$C$6,$C$5)),""),"")</f>
        <v/>
      </c>
      <c r="I4984" s="139">
        <f>IFERROR(IF(AND(ISNUMBER(F4984),ISNUMBER(H4984)),F4984-H4984,""),"")</f>
        <v/>
      </c>
      <c r="J4984" s="114" t="n"/>
      <c r="K4984" s="139">
        <f>IFERROR(IF(H4984&gt;0,H4984*$C$7,""),"")</f>
        <v/>
      </c>
      <c r="L4984" s="139">
        <f>IFERROR(IF(ISNUMBER(F4984),F4984-IF(ISNUMBER(K4984),K4984,0),""),"")</f>
        <v/>
      </c>
    </row>
    <row r="4985" ht="24" customHeight="1" s="63">
      <c r="E4985" s="139" t="n"/>
      <c r="F4985" s="139" t="n"/>
      <c r="G4985" s="140">
        <f>IFERROR(IF(E4985&gt;0,(F4985/E4985)*1000,""),"")</f>
        <v/>
      </c>
      <c r="H4985" s="139">
        <f>IFERROR(IF(E4985&gt;0,E4985*IF(ISNUMBER(J4985),J4985,IF(C4985="Futures",$C$6,$C$5)),""),"")</f>
        <v/>
      </c>
      <c r="I4985" s="139">
        <f>IFERROR(IF(AND(ISNUMBER(F4985),ISNUMBER(H4985)),F4985-H4985,""),"")</f>
        <v/>
      </c>
      <c r="J4985" s="114" t="n"/>
      <c r="K4985" s="139">
        <f>IFERROR(IF(H4985&gt;0,H4985*$C$7,""),"")</f>
        <v/>
      </c>
      <c r="L4985" s="139">
        <f>IFERROR(IF(ISNUMBER(F4985),F4985-IF(ISNUMBER(K4985),K4985,0),""),"")</f>
        <v/>
      </c>
    </row>
    <row r="4986" ht="24" customHeight="1" s="63">
      <c r="E4986" s="139" t="n"/>
      <c r="F4986" s="139" t="n"/>
      <c r="G4986" s="140">
        <f>IFERROR(IF(E4986&gt;0,(F4986/E4986)*1000,""),"")</f>
        <v/>
      </c>
      <c r="H4986" s="139">
        <f>IFERROR(IF(E4986&gt;0,E4986*IF(ISNUMBER(J4986),J4986,IF(C4986="Futures",$C$6,$C$5)),""),"")</f>
        <v/>
      </c>
      <c r="I4986" s="139">
        <f>IFERROR(IF(AND(ISNUMBER(F4986),ISNUMBER(H4986)),F4986-H4986,""),"")</f>
        <v/>
      </c>
      <c r="J4986" s="114" t="n"/>
      <c r="K4986" s="139">
        <f>IFERROR(IF(H4986&gt;0,H4986*$C$7,""),"")</f>
        <v/>
      </c>
      <c r="L4986" s="139">
        <f>IFERROR(IF(ISNUMBER(F4986),F4986-IF(ISNUMBER(K4986),K4986,0),""),"")</f>
        <v/>
      </c>
    </row>
    <row r="4987" ht="24" customHeight="1" s="63">
      <c r="E4987" s="139" t="n"/>
      <c r="F4987" s="139" t="n"/>
      <c r="G4987" s="140">
        <f>IFERROR(IF(E4987&gt;0,(F4987/E4987)*1000,""),"")</f>
        <v/>
      </c>
      <c r="H4987" s="139">
        <f>IFERROR(IF(E4987&gt;0,E4987*IF(ISNUMBER(J4987),J4987,IF(C4987="Futures",$C$6,$C$5)),""),"")</f>
        <v/>
      </c>
      <c r="I4987" s="139">
        <f>IFERROR(IF(AND(ISNUMBER(F4987),ISNUMBER(H4987)),F4987-H4987,""),"")</f>
        <v/>
      </c>
      <c r="J4987" s="114" t="n"/>
      <c r="K4987" s="139">
        <f>IFERROR(IF(H4987&gt;0,H4987*$C$7,""),"")</f>
        <v/>
      </c>
      <c r="L4987" s="139">
        <f>IFERROR(IF(ISNUMBER(F4987),F4987-IF(ISNUMBER(K4987),K4987,0),""),"")</f>
        <v/>
      </c>
    </row>
    <row r="4988" ht="24" customHeight="1" s="63">
      <c r="E4988" s="139" t="n"/>
      <c r="F4988" s="139" t="n"/>
      <c r="G4988" s="140">
        <f>IFERROR(IF(E4988&gt;0,(F4988/E4988)*1000,""),"")</f>
        <v/>
      </c>
      <c r="H4988" s="139">
        <f>IFERROR(IF(E4988&gt;0,E4988*IF(ISNUMBER(J4988),J4988,IF(C4988="Futures",$C$6,$C$5)),""),"")</f>
        <v/>
      </c>
      <c r="I4988" s="139">
        <f>IFERROR(IF(AND(ISNUMBER(F4988),ISNUMBER(H4988)),F4988-H4988,""),"")</f>
        <v/>
      </c>
      <c r="J4988" s="114" t="n"/>
      <c r="K4988" s="139">
        <f>IFERROR(IF(H4988&gt;0,H4988*$C$7,""),"")</f>
        <v/>
      </c>
      <c r="L4988" s="139">
        <f>IFERROR(IF(ISNUMBER(F4988),F4988-IF(ISNUMBER(K4988),K4988,0),""),"")</f>
        <v/>
      </c>
    </row>
    <row r="4989" ht="24" customHeight="1" s="63">
      <c r="E4989" s="139" t="n"/>
      <c r="F4989" s="139" t="n"/>
      <c r="G4989" s="140">
        <f>IFERROR(IF(E4989&gt;0,(F4989/E4989)*1000,""),"")</f>
        <v/>
      </c>
      <c r="H4989" s="139">
        <f>IFERROR(IF(E4989&gt;0,E4989*IF(ISNUMBER(J4989),J4989,IF(C4989="Futures",$C$6,$C$5)),""),"")</f>
        <v/>
      </c>
      <c r="I4989" s="139">
        <f>IFERROR(IF(AND(ISNUMBER(F4989),ISNUMBER(H4989)),F4989-H4989,""),"")</f>
        <v/>
      </c>
      <c r="J4989" s="114" t="n"/>
      <c r="K4989" s="139">
        <f>IFERROR(IF(H4989&gt;0,H4989*$C$7,""),"")</f>
        <v/>
      </c>
      <c r="L4989" s="139">
        <f>IFERROR(IF(ISNUMBER(F4989),F4989-IF(ISNUMBER(K4989),K4989,0),""),"")</f>
        <v/>
      </c>
    </row>
    <row r="4990" ht="24" customHeight="1" s="63">
      <c r="E4990" s="139" t="n"/>
      <c r="F4990" s="139" t="n"/>
      <c r="G4990" s="140">
        <f>IFERROR(IF(E4990&gt;0,(F4990/E4990)*1000,""),"")</f>
        <v/>
      </c>
      <c r="H4990" s="139">
        <f>IFERROR(IF(E4990&gt;0,E4990*IF(ISNUMBER(J4990),J4990,IF(C4990="Futures",$C$6,$C$5)),""),"")</f>
        <v/>
      </c>
      <c r="I4990" s="139">
        <f>IFERROR(IF(AND(ISNUMBER(F4990),ISNUMBER(H4990)),F4990-H4990,""),"")</f>
        <v/>
      </c>
      <c r="J4990" s="114" t="n"/>
      <c r="K4990" s="139">
        <f>IFERROR(IF(H4990&gt;0,H4990*$C$7,""),"")</f>
        <v/>
      </c>
      <c r="L4990" s="139">
        <f>IFERROR(IF(ISNUMBER(F4990),F4990-IF(ISNUMBER(K4990),K4990,0),""),"")</f>
        <v/>
      </c>
    </row>
    <row r="4991" ht="24" customHeight="1" s="63">
      <c r="E4991" s="139" t="n"/>
      <c r="F4991" s="139" t="n"/>
      <c r="G4991" s="140">
        <f>IFERROR(IF(E4991&gt;0,(F4991/E4991)*1000,""),"")</f>
        <v/>
      </c>
      <c r="H4991" s="139">
        <f>IFERROR(IF(E4991&gt;0,E4991*IF(ISNUMBER(J4991),J4991,IF(C4991="Futures",$C$6,$C$5)),""),"")</f>
        <v/>
      </c>
      <c r="I4991" s="139">
        <f>IFERROR(IF(AND(ISNUMBER(F4991),ISNUMBER(H4991)),F4991-H4991,""),"")</f>
        <v/>
      </c>
      <c r="J4991" s="114" t="n"/>
      <c r="K4991" s="139">
        <f>IFERROR(IF(H4991&gt;0,H4991*$C$7,""),"")</f>
        <v/>
      </c>
      <c r="L4991" s="139">
        <f>IFERROR(IF(ISNUMBER(F4991),F4991-IF(ISNUMBER(K4991),K4991,0),""),"")</f>
        <v/>
      </c>
    </row>
    <row r="4992" ht="24" customHeight="1" s="63">
      <c r="E4992" s="139" t="n"/>
      <c r="F4992" s="139" t="n"/>
      <c r="G4992" s="140">
        <f>IFERROR(IF(E4992&gt;0,(F4992/E4992)*1000,""),"")</f>
        <v/>
      </c>
      <c r="H4992" s="139">
        <f>IFERROR(IF(E4992&gt;0,E4992*IF(ISNUMBER(J4992),J4992,IF(C4992="Futures",$C$6,$C$5)),""),"")</f>
        <v/>
      </c>
      <c r="I4992" s="139">
        <f>IFERROR(IF(AND(ISNUMBER(F4992),ISNUMBER(H4992)),F4992-H4992,""),"")</f>
        <v/>
      </c>
      <c r="J4992" s="114" t="n"/>
      <c r="K4992" s="139">
        <f>IFERROR(IF(H4992&gt;0,H4992*$C$7,""),"")</f>
        <v/>
      </c>
      <c r="L4992" s="139">
        <f>IFERROR(IF(ISNUMBER(F4992),F4992-IF(ISNUMBER(K4992),K4992,0),""),"")</f>
        <v/>
      </c>
    </row>
    <row r="4993" ht="24" customHeight="1" s="63">
      <c r="E4993" s="139" t="n"/>
      <c r="F4993" s="139" t="n"/>
      <c r="G4993" s="140">
        <f>IFERROR(IF(E4993&gt;0,(F4993/E4993)*1000,""),"")</f>
        <v/>
      </c>
      <c r="H4993" s="139">
        <f>IFERROR(IF(E4993&gt;0,E4993*IF(ISNUMBER(J4993),J4993,IF(C4993="Futures",$C$6,$C$5)),""),"")</f>
        <v/>
      </c>
      <c r="I4993" s="139">
        <f>IFERROR(IF(AND(ISNUMBER(F4993),ISNUMBER(H4993)),F4993-H4993,""),"")</f>
        <v/>
      </c>
      <c r="J4993" s="114" t="n"/>
      <c r="K4993" s="139">
        <f>IFERROR(IF(H4993&gt;0,H4993*$C$7,""),"")</f>
        <v/>
      </c>
      <c r="L4993" s="139">
        <f>IFERROR(IF(ISNUMBER(F4993),F4993-IF(ISNUMBER(K4993),K4993,0),""),"")</f>
        <v/>
      </c>
    </row>
    <row r="4994" ht="24" customHeight="1" s="63">
      <c r="E4994" s="139" t="n"/>
      <c r="F4994" s="139" t="n"/>
      <c r="G4994" s="140">
        <f>IFERROR(IF(E4994&gt;0,(F4994/E4994)*1000,""),"")</f>
        <v/>
      </c>
      <c r="H4994" s="139">
        <f>IFERROR(IF(E4994&gt;0,E4994*IF(ISNUMBER(J4994),J4994,IF(C4994="Futures",$C$6,$C$5)),""),"")</f>
        <v/>
      </c>
      <c r="I4994" s="139">
        <f>IFERROR(IF(AND(ISNUMBER(F4994),ISNUMBER(H4994)),F4994-H4994,""),"")</f>
        <v/>
      </c>
      <c r="J4994" s="114" t="n"/>
      <c r="K4994" s="139">
        <f>IFERROR(IF(H4994&gt;0,H4994*$C$7,""),"")</f>
        <v/>
      </c>
      <c r="L4994" s="139">
        <f>IFERROR(IF(ISNUMBER(F4994),F4994-IF(ISNUMBER(K4994),K4994,0),""),"")</f>
        <v/>
      </c>
    </row>
    <row r="4995" ht="24" customHeight="1" s="63">
      <c r="E4995" s="139" t="n"/>
      <c r="F4995" s="139" t="n"/>
      <c r="G4995" s="140">
        <f>IFERROR(IF(E4995&gt;0,(F4995/E4995)*1000,""),"")</f>
        <v/>
      </c>
      <c r="H4995" s="139">
        <f>IFERROR(IF(E4995&gt;0,E4995*IF(ISNUMBER(J4995),J4995,IF(C4995="Futures",$C$6,$C$5)),""),"")</f>
        <v/>
      </c>
      <c r="I4995" s="139">
        <f>IFERROR(IF(AND(ISNUMBER(F4995),ISNUMBER(H4995)),F4995-H4995,""),"")</f>
        <v/>
      </c>
      <c r="J4995" s="114" t="n"/>
      <c r="K4995" s="139">
        <f>IFERROR(IF(H4995&gt;0,H4995*$C$7,""),"")</f>
        <v/>
      </c>
      <c r="L4995" s="139">
        <f>IFERROR(IF(ISNUMBER(F4995),F4995-IF(ISNUMBER(K4995),K4995,0),""),"")</f>
        <v/>
      </c>
    </row>
    <row r="4996" ht="24" customHeight="1" s="63">
      <c r="E4996" s="139" t="n"/>
      <c r="F4996" s="139" t="n"/>
      <c r="G4996" s="140">
        <f>IFERROR(IF(E4996&gt;0,(F4996/E4996)*1000,""),"")</f>
        <v/>
      </c>
      <c r="H4996" s="139">
        <f>IFERROR(IF(E4996&gt;0,E4996*IF(ISNUMBER(J4996),J4996,IF(C4996="Futures",$C$6,$C$5)),""),"")</f>
        <v/>
      </c>
      <c r="I4996" s="139">
        <f>IFERROR(IF(AND(ISNUMBER(F4996),ISNUMBER(H4996)),F4996-H4996,""),"")</f>
        <v/>
      </c>
      <c r="J4996" s="114" t="n"/>
      <c r="K4996" s="139">
        <f>IFERROR(IF(H4996&gt;0,H4996*$C$7,""),"")</f>
        <v/>
      </c>
      <c r="L4996" s="139">
        <f>IFERROR(IF(ISNUMBER(F4996),F4996-IF(ISNUMBER(K4996),K4996,0),""),"")</f>
        <v/>
      </c>
    </row>
    <row r="4997" ht="24" customHeight="1" s="63">
      <c r="E4997" s="139" t="n"/>
      <c r="F4997" s="139" t="n"/>
      <c r="G4997" s="140">
        <f>IFERROR(IF(E4997&gt;0,(F4997/E4997)*1000,""),"")</f>
        <v/>
      </c>
      <c r="H4997" s="139">
        <f>IFERROR(IF(E4997&gt;0,E4997*IF(ISNUMBER(J4997),J4997,IF(C4997="Futures",$C$6,$C$5)),""),"")</f>
        <v/>
      </c>
      <c r="I4997" s="139">
        <f>IFERROR(IF(AND(ISNUMBER(F4997),ISNUMBER(H4997)),F4997-H4997,""),"")</f>
        <v/>
      </c>
      <c r="J4997" s="114" t="n"/>
      <c r="K4997" s="139">
        <f>IFERROR(IF(H4997&gt;0,H4997*$C$7,""),"")</f>
        <v/>
      </c>
      <c r="L4997" s="139">
        <f>IFERROR(IF(ISNUMBER(F4997),F4997-IF(ISNUMBER(K4997),K4997,0),""),"")</f>
        <v/>
      </c>
    </row>
    <row r="4998" ht="24" customHeight="1" s="63">
      <c r="E4998" s="139" t="n"/>
      <c r="F4998" s="139" t="n"/>
      <c r="G4998" s="140">
        <f>IFERROR(IF(E4998&gt;0,(F4998/E4998)*1000,""),"")</f>
        <v/>
      </c>
      <c r="H4998" s="139">
        <f>IFERROR(IF(E4998&gt;0,E4998*IF(ISNUMBER(J4998),J4998,IF(C4998="Futures",$C$6,$C$5)),""),"")</f>
        <v/>
      </c>
      <c r="I4998" s="139">
        <f>IFERROR(IF(AND(ISNUMBER(F4998),ISNUMBER(H4998)),F4998-H4998,""),"")</f>
        <v/>
      </c>
      <c r="J4998" s="114" t="n"/>
      <c r="K4998" s="139">
        <f>IFERROR(IF(H4998&gt;0,H4998*$C$7,""),"")</f>
        <v/>
      </c>
      <c r="L4998" s="139">
        <f>IFERROR(IF(ISNUMBER(F4998),F4998-IF(ISNUMBER(K4998),K4998,0),""),"")</f>
        <v/>
      </c>
    </row>
    <row r="4999" ht="24" customHeight="1" s="63">
      <c r="E4999" s="139" t="n"/>
      <c r="F4999" s="139" t="n"/>
      <c r="G4999" s="140">
        <f>IFERROR(IF(E4999&gt;0,(F4999/E4999)*1000,""),"")</f>
        <v/>
      </c>
      <c r="H4999" s="139">
        <f>IFERROR(IF(E4999&gt;0,E4999*IF(ISNUMBER(J4999),J4999,IF(C4999="Futures",$C$6,$C$5)),""),"")</f>
        <v/>
      </c>
      <c r="I4999" s="139">
        <f>IFERROR(IF(AND(ISNUMBER(F4999),ISNUMBER(H4999)),F4999-H4999,""),"")</f>
        <v/>
      </c>
      <c r="J4999" s="114" t="n"/>
      <c r="K4999" s="139">
        <f>IFERROR(IF(H4999&gt;0,H4999*$C$7,""),"")</f>
        <v/>
      </c>
      <c r="L4999" s="139">
        <f>IFERROR(IF(ISNUMBER(F4999),F4999-IF(ISNUMBER(K4999),K4999,0),""),"")</f>
        <v/>
      </c>
    </row>
    <row r="5000" ht="24" customHeight="1" s="63">
      <c r="E5000" s="139" t="n"/>
      <c r="F5000" s="139" t="n"/>
      <c r="G5000" s="140">
        <f>IFERROR(IF(E5000&gt;0,(F5000/E5000)*1000,""),"")</f>
        <v/>
      </c>
      <c r="H5000" s="139">
        <f>IFERROR(IF(E5000&gt;0,E5000*IF(ISNUMBER(J5000),J5000,IF(C5000="Futures",$C$6,$C$5)),""),"")</f>
        <v/>
      </c>
      <c r="I5000" s="139">
        <f>IFERROR(IF(AND(ISNUMBER(F5000),ISNUMBER(H5000)),F5000-H5000,""),"")</f>
        <v/>
      </c>
      <c r="J5000" s="114" t="n"/>
      <c r="K5000" s="139">
        <f>IFERROR(IF(H5000&gt;0,H5000*$C$7,""),"")</f>
        <v/>
      </c>
      <c r="L5000" s="139">
        <f>IFERROR(IF(ISNUMBER(F5000),F5000-IF(ISNUMBER(K5000),K5000,0),""),"")</f>
        <v/>
      </c>
    </row>
  </sheetData>
  <mergeCells count="23">
    <mergeCell ref="G5:G9"/>
    <mergeCell ref="C6:D6"/>
    <mergeCell ref="I5:I9"/>
    <mergeCell ref="C5:D5"/>
    <mergeCell ref="A6:B6"/>
    <mergeCell ref="C4:D4"/>
    <mergeCell ref="A9:D9"/>
    <mergeCell ref="A7:B7"/>
    <mergeCell ref="N3:R3"/>
    <mergeCell ref="N1:R1"/>
    <mergeCell ref="J5:J9"/>
    <mergeCell ref="E5:E9"/>
    <mergeCell ref="K5:K9"/>
    <mergeCell ref="A5:B5"/>
    <mergeCell ref="H5:H9"/>
    <mergeCell ref="A8:B8"/>
    <mergeCell ref="C8:D8"/>
    <mergeCell ref="F5:F9"/>
    <mergeCell ref="A4:B4"/>
    <mergeCell ref="C7:D7"/>
    <mergeCell ref="L5:L9"/>
    <mergeCell ref="A1:L1"/>
    <mergeCell ref="A3:D3"/>
  </mergeCells>
  <dataValidations count="4">
    <dataValidation sqref="A12:A250" showDropDown="0" showInputMessage="1" showErrorMessage="1" allowBlank="1" errorTitle="Geçersiz Tarih" error="Lütfen geçerli bir tarih giriniz." promptTitle="Tarih Seçimi" prompt="Tarihi GG.AA.YYYY formatında giriniz. Bugün: Ctrl + ;" type="date">
      <formula1>DATE(2022,1,1)</formula1>
      <formula2>DATE(2035,12,31)</formula2>
    </dataValidation>
    <dataValidation sqref="B12:B250" showDropDown="0" showInputMessage="1" showErrorMessage="1" allowBlank="1" promptTitle="Event Türü" prompt="Listeden etkinlik türünü seçiniz." type="list">
      <formula1>"Flash Earn,Others"</formula1>
    </dataValidation>
    <dataValidation sqref="C12:C250" showDropDown="0" showInputMessage="1" showErrorMessage="1" allowBlank="1" promptTitle="Piyasa Türü" prompt="Piyasa türünü seçiniz. Komisyon otomatik uygulanır." type="list">
      <formula1>"Spot,Futures"</formula1>
    </dataValidation>
    <dataValidation sqref="C5 C6 J12:J250" showDropDown="0" showInputMessage="1" showErrorMessage="1" allowBlank="1" promptTitle="Fee Oranı" prompt="Yüzde olarak giriniz (Örn: 0.06%). Boşsa genel oran uygulanır." type="decimal">
      <formula1>0</formula1>
      <formula2>0.1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00"/>
  <sheetViews>
    <sheetView showGridLines="0" tabSelected="1" workbookViewId="0">
      <pane ySplit="11" topLeftCell="A12" activePane="bottomLeft" state="frozen"/>
      <selection pane="bottomLeft" activeCell="G14" sqref="G14"/>
    </sheetView>
  </sheetViews>
  <sheetFormatPr baseColWidth="8" defaultRowHeight="14.4"/>
  <cols>
    <col width="17" customWidth="1" style="63" min="1" max="2"/>
    <col width="15" customWidth="1" style="63" min="3" max="3"/>
    <col width="13" customWidth="1" style="63" min="4" max="4"/>
    <col width="20" customWidth="1" style="63" min="5" max="5"/>
    <col width="18" customWidth="1" style="63" min="6" max="6"/>
    <col width="20" customWidth="1" style="63" min="7" max="7"/>
    <col width="17" customWidth="1" style="63" min="8" max="8"/>
    <col width="20" customWidth="1" style="63" min="9" max="9"/>
    <col width="19" customWidth="1" style="63" min="10" max="10"/>
    <col width="18" customWidth="1" style="63" min="11" max="11"/>
    <col width="20" customWidth="1" style="63" min="12" max="12"/>
    <col width="3" customWidth="1" style="63" min="13" max="13"/>
    <col width="20" customWidth="1" style="63" min="14" max="14"/>
    <col width="13" customWidth="1" style="63" min="15" max="16"/>
    <col width="15" customWidth="1" style="63" min="17" max="18"/>
  </cols>
  <sheetData>
    <row r="1" ht="40.05" customHeight="1" s="63">
      <c r="A1" s="72" t="inlineStr">
        <is>
          <t>📊  BYBIT ETKİNLİK &amp; HACİM MALİYET TAKİBİ</t>
        </is>
      </c>
      <c r="M1" s="18" t="n"/>
      <c r="N1" s="62" t="inlineStr">
        <is>
          <t>Spot, Futures &amp; Alpha  •  Komisyon &amp; İade  •  Net Maliyet Analizi</t>
        </is>
      </c>
    </row>
    <row r="2" ht="7.95" customHeight="1" s="63"/>
    <row r="3" ht="22.05" customHeight="1" s="63">
      <c r="A3" s="71" t="inlineStr">
        <is>
          <t>⚙️  FEE &amp; İADE AYARLARI</t>
        </is>
      </c>
      <c r="B3" s="59" t="n"/>
      <c r="C3" s="59" t="n"/>
      <c r="D3" s="55" t="n"/>
      <c r="E3" s="2" t="inlineStr">
        <is>
          <t>📦 TOPLAM HACİM</t>
        </is>
      </c>
      <c r="F3" s="2" t="inlineStr">
        <is>
          <t>💸 BRÜT MALİYET</t>
        </is>
      </c>
      <c r="G3" s="2" t="inlineStr">
        <is>
          <t>🏦 TOPLAM FEE</t>
        </is>
      </c>
      <c r="H3" s="2" t="inlineStr">
        <is>
          <t>📉 TOPLAM MAKAS</t>
        </is>
      </c>
      <c r="I3" s="2" t="inlineStr">
        <is>
          <t>🎁 TAHMİNİ İADE</t>
        </is>
      </c>
      <c r="J3" s="2" t="inlineStr">
        <is>
          <t>💰 NET MALİYET</t>
        </is>
      </c>
      <c r="K3" s="2" t="inlineStr">
        <is>
          <t>📈 1K NET MALİYET</t>
        </is>
      </c>
      <c r="L3" s="2" t="inlineStr">
        <is>
          <t>🔢 İŞLEM SAYISI</t>
        </is>
      </c>
      <c r="N3" s="58" t="inlineStr">
        <is>
          <t>📋 Bybit Resmi VIP Komisyon Tablosu</t>
        </is>
      </c>
      <c r="O3" s="59" t="n"/>
      <c r="P3" s="59" t="n"/>
      <c r="Q3" s="59" t="n"/>
      <c r="R3" s="55" t="n"/>
    </row>
    <row r="4" ht="25.95" customHeight="1" s="63">
      <c r="A4" s="54" t="inlineStr">
        <is>
          <t>Mevcut Seviyeniz:</t>
        </is>
      </c>
      <c r="B4" s="55" t="n"/>
      <c r="C4" s="56" t="inlineStr">
        <is>
          <t>VIP 1</t>
        </is>
      </c>
      <c r="D4" s="52" t="n"/>
      <c r="E4" s="3">
        <f>SUM(E12:E5000)</f>
        <v/>
      </c>
      <c r="F4" s="4">
        <f>SUM(F12:F5000)</f>
        <v/>
      </c>
      <c r="G4" s="5">
        <f>SUM(H12:H5000)</f>
        <v/>
      </c>
      <c r="H4" s="6">
        <f>SUM(I12:I5000)</f>
        <v/>
      </c>
      <c r="I4" s="7">
        <f>SUM(K12:K5000)</f>
        <v/>
      </c>
      <c r="J4" s="8">
        <f>SUM(L12:L5000)</f>
        <v/>
      </c>
      <c r="K4" s="9">
        <f>IFERROR(ROUND((J4/E4)*1000, 3), 0)</f>
        <v/>
      </c>
      <c r="L4" s="10">
        <f>COUNTA(D12:D5000)</f>
        <v/>
      </c>
      <c r="N4" s="11" t="inlineStr">
        <is>
          <t>Seviye</t>
        </is>
      </c>
      <c r="O4" s="11" t="inlineStr">
        <is>
          <t>Spot Maker</t>
        </is>
      </c>
      <c r="P4" s="11" t="inlineStr">
        <is>
          <t>Spot Taker</t>
        </is>
      </c>
      <c r="Q4" s="11" t="inlineStr">
        <is>
          <t>Futures Maker</t>
        </is>
      </c>
      <c r="R4" s="11" t="inlineStr">
        <is>
          <t>Futures Taker</t>
        </is>
      </c>
    </row>
    <row r="5" ht="24" customHeight="1" s="63">
      <c r="A5" s="54" t="inlineStr">
        <is>
          <t>Spot Fee Oranı (Taker):</t>
        </is>
      </c>
      <c r="B5" s="55" t="n"/>
      <c r="C5" s="51" t="n">
        <v>0.0005999999999999999</v>
      </c>
      <c r="D5" s="52" t="n"/>
      <c r="E5" s="48" t="inlineStr">
        <is>
          <t>Tüm etkinliklerin
toplam hacmi ($)</t>
        </is>
      </c>
      <c r="F5" s="68" t="inlineStr">
        <is>
          <t>Kasadan çıkan
brüt maliyet ($)</t>
        </is>
      </c>
      <c r="G5" s="48" t="inlineStr">
        <is>
          <t>Borsaya ödenen
brüt fee ($)</t>
        </is>
      </c>
      <c r="H5" s="66" t="inlineStr">
        <is>
          <t>Tahtada kaybedilen
toplam makas ($)</t>
        </is>
      </c>
      <c r="I5" s="53" t="inlineStr">
        <is>
          <t>Geri dönecek
tahmini iade ($)</t>
        </is>
      </c>
      <c r="J5" s="64" t="inlineStr">
        <is>
          <t>İade sonrası net
gerçek maliyet ($)</t>
        </is>
      </c>
      <c r="K5" s="65" t="inlineStr">
        <is>
          <t>1.000$ hacim başı
net maliyet ($)</t>
        </is>
      </c>
      <c r="L5" s="70" t="inlineStr">
        <is>
          <t>Kayıtlı toplam
etkinlik adedi</t>
        </is>
      </c>
      <c r="N5" s="12" t="inlineStr">
        <is>
          <t>Regular User</t>
        </is>
      </c>
      <c r="O5" s="12" t="inlineStr">
        <is>
          <t>0.0750%</t>
        </is>
      </c>
      <c r="P5" s="12" t="inlineStr">
        <is>
          <t>0.0750%</t>
        </is>
      </c>
      <c r="Q5" s="12" t="inlineStr">
        <is>
          <t>0.0180%</t>
        </is>
      </c>
      <c r="R5" s="12" t="inlineStr">
        <is>
          <t>0.0495%</t>
        </is>
      </c>
    </row>
    <row r="6" ht="24" customHeight="1" s="63">
      <c r="A6" s="54" t="inlineStr">
        <is>
          <t>Futures Fee Oranı (Taker):</t>
        </is>
      </c>
      <c r="B6" s="55" t="n"/>
      <c r="C6" s="51" t="n">
        <v>0.00036</v>
      </c>
      <c r="D6" s="52" t="n"/>
      <c r="E6" s="49" t="n"/>
      <c r="F6" s="49" t="n"/>
      <c r="G6" s="49" t="n"/>
      <c r="H6" s="49" t="n"/>
      <c r="I6" s="49" t="n"/>
      <c r="J6" s="49" t="n"/>
      <c r="K6" s="49" t="n"/>
      <c r="L6" s="49" t="n"/>
      <c r="N6" s="14" t="inlineStr">
        <is>
          <t>VIP 1 ★</t>
        </is>
      </c>
      <c r="O6" s="14" t="inlineStr">
        <is>
          <t>0.0506%</t>
        </is>
      </c>
      <c r="P6" s="14" t="inlineStr">
        <is>
          <t>0.0600%</t>
        </is>
      </c>
      <c r="Q6" s="14" t="inlineStr">
        <is>
          <t>0.0162%</t>
        </is>
      </c>
      <c r="R6" s="14" t="inlineStr">
        <is>
          <t>0.0360%</t>
        </is>
      </c>
    </row>
    <row r="7" ht="24" customHeight="1" s="63">
      <c r="A7" s="57" t="inlineStr">
        <is>
          <t>Alpha Fee Oranı (Fix Binde 5):</t>
        </is>
      </c>
      <c r="B7" s="55" t="n"/>
      <c r="C7" s="69" t="n">
        <v>0.005</v>
      </c>
      <c r="D7" s="52" t="n"/>
      <c r="E7" s="49" t="n"/>
      <c r="F7" s="49" t="n"/>
      <c r="G7" s="49" t="n"/>
      <c r="H7" s="49" t="n"/>
      <c r="I7" s="49" t="n"/>
      <c r="J7" s="49" t="n"/>
      <c r="K7" s="49" t="n"/>
      <c r="L7" s="49" t="n"/>
      <c r="N7" s="12" t="inlineStr">
        <is>
          <t>VIP 2</t>
        </is>
      </c>
      <c r="O7" s="12" t="inlineStr">
        <is>
          <t>0.0488%</t>
        </is>
      </c>
      <c r="P7" s="12" t="inlineStr">
        <is>
          <t>0.0581%</t>
        </is>
      </c>
      <c r="Q7" s="12" t="inlineStr">
        <is>
          <t>0.0144%</t>
        </is>
      </c>
      <c r="R7" s="12" t="inlineStr">
        <is>
          <t>0.0338%</t>
        </is>
      </c>
    </row>
    <row r="8" ht="24" customHeight="1" s="63">
      <c r="A8" s="67" t="inlineStr">
        <is>
          <t>Tahmini İade (Spot/Fut %50-60):</t>
        </is>
      </c>
      <c r="B8" s="55" t="n"/>
      <c r="C8" s="60" t="n">
        <v>0.55</v>
      </c>
      <c r="D8" s="61" t="n"/>
      <c r="E8" s="49" t="n"/>
      <c r="F8" s="49" t="n"/>
      <c r="G8" s="49" t="n"/>
      <c r="H8" s="49" t="n"/>
      <c r="I8" s="49" t="n"/>
      <c r="J8" s="49" t="n"/>
      <c r="K8" s="49" t="n"/>
      <c r="L8" s="49" t="n"/>
      <c r="N8" s="13" t="inlineStr">
        <is>
          <t>VIP 3</t>
        </is>
      </c>
      <c r="O8" s="13" t="inlineStr">
        <is>
          <t>0.0469%</t>
        </is>
      </c>
      <c r="P8" s="13" t="inlineStr">
        <is>
          <t>0.0563%</t>
        </is>
      </c>
      <c r="Q8" s="13" t="inlineStr">
        <is>
          <t>0.0126%</t>
        </is>
      </c>
      <c r="R8" s="13" t="inlineStr">
        <is>
          <t>0.0315%</t>
        </is>
      </c>
    </row>
    <row r="9" ht="24" customHeight="1" s="63">
      <c r="A9" s="67" t="inlineStr">
        <is>
          <t>Tahmini İade (Alpha Fix Binde 3):</t>
        </is>
      </c>
      <c r="B9" s="55" t="n"/>
      <c r="C9" s="60" t="n">
        <v>0.6</v>
      </c>
      <c r="D9" s="61" t="n"/>
      <c r="E9" s="50" t="n"/>
      <c r="F9" s="50" t="n"/>
      <c r="G9" s="50" t="n"/>
      <c r="H9" s="50" t="n"/>
      <c r="I9" s="50" t="n"/>
      <c r="J9" s="50" t="n"/>
      <c r="K9" s="50" t="n"/>
      <c r="L9" s="50" t="n"/>
      <c r="N9" s="12" t="inlineStr">
        <is>
          <t>VIP 4</t>
        </is>
      </c>
      <c r="O9" s="12" t="inlineStr">
        <is>
          <t>0.0375%</t>
        </is>
      </c>
      <c r="P9" s="12" t="inlineStr">
        <is>
          <t>0.0450%</t>
        </is>
      </c>
      <c r="Q9" s="12" t="inlineStr">
        <is>
          <t>0.0108%</t>
        </is>
      </c>
      <c r="R9" s="12" t="inlineStr">
        <is>
          <t>0.0288%</t>
        </is>
      </c>
    </row>
    <row r="10" ht="10.05" customHeight="1" s="63">
      <c r="N10" s="13" t="inlineStr">
        <is>
          <t>VIP 5</t>
        </is>
      </c>
      <c r="O10" s="13" t="inlineStr">
        <is>
          <t>0.0300%</t>
        </is>
      </c>
      <c r="P10" s="13" t="inlineStr">
        <is>
          <t>0.0375%</t>
        </is>
      </c>
      <c r="Q10" s="13" t="inlineStr">
        <is>
          <t>0.0090%</t>
        </is>
      </c>
      <c r="R10" s="13" t="inlineStr">
        <is>
          <t>0.0288%</t>
        </is>
      </c>
    </row>
    <row r="11" ht="34.05" customHeight="1" s="63">
      <c r="A11" s="19" t="inlineStr">
        <is>
          <t>📅 Başlama
Tarihi</t>
        </is>
      </c>
      <c r="B11" s="19" t="inlineStr">
        <is>
          <t>🎯 Event
Türü</t>
        </is>
      </c>
      <c r="C11" s="19" t="inlineStr">
        <is>
          <t>💹 Piyasa
Türü</t>
        </is>
      </c>
      <c r="D11" s="19" t="inlineStr">
        <is>
          <t>🪙 Coin
Adı</t>
        </is>
      </c>
      <c r="E11" s="19" t="inlineStr">
        <is>
          <t>📊 Kasılan
Hacim ($)</t>
        </is>
      </c>
      <c r="F11" s="19" t="inlineStr">
        <is>
          <t>💰 Brüt Maliyet
($)</t>
        </is>
      </c>
      <c r="G11" s="19" t="inlineStr">
        <is>
          <t>📐 1K Hacim
Maliyeti ($)</t>
        </is>
      </c>
      <c r="H11" s="19" t="inlineStr">
        <is>
          <t>🏦 Giden
Fee ($)</t>
        </is>
      </c>
      <c r="I11" s="19" t="inlineStr">
        <is>
          <t>📉 Makas /
Slippage ($)</t>
        </is>
      </c>
      <c r="J11" s="16" t="inlineStr">
        <is>
          <t>⚙️ Özel Fee
Oranı (%)</t>
        </is>
      </c>
      <c r="K11" s="17" t="inlineStr">
        <is>
          <t>🎁 Tahmini
İade ($)</t>
        </is>
      </c>
      <c r="L11" s="17" t="inlineStr">
        <is>
          <t>💵 Net Total
Maliyet ($)</t>
        </is>
      </c>
      <c r="N11" s="12" t="inlineStr">
        <is>
          <t>Supreme VIP</t>
        </is>
      </c>
      <c r="O11" s="12" t="inlineStr">
        <is>
          <t>0.0225%</t>
        </is>
      </c>
      <c r="P11" s="12" t="inlineStr">
        <is>
          <t>0.0338%</t>
        </is>
      </c>
      <c r="Q11" s="12" t="inlineStr">
        <is>
          <t>0.0000%</t>
        </is>
      </c>
      <c r="R11" s="12" t="inlineStr">
        <is>
          <t>0.0270%</t>
        </is>
      </c>
    </row>
    <row r="12" ht="24" customHeight="1" s="63">
      <c r="A12" s="78" t="n"/>
      <c r="B12" s="79" t="n"/>
      <c r="C12" s="80" t="n"/>
      <c r="D12" s="80" t="n"/>
      <c r="E12" s="115" t="n"/>
      <c r="F12" s="115" t="n"/>
      <c r="G12" s="116">
        <f>IFERROR(IF(E12&gt;0,(F12/E12)*1000,""),"")</f>
        <v/>
      </c>
      <c r="H12" s="117">
        <f>IFERROR(IF(E12&gt;0,E12*IF(ISNUMBER(J12),J12,IF(OR(C12="Alpha",B12="Alpha"),$C$7,IF(C12="Futures",$C$6,$C$5))),""),"")</f>
        <v/>
      </c>
      <c r="I12" s="118">
        <f>IFERROR(IF(AND(ISNUMBER(F12),ISNUMBER(H12)),F12-H12,""),"")</f>
        <v/>
      </c>
      <c r="J12" s="85" t="n"/>
      <c r="K12" s="119">
        <f>IFERROR(IF(H12&gt;0,H12*IF(OR(C12="Alpha",B12="Alpha"),$C$9,$C$8),""),"")</f>
        <v/>
      </c>
      <c r="L12" s="120">
        <f>IFERROR(IF(ISNUMBER(F12),F12-IF(ISNUMBER(K12),K12,0),""),"")</f>
        <v/>
      </c>
    </row>
    <row r="13" ht="24" customHeight="1" s="63">
      <c r="A13" s="88" t="n"/>
      <c r="B13" s="89" t="n"/>
      <c r="C13" s="90" t="n"/>
      <c r="D13" s="90" t="n"/>
      <c r="E13" s="121" t="n"/>
      <c r="F13" s="121" t="n"/>
      <c r="G13" s="122">
        <f>IFERROR(IF(E13&gt;0,(F13/E13)*1000,""),"")</f>
        <v/>
      </c>
      <c r="H13" s="123">
        <f>IFERROR(IF(E13&gt;0,E13*IF(ISNUMBER(J13),J13,IF(OR(C13="Alpha",B13="Alpha"),$C$7,IF(C13="Futures",$C$6,$C$5))),""),"")</f>
        <v/>
      </c>
      <c r="I13" s="124">
        <f>IFERROR(IF(AND(ISNUMBER(F13),ISNUMBER(H13)),F13-H13,""),"")</f>
        <v/>
      </c>
      <c r="J13" s="95" t="n"/>
      <c r="K13" s="125">
        <f>IFERROR(IF(H13&gt;0,H13*IF(OR(C13="Alpha",B13="Alpha"),$C$9,$C$8),""),"")</f>
        <v/>
      </c>
      <c r="L13" s="126">
        <f>IFERROR(IF(ISNUMBER(F13),F13-IF(ISNUMBER(K13),K13,0),""),"")</f>
        <v/>
      </c>
    </row>
    <row r="14" ht="24" customHeight="1" s="63">
      <c r="A14" s="78" t="n"/>
      <c r="B14" s="79" t="n"/>
      <c r="C14" s="80" t="n"/>
      <c r="D14" s="80" t="n"/>
      <c r="E14" s="115" t="n"/>
      <c r="F14" s="115" t="n"/>
      <c r="G14" s="116">
        <f>IFERROR(IF(E14&gt;0,(F14/E14)*1000,""),"")</f>
        <v/>
      </c>
      <c r="H14" s="117">
        <f>IFERROR(IF(E14&gt;0,E14*IF(ISNUMBER(J14),J14,IF(OR(C14="Alpha",B14="Alpha"),$C$7,IF(C14="Futures",$C$6,$C$5))),""),"")</f>
        <v/>
      </c>
      <c r="I14" s="118">
        <f>IFERROR(IF(AND(ISNUMBER(F14),ISNUMBER(H14)),F14-H14,""),"")</f>
        <v/>
      </c>
      <c r="J14" s="85" t="n"/>
      <c r="K14" s="119">
        <f>IFERROR(IF(H14&gt;0,H14*IF(OR(C14="Alpha",B14="Alpha"),$C$9,$C$8),""),"")</f>
        <v/>
      </c>
      <c r="L14" s="120">
        <f>IFERROR(IF(ISNUMBER(F14),F14-IF(ISNUMBER(K14),K14,0),""),"")</f>
        <v/>
      </c>
    </row>
    <row r="15" ht="24" customHeight="1" s="63">
      <c r="A15" s="88" t="n"/>
      <c r="B15" s="89" t="n"/>
      <c r="C15" s="90" t="n"/>
      <c r="D15" s="90" t="n"/>
      <c r="E15" s="121" t="n"/>
      <c r="F15" s="121" t="n"/>
      <c r="G15" s="122">
        <f>IFERROR(IF(E15&gt;0,(F15/E15)*1000,""),"")</f>
        <v/>
      </c>
      <c r="H15" s="123">
        <f>IFERROR(IF(E15&gt;0,E15*IF(ISNUMBER(J15),J15,IF(OR(C15="Alpha",B15="Alpha"),$C$7,IF(C15="Futures",$C$6,$C$5))),""),"")</f>
        <v/>
      </c>
      <c r="I15" s="124">
        <f>IFERROR(IF(AND(ISNUMBER(F15),ISNUMBER(H15)),F15-H15,""),"")</f>
        <v/>
      </c>
      <c r="J15" s="95" t="n"/>
      <c r="K15" s="125">
        <f>IFERROR(IF(H15&gt;0,H15*IF(OR(C15="Alpha",B15="Alpha"),$C$9,$C$8),""),"")</f>
        <v/>
      </c>
      <c r="L15" s="126">
        <f>IFERROR(IF(ISNUMBER(F15),F15-IF(ISNUMBER(K15),K15,0),""),"")</f>
        <v/>
      </c>
    </row>
    <row r="16" ht="24" customHeight="1" s="63">
      <c r="A16" s="78" t="n"/>
      <c r="B16" s="79" t="n"/>
      <c r="C16" s="80" t="n"/>
      <c r="D16" s="80" t="n"/>
      <c r="E16" s="115" t="n"/>
      <c r="F16" s="115" t="n"/>
      <c r="G16" s="116">
        <f>IFERROR(IF(E16&gt;0,(F16/E16)*1000,""),"")</f>
        <v/>
      </c>
      <c r="H16" s="117">
        <f>IFERROR(IF(E16&gt;0,E16*IF(ISNUMBER(J16),J16,IF(OR(C16="Alpha",B16="Alpha"),$C$7,IF(C16="Futures",$C$6,$C$5))),""),"")</f>
        <v/>
      </c>
      <c r="I16" s="118">
        <f>IFERROR(IF(AND(ISNUMBER(F16),ISNUMBER(H16)),F16-H16,""),"")</f>
        <v/>
      </c>
      <c r="J16" s="85" t="n"/>
      <c r="K16" s="119">
        <f>IFERROR(IF(H16&gt;0,H16*IF(OR(C16="Alpha",B16="Alpha"),$C$9,$C$8),""),"")</f>
        <v/>
      </c>
      <c r="L16" s="120">
        <f>IFERROR(IF(ISNUMBER(F16),F16-IF(ISNUMBER(K16),K16,0),""),"")</f>
        <v/>
      </c>
    </row>
    <row r="17" ht="24" customHeight="1" s="63">
      <c r="A17" s="88" t="n"/>
      <c r="B17" s="89" t="n"/>
      <c r="C17" s="90" t="n"/>
      <c r="D17" s="90" t="n"/>
      <c r="E17" s="121" t="n"/>
      <c r="F17" s="121" t="n"/>
      <c r="G17" s="122">
        <f>IFERROR(IF(E17&gt;0,(F17/E17)*1000,""),"")</f>
        <v/>
      </c>
      <c r="H17" s="123">
        <f>IFERROR(IF(E17&gt;0,E17*IF(ISNUMBER(J17),J17,IF(OR(C17="Alpha",B17="Alpha"),$C$7,IF(C17="Futures",$C$6,$C$5))),""),"")</f>
        <v/>
      </c>
      <c r="I17" s="124">
        <f>IFERROR(IF(AND(ISNUMBER(F17),ISNUMBER(H17)),F17-H17,""),"")</f>
        <v/>
      </c>
      <c r="J17" s="95" t="n"/>
      <c r="K17" s="125">
        <f>IFERROR(IF(H17&gt;0,H17*IF(OR(C17="Alpha",B17="Alpha"),$C$9,$C$8),""),"")</f>
        <v/>
      </c>
      <c r="L17" s="126">
        <f>IFERROR(IF(ISNUMBER(F17),F17-IF(ISNUMBER(K17),K17,0),""),"")</f>
        <v/>
      </c>
    </row>
    <row r="18" ht="24" customHeight="1" s="63">
      <c r="A18" s="78" t="n"/>
      <c r="B18" s="79" t="n"/>
      <c r="C18" s="80" t="n"/>
      <c r="D18" s="80" t="n"/>
      <c r="E18" s="115" t="n"/>
      <c r="F18" s="115" t="n"/>
      <c r="G18" s="116">
        <f>IFERROR(IF(E18&gt;0,(F18/E18)*1000,""),"")</f>
        <v/>
      </c>
      <c r="H18" s="117">
        <f>IFERROR(IF(E18&gt;0,E18*IF(ISNUMBER(J18),J18,IF(OR(C18="Alpha",B18="Alpha"),$C$7,IF(C18="Futures",$C$6,$C$5))),""),"")</f>
        <v/>
      </c>
      <c r="I18" s="118">
        <f>IFERROR(IF(AND(ISNUMBER(F18),ISNUMBER(H18)),F18-H18,""),"")</f>
        <v/>
      </c>
      <c r="J18" s="85" t="n"/>
      <c r="K18" s="119">
        <f>IFERROR(IF(H18&gt;0,H18*IF(OR(C18="Alpha",B18="Alpha"),$C$9,$C$8),""),"")</f>
        <v/>
      </c>
      <c r="L18" s="120">
        <f>IFERROR(IF(ISNUMBER(F18),F18-IF(ISNUMBER(K18),K18,0),""),"")</f>
        <v/>
      </c>
    </row>
    <row r="19" ht="24" customHeight="1" s="63">
      <c r="A19" s="88" t="n"/>
      <c r="B19" s="89" t="n"/>
      <c r="C19" s="90" t="n"/>
      <c r="D19" s="90" t="n"/>
      <c r="E19" s="121" t="n"/>
      <c r="F19" s="121" t="n"/>
      <c r="G19" s="122">
        <f>IFERROR(IF(E19&gt;0,(F19/E19)*1000,""),"")</f>
        <v/>
      </c>
      <c r="H19" s="123">
        <f>IFERROR(IF(E19&gt;0,E19*IF(ISNUMBER(J19),J19,IF(OR(C19="Alpha",B19="Alpha"),$C$7,IF(C19="Futures",$C$6,$C$5))),""),"")</f>
        <v/>
      </c>
      <c r="I19" s="124">
        <f>IFERROR(IF(AND(ISNUMBER(F19),ISNUMBER(H19)),F19-H19,""),"")</f>
        <v/>
      </c>
      <c r="J19" s="95" t="n"/>
      <c r="K19" s="125">
        <f>IFERROR(IF(H19&gt;0,H19*IF(OR(C19="Alpha",B19="Alpha"),$C$9,$C$8),""),"")</f>
        <v/>
      </c>
      <c r="L19" s="126">
        <f>IFERROR(IF(ISNUMBER(F19),F19-IF(ISNUMBER(K19),K19,0),""),"")</f>
        <v/>
      </c>
    </row>
    <row r="20" ht="24" customHeight="1" s="63">
      <c r="A20" s="78" t="n"/>
      <c r="B20" s="79" t="n"/>
      <c r="C20" s="80" t="n"/>
      <c r="D20" s="80" t="n"/>
      <c r="E20" s="115" t="n"/>
      <c r="F20" s="115" t="n"/>
      <c r="G20" s="116">
        <f>IFERROR(IF(E20&gt;0,(F20/E20)*1000,""),"")</f>
        <v/>
      </c>
      <c r="H20" s="117">
        <f>IFERROR(IF(E20&gt;0,E20*IF(ISNUMBER(J20),J20,IF(OR(C20="Alpha",B20="Alpha"),$C$7,IF(C20="Futures",$C$6,$C$5))),""),"")</f>
        <v/>
      </c>
      <c r="I20" s="118">
        <f>IFERROR(IF(AND(ISNUMBER(F20),ISNUMBER(H20)),F20-H20,""),"")</f>
        <v/>
      </c>
      <c r="J20" s="85" t="n"/>
      <c r="K20" s="119">
        <f>IFERROR(IF(H20&gt;0,H20*IF(OR(C20="Alpha",B20="Alpha"),$C$9,$C$8),""),"")</f>
        <v/>
      </c>
      <c r="L20" s="120">
        <f>IFERROR(IF(ISNUMBER(F20),F20-IF(ISNUMBER(K20),K20,0),""),"")</f>
        <v/>
      </c>
    </row>
    <row r="21" ht="24" customHeight="1" s="63">
      <c r="A21" s="88" t="n"/>
      <c r="B21" s="89" t="n"/>
      <c r="C21" s="90" t="n"/>
      <c r="D21" s="90" t="n"/>
      <c r="E21" s="121" t="n"/>
      <c r="F21" s="121" t="n"/>
      <c r="G21" s="122">
        <f>IFERROR(IF(E21&gt;0,(F21/E21)*1000,""),"")</f>
        <v/>
      </c>
      <c r="H21" s="123">
        <f>IFERROR(IF(E21&gt;0,E21*IF(ISNUMBER(J21),J21,IF(OR(C21="Alpha",B21="Alpha"),$C$7,IF(C21="Futures",$C$6,$C$5))),""),"")</f>
        <v/>
      </c>
      <c r="I21" s="124">
        <f>IFERROR(IF(AND(ISNUMBER(F21),ISNUMBER(H21)),F21-H21,""),"")</f>
        <v/>
      </c>
      <c r="J21" s="95" t="n"/>
      <c r="K21" s="125">
        <f>IFERROR(IF(H21&gt;0,H21*IF(OR(C21="Alpha",B21="Alpha"),$C$9,$C$8),""),"")</f>
        <v/>
      </c>
      <c r="L21" s="126">
        <f>IFERROR(IF(ISNUMBER(F21),F21-IF(ISNUMBER(K21),K21,0),""),"")</f>
        <v/>
      </c>
    </row>
    <row r="22" ht="24" customHeight="1" s="63">
      <c r="A22" s="78" t="n"/>
      <c r="B22" s="79" t="n"/>
      <c r="C22" s="80" t="n"/>
      <c r="D22" s="80" t="n"/>
      <c r="E22" s="115" t="n"/>
      <c r="F22" s="115" t="n"/>
      <c r="G22" s="116">
        <f>IFERROR(IF(E22&gt;0,(F22/E22)*1000,""),"")</f>
        <v/>
      </c>
      <c r="H22" s="117">
        <f>IFERROR(IF(E22&gt;0,E22*IF(ISNUMBER(J22),J22,IF(OR(C22="Alpha",B22="Alpha"),$C$7,IF(C22="Futures",$C$6,$C$5))),""),"")</f>
        <v/>
      </c>
      <c r="I22" s="118">
        <f>IFERROR(IF(AND(ISNUMBER(F22),ISNUMBER(H22)),F22-H22,""),"")</f>
        <v/>
      </c>
      <c r="J22" s="85" t="n"/>
      <c r="K22" s="119">
        <f>IFERROR(IF(H22&gt;0,H22*IF(OR(C22="Alpha",B22="Alpha"),$C$9,$C$8),""),"")</f>
        <v/>
      </c>
      <c r="L22" s="120">
        <f>IFERROR(IF(ISNUMBER(F22),F22-IF(ISNUMBER(K22),K22,0),""),"")</f>
        <v/>
      </c>
    </row>
    <row r="23" ht="24" customHeight="1" s="63">
      <c r="A23" s="88" t="n"/>
      <c r="B23" s="89" t="n"/>
      <c r="C23" s="90" t="n"/>
      <c r="D23" s="90" t="n"/>
      <c r="E23" s="121" t="n"/>
      <c r="F23" s="121" t="n"/>
      <c r="G23" s="122">
        <f>IFERROR(IF(E23&gt;0,(F23/E23)*1000,""),"")</f>
        <v/>
      </c>
      <c r="H23" s="123">
        <f>IFERROR(IF(E23&gt;0,E23*IF(ISNUMBER(J23),J23,IF(OR(C23="Alpha",B23="Alpha"),$C$7,IF(C23="Futures",$C$6,$C$5))),""),"")</f>
        <v/>
      </c>
      <c r="I23" s="124">
        <f>IFERROR(IF(AND(ISNUMBER(F23),ISNUMBER(H23)),F23-H23,""),"")</f>
        <v/>
      </c>
      <c r="J23" s="95" t="n"/>
      <c r="K23" s="125">
        <f>IFERROR(IF(H23&gt;0,H23*IF(OR(C23="Alpha",B23="Alpha"),$C$9,$C$8),""),"")</f>
        <v/>
      </c>
      <c r="L23" s="126">
        <f>IFERROR(IF(ISNUMBER(F23),F23-IF(ISNUMBER(K23),K23,0),""),"")</f>
        <v/>
      </c>
    </row>
    <row r="24" ht="24" customHeight="1" s="63">
      <c r="A24" s="78" t="n"/>
      <c r="B24" s="79" t="n"/>
      <c r="C24" s="80" t="n"/>
      <c r="D24" s="80" t="n"/>
      <c r="E24" s="115" t="n"/>
      <c r="F24" s="115" t="n"/>
      <c r="G24" s="116">
        <f>IFERROR(IF(E24&gt;0,(F24/E24)*1000,""),"")</f>
        <v/>
      </c>
      <c r="H24" s="117">
        <f>IFERROR(IF(E24&gt;0,E24*IF(ISNUMBER(J24),J24,IF(OR(C24="Alpha",B24="Alpha"),$C$7,IF(C24="Futures",$C$6,$C$5))),""),"")</f>
        <v/>
      </c>
      <c r="I24" s="118">
        <f>IFERROR(IF(AND(ISNUMBER(F24),ISNUMBER(H24)),F24-H24,""),"")</f>
        <v/>
      </c>
      <c r="J24" s="85" t="n"/>
      <c r="K24" s="119">
        <f>IFERROR(IF(H24&gt;0,H24*IF(OR(C24="Alpha",B24="Alpha"),$C$9,$C$8),""),"")</f>
        <v/>
      </c>
      <c r="L24" s="120">
        <f>IFERROR(IF(ISNUMBER(F24),F24-IF(ISNUMBER(K24),K24,0),""),"")</f>
        <v/>
      </c>
    </row>
    <row r="25" ht="24" customHeight="1" s="63">
      <c r="A25" s="88" t="n"/>
      <c r="B25" s="89" t="n"/>
      <c r="C25" s="90" t="n"/>
      <c r="D25" s="90" t="n"/>
      <c r="E25" s="121" t="n"/>
      <c r="F25" s="121" t="n"/>
      <c r="G25" s="122">
        <f>IFERROR(IF(E25&gt;0,(F25/E25)*1000,""),"")</f>
        <v/>
      </c>
      <c r="H25" s="123">
        <f>IFERROR(IF(E25&gt;0,E25*IF(ISNUMBER(J25),J25,IF(OR(C25="Alpha",B25="Alpha"),$C$7,IF(C25="Futures",$C$6,$C$5))),""),"")</f>
        <v/>
      </c>
      <c r="I25" s="124">
        <f>IFERROR(IF(AND(ISNUMBER(F25),ISNUMBER(H25)),F25-H25,""),"")</f>
        <v/>
      </c>
      <c r="J25" s="95" t="n"/>
      <c r="K25" s="125">
        <f>IFERROR(IF(H25&gt;0,H25*IF(OR(C25="Alpha",B25="Alpha"),$C$9,$C$8),""),"")</f>
        <v/>
      </c>
      <c r="L25" s="126">
        <f>IFERROR(IF(ISNUMBER(F25),F25-IF(ISNUMBER(K25),K25,0),""),"")</f>
        <v/>
      </c>
    </row>
    <row r="26" ht="24" customHeight="1" s="63">
      <c r="A26" s="78" t="n"/>
      <c r="B26" s="79" t="n"/>
      <c r="C26" s="80" t="n"/>
      <c r="D26" s="80" t="n"/>
      <c r="E26" s="115" t="n"/>
      <c r="F26" s="115" t="n"/>
      <c r="G26" s="116">
        <f>IFERROR(IF(E26&gt;0,(F26/E26)*1000,""),"")</f>
        <v/>
      </c>
      <c r="H26" s="117">
        <f>IFERROR(IF(E26&gt;0,E26*IF(ISNUMBER(J26),J26,IF(OR(C26="Alpha",B26="Alpha"),$C$7,IF(C26="Futures",$C$6,$C$5))),""),"")</f>
        <v/>
      </c>
      <c r="I26" s="118">
        <f>IFERROR(IF(AND(ISNUMBER(F26),ISNUMBER(H26)),F26-H26,""),"")</f>
        <v/>
      </c>
      <c r="J26" s="85" t="n"/>
      <c r="K26" s="119">
        <f>IFERROR(IF(H26&gt;0,H26*IF(OR(C26="Alpha",B26="Alpha"),$C$9,$C$8),""),"")</f>
        <v/>
      </c>
      <c r="L26" s="120">
        <f>IFERROR(IF(ISNUMBER(F26),F26-IF(ISNUMBER(K26),K26,0),""),"")</f>
        <v/>
      </c>
    </row>
    <row r="27" ht="24" customHeight="1" s="63">
      <c r="A27" s="88" t="n"/>
      <c r="B27" s="89" t="n"/>
      <c r="C27" s="90" t="n"/>
      <c r="D27" s="90" t="n"/>
      <c r="E27" s="121" t="n"/>
      <c r="F27" s="121" t="n"/>
      <c r="G27" s="122">
        <f>IFERROR(IF(E27&gt;0,(F27/E27)*1000,""),"")</f>
        <v/>
      </c>
      <c r="H27" s="123">
        <f>IFERROR(IF(E27&gt;0,E27*IF(ISNUMBER(J27),J27,IF(OR(C27="Alpha",B27="Alpha"),$C$7,IF(C27="Futures",$C$6,$C$5))),""),"")</f>
        <v/>
      </c>
      <c r="I27" s="124">
        <f>IFERROR(IF(AND(ISNUMBER(F27),ISNUMBER(H27)),F27-H27,""),"")</f>
        <v/>
      </c>
      <c r="J27" s="95" t="n"/>
      <c r="K27" s="125">
        <f>IFERROR(IF(H27&gt;0,H27*IF(OR(C27="Alpha",B27="Alpha"),$C$9,$C$8),""),"")</f>
        <v/>
      </c>
      <c r="L27" s="126">
        <f>IFERROR(IF(ISNUMBER(F27),F27-IF(ISNUMBER(K27),K27,0),""),"")</f>
        <v/>
      </c>
    </row>
    <row r="28" ht="24" customHeight="1" s="63">
      <c r="A28" s="78" t="n"/>
      <c r="B28" s="79" t="n"/>
      <c r="C28" s="80" t="n"/>
      <c r="D28" s="80" t="n"/>
      <c r="E28" s="115" t="n"/>
      <c r="F28" s="115" t="n"/>
      <c r="G28" s="116">
        <f>IFERROR(IF(E28&gt;0,(F28/E28)*1000,""),"")</f>
        <v/>
      </c>
      <c r="H28" s="117">
        <f>IFERROR(IF(E28&gt;0,E28*IF(ISNUMBER(J28),J28,IF(OR(C28="Alpha",B28="Alpha"),$C$7,IF(C28="Futures",$C$6,$C$5))),""),"")</f>
        <v/>
      </c>
      <c r="I28" s="118">
        <f>IFERROR(IF(AND(ISNUMBER(F28),ISNUMBER(H28)),F28-H28,""),"")</f>
        <v/>
      </c>
      <c r="J28" s="85" t="n"/>
      <c r="K28" s="119">
        <f>IFERROR(IF(H28&gt;0,H28*IF(OR(C28="Alpha",B28="Alpha"),$C$9,$C$8),""),"")</f>
        <v/>
      </c>
      <c r="L28" s="120">
        <f>IFERROR(IF(ISNUMBER(F28),F28-IF(ISNUMBER(K28),K28,0),""),"")</f>
        <v/>
      </c>
    </row>
    <row r="29" ht="24" customHeight="1" s="63">
      <c r="A29" s="88" t="n"/>
      <c r="B29" s="89" t="n"/>
      <c r="C29" s="90" t="n"/>
      <c r="D29" s="90" t="n"/>
      <c r="E29" s="121" t="n"/>
      <c r="F29" s="121" t="n"/>
      <c r="G29" s="122">
        <f>IFERROR(IF(E29&gt;0,(F29/E29)*1000,""),"")</f>
        <v/>
      </c>
      <c r="H29" s="123">
        <f>IFERROR(IF(E29&gt;0,E29*IF(ISNUMBER(J29),J29,IF(OR(C29="Alpha",B29="Alpha"),$C$7,IF(C29="Futures",$C$6,$C$5))),""),"")</f>
        <v/>
      </c>
      <c r="I29" s="124">
        <f>IFERROR(IF(AND(ISNUMBER(F29),ISNUMBER(H29)),F29-H29,""),"")</f>
        <v/>
      </c>
      <c r="J29" s="95" t="n"/>
      <c r="K29" s="125">
        <f>IFERROR(IF(H29&gt;0,H29*IF(OR(C29="Alpha",B29="Alpha"),$C$9,$C$8),""),"")</f>
        <v/>
      </c>
      <c r="L29" s="126">
        <f>IFERROR(IF(ISNUMBER(F29),F29-IF(ISNUMBER(K29),K29,0),""),"")</f>
        <v/>
      </c>
    </row>
    <row r="30" ht="24" customHeight="1" s="63">
      <c r="A30" s="78" t="n"/>
      <c r="B30" s="79" t="n"/>
      <c r="C30" s="80" t="n"/>
      <c r="D30" s="80" t="n"/>
      <c r="E30" s="115" t="n"/>
      <c r="F30" s="115" t="n"/>
      <c r="G30" s="116">
        <f>IFERROR(IF(E30&gt;0,(F30/E30)*1000,""),"")</f>
        <v/>
      </c>
      <c r="H30" s="117">
        <f>IFERROR(IF(E30&gt;0,E30*IF(ISNUMBER(J30),J30,IF(OR(C30="Alpha",B30="Alpha"),$C$7,IF(C30="Futures",$C$6,$C$5))),""),"")</f>
        <v/>
      </c>
      <c r="I30" s="118">
        <f>IFERROR(IF(AND(ISNUMBER(F30),ISNUMBER(H30)),F30-H30,""),"")</f>
        <v/>
      </c>
      <c r="J30" s="85" t="n"/>
      <c r="K30" s="119">
        <f>IFERROR(IF(H30&gt;0,H30*IF(OR(C30="Alpha",B30="Alpha"),$C$9,$C$8),""),"")</f>
        <v/>
      </c>
      <c r="L30" s="120">
        <f>IFERROR(IF(ISNUMBER(F30),F30-IF(ISNUMBER(K30),K30,0),""),"")</f>
        <v/>
      </c>
    </row>
    <row r="31" ht="24" customHeight="1" s="63">
      <c r="A31" s="88" t="n"/>
      <c r="B31" s="89" t="n"/>
      <c r="C31" s="90" t="n"/>
      <c r="D31" s="90" t="n"/>
      <c r="E31" s="121" t="n"/>
      <c r="F31" s="121" t="n"/>
      <c r="G31" s="122">
        <f>IFERROR(IF(E31&gt;0,(F31/E31)*1000,""),"")</f>
        <v/>
      </c>
      <c r="H31" s="123">
        <f>IFERROR(IF(E31&gt;0,E31*IF(ISNUMBER(J31),J31,IF(OR(C31="Alpha",B31="Alpha"),$C$7,IF(C31="Futures",$C$6,$C$5))),""),"")</f>
        <v/>
      </c>
      <c r="I31" s="124">
        <f>IFERROR(IF(AND(ISNUMBER(F31),ISNUMBER(H31)),F31-H31,""),"")</f>
        <v/>
      </c>
      <c r="J31" s="95" t="n"/>
      <c r="K31" s="125">
        <f>IFERROR(IF(H31&gt;0,H31*IF(OR(C31="Alpha",B31="Alpha"),$C$9,$C$8),""),"")</f>
        <v/>
      </c>
      <c r="L31" s="126">
        <f>IFERROR(IF(ISNUMBER(F31),F31-IF(ISNUMBER(K31),K31,0),""),"")</f>
        <v/>
      </c>
    </row>
    <row r="32" ht="24" customHeight="1" s="63">
      <c r="A32" s="78" t="n"/>
      <c r="B32" s="79" t="n"/>
      <c r="C32" s="80" t="n"/>
      <c r="D32" s="80" t="n"/>
      <c r="E32" s="115" t="n"/>
      <c r="F32" s="115" t="n"/>
      <c r="G32" s="116">
        <f>IFERROR(IF(E32&gt;0,(F32/E32)*1000,""),"")</f>
        <v/>
      </c>
      <c r="H32" s="117">
        <f>IFERROR(IF(E32&gt;0,E32*IF(ISNUMBER(J32),J32,IF(OR(C32="Alpha",B32="Alpha"),$C$7,IF(C32="Futures",$C$6,$C$5))),""),"")</f>
        <v/>
      </c>
      <c r="I32" s="118">
        <f>IFERROR(IF(AND(ISNUMBER(F32),ISNUMBER(H32)),F32-H32,""),"")</f>
        <v/>
      </c>
      <c r="J32" s="85" t="n"/>
      <c r="K32" s="119">
        <f>IFERROR(IF(H32&gt;0,H32*IF(OR(C32="Alpha",B32="Alpha"),$C$9,$C$8),""),"")</f>
        <v/>
      </c>
      <c r="L32" s="120">
        <f>IFERROR(IF(ISNUMBER(F32),F32-IF(ISNUMBER(K32),K32,0),""),"")</f>
        <v/>
      </c>
    </row>
    <row r="33" ht="24" customHeight="1" s="63">
      <c r="A33" s="88" t="n"/>
      <c r="B33" s="89" t="n"/>
      <c r="C33" s="90" t="n"/>
      <c r="D33" s="90" t="n"/>
      <c r="E33" s="121" t="n"/>
      <c r="F33" s="121" t="n"/>
      <c r="G33" s="122">
        <f>IFERROR(IF(E33&gt;0,(F33/E33)*1000,""),"")</f>
        <v/>
      </c>
      <c r="H33" s="123">
        <f>IFERROR(IF(E33&gt;0,E33*IF(ISNUMBER(J33),J33,IF(OR(C33="Alpha",B33="Alpha"),$C$7,IF(C33="Futures",$C$6,$C$5))),""),"")</f>
        <v/>
      </c>
      <c r="I33" s="124">
        <f>IFERROR(IF(AND(ISNUMBER(F33),ISNUMBER(H33)),F33-H33,""),"")</f>
        <v/>
      </c>
      <c r="J33" s="95" t="n"/>
      <c r="K33" s="125">
        <f>IFERROR(IF(H33&gt;0,H33*IF(OR(C33="Alpha",B33="Alpha"),$C$9,$C$8),""),"")</f>
        <v/>
      </c>
      <c r="L33" s="126">
        <f>IFERROR(IF(ISNUMBER(F33),F33-IF(ISNUMBER(K33),K33,0),""),"")</f>
        <v/>
      </c>
    </row>
    <row r="34" ht="24" customHeight="1" s="63">
      <c r="A34" s="78" t="n"/>
      <c r="B34" s="79" t="n"/>
      <c r="C34" s="80" t="n"/>
      <c r="D34" s="80" t="n"/>
      <c r="E34" s="115" t="n"/>
      <c r="F34" s="115" t="n"/>
      <c r="G34" s="116">
        <f>IFERROR(IF(E34&gt;0,(F34/E34)*1000,""),"")</f>
        <v/>
      </c>
      <c r="H34" s="117">
        <f>IFERROR(IF(E34&gt;0,E34*IF(ISNUMBER(J34),J34,IF(OR(C34="Alpha",B34="Alpha"),$C$7,IF(C34="Futures",$C$6,$C$5))),""),"")</f>
        <v/>
      </c>
      <c r="I34" s="118">
        <f>IFERROR(IF(AND(ISNUMBER(F34),ISNUMBER(H34)),F34-H34,""),"")</f>
        <v/>
      </c>
      <c r="J34" s="85" t="n"/>
      <c r="K34" s="119">
        <f>IFERROR(IF(H34&gt;0,H34*IF(OR(C34="Alpha",B34="Alpha"),$C$9,$C$8),""),"")</f>
        <v/>
      </c>
      <c r="L34" s="120">
        <f>IFERROR(IF(ISNUMBER(F34),F34-IF(ISNUMBER(K34),K34,0),""),"")</f>
        <v/>
      </c>
    </row>
    <row r="35" ht="24" customHeight="1" s="63">
      <c r="A35" s="88" t="n"/>
      <c r="B35" s="89" t="n"/>
      <c r="C35" s="90" t="n"/>
      <c r="D35" s="90" t="n"/>
      <c r="E35" s="121" t="n"/>
      <c r="F35" s="121" t="n"/>
      <c r="G35" s="122">
        <f>IFERROR(IF(E35&gt;0,(F35/E35)*1000,""),"")</f>
        <v/>
      </c>
      <c r="H35" s="123">
        <f>IFERROR(IF(E35&gt;0,E35*IF(ISNUMBER(J35),J35,IF(OR(C35="Alpha",B35="Alpha"),$C$7,IF(C35="Futures",$C$6,$C$5))),""),"")</f>
        <v/>
      </c>
      <c r="I35" s="124">
        <f>IFERROR(IF(AND(ISNUMBER(F35),ISNUMBER(H35)),F35-H35,""),"")</f>
        <v/>
      </c>
      <c r="J35" s="95" t="n"/>
      <c r="K35" s="125">
        <f>IFERROR(IF(H35&gt;0,H35*IF(OR(C35="Alpha",B35="Alpha"),$C$9,$C$8),""),"")</f>
        <v/>
      </c>
      <c r="L35" s="126">
        <f>IFERROR(IF(ISNUMBER(F35),F35-IF(ISNUMBER(K35),K35,0),""),"")</f>
        <v/>
      </c>
    </row>
    <row r="36" ht="24" customHeight="1" s="63">
      <c r="A36" s="78" t="n"/>
      <c r="B36" s="79" t="n"/>
      <c r="C36" s="80" t="n"/>
      <c r="D36" s="80" t="n"/>
      <c r="E36" s="115" t="n"/>
      <c r="F36" s="115" t="n"/>
      <c r="G36" s="116">
        <f>IFERROR(IF(E36&gt;0,(F36/E36)*1000,""),"")</f>
        <v/>
      </c>
      <c r="H36" s="117">
        <f>IFERROR(IF(E36&gt;0,E36*IF(ISNUMBER(J36),J36,IF(OR(C36="Alpha",B36="Alpha"),$C$7,IF(C36="Futures",$C$6,$C$5))),""),"")</f>
        <v/>
      </c>
      <c r="I36" s="118">
        <f>IFERROR(IF(AND(ISNUMBER(F36),ISNUMBER(H36)),F36-H36,""),"")</f>
        <v/>
      </c>
      <c r="J36" s="85" t="n"/>
      <c r="K36" s="119">
        <f>IFERROR(IF(H36&gt;0,H36*IF(OR(C36="Alpha",B36="Alpha"),$C$9,$C$8),""),"")</f>
        <v/>
      </c>
      <c r="L36" s="120">
        <f>IFERROR(IF(ISNUMBER(F36),F36-IF(ISNUMBER(K36),K36,0),""),"")</f>
        <v/>
      </c>
    </row>
    <row r="37" ht="24" customHeight="1" s="63">
      <c r="A37" s="88" t="n"/>
      <c r="B37" s="89" t="n"/>
      <c r="C37" s="90" t="n"/>
      <c r="D37" s="90" t="n"/>
      <c r="E37" s="121" t="n"/>
      <c r="F37" s="121" t="n"/>
      <c r="G37" s="122">
        <f>IFERROR(IF(E37&gt;0,(F37/E37)*1000,""),"")</f>
        <v/>
      </c>
      <c r="H37" s="123">
        <f>IFERROR(IF(E37&gt;0,E37*IF(ISNUMBER(J37),J37,IF(OR(C37="Alpha",B37="Alpha"),$C$7,IF(C37="Futures",$C$6,$C$5))),""),"")</f>
        <v/>
      </c>
      <c r="I37" s="124">
        <f>IFERROR(IF(AND(ISNUMBER(F37),ISNUMBER(H37)),F37-H37,""),"")</f>
        <v/>
      </c>
      <c r="J37" s="95" t="n"/>
      <c r="K37" s="125">
        <f>IFERROR(IF(H37&gt;0,H37*IF(OR(C37="Alpha",B37="Alpha"),$C$9,$C$8),""),"")</f>
        <v/>
      </c>
      <c r="L37" s="126">
        <f>IFERROR(IF(ISNUMBER(F37),F37-IF(ISNUMBER(K37),K37,0),""),"")</f>
        <v/>
      </c>
    </row>
    <row r="38" ht="24" customHeight="1" s="63">
      <c r="A38" s="78" t="n"/>
      <c r="B38" s="79" t="n"/>
      <c r="C38" s="80" t="n"/>
      <c r="D38" s="80" t="n"/>
      <c r="E38" s="115" t="n"/>
      <c r="F38" s="115" t="n"/>
      <c r="G38" s="116">
        <f>IFERROR(IF(E38&gt;0,(F38/E38)*1000,""),"")</f>
        <v/>
      </c>
      <c r="H38" s="117">
        <f>IFERROR(IF(E38&gt;0,E38*IF(ISNUMBER(J38),J38,IF(OR(C38="Alpha",B38="Alpha"),$C$7,IF(C38="Futures",$C$6,$C$5))),""),"")</f>
        <v/>
      </c>
      <c r="I38" s="118">
        <f>IFERROR(IF(AND(ISNUMBER(F38),ISNUMBER(H38)),F38-H38,""),"")</f>
        <v/>
      </c>
      <c r="J38" s="85" t="n"/>
      <c r="K38" s="119">
        <f>IFERROR(IF(H38&gt;0,H38*IF(OR(C38="Alpha",B38="Alpha"),$C$9,$C$8),""),"")</f>
        <v/>
      </c>
      <c r="L38" s="120">
        <f>IFERROR(IF(ISNUMBER(F38),F38-IF(ISNUMBER(K38),K38,0),""),"")</f>
        <v/>
      </c>
    </row>
    <row r="39" ht="24" customHeight="1" s="63">
      <c r="A39" s="88" t="n"/>
      <c r="B39" s="89" t="n"/>
      <c r="C39" s="90" t="n"/>
      <c r="D39" s="90" t="n"/>
      <c r="E39" s="121" t="n"/>
      <c r="F39" s="121" t="n"/>
      <c r="G39" s="122">
        <f>IFERROR(IF(E39&gt;0,(F39/E39)*1000,""),"")</f>
        <v/>
      </c>
      <c r="H39" s="123">
        <f>IFERROR(IF(E39&gt;0,E39*IF(ISNUMBER(J39),J39,IF(OR(C39="Alpha",B39="Alpha"),$C$7,IF(C39="Futures",$C$6,$C$5))),""),"")</f>
        <v/>
      </c>
      <c r="I39" s="124">
        <f>IFERROR(IF(AND(ISNUMBER(F39),ISNUMBER(H39)),F39-H39,""),"")</f>
        <v/>
      </c>
      <c r="J39" s="95" t="n"/>
      <c r="K39" s="125">
        <f>IFERROR(IF(H39&gt;0,H39*IF(OR(C39="Alpha",B39="Alpha"),$C$9,$C$8),""),"")</f>
        <v/>
      </c>
      <c r="L39" s="126">
        <f>IFERROR(IF(ISNUMBER(F39),F39-IF(ISNUMBER(K39),K39,0),""),"")</f>
        <v/>
      </c>
    </row>
    <row r="40" ht="24" customHeight="1" s="63">
      <c r="A40" s="78" t="n"/>
      <c r="B40" s="79" t="n"/>
      <c r="C40" s="80" t="n"/>
      <c r="D40" s="80" t="n"/>
      <c r="E40" s="115" t="n"/>
      <c r="F40" s="115" t="n"/>
      <c r="G40" s="116">
        <f>IFERROR(IF(E40&gt;0,(F40/E40)*1000,""),"")</f>
        <v/>
      </c>
      <c r="H40" s="117">
        <f>IFERROR(IF(E40&gt;0,E40*IF(ISNUMBER(J40),J40,IF(OR(C40="Alpha",B40="Alpha"),$C$7,IF(C40="Futures",$C$6,$C$5))),""),"")</f>
        <v/>
      </c>
      <c r="I40" s="118">
        <f>IFERROR(IF(AND(ISNUMBER(F40),ISNUMBER(H40)),F40-H40,""),"")</f>
        <v/>
      </c>
      <c r="J40" s="85" t="n"/>
      <c r="K40" s="119">
        <f>IFERROR(IF(H40&gt;0,H40*IF(OR(C40="Alpha",B40="Alpha"),$C$9,$C$8),""),"")</f>
        <v/>
      </c>
      <c r="L40" s="120">
        <f>IFERROR(IF(ISNUMBER(F40),F40-IF(ISNUMBER(K40),K40,0),""),"")</f>
        <v/>
      </c>
    </row>
    <row r="41" ht="24" customHeight="1" s="63">
      <c r="A41" s="88" t="n"/>
      <c r="B41" s="89" t="n"/>
      <c r="C41" s="90" t="n"/>
      <c r="D41" s="90" t="n"/>
      <c r="E41" s="121" t="n"/>
      <c r="F41" s="121" t="n"/>
      <c r="G41" s="122">
        <f>IFERROR(IF(E41&gt;0,(F41/E41)*1000,""),"")</f>
        <v/>
      </c>
      <c r="H41" s="123">
        <f>IFERROR(IF(E41&gt;0,E41*IF(ISNUMBER(J41),J41,IF(OR(C41="Alpha",B41="Alpha"),$C$7,IF(C41="Futures",$C$6,$C$5))),""),"")</f>
        <v/>
      </c>
      <c r="I41" s="124">
        <f>IFERROR(IF(AND(ISNUMBER(F41),ISNUMBER(H41)),F41-H41,""),"")</f>
        <v/>
      </c>
      <c r="J41" s="95" t="n"/>
      <c r="K41" s="125">
        <f>IFERROR(IF(H41&gt;0,H41*IF(OR(C41="Alpha",B41="Alpha"),$C$9,$C$8),""),"")</f>
        <v/>
      </c>
      <c r="L41" s="126">
        <f>IFERROR(IF(ISNUMBER(F41),F41-IF(ISNUMBER(K41),K41,0),""),"")</f>
        <v/>
      </c>
    </row>
    <row r="42" ht="24" customHeight="1" s="63">
      <c r="A42" s="78" t="n"/>
      <c r="B42" s="79" t="n"/>
      <c r="C42" s="80" t="n"/>
      <c r="D42" s="80" t="n"/>
      <c r="E42" s="115" t="n"/>
      <c r="F42" s="115" t="n"/>
      <c r="G42" s="116">
        <f>IFERROR(IF(E42&gt;0,(F42/E42)*1000,""),"")</f>
        <v/>
      </c>
      <c r="H42" s="117">
        <f>IFERROR(IF(E42&gt;0,E42*IF(ISNUMBER(J42),J42,IF(OR(C42="Alpha",B42="Alpha"),$C$7,IF(C42="Futures",$C$6,$C$5))),""),"")</f>
        <v/>
      </c>
      <c r="I42" s="118">
        <f>IFERROR(IF(AND(ISNUMBER(F42),ISNUMBER(H42)),F42-H42,""),"")</f>
        <v/>
      </c>
      <c r="J42" s="85" t="n"/>
      <c r="K42" s="119">
        <f>IFERROR(IF(H42&gt;0,H42*IF(OR(C42="Alpha",B42="Alpha"),$C$9,$C$8),""),"")</f>
        <v/>
      </c>
      <c r="L42" s="120">
        <f>IFERROR(IF(ISNUMBER(F42),F42-IF(ISNUMBER(K42),K42,0),""),"")</f>
        <v/>
      </c>
    </row>
    <row r="43" ht="24" customHeight="1" s="63">
      <c r="A43" s="88" t="n"/>
      <c r="B43" s="89" t="n"/>
      <c r="C43" s="90" t="n"/>
      <c r="D43" s="90" t="n"/>
      <c r="E43" s="121" t="n"/>
      <c r="F43" s="121" t="n"/>
      <c r="G43" s="122">
        <f>IFERROR(IF(E43&gt;0,(F43/E43)*1000,""),"")</f>
        <v/>
      </c>
      <c r="H43" s="123">
        <f>IFERROR(IF(E43&gt;0,E43*IF(ISNUMBER(J43),J43,IF(OR(C43="Alpha",B43="Alpha"),$C$7,IF(C43="Futures",$C$6,$C$5))),""),"")</f>
        <v/>
      </c>
      <c r="I43" s="124">
        <f>IFERROR(IF(AND(ISNUMBER(F43),ISNUMBER(H43)),F43-H43,""),"")</f>
        <v/>
      </c>
      <c r="J43" s="95" t="n"/>
      <c r="K43" s="125">
        <f>IFERROR(IF(H43&gt;0,H43*IF(OR(C43="Alpha",B43="Alpha"),$C$9,$C$8),""),"")</f>
        <v/>
      </c>
      <c r="L43" s="126">
        <f>IFERROR(IF(ISNUMBER(F43),F43-IF(ISNUMBER(K43),K43,0),""),"")</f>
        <v/>
      </c>
    </row>
    <row r="44" ht="24" customHeight="1" s="63">
      <c r="A44" s="78" t="n"/>
      <c r="B44" s="79" t="n"/>
      <c r="C44" s="80" t="n"/>
      <c r="D44" s="80" t="n"/>
      <c r="E44" s="115" t="n"/>
      <c r="F44" s="115" t="n"/>
      <c r="G44" s="116">
        <f>IFERROR(IF(E44&gt;0,(F44/E44)*1000,""),"")</f>
        <v/>
      </c>
      <c r="H44" s="117">
        <f>IFERROR(IF(E44&gt;0,E44*IF(ISNUMBER(J44),J44,IF(OR(C44="Alpha",B44="Alpha"),$C$7,IF(C44="Futures",$C$6,$C$5))),""),"")</f>
        <v/>
      </c>
      <c r="I44" s="118">
        <f>IFERROR(IF(AND(ISNUMBER(F44),ISNUMBER(H44)),F44-H44,""),"")</f>
        <v/>
      </c>
      <c r="J44" s="85" t="n"/>
      <c r="K44" s="119">
        <f>IFERROR(IF(H44&gt;0,H44*IF(OR(C44="Alpha",B44="Alpha"),$C$9,$C$8),""),"")</f>
        <v/>
      </c>
      <c r="L44" s="120">
        <f>IFERROR(IF(ISNUMBER(F44),F44-IF(ISNUMBER(K44),K44,0),""),"")</f>
        <v/>
      </c>
    </row>
    <row r="45" ht="24" customHeight="1" s="63">
      <c r="A45" s="88" t="n"/>
      <c r="B45" s="89" t="n"/>
      <c r="C45" s="90" t="n"/>
      <c r="D45" s="90" t="n"/>
      <c r="E45" s="121" t="n"/>
      <c r="F45" s="121" t="n"/>
      <c r="G45" s="122">
        <f>IFERROR(IF(E45&gt;0,(F45/E45)*1000,""),"")</f>
        <v/>
      </c>
      <c r="H45" s="123">
        <f>IFERROR(IF(E45&gt;0,E45*IF(ISNUMBER(J45),J45,IF(OR(C45="Alpha",B45="Alpha"),$C$7,IF(C45="Futures",$C$6,$C$5))),""),"")</f>
        <v/>
      </c>
      <c r="I45" s="124">
        <f>IFERROR(IF(AND(ISNUMBER(F45),ISNUMBER(H45)),F45-H45,""),"")</f>
        <v/>
      </c>
      <c r="J45" s="95" t="n"/>
      <c r="K45" s="125">
        <f>IFERROR(IF(H45&gt;0,H45*IF(OR(C45="Alpha",B45="Alpha"),$C$9,$C$8),""),"")</f>
        <v/>
      </c>
      <c r="L45" s="126">
        <f>IFERROR(IF(ISNUMBER(F45),F45-IF(ISNUMBER(K45),K45,0),""),"")</f>
        <v/>
      </c>
    </row>
    <row r="46" ht="24" customHeight="1" s="63">
      <c r="A46" s="78" t="n"/>
      <c r="B46" s="79" t="n"/>
      <c r="C46" s="80" t="n"/>
      <c r="D46" s="80" t="n"/>
      <c r="E46" s="115" t="n"/>
      <c r="F46" s="115" t="n"/>
      <c r="G46" s="116">
        <f>IFERROR(IF(E46&gt;0,(F46/E46)*1000,""),"")</f>
        <v/>
      </c>
      <c r="H46" s="117">
        <f>IFERROR(IF(E46&gt;0,E46*IF(ISNUMBER(J46),J46,IF(OR(C46="Alpha",B46="Alpha"),$C$7,IF(C46="Futures",$C$6,$C$5))),""),"")</f>
        <v/>
      </c>
      <c r="I46" s="118">
        <f>IFERROR(IF(AND(ISNUMBER(F46),ISNUMBER(H46)),F46-H46,""),"")</f>
        <v/>
      </c>
      <c r="J46" s="85" t="n"/>
      <c r="K46" s="119">
        <f>IFERROR(IF(H46&gt;0,H46*IF(OR(C46="Alpha",B46="Alpha"),$C$9,$C$8),""),"")</f>
        <v/>
      </c>
      <c r="L46" s="120">
        <f>IFERROR(IF(ISNUMBER(F46),F46-IF(ISNUMBER(K46),K46,0),""),"")</f>
        <v/>
      </c>
    </row>
    <row r="47" ht="24" customHeight="1" s="63">
      <c r="A47" s="88" t="n"/>
      <c r="B47" s="89" t="n"/>
      <c r="C47" s="90" t="n"/>
      <c r="D47" s="90" t="n"/>
      <c r="E47" s="121" t="n"/>
      <c r="F47" s="121" t="n"/>
      <c r="G47" s="122">
        <f>IFERROR(IF(E47&gt;0,(F47/E47)*1000,""),"")</f>
        <v/>
      </c>
      <c r="H47" s="123">
        <f>IFERROR(IF(E47&gt;0,E47*IF(ISNUMBER(J47),J47,IF(OR(C47="Alpha",B47="Alpha"),$C$7,IF(C47="Futures",$C$6,$C$5))),""),"")</f>
        <v/>
      </c>
      <c r="I47" s="124">
        <f>IFERROR(IF(AND(ISNUMBER(F47),ISNUMBER(H47)),F47-H47,""),"")</f>
        <v/>
      </c>
      <c r="J47" s="95" t="n"/>
      <c r="K47" s="125">
        <f>IFERROR(IF(H47&gt;0,H47*IF(OR(C47="Alpha",B47="Alpha"),$C$9,$C$8),""),"")</f>
        <v/>
      </c>
      <c r="L47" s="126">
        <f>IFERROR(IF(ISNUMBER(F47),F47-IF(ISNUMBER(K47),K47,0),""),"")</f>
        <v/>
      </c>
    </row>
    <row r="48" ht="24" customHeight="1" s="63">
      <c r="A48" s="78" t="n"/>
      <c r="B48" s="79" t="n"/>
      <c r="C48" s="80" t="n"/>
      <c r="D48" s="80" t="n"/>
      <c r="E48" s="115" t="n"/>
      <c r="F48" s="115" t="n"/>
      <c r="G48" s="116">
        <f>IFERROR(IF(E48&gt;0,(F48/E48)*1000,""),"")</f>
        <v/>
      </c>
      <c r="H48" s="117">
        <f>IFERROR(IF(E48&gt;0,E48*IF(ISNUMBER(J48),J48,IF(OR(C48="Alpha",B48="Alpha"),$C$7,IF(C48="Futures",$C$6,$C$5))),""),"")</f>
        <v/>
      </c>
      <c r="I48" s="118">
        <f>IFERROR(IF(AND(ISNUMBER(F48),ISNUMBER(H48)),F48-H48,""),"")</f>
        <v/>
      </c>
      <c r="J48" s="85" t="n"/>
      <c r="K48" s="119">
        <f>IFERROR(IF(H48&gt;0,H48*IF(OR(C48="Alpha",B48="Alpha"),$C$9,$C$8),""),"")</f>
        <v/>
      </c>
      <c r="L48" s="120">
        <f>IFERROR(IF(ISNUMBER(F48),F48-IF(ISNUMBER(K48),K48,0),""),"")</f>
        <v/>
      </c>
    </row>
    <row r="49" ht="24" customHeight="1" s="63">
      <c r="A49" s="88" t="n"/>
      <c r="B49" s="89" t="n"/>
      <c r="C49" s="90" t="n"/>
      <c r="D49" s="90" t="n"/>
      <c r="E49" s="121" t="n"/>
      <c r="F49" s="121" t="n"/>
      <c r="G49" s="122">
        <f>IFERROR(IF(E49&gt;0,(F49/E49)*1000,""),"")</f>
        <v/>
      </c>
      <c r="H49" s="123">
        <f>IFERROR(IF(E49&gt;0,E49*IF(ISNUMBER(J49),J49,IF(OR(C49="Alpha",B49="Alpha"),$C$7,IF(C49="Futures",$C$6,$C$5))),""),"")</f>
        <v/>
      </c>
      <c r="I49" s="124">
        <f>IFERROR(IF(AND(ISNUMBER(F49),ISNUMBER(H49)),F49-H49,""),"")</f>
        <v/>
      </c>
      <c r="J49" s="95" t="n"/>
      <c r="K49" s="125">
        <f>IFERROR(IF(H49&gt;0,H49*IF(OR(C49="Alpha",B49="Alpha"),$C$9,$C$8),""),"")</f>
        <v/>
      </c>
      <c r="L49" s="126">
        <f>IFERROR(IF(ISNUMBER(F49),F49-IF(ISNUMBER(K49),K49,0),""),"")</f>
        <v/>
      </c>
    </row>
    <row r="50" ht="24" customHeight="1" s="63">
      <c r="A50" s="78" t="n"/>
      <c r="B50" s="79" t="n"/>
      <c r="C50" s="80" t="n"/>
      <c r="D50" s="80" t="n"/>
      <c r="E50" s="115" t="n"/>
      <c r="F50" s="115" t="n"/>
      <c r="G50" s="116">
        <f>IFERROR(IF(E50&gt;0,(F50/E50)*1000,""),"")</f>
        <v/>
      </c>
      <c r="H50" s="117">
        <f>IFERROR(IF(E50&gt;0,E50*IF(ISNUMBER(J50),J50,IF(OR(C50="Alpha",B50="Alpha"),$C$7,IF(C50="Futures",$C$6,$C$5))),""),"")</f>
        <v/>
      </c>
      <c r="I50" s="118">
        <f>IFERROR(IF(AND(ISNUMBER(F50),ISNUMBER(H50)),F50-H50,""),"")</f>
        <v/>
      </c>
      <c r="J50" s="85" t="n"/>
      <c r="K50" s="119">
        <f>IFERROR(IF(H50&gt;0,H50*IF(OR(C50="Alpha",B50="Alpha"),$C$9,$C$8),""),"")</f>
        <v/>
      </c>
      <c r="L50" s="120">
        <f>IFERROR(IF(ISNUMBER(F50),F50-IF(ISNUMBER(K50),K50,0),""),"")</f>
        <v/>
      </c>
    </row>
    <row r="51" ht="24" customHeight="1" s="63">
      <c r="A51" s="88" t="n"/>
      <c r="B51" s="89" t="n"/>
      <c r="C51" s="90" t="n"/>
      <c r="D51" s="90" t="n"/>
      <c r="E51" s="121" t="n"/>
      <c r="F51" s="121" t="n"/>
      <c r="G51" s="122">
        <f>IFERROR(IF(E51&gt;0,(F51/E51)*1000,""),"")</f>
        <v/>
      </c>
      <c r="H51" s="123">
        <f>IFERROR(IF(E51&gt;0,E51*IF(ISNUMBER(J51),J51,IF(OR(C51="Alpha",B51="Alpha"),$C$7,IF(C51="Futures",$C$6,$C$5))),""),"")</f>
        <v/>
      </c>
      <c r="I51" s="124">
        <f>IFERROR(IF(AND(ISNUMBER(F51),ISNUMBER(H51)),F51-H51,""),"")</f>
        <v/>
      </c>
      <c r="J51" s="95" t="n"/>
      <c r="K51" s="125">
        <f>IFERROR(IF(H51&gt;0,H51*IF(OR(C51="Alpha",B51="Alpha"),$C$9,$C$8),""),"")</f>
        <v/>
      </c>
      <c r="L51" s="126">
        <f>IFERROR(IF(ISNUMBER(F51),F51-IF(ISNUMBER(K51),K51,0),""),"")</f>
        <v/>
      </c>
    </row>
    <row r="52" ht="24" customHeight="1" s="63">
      <c r="A52" s="78" t="n"/>
      <c r="B52" s="79" t="n"/>
      <c r="C52" s="80" t="n"/>
      <c r="D52" s="80" t="n"/>
      <c r="E52" s="115" t="n"/>
      <c r="F52" s="115" t="n"/>
      <c r="G52" s="116">
        <f>IFERROR(IF(E52&gt;0,(F52/E52)*1000,""),"")</f>
        <v/>
      </c>
      <c r="H52" s="117">
        <f>IFERROR(IF(E52&gt;0,E52*IF(ISNUMBER(J52),J52,IF(OR(C52="Alpha",B52="Alpha"),$C$7,IF(C52="Futures",$C$6,$C$5))),""),"")</f>
        <v/>
      </c>
      <c r="I52" s="118">
        <f>IFERROR(IF(AND(ISNUMBER(F52),ISNUMBER(H52)),F52-H52,""),"")</f>
        <v/>
      </c>
      <c r="J52" s="85" t="n"/>
      <c r="K52" s="119">
        <f>IFERROR(IF(H52&gt;0,H52*IF(OR(C52="Alpha",B52="Alpha"),$C$9,$C$8),""),"")</f>
        <v/>
      </c>
      <c r="L52" s="120">
        <f>IFERROR(IF(ISNUMBER(F52),F52-IF(ISNUMBER(K52),K52,0),""),"")</f>
        <v/>
      </c>
    </row>
    <row r="53" ht="24" customHeight="1" s="63">
      <c r="A53" s="88" t="n"/>
      <c r="B53" s="89" t="n"/>
      <c r="C53" s="90" t="n"/>
      <c r="D53" s="90" t="n"/>
      <c r="E53" s="121" t="n"/>
      <c r="F53" s="121" t="n"/>
      <c r="G53" s="122">
        <f>IFERROR(IF(E53&gt;0,(F53/E53)*1000,""),"")</f>
        <v/>
      </c>
      <c r="H53" s="123">
        <f>IFERROR(IF(E53&gt;0,E53*IF(ISNUMBER(J53),J53,IF(OR(C53="Alpha",B53="Alpha"),$C$7,IF(C53="Futures",$C$6,$C$5))),""),"")</f>
        <v/>
      </c>
      <c r="I53" s="124">
        <f>IFERROR(IF(AND(ISNUMBER(F53),ISNUMBER(H53)),F53-H53,""),"")</f>
        <v/>
      </c>
      <c r="J53" s="95" t="n"/>
      <c r="K53" s="125">
        <f>IFERROR(IF(H53&gt;0,H53*IF(OR(C53="Alpha",B53="Alpha"),$C$9,$C$8),""),"")</f>
        <v/>
      </c>
      <c r="L53" s="126">
        <f>IFERROR(IF(ISNUMBER(F53),F53-IF(ISNUMBER(K53),K53,0),""),"")</f>
        <v/>
      </c>
    </row>
    <row r="54" ht="24" customHeight="1" s="63">
      <c r="A54" s="78" t="n"/>
      <c r="B54" s="79" t="n"/>
      <c r="C54" s="80" t="n"/>
      <c r="D54" s="80" t="n"/>
      <c r="E54" s="115" t="n"/>
      <c r="F54" s="115" t="n"/>
      <c r="G54" s="116">
        <f>IFERROR(IF(E54&gt;0,(F54/E54)*1000,""),"")</f>
        <v/>
      </c>
      <c r="H54" s="117">
        <f>IFERROR(IF(E54&gt;0,E54*IF(ISNUMBER(J54),J54,IF(OR(C54="Alpha",B54="Alpha"),$C$7,IF(C54="Futures",$C$6,$C$5))),""),"")</f>
        <v/>
      </c>
      <c r="I54" s="118">
        <f>IFERROR(IF(AND(ISNUMBER(F54),ISNUMBER(H54)),F54-H54,""),"")</f>
        <v/>
      </c>
      <c r="J54" s="85" t="n"/>
      <c r="K54" s="119">
        <f>IFERROR(IF(H54&gt;0,H54*IF(OR(C54="Alpha",B54="Alpha"),$C$9,$C$8),""),"")</f>
        <v/>
      </c>
      <c r="L54" s="120">
        <f>IFERROR(IF(ISNUMBER(F54),F54-IF(ISNUMBER(K54),K54,0),""),"")</f>
        <v/>
      </c>
    </row>
    <row r="55" ht="24" customHeight="1" s="63">
      <c r="A55" s="88" t="n"/>
      <c r="B55" s="89" t="n"/>
      <c r="C55" s="90" t="n"/>
      <c r="D55" s="90" t="n"/>
      <c r="E55" s="121" t="n"/>
      <c r="F55" s="121" t="n"/>
      <c r="G55" s="122">
        <f>IFERROR(IF(E55&gt;0,(F55/E55)*1000,""),"")</f>
        <v/>
      </c>
      <c r="H55" s="123">
        <f>IFERROR(IF(E55&gt;0,E55*IF(ISNUMBER(J55),J55,IF(OR(C55="Alpha",B55="Alpha"),$C$7,IF(C55="Futures",$C$6,$C$5))),""),"")</f>
        <v/>
      </c>
      <c r="I55" s="124">
        <f>IFERROR(IF(AND(ISNUMBER(F55),ISNUMBER(H55)),F55-H55,""),"")</f>
        <v/>
      </c>
      <c r="J55" s="95" t="n"/>
      <c r="K55" s="125">
        <f>IFERROR(IF(H55&gt;0,H55*IF(OR(C55="Alpha",B55="Alpha"),$C$9,$C$8),""),"")</f>
        <v/>
      </c>
      <c r="L55" s="126">
        <f>IFERROR(IF(ISNUMBER(F55),F55-IF(ISNUMBER(K55),K55,0),""),"")</f>
        <v/>
      </c>
    </row>
    <row r="56" ht="24" customHeight="1" s="63">
      <c r="A56" s="78" t="n"/>
      <c r="B56" s="79" t="n"/>
      <c r="C56" s="80" t="n"/>
      <c r="D56" s="80" t="n"/>
      <c r="E56" s="115" t="n"/>
      <c r="F56" s="115" t="n"/>
      <c r="G56" s="116">
        <f>IFERROR(IF(E56&gt;0,(F56/E56)*1000,""),"")</f>
        <v/>
      </c>
      <c r="H56" s="117">
        <f>IFERROR(IF(E56&gt;0,E56*IF(ISNUMBER(J56),J56,IF(OR(C56="Alpha",B56="Alpha"),$C$7,IF(C56="Futures",$C$6,$C$5))),""),"")</f>
        <v/>
      </c>
      <c r="I56" s="118">
        <f>IFERROR(IF(AND(ISNUMBER(F56),ISNUMBER(H56)),F56-H56,""),"")</f>
        <v/>
      </c>
      <c r="J56" s="85" t="n"/>
      <c r="K56" s="119">
        <f>IFERROR(IF(H56&gt;0,H56*IF(OR(C56="Alpha",B56="Alpha"),$C$9,$C$8),""),"")</f>
        <v/>
      </c>
      <c r="L56" s="120">
        <f>IFERROR(IF(ISNUMBER(F56),F56-IF(ISNUMBER(K56),K56,0),""),"")</f>
        <v/>
      </c>
    </row>
    <row r="57" ht="24" customHeight="1" s="63">
      <c r="A57" s="88" t="n"/>
      <c r="B57" s="89" t="n"/>
      <c r="C57" s="90" t="n"/>
      <c r="D57" s="90" t="n"/>
      <c r="E57" s="121" t="n"/>
      <c r="F57" s="121" t="n"/>
      <c r="G57" s="122">
        <f>IFERROR(IF(E57&gt;0,(F57/E57)*1000,""),"")</f>
        <v/>
      </c>
      <c r="H57" s="123">
        <f>IFERROR(IF(E57&gt;0,E57*IF(ISNUMBER(J57),J57,IF(OR(C57="Alpha",B57="Alpha"),$C$7,IF(C57="Futures",$C$6,$C$5))),""),"")</f>
        <v/>
      </c>
      <c r="I57" s="124">
        <f>IFERROR(IF(AND(ISNUMBER(F57),ISNUMBER(H57)),F57-H57,""),"")</f>
        <v/>
      </c>
      <c r="J57" s="95" t="n"/>
      <c r="K57" s="125">
        <f>IFERROR(IF(H57&gt;0,H57*IF(OR(C57="Alpha",B57="Alpha"),$C$9,$C$8),""),"")</f>
        <v/>
      </c>
      <c r="L57" s="126">
        <f>IFERROR(IF(ISNUMBER(F57),F57-IF(ISNUMBER(K57),K57,0),""),"")</f>
        <v/>
      </c>
    </row>
    <row r="58" ht="24" customHeight="1" s="63">
      <c r="A58" s="78" t="n"/>
      <c r="B58" s="79" t="n"/>
      <c r="C58" s="80" t="n"/>
      <c r="D58" s="80" t="n"/>
      <c r="E58" s="115" t="n"/>
      <c r="F58" s="115" t="n"/>
      <c r="G58" s="116">
        <f>IFERROR(IF(E58&gt;0,(F58/E58)*1000,""),"")</f>
        <v/>
      </c>
      <c r="H58" s="117">
        <f>IFERROR(IF(E58&gt;0,E58*IF(ISNUMBER(J58),J58,IF(OR(C58="Alpha",B58="Alpha"),$C$7,IF(C58="Futures",$C$6,$C$5))),""),"")</f>
        <v/>
      </c>
      <c r="I58" s="118">
        <f>IFERROR(IF(AND(ISNUMBER(F58),ISNUMBER(H58)),F58-H58,""),"")</f>
        <v/>
      </c>
      <c r="J58" s="85" t="n"/>
      <c r="K58" s="119">
        <f>IFERROR(IF(H58&gt;0,H58*IF(OR(C58="Alpha",B58="Alpha"),$C$9,$C$8),""),"")</f>
        <v/>
      </c>
      <c r="L58" s="120">
        <f>IFERROR(IF(ISNUMBER(F58),F58-IF(ISNUMBER(K58),K58,0),""),"")</f>
        <v/>
      </c>
    </row>
    <row r="59" ht="24" customHeight="1" s="63">
      <c r="A59" s="88" t="n"/>
      <c r="B59" s="89" t="n"/>
      <c r="C59" s="90" t="n"/>
      <c r="D59" s="90" t="n"/>
      <c r="E59" s="121" t="n"/>
      <c r="F59" s="121" t="n"/>
      <c r="G59" s="122">
        <f>IFERROR(IF(E59&gt;0,(F59/E59)*1000,""),"")</f>
        <v/>
      </c>
      <c r="H59" s="123">
        <f>IFERROR(IF(E59&gt;0,E59*IF(ISNUMBER(J59),J59,IF(OR(C59="Alpha",B59="Alpha"),$C$7,IF(C59="Futures",$C$6,$C$5))),""),"")</f>
        <v/>
      </c>
      <c r="I59" s="124">
        <f>IFERROR(IF(AND(ISNUMBER(F59),ISNUMBER(H59)),F59-H59,""),"")</f>
        <v/>
      </c>
      <c r="J59" s="95" t="n"/>
      <c r="K59" s="125">
        <f>IFERROR(IF(H59&gt;0,H59*IF(OR(C59="Alpha",B59="Alpha"),$C$9,$C$8),""),"")</f>
        <v/>
      </c>
      <c r="L59" s="126">
        <f>IFERROR(IF(ISNUMBER(F59),F59-IF(ISNUMBER(K59),K59,0),""),"")</f>
        <v/>
      </c>
    </row>
    <row r="60" ht="24" customHeight="1" s="63">
      <c r="A60" s="78" t="n"/>
      <c r="B60" s="79" t="n"/>
      <c r="C60" s="80" t="n"/>
      <c r="D60" s="80" t="n"/>
      <c r="E60" s="115" t="n"/>
      <c r="F60" s="115" t="n"/>
      <c r="G60" s="116">
        <f>IFERROR(IF(E60&gt;0,(F60/E60)*1000,""),"")</f>
        <v/>
      </c>
      <c r="H60" s="117">
        <f>IFERROR(IF(E60&gt;0,E60*IF(ISNUMBER(J60),J60,IF(OR(C60="Alpha",B60="Alpha"),$C$7,IF(C60="Futures",$C$6,$C$5))),""),"")</f>
        <v/>
      </c>
      <c r="I60" s="118">
        <f>IFERROR(IF(AND(ISNUMBER(F60),ISNUMBER(H60)),F60-H60,""),"")</f>
        <v/>
      </c>
      <c r="J60" s="85" t="n"/>
      <c r="K60" s="119">
        <f>IFERROR(IF(H60&gt;0,H60*IF(OR(C60="Alpha",B60="Alpha"),$C$9,$C$8),""),"")</f>
        <v/>
      </c>
      <c r="L60" s="120">
        <f>IFERROR(IF(ISNUMBER(F60),F60-IF(ISNUMBER(K60),K60,0),""),"")</f>
        <v/>
      </c>
    </row>
    <row r="61" ht="24" customHeight="1" s="63">
      <c r="A61" s="88" t="n"/>
      <c r="B61" s="89" t="n"/>
      <c r="C61" s="90" t="n"/>
      <c r="D61" s="90" t="n"/>
      <c r="E61" s="121" t="n"/>
      <c r="F61" s="121" t="n"/>
      <c r="G61" s="122">
        <f>IFERROR(IF(E61&gt;0,(F61/E61)*1000,""),"")</f>
        <v/>
      </c>
      <c r="H61" s="123">
        <f>IFERROR(IF(E61&gt;0,E61*IF(ISNUMBER(J61),J61,IF(OR(C61="Alpha",B61="Alpha"),$C$7,IF(C61="Futures",$C$6,$C$5))),""),"")</f>
        <v/>
      </c>
      <c r="I61" s="124">
        <f>IFERROR(IF(AND(ISNUMBER(F61),ISNUMBER(H61)),F61-H61,""),"")</f>
        <v/>
      </c>
      <c r="J61" s="95" t="n"/>
      <c r="K61" s="125">
        <f>IFERROR(IF(H61&gt;0,H61*IF(OR(C61="Alpha",B61="Alpha"),$C$9,$C$8),""),"")</f>
        <v/>
      </c>
      <c r="L61" s="126">
        <f>IFERROR(IF(ISNUMBER(F61),F61-IF(ISNUMBER(K61),K61,0),""),"")</f>
        <v/>
      </c>
    </row>
    <row r="62" ht="24" customHeight="1" s="63">
      <c r="A62" s="78" t="n"/>
      <c r="B62" s="79" t="n"/>
      <c r="C62" s="80" t="n"/>
      <c r="D62" s="80" t="n"/>
      <c r="E62" s="115" t="n"/>
      <c r="F62" s="115" t="n"/>
      <c r="G62" s="116">
        <f>IFERROR(IF(E62&gt;0,(F62/E62)*1000,""),"")</f>
        <v/>
      </c>
      <c r="H62" s="117">
        <f>IFERROR(IF(E62&gt;0,E62*IF(ISNUMBER(J62),J62,IF(OR(C62="Alpha",B62="Alpha"),$C$7,IF(C62="Futures",$C$6,$C$5))),""),"")</f>
        <v/>
      </c>
      <c r="I62" s="118">
        <f>IFERROR(IF(AND(ISNUMBER(F62),ISNUMBER(H62)),F62-H62,""),"")</f>
        <v/>
      </c>
      <c r="J62" s="85" t="n"/>
      <c r="K62" s="119">
        <f>IFERROR(IF(H62&gt;0,H62*IF(OR(C62="Alpha",B62="Alpha"),$C$9,$C$8),""),"")</f>
        <v/>
      </c>
      <c r="L62" s="120">
        <f>IFERROR(IF(ISNUMBER(F62),F62-IF(ISNUMBER(K62),K62,0),""),"")</f>
        <v/>
      </c>
    </row>
    <row r="63" ht="24" customHeight="1" s="63">
      <c r="A63" s="88" t="n"/>
      <c r="B63" s="89" t="n"/>
      <c r="C63" s="90" t="n"/>
      <c r="D63" s="90" t="n"/>
      <c r="E63" s="121" t="n"/>
      <c r="F63" s="121" t="n"/>
      <c r="G63" s="122">
        <f>IFERROR(IF(E63&gt;0,(F63/E63)*1000,""),"")</f>
        <v/>
      </c>
      <c r="H63" s="123">
        <f>IFERROR(IF(E63&gt;0,E63*IF(ISNUMBER(J63),J63,IF(OR(C63="Alpha",B63="Alpha"),$C$7,IF(C63="Futures",$C$6,$C$5))),""),"")</f>
        <v/>
      </c>
      <c r="I63" s="124">
        <f>IFERROR(IF(AND(ISNUMBER(F63),ISNUMBER(H63)),F63-H63,""),"")</f>
        <v/>
      </c>
      <c r="J63" s="95" t="n"/>
      <c r="K63" s="125">
        <f>IFERROR(IF(H63&gt;0,H63*IF(OR(C63="Alpha",B63="Alpha"),$C$9,$C$8),""),"")</f>
        <v/>
      </c>
      <c r="L63" s="126">
        <f>IFERROR(IF(ISNUMBER(F63),F63-IF(ISNUMBER(K63),K63,0),""),"")</f>
        <v/>
      </c>
    </row>
    <row r="64" ht="24" customHeight="1" s="63">
      <c r="A64" s="78" t="n"/>
      <c r="B64" s="79" t="n"/>
      <c r="C64" s="80" t="n"/>
      <c r="D64" s="80" t="n"/>
      <c r="E64" s="115" t="n"/>
      <c r="F64" s="115" t="n"/>
      <c r="G64" s="116">
        <f>IFERROR(IF(E64&gt;0,(F64/E64)*1000,""),"")</f>
        <v/>
      </c>
      <c r="H64" s="117">
        <f>IFERROR(IF(E64&gt;0,E64*IF(ISNUMBER(J64),J64,IF(OR(C64="Alpha",B64="Alpha"),$C$7,IF(C64="Futures",$C$6,$C$5))),""),"")</f>
        <v/>
      </c>
      <c r="I64" s="118">
        <f>IFERROR(IF(AND(ISNUMBER(F64),ISNUMBER(H64)),F64-H64,""),"")</f>
        <v/>
      </c>
      <c r="J64" s="85" t="n"/>
      <c r="K64" s="119">
        <f>IFERROR(IF(H64&gt;0,H64*IF(OR(C64="Alpha",B64="Alpha"),$C$9,$C$8),""),"")</f>
        <v/>
      </c>
      <c r="L64" s="120">
        <f>IFERROR(IF(ISNUMBER(F64),F64-IF(ISNUMBER(K64),K64,0),""),"")</f>
        <v/>
      </c>
    </row>
    <row r="65" ht="24" customHeight="1" s="63">
      <c r="A65" s="88" t="n"/>
      <c r="B65" s="89" t="n"/>
      <c r="C65" s="90" t="n"/>
      <c r="D65" s="90" t="n"/>
      <c r="E65" s="121" t="n"/>
      <c r="F65" s="121" t="n"/>
      <c r="G65" s="122">
        <f>IFERROR(IF(E65&gt;0,(F65/E65)*1000,""),"")</f>
        <v/>
      </c>
      <c r="H65" s="123">
        <f>IFERROR(IF(E65&gt;0,E65*IF(ISNUMBER(J65),J65,IF(OR(C65="Alpha",B65="Alpha"),$C$7,IF(C65="Futures",$C$6,$C$5))),""),"")</f>
        <v/>
      </c>
      <c r="I65" s="124">
        <f>IFERROR(IF(AND(ISNUMBER(F65),ISNUMBER(H65)),F65-H65,""),"")</f>
        <v/>
      </c>
      <c r="J65" s="95" t="n"/>
      <c r="K65" s="125">
        <f>IFERROR(IF(H65&gt;0,H65*IF(OR(C65="Alpha",B65="Alpha"),$C$9,$C$8),""),"")</f>
        <v/>
      </c>
      <c r="L65" s="126">
        <f>IFERROR(IF(ISNUMBER(F65),F65-IF(ISNUMBER(K65),K65,0),""),"")</f>
        <v/>
      </c>
    </row>
    <row r="66" ht="24" customHeight="1" s="63">
      <c r="A66" s="78" t="n"/>
      <c r="B66" s="79" t="n"/>
      <c r="C66" s="80" t="n"/>
      <c r="D66" s="80" t="n"/>
      <c r="E66" s="115" t="n"/>
      <c r="F66" s="115" t="n"/>
      <c r="G66" s="116">
        <f>IFERROR(IF(E66&gt;0,(F66/E66)*1000,""),"")</f>
        <v/>
      </c>
      <c r="H66" s="117">
        <f>IFERROR(IF(E66&gt;0,E66*IF(ISNUMBER(J66),J66,IF(OR(C66="Alpha",B66="Alpha"),$C$7,IF(C66="Futures",$C$6,$C$5))),""),"")</f>
        <v/>
      </c>
      <c r="I66" s="118">
        <f>IFERROR(IF(AND(ISNUMBER(F66),ISNUMBER(H66)),F66-H66,""),"")</f>
        <v/>
      </c>
      <c r="J66" s="85" t="n"/>
      <c r="K66" s="119">
        <f>IFERROR(IF(H66&gt;0,H66*IF(OR(C66="Alpha",B66="Alpha"),$C$9,$C$8),""),"")</f>
        <v/>
      </c>
      <c r="L66" s="120">
        <f>IFERROR(IF(ISNUMBER(F66),F66-IF(ISNUMBER(K66),K66,0),""),"")</f>
        <v/>
      </c>
    </row>
    <row r="67" ht="24" customHeight="1" s="63">
      <c r="A67" s="88" t="n"/>
      <c r="B67" s="89" t="n"/>
      <c r="C67" s="90" t="n"/>
      <c r="D67" s="90" t="n"/>
      <c r="E67" s="121" t="n"/>
      <c r="F67" s="121" t="n"/>
      <c r="G67" s="122">
        <f>IFERROR(IF(E67&gt;0,(F67/E67)*1000,""),"")</f>
        <v/>
      </c>
      <c r="H67" s="123">
        <f>IFERROR(IF(E67&gt;0,E67*IF(ISNUMBER(J67),J67,IF(OR(C67="Alpha",B67="Alpha"),$C$7,IF(C67="Futures",$C$6,$C$5))),""),"")</f>
        <v/>
      </c>
      <c r="I67" s="124">
        <f>IFERROR(IF(AND(ISNUMBER(F67),ISNUMBER(H67)),F67-H67,""),"")</f>
        <v/>
      </c>
      <c r="J67" s="95" t="n"/>
      <c r="K67" s="125">
        <f>IFERROR(IF(H67&gt;0,H67*IF(OR(C67="Alpha",B67="Alpha"),$C$9,$C$8),""),"")</f>
        <v/>
      </c>
      <c r="L67" s="126">
        <f>IFERROR(IF(ISNUMBER(F67),F67-IF(ISNUMBER(K67),K67,0),""),"")</f>
        <v/>
      </c>
    </row>
    <row r="68" ht="24" customHeight="1" s="63">
      <c r="A68" s="78" t="n"/>
      <c r="B68" s="79" t="n"/>
      <c r="C68" s="80" t="n"/>
      <c r="D68" s="80" t="n"/>
      <c r="E68" s="115" t="n"/>
      <c r="F68" s="115" t="n"/>
      <c r="G68" s="116">
        <f>IFERROR(IF(E68&gt;0,(F68/E68)*1000,""),"")</f>
        <v/>
      </c>
      <c r="H68" s="117">
        <f>IFERROR(IF(E68&gt;0,E68*IF(ISNUMBER(J68),J68,IF(OR(C68="Alpha",B68="Alpha"),$C$7,IF(C68="Futures",$C$6,$C$5))),""),"")</f>
        <v/>
      </c>
      <c r="I68" s="118">
        <f>IFERROR(IF(AND(ISNUMBER(F68),ISNUMBER(H68)),F68-H68,""),"")</f>
        <v/>
      </c>
      <c r="J68" s="85" t="n"/>
      <c r="K68" s="119">
        <f>IFERROR(IF(H68&gt;0,H68*IF(OR(C68="Alpha",B68="Alpha"),$C$9,$C$8),""),"")</f>
        <v/>
      </c>
      <c r="L68" s="120">
        <f>IFERROR(IF(ISNUMBER(F68),F68-IF(ISNUMBER(K68),K68,0),""),"")</f>
        <v/>
      </c>
    </row>
    <row r="69" ht="24" customHeight="1" s="63">
      <c r="A69" s="88" t="n"/>
      <c r="B69" s="89" t="n"/>
      <c r="C69" s="90" t="n"/>
      <c r="D69" s="90" t="n"/>
      <c r="E69" s="121" t="n"/>
      <c r="F69" s="121" t="n"/>
      <c r="G69" s="122">
        <f>IFERROR(IF(E69&gt;0,(F69/E69)*1000,""),"")</f>
        <v/>
      </c>
      <c r="H69" s="123">
        <f>IFERROR(IF(E69&gt;0,E69*IF(ISNUMBER(J69),J69,IF(OR(C69="Alpha",B69="Alpha"),$C$7,IF(C69="Futures",$C$6,$C$5))),""),"")</f>
        <v/>
      </c>
      <c r="I69" s="124">
        <f>IFERROR(IF(AND(ISNUMBER(F69),ISNUMBER(H69)),F69-H69,""),"")</f>
        <v/>
      </c>
      <c r="J69" s="95" t="n"/>
      <c r="K69" s="125">
        <f>IFERROR(IF(H69&gt;0,H69*IF(OR(C69="Alpha",B69="Alpha"),$C$9,$C$8),""),"")</f>
        <v/>
      </c>
      <c r="L69" s="126">
        <f>IFERROR(IF(ISNUMBER(F69),F69-IF(ISNUMBER(K69),K69,0),""),"")</f>
        <v/>
      </c>
    </row>
    <row r="70" ht="24" customHeight="1" s="63">
      <c r="A70" s="78" t="n"/>
      <c r="B70" s="79" t="n"/>
      <c r="C70" s="80" t="n"/>
      <c r="D70" s="80" t="n"/>
      <c r="E70" s="115" t="n"/>
      <c r="F70" s="115" t="n"/>
      <c r="G70" s="116">
        <f>IFERROR(IF(E70&gt;0,(F70/E70)*1000,""),"")</f>
        <v/>
      </c>
      <c r="H70" s="117">
        <f>IFERROR(IF(E70&gt;0,E70*IF(ISNUMBER(J70),J70,IF(OR(C70="Alpha",B70="Alpha"),$C$7,IF(C70="Futures",$C$6,$C$5))),""),"")</f>
        <v/>
      </c>
      <c r="I70" s="118">
        <f>IFERROR(IF(AND(ISNUMBER(F70),ISNUMBER(H70)),F70-H70,""),"")</f>
        <v/>
      </c>
      <c r="J70" s="85" t="n"/>
      <c r="K70" s="119">
        <f>IFERROR(IF(H70&gt;0,H70*IF(OR(C70="Alpha",B70="Alpha"),$C$9,$C$8),""),"")</f>
        <v/>
      </c>
      <c r="L70" s="120">
        <f>IFERROR(IF(ISNUMBER(F70),F70-IF(ISNUMBER(K70),K70,0),""),"")</f>
        <v/>
      </c>
    </row>
    <row r="71" ht="24" customHeight="1" s="63">
      <c r="A71" s="88" t="n"/>
      <c r="B71" s="89" t="n"/>
      <c r="C71" s="90" t="n"/>
      <c r="D71" s="90" t="n"/>
      <c r="E71" s="121" t="n"/>
      <c r="F71" s="121" t="n"/>
      <c r="G71" s="122">
        <f>IFERROR(IF(E71&gt;0,(F71/E71)*1000,""),"")</f>
        <v/>
      </c>
      <c r="H71" s="123">
        <f>IFERROR(IF(E71&gt;0,E71*IF(ISNUMBER(J71),J71,IF(OR(C71="Alpha",B71="Alpha"),$C$7,IF(C71="Futures",$C$6,$C$5))),""),"")</f>
        <v/>
      </c>
      <c r="I71" s="124">
        <f>IFERROR(IF(AND(ISNUMBER(F71),ISNUMBER(H71)),F71-H71,""),"")</f>
        <v/>
      </c>
      <c r="J71" s="95" t="n"/>
      <c r="K71" s="125">
        <f>IFERROR(IF(H71&gt;0,H71*IF(OR(C71="Alpha",B71="Alpha"),$C$9,$C$8),""),"")</f>
        <v/>
      </c>
      <c r="L71" s="126">
        <f>IFERROR(IF(ISNUMBER(F71),F71-IF(ISNUMBER(K71),K71,0),""),"")</f>
        <v/>
      </c>
    </row>
    <row r="72" ht="24" customHeight="1" s="63">
      <c r="A72" s="78" t="n"/>
      <c r="B72" s="79" t="n"/>
      <c r="C72" s="80" t="n"/>
      <c r="D72" s="80" t="n"/>
      <c r="E72" s="115" t="n"/>
      <c r="F72" s="115" t="n"/>
      <c r="G72" s="116">
        <f>IFERROR(IF(E72&gt;0,(F72/E72)*1000,""),"")</f>
        <v/>
      </c>
      <c r="H72" s="117">
        <f>IFERROR(IF(E72&gt;0,E72*IF(ISNUMBER(J72),J72,IF(OR(C72="Alpha",B72="Alpha"),$C$7,IF(C72="Futures",$C$6,$C$5))),""),"")</f>
        <v/>
      </c>
      <c r="I72" s="118">
        <f>IFERROR(IF(AND(ISNUMBER(F72),ISNUMBER(H72)),F72-H72,""),"")</f>
        <v/>
      </c>
      <c r="J72" s="85" t="n"/>
      <c r="K72" s="119">
        <f>IFERROR(IF(H72&gt;0,H72*IF(OR(C72="Alpha",B72="Alpha"),$C$9,$C$8),""),"")</f>
        <v/>
      </c>
      <c r="L72" s="120">
        <f>IFERROR(IF(ISNUMBER(F72),F72-IF(ISNUMBER(K72),K72,0),""),"")</f>
        <v/>
      </c>
    </row>
    <row r="73" ht="24" customHeight="1" s="63">
      <c r="A73" s="88" t="n"/>
      <c r="B73" s="89" t="n"/>
      <c r="C73" s="90" t="n"/>
      <c r="D73" s="90" t="n"/>
      <c r="E73" s="121" t="n"/>
      <c r="F73" s="121" t="n"/>
      <c r="G73" s="122">
        <f>IFERROR(IF(E73&gt;0,(F73/E73)*1000,""),"")</f>
        <v/>
      </c>
      <c r="H73" s="123">
        <f>IFERROR(IF(E73&gt;0,E73*IF(ISNUMBER(J73),J73,IF(OR(C73="Alpha",B73="Alpha"),$C$7,IF(C73="Futures",$C$6,$C$5))),""),"")</f>
        <v/>
      </c>
      <c r="I73" s="124">
        <f>IFERROR(IF(AND(ISNUMBER(F73),ISNUMBER(H73)),F73-H73,""),"")</f>
        <v/>
      </c>
      <c r="J73" s="95" t="n"/>
      <c r="K73" s="125">
        <f>IFERROR(IF(H73&gt;0,H73*IF(OR(C73="Alpha",B73="Alpha"),$C$9,$C$8),""),"")</f>
        <v/>
      </c>
      <c r="L73" s="126">
        <f>IFERROR(IF(ISNUMBER(F73),F73-IF(ISNUMBER(K73),K73,0),""),"")</f>
        <v/>
      </c>
    </row>
    <row r="74" ht="24" customHeight="1" s="63">
      <c r="A74" s="78" t="n"/>
      <c r="B74" s="79" t="n"/>
      <c r="C74" s="80" t="n"/>
      <c r="D74" s="80" t="n"/>
      <c r="E74" s="115" t="n"/>
      <c r="F74" s="115" t="n"/>
      <c r="G74" s="116">
        <f>IFERROR(IF(E74&gt;0,(F74/E74)*1000,""),"")</f>
        <v/>
      </c>
      <c r="H74" s="117">
        <f>IFERROR(IF(E74&gt;0,E74*IF(ISNUMBER(J74),J74,IF(OR(C74="Alpha",B74="Alpha"),$C$7,IF(C74="Futures",$C$6,$C$5))),""),"")</f>
        <v/>
      </c>
      <c r="I74" s="118">
        <f>IFERROR(IF(AND(ISNUMBER(F74),ISNUMBER(H74)),F74-H74,""),"")</f>
        <v/>
      </c>
      <c r="J74" s="85" t="n"/>
      <c r="K74" s="119">
        <f>IFERROR(IF(H74&gt;0,H74*IF(OR(C74="Alpha",B74="Alpha"),$C$9,$C$8),""),"")</f>
        <v/>
      </c>
      <c r="L74" s="120">
        <f>IFERROR(IF(ISNUMBER(F74),F74-IF(ISNUMBER(K74),K74,0),""),"")</f>
        <v/>
      </c>
    </row>
    <row r="75" ht="24" customHeight="1" s="63">
      <c r="A75" s="88" t="n"/>
      <c r="B75" s="89" t="n"/>
      <c r="C75" s="90" t="n"/>
      <c r="D75" s="90" t="n"/>
      <c r="E75" s="121" t="n"/>
      <c r="F75" s="121" t="n"/>
      <c r="G75" s="122">
        <f>IFERROR(IF(E75&gt;0,(F75/E75)*1000,""),"")</f>
        <v/>
      </c>
      <c r="H75" s="123">
        <f>IFERROR(IF(E75&gt;0,E75*IF(ISNUMBER(J75),J75,IF(OR(C75="Alpha",B75="Alpha"),$C$7,IF(C75="Futures",$C$6,$C$5))),""),"")</f>
        <v/>
      </c>
      <c r="I75" s="124">
        <f>IFERROR(IF(AND(ISNUMBER(F75),ISNUMBER(H75)),F75-H75,""),"")</f>
        <v/>
      </c>
      <c r="J75" s="95" t="n"/>
      <c r="K75" s="125">
        <f>IFERROR(IF(H75&gt;0,H75*IF(OR(C75="Alpha",B75="Alpha"),$C$9,$C$8),""),"")</f>
        <v/>
      </c>
      <c r="L75" s="126">
        <f>IFERROR(IF(ISNUMBER(F75),F75-IF(ISNUMBER(K75),K75,0),""),"")</f>
        <v/>
      </c>
    </row>
    <row r="76" ht="24" customHeight="1" s="63">
      <c r="A76" s="78" t="n"/>
      <c r="B76" s="79" t="n"/>
      <c r="C76" s="80" t="n"/>
      <c r="D76" s="80" t="n"/>
      <c r="E76" s="115" t="n"/>
      <c r="F76" s="115" t="n"/>
      <c r="G76" s="116">
        <f>IFERROR(IF(E76&gt;0,(F76/E76)*1000,""),"")</f>
        <v/>
      </c>
      <c r="H76" s="117">
        <f>IFERROR(IF(E76&gt;0,E76*IF(ISNUMBER(J76),J76,IF(OR(C76="Alpha",B76="Alpha"),$C$7,IF(C76="Futures",$C$6,$C$5))),""),"")</f>
        <v/>
      </c>
      <c r="I76" s="118">
        <f>IFERROR(IF(AND(ISNUMBER(F76),ISNUMBER(H76)),F76-H76,""),"")</f>
        <v/>
      </c>
      <c r="J76" s="85" t="n"/>
      <c r="K76" s="119">
        <f>IFERROR(IF(H76&gt;0,H76*IF(OR(C76="Alpha",B76="Alpha"),$C$9,$C$8),""),"")</f>
        <v/>
      </c>
      <c r="L76" s="120">
        <f>IFERROR(IF(ISNUMBER(F76),F76-IF(ISNUMBER(K76),K76,0),""),"")</f>
        <v/>
      </c>
    </row>
    <row r="77" ht="24" customHeight="1" s="63">
      <c r="A77" s="88" t="n"/>
      <c r="B77" s="89" t="n"/>
      <c r="C77" s="90" t="n"/>
      <c r="D77" s="90" t="n"/>
      <c r="E77" s="121" t="n"/>
      <c r="F77" s="121" t="n"/>
      <c r="G77" s="122">
        <f>IFERROR(IF(E77&gt;0,(F77/E77)*1000,""),"")</f>
        <v/>
      </c>
      <c r="H77" s="123">
        <f>IFERROR(IF(E77&gt;0,E77*IF(ISNUMBER(J77),J77,IF(OR(C77="Alpha",B77="Alpha"),$C$7,IF(C77="Futures",$C$6,$C$5))),""),"")</f>
        <v/>
      </c>
      <c r="I77" s="124">
        <f>IFERROR(IF(AND(ISNUMBER(F77),ISNUMBER(H77)),F77-H77,""),"")</f>
        <v/>
      </c>
      <c r="J77" s="95" t="n"/>
      <c r="K77" s="125">
        <f>IFERROR(IF(H77&gt;0,H77*IF(OR(C77="Alpha",B77="Alpha"),$C$9,$C$8),""),"")</f>
        <v/>
      </c>
      <c r="L77" s="126">
        <f>IFERROR(IF(ISNUMBER(F77),F77-IF(ISNUMBER(K77),K77,0),""),"")</f>
        <v/>
      </c>
    </row>
    <row r="78" ht="24" customHeight="1" s="63">
      <c r="A78" s="78" t="n"/>
      <c r="B78" s="79" t="n"/>
      <c r="C78" s="80" t="n"/>
      <c r="D78" s="80" t="n"/>
      <c r="E78" s="115" t="n"/>
      <c r="F78" s="115" t="n"/>
      <c r="G78" s="116">
        <f>IFERROR(IF(E78&gt;0,(F78/E78)*1000,""),"")</f>
        <v/>
      </c>
      <c r="H78" s="117">
        <f>IFERROR(IF(E78&gt;0,E78*IF(ISNUMBER(J78),J78,IF(OR(C78="Alpha",B78="Alpha"),$C$7,IF(C78="Futures",$C$6,$C$5))),""),"")</f>
        <v/>
      </c>
      <c r="I78" s="118">
        <f>IFERROR(IF(AND(ISNUMBER(F78),ISNUMBER(H78)),F78-H78,""),"")</f>
        <v/>
      </c>
      <c r="J78" s="85" t="n"/>
      <c r="K78" s="119">
        <f>IFERROR(IF(H78&gt;0,H78*IF(OR(C78="Alpha",B78="Alpha"),$C$9,$C$8),""),"")</f>
        <v/>
      </c>
      <c r="L78" s="120">
        <f>IFERROR(IF(ISNUMBER(F78),F78-IF(ISNUMBER(K78),K78,0),""),"")</f>
        <v/>
      </c>
    </row>
    <row r="79" ht="24" customHeight="1" s="63">
      <c r="A79" s="88" t="n"/>
      <c r="B79" s="89" t="n"/>
      <c r="C79" s="90" t="n"/>
      <c r="D79" s="90" t="n"/>
      <c r="E79" s="121" t="n"/>
      <c r="F79" s="121" t="n"/>
      <c r="G79" s="122">
        <f>IFERROR(IF(E79&gt;0,(F79/E79)*1000,""),"")</f>
        <v/>
      </c>
      <c r="H79" s="123">
        <f>IFERROR(IF(E79&gt;0,E79*IF(ISNUMBER(J79),J79,IF(OR(C79="Alpha",B79="Alpha"),$C$7,IF(C79="Futures",$C$6,$C$5))),""),"")</f>
        <v/>
      </c>
      <c r="I79" s="124">
        <f>IFERROR(IF(AND(ISNUMBER(F79),ISNUMBER(H79)),F79-H79,""),"")</f>
        <v/>
      </c>
      <c r="J79" s="95" t="n"/>
      <c r="K79" s="125">
        <f>IFERROR(IF(H79&gt;0,H79*IF(OR(C79="Alpha",B79="Alpha"),$C$9,$C$8),""),"")</f>
        <v/>
      </c>
      <c r="L79" s="126">
        <f>IFERROR(IF(ISNUMBER(F79),F79-IF(ISNUMBER(K79),K79,0),""),"")</f>
        <v/>
      </c>
    </row>
    <row r="80" ht="24" customHeight="1" s="63">
      <c r="A80" s="78" t="n"/>
      <c r="B80" s="79" t="n"/>
      <c r="C80" s="80" t="n"/>
      <c r="D80" s="80" t="n"/>
      <c r="E80" s="115" t="n"/>
      <c r="F80" s="115" t="n"/>
      <c r="G80" s="116">
        <f>IFERROR(IF(E80&gt;0,(F80/E80)*1000,""),"")</f>
        <v/>
      </c>
      <c r="H80" s="117">
        <f>IFERROR(IF(E80&gt;0,E80*IF(ISNUMBER(J80),J80,IF(OR(C80="Alpha",B80="Alpha"),$C$7,IF(C80="Futures",$C$6,$C$5))),""),"")</f>
        <v/>
      </c>
      <c r="I80" s="118">
        <f>IFERROR(IF(AND(ISNUMBER(F80),ISNUMBER(H80)),F80-H80,""),"")</f>
        <v/>
      </c>
      <c r="J80" s="85" t="n"/>
      <c r="K80" s="119">
        <f>IFERROR(IF(H80&gt;0,H80*IF(OR(C80="Alpha",B80="Alpha"),$C$9,$C$8),""),"")</f>
        <v/>
      </c>
      <c r="L80" s="120">
        <f>IFERROR(IF(ISNUMBER(F80),F80-IF(ISNUMBER(K80),K80,0),""),"")</f>
        <v/>
      </c>
    </row>
    <row r="81" ht="24" customHeight="1" s="63">
      <c r="A81" s="88" t="n"/>
      <c r="B81" s="89" t="n"/>
      <c r="C81" s="90" t="n"/>
      <c r="D81" s="90" t="n"/>
      <c r="E81" s="121" t="n"/>
      <c r="F81" s="121" t="n"/>
      <c r="G81" s="122">
        <f>IFERROR(IF(E81&gt;0,(F81/E81)*1000,""),"")</f>
        <v/>
      </c>
      <c r="H81" s="123">
        <f>IFERROR(IF(E81&gt;0,E81*IF(ISNUMBER(J81),J81,IF(OR(C81="Alpha",B81="Alpha"),$C$7,IF(C81="Futures",$C$6,$C$5))),""),"")</f>
        <v/>
      </c>
      <c r="I81" s="124">
        <f>IFERROR(IF(AND(ISNUMBER(F81),ISNUMBER(H81)),F81-H81,""),"")</f>
        <v/>
      </c>
      <c r="J81" s="95" t="n"/>
      <c r="K81" s="125">
        <f>IFERROR(IF(H81&gt;0,H81*IF(OR(C81="Alpha",B81="Alpha"),$C$9,$C$8),""),"")</f>
        <v/>
      </c>
      <c r="L81" s="126">
        <f>IFERROR(IF(ISNUMBER(F81),F81-IF(ISNUMBER(K81),K81,0),""),"")</f>
        <v/>
      </c>
    </row>
    <row r="82" ht="24" customHeight="1" s="63">
      <c r="A82" s="78" t="n"/>
      <c r="B82" s="79" t="n"/>
      <c r="C82" s="80" t="n"/>
      <c r="D82" s="80" t="n"/>
      <c r="E82" s="115" t="n"/>
      <c r="F82" s="115" t="n"/>
      <c r="G82" s="116">
        <f>IFERROR(IF(E82&gt;0,(F82/E82)*1000,""),"")</f>
        <v/>
      </c>
      <c r="H82" s="117">
        <f>IFERROR(IF(E82&gt;0,E82*IF(ISNUMBER(J82),J82,IF(OR(C82="Alpha",B82="Alpha"),$C$7,IF(C82="Futures",$C$6,$C$5))),""),"")</f>
        <v/>
      </c>
      <c r="I82" s="118">
        <f>IFERROR(IF(AND(ISNUMBER(F82),ISNUMBER(H82)),F82-H82,""),"")</f>
        <v/>
      </c>
      <c r="J82" s="85" t="n"/>
      <c r="K82" s="119">
        <f>IFERROR(IF(H82&gt;0,H82*IF(OR(C82="Alpha",B82="Alpha"),$C$9,$C$8),""),"")</f>
        <v/>
      </c>
      <c r="L82" s="120">
        <f>IFERROR(IF(ISNUMBER(F82),F82-IF(ISNUMBER(K82),K82,0),""),"")</f>
        <v/>
      </c>
    </row>
    <row r="83" ht="24" customHeight="1" s="63">
      <c r="A83" s="88" t="n"/>
      <c r="B83" s="89" t="n"/>
      <c r="C83" s="90" t="n"/>
      <c r="D83" s="90" t="n"/>
      <c r="E83" s="121" t="n"/>
      <c r="F83" s="121" t="n"/>
      <c r="G83" s="122">
        <f>IFERROR(IF(E83&gt;0,(F83/E83)*1000,""),"")</f>
        <v/>
      </c>
      <c r="H83" s="123">
        <f>IFERROR(IF(E83&gt;0,E83*IF(ISNUMBER(J83),J83,IF(OR(C83="Alpha",B83="Alpha"),$C$7,IF(C83="Futures",$C$6,$C$5))),""),"")</f>
        <v/>
      </c>
      <c r="I83" s="124">
        <f>IFERROR(IF(AND(ISNUMBER(F83),ISNUMBER(H83)),F83-H83,""),"")</f>
        <v/>
      </c>
      <c r="J83" s="95" t="n"/>
      <c r="K83" s="125">
        <f>IFERROR(IF(H83&gt;0,H83*IF(OR(C83="Alpha",B83="Alpha"),$C$9,$C$8),""),"")</f>
        <v/>
      </c>
      <c r="L83" s="126">
        <f>IFERROR(IF(ISNUMBER(F83),F83-IF(ISNUMBER(K83),K83,0),""),"")</f>
        <v/>
      </c>
    </row>
    <row r="84" ht="24" customHeight="1" s="63">
      <c r="A84" s="78" t="n"/>
      <c r="B84" s="79" t="n"/>
      <c r="C84" s="80" t="n"/>
      <c r="D84" s="80" t="n"/>
      <c r="E84" s="115" t="n"/>
      <c r="F84" s="115" t="n"/>
      <c r="G84" s="116">
        <f>IFERROR(IF(E84&gt;0,(F84/E84)*1000,""),"")</f>
        <v/>
      </c>
      <c r="H84" s="117">
        <f>IFERROR(IF(E84&gt;0,E84*IF(ISNUMBER(J84),J84,IF(OR(C84="Alpha",B84="Alpha"),$C$7,IF(C84="Futures",$C$6,$C$5))),""),"")</f>
        <v/>
      </c>
      <c r="I84" s="118">
        <f>IFERROR(IF(AND(ISNUMBER(F84),ISNUMBER(H84)),F84-H84,""),"")</f>
        <v/>
      </c>
      <c r="J84" s="85" t="n"/>
      <c r="K84" s="119">
        <f>IFERROR(IF(H84&gt;0,H84*IF(OR(C84="Alpha",B84="Alpha"),$C$9,$C$8),""),"")</f>
        <v/>
      </c>
      <c r="L84" s="120">
        <f>IFERROR(IF(ISNUMBER(F84),F84-IF(ISNUMBER(K84),K84,0),""),"")</f>
        <v/>
      </c>
    </row>
    <row r="85" ht="24" customHeight="1" s="63">
      <c r="A85" s="88" t="n"/>
      <c r="B85" s="89" t="n"/>
      <c r="C85" s="90" t="n"/>
      <c r="D85" s="90" t="n"/>
      <c r="E85" s="121" t="n"/>
      <c r="F85" s="121" t="n"/>
      <c r="G85" s="122">
        <f>IFERROR(IF(E85&gt;0,(F85/E85)*1000,""),"")</f>
        <v/>
      </c>
      <c r="H85" s="123">
        <f>IFERROR(IF(E85&gt;0,E85*IF(ISNUMBER(J85),J85,IF(OR(C85="Alpha",B85="Alpha"),$C$7,IF(C85="Futures",$C$6,$C$5))),""),"")</f>
        <v/>
      </c>
      <c r="I85" s="124">
        <f>IFERROR(IF(AND(ISNUMBER(F85),ISNUMBER(H85)),F85-H85,""),"")</f>
        <v/>
      </c>
      <c r="J85" s="95" t="n"/>
      <c r="K85" s="125">
        <f>IFERROR(IF(H85&gt;0,H85*IF(OR(C85="Alpha",B85="Alpha"),$C$9,$C$8),""),"")</f>
        <v/>
      </c>
      <c r="L85" s="126">
        <f>IFERROR(IF(ISNUMBER(F85),F85-IF(ISNUMBER(K85),K85,0),""),"")</f>
        <v/>
      </c>
    </row>
    <row r="86" ht="24" customHeight="1" s="63">
      <c r="A86" s="78" t="n"/>
      <c r="B86" s="79" t="n"/>
      <c r="C86" s="80" t="n"/>
      <c r="D86" s="80" t="n"/>
      <c r="E86" s="115" t="n"/>
      <c r="F86" s="115" t="n"/>
      <c r="G86" s="116">
        <f>IFERROR(IF(E86&gt;0,(F86/E86)*1000,""),"")</f>
        <v/>
      </c>
      <c r="H86" s="117">
        <f>IFERROR(IF(E86&gt;0,E86*IF(ISNUMBER(J86),J86,IF(OR(C86="Alpha",B86="Alpha"),$C$7,IF(C86="Futures",$C$6,$C$5))),""),"")</f>
        <v/>
      </c>
      <c r="I86" s="118">
        <f>IFERROR(IF(AND(ISNUMBER(F86),ISNUMBER(H86)),F86-H86,""),"")</f>
        <v/>
      </c>
      <c r="J86" s="85" t="n"/>
      <c r="K86" s="119">
        <f>IFERROR(IF(H86&gt;0,H86*IF(OR(C86="Alpha",B86="Alpha"),$C$9,$C$8),""),"")</f>
        <v/>
      </c>
      <c r="L86" s="120">
        <f>IFERROR(IF(ISNUMBER(F86),F86-IF(ISNUMBER(K86),K86,0),""),"")</f>
        <v/>
      </c>
    </row>
    <row r="87" ht="24" customHeight="1" s="63">
      <c r="A87" s="88" t="n"/>
      <c r="B87" s="89" t="n"/>
      <c r="C87" s="90" t="n"/>
      <c r="D87" s="90" t="n"/>
      <c r="E87" s="121" t="n"/>
      <c r="F87" s="121" t="n"/>
      <c r="G87" s="122">
        <f>IFERROR(IF(E87&gt;0,(F87/E87)*1000,""),"")</f>
        <v/>
      </c>
      <c r="H87" s="123">
        <f>IFERROR(IF(E87&gt;0,E87*IF(ISNUMBER(J87),J87,IF(OR(C87="Alpha",B87="Alpha"),$C$7,IF(C87="Futures",$C$6,$C$5))),""),"")</f>
        <v/>
      </c>
      <c r="I87" s="124">
        <f>IFERROR(IF(AND(ISNUMBER(F87),ISNUMBER(H87)),F87-H87,""),"")</f>
        <v/>
      </c>
      <c r="J87" s="95" t="n"/>
      <c r="K87" s="125">
        <f>IFERROR(IF(H87&gt;0,H87*IF(OR(C87="Alpha",B87="Alpha"),$C$9,$C$8),""),"")</f>
        <v/>
      </c>
      <c r="L87" s="126">
        <f>IFERROR(IF(ISNUMBER(F87),F87-IF(ISNUMBER(K87),K87,0),""),"")</f>
        <v/>
      </c>
    </row>
    <row r="88" ht="24" customHeight="1" s="63">
      <c r="A88" s="78" t="n"/>
      <c r="B88" s="79" t="n"/>
      <c r="C88" s="80" t="n"/>
      <c r="D88" s="80" t="n"/>
      <c r="E88" s="115" t="n"/>
      <c r="F88" s="115" t="n"/>
      <c r="G88" s="116">
        <f>IFERROR(IF(E88&gt;0,(F88/E88)*1000,""),"")</f>
        <v/>
      </c>
      <c r="H88" s="117">
        <f>IFERROR(IF(E88&gt;0,E88*IF(ISNUMBER(J88),J88,IF(OR(C88="Alpha",B88="Alpha"),$C$7,IF(C88="Futures",$C$6,$C$5))),""),"")</f>
        <v/>
      </c>
      <c r="I88" s="118">
        <f>IFERROR(IF(AND(ISNUMBER(F88),ISNUMBER(H88)),F88-H88,""),"")</f>
        <v/>
      </c>
      <c r="J88" s="85" t="n"/>
      <c r="K88" s="119">
        <f>IFERROR(IF(H88&gt;0,H88*IF(OR(C88="Alpha",B88="Alpha"),$C$9,$C$8),""),"")</f>
        <v/>
      </c>
      <c r="L88" s="120">
        <f>IFERROR(IF(ISNUMBER(F88),F88-IF(ISNUMBER(K88),K88,0),""),"")</f>
        <v/>
      </c>
    </row>
    <row r="89" ht="24" customHeight="1" s="63">
      <c r="A89" s="88" t="n"/>
      <c r="B89" s="89" t="n"/>
      <c r="C89" s="90" t="n"/>
      <c r="D89" s="90" t="n"/>
      <c r="E89" s="121" t="n"/>
      <c r="F89" s="121" t="n"/>
      <c r="G89" s="122">
        <f>IFERROR(IF(E89&gt;0,(F89/E89)*1000,""),"")</f>
        <v/>
      </c>
      <c r="H89" s="123">
        <f>IFERROR(IF(E89&gt;0,E89*IF(ISNUMBER(J89),J89,IF(OR(C89="Alpha",B89="Alpha"),$C$7,IF(C89="Futures",$C$6,$C$5))),""),"")</f>
        <v/>
      </c>
      <c r="I89" s="124">
        <f>IFERROR(IF(AND(ISNUMBER(F89),ISNUMBER(H89)),F89-H89,""),"")</f>
        <v/>
      </c>
      <c r="J89" s="95" t="n"/>
      <c r="K89" s="125">
        <f>IFERROR(IF(H89&gt;0,H89*IF(OR(C89="Alpha",B89="Alpha"),$C$9,$C$8),""),"")</f>
        <v/>
      </c>
      <c r="L89" s="126">
        <f>IFERROR(IF(ISNUMBER(F89),F89-IF(ISNUMBER(K89),K89,0),""),"")</f>
        <v/>
      </c>
    </row>
    <row r="90" ht="24" customHeight="1" s="63">
      <c r="A90" s="78" t="n"/>
      <c r="B90" s="79" t="n"/>
      <c r="C90" s="80" t="n"/>
      <c r="D90" s="80" t="n"/>
      <c r="E90" s="115" t="n"/>
      <c r="F90" s="115" t="n"/>
      <c r="G90" s="116">
        <f>IFERROR(IF(E90&gt;0,(F90/E90)*1000,""),"")</f>
        <v/>
      </c>
      <c r="H90" s="117">
        <f>IFERROR(IF(E90&gt;0,E90*IF(ISNUMBER(J90),J90,IF(OR(C90="Alpha",B90="Alpha"),$C$7,IF(C90="Futures",$C$6,$C$5))),""),"")</f>
        <v/>
      </c>
      <c r="I90" s="118">
        <f>IFERROR(IF(AND(ISNUMBER(F90),ISNUMBER(H90)),F90-H90,""),"")</f>
        <v/>
      </c>
      <c r="J90" s="85" t="n"/>
      <c r="K90" s="119">
        <f>IFERROR(IF(H90&gt;0,H90*IF(OR(C90="Alpha",B90="Alpha"),$C$9,$C$8),""),"")</f>
        <v/>
      </c>
      <c r="L90" s="120">
        <f>IFERROR(IF(ISNUMBER(F90),F90-IF(ISNUMBER(K90),K90,0),""),"")</f>
        <v/>
      </c>
    </row>
    <row r="91" ht="24" customHeight="1" s="63">
      <c r="A91" s="88" t="n"/>
      <c r="B91" s="89" t="n"/>
      <c r="C91" s="90" t="n"/>
      <c r="D91" s="90" t="n"/>
      <c r="E91" s="121" t="n"/>
      <c r="F91" s="121" t="n"/>
      <c r="G91" s="122">
        <f>IFERROR(IF(E91&gt;0,(F91/E91)*1000,""),"")</f>
        <v/>
      </c>
      <c r="H91" s="123">
        <f>IFERROR(IF(E91&gt;0,E91*IF(ISNUMBER(J91),J91,IF(OR(C91="Alpha",B91="Alpha"),$C$7,IF(C91="Futures",$C$6,$C$5))),""),"")</f>
        <v/>
      </c>
      <c r="I91" s="124">
        <f>IFERROR(IF(AND(ISNUMBER(F91),ISNUMBER(H91)),F91-H91,""),"")</f>
        <v/>
      </c>
      <c r="J91" s="95" t="n"/>
      <c r="K91" s="125">
        <f>IFERROR(IF(H91&gt;0,H91*IF(OR(C91="Alpha",B91="Alpha"),$C$9,$C$8),""),"")</f>
        <v/>
      </c>
      <c r="L91" s="126">
        <f>IFERROR(IF(ISNUMBER(F91),F91-IF(ISNUMBER(K91),K91,0),""),"")</f>
        <v/>
      </c>
    </row>
    <row r="92" ht="24" customHeight="1" s="63">
      <c r="A92" s="78" t="n"/>
      <c r="B92" s="79" t="n"/>
      <c r="C92" s="80" t="n"/>
      <c r="D92" s="80" t="n"/>
      <c r="E92" s="115" t="n"/>
      <c r="F92" s="115" t="n"/>
      <c r="G92" s="116">
        <f>IFERROR(IF(E92&gt;0,(F92/E92)*1000,""),"")</f>
        <v/>
      </c>
      <c r="H92" s="117">
        <f>IFERROR(IF(E92&gt;0,E92*IF(ISNUMBER(J92),J92,IF(OR(C92="Alpha",B92="Alpha"),$C$7,IF(C92="Futures",$C$6,$C$5))),""),"")</f>
        <v/>
      </c>
      <c r="I92" s="118">
        <f>IFERROR(IF(AND(ISNUMBER(F92),ISNUMBER(H92)),F92-H92,""),"")</f>
        <v/>
      </c>
      <c r="J92" s="85" t="n"/>
      <c r="K92" s="119">
        <f>IFERROR(IF(H92&gt;0,H92*IF(OR(C92="Alpha",B92="Alpha"),$C$9,$C$8),""),"")</f>
        <v/>
      </c>
      <c r="L92" s="120">
        <f>IFERROR(IF(ISNUMBER(F92),F92-IF(ISNUMBER(K92),K92,0),""),"")</f>
        <v/>
      </c>
    </row>
    <row r="93" ht="24" customHeight="1" s="63">
      <c r="A93" s="88" t="n"/>
      <c r="B93" s="89" t="n"/>
      <c r="C93" s="90" t="n"/>
      <c r="D93" s="90" t="n"/>
      <c r="E93" s="121" t="n"/>
      <c r="F93" s="121" t="n"/>
      <c r="G93" s="122">
        <f>IFERROR(IF(E93&gt;0,(F93/E93)*1000,""),"")</f>
        <v/>
      </c>
      <c r="H93" s="123">
        <f>IFERROR(IF(E93&gt;0,E93*IF(ISNUMBER(J93),J93,IF(OR(C93="Alpha",B93="Alpha"),$C$7,IF(C93="Futures",$C$6,$C$5))),""),"")</f>
        <v/>
      </c>
      <c r="I93" s="124">
        <f>IFERROR(IF(AND(ISNUMBER(F93),ISNUMBER(H93)),F93-H93,""),"")</f>
        <v/>
      </c>
      <c r="J93" s="95" t="n"/>
      <c r="K93" s="125">
        <f>IFERROR(IF(H93&gt;0,H93*IF(OR(C93="Alpha",B93="Alpha"),$C$9,$C$8),""),"")</f>
        <v/>
      </c>
      <c r="L93" s="126">
        <f>IFERROR(IF(ISNUMBER(F93),F93-IF(ISNUMBER(K93),K93,0),""),"")</f>
        <v/>
      </c>
    </row>
    <row r="94" ht="24" customHeight="1" s="63">
      <c r="A94" s="78" t="n"/>
      <c r="B94" s="79" t="n"/>
      <c r="C94" s="80" t="n"/>
      <c r="D94" s="80" t="n"/>
      <c r="E94" s="115" t="n"/>
      <c r="F94" s="115" t="n"/>
      <c r="G94" s="116">
        <f>IFERROR(IF(E94&gt;0,(F94/E94)*1000,""),"")</f>
        <v/>
      </c>
      <c r="H94" s="117">
        <f>IFERROR(IF(E94&gt;0,E94*IF(ISNUMBER(J94),J94,IF(OR(C94="Alpha",B94="Alpha"),$C$7,IF(C94="Futures",$C$6,$C$5))),""),"")</f>
        <v/>
      </c>
      <c r="I94" s="118">
        <f>IFERROR(IF(AND(ISNUMBER(F94),ISNUMBER(H94)),F94-H94,""),"")</f>
        <v/>
      </c>
      <c r="J94" s="85" t="n"/>
      <c r="K94" s="119">
        <f>IFERROR(IF(H94&gt;0,H94*IF(OR(C94="Alpha",B94="Alpha"),$C$9,$C$8),""),"")</f>
        <v/>
      </c>
      <c r="L94" s="120">
        <f>IFERROR(IF(ISNUMBER(F94),F94-IF(ISNUMBER(K94),K94,0),""),"")</f>
        <v/>
      </c>
    </row>
    <row r="95" ht="24" customHeight="1" s="63">
      <c r="A95" s="88" t="n"/>
      <c r="B95" s="89" t="n"/>
      <c r="C95" s="90" t="n"/>
      <c r="D95" s="90" t="n"/>
      <c r="E95" s="121" t="n"/>
      <c r="F95" s="121" t="n"/>
      <c r="G95" s="122">
        <f>IFERROR(IF(E95&gt;0,(F95/E95)*1000,""),"")</f>
        <v/>
      </c>
      <c r="H95" s="123">
        <f>IFERROR(IF(E95&gt;0,E95*IF(ISNUMBER(J95),J95,IF(OR(C95="Alpha",B95="Alpha"),$C$7,IF(C95="Futures",$C$6,$C$5))),""),"")</f>
        <v/>
      </c>
      <c r="I95" s="124">
        <f>IFERROR(IF(AND(ISNUMBER(F95),ISNUMBER(H95)),F95-H95,""),"")</f>
        <v/>
      </c>
      <c r="J95" s="95" t="n"/>
      <c r="K95" s="125">
        <f>IFERROR(IF(H95&gt;0,H95*IF(OR(C95="Alpha",B95="Alpha"),$C$9,$C$8),""),"")</f>
        <v/>
      </c>
      <c r="L95" s="126">
        <f>IFERROR(IF(ISNUMBER(F95),F95-IF(ISNUMBER(K95),K95,0),""),"")</f>
        <v/>
      </c>
    </row>
    <row r="96" ht="24" customHeight="1" s="63">
      <c r="A96" s="78" t="n"/>
      <c r="B96" s="79" t="n"/>
      <c r="C96" s="80" t="n"/>
      <c r="D96" s="80" t="n"/>
      <c r="E96" s="115" t="n"/>
      <c r="F96" s="115" t="n"/>
      <c r="G96" s="116">
        <f>IFERROR(IF(E96&gt;0,(F96/E96)*1000,""),"")</f>
        <v/>
      </c>
      <c r="H96" s="117">
        <f>IFERROR(IF(E96&gt;0,E96*IF(ISNUMBER(J96),J96,IF(OR(C96="Alpha",B96="Alpha"),$C$7,IF(C96="Futures",$C$6,$C$5))),""),"")</f>
        <v/>
      </c>
      <c r="I96" s="118">
        <f>IFERROR(IF(AND(ISNUMBER(F96),ISNUMBER(H96)),F96-H96,""),"")</f>
        <v/>
      </c>
      <c r="J96" s="85" t="n"/>
      <c r="K96" s="119">
        <f>IFERROR(IF(H96&gt;0,H96*IF(OR(C96="Alpha",B96="Alpha"),$C$9,$C$8),""),"")</f>
        <v/>
      </c>
      <c r="L96" s="120">
        <f>IFERROR(IF(ISNUMBER(F96),F96-IF(ISNUMBER(K96),K96,0),""),"")</f>
        <v/>
      </c>
    </row>
    <row r="97" ht="24" customHeight="1" s="63">
      <c r="A97" s="88" t="n"/>
      <c r="B97" s="89" t="n"/>
      <c r="C97" s="90" t="n"/>
      <c r="D97" s="90" t="n"/>
      <c r="E97" s="121" t="n"/>
      <c r="F97" s="121" t="n"/>
      <c r="G97" s="122">
        <f>IFERROR(IF(E97&gt;0,(F97/E97)*1000,""),"")</f>
        <v/>
      </c>
      <c r="H97" s="123">
        <f>IFERROR(IF(E97&gt;0,E97*IF(ISNUMBER(J97),J97,IF(OR(C97="Alpha",B97="Alpha"),$C$7,IF(C97="Futures",$C$6,$C$5))),""),"")</f>
        <v/>
      </c>
      <c r="I97" s="124">
        <f>IFERROR(IF(AND(ISNUMBER(F97),ISNUMBER(H97)),F97-H97,""),"")</f>
        <v/>
      </c>
      <c r="J97" s="95" t="n"/>
      <c r="K97" s="125">
        <f>IFERROR(IF(H97&gt;0,H97*IF(OR(C97="Alpha",B97="Alpha"),$C$9,$C$8),""),"")</f>
        <v/>
      </c>
      <c r="L97" s="126">
        <f>IFERROR(IF(ISNUMBER(F97),F97-IF(ISNUMBER(K97),K97,0),""),"")</f>
        <v/>
      </c>
    </row>
    <row r="98" ht="24" customHeight="1" s="63">
      <c r="A98" s="78" t="n"/>
      <c r="B98" s="79" t="n"/>
      <c r="C98" s="80" t="n"/>
      <c r="D98" s="80" t="n"/>
      <c r="E98" s="115" t="n"/>
      <c r="F98" s="115" t="n"/>
      <c r="G98" s="116">
        <f>IFERROR(IF(E98&gt;0,(F98/E98)*1000,""),"")</f>
        <v/>
      </c>
      <c r="H98" s="117">
        <f>IFERROR(IF(E98&gt;0,E98*IF(ISNUMBER(J98),J98,IF(OR(C98="Alpha",B98="Alpha"),$C$7,IF(C98="Futures",$C$6,$C$5))),""),"")</f>
        <v/>
      </c>
      <c r="I98" s="118">
        <f>IFERROR(IF(AND(ISNUMBER(F98),ISNUMBER(H98)),F98-H98,""),"")</f>
        <v/>
      </c>
      <c r="J98" s="85" t="n"/>
      <c r="K98" s="119">
        <f>IFERROR(IF(H98&gt;0,H98*IF(OR(C98="Alpha",B98="Alpha"),$C$9,$C$8),""),"")</f>
        <v/>
      </c>
      <c r="L98" s="120">
        <f>IFERROR(IF(ISNUMBER(F98),F98-IF(ISNUMBER(K98),K98,0),""),"")</f>
        <v/>
      </c>
    </row>
    <row r="99" ht="24" customHeight="1" s="63">
      <c r="A99" s="88" t="n"/>
      <c r="B99" s="89" t="n"/>
      <c r="C99" s="90" t="n"/>
      <c r="D99" s="90" t="n"/>
      <c r="E99" s="121" t="n"/>
      <c r="F99" s="121" t="n"/>
      <c r="G99" s="122">
        <f>IFERROR(IF(E99&gt;0,(F99/E99)*1000,""),"")</f>
        <v/>
      </c>
      <c r="H99" s="123">
        <f>IFERROR(IF(E99&gt;0,E99*IF(ISNUMBER(J99),J99,IF(OR(C99="Alpha",B99="Alpha"),$C$7,IF(C99="Futures",$C$6,$C$5))),""),"")</f>
        <v/>
      </c>
      <c r="I99" s="124">
        <f>IFERROR(IF(AND(ISNUMBER(F99),ISNUMBER(H99)),F99-H99,""),"")</f>
        <v/>
      </c>
      <c r="J99" s="95" t="n"/>
      <c r="K99" s="125">
        <f>IFERROR(IF(H99&gt;0,H99*IF(OR(C99="Alpha",B99="Alpha"),$C$9,$C$8),""),"")</f>
        <v/>
      </c>
      <c r="L99" s="126">
        <f>IFERROR(IF(ISNUMBER(F99),F99-IF(ISNUMBER(K99),K99,0),""),"")</f>
        <v/>
      </c>
    </row>
    <row r="100" ht="24" customHeight="1" s="63">
      <c r="A100" s="78" t="n"/>
      <c r="B100" s="79" t="n"/>
      <c r="C100" s="80" t="n"/>
      <c r="D100" s="80" t="n"/>
      <c r="E100" s="115" t="n"/>
      <c r="F100" s="115" t="n"/>
      <c r="G100" s="116">
        <f>IFERROR(IF(E100&gt;0,(F100/E100)*1000,""),"")</f>
        <v/>
      </c>
      <c r="H100" s="117">
        <f>IFERROR(IF(E100&gt;0,E100*IF(ISNUMBER(J100),J100,IF(OR(C100="Alpha",B100="Alpha"),$C$7,IF(C100="Futures",$C$6,$C$5))),""),"")</f>
        <v/>
      </c>
      <c r="I100" s="118">
        <f>IFERROR(IF(AND(ISNUMBER(F100),ISNUMBER(H100)),F100-H100,""),"")</f>
        <v/>
      </c>
      <c r="J100" s="85" t="n"/>
      <c r="K100" s="119">
        <f>IFERROR(IF(H100&gt;0,H100*IF(OR(C100="Alpha",B100="Alpha"),$C$9,$C$8),""),"")</f>
        <v/>
      </c>
      <c r="L100" s="120">
        <f>IFERROR(IF(ISNUMBER(F100),F100-IF(ISNUMBER(K100),K100,0),""),"")</f>
        <v/>
      </c>
    </row>
    <row r="101" ht="24" customHeight="1" s="63">
      <c r="A101" s="88" t="n"/>
      <c r="B101" s="89" t="n"/>
      <c r="C101" s="90" t="n"/>
      <c r="D101" s="90" t="n"/>
      <c r="E101" s="121" t="n"/>
      <c r="F101" s="121" t="n"/>
      <c r="G101" s="122">
        <f>IFERROR(IF(E101&gt;0,(F101/E101)*1000,""),"")</f>
        <v/>
      </c>
      <c r="H101" s="123">
        <f>IFERROR(IF(E101&gt;0,E101*IF(ISNUMBER(J101),J101,IF(OR(C101="Alpha",B101="Alpha"),$C$7,IF(C101="Futures",$C$6,$C$5))),""),"")</f>
        <v/>
      </c>
      <c r="I101" s="124">
        <f>IFERROR(IF(AND(ISNUMBER(F101),ISNUMBER(H101)),F101-H101,""),"")</f>
        <v/>
      </c>
      <c r="J101" s="95" t="n"/>
      <c r="K101" s="125">
        <f>IFERROR(IF(H101&gt;0,H101*IF(OR(C101="Alpha",B101="Alpha"),$C$9,$C$8),""),"")</f>
        <v/>
      </c>
      <c r="L101" s="126">
        <f>IFERROR(IF(ISNUMBER(F101),F101-IF(ISNUMBER(K101),K101,0),""),"")</f>
        <v/>
      </c>
    </row>
    <row r="102" ht="24" customHeight="1" s="63">
      <c r="A102" s="78" t="n"/>
      <c r="B102" s="79" t="n"/>
      <c r="C102" s="80" t="n"/>
      <c r="D102" s="80" t="n"/>
      <c r="E102" s="115" t="n"/>
      <c r="F102" s="115" t="n"/>
      <c r="G102" s="116">
        <f>IFERROR(IF(E102&gt;0,(F102/E102)*1000,""),"")</f>
        <v/>
      </c>
      <c r="H102" s="117">
        <f>IFERROR(IF(E102&gt;0,E102*IF(ISNUMBER(J102),J102,IF(OR(C102="Alpha",B102="Alpha"),$C$7,IF(C102="Futures",$C$6,$C$5))),""),"")</f>
        <v/>
      </c>
      <c r="I102" s="118">
        <f>IFERROR(IF(AND(ISNUMBER(F102),ISNUMBER(H102)),F102-H102,""),"")</f>
        <v/>
      </c>
      <c r="J102" s="85" t="n"/>
      <c r="K102" s="119">
        <f>IFERROR(IF(H102&gt;0,H102*IF(OR(C102="Alpha",B102="Alpha"),$C$9,$C$8),""),"")</f>
        <v/>
      </c>
      <c r="L102" s="120">
        <f>IFERROR(IF(ISNUMBER(F102),F102-IF(ISNUMBER(K102),K102,0),""),"")</f>
        <v/>
      </c>
    </row>
    <row r="103" ht="24" customHeight="1" s="63">
      <c r="A103" s="88" t="n"/>
      <c r="B103" s="89" t="n"/>
      <c r="C103" s="90" t="n"/>
      <c r="D103" s="90" t="n"/>
      <c r="E103" s="121" t="n"/>
      <c r="F103" s="121" t="n"/>
      <c r="G103" s="122">
        <f>IFERROR(IF(E103&gt;0,(F103/E103)*1000,""),"")</f>
        <v/>
      </c>
      <c r="H103" s="123">
        <f>IFERROR(IF(E103&gt;0,E103*IF(ISNUMBER(J103),J103,IF(OR(C103="Alpha",B103="Alpha"),$C$7,IF(C103="Futures",$C$6,$C$5))),""),"")</f>
        <v/>
      </c>
      <c r="I103" s="124">
        <f>IFERROR(IF(AND(ISNUMBER(F103),ISNUMBER(H103)),F103-H103,""),"")</f>
        <v/>
      </c>
      <c r="J103" s="95" t="n"/>
      <c r="K103" s="125">
        <f>IFERROR(IF(H103&gt;0,H103*IF(OR(C103="Alpha",B103="Alpha"),$C$9,$C$8),""),"")</f>
        <v/>
      </c>
      <c r="L103" s="126">
        <f>IFERROR(IF(ISNUMBER(F103),F103-IF(ISNUMBER(K103),K103,0),""),"")</f>
        <v/>
      </c>
    </row>
    <row r="104" ht="24" customHeight="1" s="63">
      <c r="A104" s="78" t="n"/>
      <c r="B104" s="79" t="n"/>
      <c r="C104" s="80" t="n"/>
      <c r="D104" s="80" t="n"/>
      <c r="E104" s="115" t="n"/>
      <c r="F104" s="115" t="n"/>
      <c r="G104" s="116">
        <f>IFERROR(IF(E104&gt;0,(F104/E104)*1000,""),"")</f>
        <v/>
      </c>
      <c r="H104" s="117">
        <f>IFERROR(IF(E104&gt;0,E104*IF(ISNUMBER(J104),J104,IF(OR(C104="Alpha",B104="Alpha"),$C$7,IF(C104="Futures",$C$6,$C$5))),""),"")</f>
        <v/>
      </c>
      <c r="I104" s="118">
        <f>IFERROR(IF(AND(ISNUMBER(F104),ISNUMBER(H104)),F104-H104,""),"")</f>
        <v/>
      </c>
      <c r="J104" s="85" t="n"/>
      <c r="K104" s="119">
        <f>IFERROR(IF(H104&gt;0,H104*IF(OR(C104="Alpha",B104="Alpha"),$C$9,$C$8),""),"")</f>
        <v/>
      </c>
      <c r="L104" s="120">
        <f>IFERROR(IF(ISNUMBER(F104),F104-IF(ISNUMBER(K104),K104,0),""),"")</f>
        <v/>
      </c>
    </row>
    <row r="105" ht="24" customHeight="1" s="63">
      <c r="A105" s="88" t="n"/>
      <c r="B105" s="89" t="n"/>
      <c r="C105" s="90" t="n"/>
      <c r="D105" s="90" t="n"/>
      <c r="E105" s="121" t="n"/>
      <c r="F105" s="121" t="n"/>
      <c r="G105" s="122">
        <f>IFERROR(IF(E105&gt;0,(F105/E105)*1000,""),"")</f>
        <v/>
      </c>
      <c r="H105" s="123">
        <f>IFERROR(IF(E105&gt;0,E105*IF(ISNUMBER(J105),J105,IF(OR(C105="Alpha",B105="Alpha"),$C$7,IF(C105="Futures",$C$6,$C$5))),""),"")</f>
        <v/>
      </c>
      <c r="I105" s="124">
        <f>IFERROR(IF(AND(ISNUMBER(F105),ISNUMBER(H105)),F105-H105,""),"")</f>
        <v/>
      </c>
      <c r="J105" s="95" t="n"/>
      <c r="K105" s="125">
        <f>IFERROR(IF(H105&gt;0,H105*IF(OR(C105="Alpha",B105="Alpha"),$C$9,$C$8),""),"")</f>
        <v/>
      </c>
      <c r="L105" s="126">
        <f>IFERROR(IF(ISNUMBER(F105),F105-IF(ISNUMBER(K105),K105,0),""),"")</f>
        <v/>
      </c>
    </row>
    <row r="106" ht="24" customHeight="1" s="63">
      <c r="A106" s="78" t="n"/>
      <c r="B106" s="79" t="n"/>
      <c r="C106" s="80" t="n"/>
      <c r="D106" s="80" t="n"/>
      <c r="E106" s="115" t="n"/>
      <c r="F106" s="115" t="n"/>
      <c r="G106" s="116">
        <f>IFERROR(IF(E106&gt;0,(F106/E106)*1000,""),"")</f>
        <v/>
      </c>
      <c r="H106" s="117">
        <f>IFERROR(IF(E106&gt;0,E106*IF(ISNUMBER(J106),J106,IF(OR(C106="Alpha",B106="Alpha"),$C$7,IF(C106="Futures",$C$6,$C$5))),""),"")</f>
        <v/>
      </c>
      <c r="I106" s="118">
        <f>IFERROR(IF(AND(ISNUMBER(F106),ISNUMBER(H106)),F106-H106,""),"")</f>
        <v/>
      </c>
      <c r="J106" s="85" t="n"/>
      <c r="K106" s="119">
        <f>IFERROR(IF(H106&gt;0,H106*IF(OR(C106="Alpha",B106="Alpha"),$C$9,$C$8),""),"")</f>
        <v/>
      </c>
      <c r="L106" s="120">
        <f>IFERROR(IF(ISNUMBER(F106),F106-IF(ISNUMBER(K106),K106,0),""),"")</f>
        <v/>
      </c>
    </row>
    <row r="107" ht="24" customHeight="1" s="63">
      <c r="A107" s="88" t="n"/>
      <c r="B107" s="89" t="n"/>
      <c r="C107" s="90" t="n"/>
      <c r="D107" s="90" t="n"/>
      <c r="E107" s="121" t="n"/>
      <c r="F107" s="121" t="n"/>
      <c r="G107" s="122">
        <f>IFERROR(IF(E107&gt;0,(F107/E107)*1000,""),"")</f>
        <v/>
      </c>
      <c r="H107" s="123">
        <f>IFERROR(IF(E107&gt;0,E107*IF(ISNUMBER(J107),J107,IF(OR(C107="Alpha",B107="Alpha"),$C$7,IF(C107="Futures",$C$6,$C$5))),""),"")</f>
        <v/>
      </c>
      <c r="I107" s="124">
        <f>IFERROR(IF(AND(ISNUMBER(F107),ISNUMBER(H107)),F107-H107,""),"")</f>
        <v/>
      </c>
      <c r="J107" s="95" t="n"/>
      <c r="K107" s="125">
        <f>IFERROR(IF(H107&gt;0,H107*IF(OR(C107="Alpha",B107="Alpha"),$C$9,$C$8),""),"")</f>
        <v/>
      </c>
      <c r="L107" s="126">
        <f>IFERROR(IF(ISNUMBER(F107),F107-IF(ISNUMBER(K107),K107,0),""),"")</f>
        <v/>
      </c>
    </row>
    <row r="108" ht="24" customHeight="1" s="63">
      <c r="A108" s="78" t="n"/>
      <c r="B108" s="79" t="n"/>
      <c r="C108" s="80" t="n"/>
      <c r="D108" s="80" t="n"/>
      <c r="E108" s="115" t="n"/>
      <c r="F108" s="115" t="n"/>
      <c r="G108" s="116">
        <f>IFERROR(IF(E108&gt;0,(F108/E108)*1000,""),"")</f>
        <v/>
      </c>
      <c r="H108" s="117">
        <f>IFERROR(IF(E108&gt;0,E108*IF(ISNUMBER(J108),J108,IF(OR(C108="Alpha",B108="Alpha"),$C$7,IF(C108="Futures",$C$6,$C$5))),""),"")</f>
        <v/>
      </c>
      <c r="I108" s="118">
        <f>IFERROR(IF(AND(ISNUMBER(F108),ISNUMBER(H108)),F108-H108,""),"")</f>
        <v/>
      </c>
      <c r="J108" s="85" t="n"/>
      <c r="K108" s="119">
        <f>IFERROR(IF(H108&gt;0,H108*IF(OR(C108="Alpha",B108="Alpha"),$C$9,$C$8),""),"")</f>
        <v/>
      </c>
      <c r="L108" s="120">
        <f>IFERROR(IF(ISNUMBER(F108),F108-IF(ISNUMBER(K108),K108,0),""),"")</f>
        <v/>
      </c>
    </row>
    <row r="109" ht="24" customHeight="1" s="63">
      <c r="A109" s="88" t="n"/>
      <c r="B109" s="89" t="n"/>
      <c r="C109" s="90" t="n"/>
      <c r="D109" s="90" t="n"/>
      <c r="E109" s="121" t="n"/>
      <c r="F109" s="121" t="n"/>
      <c r="G109" s="122">
        <f>IFERROR(IF(E109&gt;0,(F109/E109)*1000,""),"")</f>
        <v/>
      </c>
      <c r="H109" s="123">
        <f>IFERROR(IF(E109&gt;0,E109*IF(ISNUMBER(J109),J109,IF(OR(C109="Alpha",B109="Alpha"),$C$7,IF(C109="Futures",$C$6,$C$5))),""),"")</f>
        <v/>
      </c>
      <c r="I109" s="124">
        <f>IFERROR(IF(AND(ISNUMBER(F109),ISNUMBER(H109)),F109-H109,""),"")</f>
        <v/>
      </c>
      <c r="J109" s="95" t="n"/>
      <c r="K109" s="125">
        <f>IFERROR(IF(H109&gt;0,H109*IF(OR(C109="Alpha",B109="Alpha"),$C$9,$C$8),""),"")</f>
        <v/>
      </c>
      <c r="L109" s="126">
        <f>IFERROR(IF(ISNUMBER(F109),F109-IF(ISNUMBER(K109),K109,0),""),"")</f>
        <v/>
      </c>
    </row>
    <row r="110" ht="24" customHeight="1" s="63">
      <c r="A110" s="78" t="n"/>
      <c r="B110" s="79" t="n"/>
      <c r="C110" s="80" t="n"/>
      <c r="D110" s="80" t="n"/>
      <c r="E110" s="115" t="n"/>
      <c r="F110" s="115" t="n"/>
      <c r="G110" s="116">
        <f>IFERROR(IF(E110&gt;0,(F110/E110)*1000,""),"")</f>
        <v/>
      </c>
      <c r="H110" s="117">
        <f>IFERROR(IF(E110&gt;0,E110*IF(ISNUMBER(J110),J110,IF(OR(C110="Alpha",B110="Alpha"),$C$7,IF(C110="Futures",$C$6,$C$5))),""),"")</f>
        <v/>
      </c>
      <c r="I110" s="118">
        <f>IFERROR(IF(AND(ISNUMBER(F110),ISNUMBER(H110)),F110-H110,""),"")</f>
        <v/>
      </c>
      <c r="J110" s="85" t="n"/>
      <c r="K110" s="119">
        <f>IFERROR(IF(H110&gt;0,H110*IF(OR(C110="Alpha",B110="Alpha"),$C$9,$C$8),""),"")</f>
        <v/>
      </c>
      <c r="L110" s="120">
        <f>IFERROR(IF(ISNUMBER(F110),F110-IF(ISNUMBER(K110),K110,0),""),"")</f>
        <v/>
      </c>
    </row>
    <row r="111" ht="24" customHeight="1" s="63">
      <c r="A111" s="88" t="n"/>
      <c r="B111" s="89" t="n"/>
      <c r="C111" s="90" t="n"/>
      <c r="D111" s="90" t="n"/>
      <c r="E111" s="121" t="n"/>
      <c r="F111" s="121" t="n"/>
      <c r="G111" s="122">
        <f>IFERROR(IF(E111&gt;0,(F111/E111)*1000,""),"")</f>
        <v/>
      </c>
      <c r="H111" s="123">
        <f>IFERROR(IF(E111&gt;0,E111*IF(ISNUMBER(J111),J111,IF(OR(C111="Alpha",B111="Alpha"),$C$7,IF(C111="Futures",$C$6,$C$5))),""),"")</f>
        <v/>
      </c>
      <c r="I111" s="124">
        <f>IFERROR(IF(AND(ISNUMBER(F111),ISNUMBER(H111)),F111-H111,""),"")</f>
        <v/>
      </c>
      <c r="J111" s="95" t="n"/>
      <c r="K111" s="125">
        <f>IFERROR(IF(H111&gt;0,H111*IF(OR(C111="Alpha",B111="Alpha"),$C$9,$C$8),""),"")</f>
        <v/>
      </c>
      <c r="L111" s="126">
        <f>IFERROR(IF(ISNUMBER(F111),F111-IF(ISNUMBER(K111),K111,0),""),"")</f>
        <v/>
      </c>
    </row>
    <row r="112" ht="24" customHeight="1" s="63">
      <c r="A112" s="78" t="n"/>
      <c r="B112" s="79" t="n"/>
      <c r="C112" s="80" t="n"/>
      <c r="D112" s="80" t="n"/>
      <c r="E112" s="115" t="n"/>
      <c r="F112" s="115" t="n"/>
      <c r="G112" s="116">
        <f>IFERROR(IF(E112&gt;0,(F112/E112)*1000,""),"")</f>
        <v/>
      </c>
      <c r="H112" s="117">
        <f>IFERROR(IF(E112&gt;0,E112*IF(ISNUMBER(J112),J112,IF(OR(C112="Alpha",B112="Alpha"),$C$7,IF(C112="Futures",$C$6,$C$5))),""),"")</f>
        <v/>
      </c>
      <c r="I112" s="118">
        <f>IFERROR(IF(AND(ISNUMBER(F112),ISNUMBER(H112)),F112-H112,""),"")</f>
        <v/>
      </c>
      <c r="J112" s="85" t="n"/>
      <c r="K112" s="119">
        <f>IFERROR(IF(H112&gt;0,H112*IF(OR(C112="Alpha",B112="Alpha"),$C$9,$C$8),""),"")</f>
        <v/>
      </c>
      <c r="L112" s="120">
        <f>IFERROR(IF(ISNUMBER(F112),F112-IF(ISNUMBER(K112),K112,0),""),"")</f>
        <v/>
      </c>
    </row>
    <row r="113" ht="24" customHeight="1" s="63">
      <c r="A113" s="88" t="n"/>
      <c r="B113" s="89" t="n"/>
      <c r="C113" s="90" t="n"/>
      <c r="D113" s="90" t="n"/>
      <c r="E113" s="121" t="n"/>
      <c r="F113" s="121" t="n"/>
      <c r="G113" s="122">
        <f>IFERROR(IF(E113&gt;0,(F113/E113)*1000,""),"")</f>
        <v/>
      </c>
      <c r="H113" s="123">
        <f>IFERROR(IF(E113&gt;0,E113*IF(ISNUMBER(J113),J113,IF(OR(C113="Alpha",B113="Alpha"),$C$7,IF(C113="Futures",$C$6,$C$5))),""),"")</f>
        <v/>
      </c>
      <c r="I113" s="124">
        <f>IFERROR(IF(AND(ISNUMBER(F113),ISNUMBER(H113)),F113-H113,""),"")</f>
        <v/>
      </c>
      <c r="J113" s="95" t="n"/>
      <c r="K113" s="125">
        <f>IFERROR(IF(H113&gt;0,H113*IF(OR(C113="Alpha",B113="Alpha"),$C$9,$C$8),""),"")</f>
        <v/>
      </c>
      <c r="L113" s="126">
        <f>IFERROR(IF(ISNUMBER(F113),F113-IF(ISNUMBER(K113),K113,0),""),"")</f>
        <v/>
      </c>
    </row>
    <row r="114" ht="24" customHeight="1" s="63">
      <c r="A114" s="78" t="n"/>
      <c r="B114" s="79" t="n"/>
      <c r="C114" s="80" t="n"/>
      <c r="D114" s="80" t="n"/>
      <c r="E114" s="115" t="n"/>
      <c r="F114" s="115" t="n"/>
      <c r="G114" s="116">
        <f>IFERROR(IF(E114&gt;0,(F114/E114)*1000,""),"")</f>
        <v/>
      </c>
      <c r="H114" s="117">
        <f>IFERROR(IF(E114&gt;0,E114*IF(ISNUMBER(J114),J114,IF(OR(C114="Alpha",B114="Alpha"),$C$7,IF(C114="Futures",$C$6,$C$5))),""),"")</f>
        <v/>
      </c>
      <c r="I114" s="118">
        <f>IFERROR(IF(AND(ISNUMBER(F114),ISNUMBER(H114)),F114-H114,""),"")</f>
        <v/>
      </c>
      <c r="J114" s="85" t="n"/>
      <c r="K114" s="119">
        <f>IFERROR(IF(H114&gt;0,H114*IF(OR(C114="Alpha",B114="Alpha"),$C$9,$C$8),""),"")</f>
        <v/>
      </c>
      <c r="L114" s="120">
        <f>IFERROR(IF(ISNUMBER(F114),F114-IF(ISNUMBER(K114),K114,0),""),"")</f>
        <v/>
      </c>
    </row>
    <row r="115" ht="24" customHeight="1" s="63">
      <c r="A115" s="88" t="n"/>
      <c r="B115" s="89" t="n"/>
      <c r="C115" s="90" t="n"/>
      <c r="D115" s="90" t="n"/>
      <c r="E115" s="121" t="n"/>
      <c r="F115" s="121" t="n"/>
      <c r="G115" s="122">
        <f>IFERROR(IF(E115&gt;0,(F115/E115)*1000,""),"")</f>
        <v/>
      </c>
      <c r="H115" s="123">
        <f>IFERROR(IF(E115&gt;0,E115*IF(ISNUMBER(J115),J115,IF(OR(C115="Alpha",B115="Alpha"),$C$7,IF(C115="Futures",$C$6,$C$5))),""),"")</f>
        <v/>
      </c>
      <c r="I115" s="124">
        <f>IFERROR(IF(AND(ISNUMBER(F115),ISNUMBER(H115)),F115-H115,""),"")</f>
        <v/>
      </c>
      <c r="J115" s="95" t="n"/>
      <c r="K115" s="125">
        <f>IFERROR(IF(H115&gt;0,H115*IF(OR(C115="Alpha",B115="Alpha"),$C$9,$C$8),""),"")</f>
        <v/>
      </c>
      <c r="L115" s="126">
        <f>IFERROR(IF(ISNUMBER(F115),F115-IF(ISNUMBER(K115),K115,0),""),"")</f>
        <v/>
      </c>
    </row>
    <row r="116" ht="24" customHeight="1" s="63">
      <c r="A116" s="78" t="n"/>
      <c r="B116" s="79" t="n"/>
      <c r="C116" s="80" t="n"/>
      <c r="D116" s="80" t="n"/>
      <c r="E116" s="115" t="n"/>
      <c r="F116" s="115" t="n"/>
      <c r="G116" s="116">
        <f>IFERROR(IF(E116&gt;0,(F116/E116)*1000,""),"")</f>
        <v/>
      </c>
      <c r="H116" s="117">
        <f>IFERROR(IF(E116&gt;0,E116*IF(ISNUMBER(J116),J116,IF(OR(C116="Alpha",B116="Alpha"),$C$7,IF(C116="Futures",$C$6,$C$5))),""),"")</f>
        <v/>
      </c>
      <c r="I116" s="118">
        <f>IFERROR(IF(AND(ISNUMBER(F116),ISNUMBER(H116)),F116-H116,""),"")</f>
        <v/>
      </c>
      <c r="J116" s="85" t="n"/>
      <c r="K116" s="119">
        <f>IFERROR(IF(H116&gt;0,H116*IF(OR(C116="Alpha",B116="Alpha"),$C$9,$C$8),""),"")</f>
        <v/>
      </c>
      <c r="L116" s="120">
        <f>IFERROR(IF(ISNUMBER(F116),F116-IF(ISNUMBER(K116),K116,0),""),"")</f>
        <v/>
      </c>
    </row>
    <row r="117" ht="24" customHeight="1" s="63">
      <c r="A117" s="88" t="n"/>
      <c r="B117" s="89" t="n"/>
      <c r="C117" s="90" t="n"/>
      <c r="D117" s="90" t="n"/>
      <c r="E117" s="121" t="n"/>
      <c r="F117" s="121" t="n"/>
      <c r="G117" s="122">
        <f>IFERROR(IF(E117&gt;0,(F117/E117)*1000,""),"")</f>
        <v/>
      </c>
      <c r="H117" s="123">
        <f>IFERROR(IF(E117&gt;0,E117*IF(ISNUMBER(J117),J117,IF(OR(C117="Alpha",B117="Alpha"),$C$7,IF(C117="Futures",$C$6,$C$5))),""),"")</f>
        <v/>
      </c>
      <c r="I117" s="124">
        <f>IFERROR(IF(AND(ISNUMBER(F117),ISNUMBER(H117)),F117-H117,""),"")</f>
        <v/>
      </c>
      <c r="J117" s="95" t="n"/>
      <c r="K117" s="125">
        <f>IFERROR(IF(H117&gt;0,H117*IF(OR(C117="Alpha",B117="Alpha"),$C$9,$C$8),""),"")</f>
        <v/>
      </c>
      <c r="L117" s="126">
        <f>IFERROR(IF(ISNUMBER(F117),F117-IF(ISNUMBER(K117),K117,0),""),"")</f>
        <v/>
      </c>
    </row>
    <row r="118" ht="24" customHeight="1" s="63">
      <c r="A118" s="78" t="n"/>
      <c r="B118" s="79" t="n"/>
      <c r="C118" s="80" t="n"/>
      <c r="D118" s="80" t="n"/>
      <c r="E118" s="115" t="n"/>
      <c r="F118" s="115" t="n"/>
      <c r="G118" s="116">
        <f>IFERROR(IF(E118&gt;0,(F118/E118)*1000,""),"")</f>
        <v/>
      </c>
      <c r="H118" s="117">
        <f>IFERROR(IF(E118&gt;0,E118*IF(ISNUMBER(J118),J118,IF(OR(C118="Alpha",B118="Alpha"),$C$7,IF(C118="Futures",$C$6,$C$5))),""),"")</f>
        <v/>
      </c>
      <c r="I118" s="118">
        <f>IFERROR(IF(AND(ISNUMBER(F118),ISNUMBER(H118)),F118-H118,""),"")</f>
        <v/>
      </c>
      <c r="J118" s="85" t="n"/>
      <c r="K118" s="119">
        <f>IFERROR(IF(H118&gt;0,H118*IF(OR(C118="Alpha",B118="Alpha"),$C$9,$C$8),""),"")</f>
        <v/>
      </c>
      <c r="L118" s="120">
        <f>IFERROR(IF(ISNUMBER(F118),F118-IF(ISNUMBER(K118),K118,0),""),"")</f>
        <v/>
      </c>
    </row>
    <row r="119" ht="24" customHeight="1" s="63">
      <c r="A119" s="88" t="n"/>
      <c r="B119" s="89" t="n"/>
      <c r="C119" s="90" t="n"/>
      <c r="D119" s="90" t="n"/>
      <c r="E119" s="121" t="n"/>
      <c r="F119" s="121" t="n"/>
      <c r="G119" s="122">
        <f>IFERROR(IF(E119&gt;0,(F119/E119)*1000,""),"")</f>
        <v/>
      </c>
      <c r="H119" s="123">
        <f>IFERROR(IF(E119&gt;0,E119*IF(ISNUMBER(J119),J119,IF(OR(C119="Alpha",B119="Alpha"),$C$7,IF(C119="Futures",$C$6,$C$5))),""),"")</f>
        <v/>
      </c>
      <c r="I119" s="124">
        <f>IFERROR(IF(AND(ISNUMBER(F119),ISNUMBER(H119)),F119-H119,""),"")</f>
        <v/>
      </c>
      <c r="J119" s="95" t="n"/>
      <c r="K119" s="125">
        <f>IFERROR(IF(H119&gt;0,H119*IF(OR(C119="Alpha",B119="Alpha"),$C$9,$C$8),""),"")</f>
        <v/>
      </c>
      <c r="L119" s="126">
        <f>IFERROR(IF(ISNUMBER(F119),F119-IF(ISNUMBER(K119),K119,0),""),"")</f>
        <v/>
      </c>
    </row>
    <row r="120" ht="24" customHeight="1" s="63">
      <c r="A120" s="78" t="n"/>
      <c r="B120" s="79" t="n"/>
      <c r="C120" s="80" t="n"/>
      <c r="D120" s="80" t="n"/>
      <c r="E120" s="115" t="n"/>
      <c r="F120" s="115" t="n"/>
      <c r="G120" s="116">
        <f>IFERROR(IF(E120&gt;0,(F120/E120)*1000,""),"")</f>
        <v/>
      </c>
      <c r="H120" s="117">
        <f>IFERROR(IF(E120&gt;0,E120*IF(ISNUMBER(J120),J120,IF(OR(C120="Alpha",B120="Alpha"),$C$7,IF(C120="Futures",$C$6,$C$5))),""),"")</f>
        <v/>
      </c>
      <c r="I120" s="118">
        <f>IFERROR(IF(AND(ISNUMBER(F120),ISNUMBER(H120)),F120-H120,""),"")</f>
        <v/>
      </c>
      <c r="J120" s="85" t="n"/>
      <c r="K120" s="119">
        <f>IFERROR(IF(H120&gt;0,H120*IF(OR(C120="Alpha",B120="Alpha"),$C$9,$C$8),""),"")</f>
        <v/>
      </c>
      <c r="L120" s="120">
        <f>IFERROR(IF(ISNUMBER(F120),F120-IF(ISNUMBER(K120),K120,0),""),"")</f>
        <v/>
      </c>
    </row>
    <row r="121" ht="24" customHeight="1" s="63">
      <c r="A121" s="88" t="n"/>
      <c r="B121" s="89" t="n"/>
      <c r="C121" s="90" t="n"/>
      <c r="D121" s="90" t="n"/>
      <c r="E121" s="121" t="n"/>
      <c r="F121" s="121" t="n"/>
      <c r="G121" s="122">
        <f>IFERROR(IF(E121&gt;0,(F121/E121)*1000,""),"")</f>
        <v/>
      </c>
      <c r="H121" s="123">
        <f>IFERROR(IF(E121&gt;0,E121*IF(ISNUMBER(J121),J121,IF(OR(C121="Alpha",B121="Alpha"),$C$7,IF(C121="Futures",$C$6,$C$5))),""),"")</f>
        <v/>
      </c>
      <c r="I121" s="124">
        <f>IFERROR(IF(AND(ISNUMBER(F121),ISNUMBER(H121)),F121-H121,""),"")</f>
        <v/>
      </c>
      <c r="J121" s="95" t="n"/>
      <c r="K121" s="125">
        <f>IFERROR(IF(H121&gt;0,H121*IF(OR(C121="Alpha",B121="Alpha"),$C$9,$C$8),""),"")</f>
        <v/>
      </c>
      <c r="L121" s="126">
        <f>IFERROR(IF(ISNUMBER(F121),F121-IF(ISNUMBER(K121),K121,0),""),"")</f>
        <v/>
      </c>
    </row>
    <row r="122" ht="24" customHeight="1" s="63">
      <c r="A122" s="78" t="n"/>
      <c r="B122" s="79" t="n"/>
      <c r="C122" s="80" t="n"/>
      <c r="D122" s="80" t="n"/>
      <c r="E122" s="115" t="n"/>
      <c r="F122" s="115" t="n"/>
      <c r="G122" s="116">
        <f>IFERROR(IF(E122&gt;0,(F122/E122)*1000,""),"")</f>
        <v/>
      </c>
      <c r="H122" s="117">
        <f>IFERROR(IF(E122&gt;0,E122*IF(ISNUMBER(J122),J122,IF(OR(C122="Alpha",B122="Alpha"),$C$7,IF(C122="Futures",$C$6,$C$5))),""),"")</f>
        <v/>
      </c>
      <c r="I122" s="118">
        <f>IFERROR(IF(AND(ISNUMBER(F122),ISNUMBER(H122)),F122-H122,""),"")</f>
        <v/>
      </c>
      <c r="J122" s="85" t="n"/>
      <c r="K122" s="119">
        <f>IFERROR(IF(H122&gt;0,H122*IF(OR(C122="Alpha",B122="Alpha"),$C$9,$C$8),""),"")</f>
        <v/>
      </c>
      <c r="L122" s="120">
        <f>IFERROR(IF(ISNUMBER(F122),F122-IF(ISNUMBER(K122),K122,0),""),"")</f>
        <v/>
      </c>
    </row>
    <row r="123" ht="24" customHeight="1" s="63">
      <c r="A123" s="88" t="n"/>
      <c r="B123" s="89" t="n"/>
      <c r="C123" s="90" t="n"/>
      <c r="D123" s="90" t="n"/>
      <c r="E123" s="121" t="n"/>
      <c r="F123" s="121" t="n"/>
      <c r="G123" s="122">
        <f>IFERROR(IF(E123&gt;0,(F123/E123)*1000,""),"")</f>
        <v/>
      </c>
      <c r="H123" s="123">
        <f>IFERROR(IF(E123&gt;0,E123*IF(ISNUMBER(J123),J123,IF(OR(C123="Alpha",B123="Alpha"),$C$7,IF(C123="Futures",$C$6,$C$5))),""),"")</f>
        <v/>
      </c>
      <c r="I123" s="124">
        <f>IFERROR(IF(AND(ISNUMBER(F123),ISNUMBER(H123)),F123-H123,""),"")</f>
        <v/>
      </c>
      <c r="J123" s="95" t="n"/>
      <c r="K123" s="125">
        <f>IFERROR(IF(H123&gt;0,H123*IF(OR(C123="Alpha",B123="Alpha"),$C$9,$C$8),""),"")</f>
        <v/>
      </c>
      <c r="L123" s="126">
        <f>IFERROR(IF(ISNUMBER(F123),F123-IF(ISNUMBER(K123),K123,0),""),"")</f>
        <v/>
      </c>
    </row>
    <row r="124" ht="24" customHeight="1" s="63">
      <c r="A124" s="78" t="n"/>
      <c r="B124" s="79" t="n"/>
      <c r="C124" s="80" t="n"/>
      <c r="D124" s="80" t="n"/>
      <c r="E124" s="115" t="n"/>
      <c r="F124" s="115" t="n"/>
      <c r="G124" s="116">
        <f>IFERROR(IF(E124&gt;0,(F124/E124)*1000,""),"")</f>
        <v/>
      </c>
      <c r="H124" s="117">
        <f>IFERROR(IF(E124&gt;0,E124*IF(ISNUMBER(J124),J124,IF(OR(C124="Alpha",B124="Alpha"),$C$7,IF(C124="Futures",$C$6,$C$5))),""),"")</f>
        <v/>
      </c>
      <c r="I124" s="118">
        <f>IFERROR(IF(AND(ISNUMBER(F124),ISNUMBER(H124)),F124-H124,""),"")</f>
        <v/>
      </c>
      <c r="J124" s="85" t="n"/>
      <c r="K124" s="119">
        <f>IFERROR(IF(H124&gt;0,H124*IF(OR(C124="Alpha",B124="Alpha"),$C$9,$C$8),""),"")</f>
        <v/>
      </c>
      <c r="L124" s="120">
        <f>IFERROR(IF(ISNUMBER(F124),F124-IF(ISNUMBER(K124),K124,0),""),"")</f>
        <v/>
      </c>
    </row>
    <row r="125" ht="24" customHeight="1" s="63">
      <c r="A125" s="88" t="n"/>
      <c r="B125" s="89" t="n"/>
      <c r="C125" s="90" t="n"/>
      <c r="D125" s="90" t="n"/>
      <c r="E125" s="121" t="n"/>
      <c r="F125" s="121" t="n"/>
      <c r="G125" s="122">
        <f>IFERROR(IF(E125&gt;0,(F125/E125)*1000,""),"")</f>
        <v/>
      </c>
      <c r="H125" s="123">
        <f>IFERROR(IF(E125&gt;0,E125*IF(ISNUMBER(J125),J125,IF(OR(C125="Alpha",B125="Alpha"),$C$7,IF(C125="Futures",$C$6,$C$5))),""),"")</f>
        <v/>
      </c>
      <c r="I125" s="124">
        <f>IFERROR(IF(AND(ISNUMBER(F125),ISNUMBER(H125)),F125-H125,""),"")</f>
        <v/>
      </c>
      <c r="J125" s="95" t="n"/>
      <c r="K125" s="125">
        <f>IFERROR(IF(H125&gt;0,H125*IF(OR(C125="Alpha",B125="Alpha"),$C$9,$C$8),""),"")</f>
        <v/>
      </c>
      <c r="L125" s="126">
        <f>IFERROR(IF(ISNUMBER(F125),F125-IF(ISNUMBER(K125),K125,0),""),"")</f>
        <v/>
      </c>
    </row>
    <row r="126" ht="24" customHeight="1" s="63">
      <c r="A126" s="78" t="n"/>
      <c r="B126" s="79" t="n"/>
      <c r="C126" s="80" t="n"/>
      <c r="D126" s="80" t="n"/>
      <c r="E126" s="115" t="n"/>
      <c r="F126" s="115" t="n"/>
      <c r="G126" s="116">
        <f>IFERROR(IF(E126&gt;0,(F126/E126)*1000,""),"")</f>
        <v/>
      </c>
      <c r="H126" s="117">
        <f>IFERROR(IF(E126&gt;0,E126*IF(ISNUMBER(J126),J126,IF(OR(C126="Alpha",B126="Alpha"),$C$7,IF(C126="Futures",$C$6,$C$5))),""),"")</f>
        <v/>
      </c>
      <c r="I126" s="118">
        <f>IFERROR(IF(AND(ISNUMBER(F126),ISNUMBER(H126)),F126-H126,""),"")</f>
        <v/>
      </c>
      <c r="J126" s="85" t="n"/>
      <c r="K126" s="119">
        <f>IFERROR(IF(H126&gt;0,H126*IF(OR(C126="Alpha",B126="Alpha"),$C$9,$C$8),""),"")</f>
        <v/>
      </c>
      <c r="L126" s="120">
        <f>IFERROR(IF(ISNUMBER(F126),F126-IF(ISNUMBER(K126),K126,0),""),"")</f>
        <v/>
      </c>
    </row>
    <row r="127" ht="24" customHeight="1" s="63">
      <c r="A127" s="88" t="n"/>
      <c r="B127" s="89" t="n"/>
      <c r="C127" s="90" t="n"/>
      <c r="D127" s="90" t="n"/>
      <c r="E127" s="121" t="n"/>
      <c r="F127" s="121" t="n"/>
      <c r="G127" s="122">
        <f>IFERROR(IF(E127&gt;0,(F127/E127)*1000,""),"")</f>
        <v/>
      </c>
      <c r="H127" s="123">
        <f>IFERROR(IF(E127&gt;0,E127*IF(ISNUMBER(J127),J127,IF(OR(C127="Alpha",B127="Alpha"),$C$7,IF(C127="Futures",$C$6,$C$5))),""),"")</f>
        <v/>
      </c>
      <c r="I127" s="124">
        <f>IFERROR(IF(AND(ISNUMBER(F127),ISNUMBER(H127)),F127-H127,""),"")</f>
        <v/>
      </c>
      <c r="J127" s="95" t="n"/>
      <c r="K127" s="125">
        <f>IFERROR(IF(H127&gt;0,H127*IF(OR(C127="Alpha",B127="Alpha"),$C$9,$C$8),""),"")</f>
        <v/>
      </c>
      <c r="L127" s="126">
        <f>IFERROR(IF(ISNUMBER(F127),F127-IF(ISNUMBER(K127),K127,0),""),"")</f>
        <v/>
      </c>
    </row>
    <row r="128" ht="24" customHeight="1" s="63">
      <c r="A128" s="78" t="n"/>
      <c r="B128" s="79" t="n"/>
      <c r="C128" s="80" t="n"/>
      <c r="D128" s="80" t="n"/>
      <c r="E128" s="115" t="n"/>
      <c r="F128" s="115" t="n"/>
      <c r="G128" s="116">
        <f>IFERROR(IF(E128&gt;0,(F128/E128)*1000,""),"")</f>
        <v/>
      </c>
      <c r="H128" s="117">
        <f>IFERROR(IF(E128&gt;0,E128*IF(ISNUMBER(J128),J128,IF(OR(C128="Alpha",B128="Alpha"),$C$7,IF(C128="Futures",$C$6,$C$5))),""),"")</f>
        <v/>
      </c>
      <c r="I128" s="118">
        <f>IFERROR(IF(AND(ISNUMBER(F128),ISNUMBER(H128)),F128-H128,""),"")</f>
        <v/>
      </c>
      <c r="J128" s="85" t="n"/>
      <c r="K128" s="119">
        <f>IFERROR(IF(H128&gt;0,H128*IF(OR(C128="Alpha",B128="Alpha"),$C$9,$C$8),""),"")</f>
        <v/>
      </c>
      <c r="L128" s="120">
        <f>IFERROR(IF(ISNUMBER(F128),F128-IF(ISNUMBER(K128),K128,0),""),"")</f>
        <v/>
      </c>
    </row>
    <row r="129" ht="24" customHeight="1" s="63">
      <c r="A129" s="88" t="n"/>
      <c r="B129" s="89" t="n"/>
      <c r="C129" s="90" t="n"/>
      <c r="D129" s="90" t="n"/>
      <c r="E129" s="121" t="n"/>
      <c r="F129" s="121" t="n"/>
      <c r="G129" s="122">
        <f>IFERROR(IF(E129&gt;0,(F129/E129)*1000,""),"")</f>
        <v/>
      </c>
      <c r="H129" s="123">
        <f>IFERROR(IF(E129&gt;0,E129*IF(ISNUMBER(J129),J129,IF(OR(C129="Alpha",B129="Alpha"),$C$7,IF(C129="Futures",$C$6,$C$5))),""),"")</f>
        <v/>
      </c>
      <c r="I129" s="124">
        <f>IFERROR(IF(AND(ISNUMBER(F129),ISNUMBER(H129)),F129-H129,""),"")</f>
        <v/>
      </c>
      <c r="J129" s="95" t="n"/>
      <c r="K129" s="125">
        <f>IFERROR(IF(H129&gt;0,H129*IF(OR(C129="Alpha",B129="Alpha"),$C$9,$C$8),""),"")</f>
        <v/>
      </c>
      <c r="L129" s="126">
        <f>IFERROR(IF(ISNUMBER(F129),F129-IF(ISNUMBER(K129),K129,0),""),"")</f>
        <v/>
      </c>
    </row>
    <row r="130" ht="24" customHeight="1" s="63">
      <c r="A130" s="78" t="n"/>
      <c r="B130" s="79" t="n"/>
      <c r="C130" s="80" t="n"/>
      <c r="D130" s="80" t="n"/>
      <c r="E130" s="115" t="n"/>
      <c r="F130" s="115" t="n"/>
      <c r="G130" s="116">
        <f>IFERROR(IF(E130&gt;0,(F130/E130)*1000,""),"")</f>
        <v/>
      </c>
      <c r="H130" s="117">
        <f>IFERROR(IF(E130&gt;0,E130*IF(ISNUMBER(J130),J130,IF(OR(C130="Alpha",B130="Alpha"),$C$7,IF(C130="Futures",$C$6,$C$5))),""),"")</f>
        <v/>
      </c>
      <c r="I130" s="118">
        <f>IFERROR(IF(AND(ISNUMBER(F130),ISNUMBER(H130)),F130-H130,""),"")</f>
        <v/>
      </c>
      <c r="J130" s="85" t="n"/>
      <c r="K130" s="119">
        <f>IFERROR(IF(H130&gt;0,H130*IF(OR(C130="Alpha",B130="Alpha"),$C$9,$C$8),""),"")</f>
        <v/>
      </c>
      <c r="L130" s="120">
        <f>IFERROR(IF(ISNUMBER(F130),F130-IF(ISNUMBER(K130),K130,0),""),"")</f>
        <v/>
      </c>
    </row>
    <row r="131" ht="24" customHeight="1" s="63">
      <c r="A131" s="88" t="n"/>
      <c r="B131" s="89" t="n"/>
      <c r="C131" s="90" t="n"/>
      <c r="D131" s="90" t="n"/>
      <c r="E131" s="121" t="n"/>
      <c r="F131" s="121" t="n"/>
      <c r="G131" s="122">
        <f>IFERROR(IF(E131&gt;0,(F131/E131)*1000,""),"")</f>
        <v/>
      </c>
      <c r="H131" s="123">
        <f>IFERROR(IF(E131&gt;0,E131*IF(ISNUMBER(J131),J131,IF(OR(C131="Alpha",B131="Alpha"),$C$7,IF(C131="Futures",$C$6,$C$5))),""),"")</f>
        <v/>
      </c>
      <c r="I131" s="124">
        <f>IFERROR(IF(AND(ISNUMBER(F131),ISNUMBER(H131)),F131-H131,""),"")</f>
        <v/>
      </c>
      <c r="J131" s="95" t="n"/>
      <c r="K131" s="125">
        <f>IFERROR(IF(H131&gt;0,H131*IF(OR(C131="Alpha",B131="Alpha"),$C$9,$C$8),""),"")</f>
        <v/>
      </c>
      <c r="L131" s="126">
        <f>IFERROR(IF(ISNUMBER(F131),F131-IF(ISNUMBER(K131),K131,0),""),"")</f>
        <v/>
      </c>
    </row>
    <row r="132" ht="24" customHeight="1" s="63">
      <c r="A132" s="78" t="n"/>
      <c r="B132" s="79" t="n"/>
      <c r="C132" s="80" t="n"/>
      <c r="D132" s="80" t="n"/>
      <c r="E132" s="115" t="n"/>
      <c r="F132" s="115" t="n"/>
      <c r="G132" s="116">
        <f>IFERROR(IF(E132&gt;0,(F132/E132)*1000,""),"")</f>
        <v/>
      </c>
      <c r="H132" s="117">
        <f>IFERROR(IF(E132&gt;0,E132*IF(ISNUMBER(J132),J132,IF(OR(C132="Alpha",B132="Alpha"),$C$7,IF(C132="Futures",$C$6,$C$5))),""),"")</f>
        <v/>
      </c>
      <c r="I132" s="118">
        <f>IFERROR(IF(AND(ISNUMBER(F132),ISNUMBER(H132)),F132-H132,""),"")</f>
        <v/>
      </c>
      <c r="J132" s="85" t="n"/>
      <c r="K132" s="119">
        <f>IFERROR(IF(H132&gt;0,H132*IF(OR(C132="Alpha",B132="Alpha"),$C$9,$C$8),""),"")</f>
        <v/>
      </c>
      <c r="L132" s="120">
        <f>IFERROR(IF(ISNUMBER(F132),F132-IF(ISNUMBER(K132),K132,0),""),"")</f>
        <v/>
      </c>
    </row>
    <row r="133" ht="24" customHeight="1" s="63">
      <c r="A133" s="88" t="n"/>
      <c r="B133" s="89" t="n"/>
      <c r="C133" s="90" t="n"/>
      <c r="D133" s="90" t="n"/>
      <c r="E133" s="121" t="n"/>
      <c r="F133" s="121" t="n"/>
      <c r="G133" s="122">
        <f>IFERROR(IF(E133&gt;0,(F133/E133)*1000,""),"")</f>
        <v/>
      </c>
      <c r="H133" s="123">
        <f>IFERROR(IF(E133&gt;0,E133*IF(ISNUMBER(J133),J133,IF(OR(C133="Alpha",B133="Alpha"),$C$7,IF(C133="Futures",$C$6,$C$5))),""),"")</f>
        <v/>
      </c>
      <c r="I133" s="124">
        <f>IFERROR(IF(AND(ISNUMBER(F133),ISNUMBER(H133)),F133-H133,""),"")</f>
        <v/>
      </c>
      <c r="J133" s="95" t="n"/>
      <c r="K133" s="125">
        <f>IFERROR(IF(H133&gt;0,H133*IF(OR(C133="Alpha",B133="Alpha"),$C$9,$C$8),""),"")</f>
        <v/>
      </c>
      <c r="L133" s="126">
        <f>IFERROR(IF(ISNUMBER(F133),F133-IF(ISNUMBER(K133),K133,0),""),"")</f>
        <v/>
      </c>
    </row>
    <row r="134" ht="24" customHeight="1" s="63">
      <c r="A134" s="78" t="n"/>
      <c r="B134" s="79" t="n"/>
      <c r="C134" s="80" t="n"/>
      <c r="D134" s="80" t="n"/>
      <c r="E134" s="115" t="n"/>
      <c r="F134" s="115" t="n"/>
      <c r="G134" s="116">
        <f>IFERROR(IF(E134&gt;0,(F134/E134)*1000,""),"")</f>
        <v/>
      </c>
      <c r="H134" s="117">
        <f>IFERROR(IF(E134&gt;0,E134*IF(ISNUMBER(J134),J134,IF(OR(C134="Alpha",B134="Alpha"),$C$7,IF(C134="Futures",$C$6,$C$5))),""),"")</f>
        <v/>
      </c>
      <c r="I134" s="118">
        <f>IFERROR(IF(AND(ISNUMBER(F134),ISNUMBER(H134)),F134-H134,""),"")</f>
        <v/>
      </c>
      <c r="J134" s="85" t="n"/>
      <c r="K134" s="119">
        <f>IFERROR(IF(H134&gt;0,H134*IF(OR(C134="Alpha",B134="Alpha"),$C$9,$C$8),""),"")</f>
        <v/>
      </c>
      <c r="L134" s="120">
        <f>IFERROR(IF(ISNUMBER(F134),F134-IF(ISNUMBER(K134),K134,0),""),"")</f>
        <v/>
      </c>
    </row>
    <row r="135" ht="24" customHeight="1" s="63">
      <c r="A135" s="88" t="n"/>
      <c r="B135" s="89" t="n"/>
      <c r="C135" s="90" t="n"/>
      <c r="D135" s="90" t="n"/>
      <c r="E135" s="121" t="n"/>
      <c r="F135" s="121" t="n"/>
      <c r="G135" s="122">
        <f>IFERROR(IF(E135&gt;0,(F135/E135)*1000,""),"")</f>
        <v/>
      </c>
      <c r="H135" s="123">
        <f>IFERROR(IF(E135&gt;0,E135*IF(ISNUMBER(J135),J135,IF(OR(C135="Alpha",B135="Alpha"),$C$7,IF(C135="Futures",$C$6,$C$5))),""),"")</f>
        <v/>
      </c>
      <c r="I135" s="124">
        <f>IFERROR(IF(AND(ISNUMBER(F135),ISNUMBER(H135)),F135-H135,""),"")</f>
        <v/>
      </c>
      <c r="J135" s="95" t="n"/>
      <c r="K135" s="125">
        <f>IFERROR(IF(H135&gt;0,H135*IF(OR(C135="Alpha",B135="Alpha"),$C$9,$C$8),""),"")</f>
        <v/>
      </c>
      <c r="L135" s="126">
        <f>IFERROR(IF(ISNUMBER(F135),F135-IF(ISNUMBER(K135),K135,0),""),"")</f>
        <v/>
      </c>
    </row>
    <row r="136" ht="24" customHeight="1" s="63">
      <c r="A136" s="78" t="n"/>
      <c r="B136" s="79" t="n"/>
      <c r="C136" s="80" t="n"/>
      <c r="D136" s="80" t="n"/>
      <c r="E136" s="115" t="n"/>
      <c r="F136" s="115" t="n"/>
      <c r="G136" s="116">
        <f>IFERROR(IF(E136&gt;0,(F136/E136)*1000,""),"")</f>
        <v/>
      </c>
      <c r="H136" s="117">
        <f>IFERROR(IF(E136&gt;0,E136*IF(ISNUMBER(J136),J136,IF(OR(C136="Alpha",B136="Alpha"),$C$7,IF(C136="Futures",$C$6,$C$5))),""),"")</f>
        <v/>
      </c>
      <c r="I136" s="118">
        <f>IFERROR(IF(AND(ISNUMBER(F136),ISNUMBER(H136)),F136-H136,""),"")</f>
        <v/>
      </c>
      <c r="J136" s="85" t="n"/>
      <c r="K136" s="119">
        <f>IFERROR(IF(H136&gt;0,H136*IF(OR(C136="Alpha",B136="Alpha"),$C$9,$C$8),""),"")</f>
        <v/>
      </c>
      <c r="L136" s="120">
        <f>IFERROR(IF(ISNUMBER(F136),F136-IF(ISNUMBER(K136),K136,0),""),"")</f>
        <v/>
      </c>
    </row>
    <row r="137" ht="24" customHeight="1" s="63">
      <c r="A137" s="88" t="n"/>
      <c r="B137" s="89" t="n"/>
      <c r="C137" s="90" t="n"/>
      <c r="D137" s="90" t="n"/>
      <c r="E137" s="121" t="n"/>
      <c r="F137" s="121" t="n"/>
      <c r="G137" s="122">
        <f>IFERROR(IF(E137&gt;0,(F137/E137)*1000,""),"")</f>
        <v/>
      </c>
      <c r="H137" s="123">
        <f>IFERROR(IF(E137&gt;0,E137*IF(ISNUMBER(J137),J137,IF(OR(C137="Alpha",B137="Alpha"),$C$7,IF(C137="Futures",$C$6,$C$5))),""),"")</f>
        <v/>
      </c>
      <c r="I137" s="124">
        <f>IFERROR(IF(AND(ISNUMBER(F137),ISNUMBER(H137)),F137-H137,""),"")</f>
        <v/>
      </c>
      <c r="J137" s="95" t="n"/>
      <c r="K137" s="125">
        <f>IFERROR(IF(H137&gt;0,H137*IF(OR(C137="Alpha",B137="Alpha"),$C$9,$C$8),""),"")</f>
        <v/>
      </c>
      <c r="L137" s="126">
        <f>IFERROR(IF(ISNUMBER(F137),F137-IF(ISNUMBER(K137),K137,0),""),"")</f>
        <v/>
      </c>
    </row>
    <row r="138" ht="24" customHeight="1" s="63">
      <c r="A138" s="78" t="n"/>
      <c r="B138" s="79" t="n"/>
      <c r="C138" s="80" t="n"/>
      <c r="D138" s="80" t="n"/>
      <c r="E138" s="115" t="n"/>
      <c r="F138" s="115" t="n"/>
      <c r="G138" s="116">
        <f>IFERROR(IF(E138&gt;0,(F138/E138)*1000,""),"")</f>
        <v/>
      </c>
      <c r="H138" s="117">
        <f>IFERROR(IF(E138&gt;0,E138*IF(ISNUMBER(J138),J138,IF(OR(C138="Alpha",B138="Alpha"),$C$7,IF(C138="Futures",$C$6,$C$5))),""),"")</f>
        <v/>
      </c>
      <c r="I138" s="118">
        <f>IFERROR(IF(AND(ISNUMBER(F138),ISNUMBER(H138)),F138-H138,""),"")</f>
        <v/>
      </c>
      <c r="J138" s="85" t="n"/>
      <c r="K138" s="119">
        <f>IFERROR(IF(H138&gt;0,H138*IF(OR(C138="Alpha",B138="Alpha"),$C$9,$C$8),""),"")</f>
        <v/>
      </c>
      <c r="L138" s="120">
        <f>IFERROR(IF(ISNUMBER(F138),F138-IF(ISNUMBER(K138),K138,0),""),"")</f>
        <v/>
      </c>
    </row>
    <row r="139" ht="24" customHeight="1" s="63">
      <c r="A139" s="88" t="n"/>
      <c r="B139" s="89" t="n"/>
      <c r="C139" s="90" t="n"/>
      <c r="D139" s="90" t="n"/>
      <c r="E139" s="121" t="n"/>
      <c r="F139" s="121" t="n"/>
      <c r="G139" s="122">
        <f>IFERROR(IF(E139&gt;0,(F139/E139)*1000,""),"")</f>
        <v/>
      </c>
      <c r="H139" s="123">
        <f>IFERROR(IF(E139&gt;0,E139*IF(ISNUMBER(J139),J139,IF(OR(C139="Alpha",B139="Alpha"),$C$7,IF(C139="Futures",$C$6,$C$5))),""),"")</f>
        <v/>
      </c>
      <c r="I139" s="124">
        <f>IFERROR(IF(AND(ISNUMBER(F139),ISNUMBER(H139)),F139-H139,""),"")</f>
        <v/>
      </c>
      <c r="J139" s="95" t="n"/>
      <c r="K139" s="125">
        <f>IFERROR(IF(H139&gt;0,H139*IF(OR(C139="Alpha",B139="Alpha"),$C$9,$C$8),""),"")</f>
        <v/>
      </c>
      <c r="L139" s="126">
        <f>IFERROR(IF(ISNUMBER(F139),F139-IF(ISNUMBER(K139),K139,0),""),"")</f>
        <v/>
      </c>
    </row>
    <row r="140" ht="24" customHeight="1" s="63">
      <c r="A140" s="78" t="n"/>
      <c r="B140" s="79" t="n"/>
      <c r="C140" s="80" t="n"/>
      <c r="D140" s="80" t="n"/>
      <c r="E140" s="115" t="n"/>
      <c r="F140" s="115" t="n"/>
      <c r="G140" s="116">
        <f>IFERROR(IF(E140&gt;0,(F140/E140)*1000,""),"")</f>
        <v/>
      </c>
      <c r="H140" s="117">
        <f>IFERROR(IF(E140&gt;0,E140*IF(ISNUMBER(J140),J140,IF(OR(C140="Alpha",B140="Alpha"),$C$7,IF(C140="Futures",$C$6,$C$5))),""),"")</f>
        <v/>
      </c>
      <c r="I140" s="118">
        <f>IFERROR(IF(AND(ISNUMBER(F140),ISNUMBER(H140)),F140-H140,""),"")</f>
        <v/>
      </c>
      <c r="J140" s="85" t="n"/>
      <c r="K140" s="119">
        <f>IFERROR(IF(H140&gt;0,H140*IF(OR(C140="Alpha",B140="Alpha"),$C$9,$C$8),""),"")</f>
        <v/>
      </c>
      <c r="L140" s="120">
        <f>IFERROR(IF(ISNUMBER(F140),F140-IF(ISNUMBER(K140),K140,0),""),"")</f>
        <v/>
      </c>
    </row>
    <row r="141" ht="24" customHeight="1" s="63">
      <c r="A141" s="88" t="n"/>
      <c r="B141" s="89" t="n"/>
      <c r="C141" s="90" t="n"/>
      <c r="D141" s="90" t="n"/>
      <c r="E141" s="121" t="n"/>
      <c r="F141" s="121" t="n"/>
      <c r="G141" s="122">
        <f>IFERROR(IF(E141&gt;0,(F141/E141)*1000,""),"")</f>
        <v/>
      </c>
      <c r="H141" s="123">
        <f>IFERROR(IF(E141&gt;0,E141*IF(ISNUMBER(J141),J141,IF(OR(C141="Alpha",B141="Alpha"),$C$7,IF(C141="Futures",$C$6,$C$5))),""),"")</f>
        <v/>
      </c>
      <c r="I141" s="124">
        <f>IFERROR(IF(AND(ISNUMBER(F141),ISNUMBER(H141)),F141-H141,""),"")</f>
        <v/>
      </c>
      <c r="J141" s="95" t="n"/>
      <c r="K141" s="125">
        <f>IFERROR(IF(H141&gt;0,H141*IF(OR(C141="Alpha",B141="Alpha"),$C$9,$C$8),""),"")</f>
        <v/>
      </c>
      <c r="L141" s="126">
        <f>IFERROR(IF(ISNUMBER(F141),F141-IF(ISNUMBER(K141),K141,0),""),"")</f>
        <v/>
      </c>
    </row>
    <row r="142" ht="24" customHeight="1" s="63">
      <c r="A142" s="78" t="n"/>
      <c r="B142" s="79" t="n"/>
      <c r="C142" s="80" t="n"/>
      <c r="D142" s="80" t="n"/>
      <c r="E142" s="115" t="n"/>
      <c r="F142" s="115" t="n"/>
      <c r="G142" s="116">
        <f>IFERROR(IF(E142&gt;0,(F142/E142)*1000,""),"")</f>
        <v/>
      </c>
      <c r="H142" s="117">
        <f>IFERROR(IF(E142&gt;0,E142*IF(ISNUMBER(J142),J142,IF(OR(C142="Alpha",B142="Alpha"),$C$7,IF(C142="Futures",$C$6,$C$5))),""),"")</f>
        <v/>
      </c>
      <c r="I142" s="118">
        <f>IFERROR(IF(AND(ISNUMBER(F142),ISNUMBER(H142)),F142-H142,""),"")</f>
        <v/>
      </c>
      <c r="J142" s="85" t="n"/>
      <c r="K142" s="119">
        <f>IFERROR(IF(H142&gt;0,H142*IF(OR(C142="Alpha",B142="Alpha"),$C$9,$C$8),""),"")</f>
        <v/>
      </c>
      <c r="L142" s="120">
        <f>IFERROR(IF(ISNUMBER(F142),F142-IF(ISNUMBER(K142),K142,0),""),"")</f>
        <v/>
      </c>
    </row>
    <row r="143" ht="24" customHeight="1" s="63">
      <c r="A143" s="88" t="n"/>
      <c r="B143" s="89" t="n"/>
      <c r="C143" s="90" t="n"/>
      <c r="D143" s="90" t="n"/>
      <c r="E143" s="121" t="n"/>
      <c r="F143" s="121" t="n"/>
      <c r="G143" s="122">
        <f>IFERROR(IF(E143&gt;0,(F143/E143)*1000,""),"")</f>
        <v/>
      </c>
      <c r="H143" s="123">
        <f>IFERROR(IF(E143&gt;0,E143*IF(ISNUMBER(J143),J143,IF(OR(C143="Alpha",B143="Alpha"),$C$7,IF(C143="Futures",$C$6,$C$5))),""),"")</f>
        <v/>
      </c>
      <c r="I143" s="124">
        <f>IFERROR(IF(AND(ISNUMBER(F143),ISNUMBER(H143)),F143-H143,""),"")</f>
        <v/>
      </c>
      <c r="J143" s="95" t="n"/>
      <c r="K143" s="125">
        <f>IFERROR(IF(H143&gt;0,H143*IF(OR(C143="Alpha",B143="Alpha"),$C$9,$C$8),""),"")</f>
        <v/>
      </c>
      <c r="L143" s="126">
        <f>IFERROR(IF(ISNUMBER(F143),F143-IF(ISNUMBER(K143),K143,0),""),"")</f>
        <v/>
      </c>
    </row>
    <row r="144" ht="24" customHeight="1" s="63">
      <c r="A144" s="78" t="n"/>
      <c r="B144" s="79" t="n"/>
      <c r="C144" s="80" t="n"/>
      <c r="D144" s="80" t="n"/>
      <c r="E144" s="115" t="n"/>
      <c r="F144" s="115" t="n"/>
      <c r="G144" s="116">
        <f>IFERROR(IF(E144&gt;0,(F144/E144)*1000,""),"")</f>
        <v/>
      </c>
      <c r="H144" s="117">
        <f>IFERROR(IF(E144&gt;0,E144*IF(ISNUMBER(J144),J144,IF(OR(C144="Alpha",B144="Alpha"),$C$7,IF(C144="Futures",$C$6,$C$5))),""),"")</f>
        <v/>
      </c>
      <c r="I144" s="118">
        <f>IFERROR(IF(AND(ISNUMBER(F144),ISNUMBER(H144)),F144-H144,""),"")</f>
        <v/>
      </c>
      <c r="J144" s="85" t="n"/>
      <c r="K144" s="119">
        <f>IFERROR(IF(H144&gt;0,H144*IF(OR(C144="Alpha",B144="Alpha"),$C$9,$C$8),""),"")</f>
        <v/>
      </c>
      <c r="L144" s="120">
        <f>IFERROR(IF(ISNUMBER(F144),F144-IF(ISNUMBER(K144),K144,0),""),"")</f>
        <v/>
      </c>
    </row>
    <row r="145" ht="24" customHeight="1" s="63">
      <c r="A145" s="88" t="n"/>
      <c r="B145" s="89" t="n"/>
      <c r="C145" s="90" t="n"/>
      <c r="D145" s="90" t="n"/>
      <c r="E145" s="121" t="n"/>
      <c r="F145" s="121" t="n"/>
      <c r="G145" s="122">
        <f>IFERROR(IF(E145&gt;0,(F145/E145)*1000,""),"")</f>
        <v/>
      </c>
      <c r="H145" s="123">
        <f>IFERROR(IF(E145&gt;0,E145*IF(ISNUMBER(J145),J145,IF(OR(C145="Alpha",B145="Alpha"),$C$7,IF(C145="Futures",$C$6,$C$5))),""),"")</f>
        <v/>
      </c>
      <c r="I145" s="124">
        <f>IFERROR(IF(AND(ISNUMBER(F145),ISNUMBER(H145)),F145-H145,""),"")</f>
        <v/>
      </c>
      <c r="J145" s="95" t="n"/>
      <c r="K145" s="125">
        <f>IFERROR(IF(H145&gt;0,H145*IF(OR(C145="Alpha",B145="Alpha"),$C$9,$C$8),""),"")</f>
        <v/>
      </c>
      <c r="L145" s="126">
        <f>IFERROR(IF(ISNUMBER(F145),F145-IF(ISNUMBER(K145),K145,0),""),"")</f>
        <v/>
      </c>
    </row>
    <row r="146" ht="24" customHeight="1" s="63">
      <c r="A146" s="78" t="n"/>
      <c r="B146" s="79" t="n"/>
      <c r="C146" s="80" t="n"/>
      <c r="D146" s="80" t="n"/>
      <c r="E146" s="115" t="n"/>
      <c r="F146" s="115" t="n"/>
      <c r="G146" s="116">
        <f>IFERROR(IF(E146&gt;0,(F146/E146)*1000,""),"")</f>
        <v/>
      </c>
      <c r="H146" s="117">
        <f>IFERROR(IF(E146&gt;0,E146*IF(ISNUMBER(J146),J146,IF(OR(C146="Alpha",B146="Alpha"),$C$7,IF(C146="Futures",$C$6,$C$5))),""),"")</f>
        <v/>
      </c>
      <c r="I146" s="118">
        <f>IFERROR(IF(AND(ISNUMBER(F146),ISNUMBER(H146)),F146-H146,""),"")</f>
        <v/>
      </c>
      <c r="J146" s="85" t="n"/>
      <c r="K146" s="119">
        <f>IFERROR(IF(H146&gt;0,H146*IF(OR(C146="Alpha",B146="Alpha"),$C$9,$C$8),""),"")</f>
        <v/>
      </c>
      <c r="L146" s="120">
        <f>IFERROR(IF(ISNUMBER(F146),F146-IF(ISNUMBER(K146),K146,0),""),"")</f>
        <v/>
      </c>
    </row>
    <row r="147" ht="24" customHeight="1" s="63">
      <c r="A147" s="88" t="n"/>
      <c r="B147" s="89" t="n"/>
      <c r="C147" s="90" t="n"/>
      <c r="D147" s="90" t="n"/>
      <c r="E147" s="121" t="n"/>
      <c r="F147" s="121" t="n"/>
      <c r="G147" s="122">
        <f>IFERROR(IF(E147&gt;0,(F147/E147)*1000,""),"")</f>
        <v/>
      </c>
      <c r="H147" s="123">
        <f>IFERROR(IF(E147&gt;0,E147*IF(ISNUMBER(J147),J147,IF(OR(C147="Alpha",B147="Alpha"),$C$7,IF(C147="Futures",$C$6,$C$5))),""),"")</f>
        <v/>
      </c>
      <c r="I147" s="124">
        <f>IFERROR(IF(AND(ISNUMBER(F147),ISNUMBER(H147)),F147-H147,""),"")</f>
        <v/>
      </c>
      <c r="J147" s="95" t="n"/>
      <c r="K147" s="125">
        <f>IFERROR(IF(H147&gt;0,H147*IF(OR(C147="Alpha",B147="Alpha"),$C$9,$C$8),""),"")</f>
        <v/>
      </c>
      <c r="L147" s="126">
        <f>IFERROR(IF(ISNUMBER(F147),F147-IF(ISNUMBER(K147),K147,0),""),"")</f>
        <v/>
      </c>
    </row>
    <row r="148" ht="24" customHeight="1" s="63">
      <c r="A148" s="78" t="n"/>
      <c r="B148" s="79" t="n"/>
      <c r="C148" s="80" t="n"/>
      <c r="D148" s="80" t="n"/>
      <c r="E148" s="115" t="n"/>
      <c r="F148" s="115" t="n"/>
      <c r="G148" s="116">
        <f>IFERROR(IF(E148&gt;0,(F148/E148)*1000,""),"")</f>
        <v/>
      </c>
      <c r="H148" s="117">
        <f>IFERROR(IF(E148&gt;0,E148*IF(ISNUMBER(J148),J148,IF(OR(C148="Alpha",B148="Alpha"),$C$7,IF(C148="Futures",$C$6,$C$5))),""),"")</f>
        <v/>
      </c>
      <c r="I148" s="118">
        <f>IFERROR(IF(AND(ISNUMBER(F148),ISNUMBER(H148)),F148-H148,""),"")</f>
        <v/>
      </c>
      <c r="J148" s="85" t="n"/>
      <c r="K148" s="119">
        <f>IFERROR(IF(H148&gt;0,H148*IF(OR(C148="Alpha",B148="Alpha"),$C$9,$C$8),""),"")</f>
        <v/>
      </c>
      <c r="L148" s="120">
        <f>IFERROR(IF(ISNUMBER(F148),F148-IF(ISNUMBER(K148),K148,0),""),"")</f>
        <v/>
      </c>
    </row>
    <row r="149" ht="24" customHeight="1" s="63">
      <c r="A149" s="88" t="n"/>
      <c r="B149" s="89" t="n"/>
      <c r="C149" s="90" t="n"/>
      <c r="D149" s="90" t="n"/>
      <c r="E149" s="121" t="n"/>
      <c r="F149" s="121" t="n"/>
      <c r="G149" s="122">
        <f>IFERROR(IF(E149&gt;0,(F149/E149)*1000,""),"")</f>
        <v/>
      </c>
      <c r="H149" s="123">
        <f>IFERROR(IF(E149&gt;0,E149*IF(ISNUMBER(J149),J149,IF(OR(C149="Alpha",B149="Alpha"),$C$7,IF(C149="Futures",$C$6,$C$5))),""),"")</f>
        <v/>
      </c>
      <c r="I149" s="124">
        <f>IFERROR(IF(AND(ISNUMBER(F149),ISNUMBER(H149)),F149-H149,""),"")</f>
        <v/>
      </c>
      <c r="J149" s="95" t="n"/>
      <c r="K149" s="125">
        <f>IFERROR(IF(H149&gt;0,H149*IF(OR(C149="Alpha",B149="Alpha"),$C$9,$C$8),""),"")</f>
        <v/>
      </c>
      <c r="L149" s="126">
        <f>IFERROR(IF(ISNUMBER(F149),F149-IF(ISNUMBER(K149),K149,0),""),"")</f>
        <v/>
      </c>
    </row>
    <row r="150" ht="24" customHeight="1" s="63">
      <c r="A150" s="78" t="n"/>
      <c r="B150" s="79" t="n"/>
      <c r="C150" s="80" t="n"/>
      <c r="D150" s="80" t="n"/>
      <c r="E150" s="115" t="n"/>
      <c r="F150" s="115" t="n"/>
      <c r="G150" s="116">
        <f>IFERROR(IF(E150&gt;0,(F150/E150)*1000,""),"")</f>
        <v/>
      </c>
      <c r="H150" s="117">
        <f>IFERROR(IF(E150&gt;0,E150*IF(ISNUMBER(J150),J150,IF(OR(C150="Alpha",B150="Alpha"),$C$7,IF(C150="Futures",$C$6,$C$5))),""),"")</f>
        <v/>
      </c>
      <c r="I150" s="118">
        <f>IFERROR(IF(AND(ISNUMBER(F150),ISNUMBER(H150)),F150-H150,""),"")</f>
        <v/>
      </c>
      <c r="J150" s="85" t="n"/>
      <c r="K150" s="119">
        <f>IFERROR(IF(H150&gt;0,H150*IF(OR(C150="Alpha",B150="Alpha"),$C$9,$C$8),""),"")</f>
        <v/>
      </c>
      <c r="L150" s="120">
        <f>IFERROR(IF(ISNUMBER(F150),F150-IF(ISNUMBER(K150),K150,0),""),"")</f>
        <v/>
      </c>
    </row>
    <row r="151" ht="24" customHeight="1" s="63">
      <c r="A151" s="88" t="n"/>
      <c r="B151" s="89" t="n"/>
      <c r="C151" s="90" t="n"/>
      <c r="D151" s="90" t="n"/>
      <c r="E151" s="121" t="n"/>
      <c r="F151" s="121" t="n"/>
      <c r="G151" s="122">
        <f>IFERROR(IF(E151&gt;0,(F151/E151)*1000,""),"")</f>
        <v/>
      </c>
      <c r="H151" s="123">
        <f>IFERROR(IF(E151&gt;0,E151*IF(ISNUMBER(J151),J151,IF(OR(C151="Alpha",B151="Alpha"),$C$7,IF(C151="Futures",$C$6,$C$5))),""),"")</f>
        <v/>
      </c>
      <c r="I151" s="124">
        <f>IFERROR(IF(AND(ISNUMBER(F151),ISNUMBER(H151)),F151-H151,""),"")</f>
        <v/>
      </c>
      <c r="J151" s="95" t="n"/>
      <c r="K151" s="125">
        <f>IFERROR(IF(H151&gt;0,H151*IF(OR(C151="Alpha",B151="Alpha"),$C$9,$C$8),""),"")</f>
        <v/>
      </c>
      <c r="L151" s="126">
        <f>IFERROR(IF(ISNUMBER(F151),F151-IF(ISNUMBER(K151),K151,0),""),"")</f>
        <v/>
      </c>
    </row>
    <row r="152" ht="24" customHeight="1" s="63">
      <c r="A152" s="78" t="n"/>
      <c r="B152" s="79" t="n"/>
      <c r="C152" s="80" t="n"/>
      <c r="D152" s="80" t="n"/>
      <c r="E152" s="115" t="n"/>
      <c r="F152" s="115" t="n"/>
      <c r="G152" s="116">
        <f>IFERROR(IF(E152&gt;0,(F152/E152)*1000,""),"")</f>
        <v/>
      </c>
      <c r="H152" s="117">
        <f>IFERROR(IF(E152&gt;0,E152*IF(ISNUMBER(J152),J152,IF(OR(C152="Alpha",B152="Alpha"),$C$7,IF(C152="Futures",$C$6,$C$5))),""),"")</f>
        <v/>
      </c>
      <c r="I152" s="118">
        <f>IFERROR(IF(AND(ISNUMBER(F152),ISNUMBER(H152)),F152-H152,""),"")</f>
        <v/>
      </c>
      <c r="J152" s="85" t="n"/>
      <c r="K152" s="119">
        <f>IFERROR(IF(H152&gt;0,H152*IF(OR(C152="Alpha",B152="Alpha"),$C$9,$C$8),""),"")</f>
        <v/>
      </c>
      <c r="L152" s="120">
        <f>IFERROR(IF(ISNUMBER(F152),F152-IF(ISNUMBER(K152),K152,0),""),"")</f>
        <v/>
      </c>
    </row>
    <row r="153" ht="24" customHeight="1" s="63">
      <c r="A153" s="88" t="n"/>
      <c r="B153" s="89" t="n"/>
      <c r="C153" s="90" t="n"/>
      <c r="D153" s="90" t="n"/>
      <c r="E153" s="121" t="n"/>
      <c r="F153" s="121" t="n"/>
      <c r="G153" s="122">
        <f>IFERROR(IF(E153&gt;0,(F153/E153)*1000,""),"")</f>
        <v/>
      </c>
      <c r="H153" s="123">
        <f>IFERROR(IF(E153&gt;0,E153*IF(ISNUMBER(J153),J153,IF(OR(C153="Alpha",B153="Alpha"),$C$7,IF(C153="Futures",$C$6,$C$5))),""),"")</f>
        <v/>
      </c>
      <c r="I153" s="124">
        <f>IFERROR(IF(AND(ISNUMBER(F153),ISNUMBER(H153)),F153-H153,""),"")</f>
        <v/>
      </c>
      <c r="J153" s="95" t="n"/>
      <c r="K153" s="125">
        <f>IFERROR(IF(H153&gt;0,H153*IF(OR(C153="Alpha",B153="Alpha"),$C$9,$C$8),""),"")</f>
        <v/>
      </c>
      <c r="L153" s="126">
        <f>IFERROR(IF(ISNUMBER(F153),F153-IF(ISNUMBER(K153),K153,0),""),"")</f>
        <v/>
      </c>
    </row>
    <row r="154" ht="24" customHeight="1" s="63">
      <c r="A154" s="78" t="n"/>
      <c r="B154" s="79" t="n"/>
      <c r="C154" s="80" t="n"/>
      <c r="D154" s="80" t="n"/>
      <c r="E154" s="115" t="n"/>
      <c r="F154" s="115" t="n"/>
      <c r="G154" s="116">
        <f>IFERROR(IF(E154&gt;0,(F154/E154)*1000,""),"")</f>
        <v/>
      </c>
      <c r="H154" s="117">
        <f>IFERROR(IF(E154&gt;0,E154*IF(ISNUMBER(J154),J154,IF(OR(C154="Alpha",B154="Alpha"),$C$7,IF(C154="Futures",$C$6,$C$5))),""),"")</f>
        <v/>
      </c>
      <c r="I154" s="118">
        <f>IFERROR(IF(AND(ISNUMBER(F154),ISNUMBER(H154)),F154-H154,""),"")</f>
        <v/>
      </c>
      <c r="J154" s="85" t="n"/>
      <c r="K154" s="119">
        <f>IFERROR(IF(H154&gt;0,H154*IF(OR(C154="Alpha",B154="Alpha"),$C$9,$C$8),""),"")</f>
        <v/>
      </c>
      <c r="L154" s="120">
        <f>IFERROR(IF(ISNUMBER(F154),F154-IF(ISNUMBER(K154),K154,0),""),"")</f>
        <v/>
      </c>
    </row>
    <row r="155" ht="24" customHeight="1" s="63">
      <c r="A155" s="88" t="n"/>
      <c r="B155" s="89" t="n"/>
      <c r="C155" s="90" t="n"/>
      <c r="D155" s="90" t="n"/>
      <c r="E155" s="121" t="n"/>
      <c r="F155" s="121" t="n"/>
      <c r="G155" s="122">
        <f>IFERROR(IF(E155&gt;0,(F155/E155)*1000,""),"")</f>
        <v/>
      </c>
      <c r="H155" s="123">
        <f>IFERROR(IF(E155&gt;0,E155*IF(ISNUMBER(J155),J155,IF(OR(C155="Alpha",B155="Alpha"),$C$7,IF(C155="Futures",$C$6,$C$5))),""),"")</f>
        <v/>
      </c>
      <c r="I155" s="124">
        <f>IFERROR(IF(AND(ISNUMBER(F155),ISNUMBER(H155)),F155-H155,""),"")</f>
        <v/>
      </c>
      <c r="J155" s="95" t="n"/>
      <c r="K155" s="125">
        <f>IFERROR(IF(H155&gt;0,H155*IF(OR(C155="Alpha",B155="Alpha"),$C$9,$C$8),""),"")</f>
        <v/>
      </c>
      <c r="L155" s="126">
        <f>IFERROR(IF(ISNUMBER(F155),F155-IF(ISNUMBER(K155),K155,0),""),"")</f>
        <v/>
      </c>
    </row>
    <row r="156" ht="24" customHeight="1" s="63">
      <c r="A156" s="78" t="n"/>
      <c r="B156" s="79" t="n"/>
      <c r="C156" s="80" t="n"/>
      <c r="D156" s="80" t="n"/>
      <c r="E156" s="115" t="n"/>
      <c r="F156" s="115" t="n"/>
      <c r="G156" s="116">
        <f>IFERROR(IF(E156&gt;0,(F156/E156)*1000,""),"")</f>
        <v/>
      </c>
      <c r="H156" s="117">
        <f>IFERROR(IF(E156&gt;0,E156*IF(ISNUMBER(J156),J156,IF(OR(C156="Alpha",B156="Alpha"),$C$7,IF(C156="Futures",$C$6,$C$5))),""),"")</f>
        <v/>
      </c>
      <c r="I156" s="118">
        <f>IFERROR(IF(AND(ISNUMBER(F156),ISNUMBER(H156)),F156-H156,""),"")</f>
        <v/>
      </c>
      <c r="J156" s="85" t="n"/>
      <c r="K156" s="119">
        <f>IFERROR(IF(H156&gt;0,H156*IF(OR(C156="Alpha",B156="Alpha"),$C$9,$C$8),""),"")</f>
        <v/>
      </c>
      <c r="L156" s="120">
        <f>IFERROR(IF(ISNUMBER(F156),F156-IF(ISNUMBER(K156),K156,0),""),"")</f>
        <v/>
      </c>
    </row>
    <row r="157" ht="24" customHeight="1" s="63">
      <c r="A157" s="88" t="n"/>
      <c r="B157" s="89" t="n"/>
      <c r="C157" s="90" t="n"/>
      <c r="D157" s="90" t="n"/>
      <c r="E157" s="121" t="n"/>
      <c r="F157" s="121" t="n"/>
      <c r="G157" s="122">
        <f>IFERROR(IF(E157&gt;0,(F157/E157)*1000,""),"")</f>
        <v/>
      </c>
      <c r="H157" s="123">
        <f>IFERROR(IF(E157&gt;0,E157*IF(ISNUMBER(J157),J157,IF(OR(C157="Alpha",B157="Alpha"),$C$7,IF(C157="Futures",$C$6,$C$5))),""),"")</f>
        <v/>
      </c>
      <c r="I157" s="124">
        <f>IFERROR(IF(AND(ISNUMBER(F157),ISNUMBER(H157)),F157-H157,""),"")</f>
        <v/>
      </c>
      <c r="J157" s="95" t="n"/>
      <c r="K157" s="125">
        <f>IFERROR(IF(H157&gt;0,H157*IF(OR(C157="Alpha",B157="Alpha"),$C$9,$C$8),""),"")</f>
        <v/>
      </c>
      <c r="L157" s="126">
        <f>IFERROR(IF(ISNUMBER(F157),F157-IF(ISNUMBER(K157),K157,0),""),"")</f>
        <v/>
      </c>
    </row>
    <row r="158" ht="24" customHeight="1" s="63">
      <c r="A158" s="78" t="n"/>
      <c r="B158" s="79" t="n"/>
      <c r="C158" s="80" t="n"/>
      <c r="D158" s="80" t="n"/>
      <c r="E158" s="115" t="n"/>
      <c r="F158" s="115" t="n"/>
      <c r="G158" s="116">
        <f>IFERROR(IF(E158&gt;0,(F158/E158)*1000,""),"")</f>
        <v/>
      </c>
      <c r="H158" s="117">
        <f>IFERROR(IF(E158&gt;0,E158*IF(ISNUMBER(J158),J158,IF(OR(C158="Alpha",B158="Alpha"),$C$7,IF(C158="Futures",$C$6,$C$5))),""),"")</f>
        <v/>
      </c>
      <c r="I158" s="118">
        <f>IFERROR(IF(AND(ISNUMBER(F158),ISNUMBER(H158)),F158-H158,""),"")</f>
        <v/>
      </c>
      <c r="J158" s="85" t="n"/>
      <c r="K158" s="119">
        <f>IFERROR(IF(H158&gt;0,H158*IF(OR(C158="Alpha",B158="Alpha"),$C$9,$C$8),""),"")</f>
        <v/>
      </c>
      <c r="L158" s="120">
        <f>IFERROR(IF(ISNUMBER(F158),F158-IF(ISNUMBER(K158),K158,0),""),"")</f>
        <v/>
      </c>
    </row>
    <row r="159" ht="24" customHeight="1" s="63">
      <c r="A159" s="88" t="n"/>
      <c r="B159" s="89" t="n"/>
      <c r="C159" s="90" t="n"/>
      <c r="D159" s="90" t="n"/>
      <c r="E159" s="121" t="n"/>
      <c r="F159" s="121" t="n"/>
      <c r="G159" s="122">
        <f>IFERROR(IF(E159&gt;0,(F159/E159)*1000,""),"")</f>
        <v/>
      </c>
      <c r="H159" s="123">
        <f>IFERROR(IF(E159&gt;0,E159*IF(ISNUMBER(J159),J159,IF(OR(C159="Alpha",B159="Alpha"),$C$7,IF(C159="Futures",$C$6,$C$5))),""),"")</f>
        <v/>
      </c>
      <c r="I159" s="124">
        <f>IFERROR(IF(AND(ISNUMBER(F159),ISNUMBER(H159)),F159-H159,""),"")</f>
        <v/>
      </c>
      <c r="J159" s="95" t="n"/>
      <c r="K159" s="125">
        <f>IFERROR(IF(H159&gt;0,H159*IF(OR(C159="Alpha",B159="Alpha"),$C$9,$C$8),""),"")</f>
        <v/>
      </c>
      <c r="L159" s="126">
        <f>IFERROR(IF(ISNUMBER(F159),F159-IF(ISNUMBER(K159),K159,0),""),"")</f>
        <v/>
      </c>
    </row>
    <row r="160" ht="24" customHeight="1" s="63">
      <c r="A160" s="78" t="n"/>
      <c r="B160" s="79" t="n"/>
      <c r="C160" s="80" t="n"/>
      <c r="D160" s="80" t="n"/>
      <c r="E160" s="115" t="n"/>
      <c r="F160" s="115" t="n"/>
      <c r="G160" s="116">
        <f>IFERROR(IF(E160&gt;0,(F160/E160)*1000,""),"")</f>
        <v/>
      </c>
      <c r="H160" s="117">
        <f>IFERROR(IF(E160&gt;0,E160*IF(ISNUMBER(J160),J160,IF(OR(C160="Alpha",B160="Alpha"),$C$7,IF(C160="Futures",$C$6,$C$5))),""),"")</f>
        <v/>
      </c>
      <c r="I160" s="118">
        <f>IFERROR(IF(AND(ISNUMBER(F160),ISNUMBER(H160)),F160-H160,""),"")</f>
        <v/>
      </c>
      <c r="J160" s="85" t="n"/>
      <c r="K160" s="119">
        <f>IFERROR(IF(H160&gt;0,H160*IF(OR(C160="Alpha",B160="Alpha"),$C$9,$C$8),""),"")</f>
        <v/>
      </c>
      <c r="L160" s="120">
        <f>IFERROR(IF(ISNUMBER(F160),F160-IF(ISNUMBER(K160),K160,0),""),"")</f>
        <v/>
      </c>
    </row>
    <row r="161" ht="24" customHeight="1" s="63">
      <c r="A161" s="88" t="n"/>
      <c r="B161" s="89" t="n"/>
      <c r="C161" s="90" t="n"/>
      <c r="D161" s="90" t="n"/>
      <c r="E161" s="121" t="n"/>
      <c r="F161" s="121" t="n"/>
      <c r="G161" s="122">
        <f>IFERROR(IF(E161&gt;0,(F161/E161)*1000,""),"")</f>
        <v/>
      </c>
      <c r="H161" s="123">
        <f>IFERROR(IF(E161&gt;0,E161*IF(ISNUMBER(J161),J161,IF(OR(C161="Alpha",B161="Alpha"),$C$7,IF(C161="Futures",$C$6,$C$5))),""),"")</f>
        <v/>
      </c>
      <c r="I161" s="124">
        <f>IFERROR(IF(AND(ISNUMBER(F161),ISNUMBER(H161)),F161-H161,""),"")</f>
        <v/>
      </c>
      <c r="J161" s="95" t="n"/>
      <c r="K161" s="125">
        <f>IFERROR(IF(H161&gt;0,H161*IF(OR(C161="Alpha",B161="Alpha"),$C$9,$C$8),""),"")</f>
        <v/>
      </c>
      <c r="L161" s="126">
        <f>IFERROR(IF(ISNUMBER(F161),F161-IF(ISNUMBER(K161),K161,0),""),"")</f>
        <v/>
      </c>
    </row>
    <row r="162" ht="24" customHeight="1" s="63">
      <c r="A162" s="78" t="n"/>
      <c r="B162" s="79" t="n"/>
      <c r="C162" s="80" t="n"/>
      <c r="D162" s="80" t="n"/>
      <c r="E162" s="115" t="n"/>
      <c r="F162" s="115" t="n"/>
      <c r="G162" s="116">
        <f>IFERROR(IF(E162&gt;0,(F162/E162)*1000,""),"")</f>
        <v/>
      </c>
      <c r="H162" s="117">
        <f>IFERROR(IF(E162&gt;0,E162*IF(ISNUMBER(J162),J162,IF(OR(C162="Alpha",B162="Alpha"),$C$7,IF(C162="Futures",$C$6,$C$5))),""),"")</f>
        <v/>
      </c>
      <c r="I162" s="118">
        <f>IFERROR(IF(AND(ISNUMBER(F162),ISNUMBER(H162)),F162-H162,""),"")</f>
        <v/>
      </c>
      <c r="J162" s="85" t="n"/>
      <c r="K162" s="119">
        <f>IFERROR(IF(H162&gt;0,H162*IF(OR(C162="Alpha",B162="Alpha"),$C$9,$C$8),""),"")</f>
        <v/>
      </c>
      <c r="L162" s="120">
        <f>IFERROR(IF(ISNUMBER(F162),F162-IF(ISNUMBER(K162),K162,0),""),"")</f>
        <v/>
      </c>
    </row>
    <row r="163" ht="24" customHeight="1" s="63">
      <c r="A163" s="88" t="n"/>
      <c r="B163" s="89" t="n"/>
      <c r="C163" s="90" t="n"/>
      <c r="D163" s="90" t="n"/>
      <c r="E163" s="121" t="n"/>
      <c r="F163" s="121" t="n"/>
      <c r="G163" s="122">
        <f>IFERROR(IF(E163&gt;0,(F163/E163)*1000,""),"")</f>
        <v/>
      </c>
      <c r="H163" s="123">
        <f>IFERROR(IF(E163&gt;0,E163*IF(ISNUMBER(J163),J163,IF(OR(C163="Alpha",B163="Alpha"),$C$7,IF(C163="Futures",$C$6,$C$5))),""),"")</f>
        <v/>
      </c>
      <c r="I163" s="124">
        <f>IFERROR(IF(AND(ISNUMBER(F163),ISNUMBER(H163)),F163-H163,""),"")</f>
        <v/>
      </c>
      <c r="J163" s="95" t="n"/>
      <c r="K163" s="125">
        <f>IFERROR(IF(H163&gt;0,H163*IF(OR(C163="Alpha",B163="Alpha"),$C$9,$C$8),""),"")</f>
        <v/>
      </c>
      <c r="L163" s="126">
        <f>IFERROR(IF(ISNUMBER(F163),F163-IF(ISNUMBER(K163),K163,0),""),"")</f>
        <v/>
      </c>
    </row>
    <row r="164" ht="24" customHeight="1" s="63">
      <c r="A164" s="78" t="n"/>
      <c r="B164" s="79" t="n"/>
      <c r="C164" s="80" t="n"/>
      <c r="D164" s="80" t="n"/>
      <c r="E164" s="115" t="n"/>
      <c r="F164" s="115" t="n"/>
      <c r="G164" s="116">
        <f>IFERROR(IF(E164&gt;0,(F164/E164)*1000,""),"")</f>
        <v/>
      </c>
      <c r="H164" s="117">
        <f>IFERROR(IF(E164&gt;0,E164*IF(ISNUMBER(J164),J164,IF(OR(C164="Alpha",B164="Alpha"),$C$7,IF(C164="Futures",$C$6,$C$5))),""),"")</f>
        <v/>
      </c>
      <c r="I164" s="118">
        <f>IFERROR(IF(AND(ISNUMBER(F164),ISNUMBER(H164)),F164-H164,""),"")</f>
        <v/>
      </c>
      <c r="J164" s="85" t="n"/>
      <c r="K164" s="119">
        <f>IFERROR(IF(H164&gt;0,H164*IF(OR(C164="Alpha",B164="Alpha"),$C$9,$C$8),""),"")</f>
        <v/>
      </c>
      <c r="L164" s="120">
        <f>IFERROR(IF(ISNUMBER(F164),F164-IF(ISNUMBER(K164),K164,0),""),"")</f>
        <v/>
      </c>
    </row>
    <row r="165" ht="24" customHeight="1" s="63">
      <c r="A165" s="88" t="n"/>
      <c r="B165" s="89" t="n"/>
      <c r="C165" s="90" t="n"/>
      <c r="D165" s="90" t="n"/>
      <c r="E165" s="121" t="n"/>
      <c r="F165" s="121" t="n"/>
      <c r="G165" s="122">
        <f>IFERROR(IF(E165&gt;0,(F165/E165)*1000,""),"")</f>
        <v/>
      </c>
      <c r="H165" s="123">
        <f>IFERROR(IF(E165&gt;0,E165*IF(ISNUMBER(J165),J165,IF(OR(C165="Alpha",B165="Alpha"),$C$7,IF(C165="Futures",$C$6,$C$5))),""),"")</f>
        <v/>
      </c>
      <c r="I165" s="124">
        <f>IFERROR(IF(AND(ISNUMBER(F165),ISNUMBER(H165)),F165-H165,""),"")</f>
        <v/>
      </c>
      <c r="J165" s="95" t="n"/>
      <c r="K165" s="125">
        <f>IFERROR(IF(H165&gt;0,H165*IF(OR(C165="Alpha",B165="Alpha"),$C$9,$C$8),""),"")</f>
        <v/>
      </c>
      <c r="L165" s="126">
        <f>IFERROR(IF(ISNUMBER(F165),F165-IF(ISNUMBER(K165),K165,0),""),"")</f>
        <v/>
      </c>
    </row>
    <row r="166" ht="24" customHeight="1" s="63">
      <c r="A166" s="78" t="n"/>
      <c r="B166" s="79" t="n"/>
      <c r="C166" s="80" t="n"/>
      <c r="D166" s="80" t="n"/>
      <c r="E166" s="115" t="n"/>
      <c r="F166" s="115" t="n"/>
      <c r="G166" s="116">
        <f>IFERROR(IF(E166&gt;0,(F166/E166)*1000,""),"")</f>
        <v/>
      </c>
      <c r="H166" s="117">
        <f>IFERROR(IF(E166&gt;0,E166*IF(ISNUMBER(J166),J166,IF(OR(C166="Alpha",B166="Alpha"),$C$7,IF(C166="Futures",$C$6,$C$5))),""),"")</f>
        <v/>
      </c>
      <c r="I166" s="118">
        <f>IFERROR(IF(AND(ISNUMBER(F166),ISNUMBER(H166)),F166-H166,""),"")</f>
        <v/>
      </c>
      <c r="J166" s="85" t="n"/>
      <c r="K166" s="119">
        <f>IFERROR(IF(H166&gt;0,H166*IF(OR(C166="Alpha",B166="Alpha"),$C$9,$C$8),""),"")</f>
        <v/>
      </c>
      <c r="L166" s="120">
        <f>IFERROR(IF(ISNUMBER(F166),F166-IF(ISNUMBER(K166),K166,0),""),"")</f>
        <v/>
      </c>
    </row>
    <row r="167" ht="24" customHeight="1" s="63">
      <c r="A167" s="88" t="n"/>
      <c r="B167" s="89" t="n"/>
      <c r="C167" s="90" t="n"/>
      <c r="D167" s="90" t="n"/>
      <c r="E167" s="121" t="n"/>
      <c r="F167" s="121" t="n"/>
      <c r="G167" s="122">
        <f>IFERROR(IF(E167&gt;0,(F167/E167)*1000,""),"")</f>
        <v/>
      </c>
      <c r="H167" s="123">
        <f>IFERROR(IF(E167&gt;0,E167*IF(ISNUMBER(J167),J167,IF(OR(C167="Alpha",B167="Alpha"),$C$7,IF(C167="Futures",$C$6,$C$5))),""),"")</f>
        <v/>
      </c>
      <c r="I167" s="124">
        <f>IFERROR(IF(AND(ISNUMBER(F167),ISNUMBER(H167)),F167-H167,""),"")</f>
        <v/>
      </c>
      <c r="J167" s="95" t="n"/>
      <c r="K167" s="125">
        <f>IFERROR(IF(H167&gt;0,H167*IF(OR(C167="Alpha",B167="Alpha"),$C$9,$C$8),""),"")</f>
        <v/>
      </c>
      <c r="L167" s="126">
        <f>IFERROR(IF(ISNUMBER(F167),F167-IF(ISNUMBER(K167),K167,0),""),"")</f>
        <v/>
      </c>
    </row>
    <row r="168" ht="24" customHeight="1" s="63">
      <c r="A168" s="78" t="n"/>
      <c r="B168" s="79" t="n"/>
      <c r="C168" s="80" t="n"/>
      <c r="D168" s="80" t="n"/>
      <c r="E168" s="115" t="n"/>
      <c r="F168" s="115" t="n"/>
      <c r="G168" s="116">
        <f>IFERROR(IF(E168&gt;0,(F168/E168)*1000,""),"")</f>
        <v/>
      </c>
      <c r="H168" s="117">
        <f>IFERROR(IF(E168&gt;0,E168*IF(ISNUMBER(J168),J168,IF(OR(C168="Alpha",B168="Alpha"),$C$7,IF(C168="Futures",$C$6,$C$5))),""),"")</f>
        <v/>
      </c>
      <c r="I168" s="118">
        <f>IFERROR(IF(AND(ISNUMBER(F168),ISNUMBER(H168)),F168-H168,""),"")</f>
        <v/>
      </c>
      <c r="J168" s="85" t="n"/>
      <c r="K168" s="119">
        <f>IFERROR(IF(H168&gt;0,H168*IF(OR(C168="Alpha",B168="Alpha"),$C$9,$C$8),""),"")</f>
        <v/>
      </c>
      <c r="L168" s="120">
        <f>IFERROR(IF(ISNUMBER(F168),F168-IF(ISNUMBER(K168),K168,0),""),"")</f>
        <v/>
      </c>
    </row>
    <row r="169" ht="24" customHeight="1" s="63">
      <c r="A169" s="88" t="n"/>
      <c r="B169" s="89" t="n"/>
      <c r="C169" s="90" t="n"/>
      <c r="D169" s="90" t="n"/>
      <c r="E169" s="121" t="n"/>
      <c r="F169" s="121" t="n"/>
      <c r="G169" s="122">
        <f>IFERROR(IF(E169&gt;0,(F169/E169)*1000,""),"")</f>
        <v/>
      </c>
      <c r="H169" s="123">
        <f>IFERROR(IF(E169&gt;0,E169*IF(ISNUMBER(J169),J169,IF(OR(C169="Alpha",B169="Alpha"),$C$7,IF(C169="Futures",$C$6,$C$5))),""),"")</f>
        <v/>
      </c>
      <c r="I169" s="124">
        <f>IFERROR(IF(AND(ISNUMBER(F169),ISNUMBER(H169)),F169-H169,""),"")</f>
        <v/>
      </c>
      <c r="J169" s="95" t="n"/>
      <c r="K169" s="125">
        <f>IFERROR(IF(H169&gt;0,H169*IF(OR(C169="Alpha",B169="Alpha"),$C$9,$C$8),""),"")</f>
        <v/>
      </c>
      <c r="L169" s="126">
        <f>IFERROR(IF(ISNUMBER(F169),F169-IF(ISNUMBER(K169),K169,0),""),"")</f>
        <v/>
      </c>
    </row>
    <row r="170" ht="24" customHeight="1" s="63">
      <c r="A170" s="78" t="n"/>
      <c r="B170" s="79" t="n"/>
      <c r="C170" s="80" t="n"/>
      <c r="D170" s="80" t="n"/>
      <c r="E170" s="115" t="n"/>
      <c r="F170" s="115" t="n"/>
      <c r="G170" s="116">
        <f>IFERROR(IF(E170&gt;0,(F170/E170)*1000,""),"")</f>
        <v/>
      </c>
      <c r="H170" s="117">
        <f>IFERROR(IF(E170&gt;0,E170*IF(ISNUMBER(J170),J170,IF(OR(C170="Alpha",B170="Alpha"),$C$7,IF(C170="Futures",$C$6,$C$5))),""),"")</f>
        <v/>
      </c>
      <c r="I170" s="118">
        <f>IFERROR(IF(AND(ISNUMBER(F170),ISNUMBER(H170)),F170-H170,""),"")</f>
        <v/>
      </c>
      <c r="J170" s="85" t="n"/>
      <c r="K170" s="119">
        <f>IFERROR(IF(H170&gt;0,H170*IF(OR(C170="Alpha",B170="Alpha"),$C$9,$C$8),""),"")</f>
        <v/>
      </c>
      <c r="L170" s="120">
        <f>IFERROR(IF(ISNUMBER(F170),F170-IF(ISNUMBER(K170),K170,0),""),"")</f>
        <v/>
      </c>
    </row>
    <row r="171" ht="24" customHeight="1" s="63">
      <c r="A171" s="88" t="n"/>
      <c r="B171" s="89" t="n"/>
      <c r="C171" s="90" t="n"/>
      <c r="D171" s="90" t="n"/>
      <c r="E171" s="121" t="n"/>
      <c r="F171" s="121" t="n"/>
      <c r="G171" s="122">
        <f>IFERROR(IF(E171&gt;0,(F171/E171)*1000,""),"")</f>
        <v/>
      </c>
      <c r="H171" s="123">
        <f>IFERROR(IF(E171&gt;0,E171*IF(ISNUMBER(J171),J171,IF(OR(C171="Alpha",B171="Alpha"),$C$7,IF(C171="Futures",$C$6,$C$5))),""),"")</f>
        <v/>
      </c>
      <c r="I171" s="124">
        <f>IFERROR(IF(AND(ISNUMBER(F171),ISNUMBER(H171)),F171-H171,""),"")</f>
        <v/>
      </c>
      <c r="J171" s="95" t="n"/>
      <c r="K171" s="125">
        <f>IFERROR(IF(H171&gt;0,H171*IF(OR(C171="Alpha",B171="Alpha"),$C$9,$C$8),""),"")</f>
        <v/>
      </c>
      <c r="L171" s="126">
        <f>IFERROR(IF(ISNUMBER(F171),F171-IF(ISNUMBER(K171),K171,0),""),"")</f>
        <v/>
      </c>
    </row>
    <row r="172" ht="24" customHeight="1" s="63">
      <c r="A172" s="78" t="n"/>
      <c r="B172" s="79" t="n"/>
      <c r="C172" s="80" t="n"/>
      <c r="D172" s="80" t="n"/>
      <c r="E172" s="115" t="n"/>
      <c r="F172" s="115" t="n"/>
      <c r="G172" s="116">
        <f>IFERROR(IF(E172&gt;0,(F172/E172)*1000,""),"")</f>
        <v/>
      </c>
      <c r="H172" s="117">
        <f>IFERROR(IF(E172&gt;0,E172*IF(ISNUMBER(J172),J172,IF(OR(C172="Alpha",B172="Alpha"),$C$7,IF(C172="Futures",$C$6,$C$5))),""),"")</f>
        <v/>
      </c>
      <c r="I172" s="118">
        <f>IFERROR(IF(AND(ISNUMBER(F172),ISNUMBER(H172)),F172-H172,""),"")</f>
        <v/>
      </c>
      <c r="J172" s="85" t="n"/>
      <c r="K172" s="119">
        <f>IFERROR(IF(H172&gt;0,H172*IF(OR(C172="Alpha",B172="Alpha"),$C$9,$C$8),""),"")</f>
        <v/>
      </c>
      <c r="L172" s="120">
        <f>IFERROR(IF(ISNUMBER(F172),F172-IF(ISNUMBER(K172),K172,0),""),"")</f>
        <v/>
      </c>
    </row>
    <row r="173" ht="24" customHeight="1" s="63">
      <c r="A173" s="88" t="n"/>
      <c r="B173" s="89" t="n"/>
      <c r="C173" s="90" t="n"/>
      <c r="D173" s="90" t="n"/>
      <c r="E173" s="121" t="n"/>
      <c r="F173" s="121" t="n"/>
      <c r="G173" s="122">
        <f>IFERROR(IF(E173&gt;0,(F173/E173)*1000,""),"")</f>
        <v/>
      </c>
      <c r="H173" s="123">
        <f>IFERROR(IF(E173&gt;0,E173*IF(ISNUMBER(J173),J173,IF(OR(C173="Alpha",B173="Alpha"),$C$7,IF(C173="Futures",$C$6,$C$5))),""),"")</f>
        <v/>
      </c>
      <c r="I173" s="124">
        <f>IFERROR(IF(AND(ISNUMBER(F173),ISNUMBER(H173)),F173-H173,""),"")</f>
        <v/>
      </c>
      <c r="J173" s="95" t="n"/>
      <c r="K173" s="125">
        <f>IFERROR(IF(H173&gt;0,H173*IF(OR(C173="Alpha",B173="Alpha"),$C$9,$C$8),""),"")</f>
        <v/>
      </c>
      <c r="L173" s="126">
        <f>IFERROR(IF(ISNUMBER(F173),F173-IF(ISNUMBER(K173),K173,0),""),"")</f>
        <v/>
      </c>
    </row>
    <row r="174" ht="24" customHeight="1" s="63">
      <c r="A174" s="78" t="n"/>
      <c r="B174" s="79" t="n"/>
      <c r="C174" s="80" t="n"/>
      <c r="D174" s="80" t="n"/>
      <c r="E174" s="115" t="n"/>
      <c r="F174" s="115" t="n"/>
      <c r="G174" s="116">
        <f>IFERROR(IF(E174&gt;0,(F174/E174)*1000,""),"")</f>
        <v/>
      </c>
      <c r="H174" s="117">
        <f>IFERROR(IF(E174&gt;0,E174*IF(ISNUMBER(J174),J174,IF(OR(C174="Alpha",B174="Alpha"),$C$7,IF(C174="Futures",$C$6,$C$5))),""),"")</f>
        <v/>
      </c>
      <c r="I174" s="118">
        <f>IFERROR(IF(AND(ISNUMBER(F174),ISNUMBER(H174)),F174-H174,""),"")</f>
        <v/>
      </c>
      <c r="J174" s="85" t="n"/>
      <c r="K174" s="119">
        <f>IFERROR(IF(H174&gt;0,H174*IF(OR(C174="Alpha",B174="Alpha"),$C$9,$C$8),""),"")</f>
        <v/>
      </c>
      <c r="L174" s="120">
        <f>IFERROR(IF(ISNUMBER(F174),F174-IF(ISNUMBER(K174),K174,0),""),"")</f>
        <v/>
      </c>
    </row>
    <row r="175" ht="24" customHeight="1" s="63">
      <c r="A175" s="88" t="n"/>
      <c r="B175" s="89" t="n"/>
      <c r="C175" s="90" t="n"/>
      <c r="D175" s="90" t="n"/>
      <c r="E175" s="121" t="n"/>
      <c r="F175" s="121" t="n"/>
      <c r="G175" s="122">
        <f>IFERROR(IF(E175&gt;0,(F175/E175)*1000,""),"")</f>
        <v/>
      </c>
      <c r="H175" s="123">
        <f>IFERROR(IF(E175&gt;0,E175*IF(ISNUMBER(J175),J175,IF(OR(C175="Alpha",B175="Alpha"),$C$7,IF(C175="Futures",$C$6,$C$5))),""),"")</f>
        <v/>
      </c>
      <c r="I175" s="124">
        <f>IFERROR(IF(AND(ISNUMBER(F175),ISNUMBER(H175)),F175-H175,""),"")</f>
        <v/>
      </c>
      <c r="J175" s="95" t="n"/>
      <c r="K175" s="125">
        <f>IFERROR(IF(H175&gt;0,H175*IF(OR(C175="Alpha",B175="Alpha"),$C$9,$C$8),""),"")</f>
        <v/>
      </c>
      <c r="L175" s="126">
        <f>IFERROR(IF(ISNUMBER(F175),F175-IF(ISNUMBER(K175),K175,0),""),"")</f>
        <v/>
      </c>
    </row>
    <row r="176" ht="24" customHeight="1" s="63">
      <c r="A176" s="78" t="n"/>
      <c r="B176" s="79" t="n"/>
      <c r="C176" s="80" t="n"/>
      <c r="D176" s="80" t="n"/>
      <c r="E176" s="115" t="n"/>
      <c r="F176" s="115" t="n"/>
      <c r="G176" s="116">
        <f>IFERROR(IF(E176&gt;0,(F176/E176)*1000,""),"")</f>
        <v/>
      </c>
      <c r="H176" s="117">
        <f>IFERROR(IF(E176&gt;0,E176*IF(ISNUMBER(J176),J176,IF(OR(C176="Alpha",B176="Alpha"),$C$7,IF(C176="Futures",$C$6,$C$5))),""),"")</f>
        <v/>
      </c>
      <c r="I176" s="118">
        <f>IFERROR(IF(AND(ISNUMBER(F176),ISNUMBER(H176)),F176-H176,""),"")</f>
        <v/>
      </c>
      <c r="J176" s="85" t="n"/>
      <c r="K176" s="119">
        <f>IFERROR(IF(H176&gt;0,H176*IF(OR(C176="Alpha",B176="Alpha"),$C$9,$C$8),""),"")</f>
        <v/>
      </c>
      <c r="L176" s="120">
        <f>IFERROR(IF(ISNUMBER(F176),F176-IF(ISNUMBER(K176),K176,0),""),"")</f>
        <v/>
      </c>
    </row>
    <row r="177" ht="24" customHeight="1" s="63">
      <c r="A177" s="88" t="n"/>
      <c r="B177" s="89" t="n"/>
      <c r="C177" s="90" t="n"/>
      <c r="D177" s="90" t="n"/>
      <c r="E177" s="121" t="n"/>
      <c r="F177" s="121" t="n"/>
      <c r="G177" s="122">
        <f>IFERROR(IF(E177&gt;0,(F177/E177)*1000,""),"")</f>
        <v/>
      </c>
      <c r="H177" s="123">
        <f>IFERROR(IF(E177&gt;0,E177*IF(ISNUMBER(J177),J177,IF(OR(C177="Alpha",B177="Alpha"),$C$7,IF(C177="Futures",$C$6,$C$5))),""),"")</f>
        <v/>
      </c>
      <c r="I177" s="124">
        <f>IFERROR(IF(AND(ISNUMBER(F177),ISNUMBER(H177)),F177-H177,""),"")</f>
        <v/>
      </c>
      <c r="J177" s="95" t="n"/>
      <c r="K177" s="125">
        <f>IFERROR(IF(H177&gt;0,H177*IF(OR(C177="Alpha",B177="Alpha"),$C$9,$C$8),""),"")</f>
        <v/>
      </c>
      <c r="L177" s="126">
        <f>IFERROR(IF(ISNUMBER(F177),F177-IF(ISNUMBER(K177),K177,0),""),"")</f>
        <v/>
      </c>
    </row>
    <row r="178" ht="24" customHeight="1" s="63">
      <c r="A178" s="78" t="n"/>
      <c r="B178" s="79" t="n"/>
      <c r="C178" s="80" t="n"/>
      <c r="D178" s="80" t="n"/>
      <c r="E178" s="115" t="n"/>
      <c r="F178" s="115" t="n"/>
      <c r="G178" s="116">
        <f>IFERROR(IF(E178&gt;0,(F178/E178)*1000,""),"")</f>
        <v/>
      </c>
      <c r="H178" s="117">
        <f>IFERROR(IF(E178&gt;0,E178*IF(ISNUMBER(J178),J178,IF(OR(C178="Alpha",B178="Alpha"),$C$7,IF(C178="Futures",$C$6,$C$5))),""),"")</f>
        <v/>
      </c>
      <c r="I178" s="118">
        <f>IFERROR(IF(AND(ISNUMBER(F178),ISNUMBER(H178)),F178-H178,""),"")</f>
        <v/>
      </c>
      <c r="J178" s="85" t="n"/>
      <c r="K178" s="119">
        <f>IFERROR(IF(H178&gt;0,H178*IF(OR(C178="Alpha",B178="Alpha"),$C$9,$C$8),""),"")</f>
        <v/>
      </c>
      <c r="L178" s="120">
        <f>IFERROR(IF(ISNUMBER(F178),F178-IF(ISNUMBER(K178),K178,0),""),"")</f>
        <v/>
      </c>
    </row>
    <row r="179" ht="24" customHeight="1" s="63">
      <c r="A179" s="88" t="n"/>
      <c r="B179" s="89" t="n"/>
      <c r="C179" s="90" t="n"/>
      <c r="D179" s="90" t="n"/>
      <c r="E179" s="121" t="n"/>
      <c r="F179" s="121" t="n"/>
      <c r="G179" s="122">
        <f>IFERROR(IF(E179&gt;0,(F179/E179)*1000,""),"")</f>
        <v/>
      </c>
      <c r="H179" s="123">
        <f>IFERROR(IF(E179&gt;0,E179*IF(ISNUMBER(J179),J179,IF(OR(C179="Alpha",B179="Alpha"),$C$7,IF(C179="Futures",$C$6,$C$5))),""),"")</f>
        <v/>
      </c>
      <c r="I179" s="124">
        <f>IFERROR(IF(AND(ISNUMBER(F179),ISNUMBER(H179)),F179-H179,""),"")</f>
        <v/>
      </c>
      <c r="J179" s="95" t="n"/>
      <c r="K179" s="125">
        <f>IFERROR(IF(H179&gt;0,H179*IF(OR(C179="Alpha",B179="Alpha"),$C$9,$C$8),""),"")</f>
        <v/>
      </c>
      <c r="L179" s="126">
        <f>IFERROR(IF(ISNUMBER(F179),F179-IF(ISNUMBER(K179),K179,0),""),"")</f>
        <v/>
      </c>
    </row>
    <row r="180" ht="24" customHeight="1" s="63">
      <c r="A180" s="78" t="n"/>
      <c r="B180" s="79" t="n"/>
      <c r="C180" s="80" t="n"/>
      <c r="D180" s="80" t="n"/>
      <c r="E180" s="115" t="n"/>
      <c r="F180" s="115" t="n"/>
      <c r="G180" s="116">
        <f>IFERROR(IF(E180&gt;0,(F180/E180)*1000,""),"")</f>
        <v/>
      </c>
      <c r="H180" s="117">
        <f>IFERROR(IF(E180&gt;0,E180*IF(ISNUMBER(J180),J180,IF(OR(C180="Alpha",B180="Alpha"),$C$7,IF(C180="Futures",$C$6,$C$5))),""),"")</f>
        <v/>
      </c>
      <c r="I180" s="118">
        <f>IFERROR(IF(AND(ISNUMBER(F180),ISNUMBER(H180)),F180-H180,""),"")</f>
        <v/>
      </c>
      <c r="J180" s="85" t="n"/>
      <c r="K180" s="119">
        <f>IFERROR(IF(H180&gt;0,H180*IF(OR(C180="Alpha",B180="Alpha"),$C$9,$C$8),""),"")</f>
        <v/>
      </c>
      <c r="L180" s="120">
        <f>IFERROR(IF(ISNUMBER(F180),F180-IF(ISNUMBER(K180),K180,0),""),"")</f>
        <v/>
      </c>
    </row>
    <row r="181" ht="24" customHeight="1" s="63">
      <c r="A181" s="88" t="n"/>
      <c r="B181" s="89" t="n"/>
      <c r="C181" s="90" t="n"/>
      <c r="D181" s="90" t="n"/>
      <c r="E181" s="121" t="n"/>
      <c r="F181" s="121" t="n"/>
      <c r="G181" s="122">
        <f>IFERROR(IF(E181&gt;0,(F181/E181)*1000,""),"")</f>
        <v/>
      </c>
      <c r="H181" s="123">
        <f>IFERROR(IF(E181&gt;0,E181*IF(ISNUMBER(J181),J181,IF(OR(C181="Alpha",B181="Alpha"),$C$7,IF(C181="Futures",$C$6,$C$5))),""),"")</f>
        <v/>
      </c>
      <c r="I181" s="124">
        <f>IFERROR(IF(AND(ISNUMBER(F181),ISNUMBER(H181)),F181-H181,""),"")</f>
        <v/>
      </c>
      <c r="J181" s="95" t="n"/>
      <c r="K181" s="125">
        <f>IFERROR(IF(H181&gt;0,H181*IF(OR(C181="Alpha",B181="Alpha"),$C$9,$C$8),""),"")</f>
        <v/>
      </c>
      <c r="L181" s="126">
        <f>IFERROR(IF(ISNUMBER(F181),F181-IF(ISNUMBER(K181),K181,0),""),"")</f>
        <v/>
      </c>
    </row>
    <row r="182" ht="24" customHeight="1" s="63">
      <c r="A182" s="78" t="n"/>
      <c r="B182" s="79" t="n"/>
      <c r="C182" s="80" t="n"/>
      <c r="D182" s="80" t="n"/>
      <c r="E182" s="115" t="n"/>
      <c r="F182" s="115" t="n"/>
      <c r="G182" s="116">
        <f>IFERROR(IF(E182&gt;0,(F182/E182)*1000,""),"")</f>
        <v/>
      </c>
      <c r="H182" s="117">
        <f>IFERROR(IF(E182&gt;0,E182*IF(ISNUMBER(J182),J182,IF(OR(C182="Alpha",B182="Alpha"),$C$7,IF(C182="Futures",$C$6,$C$5))),""),"")</f>
        <v/>
      </c>
      <c r="I182" s="118">
        <f>IFERROR(IF(AND(ISNUMBER(F182),ISNUMBER(H182)),F182-H182,""),"")</f>
        <v/>
      </c>
      <c r="J182" s="85" t="n"/>
      <c r="K182" s="119">
        <f>IFERROR(IF(H182&gt;0,H182*IF(OR(C182="Alpha",B182="Alpha"),$C$9,$C$8),""),"")</f>
        <v/>
      </c>
      <c r="L182" s="120">
        <f>IFERROR(IF(ISNUMBER(F182),F182-IF(ISNUMBER(K182),K182,0),""),"")</f>
        <v/>
      </c>
    </row>
    <row r="183" ht="24" customHeight="1" s="63">
      <c r="A183" s="88" t="n"/>
      <c r="B183" s="89" t="n"/>
      <c r="C183" s="90" t="n"/>
      <c r="D183" s="90" t="n"/>
      <c r="E183" s="121" t="n"/>
      <c r="F183" s="121" t="n"/>
      <c r="G183" s="122">
        <f>IFERROR(IF(E183&gt;0,(F183/E183)*1000,""),"")</f>
        <v/>
      </c>
      <c r="H183" s="123">
        <f>IFERROR(IF(E183&gt;0,E183*IF(ISNUMBER(J183),J183,IF(OR(C183="Alpha",B183="Alpha"),$C$7,IF(C183="Futures",$C$6,$C$5))),""),"")</f>
        <v/>
      </c>
      <c r="I183" s="124">
        <f>IFERROR(IF(AND(ISNUMBER(F183),ISNUMBER(H183)),F183-H183,""),"")</f>
        <v/>
      </c>
      <c r="J183" s="95" t="n"/>
      <c r="K183" s="125">
        <f>IFERROR(IF(H183&gt;0,H183*IF(OR(C183="Alpha",B183="Alpha"),$C$9,$C$8),""),"")</f>
        <v/>
      </c>
      <c r="L183" s="126">
        <f>IFERROR(IF(ISNUMBER(F183),F183-IF(ISNUMBER(K183),K183,0),""),"")</f>
        <v/>
      </c>
    </row>
    <row r="184" ht="24" customHeight="1" s="63">
      <c r="A184" s="78" t="n"/>
      <c r="B184" s="79" t="n"/>
      <c r="C184" s="80" t="n"/>
      <c r="D184" s="80" t="n"/>
      <c r="E184" s="115" t="n"/>
      <c r="F184" s="115" t="n"/>
      <c r="G184" s="116">
        <f>IFERROR(IF(E184&gt;0,(F184/E184)*1000,""),"")</f>
        <v/>
      </c>
      <c r="H184" s="117">
        <f>IFERROR(IF(E184&gt;0,E184*IF(ISNUMBER(J184),J184,IF(OR(C184="Alpha",B184="Alpha"),$C$7,IF(C184="Futures",$C$6,$C$5))),""),"")</f>
        <v/>
      </c>
      <c r="I184" s="118">
        <f>IFERROR(IF(AND(ISNUMBER(F184),ISNUMBER(H184)),F184-H184,""),"")</f>
        <v/>
      </c>
      <c r="J184" s="85" t="n"/>
      <c r="K184" s="119">
        <f>IFERROR(IF(H184&gt;0,H184*IF(OR(C184="Alpha",B184="Alpha"),$C$9,$C$8),""),"")</f>
        <v/>
      </c>
      <c r="L184" s="120">
        <f>IFERROR(IF(ISNUMBER(F184),F184-IF(ISNUMBER(K184),K184,0),""),"")</f>
        <v/>
      </c>
    </row>
    <row r="185" ht="24" customHeight="1" s="63">
      <c r="A185" s="88" t="n"/>
      <c r="B185" s="89" t="n"/>
      <c r="C185" s="90" t="n"/>
      <c r="D185" s="90" t="n"/>
      <c r="E185" s="121" t="n"/>
      <c r="F185" s="121" t="n"/>
      <c r="G185" s="122">
        <f>IFERROR(IF(E185&gt;0,(F185/E185)*1000,""),"")</f>
        <v/>
      </c>
      <c r="H185" s="123">
        <f>IFERROR(IF(E185&gt;0,E185*IF(ISNUMBER(J185),J185,IF(OR(C185="Alpha",B185="Alpha"),$C$7,IF(C185="Futures",$C$6,$C$5))),""),"")</f>
        <v/>
      </c>
      <c r="I185" s="124">
        <f>IFERROR(IF(AND(ISNUMBER(F185),ISNUMBER(H185)),F185-H185,""),"")</f>
        <v/>
      </c>
      <c r="J185" s="95" t="n"/>
      <c r="K185" s="125">
        <f>IFERROR(IF(H185&gt;0,H185*IF(OR(C185="Alpha",B185="Alpha"),$C$9,$C$8),""),"")</f>
        <v/>
      </c>
      <c r="L185" s="126">
        <f>IFERROR(IF(ISNUMBER(F185),F185-IF(ISNUMBER(K185),K185,0),""),"")</f>
        <v/>
      </c>
    </row>
    <row r="186" ht="24" customHeight="1" s="63">
      <c r="A186" s="78" t="n"/>
      <c r="B186" s="79" t="n"/>
      <c r="C186" s="80" t="n"/>
      <c r="D186" s="80" t="n"/>
      <c r="E186" s="115" t="n"/>
      <c r="F186" s="115" t="n"/>
      <c r="G186" s="116">
        <f>IFERROR(IF(E186&gt;0,(F186/E186)*1000,""),"")</f>
        <v/>
      </c>
      <c r="H186" s="117">
        <f>IFERROR(IF(E186&gt;0,E186*IF(ISNUMBER(J186),J186,IF(OR(C186="Alpha",B186="Alpha"),$C$7,IF(C186="Futures",$C$6,$C$5))),""),"")</f>
        <v/>
      </c>
      <c r="I186" s="118">
        <f>IFERROR(IF(AND(ISNUMBER(F186),ISNUMBER(H186)),F186-H186,""),"")</f>
        <v/>
      </c>
      <c r="J186" s="85" t="n"/>
      <c r="K186" s="119">
        <f>IFERROR(IF(H186&gt;0,H186*IF(OR(C186="Alpha",B186="Alpha"),$C$9,$C$8),""),"")</f>
        <v/>
      </c>
      <c r="L186" s="120">
        <f>IFERROR(IF(ISNUMBER(F186),F186-IF(ISNUMBER(K186),K186,0),""),"")</f>
        <v/>
      </c>
    </row>
    <row r="187" ht="24" customHeight="1" s="63">
      <c r="A187" s="88" t="n"/>
      <c r="B187" s="89" t="n"/>
      <c r="C187" s="90" t="n"/>
      <c r="D187" s="90" t="n"/>
      <c r="E187" s="121" t="n"/>
      <c r="F187" s="121" t="n"/>
      <c r="G187" s="122">
        <f>IFERROR(IF(E187&gt;0,(F187/E187)*1000,""),"")</f>
        <v/>
      </c>
      <c r="H187" s="123">
        <f>IFERROR(IF(E187&gt;0,E187*IF(ISNUMBER(J187),J187,IF(OR(C187="Alpha",B187="Alpha"),$C$7,IF(C187="Futures",$C$6,$C$5))),""),"")</f>
        <v/>
      </c>
      <c r="I187" s="124">
        <f>IFERROR(IF(AND(ISNUMBER(F187),ISNUMBER(H187)),F187-H187,""),"")</f>
        <v/>
      </c>
      <c r="J187" s="95" t="n"/>
      <c r="K187" s="125">
        <f>IFERROR(IF(H187&gt;0,H187*IF(OR(C187="Alpha",B187="Alpha"),$C$9,$C$8),""),"")</f>
        <v/>
      </c>
      <c r="L187" s="126">
        <f>IFERROR(IF(ISNUMBER(F187),F187-IF(ISNUMBER(K187),K187,0),""),"")</f>
        <v/>
      </c>
    </row>
    <row r="188" ht="24" customHeight="1" s="63">
      <c r="A188" s="78" t="n"/>
      <c r="B188" s="79" t="n"/>
      <c r="C188" s="80" t="n"/>
      <c r="D188" s="80" t="n"/>
      <c r="E188" s="115" t="n"/>
      <c r="F188" s="115" t="n"/>
      <c r="G188" s="116">
        <f>IFERROR(IF(E188&gt;0,(F188/E188)*1000,""),"")</f>
        <v/>
      </c>
      <c r="H188" s="117">
        <f>IFERROR(IF(E188&gt;0,E188*IF(ISNUMBER(J188),J188,IF(OR(C188="Alpha",B188="Alpha"),$C$7,IF(C188="Futures",$C$6,$C$5))),""),"")</f>
        <v/>
      </c>
      <c r="I188" s="118">
        <f>IFERROR(IF(AND(ISNUMBER(F188),ISNUMBER(H188)),F188-H188,""),"")</f>
        <v/>
      </c>
      <c r="J188" s="85" t="n"/>
      <c r="K188" s="119">
        <f>IFERROR(IF(H188&gt;0,H188*IF(OR(C188="Alpha",B188="Alpha"),$C$9,$C$8),""),"")</f>
        <v/>
      </c>
      <c r="L188" s="120">
        <f>IFERROR(IF(ISNUMBER(F188),F188-IF(ISNUMBER(K188),K188,0),""),"")</f>
        <v/>
      </c>
    </row>
    <row r="189" ht="24" customHeight="1" s="63">
      <c r="A189" s="88" t="n"/>
      <c r="B189" s="89" t="n"/>
      <c r="C189" s="90" t="n"/>
      <c r="D189" s="90" t="n"/>
      <c r="E189" s="121" t="n"/>
      <c r="F189" s="121" t="n"/>
      <c r="G189" s="122">
        <f>IFERROR(IF(E189&gt;0,(F189/E189)*1000,""),"")</f>
        <v/>
      </c>
      <c r="H189" s="123">
        <f>IFERROR(IF(E189&gt;0,E189*IF(ISNUMBER(J189),J189,IF(OR(C189="Alpha",B189="Alpha"),$C$7,IF(C189="Futures",$C$6,$C$5))),""),"")</f>
        <v/>
      </c>
      <c r="I189" s="124">
        <f>IFERROR(IF(AND(ISNUMBER(F189),ISNUMBER(H189)),F189-H189,""),"")</f>
        <v/>
      </c>
      <c r="J189" s="95" t="n"/>
      <c r="K189" s="125">
        <f>IFERROR(IF(H189&gt;0,H189*IF(OR(C189="Alpha",B189="Alpha"),$C$9,$C$8),""),"")</f>
        <v/>
      </c>
      <c r="L189" s="126">
        <f>IFERROR(IF(ISNUMBER(F189),F189-IF(ISNUMBER(K189),K189,0),""),"")</f>
        <v/>
      </c>
    </row>
    <row r="190" ht="24" customHeight="1" s="63">
      <c r="A190" s="78" t="n"/>
      <c r="B190" s="79" t="n"/>
      <c r="C190" s="80" t="n"/>
      <c r="D190" s="80" t="n"/>
      <c r="E190" s="115" t="n"/>
      <c r="F190" s="115" t="n"/>
      <c r="G190" s="116">
        <f>IFERROR(IF(E190&gt;0,(F190/E190)*1000,""),"")</f>
        <v/>
      </c>
      <c r="H190" s="117">
        <f>IFERROR(IF(E190&gt;0,E190*IF(ISNUMBER(J190),J190,IF(OR(C190="Alpha",B190="Alpha"),$C$7,IF(C190="Futures",$C$6,$C$5))),""),"")</f>
        <v/>
      </c>
      <c r="I190" s="118">
        <f>IFERROR(IF(AND(ISNUMBER(F190),ISNUMBER(H190)),F190-H190,""),"")</f>
        <v/>
      </c>
      <c r="J190" s="85" t="n"/>
      <c r="K190" s="119">
        <f>IFERROR(IF(H190&gt;0,H190*IF(OR(C190="Alpha",B190="Alpha"),$C$9,$C$8),""),"")</f>
        <v/>
      </c>
      <c r="L190" s="120">
        <f>IFERROR(IF(ISNUMBER(F190),F190-IF(ISNUMBER(K190),K190,0),""),"")</f>
        <v/>
      </c>
    </row>
    <row r="191" ht="24" customHeight="1" s="63">
      <c r="A191" s="88" t="n"/>
      <c r="B191" s="89" t="n"/>
      <c r="C191" s="90" t="n"/>
      <c r="D191" s="90" t="n"/>
      <c r="E191" s="121" t="n"/>
      <c r="F191" s="121" t="n"/>
      <c r="G191" s="122">
        <f>IFERROR(IF(E191&gt;0,(F191/E191)*1000,""),"")</f>
        <v/>
      </c>
      <c r="H191" s="123">
        <f>IFERROR(IF(E191&gt;0,E191*IF(ISNUMBER(J191),J191,IF(OR(C191="Alpha",B191="Alpha"),$C$7,IF(C191="Futures",$C$6,$C$5))),""),"")</f>
        <v/>
      </c>
      <c r="I191" s="124">
        <f>IFERROR(IF(AND(ISNUMBER(F191),ISNUMBER(H191)),F191-H191,""),"")</f>
        <v/>
      </c>
      <c r="J191" s="95" t="n"/>
      <c r="K191" s="125">
        <f>IFERROR(IF(H191&gt;0,H191*IF(OR(C191="Alpha",B191="Alpha"),$C$9,$C$8),""),"")</f>
        <v/>
      </c>
      <c r="L191" s="126">
        <f>IFERROR(IF(ISNUMBER(F191),F191-IF(ISNUMBER(K191),K191,0),""),"")</f>
        <v/>
      </c>
    </row>
    <row r="192" ht="24" customHeight="1" s="63">
      <c r="A192" s="78" t="n"/>
      <c r="B192" s="79" t="n"/>
      <c r="C192" s="80" t="n"/>
      <c r="D192" s="80" t="n"/>
      <c r="E192" s="115" t="n"/>
      <c r="F192" s="115" t="n"/>
      <c r="G192" s="116">
        <f>IFERROR(IF(E192&gt;0,(F192/E192)*1000,""),"")</f>
        <v/>
      </c>
      <c r="H192" s="117">
        <f>IFERROR(IF(E192&gt;0,E192*IF(ISNUMBER(J192),J192,IF(OR(C192="Alpha",B192="Alpha"),$C$7,IF(C192="Futures",$C$6,$C$5))),""),"")</f>
        <v/>
      </c>
      <c r="I192" s="118">
        <f>IFERROR(IF(AND(ISNUMBER(F192),ISNUMBER(H192)),F192-H192,""),"")</f>
        <v/>
      </c>
      <c r="J192" s="85" t="n"/>
      <c r="K192" s="119">
        <f>IFERROR(IF(H192&gt;0,H192*IF(OR(C192="Alpha",B192="Alpha"),$C$9,$C$8),""),"")</f>
        <v/>
      </c>
      <c r="L192" s="120">
        <f>IFERROR(IF(ISNUMBER(F192),F192-IF(ISNUMBER(K192),K192,0),""),"")</f>
        <v/>
      </c>
    </row>
    <row r="193" ht="24" customHeight="1" s="63">
      <c r="A193" s="88" t="n"/>
      <c r="B193" s="89" t="n"/>
      <c r="C193" s="90" t="n"/>
      <c r="D193" s="90" t="n"/>
      <c r="E193" s="121" t="n"/>
      <c r="F193" s="121" t="n"/>
      <c r="G193" s="122">
        <f>IFERROR(IF(E193&gt;0,(F193/E193)*1000,""),"")</f>
        <v/>
      </c>
      <c r="H193" s="123">
        <f>IFERROR(IF(E193&gt;0,E193*IF(ISNUMBER(J193),J193,IF(OR(C193="Alpha",B193="Alpha"),$C$7,IF(C193="Futures",$C$6,$C$5))),""),"")</f>
        <v/>
      </c>
      <c r="I193" s="124">
        <f>IFERROR(IF(AND(ISNUMBER(F193),ISNUMBER(H193)),F193-H193,""),"")</f>
        <v/>
      </c>
      <c r="J193" s="95" t="n"/>
      <c r="K193" s="125">
        <f>IFERROR(IF(H193&gt;0,H193*IF(OR(C193="Alpha",B193="Alpha"),$C$9,$C$8),""),"")</f>
        <v/>
      </c>
      <c r="L193" s="126">
        <f>IFERROR(IF(ISNUMBER(F193),F193-IF(ISNUMBER(K193),K193,0),""),"")</f>
        <v/>
      </c>
    </row>
    <row r="194" ht="24" customHeight="1" s="63">
      <c r="A194" s="78" t="n"/>
      <c r="B194" s="79" t="n"/>
      <c r="C194" s="80" t="n"/>
      <c r="D194" s="80" t="n"/>
      <c r="E194" s="115" t="n"/>
      <c r="F194" s="115" t="n"/>
      <c r="G194" s="116">
        <f>IFERROR(IF(E194&gt;0,(F194/E194)*1000,""),"")</f>
        <v/>
      </c>
      <c r="H194" s="117">
        <f>IFERROR(IF(E194&gt;0,E194*IF(ISNUMBER(J194),J194,IF(OR(C194="Alpha",B194="Alpha"),$C$7,IF(C194="Futures",$C$6,$C$5))),""),"")</f>
        <v/>
      </c>
      <c r="I194" s="118">
        <f>IFERROR(IF(AND(ISNUMBER(F194),ISNUMBER(H194)),F194-H194,""),"")</f>
        <v/>
      </c>
      <c r="J194" s="85" t="n"/>
      <c r="K194" s="119">
        <f>IFERROR(IF(H194&gt;0,H194*IF(OR(C194="Alpha",B194="Alpha"),$C$9,$C$8),""),"")</f>
        <v/>
      </c>
      <c r="L194" s="120">
        <f>IFERROR(IF(ISNUMBER(F194),F194-IF(ISNUMBER(K194),K194,0),""),"")</f>
        <v/>
      </c>
    </row>
    <row r="195" ht="24" customHeight="1" s="63">
      <c r="A195" s="88" t="n"/>
      <c r="B195" s="89" t="n"/>
      <c r="C195" s="90" t="n"/>
      <c r="D195" s="90" t="n"/>
      <c r="E195" s="121" t="n"/>
      <c r="F195" s="121" t="n"/>
      <c r="G195" s="122">
        <f>IFERROR(IF(E195&gt;0,(F195/E195)*1000,""),"")</f>
        <v/>
      </c>
      <c r="H195" s="123">
        <f>IFERROR(IF(E195&gt;0,E195*IF(ISNUMBER(J195),J195,IF(OR(C195="Alpha",B195="Alpha"),$C$7,IF(C195="Futures",$C$6,$C$5))),""),"")</f>
        <v/>
      </c>
      <c r="I195" s="124">
        <f>IFERROR(IF(AND(ISNUMBER(F195),ISNUMBER(H195)),F195-H195,""),"")</f>
        <v/>
      </c>
      <c r="J195" s="95" t="n"/>
      <c r="K195" s="125">
        <f>IFERROR(IF(H195&gt;0,H195*IF(OR(C195="Alpha",B195="Alpha"),$C$9,$C$8),""),"")</f>
        <v/>
      </c>
      <c r="L195" s="126">
        <f>IFERROR(IF(ISNUMBER(F195),F195-IF(ISNUMBER(K195),K195,0),""),"")</f>
        <v/>
      </c>
    </row>
    <row r="196" ht="24" customHeight="1" s="63">
      <c r="A196" s="78" t="n"/>
      <c r="B196" s="79" t="n"/>
      <c r="C196" s="80" t="n"/>
      <c r="D196" s="80" t="n"/>
      <c r="E196" s="115" t="n"/>
      <c r="F196" s="115" t="n"/>
      <c r="G196" s="116">
        <f>IFERROR(IF(E196&gt;0,(F196/E196)*1000,""),"")</f>
        <v/>
      </c>
      <c r="H196" s="117">
        <f>IFERROR(IF(E196&gt;0,E196*IF(ISNUMBER(J196),J196,IF(OR(C196="Alpha",B196="Alpha"),$C$7,IF(C196="Futures",$C$6,$C$5))),""),"")</f>
        <v/>
      </c>
      <c r="I196" s="118">
        <f>IFERROR(IF(AND(ISNUMBER(F196),ISNUMBER(H196)),F196-H196,""),"")</f>
        <v/>
      </c>
      <c r="J196" s="85" t="n"/>
      <c r="K196" s="119">
        <f>IFERROR(IF(H196&gt;0,H196*IF(OR(C196="Alpha",B196="Alpha"),$C$9,$C$8),""),"")</f>
        <v/>
      </c>
      <c r="L196" s="120">
        <f>IFERROR(IF(ISNUMBER(F196),F196-IF(ISNUMBER(K196),K196,0),""),"")</f>
        <v/>
      </c>
    </row>
    <row r="197" ht="24" customHeight="1" s="63">
      <c r="A197" s="88" t="n"/>
      <c r="B197" s="89" t="n"/>
      <c r="C197" s="90" t="n"/>
      <c r="D197" s="90" t="n"/>
      <c r="E197" s="121" t="n"/>
      <c r="F197" s="121" t="n"/>
      <c r="G197" s="122">
        <f>IFERROR(IF(E197&gt;0,(F197/E197)*1000,""),"")</f>
        <v/>
      </c>
      <c r="H197" s="123">
        <f>IFERROR(IF(E197&gt;0,E197*IF(ISNUMBER(J197),J197,IF(OR(C197="Alpha",B197="Alpha"),$C$7,IF(C197="Futures",$C$6,$C$5))),""),"")</f>
        <v/>
      </c>
      <c r="I197" s="124">
        <f>IFERROR(IF(AND(ISNUMBER(F197),ISNUMBER(H197)),F197-H197,""),"")</f>
        <v/>
      </c>
      <c r="J197" s="95" t="n"/>
      <c r="K197" s="125">
        <f>IFERROR(IF(H197&gt;0,H197*IF(OR(C197="Alpha",B197="Alpha"),$C$9,$C$8),""),"")</f>
        <v/>
      </c>
      <c r="L197" s="126">
        <f>IFERROR(IF(ISNUMBER(F197),F197-IF(ISNUMBER(K197),K197,0),""),"")</f>
        <v/>
      </c>
    </row>
    <row r="198" ht="24" customHeight="1" s="63">
      <c r="A198" s="78" t="n"/>
      <c r="B198" s="79" t="n"/>
      <c r="C198" s="80" t="n"/>
      <c r="D198" s="80" t="n"/>
      <c r="E198" s="115" t="n"/>
      <c r="F198" s="115" t="n"/>
      <c r="G198" s="116">
        <f>IFERROR(IF(E198&gt;0,(F198/E198)*1000,""),"")</f>
        <v/>
      </c>
      <c r="H198" s="117">
        <f>IFERROR(IF(E198&gt;0,E198*IF(ISNUMBER(J198),J198,IF(OR(C198="Alpha",B198="Alpha"),$C$7,IF(C198="Futures",$C$6,$C$5))),""),"")</f>
        <v/>
      </c>
      <c r="I198" s="118">
        <f>IFERROR(IF(AND(ISNUMBER(F198),ISNUMBER(H198)),F198-H198,""),"")</f>
        <v/>
      </c>
      <c r="J198" s="85" t="n"/>
      <c r="K198" s="119">
        <f>IFERROR(IF(H198&gt;0,H198*IF(OR(C198="Alpha",B198="Alpha"),$C$9,$C$8),""),"")</f>
        <v/>
      </c>
      <c r="L198" s="120">
        <f>IFERROR(IF(ISNUMBER(F198),F198-IF(ISNUMBER(K198),K198,0),""),"")</f>
        <v/>
      </c>
    </row>
    <row r="199" ht="24" customHeight="1" s="63">
      <c r="A199" s="88" t="n"/>
      <c r="B199" s="89" t="n"/>
      <c r="C199" s="90" t="n"/>
      <c r="D199" s="90" t="n"/>
      <c r="E199" s="121" t="n"/>
      <c r="F199" s="121" t="n"/>
      <c r="G199" s="122">
        <f>IFERROR(IF(E199&gt;0,(F199/E199)*1000,""),"")</f>
        <v/>
      </c>
      <c r="H199" s="123">
        <f>IFERROR(IF(E199&gt;0,E199*IF(ISNUMBER(J199),J199,IF(OR(C199="Alpha",B199="Alpha"),$C$7,IF(C199="Futures",$C$6,$C$5))),""),"")</f>
        <v/>
      </c>
      <c r="I199" s="124">
        <f>IFERROR(IF(AND(ISNUMBER(F199),ISNUMBER(H199)),F199-H199,""),"")</f>
        <v/>
      </c>
      <c r="J199" s="95" t="n"/>
      <c r="K199" s="125">
        <f>IFERROR(IF(H199&gt;0,H199*IF(OR(C199="Alpha",B199="Alpha"),$C$9,$C$8),""),"")</f>
        <v/>
      </c>
      <c r="L199" s="126">
        <f>IFERROR(IF(ISNUMBER(F199),F199-IF(ISNUMBER(K199),K199,0),""),"")</f>
        <v/>
      </c>
    </row>
    <row r="200" ht="24" customHeight="1" s="63">
      <c r="A200" s="78" t="n"/>
      <c r="B200" s="79" t="n"/>
      <c r="C200" s="80" t="n"/>
      <c r="D200" s="80" t="n"/>
      <c r="E200" s="115" t="n"/>
      <c r="F200" s="115" t="n"/>
      <c r="G200" s="116">
        <f>IFERROR(IF(E200&gt;0,(F200/E200)*1000,""),"")</f>
        <v/>
      </c>
      <c r="H200" s="117">
        <f>IFERROR(IF(E200&gt;0,E200*IF(ISNUMBER(J200),J200,IF(OR(C200="Alpha",B200="Alpha"),$C$7,IF(C200="Futures",$C$6,$C$5))),""),"")</f>
        <v/>
      </c>
      <c r="I200" s="118">
        <f>IFERROR(IF(AND(ISNUMBER(F200),ISNUMBER(H200)),F200-H200,""),"")</f>
        <v/>
      </c>
      <c r="J200" s="85" t="n"/>
      <c r="K200" s="119">
        <f>IFERROR(IF(H200&gt;0,H200*IF(OR(C200="Alpha",B200="Alpha"),$C$9,$C$8),""),"")</f>
        <v/>
      </c>
      <c r="L200" s="120">
        <f>IFERROR(IF(ISNUMBER(F200),F200-IF(ISNUMBER(K200),K200,0),""),"")</f>
        <v/>
      </c>
    </row>
    <row r="201" ht="24" customHeight="1" s="63">
      <c r="A201" s="88" t="n"/>
      <c r="B201" s="89" t="n"/>
      <c r="C201" s="90" t="n"/>
      <c r="D201" s="90" t="n"/>
      <c r="E201" s="121" t="n"/>
      <c r="F201" s="121" t="n"/>
      <c r="G201" s="122">
        <f>IFERROR(IF(E201&gt;0,(F201/E201)*1000,""),"")</f>
        <v/>
      </c>
      <c r="H201" s="123">
        <f>IFERROR(IF(E201&gt;0,E201*IF(ISNUMBER(J201),J201,IF(OR(C201="Alpha",B201="Alpha"),$C$7,IF(C201="Futures",$C$6,$C$5))),""),"")</f>
        <v/>
      </c>
      <c r="I201" s="124">
        <f>IFERROR(IF(AND(ISNUMBER(F201),ISNUMBER(H201)),F201-H201,""),"")</f>
        <v/>
      </c>
      <c r="J201" s="95" t="n"/>
      <c r="K201" s="125">
        <f>IFERROR(IF(H201&gt;0,H201*IF(OR(C201="Alpha",B201="Alpha"),$C$9,$C$8),""),"")</f>
        <v/>
      </c>
      <c r="L201" s="126">
        <f>IFERROR(IF(ISNUMBER(F201),F201-IF(ISNUMBER(K201),K201,0),""),"")</f>
        <v/>
      </c>
    </row>
    <row r="202" ht="24" customHeight="1" s="63">
      <c r="A202" s="78" t="n"/>
      <c r="B202" s="79" t="n"/>
      <c r="C202" s="80" t="n"/>
      <c r="D202" s="80" t="n"/>
      <c r="E202" s="115" t="n"/>
      <c r="F202" s="115" t="n"/>
      <c r="G202" s="116">
        <f>IFERROR(IF(E202&gt;0,(F202/E202)*1000,""),"")</f>
        <v/>
      </c>
      <c r="H202" s="117">
        <f>IFERROR(IF(E202&gt;0,E202*IF(ISNUMBER(J202),J202,IF(OR(C202="Alpha",B202="Alpha"),$C$7,IF(C202="Futures",$C$6,$C$5))),""),"")</f>
        <v/>
      </c>
      <c r="I202" s="118">
        <f>IFERROR(IF(AND(ISNUMBER(F202),ISNUMBER(H202)),F202-H202,""),"")</f>
        <v/>
      </c>
      <c r="J202" s="85" t="n"/>
      <c r="K202" s="119">
        <f>IFERROR(IF(H202&gt;0,H202*IF(OR(C202="Alpha",B202="Alpha"),$C$9,$C$8),""),"")</f>
        <v/>
      </c>
      <c r="L202" s="120">
        <f>IFERROR(IF(ISNUMBER(F202),F202-IF(ISNUMBER(K202),K202,0),""),"")</f>
        <v/>
      </c>
    </row>
    <row r="203" ht="24" customHeight="1" s="63">
      <c r="A203" s="88" t="n"/>
      <c r="B203" s="89" t="n"/>
      <c r="C203" s="90" t="n"/>
      <c r="D203" s="90" t="n"/>
      <c r="E203" s="121" t="n"/>
      <c r="F203" s="121" t="n"/>
      <c r="G203" s="122">
        <f>IFERROR(IF(E203&gt;0,(F203/E203)*1000,""),"")</f>
        <v/>
      </c>
      <c r="H203" s="123">
        <f>IFERROR(IF(E203&gt;0,E203*IF(ISNUMBER(J203),J203,IF(OR(C203="Alpha",B203="Alpha"),$C$7,IF(C203="Futures",$C$6,$C$5))),""),"")</f>
        <v/>
      </c>
      <c r="I203" s="124">
        <f>IFERROR(IF(AND(ISNUMBER(F203),ISNUMBER(H203)),F203-H203,""),"")</f>
        <v/>
      </c>
      <c r="J203" s="95" t="n"/>
      <c r="K203" s="125">
        <f>IFERROR(IF(H203&gt;0,H203*IF(OR(C203="Alpha",B203="Alpha"),$C$9,$C$8),""),"")</f>
        <v/>
      </c>
      <c r="L203" s="126">
        <f>IFERROR(IF(ISNUMBER(F203),F203-IF(ISNUMBER(K203),K203,0),""),"")</f>
        <v/>
      </c>
    </row>
    <row r="204" ht="24" customHeight="1" s="63">
      <c r="A204" s="78" t="n"/>
      <c r="B204" s="79" t="n"/>
      <c r="C204" s="80" t="n"/>
      <c r="D204" s="80" t="n"/>
      <c r="E204" s="115" t="n"/>
      <c r="F204" s="115" t="n"/>
      <c r="G204" s="116">
        <f>IFERROR(IF(E204&gt;0,(F204/E204)*1000,""),"")</f>
        <v/>
      </c>
      <c r="H204" s="117">
        <f>IFERROR(IF(E204&gt;0,E204*IF(ISNUMBER(J204),J204,IF(OR(C204="Alpha",B204="Alpha"),$C$7,IF(C204="Futures",$C$6,$C$5))),""),"")</f>
        <v/>
      </c>
      <c r="I204" s="118">
        <f>IFERROR(IF(AND(ISNUMBER(F204),ISNUMBER(H204)),F204-H204,""),"")</f>
        <v/>
      </c>
      <c r="J204" s="85" t="n"/>
      <c r="K204" s="119">
        <f>IFERROR(IF(H204&gt;0,H204*IF(OR(C204="Alpha",B204="Alpha"),$C$9,$C$8),""),"")</f>
        <v/>
      </c>
      <c r="L204" s="120">
        <f>IFERROR(IF(ISNUMBER(F204),F204-IF(ISNUMBER(K204),K204,0),""),"")</f>
        <v/>
      </c>
    </row>
    <row r="205" ht="24" customHeight="1" s="63">
      <c r="A205" s="88" t="n"/>
      <c r="B205" s="89" t="n"/>
      <c r="C205" s="90" t="n"/>
      <c r="D205" s="90" t="n"/>
      <c r="E205" s="121" t="n"/>
      <c r="F205" s="121" t="n"/>
      <c r="G205" s="122">
        <f>IFERROR(IF(E205&gt;0,(F205/E205)*1000,""),"")</f>
        <v/>
      </c>
      <c r="H205" s="123">
        <f>IFERROR(IF(E205&gt;0,E205*IF(ISNUMBER(J205),J205,IF(OR(C205="Alpha",B205="Alpha"),$C$7,IF(C205="Futures",$C$6,$C$5))),""),"")</f>
        <v/>
      </c>
      <c r="I205" s="124">
        <f>IFERROR(IF(AND(ISNUMBER(F205),ISNUMBER(H205)),F205-H205,""),"")</f>
        <v/>
      </c>
      <c r="J205" s="95" t="n"/>
      <c r="K205" s="125">
        <f>IFERROR(IF(H205&gt;0,H205*IF(OR(C205="Alpha",B205="Alpha"),$C$9,$C$8),""),"")</f>
        <v/>
      </c>
      <c r="L205" s="126">
        <f>IFERROR(IF(ISNUMBER(F205),F205-IF(ISNUMBER(K205),K205,0),""),"")</f>
        <v/>
      </c>
    </row>
    <row r="206" ht="24" customHeight="1" s="63">
      <c r="A206" s="78" t="n"/>
      <c r="B206" s="79" t="n"/>
      <c r="C206" s="80" t="n"/>
      <c r="D206" s="80" t="n"/>
      <c r="E206" s="115" t="n"/>
      <c r="F206" s="115" t="n"/>
      <c r="G206" s="116">
        <f>IFERROR(IF(E206&gt;0,(F206/E206)*1000,""),"")</f>
        <v/>
      </c>
      <c r="H206" s="117">
        <f>IFERROR(IF(E206&gt;0,E206*IF(ISNUMBER(J206),J206,IF(OR(C206="Alpha",B206="Alpha"),$C$7,IF(C206="Futures",$C$6,$C$5))),""),"")</f>
        <v/>
      </c>
      <c r="I206" s="118">
        <f>IFERROR(IF(AND(ISNUMBER(F206),ISNUMBER(H206)),F206-H206,""),"")</f>
        <v/>
      </c>
      <c r="J206" s="85" t="n"/>
      <c r="K206" s="119">
        <f>IFERROR(IF(H206&gt;0,H206*IF(OR(C206="Alpha",B206="Alpha"),$C$9,$C$8),""),"")</f>
        <v/>
      </c>
      <c r="L206" s="120">
        <f>IFERROR(IF(ISNUMBER(F206),F206-IF(ISNUMBER(K206),K206,0),""),"")</f>
        <v/>
      </c>
    </row>
    <row r="207" ht="24" customHeight="1" s="63">
      <c r="A207" s="88" t="n"/>
      <c r="B207" s="89" t="n"/>
      <c r="C207" s="90" t="n"/>
      <c r="D207" s="90" t="n"/>
      <c r="E207" s="121" t="n"/>
      <c r="F207" s="121" t="n"/>
      <c r="G207" s="122">
        <f>IFERROR(IF(E207&gt;0,(F207/E207)*1000,""),"")</f>
        <v/>
      </c>
      <c r="H207" s="123">
        <f>IFERROR(IF(E207&gt;0,E207*IF(ISNUMBER(J207),J207,IF(OR(C207="Alpha",B207="Alpha"),$C$7,IF(C207="Futures",$C$6,$C$5))),""),"")</f>
        <v/>
      </c>
      <c r="I207" s="124">
        <f>IFERROR(IF(AND(ISNUMBER(F207),ISNUMBER(H207)),F207-H207,""),"")</f>
        <v/>
      </c>
      <c r="J207" s="95" t="n"/>
      <c r="K207" s="125">
        <f>IFERROR(IF(H207&gt;0,H207*IF(OR(C207="Alpha",B207="Alpha"),$C$9,$C$8),""),"")</f>
        <v/>
      </c>
      <c r="L207" s="126">
        <f>IFERROR(IF(ISNUMBER(F207),F207-IF(ISNUMBER(K207),K207,0),""),"")</f>
        <v/>
      </c>
    </row>
    <row r="208" ht="24" customHeight="1" s="63">
      <c r="A208" s="78" t="n"/>
      <c r="B208" s="79" t="n"/>
      <c r="C208" s="80" t="n"/>
      <c r="D208" s="80" t="n"/>
      <c r="E208" s="115" t="n"/>
      <c r="F208" s="115" t="n"/>
      <c r="G208" s="116">
        <f>IFERROR(IF(E208&gt;0,(F208/E208)*1000,""),"")</f>
        <v/>
      </c>
      <c r="H208" s="117">
        <f>IFERROR(IF(E208&gt;0,E208*IF(ISNUMBER(J208),J208,IF(OR(C208="Alpha",B208="Alpha"),$C$7,IF(C208="Futures",$C$6,$C$5))),""),"")</f>
        <v/>
      </c>
      <c r="I208" s="118">
        <f>IFERROR(IF(AND(ISNUMBER(F208),ISNUMBER(H208)),F208-H208,""),"")</f>
        <v/>
      </c>
      <c r="J208" s="85" t="n"/>
      <c r="K208" s="119">
        <f>IFERROR(IF(H208&gt;0,H208*IF(OR(C208="Alpha",B208="Alpha"),$C$9,$C$8),""),"")</f>
        <v/>
      </c>
      <c r="L208" s="120">
        <f>IFERROR(IF(ISNUMBER(F208),F208-IF(ISNUMBER(K208),K208,0),""),"")</f>
        <v/>
      </c>
    </row>
    <row r="209" ht="24" customHeight="1" s="63">
      <c r="A209" s="88" t="n"/>
      <c r="B209" s="89" t="n"/>
      <c r="C209" s="90" t="n"/>
      <c r="D209" s="90" t="n"/>
      <c r="E209" s="121" t="n"/>
      <c r="F209" s="121" t="n"/>
      <c r="G209" s="122">
        <f>IFERROR(IF(E209&gt;0,(F209/E209)*1000,""),"")</f>
        <v/>
      </c>
      <c r="H209" s="123">
        <f>IFERROR(IF(E209&gt;0,E209*IF(ISNUMBER(J209),J209,IF(OR(C209="Alpha",B209="Alpha"),$C$7,IF(C209="Futures",$C$6,$C$5))),""),"")</f>
        <v/>
      </c>
      <c r="I209" s="124">
        <f>IFERROR(IF(AND(ISNUMBER(F209),ISNUMBER(H209)),F209-H209,""),"")</f>
        <v/>
      </c>
      <c r="J209" s="95" t="n"/>
      <c r="K209" s="125">
        <f>IFERROR(IF(H209&gt;0,H209*IF(OR(C209="Alpha",B209="Alpha"),$C$9,$C$8),""),"")</f>
        <v/>
      </c>
      <c r="L209" s="126">
        <f>IFERROR(IF(ISNUMBER(F209),F209-IF(ISNUMBER(K209),K209,0),""),"")</f>
        <v/>
      </c>
    </row>
    <row r="210" ht="24" customHeight="1" s="63">
      <c r="A210" s="78" t="n"/>
      <c r="B210" s="79" t="n"/>
      <c r="C210" s="80" t="n"/>
      <c r="D210" s="80" t="n"/>
      <c r="E210" s="115" t="n"/>
      <c r="F210" s="115" t="n"/>
      <c r="G210" s="116">
        <f>IFERROR(IF(E210&gt;0,(F210/E210)*1000,""),"")</f>
        <v/>
      </c>
      <c r="H210" s="117">
        <f>IFERROR(IF(E210&gt;0,E210*IF(ISNUMBER(J210),J210,IF(OR(C210="Alpha",B210="Alpha"),$C$7,IF(C210="Futures",$C$6,$C$5))),""),"")</f>
        <v/>
      </c>
      <c r="I210" s="118">
        <f>IFERROR(IF(AND(ISNUMBER(F210),ISNUMBER(H210)),F210-H210,""),"")</f>
        <v/>
      </c>
      <c r="J210" s="85" t="n"/>
      <c r="K210" s="119">
        <f>IFERROR(IF(H210&gt;0,H210*IF(OR(C210="Alpha",B210="Alpha"),$C$9,$C$8),""),"")</f>
        <v/>
      </c>
      <c r="L210" s="120">
        <f>IFERROR(IF(ISNUMBER(F210),F210-IF(ISNUMBER(K210),K210,0),""),"")</f>
        <v/>
      </c>
    </row>
    <row r="211" ht="24" customHeight="1" s="63">
      <c r="A211" s="88" t="n"/>
      <c r="B211" s="89" t="n"/>
      <c r="C211" s="90" t="n"/>
      <c r="D211" s="90" t="n"/>
      <c r="E211" s="121" t="n"/>
      <c r="F211" s="121" t="n"/>
      <c r="G211" s="122">
        <f>IFERROR(IF(E211&gt;0,(F211/E211)*1000,""),"")</f>
        <v/>
      </c>
      <c r="H211" s="123">
        <f>IFERROR(IF(E211&gt;0,E211*IF(ISNUMBER(J211),J211,IF(OR(C211="Alpha",B211="Alpha"),$C$7,IF(C211="Futures",$C$6,$C$5))),""),"")</f>
        <v/>
      </c>
      <c r="I211" s="124">
        <f>IFERROR(IF(AND(ISNUMBER(F211),ISNUMBER(H211)),F211-H211,""),"")</f>
        <v/>
      </c>
      <c r="J211" s="95" t="n"/>
      <c r="K211" s="125">
        <f>IFERROR(IF(H211&gt;0,H211*IF(OR(C211="Alpha",B211="Alpha"),$C$9,$C$8),""),"")</f>
        <v/>
      </c>
      <c r="L211" s="126">
        <f>IFERROR(IF(ISNUMBER(F211),F211-IF(ISNUMBER(K211),K211,0),""),"")</f>
        <v/>
      </c>
    </row>
    <row r="212" ht="24" customHeight="1" s="63">
      <c r="A212" s="78" t="n"/>
      <c r="B212" s="79" t="n"/>
      <c r="C212" s="80" t="n"/>
      <c r="D212" s="80" t="n"/>
      <c r="E212" s="115" t="n"/>
      <c r="F212" s="115" t="n"/>
      <c r="G212" s="116">
        <f>IFERROR(IF(E212&gt;0,(F212/E212)*1000,""),"")</f>
        <v/>
      </c>
      <c r="H212" s="117">
        <f>IFERROR(IF(E212&gt;0,E212*IF(ISNUMBER(J212),J212,IF(OR(C212="Alpha",B212="Alpha"),$C$7,IF(C212="Futures",$C$6,$C$5))),""),"")</f>
        <v/>
      </c>
      <c r="I212" s="118">
        <f>IFERROR(IF(AND(ISNUMBER(F212),ISNUMBER(H212)),F212-H212,""),"")</f>
        <v/>
      </c>
      <c r="J212" s="85" t="n"/>
      <c r="K212" s="119">
        <f>IFERROR(IF(H212&gt;0,H212*IF(OR(C212="Alpha",B212="Alpha"),$C$9,$C$8),""),"")</f>
        <v/>
      </c>
      <c r="L212" s="120">
        <f>IFERROR(IF(ISNUMBER(F212),F212-IF(ISNUMBER(K212),K212,0),""),"")</f>
        <v/>
      </c>
    </row>
    <row r="213" ht="24" customHeight="1" s="63">
      <c r="A213" s="88" t="n"/>
      <c r="B213" s="89" t="n"/>
      <c r="C213" s="90" t="n"/>
      <c r="D213" s="90" t="n"/>
      <c r="E213" s="121" t="n"/>
      <c r="F213" s="121" t="n"/>
      <c r="G213" s="122">
        <f>IFERROR(IF(E213&gt;0,(F213/E213)*1000,""),"")</f>
        <v/>
      </c>
      <c r="H213" s="123">
        <f>IFERROR(IF(E213&gt;0,E213*IF(ISNUMBER(J213),J213,IF(OR(C213="Alpha",B213="Alpha"),$C$7,IF(C213="Futures",$C$6,$C$5))),""),"")</f>
        <v/>
      </c>
      <c r="I213" s="124">
        <f>IFERROR(IF(AND(ISNUMBER(F213),ISNUMBER(H213)),F213-H213,""),"")</f>
        <v/>
      </c>
      <c r="J213" s="95" t="n"/>
      <c r="K213" s="125">
        <f>IFERROR(IF(H213&gt;0,H213*IF(OR(C213="Alpha",B213="Alpha"),$C$9,$C$8),""),"")</f>
        <v/>
      </c>
      <c r="L213" s="126">
        <f>IFERROR(IF(ISNUMBER(F213),F213-IF(ISNUMBER(K213),K213,0),""),"")</f>
        <v/>
      </c>
    </row>
    <row r="214" ht="24" customHeight="1" s="63">
      <c r="A214" s="78" t="n"/>
      <c r="B214" s="79" t="n"/>
      <c r="C214" s="80" t="n"/>
      <c r="D214" s="80" t="n"/>
      <c r="E214" s="115" t="n"/>
      <c r="F214" s="115" t="n"/>
      <c r="G214" s="116">
        <f>IFERROR(IF(E214&gt;0,(F214/E214)*1000,""),"")</f>
        <v/>
      </c>
      <c r="H214" s="117">
        <f>IFERROR(IF(E214&gt;0,E214*IF(ISNUMBER(J214),J214,IF(OR(C214="Alpha",B214="Alpha"),$C$7,IF(C214="Futures",$C$6,$C$5))),""),"")</f>
        <v/>
      </c>
      <c r="I214" s="118">
        <f>IFERROR(IF(AND(ISNUMBER(F214),ISNUMBER(H214)),F214-H214,""),"")</f>
        <v/>
      </c>
      <c r="J214" s="85" t="n"/>
      <c r="K214" s="119">
        <f>IFERROR(IF(H214&gt;0,H214*IF(OR(C214="Alpha",B214="Alpha"),$C$9,$C$8),""),"")</f>
        <v/>
      </c>
      <c r="L214" s="120">
        <f>IFERROR(IF(ISNUMBER(F214),F214-IF(ISNUMBER(K214),K214,0),""),"")</f>
        <v/>
      </c>
    </row>
    <row r="215" ht="24" customHeight="1" s="63">
      <c r="A215" s="88" t="n"/>
      <c r="B215" s="89" t="n"/>
      <c r="C215" s="90" t="n"/>
      <c r="D215" s="90" t="n"/>
      <c r="E215" s="121" t="n"/>
      <c r="F215" s="121" t="n"/>
      <c r="G215" s="122">
        <f>IFERROR(IF(E215&gt;0,(F215/E215)*1000,""),"")</f>
        <v/>
      </c>
      <c r="H215" s="123">
        <f>IFERROR(IF(E215&gt;0,E215*IF(ISNUMBER(J215),J215,IF(OR(C215="Alpha",B215="Alpha"),$C$7,IF(C215="Futures",$C$6,$C$5))),""),"")</f>
        <v/>
      </c>
      <c r="I215" s="124">
        <f>IFERROR(IF(AND(ISNUMBER(F215),ISNUMBER(H215)),F215-H215,""),"")</f>
        <v/>
      </c>
      <c r="J215" s="95" t="n"/>
      <c r="K215" s="125">
        <f>IFERROR(IF(H215&gt;0,H215*IF(OR(C215="Alpha",B215="Alpha"),$C$9,$C$8),""),"")</f>
        <v/>
      </c>
      <c r="L215" s="126">
        <f>IFERROR(IF(ISNUMBER(F215),F215-IF(ISNUMBER(K215),K215,0),""),"")</f>
        <v/>
      </c>
    </row>
    <row r="216" ht="24" customHeight="1" s="63">
      <c r="A216" s="78" t="n"/>
      <c r="B216" s="79" t="n"/>
      <c r="C216" s="80" t="n"/>
      <c r="D216" s="80" t="n"/>
      <c r="E216" s="115" t="n"/>
      <c r="F216" s="115" t="n"/>
      <c r="G216" s="116">
        <f>IFERROR(IF(E216&gt;0,(F216/E216)*1000,""),"")</f>
        <v/>
      </c>
      <c r="H216" s="117">
        <f>IFERROR(IF(E216&gt;0,E216*IF(ISNUMBER(J216),J216,IF(OR(C216="Alpha",B216="Alpha"),$C$7,IF(C216="Futures",$C$6,$C$5))),""),"")</f>
        <v/>
      </c>
      <c r="I216" s="118">
        <f>IFERROR(IF(AND(ISNUMBER(F216),ISNUMBER(H216)),F216-H216,""),"")</f>
        <v/>
      </c>
      <c r="J216" s="85" t="n"/>
      <c r="K216" s="119">
        <f>IFERROR(IF(H216&gt;0,H216*IF(OR(C216="Alpha",B216="Alpha"),$C$9,$C$8),""),"")</f>
        <v/>
      </c>
      <c r="L216" s="120">
        <f>IFERROR(IF(ISNUMBER(F216),F216-IF(ISNUMBER(K216),K216,0),""),"")</f>
        <v/>
      </c>
    </row>
    <row r="217" ht="24" customHeight="1" s="63">
      <c r="A217" s="88" t="n"/>
      <c r="B217" s="89" t="n"/>
      <c r="C217" s="90" t="n"/>
      <c r="D217" s="90" t="n"/>
      <c r="E217" s="121" t="n"/>
      <c r="F217" s="121" t="n"/>
      <c r="G217" s="122">
        <f>IFERROR(IF(E217&gt;0,(F217/E217)*1000,""),"")</f>
        <v/>
      </c>
      <c r="H217" s="123">
        <f>IFERROR(IF(E217&gt;0,E217*IF(ISNUMBER(J217),J217,IF(OR(C217="Alpha",B217="Alpha"),$C$7,IF(C217="Futures",$C$6,$C$5))),""),"")</f>
        <v/>
      </c>
      <c r="I217" s="124">
        <f>IFERROR(IF(AND(ISNUMBER(F217),ISNUMBER(H217)),F217-H217,""),"")</f>
        <v/>
      </c>
      <c r="J217" s="95" t="n"/>
      <c r="K217" s="125">
        <f>IFERROR(IF(H217&gt;0,H217*IF(OR(C217="Alpha",B217="Alpha"),$C$9,$C$8),""),"")</f>
        <v/>
      </c>
      <c r="L217" s="126">
        <f>IFERROR(IF(ISNUMBER(F217),F217-IF(ISNUMBER(K217),K217,0),""),"")</f>
        <v/>
      </c>
    </row>
    <row r="218" ht="24" customHeight="1" s="63">
      <c r="A218" s="78" t="n"/>
      <c r="B218" s="79" t="n"/>
      <c r="C218" s="80" t="n"/>
      <c r="D218" s="80" t="n"/>
      <c r="E218" s="115" t="n"/>
      <c r="F218" s="115" t="n"/>
      <c r="G218" s="116">
        <f>IFERROR(IF(E218&gt;0,(F218/E218)*1000,""),"")</f>
        <v/>
      </c>
      <c r="H218" s="117">
        <f>IFERROR(IF(E218&gt;0,E218*IF(ISNUMBER(J218),J218,IF(OR(C218="Alpha",B218="Alpha"),$C$7,IF(C218="Futures",$C$6,$C$5))),""),"")</f>
        <v/>
      </c>
      <c r="I218" s="118">
        <f>IFERROR(IF(AND(ISNUMBER(F218),ISNUMBER(H218)),F218-H218,""),"")</f>
        <v/>
      </c>
      <c r="J218" s="85" t="n"/>
      <c r="K218" s="119">
        <f>IFERROR(IF(H218&gt;0,H218*IF(OR(C218="Alpha",B218="Alpha"),$C$9,$C$8),""),"")</f>
        <v/>
      </c>
      <c r="L218" s="120">
        <f>IFERROR(IF(ISNUMBER(F218),F218-IF(ISNUMBER(K218),K218,0),""),"")</f>
        <v/>
      </c>
    </row>
    <row r="219" ht="24" customHeight="1" s="63">
      <c r="A219" s="88" t="n"/>
      <c r="B219" s="89" t="n"/>
      <c r="C219" s="90" t="n"/>
      <c r="D219" s="90" t="n"/>
      <c r="E219" s="121" t="n"/>
      <c r="F219" s="121" t="n"/>
      <c r="G219" s="122">
        <f>IFERROR(IF(E219&gt;0,(F219/E219)*1000,""),"")</f>
        <v/>
      </c>
      <c r="H219" s="123">
        <f>IFERROR(IF(E219&gt;0,E219*IF(ISNUMBER(J219),J219,IF(OR(C219="Alpha",B219="Alpha"),$C$7,IF(C219="Futures",$C$6,$C$5))),""),"")</f>
        <v/>
      </c>
      <c r="I219" s="124">
        <f>IFERROR(IF(AND(ISNUMBER(F219),ISNUMBER(H219)),F219-H219,""),"")</f>
        <v/>
      </c>
      <c r="J219" s="95" t="n"/>
      <c r="K219" s="125">
        <f>IFERROR(IF(H219&gt;0,H219*IF(OR(C219="Alpha",B219="Alpha"),$C$9,$C$8),""),"")</f>
        <v/>
      </c>
      <c r="L219" s="126">
        <f>IFERROR(IF(ISNUMBER(F219),F219-IF(ISNUMBER(K219),K219,0),""),"")</f>
        <v/>
      </c>
    </row>
    <row r="220" ht="24" customHeight="1" s="63">
      <c r="A220" s="78" t="n"/>
      <c r="B220" s="79" t="n"/>
      <c r="C220" s="80" t="n"/>
      <c r="D220" s="80" t="n"/>
      <c r="E220" s="115" t="n"/>
      <c r="F220" s="115" t="n"/>
      <c r="G220" s="116">
        <f>IFERROR(IF(E220&gt;0,(F220/E220)*1000,""),"")</f>
        <v/>
      </c>
      <c r="H220" s="117">
        <f>IFERROR(IF(E220&gt;0,E220*IF(ISNUMBER(J220),J220,IF(OR(C220="Alpha",B220="Alpha"),$C$7,IF(C220="Futures",$C$6,$C$5))),""),"")</f>
        <v/>
      </c>
      <c r="I220" s="118">
        <f>IFERROR(IF(AND(ISNUMBER(F220),ISNUMBER(H220)),F220-H220,""),"")</f>
        <v/>
      </c>
      <c r="J220" s="85" t="n"/>
      <c r="K220" s="119">
        <f>IFERROR(IF(H220&gt;0,H220*IF(OR(C220="Alpha",B220="Alpha"),$C$9,$C$8),""),"")</f>
        <v/>
      </c>
      <c r="L220" s="120">
        <f>IFERROR(IF(ISNUMBER(F220),F220-IF(ISNUMBER(K220),K220,0),""),"")</f>
        <v/>
      </c>
    </row>
    <row r="221" ht="24" customHeight="1" s="63">
      <c r="A221" s="98" t="n"/>
      <c r="B221" s="98" t="n"/>
      <c r="C221" s="98" t="n"/>
      <c r="D221" s="98" t="n"/>
      <c r="E221" s="127" t="n"/>
      <c r="F221" s="127" t="n"/>
      <c r="G221" s="128">
        <f>IFERROR(IF(E221&gt;0,(F221/E221)*1000,""),"")</f>
        <v/>
      </c>
      <c r="H221" s="129">
        <f>IFERROR(IF(E221&gt;0,E221*IF(ISNUMBER(J221),J221,IF(OR(C221="Alpha",B221="Alpha"),$C$7,IF(C221="Futures",$C$6,$C$5))),""),"")</f>
        <v/>
      </c>
      <c r="I221" s="130">
        <f>IFERROR(IF(AND(ISNUMBER(F221),ISNUMBER(H221)),F221-H221,""),"")</f>
        <v/>
      </c>
      <c r="J221" s="103" t="n"/>
      <c r="K221" s="131">
        <f>IFERROR(IF(H221&gt;0,H221*IF(OR(C221="Alpha",B221="Alpha"),$C$9,$C$8),""),"")</f>
        <v/>
      </c>
      <c r="L221" s="132">
        <f>IFERROR(IF(ISNUMBER(F221),F221-IF(ISNUMBER(K221),K221,0),""),"")</f>
        <v/>
      </c>
    </row>
    <row r="222" ht="24" customHeight="1" s="63">
      <c r="A222" s="98" t="n"/>
      <c r="B222" s="98" t="n"/>
      <c r="C222" s="98" t="n"/>
      <c r="D222" s="98" t="n"/>
      <c r="E222" s="127" t="n"/>
      <c r="F222" s="127" t="n"/>
      <c r="G222" s="128">
        <f>IFERROR(IF(E222&gt;0,(F222/E222)*1000,""),"")</f>
        <v/>
      </c>
      <c r="H222" s="129">
        <f>IFERROR(IF(E222&gt;0,E222*IF(ISNUMBER(J222),J222,IF(OR(C222="Alpha",B222="Alpha"),$C$7,IF(C222="Futures",$C$6,$C$5))),""),"")</f>
        <v/>
      </c>
      <c r="I222" s="130">
        <f>IFERROR(IF(AND(ISNUMBER(F222),ISNUMBER(H222)),F222-H222,""),"")</f>
        <v/>
      </c>
      <c r="J222" s="103" t="n"/>
      <c r="K222" s="131">
        <f>IFERROR(IF(H222&gt;0,H222*IF(OR(C222="Alpha",B222="Alpha"),$C$9,$C$8),""),"")</f>
        <v/>
      </c>
      <c r="L222" s="132">
        <f>IFERROR(IF(ISNUMBER(F222),F222-IF(ISNUMBER(K222),K222,0),""),"")</f>
        <v/>
      </c>
    </row>
    <row r="223" ht="24" customHeight="1" s="63">
      <c r="A223" s="98" t="n"/>
      <c r="B223" s="98" t="n"/>
      <c r="C223" s="98" t="n"/>
      <c r="D223" s="98" t="n"/>
      <c r="E223" s="127" t="n"/>
      <c r="F223" s="127" t="n"/>
      <c r="G223" s="128">
        <f>IFERROR(IF(E223&gt;0,(F223/E223)*1000,""),"")</f>
        <v/>
      </c>
      <c r="H223" s="129">
        <f>IFERROR(IF(E223&gt;0,E223*IF(ISNUMBER(J223),J223,IF(OR(C223="Alpha",B223="Alpha"),$C$7,IF(C223="Futures",$C$6,$C$5))),""),"")</f>
        <v/>
      </c>
      <c r="I223" s="130">
        <f>IFERROR(IF(AND(ISNUMBER(F223),ISNUMBER(H223)),F223-H223,""),"")</f>
        <v/>
      </c>
      <c r="J223" s="103" t="n"/>
      <c r="K223" s="131">
        <f>IFERROR(IF(H223&gt;0,H223*IF(OR(C223="Alpha",B223="Alpha"),$C$9,$C$8),""),"")</f>
        <v/>
      </c>
      <c r="L223" s="132">
        <f>IFERROR(IF(ISNUMBER(F223),F223-IF(ISNUMBER(K223),K223,0),""),"")</f>
        <v/>
      </c>
    </row>
    <row r="224" ht="24" customHeight="1" s="63">
      <c r="A224" s="98" t="n"/>
      <c r="B224" s="98" t="n"/>
      <c r="C224" s="98" t="n"/>
      <c r="D224" s="98" t="n"/>
      <c r="E224" s="127" t="n"/>
      <c r="F224" s="127" t="n"/>
      <c r="G224" s="128">
        <f>IFERROR(IF(E224&gt;0,(F224/E224)*1000,""),"")</f>
        <v/>
      </c>
      <c r="H224" s="129">
        <f>IFERROR(IF(E224&gt;0,E224*IF(ISNUMBER(J224),J224,IF(OR(C224="Alpha",B224="Alpha"),$C$7,IF(C224="Futures",$C$6,$C$5))),""),"")</f>
        <v/>
      </c>
      <c r="I224" s="130">
        <f>IFERROR(IF(AND(ISNUMBER(F224),ISNUMBER(H224)),F224-H224,""),"")</f>
        <v/>
      </c>
      <c r="J224" s="103" t="n"/>
      <c r="K224" s="131">
        <f>IFERROR(IF(H224&gt;0,H224*IF(OR(C224="Alpha",B224="Alpha"),$C$9,$C$8),""),"")</f>
        <v/>
      </c>
      <c r="L224" s="132">
        <f>IFERROR(IF(ISNUMBER(F224),F224-IF(ISNUMBER(K224),K224,0),""),"")</f>
        <v/>
      </c>
    </row>
    <row r="225" ht="24" customHeight="1" s="63">
      <c r="A225" s="98" t="n"/>
      <c r="B225" s="98" t="n"/>
      <c r="C225" s="98" t="n"/>
      <c r="D225" s="98" t="n"/>
      <c r="E225" s="127" t="n"/>
      <c r="F225" s="127" t="n"/>
      <c r="G225" s="128">
        <f>IFERROR(IF(E225&gt;0,(F225/E225)*1000,""),"")</f>
        <v/>
      </c>
      <c r="H225" s="129">
        <f>IFERROR(IF(E225&gt;0,E225*IF(ISNUMBER(J225),J225,IF(OR(C225="Alpha",B225="Alpha"),$C$7,IF(C225="Futures",$C$6,$C$5))),""),"")</f>
        <v/>
      </c>
      <c r="I225" s="130">
        <f>IFERROR(IF(AND(ISNUMBER(F225),ISNUMBER(H225)),F225-H225,""),"")</f>
        <v/>
      </c>
      <c r="J225" s="103" t="n"/>
      <c r="K225" s="131">
        <f>IFERROR(IF(H225&gt;0,H225*IF(OR(C225="Alpha",B225="Alpha"),$C$9,$C$8),""),"")</f>
        <v/>
      </c>
      <c r="L225" s="132">
        <f>IFERROR(IF(ISNUMBER(F225),F225-IF(ISNUMBER(K225),K225,0),""),"")</f>
        <v/>
      </c>
    </row>
    <row r="226" ht="24" customHeight="1" s="63">
      <c r="A226" s="98" t="n"/>
      <c r="B226" s="98" t="n"/>
      <c r="C226" s="98" t="n"/>
      <c r="D226" s="98" t="n"/>
      <c r="E226" s="127" t="n"/>
      <c r="F226" s="127" t="n"/>
      <c r="G226" s="128">
        <f>IFERROR(IF(E226&gt;0,(F226/E226)*1000,""),"")</f>
        <v/>
      </c>
      <c r="H226" s="129">
        <f>IFERROR(IF(E226&gt;0,E226*IF(ISNUMBER(J226),J226,IF(OR(C226="Alpha",B226="Alpha"),$C$7,IF(C226="Futures",$C$6,$C$5))),""),"")</f>
        <v/>
      </c>
      <c r="I226" s="130">
        <f>IFERROR(IF(AND(ISNUMBER(F226),ISNUMBER(H226)),F226-H226,""),"")</f>
        <v/>
      </c>
      <c r="J226" s="103" t="n"/>
      <c r="K226" s="131">
        <f>IFERROR(IF(H226&gt;0,H226*IF(OR(C226="Alpha",B226="Alpha"),$C$9,$C$8),""),"")</f>
        <v/>
      </c>
      <c r="L226" s="132">
        <f>IFERROR(IF(ISNUMBER(F226),F226-IF(ISNUMBER(K226),K226,0),""),"")</f>
        <v/>
      </c>
    </row>
    <row r="227" ht="24" customHeight="1" s="63">
      <c r="A227" s="98" t="n"/>
      <c r="B227" s="98" t="n"/>
      <c r="C227" s="98" t="n"/>
      <c r="D227" s="98" t="n"/>
      <c r="E227" s="127" t="n"/>
      <c r="F227" s="127" t="n"/>
      <c r="G227" s="128">
        <f>IFERROR(IF(E227&gt;0,(F227/E227)*1000,""),"")</f>
        <v/>
      </c>
      <c r="H227" s="129">
        <f>IFERROR(IF(E227&gt;0,E227*IF(ISNUMBER(J227),J227,IF(OR(C227="Alpha",B227="Alpha"),$C$7,IF(C227="Futures",$C$6,$C$5))),""),"")</f>
        <v/>
      </c>
      <c r="I227" s="130">
        <f>IFERROR(IF(AND(ISNUMBER(F227),ISNUMBER(H227)),F227-H227,""),"")</f>
        <v/>
      </c>
      <c r="J227" s="103" t="n"/>
      <c r="K227" s="131">
        <f>IFERROR(IF(H227&gt;0,H227*IF(OR(C227="Alpha",B227="Alpha"),$C$9,$C$8),""),"")</f>
        <v/>
      </c>
      <c r="L227" s="132">
        <f>IFERROR(IF(ISNUMBER(F227),F227-IF(ISNUMBER(K227),K227,0),""),"")</f>
        <v/>
      </c>
    </row>
    <row r="228" ht="24" customHeight="1" s="63">
      <c r="A228" s="98" t="n"/>
      <c r="B228" s="98" t="n"/>
      <c r="C228" s="98" t="n"/>
      <c r="D228" s="98" t="n"/>
      <c r="E228" s="127" t="n"/>
      <c r="F228" s="127" t="n"/>
      <c r="G228" s="128">
        <f>IFERROR(IF(E228&gt;0,(F228/E228)*1000,""),"")</f>
        <v/>
      </c>
      <c r="H228" s="129">
        <f>IFERROR(IF(E228&gt;0,E228*IF(ISNUMBER(J228),J228,IF(OR(C228="Alpha",B228="Alpha"),$C$7,IF(C228="Futures",$C$6,$C$5))),""),"")</f>
        <v/>
      </c>
      <c r="I228" s="130">
        <f>IFERROR(IF(AND(ISNUMBER(F228),ISNUMBER(H228)),F228-H228,""),"")</f>
        <v/>
      </c>
      <c r="J228" s="103" t="n"/>
      <c r="K228" s="131">
        <f>IFERROR(IF(H228&gt;0,H228*IF(OR(C228="Alpha",B228="Alpha"),$C$9,$C$8),""),"")</f>
        <v/>
      </c>
      <c r="L228" s="132">
        <f>IFERROR(IF(ISNUMBER(F228),F228-IF(ISNUMBER(K228),K228,0),""),"")</f>
        <v/>
      </c>
    </row>
    <row r="229" ht="24" customHeight="1" s="63">
      <c r="A229" s="98" t="n"/>
      <c r="B229" s="98" t="n"/>
      <c r="C229" s="98" t="n"/>
      <c r="D229" s="98" t="n"/>
      <c r="E229" s="127" t="n"/>
      <c r="F229" s="127" t="n"/>
      <c r="G229" s="128">
        <f>IFERROR(IF(E229&gt;0,(F229/E229)*1000,""),"")</f>
        <v/>
      </c>
      <c r="H229" s="129">
        <f>IFERROR(IF(E229&gt;0,E229*IF(ISNUMBER(J229),J229,IF(OR(C229="Alpha",B229="Alpha"),$C$7,IF(C229="Futures",$C$6,$C$5))),""),"")</f>
        <v/>
      </c>
      <c r="I229" s="130">
        <f>IFERROR(IF(AND(ISNUMBER(F229),ISNUMBER(H229)),F229-H229,""),"")</f>
        <v/>
      </c>
      <c r="J229" s="103" t="n"/>
      <c r="K229" s="131">
        <f>IFERROR(IF(H229&gt;0,H229*IF(OR(C229="Alpha",B229="Alpha"),$C$9,$C$8),""),"")</f>
        <v/>
      </c>
      <c r="L229" s="132">
        <f>IFERROR(IF(ISNUMBER(F229),F229-IF(ISNUMBER(K229),K229,0),""),"")</f>
        <v/>
      </c>
    </row>
    <row r="230" ht="24" customHeight="1" s="63">
      <c r="A230" s="98" t="n"/>
      <c r="B230" s="98" t="n"/>
      <c r="C230" s="98" t="n"/>
      <c r="D230" s="98" t="n"/>
      <c r="E230" s="127" t="n"/>
      <c r="F230" s="127" t="n"/>
      <c r="G230" s="128">
        <f>IFERROR(IF(E230&gt;0,(F230/E230)*1000,""),"")</f>
        <v/>
      </c>
      <c r="H230" s="129">
        <f>IFERROR(IF(E230&gt;0,E230*IF(ISNUMBER(J230),J230,IF(OR(C230="Alpha",B230="Alpha"),$C$7,IF(C230="Futures",$C$6,$C$5))),""),"")</f>
        <v/>
      </c>
      <c r="I230" s="130">
        <f>IFERROR(IF(AND(ISNUMBER(F230),ISNUMBER(H230)),F230-H230,""),"")</f>
        <v/>
      </c>
      <c r="J230" s="103" t="n"/>
      <c r="K230" s="131">
        <f>IFERROR(IF(H230&gt;0,H230*IF(OR(C230="Alpha",B230="Alpha"),$C$9,$C$8),""),"")</f>
        <v/>
      </c>
      <c r="L230" s="132">
        <f>IFERROR(IF(ISNUMBER(F230),F230-IF(ISNUMBER(K230),K230,0),""),"")</f>
        <v/>
      </c>
    </row>
    <row r="231" ht="24" customHeight="1" s="63">
      <c r="A231" s="98" t="n"/>
      <c r="B231" s="98" t="n"/>
      <c r="C231" s="98" t="n"/>
      <c r="D231" s="98" t="n"/>
      <c r="E231" s="127" t="n"/>
      <c r="F231" s="127" t="n"/>
      <c r="G231" s="128">
        <f>IFERROR(IF(E231&gt;0,(F231/E231)*1000,""),"")</f>
        <v/>
      </c>
      <c r="H231" s="129">
        <f>IFERROR(IF(E231&gt;0,E231*IF(ISNUMBER(J231),J231,IF(OR(C231="Alpha",B231="Alpha"),$C$7,IF(C231="Futures",$C$6,$C$5))),""),"")</f>
        <v/>
      </c>
      <c r="I231" s="130">
        <f>IFERROR(IF(AND(ISNUMBER(F231),ISNUMBER(H231)),F231-H231,""),"")</f>
        <v/>
      </c>
      <c r="J231" s="103" t="n"/>
      <c r="K231" s="131">
        <f>IFERROR(IF(H231&gt;0,H231*IF(OR(C231="Alpha",B231="Alpha"),$C$9,$C$8),""),"")</f>
        <v/>
      </c>
      <c r="L231" s="132">
        <f>IFERROR(IF(ISNUMBER(F231),F231-IF(ISNUMBER(K231),K231,0),""),"")</f>
        <v/>
      </c>
    </row>
    <row r="232" ht="24" customHeight="1" s="63">
      <c r="A232" s="98" t="n"/>
      <c r="B232" s="98" t="n"/>
      <c r="C232" s="98" t="n"/>
      <c r="D232" s="98" t="n"/>
      <c r="E232" s="127" t="n"/>
      <c r="F232" s="127" t="n"/>
      <c r="G232" s="128">
        <f>IFERROR(IF(E232&gt;0,(F232/E232)*1000,""),"")</f>
        <v/>
      </c>
      <c r="H232" s="129">
        <f>IFERROR(IF(E232&gt;0,E232*IF(ISNUMBER(J232),J232,IF(OR(C232="Alpha",B232="Alpha"),$C$7,IF(C232="Futures",$C$6,$C$5))),""),"")</f>
        <v/>
      </c>
      <c r="I232" s="130">
        <f>IFERROR(IF(AND(ISNUMBER(F232),ISNUMBER(H232)),F232-H232,""),"")</f>
        <v/>
      </c>
      <c r="J232" s="103" t="n"/>
      <c r="K232" s="131">
        <f>IFERROR(IF(H232&gt;0,H232*IF(OR(C232="Alpha",B232="Alpha"),$C$9,$C$8),""),"")</f>
        <v/>
      </c>
      <c r="L232" s="132">
        <f>IFERROR(IF(ISNUMBER(F232),F232-IF(ISNUMBER(K232),K232,0),""),"")</f>
        <v/>
      </c>
    </row>
    <row r="233" ht="24" customHeight="1" s="63">
      <c r="A233" s="98" t="n"/>
      <c r="B233" s="98" t="n"/>
      <c r="C233" s="98" t="n"/>
      <c r="D233" s="98" t="n"/>
      <c r="E233" s="127" t="n"/>
      <c r="F233" s="127" t="n"/>
      <c r="G233" s="128">
        <f>IFERROR(IF(E233&gt;0,(F233/E233)*1000,""),"")</f>
        <v/>
      </c>
      <c r="H233" s="129">
        <f>IFERROR(IF(E233&gt;0,E233*IF(ISNUMBER(J233),J233,IF(OR(C233="Alpha",B233="Alpha"),$C$7,IF(C233="Futures",$C$6,$C$5))),""),"")</f>
        <v/>
      </c>
      <c r="I233" s="130">
        <f>IFERROR(IF(AND(ISNUMBER(F233),ISNUMBER(H233)),F233-H233,""),"")</f>
        <v/>
      </c>
      <c r="J233" s="103" t="n"/>
      <c r="K233" s="131">
        <f>IFERROR(IF(H233&gt;0,H233*IF(OR(C233="Alpha",B233="Alpha"),$C$9,$C$8),""),"")</f>
        <v/>
      </c>
      <c r="L233" s="132">
        <f>IFERROR(IF(ISNUMBER(F233),F233-IF(ISNUMBER(K233),K233,0),""),"")</f>
        <v/>
      </c>
    </row>
    <row r="234" ht="24" customHeight="1" s="63">
      <c r="A234" s="98" t="n"/>
      <c r="B234" s="98" t="n"/>
      <c r="C234" s="98" t="n"/>
      <c r="D234" s="98" t="n"/>
      <c r="E234" s="127" t="n"/>
      <c r="F234" s="127" t="n"/>
      <c r="G234" s="128">
        <f>IFERROR(IF(E234&gt;0,(F234/E234)*1000,""),"")</f>
        <v/>
      </c>
      <c r="H234" s="129">
        <f>IFERROR(IF(E234&gt;0,E234*IF(ISNUMBER(J234),J234,IF(OR(C234="Alpha",B234="Alpha"),$C$7,IF(C234="Futures",$C$6,$C$5))),""),"")</f>
        <v/>
      </c>
      <c r="I234" s="130">
        <f>IFERROR(IF(AND(ISNUMBER(F234),ISNUMBER(H234)),F234-H234,""),"")</f>
        <v/>
      </c>
      <c r="J234" s="103" t="n"/>
      <c r="K234" s="131">
        <f>IFERROR(IF(H234&gt;0,H234*IF(OR(C234="Alpha",B234="Alpha"),$C$9,$C$8),""),"")</f>
        <v/>
      </c>
      <c r="L234" s="132">
        <f>IFERROR(IF(ISNUMBER(F234),F234-IF(ISNUMBER(K234),K234,0),""),"")</f>
        <v/>
      </c>
    </row>
    <row r="235" ht="24" customHeight="1" s="63">
      <c r="A235" s="98" t="n"/>
      <c r="B235" s="98" t="n"/>
      <c r="C235" s="98" t="n"/>
      <c r="D235" s="98" t="n"/>
      <c r="E235" s="127" t="n"/>
      <c r="F235" s="127" t="n"/>
      <c r="G235" s="128">
        <f>IFERROR(IF(E235&gt;0,(F235/E235)*1000,""),"")</f>
        <v/>
      </c>
      <c r="H235" s="129">
        <f>IFERROR(IF(E235&gt;0,E235*IF(ISNUMBER(J235),J235,IF(OR(C235="Alpha",B235="Alpha"),$C$7,IF(C235="Futures",$C$6,$C$5))),""),"")</f>
        <v/>
      </c>
      <c r="I235" s="130">
        <f>IFERROR(IF(AND(ISNUMBER(F235),ISNUMBER(H235)),F235-H235,""),"")</f>
        <v/>
      </c>
      <c r="J235" s="103" t="n"/>
      <c r="K235" s="131">
        <f>IFERROR(IF(H235&gt;0,H235*IF(OR(C235="Alpha",B235="Alpha"),$C$9,$C$8),""),"")</f>
        <v/>
      </c>
      <c r="L235" s="132">
        <f>IFERROR(IF(ISNUMBER(F235),F235-IF(ISNUMBER(K235),K235,0),""),"")</f>
        <v/>
      </c>
    </row>
    <row r="236" ht="24" customHeight="1" s="63">
      <c r="A236" s="98" t="n"/>
      <c r="B236" s="98" t="n"/>
      <c r="C236" s="98" t="n"/>
      <c r="D236" s="98" t="n"/>
      <c r="E236" s="127" t="n"/>
      <c r="F236" s="127" t="n"/>
      <c r="G236" s="128">
        <f>IFERROR(IF(E236&gt;0,(F236/E236)*1000,""),"")</f>
        <v/>
      </c>
      <c r="H236" s="129">
        <f>IFERROR(IF(E236&gt;0,E236*IF(ISNUMBER(J236),J236,IF(OR(C236="Alpha",B236="Alpha"),$C$7,IF(C236="Futures",$C$6,$C$5))),""),"")</f>
        <v/>
      </c>
      <c r="I236" s="130">
        <f>IFERROR(IF(AND(ISNUMBER(F236),ISNUMBER(H236)),F236-H236,""),"")</f>
        <v/>
      </c>
      <c r="J236" s="103" t="n"/>
      <c r="K236" s="131">
        <f>IFERROR(IF(H236&gt;0,H236*IF(OR(C236="Alpha",B236="Alpha"),$C$9,$C$8),""),"")</f>
        <v/>
      </c>
      <c r="L236" s="132">
        <f>IFERROR(IF(ISNUMBER(F236),F236-IF(ISNUMBER(K236),K236,0),""),"")</f>
        <v/>
      </c>
    </row>
    <row r="237" ht="24" customHeight="1" s="63">
      <c r="A237" s="98" t="n"/>
      <c r="B237" s="98" t="n"/>
      <c r="C237" s="98" t="n"/>
      <c r="D237" s="98" t="n"/>
      <c r="E237" s="127" t="n"/>
      <c r="F237" s="127" t="n"/>
      <c r="G237" s="128">
        <f>IFERROR(IF(E237&gt;0,(F237/E237)*1000,""),"")</f>
        <v/>
      </c>
      <c r="H237" s="129">
        <f>IFERROR(IF(E237&gt;0,E237*IF(ISNUMBER(J237),J237,IF(OR(C237="Alpha",B237="Alpha"),$C$7,IF(C237="Futures",$C$6,$C$5))),""),"")</f>
        <v/>
      </c>
      <c r="I237" s="130">
        <f>IFERROR(IF(AND(ISNUMBER(F237),ISNUMBER(H237)),F237-H237,""),"")</f>
        <v/>
      </c>
      <c r="J237" s="103" t="n"/>
      <c r="K237" s="131">
        <f>IFERROR(IF(H237&gt;0,H237*IF(OR(C237="Alpha",B237="Alpha"),$C$9,$C$8),""),"")</f>
        <v/>
      </c>
      <c r="L237" s="132">
        <f>IFERROR(IF(ISNUMBER(F237),F237-IF(ISNUMBER(K237),K237,0),""),"")</f>
        <v/>
      </c>
    </row>
    <row r="238" ht="24" customHeight="1" s="63">
      <c r="A238" s="98" t="n"/>
      <c r="B238" s="98" t="n"/>
      <c r="C238" s="98" t="n"/>
      <c r="D238" s="98" t="n"/>
      <c r="E238" s="127" t="n"/>
      <c r="F238" s="127" t="n"/>
      <c r="G238" s="128">
        <f>IFERROR(IF(E238&gt;0,(F238/E238)*1000,""),"")</f>
        <v/>
      </c>
      <c r="H238" s="129">
        <f>IFERROR(IF(E238&gt;0,E238*IF(ISNUMBER(J238),J238,IF(OR(C238="Alpha",B238="Alpha"),$C$7,IF(C238="Futures",$C$6,$C$5))),""),"")</f>
        <v/>
      </c>
      <c r="I238" s="130">
        <f>IFERROR(IF(AND(ISNUMBER(F238),ISNUMBER(H238)),F238-H238,""),"")</f>
        <v/>
      </c>
      <c r="J238" s="103" t="n"/>
      <c r="K238" s="131">
        <f>IFERROR(IF(H238&gt;0,H238*IF(OR(C238="Alpha",B238="Alpha"),$C$9,$C$8),""),"")</f>
        <v/>
      </c>
      <c r="L238" s="132">
        <f>IFERROR(IF(ISNUMBER(F238),F238-IF(ISNUMBER(K238),K238,0),""),"")</f>
        <v/>
      </c>
    </row>
    <row r="239" ht="24" customHeight="1" s="63">
      <c r="A239" s="98" t="n"/>
      <c r="B239" s="98" t="n"/>
      <c r="C239" s="98" t="n"/>
      <c r="D239" s="98" t="n"/>
      <c r="E239" s="127" t="n"/>
      <c r="F239" s="127" t="n"/>
      <c r="G239" s="128">
        <f>IFERROR(IF(E239&gt;0,(F239/E239)*1000,""),"")</f>
        <v/>
      </c>
      <c r="H239" s="129">
        <f>IFERROR(IF(E239&gt;0,E239*IF(ISNUMBER(J239),J239,IF(OR(C239="Alpha",B239="Alpha"),$C$7,IF(C239="Futures",$C$6,$C$5))),""),"")</f>
        <v/>
      </c>
      <c r="I239" s="130">
        <f>IFERROR(IF(AND(ISNUMBER(F239),ISNUMBER(H239)),F239-H239,""),"")</f>
        <v/>
      </c>
      <c r="J239" s="103" t="n"/>
      <c r="K239" s="131">
        <f>IFERROR(IF(H239&gt;0,H239*IF(OR(C239="Alpha",B239="Alpha"),$C$9,$C$8),""),"")</f>
        <v/>
      </c>
      <c r="L239" s="132">
        <f>IFERROR(IF(ISNUMBER(F239),F239-IF(ISNUMBER(K239),K239,0),""),"")</f>
        <v/>
      </c>
    </row>
    <row r="240" ht="24" customHeight="1" s="63">
      <c r="A240" s="98" t="n"/>
      <c r="B240" s="98" t="n"/>
      <c r="C240" s="98" t="n"/>
      <c r="D240" s="98" t="n"/>
      <c r="E240" s="127" t="n"/>
      <c r="F240" s="127" t="n"/>
      <c r="G240" s="128">
        <f>IFERROR(IF(E240&gt;0,(F240/E240)*1000,""),"")</f>
        <v/>
      </c>
      <c r="H240" s="129">
        <f>IFERROR(IF(E240&gt;0,E240*IF(ISNUMBER(J240),J240,IF(OR(C240="Alpha",B240="Alpha"),$C$7,IF(C240="Futures",$C$6,$C$5))),""),"")</f>
        <v/>
      </c>
      <c r="I240" s="130">
        <f>IFERROR(IF(AND(ISNUMBER(F240),ISNUMBER(H240)),F240-H240,""),"")</f>
        <v/>
      </c>
      <c r="J240" s="103" t="n"/>
      <c r="K240" s="131">
        <f>IFERROR(IF(H240&gt;0,H240*IF(OR(C240="Alpha",B240="Alpha"),$C$9,$C$8),""),"")</f>
        <v/>
      </c>
      <c r="L240" s="132">
        <f>IFERROR(IF(ISNUMBER(F240),F240-IF(ISNUMBER(K240),K240,0),""),"")</f>
        <v/>
      </c>
    </row>
    <row r="241" ht="24" customHeight="1" s="63">
      <c r="A241" s="98" t="n"/>
      <c r="B241" s="98" t="n"/>
      <c r="C241" s="98" t="n"/>
      <c r="D241" s="98" t="n"/>
      <c r="E241" s="127" t="n"/>
      <c r="F241" s="127" t="n"/>
      <c r="G241" s="128">
        <f>IFERROR(IF(E241&gt;0,(F241/E241)*1000,""),"")</f>
        <v/>
      </c>
      <c r="H241" s="129">
        <f>IFERROR(IF(E241&gt;0,E241*IF(ISNUMBER(J241),J241,IF(OR(C241="Alpha",B241="Alpha"),$C$7,IF(C241="Futures",$C$6,$C$5))),""),"")</f>
        <v/>
      </c>
      <c r="I241" s="130">
        <f>IFERROR(IF(AND(ISNUMBER(F241),ISNUMBER(H241)),F241-H241,""),"")</f>
        <v/>
      </c>
      <c r="J241" s="103" t="n"/>
      <c r="K241" s="131">
        <f>IFERROR(IF(H241&gt;0,H241*IF(OR(C241="Alpha",B241="Alpha"),$C$9,$C$8),""),"")</f>
        <v/>
      </c>
      <c r="L241" s="132">
        <f>IFERROR(IF(ISNUMBER(F241),F241-IF(ISNUMBER(K241),K241,0),""),"")</f>
        <v/>
      </c>
    </row>
    <row r="242" ht="24" customHeight="1" s="63">
      <c r="A242" s="98" t="n"/>
      <c r="B242" s="98" t="n"/>
      <c r="C242" s="98" t="n"/>
      <c r="D242" s="98" t="n"/>
      <c r="E242" s="127" t="n"/>
      <c r="F242" s="127" t="n"/>
      <c r="G242" s="128">
        <f>IFERROR(IF(E242&gt;0,(F242/E242)*1000,""),"")</f>
        <v/>
      </c>
      <c r="H242" s="129">
        <f>IFERROR(IF(E242&gt;0,E242*IF(ISNUMBER(J242),J242,IF(OR(C242="Alpha",B242="Alpha"),$C$7,IF(C242="Futures",$C$6,$C$5))),""),"")</f>
        <v/>
      </c>
      <c r="I242" s="130">
        <f>IFERROR(IF(AND(ISNUMBER(F242),ISNUMBER(H242)),F242-H242,""),"")</f>
        <v/>
      </c>
      <c r="J242" s="103" t="n"/>
      <c r="K242" s="131">
        <f>IFERROR(IF(H242&gt;0,H242*IF(OR(C242="Alpha",B242="Alpha"),$C$9,$C$8),""),"")</f>
        <v/>
      </c>
      <c r="L242" s="132">
        <f>IFERROR(IF(ISNUMBER(F242),F242-IF(ISNUMBER(K242),K242,0),""),"")</f>
        <v/>
      </c>
    </row>
    <row r="243" ht="24" customHeight="1" s="63">
      <c r="A243" s="98" t="n"/>
      <c r="B243" s="98" t="n"/>
      <c r="C243" s="98" t="n"/>
      <c r="D243" s="98" t="n"/>
      <c r="E243" s="127" t="n"/>
      <c r="F243" s="127" t="n"/>
      <c r="G243" s="128">
        <f>IFERROR(IF(E243&gt;0,(F243/E243)*1000,""),"")</f>
        <v/>
      </c>
      <c r="H243" s="129">
        <f>IFERROR(IF(E243&gt;0,E243*IF(ISNUMBER(J243),J243,IF(OR(C243="Alpha",B243="Alpha"),$C$7,IF(C243="Futures",$C$6,$C$5))),""),"")</f>
        <v/>
      </c>
      <c r="I243" s="130">
        <f>IFERROR(IF(AND(ISNUMBER(F243),ISNUMBER(H243)),F243-H243,""),"")</f>
        <v/>
      </c>
      <c r="J243" s="103" t="n"/>
      <c r="K243" s="131">
        <f>IFERROR(IF(H243&gt;0,H243*IF(OR(C243="Alpha",B243="Alpha"),$C$9,$C$8),""),"")</f>
        <v/>
      </c>
      <c r="L243" s="132">
        <f>IFERROR(IF(ISNUMBER(F243),F243-IF(ISNUMBER(K243),K243,0),""),"")</f>
        <v/>
      </c>
    </row>
    <row r="244" ht="24" customHeight="1" s="63">
      <c r="A244" s="98" t="n"/>
      <c r="B244" s="98" t="n"/>
      <c r="C244" s="98" t="n"/>
      <c r="D244" s="98" t="n"/>
      <c r="E244" s="127" t="n"/>
      <c r="F244" s="127" t="n"/>
      <c r="G244" s="128">
        <f>IFERROR(IF(E244&gt;0,(F244/E244)*1000,""),"")</f>
        <v/>
      </c>
      <c r="H244" s="129">
        <f>IFERROR(IF(E244&gt;0,E244*IF(ISNUMBER(J244),J244,IF(OR(C244="Alpha",B244="Alpha"),$C$7,IF(C244="Futures",$C$6,$C$5))),""),"")</f>
        <v/>
      </c>
      <c r="I244" s="130">
        <f>IFERROR(IF(AND(ISNUMBER(F244),ISNUMBER(H244)),F244-H244,""),"")</f>
        <v/>
      </c>
      <c r="J244" s="103" t="n"/>
      <c r="K244" s="131">
        <f>IFERROR(IF(H244&gt;0,H244*IF(OR(C244="Alpha",B244="Alpha"),$C$9,$C$8),""),"")</f>
        <v/>
      </c>
      <c r="L244" s="132">
        <f>IFERROR(IF(ISNUMBER(F244),F244-IF(ISNUMBER(K244),K244,0),""),"")</f>
        <v/>
      </c>
    </row>
    <row r="245" ht="24" customHeight="1" s="63">
      <c r="A245" s="98" t="n"/>
      <c r="B245" s="98" t="n"/>
      <c r="C245" s="98" t="n"/>
      <c r="D245" s="98" t="n"/>
      <c r="E245" s="127" t="n"/>
      <c r="F245" s="127" t="n"/>
      <c r="G245" s="128">
        <f>IFERROR(IF(E245&gt;0,(F245/E245)*1000,""),"")</f>
        <v/>
      </c>
      <c r="H245" s="129">
        <f>IFERROR(IF(E245&gt;0,E245*IF(ISNUMBER(J245),J245,IF(OR(C245="Alpha",B245="Alpha"),$C$7,IF(C245="Futures",$C$6,$C$5))),""),"")</f>
        <v/>
      </c>
      <c r="I245" s="130">
        <f>IFERROR(IF(AND(ISNUMBER(F245),ISNUMBER(H245)),F245-H245,""),"")</f>
        <v/>
      </c>
      <c r="J245" s="103" t="n"/>
      <c r="K245" s="131">
        <f>IFERROR(IF(H245&gt;0,H245*IF(OR(C245="Alpha",B245="Alpha"),$C$9,$C$8),""),"")</f>
        <v/>
      </c>
      <c r="L245" s="132">
        <f>IFERROR(IF(ISNUMBER(F245),F245-IF(ISNUMBER(K245),K245,0),""),"")</f>
        <v/>
      </c>
    </row>
    <row r="246" ht="24" customHeight="1" s="63">
      <c r="A246" s="98" t="n"/>
      <c r="B246" s="98" t="n"/>
      <c r="C246" s="98" t="n"/>
      <c r="D246" s="98" t="n"/>
      <c r="E246" s="127" t="n"/>
      <c r="F246" s="127" t="n"/>
      <c r="G246" s="128">
        <f>IFERROR(IF(E246&gt;0,(F246/E246)*1000,""),"")</f>
        <v/>
      </c>
      <c r="H246" s="129">
        <f>IFERROR(IF(E246&gt;0,E246*IF(ISNUMBER(J246),J246,IF(OR(C246="Alpha",B246="Alpha"),$C$7,IF(C246="Futures",$C$6,$C$5))),""),"")</f>
        <v/>
      </c>
      <c r="I246" s="130">
        <f>IFERROR(IF(AND(ISNUMBER(F246),ISNUMBER(H246)),F246-H246,""),"")</f>
        <v/>
      </c>
      <c r="J246" s="103" t="n"/>
      <c r="K246" s="131">
        <f>IFERROR(IF(H246&gt;0,H246*IF(OR(C246="Alpha",B246="Alpha"),$C$9,$C$8),""),"")</f>
        <v/>
      </c>
      <c r="L246" s="132">
        <f>IFERROR(IF(ISNUMBER(F246),F246-IF(ISNUMBER(K246),K246,0),""),"")</f>
        <v/>
      </c>
    </row>
    <row r="247" ht="24" customHeight="1" s="63">
      <c r="A247" s="98" t="n"/>
      <c r="B247" s="98" t="n"/>
      <c r="C247" s="98" t="n"/>
      <c r="D247" s="98" t="n"/>
      <c r="E247" s="127" t="n"/>
      <c r="F247" s="127" t="n"/>
      <c r="G247" s="128">
        <f>IFERROR(IF(E247&gt;0,(F247/E247)*1000,""),"")</f>
        <v/>
      </c>
      <c r="H247" s="129">
        <f>IFERROR(IF(E247&gt;0,E247*IF(ISNUMBER(J247),J247,IF(OR(C247="Alpha",B247="Alpha"),$C$7,IF(C247="Futures",$C$6,$C$5))),""),"")</f>
        <v/>
      </c>
      <c r="I247" s="130">
        <f>IFERROR(IF(AND(ISNUMBER(F247),ISNUMBER(H247)),F247-H247,""),"")</f>
        <v/>
      </c>
      <c r="J247" s="103" t="n"/>
      <c r="K247" s="131">
        <f>IFERROR(IF(H247&gt;0,H247*IF(OR(C247="Alpha",B247="Alpha"),$C$9,$C$8),""),"")</f>
        <v/>
      </c>
      <c r="L247" s="132">
        <f>IFERROR(IF(ISNUMBER(F247),F247-IF(ISNUMBER(K247),K247,0),""),"")</f>
        <v/>
      </c>
    </row>
    <row r="248" ht="24" customHeight="1" s="63">
      <c r="A248" s="98" t="n"/>
      <c r="B248" s="98" t="n"/>
      <c r="C248" s="98" t="n"/>
      <c r="D248" s="98" t="n"/>
      <c r="E248" s="127" t="n"/>
      <c r="F248" s="127" t="n"/>
      <c r="G248" s="128">
        <f>IFERROR(IF(E248&gt;0,(F248/E248)*1000,""),"")</f>
        <v/>
      </c>
      <c r="H248" s="129">
        <f>IFERROR(IF(E248&gt;0,E248*IF(ISNUMBER(J248),J248,IF(OR(C248="Alpha",B248="Alpha"),$C$7,IF(C248="Futures",$C$6,$C$5))),""),"")</f>
        <v/>
      </c>
      <c r="I248" s="130">
        <f>IFERROR(IF(AND(ISNUMBER(F248),ISNUMBER(H248)),F248-H248,""),"")</f>
        <v/>
      </c>
      <c r="J248" s="103" t="n"/>
      <c r="K248" s="131">
        <f>IFERROR(IF(H248&gt;0,H248*IF(OR(C248="Alpha",B248="Alpha"),$C$9,$C$8),""),"")</f>
        <v/>
      </c>
      <c r="L248" s="132">
        <f>IFERROR(IF(ISNUMBER(F248),F248-IF(ISNUMBER(K248),K248,0),""),"")</f>
        <v/>
      </c>
    </row>
    <row r="249" ht="24" customHeight="1" s="63">
      <c r="A249" s="98" t="n"/>
      <c r="B249" s="98" t="n"/>
      <c r="C249" s="98" t="n"/>
      <c r="D249" s="98" t="n"/>
      <c r="E249" s="127" t="n"/>
      <c r="F249" s="127" t="n"/>
      <c r="G249" s="128">
        <f>IFERROR(IF(E249&gt;0,(F249/E249)*1000,""),"")</f>
        <v/>
      </c>
      <c r="H249" s="129">
        <f>IFERROR(IF(E249&gt;0,E249*IF(ISNUMBER(J249),J249,IF(OR(C249="Alpha",B249="Alpha"),$C$7,IF(C249="Futures",$C$6,$C$5))),""),"")</f>
        <v/>
      </c>
      <c r="I249" s="130">
        <f>IFERROR(IF(AND(ISNUMBER(F249),ISNUMBER(H249)),F249-H249,""),"")</f>
        <v/>
      </c>
      <c r="J249" s="103" t="n"/>
      <c r="K249" s="131">
        <f>IFERROR(IF(H249&gt;0,H249*IF(OR(C249="Alpha",B249="Alpha"),$C$9,$C$8),""),"")</f>
        <v/>
      </c>
      <c r="L249" s="132">
        <f>IFERROR(IF(ISNUMBER(F249),F249-IF(ISNUMBER(K249),K249,0),""),"")</f>
        <v/>
      </c>
    </row>
    <row r="250" ht="24" customHeight="1" s="63">
      <c r="A250" s="98" t="n"/>
      <c r="B250" s="98" t="n"/>
      <c r="C250" s="98" t="n"/>
      <c r="D250" s="98" t="n"/>
      <c r="E250" s="127" t="n"/>
      <c r="F250" s="127" t="n"/>
      <c r="G250" s="128">
        <f>IFERROR(IF(E250&gt;0,(F250/E250)*1000,""),"")</f>
        <v/>
      </c>
      <c r="H250" s="129">
        <f>IFERROR(IF(E250&gt;0,E250*IF(ISNUMBER(J250),J250,IF(OR(C250="Alpha",B250="Alpha"),$C$7,IF(C250="Futures",$C$6,$C$5))),""),"")</f>
        <v/>
      </c>
      <c r="I250" s="130">
        <f>IFERROR(IF(AND(ISNUMBER(F250),ISNUMBER(H250)),F250-H250,""),"")</f>
        <v/>
      </c>
      <c r="J250" s="103" t="n"/>
      <c r="K250" s="131">
        <f>IFERROR(IF(H250&gt;0,H250*IF(OR(C250="Alpha",B250="Alpha"),$C$9,$C$8),""),"")</f>
        <v/>
      </c>
      <c r="L250" s="132">
        <f>IFERROR(IF(ISNUMBER(F250),F250-IF(ISNUMBER(K250),K250,0),""),"")</f>
        <v/>
      </c>
    </row>
    <row r="251" ht="24" customHeight="1" s="63">
      <c r="A251" s="40" t="n"/>
      <c r="B251" s="40" t="n"/>
      <c r="C251" s="40" t="n"/>
      <c r="D251" s="40" t="n"/>
      <c r="E251" s="133" t="n"/>
      <c r="F251" s="133" t="n"/>
      <c r="G251" s="134">
        <f>IFERROR(IF(E251&gt;0,(F251/E251)*1000,""),"")</f>
        <v/>
      </c>
      <c r="H251" s="135">
        <f>IFERROR(IF(E251&gt;0,E251*IF(ISNUMBER(J251),J251,IF(OR(C251="Alpha",B251="Alpha"),$C$7,IF(C251="Futures",$C$6,$C$5))),""),"")</f>
        <v/>
      </c>
      <c r="I251" s="136">
        <f>IFERROR(IF(AND(ISNUMBER(F251),ISNUMBER(H251)),F251-H251,""),"")</f>
        <v/>
      </c>
      <c r="J251" s="45" t="n"/>
      <c r="K251" s="137">
        <f>IFERROR(IF(H251&gt;0,H251*IF(OR(C251="Alpha",B251="Alpha"),$C$9,$C$8),""),"")</f>
        <v/>
      </c>
      <c r="L251" s="138">
        <f>IFERROR(IF(ISNUMBER(F251),F251-IF(ISNUMBER(K251),K251,0),""),"")</f>
        <v/>
      </c>
    </row>
    <row r="252" ht="24" customHeight="1" s="63">
      <c r="A252" s="40" t="n"/>
      <c r="B252" s="40" t="n"/>
      <c r="C252" s="40" t="n"/>
      <c r="D252" s="40" t="n"/>
      <c r="E252" s="133" t="n"/>
      <c r="F252" s="133" t="n"/>
      <c r="G252" s="134">
        <f>IFERROR(IF(E252&gt;0,(F252/E252)*1000,""),"")</f>
        <v/>
      </c>
      <c r="H252" s="135">
        <f>IFERROR(IF(E252&gt;0,E252*IF(ISNUMBER(J252),J252,IF(OR(C252="Alpha",B252="Alpha"),$C$7,IF(C252="Futures",$C$6,$C$5))),""),"")</f>
        <v/>
      </c>
      <c r="I252" s="136">
        <f>IFERROR(IF(AND(ISNUMBER(F252),ISNUMBER(H252)),F252-H252,""),"")</f>
        <v/>
      </c>
      <c r="J252" s="45" t="n"/>
      <c r="K252" s="137">
        <f>IFERROR(IF(H252&gt;0,H252*IF(OR(C252="Alpha",B252="Alpha"),$C$9,$C$8),""),"")</f>
        <v/>
      </c>
      <c r="L252" s="138">
        <f>IFERROR(IF(ISNUMBER(F252),F252-IF(ISNUMBER(K252),K252,0),""),"")</f>
        <v/>
      </c>
    </row>
    <row r="253" ht="24" customHeight="1" s="63">
      <c r="A253" s="40" t="n"/>
      <c r="B253" s="40" t="n"/>
      <c r="C253" s="40" t="n"/>
      <c r="D253" s="40" t="n"/>
      <c r="E253" s="133" t="n"/>
      <c r="F253" s="133" t="n"/>
      <c r="G253" s="134">
        <f>IFERROR(IF(E253&gt;0,(F253/E253)*1000,""),"")</f>
        <v/>
      </c>
      <c r="H253" s="135">
        <f>IFERROR(IF(E253&gt;0,E253*IF(ISNUMBER(J253),J253,IF(OR(C253="Alpha",B253="Alpha"),$C$7,IF(C253="Futures",$C$6,$C$5))),""),"")</f>
        <v/>
      </c>
      <c r="I253" s="136">
        <f>IFERROR(IF(AND(ISNUMBER(F253),ISNUMBER(H253)),F253-H253,""),"")</f>
        <v/>
      </c>
      <c r="J253" s="45" t="n"/>
      <c r="K253" s="137">
        <f>IFERROR(IF(H253&gt;0,H253*IF(OR(C253="Alpha",B253="Alpha"),$C$9,$C$8),""),"")</f>
        <v/>
      </c>
      <c r="L253" s="138">
        <f>IFERROR(IF(ISNUMBER(F253),F253-IF(ISNUMBER(K253),K253,0),""),"")</f>
        <v/>
      </c>
    </row>
    <row r="254" ht="24" customHeight="1" s="63">
      <c r="A254" s="40" t="n"/>
      <c r="B254" s="40" t="n"/>
      <c r="C254" s="40" t="n"/>
      <c r="D254" s="40" t="n"/>
      <c r="E254" s="133" t="n"/>
      <c r="F254" s="133" t="n"/>
      <c r="G254" s="134">
        <f>IFERROR(IF(E254&gt;0,(F254/E254)*1000,""),"")</f>
        <v/>
      </c>
      <c r="H254" s="135">
        <f>IFERROR(IF(E254&gt;0,E254*IF(ISNUMBER(J254),J254,IF(OR(C254="Alpha",B254="Alpha"),$C$7,IF(C254="Futures",$C$6,$C$5))),""),"")</f>
        <v/>
      </c>
      <c r="I254" s="136">
        <f>IFERROR(IF(AND(ISNUMBER(F254),ISNUMBER(H254)),F254-H254,""),"")</f>
        <v/>
      </c>
      <c r="J254" s="45" t="n"/>
      <c r="K254" s="137">
        <f>IFERROR(IF(H254&gt;0,H254*IF(OR(C254="Alpha",B254="Alpha"),$C$9,$C$8),""),"")</f>
        <v/>
      </c>
      <c r="L254" s="138">
        <f>IFERROR(IF(ISNUMBER(F254),F254-IF(ISNUMBER(K254),K254,0),""),"")</f>
        <v/>
      </c>
    </row>
    <row r="255" ht="24" customHeight="1" s="63">
      <c r="A255" s="40" t="n"/>
      <c r="B255" s="40" t="n"/>
      <c r="C255" s="40" t="n"/>
      <c r="D255" s="40" t="n"/>
      <c r="E255" s="133" t="n"/>
      <c r="F255" s="133" t="n"/>
      <c r="G255" s="134">
        <f>IFERROR(IF(E255&gt;0,(F255/E255)*1000,""),"")</f>
        <v/>
      </c>
      <c r="H255" s="135">
        <f>IFERROR(IF(E255&gt;0,E255*IF(ISNUMBER(J255),J255,IF(OR(C255="Alpha",B255="Alpha"),$C$7,IF(C255="Futures",$C$6,$C$5))),""),"")</f>
        <v/>
      </c>
      <c r="I255" s="136">
        <f>IFERROR(IF(AND(ISNUMBER(F255),ISNUMBER(H255)),F255-H255,""),"")</f>
        <v/>
      </c>
      <c r="J255" s="45" t="n"/>
      <c r="K255" s="137">
        <f>IFERROR(IF(H255&gt;0,H255*IF(OR(C255="Alpha",B255="Alpha"),$C$9,$C$8),""),"")</f>
        <v/>
      </c>
      <c r="L255" s="138">
        <f>IFERROR(IF(ISNUMBER(F255),F255-IF(ISNUMBER(K255),K255,0),""),"")</f>
        <v/>
      </c>
    </row>
    <row r="256" ht="24" customHeight="1" s="63">
      <c r="A256" s="40" t="n"/>
      <c r="B256" s="40" t="n"/>
      <c r="C256" s="40" t="n"/>
      <c r="D256" s="40" t="n"/>
      <c r="E256" s="133" t="n"/>
      <c r="F256" s="133" t="n"/>
      <c r="G256" s="134">
        <f>IFERROR(IF(E256&gt;0,(F256/E256)*1000,""),"")</f>
        <v/>
      </c>
      <c r="H256" s="135">
        <f>IFERROR(IF(E256&gt;0,E256*IF(ISNUMBER(J256),J256,IF(OR(C256="Alpha",B256="Alpha"),$C$7,IF(C256="Futures",$C$6,$C$5))),""),"")</f>
        <v/>
      </c>
      <c r="I256" s="136">
        <f>IFERROR(IF(AND(ISNUMBER(F256),ISNUMBER(H256)),F256-H256,""),"")</f>
        <v/>
      </c>
      <c r="J256" s="45" t="n"/>
      <c r="K256" s="137">
        <f>IFERROR(IF(H256&gt;0,H256*IF(OR(C256="Alpha",B256="Alpha"),$C$9,$C$8),""),"")</f>
        <v/>
      </c>
      <c r="L256" s="138">
        <f>IFERROR(IF(ISNUMBER(F256),F256-IF(ISNUMBER(K256),K256,0),""),"")</f>
        <v/>
      </c>
    </row>
    <row r="257" ht="24" customHeight="1" s="63">
      <c r="A257" s="40" t="n"/>
      <c r="B257" s="40" t="n"/>
      <c r="C257" s="40" t="n"/>
      <c r="D257" s="40" t="n"/>
      <c r="E257" s="133" t="n"/>
      <c r="F257" s="133" t="n"/>
      <c r="G257" s="134">
        <f>IFERROR(IF(E257&gt;0,(F257/E257)*1000,""),"")</f>
        <v/>
      </c>
      <c r="H257" s="135">
        <f>IFERROR(IF(E257&gt;0,E257*IF(ISNUMBER(J257),J257,IF(OR(C257="Alpha",B257="Alpha"),$C$7,IF(C257="Futures",$C$6,$C$5))),""),"")</f>
        <v/>
      </c>
      <c r="I257" s="136">
        <f>IFERROR(IF(AND(ISNUMBER(F257),ISNUMBER(H257)),F257-H257,""),"")</f>
        <v/>
      </c>
      <c r="J257" s="45" t="n"/>
      <c r="K257" s="137">
        <f>IFERROR(IF(H257&gt;0,H257*IF(OR(C257="Alpha",B257="Alpha"),$C$9,$C$8),""),"")</f>
        <v/>
      </c>
      <c r="L257" s="138">
        <f>IFERROR(IF(ISNUMBER(F257),F257-IF(ISNUMBER(K257),K257,0),""),"")</f>
        <v/>
      </c>
    </row>
    <row r="258" ht="24" customHeight="1" s="63">
      <c r="A258" s="40" t="n"/>
      <c r="B258" s="40" t="n"/>
      <c r="C258" s="40" t="n"/>
      <c r="D258" s="40" t="n"/>
      <c r="E258" s="133" t="n"/>
      <c r="F258" s="133" t="n"/>
      <c r="G258" s="134">
        <f>IFERROR(IF(E258&gt;0,(F258/E258)*1000,""),"")</f>
        <v/>
      </c>
      <c r="H258" s="135">
        <f>IFERROR(IF(E258&gt;0,E258*IF(ISNUMBER(J258),J258,IF(OR(C258="Alpha",B258="Alpha"),$C$7,IF(C258="Futures",$C$6,$C$5))),""),"")</f>
        <v/>
      </c>
      <c r="I258" s="136">
        <f>IFERROR(IF(AND(ISNUMBER(F258),ISNUMBER(H258)),F258-H258,""),"")</f>
        <v/>
      </c>
      <c r="J258" s="45" t="n"/>
      <c r="K258" s="137">
        <f>IFERROR(IF(H258&gt;0,H258*IF(OR(C258="Alpha",B258="Alpha"),$C$9,$C$8),""),"")</f>
        <v/>
      </c>
      <c r="L258" s="138">
        <f>IFERROR(IF(ISNUMBER(F258),F258-IF(ISNUMBER(K258),K258,0),""),"")</f>
        <v/>
      </c>
    </row>
    <row r="259" ht="24" customHeight="1" s="63">
      <c r="A259" s="40" t="n"/>
      <c r="B259" s="40" t="n"/>
      <c r="C259" s="40" t="n"/>
      <c r="D259" s="40" t="n"/>
      <c r="E259" s="133" t="n"/>
      <c r="F259" s="133" t="n"/>
      <c r="G259" s="134">
        <f>IFERROR(IF(E259&gt;0,(F259/E259)*1000,""),"")</f>
        <v/>
      </c>
      <c r="H259" s="135">
        <f>IFERROR(IF(E259&gt;0,E259*IF(ISNUMBER(J259),J259,IF(OR(C259="Alpha",B259="Alpha"),$C$7,IF(C259="Futures",$C$6,$C$5))),""),"")</f>
        <v/>
      </c>
      <c r="I259" s="136">
        <f>IFERROR(IF(AND(ISNUMBER(F259),ISNUMBER(H259)),F259-H259,""),"")</f>
        <v/>
      </c>
      <c r="J259" s="45" t="n"/>
      <c r="K259" s="137">
        <f>IFERROR(IF(H259&gt;0,H259*IF(OR(C259="Alpha",B259="Alpha"),$C$9,$C$8),""),"")</f>
        <v/>
      </c>
      <c r="L259" s="138">
        <f>IFERROR(IF(ISNUMBER(F259),F259-IF(ISNUMBER(K259),K259,0),""),"")</f>
        <v/>
      </c>
    </row>
    <row r="260" ht="24" customHeight="1" s="63">
      <c r="A260" s="40" t="n"/>
      <c r="B260" s="40" t="n"/>
      <c r="C260" s="40" t="n"/>
      <c r="D260" s="40" t="n"/>
      <c r="E260" s="133" t="n"/>
      <c r="F260" s="133" t="n"/>
      <c r="G260" s="134">
        <f>IFERROR(IF(E260&gt;0,(F260/E260)*1000,""),"")</f>
        <v/>
      </c>
      <c r="H260" s="135">
        <f>IFERROR(IF(E260&gt;0,E260*IF(ISNUMBER(J260),J260,IF(OR(C260="Alpha",B260="Alpha"),$C$7,IF(C260="Futures",$C$6,$C$5))),""),"")</f>
        <v/>
      </c>
      <c r="I260" s="136">
        <f>IFERROR(IF(AND(ISNUMBER(F260),ISNUMBER(H260)),F260-H260,""),"")</f>
        <v/>
      </c>
      <c r="J260" s="45" t="n"/>
      <c r="K260" s="137">
        <f>IFERROR(IF(H260&gt;0,H260*IF(OR(C260="Alpha",B260="Alpha"),$C$9,$C$8),""),"")</f>
        <v/>
      </c>
      <c r="L260" s="138">
        <f>IFERROR(IF(ISNUMBER(F260),F260-IF(ISNUMBER(K260),K260,0),""),"")</f>
        <v/>
      </c>
    </row>
    <row r="261" ht="24" customHeight="1" s="63">
      <c r="A261" s="40" t="n"/>
      <c r="B261" s="40" t="n"/>
      <c r="C261" s="40" t="n"/>
      <c r="D261" s="40" t="n"/>
      <c r="E261" s="133" t="n"/>
      <c r="F261" s="133" t="n"/>
      <c r="G261" s="134">
        <f>IFERROR(IF(E261&gt;0,(F261/E261)*1000,""),"")</f>
        <v/>
      </c>
      <c r="H261" s="135">
        <f>IFERROR(IF(E261&gt;0,E261*IF(ISNUMBER(J261),J261,IF(OR(C261="Alpha",B261="Alpha"),$C$7,IF(C261="Futures",$C$6,$C$5))),""),"")</f>
        <v/>
      </c>
      <c r="I261" s="136">
        <f>IFERROR(IF(AND(ISNUMBER(F261),ISNUMBER(H261)),F261-H261,""),"")</f>
        <v/>
      </c>
      <c r="J261" s="45" t="n"/>
      <c r="K261" s="137">
        <f>IFERROR(IF(H261&gt;0,H261*IF(OR(C261="Alpha",B261="Alpha"),$C$9,$C$8),""),"")</f>
        <v/>
      </c>
      <c r="L261" s="138">
        <f>IFERROR(IF(ISNUMBER(F261),F261-IF(ISNUMBER(K261),K261,0),""),"")</f>
        <v/>
      </c>
    </row>
    <row r="262" ht="24" customHeight="1" s="63">
      <c r="A262" s="40" t="n"/>
      <c r="B262" s="40" t="n"/>
      <c r="C262" s="40" t="n"/>
      <c r="D262" s="40" t="n"/>
      <c r="E262" s="133" t="n"/>
      <c r="F262" s="133" t="n"/>
      <c r="G262" s="134">
        <f>IFERROR(IF(E262&gt;0,(F262/E262)*1000,""),"")</f>
        <v/>
      </c>
      <c r="H262" s="135">
        <f>IFERROR(IF(E262&gt;0,E262*IF(ISNUMBER(J262),J262,IF(OR(C262="Alpha",B262="Alpha"),$C$7,IF(C262="Futures",$C$6,$C$5))),""),"")</f>
        <v/>
      </c>
      <c r="I262" s="136">
        <f>IFERROR(IF(AND(ISNUMBER(F262),ISNUMBER(H262)),F262-H262,""),"")</f>
        <v/>
      </c>
      <c r="J262" s="45" t="n"/>
      <c r="K262" s="137">
        <f>IFERROR(IF(H262&gt;0,H262*IF(OR(C262="Alpha",B262="Alpha"),$C$9,$C$8),""),"")</f>
        <v/>
      </c>
      <c r="L262" s="138">
        <f>IFERROR(IF(ISNUMBER(F262),F262-IF(ISNUMBER(K262),K262,0),""),"")</f>
        <v/>
      </c>
    </row>
    <row r="263" ht="24" customHeight="1" s="63">
      <c r="A263" s="40" t="n"/>
      <c r="B263" s="40" t="n"/>
      <c r="C263" s="40" t="n"/>
      <c r="D263" s="40" t="n"/>
      <c r="E263" s="133" t="n"/>
      <c r="F263" s="133" t="n"/>
      <c r="G263" s="134">
        <f>IFERROR(IF(E263&gt;0,(F263/E263)*1000,""),"")</f>
        <v/>
      </c>
      <c r="H263" s="135">
        <f>IFERROR(IF(E263&gt;0,E263*IF(ISNUMBER(J263),J263,IF(OR(C263="Alpha",B263="Alpha"),$C$7,IF(C263="Futures",$C$6,$C$5))),""),"")</f>
        <v/>
      </c>
      <c r="I263" s="136">
        <f>IFERROR(IF(AND(ISNUMBER(F263),ISNUMBER(H263)),F263-H263,""),"")</f>
        <v/>
      </c>
      <c r="J263" s="45" t="n"/>
      <c r="K263" s="137">
        <f>IFERROR(IF(H263&gt;0,H263*IF(OR(C263="Alpha",B263="Alpha"),$C$9,$C$8),""),"")</f>
        <v/>
      </c>
      <c r="L263" s="138">
        <f>IFERROR(IF(ISNUMBER(F263),F263-IF(ISNUMBER(K263),K263,0),""),"")</f>
        <v/>
      </c>
    </row>
    <row r="264" ht="24" customHeight="1" s="63">
      <c r="A264" s="40" t="n"/>
      <c r="B264" s="40" t="n"/>
      <c r="C264" s="40" t="n"/>
      <c r="D264" s="40" t="n"/>
      <c r="E264" s="133" t="n"/>
      <c r="F264" s="133" t="n"/>
      <c r="G264" s="134">
        <f>IFERROR(IF(E264&gt;0,(F264/E264)*1000,""),"")</f>
        <v/>
      </c>
      <c r="H264" s="135">
        <f>IFERROR(IF(E264&gt;0,E264*IF(ISNUMBER(J264),J264,IF(OR(C264="Alpha",B264="Alpha"),$C$7,IF(C264="Futures",$C$6,$C$5))),""),"")</f>
        <v/>
      </c>
      <c r="I264" s="136">
        <f>IFERROR(IF(AND(ISNUMBER(F264),ISNUMBER(H264)),F264-H264,""),"")</f>
        <v/>
      </c>
      <c r="J264" s="45" t="n"/>
      <c r="K264" s="137">
        <f>IFERROR(IF(H264&gt;0,H264*IF(OR(C264="Alpha",B264="Alpha"),$C$9,$C$8),""),"")</f>
        <v/>
      </c>
      <c r="L264" s="138">
        <f>IFERROR(IF(ISNUMBER(F264),F264-IF(ISNUMBER(K264),K264,0),""),"")</f>
        <v/>
      </c>
    </row>
    <row r="265" ht="24" customHeight="1" s="63">
      <c r="A265" s="40" t="n"/>
      <c r="B265" s="40" t="n"/>
      <c r="C265" s="40" t="n"/>
      <c r="D265" s="40" t="n"/>
      <c r="E265" s="133" t="n"/>
      <c r="F265" s="133" t="n"/>
      <c r="G265" s="134">
        <f>IFERROR(IF(E265&gt;0,(F265/E265)*1000,""),"")</f>
        <v/>
      </c>
      <c r="H265" s="135">
        <f>IFERROR(IF(E265&gt;0,E265*IF(ISNUMBER(J265),J265,IF(OR(C265="Alpha",B265="Alpha"),$C$7,IF(C265="Futures",$C$6,$C$5))),""),"")</f>
        <v/>
      </c>
      <c r="I265" s="136">
        <f>IFERROR(IF(AND(ISNUMBER(F265),ISNUMBER(H265)),F265-H265,""),"")</f>
        <v/>
      </c>
      <c r="J265" s="45" t="n"/>
      <c r="K265" s="137">
        <f>IFERROR(IF(H265&gt;0,H265*IF(OR(C265="Alpha",B265="Alpha"),$C$9,$C$8),""),"")</f>
        <v/>
      </c>
      <c r="L265" s="138">
        <f>IFERROR(IF(ISNUMBER(F265),F265-IF(ISNUMBER(K265),K265,0),""),"")</f>
        <v/>
      </c>
    </row>
    <row r="266" ht="24" customHeight="1" s="63">
      <c r="A266" s="40" t="n"/>
      <c r="B266" s="40" t="n"/>
      <c r="C266" s="40" t="n"/>
      <c r="D266" s="40" t="n"/>
      <c r="E266" s="133" t="n"/>
      <c r="F266" s="133" t="n"/>
      <c r="G266" s="134">
        <f>IFERROR(IF(E266&gt;0,(F266/E266)*1000,""),"")</f>
        <v/>
      </c>
      <c r="H266" s="135">
        <f>IFERROR(IF(E266&gt;0,E266*IF(ISNUMBER(J266),J266,IF(OR(C266="Alpha",B266="Alpha"),$C$7,IF(C266="Futures",$C$6,$C$5))),""),"")</f>
        <v/>
      </c>
      <c r="I266" s="136">
        <f>IFERROR(IF(AND(ISNUMBER(F266),ISNUMBER(H266)),F266-H266,""),"")</f>
        <v/>
      </c>
      <c r="J266" s="45" t="n"/>
      <c r="K266" s="137">
        <f>IFERROR(IF(H266&gt;0,H266*IF(OR(C266="Alpha",B266="Alpha"),$C$9,$C$8),""),"")</f>
        <v/>
      </c>
      <c r="L266" s="138">
        <f>IFERROR(IF(ISNUMBER(F266),F266-IF(ISNUMBER(K266),K266,0),""),"")</f>
        <v/>
      </c>
    </row>
    <row r="267" ht="24" customHeight="1" s="63">
      <c r="A267" s="40" t="n"/>
      <c r="B267" s="40" t="n"/>
      <c r="C267" s="40" t="n"/>
      <c r="D267" s="40" t="n"/>
      <c r="E267" s="133" t="n"/>
      <c r="F267" s="133" t="n"/>
      <c r="G267" s="134">
        <f>IFERROR(IF(E267&gt;0,(F267/E267)*1000,""),"")</f>
        <v/>
      </c>
      <c r="H267" s="135">
        <f>IFERROR(IF(E267&gt;0,E267*IF(ISNUMBER(J267),J267,IF(OR(C267="Alpha",B267="Alpha"),$C$7,IF(C267="Futures",$C$6,$C$5))),""),"")</f>
        <v/>
      </c>
      <c r="I267" s="136">
        <f>IFERROR(IF(AND(ISNUMBER(F267),ISNUMBER(H267)),F267-H267,""),"")</f>
        <v/>
      </c>
      <c r="J267" s="45" t="n"/>
      <c r="K267" s="137">
        <f>IFERROR(IF(H267&gt;0,H267*IF(OR(C267="Alpha",B267="Alpha"),$C$9,$C$8),""),"")</f>
        <v/>
      </c>
      <c r="L267" s="138">
        <f>IFERROR(IF(ISNUMBER(F267),F267-IF(ISNUMBER(K267),K267,0),""),"")</f>
        <v/>
      </c>
    </row>
    <row r="268" ht="24" customHeight="1" s="63">
      <c r="A268" s="40" t="n"/>
      <c r="B268" s="40" t="n"/>
      <c r="C268" s="40" t="n"/>
      <c r="D268" s="40" t="n"/>
      <c r="E268" s="133" t="n"/>
      <c r="F268" s="133" t="n"/>
      <c r="G268" s="134">
        <f>IFERROR(IF(E268&gt;0,(F268/E268)*1000,""),"")</f>
        <v/>
      </c>
      <c r="H268" s="135">
        <f>IFERROR(IF(E268&gt;0,E268*IF(ISNUMBER(J268),J268,IF(OR(C268="Alpha",B268="Alpha"),$C$7,IF(C268="Futures",$C$6,$C$5))),""),"")</f>
        <v/>
      </c>
      <c r="I268" s="136">
        <f>IFERROR(IF(AND(ISNUMBER(F268),ISNUMBER(H268)),F268-H268,""),"")</f>
        <v/>
      </c>
      <c r="J268" s="45" t="n"/>
      <c r="K268" s="137">
        <f>IFERROR(IF(H268&gt;0,H268*IF(OR(C268="Alpha",B268="Alpha"),$C$9,$C$8),""),"")</f>
        <v/>
      </c>
      <c r="L268" s="138">
        <f>IFERROR(IF(ISNUMBER(F268),F268-IF(ISNUMBER(K268),K268,0),""),"")</f>
        <v/>
      </c>
    </row>
    <row r="269" ht="24" customHeight="1" s="63">
      <c r="A269" s="40" t="n"/>
      <c r="B269" s="40" t="n"/>
      <c r="C269" s="40" t="n"/>
      <c r="D269" s="40" t="n"/>
      <c r="E269" s="133" t="n"/>
      <c r="F269" s="133" t="n"/>
      <c r="G269" s="134">
        <f>IFERROR(IF(E269&gt;0,(F269/E269)*1000,""),"")</f>
        <v/>
      </c>
      <c r="H269" s="135">
        <f>IFERROR(IF(E269&gt;0,E269*IF(ISNUMBER(J269),J269,IF(OR(C269="Alpha",B269="Alpha"),$C$7,IF(C269="Futures",$C$6,$C$5))),""),"")</f>
        <v/>
      </c>
      <c r="I269" s="136">
        <f>IFERROR(IF(AND(ISNUMBER(F269),ISNUMBER(H269)),F269-H269,""),"")</f>
        <v/>
      </c>
      <c r="J269" s="45" t="n"/>
      <c r="K269" s="137">
        <f>IFERROR(IF(H269&gt;0,H269*IF(OR(C269="Alpha",B269="Alpha"),$C$9,$C$8),""),"")</f>
        <v/>
      </c>
      <c r="L269" s="138">
        <f>IFERROR(IF(ISNUMBER(F269),F269-IF(ISNUMBER(K269),K269,0),""),"")</f>
        <v/>
      </c>
    </row>
    <row r="270" ht="24" customHeight="1" s="63">
      <c r="A270" s="40" t="n"/>
      <c r="B270" s="40" t="n"/>
      <c r="C270" s="40" t="n"/>
      <c r="D270" s="40" t="n"/>
      <c r="E270" s="133" t="n"/>
      <c r="F270" s="133" t="n"/>
      <c r="G270" s="134">
        <f>IFERROR(IF(E270&gt;0,(F270/E270)*1000,""),"")</f>
        <v/>
      </c>
      <c r="H270" s="135">
        <f>IFERROR(IF(E270&gt;0,E270*IF(ISNUMBER(J270),J270,IF(OR(C270="Alpha",B270="Alpha"),$C$7,IF(C270="Futures",$C$6,$C$5))),""),"")</f>
        <v/>
      </c>
      <c r="I270" s="136">
        <f>IFERROR(IF(AND(ISNUMBER(F270),ISNUMBER(H270)),F270-H270,""),"")</f>
        <v/>
      </c>
      <c r="J270" s="45" t="n"/>
      <c r="K270" s="137">
        <f>IFERROR(IF(H270&gt;0,H270*IF(OR(C270="Alpha",B270="Alpha"),$C$9,$C$8),""),"")</f>
        <v/>
      </c>
      <c r="L270" s="138">
        <f>IFERROR(IF(ISNUMBER(F270),F270-IF(ISNUMBER(K270),K270,0),""),"")</f>
        <v/>
      </c>
    </row>
    <row r="271" ht="24" customHeight="1" s="63">
      <c r="A271" s="40" t="n"/>
      <c r="B271" s="40" t="n"/>
      <c r="C271" s="40" t="n"/>
      <c r="D271" s="40" t="n"/>
      <c r="E271" s="133" t="n"/>
      <c r="F271" s="133" t="n"/>
      <c r="G271" s="134">
        <f>IFERROR(IF(E271&gt;0,(F271/E271)*1000,""),"")</f>
        <v/>
      </c>
      <c r="H271" s="135">
        <f>IFERROR(IF(E271&gt;0,E271*IF(ISNUMBER(J271),J271,IF(OR(C271="Alpha",B271="Alpha"),$C$7,IF(C271="Futures",$C$6,$C$5))),""),"")</f>
        <v/>
      </c>
      <c r="I271" s="136">
        <f>IFERROR(IF(AND(ISNUMBER(F271),ISNUMBER(H271)),F271-H271,""),"")</f>
        <v/>
      </c>
      <c r="J271" s="45" t="n"/>
      <c r="K271" s="137">
        <f>IFERROR(IF(H271&gt;0,H271*IF(OR(C271="Alpha",B271="Alpha"),$C$9,$C$8),""),"")</f>
        <v/>
      </c>
      <c r="L271" s="138">
        <f>IFERROR(IF(ISNUMBER(F271),F271-IF(ISNUMBER(K271),K271,0),""),"")</f>
        <v/>
      </c>
    </row>
    <row r="272" ht="24" customHeight="1" s="63">
      <c r="A272" s="40" t="n"/>
      <c r="B272" s="40" t="n"/>
      <c r="C272" s="40" t="n"/>
      <c r="D272" s="40" t="n"/>
      <c r="E272" s="133" t="n"/>
      <c r="F272" s="133" t="n"/>
      <c r="G272" s="134">
        <f>IFERROR(IF(E272&gt;0,(F272/E272)*1000,""),"")</f>
        <v/>
      </c>
      <c r="H272" s="135">
        <f>IFERROR(IF(E272&gt;0,E272*IF(ISNUMBER(J272),J272,IF(OR(C272="Alpha",B272="Alpha"),$C$7,IF(C272="Futures",$C$6,$C$5))),""),"")</f>
        <v/>
      </c>
      <c r="I272" s="136">
        <f>IFERROR(IF(AND(ISNUMBER(F272),ISNUMBER(H272)),F272-H272,""),"")</f>
        <v/>
      </c>
      <c r="J272" s="45" t="n"/>
      <c r="K272" s="137">
        <f>IFERROR(IF(H272&gt;0,H272*IF(OR(C272="Alpha",B272="Alpha"),$C$9,$C$8),""),"")</f>
        <v/>
      </c>
      <c r="L272" s="138">
        <f>IFERROR(IF(ISNUMBER(F272),F272-IF(ISNUMBER(K272),K272,0),""),"")</f>
        <v/>
      </c>
    </row>
    <row r="273" ht="24" customHeight="1" s="63">
      <c r="A273" s="40" t="n"/>
      <c r="B273" s="40" t="n"/>
      <c r="C273" s="40" t="n"/>
      <c r="D273" s="40" t="n"/>
      <c r="E273" s="133" t="n"/>
      <c r="F273" s="133" t="n"/>
      <c r="G273" s="134">
        <f>IFERROR(IF(E273&gt;0,(F273/E273)*1000,""),"")</f>
        <v/>
      </c>
      <c r="H273" s="135">
        <f>IFERROR(IF(E273&gt;0,E273*IF(ISNUMBER(J273),J273,IF(OR(C273="Alpha",B273="Alpha"),$C$7,IF(C273="Futures",$C$6,$C$5))),""),"")</f>
        <v/>
      </c>
      <c r="I273" s="136">
        <f>IFERROR(IF(AND(ISNUMBER(F273),ISNUMBER(H273)),F273-H273,""),"")</f>
        <v/>
      </c>
      <c r="J273" s="45" t="n"/>
      <c r="K273" s="137">
        <f>IFERROR(IF(H273&gt;0,H273*IF(OR(C273="Alpha",B273="Alpha"),$C$9,$C$8),""),"")</f>
        <v/>
      </c>
      <c r="L273" s="138">
        <f>IFERROR(IF(ISNUMBER(F273),F273-IF(ISNUMBER(K273),K273,0),""),"")</f>
        <v/>
      </c>
    </row>
    <row r="274" ht="24" customHeight="1" s="63">
      <c r="A274" s="40" t="n"/>
      <c r="B274" s="40" t="n"/>
      <c r="C274" s="40" t="n"/>
      <c r="D274" s="40" t="n"/>
      <c r="E274" s="133" t="n"/>
      <c r="F274" s="133" t="n"/>
      <c r="G274" s="134">
        <f>IFERROR(IF(E274&gt;0,(F274/E274)*1000,""),"")</f>
        <v/>
      </c>
      <c r="H274" s="135">
        <f>IFERROR(IF(E274&gt;0,E274*IF(ISNUMBER(J274),J274,IF(OR(C274="Alpha",B274="Alpha"),$C$7,IF(C274="Futures",$C$6,$C$5))),""),"")</f>
        <v/>
      </c>
      <c r="I274" s="136">
        <f>IFERROR(IF(AND(ISNUMBER(F274),ISNUMBER(H274)),F274-H274,""),"")</f>
        <v/>
      </c>
      <c r="J274" s="45" t="n"/>
      <c r="K274" s="137">
        <f>IFERROR(IF(H274&gt;0,H274*IF(OR(C274="Alpha",B274="Alpha"),$C$9,$C$8),""),"")</f>
        <v/>
      </c>
      <c r="L274" s="138">
        <f>IFERROR(IF(ISNUMBER(F274),F274-IF(ISNUMBER(K274),K274,0),""),"")</f>
        <v/>
      </c>
    </row>
    <row r="275" ht="24" customHeight="1" s="63">
      <c r="A275" s="40" t="n"/>
      <c r="B275" s="40" t="n"/>
      <c r="C275" s="40" t="n"/>
      <c r="D275" s="40" t="n"/>
      <c r="E275" s="133" t="n"/>
      <c r="F275" s="133" t="n"/>
      <c r="G275" s="134">
        <f>IFERROR(IF(E275&gt;0,(F275/E275)*1000,""),"")</f>
        <v/>
      </c>
      <c r="H275" s="135">
        <f>IFERROR(IF(E275&gt;0,E275*IF(ISNUMBER(J275),J275,IF(OR(C275="Alpha",B275="Alpha"),$C$7,IF(C275="Futures",$C$6,$C$5))),""),"")</f>
        <v/>
      </c>
      <c r="I275" s="136">
        <f>IFERROR(IF(AND(ISNUMBER(F275),ISNUMBER(H275)),F275-H275,""),"")</f>
        <v/>
      </c>
      <c r="J275" s="45" t="n"/>
      <c r="K275" s="137">
        <f>IFERROR(IF(H275&gt;0,H275*IF(OR(C275="Alpha",B275="Alpha"),$C$9,$C$8),""),"")</f>
        <v/>
      </c>
      <c r="L275" s="138">
        <f>IFERROR(IF(ISNUMBER(F275),F275-IF(ISNUMBER(K275),K275,0),""),"")</f>
        <v/>
      </c>
    </row>
    <row r="276" ht="24" customHeight="1" s="63">
      <c r="A276" s="40" t="n"/>
      <c r="B276" s="40" t="n"/>
      <c r="C276" s="40" t="n"/>
      <c r="D276" s="40" t="n"/>
      <c r="E276" s="133" t="n"/>
      <c r="F276" s="133" t="n"/>
      <c r="G276" s="134">
        <f>IFERROR(IF(E276&gt;0,(F276/E276)*1000,""),"")</f>
        <v/>
      </c>
      <c r="H276" s="135">
        <f>IFERROR(IF(E276&gt;0,E276*IF(ISNUMBER(J276),J276,IF(OR(C276="Alpha",B276="Alpha"),$C$7,IF(C276="Futures",$C$6,$C$5))),""),"")</f>
        <v/>
      </c>
      <c r="I276" s="136">
        <f>IFERROR(IF(AND(ISNUMBER(F276),ISNUMBER(H276)),F276-H276,""),"")</f>
        <v/>
      </c>
      <c r="J276" s="45" t="n"/>
      <c r="K276" s="137">
        <f>IFERROR(IF(H276&gt;0,H276*IF(OR(C276="Alpha",B276="Alpha"),$C$9,$C$8),""),"")</f>
        <v/>
      </c>
      <c r="L276" s="138">
        <f>IFERROR(IF(ISNUMBER(F276),F276-IF(ISNUMBER(K276),K276,0),""),"")</f>
        <v/>
      </c>
    </row>
    <row r="277" ht="24" customHeight="1" s="63">
      <c r="A277" s="40" t="n"/>
      <c r="B277" s="40" t="n"/>
      <c r="C277" s="40" t="n"/>
      <c r="D277" s="40" t="n"/>
      <c r="E277" s="133" t="n"/>
      <c r="F277" s="133" t="n"/>
      <c r="G277" s="134">
        <f>IFERROR(IF(E277&gt;0,(F277/E277)*1000,""),"")</f>
        <v/>
      </c>
      <c r="H277" s="135">
        <f>IFERROR(IF(E277&gt;0,E277*IF(ISNUMBER(J277),J277,IF(OR(C277="Alpha",B277="Alpha"),$C$7,IF(C277="Futures",$C$6,$C$5))),""),"")</f>
        <v/>
      </c>
      <c r="I277" s="136">
        <f>IFERROR(IF(AND(ISNUMBER(F277),ISNUMBER(H277)),F277-H277,""),"")</f>
        <v/>
      </c>
      <c r="J277" s="45" t="n"/>
      <c r="K277" s="137">
        <f>IFERROR(IF(H277&gt;0,H277*IF(OR(C277="Alpha",B277="Alpha"),$C$9,$C$8),""),"")</f>
        <v/>
      </c>
      <c r="L277" s="138">
        <f>IFERROR(IF(ISNUMBER(F277),F277-IF(ISNUMBER(K277),K277,0),""),"")</f>
        <v/>
      </c>
    </row>
    <row r="278" ht="24" customHeight="1" s="63">
      <c r="A278" s="40" t="n"/>
      <c r="B278" s="40" t="n"/>
      <c r="C278" s="40" t="n"/>
      <c r="D278" s="40" t="n"/>
      <c r="E278" s="133" t="n"/>
      <c r="F278" s="133" t="n"/>
      <c r="G278" s="134">
        <f>IFERROR(IF(E278&gt;0,(F278/E278)*1000,""),"")</f>
        <v/>
      </c>
      <c r="H278" s="135">
        <f>IFERROR(IF(E278&gt;0,E278*IF(ISNUMBER(J278),J278,IF(OR(C278="Alpha",B278="Alpha"),$C$7,IF(C278="Futures",$C$6,$C$5))),""),"")</f>
        <v/>
      </c>
      <c r="I278" s="136">
        <f>IFERROR(IF(AND(ISNUMBER(F278),ISNUMBER(H278)),F278-H278,""),"")</f>
        <v/>
      </c>
      <c r="J278" s="45" t="n"/>
      <c r="K278" s="137">
        <f>IFERROR(IF(H278&gt;0,H278*IF(OR(C278="Alpha",B278="Alpha"),$C$9,$C$8),""),"")</f>
        <v/>
      </c>
      <c r="L278" s="138">
        <f>IFERROR(IF(ISNUMBER(F278),F278-IF(ISNUMBER(K278),K278,0),""),"")</f>
        <v/>
      </c>
    </row>
    <row r="279" ht="24" customHeight="1" s="63">
      <c r="A279" s="40" t="n"/>
      <c r="B279" s="40" t="n"/>
      <c r="C279" s="40" t="n"/>
      <c r="D279" s="40" t="n"/>
      <c r="E279" s="133" t="n"/>
      <c r="F279" s="133" t="n"/>
      <c r="G279" s="134">
        <f>IFERROR(IF(E279&gt;0,(F279/E279)*1000,""),"")</f>
        <v/>
      </c>
      <c r="H279" s="135">
        <f>IFERROR(IF(E279&gt;0,E279*IF(ISNUMBER(J279),J279,IF(OR(C279="Alpha",B279="Alpha"),$C$7,IF(C279="Futures",$C$6,$C$5))),""),"")</f>
        <v/>
      </c>
      <c r="I279" s="136">
        <f>IFERROR(IF(AND(ISNUMBER(F279),ISNUMBER(H279)),F279-H279,""),"")</f>
        <v/>
      </c>
      <c r="J279" s="45" t="n"/>
      <c r="K279" s="137">
        <f>IFERROR(IF(H279&gt;0,H279*IF(OR(C279="Alpha",B279="Alpha"),$C$9,$C$8),""),"")</f>
        <v/>
      </c>
      <c r="L279" s="138">
        <f>IFERROR(IF(ISNUMBER(F279),F279-IF(ISNUMBER(K279),K279,0),""),"")</f>
        <v/>
      </c>
    </row>
    <row r="280" ht="24" customHeight="1" s="63">
      <c r="A280" s="40" t="n"/>
      <c r="B280" s="40" t="n"/>
      <c r="C280" s="40" t="n"/>
      <c r="D280" s="40" t="n"/>
      <c r="E280" s="133" t="n"/>
      <c r="F280" s="133" t="n"/>
      <c r="G280" s="134">
        <f>IFERROR(IF(E280&gt;0,(F280/E280)*1000,""),"")</f>
        <v/>
      </c>
      <c r="H280" s="135">
        <f>IFERROR(IF(E280&gt;0,E280*IF(ISNUMBER(J280),J280,IF(OR(C280="Alpha",B280="Alpha"),$C$7,IF(C280="Futures",$C$6,$C$5))),""),"")</f>
        <v/>
      </c>
      <c r="I280" s="136">
        <f>IFERROR(IF(AND(ISNUMBER(F280),ISNUMBER(H280)),F280-H280,""),"")</f>
        <v/>
      </c>
      <c r="J280" s="45" t="n"/>
      <c r="K280" s="137">
        <f>IFERROR(IF(H280&gt;0,H280*IF(OR(C280="Alpha",B280="Alpha"),$C$9,$C$8),""),"")</f>
        <v/>
      </c>
      <c r="L280" s="138">
        <f>IFERROR(IF(ISNUMBER(F280),F280-IF(ISNUMBER(K280),K280,0),""),"")</f>
        <v/>
      </c>
    </row>
    <row r="281" ht="24" customHeight="1" s="63">
      <c r="A281" s="40" t="n"/>
      <c r="B281" s="40" t="n"/>
      <c r="C281" s="40" t="n"/>
      <c r="D281" s="40" t="n"/>
      <c r="E281" s="133" t="n"/>
      <c r="F281" s="133" t="n"/>
      <c r="G281" s="134">
        <f>IFERROR(IF(E281&gt;0,(F281/E281)*1000,""),"")</f>
        <v/>
      </c>
      <c r="H281" s="135">
        <f>IFERROR(IF(E281&gt;0,E281*IF(ISNUMBER(J281),J281,IF(OR(C281="Alpha",B281="Alpha"),$C$7,IF(C281="Futures",$C$6,$C$5))),""),"")</f>
        <v/>
      </c>
      <c r="I281" s="136">
        <f>IFERROR(IF(AND(ISNUMBER(F281),ISNUMBER(H281)),F281-H281,""),"")</f>
        <v/>
      </c>
      <c r="J281" s="45" t="n"/>
      <c r="K281" s="137">
        <f>IFERROR(IF(H281&gt;0,H281*IF(OR(C281="Alpha",B281="Alpha"),$C$9,$C$8),""),"")</f>
        <v/>
      </c>
      <c r="L281" s="138">
        <f>IFERROR(IF(ISNUMBER(F281),F281-IF(ISNUMBER(K281),K281,0),""),"")</f>
        <v/>
      </c>
    </row>
    <row r="282" ht="24" customHeight="1" s="63">
      <c r="A282" s="40" t="n"/>
      <c r="B282" s="40" t="n"/>
      <c r="C282" s="40" t="n"/>
      <c r="D282" s="40" t="n"/>
      <c r="E282" s="133" t="n"/>
      <c r="F282" s="133" t="n"/>
      <c r="G282" s="134">
        <f>IFERROR(IF(E282&gt;0,(F282/E282)*1000,""),"")</f>
        <v/>
      </c>
      <c r="H282" s="135">
        <f>IFERROR(IF(E282&gt;0,E282*IF(ISNUMBER(J282),J282,IF(OR(C282="Alpha",B282="Alpha"),$C$7,IF(C282="Futures",$C$6,$C$5))),""),"")</f>
        <v/>
      </c>
      <c r="I282" s="136">
        <f>IFERROR(IF(AND(ISNUMBER(F282),ISNUMBER(H282)),F282-H282,""),"")</f>
        <v/>
      </c>
      <c r="J282" s="45" t="n"/>
      <c r="K282" s="137">
        <f>IFERROR(IF(H282&gt;0,H282*IF(OR(C282="Alpha",B282="Alpha"),$C$9,$C$8),""),"")</f>
        <v/>
      </c>
      <c r="L282" s="138">
        <f>IFERROR(IF(ISNUMBER(F282),F282-IF(ISNUMBER(K282),K282,0),""),"")</f>
        <v/>
      </c>
    </row>
    <row r="283" ht="24" customHeight="1" s="63">
      <c r="A283" s="40" t="n"/>
      <c r="B283" s="40" t="n"/>
      <c r="C283" s="40" t="n"/>
      <c r="D283" s="40" t="n"/>
      <c r="E283" s="133" t="n"/>
      <c r="F283" s="133" t="n"/>
      <c r="G283" s="134">
        <f>IFERROR(IF(E283&gt;0,(F283/E283)*1000,""),"")</f>
        <v/>
      </c>
      <c r="H283" s="135">
        <f>IFERROR(IF(E283&gt;0,E283*IF(ISNUMBER(J283),J283,IF(OR(C283="Alpha",B283="Alpha"),$C$7,IF(C283="Futures",$C$6,$C$5))),""),"")</f>
        <v/>
      </c>
      <c r="I283" s="136">
        <f>IFERROR(IF(AND(ISNUMBER(F283),ISNUMBER(H283)),F283-H283,""),"")</f>
        <v/>
      </c>
      <c r="J283" s="45" t="n"/>
      <c r="K283" s="137">
        <f>IFERROR(IF(H283&gt;0,H283*IF(OR(C283="Alpha",B283="Alpha"),$C$9,$C$8),""),"")</f>
        <v/>
      </c>
      <c r="L283" s="138">
        <f>IFERROR(IF(ISNUMBER(F283),F283-IF(ISNUMBER(K283),K283,0),""),"")</f>
        <v/>
      </c>
    </row>
    <row r="284" ht="24" customHeight="1" s="63">
      <c r="A284" s="40" t="n"/>
      <c r="B284" s="40" t="n"/>
      <c r="C284" s="40" t="n"/>
      <c r="D284" s="40" t="n"/>
      <c r="E284" s="133" t="n"/>
      <c r="F284" s="133" t="n"/>
      <c r="G284" s="134">
        <f>IFERROR(IF(E284&gt;0,(F284/E284)*1000,""),"")</f>
        <v/>
      </c>
      <c r="H284" s="135">
        <f>IFERROR(IF(E284&gt;0,E284*IF(ISNUMBER(J284),J284,IF(OR(C284="Alpha",B284="Alpha"),$C$7,IF(C284="Futures",$C$6,$C$5))),""),"")</f>
        <v/>
      </c>
      <c r="I284" s="136">
        <f>IFERROR(IF(AND(ISNUMBER(F284),ISNUMBER(H284)),F284-H284,""),"")</f>
        <v/>
      </c>
      <c r="J284" s="45" t="n"/>
      <c r="K284" s="137">
        <f>IFERROR(IF(H284&gt;0,H284*IF(OR(C284="Alpha",B284="Alpha"),$C$9,$C$8),""),"")</f>
        <v/>
      </c>
      <c r="L284" s="138">
        <f>IFERROR(IF(ISNUMBER(F284),F284-IF(ISNUMBER(K284),K284,0),""),"")</f>
        <v/>
      </c>
    </row>
    <row r="285" ht="24" customHeight="1" s="63">
      <c r="A285" s="40" t="n"/>
      <c r="B285" s="40" t="n"/>
      <c r="C285" s="40" t="n"/>
      <c r="D285" s="40" t="n"/>
      <c r="E285" s="133" t="n"/>
      <c r="F285" s="133" t="n"/>
      <c r="G285" s="134">
        <f>IFERROR(IF(E285&gt;0,(F285/E285)*1000,""),"")</f>
        <v/>
      </c>
      <c r="H285" s="135">
        <f>IFERROR(IF(E285&gt;0,E285*IF(ISNUMBER(J285),J285,IF(OR(C285="Alpha",B285="Alpha"),$C$7,IF(C285="Futures",$C$6,$C$5))),""),"")</f>
        <v/>
      </c>
      <c r="I285" s="136">
        <f>IFERROR(IF(AND(ISNUMBER(F285),ISNUMBER(H285)),F285-H285,""),"")</f>
        <v/>
      </c>
      <c r="J285" s="45" t="n"/>
      <c r="K285" s="137">
        <f>IFERROR(IF(H285&gt;0,H285*IF(OR(C285="Alpha",B285="Alpha"),$C$9,$C$8),""),"")</f>
        <v/>
      </c>
      <c r="L285" s="138">
        <f>IFERROR(IF(ISNUMBER(F285),F285-IF(ISNUMBER(K285),K285,0),""),"")</f>
        <v/>
      </c>
    </row>
    <row r="286" ht="24" customHeight="1" s="63">
      <c r="A286" s="40" t="n"/>
      <c r="B286" s="40" t="n"/>
      <c r="C286" s="40" t="n"/>
      <c r="D286" s="40" t="n"/>
      <c r="E286" s="133" t="n"/>
      <c r="F286" s="133" t="n"/>
      <c r="G286" s="134">
        <f>IFERROR(IF(E286&gt;0,(F286/E286)*1000,""),"")</f>
        <v/>
      </c>
      <c r="H286" s="135">
        <f>IFERROR(IF(E286&gt;0,E286*IF(ISNUMBER(J286),J286,IF(OR(C286="Alpha",B286="Alpha"),$C$7,IF(C286="Futures",$C$6,$C$5))),""),"")</f>
        <v/>
      </c>
      <c r="I286" s="136">
        <f>IFERROR(IF(AND(ISNUMBER(F286),ISNUMBER(H286)),F286-H286,""),"")</f>
        <v/>
      </c>
      <c r="J286" s="45" t="n"/>
      <c r="K286" s="137">
        <f>IFERROR(IF(H286&gt;0,H286*IF(OR(C286="Alpha",B286="Alpha"),$C$9,$C$8),""),"")</f>
        <v/>
      </c>
      <c r="L286" s="138">
        <f>IFERROR(IF(ISNUMBER(F286),F286-IF(ISNUMBER(K286),K286,0),""),"")</f>
        <v/>
      </c>
    </row>
    <row r="287" ht="24" customHeight="1" s="63">
      <c r="A287" s="40" t="n"/>
      <c r="B287" s="40" t="n"/>
      <c r="C287" s="40" t="n"/>
      <c r="D287" s="40" t="n"/>
      <c r="E287" s="133" t="n"/>
      <c r="F287" s="133" t="n"/>
      <c r="G287" s="134">
        <f>IFERROR(IF(E287&gt;0,(F287/E287)*1000,""),"")</f>
        <v/>
      </c>
      <c r="H287" s="135">
        <f>IFERROR(IF(E287&gt;0,E287*IF(ISNUMBER(J287),J287,IF(OR(C287="Alpha",B287="Alpha"),$C$7,IF(C287="Futures",$C$6,$C$5))),""),"")</f>
        <v/>
      </c>
      <c r="I287" s="136">
        <f>IFERROR(IF(AND(ISNUMBER(F287),ISNUMBER(H287)),F287-H287,""),"")</f>
        <v/>
      </c>
      <c r="J287" s="45" t="n"/>
      <c r="K287" s="137">
        <f>IFERROR(IF(H287&gt;0,H287*IF(OR(C287="Alpha",B287="Alpha"),$C$9,$C$8),""),"")</f>
        <v/>
      </c>
      <c r="L287" s="138">
        <f>IFERROR(IF(ISNUMBER(F287),F287-IF(ISNUMBER(K287),K287,0),""),"")</f>
        <v/>
      </c>
    </row>
    <row r="288" ht="24" customHeight="1" s="63">
      <c r="A288" s="40" t="n"/>
      <c r="B288" s="40" t="n"/>
      <c r="C288" s="40" t="n"/>
      <c r="D288" s="40" t="n"/>
      <c r="E288" s="133" t="n"/>
      <c r="F288" s="133" t="n"/>
      <c r="G288" s="134">
        <f>IFERROR(IF(E288&gt;0,(F288/E288)*1000,""),"")</f>
        <v/>
      </c>
      <c r="H288" s="135">
        <f>IFERROR(IF(E288&gt;0,E288*IF(ISNUMBER(J288),J288,IF(OR(C288="Alpha",B288="Alpha"),$C$7,IF(C288="Futures",$C$6,$C$5))),""),"")</f>
        <v/>
      </c>
      <c r="I288" s="136">
        <f>IFERROR(IF(AND(ISNUMBER(F288),ISNUMBER(H288)),F288-H288,""),"")</f>
        <v/>
      </c>
      <c r="J288" s="45" t="n"/>
      <c r="K288" s="137">
        <f>IFERROR(IF(H288&gt;0,H288*IF(OR(C288="Alpha",B288="Alpha"),$C$9,$C$8),""),"")</f>
        <v/>
      </c>
      <c r="L288" s="138">
        <f>IFERROR(IF(ISNUMBER(F288),F288-IF(ISNUMBER(K288),K288,0),""),"")</f>
        <v/>
      </c>
    </row>
    <row r="289" ht="24" customHeight="1" s="63">
      <c r="A289" s="40" t="n"/>
      <c r="B289" s="40" t="n"/>
      <c r="C289" s="40" t="n"/>
      <c r="D289" s="40" t="n"/>
      <c r="E289" s="133" t="n"/>
      <c r="F289" s="133" t="n"/>
      <c r="G289" s="134">
        <f>IFERROR(IF(E289&gt;0,(F289/E289)*1000,""),"")</f>
        <v/>
      </c>
      <c r="H289" s="135">
        <f>IFERROR(IF(E289&gt;0,E289*IF(ISNUMBER(J289),J289,IF(OR(C289="Alpha",B289="Alpha"),$C$7,IF(C289="Futures",$C$6,$C$5))),""),"")</f>
        <v/>
      </c>
      <c r="I289" s="136">
        <f>IFERROR(IF(AND(ISNUMBER(F289),ISNUMBER(H289)),F289-H289,""),"")</f>
        <v/>
      </c>
      <c r="J289" s="45" t="n"/>
      <c r="K289" s="137">
        <f>IFERROR(IF(H289&gt;0,H289*IF(OR(C289="Alpha",B289="Alpha"),$C$9,$C$8),""),"")</f>
        <v/>
      </c>
      <c r="L289" s="138">
        <f>IFERROR(IF(ISNUMBER(F289),F289-IF(ISNUMBER(K289),K289,0),""),"")</f>
        <v/>
      </c>
    </row>
    <row r="290" ht="24" customHeight="1" s="63">
      <c r="A290" s="40" t="n"/>
      <c r="B290" s="40" t="n"/>
      <c r="C290" s="40" t="n"/>
      <c r="D290" s="40" t="n"/>
      <c r="E290" s="133" t="n"/>
      <c r="F290" s="133" t="n"/>
      <c r="G290" s="134">
        <f>IFERROR(IF(E290&gt;0,(F290/E290)*1000,""),"")</f>
        <v/>
      </c>
      <c r="H290" s="135">
        <f>IFERROR(IF(E290&gt;0,E290*IF(ISNUMBER(J290),J290,IF(OR(C290="Alpha",B290="Alpha"),$C$7,IF(C290="Futures",$C$6,$C$5))),""),"")</f>
        <v/>
      </c>
      <c r="I290" s="136">
        <f>IFERROR(IF(AND(ISNUMBER(F290),ISNUMBER(H290)),F290-H290,""),"")</f>
        <v/>
      </c>
      <c r="J290" s="45" t="n"/>
      <c r="K290" s="137">
        <f>IFERROR(IF(H290&gt;0,H290*IF(OR(C290="Alpha",B290="Alpha"),$C$9,$C$8),""),"")</f>
        <v/>
      </c>
      <c r="L290" s="138">
        <f>IFERROR(IF(ISNUMBER(F290),F290-IF(ISNUMBER(K290),K290,0),""),"")</f>
        <v/>
      </c>
    </row>
    <row r="291" ht="24" customHeight="1" s="63">
      <c r="A291" s="40" t="n"/>
      <c r="B291" s="40" t="n"/>
      <c r="C291" s="40" t="n"/>
      <c r="D291" s="40" t="n"/>
      <c r="E291" s="133" t="n"/>
      <c r="F291" s="133" t="n"/>
      <c r="G291" s="134">
        <f>IFERROR(IF(E291&gt;0,(F291/E291)*1000,""),"")</f>
        <v/>
      </c>
      <c r="H291" s="135">
        <f>IFERROR(IF(E291&gt;0,E291*IF(ISNUMBER(J291),J291,IF(OR(C291="Alpha",B291="Alpha"),$C$7,IF(C291="Futures",$C$6,$C$5))),""),"")</f>
        <v/>
      </c>
      <c r="I291" s="136">
        <f>IFERROR(IF(AND(ISNUMBER(F291),ISNUMBER(H291)),F291-H291,""),"")</f>
        <v/>
      </c>
      <c r="J291" s="45" t="n"/>
      <c r="K291" s="137">
        <f>IFERROR(IF(H291&gt;0,H291*IF(OR(C291="Alpha",B291="Alpha"),$C$9,$C$8),""),"")</f>
        <v/>
      </c>
      <c r="L291" s="138">
        <f>IFERROR(IF(ISNUMBER(F291),F291-IF(ISNUMBER(K291),K291,0),""),"")</f>
        <v/>
      </c>
    </row>
    <row r="292" ht="24" customHeight="1" s="63">
      <c r="A292" s="40" t="n"/>
      <c r="B292" s="40" t="n"/>
      <c r="C292" s="40" t="n"/>
      <c r="D292" s="40" t="n"/>
      <c r="E292" s="133" t="n"/>
      <c r="F292" s="133" t="n"/>
      <c r="G292" s="134">
        <f>IFERROR(IF(E292&gt;0,(F292/E292)*1000,""),"")</f>
        <v/>
      </c>
      <c r="H292" s="135">
        <f>IFERROR(IF(E292&gt;0,E292*IF(ISNUMBER(J292),J292,IF(OR(C292="Alpha",B292="Alpha"),$C$7,IF(C292="Futures",$C$6,$C$5))),""),"")</f>
        <v/>
      </c>
      <c r="I292" s="136">
        <f>IFERROR(IF(AND(ISNUMBER(F292),ISNUMBER(H292)),F292-H292,""),"")</f>
        <v/>
      </c>
      <c r="J292" s="45" t="n"/>
      <c r="K292" s="137">
        <f>IFERROR(IF(H292&gt;0,H292*IF(OR(C292="Alpha",B292="Alpha"),$C$9,$C$8),""),"")</f>
        <v/>
      </c>
      <c r="L292" s="138">
        <f>IFERROR(IF(ISNUMBER(F292),F292-IF(ISNUMBER(K292),K292,0),""),"")</f>
        <v/>
      </c>
    </row>
    <row r="293" ht="24" customHeight="1" s="63">
      <c r="A293" s="40" t="n"/>
      <c r="B293" s="40" t="n"/>
      <c r="C293" s="40" t="n"/>
      <c r="D293" s="40" t="n"/>
      <c r="E293" s="133" t="n"/>
      <c r="F293" s="133" t="n"/>
      <c r="G293" s="134">
        <f>IFERROR(IF(E293&gt;0,(F293/E293)*1000,""),"")</f>
        <v/>
      </c>
      <c r="H293" s="135">
        <f>IFERROR(IF(E293&gt;0,E293*IF(ISNUMBER(J293),J293,IF(OR(C293="Alpha",B293="Alpha"),$C$7,IF(C293="Futures",$C$6,$C$5))),""),"")</f>
        <v/>
      </c>
      <c r="I293" s="136">
        <f>IFERROR(IF(AND(ISNUMBER(F293),ISNUMBER(H293)),F293-H293,""),"")</f>
        <v/>
      </c>
      <c r="J293" s="45" t="n"/>
      <c r="K293" s="137">
        <f>IFERROR(IF(H293&gt;0,H293*IF(OR(C293="Alpha",B293="Alpha"),$C$9,$C$8),""),"")</f>
        <v/>
      </c>
      <c r="L293" s="138">
        <f>IFERROR(IF(ISNUMBER(F293),F293-IF(ISNUMBER(K293),K293,0),""),"")</f>
        <v/>
      </c>
    </row>
    <row r="294" ht="24" customHeight="1" s="63">
      <c r="A294" s="40" t="n"/>
      <c r="B294" s="40" t="n"/>
      <c r="C294" s="40" t="n"/>
      <c r="D294" s="40" t="n"/>
      <c r="E294" s="133" t="n"/>
      <c r="F294" s="133" t="n"/>
      <c r="G294" s="134">
        <f>IFERROR(IF(E294&gt;0,(F294/E294)*1000,""),"")</f>
        <v/>
      </c>
      <c r="H294" s="135">
        <f>IFERROR(IF(E294&gt;0,E294*IF(ISNUMBER(J294),J294,IF(OR(C294="Alpha",B294="Alpha"),$C$7,IF(C294="Futures",$C$6,$C$5))),""),"")</f>
        <v/>
      </c>
      <c r="I294" s="136">
        <f>IFERROR(IF(AND(ISNUMBER(F294),ISNUMBER(H294)),F294-H294,""),"")</f>
        <v/>
      </c>
      <c r="J294" s="45" t="n"/>
      <c r="K294" s="137">
        <f>IFERROR(IF(H294&gt;0,H294*IF(OR(C294="Alpha",B294="Alpha"),$C$9,$C$8),""),"")</f>
        <v/>
      </c>
      <c r="L294" s="138">
        <f>IFERROR(IF(ISNUMBER(F294),F294-IF(ISNUMBER(K294),K294,0),""),"")</f>
        <v/>
      </c>
    </row>
    <row r="295" ht="24" customHeight="1" s="63">
      <c r="A295" s="40" t="n"/>
      <c r="B295" s="40" t="n"/>
      <c r="C295" s="40" t="n"/>
      <c r="D295" s="40" t="n"/>
      <c r="E295" s="133" t="n"/>
      <c r="F295" s="133" t="n"/>
      <c r="G295" s="134">
        <f>IFERROR(IF(E295&gt;0,(F295/E295)*1000,""),"")</f>
        <v/>
      </c>
      <c r="H295" s="135">
        <f>IFERROR(IF(E295&gt;0,E295*IF(ISNUMBER(J295),J295,IF(OR(C295="Alpha",B295="Alpha"),$C$7,IF(C295="Futures",$C$6,$C$5))),""),"")</f>
        <v/>
      </c>
      <c r="I295" s="136">
        <f>IFERROR(IF(AND(ISNUMBER(F295),ISNUMBER(H295)),F295-H295,""),"")</f>
        <v/>
      </c>
      <c r="J295" s="45" t="n"/>
      <c r="K295" s="137">
        <f>IFERROR(IF(H295&gt;0,H295*IF(OR(C295="Alpha",B295="Alpha"),$C$9,$C$8),""),"")</f>
        <v/>
      </c>
      <c r="L295" s="138">
        <f>IFERROR(IF(ISNUMBER(F295),F295-IF(ISNUMBER(K295),K295,0),""),"")</f>
        <v/>
      </c>
    </row>
    <row r="296" ht="24" customHeight="1" s="63">
      <c r="A296" s="40" t="n"/>
      <c r="B296" s="40" t="n"/>
      <c r="C296" s="40" t="n"/>
      <c r="D296" s="40" t="n"/>
      <c r="E296" s="133" t="n"/>
      <c r="F296" s="133" t="n"/>
      <c r="G296" s="134">
        <f>IFERROR(IF(E296&gt;0,(F296/E296)*1000,""),"")</f>
        <v/>
      </c>
      <c r="H296" s="135">
        <f>IFERROR(IF(E296&gt;0,E296*IF(ISNUMBER(J296),J296,IF(OR(C296="Alpha",B296="Alpha"),$C$7,IF(C296="Futures",$C$6,$C$5))),""),"")</f>
        <v/>
      </c>
      <c r="I296" s="136">
        <f>IFERROR(IF(AND(ISNUMBER(F296),ISNUMBER(H296)),F296-H296,""),"")</f>
        <v/>
      </c>
      <c r="J296" s="45" t="n"/>
      <c r="K296" s="137">
        <f>IFERROR(IF(H296&gt;0,H296*IF(OR(C296="Alpha",B296="Alpha"),$C$9,$C$8),""),"")</f>
        <v/>
      </c>
      <c r="L296" s="138">
        <f>IFERROR(IF(ISNUMBER(F296),F296-IF(ISNUMBER(K296),K296,0),""),"")</f>
        <v/>
      </c>
    </row>
    <row r="297" ht="24" customHeight="1" s="63">
      <c r="A297" s="40" t="n"/>
      <c r="B297" s="40" t="n"/>
      <c r="C297" s="40" t="n"/>
      <c r="D297" s="40" t="n"/>
      <c r="E297" s="133" t="n"/>
      <c r="F297" s="133" t="n"/>
      <c r="G297" s="134">
        <f>IFERROR(IF(E297&gt;0,(F297/E297)*1000,""),"")</f>
        <v/>
      </c>
      <c r="H297" s="135">
        <f>IFERROR(IF(E297&gt;0,E297*IF(ISNUMBER(J297),J297,IF(OR(C297="Alpha",B297="Alpha"),$C$7,IF(C297="Futures",$C$6,$C$5))),""),"")</f>
        <v/>
      </c>
      <c r="I297" s="136">
        <f>IFERROR(IF(AND(ISNUMBER(F297),ISNUMBER(H297)),F297-H297,""),"")</f>
        <v/>
      </c>
      <c r="J297" s="45" t="n"/>
      <c r="K297" s="137">
        <f>IFERROR(IF(H297&gt;0,H297*IF(OR(C297="Alpha",B297="Alpha"),$C$9,$C$8),""),"")</f>
        <v/>
      </c>
      <c r="L297" s="138">
        <f>IFERROR(IF(ISNUMBER(F297),F297-IF(ISNUMBER(K297),K297,0),""),"")</f>
        <v/>
      </c>
    </row>
    <row r="298" ht="24" customHeight="1" s="63">
      <c r="A298" s="40" t="n"/>
      <c r="B298" s="40" t="n"/>
      <c r="C298" s="40" t="n"/>
      <c r="D298" s="40" t="n"/>
      <c r="E298" s="133" t="n"/>
      <c r="F298" s="133" t="n"/>
      <c r="G298" s="134">
        <f>IFERROR(IF(E298&gt;0,(F298/E298)*1000,""),"")</f>
        <v/>
      </c>
      <c r="H298" s="135">
        <f>IFERROR(IF(E298&gt;0,E298*IF(ISNUMBER(J298),J298,IF(OR(C298="Alpha",B298="Alpha"),$C$7,IF(C298="Futures",$C$6,$C$5))),""),"")</f>
        <v/>
      </c>
      <c r="I298" s="136">
        <f>IFERROR(IF(AND(ISNUMBER(F298),ISNUMBER(H298)),F298-H298,""),"")</f>
        <v/>
      </c>
      <c r="J298" s="45" t="n"/>
      <c r="K298" s="137">
        <f>IFERROR(IF(H298&gt;0,H298*IF(OR(C298="Alpha",B298="Alpha"),$C$9,$C$8),""),"")</f>
        <v/>
      </c>
      <c r="L298" s="138">
        <f>IFERROR(IF(ISNUMBER(F298),F298-IF(ISNUMBER(K298),K298,0),""),"")</f>
        <v/>
      </c>
    </row>
    <row r="299" ht="24" customHeight="1" s="63">
      <c r="A299" s="40" t="n"/>
      <c r="B299" s="40" t="n"/>
      <c r="C299" s="40" t="n"/>
      <c r="D299" s="40" t="n"/>
      <c r="E299" s="133" t="n"/>
      <c r="F299" s="133" t="n"/>
      <c r="G299" s="134">
        <f>IFERROR(IF(E299&gt;0,(F299/E299)*1000,""),"")</f>
        <v/>
      </c>
      <c r="H299" s="135">
        <f>IFERROR(IF(E299&gt;0,E299*IF(ISNUMBER(J299),J299,IF(OR(C299="Alpha",B299="Alpha"),$C$7,IF(C299="Futures",$C$6,$C$5))),""),"")</f>
        <v/>
      </c>
      <c r="I299" s="136">
        <f>IFERROR(IF(AND(ISNUMBER(F299),ISNUMBER(H299)),F299-H299,""),"")</f>
        <v/>
      </c>
      <c r="J299" s="45" t="n"/>
      <c r="K299" s="137">
        <f>IFERROR(IF(H299&gt;0,H299*IF(OR(C299="Alpha",B299="Alpha"),$C$9,$C$8),""),"")</f>
        <v/>
      </c>
      <c r="L299" s="138">
        <f>IFERROR(IF(ISNUMBER(F299),F299-IF(ISNUMBER(K299),K299,0),""),"")</f>
        <v/>
      </c>
    </row>
    <row r="300" ht="24" customHeight="1" s="63">
      <c r="A300" s="40" t="n"/>
      <c r="B300" s="40" t="n"/>
      <c r="C300" s="40" t="n"/>
      <c r="D300" s="40" t="n"/>
      <c r="E300" s="133" t="n"/>
      <c r="F300" s="133" t="n"/>
      <c r="G300" s="134">
        <f>IFERROR(IF(E300&gt;0,(F300/E300)*1000,""),"")</f>
        <v/>
      </c>
      <c r="H300" s="135">
        <f>IFERROR(IF(E300&gt;0,E300*IF(ISNUMBER(J300),J300,IF(OR(C300="Alpha",B300="Alpha"),$C$7,IF(C300="Futures",$C$6,$C$5))),""),"")</f>
        <v/>
      </c>
      <c r="I300" s="136">
        <f>IFERROR(IF(AND(ISNUMBER(F300),ISNUMBER(H300)),F300-H300,""),"")</f>
        <v/>
      </c>
      <c r="J300" s="45" t="n"/>
      <c r="K300" s="137">
        <f>IFERROR(IF(H300&gt;0,H300*IF(OR(C300="Alpha",B300="Alpha"),$C$9,$C$8),""),"")</f>
        <v/>
      </c>
      <c r="L300" s="138">
        <f>IFERROR(IF(ISNUMBER(F300),F300-IF(ISNUMBER(K300),K300,0),""),"")</f>
        <v/>
      </c>
    </row>
    <row r="301" ht="24" customHeight="1" s="63">
      <c r="E301" s="139" t="n"/>
      <c r="F301" s="139" t="n"/>
      <c r="G301" s="140">
        <f>IFERROR(IF(E301&gt;0,(F301/E301)*1000,""),"")</f>
        <v/>
      </c>
      <c r="H301" s="139">
        <f>IFERROR(IF(E301&gt;0,E301*IF(ISNUMBER(J301),J301,IF(OR(C301="Alpha",B301="Alpha"),$C$7,IF(C301="Futures",$C$6,$C$5))),""),"")</f>
        <v/>
      </c>
      <c r="I301" s="139">
        <f>IFERROR(IF(AND(ISNUMBER(F301),ISNUMBER(H301)),F301-H301,""),"")</f>
        <v/>
      </c>
      <c r="J301" s="114" t="n"/>
      <c r="K301" s="139">
        <f>IFERROR(IF(H301&gt;0,H301*IF(OR(C301="Alpha",B301="Alpha"),$C$9,$C$8),""),"")</f>
        <v/>
      </c>
      <c r="L301" s="139">
        <f>IFERROR(IF(ISNUMBER(F301),F301-IF(ISNUMBER(K301),K301,0),""),"")</f>
        <v/>
      </c>
    </row>
    <row r="302" ht="24" customHeight="1" s="63">
      <c r="E302" s="139" t="n"/>
      <c r="F302" s="139" t="n"/>
      <c r="G302" s="140">
        <f>IFERROR(IF(E302&gt;0,(F302/E302)*1000,""),"")</f>
        <v/>
      </c>
      <c r="H302" s="139">
        <f>IFERROR(IF(E302&gt;0,E302*IF(ISNUMBER(J302),J302,IF(OR(C302="Alpha",B302="Alpha"),$C$7,IF(C302="Futures",$C$6,$C$5))),""),"")</f>
        <v/>
      </c>
      <c r="I302" s="139">
        <f>IFERROR(IF(AND(ISNUMBER(F302),ISNUMBER(H302)),F302-H302,""),"")</f>
        <v/>
      </c>
      <c r="J302" s="114" t="n"/>
      <c r="K302" s="139">
        <f>IFERROR(IF(H302&gt;0,H302*IF(OR(C302="Alpha",B302="Alpha"),$C$9,$C$8),""),"")</f>
        <v/>
      </c>
      <c r="L302" s="139">
        <f>IFERROR(IF(ISNUMBER(F302),F302-IF(ISNUMBER(K302),K302,0),""),"")</f>
        <v/>
      </c>
    </row>
    <row r="303" ht="24" customHeight="1" s="63">
      <c r="E303" s="139" t="n"/>
      <c r="F303" s="139" t="n"/>
      <c r="G303" s="140">
        <f>IFERROR(IF(E303&gt;0,(F303/E303)*1000,""),"")</f>
        <v/>
      </c>
      <c r="H303" s="139">
        <f>IFERROR(IF(E303&gt;0,E303*IF(ISNUMBER(J303),J303,IF(OR(C303="Alpha",B303="Alpha"),$C$7,IF(C303="Futures",$C$6,$C$5))),""),"")</f>
        <v/>
      </c>
      <c r="I303" s="139">
        <f>IFERROR(IF(AND(ISNUMBER(F303),ISNUMBER(H303)),F303-H303,""),"")</f>
        <v/>
      </c>
      <c r="J303" s="114" t="n"/>
      <c r="K303" s="139">
        <f>IFERROR(IF(H303&gt;0,H303*IF(OR(C303="Alpha",B303="Alpha"),$C$9,$C$8),""),"")</f>
        <v/>
      </c>
      <c r="L303" s="139">
        <f>IFERROR(IF(ISNUMBER(F303),F303-IF(ISNUMBER(K303),K303,0),""),"")</f>
        <v/>
      </c>
    </row>
    <row r="304" ht="24" customHeight="1" s="63">
      <c r="E304" s="139" t="n"/>
      <c r="F304" s="139" t="n"/>
      <c r="G304" s="140">
        <f>IFERROR(IF(E304&gt;0,(F304/E304)*1000,""),"")</f>
        <v/>
      </c>
      <c r="H304" s="139">
        <f>IFERROR(IF(E304&gt;0,E304*IF(ISNUMBER(J304),J304,IF(OR(C304="Alpha",B304="Alpha"),$C$7,IF(C304="Futures",$C$6,$C$5))),""),"")</f>
        <v/>
      </c>
      <c r="I304" s="139">
        <f>IFERROR(IF(AND(ISNUMBER(F304),ISNUMBER(H304)),F304-H304,""),"")</f>
        <v/>
      </c>
      <c r="J304" s="114" t="n"/>
      <c r="K304" s="139">
        <f>IFERROR(IF(H304&gt;0,H304*IF(OR(C304="Alpha",B304="Alpha"),$C$9,$C$8),""),"")</f>
        <v/>
      </c>
      <c r="L304" s="139">
        <f>IFERROR(IF(ISNUMBER(F304),F304-IF(ISNUMBER(K304),K304,0),""),"")</f>
        <v/>
      </c>
    </row>
    <row r="305" ht="24" customHeight="1" s="63">
      <c r="E305" s="139" t="n"/>
      <c r="F305" s="139" t="n"/>
      <c r="G305" s="140">
        <f>IFERROR(IF(E305&gt;0,(F305/E305)*1000,""),"")</f>
        <v/>
      </c>
      <c r="H305" s="139">
        <f>IFERROR(IF(E305&gt;0,E305*IF(ISNUMBER(J305),J305,IF(OR(C305="Alpha",B305="Alpha"),$C$7,IF(C305="Futures",$C$6,$C$5))),""),"")</f>
        <v/>
      </c>
      <c r="I305" s="139">
        <f>IFERROR(IF(AND(ISNUMBER(F305),ISNUMBER(H305)),F305-H305,""),"")</f>
        <v/>
      </c>
      <c r="J305" s="114" t="n"/>
      <c r="K305" s="139">
        <f>IFERROR(IF(H305&gt;0,H305*IF(OR(C305="Alpha",B305="Alpha"),$C$9,$C$8),""),"")</f>
        <v/>
      </c>
      <c r="L305" s="139">
        <f>IFERROR(IF(ISNUMBER(F305),F305-IF(ISNUMBER(K305),K305,0),""),"")</f>
        <v/>
      </c>
    </row>
    <row r="306" ht="24" customHeight="1" s="63">
      <c r="E306" s="139" t="n"/>
      <c r="F306" s="139" t="n"/>
      <c r="G306" s="140">
        <f>IFERROR(IF(E306&gt;0,(F306/E306)*1000,""),"")</f>
        <v/>
      </c>
      <c r="H306" s="139">
        <f>IFERROR(IF(E306&gt;0,E306*IF(ISNUMBER(J306),J306,IF(OR(C306="Alpha",B306="Alpha"),$C$7,IF(C306="Futures",$C$6,$C$5))),""),"")</f>
        <v/>
      </c>
      <c r="I306" s="139">
        <f>IFERROR(IF(AND(ISNUMBER(F306),ISNUMBER(H306)),F306-H306,""),"")</f>
        <v/>
      </c>
      <c r="J306" s="114" t="n"/>
      <c r="K306" s="139">
        <f>IFERROR(IF(H306&gt;0,H306*IF(OR(C306="Alpha",B306="Alpha"),$C$9,$C$8),""),"")</f>
        <v/>
      </c>
      <c r="L306" s="139">
        <f>IFERROR(IF(ISNUMBER(F306),F306-IF(ISNUMBER(K306),K306,0),""),"")</f>
        <v/>
      </c>
    </row>
    <row r="307" ht="24" customHeight="1" s="63">
      <c r="E307" s="139" t="n"/>
      <c r="F307" s="139" t="n"/>
      <c r="G307" s="140">
        <f>IFERROR(IF(E307&gt;0,(F307/E307)*1000,""),"")</f>
        <v/>
      </c>
      <c r="H307" s="139">
        <f>IFERROR(IF(E307&gt;0,E307*IF(ISNUMBER(J307),J307,IF(OR(C307="Alpha",B307="Alpha"),$C$7,IF(C307="Futures",$C$6,$C$5))),""),"")</f>
        <v/>
      </c>
      <c r="I307" s="139">
        <f>IFERROR(IF(AND(ISNUMBER(F307),ISNUMBER(H307)),F307-H307,""),"")</f>
        <v/>
      </c>
      <c r="J307" s="114" t="n"/>
      <c r="K307" s="139">
        <f>IFERROR(IF(H307&gt;0,H307*IF(OR(C307="Alpha",B307="Alpha"),$C$9,$C$8),""),"")</f>
        <v/>
      </c>
      <c r="L307" s="139">
        <f>IFERROR(IF(ISNUMBER(F307),F307-IF(ISNUMBER(K307),K307,0),""),"")</f>
        <v/>
      </c>
    </row>
    <row r="308" ht="24" customHeight="1" s="63">
      <c r="E308" s="139" t="n"/>
      <c r="F308" s="139" t="n"/>
      <c r="G308" s="140">
        <f>IFERROR(IF(E308&gt;0,(F308/E308)*1000,""),"")</f>
        <v/>
      </c>
      <c r="H308" s="139">
        <f>IFERROR(IF(E308&gt;0,E308*IF(ISNUMBER(J308),J308,IF(OR(C308="Alpha",B308="Alpha"),$C$7,IF(C308="Futures",$C$6,$C$5))),""),"")</f>
        <v/>
      </c>
      <c r="I308" s="139">
        <f>IFERROR(IF(AND(ISNUMBER(F308),ISNUMBER(H308)),F308-H308,""),"")</f>
        <v/>
      </c>
      <c r="J308" s="114" t="n"/>
      <c r="K308" s="139">
        <f>IFERROR(IF(H308&gt;0,H308*IF(OR(C308="Alpha",B308="Alpha"),$C$9,$C$8),""),"")</f>
        <v/>
      </c>
      <c r="L308" s="139">
        <f>IFERROR(IF(ISNUMBER(F308),F308-IF(ISNUMBER(K308),K308,0),""),"")</f>
        <v/>
      </c>
    </row>
    <row r="309" ht="24" customHeight="1" s="63">
      <c r="E309" s="139" t="n"/>
      <c r="F309" s="139" t="n"/>
      <c r="G309" s="140">
        <f>IFERROR(IF(E309&gt;0,(F309/E309)*1000,""),"")</f>
        <v/>
      </c>
      <c r="H309" s="139">
        <f>IFERROR(IF(E309&gt;0,E309*IF(ISNUMBER(J309),J309,IF(OR(C309="Alpha",B309="Alpha"),$C$7,IF(C309="Futures",$C$6,$C$5))),""),"")</f>
        <v/>
      </c>
      <c r="I309" s="139">
        <f>IFERROR(IF(AND(ISNUMBER(F309),ISNUMBER(H309)),F309-H309,""),"")</f>
        <v/>
      </c>
      <c r="J309" s="114" t="n"/>
      <c r="K309" s="139">
        <f>IFERROR(IF(H309&gt;0,H309*IF(OR(C309="Alpha",B309="Alpha"),$C$9,$C$8),""),"")</f>
        <v/>
      </c>
      <c r="L309" s="139">
        <f>IFERROR(IF(ISNUMBER(F309),F309-IF(ISNUMBER(K309),K309,0),""),"")</f>
        <v/>
      </c>
    </row>
    <row r="310" ht="24" customHeight="1" s="63">
      <c r="E310" s="139" t="n"/>
      <c r="F310" s="139" t="n"/>
      <c r="G310" s="140">
        <f>IFERROR(IF(E310&gt;0,(F310/E310)*1000,""),"")</f>
        <v/>
      </c>
      <c r="H310" s="139">
        <f>IFERROR(IF(E310&gt;0,E310*IF(ISNUMBER(J310),J310,IF(OR(C310="Alpha",B310="Alpha"),$C$7,IF(C310="Futures",$C$6,$C$5))),""),"")</f>
        <v/>
      </c>
      <c r="I310" s="139">
        <f>IFERROR(IF(AND(ISNUMBER(F310),ISNUMBER(H310)),F310-H310,""),"")</f>
        <v/>
      </c>
      <c r="J310" s="114" t="n"/>
      <c r="K310" s="139">
        <f>IFERROR(IF(H310&gt;0,H310*IF(OR(C310="Alpha",B310="Alpha"),$C$9,$C$8),""),"")</f>
        <v/>
      </c>
      <c r="L310" s="139">
        <f>IFERROR(IF(ISNUMBER(F310),F310-IF(ISNUMBER(K310),K310,0),""),"")</f>
        <v/>
      </c>
    </row>
    <row r="311" ht="24" customHeight="1" s="63">
      <c r="E311" s="139" t="n"/>
      <c r="F311" s="139" t="n"/>
      <c r="G311" s="140">
        <f>IFERROR(IF(E311&gt;0,(F311/E311)*1000,""),"")</f>
        <v/>
      </c>
      <c r="H311" s="139">
        <f>IFERROR(IF(E311&gt;0,E311*IF(ISNUMBER(J311),J311,IF(OR(C311="Alpha",B311="Alpha"),$C$7,IF(C311="Futures",$C$6,$C$5))),""),"")</f>
        <v/>
      </c>
      <c r="I311" s="139">
        <f>IFERROR(IF(AND(ISNUMBER(F311),ISNUMBER(H311)),F311-H311,""),"")</f>
        <v/>
      </c>
      <c r="J311" s="114" t="n"/>
      <c r="K311" s="139">
        <f>IFERROR(IF(H311&gt;0,H311*IF(OR(C311="Alpha",B311="Alpha"),$C$9,$C$8),""),"")</f>
        <v/>
      </c>
      <c r="L311" s="139">
        <f>IFERROR(IF(ISNUMBER(F311),F311-IF(ISNUMBER(K311),K311,0),""),"")</f>
        <v/>
      </c>
    </row>
    <row r="312" ht="24" customHeight="1" s="63">
      <c r="E312" s="139" t="n"/>
      <c r="F312" s="139" t="n"/>
      <c r="G312" s="140">
        <f>IFERROR(IF(E312&gt;0,(F312/E312)*1000,""),"")</f>
        <v/>
      </c>
      <c r="H312" s="139">
        <f>IFERROR(IF(E312&gt;0,E312*IF(ISNUMBER(J312),J312,IF(OR(C312="Alpha",B312="Alpha"),$C$7,IF(C312="Futures",$C$6,$C$5))),""),"")</f>
        <v/>
      </c>
      <c r="I312" s="139">
        <f>IFERROR(IF(AND(ISNUMBER(F312),ISNUMBER(H312)),F312-H312,""),"")</f>
        <v/>
      </c>
      <c r="J312" s="114" t="n"/>
      <c r="K312" s="139">
        <f>IFERROR(IF(H312&gt;0,H312*IF(OR(C312="Alpha",B312="Alpha"),$C$9,$C$8),""),"")</f>
        <v/>
      </c>
      <c r="L312" s="139">
        <f>IFERROR(IF(ISNUMBER(F312),F312-IF(ISNUMBER(K312),K312,0),""),"")</f>
        <v/>
      </c>
    </row>
    <row r="313" ht="24" customHeight="1" s="63">
      <c r="E313" s="139" t="n"/>
      <c r="F313" s="139" t="n"/>
      <c r="G313" s="140">
        <f>IFERROR(IF(E313&gt;0,(F313/E313)*1000,""),"")</f>
        <v/>
      </c>
      <c r="H313" s="139">
        <f>IFERROR(IF(E313&gt;0,E313*IF(ISNUMBER(J313),J313,IF(OR(C313="Alpha",B313="Alpha"),$C$7,IF(C313="Futures",$C$6,$C$5))),""),"")</f>
        <v/>
      </c>
      <c r="I313" s="139">
        <f>IFERROR(IF(AND(ISNUMBER(F313),ISNUMBER(H313)),F313-H313,""),"")</f>
        <v/>
      </c>
      <c r="J313" s="114" t="n"/>
      <c r="K313" s="139">
        <f>IFERROR(IF(H313&gt;0,H313*IF(OR(C313="Alpha",B313="Alpha"),$C$9,$C$8),""),"")</f>
        <v/>
      </c>
      <c r="L313" s="139">
        <f>IFERROR(IF(ISNUMBER(F313),F313-IF(ISNUMBER(K313),K313,0),""),"")</f>
        <v/>
      </c>
    </row>
    <row r="314" ht="24" customHeight="1" s="63">
      <c r="E314" s="139" t="n"/>
      <c r="F314" s="139" t="n"/>
      <c r="G314" s="140">
        <f>IFERROR(IF(E314&gt;0,(F314/E314)*1000,""),"")</f>
        <v/>
      </c>
      <c r="H314" s="139">
        <f>IFERROR(IF(E314&gt;0,E314*IF(ISNUMBER(J314),J314,IF(OR(C314="Alpha",B314="Alpha"),$C$7,IF(C314="Futures",$C$6,$C$5))),""),"")</f>
        <v/>
      </c>
      <c r="I314" s="139">
        <f>IFERROR(IF(AND(ISNUMBER(F314),ISNUMBER(H314)),F314-H314,""),"")</f>
        <v/>
      </c>
      <c r="J314" s="114" t="n"/>
      <c r="K314" s="139">
        <f>IFERROR(IF(H314&gt;0,H314*IF(OR(C314="Alpha",B314="Alpha"),$C$9,$C$8),""),"")</f>
        <v/>
      </c>
      <c r="L314" s="139">
        <f>IFERROR(IF(ISNUMBER(F314),F314-IF(ISNUMBER(K314),K314,0),""),"")</f>
        <v/>
      </c>
    </row>
    <row r="315" ht="24" customHeight="1" s="63">
      <c r="E315" s="139" t="n"/>
      <c r="F315" s="139" t="n"/>
      <c r="G315" s="140">
        <f>IFERROR(IF(E315&gt;0,(F315/E315)*1000,""),"")</f>
        <v/>
      </c>
      <c r="H315" s="139">
        <f>IFERROR(IF(E315&gt;0,E315*IF(ISNUMBER(J315),J315,IF(OR(C315="Alpha",B315="Alpha"),$C$7,IF(C315="Futures",$C$6,$C$5))),""),"")</f>
        <v/>
      </c>
      <c r="I315" s="139">
        <f>IFERROR(IF(AND(ISNUMBER(F315),ISNUMBER(H315)),F315-H315,""),"")</f>
        <v/>
      </c>
      <c r="J315" s="114" t="n"/>
      <c r="K315" s="139">
        <f>IFERROR(IF(H315&gt;0,H315*IF(OR(C315="Alpha",B315="Alpha"),$C$9,$C$8),""),"")</f>
        <v/>
      </c>
      <c r="L315" s="139">
        <f>IFERROR(IF(ISNUMBER(F315),F315-IF(ISNUMBER(K315),K315,0),""),"")</f>
        <v/>
      </c>
    </row>
    <row r="316" ht="24" customHeight="1" s="63">
      <c r="E316" s="139" t="n"/>
      <c r="F316" s="139" t="n"/>
      <c r="G316" s="140">
        <f>IFERROR(IF(E316&gt;0,(F316/E316)*1000,""),"")</f>
        <v/>
      </c>
      <c r="H316" s="139">
        <f>IFERROR(IF(E316&gt;0,E316*IF(ISNUMBER(J316),J316,IF(OR(C316="Alpha",B316="Alpha"),$C$7,IF(C316="Futures",$C$6,$C$5))),""),"")</f>
        <v/>
      </c>
      <c r="I316" s="139">
        <f>IFERROR(IF(AND(ISNUMBER(F316),ISNUMBER(H316)),F316-H316,""),"")</f>
        <v/>
      </c>
      <c r="J316" s="114" t="n"/>
      <c r="K316" s="139">
        <f>IFERROR(IF(H316&gt;0,H316*IF(OR(C316="Alpha",B316="Alpha"),$C$9,$C$8),""),"")</f>
        <v/>
      </c>
      <c r="L316" s="139">
        <f>IFERROR(IF(ISNUMBER(F316),F316-IF(ISNUMBER(K316),K316,0),""),"")</f>
        <v/>
      </c>
    </row>
    <row r="317" ht="24" customHeight="1" s="63">
      <c r="E317" s="139" t="n"/>
      <c r="F317" s="139" t="n"/>
      <c r="G317" s="140">
        <f>IFERROR(IF(E317&gt;0,(F317/E317)*1000,""),"")</f>
        <v/>
      </c>
      <c r="H317" s="139">
        <f>IFERROR(IF(E317&gt;0,E317*IF(ISNUMBER(J317),J317,IF(OR(C317="Alpha",B317="Alpha"),$C$7,IF(C317="Futures",$C$6,$C$5))),""),"")</f>
        <v/>
      </c>
      <c r="I317" s="139">
        <f>IFERROR(IF(AND(ISNUMBER(F317),ISNUMBER(H317)),F317-H317,""),"")</f>
        <v/>
      </c>
      <c r="J317" s="114" t="n"/>
      <c r="K317" s="139">
        <f>IFERROR(IF(H317&gt;0,H317*IF(OR(C317="Alpha",B317="Alpha"),$C$9,$C$8),""),"")</f>
        <v/>
      </c>
      <c r="L317" s="139">
        <f>IFERROR(IF(ISNUMBER(F317),F317-IF(ISNUMBER(K317),K317,0),""),"")</f>
        <v/>
      </c>
    </row>
    <row r="318" ht="24" customHeight="1" s="63">
      <c r="E318" s="139" t="n"/>
      <c r="F318" s="139" t="n"/>
      <c r="G318" s="140">
        <f>IFERROR(IF(E318&gt;0,(F318/E318)*1000,""),"")</f>
        <v/>
      </c>
      <c r="H318" s="139">
        <f>IFERROR(IF(E318&gt;0,E318*IF(ISNUMBER(J318),J318,IF(OR(C318="Alpha",B318="Alpha"),$C$7,IF(C318="Futures",$C$6,$C$5))),""),"")</f>
        <v/>
      </c>
      <c r="I318" s="139">
        <f>IFERROR(IF(AND(ISNUMBER(F318),ISNUMBER(H318)),F318-H318,""),"")</f>
        <v/>
      </c>
      <c r="J318" s="114" t="n"/>
      <c r="K318" s="139">
        <f>IFERROR(IF(H318&gt;0,H318*IF(OR(C318="Alpha",B318="Alpha"),$C$9,$C$8),""),"")</f>
        <v/>
      </c>
      <c r="L318" s="139">
        <f>IFERROR(IF(ISNUMBER(F318),F318-IF(ISNUMBER(K318),K318,0),""),"")</f>
        <v/>
      </c>
    </row>
    <row r="319" ht="24" customHeight="1" s="63">
      <c r="E319" s="139" t="n"/>
      <c r="F319" s="139" t="n"/>
      <c r="G319" s="140">
        <f>IFERROR(IF(E319&gt;0,(F319/E319)*1000,""),"")</f>
        <v/>
      </c>
      <c r="H319" s="139">
        <f>IFERROR(IF(E319&gt;0,E319*IF(ISNUMBER(J319),J319,IF(OR(C319="Alpha",B319="Alpha"),$C$7,IF(C319="Futures",$C$6,$C$5))),""),"")</f>
        <v/>
      </c>
      <c r="I319" s="139">
        <f>IFERROR(IF(AND(ISNUMBER(F319),ISNUMBER(H319)),F319-H319,""),"")</f>
        <v/>
      </c>
      <c r="J319" s="114" t="n"/>
      <c r="K319" s="139">
        <f>IFERROR(IF(H319&gt;0,H319*IF(OR(C319="Alpha",B319="Alpha"),$C$9,$C$8),""),"")</f>
        <v/>
      </c>
      <c r="L319" s="139">
        <f>IFERROR(IF(ISNUMBER(F319),F319-IF(ISNUMBER(K319),K319,0),""),"")</f>
        <v/>
      </c>
    </row>
    <row r="320" ht="24" customHeight="1" s="63">
      <c r="E320" s="139" t="n"/>
      <c r="F320" s="139" t="n"/>
      <c r="G320" s="140">
        <f>IFERROR(IF(E320&gt;0,(F320/E320)*1000,""),"")</f>
        <v/>
      </c>
      <c r="H320" s="139">
        <f>IFERROR(IF(E320&gt;0,E320*IF(ISNUMBER(J320),J320,IF(OR(C320="Alpha",B320="Alpha"),$C$7,IF(C320="Futures",$C$6,$C$5))),""),"")</f>
        <v/>
      </c>
      <c r="I320" s="139">
        <f>IFERROR(IF(AND(ISNUMBER(F320),ISNUMBER(H320)),F320-H320,""),"")</f>
        <v/>
      </c>
      <c r="J320" s="114" t="n"/>
      <c r="K320" s="139">
        <f>IFERROR(IF(H320&gt;0,H320*IF(OR(C320="Alpha",B320="Alpha"),$C$9,$C$8),""),"")</f>
        <v/>
      </c>
      <c r="L320" s="139">
        <f>IFERROR(IF(ISNUMBER(F320),F320-IF(ISNUMBER(K320),K320,0),""),"")</f>
        <v/>
      </c>
    </row>
    <row r="321" ht="24" customHeight="1" s="63">
      <c r="E321" s="139" t="n"/>
      <c r="F321" s="139" t="n"/>
      <c r="G321" s="140">
        <f>IFERROR(IF(E321&gt;0,(F321/E321)*1000,""),"")</f>
        <v/>
      </c>
      <c r="H321" s="139">
        <f>IFERROR(IF(E321&gt;0,E321*IF(ISNUMBER(J321),J321,IF(OR(C321="Alpha",B321="Alpha"),$C$7,IF(C321="Futures",$C$6,$C$5))),""),"")</f>
        <v/>
      </c>
      <c r="I321" s="139">
        <f>IFERROR(IF(AND(ISNUMBER(F321),ISNUMBER(H321)),F321-H321,""),"")</f>
        <v/>
      </c>
      <c r="J321" s="114" t="n"/>
      <c r="K321" s="139">
        <f>IFERROR(IF(H321&gt;0,H321*IF(OR(C321="Alpha",B321="Alpha"),$C$9,$C$8),""),"")</f>
        <v/>
      </c>
      <c r="L321" s="139">
        <f>IFERROR(IF(ISNUMBER(F321),F321-IF(ISNUMBER(K321),K321,0),""),"")</f>
        <v/>
      </c>
    </row>
    <row r="322" ht="24" customHeight="1" s="63">
      <c r="E322" s="139" t="n"/>
      <c r="F322" s="139" t="n"/>
      <c r="G322" s="140">
        <f>IFERROR(IF(E322&gt;0,(F322/E322)*1000,""),"")</f>
        <v/>
      </c>
      <c r="H322" s="139">
        <f>IFERROR(IF(E322&gt;0,E322*IF(ISNUMBER(J322),J322,IF(OR(C322="Alpha",B322="Alpha"),$C$7,IF(C322="Futures",$C$6,$C$5))),""),"")</f>
        <v/>
      </c>
      <c r="I322" s="139">
        <f>IFERROR(IF(AND(ISNUMBER(F322),ISNUMBER(H322)),F322-H322,""),"")</f>
        <v/>
      </c>
      <c r="J322" s="114" t="n"/>
      <c r="K322" s="139">
        <f>IFERROR(IF(H322&gt;0,H322*IF(OR(C322="Alpha",B322="Alpha"),$C$9,$C$8),""),"")</f>
        <v/>
      </c>
      <c r="L322" s="139">
        <f>IFERROR(IF(ISNUMBER(F322),F322-IF(ISNUMBER(K322),K322,0),""),"")</f>
        <v/>
      </c>
    </row>
    <row r="323" ht="24" customHeight="1" s="63">
      <c r="E323" s="139" t="n"/>
      <c r="F323" s="139" t="n"/>
      <c r="G323" s="140">
        <f>IFERROR(IF(E323&gt;0,(F323/E323)*1000,""),"")</f>
        <v/>
      </c>
      <c r="H323" s="139">
        <f>IFERROR(IF(E323&gt;0,E323*IF(ISNUMBER(J323),J323,IF(OR(C323="Alpha",B323="Alpha"),$C$7,IF(C323="Futures",$C$6,$C$5))),""),"")</f>
        <v/>
      </c>
      <c r="I323" s="139">
        <f>IFERROR(IF(AND(ISNUMBER(F323),ISNUMBER(H323)),F323-H323,""),"")</f>
        <v/>
      </c>
      <c r="J323" s="114" t="n"/>
      <c r="K323" s="139">
        <f>IFERROR(IF(H323&gt;0,H323*IF(OR(C323="Alpha",B323="Alpha"),$C$9,$C$8),""),"")</f>
        <v/>
      </c>
      <c r="L323" s="139">
        <f>IFERROR(IF(ISNUMBER(F323),F323-IF(ISNUMBER(K323),K323,0),""),"")</f>
        <v/>
      </c>
    </row>
    <row r="324" ht="24" customHeight="1" s="63">
      <c r="E324" s="139" t="n"/>
      <c r="F324" s="139" t="n"/>
      <c r="G324" s="140">
        <f>IFERROR(IF(E324&gt;0,(F324/E324)*1000,""),"")</f>
        <v/>
      </c>
      <c r="H324" s="139">
        <f>IFERROR(IF(E324&gt;0,E324*IF(ISNUMBER(J324),J324,IF(OR(C324="Alpha",B324="Alpha"),$C$7,IF(C324="Futures",$C$6,$C$5))),""),"")</f>
        <v/>
      </c>
      <c r="I324" s="139">
        <f>IFERROR(IF(AND(ISNUMBER(F324),ISNUMBER(H324)),F324-H324,""),"")</f>
        <v/>
      </c>
      <c r="J324" s="114" t="n"/>
      <c r="K324" s="139">
        <f>IFERROR(IF(H324&gt;0,H324*IF(OR(C324="Alpha",B324="Alpha"),$C$9,$C$8),""),"")</f>
        <v/>
      </c>
      <c r="L324" s="139">
        <f>IFERROR(IF(ISNUMBER(F324),F324-IF(ISNUMBER(K324),K324,0),""),"")</f>
        <v/>
      </c>
    </row>
    <row r="325" ht="24" customHeight="1" s="63">
      <c r="E325" s="139" t="n"/>
      <c r="F325" s="139" t="n"/>
      <c r="G325" s="140">
        <f>IFERROR(IF(E325&gt;0,(F325/E325)*1000,""),"")</f>
        <v/>
      </c>
      <c r="H325" s="139">
        <f>IFERROR(IF(E325&gt;0,E325*IF(ISNUMBER(J325),J325,IF(OR(C325="Alpha",B325="Alpha"),$C$7,IF(C325="Futures",$C$6,$C$5))),""),"")</f>
        <v/>
      </c>
      <c r="I325" s="139">
        <f>IFERROR(IF(AND(ISNUMBER(F325),ISNUMBER(H325)),F325-H325,""),"")</f>
        <v/>
      </c>
      <c r="J325" s="114" t="n"/>
      <c r="K325" s="139">
        <f>IFERROR(IF(H325&gt;0,H325*IF(OR(C325="Alpha",B325="Alpha"),$C$9,$C$8),""),"")</f>
        <v/>
      </c>
      <c r="L325" s="139">
        <f>IFERROR(IF(ISNUMBER(F325),F325-IF(ISNUMBER(K325),K325,0),""),"")</f>
        <v/>
      </c>
    </row>
    <row r="326" ht="24" customHeight="1" s="63">
      <c r="E326" s="139" t="n"/>
      <c r="F326" s="139" t="n"/>
      <c r="G326" s="140">
        <f>IFERROR(IF(E326&gt;0,(F326/E326)*1000,""),"")</f>
        <v/>
      </c>
      <c r="H326" s="139">
        <f>IFERROR(IF(E326&gt;0,E326*IF(ISNUMBER(J326),J326,IF(OR(C326="Alpha",B326="Alpha"),$C$7,IF(C326="Futures",$C$6,$C$5))),""),"")</f>
        <v/>
      </c>
      <c r="I326" s="139">
        <f>IFERROR(IF(AND(ISNUMBER(F326),ISNUMBER(H326)),F326-H326,""),"")</f>
        <v/>
      </c>
      <c r="J326" s="114" t="n"/>
      <c r="K326" s="139">
        <f>IFERROR(IF(H326&gt;0,H326*IF(OR(C326="Alpha",B326="Alpha"),$C$9,$C$8),""),"")</f>
        <v/>
      </c>
      <c r="L326" s="139">
        <f>IFERROR(IF(ISNUMBER(F326),F326-IF(ISNUMBER(K326),K326,0),""),"")</f>
        <v/>
      </c>
    </row>
    <row r="327" ht="24" customHeight="1" s="63">
      <c r="E327" s="139" t="n"/>
      <c r="F327" s="139" t="n"/>
      <c r="G327" s="140">
        <f>IFERROR(IF(E327&gt;0,(F327/E327)*1000,""),"")</f>
        <v/>
      </c>
      <c r="H327" s="139">
        <f>IFERROR(IF(E327&gt;0,E327*IF(ISNUMBER(J327),J327,IF(OR(C327="Alpha",B327="Alpha"),$C$7,IF(C327="Futures",$C$6,$C$5))),""),"")</f>
        <v/>
      </c>
      <c r="I327" s="139">
        <f>IFERROR(IF(AND(ISNUMBER(F327),ISNUMBER(H327)),F327-H327,""),"")</f>
        <v/>
      </c>
      <c r="J327" s="114" t="n"/>
      <c r="K327" s="139">
        <f>IFERROR(IF(H327&gt;0,H327*IF(OR(C327="Alpha",B327="Alpha"),$C$9,$C$8),""),"")</f>
        <v/>
      </c>
      <c r="L327" s="139">
        <f>IFERROR(IF(ISNUMBER(F327),F327-IF(ISNUMBER(K327),K327,0),""),"")</f>
        <v/>
      </c>
    </row>
    <row r="328" ht="24" customHeight="1" s="63">
      <c r="E328" s="139" t="n"/>
      <c r="F328" s="139" t="n"/>
      <c r="G328" s="140">
        <f>IFERROR(IF(E328&gt;0,(F328/E328)*1000,""),"")</f>
        <v/>
      </c>
      <c r="H328" s="139">
        <f>IFERROR(IF(E328&gt;0,E328*IF(ISNUMBER(J328),J328,IF(OR(C328="Alpha",B328="Alpha"),$C$7,IF(C328="Futures",$C$6,$C$5))),""),"")</f>
        <v/>
      </c>
      <c r="I328" s="139">
        <f>IFERROR(IF(AND(ISNUMBER(F328),ISNUMBER(H328)),F328-H328,""),"")</f>
        <v/>
      </c>
      <c r="J328" s="114" t="n"/>
      <c r="K328" s="139">
        <f>IFERROR(IF(H328&gt;0,H328*IF(OR(C328="Alpha",B328="Alpha"),$C$9,$C$8),""),"")</f>
        <v/>
      </c>
      <c r="L328" s="139">
        <f>IFERROR(IF(ISNUMBER(F328),F328-IF(ISNUMBER(K328),K328,0),""),"")</f>
        <v/>
      </c>
    </row>
    <row r="329" ht="24" customHeight="1" s="63">
      <c r="E329" s="139" t="n"/>
      <c r="F329" s="139" t="n"/>
      <c r="G329" s="140">
        <f>IFERROR(IF(E329&gt;0,(F329/E329)*1000,""),"")</f>
        <v/>
      </c>
      <c r="H329" s="139">
        <f>IFERROR(IF(E329&gt;0,E329*IF(ISNUMBER(J329),J329,IF(OR(C329="Alpha",B329="Alpha"),$C$7,IF(C329="Futures",$C$6,$C$5))),""),"")</f>
        <v/>
      </c>
      <c r="I329" s="139">
        <f>IFERROR(IF(AND(ISNUMBER(F329),ISNUMBER(H329)),F329-H329,""),"")</f>
        <v/>
      </c>
      <c r="J329" s="114" t="n"/>
      <c r="K329" s="139">
        <f>IFERROR(IF(H329&gt;0,H329*IF(OR(C329="Alpha",B329="Alpha"),$C$9,$C$8),""),"")</f>
        <v/>
      </c>
      <c r="L329" s="139">
        <f>IFERROR(IF(ISNUMBER(F329),F329-IF(ISNUMBER(K329),K329,0),""),"")</f>
        <v/>
      </c>
    </row>
    <row r="330" ht="24" customHeight="1" s="63">
      <c r="E330" s="139" t="n"/>
      <c r="F330" s="139" t="n"/>
      <c r="G330" s="140">
        <f>IFERROR(IF(E330&gt;0,(F330/E330)*1000,""),"")</f>
        <v/>
      </c>
      <c r="H330" s="139">
        <f>IFERROR(IF(E330&gt;0,E330*IF(ISNUMBER(J330),J330,IF(OR(C330="Alpha",B330="Alpha"),$C$7,IF(C330="Futures",$C$6,$C$5))),""),"")</f>
        <v/>
      </c>
      <c r="I330" s="139">
        <f>IFERROR(IF(AND(ISNUMBER(F330),ISNUMBER(H330)),F330-H330,""),"")</f>
        <v/>
      </c>
      <c r="J330" s="114" t="n"/>
      <c r="K330" s="139">
        <f>IFERROR(IF(H330&gt;0,H330*IF(OR(C330="Alpha",B330="Alpha"),$C$9,$C$8),""),"")</f>
        <v/>
      </c>
      <c r="L330" s="139">
        <f>IFERROR(IF(ISNUMBER(F330),F330-IF(ISNUMBER(K330),K330,0),""),"")</f>
        <v/>
      </c>
    </row>
    <row r="331" ht="24" customHeight="1" s="63">
      <c r="E331" s="139" t="n"/>
      <c r="F331" s="139" t="n"/>
      <c r="G331" s="140">
        <f>IFERROR(IF(E331&gt;0,(F331/E331)*1000,""),"")</f>
        <v/>
      </c>
      <c r="H331" s="139">
        <f>IFERROR(IF(E331&gt;0,E331*IF(ISNUMBER(J331),J331,IF(OR(C331="Alpha",B331="Alpha"),$C$7,IF(C331="Futures",$C$6,$C$5))),""),"")</f>
        <v/>
      </c>
      <c r="I331" s="139">
        <f>IFERROR(IF(AND(ISNUMBER(F331),ISNUMBER(H331)),F331-H331,""),"")</f>
        <v/>
      </c>
      <c r="J331" s="114" t="n"/>
      <c r="K331" s="139">
        <f>IFERROR(IF(H331&gt;0,H331*IF(OR(C331="Alpha",B331="Alpha"),$C$9,$C$8),""),"")</f>
        <v/>
      </c>
      <c r="L331" s="139">
        <f>IFERROR(IF(ISNUMBER(F331),F331-IF(ISNUMBER(K331),K331,0),""),"")</f>
        <v/>
      </c>
    </row>
    <row r="332" ht="24" customHeight="1" s="63">
      <c r="E332" s="139" t="n"/>
      <c r="F332" s="139" t="n"/>
      <c r="G332" s="140">
        <f>IFERROR(IF(E332&gt;0,(F332/E332)*1000,""),"")</f>
        <v/>
      </c>
      <c r="H332" s="139">
        <f>IFERROR(IF(E332&gt;0,E332*IF(ISNUMBER(J332),J332,IF(OR(C332="Alpha",B332="Alpha"),$C$7,IF(C332="Futures",$C$6,$C$5))),""),"")</f>
        <v/>
      </c>
      <c r="I332" s="139">
        <f>IFERROR(IF(AND(ISNUMBER(F332),ISNUMBER(H332)),F332-H332,""),"")</f>
        <v/>
      </c>
      <c r="J332" s="114" t="n"/>
      <c r="K332" s="139">
        <f>IFERROR(IF(H332&gt;0,H332*IF(OR(C332="Alpha",B332="Alpha"),$C$9,$C$8),""),"")</f>
        <v/>
      </c>
      <c r="L332" s="139">
        <f>IFERROR(IF(ISNUMBER(F332),F332-IF(ISNUMBER(K332),K332,0),""),"")</f>
        <v/>
      </c>
    </row>
    <row r="333" ht="24" customHeight="1" s="63">
      <c r="E333" s="139" t="n"/>
      <c r="F333" s="139" t="n"/>
      <c r="G333" s="140">
        <f>IFERROR(IF(E333&gt;0,(F333/E333)*1000,""),"")</f>
        <v/>
      </c>
      <c r="H333" s="139">
        <f>IFERROR(IF(E333&gt;0,E333*IF(ISNUMBER(J333),J333,IF(OR(C333="Alpha",B333="Alpha"),$C$7,IF(C333="Futures",$C$6,$C$5))),""),"")</f>
        <v/>
      </c>
      <c r="I333" s="139">
        <f>IFERROR(IF(AND(ISNUMBER(F333),ISNUMBER(H333)),F333-H333,""),"")</f>
        <v/>
      </c>
      <c r="J333" s="114" t="n"/>
      <c r="K333" s="139">
        <f>IFERROR(IF(H333&gt;0,H333*IF(OR(C333="Alpha",B333="Alpha"),$C$9,$C$8),""),"")</f>
        <v/>
      </c>
      <c r="L333" s="139">
        <f>IFERROR(IF(ISNUMBER(F333),F333-IF(ISNUMBER(K333),K333,0),""),"")</f>
        <v/>
      </c>
    </row>
    <row r="334" ht="24" customHeight="1" s="63">
      <c r="E334" s="139" t="n"/>
      <c r="F334" s="139" t="n"/>
      <c r="G334" s="140">
        <f>IFERROR(IF(E334&gt;0,(F334/E334)*1000,""),"")</f>
        <v/>
      </c>
      <c r="H334" s="139">
        <f>IFERROR(IF(E334&gt;0,E334*IF(ISNUMBER(J334),J334,IF(OR(C334="Alpha",B334="Alpha"),$C$7,IF(C334="Futures",$C$6,$C$5))),""),"")</f>
        <v/>
      </c>
      <c r="I334" s="139">
        <f>IFERROR(IF(AND(ISNUMBER(F334),ISNUMBER(H334)),F334-H334,""),"")</f>
        <v/>
      </c>
      <c r="J334" s="114" t="n"/>
      <c r="K334" s="139">
        <f>IFERROR(IF(H334&gt;0,H334*IF(OR(C334="Alpha",B334="Alpha"),$C$9,$C$8),""),"")</f>
        <v/>
      </c>
      <c r="L334" s="139">
        <f>IFERROR(IF(ISNUMBER(F334),F334-IF(ISNUMBER(K334),K334,0),""),"")</f>
        <v/>
      </c>
    </row>
    <row r="335" ht="24" customHeight="1" s="63">
      <c r="E335" s="139" t="n"/>
      <c r="F335" s="139" t="n"/>
      <c r="G335" s="140">
        <f>IFERROR(IF(E335&gt;0,(F335/E335)*1000,""),"")</f>
        <v/>
      </c>
      <c r="H335" s="139">
        <f>IFERROR(IF(E335&gt;0,E335*IF(ISNUMBER(J335),J335,IF(OR(C335="Alpha",B335="Alpha"),$C$7,IF(C335="Futures",$C$6,$C$5))),""),"")</f>
        <v/>
      </c>
      <c r="I335" s="139">
        <f>IFERROR(IF(AND(ISNUMBER(F335),ISNUMBER(H335)),F335-H335,""),"")</f>
        <v/>
      </c>
      <c r="J335" s="114" t="n"/>
      <c r="K335" s="139">
        <f>IFERROR(IF(H335&gt;0,H335*IF(OR(C335="Alpha",B335="Alpha"),$C$9,$C$8),""),"")</f>
        <v/>
      </c>
      <c r="L335" s="139">
        <f>IFERROR(IF(ISNUMBER(F335),F335-IF(ISNUMBER(K335),K335,0),""),"")</f>
        <v/>
      </c>
    </row>
    <row r="336" ht="24" customHeight="1" s="63">
      <c r="E336" s="139" t="n"/>
      <c r="F336" s="139" t="n"/>
      <c r="G336" s="140">
        <f>IFERROR(IF(E336&gt;0,(F336/E336)*1000,""),"")</f>
        <v/>
      </c>
      <c r="H336" s="139">
        <f>IFERROR(IF(E336&gt;0,E336*IF(ISNUMBER(J336),J336,IF(OR(C336="Alpha",B336="Alpha"),$C$7,IF(C336="Futures",$C$6,$C$5))),""),"")</f>
        <v/>
      </c>
      <c r="I336" s="139">
        <f>IFERROR(IF(AND(ISNUMBER(F336),ISNUMBER(H336)),F336-H336,""),"")</f>
        <v/>
      </c>
      <c r="J336" s="114" t="n"/>
      <c r="K336" s="139">
        <f>IFERROR(IF(H336&gt;0,H336*IF(OR(C336="Alpha",B336="Alpha"),$C$9,$C$8),""),"")</f>
        <v/>
      </c>
      <c r="L336" s="139">
        <f>IFERROR(IF(ISNUMBER(F336),F336-IF(ISNUMBER(K336),K336,0),""),"")</f>
        <v/>
      </c>
    </row>
    <row r="337" ht="24" customHeight="1" s="63">
      <c r="E337" s="139" t="n"/>
      <c r="F337" s="139" t="n"/>
      <c r="G337" s="140">
        <f>IFERROR(IF(E337&gt;0,(F337/E337)*1000,""),"")</f>
        <v/>
      </c>
      <c r="H337" s="139">
        <f>IFERROR(IF(E337&gt;0,E337*IF(ISNUMBER(J337),J337,IF(OR(C337="Alpha",B337="Alpha"),$C$7,IF(C337="Futures",$C$6,$C$5))),""),"")</f>
        <v/>
      </c>
      <c r="I337" s="139">
        <f>IFERROR(IF(AND(ISNUMBER(F337),ISNUMBER(H337)),F337-H337,""),"")</f>
        <v/>
      </c>
      <c r="J337" s="114" t="n"/>
      <c r="K337" s="139">
        <f>IFERROR(IF(H337&gt;0,H337*IF(OR(C337="Alpha",B337="Alpha"),$C$9,$C$8),""),"")</f>
        <v/>
      </c>
      <c r="L337" s="139">
        <f>IFERROR(IF(ISNUMBER(F337),F337-IF(ISNUMBER(K337),K337,0),""),"")</f>
        <v/>
      </c>
    </row>
    <row r="338" ht="24" customHeight="1" s="63">
      <c r="E338" s="139" t="n"/>
      <c r="F338" s="139" t="n"/>
      <c r="G338" s="140">
        <f>IFERROR(IF(E338&gt;0,(F338/E338)*1000,""),"")</f>
        <v/>
      </c>
      <c r="H338" s="139">
        <f>IFERROR(IF(E338&gt;0,E338*IF(ISNUMBER(J338),J338,IF(OR(C338="Alpha",B338="Alpha"),$C$7,IF(C338="Futures",$C$6,$C$5))),""),"")</f>
        <v/>
      </c>
      <c r="I338" s="139">
        <f>IFERROR(IF(AND(ISNUMBER(F338),ISNUMBER(H338)),F338-H338,""),"")</f>
        <v/>
      </c>
      <c r="J338" s="114" t="n"/>
      <c r="K338" s="139">
        <f>IFERROR(IF(H338&gt;0,H338*IF(OR(C338="Alpha",B338="Alpha"),$C$9,$C$8),""),"")</f>
        <v/>
      </c>
      <c r="L338" s="139">
        <f>IFERROR(IF(ISNUMBER(F338),F338-IF(ISNUMBER(K338),K338,0),""),"")</f>
        <v/>
      </c>
    </row>
    <row r="339" ht="24" customHeight="1" s="63">
      <c r="E339" s="139" t="n"/>
      <c r="F339" s="139" t="n"/>
      <c r="G339" s="140">
        <f>IFERROR(IF(E339&gt;0,(F339/E339)*1000,""),"")</f>
        <v/>
      </c>
      <c r="H339" s="139">
        <f>IFERROR(IF(E339&gt;0,E339*IF(ISNUMBER(J339),J339,IF(OR(C339="Alpha",B339="Alpha"),$C$7,IF(C339="Futures",$C$6,$C$5))),""),"")</f>
        <v/>
      </c>
      <c r="I339" s="139">
        <f>IFERROR(IF(AND(ISNUMBER(F339),ISNUMBER(H339)),F339-H339,""),"")</f>
        <v/>
      </c>
      <c r="J339" s="114" t="n"/>
      <c r="K339" s="139">
        <f>IFERROR(IF(H339&gt;0,H339*IF(OR(C339="Alpha",B339="Alpha"),$C$9,$C$8),""),"")</f>
        <v/>
      </c>
      <c r="L339" s="139">
        <f>IFERROR(IF(ISNUMBER(F339),F339-IF(ISNUMBER(K339),K339,0),""),"")</f>
        <v/>
      </c>
    </row>
    <row r="340" ht="24" customHeight="1" s="63">
      <c r="E340" s="139" t="n"/>
      <c r="F340" s="139" t="n"/>
      <c r="G340" s="140">
        <f>IFERROR(IF(E340&gt;0,(F340/E340)*1000,""),"")</f>
        <v/>
      </c>
      <c r="H340" s="139">
        <f>IFERROR(IF(E340&gt;0,E340*IF(ISNUMBER(J340),J340,IF(OR(C340="Alpha",B340="Alpha"),$C$7,IF(C340="Futures",$C$6,$C$5))),""),"")</f>
        <v/>
      </c>
      <c r="I340" s="139">
        <f>IFERROR(IF(AND(ISNUMBER(F340),ISNUMBER(H340)),F340-H340,""),"")</f>
        <v/>
      </c>
      <c r="J340" s="114" t="n"/>
      <c r="K340" s="139">
        <f>IFERROR(IF(H340&gt;0,H340*IF(OR(C340="Alpha",B340="Alpha"),$C$9,$C$8),""),"")</f>
        <v/>
      </c>
      <c r="L340" s="139">
        <f>IFERROR(IF(ISNUMBER(F340),F340-IF(ISNUMBER(K340),K340,0),""),"")</f>
        <v/>
      </c>
    </row>
    <row r="341" ht="24" customHeight="1" s="63">
      <c r="E341" s="139" t="n"/>
      <c r="F341" s="139" t="n"/>
      <c r="G341" s="140">
        <f>IFERROR(IF(E341&gt;0,(F341/E341)*1000,""),"")</f>
        <v/>
      </c>
      <c r="H341" s="139">
        <f>IFERROR(IF(E341&gt;0,E341*IF(ISNUMBER(J341),J341,IF(OR(C341="Alpha",B341="Alpha"),$C$7,IF(C341="Futures",$C$6,$C$5))),""),"")</f>
        <v/>
      </c>
      <c r="I341" s="139">
        <f>IFERROR(IF(AND(ISNUMBER(F341),ISNUMBER(H341)),F341-H341,""),"")</f>
        <v/>
      </c>
      <c r="J341" s="114" t="n"/>
      <c r="K341" s="139">
        <f>IFERROR(IF(H341&gt;0,H341*IF(OR(C341="Alpha",B341="Alpha"),$C$9,$C$8),""),"")</f>
        <v/>
      </c>
      <c r="L341" s="139">
        <f>IFERROR(IF(ISNUMBER(F341),F341-IF(ISNUMBER(K341),K341,0),""),"")</f>
        <v/>
      </c>
    </row>
    <row r="342" ht="24" customHeight="1" s="63">
      <c r="E342" s="139" t="n"/>
      <c r="F342" s="139" t="n"/>
      <c r="G342" s="140">
        <f>IFERROR(IF(E342&gt;0,(F342/E342)*1000,""),"")</f>
        <v/>
      </c>
      <c r="H342" s="139">
        <f>IFERROR(IF(E342&gt;0,E342*IF(ISNUMBER(J342),J342,IF(OR(C342="Alpha",B342="Alpha"),$C$7,IF(C342="Futures",$C$6,$C$5))),""),"")</f>
        <v/>
      </c>
      <c r="I342" s="139">
        <f>IFERROR(IF(AND(ISNUMBER(F342),ISNUMBER(H342)),F342-H342,""),"")</f>
        <v/>
      </c>
      <c r="J342" s="114" t="n"/>
      <c r="K342" s="139">
        <f>IFERROR(IF(H342&gt;0,H342*IF(OR(C342="Alpha",B342="Alpha"),$C$9,$C$8),""),"")</f>
        <v/>
      </c>
      <c r="L342" s="139">
        <f>IFERROR(IF(ISNUMBER(F342),F342-IF(ISNUMBER(K342),K342,0),""),"")</f>
        <v/>
      </c>
    </row>
    <row r="343" ht="24" customHeight="1" s="63">
      <c r="E343" s="139" t="n"/>
      <c r="F343" s="139" t="n"/>
      <c r="G343" s="140">
        <f>IFERROR(IF(E343&gt;0,(F343/E343)*1000,""),"")</f>
        <v/>
      </c>
      <c r="H343" s="139">
        <f>IFERROR(IF(E343&gt;0,E343*IF(ISNUMBER(J343),J343,IF(OR(C343="Alpha",B343="Alpha"),$C$7,IF(C343="Futures",$C$6,$C$5))),""),"")</f>
        <v/>
      </c>
      <c r="I343" s="139">
        <f>IFERROR(IF(AND(ISNUMBER(F343),ISNUMBER(H343)),F343-H343,""),"")</f>
        <v/>
      </c>
      <c r="J343" s="114" t="n"/>
      <c r="K343" s="139">
        <f>IFERROR(IF(H343&gt;0,H343*IF(OR(C343="Alpha",B343="Alpha"),$C$9,$C$8),""),"")</f>
        <v/>
      </c>
      <c r="L343" s="139">
        <f>IFERROR(IF(ISNUMBER(F343),F343-IF(ISNUMBER(K343),K343,0),""),"")</f>
        <v/>
      </c>
    </row>
    <row r="344" ht="24" customHeight="1" s="63">
      <c r="E344" s="139" t="n"/>
      <c r="F344" s="139" t="n"/>
      <c r="G344" s="140">
        <f>IFERROR(IF(E344&gt;0,(F344/E344)*1000,""),"")</f>
        <v/>
      </c>
      <c r="H344" s="139">
        <f>IFERROR(IF(E344&gt;0,E344*IF(ISNUMBER(J344),J344,IF(OR(C344="Alpha",B344="Alpha"),$C$7,IF(C344="Futures",$C$6,$C$5))),""),"")</f>
        <v/>
      </c>
      <c r="I344" s="139">
        <f>IFERROR(IF(AND(ISNUMBER(F344),ISNUMBER(H344)),F344-H344,""),"")</f>
        <v/>
      </c>
      <c r="J344" s="114" t="n"/>
      <c r="K344" s="139">
        <f>IFERROR(IF(H344&gt;0,H344*IF(OR(C344="Alpha",B344="Alpha"),$C$9,$C$8),""),"")</f>
        <v/>
      </c>
      <c r="L344" s="139">
        <f>IFERROR(IF(ISNUMBER(F344),F344-IF(ISNUMBER(K344),K344,0),""),"")</f>
        <v/>
      </c>
    </row>
    <row r="345" ht="24" customHeight="1" s="63">
      <c r="E345" s="139" t="n"/>
      <c r="F345" s="139" t="n"/>
      <c r="G345" s="140">
        <f>IFERROR(IF(E345&gt;0,(F345/E345)*1000,""),"")</f>
        <v/>
      </c>
      <c r="H345" s="139">
        <f>IFERROR(IF(E345&gt;0,E345*IF(ISNUMBER(J345),J345,IF(OR(C345="Alpha",B345="Alpha"),$C$7,IF(C345="Futures",$C$6,$C$5))),""),"")</f>
        <v/>
      </c>
      <c r="I345" s="139">
        <f>IFERROR(IF(AND(ISNUMBER(F345),ISNUMBER(H345)),F345-H345,""),"")</f>
        <v/>
      </c>
      <c r="J345" s="114" t="n"/>
      <c r="K345" s="139">
        <f>IFERROR(IF(H345&gt;0,H345*IF(OR(C345="Alpha",B345="Alpha"),$C$9,$C$8),""),"")</f>
        <v/>
      </c>
      <c r="L345" s="139">
        <f>IFERROR(IF(ISNUMBER(F345),F345-IF(ISNUMBER(K345),K345,0),""),"")</f>
        <v/>
      </c>
    </row>
    <row r="346" ht="24" customHeight="1" s="63">
      <c r="E346" s="139" t="n"/>
      <c r="F346" s="139" t="n"/>
      <c r="G346" s="140">
        <f>IFERROR(IF(E346&gt;0,(F346/E346)*1000,""),"")</f>
        <v/>
      </c>
      <c r="H346" s="139">
        <f>IFERROR(IF(E346&gt;0,E346*IF(ISNUMBER(J346),J346,IF(OR(C346="Alpha",B346="Alpha"),$C$7,IF(C346="Futures",$C$6,$C$5))),""),"")</f>
        <v/>
      </c>
      <c r="I346" s="139">
        <f>IFERROR(IF(AND(ISNUMBER(F346),ISNUMBER(H346)),F346-H346,""),"")</f>
        <v/>
      </c>
      <c r="J346" s="114" t="n"/>
      <c r="K346" s="139">
        <f>IFERROR(IF(H346&gt;0,H346*IF(OR(C346="Alpha",B346="Alpha"),$C$9,$C$8),""),"")</f>
        <v/>
      </c>
      <c r="L346" s="139">
        <f>IFERROR(IF(ISNUMBER(F346),F346-IF(ISNUMBER(K346),K346,0),""),"")</f>
        <v/>
      </c>
    </row>
    <row r="347" ht="24" customHeight="1" s="63">
      <c r="E347" s="139" t="n"/>
      <c r="F347" s="139" t="n"/>
      <c r="G347" s="140">
        <f>IFERROR(IF(E347&gt;0,(F347/E347)*1000,""),"")</f>
        <v/>
      </c>
      <c r="H347" s="139">
        <f>IFERROR(IF(E347&gt;0,E347*IF(ISNUMBER(J347),J347,IF(OR(C347="Alpha",B347="Alpha"),$C$7,IF(C347="Futures",$C$6,$C$5))),""),"")</f>
        <v/>
      </c>
      <c r="I347" s="139">
        <f>IFERROR(IF(AND(ISNUMBER(F347),ISNUMBER(H347)),F347-H347,""),"")</f>
        <v/>
      </c>
      <c r="J347" s="114" t="n"/>
      <c r="K347" s="139">
        <f>IFERROR(IF(H347&gt;0,H347*IF(OR(C347="Alpha",B347="Alpha"),$C$9,$C$8),""),"")</f>
        <v/>
      </c>
      <c r="L347" s="139">
        <f>IFERROR(IF(ISNUMBER(F347),F347-IF(ISNUMBER(K347),K347,0),""),"")</f>
        <v/>
      </c>
    </row>
    <row r="348" ht="24" customHeight="1" s="63">
      <c r="E348" s="139" t="n"/>
      <c r="F348" s="139" t="n"/>
      <c r="G348" s="140">
        <f>IFERROR(IF(E348&gt;0,(F348/E348)*1000,""),"")</f>
        <v/>
      </c>
      <c r="H348" s="139">
        <f>IFERROR(IF(E348&gt;0,E348*IF(ISNUMBER(J348),J348,IF(OR(C348="Alpha",B348="Alpha"),$C$7,IF(C348="Futures",$C$6,$C$5))),""),"")</f>
        <v/>
      </c>
      <c r="I348" s="139">
        <f>IFERROR(IF(AND(ISNUMBER(F348),ISNUMBER(H348)),F348-H348,""),"")</f>
        <v/>
      </c>
      <c r="J348" s="114" t="n"/>
      <c r="K348" s="139">
        <f>IFERROR(IF(H348&gt;0,H348*IF(OR(C348="Alpha",B348="Alpha"),$C$9,$C$8),""),"")</f>
        <v/>
      </c>
      <c r="L348" s="139">
        <f>IFERROR(IF(ISNUMBER(F348),F348-IF(ISNUMBER(K348),K348,0),""),"")</f>
        <v/>
      </c>
    </row>
    <row r="349" ht="24" customHeight="1" s="63">
      <c r="E349" s="139" t="n"/>
      <c r="F349" s="139" t="n"/>
      <c r="G349" s="140">
        <f>IFERROR(IF(E349&gt;0,(F349/E349)*1000,""),"")</f>
        <v/>
      </c>
      <c r="H349" s="139">
        <f>IFERROR(IF(E349&gt;0,E349*IF(ISNUMBER(J349),J349,IF(OR(C349="Alpha",B349="Alpha"),$C$7,IF(C349="Futures",$C$6,$C$5))),""),"")</f>
        <v/>
      </c>
      <c r="I349" s="139">
        <f>IFERROR(IF(AND(ISNUMBER(F349),ISNUMBER(H349)),F349-H349,""),"")</f>
        <v/>
      </c>
      <c r="J349" s="114" t="n"/>
      <c r="K349" s="139">
        <f>IFERROR(IF(H349&gt;0,H349*IF(OR(C349="Alpha",B349="Alpha"),$C$9,$C$8),""),"")</f>
        <v/>
      </c>
      <c r="L349" s="139">
        <f>IFERROR(IF(ISNUMBER(F349),F349-IF(ISNUMBER(K349),K349,0),""),"")</f>
        <v/>
      </c>
    </row>
    <row r="350" ht="24" customHeight="1" s="63">
      <c r="E350" s="139" t="n"/>
      <c r="F350" s="139" t="n"/>
      <c r="G350" s="140">
        <f>IFERROR(IF(E350&gt;0,(F350/E350)*1000,""),"")</f>
        <v/>
      </c>
      <c r="H350" s="139">
        <f>IFERROR(IF(E350&gt;0,E350*IF(ISNUMBER(J350),J350,IF(OR(C350="Alpha",B350="Alpha"),$C$7,IF(C350="Futures",$C$6,$C$5))),""),"")</f>
        <v/>
      </c>
      <c r="I350" s="139">
        <f>IFERROR(IF(AND(ISNUMBER(F350),ISNUMBER(H350)),F350-H350,""),"")</f>
        <v/>
      </c>
      <c r="J350" s="114" t="n"/>
      <c r="K350" s="139">
        <f>IFERROR(IF(H350&gt;0,H350*IF(OR(C350="Alpha",B350="Alpha"),$C$9,$C$8),""),"")</f>
        <v/>
      </c>
      <c r="L350" s="139">
        <f>IFERROR(IF(ISNUMBER(F350),F350-IF(ISNUMBER(K350),K350,0),""),"")</f>
        <v/>
      </c>
    </row>
    <row r="351" ht="24" customHeight="1" s="63">
      <c r="E351" s="139" t="n"/>
      <c r="F351" s="139" t="n"/>
      <c r="G351" s="140">
        <f>IFERROR(IF(E351&gt;0,(F351/E351)*1000,""),"")</f>
        <v/>
      </c>
      <c r="H351" s="139">
        <f>IFERROR(IF(E351&gt;0,E351*IF(ISNUMBER(J351),J351,IF(OR(C351="Alpha",B351="Alpha"),$C$7,IF(C351="Futures",$C$6,$C$5))),""),"")</f>
        <v/>
      </c>
      <c r="I351" s="139">
        <f>IFERROR(IF(AND(ISNUMBER(F351),ISNUMBER(H351)),F351-H351,""),"")</f>
        <v/>
      </c>
      <c r="J351" s="114" t="n"/>
      <c r="K351" s="139">
        <f>IFERROR(IF(H351&gt;0,H351*IF(OR(C351="Alpha",B351="Alpha"),$C$9,$C$8),""),"")</f>
        <v/>
      </c>
      <c r="L351" s="139">
        <f>IFERROR(IF(ISNUMBER(F351),F351-IF(ISNUMBER(K351),K351,0),""),"")</f>
        <v/>
      </c>
    </row>
    <row r="352" ht="24" customHeight="1" s="63">
      <c r="E352" s="139" t="n"/>
      <c r="F352" s="139" t="n"/>
      <c r="G352" s="140">
        <f>IFERROR(IF(E352&gt;0,(F352/E352)*1000,""),"")</f>
        <v/>
      </c>
      <c r="H352" s="139">
        <f>IFERROR(IF(E352&gt;0,E352*IF(ISNUMBER(J352),J352,IF(OR(C352="Alpha",B352="Alpha"),$C$7,IF(C352="Futures",$C$6,$C$5))),""),"")</f>
        <v/>
      </c>
      <c r="I352" s="139">
        <f>IFERROR(IF(AND(ISNUMBER(F352),ISNUMBER(H352)),F352-H352,""),"")</f>
        <v/>
      </c>
      <c r="J352" s="114" t="n"/>
      <c r="K352" s="139">
        <f>IFERROR(IF(H352&gt;0,H352*IF(OR(C352="Alpha",B352="Alpha"),$C$9,$C$8),""),"")</f>
        <v/>
      </c>
      <c r="L352" s="139">
        <f>IFERROR(IF(ISNUMBER(F352),F352-IF(ISNUMBER(K352),K352,0),""),"")</f>
        <v/>
      </c>
    </row>
    <row r="353" ht="24" customHeight="1" s="63">
      <c r="E353" s="139" t="n"/>
      <c r="F353" s="139" t="n"/>
      <c r="G353" s="140">
        <f>IFERROR(IF(E353&gt;0,(F353/E353)*1000,""),"")</f>
        <v/>
      </c>
      <c r="H353" s="139">
        <f>IFERROR(IF(E353&gt;0,E353*IF(ISNUMBER(J353),J353,IF(OR(C353="Alpha",B353="Alpha"),$C$7,IF(C353="Futures",$C$6,$C$5))),""),"")</f>
        <v/>
      </c>
      <c r="I353" s="139">
        <f>IFERROR(IF(AND(ISNUMBER(F353),ISNUMBER(H353)),F353-H353,""),"")</f>
        <v/>
      </c>
      <c r="J353" s="114" t="n"/>
      <c r="K353" s="139">
        <f>IFERROR(IF(H353&gt;0,H353*IF(OR(C353="Alpha",B353="Alpha"),$C$9,$C$8),""),"")</f>
        <v/>
      </c>
      <c r="L353" s="139">
        <f>IFERROR(IF(ISNUMBER(F353),F353-IF(ISNUMBER(K353),K353,0),""),"")</f>
        <v/>
      </c>
    </row>
    <row r="354" ht="24" customHeight="1" s="63">
      <c r="E354" s="139" t="n"/>
      <c r="F354" s="139" t="n"/>
      <c r="G354" s="140">
        <f>IFERROR(IF(E354&gt;0,(F354/E354)*1000,""),"")</f>
        <v/>
      </c>
      <c r="H354" s="139">
        <f>IFERROR(IF(E354&gt;0,E354*IF(ISNUMBER(J354),J354,IF(OR(C354="Alpha",B354="Alpha"),$C$7,IF(C354="Futures",$C$6,$C$5))),""),"")</f>
        <v/>
      </c>
      <c r="I354" s="139">
        <f>IFERROR(IF(AND(ISNUMBER(F354),ISNUMBER(H354)),F354-H354,""),"")</f>
        <v/>
      </c>
      <c r="J354" s="114" t="n"/>
      <c r="K354" s="139">
        <f>IFERROR(IF(H354&gt;0,H354*IF(OR(C354="Alpha",B354="Alpha"),$C$9,$C$8),""),"")</f>
        <v/>
      </c>
      <c r="L354" s="139">
        <f>IFERROR(IF(ISNUMBER(F354),F354-IF(ISNUMBER(K354),K354,0),""),"")</f>
        <v/>
      </c>
    </row>
    <row r="355" ht="24" customHeight="1" s="63">
      <c r="E355" s="139" t="n"/>
      <c r="F355" s="139" t="n"/>
      <c r="G355" s="140">
        <f>IFERROR(IF(E355&gt;0,(F355/E355)*1000,""),"")</f>
        <v/>
      </c>
      <c r="H355" s="139">
        <f>IFERROR(IF(E355&gt;0,E355*IF(ISNUMBER(J355),J355,IF(OR(C355="Alpha",B355="Alpha"),$C$7,IF(C355="Futures",$C$6,$C$5))),""),"")</f>
        <v/>
      </c>
      <c r="I355" s="139">
        <f>IFERROR(IF(AND(ISNUMBER(F355),ISNUMBER(H355)),F355-H355,""),"")</f>
        <v/>
      </c>
      <c r="J355" s="114" t="n"/>
      <c r="K355" s="139">
        <f>IFERROR(IF(H355&gt;0,H355*IF(OR(C355="Alpha",B355="Alpha"),$C$9,$C$8),""),"")</f>
        <v/>
      </c>
      <c r="L355" s="139">
        <f>IFERROR(IF(ISNUMBER(F355),F355-IF(ISNUMBER(K355),K355,0),""),"")</f>
        <v/>
      </c>
    </row>
    <row r="356" ht="24" customHeight="1" s="63">
      <c r="E356" s="139" t="n"/>
      <c r="F356" s="139" t="n"/>
      <c r="G356" s="140">
        <f>IFERROR(IF(E356&gt;0,(F356/E356)*1000,""),"")</f>
        <v/>
      </c>
      <c r="H356" s="139">
        <f>IFERROR(IF(E356&gt;0,E356*IF(ISNUMBER(J356),J356,IF(OR(C356="Alpha",B356="Alpha"),$C$7,IF(C356="Futures",$C$6,$C$5))),""),"")</f>
        <v/>
      </c>
      <c r="I356" s="139">
        <f>IFERROR(IF(AND(ISNUMBER(F356),ISNUMBER(H356)),F356-H356,""),"")</f>
        <v/>
      </c>
      <c r="J356" s="114" t="n"/>
      <c r="K356" s="139">
        <f>IFERROR(IF(H356&gt;0,H356*IF(OR(C356="Alpha",B356="Alpha"),$C$9,$C$8),""),"")</f>
        <v/>
      </c>
      <c r="L356" s="139">
        <f>IFERROR(IF(ISNUMBER(F356),F356-IF(ISNUMBER(K356),K356,0),""),"")</f>
        <v/>
      </c>
    </row>
    <row r="357" ht="24" customHeight="1" s="63">
      <c r="E357" s="139" t="n"/>
      <c r="F357" s="139" t="n"/>
      <c r="G357" s="140">
        <f>IFERROR(IF(E357&gt;0,(F357/E357)*1000,""),"")</f>
        <v/>
      </c>
      <c r="H357" s="139">
        <f>IFERROR(IF(E357&gt;0,E357*IF(ISNUMBER(J357),J357,IF(OR(C357="Alpha",B357="Alpha"),$C$7,IF(C357="Futures",$C$6,$C$5))),""),"")</f>
        <v/>
      </c>
      <c r="I357" s="139">
        <f>IFERROR(IF(AND(ISNUMBER(F357),ISNUMBER(H357)),F357-H357,""),"")</f>
        <v/>
      </c>
      <c r="J357" s="114" t="n"/>
      <c r="K357" s="139">
        <f>IFERROR(IF(H357&gt;0,H357*IF(OR(C357="Alpha",B357="Alpha"),$C$9,$C$8),""),"")</f>
        <v/>
      </c>
      <c r="L357" s="139">
        <f>IFERROR(IF(ISNUMBER(F357),F357-IF(ISNUMBER(K357),K357,0),""),"")</f>
        <v/>
      </c>
    </row>
    <row r="358" ht="24" customHeight="1" s="63">
      <c r="E358" s="139" t="n"/>
      <c r="F358" s="139" t="n"/>
      <c r="G358" s="140">
        <f>IFERROR(IF(E358&gt;0,(F358/E358)*1000,""),"")</f>
        <v/>
      </c>
      <c r="H358" s="139">
        <f>IFERROR(IF(E358&gt;0,E358*IF(ISNUMBER(J358),J358,IF(OR(C358="Alpha",B358="Alpha"),$C$7,IF(C358="Futures",$C$6,$C$5))),""),"")</f>
        <v/>
      </c>
      <c r="I358" s="139">
        <f>IFERROR(IF(AND(ISNUMBER(F358),ISNUMBER(H358)),F358-H358,""),"")</f>
        <v/>
      </c>
      <c r="J358" s="114" t="n"/>
      <c r="K358" s="139">
        <f>IFERROR(IF(H358&gt;0,H358*IF(OR(C358="Alpha",B358="Alpha"),$C$9,$C$8),""),"")</f>
        <v/>
      </c>
      <c r="L358" s="139">
        <f>IFERROR(IF(ISNUMBER(F358),F358-IF(ISNUMBER(K358),K358,0),""),"")</f>
        <v/>
      </c>
    </row>
    <row r="359" ht="24" customHeight="1" s="63">
      <c r="E359" s="139" t="n"/>
      <c r="F359" s="139" t="n"/>
      <c r="G359" s="140">
        <f>IFERROR(IF(E359&gt;0,(F359/E359)*1000,""),"")</f>
        <v/>
      </c>
      <c r="H359" s="139">
        <f>IFERROR(IF(E359&gt;0,E359*IF(ISNUMBER(J359),J359,IF(OR(C359="Alpha",B359="Alpha"),$C$7,IF(C359="Futures",$C$6,$C$5))),""),"")</f>
        <v/>
      </c>
      <c r="I359" s="139">
        <f>IFERROR(IF(AND(ISNUMBER(F359),ISNUMBER(H359)),F359-H359,""),"")</f>
        <v/>
      </c>
      <c r="J359" s="114" t="n"/>
      <c r="K359" s="139">
        <f>IFERROR(IF(H359&gt;0,H359*IF(OR(C359="Alpha",B359="Alpha"),$C$9,$C$8),""),"")</f>
        <v/>
      </c>
      <c r="L359" s="139">
        <f>IFERROR(IF(ISNUMBER(F359),F359-IF(ISNUMBER(K359),K359,0),""),"")</f>
        <v/>
      </c>
    </row>
    <row r="360" ht="24" customHeight="1" s="63">
      <c r="E360" s="139" t="n"/>
      <c r="F360" s="139" t="n"/>
      <c r="G360" s="140">
        <f>IFERROR(IF(E360&gt;0,(F360/E360)*1000,""),"")</f>
        <v/>
      </c>
      <c r="H360" s="139">
        <f>IFERROR(IF(E360&gt;0,E360*IF(ISNUMBER(J360),J360,IF(OR(C360="Alpha",B360="Alpha"),$C$7,IF(C360="Futures",$C$6,$C$5))),""),"")</f>
        <v/>
      </c>
      <c r="I360" s="139">
        <f>IFERROR(IF(AND(ISNUMBER(F360),ISNUMBER(H360)),F360-H360,""),"")</f>
        <v/>
      </c>
      <c r="J360" s="114" t="n"/>
      <c r="K360" s="139">
        <f>IFERROR(IF(H360&gt;0,H360*IF(OR(C360="Alpha",B360="Alpha"),$C$9,$C$8),""),"")</f>
        <v/>
      </c>
      <c r="L360" s="139">
        <f>IFERROR(IF(ISNUMBER(F360),F360-IF(ISNUMBER(K360),K360,0),""),"")</f>
        <v/>
      </c>
    </row>
    <row r="361" ht="24" customHeight="1" s="63">
      <c r="E361" s="139" t="n"/>
      <c r="F361" s="139" t="n"/>
      <c r="G361" s="140">
        <f>IFERROR(IF(E361&gt;0,(F361/E361)*1000,""),"")</f>
        <v/>
      </c>
      <c r="H361" s="139">
        <f>IFERROR(IF(E361&gt;0,E361*IF(ISNUMBER(J361),J361,IF(OR(C361="Alpha",B361="Alpha"),$C$7,IF(C361="Futures",$C$6,$C$5))),""),"")</f>
        <v/>
      </c>
      <c r="I361" s="139">
        <f>IFERROR(IF(AND(ISNUMBER(F361),ISNUMBER(H361)),F361-H361,""),"")</f>
        <v/>
      </c>
      <c r="J361" s="114" t="n"/>
      <c r="K361" s="139">
        <f>IFERROR(IF(H361&gt;0,H361*IF(OR(C361="Alpha",B361="Alpha"),$C$9,$C$8),""),"")</f>
        <v/>
      </c>
      <c r="L361" s="139">
        <f>IFERROR(IF(ISNUMBER(F361),F361-IF(ISNUMBER(K361),K361,0),""),"")</f>
        <v/>
      </c>
    </row>
    <row r="362" ht="24" customHeight="1" s="63">
      <c r="E362" s="139" t="n"/>
      <c r="F362" s="139" t="n"/>
      <c r="G362" s="140">
        <f>IFERROR(IF(E362&gt;0,(F362/E362)*1000,""),"")</f>
        <v/>
      </c>
      <c r="H362" s="139">
        <f>IFERROR(IF(E362&gt;0,E362*IF(ISNUMBER(J362),J362,IF(OR(C362="Alpha",B362="Alpha"),$C$7,IF(C362="Futures",$C$6,$C$5))),""),"")</f>
        <v/>
      </c>
      <c r="I362" s="139">
        <f>IFERROR(IF(AND(ISNUMBER(F362),ISNUMBER(H362)),F362-H362,""),"")</f>
        <v/>
      </c>
      <c r="J362" s="114" t="n"/>
      <c r="K362" s="139">
        <f>IFERROR(IF(H362&gt;0,H362*IF(OR(C362="Alpha",B362="Alpha"),$C$9,$C$8),""),"")</f>
        <v/>
      </c>
      <c r="L362" s="139">
        <f>IFERROR(IF(ISNUMBER(F362),F362-IF(ISNUMBER(K362),K362,0),""),"")</f>
        <v/>
      </c>
    </row>
    <row r="363" ht="24" customHeight="1" s="63">
      <c r="E363" s="139" t="n"/>
      <c r="F363" s="139" t="n"/>
      <c r="G363" s="140">
        <f>IFERROR(IF(E363&gt;0,(F363/E363)*1000,""),"")</f>
        <v/>
      </c>
      <c r="H363" s="139">
        <f>IFERROR(IF(E363&gt;0,E363*IF(ISNUMBER(J363),J363,IF(OR(C363="Alpha",B363="Alpha"),$C$7,IF(C363="Futures",$C$6,$C$5))),""),"")</f>
        <v/>
      </c>
      <c r="I363" s="139">
        <f>IFERROR(IF(AND(ISNUMBER(F363),ISNUMBER(H363)),F363-H363,""),"")</f>
        <v/>
      </c>
      <c r="J363" s="114" t="n"/>
      <c r="K363" s="139">
        <f>IFERROR(IF(H363&gt;0,H363*IF(OR(C363="Alpha",B363="Alpha"),$C$9,$C$8),""),"")</f>
        <v/>
      </c>
      <c r="L363" s="139">
        <f>IFERROR(IF(ISNUMBER(F363),F363-IF(ISNUMBER(K363),K363,0),""),"")</f>
        <v/>
      </c>
    </row>
    <row r="364" ht="24" customHeight="1" s="63">
      <c r="E364" s="139" t="n"/>
      <c r="F364" s="139" t="n"/>
      <c r="G364" s="140">
        <f>IFERROR(IF(E364&gt;0,(F364/E364)*1000,""),"")</f>
        <v/>
      </c>
      <c r="H364" s="139">
        <f>IFERROR(IF(E364&gt;0,E364*IF(ISNUMBER(J364),J364,IF(OR(C364="Alpha",B364="Alpha"),$C$7,IF(C364="Futures",$C$6,$C$5))),""),"")</f>
        <v/>
      </c>
      <c r="I364" s="139">
        <f>IFERROR(IF(AND(ISNUMBER(F364),ISNUMBER(H364)),F364-H364,""),"")</f>
        <v/>
      </c>
      <c r="J364" s="114" t="n"/>
      <c r="K364" s="139">
        <f>IFERROR(IF(H364&gt;0,H364*IF(OR(C364="Alpha",B364="Alpha"),$C$9,$C$8),""),"")</f>
        <v/>
      </c>
      <c r="L364" s="139">
        <f>IFERROR(IF(ISNUMBER(F364),F364-IF(ISNUMBER(K364),K364,0),""),"")</f>
        <v/>
      </c>
    </row>
    <row r="365" ht="24" customHeight="1" s="63">
      <c r="E365" s="139" t="n"/>
      <c r="F365" s="139" t="n"/>
      <c r="G365" s="140">
        <f>IFERROR(IF(E365&gt;0,(F365/E365)*1000,""),"")</f>
        <v/>
      </c>
      <c r="H365" s="139">
        <f>IFERROR(IF(E365&gt;0,E365*IF(ISNUMBER(J365),J365,IF(OR(C365="Alpha",B365="Alpha"),$C$7,IF(C365="Futures",$C$6,$C$5))),""),"")</f>
        <v/>
      </c>
      <c r="I365" s="139">
        <f>IFERROR(IF(AND(ISNUMBER(F365),ISNUMBER(H365)),F365-H365,""),"")</f>
        <v/>
      </c>
      <c r="J365" s="114" t="n"/>
      <c r="K365" s="139">
        <f>IFERROR(IF(H365&gt;0,H365*IF(OR(C365="Alpha",B365="Alpha"),$C$9,$C$8),""),"")</f>
        <v/>
      </c>
      <c r="L365" s="139">
        <f>IFERROR(IF(ISNUMBER(F365),F365-IF(ISNUMBER(K365),K365,0),""),"")</f>
        <v/>
      </c>
    </row>
    <row r="366" ht="24" customHeight="1" s="63">
      <c r="E366" s="139" t="n"/>
      <c r="F366" s="139" t="n"/>
      <c r="G366" s="140">
        <f>IFERROR(IF(E366&gt;0,(F366/E366)*1000,""),"")</f>
        <v/>
      </c>
      <c r="H366" s="139">
        <f>IFERROR(IF(E366&gt;0,E366*IF(ISNUMBER(J366),J366,IF(OR(C366="Alpha",B366="Alpha"),$C$7,IF(C366="Futures",$C$6,$C$5))),""),"")</f>
        <v/>
      </c>
      <c r="I366" s="139">
        <f>IFERROR(IF(AND(ISNUMBER(F366),ISNUMBER(H366)),F366-H366,""),"")</f>
        <v/>
      </c>
      <c r="J366" s="114" t="n"/>
      <c r="K366" s="139">
        <f>IFERROR(IF(H366&gt;0,H366*IF(OR(C366="Alpha",B366="Alpha"),$C$9,$C$8),""),"")</f>
        <v/>
      </c>
      <c r="L366" s="139">
        <f>IFERROR(IF(ISNUMBER(F366),F366-IF(ISNUMBER(K366),K366,0),""),"")</f>
        <v/>
      </c>
    </row>
    <row r="367" ht="24" customHeight="1" s="63">
      <c r="E367" s="139" t="n"/>
      <c r="F367" s="139" t="n"/>
      <c r="G367" s="140">
        <f>IFERROR(IF(E367&gt;0,(F367/E367)*1000,""),"")</f>
        <v/>
      </c>
      <c r="H367" s="139">
        <f>IFERROR(IF(E367&gt;0,E367*IF(ISNUMBER(J367),J367,IF(OR(C367="Alpha",B367="Alpha"),$C$7,IF(C367="Futures",$C$6,$C$5))),""),"")</f>
        <v/>
      </c>
      <c r="I367" s="139">
        <f>IFERROR(IF(AND(ISNUMBER(F367),ISNUMBER(H367)),F367-H367,""),"")</f>
        <v/>
      </c>
      <c r="J367" s="114" t="n"/>
      <c r="K367" s="139">
        <f>IFERROR(IF(H367&gt;0,H367*IF(OR(C367="Alpha",B367="Alpha"),$C$9,$C$8),""),"")</f>
        <v/>
      </c>
      <c r="L367" s="139">
        <f>IFERROR(IF(ISNUMBER(F367),F367-IF(ISNUMBER(K367),K367,0),""),"")</f>
        <v/>
      </c>
    </row>
    <row r="368" ht="24" customHeight="1" s="63">
      <c r="E368" s="139" t="n"/>
      <c r="F368" s="139" t="n"/>
      <c r="G368" s="140">
        <f>IFERROR(IF(E368&gt;0,(F368/E368)*1000,""),"")</f>
        <v/>
      </c>
      <c r="H368" s="139">
        <f>IFERROR(IF(E368&gt;0,E368*IF(ISNUMBER(J368),J368,IF(OR(C368="Alpha",B368="Alpha"),$C$7,IF(C368="Futures",$C$6,$C$5))),""),"")</f>
        <v/>
      </c>
      <c r="I368" s="139">
        <f>IFERROR(IF(AND(ISNUMBER(F368),ISNUMBER(H368)),F368-H368,""),"")</f>
        <v/>
      </c>
      <c r="J368" s="114" t="n"/>
      <c r="K368" s="139">
        <f>IFERROR(IF(H368&gt;0,H368*IF(OR(C368="Alpha",B368="Alpha"),$C$9,$C$8),""),"")</f>
        <v/>
      </c>
      <c r="L368" s="139">
        <f>IFERROR(IF(ISNUMBER(F368),F368-IF(ISNUMBER(K368),K368,0),""),"")</f>
        <v/>
      </c>
    </row>
    <row r="369" ht="24" customHeight="1" s="63">
      <c r="E369" s="139" t="n"/>
      <c r="F369" s="139" t="n"/>
      <c r="G369" s="140">
        <f>IFERROR(IF(E369&gt;0,(F369/E369)*1000,""),"")</f>
        <v/>
      </c>
      <c r="H369" s="139">
        <f>IFERROR(IF(E369&gt;0,E369*IF(ISNUMBER(J369),J369,IF(OR(C369="Alpha",B369="Alpha"),$C$7,IF(C369="Futures",$C$6,$C$5))),""),"")</f>
        <v/>
      </c>
      <c r="I369" s="139">
        <f>IFERROR(IF(AND(ISNUMBER(F369),ISNUMBER(H369)),F369-H369,""),"")</f>
        <v/>
      </c>
      <c r="J369" s="114" t="n"/>
      <c r="K369" s="139">
        <f>IFERROR(IF(H369&gt;0,H369*IF(OR(C369="Alpha",B369="Alpha"),$C$9,$C$8),""),"")</f>
        <v/>
      </c>
      <c r="L369" s="139">
        <f>IFERROR(IF(ISNUMBER(F369),F369-IF(ISNUMBER(K369),K369,0),""),"")</f>
        <v/>
      </c>
    </row>
    <row r="370" ht="24" customHeight="1" s="63">
      <c r="E370" s="139" t="n"/>
      <c r="F370" s="139" t="n"/>
      <c r="G370" s="140">
        <f>IFERROR(IF(E370&gt;0,(F370/E370)*1000,""),"")</f>
        <v/>
      </c>
      <c r="H370" s="139">
        <f>IFERROR(IF(E370&gt;0,E370*IF(ISNUMBER(J370),J370,IF(OR(C370="Alpha",B370="Alpha"),$C$7,IF(C370="Futures",$C$6,$C$5))),""),"")</f>
        <v/>
      </c>
      <c r="I370" s="139">
        <f>IFERROR(IF(AND(ISNUMBER(F370),ISNUMBER(H370)),F370-H370,""),"")</f>
        <v/>
      </c>
      <c r="J370" s="114" t="n"/>
      <c r="K370" s="139">
        <f>IFERROR(IF(H370&gt;0,H370*IF(OR(C370="Alpha",B370="Alpha"),$C$9,$C$8),""),"")</f>
        <v/>
      </c>
      <c r="L370" s="139">
        <f>IFERROR(IF(ISNUMBER(F370),F370-IF(ISNUMBER(K370),K370,0),""),"")</f>
        <v/>
      </c>
    </row>
    <row r="371" ht="24" customHeight="1" s="63">
      <c r="E371" s="139" t="n"/>
      <c r="F371" s="139" t="n"/>
      <c r="G371" s="140">
        <f>IFERROR(IF(E371&gt;0,(F371/E371)*1000,""),"")</f>
        <v/>
      </c>
      <c r="H371" s="139">
        <f>IFERROR(IF(E371&gt;0,E371*IF(ISNUMBER(J371),J371,IF(OR(C371="Alpha",B371="Alpha"),$C$7,IF(C371="Futures",$C$6,$C$5))),""),"")</f>
        <v/>
      </c>
      <c r="I371" s="139">
        <f>IFERROR(IF(AND(ISNUMBER(F371),ISNUMBER(H371)),F371-H371,""),"")</f>
        <v/>
      </c>
      <c r="J371" s="114" t="n"/>
      <c r="K371" s="139">
        <f>IFERROR(IF(H371&gt;0,H371*IF(OR(C371="Alpha",B371="Alpha"),$C$9,$C$8),""),"")</f>
        <v/>
      </c>
      <c r="L371" s="139">
        <f>IFERROR(IF(ISNUMBER(F371),F371-IF(ISNUMBER(K371),K371,0),""),"")</f>
        <v/>
      </c>
    </row>
    <row r="372" ht="24" customHeight="1" s="63">
      <c r="E372" s="139" t="n"/>
      <c r="F372" s="139" t="n"/>
      <c r="G372" s="140">
        <f>IFERROR(IF(E372&gt;0,(F372/E372)*1000,""),"")</f>
        <v/>
      </c>
      <c r="H372" s="139">
        <f>IFERROR(IF(E372&gt;0,E372*IF(ISNUMBER(J372),J372,IF(OR(C372="Alpha",B372="Alpha"),$C$7,IF(C372="Futures",$C$6,$C$5))),""),"")</f>
        <v/>
      </c>
      <c r="I372" s="139">
        <f>IFERROR(IF(AND(ISNUMBER(F372),ISNUMBER(H372)),F372-H372,""),"")</f>
        <v/>
      </c>
      <c r="J372" s="114" t="n"/>
      <c r="K372" s="139">
        <f>IFERROR(IF(H372&gt;0,H372*IF(OR(C372="Alpha",B372="Alpha"),$C$9,$C$8),""),"")</f>
        <v/>
      </c>
      <c r="L372" s="139">
        <f>IFERROR(IF(ISNUMBER(F372),F372-IF(ISNUMBER(K372),K372,0),""),"")</f>
        <v/>
      </c>
    </row>
    <row r="373" ht="24" customHeight="1" s="63">
      <c r="E373" s="139" t="n"/>
      <c r="F373" s="139" t="n"/>
      <c r="G373" s="140">
        <f>IFERROR(IF(E373&gt;0,(F373/E373)*1000,""),"")</f>
        <v/>
      </c>
      <c r="H373" s="139">
        <f>IFERROR(IF(E373&gt;0,E373*IF(ISNUMBER(J373),J373,IF(OR(C373="Alpha",B373="Alpha"),$C$7,IF(C373="Futures",$C$6,$C$5))),""),"")</f>
        <v/>
      </c>
      <c r="I373" s="139">
        <f>IFERROR(IF(AND(ISNUMBER(F373),ISNUMBER(H373)),F373-H373,""),"")</f>
        <v/>
      </c>
      <c r="J373" s="114" t="n"/>
      <c r="K373" s="139">
        <f>IFERROR(IF(H373&gt;0,H373*IF(OR(C373="Alpha",B373="Alpha"),$C$9,$C$8),""),"")</f>
        <v/>
      </c>
      <c r="L373" s="139">
        <f>IFERROR(IF(ISNUMBER(F373),F373-IF(ISNUMBER(K373),K373,0),""),"")</f>
        <v/>
      </c>
    </row>
    <row r="374" ht="24" customHeight="1" s="63">
      <c r="E374" s="139" t="n"/>
      <c r="F374" s="139" t="n"/>
      <c r="G374" s="140">
        <f>IFERROR(IF(E374&gt;0,(F374/E374)*1000,""),"")</f>
        <v/>
      </c>
      <c r="H374" s="139">
        <f>IFERROR(IF(E374&gt;0,E374*IF(ISNUMBER(J374),J374,IF(OR(C374="Alpha",B374="Alpha"),$C$7,IF(C374="Futures",$C$6,$C$5))),""),"")</f>
        <v/>
      </c>
      <c r="I374" s="139">
        <f>IFERROR(IF(AND(ISNUMBER(F374),ISNUMBER(H374)),F374-H374,""),"")</f>
        <v/>
      </c>
      <c r="J374" s="114" t="n"/>
      <c r="K374" s="139">
        <f>IFERROR(IF(H374&gt;0,H374*IF(OR(C374="Alpha",B374="Alpha"),$C$9,$C$8),""),"")</f>
        <v/>
      </c>
      <c r="L374" s="139">
        <f>IFERROR(IF(ISNUMBER(F374),F374-IF(ISNUMBER(K374),K374,0),""),"")</f>
        <v/>
      </c>
    </row>
    <row r="375" ht="24" customHeight="1" s="63">
      <c r="E375" s="139" t="n"/>
      <c r="F375" s="139" t="n"/>
      <c r="G375" s="140">
        <f>IFERROR(IF(E375&gt;0,(F375/E375)*1000,""),"")</f>
        <v/>
      </c>
      <c r="H375" s="139">
        <f>IFERROR(IF(E375&gt;0,E375*IF(ISNUMBER(J375),J375,IF(OR(C375="Alpha",B375="Alpha"),$C$7,IF(C375="Futures",$C$6,$C$5))),""),"")</f>
        <v/>
      </c>
      <c r="I375" s="139">
        <f>IFERROR(IF(AND(ISNUMBER(F375),ISNUMBER(H375)),F375-H375,""),"")</f>
        <v/>
      </c>
      <c r="J375" s="114" t="n"/>
      <c r="K375" s="139">
        <f>IFERROR(IF(H375&gt;0,H375*IF(OR(C375="Alpha",B375="Alpha"),$C$9,$C$8),""),"")</f>
        <v/>
      </c>
      <c r="L375" s="139">
        <f>IFERROR(IF(ISNUMBER(F375),F375-IF(ISNUMBER(K375),K375,0),""),"")</f>
        <v/>
      </c>
    </row>
    <row r="376" ht="24" customHeight="1" s="63">
      <c r="E376" s="139" t="n"/>
      <c r="F376" s="139" t="n"/>
      <c r="G376" s="140">
        <f>IFERROR(IF(E376&gt;0,(F376/E376)*1000,""),"")</f>
        <v/>
      </c>
      <c r="H376" s="139">
        <f>IFERROR(IF(E376&gt;0,E376*IF(ISNUMBER(J376),J376,IF(OR(C376="Alpha",B376="Alpha"),$C$7,IF(C376="Futures",$C$6,$C$5))),""),"")</f>
        <v/>
      </c>
      <c r="I376" s="139">
        <f>IFERROR(IF(AND(ISNUMBER(F376),ISNUMBER(H376)),F376-H376,""),"")</f>
        <v/>
      </c>
      <c r="J376" s="114" t="n"/>
      <c r="K376" s="139">
        <f>IFERROR(IF(H376&gt;0,H376*IF(OR(C376="Alpha",B376="Alpha"),$C$9,$C$8),""),"")</f>
        <v/>
      </c>
      <c r="L376" s="139">
        <f>IFERROR(IF(ISNUMBER(F376),F376-IF(ISNUMBER(K376),K376,0),""),"")</f>
        <v/>
      </c>
    </row>
    <row r="377" ht="24" customHeight="1" s="63">
      <c r="E377" s="139" t="n"/>
      <c r="F377" s="139" t="n"/>
      <c r="G377" s="140">
        <f>IFERROR(IF(E377&gt;0,(F377/E377)*1000,""),"")</f>
        <v/>
      </c>
      <c r="H377" s="139">
        <f>IFERROR(IF(E377&gt;0,E377*IF(ISNUMBER(J377),J377,IF(OR(C377="Alpha",B377="Alpha"),$C$7,IF(C377="Futures",$C$6,$C$5))),""),"")</f>
        <v/>
      </c>
      <c r="I377" s="139">
        <f>IFERROR(IF(AND(ISNUMBER(F377),ISNUMBER(H377)),F377-H377,""),"")</f>
        <v/>
      </c>
      <c r="J377" s="114" t="n"/>
      <c r="K377" s="139">
        <f>IFERROR(IF(H377&gt;0,H377*IF(OR(C377="Alpha",B377="Alpha"),$C$9,$C$8),""),"")</f>
        <v/>
      </c>
      <c r="L377" s="139">
        <f>IFERROR(IF(ISNUMBER(F377),F377-IF(ISNUMBER(K377),K377,0),""),"")</f>
        <v/>
      </c>
    </row>
    <row r="378" ht="24" customHeight="1" s="63">
      <c r="E378" s="139" t="n"/>
      <c r="F378" s="139" t="n"/>
      <c r="G378" s="140">
        <f>IFERROR(IF(E378&gt;0,(F378/E378)*1000,""),"")</f>
        <v/>
      </c>
      <c r="H378" s="139">
        <f>IFERROR(IF(E378&gt;0,E378*IF(ISNUMBER(J378),J378,IF(OR(C378="Alpha",B378="Alpha"),$C$7,IF(C378="Futures",$C$6,$C$5))),""),"")</f>
        <v/>
      </c>
      <c r="I378" s="139">
        <f>IFERROR(IF(AND(ISNUMBER(F378),ISNUMBER(H378)),F378-H378,""),"")</f>
        <v/>
      </c>
      <c r="J378" s="114" t="n"/>
      <c r="K378" s="139">
        <f>IFERROR(IF(H378&gt;0,H378*IF(OR(C378="Alpha",B378="Alpha"),$C$9,$C$8),""),"")</f>
        <v/>
      </c>
      <c r="L378" s="139">
        <f>IFERROR(IF(ISNUMBER(F378),F378-IF(ISNUMBER(K378),K378,0),""),"")</f>
        <v/>
      </c>
    </row>
    <row r="379" ht="24" customHeight="1" s="63">
      <c r="E379" s="139" t="n"/>
      <c r="F379" s="139" t="n"/>
      <c r="G379" s="140">
        <f>IFERROR(IF(E379&gt;0,(F379/E379)*1000,""),"")</f>
        <v/>
      </c>
      <c r="H379" s="139">
        <f>IFERROR(IF(E379&gt;0,E379*IF(ISNUMBER(J379),J379,IF(OR(C379="Alpha",B379="Alpha"),$C$7,IF(C379="Futures",$C$6,$C$5))),""),"")</f>
        <v/>
      </c>
      <c r="I379" s="139">
        <f>IFERROR(IF(AND(ISNUMBER(F379),ISNUMBER(H379)),F379-H379,""),"")</f>
        <v/>
      </c>
      <c r="J379" s="114" t="n"/>
      <c r="K379" s="139">
        <f>IFERROR(IF(H379&gt;0,H379*IF(OR(C379="Alpha",B379="Alpha"),$C$9,$C$8),""),"")</f>
        <v/>
      </c>
      <c r="L379" s="139">
        <f>IFERROR(IF(ISNUMBER(F379),F379-IF(ISNUMBER(K379),K379,0),""),"")</f>
        <v/>
      </c>
    </row>
    <row r="380" ht="24" customHeight="1" s="63">
      <c r="E380" s="139" t="n"/>
      <c r="F380" s="139" t="n"/>
      <c r="G380" s="140">
        <f>IFERROR(IF(E380&gt;0,(F380/E380)*1000,""),"")</f>
        <v/>
      </c>
      <c r="H380" s="139">
        <f>IFERROR(IF(E380&gt;0,E380*IF(ISNUMBER(J380),J380,IF(OR(C380="Alpha",B380="Alpha"),$C$7,IF(C380="Futures",$C$6,$C$5))),""),"")</f>
        <v/>
      </c>
      <c r="I380" s="139">
        <f>IFERROR(IF(AND(ISNUMBER(F380),ISNUMBER(H380)),F380-H380,""),"")</f>
        <v/>
      </c>
      <c r="J380" s="114" t="n"/>
      <c r="K380" s="139">
        <f>IFERROR(IF(H380&gt;0,H380*IF(OR(C380="Alpha",B380="Alpha"),$C$9,$C$8),""),"")</f>
        <v/>
      </c>
      <c r="L380" s="139">
        <f>IFERROR(IF(ISNUMBER(F380),F380-IF(ISNUMBER(K380),K380,0),""),"")</f>
        <v/>
      </c>
    </row>
    <row r="381" ht="24" customHeight="1" s="63">
      <c r="E381" s="139" t="n"/>
      <c r="F381" s="139" t="n"/>
      <c r="G381" s="140">
        <f>IFERROR(IF(E381&gt;0,(F381/E381)*1000,""),"")</f>
        <v/>
      </c>
      <c r="H381" s="139">
        <f>IFERROR(IF(E381&gt;0,E381*IF(ISNUMBER(J381),J381,IF(OR(C381="Alpha",B381="Alpha"),$C$7,IF(C381="Futures",$C$6,$C$5))),""),"")</f>
        <v/>
      </c>
      <c r="I381" s="139">
        <f>IFERROR(IF(AND(ISNUMBER(F381),ISNUMBER(H381)),F381-H381,""),"")</f>
        <v/>
      </c>
      <c r="J381" s="114" t="n"/>
      <c r="K381" s="139">
        <f>IFERROR(IF(H381&gt;0,H381*IF(OR(C381="Alpha",B381="Alpha"),$C$9,$C$8),""),"")</f>
        <v/>
      </c>
      <c r="L381" s="139">
        <f>IFERROR(IF(ISNUMBER(F381),F381-IF(ISNUMBER(K381),K381,0),""),"")</f>
        <v/>
      </c>
    </row>
    <row r="382" ht="24" customHeight="1" s="63">
      <c r="E382" s="139" t="n"/>
      <c r="F382" s="139" t="n"/>
      <c r="G382" s="140">
        <f>IFERROR(IF(E382&gt;0,(F382/E382)*1000,""),"")</f>
        <v/>
      </c>
      <c r="H382" s="139">
        <f>IFERROR(IF(E382&gt;0,E382*IF(ISNUMBER(J382),J382,IF(OR(C382="Alpha",B382="Alpha"),$C$7,IF(C382="Futures",$C$6,$C$5))),""),"")</f>
        <v/>
      </c>
      <c r="I382" s="139">
        <f>IFERROR(IF(AND(ISNUMBER(F382),ISNUMBER(H382)),F382-H382,""),"")</f>
        <v/>
      </c>
      <c r="J382" s="114" t="n"/>
      <c r="K382" s="139">
        <f>IFERROR(IF(H382&gt;0,H382*IF(OR(C382="Alpha",B382="Alpha"),$C$9,$C$8),""),"")</f>
        <v/>
      </c>
      <c r="L382" s="139">
        <f>IFERROR(IF(ISNUMBER(F382),F382-IF(ISNUMBER(K382),K382,0),""),"")</f>
        <v/>
      </c>
    </row>
    <row r="383" ht="24" customHeight="1" s="63">
      <c r="E383" s="139" t="n"/>
      <c r="F383" s="139" t="n"/>
      <c r="G383" s="140">
        <f>IFERROR(IF(E383&gt;0,(F383/E383)*1000,""),"")</f>
        <v/>
      </c>
      <c r="H383" s="139">
        <f>IFERROR(IF(E383&gt;0,E383*IF(ISNUMBER(J383),J383,IF(OR(C383="Alpha",B383="Alpha"),$C$7,IF(C383="Futures",$C$6,$C$5))),""),"")</f>
        <v/>
      </c>
      <c r="I383" s="139">
        <f>IFERROR(IF(AND(ISNUMBER(F383),ISNUMBER(H383)),F383-H383,""),"")</f>
        <v/>
      </c>
      <c r="J383" s="114" t="n"/>
      <c r="K383" s="139">
        <f>IFERROR(IF(H383&gt;0,H383*IF(OR(C383="Alpha",B383="Alpha"),$C$9,$C$8),""),"")</f>
        <v/>
      </c>
      <c r="L383" s="139">
        <f>IFERROR(IF(ISNUMBER(F383),F383-IF(ISNUMBER(K383),K383,0),""),"")</f>
        <v/>
      </c>
    </row>
    <row r="384" ht="24" customHeight="1" s="63">
      <c r="E384" s="139" t="n"/>
      <c r="F384" s="139" t="n"/>
      <c r="G384" s="140">
        <f>IFERROR(IF(E384&gt;0,(F384/E384)*1000,""),"")</f>
        <v/>
      </c>
      <c r="H384" s="139">
        <f>IFERROR(IF(E384&gt;0,E384*IF(ISNUMBER(J384),J384,IF(OR(C384="Alpha",B384="Alpha"),$C$7,IF(C384="Futures",$C$6,$C$5))),""),"")</f>
        <v/>
      </c>
      <c r="I384" s="139">
        <f>IFERROR(IF(AND(ISNUMBER(F384),ISNUMBER(H384)),F384-H384,""),"")</f>
        <v/>
      </c>
      <c r="J384" s="114" t="n"/>
      <c r="K384" s="139">
        <f>IFERROR(IF(H384&gt;0,H384*IF(OR(C384="Alpha",B384="Alpha"),$C$9,$C$8),""),"")</f>
        <v/>
      </c>
      <c r="L384" s="139">
        <f>IFERROR(IF(ISNUMBER(F384),F384-IF(ISNUMBER(K384),K384,0),""),"")</f>
        <v/>
      </c>
    </row>
    <row r="385" ht="24" customHeight="1" s="63">
      <c r="E385" s="139" t="n"/>
      <c r="F385" s="139" t="n"/>
      <c r="G385" s="140">
        <f>IFERROR(IF(E385&gt;0,(F385/E385)*1000,""),"")</f>
        <v/>
      </c>
      <c r="H385" s="139">
        <f>IFERROR(IF(E385&gt;0,E385*IF(ISNUMBER(J385),J385,IF(OR(C385="Alpha",B385="Alpha"),$C$7,IF(C385="Futures",$C$6,$C$5))),""),"")</f>
        <v/>
      </c>
      <c r="I385" s="139">
        <f>IFERROR(IF(AND(ISNUMBER(F385),ISNUMBER(H385)),F385-H385,""),"")</f>
        <v/>
      </c>
      <c r="J385" s="114" t="n"/>
      <c r="K385" s="139">
        <f>IFERROR(IF(H385&gt;0,H385*IF(OR(C385="Alpha",B385="Alpha"),$C$9,$C$8),""),"")</f>
        <v/>
      </c>
      <c r="L385" s="139">
        <f>IFERROR(IF(ISNUMBER(F385),F385-IF(ISNUMBER(K385),K385,0),""),"")</f>
        <v/>
      </c>
    </row>
    <row r="386" ht="24" customHeight="1" s="63">
      <c r="E386" s="139" t="n"/>
      <c r="F386" s="139" t="n"/>
      <c r="G386" s="140">
        <f>IFERROR(IF(E386&gt;0,(F386/E386)*1000,""),"")</f>
        <v/>
      </c>
      <c r="H386" s="139">
        <f>IFERROR(IF(E386&gt;0,E386*IF(ISNUMBER(J386),J386,IF(OR(C386="Alpha",B386="Alpha"),$C$7,IF(C386="Futures",$C$6,$C$5))),""),"")</f>
        <v/>
      </c>
      <c r="I386" s="139">
        <f>IFERROR(IF(AND(ISNUMBER(F386),ISNUMBER(H386)),F386-H386,""),"")</f>
        <v/>
      </c>
      <c r="J386" s="114" t="n"/>
      <c r="K386" s="139">
        <f>IFERROR(IF(H386&gt;0,H386*IF(OR(C386="Alpha",B386="Alpha"),$C$9,$C$8),""),"")</f>
        <v/>
      </c>
      <c r="L386" s="139">
        <f>IFERROR(IF(ISNUMBER(F386),F386-IF(ISNUMBER(K386),K386,0),""),"")</f>
        <v/>
      </c>
    </row>
    <row r="387" ht="24" customHeight="1" s="63">
      <c r="E387" s="139" t="n"/>
      <c r="F387" s="139" t="n"/>
      <c r="G387" s="140">
        <f>IFERROR(IF(E387&gt;0,(F387/E387)*1000,""),"")</f>
        <v/>
      </c>
      <c r="H387" s="139">
        <f>IFERROR(IF(E387&gt;0,E387*IF(ISNUMBER(J387),J387,IF(OR(C387="Alpha",B387="Alpha"),$C$7,IF(C387="Futures",$C$6,$C$5))),""),"")</f>
        <v/>
      </c>
      <c r="I387" s="139">
        <f>IFERROR(IF(AND(ISNUMBER(F387),ISNUMBER(H387)),F387-H387,""),"")</f>
        <v/>
      </c>
      <c r="J387" s="114" t="n"/>
      <c r="K387" s="139">
        <f>IFERROR(IF(H387&gt;0,H387*IF(OR(C387="Alpha",B387="Alpha"),$C$9,$C$8),""),"")</f>
        <v/>
      </c>
      <c r="L387" s="139">
        <f>IFERROR(IF(ISNUMBER(F387),F387-IF(ISNUMBER(K387),K387,0),""),"")</f>
        <v/>
      </c>
    </row>
    <row r="388" ht="24" customHeight="1" s="63">
      <c r="E388" s="139" t="n"/>
      <c r="F388" s="139" t="n"/>
      <c r="G388" s="140">
        <f>IFERROR(IF(E388&gt;0,(F388/E388)*1000,""),"")</f>
        <v/>
      </c>
      <c r="H388" s="139">
        <f>IFERROR(IF(E388&gt;0,E388*IF(ISNUMBER(J388),J388,IF(OR(C388="Alpha",B388="Alpha"),$C$7,IF(C388="Futures",$C$6,$C$5))),""),"")</f>
        <v/>
      </c>
      <c r="I388" s="139">
        <f>IFERROR(IF(AND(ISNUMBER(F388),ISNUMBER(H388)),F388-H388,""),"")</f>
        <v/>
      </c>
      <c r="J388" s="114" t="n"/>
      <c r="K388" s="139">
        <f>IFERROR(IF(H388&gt;0,H388*IF(OR(C388="Alpha",B388="Alpha"),$C$9,$C$8),""),"")</f>
        <v/>
      </c>
      <c r="L388" s="139">
        <f>IFERROR(IF(ISNUMBER(F388),F388-IF(ISNUMBER(K388),K388,0),""),"")</f>
        <v/>
      </c>
    </row>
    <row r="389" ht="24" customHeight="1" s="63">
      <c r="E389" s="139" t="n"/>
      <c r="F389" s="139" t="n"/>
      <c r="G389" s="140">
        <f>IFERROR(IF(E389&gt;0,(F389/E389)*1000,""),"")</f>
        <v/>
      </c>
      <c r="H389" s="139">
        <f>IFERROR(IF(E389&gt;0,E389*IF(ISNUMBER(J389),J389,IF(OR(C389="Alpha",B389="Alpha"),$C$7,IF(C389="Futures",$C$6,$C$5))),""),"")</f>
        <v/>
      </c>
      <c r="I389" s="139">
        <f>IFERROR(IF(AND(ISNUMBER(F389),ISNUMBER(H389)),F389-H389,""),"")</f>
        <v/>
      </c>
      <c r="J389" s="114" t="n"/>
      <c r="K389" s="139">
        <f>IFERROR(IF(H389&gt;0,H389*IF(OR(C389="Alpha",B389="Alpha"),$C$9,$C$8),""),"")</f>
        <v/>
      </c>
      <c r="L389" s="139">
        <f>IFERROR(IF(ISNUMBER(F389),F389-IF(ISNUMBER(K389),K389,0),""),"")</f>
        <v/>
      </c>
    </row>
    <row r="390" ht="24" customHeight="1" s="63">
      <c r="E390" s="139" t="n"/>
      <c r="F390" s="139" t="n"/>
      <c r="G390" s="140">
        <f>IFERROR(IF(E390&gt;0,(F390/E390)*1000,""),"")</f>
        <v/>
      </c>
      <c r="H390" s="139">
        <f>IFERROR(IF(E390&gt;0,E390*IF(ISNUMBER(J390),J390,IF(OR(C390="Alpha",B390="Alpha"),$C$7,IF(C390="Futures",$C$6,$C$5))),""),"")</f>
        <v/>
      </c>
      <c r="I390" s="139">
        <f>IFERROR(IF(AND(ISNUMBER(F390),ISNUMBER(H390)),F390-H390,""),"")</f>
        <v/>
      </c>
      <c r="J390" s="114" t="n"/>
      <c r="K390" s="139">
        <f>IFERROR(IF(H390&gt;0,H390*IF(OR(C390="Alpha",B390="Alpha"),$C$9,$C$8),""),"")</f>
        <v/>
      </c>
      <c r="L390" s="139">
        <f>IFERROR(IF(ISNUMBER(F390),F390-IF(ISNUMBER(K390),K390,0),""),"")</f>
        <v/>
      </c>
    </row>
    <row r="391" ht="24" customHeight="1" s="63">
      <c r="E391" s="139" t="n"/>
      <c r="F391" s="139" t="n"/>
      <c r="G391" s="140">
        <f>IFERROR(IF(E391&gt;0,(F391/E391)*1000,""),"")</f>
        <v/>
      </c>
      <c r="H391" s="139">
        <f>IFERROR(IF(E391&gt;0,E391*IF(ISNUMBER(J391),J391,IF(OR(C391="Alpha",B391="Alpha"),$C$7,IF(C391="Futures",$C$6,$C$5))),""),"")</f>
        <v/>
      </c>
      <c r="I391" s="139">
        <f>IFERROR(IF(AND(ISNUMBER(F391),ISNUMBER(H391)),F391-H391,""),"")</f>
        <v/>
      </c>
      <c r="J391" s="114" t="n"/>
      <c r="K391" s="139">
        <f>IFERROR(IF(H391&gt;0,H391*IF(OR(C391="Alpha",B391="Alpha"),$C$9,$C$8),""),"")</f>
        <v/>
      </c>
      <c r="L391" s="139">
        <f>IFERROR(IF(ISNUMBER(F391),F391-IF(ISNUMBER(K391),K391,0),""),"")</f>
        <v/>
      </c>
    </row>
    <row r="392" ht="24" customHeight="1" s="63">
      <c r="E392" s="139" t="n"/>
      <c r="F392" s="139" t="n"/>
      <c r="G392" s="140">
        <f>IFERROR(IF(E392&gt;0,(F392/E392)*1000,""),"")</f>
        <v/>
      </c>
      <c r="H392" s="139">
        <f>IFERROR(IF(E392&gt;0,E392*IF(ISNUMBER(J392),J392,IF(OR(C392="Alpha",B392="Alpha"),$C$7,IF(C392="Futures",$C$6,$C$5))),""),"")</f>
        <v/>
      </c>
      <c r="I392" s="139">
        <f>IFERROR(IF(AND(ISNUMBER(F392),ISNUMBER(H392)),F392-H392,""),"")</f>
        <v/>
      </c>
      <c r="J392" s="114" t="n"/>
      <c r="K392" s="139">
        <f>IFERROR(IF(H392&gt;0,H392*IF(OR(C392="Alpha",B392="Alpha"),$C$9,$C$8),""),"")</f>
        <v/>
      </c>
      <c r="L392" s="139">
        <f>IFERROR(IF(ISNUMBER(F392),F392-IF(ISNUMBER(K392),K392,0),""),"")</f>
        <v/>
      </c>
    </row>
    <row r="393" ht="24" customHeight="1" s="63">
      <c r="E393" s="139" t="n"/>
      <c r="F393" s="139" t="n"/>
      <c r="G393" s="140">
        <f>IFERROR(IF(E393&gt;0,(F393/E393)*1000,""),"")</f>
        <v/>
      </c>
      <c r="H393" s="139">
        <f>IFERROR(IF(E393&gt;0,E393*IF(ISNUMBER(J393),J393,IF(OR(C393="Alpha",B393="Alpha"),$C$7,IF(C393="Futures",$C$6,$C$5))),""),"")</f>
        <v/>
      </c>
      <c r="I393" s="139">
        <f>IFERROR(IF(AND(ISNUMBER(F393),ISNUMBER(H393)),F393-H393,""),"")</f>
        <v/>
      </c>
      <c r="J393" s="114" t="n"/>
      <c r="K393" s="139">
        <f>IFERROR(IF(H393&gt;0,H393*IF(OR(C393="Alpha",B393="Alpha"),$C$9,$C$8),""),"")</f>
        <v/>
      </c>
      <c r="L393" s="139">
        <f>IFERROR(IF(ISNUMBER(F393),F393-IF(ISNUMBER(K393),K393,0),""),"")</f>
        <v/>
      </c>
    </row>
    <row r="394" ht="24" customHeight="1" s="63">
      <c r="E394" s="139" t="n"/>
      <c r="F394" s="139" t="n"/>
      <c r="G394" s="140">
        <f>IFERROR(IF(E394&gt;0,(F394/E394)*1000,""),"")</f>
        <v/>
      </c>
      <c r="H394" s="139">
        <f>IFERROR(IF(E394&gt;0,E394*IF(ISNUMBER(J394),J394,IF(OR(C394="Alpha",B394="Alpha"),$C$7,IF(C394="Futures",$C$6,$C$5))),""),"")</f>
        <v/>
      </c>
      <c r="I394" s="139">
        <f>IFERROR(IF(AND(ISNUMBER(F394),ISNUMBER(H394)),F394-H394,""),"")</f>
        <v/>
      </c>
      <c r="J394" s="114" t="n"/>
      <c r="K394" s="139">
        <f>IFERROR(IF(H394&gt;0,H394*IF(OR(C394="Alpha",B394="Alpha"),$C$9,$C$8),""),"")</f>
        <v/>
      </c>
      <c r="L394" s="139">
        <f>IFERROR(IF(ISNUMBER(F394),F394-IF(ISNUMBER(K394),K394,0),""),"")</f>
        <v/>
      </c>
    </row>
    <row r="395" ht="24" customHeight="1" s="63">
      <c r="E395" s="139" t="n"/>
      <c r="F395" s="139" t="n"/>
      <c r="G395" s="140">
        <f>IFERROR(IF(E395&gt;0,(F395/E395)*1000,""),"")</f>
        <v/>
      </c>
      <c r="H395" s="139">
        <f>IFERROR(IF(E395&gt;0,E395*IF(ISNUMBER(J395),J395,IF(OR(C395="Alpha",B395="Alpha"),$C$7,IF(C395="Futures",$C$6,$C$5))),""),"")</f>
        <v/>
      </c>
      <c r="I395" s="139">
        <f>IFERROR(IF(AND(ISNUMBER(F395),ISNUMBER(H395)),F395-H395,""),"")</f>
        <v/>
      </c>
      <c r="J395" s="114" t="n"/>
      <c r="K395" s="139">
        <f>IFERROR(IF(H395&gt;0,H395*IF(OR(C395="Alpha",B395="Alpha"),$C$9,$C$8),""),"")</f>
        <v/>
      </c>
      <c r="L395" s="139">
        <f>IFERROR(IF(ISNUMBER(F395),F395-IF(ISNUMBER(K395),K395,0),""),"")</f>
        <v/>
      </c>
    </row>
    <row r="396" ht="24" customHeight="1" s="63">
      <c r="E396" s="139" t="n"/>
      <c r="F396" s="139" t="n"/>
      <c r="G396" s="140">
        <f>IFERROR(IF(E396&gt;0,(F396/E396)*1000,""),"")</f>
        <v/>
      </c>
      <c r="H396" s="139">
        <f>IFERROR(IF(E396&gt;0,E396*IF(ISNUMBER(J396),J396,IF(OR(C396="Alpha",B396="Alpha"),$C$7,IF(C396="Futures",$C$6,$C$5))),""),"")</f>
        <v/>
      </c>
      <c r="I396" s="139">
        <f>IFERROR(IF(AND(ISNUMBER(F396),ISNUMBER(H396)),F396-H396,""),"")</f>
        <v/>
      </c>
      <c r="J396" s="114" t="n"/>
      <c r="K396" s="139">
        <f>IFERROR(IF(H396&gt;0,H396*IF(OR(C396="Alpha",B396="Alpha"),$C$9,$C$8),""),"")</f>
        <v/>
      </c>
      <c r="L396" s="139">
        <f>IFERROR(IF(ISNUMBER(F396),F396-IF(ISNUMBER(K396),K396,0),""),"")</f>
        <v/>
      </c>
    </row>
    <row r="397" ht="24" customHeight="1" s="63">
      <c r="E397" s="139" t="n"/>
      <c r="F397" s="139" t="n"/>
      <c r="G397" s="140">
        <f>IFERROR(IF(E397&gt;0,(F397/E397)*1000,""),"")</f>
        <v/>
      </c>
      <c r="H397" s="139">
        <f>IFERROR(IF(E397&gt;0,E397*IF(ISNUMBER(J397),J397,IF(OR(C397="Alpha",B397="Alpha"),$C$7,IF(C397="Futures",$C$6,$C$5))),""),"")</f>
        <v/>
      </c>
      <c r="I397" s="139">
        <f>IFERROR(IF(AND(ISNUMBER(F397),ISNUMBER(H397)),F397-H397,""),"")</f>
        <v/>
      </c>
      <c r="J397" s="114" t="n"/>
      <c r="K397" s="139">
        <f>IFERROR(IF(H397&gt;0,H397*IF(OR(C397="Alpha",B397="Alpha"),$C$9,$C$8),""),"")</f>
        <v/>
      </c>
      <c r="L397" s="139">
        <f>IFERROR(IF(ISNUMBER(F397),F397-IF(ISNUMBER(K397),K397,0),""),"")</f>
        <v/>
      </c>
    </row>
    <row r="398" ht="24" customHeight="1" s="63">
      <c r="E398" s="139" t="n"/>
      <c r="F398" s="139" t="n"/>
      <c r="G398" s="140">
        <f>IFERROR(IF(E398&gt;0,(F398/E398)*1000,""),"")</f>
        <v/>
      </c>
      <c r="H398" s="139">
        <f>IFERROR(IF(E398&gt;0,E398*IF(ISNUMBER(J398),J398,IF(OR(C398="Alpha",B398="Alpha"),$C$7,IF(C398="Futures",$C$6,$C$5))),""),"")</f>
        <v/>
      </c>
      <c r="I398" s="139">
        <f>IFERROR(IF(AND(ISNUMBER(F398),ISNUMBER(H398)),F398-H398,""),"")</f>
        <v/>
      </c>
      <c r="J398" s="114" t="n"/>
      <c r="K398" s="139">
        <f>IFERROR(IF(H398&gt;0,H398*IF(OR(C398="Alpha",B398="Alpha"),$C$9,$C$8),""),"")</f>
        <v/>
      </c>
      <c r="L398" s="139">
        <f>IFERROR(IF(ISNUMBER(F398),F398-IF(ISNUMBER(K398),K398,0),""),"")</f>
        <v/>
      </c>
    </row>
    <row r="399" ht="24" customHeight="1" s="63">
      <c r="E399" s="139" t="n"/>
      <c r="F399" s="139" t="n"/>
      <c r="G399" s="140">
        <f>IFERROR(IF(E399&gt;0,(F399/E399)*1000,""),"")</f>
        <v/>
      </c>
      <c r="H399" s="139">
        <f>IFERROR(IF(E399&gt;0,E399*IF(ISNUMBER(J399),J399,IF(OR(C399="Alpha",B399="Alpha"),$C$7,IF(C399="Futures",$C$6,$C$5))),""),"")</f>
        <v/>
      </c>
      <c r="I399" s="139">
        <f>IFERROR(IF(AND(ISNUMBER(F399),ISNUMBER(H399)),F399-H399,""),"")</f>
        <v/>
      </c>
      <c r="J399" s="114" t="n"/>
      <c r="K399" s="139">
        <f>IFERROR(IF(H399&gt;0,H399*IF(OR(C399="Alpha",B399="Alpha"),$C$9,$C$8),""),"")</f>
        <v/>
      </c>
      <c r="L399" s="139">
        <f>IFERROR(IF(ISNUMBER(F399),F399-IF(ISNUMBER(K399),K399,0),""),"")</f>
        <v/>
      </c>
    </row>
    <row r="400" ht="24" customHeight="1" s="63">
      <c r="E400" s="139" t="n"/>
      <c r="F400" s="139" t="n"/>
      <c r="G400" s="140">
        <f>IFERROR(IF(E400&gt;0,(F400/E400)*1000,""),"")</f>
        <v/>
      </c>
      <c r="H400" s="139">
        <f>IFERROR(IF(E400&gt;0,E400*IF(ISNUMBER(J400),J400,IF(OR(C400="Alpha",B400="Alpha"),$C$7,IF(C400="Futures",$C$6,$C$5))),""),"")</f>
        <v/>
      </c>
      <c r="I400" s="139">
        <f>IFERROR(IF(AND(ISNUMBER(F400),ISNUMBER(H400)),F400-H400,""),"")</f>
        <v/>
      </c>
      <c r="J400" s="114" t="n"/>
      <c r="K400" s="139">
        <f>IFERROR(IF(H400&gt;0,H400*IF(OR(C400="Alpha",B400="Alpha"),$C$9,$C$8),""),"")</f>
        <v/>
      </c>
      <c r="L400" s="139">
        <f>IFERROR(IF(ISNUMBER(F400),F400-IF(ISNUMBER(K400),K400,0),""),"")</f>
        <v/>
      </c>
    </row>
    <row r="401" ht="24" customHeight="1" s="63">
      <c r="E401" s="139" t="n"/>
      <c r="F401" s="139" t="n"/>
      <c r="G401" s="140">
        <f>IFERROR(IF(E401&gt;0,(F401/E401)*1000,""),"")</f>
        <v/>
      </c>
      <c r="H401" s="139">
        <f>IFERROR(IF(E401&gt;0,E401*IF(ISNUMBER(J401),J401,IF(OR(C401="Alpha",B401="Alpha"),$C$7,IF(C401="Futures",$C$6,$C$5))),""),"")</f>
        <v/>
      </c>
      <c r="I401" s="139">
        <f>IFERROR(IF(AND(ISNUMBER(F401),ISNUMBER(H401)),F401-H401,""),"")</f>
        <v/>
      </c>
      <c r="J401" s="114" t="n"/>
      <c r="K401" s="139">
        <f>IFERROR(IF(H401&gt;0,H401*IF(OR(C401="Alpha",B401="Alpha"),$C$9,$C$8),""),"")</f>
        <v/>
      </c>
      <c r="L401" s="139">
        <f>IFERROR(IF(ISNUMBER(F401),F401-IF(ISNUMBER(K401),K401,0),""),"")</f>
        <v/>
      </c>
    </row>
    <row r="402" ht="24" customHeight="1" s="63">
      <c r="E402" s="139" t="n"/>
      <c r="F402" s="139" t="n"/>
      <c r="G402" s="140">
        <f>IFERROR(IF(E402&gt;0,(F402/E402)*1000,""),"")</f>
        <v/>
      </c>
      <c r="H402" s="139">
        <f>IFERROR(IF(E402&gt;0,E402*IF(ISNUMBER(J402),J402,IF(OR(C402="Alpha",B402="Alpha"),$C$7,IF(C402="Futures",$C$6,$C$5))),""),"")</f>
        <v/>
      </c>
      <c r="I402" s="139">
        <f>IFERROR(IF(AND(ISNUMBER(F402),ISNUMBER(H402)),F402-H402,""),"")</f>
        <v/>
      </c>
      <c r="J402" s="114" t="n"/>
      <c r="K402" s="139">
        <f>IFERROR(IF(H402&gt;0,H402*IF(OR(C402="Alpha",B402="Alpha"),$C$9,$C$8),""),"")</f>
        <v/>
      </c>
      <c r="L402" s="139">
        <f>IFERROR(IF(ISNUMBER(F402),F402-IF(ISNUMBER(K402),K402,0),""),"")</f>
        <v/>
      </c>
    </row>
    <row r="403" ht="24" customHeight="1" s="63">
      <c r="E403" s="139" t="n"/>
      <c r="F403" s="139" t="n"/>
      <c r="G403" s="140">
        <f>IFERROR(IF(E403&gt;0,(F403/E403)*1000,""),"")</f>
        <v/>
      </c>
      <c r="H403" s="139">
        <f>IFERROR(IF(E403&gt;0,E403*IF(ISNUMBER(J403),J403,IF(OR(C403="Alpha",B403="Alpha"),$C$7,IF(C403="Futures",$C$6,$C$5))),""),"")</f>
        <v/>
      </c>
      <c r="I403" s="139">
        <f>IFERROR(IF(AND(ISNUMBER(F403),ISNUMBER(H403)),F403-H403,""),"")</f>
        <v/>
      </c>
      <c r="J403" s="114" t="n"/>
      <c r="K403" s="139">
        <f>IFERROR(IF(H403&gt;0,H403*IF(OR(C403="Alpha",B403="Alpha"),$C$9,$C$8),""),"")</f>
        <v/>
      </c>
      <c r="L403" s="139">
        <f>IFERROR(IF(ISNUMBER(F403),F403-IF(ISNUMBER(K403),K403,0),""),"")</f>
        <v/>
      </c>
    </row>
    <row r="404" ht="24" customHeight="1" s="63">
      <c r="E404" s="139" t="n"/>
      <c r="F404" s="139" t="n"/>
      <c r="G404" s="140">
        <f>IFERROR(IF(E404&gt;0,(F404/E404)*1000,""),"")</f>
        <v/>
      </c>
      <c r="H404" s="139">
        <f>IFERROR(IF(E404&gt;0,E404*IF(ISNUMBER(J404),J404,IF(OR(C404="Alpha",B404="Alpha"),$C$7,IF(C404="Futures",$C$6,$C$5))),""),"")</f>
        <v/>
      </c>
      <c r="I404" s="139">
        <f>IFERROR(IF(AND(ISNUMBER(F404),ISNUMBER(H404)),F404-H404,""),"")</f>
        <v/>
      </c>
      <c r="J404" s="114" t="n"/>
      <c r="K404" s="139">
        <f>IFERROR(IF(H404&gt;0,H404*IF(OR(C404="Alpha",B404="Alpha"),$C$9,$C$8),""),"")</f>
        <v/>
      </c>
      <c r="L404" s="139">
        <f>IFERROR(IF(ISNUMBER(F404),F404-IF(ISNUMBER(K404),K404,0),""),"")</f>
        <v/>
      </c>
    </row>
    <row r="405" ht="24" customHeight="1" s="63">
      <c r="E405" s="139" t="n"/>
      <c r="F405" s="139" t="n"/>
      <c r="G405" s="140">
        <f>IFERROR(IF(E405&gt;0,(F405/E405)*1000,""),"")</f>
        <v/>
      </c>
      <c r="H405" s="139">
        <f>IFERROR(IF(E405&gt;0,E405*IF(ISNUMBER(J405),J405,IF(OR(C405="Alpha",B405="Alpha"),$C$7,IF(C405="Futures",$C$6,$C$5))),""),"")</f>
        <v/>
      </c>
      <c r="I405" s="139">
        <f>IFERROR(IF(AND(ISNUMBER(F405),ISNUMBER(H405)),F405-H405,""),"")</f>
        <v/>
      </c>
      <c r="J405" s="114" t="n"/>
      <c r="K405" s="139">
        <f>IFERROR(IF(H405&gt;0,H405*IF(OR(C405="Alpha",B405="Alpha"),$C$9,$C$8),""),"")</f>
        <v/>
      </c>
      <c r="L405" s="139">
        <f>IFERROR(IF(ISNUMBER(F405),F405-IF(ISNUMBER(K405),K405,0),""),"")</f>
        <v/>
      </c>
    </row>
    <row r="406" ht="24" customHeight="1" s="63">
      <c r="E406" s="139" t="n"/>
      <c r="F406" s="139" t="n"/>
      <c r="G406" s="140">
        <f>IFERROR(IF(E406&gt;0,(F406/E406)*1000,""),"")</f>
        <v/>
      </c>
      <c r="H406" s="139">
        <f>IFERROR(IF(E406&gt;0,E406*IF(ISNUMBER(J406),J406,IF(OR(C406="Alpha",B406="Alpha"),$C$7,IF(C406="Futures",$C$6,$C$5))),""),"")</f>
        <v/>
      </c>
      <c r="I406" s="139">
        <f>IFERROR(IF(AND(ISNUMBER(F406),ISNUMBER(H406)),F406-H406,""),"")</f>
        <v/>
      </c>
      <c r="J406" s="114" t="n"/>
      <c r="K406" s="139">
        <f>IFERROR(IF(H406&gt;0,H406*IF(OR(C406="Alpha",B406="Alpha"),$C$9,$C$8),""),"")</f>
        <v/>
      </c>
      <c r="L406" s="139">
        <f>IFERROR(IF(ISNUMBER(F406),F406-IF(ISNUMBER(K406),K406,0),""),"")</f>
        <v/>
      </c>
    </row>
    <row r="407" ht="24" customHeight="1" s="63">
      <c r="E407" s="139" t="n"/>
      <c r="F407" s="139" t="n"/>
      <c r="G407" s="140">
        <f>IFERROR(IF(E407&gt;0,(F407/E407)*1000,""),"")</f>
        <v/>
      </c>
      <c r="H407" s="139">
        <f>IFERROR(IF(E407&gt;0,E407*IF(ISNUMBER(J407),J407,IF(OR(C407="Alpha",B407="Alpha"),$C$7,IF(C407="Futures",$C$6,$C$5))),""),"")</f>
        <v/>
      </c>
      <c r="I407" s="139">
        <f>IFERROR(IF(AND(ISNUMBER(F407),ISNUMBER(H407)),F407-H407,""),"")</f>
        <v/>
      </c>
      <c r="J407" s="114" t="n"/>
      <c r="K407" s="139">
        <f>IFERROR(IF(H407&gt;0,H407*IF(OR(C407="Alpha",B407="Alpha"),$C$9,$C$8),""),"")</f>
        <v/>
      </c>
      <c r="L407" s="139">
        <f>IFERROR(IF(ISNUMBER(F407),F407-IF(ISNUMBER(K407),K407,0),""),"")</f>
        <v/>
      </c>
    </row>
    <row r="408" ht="24" customHeight="1" s="63">
      <c r="E408" s="139" t="n"/>
      <c r="F408" s="139" t="n"/>
      <c r="G408" s="140">
        <f>IFERROR(IF(E408&gt;0,(F408/E408)*1000,""),"")</f>
        <v/>
      </c>
      <c r="H408" s="139">
        <f>IFERROR(IF(E408&gt;0,E408*IF(ISNUMBER(J408),J408,IF(OR(C408="Alpha",B408="Alpha"),$C$7,IF(C408="Futures",$C$6,$C$5))),""),"")</f>
        <v/>
      </c>
      <c r="I408" s="139">
        <f>IFERROR(IF(AND(ISNUMBER(F408),ISNUMBER(H408)),F408-H408,""),"")</f>
        <v/>
      </c>
      <c r="J408" s="114" t="n"/>
      <c r="K408" s="139">
        <f>IFERROR(IF(H408&gt;0,H408*IF(OR(C408="Alpha",B408="Alpha"),$C$9,$C$8),""),"")</f>
        <v/>
      </c>
      <c r="L408" s="139">
        <f>IFERROR(IF(ISNUMBER(F408),F408-IF(ISNUMBER(K408),K408,0),""),"")</f>
        <v/>
      </c>
    </row>
    <row r="409" ht="24" customHeight="1" s="63">
      <c r="E409" s="139" t="n"/>
      <c r="F409" s="139" t="n"/>
      <c r="G409" s="140">
        <f>IFERROR(IF(E409&gt;0,(F409/E409)*1000,""),"")</f>
        <v/>
      </c>
      <c r="H409" s="139">
        <f>IFERROR(IF(E409&gt;0,E409*IF(ISNUMBER(J409),J409,IF(OR(C409="Alpha",B409="Alpha"),$C$7,IF(C409="Futures",$C$6,$C$5))),""),"")</f>
        <v/>
      </c>
      <c r="I409" s="139">
        <f>IFERROR(IF(AND(ISNUMBER(F409),ISNUMBER(H409)),F409-H409,""),"")</f>
        <v/>
      </c>
      <c r="J409" s="114" t="n"/>
      <c r="K409" s="139">
        <f>IFERROR(IF(H409&gt;0,H409*IF(OR(C409="Alpha",B409="Alpha"),$C$9,$C$8),""),"")</f>
        <v/>
      </c>
      <c r="L409" s="139">
        <f>IFERROR(IF(ISNUMBER(F409),F409-IF(ISNUMBER(K409),K409,0),""),"")</f>
        <v/>
      </c>
    </row>
    <row r="410" ht="24" customHeight="1" s="63">
      <c r="E410" s="139" t="n"/>
      <c r="F410" s="139" t="n"/>
      <c r="G410" s="140">
        <f>IFERROR(IF(E410&gt;0,(F410/E410)*1000,""),"")</f>
        <v/>
      </c>
      <c r="H410" s="139">
        <f>IFERROR(IF(E410&gt;0,E410*IF(ISNUMBER(J410),J410,IF(OR(C410="Alpha",B410="Alpha"),$C$7,IF(C410="Futures",$C$6,$C$5))),""),"")</f>
        <v/>
      </c>
      <c r="I410" s="139">
        <f>IFERROR(IF(AND(ISNUMBER(F410),ISNUMBER(H410)),F410-H410,""),"")</f>
        <v/>
      </c>
      <c r="J410" s="114" t="n"/>
      <c r="K410" s="139">
        <f>IFERROR(IF(H410&gt;0,H410*IF(OR(C410="Alpha",B410="Alpha"),$C$9,$C$8),""),"")</f>
        <v/>
      </c>
      <c r="L410" s="139">
        <f>IFERROR(IF(ISNUMBER(F410),F410-IF(ISNUMBER(K410),K410,0),""),"")</f>
        <v/>
      </c>
    </row>
    <row r="411" ht="24" customHeight="1" s="63">
      <c r="E411" s="139" t="n"/>
      <c r="F411" s="139" t="n"/>
      <c r="G411" s="140">
        <f>IFERROR(IF(E411&gt;0,(F411/E411)*1000,""),"")</f>
        <v/>
      </c>
      <c r="H411" s="139">
        <f>IFERROR(IF(E411&gt;0,E411*IF(ISNUMBER(J411),J411,IF(OR(C411="Alpha",B411="Alpha"),$C$7,IF(C411="Futures",$C$6,$C$5))),""),"")</f>
        <v/>
      </c>
      <c r="I411" s="139">
        <f>IFERROR(IF(AND(ISNUMBER(F411),ISNUMBER(H411)),F411-H411,""),"")</f>
        <v/>
      </c>
      <c r="J411" s="114" t="n"/>
      <c r="K411" s="139">
        <f>IFERROR(IF(H411&gt;0,H411*IF(OR(C411="Alpha",B411="Alpha"),$C$9,$C$8),""),"")</f>
        <v/>
      </c>
      <c r="L411" s="139">
        <f>IFERROR(IF(ISNUMBER(F411),F411-IF(ISNUMBER(K411),K411,0),""),"")</f>
        <v/>
      </c>
    </row>
    <row r="412" ht="24" customHeight="1" s="63">
      <c r="E412" s="139" t="n"/>
      <c r="F412" s="139" t="n"/>
      <c r="G412" s="140">
        <f>IFERROR(IF(E412&gt;0,(F412/E412)*1000,""),"")</f>
        <v/>
      </c>
      <c r="H412" s="139">
        <f>IFERROR(IF(E412&gt;0,E412*IF(ISNUMBER(J412),J412,IF(OR(C412="Alpha",B412="Alpha"),$C$7,IF(C412="Futures",$C$6,$C$5))),""),"")</f>
        <v/>
      </c>
      <c r="I412" s="139">
        <f>IFERROR(IF(AND(ISNUMBER(F412),ISNUMBER(H412)),F412-H412,""),"")</f>
        <v/>
      </c>
      <c r="J412" s="114" t="n"/>
      <c r="K412" s="139">
        <f>IFERROR(IF(H412&gt;0,H412*IF(OR(C412="Alpha",B412="Alpha"),$C$9,$C$8),""),"")</f>
        <v/>
      </c>
      <c r="L412" s="139">
        <f>IFERROR(IF(ISNUMBER(F412),F412-IF(ISNUMBER(K412),K412,0),""),"")</f>
        <v/>
      </c>
    </row>
    <row r="413" ht="24" customHeight="1" s="63">
      <c r="E413" s="139" t="n"/>
      <c r="F413" s="139" t="n"/>
      <c r="G413" s="140">
        <f>IFERROR(IF(E413&gt;0,(F413/E413)*1000,""),"")</f>
        <v/>
      </c>
      <c r="H413" s="139">
        <f>IFERROR(IF(E413&gt;0,E413*IF(ISNUMBER(J413),J413,IF(OR(C413="Alpha",B413="Alpha"),$C$7,IF(C413="Futures",$C$6,$C$5))),""),"")</f>
        <v/>
      </c>
      <c r="I413" s="139">
        <f>IFERROR(IF(AND(ISNUMBER(F413),ISNUMBER(H413)),F413-H413,""),"")</f>
        <v/>
      </c>
      <c r="J413" s="114" t="n"/>
      <c r="K413" s="139">
        <f>IFERROR(IF(H413&gt;0,H413*IF(OR(C413="Alpha",B413="Alpha"),$C$9,$C$8),""),"")</f>
        <v/>
      </c>
      <c r="L413" s="139">
        <f>IFERROR(IF(ISNUMBER(F413),F413-IF(ISNUMBER(K413),K413,0),""),"")</f>
        <v/>
      </c>
    </row>
    <row r="414" ht="24" customHeight="1" s="63">
      <c r="E414" s="139" t="n"/>
      <c r="F414" s="139" t="n"/>
      <c r="G414" s="140">
        <f>IFERROR(IF(E414&gt;0,(F414/E414)*1000,""),"")</f>
        <v/>
      </c>
      <c r="H414" s="139">
        <f>IFERROR(IF(E414&gt;0,E414*IF(ISNUMBER(J414),J414,IF(OR(C414="Alpha",B414="Alpha"),$C$7,IF(C414="Futures",$C$6,$C$5))),""),"")</f>
        <v/>
      </c>
      <c r="I414" s="139">
        <f>IFERROR(IF(AND(ISNUMBER(F414),ISNUMBER(H414)),F414-H414,""),"")</f>
        <v/>
      </c>
      <c r="J414" s="114" t="n"/>
      <c r="K414" s="139">
        <f>IFERROR(IF(H414&gt;0,H414*IF(OR(C414="Alpha",B414="Alpha"),$C$9,$C$8),""),"")</f>
        <v/>
      </c>
      <c r="L414" s="139">
        <f>IFERROR(IF(ISNUMBER(F414),F414-IF(ISNUMBER(K414),K414,0),""),"")</f>
        <v/>
      </c>
    </row>
    <row r="415" ht="24" customHeight="1" s="63">
      <c r="E415" s="139" t="n"/>
      <c r="F415" s="139" t="n"/>
      <c r="G415" s="140">
        <f>IFERROR(IF(E415&gt;0,(F415/E415)*1000,""),"")</f>
        <v/>
      </c>
      <c r="H415" s="139">
        <f>IFERROR(IF(E415&gt;0,E415*IF(ISNUMBER(J415),J415,IF(OR(C415="Alpha",B415="Alpha"),$C$7,IF(C415="Futures",$C$6,$C$5))),""),"")</f>
        <v/>
      </c>
      <c r="I415" s="139">
        <f>IFERROR(IF(AND(ISNUMBER(F415),ISNUMBER(H415)),F415-H415,""),"")</f>
        <v/>
      </c>
      <c r="J415" s="114" t="n"/>
      <c r="K415" s="139">
        <f>IFERROR(IF(H415&gt;0,H415*IF(OR(C415="Alpha",B415="Alpha"),$C$9,$C$8),""),"")</f>
        <v/>
      </c>
      <c r="L415" s="139">
        <f>IFERROR(IF(ISNUMBER(F415),F415-IF(ISNUMBER(K415),K415,0),""),"")</f>
        <v/>
      </c>
    </row>
    <row r="416" ht="24" customHeight="1" s="63">
      <c r="E416" s="139" t="n"/>
      <c r="F416" s="139" t="n"/>
      <c r="G416" s="140">
        <f>IFERROR(IF(E416&gt;0,(F416/E416)*1000,""),"")</f>
        <v/>
      </c>
      <c r="H416" s="139">
        <f>IFERROR(IF(E416&gt;0,E416*IF(ISNUMBER(J416),J416,IF(OR(C416="Alpha",B416="Alpha"),$C$7,IF(C416="Futures",$C$6,$C$5))),""),"")</f>
        <v/>
      </c>
      <c r="I416" s="139">
        <f>IFERROR(IF(AND(ISNUMBER(F416),ISNUMBER(H416)),F416-H416,""),"")</f>
        <v/>
      </c>
      <c r="J416" s="114" t="n"/>
      <c r="K416" s="139">
        <f>IFERROR(IF(H416&gt;0,H416*IF(OR(C416="Alpha",B416="Alpha"),$C$9,$C$8),""),"")</f>
        <v/>
      </c>
      <c r="L416" s="139">
        <f>IFERROR(IF(ISNUMBER(F416),F416-IF(ISNUMBER(K416),K416,0),""),"")</f>
        <v/>
      </c>
    </row>
    <row r="417" ht="24" customHeight="1" s="63">
      <c r="E417" s="139" t="n"/>
      <c r="F417" s="139" t="n"/>
      <c r="G417" s="140">
        <f>IFERROR(IF(E417&gt;0,(F417/E417)*1000,""),"")</f>
        <v/>
      </c>
      <c r="H417" s="139">
        <f>IFERROR(IF(E417&gt;0,E417*IF(ISNUMBER(J417),J417,IF(OR(C417="Alpha",B417="Alpha"),$C$7,IF(C417="Futures",$C$6,$C$5))),""),"")</f>
        <v/>
      </c>
      <c r="I417" s="139">
        <f>IFERROR(IF(AND(ISNUMBER(F417),ISNUMBER(H417)),F417-H417,""),"")</f>
        <v/>
      </c>
      <c r="J417" s="114" t="n"/>
      <c r="K417" s="139">
        <f>IFERROR(IF(H417&gt;0,H417*IF(OR(C417="Alpha",B417="Alpha"),$C$9,$C$8),""),"")</f>
        <v/>
      </c>
      <c r="L417" s="139">
        <f>IFERROR(IF(ISNUMBER(F417),F417-IF(ISNUMBER(K417),K417,0),""),"")</f>
        <v/>
      </c>
    </row>
    <row r="418" ht="24" customHeight="1" s="63">
      <c r="E418" s="139" t="n"/>
      <c r="F418" s="139" t="n"/>
      <c r="G418" s="140">
        <f>IFERROR(IF(E418&gt;0,(F418/E418)*1000,""),"")</f>
        <v/>
      </c>
      <c r="H418" s="139">
        <f>IFERROR(IF(E418&gt;0,E418*IF(ISNUMBER(J418),J418,IF(OR(C418="Alpha",B418="Alpha"),$C$7,IF(C418="Futures",$C$6,$C$5))),""),"")</f>
        <v/>
      </c>
      <c r="I418" s="139">
        <f>IFERROR(IF(AND(ISNUMBER(F418),ISNUMBER(H418)),F418-H418,""),"")</f>
        <v/>
      </c>
      <c r="J418" s="114" t="n"/>
      <c r="K418" s="139">
        <f>IFERROR(IF(H418&gt;0,H418*IF(OR(C418="Alpha",B418="Alpha"),$C$9,$C$8),""),"")</f>
        <v/>
      </c>
      <c r="L418" s="139">
        <f>IFERROR(IF(ISNUMBER(F418),F418-IF(ISNUMBER(K418),K418,0),""),"")</f>
        <v/>
      </c>
    </row>
    <row r="419" ht="24" customHeight="1" s="63">
      <c r="E419" s="139" t="n"/>
      <c r="F419" s="139" t="n"/>
      <c r="G419" s="140">
        <f>IFERROR(IF(E419&gt;0,(F419/E419)*1000,""),"")</f>
        <v/>
      </c>
      <c r="H419" s="139">
        <f>IFERROR(IF(E419&gt;0,E419*IF(ISNUMBER(J419),J419,IF(OR(C419="Alpha",B419="Alpha"),$C$7,IF(C419="Futures",$C$6,$C$5))),""),"")</f>
        <v/>
      </c>
      <c r="I419" s="139">
        <f>IFERROR(IF(AND(ISNUMBER(F419),ISNUMBER(H419)),F419-H419,""),"")</f>
        <v/>
      </c>
      <c r="J419" s="114" t="n"/>
      <c r="K419" s="139">
        <f>IFERROR(IF(H419&gt;0,H419*IF(OR(C419="Alpha",B419="Alpha"),$C$9,$C$8),""),"")</f>
        <v/>
      </c>
      <c r="L419" s="139">
        <f>IFERROR(IF(ISNUMBER(F419),F419-IF(ISNUMBER(K419),K419,0),""),"")</f>
        <v/>
      </c>
    </row>
    <row r="420" ht="24" customHeight="1" s="63">
      <c r="E420" s="139" t="n"/>
      <c r="F420" s="139" t="n"/>
      <c r="G420" s="140">
        <f>IFERROR(IF(E420&gt;0,(F420/E420)*1000,""),"")</f>
        <v/>
      </c>
      <c r="H420" s="139">
        <f>IFERROR(IF(E420&gt;0,E420*IF(ISNUMBER(J420),J420,IF(OR(C420="Alpha",B420="Alpha"),$C$7,IF(C420="Futures",$C$6,$C$5))),""),"")</f>
        <v/>
      </c>
      <c r="I420" s="139">
        <f>IFERROR(IF(AND(ISNUMBER(F420),ISNUMBER(H420)),F420-H420,""),"")</f>
        <v/>
      </c>
      <c r="J420" s="114" t="n"/>
      <c r="K420" s="139">
        <f>IFERROR(IF(H420&gt;0,H420*IF(OR(C420="Alpha",B420="Alpha"),$C$9,$C$8),""),"")</f>
        <v/>
      </c>
      <c r="L420" s="139">
        <f>IFERROR(IF(ISNUMBER(F420),F420-IF(ISNUMBER(K420),K420,0),""),"")</f>
        <v/>
      </c>
    </row>
    <row r="421" ht="24" customHeight="1" s="63">
      <c r="E421" s="139" t="n"/>
      <c r="F421" s="139" t="n"/>
      <c r="G421" s="140">
        <f>IFERROR(IF(E421&gt;0,(F421/E421)*1000,""),"")</f>
        <v/>
      </c>
      <c r="H421" s="139">
        <f>IFERROR(IF(E421&gt;0,E421*IF(ISNUMBER(J421),J421,IF(OR(C421="Alpha",B421="Alpha"),$C$7,IF(C421="Futures",$C$6,$C$5))),""),"")</f>
        <v/>
      </c>
      <c r="I421" s="139">
        <f>IFERROR(IF(AND(ISNUMBER(F421),ISNUMBER(H421)),F421-H421,""),"")</f>
        <v/>
      </c>
      <c r="J421" s="114" t="n"/>
      <c r="K421" s="139">
        <f>IFERROR(IF(H421&gt;0,H421*IF(OR(C421="Alpha",B421="Alpha"),$C$9,$C$8),""),"")</f>
        <v/>
      </c>
      <c r="L421" s="139">
        <f>IFERROR(IF(ISNUMBER(F421),F421-IF(ISNUMBER(K421),K421,0),""),"")</f>
        <v/>
      </c>
    </row>
    <row r="422" ht="24" customHeight="1" s="63">
      <c r="E422" s="139" t="n"/>
      <c r="F422" s="139" t="n"/>
      <c r="G422" s="140">
        <f>IFERROR(IF(E422&gt;0,(F422/E422)*1000,""),"")</f>
        <v/>
      </c>
      <c r="H422" s="139">
        <f>IFERROR(IF(E422&gt;0,E422*IF(ISNUMBER(J422),J422,IF(OR(C422="Alpha",B422="Alpha"),$C$7,IF(C422="Futures",$C$6,$C$5))),""),"")</f>
        <v/>
      </c>
      <c r="I422" s="139">
        <f>IFERROR(IF(AND(ISNUMBER(F422),ISNUMBER(H422)),F422-H422,""),"")</f>
        <v/>
      </c>
      <c r="J422" s="114" t="n"/>
      <c r="K422" s="139">
        <f>IFERROR(IF(H422&gt;0,H422*IF(OR(C422="Alpha",B422="Alpha"),$C$9,$C$8),""),"")</f>
        <v/>
      </c>
      <c r="L422" s="139">
        <f>IFERROR(IF(ISNUMBER(F422),F422-IF(ISNUMBER(K422),K422,0),""),"")</f>
        <v/>
      </c>
    </row>
    <row r="423" ht="24" customHeight="1" s="63">
      <c r="E423" s="139" t="n"/>
      <c r="F423" s="139" t="n"/>
      <c r="G423" s="140">
        <f>IFERROR(IF(E423&gt;0,(F423/E423)*1000,""),"")</f>
        <v/>
      </c>
      <c r="H423" s="139">
        <f>IFERROR(IF(E423&gt;0,E423*IF(ISNUMBER(J423),J423,IF(OR(C423="Alpha",B423="Alpha"),$C$7,IF(C423="Futures",$C$6,$C$5))),""),"")</f>
        <v/>
      </c>
      <c r="I423" s="139">
        <f>IFERROR(IF(AND(ISNUMBER(F423),ISNUMBER(H423)),F423-H423,""),"")</f>
        <v/>
      </c>
      <c r="J423" s="114" t="n"/>
      <c r="K423" s="139">
        <f>IFERROR(IF(H423&gt;0,H423*IF(OR(C423="Alpha",B423="Alpha"),$C$9,$C$8),""),"")</f>
        <v/>
      </c>
      <c r="L423" s="139">
        <f>IFERROR(IF(ISNUMBER(F423),F423-IF(ISNUMBER(K423),K423,0),""),"")</f>
        <v/>
      </c>
    </row>
    <row r="424" ht="24" customHeight="1" s="63">
      <c r="E424" s="139" t="n"/>
      <c r="F424" s="139" t="n"/>
      <c r="G424" s="140">
        <f>IFERROR(IF(E424&gt;0,(F424/E424)*1000,""),"")</f>
        <v/>
      </c>
      <c r="H424" s="139">
        <f>IFERROR(IF(E424&gt;0,E424*IF(ISNUMBER(J424),J424,IF(OR(C424="Alpha",B424="Alpha"),$C$7,IF(C424="Futures",$C$6,$C$5))),""),"")</f>
        <v/>
      </c>
      <c r="I424" s="139">
        <f>IFERROR(IF(AND(ISNUMBER(F424),ISNUMBER(H424)),F424-H424,""),"")</f>
        <v/>
      </c>
      <c r="J424" s="114" t="n"/>
      <c r="K424" s="139">
        <f>IFERROR(IF(H424&gt;0,H424*IF(OR(C424="Alpha",B424="Alpha"),$C$9,$C$8),""),"")</f>
        <v/>
      </c>
      <c r="L424" s="139">
        <f>IFERROR(IF(ISNUMBER(F424),F424-IF(ISNUMBER(K424),K424,0),""),"")</f>
        <v/>
      </c>
    </row>
    <row r="425" ht="24" customHeight="1" s="63">
      <c r="E425" s="139" t="n"/>
      <c r="F425" s="139" t="n"/>
      <c r="G425" s="140">
        <f>IFERROR(IF(E425&gt;0,(F425/E425)*1000,""),"")</f>
        <v/>
      </c>
      <c r="H425" s="139">
        <f>IFERROR(IF(E425&gt;0,E425*IF(ISNUMBER(J425),J425,IF(OR(C425="Alpha",B425="Alpha"),$C$7,IF(C425="Futures",$C$6,$C$5))),""),"")</f>
        <v/>
      </c>
      <c r="I425" s="139">
        <f>IFERROR(IF(AND(ISNUMBER(F425),ISNUMBER(H425)),F425-H425,""),"")</f>
        <v/>
      </c>
      <c r="J425" s="114" t="n"/>
      <c r="K425" s="139">
        <f>IFERROR(IF(H425&gt;0,H425*IF(OR(C425="Alpha",B425="Alpha"),$C$9,$C$8),""),"")</f>
        <v/>
      </c>
      <c r="L425" s="139">
        <f>IFERROR(IF(ISNUMBER(F425),F425-IF(ISNUMBER(K425),K425,0),""),"")</f>
        <v/>
      </c>
    </row>
    <row r="426" ht="24" customHeight="1" s="63">
      <c r="E426" s="139" t="n"/>
      <c r="F426" s="139" t="n"/>
      <c r="G426" s="140">
        <f>IFERROR(IF(E426&gt;0,(F426/E426)*1000,""),"")</f>
        <v/>
      </c>
      <c r="H426" s="139">
        <f>IFERROR(IF(E426&gt;0,E426*IF(ISNUMBER(J426),J426,IF(OR(C426="Alpha",B426="Alpha"),$C$7,IF(C426="Futures",$C$6,$C$5))),""),"")</f>
        <v/>
      </c>
      <c r="I426" s="139">
        <f>IFERROR(IF(AND(ISNUMBER(F426),ISNUMBER(H426)),F426-H426,""),"")</f>
        <v/>
      </c>
      <c r="J426" s="114" t="n"/>
      <c r="K426" s="139">
        <f>IFERROR(IF(H426&gt;0,H426*IF(OR(C426="Alpha",B426="Alpha"),$C$9,$C$8),""),"")</f>
        <v/>
      </c>
      <c r="L426" s="139">
        <f>IFERROR(IF(ISNUMBER(F426),F426-IF(ISNUMBER(K426),K426,0),""),"")</f>
        <v/>
      </c>
    </row>
    <row r="427" ht="24" customHeight="1" s="63">
      <c r="E427" s="139" t="n"/>
      <c r="F427" s="139" t="n"/>
      <c r="G427" s="140">
        <f>IFERROR(IF(E427&gt;0,(F427/E427)*1000,""),"")</f>
        <v/>
      </c>
      <c r="H427" s="139">
        <f>IFERROR(IF(E427&gt;0,E427*IF(ISNUMBER(J427),J427,IF(OR(C427="Alpha",B427="Alpha"),$C$7,IF(C427="Futures",$C$6,$C$5))),""),"")</f>
        <v/>
      </c>
      <c r="I427" s="139">
        <f>IFERROR(IF(AND(ISNUMBER(F427),ISNUMBER(H427)),F427-H427,""),"")</f>
        <v/>
      </c>
      <c r="J427" s="114" t="n"/>
      <c r="K427" s="139">
        <f>IFERROR(IF(H427&gt;0,H427*IF(OR(C427="Alpha",B427="Alpha"),$C$9,$C$8),""),"")</f>
        <v/>
      </c>
      <c r="L427" s="139">
        <f>IFERROR(IF(ISNUMBER(F427),F427-IF(ISNUMBER(K427),K427,0),""),"")</f>
        <v/>
      </c>
    </row>
    <row r="428" ht="24" customHeight="1" s="63">
      <c r="E428" s="139" t="n"/>
      <c r="F428" s="139" t="n"/>
      <c r="G428" s="140">
        <f>IFERROR(IF(E428&gt;0,(F428/E428)*1000,""),"")</f>
        <v/>
      </c>
      <c r="H428" s="139">
        <f>IFERROR(IF(E428&gt;0,E428*IF(ISNUMBER(J428),J428,IF(OR(C428="Alpha",B428="Alpha"),$C$7,IF(C428="Futures",$C$6,$C$5))),""),"")</f>
        <v/>
      </c>
      <c r="I428" s="139">
        <f>IFERROR(IF(AND(ISNUMBER(F428),ISNUMBER(H428)),F428-H428,""),"")</f>
        <v/>
      </c>
      <c r="J428" s="114" t="n"/>
      <c r="K428" s="139">
        <f>IFERROR(IF(H428&gt;0,H428*IF(OR(C428="Alpha",B428="Alpha"),$C$9,$C$8),""),"")</f>
        <v/>
      </c>
      <c r="L428" s="139">
        <f>IFERROR(IF(ISNUMBER(F428),F428-IF(ISNUMBER(K428),K428,0),""),"")</f>
        <v/>
      </c>
    </row>
    <row r="429" ht="24" customHeight="1" s="63">
      <c r="E429" s="139" t="n"/>
      <c r="F429" s="139" t="n"/>
      <c r="G429" s="140">
        <f>IFERROR(IF(E429&gt;0,(F429/E429)*1000,""),"")</f>
        <v/>
      </c>
      <c r="H429" s="139">
        <f>IFERROR(IF(E429&gt;0,E429*IF(ISNUMBER(J429),J429,IF(OR(C429="Alpha",B429="Alpha"),$C$7,IF(C429="Futures",$C$6,$C$5))),""),"")</f>
        <v/>
      </c>
      <c r="I429" s="139">
        <f>IFERROR(IF(AND(ISNUMBER(F429),ISNUMBER(H429)),F429-H429,""),"")</f>
        <v/>
      </c>
      <c r="J429" s="114" t="n"/>
      <c r="K429" s="139">
        <f>IFERROR(IF(H429&gt;0,H429*IF(OR(C429="Alpha",B429="Alpha"),$C$9,$C$8),""),"")</f>
        <v/>
      </c>
      <c r="L429" s="139">
        <f>IFERROR(IF(ISNUMBER(F429),F429-IF(ISNUMBER(K429),K429,0),""),"")</f>
        <v/>
      </c>
    </row>
    <row r="430" ht="24" customHeight="1" s="63">
      <c r="E430" s="139" t="n"/>
      <c r="F430" s="139" t="n"/>
      <c r="G430" s="140">
        <f>IFERROR(IF(E430&gt;0,(F430/E430)*1000,""),"")</f>
        <v/>
      </c>
      <c r="H430" s="139">
        <f>IFERROR(IF(E430&gt;0,E430*IF(ISNUMBER(J430),J430,IF(OR(C430="Alpha",B430="Alpha"),$C$7,IF(C430="Futures",$C$6,$C$5))),""),"")</f>
        <v/>
      </c>
      <c r="I430" s="139">
        <f>IFERROR(IF(AND(ISNUMBER(F430),ISNUMBER(H430)),F430-H430,""),"")</f>
        <v/>
      </c>
      <c r="J430" s="114" t="n"/>
      <c r="K430" s="139">
        <f>IFERROR(IF(H430&gt;0,H430*IF(OR(C430="Alpha",B430="Alpha"),$C$9,$C$8),""),"")</f>
        <v/>
      </c>
      <c r="L430" s="139">
        <f>IFERROR(IF(ISNUMBER(F430),F430-IF(ISNUMBER(K430),K430,0),""),"")</f>
        <v/>
      </c>
    </row>
    <row r="431" ht="24" customHeight="1" s="63">
      <c r="E431" s="139" t="n"/>
      <c r="F431" s="139" t="n"/>
      <c r="G431" s="140">
        <f>IFERROR(IF(E431&gt;0,(F431/E431)*1000,""),"")</f>
        <v/>
      </c>
      <c r="H431" s="139">
        <f>IFERROR(IF(E431&gt;0,E431*IF(ISNUMBER(J431),J431,IF(OR(C431="Alpha",B431="Alpha"),$C$7,IF(C431="Futures",$C$6,$C$5))),""),"")</f>
        <v/>
      </c>
      <c r="I431" s="139">
        <f>IFERROR(IF(AND(ISNUMBER(F431),ISNUMBER(H431)),F431-H431,""),"")</f>
        <v/>
      </c>
      <c r="J431" s="114" t="n"/>
      <c r="K431" s="139">
        <f>IFERROR(IF(H431&gt;0,H431*IF(OR(C431="Alpha",B431="Alpha"),$C$9,$C$8),""),"")</f>
        <v/>
      </c>
      <c r="L431" s="139">
        <f>IFERROR(IF(ISNUMBER(F431),F431-IF(ISNUMBER(K431),K431,0),""),"")</f>
        <v/>
      </c>
    </row>
    <row r="432" ht="24" customHeight="1" s="63">
      <c r="E432" s="139" t="n"/>
      <c r="F432" s="139" t="n"/>
      <c r="G432" s="140">
        <f>IFERROR(IF(E432&gt;0,(F432/E432)*1000,""),"")</f>
        <v/>
      </c>
      <c r="H432" s="139">
        <f>IFERROR(IF(E432&gt;0,E432*IF(ISNUMBER(J432),J432,IF(OR(C432="Alpha",B432="Alpha"),$C$7,IF(C432="Futures",$C$6,$C$5))),""),"")</f>
        <v/>
      </c>
      <c r="I432" s="139">
        <f>IFERROR(IF(AND(ISNUMBER(F432),ISNUMBER(H432)),F432-H432,""),"")</f>
        <v/>
      </c>
      <c r="J432" s="114" t="n"/>
      <c r="K432" s="139">
        <f>IFERROR(IF(H432&gt;0,H432*IF(OR(C432="Alpha",B432="Alpha"),$C$9,$C$8),""),"")</f>
        <v/>
      </c>
      <c r="L432" s="139">
        <f>IFERROR(IF(ISNUMBER(F432),F432-IF(ISNUMBER(K432),K432,0),""),"")</f>
        <v/>
      </c>
    </row>
    <row r="433" ht="24" customHeight="1" s="63">
      <c r="E433" s="139" t="n"/>
      <c r="F433" s="139" t="n"/>
      <c r="G433" s="140">
        <f>IFERROR(IF(E433&gt;0,(F433/E433)*1000,""),"")</f>
        <v/>
      </c>
      <c r="H433" s="139">
        <f>IFERROR(IF(E433&gt;0,E433*IF(ISNUMBER(J433),J433,IF(OR(C433="Alpha",B433="Alpha"),$C$7,IF(C433="Futures",$C$6,$C$5))),""),"")</f>
        <v/>
      </c>
      <c r="I433" s="139">
        <f>IFERROR(IF(AND(ISNUMBER(F433),ISNUMBER(H433)),F433-H433,""),"")</f>
        <v/>
      </c>
      <c r="J433" s="114" t="n"/>
      <c r="K433" s="139">
        <f>IFERROR(IF(H433&gt;0,H433*IF(OR(C433="Alpha",B433="Alpha"),$C$9,$C$8),""),"")</f>
        <v/>
      </c>
      <c r="L433" s="139">
        <f>IFERROR(IF(ISNUMBER(F433),F433-IF(ISNUMBER(K433),K433,0),""),"")</f>
        <v/>
      </c>
    </row>
    <row r="434" ht="24" customHeight="1" s="63">
      <c r="E434" s="139" t="n"/>
      <c r="F434" s="139" t="n"/>
      <c r="G434" s="140">
        <f>IFERROR(IF(E434&gt;0,(F434/E434)*1000,""),"")</f>
        <v/>
      </c>
      <c r="H434" s="139">
        <f>IFERROR(IF(E434&gt;0,E434*IF(ISNUMBER(J434),J434,IF(OR(C434="Alpha",B434="Alpha"),$C$7,IF(C434="Futures",$C$6,$C$5))),""),"")</f>
        <v/>
      </c>
      <c r="I434" s="139">
        <f>IFERROR(IF(AND(ISNUMBER(F434),ISNUMBER(H434)),F434-H434,""),"")</f>
        <v/>
      </c>
      <c r="J434" s="114" t="n"/>
      <c r="K434" s="139">
        <f>IFERROR(IF(H434&gt;0,H434*IF(OR(C434="Alpha",B434="Alpha"),$C$9,$C$8),""),"")</f>
        <v/>
      </c>
      <c r="L434" s="139">
        <f>IFERROR(IF(ISNUMBER(F434),F434-IF(ISNUMBER(K434),K434,0),""),"")</f>
        <v/>
      </c>
    </row>
    <row r="435" ht="24" customHeight="1" s="63">
      <c r="E435" s="139" t="n"/>
      <c r="F435" s="139" t="n"/>
      <c r="G435" s="140">
        <f>IFERROR(IF(E435&gt;0,(F435/E435)*1000,""),"")</f>
        <v/>
      </c>
      <c r="H435" s="139">
        <f>IFERROR(IF(E435&gt;0,E435*IF(ISNUMBER(J435),J435,IF(OR(C435="Alpha",B435="Alpha"),$C$7,IF(C435="Futures",$C$6,$C$5))),""),"")</f>
        <v/>
      </c>
      <c r="I435" s="139">
        <f>IFERROR(IF(AND(ISNUMBER(F435),ISNUMBER(H435)),F435-H435,""),"")</f>
        <v/>
      </c>
      <c r="J435" s="114" t="n"/>
      <c r="K435" s="139">
        <f>IFERROR(IF(H435&gt;0,H435*IF(OR(C435="Alpha",B435="Alpha"),$C$9,$C$8),""),"")</f>
        <v/>
      </c>
      <c r="L435" s="139">
        <f>IFERROR(IF(ISNUMBER(F435),F435-IF(ISNUMBER(K435),K435,0),""),"")</f>
        <v/>
      </c>
    </row>
    <row r="436" ht="24" customHeight="1" s="63">
      <c r="E436" s="139" t="n"/>
      <c r="F436" s="139" t="n"/>
      <c r="G436" s="140">
        <f>IFERROR(IF(E436&gt;0,(F436/E436)*1000,""),"")</f>
        <v/>
      </c>
      <c r="H436" s="139">
        <f>IFERROR(IF(E436&gt;0,E436*IF(ISNUMBER(J436),J436,IF(OR(C436="Alpha",B436="Alpha"),$C$7,IF(C436="Futures",$C$6,$C$5))),""),"")</f>
        <v/>
      </c>
      <c r="I436" s="139">
        <f>IFERROR(IF(AND(ISNUMBER(F436),ISNUMBER(H436)),F436-H436,""),"")</f>
        <v/>
      </c>
      <c r="J436" s="114" t="n"/>
      <c r="K436" s="139">
        <f>IFERROR(IF(H436&gt;0,H436*IF(OR(C436="Alpha",B436="Alpha"),$C$9,$C$8),""),"")</f>
        <v/>
      </c>
      <c r="L436" s="139">
        <f>IFERROR(IF(ISNUMBER(F436),F436-IF(ISNUMBER(K436),K436,0),""),"")</f>
        <v/>
      </c>
    </row>
    <row r="437" ht="24" customHeight="1" s="63">
      <c r="E437" s="139" t="n"/>
      <c r="F437" s="139" t="n"/>
      <c r="G437" s="140">
        <f>IFERROR(IF(E437&gt;0,(F437/E437)*1000,""),"")</f>
        <v/>
      </c>
      <c r="H437" s="139">
        <f>IFERROR(IF(E437&gt;0,E437*IF(ISNUMBER(J437),J437,IF(OR(C437="Alpha",B437="Alpha"),$C$7,IF(C437="Futures",$C$6,$C$5))),""),"")</f>
        <v/>
      </c>
      <c r="I437" s="139">
        <f>IFERROR(IF(AND(ISNUMBER(F437),ISNUMBER(H437)),F437-H437,""),"")</f>
        <v/>
      </c>
      <c r="J437" s="114" t="n"/>
      <c r="K437" s="139">
        <f>IFERROR(IF(H437&gt;0,H437*IF(OR(C437="Alpha",B437="Alpha"),$C$9,$C$8),""),"")</f>
        <v/>
      </c>
      <c r="L437" s="139">
        <f>IFERROR(IF(ISNUMBER(F437),F437-IF(ISNUMBER(K437),K437,0),""),"")</f>
        <v/>
      </c>
    </row>
    <row r="438" ht="24" customHeight="1" s="63">
      <c r="E438" s="139" t="n"/>
      <c r="F438" s="139" t="n"/>
      <c r="G438" s="140">
        <f>IFERROR(IF(E438&gt;0,(F438/E438)*1000,""),"")</f>
        <v/>
      </c>
      <c r="H438" s="139">
        <f>IFERROR(IF(E438&gt;0,E438*IF(ISNUMBER(J438),J438,IF(OR(C438="Alpha",B438="Alpha"),$C$7,IF(C438="Futures",$C$6,$C$5))),""),"")</f>
        <v/>
      </c>
      <c r="I438" s="139">
        <f>IFERROR(IF(AND(ISNUMBER(F438),ISNUMBER(H438)),F438-H438,""),"")</f>
        <v/>
      </c>
      <c r="J438" s="114" t="n"/>
      <c r="K438" s="139">
        <f>IFERROR(IF(H438&gt;0,H438*IF(OR(C438="Alpha",B438="Alpha"),$C$9,$C$8),""),"")</f>
        <v/>
      </c>
      <c r="L438" s="139">
        <f>IFERROR(IF(ISNUMBER(F438),F438-IF(ISNUMBER(K438),K438,0),""),"")</f>
        <v/>
      </c>
    </row>
    <row r="439" ht="24" customHeight="1" s="63">
      <c r="E439" s="139" t="n"/>
      <c r="F439" s="139" t="n"/>
      <c r="G439" s="140">
        <f>IFERROR(IF(E439&gt;0,(F439/E439)*1000,""),"")</f>
        <v/>
      </c>
      <c r="H439" s="139">
        <f>IFERROR(IF(E439&gt;0,E439*IF(ISNUMBER(J439),J439,IF(OR(C439="Alpha",B439="Alpha"),$C$7,IF(C439="Futures",$C$6,$C$5))),""),"")</f>
        <v/>
      </c>
      <c r="I439" s="139">
        <f>IFERROR(IF(AND(ISNUMBER(F439),ISNUMBER(H439)),F439-H439,""),"")</f>
        <v/>
      </c>
      <c r="J439" s="114" t="n"/>
      <c r="K439" s="139">
        <f>IFERROR(IF(H439&gt;0,H439*IF(OR(C439="Alpha",B439="Alpha"),$C$9,$C$8),""),"")</f>
        <v/>
      </c>
      <c r="L439" s="139">
        <f>IFERROR(IF(ISNUMBER(F439),F439-IF(ISNUMBER(K439),K439,0),""),"")</f>
        <v/>
      </c>
    </row>
    <row r="440" ht="24" customHeight="1" s="63">
      <c r="E440" s="139" t="n"/>
      <c r="F440" s="139" t="n"/>
      <c r="G440" s="140">
        <f>IFERROR(IF(E440&gt;0,(F440/E440)*1000,""),"")</f>
        <v/>
      </c>
      <c r="H440" s="139">
        <f>IFERROR(IF(E440&gt;0,E440*IF(ISNUMBER(J440),J440,IF(OR(C440="Alpha",B440="Alpha"),$C$7,IF(C440="Futures",$C$6,$C$5))),""),"")</f>
        <v/>
      </c>
      <c r="I440" s="139">
        <f>IFERROR(IF(AND(ISNUMBER(F440),ISNUMBER(H440)),F440-H440,""),"")</f>
        <v/>
      </c>
      <c r="J440" s="114" t="n"/>
      <c r="K440" s="139">
        <f>IFERROR(IF(H440&gt;0,H440*IF(OR(C440="Alpha",B440="Alpha"),$C$9,$C$8),""),"")</f>
        <v/>
      </c>
      <c r="L440" s="139">
        <f>IFERROR(IF(ISNUMBER(F440),F440-IF(ISNUMBER(K440),K440,0),""),"")</f>
        <v/>
      </c>
    </row>
    <row r="441" ht="24" customHeight="1" s="63">
      <c r="E441" s="139" t="n"/>
      <c r="F441" s="139" t="n"/>
      <c r="G441" s="140">
        <f>IFERROR(IF(E441&gt;0,(F441/E441)*1000,""),"")</f>
        <v/>
      </c>
      <c r="H441" s="139">
        <f>IFERROR(IF(E441&gt;0,E441*IF(ISNUMBER(J441),J441,IF(OR(C441="Alpha",B441="Alpha"),$C$7,IF(C441="Futures",$C$6,$C$5))),""),"")</f>
        <v/>
      </c>
      <c r="I441" s="139">
        <f>IFERROR(IF(AND(ISNUMBER(F441),ISNUMBER(H441)),F441-H441,""),"")</f>
        <v/>
      </c>
      <c r="J441" s="114" t="n"/>
      <c r="K441" s="139">
        <f>IFERROR(IF(H441&gt;0,H441*IF(OR(C441="Alpha",B441="Alpha"),$C$9,$C$8),""),"")</f>
        <v/>
      </c>
      <c r="L441" s="139">
        <f>IFERROR(IF(ISNUMBER(F441),F441-IF(ISNUMBER(K441),K441,0),""),"")</f>
        <v/>
      </c>
    </row>
    <row r="442" ht="24" customHeight="1" s="63">
      <c r="E442" s="139" t="n"/>
      <c r="F442" s="139" t="n"/>
      <c r="G442" s="140">
        <f>IFERROR(IF(E442&gt;0,(F442/E442)*1000,""),"")</f>
        <v/>
      </c>
      <c r="H442" s="139">
        <f>IFERROR(IF(E442&gt;0,E442*IF(ISNUMBER(J442),J442,IF(OR(C442="Alpha",B442="Alpha"),$C$7,IF(C442="Futures",$C$6,$C$5))),""),"")</f>
        <v/>
      </c>
      <c r="I442" s="139">
        <f>IFERROR(IF(AND(ISNUMBER(F442),ISNUMBER(H442)),F442-H442,""),"")</f>
        <v/>
      </c>
      <c r="J442" s="114" t="n"/>
      <c r="K442" s="139">
        <f>IFERROR(IF(H442&gt;0,H442*IF(OR(C442="Alpha",B442="Alpha"),$C$9,$C$8),""),"")</f>
        <v/>
      </c>
      <c r="L442" s="139">
        <f>IFERROR(IF(ISNUMBER(F442),F442-IF(ISNUMBER(K442),K442,0),""),"")</f>
        <v/>
      </c>
    </row>
    <row r="443" ht="24" customHeight="1" s="63">
      <c r="E443" s="139" t="n"/>
      <c r="F443" s="139" t="n"/>
      <c r="G443" s="140">
        <f>IFERROR(IF(E443&gt;0,(F443/E443)*1000,""),"")</f>
        <v/>
      </c>
      <c r="H443" s="139">
        <f>IFERROR(IF(E443&gt;0,E443*IF(ISNUMBER(J443),J443,IF(OR(C443="Alpha",B443="Alpha"),$C$7,IF(C443="Futures",$C$6,$C$5))),""),"")</f>
        <v/>
      </c>
      <c r="I443" s="139">
        <f>IFERROR(IF(AND(ISNUMBER(F443),ISNUMBER(H443)),F443-H443,""),"")</f>
        <v/>
      </c>
      <c r="J443" s="114" t="n"/>
      <c r="K443" s="139">
        <f>IFERROR(IF(H443&gt;0,H443*IF(OR(C443="Alpha",B443="Alpha"),$C$9,$C$8),""),"")</f>
        <v/>
      </c>
      <c r="L443" s="139">
        <f>IFERROR(IF(ISNUMBER(F443),F443-IF(ISNUMBER(K443),K443,0),""),"")</f>
        <v/>
      </c>
    </row>
    <row r="444" ht="24" customHeight="1" s="63">
      <c r="E444" s="139" t="n"/>
      <c r="F444" s="139" t="n"/>
      <c r="G444" s="140">
        <f>IFERROR(IF(E444&gt;0,(F444/E444)*1000,""),"")</f>
        <v/>
      </c>
      <c r="H444" s="139">
        <f>IFERROR(IF(E444&gt;0,E444*IF(ISNUMBER(J444),J444,IF(OR(C444="Alpha",B444="Alpha"),$C$7,IF(C444="Futures",$C$6,$C$5))),""),"")</f>
        <v/>
      </c>
      <c r="I444" s="139">
        <f>IFERROR(IF(AND(ISNUMBER(F444),ISNUMBER(H444)),F444-H444,""),"")</f>
        <v/>
      </c>
      <c r="J444" s="114" t="n"/>
      <c r="K444" s="139">
        <f>IFERROR(IF(H444&gt;0,H444*IF(OR(C444="Alpha",B444="Alpha"),$C$9,$C$8),""),"")</f>
        <v/>
      </c>
      <c r="L444" s="139">
        <f>IFERROR(IF(ISNUMBER(F444),F444-IF(ISNUMBER(K444),K444,0),""),"")</f>
        <v/>
      </c>
    </row>
    <row r="445" ht="24" customHeight="1" s="63">
      <c r="E445" s="139" t="n"/>
      <c r="F445" s="139" t="n"/>
      <c r="G445" s="140">
        <f>IFERROR(IF(E445&gt;0,(F445/E445)*1000,""),"")</f>
        <v/>
      </c>
      <c r="H445" s="139">
        <f>IFERROR(IF(E445&gt;0,E445*IF(ISNUMBER(J445),J445,IF(OR(C445="Alpha",B445="Alpha"),$C$7,IF(C445="Futures",$C$6,$C$5))),""),"")</f>
        <v/>
      </c>
      <c r="I445" s="139">
        <f>IFERROR(IF(AND(ISNUMBER(F445),ISNUMBER(H445)),F445-H445,""),"")</f>
        <v/>
      </c>
      <c r="J445" s="114" t="n"/>
      <c r="K445" s="139">
        <f>IFERROR(IF(H445&gt;0,H445*IF(OR(C445="Alpha",B445="Alpha"),$C$9,$C$8),""),"")</f>
        <v/>
      </c>
      <c r="L445" s="139">
        <f>IFERROR(IF(ISNUMBER(F445),F445-IF(ISNUMBER(K445),K445,0),""),"")</f>
        <v/>
      </c>
    </row>
    <row r="446" ht="24" customHeight="1" s="63">
      <c r="E446" s="139" t="n"/>
      <c r="F446" s="139" t="n"/>
      <c r="G446" s="140">
        <f>IFERROR(IF(E446&gt;0,(F446/E446)*1000,""),"")</f>
        <v/>
      </c>
      <c r="H446" s="139">
        <f>IFERROR(IF(E446&gt;0,E446*IF(ISNUMBER(J446),J446,IF(OR(C446="Alpha",B446="Alpha"),$C$7,IF(C446="Futures",$C$6,$C$5))),""),"")</f>
        <v/>
      </c>
      <c r="I446" s="139">
        <f>IFERROR(IF(AND(ISNUMBER(F446),ISNUMBER(H446)),F446-H446,""),"")</f>
        <v/>
      </c>
      <c r="J446" s="114" t="n"/>
      <c r="K446" s="139">
        <f>IFERROR(IF(H446&gt;0,H446*IF(OR(C446="Alpha",B446="Alpha"),$C$9,$C$8),""),"")</f>
        <v/>
      </c>
      <c r="L446" s="139">
        <f>IFERROR(IF(ISNUMBER(F446),F446-IF(ISNUMBER(K446),K446,0),""),"")</f>
        <v/>
      </c>
    </row>
    <row r="447" ht="24" customHeight="1" s="63">
      <c r="E447" s="139" t="n"/>
      <c r="F447" s="139" t="n"/>
      <c r="G447" s="140">
        <f>IFERROR(IF(E447&gt;0,(F447/E447)*1000,""),"")</f>
        <v/>
      </c>
      <c r="H447" s="139">
        <f>IFERROR(IF(E447&gt;0,E447*IF(ISNUMBER(J447),J447,IF(OR(C447="Alpha",B447="Alpha"),$C$7,IF(C447="Futures",$C$6,$C$5))),""),"")</f>
        <v/>
      </c>
      <c r="I447" s="139">
        <f>IFERROR(IF(AND(ISNUMBER(F447),ISNUMBER(H447)),F447-H447,""),"")</f>
        <v/>
      </c>
      <c r="J447" s="114" t="n"/>
      <c r="K447" s="139">
        <f>IFERROR(IF(H447&gt;0,H447*IF(OR(C447="Alpha",B447="Alpha"),$C$9,$C$8),""),"")</f>
        <v/>
      </c>
      <c r="L447" s="139">
        <f>IFERROR(IF(ISNUMBER(F447),F447-IF(ISNUMBER(K447),K447,0),""),"")</f>
        <v/>
      </c>
    </row>
    <row r="448" ht="24" customHeight="1" s="63">
      <c r="E448" s="139" t="n"/>
      <c r="F448" s="139" t="n"/>
      <c r="G448" s="140">
        <f>IFERROR(IF(E448&gt;0,(F448/E448)*1000,""),"")</f>
        <v/>
      </c>
      <c r="H448" s="139">
        <f>IFERROR(IF(E448&gt;0,E448*IF(ISNUMBER(J448),J448,IF(OR(C448="Alpha",B448="Alpha"),$C$7,IF(C448="Futures",$C$6,$C$5))),""),"")</f>
        <v/>
      </c>
      <c r="I448" s="139">
        <f>IFERROR(IF(AND(ISNUMBER(F448),ISNUMBER(H448)),F448-H448,""),"")</f>
        <v/>
      </c>
      <c r="J448" s="114" t="n"/>
      <c r="K448" s="139">
        <f>IFERROR(IF(H448&gt;0,H448*IF(OR(C448="Alpha",B448="Alpha"),$C$9,$C$8),""),"")</f>
        <v/>
      </c>
      <c r="L448" s="139">
        <f>IFERROR(IF(ISNUMBER(F448),F448-IF(ISNUMBER(K448),K448,0),""),"")</f>
        <v/>
      </c>
    </row>
    <row r="449" ht="24" customHeight="1" s="63">
      <c r="E449" s="139" t="n"/>
      <c r="F449" s="139" t="n"/>
      <c r="G449" s="140">
        <f>IFERROR(IF(E449&gt;0,(F449/E449)*1000,""),"")</f>
        <v/>
      </c>
      <c r="H449" s="139">
        <f>IFERROR(IF(E449&gt;0,E449*IF(ISNUMBER(J449),J449,IF(OR(C449="Alpha",B449="Alpha"),$C$7,IF(C449="Futures",$C$6,$C$5))),""),"")</f>
        <v/>
      </c>
      <c r="I449" s="139">
        <f>IFERROR(IF(AND(ISNUMBER(F449),ISNUMBER(H449)),F449-H449,""),"")</f>
        <v/>
      </c>
      <c r="J449" s="114" t="n"/>
      <c r="K449" s="139">
        <f>IFERROR(IF(H449&gt;0,H449*IF(OR(C449="Alpha",B449="Alpha"),$C$9,$C$8),""),"")</f>
        <v/>
      </c>
      <c r="L449" s="139">
        <f>IFERROR(IF(ISNUMBER(F449),F449-IF(ISNUMBER(K449),K449,0),""),"")</f>
        <v/>
      </c>
    </row>
    <row r="450" ht="24" customHeight="1" s="63">
      <c r="E450" s="139" t="n"/>
      <c r="F450" s="139" t="n"/>
      <c r="G450" s="140">
        <f>IFERROR(IF(E450&gt;0,(F450/E450)*1000,""),"")</f>
        <v/>
      </c>
      <c r="H450" s="139">
        <f>IFERROR(IF(E450&gt;0,E450*IF(ISNUMBER(J450),J450,IF(OR(C450="Alpha",B450="Alpha"),$C$7,IF(C450="Futures",$C$6,$C$5))),""),"")</f>
        <v/>
      </c>
      <c r="I450" s="139">
        <f>IFERROR(IF(AND(ISNUMBER(F450),ISNUMBER(H450)),F450-H450,""),"")</f>
        <v/>
      </c>
      <c r="J450" s="114" t="n"/>
      <c r="K450" s="139">
        <f>IFERROR(IF(H450&gt;0,H450*IF(OR(C450="Alpha",B450="Alpha"),$C$9,$C$8),""),"")</f>
        <v/>
      </c>
      <c r="L450" s="139">
        <f>IFERROR(IF(ISNUMBER(F450),F450-IF(ISNUMBER(K450),K450,0),""),"")</f>
        <v/>
      </c>
    </row>
    <row r="451" ht="24" customHeight="1" s="63">
      <c r="E451" s="139" t="n"/>
      <c r="F451" s="139" t="n"/>
      <c r="G451" s="140">
        <f>IFERROR(IF(E451&gt;0,(F451/E451)*1000,""),"")</f>
        <v/>
      </c>
      <c r="H451" s="139">
        <f>IFERROR(IF(E451&gt;0,E451*IF(ISNUMBER(J451),J451,IF(OR(C451="Alpha",B451="Alpha"),$C$7,IF(C451="Futures",$C$6,$C$5))),""),"")</f>
        <v/>
      </c>
      <c r="I451" s="139">
        <f>IFERROR(IF(AND(ISNUMBER(F451),ISNUMBER(H451)),F451-H451,""),"")</f>
        <v/>
      </c>
      <c r="J451" s="114" t="n"/>
      <c r="K451" s="139">
        <f>IFERROR(IF(H451&gt;0,H451*IF(OR(C451="Alpha",B451="Alpha"),$C$9,$C$8),""),"")</f>
        <v/>
      </c>
      <c r="L451" s="139">
        <f>IFERROR(IF(ISNUMBER(F451),F451-IF(ISNUMBER(K451),K451,0),""),"")</f>
        <v/>
      </c>
    </row>
    <row r="452" ht="24" customHeight="1" s="63">
      <c r="E452" s="139" t="n"/>
      <c r="F452" s="139" t="n"/>
      <c r="G452" s="140">
        <f>IFERROR(IF(E452&gt;0,(F452/E452)*1000,""),"")</f>
        <v/>
      </c>
      <c r="H452" s="139">
        <f>IFERROR(IF(E452&gt;0,E452*IF(ISNUMBER(J452),J452,IF(OR(C452="Alpha",B452="Alpha"),$C$7,IF(C452="Futures",$C$6,$C$5))),""),"")</f>
        <v/>
      </c>
      <c r="I452" s="139">
        <f>IFERROR(IF(AND(ISNUMBER(F452),ISNUMBER(H452)),F452-H452,""),"")</f>
        <v/>
      </c>
      <c r="J452" s="114" t="n"/>
      <c r="K452" s="139">
        <f>IFERROR(IF(H452&gt;0,H452*IF(OR(C452="Alpha",B452="Alpha"),$C$9,$C$8),""),"")</f>
        <v/>
      </c>
      <c r="L452" s="139">
        <f>IFERROR(IF(ISNUMBER(F452),F452-IF(ISNUMBER(K452),K452,0),""),"")</f>
        <v/>
      </c>
    </row>
    <row r="453" ht="24" customHeight="1" s="63">
      <c r="E453" s="139" t="n"/>
      <c r="F453" s="139" t="n"/>
      <c r="G453" s="140">
        <f>IFERROR(IF(E453&gt;0,(F453/E453)*1000,""),"")</f>
        <v/>
      </c>
      <c r="H453" s="139">
        <f>IFERROR(IF(E453&gt;0,E453*IF(ISNUMBER(J453),J453,IF(OR(C453="Alpha",B453="Alpha"),$C$7,IF(C453="Futures",$C$6,$C$5))),""),"")</f>
        <v/>
      </c>
      <c r="I453" s="139">
        <f>IFERROR(IF(AND(ISNUMBER(F453),ISNUMBER(H453)),F453-H453,""),"")</f>
        <v/>
      </c>
      <c r="J453" s="114" t="n"/>
      <c r="K453" s="139">
        <f>IFERROR(IF(H453&gt;0,H453*IF(OR(C453="Alpha",B453="Alpha"),$C$9,$C$8),""),"")</f>
        <v/>
      </c>
      <c r="L453" s="139">
        <f>IFERROR(IF(ISNUMBER(F453),F453-IF(ISNUMBER(K453),K453,0),""),"")</f>
        <v/>
      </c>
    </row>
    <row r="454" ht="24" customHeight="1" s="63">
      <c r="E454" s="139" t="n"/>
      <c r="F454" s="139" t="n"/>
      <c r="G454" s="140">
        <f>IFERROR(IF(E454&gt;0,(F454/E454)*1000,""),"")</f>
        <v/>
      </c>
      <c r="H454" s="139">
        <f>IFERROR(IF(E454&gt;0,E454*IF(ISNUMBER(J454),J454,IF(OR(C454="Alpha",B454="Alpha"),$C$7,IF(C454="Futures",$C$6,$C$5))),""),"")</f>
        <v/>
      </c>
      <c r="I454" s="139">
        <f>IFERROR(IF(AND(ISNUMBER(F454),ISNUMBER(H454)),F454-H454,""),"")</f>
        <v/>
      </c>
      <c r="J454" s="114" t="n"/>
      <c r="K454" s="139">
        <f>IFERROR(IF(H454&gt;0,H454*IF(OR(C454="Alpha",B454="Alpha"),$C$9,$C$8),""),"")</f>
        <v/>
      </c>
      <c r="L454" s="139">
        <f>IFERROR(IF(ISNUMBER(F454),F454-IF(ISNUMBER(K454),K454,0),""),"")</f>
        <v/>
      </c>
    </row>
    <row r="455" ht="24" customHeight="1" s="63">
      <c r="E455" s="139" t="n"/>
      <c r="F455" s="139" t="n"/>
      <c r="G455" s="140">
        <f>IFERROR(IF(E455&gt;0,(F455/E455)*1000,""),"")</f>
        <v/>
      </c>
      <c r="H455" s="139">
        <f>IFERROR(IF(E455&gt;0,E455*IF(ISNUMBER(J455),J455,IF(OR(C455="Alpha",B455="Alpha"),$C$7,IF(C455="Futures",$C$6,$C$5))),""),"")</f>
        <v/>
      </c>
      <c r="I455" s="139">
        <f>IFERROR(IF(AND(ISNUMBER(F455),ISNUMBER(H455)),F455-H455,""),"")</f>
        <v/>
      </c>
      <c r="J455" s="114" t="n"/>
      <c r="K455" s="139">
        <f>IFERROR(IF(H455&gt;0,H455*IF(OR(C455="Alpha",B455="Alpha"),$C$9,$C$8),""),"")</f>
        <v/>
      </c>
      <c r="L455" s="139">
        <f>IFERROR(IF(ISNUMBER(F455),F455-IF(ISNUMBER(K455),K455,0),""),"")</f>
        <v/>
      </c>
    </row>
    <row r="456" ht="24" customHeight="1" s="63">
      <c r="E456" s="139" t="n"/>
      <c r="F456" s="139" t="n"/>
      <c r="G456" s="140">
        <f>IFERROR(IF(E456&gt;0,(F456/E456)*1000,""),"")</f>
        <v/>
      </c>
      <c r="H456" s="139">
        <f>IFERROR(IF(E456&gt;0,E456*IF(ISNUMBER(J456),J456,IF(OR(C456="Alpha",B456="Alpha"),$C$7,IF(C456="Futures",$C$6,$C$5))),""),"")</f>
        <v/>
      </c>
      <c r="I456" s="139">
        <f>IFERROR(IF(AND(ISNUMBER(F456),ISNUMBER(H456)),F456-H456,""),"")</f>
        <v/>
      </c>
      <c r="J456" s="114" t="n"/>
      <c r="K456" s="139">
        <f>IFERROR(IF(H456&gt;0,H456*IF(OR(C456="Alpha",B456="Alpha"),$C$9,$C$8),""),"")</f>
        <v/>
      </c>
      <c r="L456" s="139">
        <f>IFERROR(IF(ISNUMBER(F456),F456-IF(ISNUMBER(K456),K456,0),""),"")</f>
        <v/>
      </c>
    </row>
    <row r="457" ht="24" customHeight="1" s="63">
      <c r="E457" s="139" t="n"/>
      <c r="F457" s="139" t="n"/>
      <c r="G457" s="140">
        <f>IFERROR(IF(E457&gt;0,(F457/E457)*1000,""),"")</f>
        <v/>
      </c>
      <c r="H457" s="139">
        <f>IFERROR(IF(E457&gt;0,E457*IF(ISNUMBER(J457),J457,IF(OR(C457="Alpha",B457="Alpha"),$C$7,IF(C457="Futures",$C$6,$C$5))),""),"")</f>
        <v/>
      </c>
      <c r="I457" s="139">
        <f>IFERROR(IF(AND(ISNUMBER(F457),ISNUMBER(H457)),F457-H457,""),"")</f>
        <v/>
      </c>
      <c r="J457" s="114" t="n"/>
      <c r="K457" s="139">
        <f>IFERROR(IF(H457&gt;0,H457*IF(OR(C457="Alpha",B457="Alpha"),$C$9,$C$8),""),"")</f>
        <v/>
      </c>
      <c r="L457" s="139">
        <f>IFERROR(IF(ISNUMBER(F457),F457-IF(ISNUMBER(K457),K457,0),""),"")</f>
        <v/>
      </c>
    </row>
    <row r="458" ht="24" customHeight="1" s="63">
      <c r="E458" s="139" t="n"/>
      <c r="F458" s="139" t="n"/>
      <c r="G458" s="140">
        <f>IFERROR(IF(E458&gt;0,(F458/E458)*1000,""),"")</f>
        <v/>
      </c>
      <c r="H458" s="139">
        <f>IFERROR(IF(E458&gt;0,E458*IF(ISNUMBER(J458),J458,IF(OR(C458="Alpha",B458="Alpha"),$C$7,IF(C458="Futures",$C$6,$C$5))),""),"")</f>
        <v/>
      </c>
      <c r="I458" s="139">
        <f>IFERROR(IF(AND(ISNUMBER(F458),ISNUMBER(H458)),F458-H458,""),"")</f>
        <v/>
      </c>
      <c r="J458" s="114" t="n"/>
      <c r="K458" s="139">
        <f>IFERROR(IF(H458&gt;0,H458*IF(OR(C458="Alpha",B458="Alpha"),$C$9,$C$8),""),"")</f>
        <v/>
      </c>
      <c r="L458" s="139">
        <f>IFERROR(IF(ISNUMBER(F458),F458-IF(ISNUMBER(K458),K458,0),""),"")</f>
        <v/>
      </c>
    </row>
    <row r="459" ht="24" customHeight="1" s="63">
      <c r="E459" s="139" t="n"/>
      <c r="F459" s="139" t="n"/>
      <c r="G459" s="140">
        <f>IFERROR(IF(E459&gt;0,(F459/E459)*1000,""),"")</f>
        <v/>
      </c>
      <c r="H459" s="139">
        <f>IFERROR(IF(E459&gt;0,E459*IF(ISNUMBER(J459),J459,IF(OR(C459="Alpha",B459="Alpha"),$C$7,IF(C459="Futures",$C$6,$C$5))),""),"")</f>
        <v/>
      </c>
      <c r="I459" s="139">
        <f>IFERROR(IF(AND(ISNUMBER(F459),ISNUMBER(H459)),F459-H459,""),"")</f>
        <v/>
      </c>
      <c r="J459" s="114" t="n"/>
      <c r="K459" s="139">
        <f>IFERROR(IF(H459&gt;0,H459*IF(OR(C459="Alpha",B459="Alpha"),$C$9,$C$8),""),"")</f>
        <v/>
      </c>
      <c r="L459" s="139">
        <f>IFERROR(IF(ISNUMBER(F459),F459-IF(ISNUMBER(K459),K459,0),""),"")</f>
        <v/>
      </c>
    </row>
    <row r="460" ht="24" customHeight="1" s="63">
      <c r="E460" s="139" t="n"/>
      <c r="F460" s="139" t="n"/>
      <c r="G460" s="140">
        <f>IFERROR(IF(E460&gt;0,(F460/E460)*1000,""),"")</f>
        <v/>
      </c>
      <c r="H460" s="139">
        <f>IFERROR(IF(E460&gt;0,E460*IF(ISNUMBER(J460),J460,IF(OR(C460="Alpha",B460="Alpha"),$C$7,IF(C460="Futures",$C$6,$C$5))),""),"")</f>
        <v/>
      </c>
      <c r="I460" s="139">
        <f>IFERROR(IF(AND(ISNUMBER(F460),ISNUMBER(H460)),F460-H460,""),"")</f>
        <v/>
      </c>
      <c r="J460" s="114" t="n"/>
      <c r="K460" s="139">
        <f>IFERROR(IF(H460&gt;0,H460*IF(OR(C460="Alpha",B460="Alpha"),$C$9,$C$8),""),"")</f>
        <v/>
      </c>
      <c r="L460" s="139">
        <f>IFERROR(IF(ISNUMBER(F460),F460-IF(ISNUMBER(K460),K460,0),""),"")</f>
        <v/>
      </c>
    </row>
    <row r="461" ht="24" customHeight="1" s="63">
      <c r="E461" s="139" t="n"/>
      <c r="F461" s="139" t="n"/>
      <c r="G461" s="140">
        <f>IFERROR(IF(E461&gt;0,(F461/E461)*1000,""),"")</f>
        <v/>
      </c>
      <c r="H461" s="139">
        <f>IFERROR(IF(E461&gt;0,E461*IF(ISNUMBER(J461),J461,IF(OR(C461="Alpha",B461="Alpha"),$C$7,IF(C461="Futures",$C$6,$C$5))),""),"")</f>
        <v/>
      </c>
      <c r="I461" s="139">
        <f>IFERROR(IF(AND(ISNUMBER(F461),ISNUMBER(H461)),F461-H461,""),"")</f>
        <v/>
      </c>
      <c r="J461" s="114" t="n"/>
      <c r="K461" s="139">
        <f>IFERROR(IF(H461&gt;0,H461*IF(OR(C461="Alpha",B461="Alpha"),$C$9,$C$8),""),"")</f>
        <v/>
      </c>
      <c r="L461" s="139">
        <f>IFERROR(IF(ISNUMBER(F461),F461-IF(ISNUMBER(K461),K461,0),""),"")</f>
        <v/>
      </c>
    </row>
    <row r="462" ht="24" customHeight="1" s="63">
      <c r="E462" s="139" t="n"/>
      <c r="F462" s="139" t="n"/>
      <c r="G462" s="140">
        <f>IFERROR(IF(E462&gt;0,(F462/E462)*1000,""),"")</f>
        <v/>
      </c>
      <c r="H462" s="139">
        <f>IFERROR(IF(E462&gt;0,E462*IF(ISNUMBER(J462),J462,IF(OR(C462="Alpha",B462="Alpha"),$C$7,IF(C462="Futures",$C$6,$C$5))),""),"")</f>
        <v/>
      </c>
      <c r="I462" s="139">
        <f>IFERROR(IF(AND(ISNUMBER(F462),ISNUMBER(H462)),F462-H462,""),"")</f>
        <v/>
      </c>
      <c r="J462" s="114" t="n"/>
      <c r="K462" s="139">
        <f>IFERROR(IF(H462&gt;0,H462*IF(OR(C462="Alpha",B462="Alpha"),$C$9,$C$8),""),"")</f>
        <v/>
      </c>
      <c r="L462" s="139">
        <f>IFERROR(IF(ISNUMBER(F462),F462-IF(ISNUMBER(K462),K462,0),""),"")</f>
        <v/>
      </c>
    </row>
    <row r="463" ht="24" customHeight="1" s="63">
      <c r="E463" s="139" t="n"/>
      <c r="F463" s="139" t="n"/>
      <c r="G463" s="140">
        <f>IFERROR(IF(E463&gt;0,(F463/E463)*1000,""),"")</f>
        <v/>
      </c>
      <c r="H463" s="139">
        <f>IFERROR(IF(E463&gt;0,E463*IF(ISNUMBER(J463),J463,IF(OR(C463="Alpha",B463="Alpha"),$C$7,IF(C463="Futures",$C$6,$C$5))),""),"")</f>
        <v/>
      </c>
      <c r="I463" s="139">
        <f>IFERROR(IF(AND(ISNUMBER(F463),ISNUMBER(H463)),F463-H463,""),"")</f>
        <v/>
      </c>
      <c r="J463" s="114" t="n"/>
      <c r="K463" s="139">
        <f>IFERROR(IF(H463&gt;0,H463*IF(OR(C463="Alpha",B463="Alpha"),$C$9,$C$8),""),"")</f>
        <v/>
      </c>
      <c r="L463" s="139">
        <f>IFERROR(IF(ISNUMBER(F463),F463-IF(ISNUMBER(K463),K463,0),""),"")</f>
        <v/>
      </c>
    </row>
    <row r="464" ht="24" customHeight="1" s="63">
      <c r="E464" s="139" t="n"/>
      <c r="F464" s="139" t="n"/>
      <c r="G464" s="140">
        <f>IFERROR(IF(E464&gt;0,(F464/E464)*1000,""),"")</f>
        <v/>
      </c>
      <c r="H464" s="139">
        <f>IFERROR(IF(E464&gt;0,E464*IF(ISNUMBER(J464),J464,IF(OR(C464="Alpha",B464="Alpha"),$C$7,IF(C464="Futures",$C$6,$C$5))),""),"")</f>
        <v/>
      </c>
      <c r="I464" s="139">
        <f>IFERROR(IF(AND(ISNUMBER(F464),ISNUMBER(H464)),F464-H464,""),"")</f>
        <v/>
      </c>
      <c r="J464" s="114" t="n"/>
      <c r="K464" s="139">
        <f>IFERROR(IF(H464&gt;0,H464*IF(OR(C464="Alpha",B464="Alpha"),$C$9,$C$8),""),"")</f>
        <v/>
      </c>
      <c r="L464" s="139">
        <f>IFERROR(IF(ISNUMBER(F464),F464-IF(ISNUMBER(K464),K464,0),""),"")</f>
        <v/>
      </c>
    </row>
    <row r="465" ht="24" customHeight="1" s="63">
      <c r="E465" s="139" t="n"/>
      <c r="F465" s="139" t="n"/>
      <c r="G465" s="140">
        <f>IFERROR(IF(E465&gt;0,(F465/E465)*1000,""),"")</f>
        <v/>
      </c>
      <c r="H465" s="139">
        <f>IFERROR(IF(E465&gt;0,E465*IF(ISNUMBER(J465),J465,IF(OR(C465="Alpha",B465="Alpha"),$C$7,IF(C465="Futures",$C$6,$C$5))),""),"")</f>
        <v/>
      </c>
      <c r="I465" s="139">
        <f>IFERROR(IF(AND(ISNUMBER(F465),ISNUMBER(H465)),F465-H465,""),"")</f>
        <v/>
      </c>
      <c r="J465" s="114" t="n"/>
      <c r="K465" s="139">
        <f>IFERROR(IF(H465&gt;0,H465*IF(OR(C465="Alpha",B465="Alpha"),$C$9,$C$8),""),"")</f>
        <v/>
      </c>
      <c r="L465" s="139">
        <f>IFERROR(IF(ISNUMBER(F465),F465-IF(ISNUMBER(K465),K465,0),""),"")</f>
        <v/>
      </c>
    </row>
    <row r="466" ht="24" customHeight="1" s="63">
      <c r="E466" s="139" t="n"/>
      <c r="F466" s="139" t="n"/>
      <c r="G466" s="140">
        <f>IFERROR(IF(E466&gt;0,(F466/E466)*1000,""),"")</f>
        <v/>
      </c>
      <c r="H466" s="139">
        <f>IFERROR(IF(E466&gt;0,E466*IF(ISNUMBER(J466),J466,IF(OR(C466="Alpha",B466="Alpha"),$C$7,IF(C466="Futures",$C$6,$C$5))),""),"")</f>
        <v/>
      </c>
      <c r="I466" s="139">
        <f>IFERROR(IF(AND(ISNUMBER(F466),ISNUMBER(H466)),F466-H466,""),"")</f>
        <v/>
      </c>
      <c r="J466" s="114" t="n"/>
      <c r="K466" s="139">
        <f>IFERROR(IF(H466&gt;0,H466*IF(OR(C466="Alpha",B466="Alpha"),$C$9,$C$8),""),"")</f>
        <v/>
      </c>
      <c r="L466" s="139">
        <f>IFERROR(IF(ISNUMBER(F466),F466-IF(ISNUMBER(K466),K466,0),""),"")</f>
        <v/>
      </c>
    </row>
    <row r="467" ht="24" customHeight="1" s="63">
      <c r="E467" s="139" t="n"/>
      <c r="F467" s="139" t="n"/>
      <c r="G467" s="140">
        <f>IFERROR(IF(E467&gt;0,(F467/E467)*1000,""),"")</f>
        <v/>
      </c>
      <c r="H467" s="139">
        <f>IFERROR(IF(E467&gt;0,E467*IF(ISNUMBER(J467),J467,IF(OR(C467="Alpha",B467="Alpha"),$C$7,IF(C467="Futures",$C$6,$C$5))),""),"")</f>
        <v/>
      </c>
      <c r="I467" s="139">
        <f>IFERROR(IF(AND(ISNUMBER(F467),ISNUMBER(H467)),F467-H467,""),"")</f>
        <v/>
      </c>
      <c r="J467" s="114" t="n"/>
      <c r="K467" s="139">
        <f>IFERROR(IF(H467&gt;0,H467*IF(OR(C467="Alpha",B467="Alpha"),$C$9,$C$8),""),"")</f>
        <v/>
      </c>
      <c r="L467" s="139">
        <f>IFERROR(IF(ISNUMBER(F467),F467-IF(ISNUMBER(K467),K467,0),""),"")</f>
        <v/>
      </c>
    </row>
    <row r="468" ht="24" customHeight="1" s="63">
      <c r="E468" s="139" t="n"/>
      <c r="F468" s="139" t="n"/>
      <c r="G468" s="140">
        <f>IFERROR(IF(E468&gt;0,(F468/E468)*1000,""),"")</f>
        <v/>
      </c>
      <c r="H468" s="139">
        <f>IFERROR(IF(E468&gt;0,E468*IF(ISNUMBER(J468),J468,IF(OR(C468="Alpha",B468="Alpha"),$C$7,IF(C468="Futures",$C$6,$C$5))),""),"")</f>
        <v/>
      </c>
      <c r="I468" s="139">
        <f>IFERROR(IF(AND(ISNUMBER(F468),ISNUMBER(H468)),F468-H468,""),"")</f>
        <v/>
      </c>
      <c r="J468" s="114" t="n"/>
      <c r="K468" s="139">
        <f>IFERROR(IF(H468&gt;0,H468*IF(OR(C468="Alpha",B468="Alpha"),$C$9,$C$8),""),"")</f>
        <v/>
      </c>
      <c r="L468" s="139">
        <f>IFERROR(IF(ISNUMBER(F468),F468-IF(ISNUMBER(K468),K468,0),""),"")</f>
        <v/>
      </c>
    </row>
    <row r="469" ht="24" customHeight="1" s="63">
      <c r="E469" s="139" t="n"/>
      <c r="F469" s="139" t="n"/>
      <c r="G469" s="140">
        <f>IFERROR(IF(E469&gt;0,(F469/E469)*1000,""),"")</f>
        <v/>
      </c>
      <c r="H469" s="139">
        <f>IFERROR(IF(E469&gt;0,E469*IF(ISNUMBER(J469),J469,IF(OR(C469="Alpha",B469="Alpha"),$C$7,IF(C469="Futures",$C$6,$C$5))),""),"")</f>
        <v/>
      </c>
      <c r="I469" s="139">
        <f>IFERROR(IF(AND(ISNUMBER(F469),ISNUMBER(H469)),F469-H469,""),"")</f>
        <v/>
      </c>
      <c r="J469" s="114" t="n"/>
      <c r="K469" s="139">
        <f>IFERROR(IF(H469&gt;0,H469*IF(OR(C469="Alpha",B469="Alpha"),$C$9,$C$8),""),"")</f>
        <v/>
      </c>
      <c r="L469" s="139">
        <f>IFERROR(IF(ISNUMBER(F469),F469-IF(ISNUMBER(K469),K469,0),""),"")</f>
        <v/>
      </c>
    </row>
    <row r="470" ht="24" customHeight="1" s="63">
      <c r="E470" s="139" t="n"/>
      <c r="F470" s="139" t="n"/>
      <c r="G470" s="140">
        <f>IFERROR(IF(E470&gt;0,(F470/E470)*1000,""),"")</f>
        <v/>
      </c>
      <c r="H470" s="139">
        <f>IFERROR(IF(E470&gt;0,E470*IF(ISNUMBER(J470),J470,IF(OR(C470="Alpha",B470="Alpha"),$C$7,IF(C470="Futures",$C$6,$C$5))),""),"")</f>
        <v/>
      </c>
      <c r="I470" s="139">
        <f>IFERROR(IF(AND(ISNUMBER(F470),ISNUMBER(H470)),F470-H470,""),"")</f>
        <v/>
      </c>
      <c r="J470" s="114" t="n"/>
      <c r="K470" s="139">
        <f>IFERROR(IF(H470&gt;0,H470*IF(OR(C470="Alpha",B470="Alpha"),$C$9,$C$8),""),"")</f>
        <v/>
      </c>
      <c r="L470" s="139">
        <f>IFERROR(IF(ISNUMBER(F470),F470-IF(ISNUMBER(K470),K470,0),""),"")</f>
        <v/>
      </c>
    </row>
    <row r="471" ht="24" customHeight="1" s="63">
      <c r="E471" s="139" t="n"/>
      <c r="F471" s="139" t="n"/>
      <c r="G471" s="140">
        <f>IFERROR(IF(E471&gt;0,(F471/E471)*1000,""),"")</f>
        <v/>
      </c>
      <c r="H471" s="139">
        <f>IFERROR(IF(E471&gt;0,E471*IF(ISNUMBER(J471),J471,IF(OR(C471="Alpha",B471="Alpha"),$C$7,IF(C471="Futures",$C$6,$C$5))),""),"")</f>
        <v/>
      </c>
      <c r="I471" s="139">
        <f>IFERROR(IF(AND(ISNUMBER(F471),ISNUMBER(H471)),F471-H471,""),"")</f>
        <v/>
      </c>
      <c r="J471" s="114" t="n"/>
      <c r="K471" s="139">
        <f>IFERROR(IF(H471&gt;0,H471*IF(OR(C471="Alpha",B471="Alpha"),$C$9,$C$8),""),"")</f>
        <v/>
      </c>
      <c r="L471" s="139">
        <f>IFERROR(IF(ISNUMBER(F471),F471-IF(ISNUMBER(K471),K471,0),""),"")</f>
        <v/>
      </c>
    </row>
    <row r="472" ht="24" customHeight="1" s="63">
      <c r="E472" s="139" t="n"/>
      <c r="F472" s="139" t="n"/>
      <c r="G472" s="140">
        <f>IFERROR(IF(E472&gt;0,(F472/E472)*1000,""),"")</f>
        <v/>
      </c>
      <c r="H472" s="139">
        <f>IFERROR(IF(E472&gt;0,E472*IF(ISNUMBER(J472),J472,IF(OR(C472="Alpha",B472="Alpha"),$C$7,IF(C472="Futures",$C$6,$C$5))),""),"")</f>
        <v/>
      </c>
      <c r="I472" s="139">
        <f>IFERROR(IF(AND(ISNUMBER(F472),ISNUMBER(H472)),F472-H472,""),"")</f>
        <v/>
      </c>
      <c r="J472" s="114" t="n"/>
      <c r="K472" s="139">
        <f>IFERROR(IF(H472&gt;0,H472*IF(OR(C472="Alpha",B472="Alpha"),$C$9,$C$8),""),"")</f>
        <v/>
      </c>
      <c r="L472" s="139">
        <f>IFERROR(IF(ISNUMBER(F472),F472-IF(ISNUMBER(K472),K472,0),""),"")</f>
        <v/>
      </c>
    </row>
    <row r="473" ht="24" customHeight="1" s="63">
      <c r="E473" s="139" t="n"/>
      <c r="F473" s="139" t="n"/>
      <c r="G473" s="140">
        <f>IFERROR(IF(E473&gt;0,(F473/E473)*1000,""),"")</f>
        <v/>
      </c>
      <c r="H473" s="139">
        <f>IFERROR(IF(E473&gt;0,E473*IF(ISNUMBER(J473),J473,IF(OR(C473="Alpha",B473="Alpha"),$C$7,IF(C473="Futures",$C$6,$C$5))),""),"")</f>
        <v/>
      </c>
      <c r="I473" s="139">
        <f>IFERROR(IF(AND(ISNUMBER(F473),ISNUMBER(H473)),F473-H473,""),"")</f>
        <v/>
      </c>
      <c r="J473" s="114" t="n"/>
      <c r="K473" s="139">
        <f>IFERROR(IF(H473&gt;0,H473*IF(OR(C473="Alpha",B473="Alpha"),$C$9,$C$8),""),"")</f>
        <v/>
      </c>
      <c r="L473" s="139">
        <f>IFERROR(IF(ISNUMBER(F473),F473-IF(ISNUMBER(K473),K473,0),""),"")</f>
        <v/>
      </c>
    </row>
    <row r="474" ht="24" customHeight="1" s="63">
      <c r="E474" s="139" t="n"/>
      <c r="F474" s="139" t="n"/>
      <c r="G474" s="140">
        <f>IFERROR(IF(E474&gt;0,(F474/E474)*1000,""),"")</f>
        <v/>
      </c>
      <c r="H474" s="139">
        <f>IFERROR(IF(E474&gt;0,E474*IF(ISNUMBER(J474),J474,IF(OR(C474="Alpha",B474="Alpha"),$C$7,IF(C474="Futures",$C$6,$C$5))),""),"")</f>
        <v/>
      </c>
      <c r="I474" s="139">
        <f>IFERROR(IF(AND(ISNUMBER(F474),ISNUMBER(H474)),F474-H474,""),"")</f>
        <v/>
      </c>
      <c r="J474" s="114" t="n"/>
      <c r="K474" s="139">
        <f>IFERROR(IF(H474&gt;0,H474*IF(OR(C474="Alpha",B474="Alpha"),$C$9,$C$8),""),"")</f>
        <v/>
      </c>
      <c r="L474" s="139">
        <f>IFERROR(IF(ISNUMBER(F474),F474-IF(ISNUMBER(K474),K474,0),""),"")</f>
        <v/>
      </c>
    </row>
    <row r="475" ht="24" customHeight="1" s="63">
      <c r="E475" s="139" t="n"/>
      <c r="F475" s="139" t="n"/>
      <c r="G475" s="140">
        <f>IFERROR(IF(E475&gt;0,(F475/E475)*1000,""),"")</f>
        <v/>
      </c>
      <c r="H475" s="139">
        <f>IFERROR(IF(E475&gt;0,E475*IF(ISNUMBER(J475),J475,IF(OR(C475="Alpha",B475="Alpha"),$C$7,IF(C475="Futures",$C$6,$C$5))),""),"")</f>
        <v/>
      </c>
      <c r="I475" s="139">
        <f>IFERROR(IF(AND(ISNUMBER(F475),ISNUMBER(H475)),F475-H475,""),"")</f>
        <v/>
      </c>
      <c r="J475" s="114" t="n"/>
      <c r="K475" s="139">
        <f>IFERROR(IF(H475&gt;0,H475*IF(OR(C475="Alpha",B475="Alpha"),$C$9,$C$8),""),"")</f>
        <v/>
      </c>
      <c r="L475" s="139">
        <f>IFERROR(IF(ISNUMBER(F475),F475-IF(ISNUMBER(K475),K475,0),""),"")</f>
        <v/>
      </c>
    </row>
    <row r="476" ht="24" customHeight="1" s="63">
      <c r="E476" s="139" t="n"/>
      <c r="F476" s="139" t="n"/>
      <c r="G476" s="140">
        <f>IFERROR(IF(E476&gt;0,(F476/E476)*1000,""),"")</f>
        <v/>
      </c>
      <c r="H476" s="139">
        <f>IFERROR(IF(E476&gt;0,E476*IF(ISNUMBER(J476),J476,IF(OR(C476="Alpha",B476="Alpha"),$C$7,IF(C476="Futures",$C$6,$C$5))),""),"")</f>
        <v/>
      </c>
      <c r="I476" s="139">
        <f>IFERROR(IF(AND(ISNUMBER(F476),ISNUMBER(H476)),F476-H476,""),"")</f>
        <v/>
      </c>
      <c r="J476" s="114" t="n"/>
      <c r="K476" s="139">
        <f>IFERROR(IF(H476&gt;0,H476*IF(OR(C476="Alpha",B476="Alpha"),$C$9,$C$8),""),"")</f>
        <v/>
      </c>
      <c r="L476" s="139">
        <f>IFERROR(IF(ISNUMBER(F476),F476-IF(ISNUMBER(K476),K476,0),""),"")</f>
        <v/>
      </c>
    </row>
    <row r="477" ht="24" customHeight="1" s="63">
      <c r="E477" s="139" t="n"/>
      <c r="F477" s="139" t="n"/>
      <c r="G477" s="140">
        <f>IFERROR(IF(E477&gt;0,(F477/E477)*1000,""),"")</f>
        <v/>
      </c>
      <c r="H477" s="139">
        <f>IFERROR(IF(E477&gt;0,E477*IF(ISNUMBER(J477),J477,IF(OR(C477="Alpha",B477="Alpha"),$C$7,IF(C477="Futures",$C$6,$C$5))),""),"")</f>
        <v/>
      </c>
      <c r="I477" s="139">
        <f>IFERROR(IF(AND(ISNUMBER(F477),ISNUMBER(H477)),F477-H477,""),"")</f>
        <v/>
      </c>
      <c r="J477" s="114" t="n"/>
      <c r="K477" s="139">
        <f>IFERROR(IF(H477&gt;0,H477*IF(OR(C477="Alpha",B477="Alpha"),$C$9,$C$8),""),"")</f>
        <v/>
      </c>
      <c r="L477" s="139">
        <f>IFERROR(IF(ISNUMBER(F477),F477-IF(ISNUMBER(K477),K477,0),""),"")</f>
        <v/>
      </c>
    </row>
    <row r="478" ht="24" customHeight="1" s="63">
      <c r="E478" s="139" t="n"/>
      <c r="F478" s="139" t="n"/>
      <c r="G478" s="140">
        <f>IFERROR(IF(E478&gt;0,(F478/E478)*1000,""),"")</f>
        <v/>
      </c>
      <c r="H478" s="139">
        <f>IFERROR(IF(E478&gt;0,E478*IF(ISNUMBER(J478),J478,IF(OR(C478="Alpha",B478="Alpha"),$C$7,IF(C478="Futures",$C$6,$C$5))),""),"")</f>
        <v/>
      </c>
      <c r="I478" s="139">
        <f>IFERROR(IF(AND(ISNUMBER(F478),ISNUMBER(H478)),F478-H478,""),"")</f>
        <v/>
      </c>
      <c r="J478" s="114" t="n"/>
      <c r="K478" s="139">
        <f>IFERROR(IF(H478&gt;0,H478*IF(OR(C478="Alpha",B478="Alpha"),$C$9,$C$8),""),"")</f>
        <v/>
      </c>
      <c r="L478" s="139">
        <f>IFERROR(IF(ISNUMBER(F478),F478-IF(ISNUMBER(K478),K478,0),""),"")</f>
        <v/>
      </c>
    </row>
    <row r="479" ht="24" customHeight="1" s="63">
      <c r="E479" s="139" t="n"/>
      <c r="F479" s="139" t="n"/>
      <c r="G479" s="140">
        <f>IFERROR(IF(E479&gt;0,(F479/E479)*1000,""),"")</f>
        <v/>
      </c>
      <c r="H479" s="139">
        <f>IFERROR(IF(E479&gt;0,E479*IF(ISNUMBER(J479),J479,IF(OR(C479="Alpha",B479="Alpha"),$C$7,IF(C479="Futures",$C$6,$C$5))),""),"")</f>
        <v/>
      </c>
      <c r="I479" s="139">
        <f>IFERROR(IF(AND(ISNUMBER(F479),ISNUMBER(H479)),F479-H479,""),"")</f>
        <v/>
      </c>
      <c r="J479" s="114" t="n"/>
      <c r="K479" s="139">
        <f>IFERROR(IF(H479&gt;0,H479*IF(OR(C479="Alpha",B479="Alpha"),$C$9,$C$8),""),"")</f>
        <v/>
      </c>
      <c r="L479" s="139">
        <f>IFERROR(IF(ISNUMBER(F479),F479-IF(ISNUMBER(K479),K479,0),""),"")</f>
        <v/>
      </c>
    </row>
    <row r="480" ht="24" customHeight="1" s="63">
      <c r="E480" s="139" t="n"/>
      <c r="F480" s="139" t="n"/>
      <c r="G480" s="140">
        <f>IFERROR(IF(E480&gt;0,(F480/E480)*1000,""),"")</f>
        <v/>
      </c>
      <c r="H480" s="139">
        <f>IFERROR(IF(E480&gt;0,E480*IF(ISNUMBER(J480),J480,IF(OR(C480="Alpha",B480="Alpha"),$C$7,IF(C480="Futures",$C$6,$C$5))),""),"")</f>
        <v/>
      </c>
      <c r="I480" s="139">
        <f>IFERROR(IF(AND(ISNUMBER(F480),ISNUMBER(H480)),F480-H480,""),"")</f>
        <v/>
      </c>
      <c r="J480" s="114" t="n"/>
      <c r="K480" s="139">
        <f>IFERROR(IF(H480&gt;0,H480*IF(OR(C480="Alpha",B480="Alpha"),$C$9,$C$8),""),"")</f>
        <v/>
      </c>
      <c r="L480" s="139">
        <f>IFERROR(IF(ISNUMBER(F480),F480-IF(ISNUMBER(K480),K480,0),""),"")</f>
        <v/>
      </c>
    </row>
    <row r="481" ht="24" customHeight="1" s="63">
      <c r="E481" s="139" t="n"/>
      <c r="F481" s="139" t="n"/>
      <c r="G481" s="140">
        <f>IFERROR(IF(E481&gt;0,(F481/E481)*1000,""),"")</f>
        <v/>
      </c>
      <c r="H481" s="139">
        <f>IFERROR(IF(E481&gt;0,E481*IF(ISNUMBER(J481),J481,IF(OR(C481="Alpha",B481="Alpha"),$C$7,IF(C481="Futures",$C$6,$C$5))),""),"")</f>
        <v/>
      </c>
      <c r="I481" s="139">
        <f>IFERROR(IF(AND(ISNUMBER(F481),ISNUMBER(H481)),F481-H481,""),"")</f>
        <v/>
      </c>
      <c r="J481" s="114" t="n"/>
      <c r="K481" s="139">
        <f>IFERROR(IF(H481&gt;0,H481*IF(OR(C481="Alpha",B481="Alpha"),$C$9,$C$8),""),"")</f>
        <v/>
      </c>
      <c r="L481" s="139">
        <f>IFERROR(IF(ISNUMBER(F481),F481-IF(ISNUMBER(K481),K481,0),""),"")</f>
        <v/>
      </c>
    </row>
    <row r="482" ht="24" customHeight="1" s="63">
      <c r="E482" s="139" t="n"/>
      <c r="F482" s="139" t="n"/>
      <c r="G482" s="140">
        <f>IFERROR(IF(E482&gt;0,(F482/E482)*1000,""),"")</f>
        <v/>
      </c>
      <c r="H482" s="139">
        <f>IFERROR(IF(E482&gt;0,E482*IF(ISNUMBER(J482),J482,IF(OR(C482="Alpha",B482="Alpha"),$C$7,IF(C482="Futures",$C$6,$C$5))),""),"")</f>
        <v/>
      </c>
      <c r="I482" s="139">
        <f>IFERROR(IF(AND(ISNUMBER(F482),ISNUMBER(H482)),F482-H482,""),"")</f>
        <v/>
      </c>
      <c r="J482" s="114" t="n"/>
      <c r="K482" s="139">
        <f>IFERROR(IF(H482&gt;0,H482*IF(OR(C482="Alpha",B482="Alpha"),$C$9,$C$8),""),"")</f>
        <v/>
      </c>
      <c r="L482" s="139">
        <f>IFERROR(IF(ISNUMBER(F482),F482-IF(ISNUMBER(K482),K482,0),""),"")</f>
        <v/>
      </c>
    </row>
    <row r="483" ht="24" customHeight="1" s="63">
      <c r="E483" s="139" t="n"/>
      <c r="F483" s="139" t="n"/>
      <c r="G483" s="140">
        <f>IFERROR(IF(E483&gt;0,(F483/E483)*1000,""),"")</f>
        <v/>
      </c>
      <c r="H483" s="139">
        <f>IFERROR(IF(E483&gt;0,E483*IF(ISNUMBER(J483),J483,IF(OR(C483="Alpha",B483="Alpha"),$C$7,IF(C483="Futures",$C$6,$C$5))),""),"")</f>
        <v/>
      </c>
      <c r="I483" s="139">
        <f>IFERROR(IF(AND(ISNUMBER(F483),ISNUMBER(H483)),F483-H483,""),"")</f>
        <v/>
      </c>
      <c r="J483" s="114" t="n"/>
      <c r="K483" s="139">
        <f>IFERROR(IF(H483&gt;0,H483*IF(OR(C483="Alpha",B483="Alpha"),$C$9,$C$8),""),"")</f>
        <v/>
      </c>
      <c r="L483" s="139">
        <f>IFERROR(IF(ISNUMBER(F483),F483-IF(ISNUMBER(K483),K483,0),""),"")</f>
        <v/>
      </c>
    </row>
    <row r="484" ht="24" customHeight="1" s="63">
      <c r="E484" s="139" t="n"/>
      <c r="F484" s="139" t="n"/>
      <c r="G484" s="140">
        <f>IFERROR(IF(E484&gt;0,(F484/E484)*1000,""),"")</f>
        <v/>
      </c>
      <c r="H484" s="139">
        <f>IFERROR(IF(E484&gt;0,E484*IF(ISNUMBER(J484),J484,IF(OR(C484="Alpha",B484="Alpha"),$C$7,IF(C484="Futures",$C$6,$C$5))),""),"")</f>
        <v/>
      </c>
      <c r="I484" s="139">
        <f>IFERROR(IF(AND(ISNUMBER(F484),ISNUMBER(H484)),F484-H484,""),"")</f>
        <v/>
      </c>
      <c r="J484" s="114" t="n"/>
      <c r="K484" s="139">
        <f>IFERROR(IF(H484&gt;0,H484*IF(OR(C484="Alpha",B484="Alpha"),$C$9,$C$8),""),"")</f>
        <v/>
      </c>
      <c r="L484" s="139">
        <f>IFERROR(IF(ISNUMBER(F484),F484-IF(ISNUMBER(K484),K484,0),""),"")</f>
        <v/>
      </c>
    </row>
    <row r="485" ht="24" customHeight="1" s="63">
      <c r="E485" s="139" t="n"/>
      <c r="F485" s="139" t="n"/>
      <c r="G485" s="140">
        <f>IFERROR(IF(E485&gt;0,(F485/E485)*1000,""),"")</f>
        <v/>
      </c>
      <c r="H485" s="139">
        <f>IFERROR(IF(E485&gt;0,E485*IF(ISNUMBER(J485),J485,IF(OR(C485="Alpha",B485="Alpha"),$C$7,IF(C485="Futures",$C$6,$C$5))),""),"")</f>
        <v/>
      </c>
      <c r="I485" s="139">
        <f>IFERROR(IF(AND(ISNUMBER(F485),ISNUMBER(H485)),F485-H485,""),"")</f>
        <v/>
      </c>
      <c r="J485" s="114" t="n"/>
      <c r="K485" s="139">
        <f>IFERROR(IF(H485&gt;0,H485*IF(OR(C485="Alpha",B485="Alpha"),$C$9,$C$8),""),"")</f>
        <v/>
      </c>
      <c r="L485" s="139">
        <f>IFERROR(IF(ISNUMBER(F485),F485-IF(ISNUMBER(K485),K485,0),""),"")</f>
        <v/>
      </c>
    </row>
    <row r="486" ht="24" customHeight="1" s="63">
      <c r="E486" s="139" t="n"/>
      <c r="F486" s="139" t="n"/>
      <c r="G486" s="140">
        <f>IFERROR(IF(E486&gt;0,(F486/E486)*1000,""),"")</f>
        <v/>
      </c>
      <c r="H486" s="139">
        <f>IFERROR(IF(E486&gt;0,E486*IF(ISNUMBER(J486),J486,IF(OR(C486="Alpha",B486="Alpha"),$C$7,IF(C486="Futures",$C$6,$C$5))),""),"")</f>
        <v/>
      </c>
      <c r="I486" s="139">
        <f>IFERROR(IF(AND(ISNUMBER(F486),ISNUMBER(H486)),F486-H486,""),"")</f>
        <v/>
      </c>
      <c r="J486" s="114" t="n"/>
      <c r="K486" s="139">
        <f>IFERROR(IF(H486&gt;0,H486*IF(OR(C486="Alpha",B486="Alpha"),$C$9,$C$8),""),"")</f>
        <v/>
      </c>
      <c r="L486" s="139">
        <f>IFERROR(IF(ISNUMBER(F486),F486-IF(ISNUMBER(K486),K486,0),""),"")</f>
        <v/>
      </c>
    </row>
    <row r="487" ht="24" customHeight="1" s="63">
      <c r="E487" s="139" t="n"/>
      <c r="F487" s="139" t="n"/>
      <c r="G487" s="140">
        <f>IFERROR(IF(E487&gt;0,(F487/E487)*1000,""),"")</f>
        <v/>
      </c>
      <c r="H487" s="139">
        <f>IFERROR(IF(E487&gt;0,E487*IF(ISNUMBER(J487),J487,IF(OR(C487="Alpha",B487="Alpha"),$C$7,IF(C487="Futures",$C$6,$C$5))),""),"")</f>
        <v/>
      </c>
      <c r="I487" s="139">
        <f>IFERROR(IF(AND(ISNUMBER(F487),ISNUMBER(H487)),F487-H487,""),"")</f>
        <v/>
      </c>
      <c r="J487" s="114" t="n"/>
      <c r="K487" s="139">
        <f>IFERROR(IF(H487&gt;0,H487*IF(OR(C487="Alpha",B487="Alpha"),$C$9,$C$8),""),"")</f>
        <v/>
      </c>
      <c r="L487" s="139">
        <f>IFERROR(IF(ISNUMBER(F487),F487-IF(ISNUMBER(K487),K487,0),""),"")</f>
        <v/>
      </c>
    </row>
    <row r="488" ht="24" customHeight="1" s="63">
      <c r="E488" s="139" t="n"/>
      <c r="F488" s="139" t="n"/>
      <c r="G488" s="140">
        <f>IFERROR(IF(E488&gt;0,(F488/E488)*1000,""),"")</f>
        <v/>
      </c>
      <c r="H488" s="139">
        <f>IFERROR(IF(E488&gt;0,E488*IF(ISNUMBER(J488),J488,IF(OR(C488="Alpha",B488="Alpha"),$C$7,IF(C488="Futures",$C$6,$C$5))),""),"")</f>
        <v/>
      </c>
      <c r="I488" s="139">
        <f>IFERROR(IF(AND(ISNUMBER(F488),ISNUMBER(H488)),F488-H488,""),"")</f>
        <v/>
      </c>
      <c r="J488" s="114" t="n"/>
      <c r="K488" s="139">
        <f>IFERROR(IF(H488&gt;0,H488*IF(OR(C488="Alpha",B488="Alpha"),$C$9,$C$8),""),"")</f>
        <v/>
      </c>
      <c r="L488" s="139">
        <f>IFERROR(IF(ISNUMBER(F488),F488-IF(ISNUMBER(K488),K488,0),""),"")</f>
        <v/>
      </c>
    </row>
    <row r="489" ht="24" customHeight="1" s="63">
      <c r="E489" s="139" t="n"/>
      <c r="F489" s="139" t="n"/>
      <c r="G489" s="140">
        <f>IFERROR(IF(E489&gt;0,(F489/E489)*1000,""),"")</f>
        <v/>
      </c>
      <c r="H489" s="139">
        <f>IFERROR(IF(E489&gt;0,E489*IF(ISNUMBER(J489),J489,IF(OR(C489="Alpha",B489="Alpha"),$C$7,IF(C489="Futures",$C$6,$C$5))),""),"")</f>
        <v/>
      </c>
      <c r="I489" s="139">
        <f>IFERROR(IF(AND(ISNUMBER(F489),ISNUMBER(H489)),F489-H489,""),"")</f>
        <v/>
      </c>
      <c r="J489" s="114" t="n"/>
      <c r="K489" s="139">
        <f>IFERROR(IF(H489&gt;0,H489*IF(OR(C489="Alpha",B489="Alpha"),$C$9,$C$8),""),"")</f>
        <v/>
      </c>
      <c r="L489" s="139">
        <f>IFERROR(IF(ISNUMBER(F489),F489-IF(ISNUMBER(K489),K489,0),""),"")</f>
        <v/>
      </c>
    </row>
    <row r="490" ht="24" customHeight="1" s="63">
      <c r="E490" s="139" t="n"/>
      <c r="F490" s="139" t="n"/>
      <c r="G490" s="140">
        <f>IFERROR(IF(E490&gt;0,(F490/E490)*1000,""),"")</f>
        <v/>
      </c>
      <c r="H490" s="139">
        <f>IFERROR(IF(E490&gt;0,E490*IF(ISNUMBER(J490),J490,IF(OR(C490="Alpha",B490="Alpha"),$C$7,IF(C490="Futures",$C$6,$C$5))),""),"")</f>
        <v/>
      </c>
      <c r="I490" s="139">
        <f>IFERROR(IF(AND(ISNUMBER(F490),ISNUMBER(H490)),F490-H490,""),"")</f>
        <v/>
      </c>
      <c r="J490" s="114" t="n"/>
      <c r="K490" s="139">
        <f>IFERROR(IF(H490&gt;0,H490*IF(OR(C490="Alpha",B490="Alpha"),$C$9,$C$8),""),"")</f>
        <v/>
      </c>
      <c r="L490" s="139">
        <f>IFERROR(IF(ISNUMBER(F490),F490-IF(ISNUMBER(K490),K490,0),""),"")</f>
        <v/>
      </c>
    </row>
    <row r="491" ht="24" customHeight="1" s="63">
      <c r="E491" s="139" t="n"/>
      <c r="F491" s="139" t="n"/>
      <c r="G491" s="140">
        <f>IFERROR(IF(E491&gt;0,(F491/E491)*1000,""),"")</f>
        <v/>
      </c>
      <c r="H491" s="139">
        <f>IFERROR(IF(E491&gt;0,E491*IF(ISNUMBER(J491),J491,IF(OR(C491="Alpha",B491="Alpha"),$C$7,IF(C491="Futures",$C$6,$C$5))),""),"")</f>
        <v/>
      </c>
      <c r="I491" s="139">
        <f>IFERROR(IF(AND(ISNUMBER(F491),ISNUMBER(H491)),F491-H491,""),"")</f>
        <v/>
      </c>
      <c r="J491" s="114" t="n"/>
      <c r="K491" s="139">
        <f>IFERROR(IF(H491&gt;0,H491*IF(OR(C491="Alpha",B491="Alpha"),$C$9,$C$8),""),"")</f>
        <v/>
      </c>
      <c r="L491" s="139">
        <f>IFERROR(IF(ISNUMBER(F491),F491-IF(ISNUMBER(K491),K491,0),""),"")</f>
        <v/>
      </c>
    </row>
    <row r="492" ht="24" customHeight="1" s="63">
      <c r="E492" s="139" t="n"/>
      <c r="F492" s="139" t="n"/>
      <c r="G492" s="140">
        <f>IFERROR(IF(E492&gt;0,(F492/E492)*1000,""),"")</f>
        <v/>
      </c>
      <c r="H492" s="139">
        <f>IFERROR(IF(E492&gt;0,E492*IF(ISNUMBER(J492),J492,IF(OR(C492="Alpha",B492="Alpha"),$C$7,IF(C492="Futures",$C$6,$C$5))),""),"")</f>
        <v/>
      </c>
      <c r="I492" s="139">
        <f>IFERROR(IF(AND(ISNUMBER(F492),ISNUMBER(H492)),F492-H492,""),"")</f>
        <v/>
      </c>
      <c r="J492" s="114" t="n"/>
      <c r="K492" s="139">
        <f>IFERROR(IF(H492&gt;0,H492*IF(OR(C492="Alpha",B492="Alpha"),$C$9,$C$8),""),"")</f>
        <v/>
      </c>
      <c r="L492" s="139">
        <f>IFERROR(IF(ISNUMBER(F492),F492-IF(ISNUMBER(K492),K492,0),""),"")</f>
        <v/>
      </c>
    </row>
    <row r="493" ht="24" customHeight="1" s="63">
      <c r="E493" s="139" t="n"/>
      <c r="F493" s="139" t="n"/>
      <c r="G493" s="140">
        <f>IFERROR(IF(E493&gt;0,(F493/E493)*1000,""),"")</f>
        <v/>
      </c>
      <c r="H493" s="139">
        <f>IFERROR(IF(E493&gt;0,E493*IF(ISNUMBER(J493),J493,IF(OR(C493="Alpha",B493="Alpha"),$C$7,IF(C493="Futures",$C$6,$C$5))),""),"")</f>
        <v/>
      </c>
      <c r="I493" s="139">
        <f>IFERROR(IF(AND(ISNUMBER(F493),ISNUMBER(H493)),F493-H493,""),"")</f>
        <v/>
      </c>
      <c r="J493" s="114" t="n"/>
      <c r="K493" s="139">
        <f>IFERROR(IF(H493&gt;0,H493*IF(OR(C493="Alpha",B493="Alpha"),$C$9,$C$8),""),"")</f>
        <v/>
      </c>
      <c r="L493" s="139">
        <f>IFERROR(IF(ISNUMBER(F493),F493-IF(ISNUMBER(K493),K493,0),""),"")</f>
        <v/>
      </c>
    </row>
    <row r="494" ht="24" customHeight="1" s="63">
      <c r="E494" s="139" t="n"/>
      <c r="F494" s="139" t="n"/>
      <c r="G494" s="140">
        <f>IFERROR(IF(E494&gt;0,(F494/E494)*1000,""),"")</f>
        <v/>
      </c>
      <c r="H494" s="139">
        <f>IFERROR(IF(E494&gt;0,E494*IF(ISNUMBER(J494),J494,IF(OR(C494="Alpha",B494="Alpha"),$C$7,IF(C494="Futures",$C$6,$C$5))),""),"")</f>
        <v/>
      </c>
      <c r="I494" s="139">
        <f>IFERROR(IF(AND(ISNUMBER(F494),ISNUMBER(H494)),F494-H494,""),"")</f>
        <v/>
      </c>
      <c r="J494" s="114" t="n"/>
      <c r="K494" s="139">
        <f>IFERROR(IF(H494&gt;0,H494*IF(OR(C494="Alpha",B494="Alpha"),$C$9,$C$8),""),"")</f>
        <v/>
      </c>
      <c r="L494" s="139">
        <f>IFERROR(IF(ISNUMBER(F494),F494-IF(ISNUMBER(K494),K494,0),""),"")</f>
        <v/>
      </c>
    </row>
    <row r="495" ht="24" customHeight="1" s="63">
      <c r="E495" s="139" t="n"/>
      <c r="F495" s="139" t="n"/>
      <c r="G495" s="140">
        <f>IFERROR(IF(E495&gt;0,(F495/E495)*1000,""),"")</f>
        <v/>
      </c>
      <c r="H495" s="139">
        <f>IFERROR(IF(E495&gt;0,E495*IF(ISNUMBER(J495),J495,IF(OR(C495="Alpha",B495="Alpha"),$C$7,IF(C495="Futures",$C$6,$C$5))),""),"")</f>
        <v/>
      </c>
      <c r="I495" s="139">
        <f>IFERROR(IF(AND(ISNUMBER(F495),ISNUMBER(H495)),F495-H495,""),"")</f>
        <v/>
      </c>
      <c r="J495" s="114" t="n"/>
      <c r="K495" s="139">
        <f>IFERROR(IF(H495&gt;0,H495*IF(OR(C495="Alpha",B495="Alpha"),$C$9,$C$8),""),"")</f>
        <v/>
      </c>
      <c r="L495" s="139">
        <f>IFERROR(IF(ISNUMBER(F495),F495-IF(ISNUMBER(K495),K495,0),""),"")</f>
        <v/>
      </c>
    </row>
    <row r="496" ht="24" customHeight="1" s="63">
      <c r="E496" s="139" t="n"/>
      <c r="F496" s="139" t="n"/>
      <c r="G496" s="140">
        <f>IFERROR(IF(E496&gt;0,(F496/E496)*1000,""),"")</f>
        <v/>
      </c>
      <c r="H496" s="139">
        <f>IFERROR(IF(E496&gt;0,E496*IF(ISNUMBER(J496),J496,IF(OR(C496="Alpha",B496="Alpha"),$C$7,IF(C496="Futures",$C$6,$C$5))),""),"")</f>
        <v/>
      </c>
      <c r="I496" s="139">
        <f>IFERROR(IF(AND(ISNUMBER(F496),ISNUMBER(H496)),F496-H496,""),"")</f>
        <v/>
      </c>
      <c r="J496" s="114" t="n"/>
      <c r="K496" s="139">
        <f>IFERROR(IF(H496&gt;0,H496*IF(OR(C496="Alpha",B496="Alpha"),$C$9,$C$8),""),"")</f>
        <v/>
      </c>
      <c r="L496" s="139">
        <f>IFERROR(IF(ISNUMBER(F496),F496-IF(ISNUMBER(K496),K496,0),""),"")</f>
        <v/>
      </c>
    </row>
    <row r="497" ht="24" customHeight="1" s="63">
      <c r="E497" s="139" t="n"/>
      <c r="F497" s="139" t="n"/>
      <c r="G497" s="140">
        <f>IFERROR(IF(E497&gt;0,(F497/E497)*1000,""),"")</f>
        <v/>
      </c>
      <c r="H497" s="139">
        <f>IFERROR(IF(E497&gt;0,E497*IF(ISNUMBER(J497),J497,IF(OR(C497="Alpha",B497="Alpha"),$C$7,IF(C497="Futures",$C$6,$C$5))),""),"")</f>
        <v/>
      </c>
      <c r="I497" s="139">
        <f>IFERROR(IF(AND(ISNUMBER(F497),ISNUMBER(H497)),F497-H497,""),"")</f>
        <v/>
      </c>
      <c r="J497" s="114" t="n"/>
      <c r="K497" s="139">
        <f>IFERROR(IF(H497&gt;0,H497*IF(OR(C497="Alpha",B497="Alpha"),$C$9,$C$8),""),"")</f>
        <v/>
      </c>
      <c r="L497" s="139">
        <f>IFERROR(IF(ISNUMBER(F497),F497-IF(ISNUMBER(K497),K497,0),""),"")</f>
        <v/>
      </c>
    </row>
    <row r="498" ht="24" customHeight="1" s="63">
      <c r="E498" s="139" t="n"/>
      <c r="F498" s="139" t="n"/>
      <c r="G498" s="140">
        <f>IFERROR(IF(E498&gt;0,(F498/E498)*1000,""),"")</f>
        <v/>
      </c>
      <c r="H498" s="139">
        <f>IFERROR(IF(E498&gt;0,E498*IF(ISNUMBER(J498),J498,IF(OR(C498="Alpha",B498="Alpha"),$C$7,IF(C498="Futures",$C$6,$C$5))),""),"")</f>
        <v/>
      </c>
      <c r="I498" s="139">
        <f>IFERROR(IF(AND(ISNUMBER(F498),ISNUMBER(H498)),F498-H498,""),"")</f>
        <v/>
      </c>
      <c r="J498" s="114" t="n"/>
      <c r="K498" s="139">
        <f>IFERROR(IF(H498&gt;0,H498*IF(OR(C498="Alpha",B498="Alpha"),$C$9,$C$8),""),"")</f>
        <v/>
      </c>
      <c r="L498" s="139">
        <f>IFERROR(IF(ISNUMBER(F498),F498-IF(ISNUMBER(K498),K498,0),""),"")</f>
        <v/>
      </c>
    </row>
    <row r="499" ht="24" customHeight="1" s="63">
      <c r="E499" s="139" t="n"/>
      <c r="F499" s="139" t="n"/>
      <c r="G499" s="140">
        <f>IFERROR(IF(E499&gt;0,(F499/E499)*1000,""),"")</f>
        <v/>
      </c>
      <c r="H499" s="139">
        <f>IFERROR(IF(E499&gt;0,E499*IF(ISNUMBER(J499),J499,IF(OR(C499="Alpha",B499="Alpha"),$C$7,IF(C499="Futures",$C$6,$C$5))),""),"")</f>
        <v/>
      </c>
      <c r="I499" s="139">
        <f>IFERROR(IF(AND(ISNUMBER(F499),ISNUMBER(H499)),F499-H499,""),"")</f>
        <v/>
      </c>
      <c r="J499" s="114" t="n"/>
      <c r="K499" s="139">
        <f>IFERROR(IF(H499&gt;0,H499*IF(OR(C499="Alpha",B499="Alpha"),$C$9,$C$8),""),"")</f>
        <v/>
      </c>
      <c r="L499" s="139">
        <f>IFERROR(IF(ISNUMBER(F499),F499-IF(ISNUMBER(K499),K499,0),""),"")</f>
        <v/>
      </c>
    </row>
    <row r="500" ht="24" customHeight="1" s="63">
      <c r="E500" s="139" t="n"/>
      <c r="F500" s="139" t="n"/>
      <c r="G500" s="140">
        <f>IFERROR(IF(E500&gt;0,(F500/E500)*1000,""),"")</f>
        <v/>
      </c>
      <c r="H500" s="139">
        <f>IFERROR(IF(E500&gt;0,E500*IF(ISNUMBER(J500),J500,IF(OR(C500="Alpha",B500="Alpha"),$C$7,IF(C500="Futures",$C$6,$C$5))),""),"")</f>
        <v/>
      </c>
      <c r="I500" s="139">
        <f>IFERROR(IF(AND(ISNUMBER(F500),ISNUMBER(H500)),F500-H500,""),"")</f>
        <v/>
      </c>
      <c r="J500" s="114" t="n"/>
      <c r="K500" s="139">
        <f>IFERROR(IF(H500&gt;0,H500*IF(OR(C500="Alpha",B500="Alpha"),$C$9,$C$8),""),"")</f>
        <v/>
      </c>
      <c r="L500" s="139">
        <f>IFERROR(IF(ISNUMBER(F500),F500-IF(ISNUMBER(K500),K500,0),""),"")</f>
        <v/>
      </c>
    </row>
    <row r="501" ht="24" customHeight="1" s="63">
      <c r="E501" s="139" t="n"/>
      <c r="F501" s="139" t="n"/>
      <c r="G501" s="140">
        <f>IFERROR(IF(E501&gt;0,(F501/E501)*1000,""),"")</f>
        <v/>
      </c>
      <c r="H501" s="139">
        <f>IFERROR(IF(E501&gt;0,E501*IF(ISNUMBER(J501),J501,IF(OR(C501="Alpha",B501="Alpha"),$C$7,IF(C501="Futures",$C$6,$C$5))),""),"")</f>
        <v/>
      </c>
      <c r="I501" s="139">
        <f>IFERROR(IF(AND(ISNUMBER(F501),ISNUMBER(H501)),F501-H501,""),"")</f>
        <v/>
      </c>
      <c r="J501" s="114" t="n"/>
      <c r="K501" s="139">
        <f>IFERROR(IF(H501&gt;0,H501*IF(OR(C501="Alpha",B501="Alpha"),$C$9,$C$8),""),"")</f>
        <v/>
      </c>
      <c r="L501" s="139">
        <f>IFERROR(IF(ISNUMBER(F501),F501-IF(ISNUMBER(K501),K501,0),""),"")</f>
        <v/>
      </c>
    </row>
    <row r="502" ht="24" customHeight="1" s="63">
      <c r="E502" s="139" t="n"/>
      <c r="F502" s="139" t="n"/>
      <c r="G502" s="140">
        <f>IFERROR(IF(E502&gt;0,(F502/E502)*1000,""),"")</f>
        <v/>
      </c>
      <c r="H502" s="139">
        <f>IFERROR(IF(E502&gt;0,E502*IF(ISNUMBER(J502),J502,IF(OR(C502="Alpha",B502="Alpha"),$C$7,IF(C502="Futures",$C$6,$C$5))),""),"")</f>
        <v/>
      </c>
      <c r="I502" s="139">
        <f>IFERROR(IF(AND(ISNUMBER(F502),ISNUMBER(H502)),F502-H502,""),"")</f>
        <v/>
      </c>
      <c r="J502" s="114" t="n"/>
      <c r="K502" s="139">
        <f>IFERROR(IF(H502&gt;0,H502*IF(OR(C502="Alpha",B502="Alpha"),$C$9,$C$8),""),"")</f>
        <v/>
      </c>
      <c r="L502" s="139">
        <f>IFERROR(IF(ISNUMBER(F502),F502-IF(ISNUMBER(K502),K502,0),""),"")</f>
        <v/>
      </c>
    </row>
    <row r="503" ht="24" customHeight="1" s="63">
      <c r="E503" s="139" t="n"/>
      <c r="F503" s="139" t="n"/>
      <c r="G503" s="140">
        <f>IFERROR(IF(E503&gt;0,(F503/E503)*1000,""),"")</f>
        <v/>
      </c>
      <c r="H503" s="139">
        <f>IFERROR(IF(E503&gt;0,E503*IF(ISNUMBER(J503),J503,IF(OR(C503="Alpha",B503="Alpha"),$C$7,IF(C503="Futures",$C$6,$C$5))),""),"")</f>
        <v/>
      </c>
      <c r="I503" s="139">
        <f>IFERROR(IF(AND(ISNUMBER(F503),ISNUMBER(H503)),F503-H503,""),"")</f>
        <v/>
      </c>
      <c r="J503" s="114" t="n"/>
      <c r="K503" s="139">
        <f>IFERROR(IF(H503&gt;0,H503*IF(OR(C503="Alpha",B503="Alpha"),$C$9,$C$8),""),"")</f>
        <v/>
      </c>
      <c r="L503" s="139">
        <f>IFERROR(IF(ISNUMBER(F503),F503-IF(ISNUMBER(K503),K503,0),""),"")</f>
        <v/>
      </c>
    </row>
    <row r="504" ht="24" customHeight="1" s="63">
      <c r="E504" s="139" t="n"/>
      <c r="F504" s="139" t="n"/>
      <c r="G504" s="140">
        <f>IFERROR(IF(E504&gt;0,(F504/E504)*1000,""),"")</f>
        <v/>
      </c>
      <c r="H504" s="139">
        <f>IFERROR(IF(E504&gt;0,E504*IF(ISNUMBER(J504),J504,IF(OR(C504="Alpha",B504="Alpha"),$C$7,IF(C504="Futures",$C$6,$C$5))),""),"")</f>
        <v/>
      </c>
      <c r="I504" s="139">
        <f>IFERROR(IF(AND(ISNUMBER(F504),ISNUMBER(H504)),F504-H504,""),"")</f>
        <v/>
      </c>
      <c r="J504" s="114" t="n"/>
      <c r="K504" s="139">
        <f>IFERROR(IF(H504&gt;0,H504*IF(OR(C504="Alpha",B504="Alpha"),$C$9,$C$8),""),"")</f>
        <v/>
      </c>
      <c r="L504" s="139">
        <f>IFERROR(IF(ISNUMBER(F504),F504-IF(ISNUMBER(K504),K504,0),""),"")</f>
        <v/>
      </c>
    </row>
    <row r="505" ht="24" customHeight="1" s="63">
      <c r="E505" s="139" t="n"/>
      <c r="F505" s="139" t="n"/>
      <c r="G505" s="140">
        <f>IFERROR(IF(E505&gt;0,(F505/E505)*1000,""),"")</f>
        <v/>
      </c>
      <c r="H505" s="139">
        <f>IFERROR(IF(E505&gt;0,E505*IF(ISNUMBER(J505),J505,IF(OR(C505="Alpha",B505="Alpha"),$C$7,IF(C505="Futures",$C$6,$C$5))),""),"")</f>
        <v/>
      </c>
      <c r="I505" s="139">
        <f>IFERROR(IF(AND(ISNUMBER(F505),ISNUMBER(H505)),F505-H505,""),"")</f>
        <v/>
      </c>
      <c r="J505" s="114" t="n"/>
      <c r="K505" s="139">
        <f>IFERROR(IF(H505&gt;0,H505*IF(OR(C505="Alpha",B505="Alpha"),$C$9,$C$8),""),"")</f>
        <v/>
      </c>
      <c r="L505" s="139">
        <f>IFERROR(IF(ISNUMBER(F505),F505-IF(ISNUMBER(K505),K505,0),""),"")</f>
        <v/>
      </c>
    </row>
    <row r="506" ht="24" customHeight="1" s="63">
      <c r="E506" s="139" t="n"/>
      <c r="F506" s="139" t="n"/>
      <c r="G506" s="140">
        <f>IFERROR(IF(E506&gt;0,(F506/E506)*1000,""),"")</f>
        <v/>
      </c>
      <c r="H506" s="139">
        <f>IFERROR(IF(E506&gt;0,E506*IF(ISNUMBER(J506),J506,IF(OR(C506="Alpha",B506="Alpha"),$C$7,IF(C506="Futures",$C$6,$C$5))),""),"")</f>
        <v/>
      </c>
      <c r="I506" s="139">
        <f>IFERROR(IF(AND(ISNUMBER(F506),ISNUMBER(H506)),F506-H506,""),"")</f>
        <v/>
      </c>
      <c r="J506" s="114" t="n"/>
      <c r="K506" s="139">
        <f>IFERROR(IF(H506&gt;0,H506*IF(OR(C506="Alpha",B506="Alpha"),$C$9,$C$8),""),"")</f>
        <v/>
      </c>
      <c r="L506" s="139">
        <f>IFERROR(IF(ISNUMBER(F506),F506-IF(ISNUMBER(K506),K506,0),""),"")</f>
        <v/>
      </c>
    </row>
    <row r="507" ht="24" customHeight="1" s="63">
      <c r="E507" s="139" t="n"/>
      <c r="F507" s="139" t="n"/>
      <c r="G507" s="140">
        <f>IFERROR(IF(E507&gt;0,(F507/E507)*1000,""),"")</f>
        <v/>
      </c>
      <c r="H507" s="139">
        <f>IFERROR(IF(E507&gt;0,E507*IF(ISNUMBER(J507),J507,IF(OR(C507="Alpha",B507="Alpha"),$C$7,IF(C507="Futures",$C$6,$C$5))),""),"")</f>
        <v/>
      </c>
      <c r="I507" s="139">
        <f>IFERROR(IF(AND(ISNUMBER(F507),ISNUMBER(H507)),F507-H507,""),"")</f>
        <v/>
      </c>
      <c r="J507" s="114" t="n"/>
      <c r="K507" s="139">
        <f>IFERROR(IF(H507&gt;0,H507*IF(OR(C507="Alpha",B507="Alpha"),$C$9,$C$8),""),"")</f>
        <v/>
      </c>
      <c r="L507" s="139">
        <f>IFERROR(IF(ISNUMBER(F507),F507-IF(ISNUMBER(K507),K507,0),""),"")</f>
        <v/>
      </c>
    </row>
    <row r="508" ht="24" customHeight="1" s="63">
      <c r="E508" s="139" t="n"/>
      <c r="F508" s="139" t="n"/>
      <c r="G508" s="140">
        <f>IFERROR(IF(E508&gt;0,(F508/E508)*1000,""),"")</f>
        <v/>
      </c>
      <c r="H508" s="139">
        <f>IFERROR(IF(E508&gt;0,E508*IF(ISNUMBER(J508),J508,IF(OR(C508="Alpha",B508="Alpha"),$C$7,IF(C508="Futures",$C$6,$C$5))),""),"")</f>
        <v/>
      </c>
      <c r="I508" s="139">
        <f>IFERROR(IF(AND(ISNUMBER(F508),ISNUMBER(H508)),F508-H508,""),"")</f>
        <v/>
      </c>
      <c r="J508" s="114" t="n"/>
      <c r="K508" s="139">
        <f>IFERROR(IF(H508&gt;0,H508*IF(OR(C508="Alpha",B508="Alpha"),$C$9,$C$8),""),"")</f>
        <v/>
      </c>
      <c r="L508" s="139">
        <f>IFERROR(IF(ISNUMBER(F508),F508-IF(ISNUMBER(K508),K508,0),""),"")</f>
        <v/>
      </c>
    </row>
    <row r="509" ht="24" customHeight="1" s="63">
      <c r="E509" s="139" t="n"/>
      <c r="F509" s="139" t="n"/>
      <c r="G509" s="140">
        <f>IFERROR(IF(E509&gt;0,(F509/E509)*1000,""),"")</f>
        <v/>
      </c>
      <c r="H509" s="139">
        <f>IFERROR(IF(E509&gt;0,E509*IF(ISNUMBER(J509),J509,IF(OR(C509="Alpha",B509="Alpha"),$C$7,IF(C509="Futures",$C$6,$C$5))),""),"")</f>
        <v/>
      </c>
      <c r="I509" s="139">
        <f>IFERROR(IF(AND(ISNUMBER(F509),ISNUMBER(H509)),F509-H509,""),"")</f>
        <v/>
      </c>
      <c r="J509" s="114" t="n"/>
      <c r="K509" s="139">
        <f>IFERROR(IF(H509&gt;0,H509*IF(OR(C509="Alpha",B509="Alpha"),$C$9,$C$8),""),"")</f>
        <v/>
      </c>
      <c r="L509" s="139">
        <f>IFERROR(IF(ISNUMBER(F509),F509-IF(ISNUMBER(K509),K509,0),""),"")</f>
        <v/>
      </c>
    </row>
    <row r="510" ht="24" customHeight="1" s="63">
      <c r="E510" s="139" t="n"/>
      <c r="F510" s="139" t="n"/>
      <c r="G510" s="140">
        <f>IFERROR(IF(E510&gt;0,(F510/E510)*1000,""),"")</f>
        <v/>
      </c>
      <c r="H510" s="139">
        <f>IFERROR(IF(E510&gt;0,E510*IF(ISNUMBER(J510),J510,IF(OR(C510="Alpha",B510="Alpha"),$C$7,IF(C510="Futures",$C$6,$C$5))),""),"")</f>
        <v/>
      </c>
      <c r="I510" s="139">
        <f>IFERROR(IF(AND(ISNUMBER(F510),ISNUMBER(H510)),F510-H510,""),"")</f>
        <v/>
      </c>
      <c r="J510" s="114" t="n"/>
      <c r="K510" s="139">
        <f>IFERROR(IF(H510&gt;0,H510*IF(OR(C510="Alpha",B510="Alpha"),$C$9,$C$8),""),"")</f>
        <v/>
      </c>
      <c r="L510" s="139">
        <f>IFERROR(IF(ISNUMBER(F510),F510-IF(ISNUMBER(K510),K510,0),""),"")</f>
        <v/>
      </c>
    </row>
    <row r="511" ht="24" customHeight="1" s="63">
      <c r="E511" s="139" t="n"/>
      <c r="F511" s="139" t="n"/>
      <c r="G511" s="140">
        <f>IFERROR(IF(E511&gt;0,(F511/E511)*1000,""),"")</f>
        <v/>
      </c>
      <c r="H511" s="139">
        <f>IFERROR(IF(E511&gt;0,E511*IF(ISNUMBER(J511),J511,IF(OR(C511="Alpha",B511="Alpha"),$C$7,IF(C511="Futures",$C$6,$C$5))),""),"")</f>
        <v/>
      </c>
      <c r="I511" s="139">
        <f>IFERROR(IF(AND(ISNUMBER(F511),ISNUMBER(H511)),F511-H511,""),"")</f>
        <v/>
      </c>
      <c r="J511" s="114" t="n"/>
      <c r="K511" s="139">
        <f>IFERROR(IF(H511&gt;0,H511*IF(OR(C511="Alpha",B511="Alpha"),$C$9,$C$8),""),"")</f>
        <v/>
      </c>
      <c r="L511" s="139">
        <f>IFERROR(IF(ISNUMBER(F511),F511-IF(ISNUMBER(K511),K511,0),""),"")</f>
        <v/>
      </c>
    </row>
    <row r="512" ht="24" customHeight="1" s="63">
      <c r="E512" s="139" t="n"/>
      <c r="F512" s="139" t="n"/>
      <c r="G512" s="140">
        <f>IFERROR(IF(E512&gt;0,(F512/E512)*1000,""),"")</f>
        <v/>
      </c>
      <c r="H512" s="139">
        <f>IFERROR(IF(E512&gt;0,E512*IF(ISNUMBER(J512),J512,IF(OR(C512="Alpha",B512="Alpha"),$C$7,IF(C512="Futures",$C$6,$C$5))),""),"")</f>
        <v/>
      </c>
      <c r="I512" s="139">
        <f>IFERROR(IF(AND(ISNUMBER(F512),ISNUMBER(H512)),F512-H512,""),"")</f>
        <v/>
      </c>
      <c r="J512" s="114" t="n"/>
      <c r="K512" s="139">
        <f>IFERROR(IF(H512&gt;0,H512*IF(OR(C512="Alpha",B512="Alpha"),$C$9,$C$8),""),"")</f>
        <v/>
      </c>
      <c r="L512" s="139">
        <f>IFERROR(IF(ISNUMBER(F512),F512-IF(ISNUMBER(K512),K512,0),""),"")</f>
        <v/>
      </c>
    </row>
    <row r="513" ht="24" customHeight="1" s="63">
      <c r="E513" s="139" t="n"/>
      <c r="F513" s="139" t="n"/>
      <c r="G513" s="140">
        <f>IFERROR(IF(E513&gt;0,(F513/E513)*1000,""),"")</f>
        <v/>
      </c>
      <c r="H513" s="139">
        <f>IFERROR(IF(E513&gt;0,E513*IF(ISNUMBER(J513),J513,IF(OR(C513="Alpha",B513="Alpha"),$C$7,IF(C513="Futures",$C$6,$C$5))),""),"")</f>
        <v/>
      </c>
      <c r="I513" s="139">
        <f>IFERROR(IF(AND(ISNUMBER(F513),ISNUMBER(H513)),F513-H513,""),"")</f>
        <v/>
      </c>
      <c r="J513" s="114" t="n"/>
      <c r="K513" s="139">
        <f>IFERROR(IF(H513&gt;0,H513*IF(OR(C513="Alpha",B513="Alpha"),$C$9,$C$8),""),"")</f>
        <v/>
      </c>
      <c r="L513" s="139">
        <f>IFERROR(IF(ISNUMBER(F513),F513-IF(ISNUMBER(K513),K513,0),""),"")</f>
        <v/>
      </c>
    </row>
    <row r="514" ht="24" customHeight="1" s="63">
      <c r="E514" s="139" t="n"/>
      <c r="F514" s="139" t="n"/>
      <c r="G514" s="140">
        <f>IFERROR(IF(E514&gt;0,(F514/E514)*1000,""),"")</f>
        <v/>
      </c>
      <c r="H514" s="139">
        <f>IFERROR(IF(E514&gt;0,E514*IF(ISNUMBER(J514),J514,IF(OR(C514="Alpha",B514="Alpha"),$C$7,IF(C514="Futures",$C$6,$C$5))),""),"")</f>
        <v/>
      </c>
      <c r="I514" s="139">
        <f>IFERROR(IF(AND(ISNUMBER(F514),ISNUMBER(H514)),F514-H514,""),"")</f>
        <v/>
      </c>
      <c r="J514" s="114" t="n"/>
      <c r="K514" s="139">
        <f>IFERROR(IF(H514&gt;0,H514*IF(OR(C514="Alpha",B514="Alpha"),$C$9,$C$8),""),"")</f>
        <v/>
      </c>
      <c r="L514" s="139">
        <f>IFERROR(IF(ISNUMBER(F514),F514-IF(ISNUMBER(K514),K514,0),""),"")</f>
        <v/>
      </c>
    </row>
    <row r="515" ht="24" customHeight="1" s="63">
      <c r="E515" s="139" t="n"/>
      <c r="F515" s="139" t="n"/>
      <c r="G515" s="140">
        <f>IFERROR(IF(E515&gt;0,(F515/E515)*1000,""),"")</f>
        <v/>
      </c>
      <c r="H515" s="139">
        <f>IFERROR(IF(E515&gt;0,E515*IF(ISNUMBER(J515),J515,IF(OR(C515="Alpha",B515="Alpha"),$C$7,IF(C515="Futures",$C$6,$C$5))),""),"")</f>
        <v/>
      </c>
      <c r="I515" s="139">
        <f>IFERROR(IF(AND(ISNUMBER(F515),ISNUMBER(H515)),F515-H515,""),"")</f>
        <v/>
      </c>
      <c r="J515" s="114" t="n"/>
      <c r="K515" s="139">
        <f>IFERROR(IF(H515&gt;0,H515*IF(OR(C515="Alpha",B515="Alpha"),$C$9,$C$8),""),"")</f>
        <v/>
      </c>
      <c r="L515" s="139">
        <f>IFERROR(IF(ISNUMBER(F515),F515-IF(ISNUMBER(K515),K515,0),""),"")</f>
        <v/>
      </c>
    </row>
    <row r="516" ht="24" customHeight="1" s="63">
      <c r="E516" s="139" t="n"/>
      <c r="F516" s="139" t="n"/>
      <c r="G516" s="140">
        <f>IFERROR(IF(E516&gt;0,(F516/E516)*1000,""),"")</f>
        <v/>
      </c>
      <c r="H516" s="139">
        <f>IFERROR(IF(E516&gt;0,E516*IF(ISNUMBER(J516),J516,IF(OR(C516="Alpha",B516="Alpha"),$C$7,IF(C516="Futures",$C$6,$C$5))),""),"")</f>
        <v/>
      </c>
      <c r="I516" s="139">
        <f>IFERROR(IF(AND(ISNUMBER(F516),ISNUMBER(H516)),F516-H516,""),"")</f>
        <v/>
      </c>
      <c r="J516" s="114" t="n"/>
      <c r="K516" s="139">
        <f>IFERROR(IF(H516&gt;0,H516*IF(OR(C516="Alpha",B516="Alpha"),$C$9,$C$8),""),"")</f>
        <v/>
      </c>
      <c r="L516" s="139">
        <f>IFERROR(IF(ISNUMBER(F516),F516-IF(ISNUMBER(K516),K516,0),""),"")</f>
        <v/>
      </c>
    </row>
    <row r="517" ht="24" customHeight="1" s="63">
      <c r="E517" s="139" t="n"/>
      <c r="F517" s="139" t="n"/>
      <c r="G517" s="140">
        <f>IFERROR(IF(E517&gt;0,(F517/E517)*1000,""),"")</f>
        <v/>
      </c>
      <c r="H517" s="139">
        <f>IFERROR(IF(E517&gt;0,E517*IF(ISNUMBER(J517),J517,IF(OR(C517="Alpha",B517="Alpha"),$C$7,IF(C517="Futures",$C$6,$C$5))),""),"")</f>
        <v/>
      </c>
      <c r="I517" s="139">
        <f>IFERROR(IF(AND(ISNUMBER(F517),ISNUMBER(H517)),F517-H517,""),"")</f>
        <v/>
      </c>
      <c r="J517" s="114" t="n"/>
      <c r="K517" s="139">
        <f>IFERROR(IF(H517&gt;0,H517*IF(OR(C517="Alpha",B517="Alpha"),$C$9,$C$8),""),"")</f>
        <v/>
      </c>
      <c r="L517" s="139">
        <f>IFERROR(IF(ISNUMBER(F517),F517-IF(ISNUMBER(K517),K517,0),""),"")</f>
        <v/>
      </c>
    </row>
    <row r="518" ht="24" customHeight="1" s="63">
      <c r="E518" s="139" t="n"/>
      <c r="F518" s="139" t="n"/>
      <c r="G518" s="140">
        <f>IFERROR(IF(E518&gt;0,(F518/E518)*1000,""),"")</f>
        <v/>
      </c>
      <c r="H518" s="139">
        <f>IFERROR(IF(E518&gt;0,E518*IF(ISNUMBER(J518),J518,IF(OR(C518="Alpha",B518="Alpha"),$C$7,IF(C518="Futures",$C$6,$C$5))),""),"")</f>
        <v/>
      </c>
      <c r="I518" s="139">
        <f>IFERROR(IF(AND(ISNUMBER(F518),ISNUMBER(H518)),F518-H518,""),"")</f>
        <v/>
      </c>
      <c r="J518" s="114" t="n"/>
      <c r="K518" s="139">
        <f>IFERROR(IF(H518&gt;0,H518*IF(OR(C518="Alpha",B518="Alpha"),$C$9,$C$8),""),"")</f>
        <v/>
      </c>
      <c r="L518" s="139">
        <f>IFERROR(IF(ISNUMBER(F518),F518-IF(ISNUMBER(K518),K518,0),""),"")</f>
        <v/>
      </c>
    </row>
    <row r="519" ht="24" customHeight="1" s="63">
      <c r="E519" s="139" t="n"/>
      <c r="F519" s="139" t="n"/>
      <c r="G519" s="140">
        <f>IFERROR(IF(E519&gt;0,(F519/E519)*1000,""),"")</f>
        <v/>
      </c>
      <c r="H519" s="139">
        <f>IFERROR(IF(E519&gt;0,E519*IF(ISNUMBER(J519),J519,IF(OR(C519="Alpha",B519="Alpha"),$C$7,IF(C519="Futures",$C$6,$C$5))),""),"")</f>
        <v/>
      </c>
      <c r="I519" s="139">
        <f>IFERROR(IF(AND(ISNUMBER(F519),ISNUMBER(H519)),F519-H519,""),"")</f>
        <v/>
      </c>
      <c r="J519" s="114" t="n"/>
      <c r="K519" s="139">
        <f>IFERROR(IF(H519&gt;0,H519*IF(OR(C519="Alpha",B519="Alpha"),$C$9,$C$8),""),"")</f>
        <v/>
      </c>
      <c r="L519" s="139">
        <f>IFERROR(IF(ISNUMBER(F519),F519-IF(ISNUMBER(K519),K519,0),""),"")</f>
        <v/>
      </c>
    </row>
    <row r="520" ht="24" customHeight="1" s="63">
      <c r="E520" s="139" t="n"/>
      <c r="F520" s="139" t="n"/>
      <c r="G520" s="140">
        <f>IFERROR(IF(E520&gt;0,(F520/E520)*1000,""),"")</f>
        <v/>
      </c>
      <c r="H520" s="139">
        <f>IFERROR(IF(E520&gt;0,E520*IF(ISNUMBER(J520),J520,IF(OR(C520="Alpha",B520="Alpha"),$C$7,IF(C520="Futures",$C$6,$C$5))),""),"")</f>
        <v/>
      </c>
      <c r="I520" s="139">
        <f>IFERROR(IF(AND(ISNUMBER(F520),ISNUMBER(H520)),F520-H520,""),"")</f>
        <v/>
      </c>
      <c r="J520" s="114" t="n"/>
      <c r="K520" s="139">
        <f>IFERROR(IF(H520&gt;0,H520*IF(OR(C520="Alpha",B520="Alpha"),$C$9,$C$8),""),"")</f>
        <v/>
      </c>
      <c r="L520" s="139">
        <f>IFERROR(IF(ISNUMBER(F520),F520-IF(ISNUMBER(K520),K520,0),""),"")</f>
        <v/>
      </c>
    </row>
    <row r="521" ht="24" customHeight="1" s="63">
      <c r="E521" s="139" t="n"/>
      <c r="F521" s="139" t="n"/>
      <c r="G521" s="140">
        <f>IFERROR(IF(E521&gt;0,(F521/E521)*1000,""),"")</f>
        <v/>
      </c>
      <c r="H521" s="139">
        <f>IFERROR(IF(E521&gt;0,E521*IF(ISNUMBER(J521),J521,IF(OR(C521="Alpha",B521="Alpha"),$C$7,IF(C521="Futures",$C$6,$C$5))),""),"")</f>
        <v/>
      </c>
      <c r="I521" s="139">
        <f>IFERROR(IF(AND(ISNUMBER(F521),ISNUMBER(H521)),F521-H521,""),"")</f>
        <v/>
      </c>
      <c r="J521" s="114" t="n"/>
      <c r="K521" s="139">
        <f>IFERROR(IF(H521&gt;0,H521*IF(OR(C521="Alpha",B521="Alpha"),$C$9,$C$8),""),"")</f>
        <v/>
      </c>
      <c r="L521" s="139">
        <f>IFERROR(IF(ISNUMBER(F521),F521-IF(ISNUMBER(K521),K521,0),""),"")</f>
        <v/>
      </c>
    </row>
    <row r="522" ht="24" customHeight="1" s="63">
      <c r="E522" s="139" t="n"/>
      <c r="F522" s="139" t="n"/>
      <c r="G522" s="140">
        <f>IFERROR(IF(E522&gt;0,(F522/E522)*1000,""),"")</f>
        <v/>
      </c>
      <c r="H522" s="139">
        <f>IFERROR(IF(E522&gt;0,E522*IF(ISNUMBER(J522),J522,IF(OR(C522="Alpha",B522="Alpha"),$C$7,IF(C522="Futures",$C$6,$C$5))),""),"")</f>
        <v/>
      </c>
      <c r="I522" s="139">
        <f>IFERROR(IF(AND(ISNUMBER(F522),ISNUMBER(H522)),F522-H522,""),"")</f>
        <v/>
      </c>
      <c r="J522" s="114" t="n"/>
      <c r="K522" s="139">
        <f>IFERROR(IF(H522&gt;0,H522*IF(OR(C522="Alpha",B522="Alpha"),$C$9,$C$8),""),"")</f>
        <v/>
      </c>
      <c r="L522" s="139">
        <f>IFERROR(IF(ISNUMBER(F522),F522-IF(ISNUMBER(K522),K522,0),""),"")</f>
        <v/>
      </c>
    </row>
    <row r="523" ht="24" customHeight="1" s="63">
      <c r="E523" s="139" t="n"/>
      <c r="F523" s="139" t="n"/>
      <c r="G523" s="140">
        <f>IFERROR(IF(E523&gt;0,(F523/E523)*1000,""),"")</f>
        <v/>
      </c>
      <c r="H523" s="139">
        <f>IFERROR(IF(E523&gt;0,E523*IF(ISNUMBER(J523),J523,IF(OR(C523="Alpha",B523="Alpha"),$C$7,IF(C523="Futures",$C$6,$C$5))),""),"")</f>
        <v/>
      </c>
      <c r="I523" s="139">
        <f>IFERROR(IF(AND(ISNUMBER(F523),ISNUMBER(H523)),F523-H523,""),"")</f>
        <v/>
      </c>
      <c r="J523" s="114" t="n"/>
      <c r="K523" s="139">
        <f>IFERROR(IF(H523&gt;0,H523*IF(OR(C523="Alpha",B523="Alpha"),$C$9,$C$8),""),"")</f>
        <v/>
      </c>
      <c r="L523" s="139">
        <f>IFERROR(IF(ISNUMBER(F523),F523-IF(ISNUMBER(K523),K523,0),""),"")</f>
        <v/>
      </c>
    </row>
    <row r="524" ht="24" customHeight="1" s="63">
      <c r="E524" s="139" t="n"/>
      <c r="F524" s="139" t="n"/>
      <c r="G524" s="140">
        <f>IFERROR(IF(E524&gt;0,(F524/E524)*1000,""),"")</f>
        <v/>
      </c>
      <c r="H524" s="139">
        <f>IFERROR(IF(E524&gt;0,E524*IF(ISNUMBER(J524),J524,IF(OR(C524="Alpha",B524="Alpha"),$C$7,IF(C524="Futures",$C$6,$C$5))),""),"")</f>
        <v/>
      </c>
      <c r="I524" s="139">
        <f>IFERROR(IF(AND(ISNUMBER(F524),ISNUMBER(H524)),F524-H524,""),"")</f>
        <v/>
      </c>
      <c r="J524" s="114" t="n"/>
      <c r="K524" s="139">
        <f>IFERROR(IF(H524&gt;0,H524*IF(OR(C524="Alpha",B524="Alpha"),$C$9,$C$8),""),"")</f>
        <v/>
      </c>
      <c r="L524" s="139">
        <f>IFERROR(IF(ISNUMBER(F524),F524-IF(ISNUMBER(K524),K524,0),""),"")</f>
        <v/>
      </c>
    </row>
    <row r="525" ht="24" customHeight="1" s="63">
      <c r="E525" s="139" t="n"/>
      <c r="F525" s="139" t="n"/>
      <c r="G525" s="140">
        <f>IFERROR(IF(E525&gt;0,(F525/E525)*1000,""),"")</f>
        <v/>
      </c>
      <c r="H525" s="139">
        <f>IFERROR(IF(E525&gt;0,E525*IF(ISNUMBER(J525),J525,IF(OR(C525="Alpha",B525="Alpha"),$C$7,IF(C525="Futures",$C$6,$C$5))),""),"")</f>
        <v/>
      </c>
      <c r="I525" s="139">
        <f>IFERROR(IF(AND(ISNUMBER(F525),ISNUMBER(H525)),F525-H525,""),"")</f>
        <v/>
      </c>
      <c r="J525" s="114" t="n"/>
      <c r="K525" s="139">
        <f>IFERROR(IF(H525&gt;0,H525*IF(OR(C525="Alpha",B525="Alpha"),$C$9,$C$8),""),"")</f>
        <v/>
      </c>
      <c r="L525" s="139">
        <f>IFERROR(IF(ISNUMBER(F525),F525-IF(ISNUMBER(K525),K525,0),""),"")</f>
        <v/>
      </c>
    </row>
    <row r="526" ht="24" customHeight="1" s="63">
      <c r="E526" s="139" t="n"/>
      <c r="F526" s="139" t="n"/>
      <c r="G526" s="140">
        <f>IFERROR(IF(E526&gt;0,(F526/E526)*1000,""),"")</f>
        <v/>
      </c>
      <c r="H526" s="139">
        <f>IFERROR(IF(E526&gt;0,E526*IF(ISNUMBER(J526),J526,IF(OR(C526="Alpha",B526="Alpha"),$C$7,IF(C526="Futures",$C$6,$C$5))),""),"")</f>
        <v/>
      </c>
      <c r="I526" s="139">
        <f>IFERROR(IF(AND(ISNUMBER(F526),ISNUMBER(H526)),F526-H526,""),"")</f>
        <v/>
      </c>
      <c r="J526" s="114" t="n"/>
      <c r="K526" s="139">
        <f>IFERROR(IF(H526&gt;0,H526*IF(OR(C526="Alpha",B526="Alpha"),$C$9,$C$8),""),"")</f>
        <v/>
      </c>
      <c r="L526" s="139">
        <f>IFERROR(IF(ISNUMBER(F526),F526-IF(ISNUMBER(K526),K526,0),""),"")</f>
        <v/>
      </c>
    </row>
    <row r="527" ht="24" customHeight="1" s="63">
      <c r="E527" s="139" t="n"/>
      <c r="F527" s="139" t="n"/>
      <c r="G527" s="140">
        <f>IFERROR(IF(E527&gt;0,(F527/E527)*1000,""),"")</f>
        <v/>
      </c>
      <c r="H527" s="139">
        <f>IFERROR(IF(E527&gt;0,E527*IF(ISNUMBER(J527),J527,IF(OR(C527="Alpha",B527="Alpha"),$C$7,IF(C527="Futures",$C$6,$C$5))),""),"")</f>
        <v/>
      </c>
      <c r="I527" s="139">
        <f>IFERROR(IF(AND(ISNUMBER(F527),ISNUMBER(H527)),F527-H527,""),"")</f>
        <v/>
      </c>
      <c r="J527" s="114" t="n"/>
      <c r="K527" s="139">
        <f>IFERROR(IF(H527&gt;0,H527*IF(OR(C527="Alpha",B527="Alpha"),$C$9,$C$8),""),"")</f>
        <v/>
      </c>
      <c r="L527" s="139">
        <f>IFERROR(IF(ISNUMBER(F527),F527-IF(ISNUMBER(K527),K527,0),""),"")</f>
        <v/>
      </c>
    </row>
    <row r="528" ht="24" customHeight="1" s="63">
      <c r="E528" s="139" t="n"/>
      <c r="F528" s="139" t="n"/>
      <c r="G528" s="140">
        <f>IFERROR(IF(E528&gt;0,(F528/E528)*1000,""),"")</f>
        <v/>
      </c>
      <c r="H528" s="139">
        <f>IFERROR(IF(E528&gt;0,E528*IF(ISNUMBER(J528),J528,IF(OR(C528="Alpha",B528="Alpha"),$C$7,IF(C528="Futures",$C$6,$C$5))),""),"")</f>
        <v/>
      </c>
      <c r="I528" s="139">
        <f>IFERROR(IF(AND(ISNUMBER(F528),ISNUMBER(H528)),F528-H528,""),"")</f>
        <v/>
      </c>
      <c r="J528" s="114" t="n"/>
      <c r="K528" s="139">
        <f>IFERROR(IF(H528&gt;0,H528*IF(OR(C528="Alpha",B528="Alpha"),$C$9,$C$8),""),"")</f>
        <v/>
      </c>
      <c r="L528" s="139">
        <f>IFERROR(IF(ISNUMBER(F528),F528-IF(ISNUMBER(K528),K528,0),""),"")</f>
        <v/>
      </c>
    </row>
    <row r="529" ht="24" customHeight="1" s="63">
      <c r="E529" s="139" t="n"/>
      <c r="F529" s="139" t="n"/>
      <c r="G529" s="140">
        <f>IFERROR(IF(E529&gt;0,(F529/E529)*1000,""),"")</f>
        <v/>
      </c>
      <c r="H529" s="139">
        <f>IFERROR(IF(E529&gt;0,E529*IF(ISNUMBER(J529),J529,IF(OR(C529="Alpha",B529="Alpha"),$C$7,IF(C529="Futures",$C$6,$C$5))),""),"")</f>
        <v/>
      </c>
      <c r="I529" s="139">
        <f>IFERROR(IF(AND(ISNUMBER(F529),ISNUMBER(H529)),F529-H529,""),"")</f>
        <v/>
      </c>
      <c r="J529" s="114" t="n"/>
      <c r="K529" s="139">
        <f>IFERROR(IF(H529&gt;0,H529*IF(OR(C529="Alpha",B529="Alpha"),$C$9,$C$8),""),"")</f>
        <v/>
      </c>
      <c r="L529" s="139">
        <f>IFERROR(IF(ISNUMBER(F529),F529-IF(ISNUMBER(K529),K529,0),""),"")</f>
        <v/>
      </c>
    </row>
    <row r="530" ht="24" customHeight="1" s="63">
      <c r="E530" s="139" t="n"/>
      <c r="F530" s="139" t="n"/>
      <c r="G530" s="140">
        <f>IFERROR(IF(E530&gt;0,(F530/E530)*1000,""),"")</f>
        <v/>
      </c>
      <c r="H530" s="139">
        <f>IFERROR(IF(E530&gt;0,E530*IF(ISNUMBER(J530),J530,IF(OR(C530="Alpha",B530="Alpha"),$C$7,IF(C530="Futures",$C$6,$C$5))),""),"")</f>
        <v/>
      </c>
      <c r="I530" s="139">
        <f>IFERROR(IF(AND(ISNUMBER(F530),ISNUMBER(H530)),F530-H530,""),"")</f>
        <v/>
      </c>
      <c r="J530" s="114" t="n"/>
      <c r="K530" s="139">
        <f>IFERROR(IF(H530&gt;0,H530*IF(OR(C530="Alpha",B530="Alpha"),$C$9,$C$8),""),"")</f>
        <v/>
      </c>
      <c r="L530" s="139">
        <f>IFERROR(IF(ISNUMBER(F530),F530-IF(ISNUMBER(K530),K530,0),""),"")</f>
        <v/>
      </c>
    </row>
    <row r="531" ht="24" customHeight="1" s="63">
      <c r="E531" s="139" t="n"/>
      <c r="F531" s="139" t="n"/>
      <c r="G531" s="140">
        <f>IFERROR(IF(E531&gt;0,(F531/E531)*1000,""),"")</f>
        <v/>
      </c>
      <c r="H531" s="139">
        <f>IFERROR(IF(E531&gt;0,E531*IF(ISNUMBER(J531),J531,IF(OR(C531="Alpha",B531="Alpha"),$C$7,IF(C531="Futures",$C$6,$C$5))),""),"")</f>
        <v/>
      </c>
      <c r="I531" s="139">
        <f>IFERROR(IF(AND(ISNUMBER(F531),ISNUMBER(H531)),F531-H531,""),"")</f>
        <v/>
      </c>
      <c r="J531" s="114" t="n"/>
      <c r="K531" s="139">
        <f>IFERROR(IF(H531&gt;0,H531*IF(OR(C531="Alpha",B531="Alpha"),$C$9,$C$8),""),"")</f>
        <v/>
      </c>
      <c r="L531" s="139">
        <f>IFERROR(IF(ISNUMBER(F531),F531-IF(ISNUMBER(K531),K531,0),""),"")</f>
        <v/>
      </c>
    </row>
    <row r="532" ht="24" customHeight="1" s="63">
      <c r="E532" s="139" t="n"/>
      <c r="F532" s="139" t="n"/>
      <c r="G532" s="140">
        <f>IFERROR(IF(E532&gt;0,(F532/E532)*1000,""),"")</f>
        <v/>
      </c>
      <c r="H532" s="139">
        <f>IFERROR(IF(E532&gt;0,E532*IF(ISNUMBER(J532),J532,IF(OR(C532="Alpha",B532="Alpha"),$C$7,IF(C532="Futures",$C$6,$C$5))),""),"")</f>
        <v/>
      </c>
      <c r="I532" s="139">
        <f>IFERROR(IF(AND(ISNUMBER(F532),ISNUMBER(H532)),F532-H532,""),"")</f>
        <v/>
      </c>
      <c r="J532" s="114" t="n"/>
      <c r="K532" s="139">
        <f>IFERROR(IF(H532&gt;0,H532*IF(OR(C532="Alpha",B532="Alpha"),$C$9,$C$8),""),"")</f>
        <v/>
      </c>
      <c r="L532" s="139">
        <f>IFERROR(IF(ISNUMBER(F532),F532-IF(ISNUMBER(K532),K532,0),""),"")</f>
        <v/>
      </c>
    </row>
    <row r="533" ht="24" customHeight="1" s="63">
      <c r="E533" s="139" t="n"/>
      <c r="F533" s="139" t="n"/>
      <c r="G533" s="140">
        <f>IFERROR(IF(E533&gt;0,(F533/E533)*1000,""),"")</f>
        <v/>
      </c>
      <c r="H533" s="139">
        <f>IFERROR(IF(E533&gt;0,E533*IF(ISNUMBER(J533),J533,IF(OR(C533="Alpha",B533="Alpha"),$C$7,IF(C533="Futures",$C$6,$C$5))),""),"")</f>
        <v/>
      </c>
      <c r="I533" s="139">
        <f>IFERROR(IF(AND(ISNUMBER(F533),ISNUMBER(H533)),F533-H533,""),"")</f>
        <v/>
      </c>
      <c r="J533" s="114" t="n"/>
      <c r="K533" s="139">
        <f>IFERROR(IF(H533&gt;0,H533*IF(OR(C533="Alpha",B533="Alpha"),$C$9,$C$8),""),"")</f>
        <v/>
      </c>
      <c r="L533" s="139">
        <f>IFERROR(IF(ISNUMBER(F533),F533-IF(ISNUMBER(K533),K533,0),""),"")</f>
        <v/>
      </c>
    </row>
    <row r="534" ht="24" customHeight="1" s="63">
      <c r="E534" s="139" t="n"/>
      <c r="F534" s="139" t="n"/>
      <c r="G534" s="140">
        <f>IFERROR(IF(E534&gt;0,(F534/E534)*1000,""),"")</f>
        <v/>
      </c>
      <c r="H534" s="139">
        <f>IFERROR(IF(E534&gt;0,E534*IF(ISNUMBER(J534),J534,IF(OR(C534="Alpha",B534="Alpha"),$C$7,IF(C534="Futures",$C$6,$C$5))),""),"")</f>
        <v/>
      </c>
      <c r="I534" s="139">
        <f>IFERROR(IF(AND(ISNUMBER(F534),ISNUMBER(H534)),F534-H534,""),"")</f>
        <v/>
      </c>
      <c r="J534" s="114" t="n"/>
      <c r="K534" s="139">
        <f>IFERROR(IF(H534&gt;0,H534*IF(OR(C534="Alpha",B534="Alpha"),$C$9,$C$8),""),"")</f>
        <v/>
      </c>
      <c r="L534" s="139">
        <f>IFERROR(IF(ISNUMBER(F534),F534-IF(ISNUMBER(K534),K534,0),""),"")</f>
        <v/>
      </c>
    </row>
    <row r="535" ht="24" customHeight="1" s="63">
      <c r="E535" s="139" t="n"/>
      <c r="F535" s="139" t="n"/>
      <c r="G535" s="140">
        <f>IFERROR(IF(E535&gt;0,(F535/E535)*1000,""),"")</f>
        <v/>
      </c>
      <c r="H535" s="139">
        <f>IFERROR(IF(E535&gt;0,E535*IF(ISNUMBER(J535),J535,IF(OR(C535="Alpha",B535="Alpha"),$C$7,IF(C535="Futures",$C$6,$C$5))),""),"")</f>
        <v/>
      </c>
      <c r="I535" s="139">
        <f>IFERROR(IF(AND(ISNUMBER(F535),ISNUMBER(H535)),F535-H535,""),"")</f>
        <v/>
      </c>
      <c r="J535" s="114" t="n"/>
      <c r="K535" s="139">
        <f>IFERROR(IF(H535&gt;0,H535*IF(OR(C535="Alpha",B535="Alpha"),$C$9,$C$8),""),"")</f>
        <v/>
      </c>
      <c r="L535" s="139">
        <f>IFERROR(IF(ISNUMBER(F535),F535-IF(ISNUMBER(K535),K535,0),""),"")</f>
        <v/>
      </c>
    </row>
    <row r="536" ht="24" customHeight="1" s="63">
      <c r="E536" s="139" t="n"/>
      <c r="F536" s="139" t="n"/>
      <c r="G536" s="140">
        <f>IFERROR(IF(E536&gt;0,(F536/E536)*1000,""),"")</f>
        <v/>
      </c>
      <c r="H536" s="139">
        <f>IFERROR(IF(E536&gt;0,E536*IF(ISNUMBER(J536),J536,IF(OR(C536="Alpha",B536="Alpha"),$C$7,IF(C536="Futures",$C$6,$C$5))),""),"")</f>
        <v/>
      </c>
      <c r="I536" s="139">
        <f>IFERROR(IF(AND(ISNUMBER(F536),ISNUMBER(H536)),F536-H536,""),"")</f>
        <v/>
      </c>
      <c r="J536" s="114" t="n"/>
      <c r="K536" s="139">
        <f>IFERROR(IF(H536&gt;0,H536*IF(OR(C536="Alpha",B536="Alpha"),$C$9,$C$8),""),"")</f>
        <v/>
      </c>
      <c r="L536" s="139">
        <f>IFERROR(IF(ISNUMBER(F536),F536-IF(ISNUMBER(K536),K536,0),""),"")</f>
        <v/>
      </c>
    </row>
    <row r="537" ht="24" customHeight="1" s="63">
      <c r="E537" s="139" t="n"/>
      <c r="F537" s="139" t="n"/>
      <c r="G537" s="140">
        <f>IFERROR(IF(E537&gt;0,(F537/E537)*1000,""),"")</f>
        <v/>
      </c>
      <c r="H537" s="139">
        <f>IFERROR(IF(E537&gt;0,E537*IF(ISNUMBER(J537),J537,IF(OR(C537="Alpha",B537="Alpha"),$C$7,IF(C537="Futures",$C$6,$C$5))),""),"")</f>
        <v/>
      </c>
      <c r="I537" s="139">
        <f>IFERROR(IF(AND(ISNUMBER(F537),ISNUMBER(H537)),F537-H537,""),"")</f>
        <v/>
      </c>
      <c r="J537" s="114" t="n"/>
      <c r="K537" s="139">
        <f>IFERROR(IF(H537&gt;0,H537*IF(OR(C537="Alpha",B537="Alpha"),$C$9,$C$8),""),"")</f>
        <v/>
      </c>
      <c r="L537" s="139">
        <f>IFERROR(IF(ISNUMBER(F537),F537-IF(ISNUMBER(K537),K537,0),""),"")</f>
        <v/>
      </c>
    </row>
    <row r="538" ht="24" customHeight="1" s="63">
      <c r="E538" s="139" t="n"/>
      <c r="F538" s="139" t="n"/>
      <c r="G538" s="140">
        <f>IFERROR(IF(E538&gt;0,(F538/E538)*1000,""),"")</f>
        <v/>
      </c>
      <c r="H538" s="139">
        <f>IFERROR(IF(E538&gt;0,E538*IF(ISNUMBER(J538),J538,IF(OR(C538="Alpha",B538="Alpha"),$C$7,IF(C538="Futures",$C$6,$C$5))),""),"")</f>
        <v/>
      </c>
      <c r="I538" s="139">
        <f>IFERROR(IF(AND(ISNUMBER(F538),ISNUMBER(H538)),F538-H538,""),"")</f>
        <v/>
      </c>
      <c r="J538" s="114" t="n"/>
      <c r="K538" s="139">
        <f>IFERROR(IF(H538&gt;0,H538*IF(OR(C538="Alpha",B538="Alpha"),$C$9,$C$8),""),"")</f>
        <v/>
      </c>
      <c r="L538" s="139">
        <f>IFERROR(IF(ISNUMBER(F538),F538-IF(ISNUMBER(K538),K538,0),""),"")</f>
        <v/>
      </c>
    </row>
    <row r="539" ht="24" customHeight="1" s="63">
      <c r="E539" s="139" t="n"/>
      <c r="F539" s="139" t="n"/>
      <c r="G539" s="140">
        <f>IFERROR(IF(E539&gt;0,(F539/E539)*1000,""),"")</f>
        <v/>
      </c>
      <c r="H539" s="139">
        <f>IFERROR(IF(E539&gt;0,E539*IF(ISNUMBER(J539),J539,IF(OR(C539="Alpha",B539="Alpha"),$C$7,IF(C539="Futures",$C$6,$C$5))),""),"")</f>
        <v/>
      </c>
      <c r="I539" s="139">
        <f>IFERROR(IF(AND(ISNUMBER(F539),ISNUMBER(H539)),F539-H539,""),"")</f>
        <v/>
      </c>
      <c r="J539" s="114" t="n"/>
      <c r="K539" s="139">
        <f>IFERROR(IF(H539&gt;0,H539*IF(OR(C539="Alpha",B539="Alpha"),$C$9,$C$8),""),"")</f>
        <v/>
      </c>
      <c r="L539" s="139">
        <f>IFERROR(IF(ISNUMBER(F539),F539-IF(ISNUMBER(K539),K539,0),""),"")</f>
        <v/>
      </c>
    </row>
    <row r="540" ht="24" customHeight="1" s="63">
      <c r="E540" s="139" t="n"/>
      <c r="F540" s="139" t="n"/>
      <c r="G540" s="140">
        <f>IFERROR(IF(E540&gt;0,(F540/E540)*1000,""),"")</f>
        <v/>
      </c>
      <c r="H540" s="139">
        <f>IFERROR(IF(E540&gt;0,E540*IF(ISNUMBER(J540),J540,IF(OR(C540="Alpha",B540="Alpha"),$C$7,IF(C540="Futures",$C$6,$C$5))),""),"")</f>
        <v/>
      </c>
      <c r="I540" s="139">
        <f>IFERROR(IF(AND(ISNUMBER(F540),ISNUMBER(H540)),F540-H540,""),"")</f>
        <v/>
      </c>
      <c r="J540" s="114" t="n"/>
      <c r="K540" s="139">
        <f>IFERROR(IF(H540&gt;0,H540*IF(OR(C540="Alpha",B540="Alpha"),$C$9,$C$8),""),"")</f>
        <v/>
      </c>
      <c r="L540" s="139">
        <f>IFERROR(IF(ISNUMBER(F540),F540-IF(ISNUMBER(K540),K540,0),""),"")</f>
        <v/>
      </c>
    </row>
    <row r="541" ht="24" customHeight="1" s="63">
      <c r="E541" s="139" t="n"/>
      <c r="F541" s="139" t="n"/>
      <c r="G541" s="140">
        <f>IFERROR(IF(E541&gt;0,(F541/E541)*1000,""),"")</f>
        <v/>
      </c>
      <c r="H541" s="139">
        <f>IFERROR(IF(E541&gt;0,E541*IF(ISNUMBER(J541),J541,IF(OR(C541="Alpha",B541="Alpha"),$C$7,IF(C541="Futures",$C$6,$C$5))),""),"")</f>
        <v/>
      </c>
      <c r="I541" s="139">
        <f>IFERROR(IF(AND(ISNUMBER(F541),ISNUMBER(H541)),F541-H541,""),"")</f>
        <v/>
      </c>
      <c r="J541" s="114" t="n"/>
      <c r="K541" s="139">
        <f>IFERROR(IF(H541&gt;0,H541*IF(OR(C541="Alpha",B541="Alpha"),$C$9,$C$8),""),"")</f>
        <v/>
      </c>
      <c r="L541" s="139">
        <f>IFERROR(IF(ISNUMBER(F541),F541-IF(ISNUMBER(K541),K541,0),""),"")</f>
        <v/>
      </c>
    </row>
    <row r="542" ht="24" customHeight="1" s="63">
      <c r="E542" s="139" t="n"/>
      <c r="F542" s="139" t="n"/>
      <c r="G542" s="140">
        <f>IFERROR(IF(E542&gt;0,(F542/E542)*1000,""),"")</f>
        <v/>
      </c>
      <c r="H542" s="139">
        <f>IFERROR(IF(E542&gt;0,E542*IF(ISNUMBER(J542),J542,IF(OR(C542="Alpha",B542="Alpha"),$C$7,IF(C542="Futures",$C$6,$C$5))),""),"")</f>
        <v/>
      </c>
      <c r="I542" s="139">
        <f>IFERROR(IF(AND(ISNUMBER(F542),ISNUMBER(H542)),F542-H542,""),"")</f>
        <v/>
      </c>
      <c r="J542" s="114" t="n"/>
      <c r="K542" s="139">
        <f>IFERROR(IF(H542&gt;0,H542*IF(OR(C542="Alpha",B542="Alpha"),$C$9,$C$8),""),"")</f>
        <v/>
      </c>
      <c r="L542" s="139">
        <f>IFERROR(IF(ISNUMBER(F542),F542-IF(ISNUMBER(K542),K542,0),""),"")</f>
        <v/>
      </c>
    </row>
    <row r="543" ht="24" customHeight="1" s="63">
      <c r="E543" s="139" t="n"/>
      <c r="F543" s="139" t="n"/>
      <c r="G543" s="140">
        <f>IFERROR(IF(E543&gt;0,(F543/E543)*1000,""),"")</f>
        <v/>
      </c>
      <c r="H543" s="139">
        <f>IFERROR(IF(E543&gt;0,E543*IF(ISNUMBER(J543),J543,IF(OR(C543="Alpha",B543="Alpha"),$C$7,IF(C543="Futures",$C$6,$C$5))),""),"")</f>
        <v/>
      </c>
      <c r="I543" s="139">
        <f>IFERROR(IF(AND(ISNUMBER(F543),ISNUMBER(H543)),F543-H543,""),"")</f>
        <v/>
      </c>
      <c r="J543" s="114" t="n"/>
      <c r="K543" s="139">
        <f>IFERROR(IF(H543&gt;0,H543*IF(OR(C543="Alpha",B543="Alpha"),$C$9,$C$8),""),"")</f>
        <v/>
      </c>
      <c r="L543" s="139">
        <f>IFERROR(IF(ISNUMBER(F543),F543-IF(ISNUMBER(K543),K543,0),""),"")</f>
        <v/>
      </c>
    </row>
    <row r="544" ht="24" customHeight="1" s="63">
      <c r="E544" s="139" t="n"/>
      <c r="F544" s="139" t="n"/>
      <c r="G544" s="140">
        <f>IFERROR(IF(E544&gt;0,(F544/E544)*1000,""),"")</f>
        <v/>
      </c>
      <c r="H544" s="139">
        <f>IFERROR(IF(E544&gt;0,E544*IF(ISNUMBER(J544),J544,IF(OR(C544="Alpha",B544="Alpha"),$C$7,IF(C544="Futures",$C$6,$C$5))),""),"")</f>
        <v/>
      </c>
      <c r="I544" s="139">
        <f>IFERROR(IF(AND(ISNUMBER(F544),ISNUMBER(H544)),F544-H544,""),"")</f>
        <v/>
      </c>
      <c r="J544" s="114" t="n"/>
      <c r="K544" s="139">
        <f>IFERROR(IF(H544&gt;0,H544*IF(OR(C544="Alpha",B544="Alpha"),$C$9,$C$8),""),"")</f>
        <v/>
      </c>
      <c r="L544" s="139">
        <f>IFERROR(IF(ISNUMBER(F544),F544-IF(ISNUMBER(K544),K544,0),""),"")</f>
        <v/>
      </c>
    </row>
    <row r="545" ht="24" customHeight="1" s="63">
      <c r="E545" s="139" t="n"/>
      <c r="F545" s="139" t="n"/>
      <c r="G545" s="140">
        <f>IFERROR(IF(E545&gt;0,(F545/E545)*1000,""),"")</f>
        <v/>
      </c>
      <c r="H545" s="139">
        <f>IFERROR(IF(E545&gt;0,E545*IF(ISNUMBER(J545),J545,IF(OR(C545="Alpha",B545="Alpha"),$C$7,IF(C545="Futures",$C$6,$C$5))),""),"")</f>
        <v/>
      </c>
      <c r="I545" s="139">
        <f>IFERROR(IF(AND(ISNUMBER(F545),ISNUMBER(H545)),F545-H545,""),"")</f>
        <v/>
      </c>
      <c r="J545" s="114" t="n"/>
      <c r="K545" s="139">
        <f>IFERROR(IF(H545&gt;0,H545*IF(OR(C545="Alpha",B545="Alpha"),$C$9,$C$8),""),"")</f>
        <v/>
      </c>
      <c r="L545" s="139">
        <f>IFERROR(IF(ISNUMBER(F545),F545-IF(ISNUMBER(K545),K545,0),""),"")</f>
        <v/>
      </c>
    </row>
    <row r="546" ht="24" customHeight="1" s="63">
      <c r="E546" s="139" t="n"/>
      <c r="F546" s="139" t="n"/>
      <c r="G546" s="140">
        <f>IFERROR(IF(E546&gt;0,(F546/E546)*1000,""),"")</f>
        <v/>
      </c>
      <c r="H546" s="139">
        <f>IFERROR(IF(E546&gt;0,E546*IF(ISNUMBER(J546),J546,IF(OR(C546="Alpha",B546="Alpha"),$C$7,IF(C546="Futures",$C$6,$C$5))),""),"")</f>
        <v/>
      </c>
      <c r="I546" s="139">
        <f>IFERROR(IF(AND(ISNUMBER(F546),ISNUMBER(H546)),F546-H546,""),"")</f>
        <v/>
      </c>
      <c r="J546" s="114" t="n"/>
      <c r="K546" s="139">
        <f>IFERROR(IF(H546&gt;0,H546*IF(OR(C546="Alpha",B546="Alpha"),$C$9,$C$8),""),"")</f>
        <v/>
      </c>
      <c r="L546" s="139">
        <f>IFERROR(IF(ISNUMBER(F546),F546-IF(ISNUMBER(K546),K546,0),""),"")</f>
        <v/>
      </c>
    </row>
    <row r="547" ht="24" customHeight="1" s="63">
      <c r="E547" s="139" t="n"/>
      <c r="F547" s="139" t="n"/>
      <c r="G547" s="140">
        <f>IFERROR(IF(E547&gt;0,(F547/E547)*1000,""),"")</f>
        <v/>
      </c>
      <c r="H547" s="139">
        <f>IFERROR(IF(E547&gt;0,E547*IF(ISNUMBER(J547),J547,IF(OR(C547="Alpha",B547="Alpha"),$C$7,IF(C547="Futures",$C$6,$C$5))),""),"")</f>
        <v/>
      </c>
      <c r="I547" s="139">
        <f>IFERROR(IF(AND(ISNUMBER(F547),ISNUMBER(H547)),F547-H547,""),"")</f>
        <v/>
      </c>
      <c r="J547" s="114" t="n"/>
      <c r="K547" s="139">
        <f>IFERROR(IF(H547&gt;0,H547*IF(OR(C547="Alpha",B547="Alpha"),$C$9,$C$8),""),"")</f>
        <v/>
      </c>
      <c r="L547" s="139">
        <f>IFERROR(IF(ISNUMBER(F547),F547-IF(ISNUMBER(K547),K547,0),""),"")</f>
        <v/>
      </c>
    </row>
    <row r="548" ht="24" customHeight="1" s="63">
      <c r="E548" s="139" t="n"/>
      <c r="F548" s="139" t="n"/>
      <c r="G548" s="140">
        <f>IFERROR(IF(E548&gt;0,(F548/E548)*1000,""),"")</f>
        <v/>
      </c>
      <c r="H548" s="139">
        <f>IFERROR(IF(E548&gt;0,E548*IF(ISNUMBER(J548),J548,IF(OR(C548="Alpha",B548="Alpha"),$C$7,IF(C548="Futures",$C$6,$C$5))),""),"")</f>
        <v/>
      </c>
      <c r="I548" s="139">
        <f>IFERROR(IF(AND(ISNUMBER(F548),ISNUMBER(H548)),F548-H548,""),"")</f>
        <v/>
      </c>
      <c r="J548" s="114" t="n"/>
      <c r="K548" s="139">
        <f>IFERROR(IF(H548&gt;0,H548*IF(OR(C548="Alpha",B548="Alpha"),$C$9,$C$8),""),"")</f>
        <v/>
      </c>
      <c r="L548" s="139">
        <f>IFERROR(IF(ISNUMBER(F548),F548-IF(ISNUMBER(K548),K548,0),""),"")</f>
        <v/>
      </c>
    </row>
    <row r="549" ht="24" customHeight="1" s="63">
      <c r="E549" s="139" t="n"/>
      <c r="F549" s="139" t="n"/>
      <c r="G549" s="140">
        <f>IFERROR(IF(E549&gt;0,(F549/E549)*1000,""),"")</f>
        <v/>
      </c>
      <c r="H549" s="139">
        <f>IFERROR(IF(E549&gt;0,E549*IF(ISNUMBER(J549),J549,IF(OR(C549="Alpha",B549="Alpha"),$C$7,IF(C549="Futures",$C$6,$C$5))),""),"")</f>
        <v/>
      </c>
      <c r="I549" s="139">
        <f>IFERROR(IF(AND(ISNUMBER(F549),ISNUMBER(H549)),F549-H549,""),"")</f>
        <v/>
      </c>
      <c r="J549" s="114" t="n"/>
      <c r="K549" s="139">
        <f>IFERROR(IF(H549&gt;0,H549*IF(OR(C549="Alpha",B549="Alpha"),$C$9,$C$8),""),"")</f>
        <v/>
      </c>
      <c r="L549" s="139">
        <f>IFERROR(IF(ISNUMBER(F549),F549-IF(ISNUMBER(K549),K549,0),""),"")</f>
        <v/>
      </c>
    </row>
    <row r="550" ht="24" customHeight="1" s="63">
      <c r="E550" s="139" t="n"/>
      <c r="F550" s="139" t="n"/>
      <c r="G550" s="140">
        <f>IFERROR(IF(E550&gt;0,(F550/E550)*1000,""),"")</f>
        <v/>
      </c>
      <c r="H550" s="139">
        <f>IFERROR(IF(E550&gt;0,E550*IF(ISNUMBER(J550),J550,IF(OR(C550="Alpha",B550="Alpha"),$C$7,IF(C550="Futures",$C$6,$C$5))),""),"")</f>
        <v/>
      </c>
      <c r="I550" s="139">
        <f>IFERROR(IF(AND(ISNUMBER(F550),ISNUMBER(H550)),F550-H550,""),"")</f>
        <v/>
      </c>
      <c r="J550" s="114" t="n"/>
      <c r="K550" s="139">
        <f>IFERROR(IF(H550&gt;0,H550*IF(OR(C550="Alpha",B550="Alpha"),$C$9,$C$8),""),"")</f>
        <v/>
      </c>
      <c r="L550" s="139">
        <f>IFERROR(IF(ISNUMBER(F550),F550-IF(ISNUMBER(K550),K550,0),""),"")</f>
        <v/>
      </c>
    </row>
    <row r="551" ht="24" customHeight="1" s="63">
      <c r="E551" s="139" t="n"/>
      <c r="F551" s="139" t="n"/>
      <c r="G551" s="140">
        <f>IFERROR(IF(E551&gt;0,(F551/E551)*1000,""),"")</f>
        <v/>
      </c>
      <c r="H551" s="139">
        <f>IFERROR(IF(E551&gt;0,E551*IF(ISNUMBER(J551),J551,IF(OR(C551="Alpha",B551="Alpha"),$C$7,IF(C551="Futures",$C$6,$C$5))),""),"")</f>
        <v/>
      </c>
      <c r="I551" s="139">
        <f>IFERROR(IF(AND(ISNUMBER(F551),ISNUMBER(H551)),F551-H551,""),"")</f>
        <v/>
      </c>
      <c r="J551" s="114" t="n"/>
      <c r="K551" s="139">
        <f>IFERROR(IF(H551&gt;0,H551*IF(OR(C551="Alpha",B551="Alpha"),$C$9,$C$8),""),"")</f>
        <v/>
      </c>
      <c r="L551" s="139">
        <f>IFERROR(IF(ISNUMBER(F551),F551-IF(ISNUMBER(K551),K551,0),""),"")</f>
        <v/>
      </c>
    </row>
    <row r="552" ht="24" customHeight="1" s="63">
      <c r="E552" s="139" t="n"/>
      <c r="F552" s="139" t="n"/>
      <c r="G552" s="140">
        <f>IFERROR(IF(E552&gt;0,(F552/E552)*1000,""),"")</f>
        <v/>
      </c>
      <c r="H552" s="139">
        <f>IFERROR(IF(E552&gt;0,E552*IF(ISNUMBER(J552),J552,IF(OR(C552="Alpha",B552="Alpha"),$C$7,IF(C552="Futures",$C$6,$C$5))),""),"")</f>
        <v/>
      </c>
      <c r="I552" s="139">
        <f>IFERROR(IF(AND(ISNUMBER(F552),ISNUMBER(H552)),F552-H552,""),"")</f>
        <v/>
      </c>
      <c r="J552" s="114" t="n"/>
      <c r="K552" s="139">
        <f>IFERROR(IF(H552&gt;0,H552*IF(OR(C552="Alpha",B552="Alpha"),$C$9,$C$8),""),"")</f>
        <v/>
      </c>
      <c r="L552" s="139">
        <f>IFERROR(IF(ISNUMBER(F552),F552-IF(ISNUMBER(K552),K552,0),""),"")</f>
        <v/>
      </c>
    </row>
    <row r="553" ht="24" customHeight="1" s="63">
      <c r="E553" s="139" t="n"/>
      <c r="F553" s="139" t="n"/>
      <c r="G553" s="140">
        <f>IFERROR(IF(E553&gt;0,(F553/E553)*1000,""),"")</f>
        <v/>
      </c>
      <c r="H553" s="139">
        <f>IFERROR(IF(E553&gt;0,E553*IF(ISNUMBER(J553),J553,IF(OR(C553="Alpha",B553="Alpha"),$C$7,IF(C553="Futures",$C$6,$C$5))),""),"")</f>
        <v/>
      </c>
      <c r="I553" s="139">
        <f>IFERROR(IF(AND(ISNUMBER(F553),ISNUMBER(H553)),F553-H553,""),"")</f>
        <v/>
      </c>
      <c r="J553" s="114" t="n"/>
      <c r="K553" s="139">
        <f>IFERROR(IF(H553&gt;0,H553*IF(OR(C553="Alpha",B553="Alpha"),$C$9,$C$8),""),"")</f>
        <v/>
      </c>
      <c r="L553" s="139">
        <f>IFERROR(IF(ISNUMBER(F553),F553-IF(ISNUMBER(K553),K553,0),""),"")</f>
        <v/>
      </c>
    </row>
    <row r="554" ht="24" customHeight="1" s="63">
      <c r="E554" s="139" t="n"/>
      <c r="F554" s="139" t="n"/>
      <c r="G554" s="140">
        <f>IFERROR(IF(E554&gt;0,(F554/E554)*1000,""),"")</f>
        <v/>
      </c>
      <c r="H554" s="139">
        <f>IFERROR(IF(E554&gt;0,E554*IF(ISNUMBER(J554),J554,IF(OR(C554="Alpha",B554="Alpha"),$C$7,IF(C554="Futures",$C$6,$C$5))),""),"")</f>
        <v/>
      </c>
      <c r="I554" s="139">
        <f>IFERROR(IF(AND(ISNUMBER(F554),ISNUMBER(H554)),F554-H554,""),"")</f>
        <v/>
      </c>
      <c r="J554" s="114" t="n"/>
      <c r="K554" s="139">
        <f>IFERROR(IF(H554&gt;0,H554*IF(OR(C554="Alpha",B554="Alpha"),$C$9,$C$8),""),"")</f>
        <v/>
      </c>
      <c r="L554" s="139">
        <f>IFERROR(IF(ISNUMBER(F554),F554-IF(ISNUMBER(K554),K554,0),""),"")</f>
        <v/>
      </c>
    </row>
    <row r="555" ht="24" customHeight="1" s="63">
      <c r="E555" s="139" t="n"/>
      <c r="F555" s="139" t="n"/>
      <c r="G555" s="140">
        <f>IFERROR(IF(E555&gt;0,(F555/E555)*1000,""),"")</f>
        <v/>
      </c>
      <c r="H555" s="139">
        <f>IFERROR(IF(E555&gt;0,E555*IF(ISNUMBER(J555),J555,IF(OR(C555="Alpha",B555="Alpha"),$C$7,IF(C555="Futures",$C$6,$C$5))),""),"")</f>
        <v/>
      </c>
      <c r="I555" s="139">
        <f>IFERROR(IF(AND(ISNUMBER(F555),ISNUMBER(H555)),F555-H555,""),"")</f>
        <v/>
      </c>
      <c r="J555" s="114" t="n"/>
      <c r="K555" s="139">
        <f>IFERROR(IF(H555&gt;0,H555*IF(OR(C555="Alpha",B555="Alpha"),$C$9,$C$8),""),"")</f>
        <v/>
      </c>
      <c r="L555" s="139">
        <f>IFERROR(IF(ISNUMBER(F555),F555-IF(ISNUMBER(K555),K555,0),""),"")</f>
        <v/>
      </c>
    </row>
    <row r="556" ht="24" customHeight="1" s="63">
      <c r="E556" s="139" t="n"/>
      <c r="F556" s="139" t="n"/>
      <c r="G556" s="140">
        <f>IFERROR(IF(E556&gt;0,(F556/E556)*1000,""),"")</f>
        <v/>
      </c>
      <c r="H556" s="139">
        <f>IFERROR(IF(E556&gt;0,E556*IF(ISNUMBER(J556),J556,IF(OR(C556="Alpha",B556="Alpha"),$C$7,IF(C556="Futures",$C$6,$C$5))),""),"")</f>
        <v/>
      </c>
      <c r="I556" s="139">
        <f>IFERROR(IF(AND(ISNUMBER(F556),ISNUMBER(H556)),F556-H556,""),"")</f>
        <v/>
      </c>
      <c r="J556" s="114" t="n"/>
      <c r="K556" s="139">
        <f>IFERROR(IF(H556&gt;0,H556*IF(OR(C556="Alpha",B556="Alpha"),$C$9,$C$8),""),"")</f>
        <v/>
      </c>
      <c r="L556" s="139">
        <f>IFERROR(IF(ISNUMBER(F556),F556-IF(ISNUMBER(K556),K556,0),""),"")</f>
        <v/>
      </c>
    </row>
    <row r="557" ht="24" customHeight="1" s="63">
      <c r="E557" s="139" t="n"/>
      <c r="F557" s="139" t="n"/>
      <c r="G557" s="140">
        <f>IFERROR(IF(E557&gt;0,(F557/E557)*1000,""),"")</f>
        <v/>
      </c>
      <c r="H557" s="139">
        <f>IFERROR(IF(E557&gt;0,E557*IF(ISNUMBER(J557),J557,IF(OR(C557="Alpha",B557="Alpha"),$C$7,IF(C557="Futures",$C$6,$C$5))),""),"")</f>
        <v/>
      </c>
      <c r="I557" s="139">
        <f>IFERROR(IF(AND(ISNUMBER(F557),ISNUMBER(H557)),F557-H557,""),"")</f>
        <v/>
      </c>
      <c r="J557" s="114" t="n"/>
      <c r="K557" s="139">
        <f>IFERROR(IF(H557&gt;0,H557*IF(OR(C557="Alpha",B557="Alpha"),$C$9,$C$8),""),"")</f>
        <v/>
      </c>
      <c r="L557" s="139">
        <f>IFERROR(IF(ISNUMBER(F557),F557-IF(ISNUMBER(K557),K557,0),""),"")</f>
        <v/>
      </c>
    </row>
    <row r="558" ht="24" customHeight="1" s="63">
      <c r="E558" s="139" t="n"/>
      <c r="F558" s="139" t="n"/>
      <c r="G558" s="140">
        <f>IFERROR(IF(E558&gt;0,(F558/E558)*1000,""),"")</f>
        <v/>
      </c>
      <c r="H558" s="139">
        <f>IFERROR(IF(E558&gt;0,E558*IF(ISNUMBER(J558),J558,IF(OR(C558="Alpha",B558="Alpha"),$C$7,IF(C558="Futures",$C$6,$C$5))),""),"")</f>
        <v/>
      </c>
      <c r="I558" s="139">
        <f>IFERROR(IF(AND(ISNUMBER(F558),ISNUMBER(H558)),F558-H558,""),"")</f>
        <v/>
      </c>
      <c r="J558" s="114" t="n"/>
      <c r="K558" s="139">
        <f>IFERROR(IF(H558&gt;0,H558*IF(OR(C558="Alpha",B558="Alpha"),$C$9,$C$8),""),"")</f>
        <v/>
      </c>
      <c r="L558" s="139">
        <f>IFERROR(IF(ISNUMBER(F558),F558-IF(ISNUMBER(K558),K558,0),""),"")</f>
        <v/>
      </c>
    </row>
    <row r="559" ht="24" customHeight="1" s="63">
      <c r="E559" s="139" t="n"/>
      <c r="F559" s="139" t="n"/>
      <c r="G559" s="140">
        <f>IFERROR(IF(E559&gt;0,(F559/E559)*1000,""),"")</f>
        <v/>
      </c>
      <c r="H559" s="139">
        <f>IFERROR(IF(E559&gt;0,E559*IF(ISNUMBER(J559),J559,IF(OR(C559="Alpha",B559="Alpha"),$C$7,IF(C559="Futures",$C$6,$C$5))),""),"")</f>
        <v/>
      </c>
      <c r="I559" s="139">
        <f>IFERROR(IF(AND(ISNUMBER(F559),ISNUMBER(H559)),F559-H559,""),"")</f>
        <v/>
      </c>
      <c r="J559" s="114" t="n"/>
      <c r="K559" s="139">
        <f>IFERROR(IF(H559&gt;0,H559*IF(OR(C559="Alpha",B559="Alpha"),$C$9,$C$8),""),"")</f>
        <v/>
      </c>
      <c r="L559" s="139">
        <f>IFERROR(IF(ISNUMBER(F559),F559-IF(ISNUMBER(K559),K559,0),""),"")</f>
        <v/>
      </c>
    </row>
    <row r="560" ht="24" customHeight="1" s="63">
      <c r="E560" s="139" t="n"/>
      <c r="F560" s="139" t="n"/>
      <c r="G560" s="140">
        <f>IFERROR(IF(E560&gt;0,(F560/E560)*1000,""),"")</f>
        <v/>
      </c>
      <c r="H560" s="139">
        <f>IFERROR(IF(E560&gt;0,E560*IF(ISNUMBER(J560),J560,IF(OR(C560="Alpha",B560="Alpha"),$C$7,IF(C560="Futures",$C$6,$C$5))),""),"")</f>
        <v/>
      </c>
      <c r="I560" s="139">
        <f>IFERROR(IF(AND(ISNUMBER(F560),ISNUMBER(H560)),F560-H560,""),"")</f>
        <v/>
      </c>
      <c r="J560" s="114" t="n"/>
      <c r="K560" s="139">
        <f>IFERROR(IF(H560&gt;0,H560*IF(OR(C560="Alpha",B560="Alpha"),$C$9,$C$8),""),"")</f>
        <v/>
      </c>
      <c r="L560" s="139">
        <f>IFERROR(IF(ISNUMBER(F560),F560-IF(ISNUMBER(K560),K560,0),""),"")</f>
        <v/>
      </c>
    </row>
    <row r="561" ht="24" customHeight="1" s="63">
      <c r="E561" s="139" t="n"/>
      <c r="F561" s="139" t="n"/>
      <c r="G561" s="140">
        <f>IFERROR(IF(E561&gt;0,(F561/E561)*1000,""),"")</f>
        <v/>
      </c>
      <c r="H561" s="139">
        <f>IFERROR(IF(E561&gt;0,E561*IF(ISNUMBER(J561),J561,IF(OR(C561="Alpha",B561="Alpha"),$C$7,IF(C561="Futures",$C$6,$C$5))),""),"")</f>
        <v/>
      </c>
      <c r="I561" s="139">
        <f>IFERROR(IF(AND(ISNUMBER(F561),ISNUMBER(H561)),F561-H561,""),"")</f>
        <v/>
      </c>
      <c r="J561" s="114" t="n"/>
      <c r="K561" s="139">
        <f>IFERROR(IF(H561&gt;0,H561*IF(OR(C561="Alpha",B561="Alpha"),$C$9,$C$8),""),"")</f>
        <v/>
      </c>
      <c r="L561" s="139">
        <f>IFERROR(IF(ISNUMBER(F561),F561-IF(ISNUMBER(K561),K561,0),""),"")</f>
        <v/>
      </c>
    </row>
    <row r="562" ht="24" customHeight="1" s="63">
      <c r="E562" s="139" t="n"/>
      <c r="F562" s="139" t="n"/>
      <c r="G562" s="140">
        <f>IFERROR(IF(E562&gt;0,(F562/E562)*1000,""),"")</f>
        <v/>
      </c>
      <c r="H562" s="139">
        <f>IFERROR(IF(E562&gt;0,E562*IF(ISNUMBER(J562),J562,IF(OR(C562="Alpha",B562="Alpha"),$C$7,IF(C562="Futures",$C$6,$C$5))),""),"")</f>
        <v/>
      </c>
      <c r="I562" s="139">
        <f>IFERROR(IF(AND(ISNUMBER(F562),ISNUMBER(H562)),F562-H562,""),"")</f>
        <v/>
      </c>
      <c r="J562" s="114" t="n"/>
      <c r="K562" s="139">
        <f>IFERROR(IF(H562&gt;0,H562*IF(OR(C562="Alpha",B562="Alpha"),$C$9,$C$8),""),"")</f>
        <v/>
      </c>
      <c r="L562" s="139">
        <f>IFERROR(IF(ISNUMBER(F562),F562-IF(ISNUMBER(K562),K562,0),""),"")</f>
        <v/>
      </c>
    </row>
    <row r="563" ht="24" customHeight="1" s="63">
      <c r="E563" s="139" t="n"/>
      <c r="F563" s="139" t="n"/>
      <c r="G563" s="140">
        <f>IFERROR(IF(E563&gt;0,(F563/E563)*1000,""),"")</f>
        <v/>
      </c>
      <c r="H563" s="139">
        <f>IFERROR(IF(E563&gt;0,E563*IF(ISNUMBER(J563),J563,IF(OR(C563="Alpha",B563="Alpha"),$C$7,IF(C563="Futures",$C$6,$C$5))),""),"")</f>
        <v/>
      </c>
      <c r="I563" s="139">
        <f>IFERROR(IF(AND(ISNUMBER(F563),ISNUMBER(H563)),F563-H563,""),"")</f>
        <v/>
      </c>
      <c r="J563" s="114" t="n"/>
      <c r="K563" s="139">
        <f>IFERROR(IF(H563&gt;0,H563*IF(OR(C563="Alpha",B563="Alpha"),$C$9,$C$8),""),"")</f>
        <v/>
      </c>
      <c r="L563" s="139">
        <f>IFERROR(IF(ISNUMBER(F563),F563-IF(ISNUMBER(K563),K563,0),""),"")</f>
        <v/>
      </c>
    </row>
    <row r="564" ht="24" customHeight="1" s="63">
      <c r="E564" s="139" t="n"/>
      <c r="F564" s="139" t="n"/>
      <c r="G564" s="140">
        <f>IFERROR(IF(E564&gt;0,(F564/E564)*1000,""),"")</f>
        <v/>
      </c>
      <c r="H564" s="139">
        <f>IFERROR(IF(E564&gt;0,E564*IF(ISNUMBER(J564),J564,IF(OR(C564="Alpha",B564="Alpha"),$C$7,IF(C564="Futures",$C$6,$C$5))),""),"")</f>
        <v/>
      </c>
      <c r="I564" s="139">
        <f>IFERROR(IF(AND(ISNUMBER(F564),ISNUMBER(H564)),F564-H564,""),"")</f>
        <v/>
      </c>
      <c r="J564" s="114" t="n"/>
      <c r="K564" s="139">
        <f>IFERROR(IF(H564&gt;0,H564*IF(OR(C564="Alpha",B564="Alpha"),$C$9,$C$8),""),"")</f>
        <v/>
      </c>
      <c r="L564" s="139">
        <f>IFERROR(IF(ISNUMBER(F564),F564-IF(ISNUMBER(K564),K564,0),""),"")</f>
        <v/>
      </c>
    </row>
    <row r="565" ht="24" customHeight="1" s="63">
      <c r="E565" s="139" t="n"/>
      <c r="F565" s="139" t="n"/>
      <c r="G565" s="140">
        <f>IFERROR(IF(E565&gt;0,(F565/E565)*1000,""),"")</f>
        <v/>
      </c>
      <c r="H565" s="139">
        <f>IFERROR(IF(E565&gt;0,E565*IF(ISNUMBER(J565),J565,IF(OR(C565="Alpha",B565="Alpha"),$C$7,IF(C565="Futures",$C$6,$C$5))),""),"")</f>
        <v/>
      </c>
      <c r="I565" s="139">
        <f>IFERROR(IF(AND(ISNUMBER(F565),ISNUMBER(H565)),F565-H565,""),"")</f>
        <v/>
      </c>
      <c r="J565" s="114" t="n"/>
      <c r="K565" s="139">
        <f>IFERROR(IF(H565&gt;0,H565*IF(OR(C565="Alpha",B565="Alpha"),$C$9,$C$8),""),"")</f>
        <v/>
      </c>
      <c r="L565" s="139">
        <f>IFERROR(IF(ISNUMBER(F565),F565-IF(ISNUMBER(K565),K565,0),""),"")</f>
        <v/>
      </c>
    </row>
    <row r="566" ht="24" customHeight="1" s="63">
      <c r="E566" s="139" t="n"/>
      <c r="F566" s="139" t="n"/>
      <c r="G566" s="140">
        <f>IFERROR(IF(E566&gt;0,(F566/E566)*1000,""),"")</f>
        <v/>
      </c>
      <c r="H566" s="139">
        <f>IFERROR(IF(E566&gt;0,E566*IF(ISNUMBER(J566),J566,IF(OR(C566="Alpha",B566="Alpha"),$C$7,IF(C566="Futures",$C$6,$C$5))),""),"")</f>
        <v/>
      </c>
      <c r="I566" s="139">
        <f>IFERROR(IF(AND(ISNUMBER(F566),ISNUMBER(H566)),F566-H566,""),"")</f>
        <v/>
      </c>
      <c r="J566" s="114" t="n"/>
      <c r="K566" s="139">
        <f>IFERROR(IF(H566&gt;0,H566*IF(OR(C566="Alpha",B566="Alpha"),$C$9,$C$8),""),"")</f>
        <v/>
      </c>
      <c r="L566" s="139">
        <f>IFERROR(IF(ISNUMBER(F566),F566-IF(ISNUMBER(K566),K566,0),""),"")</f>
        <v/>
      </c>
    </row>
    <row r="567" ht="24" customHeight="1" s="63">
      <c r="E567" s="139" t="n"/>
      <c r="F567" s="139" t="n"/>
      <c r="G567" s="140">
        <f>IFERROR(IF(E567&gt;0,(F567/E567)*1000,""),"")</f>
        <v/>
      </c>
      <c r="H567" s="139">
        <f>IFERROR(IF(E567&gt;0,E567*IF(ISNUMBER(J567),J567,IF(OR(C567="Alpha",B567="Alpha"),$C$7,IF(C567="Futures",$C$6,$C$5))),""),"")</f>
        <v/>
      </c>
      <c r="I567" s="139">
        <f>IFERROR(IF(AND(ISNUMBER(F567),ISNUMBER(H567)),F567-H567,""),"")</f>
        <v/>
      </c>
      <c r="J567" s="114" t="n"/>
      <c r="K567" s="139">
        <f>IFERROR(IF(H567&gt;0,H567*IF(OR(C567="Alpha",B567="Alpha"),$C$9,$C$8),""),"")</f>
        <v/>
      </c>
      <c r="L567" s="139">
        <f>IFERROR(IF(ISNUMBER(F567),F567-IF(ISNUMBER(K567),K567,0),""),"")</f>
        <v/>
      </c>
    </row>
    <row r="568" ht="24" customHeight="1" s="63">
      <c r="E568" s="139" t="n"/>
      <c r="F568" s="139" t="n"/>
      <c r="G568" s="140">
        <f>IFERROR(IF(E568&gt;0,(F568/E568)*1000,""),"")</f>
        <v/>
      </c>
      <c r="H568" s="139">
        <f>IFERROR(IF(E568&gt;0,E568*IF(ISNUMBER(J568),J568,IF(OR(C568="Alpha",B568="Alpha"),$C$7,IF(C568="Futures",$C$6,$C$5))),""),"")</f>
        <v/>
      </c>
      <c r="I568" s="139">
        <f>IFERROR(IF(AND(ISNUMBER(F568),ISNUMBER(H568)),F568-H568,""),"")</f>
        <v/>
      </c>
      <c r="J568" s="114" t="n"/>
      <c r="K568" s="139">
        <f>IFERROR(IF(H568&gt;0,H568*IF(OR(C568="Alpha",B568="Alpha"),$C$9,$C$8),""),"")</f>
        <v/>
      </c>
      <c r="L568" s="139">
        <f>IFERROR(IF(ISNUMBER(F568),F568-IF(ISNUMBER(K568),K568,0),""),"")</f>
        <v/>
      </c>
    </row>
    <row r="569" ht="24" customHeight="1" s="63">
      <c r="E569" s="139" t="n"/>
      <c r="F569" s="139" t="n"/>
      <c r="G569" s="140">
        <f>IFERROR(IF(E569&gt;0,(F569/E569)*1000,""),"")</f>
        <v/>
      </c>
      <c r="H569" s="139">
        <f>IFERROR(IF(E569&gt;0,E569*IF(ISNUMBER(J569),J569,IF(OR(C569="Alpha",B569="Alpha"),$C$7,IF(C569="Futures",$C$6,$C$5))),""),"")</f>
        <v/>
      </c>
      <c r="I569" s="139">
        <f>IFERROR(IF(AND(ISNUMBER(F569),ISNUMBER(H569)),F569-H569,""),"")</f>
        <v/>
      </c>
      <c r="J569" s="114" t="n"/>
      <c r="K569" s="139">
        <f>IFERROR(IF(H569&gt;0,H569*IF(OR(C569="Alpha",B569="Alpha"),$C$9,$C$8),""),"")</f>
        <v/>
      </c>
      <c r="L569" s="139">
        <f>IFERROR(IF(ISNUMBER(F569),F569-IF(ISNUMBER(K569),K569,0),""),"")</f>
        <v/>
      </c>
    </row>
    <row r="570" ht="24" customHeight="1" s="63">
      <c r="E570" s="139" t="n"/>
      <c r="F570" s="139" t="n"/>
      <c r="G570" s="140">
        <f>IFERROR(IF(E570&gt;0,(F570/E570)*1000,""),"")</f>
        <v/>
      </c>
      <c r="H570" s="139">
        <f>IFERROR(IF(E570&gt;0,E570*IF(ISNUMBER(J570),J570,IF(OR(C570="Alpha",B570="Alpha"),$C$7,IF(C570="Futures",$C$6,$C$5))),""),"")</f>
        <v/>
      </c>
      <c r="I570" s="139">
        <f>IFERROR(IF(AND(ISNUMBER(F570),ISNUMBER(H570)),F570-H570,""),"")</f>
        <v/>
      </c>
      <c r="J570" s="114" t="n"/>
      <c r="K570" s="139">
        <f>IFERROR(IF(H570&gt;0,H570*IF(OR(C570="Alpha",B570="Alpha"),$C$9,$C$8),""),"")</f>
        <v/>
      </c>
      <c r="L570" s="139">
        <f>IFERROR(IF(ISNUMBER(F570),F570-IF(ISNUMBER(K570),K570,0),""),"")</f>
        <v/>
      </c>
    </row>
    <row r="571" ht="24" customHeight="1" s="63">
      <c r="E571" s="139" t="n"/>
      <c r="F571" s="139" t="n"/>
      <c r="G571" s="140">
        <f>IFERROR(IF(E571&gt;0,(F571/E571)*1000,""),"")</f>
        <v/>
      </c>
      <c r="H571" s="139">
        <f>IFERROR(IF(E571&gt;0,E571*IF(ISNUMBER(J571),J571,IF(OR(C571="Alpha",B571="Alpha"),$C$7,IF(C571="Futures",$C$6,$C$5))),""),"")</f>
        <v/>
      </c>
      <c r="I571" s="139">
        <f>IFERROR(IF(AND(ISNUMBER(F571),ISNUMBER(H571)),F571-H571,""),"")</f>
        <v/>
      </c>
      <c r="J571" s="114" t="n"/>
      <c r="K571" s="139">
        <f>IFERROR(IF(H571&gt;0,H571*IF(OR(C571="Alpha",B571="Alpha"),$C$9,$C$8),""),"")</f>
        <v/>
      </c>
      <c r="L571" s="139">
        <f>IFERROR(IF(ISNUMBER(F571),F571-IF(ISNUMBER(K571),K571,0),""),"")</f>
        <v/>
      </c>
    </row>
    <row r="572" ht="24" customHeight="1" s="63">
      <c r="E572" s="139" t="n"/>
      <c r="F572" s="139" t="n"/>
      <c r="G572" s="140">
        <f>IFERROR(IF(E572&gt;0,(F572/E572)*1000,""),"")</f>
        <v/>
      </c>
      <c r="H572" s="139">
        <f>IFERROR(IF(E572&gt;0,E572*IF(ISNUMBER(J572),J572,IF(OR(C572="Alpha",B572="Alpha"),$C$7,IF(C572="Futures",$C$6,$C$5))),""),"")</f>
        <v/>
      </c>
      <c r="I572" s="139">
        <f>IFERROR(IF(AND(ISNUMBER(F572),ISNUMBER(H572)),F572-H572,""),"")</f>
        <v/>
      </c>
      <c r="J572" s="114" t="n"/>
      <c r="K572" s="139">
        <f>IFERROR(IF(H572&gt;0,H572*IF(OR(C572="Alpha",B572="Alpha"),$C$9,$C$8),""),"")</f>
        <v/>
      </c>
      <c r="L572" s="139">
        <f>IFERROR(IF(ISNUMBER(F572),F572-IF(ISNUMBER(K572),K572,0),""),"")</f>
        <v/>
      </c>
    </row>
    <row r="573" ht="24" customHeight="1" s="63">
      <c r="E573" s="139" t="n"/>
      <c r="F573" s="139" t="n"/>
      <c r="G573" s="140">
        <f>IFERROR(IF(E573&gt;0,(F573/E573)*1000,""),"")</f>
        <v/>
      </c>
      <c r="H573" s="139">
        <f>IFERROR(IF(E573&gt;0,E573*IF(ISNUMBER(J573),J573,IF(OR(C573="Alpha",B573="Alpha"),$C$7,IF(C573="Futures",$C$6,$C$5))),""),"")</f>
        <v/>
      </c>
      <c r="I573" s="139">
        <f>IFERROR(IF(AND(ISNUMBER(F573),ISNUMBER(H573)),F573-H573,""),"")</f>
        <v/>
      </c>
      <c r="J573" s="114" t="n"/>
      <c r="K573" s="139">
        <f>IFERROR(IF(H573&gt;0,H573*IF(OR(C573="Alpha",B573="Alpha"),$C$9,$C$8),""),"")</f>
        <v/>
      </c>
      <c r="L573" s="139">
        <f>IFERROR(IF(ISNUMBER(F573),F573-IF(ISNUMBER(K573),K573,0),""),"")</f>
        <v/>
      </c>
    </row>
    <row r="574" ht="24" customHeight="1" s="63">
      <c r="E574" s="139" t="n"/>
      <c r="F574" s="139" t="n"/>
      <c r="G574" s="140">
        <f>IFERROR(IF(E574&gt;0,(F574/E574)*1000,""),"")</f>
        <v/>
      </c>
      <c r="H574" s="139">
        <f>IFERROR(IF(E574&gt;0,E574*IF(ISNUMBER(J574),J574,IF(OR(C574="Alpha",B574="Alpha"),$C$7,IF(C574="Futures",$C$6,$C$5))),""),"")</f>
        <v/>
      </c>
      <c r="I574" s="139">
        <f>IFERROR(IF(AND(ISNUMBER(F574),ISNUMBER(H574)),F574-H574,""),"")</f>
        <v/>
      </c>
      <c r="J574" s="114" t="n"/>
      <c r="K574" s="139">
        <f>IFERROR(IF(H574&gt;0,H574*IF(OR(C574="Alpha",B574="Alpha"),$C$9,$C$8),""),"")</f>
        <v/>
      </c>
      <c r="L574" s="139">
        <f>IFERROR(IF(ISNUMBER(F574),F574-IF(ISNUMBER(K574),K574,0),""),"")</f>
        <v/>
      </c>
    </row>
    <row r="575" ht="24" customHeight="1" s="63">
      <c r="E575" s="139" t="n"/>
      <c r="F575" s="139" t="n"/>
      <c r="G575" s="140">
        <f>IFERROR(IF(E575&gt;0,(F575/E575)*1000,""),"")</f>
        <v/>
      </c>
      <c r="H575" s="139">
        <f>IFERROR(IF(E575&gt;0,E575*IF(ISNUMBER(J575),J575,IF(OR(C575="Alpha",B575="Alpha"),$C$7,IF(C575="Futures",$C$6,$C$5))),""),"")</f>
        <v/>
      </c>
      <c r="I575" s="139">
        <f>IFERROR(IF(AND(ISNUMBER(F575),ISNUMBER(H575)),F575-H575,""),"")</f>
        <v/>
      </c>
      <c r="J575" s="114" t="n"/>
      <c r="K575" s="139">
        <f>IFERROR(IF(H575&gt;0,H575*IF(OR(C575="Alpha",B575="Alpha"),$C$9,$C$8),""),"")</f>
        <v/>
      </c>
      <c r="L575" s="139">
        <f>IFERROR(IF(ISNUMBER(F575),F575-IF(ISNUMBER(K575),K575,0),""),"")</f>
        <v/>
      </c>
    </row>
    <row r="576" ht="24" customHeight="1" s="63">
      <c r="E576" s="139" t="n"/>
      <c r="F576" s="139" t="n"/>
      <c r="G576" s="140">
        <f>IFERROR(IF(E576&gt;0,(F576/E576)*1000,""),"")</f>
        <v/>
      </c>
      <c r="H576" s="139">
        <f>IFERROR(IF(E576&gt;0,E576*IF(ISNUMBER(J576),J576,IF(OR(C576="Alpha",B576="Alpha"),$C$7,IF(C576="Futures",$C$6,$C$5))),""),"")</f>
        <v/>
      </c>
      <c r="I576" s="139">
        <f>IFERROR(IF(AND(ISNUMBER(F576),ISNUMBER(H576)),F576-H576,""),"")</f>
        <v/>
      </c>
      <c r="J576" s="114" t="n"/>
      <c r="K576" s="139">
        <f>IFERROR(IF(H576&gt;0,H576*IF(OR(C576="Alpha",B576="Alpha"),$C$9,$C$8),""),"")</f>
        <v/>
      </c>
      <c r="L576" s="139">
        <f>IFERROR(IF(ISNUMBER(F576),F576-IF(ISNUMBER(K576),K576,0),""),"")</f>
        <v/>
      </c>
    </row>
    <row r="577" ht="24" customHeight="1" s="63">
      <c r="E577" s="139" t="n"/>
      <c r="F577" s="139" t="n"/>
      <c r="G577" s="140">
        <f>IFERROR(IF(E577&gt;0,(F577/E577)*1000,""),"")</f>
        <v/>
      </c>
      <c r="H577" s="139">
        <f>IFERROR(IF(E577&gt;0,E577*IF(ISNUMBER(J577),J577,IF(OR(C577="Alpha",B577="Alpha"),$C$7,IF(C577="Futures",$C$6,$C$5))),""),"")</f>
        <v/>
      </c>
      <c r="I577" s="139">
        <f>IFERROR(IF(AND(ISNUMBER(F577),ISNUMBER(H577)),F577-H577,""),"")</f>
        <v/>
      </c>
      <c r="J577" s="114" t="n"/>
      <c r="K577" s="139">
        <f>IFERROR(IF(H577&gt;0,H577*IF(OR(C577="Alpha",B577="Alpha"),$C$9,$C$8),""),"")</f>
        <v/>
      </c>
      <c r="L577" s="139">
        <f>IFERROR(IF(ISNUMBER(F577),F577-IF(ISNUMBER(K577),K577,0),""),"")</f>
        <v/>
      </c>
    </row>
    <row r="578" ht="24" customHeight="1" s="63">
      <c r="E578" s="139" t="n"/>
      <c r="F578" s="139" t="n"/>
      <c r="G578" s="140">
        <f>IFERROR(IF(E578&gt;0,(F578/E578)*1000,""),"")</f>
        <v/>
      </c>
      <c r="H578" s="139">
        <f>IFERROR(IF(E578&gt;0,E578*IF(ISNUMBER(J578),J578,IF(OR(C578="Alpha",B578="Alpha"),$C$7,IF(C578="Futures",$C$6,$C$5))),""),"")</f>
        <v/>
      </c>
      <c r="I578" s="139">
        <f>IFERROR(IF(AND(ISNUMBER(F578),ISNUMBER(H578)),F578-H578,""),"")</f>
        <v/>
      </c>
      <c r="J578" s="114" t="n"/>
      <c r="K578" s="139">
        <f>IFERROR(IF(H578&gt;0,H578*IF(OR(C578="Alpha",B578="Alpha"),$C$9,$C$8),""),"")</f>
        <v/>
      </c>
      <c r="L578" s="139">
        <f>IFERROR(IF(ISNUMBER(F578),F578-IF(ISNUMBER(K578),K578,0),""),"")</f>
        <v/>
      </c>
    </row>
    <row r="579" ht="24" customHeight="1" s="63">
      <c r="E579" s="139" t="n"/>
      <c r="F579" s="139" t="n"/>
      <c r="G579" s="140">
        <f>IFERROR(IF(E579&gt;0,(F579/E579)*1000,""),"")</f>
        <v/>
      </c>
      <c r="H579" s="139">
        <f>IFERROR(IF(E579&gt;0,E579*IF(ISNUMBER(J579),J579,IF(OR(C579="Alpha",B579="Alpha"),$C$7,IF(C579="Futures",$C$6,$C$5))),""),"")</f>
        <v/>
      </c>
      <c r="I579" s="139">
        <f>IFERROR(IF(AND(ISNUMBER(F579),ISNUMBER(H579)),F579-H579,""),"")</f>
        <v/>
      </c>
      <c r="J579" s="114" t="n"/>
      <c r="K579" s="139">
        <f>IFERROR(IF(H579&gt;0,H579*IF(OR(C579="Alpha",B579="Alpha"),$C$9,$C$8),""),"")</f>
        <v/>
      </c>
      <c r="L579" s="139">
        <f>IFERROR(IF(ISNUMBER(F579),F579-IF(ISNUMBER(K579),K579,0),""),"")</f>
        <v/>
      </c>
    </row>
    <row r="580" ht="24" customHeight="1" s="63">
      <c r="E580" s="139" t="n"/>
      <c r="F580" s="139" t="n"/>
      <c r="G580" s="140">
        <f>IFERROR(IF(E580&gt;0,(F580/E580)*1000,""),"")</f>
        <v/>
      </c>
      <c r="H580" s="139">
        <f>IFERROR(IF(E580&gt;0,E580*IF(ISNUMBER(J580),J580,IF(OR(C580="Alpha",B580="Alpha"),$C$7,IF(C580="Futures",$C$6,$C$5))),""),"")</f>
        <v/>
      </c>
      <c r="I580" s="139">
        <f>IFERROR(IF(AND(ISNUMBER(F580),ISNUMBER(H580)),F580-H580,""),"")</f>
        <v/>
      </c>
      <c r="J580" s="114" t="n"/>
      <c r="K580" s="139">
        <f>IFERROR(IF(H580&gt;0,H580*IF(OR(C580="Alpha",B580="Alpha"),$C$9,$C$8),""),"")</f>
        <v/>
      </c>
      <c r="L580" s="139">
        <f>IFERROR(IF(ISNUMBER(F580),F580-IF(ISNUMBER(K580),K580,0),""),"")</f>
        <v/>
      </c>
    </row>
    <row r="581" ht="24" customHeight="1" s="63">
      <c r="E581" s="139" t="n"/>
      <c r="F581" s="139" t="n"/>
      <c r="G581" s="140">
        <f>IFERROR(IF(E581&gt;0,(F581/E581)*1000,""),"")</f>
        <v/>
      </c>
      <c r="H581" s="139">
        <f>IFERROR(IF(E581&gt;0,E581*IF(ISNUMBER(J581),J581,IF(OR(C581="Alpha",B581="Alpha"),$C$7,IF(C581="Futures",$C$6,$C$5))),""),"")</f>
        <v/>
      </c>
      <c r="I581" s="139">
        <f>IFERROR(IF(AND(ISNUMBER(F581),ISNUMBER(H581)),F581-H581,""),"")</f>
        <v/>
      </c>
      <c r="J581" s="114" t="n"/>
      <c r="K581" s="139">
        <f>IFERROR(IF(H581&gt;0,H581*IF(OR(C581="Alpha",B581="Alpha"),$C$9,$C$8),""),"")</f>
        <v/>
      </c>
      <c r="L581" s="139">
        <f>IFERROR(IF(ISNUMBER(F581),F581-IF(ISNUMBER(K581),K581,0),""),"")</f>
        <v/>
      </c>
    </row>
    <row r="582" ht="24" customHeight="1" s="63">
      <c r="E582" s="139" t="n"/>
      <c r="F582" s="139" t="n"/>
      <c r="G582" s="140">
        <f>IFERROR(IF(E582&gt;0,(F582/E582)*1000,""),"")</f>
        <v/>
      </c>
      <c r="H582" s="139">
        <f>IFERROR(IF(E582&gt;0,E582*IF(ISNUMBER(J582),J582,IF(OR(C582="Alpha",B582="Alpha"),$C$7,IF(C582="Futures",$C$6,$C$5))),""),"")</f>
        <v/>
      </c>
      <c r="I582" s="139">
        <f>IFERROR(IF(AND(ISNUMBER(F582),ISNUMBER(H582)),F582-H582,""),"")</f>
        <v/>
      </c>
      <c r="J582" s="114" t="n"/>
      <c r="K582" s="139">
        <f>IFERROR(IF(H582&gt;0,H582*IF(OR(C582="Alpha",B582="Alpha"),$C$9,$C$8),""),"")</f>
        <v/>
      </c>
      <c r="L582" s="139">
        <f>IFERROR(IF(ISNUMBER(F582),F582-IF(ISNUMBER(K582),K582,0),""),"")</f>
        <v/>
      </c>
    </row>
    <row r="583" ht="24" customHeight="1" s="63">
      <c r="E583" s="139" t="n"/>
      <c r="F583" s="139" t="n"/>
      <c r="G583" s="140">
        <f>IFERROR(IF(E583&gt;0,(F583/E583)*1000,""),"")</f>
        <v/>
      </c>
      <c r="H583" s="139">
        <f>IFERROR(IF(E583&gt;0,E583*IF(ISNUMBER(J583),J583,IF(OR(C583="Alpha",B583="Alpha"),$C$7,IF(C583="Futures",$C$6,$C$5))),""),"")</f>
        <v/>
      </c>
      <c r="I583" s="139">
        <f>IFERROR(IF(AND(ISNUMBER(F583),ISNUMBER(H583)),F583-H583,""),"")</f>
        <v/>
      </c>
      <c r="J583" s="114" t="n"/>
      <c r="K583" s="139">
        <f>IFERROR(IF(H583&gt;0,H583*IF(OR(C583="Alpha",B583="Alpha"),$C$9,$C$8),""),"")</f>
        <v/>
      </c>
      <c r="L583" s="139">
        <f>IFERROR(IF(ISNUMBER(F583),F583-IF(ISNUMBER(K583),K583,0),""),"")</f>
        <v/>
      </c>
    </row>
    <row r="584" ht="24" customHeight="1" s="63">
      <c r="E584" s="139" t="n"/>
      <c r="F584" s="139" t="n"/>
      <c r="G584" s="140">
        <f>IFERROR(IF(E584&gt;0,(F584/E584)*1000,""),"")</f>
        <v/>
      </c>
      <c r="H584" s="139">
        <f>IFERROR(IF(E584&gt;0,E584*IF(ISNUMBER(J584),J584,IF(OR(C584="Alpha",B584="Alpha"),$C$7,IF(C584="Futures",$C$6,$C$5))),""),"")</f>
        <v/>
      </c>
      <c r="I584" s="139">
        <f>IFERROR(IF(AND(ISNUMBER(F584),ISNUMBER(H584)),F584-H584,""),"")</f>
        <v/>
      </c>
      <c r="J584" s="114" t="n"/>
      <c r="K584" s="139">
        <f>IFERROR(IF(H584&gt;0,H584*IF(OR(C584="Alpha",B584="Alpha"),$C$9,$C$8),""),"")</f>
        <v/>
      </c>
      <c r="L584" s="139">
        <f>IFERROR(IF(ISNUMBER(F584),F584-IF(ISNUMBER(K584),K584,0),""),"")</f>
        <v/>
      </c>
    </row>
    <row r="585" ht="24" customHeight="1" s="63">
      <c r="E585" s="139" t="n"/>
      <c r="F585" s="139" t="n"/>
      <c r="G585" s="140">
        <f>IFERROR(IF(E585&gt;0,(F585/E585)*1000,""),"")</f>
        <v/>
      </c>
      <c r="H585" s="139">
        <f>IFERROR(IF(E585&gt;0,E585*IF(ISNUMBER(J585),J585,IF(OR(C585="Alpha",B585="Alpha"),$C$7,IF(C585="Futures",$C$6,$C$5))),""),"")</f>
        <v/>
      </c>
      <c r="I585" s="139">
        <f>IFERROR(IF(AND(ISNUMBER(F585),ISNUMBER(H585)),F585-H585,""),"")</f>
        <v/>
      </c>
      <c r="J585" s="114" t="n"/>
      <c r="K585" s="139">
        <f>IFERROR(IF(H585&gt;0,H585*IF(OR(C585="Alpha",B585="Alpha"),$C$9,$C$8),""),"")</f>
        <v/>
      </c>
      <c r="L585" s="139">
        <f>IFERROR(IF(ISNUMBER(F585),F585-IF(ISNUMBER(K585),K585,0),""),"")</f>
        <v/>
      </c>
    </row>
    <row r="586" ht="24" customHeight="1" s="63">
      <c r="E586" s="139" t="n"/>
      <c r="F586" s="139" t="n"/>
      <c r="G586" s="140">
        <f>IFERROR(IF(E586&gt;0,(F586/E586)*1000,""),"")</f>
        <v/>
      </c>
      <c r="H586" s="139">
        <f>IFERROR(IF(E586&gt;0,E586*IF(ISNUMBER(J586),J586,IF(OR(C586="Alpha",B586="Alpha"),$C$7,IF(C586="Futures",$C$6,$C$5))),""),"")</f>
        <v/>
      </c>
      <c r="I586" s="139">
        <f>IFERROR(IF(AND(ISNUMBER(F586),ISNUMBER(H586)),F586-H586,""),"")</f>
        <v/>
      </c>
      <c r="J586" s="114" t="n"/>
      <c r="K586" s="139">
        <f>IFERROR(IF(H586&gt;0,H586*IF(OR(C586="Alpha",B586="Alpha"),$C$9,$C$8),""),"")</f>
        <v/>
      </c>
      <c r="L586" s="139">
        <f>IFERROR(IF(ISNUMBER(F586),F586-IF(ISNUMBER(K586),K586,0),""),"")</f>
        <v/>
      </c>
    </row>
    <row r="587" ht="24" customHeight="1" s="63">
      <c r="E587" s="139" t="n"/>
      <c r="F587" s="139" t="n"/>
      <c r="G587" s="140">
        <f>IFERROR(IF(E587&gt;0,(F587/E587)*1000,""),"")</f>
        <v/>
      </c>
      <c r="H587" s="139">
        <f>IFERROR(IF(E587&gt;0,E587*IF(ISNUMBER(J587),J587,IF(OR(C587="Alpha",B587="Alpha"),$C$7,IF(C587="Futures",$C$6,$C$5))),""),"")</f>
        <v/>
      </c>
      <c r="I587" s="139">
        <f>IFERROR(IF(AND(ISNUMBER(F587),ISNUMBER(H587)),F587-H587,""),"")</f>
        <v/>
      </c>
      <c r="J587" s="114" t="n"/>
      <c r="K587" s="139">
        <f>IFERROR(IF(H587&gt;0,H587*IF(OR(C587="Alpha",B587="Alpha"),$C$9,$C$8),""),"")</f>
        <v/>
      </c>
      <c r="L587" s="139">
        <f>IFERROR(IF(ISNUMBER(F587),F587-IF(ISNUMBER(K587),K587,0),""),"")</f>
        <v/>
      </c>
    </row>
    <row r="588" ht="24" customHeight="1" s="63">
      <c r="E588" s="139" t="n"/>
      <c r="F588" s="139" t="n"/>
      <c r="G588" s="140">
        <f>IFERROR(IF(E588&gt;0,(F588/E588)*1000,""),"")</f>
        <v/>
      </c>
      <c r="H588" s="139">
        <f>IFERROR(IF(E588&gt;0,E588*IF(ISNUMBER(J588),J588,IF(OR(C588="Alpha",B588="Alpha"),$C$7,IF(C588="Futures",$C$6,$C$5))),""),"")</f>
        <v/>
      </c>
      <c r="I588" s="139">
        <f>IFERROR(IF(AND(ISNUMBER(F588),ISNUMBER(H588)),F588-H588,""),"")</f>
        <v/>
      </c>
      <c r="J588" s="114" t="n"/>
      <c r="K588" s="139">
        <f>IFERROR(IF(H588&gt;0,H588*IF(OR(C588="Alpha",B588="Alpha"),$C$9,$C$8),""),"")</f>
        <v/>
      </c>
      <c r="L588" s="139">
        <f>IFERROR(IF(ISNUMBER(F588),F588-IF(ISNUMBER(K588),K588,0),""),"")</f>
        <v/>
      </c>
    </row>
    <row r="589" ht="24" customHeight="1" s="63">
      <c r="E589" s="139" t="n"/>
      <c r="F589" s="139" t="n"/>
      <c r="G589" s="140">
        <f>IFERROR(IF(E589&gt;0,(F589/E589)*1000,""),"")</f>
        <v/>
      </c>
      <c r="H589" s="139">
        <f>IFERROR(IF(E589&gt;0,E589*IF(ISNUMBER(J589),J589,IF(OR(C589="Alpha",B589="Alpha"),$C$7,IF(C589="Futures",$C$6,$C$5))),""),"")</f>
        <v/>
      </c>
      <c r="I589" s="139">
        <f>IFERROR(IF(AND(ISNUMBER(F589),ISNUMBER(H589)),F589-H589,""),"")</f>
        <v/>
      </c>
      <c r="J589" s="114" t="n"/>
      <c r="K589" s="139">
        <f>IFERROR(IF(H589&gt;0,H589*IF(OR(C589="Alpha",B589="Alpha"),$C$9,$C$8),""),"")</f>
        <v/>
      </c>
      <c r="L589" s="139">
        <f>IFERROR(IF(ISNUMBER(F589),F589-IF(ISNUMBER(K589),K589,0),""),"")</f>
        <v/>
      </c>
    </row>
    <row r="590" ht="24" customHeight="1" s="63">
      <c r="E590" s="139" t="n"/>
      <c r="F590" s="139" t="n"/>
      <c r="G590" s="140">
        <f>IFERROR(IF(E590&gt;0,(F590/E590)*1000,""),"")</f>
        <v/>
      </c>
      <c r="H590" s="139">
        <f>IFERROR(IF(E590&gt;0,E590*IF(ISNUMBER(J590),J590,IF(OR(C590="Alpha",B590="Alpha"),$C$7,IF(C590="Futures",$C$6,$C$5))),""),"")</f>
        <v/>
      </c>
      <c r="I590" s="139">
        <f>IFERROR(IF(AND(ISNUMBER(F590),ISNUMBER(H590)),F590-H590,""),"")</f>
        <v/>
      </c>
      <c r="J590" s="114" t="n"/>
      <c r="K590" s="139">
        <f>IFERROR(IF(H590&gt;0,H590*IF(OR(C590="Alpha",B590="Alpha"),$C$9,$C$8),""),"")</f>
        <v/>
      </c>
      <c r="L590" s="139">
        <f>IFERROR(IF(ISNUMBER(F590),F590-IF(ISNUMBER(K590),K590,0),""),"")</f>
        <v/>
      </c>
    </row>
    <row r="591" ht="24" customHeight="1" s="63">
      <c r="E591" s="139" t="n"/>
      <c r="F591" s="139" t="n"/>
      <c r="G591" s="140">
        <f>IFERROR(IF(E591&gt;0,(F591/E591)*1000,""),"")</f>
        <v/>
      </c>
      <c r="H591" s="139">
        <f>IFERROR(IF(E591&gt;0,E591*IF(ISNUMBER(J591),J591,IF(OR(C591="Alpha",B591="Alpha"),$C$7,IF(C591="Futures",$C$6,$C$5))),""),"")</f>
        <v/>
      </c>
      <c r="I591" s="139">
        <f>IFERROR(IF(AND(ISNUMBER(F591),ISNUMBER(H591)),F591-H591,""),"")</f>
        <v/>
      </c>
      <c r="J591" s="114" t="n"/>
      <c r="K591" s="139">
        <f>IFERROR(IF(H591&gt;0,H591*IF(OR(C591="Alpha",B591="Alpha"),$C$9,$C$8),""),"")</f>
        <v/>
      </c>
      <c r="L591" s="139">
        <f>IFERROR(IF(ISNUMBER(F591),F591-IF(ISNUMBER(K591),K591,0),""),"")</f>
        <v/>
      </c>
    </row>
    <row r="592" ht="24" customHeight="1" s="63">
      <c r="E592" s="139" t="n"/>
      <c r="F592" s="139" t="n"/>
      <c r="G592" s="140">
        <f>IFERROR(IF(E592&gt;0,(F592/E592)*1000,""),"")</f>
        <v/>
      </c>
      <c r="H592" s="139">
        <f>IFERROR(IF(E592&gt;0,E592*IF(ISNUMBER(J592),J592,IF(OR(C592="Alpha",B592="Alpha"),$C$7,IF(C592="Futures",$C$6,$C$5))),""),"")</f>
        <v/>
      </c>
      <c r="I592" s="139">
        <f>IFERROR(IF(AND(ISNUMBER(F592),ISNUMBER(H592)),F592-H592,""),"")</f>
        <v/>
      </c>
      <c r="J592" s="114" t="n"/>
      <c r="K592" s="139">
        <f>IFERROR(IF(H592&gt;0,H592*IF(OR(C592="Alpha",B592="Alpha"),$C$9,$C$8),""),"")</f>
        <v/>
      </c>
      <c r="L592" s="139">
        <f>IFERROR(IF(ISNUMBER(F592),F592-IF(ISNUMBER(K592),K592,0),""),"")</f>
        <v/>
      </c>
    </row>
    <row r="593" ht="24" customHeight="1" s="63">
      <c r="E593" s="139" t="n"/>
      <c r="F593" s="139" t="n"/>
      <c r="G593" s="140">
        <f>IFERROR(IF(E593&gt;0,(F593/E593)*1000,""),"")</f>
        <v/>
      </c>
      <c r="H593" s="139">
        <f>IFERROR(IF(E593&gt;0,E593*IF(ISNUMBER(J593),J593,IF(OR(C593="Alpha",B593="Alpha"),$C$7,IF(C593="Futures",$C$6,$C$5))),""),"")</f>
        <v/>
      </c>
      <c r="I593" s="139">
        <f>IFERROR(IF(AND(ISNUMBER(F593),ISNUMBER(H593)),F593-H593,""),"")</f>
        <v/>
      </c>
      <c r="J593" s="114" t="n"/>
      <c r="K593" s="139">
        <f>IFERROR(IF(H593&gt;0,H593*IF(OR(C593="Alpha",B593="Alpha"),$C$9,$C$8),""),"")</f>
        <v/>
      </c>
      <c r="L593" s="139">
        <f>IFERROR(IF(ISNUMBER(F593),F593-IF(ISNUMBER(K593),K593,0),""),"")</f>
        <v/>
      </c>
    </row>
    <row r="594" ht="24" customHeight="1" s="63">
      <c r="E594" s="139" t="n"/>
      <c r="F594" s="139" t="n"/>
      <c r="G594" s="140">
        <f>IFERROR(IF(E594&gt;0,(F594/E594)*1000,""),"")</f>
        <v/>
      </c>
      <c r="H594" s="139">
        <f>IFERROR(IF(E594&gt;0,E594*IF(ISNUMBER(J594),J594,IF(OR(C594="Alpha",B594="Alpha"),$C$7,IF(C594="Futures",$C$6,$C$5))),""),"")</f>
        <v/>
      </c>
      <c r="I594" s="139">
        <f>IFERROR(IF(AND(ISNUMBER(F594),ISNUMBER(H594)),F594-H594,""),"")</f>
        <v/>
      </c>
      <c r="J594" s="114" t="n"/>
      <c r="K594" s="139">
        <f>IFERROR(IF(H594&gt;0,H594*IF(OR(C594="Alpha",B594="Alpha"),$C$9,$C$8),""),"")</f>
        <v/>
      </c>
      <c r="L594" s="139">
        <f>IFERROR(IF(ISNUMBER(F594),F594-IF(ISNUMBER(K594),K594,0),""),"")</f>
        <v/>
      </c>
    </row>
    <row r="595" ht="24" customHeight="1" s="63">
      <c r="E595" s="139" t="n"/>
      <c r="F595" s="139" t="n"/>
      <c r="G595" s="140">
        <f>IFERROR(IF(E595&gt;0,(F595/E595)*1000,""),"")</f>
        <v/>
      </c>
      <c r="H595" s="139">
        <f>IFERROR(IF(E595&gt;0,E595*IF(ISNUMBER(J595),J595,IF(OR(C595="Alpha",B595="Alpha"),$C$7,IF(C595="Futures",$C$6,$C$5))),""),"")</f>
        <v/>
      </c>
      <c r="I595" s="139">
        <f>IFERROR(IF(AND(ISNUMBER(F595),ISNUMBER(H595)),F595-H595,""),"")</f>
        <v/>
      </c>
      <c r="J595" s="114" t="n"/>
      <c r="K595" s="139">
        <f>IFERROR(IF(H595&gt;0,H595*IF(OR(C595="Alpha",B595="Alpha"),$C$9,$C$8),""),"")</f>
        <v/>
      </c>
      <c r="L595" s="139">
        <f>IFERROR(IF(ISNUMBER(F595),F595-IF(ISNUMBER(K595),K595,0),""),"")</f>
        <v/>
      </c>
    </row>
    <row r="596" ht="24" customHeight="1" s="63">
      <c r="E596" s="139" t="n"/>
      <c r="F596" s="139" t="n"/>
      <c r="G596" s="140">
        <f>IFERROR(IF(E596&gt;0,(F596/E596)*1000,""),"")</f>
        <v/>
      </c>
      <c r="H596" s="139">
        <f>IFERROR(IF(E596&gt;0,E596*IF(ISNUMBER(J596),J596,IF(OR(C596="Alpha",B596="Alpha"),$C$7,IF(C596="Futures",$C$6,$C$5))),""),"")</f>
        <v/>
      </c>
      <c r="I596" s="139">
        <f>IFERROR(IF(AND(ISNUMBER(F596),ISNUMBER(H596)),F596-H596,""),"")</f>
        <v/>
      </c>
      <c r="J596" s="114" t="n"/>
      <c r="K596" s="139">
        <f>IFERROR(IF(H596&gt;0,H596*IF(OR(C596="Alpha",B596="Alpha"),$C$9,$C$8),""),"")</f>
        <v/>
      </c>
      <c r="L596" s="139">
        <f>IFERROR(IF(ISNUMBER(F596),F596-IF(ISNUMBER(K596),K596,0),""),"")</f>
        <v/>
      </c>
    </row>
    <row r="597" ht="24" customHeight="1" s="63">
      <c r="E597" s="139" t="n"/>
      <c r="F597" s="139" t="n"/>
      <c r="G597" s="140">
        <f>IFERROR(IF(E597&gt;0,(F597/E597)*1000,""),"")</f>
        <v/>
      </c>
      <c r="H597" s="139">
        <f>IFERROR(IF(E597&gt;0,E597*IF(ISNUMBER(J597),J597,IF(OR(C597="Alpha",B597="Alpha"),$C$7,IF(C597="Futures",$C$6,$C$5))),""),"")</f>
        <v/>
      </c>
      <c r="I597" s="139">
        <f>IFERROR(IF(AND(ISNUMBER(F597),ISNUMBER(H597)),F597-H597,""),"")</f>
        <v/>
      </c>
      <c r="J597" s="114" t="n"/>
      <c r="K597" s="139">
        <f>IFERROR(IF(H597&gt;0,H597*IF(OR(C597="Alpha",B597="Alpha"),$C$9,$C$8),""),"")</f>
        <v/>
      </c>
      <c r="L597" s="139">
        <f>IFERROR(IF(ISNUMBER(F597),F597-IF(ISNUMBER(K597),K597,0),""),"")</f>
        <v/>
      </c>
    </row>
    <row r="598" ht="24" customHeight="1" s="63">
      <c r="E598" s="139" t="n"/>
      <c r="F598" s="139" t="n"/>
      <c r="G598" s="140">
        <f>IFERROR(IF(E598&gt;0,(F598/E598)*1000,""),"")</f>
        <v/>
      </c>
      <c r="H598" s="139">
        <f>IFERROR(IF(E598&gt;0,E598*IF(ISNUMBER(J598),J598,IF(OR(C598="Alpha",B598="Alpha"),$C$7,IF(C598="Futures",$C$6,$C$5))),""),"")</f>
        <v/>
      </c>
      <c r="I598" s="139">
        <f>IFERROR(IF(AND(ISNUMBER(F598),ISNUMBER(H598)),F598-H598,""),"")</f>
        <v/>
      </c>
      <c r="J598" s="114" t="n"/>
      <c r="K598" s="139">
        <f>IFERROR(IF(H598&gt;0,H598*IF(OR(C598="Alpha",B598="Alpha"),$C$9,$C$8),""),"")</f>
        <v/>
      </c>
      <c r="L598" s="139">
        <f>IFERROR(IF(ISNUMBER(F598),F598-IF(ISNUMBER(K598),K598,0),""),"")</f>
        <v/>
      </c>
    </row>
    <row r="599" ht="24" customHeight="1" s="63">
      <c r="E599" s="139" t="n"/>
      <c r="F599" s="139" t="n"/>
      <c r="G599" s="140">
        <f>IFERROR(IF(E599&gt;0,(F599/E599)*1000,""),"")</f>
        <v/>
      </c>
      <c r="H599" s="139">
        <f>IFERROR(IF(E599&gt;0,E599*IF(ISNUMBER(J599),J599,IF(OR(C599="Alpha",B599="Alpha"),$C$7,IF(C599="Futures",$C$6,$C$5))),""),"")</f>
        <v/>
      </c>
      <c r="I599" s="139">
        <f>IFERROR(IF(AND(ISNUMBER(F599),ISNUMBER(H599)),F599-H599,""),"")</f>
        <v/>
      </c>
      <c r="J599" s="114" t="n"/>
      <c r="K599" s="139">
        <f>IFERROR(IF(H599&gt;0,H599*IF(OR(C599="Alpha",B599="Alpha"),$C$9,$C$8),""),"")</f>
        <v/>
      </c>
      <c r="L599" s="139">
        <f>IFERROR(IF(ISNUMBER(F599),F599-IF(ISNUMBER(K599),K599,0),""),"")</f>
        <v/>
      </c>
    </row>
    <row r="600" ht="24" customHeight="1" s="63">
      <c r="E600" s="139" t="n"/>
      <c r="F600" s="139" t="n"/>
      <c r="G600" s="140">
        <f>IFERROR(IF(E600&gt;0,(F600/E600)*1000,""),"")</f>
        <v/>
      </c>
      <c r="H600" s="139">
        <f>IFERROR(IF(E600&gt;0,E600*IF(ISNUMBER(J600),J600,IF(OR(C600="Alpha",B600="Alpha"),$C$7,IF(C600="Futures",$C$6,$C$5))),""),"")</f>
        <v/>
      </c>
      <c r="I600" s="139">
        <f>IFERROR(IF(AND(ISNUMBER(F600),ISNUMBER(H600)),F600-H600,""),"")</f>
        <v/>
      </c>
      <c r="J600" s="114" t="n"/>
      <c r="K600" s="139">
        <f>IFERROR(IF(H600&gt;0,H600*IF(OR(C600="Alpha",B600="Alpha"),$C$9,$C$8),""),"")</f>
        <v/>
      </c>
      <c r="L600" s="139">
        <f>IFERROR(IF(ISNUMBER(F600),F600-IF(ISNUMBER(K600),K600,0),""),"")</f>
        <v/>
      </c>
    </row>
    <row r="601" ht="24" customHeight="1" s="63">
      <c r="E601" s="139" t="n"/>
      <c r="F601" s="139" t="n"/>
      <c r="G601" s="140">
        <f>IFERROR(IF(E601&gt;0,(F601/E601)*1000,""),"")</f>
        <v/>
      </c>
      <c r="H601" s="139">
        <f>IFERROR(IF(E601&gt;0,E601*IF(ISNUMBER(J601),J601,IF(OR(C601="Alpha",B601="Alpha"),$C$7,IF(C601="Futures",$C$6,$C$5))),""),"")</f>
        <v/>
      </c>
      <c r="I601" s="139">
        <f>IFERROR(IF(AND(ISNUMBER(F601),ISNUMBER(H601)),F601-H601,""),"")</f>
        <v/>
      </c>
      <c r="J601" s="114" t="n"/>
      <c r="K601" s="139">
        <f>IFERROR(IF(H601&gt;0,H601*IF(OR(C601="Alpha",B601="Alpha"),$C$9,$C$8),""),"")</f>
        <v/>
      </c>
      <c r="L601" s="139">
        <f>IFERROR(IF(ISNUMBER(F601),F601-IF(ISNUMBER(K601),K601,0),""),"")</f>
        <v/>
      </c>
    </row>
    <row r="602" ht="24" customHeight="1" s="63">
      <c r="E602" s="139" t="n"/>
      <c r="F602" s="139" t="n"/>
      <c r="G602" s="140">
        <f>IFERROR(IF(E602&gt;0,(F602/E602)*1000,""),"")</f>
        <v/>
      </c>
      <c r="H602" s="139">
        <f>IFERROR(IF(E602&gt;0,E602*IF(ISNUMBER(J602),J602,IF(OR(C602="Alpha",B602="Alpha"),$C$7,IF(C602="Futures",$C$6,$C$5))),""),"")</f>
        <v/>
      </c>
      <c r="I602" s="139">
        <f>IFERROR(IF(AND(ISNUMBER(F602),ISNUMBER(H602)),F602-H602,""),"")</f>
        <v/>
      </c>
      <c r="J602" s="114" t="n"/>
      <c r="K602" s="139">
        <f>IFERROR(IF(H602&gt;0,H602*IF(OR(C602="Alpha",B602="Alpha"),$C$9,$C$8),""),"")</f>
        <v/>
      </c>
      <c r="L602" s="139">
        <f>IFERROR(IF(ISNUMBER(F602),F602-IF(ISNUMBER(K602),K602,0),""),"")</f>
        <v/>
      </c>
    </row>
    <row r="603" ht="24" customHeight="1" s="63">
      <c r="E603" s="139" t="n"/>
      <c r="F603" s="139" t="n"/>
      <c r="G603" s="140">
        <f>IFERROR(IF(E603&gt;0,(F603/E603)*1000,""),"")</f>
        <v/>
      </c>
      <c r="H603" s="139">
        <f>IFERROR(IF(E603&gt;0,E603*IF(ISNUMBER(J603),J603,IF(OR(C603="Alpha",B603="Alpha"),$C$7,IF(C603="Futures",$C$6,$C$5))),""),"")</f>
        <v/>
      </c>
      <c r="I603" s="139">
        <f>IFERROR(IF(AND(ISNUMBER(F603),ISNUMBER(H603)),F603-H603,""),"")</f>
        <v/>
      </c>
      <c r="J603" s="114" t="n"/>
      <c r="K603" s="139">
        <f>IFERROR(IF(H603&gt;0,H603*IF(OR(C603="Alpha",B603="Alpha"),$C$9,$C$8),""),"")</f>
        <v/>
      </c>
      <c r="L603" s="139">
        <f>IFERROR(IF(ISNUMBER(F603),F603-IF(ISNUMBER(K603),K603,0),""),"")</f>
        <v/>
      </c>
    </row>
    <row r="604" ht="24" customHeight="1" s="63">
      <c r="E604" s="139" t="n"/>
      <c r="F604" s="139" t="n"/>
      <c r="G604" s="140">
        <f>IFERROR(IF(E604&gt;0,(F604/E604)*1000,""),"")</f>
        <v/>
      </c>
      <c r="H604" s="139">
        <f>IFERROR(IF(E604&gt;0,E604*IF(ISNUMBER(J604),J604,IF(OR(C604="Alpha",B604="Alpha"),$C$7,IF(C604="Futures",$C$6,$C$5))),""),"")</f>
        <v/>
      </c>
      <c r="I604" s="139">
        <f>IFERROR(IF(AND(ISNUMBER(F604),ISNUMBER(H604)),F604-H604,""),"")</f>
        <v/>
      </c>
      <c r="J604" s="114" t="n"/>
      <c r="K604" s="139">
        <f>IFERROR(IF(H604&gt;0,H604*IF(OR(C604="Alpha",B604="Alpha"),$C$9,$C$8),""),"")</f>
        <v/>
      </c>
      <c r="L604" s="139">
        <f>IFERROR(IF(ISNUMBER(F604),F604-IF(ISNUMBER(K604),K604,0),""),"")</f>
        <v/>
      </c>
    </row>
    <row r="605" ht="24" customHeight="1" s="63">
      <c r="E605" s="139" t="n"/>
      <c r="F605" s="139" t="n"/>
      <c r="G605" s="140">
        <f>IFERROR(IF(E605&gt;0,(F605/E605)*1000,""),"")</f>
        <v/>
      </c>
      <c r="H605" s="139">
        <f>IFERROR(IF(E605&gt;0,E605*IF(ISNUMBER(J605),J605,IF(OR(C605="Alpha",B605="Alpha"),$C$7,IF(C605="Futures",$C$6,$C$5))),""),"")</f>
        <v/>
      </c>
      <c r="I605" s="139">
        <f>IFERROR(IF(AND(ISNUMBER(F605),ISNUMBER(H605)),F605-H605,""),"")</f>
        <v/>
      </c>
      <c r="J605" s="114" t="n"/>
      <c r="K605" s="139">
        <f>IFERROR(IF(H605&gt;0,H605*IF(OR(C605="Alpha",B605="Alpha"),$C$9,$C$8),""),"")</f>
        <v/>
      </c>
      <c r="L605" s="139">
        <f>IFERROR(IF(ISNUMBER(F605),F605-IF(ISNUMBER(K605),K605,0),""),"")</f>
        <v/>
      </c>
    </row>
    <row r="606" ht="24" customHeight="1" s="63">
      <c r="E606" s="139" t="n"/>
      <c r="F606" s="139" t="n"/>
      <c r="G606" s="140">
        <f>IFERROR(IF(E606&gt;0,(F606/E606)*1000,""),"")</f>
        <v/>
      </c>
      <c r="H606" s="139">
        <f>IFERROR(IF(E606&gt;0,E606*IF(ISNUMBER(J606),J606,IF(OR(C606="Alpha",B606="Alpha"),$C$7,IF(C606="Futures",$C$6,$C$5))),""),"")</f>
        <v/>
      </c>
      <c r="I606" s="139">
        <f>IFERROR(IF(AND(ISNUMBER(F606),ISNUMBER(H606)),F606-H606,""),"")</f>
        <v/>
      </c>
      <c r="J606" s="114" t="n"/>
      <c r="K606" s="139">
        <f>IFERROR(IF(H606&gt;0,H606*IF(OR(C606="Alpha",B606="Alpha"),$C$9,$C$8),""),"")</f>
        <v/>
      </c>
      <c r="L606" s="139">
        <f>IFERROR(IF(ISNUMBER(F606),F606-IF(ISNUMBER(K606),K606,0),""),"")</f>
        <v/>
      </c>
    </row>
    <row r="607" ht="24" customHeight="1" s="63">
      <c r="E607" s="139" t="n"/>
      <c r="F607" s="139" t="n"/>
      <c r="G607" s="140">
        <f>IFERROR(IF(E607&gt;0,(F607/E607)*1000,""),"")</f>
        <v/>
      </c>
      <c r="H607" s="139">
        <f>IFERROR(IF(E607&gt;0,E607*IF(ISNUMBER(J607),J607,IF(OR(C607="Alpha",B607="Alpha"),$C$7,IF(C607="Futures",$C$6,$C$5))),""),"")</f>
        <v/>
      </c>
      <c r="I607" s="139">
        <f>IFERROR(IF(AND(ISNUMBER(F607),ISNUMBER(H607)),F607-H607,""),"")</f>
        <v/>
      </c>
      <c r="J607" s="114" t="n"/>
      <c r="K607" s="139">
        <f>IFERROR(IF(H607&gt;0,H607*IF(OR(C607="Alpha",B607="Alpha"),$C$9,$C$8),""),"")</f>
        <v/>
      </c>
      <c r="L607" s="139">
        <f>IFERROR(IF(ISNUMBER(F607),F607-IF(ISNUMBER(K607),K607,0),""),"")</f>
        <v/>
      </c>
    </row>
    <row r="608" ht="24" customHeight="1" s="63">
      <c r="E608" s="139" t="n"/>
      <c r="F608" s="139" t="n"/>
      <c r="G608" s="140">
        <f>IFERROR(IF(E608&gt;0,(F608/E608)*1000,""),"")</f>
        <v/>
      </c>
      <c r="H608" s="139">
        <f>IFERROR(IF(E608&gt;0,E608*IF(ISNUMBER(J608),J608,IF(OR(C608="Alpha",B608="Alpha"),$C$7,IF(C608="Futures",$C$6,$C$5))),""),"")</f>
        <v/>
      </c>
      <c r="I608" s="139">
        <f>IFERROR(IF(AND(ISNUMBER(F608),ISNUMBER(H608)),F608-H608,""),"")</f>
        <v/>
      </c>
      <c r="J608" s="114" t="n"/>
      <c r="K608" s="139">
        <f>IFERROR(IF(H608&gt;0,H608*IF(OR(C608="Alpha",B608="Alpha"),$C$9,$C$8),""),"")</f>
        <v/>
      </c>
      <c r="L608" s="139">
        <f>IFERROR(IF(ISNUMBER(F608),F608-IF(ISNUMBER(K608),K608,0),""),"")</f>
        <v/>
      </c>
    </row>
    <row r="609" ht="24" customHeight="1" s="63">
      <c r="E609" s="139" t="n"/>
      <c r="F609" s="139" t="n"/>
      <c r="G609" s="140">
        <f>IFERROR(IF(E609&gt;0,(F609/E609)*1000,""),"")</f>
        <v/>
      </c>
      <c r="H609" s="139">
        <f>IFERROR(IF(E609&gt;0,E609*IF(ISNUMBER(J609),J609,IF(OR(C609="Alpha",B609="Alpha"),$C$7,IF(C609="Futures",$C$6,$C$5))),""),"")</f>
        <v/>
      </c>
      <c r="I609" s="139">
        <f>IFERROR(IF(AND(ISNUMBER(F609),ISNUMBER(H609)),F609-H609,""),"")</f>
        <v/>
      </c>
      <c r="J609" s="114" t="n"/>
      <c r="K609" s="139">
        <f>IFERROR(IF(H609&gt;0,H609*IF(OR(C609="Alpha",B609="Alpha"),$C$9,$C$8),""),"")</f>
        <v/>
      </c>
      <c r="L609" s="139">
        <f>IFERROR(IF(ISNUMBER(F609),F609-IF(ISNUMBER(K609),K609,0),""),"")</f>
        <v/>
      </c>
    </row>
    <row r="610" ht="24" customHeight="1" s="63">
      <c r="E610" s="139" t="n"/>
      <c r="F610" s="139" t="n"/>
      <c r="G610" s="140">
        <f>IFERROR(IF(E610&gt;0,(F610/E610)*1000,""),"")</f>
        <v/>
      </c>
      <c r="H610" s="139">
        <f>IFERROR(IF(E610&gt;0,E610*IF(ISNUMBER(J610),J610,IF(OR(C610="Alpha",B610="Alpha"),$C$7,IF(C610="Futures",$C$6,$C$5))),""),"")</f>
        <v/>
      </c>
      <c r="I610" s="139">
        <f>IFERROR(IF(AND(ISNUMBER(F610),ISNUMBER(H610)),F610-H610,""),"")</f>
        <v/>
      </c>
      <c r="J610" s="114" t="n"/>
      <c r="K610" s="139">
        <f>IFERROR(IF(H610&gt;0,H610*IF(OR(C610="Alpha",B610="Alpha"),$C$9,$C$8),""),"")</f>
        <v/>
      </c>
      <c r="L610" s="139">
        <f>IFERROR(IF(ISNUMBER(F610),F610-IF(ISNUMBER(K610),K610,0),""),"")</f>
        <v/>
      </c>
    </row>
    <row r="611" ht="24" customHeight="1" s="63">
      <c r="E611" s="139" t="n"/>
      <c r="F611" s="139" t="n"/>
      <c r="G611" s="140">
        <f>IFERROR(IF(E611&gt;0,(F611/E611)*1000,""),"")</f>
        <v/>
      </c>
      <c r="H611" s="139">
        <f>IFERROR(IF(E611&gt;0,E611*IF(ISNUMBER(J611),J611,IF(OR(C611="Alpha",B611="Alpha"),$C$7,IF(C611="Futures",$C$6,$C$5))),""),"")</f>
        <v/>
      </c>
      <c r="I611" s="139">
        <f>IFERROR(IF(AND(ISNUMBER(F611),ISNUMBER(H611)),F611-H611,""),"")</f>
        <v/>
      </c>
      <c r="J611" s="114" t="n"/>
      <c r="K611" s="139">
        <f>IFERROR(IF(H611&gt;0,H611*IF(OR(C611="Alpha",B611="Alpha"),$C$9,$C$8),""),"")</f>
        <v/>
      </c>
      <c r="L611" s="139">
        <f>IFERROR(IF(ISNUMBER(F611),F611-IF(ISNUMBER(K611),K611,0),""),"")</f>
        <v/>
      </c>
    </row>
    <row r="612" ht="24" customHeight="1" s="63">
      <c r="E612" s="139" t="n"/>
      <c r="F612" s="139" t="n"/>
      <c r="G612" s="140">
        <f>IFERROR(IF(E612&gt;0,(F612/E612)*1000,""),"")</f>
        <v/>
      </c>
      <c r="H612" s="139">
        <f>IFERROR(IF(E612&gt;0,E612*IF(ISNUMBER(J612),J612,IF(OR(C612="Alpha",B612="Alpha"),$C$7,IF(C612="Futures",$C$6,$C$5))),""),"")</f>
        <v/>
      </c>
      <c r="I612" s="139">
        <f>IFERROR(IF(AND(ISNUMBER(F612),ISNUMBER(H612)),F612-H612,""),"")</f>
        <v/>
      </c>
      <c r="J612" s="114" t="n"/>
      <c r="K612" s="139">
        <f>IFERROR(IF(H612&gt;0,H612*IF(OR(C612="Alpha",B612="Alpha"),$C$9,$C$8),""),"")</f>
        <v/>
      </c>
      <c r="L612" s="139">
        <f>IFERROR(IF(ISNUMBER(F612),F612-IF(ISNUMBER(K612),K612,0),""),"")</f>
        <v/>
      </c>
    </row>
    <row r="613" ht="24" customHeight="1" s="63">
      <c r="E613" s="139" t="n"/>
      <c r="F613" s="139" t="n"/>
      <c r="G613" s="140">
        <f>IFERROR(IF(E613&gt;0,(F613/E613)*1000,""),"")</f>
        <v/>
      </c>
      <c r="H613" s="139">
        <f>IFERROR(IF(E613&gt;0,E613*IF(ISNUMBER(J613),J613,IF(OR(C613="Alpha",B613="Alpha"),$C$7,IF(C613="Futures",$C$6,$C$5))),""),"")</f>
        <v/>
      </c>
      <c r="I613" s="139">
        <f>IFERROR(IF(AND(ISNUMBER(F613),ISNUMBER(H613)),F613-H613,""),"")</f>
        <v/>
      </c>
      <c r="J613" s="114" t="n"/>
      <c r="K613" s="139">
        <f>IFERROR(IF(H613&gt;0,H613*IF(OR(C613="Alpha",B613="Alpha"),$C$9,$C$8),""),"")</f>
        <v/>
      </c>
      <c r="L613" s="139">
        <f>IFERROR(IF(ISNUMBER(F613),F613-IF(ISNUMBER(K613),K613,0),""),"")</f>
        <v/>
      </c>
    </row>
    <row r="614" ht="24" customHeight="1" s="63">
      <c r="E614" s="139" t="n"/>
      <c r="F614" s="139" t="n"/>
      <c r="G614" s="140">
        <f>IFERROR(IF(E614&gt;0,(F614/E614)*1000,""),"")</f>
        <v/>
      </c>
      <c r="H614" s="139">
        <f>IFERROR(IF(E614&gt;0,E614*IF(ISNUMBER(J614),J614,IF(OR(C614="Alpha",B614="Alpha"),$C$7,IF(C614="Futures",$C$6,$C$5))),""),"")</f>
        <v/>
      </c>
      <c r="I614" s="139">
        <f>IFERROR(IF(AND(ISNUMBER(F614),ISNUMBER(H614)),F614-H614,""),"")</f>
        <v/>
      </c>
      <c r="J614" s="114" t="n"/>
      <c r="K614" s="139">
        <f>IFERROR(IF(H614&gt;0,H614*IF(OR(C614="Alpha",B614="Alpha"),$C$9,$C$8),""),"")</f>
        <v/>
      </c>
      <c r="L614" s="139">
        <f>IFERROR(IF(ISNUMBER(F614),F614-IF(ISNUMBER(K614),K614,0),""),"")</f>
        <v/>
      </c>
    </row>
    <row r="615" ht="24" customHeight="1" s="63">
      <c r="E615" s="139" t="n"/>
      <c r="F615" s="139" t="n"/>
      <c r="G615" s="140">
        <f>IFERROR(IF(E615&gt;0,(F615/E615)*1000,""),"")</f>
        <v/>
      </c>
      <c r="H615" s="139">
        <f>IFERROR(IF(E615&gt;0,E615*IF(ISNUMBER(J615),J615,IF(OR(C615="Alpha",B615="Alpha"),$C$7,IF(C615="Futures",$C$6,$C$5))),""),"")</f>
        <v/>
      </c>
      <c r="I615" s="139">
        <f>IFERROR(IF(AND(ISNUMBER(F615),ISNUMBER(H615)),F615-H615,""),"")</f>
        <v/>
      </c>
      <c r="J615" s="114" t="n"/>
      <c r="K615" s="139">
        <f>IFERROR(IF(H615&gt;0,H615*IF(OR(C615="Alpha",B615="Alpha"),$C$9,$C$8),""),"")</f>
        <v/>
      </c>
      <c r="L615" s="139">
        <f>IFERROR(IF(ISNUMBER(F615),F615-IF(ISNUMBER(K615),K615,0),""),"")</f>
        <v/>
      </c>
    </row>
    <row r="616" ht="24" customHeight="1" s="63">
      <c r="E616" s="139" t="n"/>
      <c r="F616" s="139" t="n"/>
      <c r="G616" s="140">
        <f>IFERROR(IF(E616&gt;0,(F616/E616)*1000,""),"")</f>
        <v/>
      </c>
      <c r="H616" s="139">
        <f>IFERROR(IF(E616&gt;0,E616*IF(ISNUMBER(J616),J616,IF(OR(C616="Alpha",B616="Alpha"),$C$7,IF(C616="Futures",$C$6,$C$5))),""),"")</f>
        <v/>
      </c>
      <c r="I616" s="139">
        <f>IFERROR(IF(AND(ISNUMBER(F616),ISNUMBER(H616)),F616-H616,""),"")</f>
        <v/>
      </c>
      <c r="J616" s="114" t="n"/>
      <c r="K616" s="139">
        <f>IFERROR(IF(H616&gt;0,H616*IF(OR(C616="Alpha",B616="Alpha"),$C$9,$C$8),""),"")</f>
        <v/>
      </c>
      <c r="L616" s="139">
        <f>IFERROR(IF(ISNUMBER(F616),F616-IF(ISNUMBER(K616),K616,0),""),"")</f>
        <v/>
      </c>
    </row>
    <row r="617" ht="24" customHeight="1" s="63">
      <c r="E617" s="139" t="n"/>
      <c r="F617" s="139" t="n"/>
      <c r="G617" s="140">
        <f>IFERROR(IF(E617&gt;0,(F617/E617)*1000,""),"")</f>
        <v/>
      </c>
      <c r="H617" s="139">
        <f>IFERROR(IF(E617&gt;0,E617*IF(ISNUMBER(J617),J617,IF(OR(C617="Alpha",B617="Alpha"),$C$7,IF(C617="Futures",$C$6,$C$5))),""),"")</f>
        <v/>
      </c>
      <c r="I617" s="139">
        <f>IFERROR(IF(AND(ISNUMBER(F617),ISNUMBER(H617)),F617-H617,""),"")</f>
        <v/>
      </c>
      <c r="J617" s="114" t="n"/>
      <c r="K617" s="139">
        <f>IFERROR(IF(H617&gt;0,H617*IF(OR(C617="Alpha",B617="Alpha"),$C$9,$C$8),""),"")</f>
        <v/>
      </c>
      <c r="L617" s="139">
        <f>IFERROR(IF(ISNUMBER(F617),F617-IF(ISNUMBER(K617),K617,0),""),"")</f>
        <v/>
      </c>
    </row>
    <row r="618" ht="24" customHeight="1" s="63">
      <c r="E618" s="139" t="n"/>
      <c r="F618" s="139" t="n"/>
      <c r="G618" s="140">
        <f>IFERROR(IF(E618&gt;0,(F618/E618)*1000,""),"")</f>
        <v/>
      </c>
      <c r="H618" s="139">
        <f>IFERROR(IF(E618&gt;0,E618*IF(ISNUMBER(J618),J618,IF(OR(C618="Alpha",B618="Alpha"),$C$7,IF(C618="Futures",$C$6,$C$5))),""),"")</f>
        <v/>
      </c>
      <c r="I618" s="139">
        <f>IFERROR(IF(AND(ISNUMBER(F618),ISNUMBER(H618)),F618-H618,""),"")</f>
        <v/>
      </c>
      <c r="J618" s="114" t="n"/>
      <c r="K618" s="139">
        <f>IFERROR(IF(H618&gt;0,H618*IF(OR(C618="Alpha",B618="Alpha"),$C$9,$C$8),""),"")</f>
        <v/>
      </c>
      <c r="L618" s="139">
        <f>IFERROR(IF(ISNUMBER(F618),F618-IF(ISNUMBER(K618),K618,0),""),"")</f>
        <v/>
      </c>
    </row>
    <row r="619" ht="24" customHeight="1" s="63">
      <c r="E619" s="139" t="n"/>
      <c r="F619" s="139" t="n"/>
      <c r="G619" s="140">
        <f>IFERROR(IF(E619&gt;0,(F619/E619)*1000,""),"")</f>
        <v/>
      </c>
      <c r="H619" s="139">
        <f>IFERROR(IF(E619&gt;0,E619*IF(ISNUMBER(J619),J619,IF(OR(C619="Alpha",B619="Alpha"),$C$7,IF(C619="Futures",$C$6,$C$5))),""),"")</f>
        <v/>
      </c>
      <c r="I619" s="139">
        <f>IFERROR(IF(AND(ISNUMBER(F619),ISNUMBER(H619)),F619-H619,""),"")</f>
        <v/>
      </c>
      <c r="J619" s="114" t="n"/>
      <c r="K619" s="139">
        <f>IFERROR(IF(H619&gt;0,H619*IF(OR(C619="Alpha",B619="Alpha"),$C$9,$C$8),""),"")</f>
        <v/>
      </c>
      <c r="L619" s="139">
        <f>IFERROR(IF(ISNUMBER(F619),F619-IF(ISNUMBER(K619),K619,0),""),"")</f>
        <v/>
      </c>
    </row>
    <row r="620" ht="24" customHeight="1" s="63">
      <c r="E620" s="139" t="n"/>
      <c r="F620" s="139" t="n"/>
      <c r="G620" s="140">
        <f>IFERROR(IF(E620&gt;0,(F620/E620)*1000,""),"")</f>
        <v/>
      </c>
      <c r="H620" s="139">
        <f>IFERROR(IF(E620&gt;0,E620*IF(ISNUMBER(J620),J620,IF(OR(C620="Alpha",B620="Alpha"),$C$7,IF(C620="Futures",$C$6,$C$5))),""),"")</f>
        <v/>
      </c>
      <c r="I620" s="139">
        <f>IFERROR(IF(AND(ISNUMBER(F620),ISNUMBER(H620)),F620-H620,""),"")</f>
        <v/>
      </c>
      <c r="J620" s="114" t="n"/>
      <c r="K620" s="139">
        <f>IFERROR(IF(H620&gt;0,H620*IF(OR(C620="Alpha",B620="Alpha"),$C$9,$C$8),""),"")</f>
        <v/>
      </c>
      <c r="L620" s="139">
        <f>IFERROR(IF(ISNUMBER(F620),F620-IF(ISNUMBER(K620),K620,0),""),"")</f>
        <v/>
      </c>
    </row>
    <row r="621" ht="24" customHeight="1" s="63">
      <c r="E621" s="139" t="n"/>
      <c r="F621" s="139" t="n"/>
      <c r="G621" s="140">
        <f>IFERROR(IF(E621&gt;0,(F621/E621)*1000,""),"")</f>
        <v/>
      </c>
      <c r="H621" s="139">
        <f>IFERROR(IF(E621&gt;0,E621*IF(ISNUMBER(J621),J621,IF(OR(C621="Alpha",B621="Alpha"),$C$7,IF(C621="Futures",$C$6,$C$5))),""),"")</f>
        <v/>
      </c>
      <c r="I621" s="139">
        <f>IFERROR(IF(AND(ISNUMBER(F621),ISNUMBER(H621)),F621-H621,""),"")</f>
        <v/>
      </c>
      <c r="J621" s="114" t="n"/>
      <c r="K621" s="139">
        <f>IFERROR(IF(H621&gt;0,H621*IF(OR(C621="Alpha",B621="Alpha"),$C$9,$C$8),""),"")</f>
        <v/>
      </c>
      <c r="L621" s="139">
        <f>IFERROR(IF(ISNUMBER(F621),F621-IF(ISNUMBER(K621),K621,0),""),"")</f>
        <v/>
      </c>
    </row>
    <row r="622" ht="24" customHeight="1" s="63">
      <c r="E622" s="139" t="n"/>
      <c r="F622" s="139" t="n"/>
      <c r="G622" s="140">
        <f>IFERROR(IF(E622&gt;0,(F622/E622)*1000,""),"")</f>
        <v/>
      </c>
      <c r="H622" s="139">
        <f>IFERROR(IF(E622&gt;0,E622*IF(ISNUMBER(J622),J622,IF(OR(C622="Alpha",B622="Alpha"),$C$7,IF(C622="Futures",$C$6,$C$5))),""),"")</f>
        <v/>
      </c>
      <c r="I622" s="139">
        <f>IFERROR(IF(AND(ISNUMBER(F622),ISNUMBER(H622)),F622-H622,""),"")</f>
        <v/>
      </c>
      <c r="J622" s="114" t="n"/>
      <c r="K622" s="139">
        <f>IFERROR(IF(H622&gt;0,H622*IF(OR(C622="Alpha",B622="Alpha"),$C$9,$C$8),""),"")</f>
        <v/>
      </c>
      <c r="L622" s="139">
        <f>IFERROR(IF(ISNUMBER(F622),F622-IF(ISNUMBER(K622),K622,0),""),"")</f>
        <v/>
      </c>
    </row>
    <row r="623" ht="24" customHeight="1" s="63">
      <c r="E623" s="139" t="n"/>
      <c r="F623" s="139" t="n"/>
      <c r="G623" s="140">
        <f>IFERROR(IF(E623&gt;0,(F623/E623)*1000,""),"")</f>
        <v/>
      </c>
      <c r="H623" s="139">
        <f>IFERROR(IF(E623&gt;0,E623*IF(ISNUMBER(J623),J623,IF(OR(C623="Alpha",B623="Alpha"),$C$7,IF(C623="Futures",$C$6,$C$5))),""),"")</f>
        <v/>
      </c>
      <c r="I623" s="139">
        <f>IFERROR(IF(AND(ISNUMBER(F623),ISNUMBER(H623)),F623-H623,""),"")</f>
        <v/>
      </c>
      <c r="J623" s="114" t="n"/>
      <c r="K623" s="139">
        <f>IFERROR(IF(H623&gt;0,H623*IF(OR(C623="Alpha",B623="Alpha"),$C$9,$C$8),""),"")</f>
        <v/>
      </c>
      <c r="L623" s="139">
        <f>IFERROR(IF(ISNUMBER(F623),F623-IF(ISNUMBER(K623),K623,0),""),"")</f>
        <v/>
      </c>
    </row>
    <row r="624" ht="24" customHeight="1" s="63">
      <c r="E624" s="139" t="n"/>
      <c r="F624" s="139" t="n"/>
      <c r="G624" s="140">
        <f>IFERROR(IF(E624&gt;0,(F624/E624)*1000,""),"")</f>
        <v/>
      </c>
      <c r="H624" s="139">
        <f>IFERROR(IF(E624&gt;0,E624*IF(ISNUMBER(J624),J624,IF(OR(C624="Alpha",B624="Alpha"),$C$7,IF(C624="Futures",$C$6,$C$5))),""),"")</f>
        <v/>
      </c>
      <c r="I624" s="139">
        <f>IFERROR(IF(AND(ISNUMBER(F624),ISNUMBER(H624)),F624-H624,""),"")</f>
        <v/>
      </c>
      <c r="J624" s="114" t="n"/>
      <c r="K624" s="139">
        <f>IFERROR(IF(H624&gt;0,H624*IF(OR(C624="Alpha",B624="Alpha"),$C$9,$C$8),""),"")</f>
        <v/>
      </c>
      <c r="L624" s="139">
        <f>IFERROR(IF(ISNUMBER(F624),F624-IF(ISNUMBER(K624),K624,0),""),"")</f>
        <v/>
      </c>
    </row>
    <row r="625" ht="24" customHeight="1" s="63">
      <c r="E625" s="139" t="n"/>
      <c r="F625" s="139" t="n"/>
      <c r="G625" s="140">
        <f>IFERROR(IF(E625&gt;0,(F625/E625)*1000,""),"")</f>
        <v/>
      </c>
      <c r="H625" s="139">
        <f>IFERROR(IF(E625&gt;0,E625*IF(ISNUMBER(J625),J625,IF(OR(C625="Alpha",B625="Alpha"),$C$7,IF(C625="Futures",$C$6,$C$5))),""),"")</f>
        <v/>
      </c>
      <c r="I625" s="139">
        <f>IFERROR(IF(AND(ISNUMBER(F625),ISNUMBER(H625)),F625-H625,""),"")</f>
        <v/>
      </c>
      <c r="J625" s="114" t="n"/>
      <c r="K625" s="139">
        <f>IFERROR(IF(H625&gt;0,H625*IF(OR(C625="Alpha",B625="Alpha"),$C$9,$C$8),""),"")</f>
        <v/>
      </c>
      <c r="L625" s="139">
        <f>IFERROR(IF(ISNUMBER(F625),F625-IF(ISNUMBER(K625),K625,0),""),"")</f>
        <v/>
      </c>
    </row>
    <row r="626" ht="24" customHeight="1" s="63">
      <c r="E626" s="139" t="n"/>
      <c r="F626" s="139" t="n"/>
      <c r="G626" s="140">
        <f>IFERROR(IF(E626&gt;0,(F626/E626)*1000,""),"")</f>
        <v/>
      </c>
      <c r="H626" s="139">
        <f>IFERROR(IF(E626&gt;0,E626*IF(ISNUMBER(J626),J626,IF(OR(C626="Alpha",B626="Alpha"),$C$7,IF(C626="Futures",$C$6,$C$5))),""),"")</f>
        <v/>
      </c>
      <c r="I626" s="139">
        <f>IFERROR(IF(AND(ISNUMBER(F626),ISNUMBER(H626)),F626-H626,""),"")</f>
        <v/>
      </c>
      <c r="J626" s="114" t="n"/>
      <c r="K626" s="139">
        <f>IFERROR(IF(H626&gt;0,H626*IF(OR(C626="Alpha",B626="Alpha"),$C$9,$C$8),""),"")</f>
        <v/>
      </c>
      <c r="L626" s="139">
        <f>IFERROR(IF(ISNUMBER(F626),F626-IF(ISNUMBER(K626),K626,0),""),"")</f>
        <v/>
      </c>
    </row>
    <row r="627" ht="24" customHeight="1" s="63">
      <c r="E627" s="139" t="n"/>
      <c r="F627" s="139" t="n"/>
      <c r="G627" s="140">
        <f>IFERROR(IF(E627&gt;0,(F627/E627)*1000,""),"")</f>
        <v/>
      </c>
      <c r="H627" s="139">
        <f>IFERROR(IF(E627&gt;0,E627*IF(ISNUMBER(J627),J627,IF(OR(C627="Alpha",B627="Alpha"),$C$7,IF(C627="Futures",$C$6,$C$5))),""),"")</f>
        <v/>
      </c>
      <c r="I627" s="139">
        <f>IFERROR(IF(AND(ISNUMBER(F627),ISNUMBER(H627)),F627-H627,""),"")</f>
        <v/>
      </c>
      <c r="J627" s="114" t="n"/>
      <c r="K627" s="139">
        <f>IFERROR(IF(H627&gt;0,H627*IF(OR(C627="Alpha",B627="Alpha"),$C$9,$C$8),""),"")</f>
        <v/>
      </c>
      <c r="L627" s="139">
        <f>IFERROR(IF(ISNUMBER(F627),F627-IF(ISNUMBER(K627),K627,0),""),"")</f>
        <v/>
      </c>
    </row>
    <row r="628" ht="24" customHeight="1" s="63">
      <c r="E628" s="139" t="n"/>
      <c r="F628" s="139" t="n"/>
      <c r="G628" s="140">
        <f>IFERROR(IF(E628&gt;0,(F628/E628)*1000,""),"")</f>
        <v/>
      </c>
      <c r="H628" s="139">
        <f>IFERROR(IF(E628&gt;0,E628*IF(ISNUMBER(J628),J628,IF(OR(C628="Alpha",B628="Alpha"),$C$7,IF(C628="Futures",$C$6,$C$5))),""),"")</f>
        <v/>
      </c>
      <c r="I628" s="139">
        <f>IFERROR(IF(AND(ISNUMBER(F628),ISNUMBER(H628)),F628-H628,""),"")</f>
        <v/>
      </c>
      <c r="J628" s="114" t="n"/>
      <c r="K628" s="139">
        <f>IFERROR(IF(H628&gt;0,H628*IF(OR(C628="Alpha",B628="Alpha"),$C$9,$C$8),""),"")</f>
        <v/>
      </c>
      <c r="L628" s="139">
        <f>IFERROR(IF(ISNUMBER(F628),F628-IF(ISNUMBER(K628),K628,0),""),"")</f>
        <v/>
      </c>
    </row>
    <row r="629" ht="24" customHeight="1" s="63">
      <c r="E629" s="139" t="n"/>
      <c r="F629" s="139" t="n"/>
      <c r="G629" s="140">
        <f>IFERROR(IF(E629&gt;0,(F629/E629)*1000,""),"")</f>
        <v/>
      </c>
      <c r="H629" s="139">
        <f>IFERROR(IF(E629&gt;0,E629*IF(ISNUMBER(J629),J629,IF(OR(C629="Alpha",B629="Alpha"),$C$7,IF(C629="Futures",$C$6,$C$5))),""),"")</f>
        <v/>
      </c>
      <c r="I629" s="139">
        <f>IFERROR(IF(AND(ISNUMBER(F629),ISNUMBER(H629)),F629-H629,""),"")</f>
        <v/>
      </c>
      <c r="J629" s="114" t="n"/>
      <c r="K629" s="139">
        <f>IFERROR(IF(H629&gt;0,H629*IF(OR(C629="Alpha",B629="Alpha"),$C$9,$C$8),""),"")</f>
        <v/>
      </c>
      <c r="L629" s="139">
        <f>IFERROR(IF(ISNUMBER(F629),F629-IF(ISNUMBER(K629),K629,0),""),"")</f>
        <v/>
      </c>
    </row>
    <row r="630" ht="24" customHeight="1" s="63">
      <c r="E630" s="139" t="n"/>
      <c r="F630" s="139" t="n"/>
      <c r="G630" s="140">
        <f>IFERROR(IF(E630&gt;0,(F630/E630)*1000,""),"")</f>
        <v/>
      </c>
      <c r="H630" s="139">
        <f>IFERROR(IF(E630&gt;0,E630*IF(ISNUMBER(J630),J630,IF(OR(C630="Alpha",B630="Alpha"),$C$7,IF(C630="Futures",$C$6,$C$5))),""),"")</f>
        <v/>
      </c>
      <c r="I630" s="139">
        <f>IFERROR(IF(AND(ISNUMBER(F630),ISNUMBER(H630)),F630-H630,""),"")</f>
        <v/>
      </c>
      <c r="J630" s="114" t="n"/>
      <c r="K630" s="139">
        <f>IFERROR(IF(H630&gt;0,H630*IF(OR(C630="Alpha",B630="Alpha"),$C$9,$C$8),""),"")</f>
        <v/>
      </c>
      <c r="L630" s="139">
        <f>IFERROR(IF(ISNUMBER(F630),F630-IF(ISNUMBER(K630),K630,0),""),"")</f>
        <v/>
      </c>
    </row>
    <row r="631" ht="24" customHeight="1" s="63">
      <c r="E631" s="139" t="n"/>
      <c r="F631" s="139" t="n"/>
      <c r="G631" s="140">
        <f>IFERROR(IF(E631&gt;0,(F631/E631)*1000,""),"")</f>
        <v/>
      </c>
      <c r="H631" s="139">
        <f>IFERROR(IF(E631&gt;0,E631*IF(ISNUMBER(J631),J631,IF(OR(C631="Alpha",B631="Alpha"),$C$7,IF(C631="Futures",$C$6,$C$5))),""),"")</f>
        <v/>
      </c>
      <c r="I631" s="139">
        <f>IFERROR(IF(AND(ISNUMBER(F631),ISNUMBER(H631)),F631-H631,""),"")</f>
        <v/>
      </c>
      <c r="J631" s="114" t="n"/>
      <c r="K631" s="139">
        <f>IFERROR(IF(H631&gt;0,H631*IF(OR(C631="Alpha",B631="Alpha"),$C$9,$C$8),""),"")</f>
        <v/>
      </c>
      <c r="L631" s="139">
        <f>IFERROR(IF(ISNUMBER(F631),F631-IF(ISNUMBER(K631),K631,0),""),"")</f>
        <v/>
      </c>
    </row>
    <row r="632" ht="24" customHeight="1" s="63">
      <c r="E632" s="139" t="n"/>
      <c r="F632" s="139" t="n"/>
      <c r="G632" s="140">
        <f>IFERROR(IF(E632&gt;0,(F632/E632)*1000,""),"")</f>
        <v/>
      </c>
      <c r="H632" s="139">
        <f>IFERROR(IF(E632&gt;0,E632*IF(ISNUMBER(J632),J632,IF(OR(C632="Alpha",B632="Alpha"),$C$7,IF(C632="Futures",$C$6,$C$5))),""),"")</f>
        <v/>
      </c>
      <c r="I632" s="139">
        <f>IFERROR(IF(AND(ISNUMBER(F632),ISNUMBER(H632)),F632-H632,""),"")</f>
        <v/>
      </c>
      <c r="J632" s="114" t="n"/>
      <c r="K632" s="139">
        <f>IFERROR(IF(H632&gt;0,H632*IF(OR(C632="Alpha",B632="Alpha"),$C$9,$C$8),""),"")</f>
        <v/>
      </c>
      <c r="L632" s="139">
        <f>IFERROR(IF(ISNUMBER(F632),F632-IF(ISNUMBER(K632),K632,0),""),"")</f>
        <v/>
      </c>
    </row>
    <row r="633" ht="24" customHeight="1" s="63">
      <c r="E633" s="139" t="n"/>
      <c r="F633" s="139" t="n"/>
      <c r="G633" s="140">
        <f>IFERROR(IF(E633&gt;0,(F633/E633)*1000,""),"")</f>
        <v/>
      </c>
      <c r="H633" s="139">
        <f>IFERROR(IF(E633&gt;0,E633*IF(ISNUMBER(J633),J633,IF(OR(C633="Alpha",B633="Alpha"),$C$7,IF(C633="Futures",$C$6,$C$5))),""),"")</f>
        <v/>
      </c>
      <c r="I633" s="139">
        <f>IFERROR(IF(AND(ISNUMBER(F633),ISNUMBER(H633)),F633-H633,""),"")</f>
        <v/>
      </c>
      <c r="J633" s="114" t="n"/>
      <c r="K633" s="139">
        <f>IFERROR(IF(H633&gt;0,H633*IF(OR(C633="Alpha",B633="Alpha"),$C$9,$C$8),""),"")</f>
        <v/>
      </c>
      <c r="L633" s="139">
        <f>IFERROR(IF(ISNUMBER(F633),F633-IF(ISNUMBER(K633),K633,0),""),"")</f>
        <v/>
      </c>
    </row>
    <row r="634" ht="24" customHeight="1" s="63">
      <c r="E634" s="139" t="n"/>
      <c r="F634" s="139" t="n"/>
      <c r="G634" s="140">
        <f>IFERROR(IF(E634&gt;0,(F634/E634)*1000,""),"")</f>
        <v/>
      </c>
      <c r="H634" s="139">
        <f>IFERROR(IF(E634&gt;0,E634*IF(ISNUMBER(J634),J634,IF(OR(C634="Alpha",B634="Alpha"),$C$7,IF(C634="Futures",$C$6,$C$5))),""),"")</f>
        <v/>
      </c>
      <c r="I634" s="139">
        <f>IFERROR(IF(AND(ISNUMBER(F634),ISNUMBER(H634)),F634-H634,""),"")</f>
        <v/>
      </c>
      <c r="J634" s="114" t="n"/>
      <c r="K634" s="139">
        <f>IFERROR(IF(H634&gt;0,H634*IF(OR(C634="Alpha",B634="Alpha"),$C$9,$C$8),""),"")</f>
        <v/>
      </c>
      <c r="L634" s="139">
        <f>IFERROR(IF(ISNUMBER(F634),F634-IF(ISNUMBER(K634),K634,0),""),"")</f>
        <v/>
      </c>
    </row>
    <row r="635" ht="24" customHeight="1" s="63">
      <c r="E635" s="139" t="n"/>
      <c r="F635" s="139" t="n"/>
      <c r="G635" s="140">
        <f>IFERROR(IF(E635&gt;0,(F635/E635)*1000,""),"")</f>
        <v/>
      </c>
      <c r="H635" s="139">
        <f>IFERROR(IF(E635&gt;0,E635*IF(ISNUMBER(J635),J635,IF(OR(C635="Alpha",B635="Alpha"),$C$7,IF(C635="Futures",$C$6,$C$5))),""),"")</f>
        <v/>
      </c>
      <c r="I635" s="139">
        <f>IFERROR(IF(AND(ISNUMBER(F635),ISNUMBER(H635)),F635-H635,""),"")</f>
        <v/>
      </c>
      <c r="J635" s="114" t="n"/>
      <c r="K635" s="139">
        <f>IFERROR(IF(H635&gt;0,H635*IF(OR(C635="Alpha",B635="Alpha"),$C$9,$C$8),""),"")</f>
        <v/>
      </c>
      <c r="L635" s="139">
        <f>IFERROR(IF(ISNUMBER(F635),F635-IF(ISNUMBER(K635),K635,0),""),"")</f>
        <v/>
      </c>
    </row>
    <row r="636" ht="24" customHeight="1" s="63">
      <c r="E636" s="139" t="n"/>
      <c r="F636" s="139" t="n"/>
      <c r="G636" s="140">
        <f>IFERROR(IF(E636&gt;0,(F636/E636)*1000,""),"")</f>
        <v/>
      </c>
      <c r="H636" s="139">
        <f>IFERROR(IF(E636&gt;0,E636*IF(ISNUMBER(J636),J636,IF(OR(C636="Alpha",B636="Alpha"),$C$7,IF(C636="Futures",$C$6,$C$5))),""),"")</f>
        <v/>
      </c>
      <c r="I636" s="139">
        <f>IFERROR(IF(AND(ISNUMBER(F636),ISNUMBER(H636)),F636-H636,""),"")</f>
        <v/>
      </c>
      <c r="J636" s="114" t="n"/>
      <c r="K636" s="139">
        <f>IFERROR(IF(H636&gt;0,H636*IF(OR(C636="Alpha",B636="Alpha"),$C$9,$C$8),""),"")</f>
        <v/>
      </c>
      <c r="L636" s="139">
        <f>IFERROR(IF(ISNUMBER(F636),F636-IF(ISNUMBER(K636),K636,0),""),"")</f>
        <v/>
      </c>
    </row>
    <row r="637" ht="24" customHeight="1" s="63">
      <c r="E637" s="139" t="n"/>
      <c r="F637" s="139" t="n"/>
      <c r="G637" s="140">
        <f>IFERROR(IF(E637&gt;0,(F637/E637)*1000,""),"")</f>
        <v/>
      </c>
      <c r="H637" s="139">
        <f>IFERROR(IF(E637&gt;0,E637*IF(ISNUMBER(J637),J637,IF(OR(C637="Alpha",B637="Alpha"),$C$7,IF(C637="Futures",$C$6,$C$5))),""),"")</f>
        <v/>
      </c>
      <c r="I637" s="139">
        <f>IFERROR(IF(AND(ISNUMBER(F637),ISNUMBER(H637)),F637-H637,""),"")</f>
        <v/>
      </c>
      <c r="J637" s="114" t="n"/>
      <c r="K637" s="139">
        <f>IFERROR(IF(H637&gt;0,H637*IF(OR(C637="Alpha",B637="Alpha"),$C$9,$C$8),""),"")</f>
        <v/>
      </c>
      <c r="L637" s="139">
        <f>IFERROR(IF(ISNUMBER(F637),F637-IF(ISNUMBER(K637),K637,0),""),"")</f>
        <v/>
      </c>
    </row>
    <row r="638" ht="24" customHeight="1" s="63">
      <c r="E638" s="139" t="n"/>
      <c r="F638" s="139" t="n"/>
      <c r="G638" s="140">
        <f>IFERROR(IF(E638&gt;0,(F638/E638)*1000,""),"")</f>
        <v/>
      </c>
      <c r="H638" s="139">
        <f>IFERROR(IF(E638&gt;0,E638*IF(ISNUMBER(J638),J638,IF(OR(C638="Alpha",B638="Alpha"),$C$7,IF(C638="Futures",$C$6,$C$5))),""),"")</f>
        <v/>
      </c>
      <c r="I638" s="139">
        <f>IFERROR(IF(AND(ISNUMBER(F638),ISNUMBER(H638)),F638-H638,""),"")</f>
        <v/>
      </c>
      <c r="J638" s="114" t="n"/>
      <c r="K638" s="139">
        <f>IFERROR(IF(H638&gt;0,H638*IF(OR(C638="Alpha",B638="Alpha"),$C$9,$C$8),""),"")</f>
        <v/>
      </c>
      <c r="L638" s="139">
        <f>IFERROR(IF(ISNUMBER(F638),F638-IF(ISNUMBER(K638),K638,0),""),"")</f>
        <v/>
      </c>
    </row>
    <row r="639" ht="24" customHeight="1" s="63">
      <c r="E639" s="139" t="n"/>
      <c r="F639" s="139" t="n"/>
      <c r="G639" s="140">
        <f>IFERROR(IF(E639&gt;0,(F639/E639)*1000,""),"")</f>
        <v/>
      </c>
      <c r="H639" s="139">
        <f>IFERROR(IF(E639&gt;0,E639*IF(ISNUMBER(J639),J639,IF(OR(C639="Alpha",B639="Alpha"),$C$7,IF(C639="Futures",$C$6,$C$5))),""),"")</f>
        <v/>
      </c>
      <c r="I639" s="139">
        <f>IFERROR(IF(AND(ISNUMBER(F639),ISNUMBER(H639)),F639-H639,""),"")</f>
        <v/>
      </c>
      <c r="J639" s="114" t="n"/>
      <c r="K639" s="139">
        <f>IFERROR(IF(H639&gt;0,H639*IF(OR(C639="Alpha",B639="Alpha"),$C$9,$C$8),""),"")</f>
        <v/>
      </c>
      <c r="L639" s="139">
        <f>IFERROR(IF(ISNUMBER(F639),F639-IF(ISNUMBER(K639),K639,0),""),"")</f>
        <v/>
      </c>
    </row>
    <row r="640" ht="24" customHeight="1" s="63">
      <c r="E640" s="139" t="n"/>
      <c r="F640" s="139" t="n"/>
      <c r="G640" s="140">
        <f>IFERROR(IF(E640&gt;0,(F640/E640)*1000,""),"")</f>
        <v/>
      </c>
      <c r="H640" s="139">
        <f>IFERROR(IF(E640&gt;0,E640*IF(ISNUMBER(J640),J640,IF(OR(C640="Alpha",B640="Alpha"),$C$7,IF(C640="Futures",$C$6,$C$5))),""),"")</f>
        <v/>
      </c>
      <c r="I640" s="139">
        <f>IFERROR(IF(AND(ISNUMBER(F640),ISNUMBER(H640)),F640-H640,""),"")</f>
        <v/>
      </c>
      <c r="J640" s="114" t="n"/>
      <c r="K640" s="139">
        <f>IFERROR(IF(H640&gt;0,H640*IF(OR(C640="Alpha",B640="Alpha"),$C$9,$C$8),""),"")</f>
        <v/>
      </c>
      <c r="L640" s="139">
        <f>IFERROR(IF(ISNUMBER(F640),F640-IF(ISNUMBER(K640),K640,0),""),"")</f>
        <v/>
      </c>
    </row>
    <row r="641" ht="24" customHeight="1" s="63">
      <c r="E641" s="139" t="n"/>
      <c r="F641" s="139" t="n"/>
      <c r="G641" s="140">
        <f>IFERROR(IF(E641&gt;0,(F641/E641)*1000,""),"")</f>
        <v/>
      </c>
      <c r="H641" s="139">
        <f>IFERROR(IF(E641&gt;0,E641*IF(ISNUMBER(J641),J641,IF(OR(C641="Alpha",B641="Alpha"),$C$7,IF(C641="Futures",$C$6,$C$5))),""),"")</f>
        <v/>
      </c>
      <c r="I641" s="139">
        <f>IFERROR(IF(AND(ISNUMBER(F641),ISNUMBER(H641)),F641-H641,""),"")</f>
        <v/>
      </c>
      <c r="J641" s="114" t="n"/>
      <c r="K641" s="139">
        <f>IFERROR(IF(H641&gt;0,H641*IF(OR(C641="Alpha",B641="Alpha"),$C$9,$C$8),""),"")</f>
        <v/>
      </c>
      <c r="L641" s="139">
        <f>IFERROR(IF(ISNUMBER(F641),F641-IF(ISNUMBER(K641),K641,0),""),"")</f>
        <v/>
      </c>
    </row>
    <row r="642" ht="24" customHeight="1" s="63">
      <c r="E642" s="139" t="n"/>
      <c r="F642" s="139" t="n"/>
      <c r="G642" s="140">
        <f>IFERROR(IF(E642&gt;0,(F642/E642)*1000,""),"")</f>
        <v/>
      </c>
      <c r="H642" s="139">
        <f>IFERROR(IF(E642&gt;0,E642*IF(ISNUMBER(J642),J642,IF(OR(C642="Alpha",B642="Alpha"),$C$7,IF(C642="Futures",$C$6,$C$5))),""),"")</f>
        <v/>
      </c>
      <c r="I642" s="139">
        <f>IFERROR(IF(AND(ISNUMBER(F642),ISNUMBER(H642)),F642-H642,""),"")</f>
        <v/>
      </c>
      <c r="J642" s="114" t="n"/>
      <c r="K642" s="139">
        <f>IFERROR(IF(H642&gt;0,H642*IF(OR(C642="Alpha",B642="Alpha"),$C$9,$C$8),""),"")</f>
        <v/>
      </c>
      <c r="L642" s="139">
        <f>IFERROR(IF(ISNUMBER(F642),F642-IF(ISNUMBER(K642),K642,0),""),"")</f>
        <v/>
      </c>
    </row>
    <row r="643" ht="24" customHeight="1" s="63">
      <c r="E643" s="139" t="n"/>
      <c r="F643" s="139" t="n"/>
      <c r="G643" s="140">
        <f>IFERROR(IF(E643&gt;0,(F643/E643)*1000,""),"")</f>
        <v/>
      </c>
      <c r="H643" s="139">
        <f>IFERROR(IF(E643&gt;0,E643*IF(ISNUMBER(J643),J643,IF(OR(C643="Alpha",B643="Alpha"),$C$7,IF(C643="Futures",$C$6,$C$5))),""),"")</f>
        <v/>
      </c>
      <c r="I643" s="139">
        <f>IFERROR(IF(AND(ISNUMBER(F643),ISNUMBER(H643)),F643-H643,""),"")</f>
        <v/>
      </c>
      <c r="J643" s="114" t="n"/>
      <c r="K643" s="139">
        <f>IFERROR(IF(H643&gt;0,H643*IF(OR(C643="Alpha",B643="Alpha"),$C$9,$C$8),""),"")</f>
        <v/>
      </c>
      <c r="L643" s="139">
        <f>IFERROR(IF(ISNUMBER(F643),F643-IF(ISNUMBER(K643),K643,0),""),"")</f>
        <v/>
      </c>
    </row>
    <row r="644" ht="24" customHeight="1" s="63">
      <c r="E644" s="139" t="n"/>
      <c r="F644" s="139" t="n"/>
      <c r="G644" s="140">
        <f>IFERROR(IF(E644&gt;0,(F644/E644)*1000,""),"")</f>
        <v/>
      </c>
      <c r="H644" s="139">
        <f>IFERROR(IF(E644&gt;0,E644*IF(ISNUMBER(J644),J644,IF(OR(C644="Alpha",B644="Alpha"),$C$7,IF(C644="Futures",$C$6,$C$5))),""),"")</f>
        <v/>
      </c>
      <c r="I644" s="139">
        <f>IFERROR(IF(AND(ISNUMBER(F644),ISNUMBER(H644)),F644-H644,""),"")</f>
        <v/>
      </c>
      <c r="J644" s="114" t="n"/>
      <c r="K644" s="139">
        <f>IFERROR(IF(H644&gt;0,H644*IF(OR(C644="Alpha",B644="Alpha"),$C$9,$C$8),""),"")</f>
        <v/>
      </c>
      <c r="L644" s="139">
        <f>IFERROR(IF(ISNUMBER(F644),F644-IF(ISNUMBER(K644),K644,0),""),"")</f>
        <v/>
      </c>
    </row>
    <row r="645" ht="24" customHeight="1" s="63">
      <c r="E645" s="139" t="n"/>
      <c r="F645" s="139" t="n"/>
      <c r="G645" s="140">
        <f>IFERROR(IF(E645&gt;0,(F645/E645)*1000,""),"")</f>
        <v/>
      </c>
      <c r="H645" s="139">
        <f>IFERROR(IF(E645&gt;0,E645*IF(ISNUMBER(J645),J645,IF(OR(C645="Alpha",B645="Alpha"),$C$7,IF(C645="Futures",$C$6,$C$5))),""),"")</f>
        <v/>
      </c>
      <c r="I645" s="139">
        <f>IFERROR(IF(AND(ISNUMBER(F645),ISNUMBER(H645)),F645-H645,""),"")</f>
        <v/>
      </c>
      <c r="J645" s="114" t="n"/>
      <c r="K645" s="139">
        <f>IFERROR(IF(H645&gt;0,H645*IF(OR(C645="Alpha",B645="Alpha"),$C$9,$C$8),""),"")</f>
        <v/>
      </c>
      <c r="L645" s="139">
        <f>IFERROR(IF(ISNUMBER(F645),F645-IF(ISNUMBER(K645),K645,0),""),"")</f>
        <v/>
      </c>
    </row>
    <row r="646" ht="24" customHeight="1" s="63">
      <c r="E646" s="139" t="n"/>
      <c r="F646" s="139" t="n"/>
      <c r="G646" s="140">
        <f>IFERROR(IF(E646&gt;0,(F646/E646)*1000,""),"")</f>
        <v/>
      </c>
      <c r="H646" s="139">
        <f>IFERROR(IF(E646&gt;0,E646*IF(ISNUMBER(J646),J646,IF(OR(C646="Alpha",B646="Alpha"),$C$7,IF(C646="Futures",$C$6,$C$5))),""),"")</f>
        <v/>
      </c>
      <c r="I646" s="139">
        <f>IFERROR(IF(AND(ISNUMBER(F646),ISNUMBER(H646)),F646-H646,""),"")</f>
        <v/>
      </c>
      <c r="J646" s="114" t="n"/>
      <c r="K646" s="139">
        <f>IFERROR(IF(H646&gt;0,H646*IF(OR(C646="Alpha",B646="Alpha"),$C$9,$C$8),""),"")</f>
        <v/>
      </c>
      <c r="L646" s="139">
        <f>IFERROR(IF(ISNUMBER(F646),F646-IF(ISNUMBER(K646),K646,0),""),"")</f>
        <v/>
      </c>
    </row>
    <row r="647" ht="24" customHeight="1" s="63">
      <c r="E647" s="139" t="n"/>
      <c r="F647" s="139" t="n"/>
      <c r="G647" s="140">
        <f>IFERROR(IF(E647&gt;0,(F647/E647)*1000,""),"")</f>
        <v/>
      </c>
      <c r="H647" s="139">
        <f>IFERROR(IF(E647&gt;0,E647*IF(ISNUMBER(J647),J647,IF(OR(C647="Alpha",B647="Alpha"),$C$7,IF(C647="Futures",$C$6,$C$5))),""),"")</f>
        <v/>
      </c>
      <c r="I647" s="139">
        <f>IFERROR(IF(AND(ISNUMBER(F647),ISNUMBER(H647)),F647-H647,""),"")</f>
        <v/>
      </c>
      <c r="J647" s="114" t="n"/>
      <c r="K647" s="139">
        <f>IFERROR(IF(H647&gt;0,H647*IF(OR(C647="Alpha",B647="Alpha"),$C$9,$C$8),""),"")</f>
        <v/>
      </c>
      <c r="L647" s="139">
        <f>IFERROR(IF(ISNUMBER(F647),F647-IF(ISNUMBER(K647),K647,0),""),"")</f>
        <v/>
      </c>
    </row>
    <row r="648" ht="24" customHeight="1" s="63">
      <c r="E648" s="139" t="n"/>
      <c r="F648" s="139" t="n"/>
      <c r="G648" s="140">
        <f>IFERROR(IF(E648&gt;0,(F648/E648)*1000,""),"")</f>
        <v/>
      </c>
      <c r="H648" s="139">
        <f>IFERROR(IF(E648&gt;0,E648*IF(ISNUMBER(J648),J648,IF(OR(C648="Alpha",B648="Alpha"),$C$7,IF(C648="Futures",$C$6,$C$5))),""),"")</f>
        <v/>
      </c>
      <c r="I648" s="139">
        <f>IFERROR(IF(AND(ISNUMBER(F648),ISNUMBER(H648)),F648-H648,""),"")</f>
        <v/>
      </c>
      <c r="J648" s="114" t="n"/>
      <c r="K648" s="139">
        <f>IFERROR(IF(H648&gt;0,H648*IF(OR(C648="Alpha",B648="Alpha"),$C$9,$C$8),""),"")</f>
        <v/>
      </c>
      <c r="L648" s="139">
        <f>IFERROR(IF(ISNUMBER(F648),F648-IF(ISNUMBER(K648),K648,0),""),"")</f>
        <v/>
      </c>
    </row>
    <row r="649" ht="24" customHeight="1" s="63">
      <c r="E649" s="139" t="n"/>
      <c r="F649" s="139" t="n"/>
      <c r="G649" s="140">
        <f>IFERROR(IF(E649&gt;0,(F649/E649)*1000,""),"")</f>
        <v/>
      </c>
      <c r="H649" s="139">
        <f>IFERROR(IF(E649&gt;0,E649*IF(ISNUMBER(J649),J649,IF(OR(C649="Alpha",B649="Alpha"),$C$7,IF(C649="Futures",$C$6,$C$5))),""),"")</f>
        <v/>
      </c>
      <c r="I649" s="139">
        <f>IFERROR(IF(AND(ISNUMBER(F649),ISNUMBER(H649)),F649-H649,""),"")</f>
        <v/>
      </c>
      <c r="J649" s="114" t="n"/>
      <c r="K649" s="139">
        <f>IFERROR(IF(H649&gt;0,H649*IF(OR(C649="Alpha",B649="Alpha"),$C$9,$C$8),""),"")</f>
        <v/>
      </c>
      <c r="L649" s="139">
        <f>IFERROR(IF(ISNUMBER(F649),F649-IF(ISNUMBER(K649),K649,0),""),"")</f>
        <v/>
      </c>
    </row>
    <row r="650" ht="24" customHeight="1" s="63">
      <c r="E650" s="139" t="n"/>
      <c r="F650" s="139" t="n"/>
      <c r="G650" s="140">
        <f>IFERROR(IF(E650&gt;0,(F650/E650)*1000,""),"")</f>
        <v/>
      </c>
      <c r="H650" s="139">
        <f>IFERROR(IF(E650&gt;0,E650*IF(ISNUMBER(J650),J650,IF(OR(C650="Alpha",B650="Alpha"),$C$7,IF(C650="Futures",$C$6,$C$5))),""),"")</f>
        <v/>
      </c>
      <c r="I650" s="139">
        <f>IFERROR(IF(AND(ISNUMBER(F650),ISNUMBER(H650)),F650-H650,""),"")</f>
        <v/>
      </c>
      <c r="J650" s="114" t="n"/>
      <c r="K650" s="139">
        <f>IFERROR(IF(H650&gt;0,H650*IF(OR(C650="Alpha",B650="Alpha"),$C$9,$C$8),""),"")</f>
        <v/>
      </c>
      <c r="L650" s="139">
        <f>IFERROR(IF(ISNUMBER(F650),F650-IF(ISNUMBER(K650),K650,0),""),"")</f>
        <v/>
      </c>
    </row>
    <row r="651" ht="24" customHeight="1" s="63">
      <c r="E651" s="139" t="n"/>
      <c r="F651" s="139" t="n"/>
      <c r="G651" s="140">
        <f>IFERROR(IF(E651&gt;0,(F651/E651)*1000,""),"")</f>
        <v/>
      </c>
      <c r="H651" s="139">
        <f>IFERROR(IF(E651&gt;0,E651*IF(ISNUMBER(J651),J651,IF(OR(C651="Alpha",B651="Alpha"),$C$7,IF(C651="Futures",$C$6,$C$5))),""),"")</f>
        <v/>
      </c>
      <c r="I651" s="139">
        <f>IFERROR(IF(AND(ISNUMBER(F651),ISNUMBER(H651)),F651-H651,""),"")</f>
        <v/>
      </c>
      <c r="J651" s="114" t="n"/>
      <c r="K651" s="139">
        <f>IFERROR(IF(H651&gt;0,H651*IF(OR(C651="Alpha",B651="Alpha"),$C$9,$C$8),""),"")</f>
        <v/>
      </c>
      <c r="L651" s="139">
        <f>IFERROR(IF(ISNUMBER(F651),F651-IF(ISNUMBER(K651),K651,0),""),"")</f>
        <v/>
      </c>
    </row>
    <row r="652" ht="24" customHeight="1" s="63">
      <c r="E652" s="139" t="n"/>
      <c r="F652" s="139" t="n"/>
      <c r="G652" s="140">
        <f>IFERROR(IF(E652&gt;0,(F652/E652)*1000,""),"")</f>
        <v/>
      </c>
      <c r="H652" s="139">
        <f>IFERROR(IF(E652&gt;0,E652*IF(ISNUMBER(J652),J652,IF(OR(C652="Alpha",B652="Alpha"),$C$7,IF(C652="Futures",$C$6,$C$5))),""),"")</f>
        <v/>
      </c>
      <c r="I652" s="139">
        <f>IFERROR(IF(AND(ISNUMBER(F652),ISNUMBER(H652)),F652-H652,""),"")</f>
        <v/>
      </c>
      <c r="J652" s="114" t="n"/>
      <c r="K652" s="139">
        <f>IFERROR(IF(H652&gt;0,H652*IF(OR(C652="Alpha",B652="Alpha"),$C$9,$C$8),""),"")</f>
        <v/>
      </c>
      <c r="L652" s="139">
        <f>IFERROR(IF(ISNUMBER(F652),F652-IF(ISNUMBER(K652),K652,0),""),"")</f>
        <v/>
      </c>
    </row>
    <row r="653" ht="24" customHeight="1" s="63">
      <c r="E653" s="139" t="n"/>
      <c r="F653" s="139" t="n"/>
      <c r="G653" s="140">
        <f>IFERROR(IF(E653&gt;0,(F653/E653)*1000,""),"")</f>
        <v/>
      </c>
      <c r="H653" s="139">
        <f>IFERROR(IF(E653&gt;0,E653*IF(ISNUMBER(J653),J653,IF(OR(C653="Alpha",B653="Alpha"),$C$7,IF(C653="Futures",$C$6,$C$5))),""),"")</f>
        <v/>
      </c>
      <c r="I653" s="139">
        <f>IFERROR(IF(AND(ISNUMBER(F653),ISNUMBER(H653)),F653-H653,""),"")</f>
        <v/>
      </c>
      <c r="J653" s="114" t="n"/>
      <c r="K653" s="139">
        <f>IFERROR(IF(H653&gt;0,H653*IF(OR(C653="Alpha",B653="Alpha"),$C$9,$C$8),""),"")</f>
        <v/>
      </c>
      <c r="L653" s="139">
        <f>IFERROR(IF(ISNUMBER(F653),F653-IF(ISNUMBER(K653),K653,0),""),"")</f>
        <v/>
      </c>
    </row>
    <row r="654" ht="24" customHeight="1" s="63">
      <c r="E654" s="139" t="n"/>
      <c r="F654" s="139" t="n"/>
      <c r="G654" s="140">
        <f>IFERROR(IF(E654&gt;0,(F654/E654)*1000,""),"")</f>
        <v/>
      </c>
      <c r="H654" s="139">
        <f>IFERROR(IF(E654&gt;0,E654*IF(ISNUMBER(J654),J654,IF(OR(C654="Alpha",B654="Alpha"),$C$7,IF(C654="Futures",$C$6,$C$5))),""),"")</f>
        <v/>
      </c>
      <c r="I654" s="139">
        <f>IFERROR(IF(AND(ISNUMBER(F654),ISNUMBER(H654)),F654-H654,""),"")</f>
        <v/>
      </c>
      <c r="J654" s="114" t="n"/>
      <c r="K654" s="139">
        <f>IFERROR(IF(H654&gt;0,H654*IF(OR(C654="Alpha",B654="Alpha"),$C$9,$C$8),""),"")</f>
        <v/>
      </c>
      <c r="L654" s="139">
        <f>IFERROR(IF(ISNUMBER(F654),F654-IF(ISNUMBER(K654),K654,0),""),"")</f>
        <v/>
      </c>
    </row>
    <row r="655" ht="24" customHeight="1" s="63">
      <c r="E655" s="139" t="n"/>
      <c r="F655" s="139" t="n"/>
      <c r="G655" s="140">
        <f>IFERROR(IF(E655&gt;0,(F655/E655)*1000,""),"")</f>
        <v/>
      </c>
      <c r="H655" s="139">
        <f>IFERROR(IF(E655&gt;0,E655*IF(ISNUMBER(J655),J655,IF(OR(C655="Alpha",B655="Alpha"),$C$7,IF(C655="Futures",$C$6,$C$5))),""),"")</f>
        <v/>
      </c>
      <c r="I655" s="139">
        <f>IFERROR(IF(AND(ISNUMBER(F655),ISNUMBER(H655)),F655-H655,""),"")</f>
        <v/>
      </c>
      <c r="J655" s="114" t="n"/>
      <c r="K655" s="139">
        <f>IFERROR(IF(H655&gt;0,H655*IF(OR(C655="Alpha",B655="Alpha"),$C$9,$C$8),""),"")</f>
        <v/>
      </c>
      <c r="L655" s="139">
        <f>IFERROR(IF(ISNUMBER(F655),F655-IF(ISNUMBER(K655),K655,0),""),"")</f>
        <v/>
      </c>
    </row>
    <row r="656" ht="24" customHeight="1" s="63">
      <c r="E656" s="139" t="n"/>
      <c r="F656" s="139" t="n"/>
      <c r="G656" s="140">
        <f>IFERROR(IF(E656&gt;0,(F656/E656)*1000,""),"")</f>
        <v/>
      </c>
      <c r="H656" s="139">
        <f>IFERROR(IF(E656&gt;0,E656*IF(ISNUMBER(J656),J656,IF(OR(C656="Alpha",B656="Alpha"),$C$7,IF(C656="Futures",$C$6,$C$5))),""),"")</f>
        <v/>
      </c>
      <c r="I656" s="139">
        <f>IFERROR(IF(AND(ISNUMBER(F656),ISNUMBER(H656)),F656-H656,""),"")</f>
        <v/>
      </c>
      <c r="J656" s="114" t="n"/>
      <c r="K656" s="139">
        <f>IFERROR(IF(H656&gt;0,H656*IF(OR(C656="Alpha",B656="Alpha"),$C$9,$C$8),""),"")</f>
        <v/>
      </c>
      <c r="L656" s="139">
        <f>IFERROR(IF(ISNUMBER(F656),F656-IF(ISNUMBER(K656),K656,0),""),"")</f>
        <v/>
      </c>
    </row>
    <row r="657" ht="24" customHeight="1" s="63">
      <c r="E657" s="139" t="n"/>
      <c r="F657" s="139" t="n"/>
      <c r="G657" s="140">
        <f>IFERROR(IF(E657&gt;0,(F657/E657)*1000,""),"")</f>
        <v/>
      </c>
      <c r="H657" s="139">
        <f>IFERROR(IF(E657&gt;0,E657*IF(ISNUMBER(J657),J657,IF(OR(C657="Alpha",B657="Alpha"),$C$7,IF(C657="Futures",$C$6,$C$5))),""),"")</f>
        <v/>
      </c>
      <c r="I657" s="139">
        <f>IFERROR(IF(AND(ISNUMBER(F657),ISNUMBER(H657)),F657-H657,""),"")</f>
        <v/>
      </c>
      <c r="J657" s="114" t="n"/>
      <c r="K657" s="139">
        <f>IFERROR(IF(H657&gt;0,H657*IF(OR(C657="Alpha",B657="Alpha"),$C$9,$C$8),""),"")</f>
        <v/>
      </c>
      <c r="L657" s="139">
        <f>IFERROR(IF(ISNUMBER(F657),F657-IF(ISNUMBER(K657),K657,0),""),"")</f>
        <v/>
      </c>
    </row>
    <row r="658" ht="24" customHeight="1" s="63">
      <c r="E658" s="139" t="n"/>
      <c r="F658" s="139" t="n"/>
      <c r="G658" s="140">
        <f>IFERROR(IF(E658&gt;0,(F658/E658)*1000,""),"")</f>
        <v/>
      </c>
      <c r="H658" s="139">
        <f>IFERROR(IF(E658&gt;0,E658*IF(ISNUMBER(J658),J658,IF(OR(C658="Alpha",B658="Alpha"),$C$7,IF(C658="Futures",$C$6,$C$5))),""),"")</f>
        <v/>
      </c>
      <c r="I658" s="139">
        <f>IFERROR(IF(AND(ISNUMBER(F658),ISNUMBER(H658)),F658-H658,""),"")</f>
        <v/>
      </c>
      <c r="J658" s="114" t="n"/>
      <c r="K658" s="139">
        <f>IFERROR(IF(H658&gt;0,H658*IF(OR(C658="Alpha",B658="Alpha"),$C$9,$C$8),""),"")</f>
        <v/>
      </c>
      <c r="L658" s="139">
        <f>IFERROR(IF(ISNUMBER(F658),F658-IF(ISNUMBER(K658),K658,0),""),"")</f>
        <v/>
      </c>
    </row>
    <row r="659" ht="24" customHeight="1" s="63">
      <c r="E659" s="139" t="n"/>
      <c r="F659" s="139" t="n"/>
      <c r="G659" s="140">
        <f>IFERROR(IF(E659&gt;0,(F659/E659)*1000,""),"")</f>
        <v/>
      </c>
      <c r="H659" s="139">
        <f>IFERROR(IF(E659&gt;0,E659*IF(ISNUMBER(J659),J659,IF(OR(C659="Alpha",B659="Alpha"),$C$7,IF(C659="Futures",$C$6,$C$5))),""),"")</f>
        <v/>
      </c>
      <c r="I659" s="139">
        <f>IFERROR(IF(AND(ISNUMBER(F659),ISNUMBER(H659)),F659-H659,""),"")</f>
        <v/>
      </c>
      <c r="J659" s="114" t="n"/>
      <c r="K659" s="139">
        <f>IFERROR(IF(H659&gt;0,H659*IF(OR(C659="Alpha",B659="Alpha"),$C$9,$C$8),""),"")</f>
        <v/>
      </c>
      <c r="L659" s="139">
        <f>IFERROR(IF(ISNUMBER(F659),F659-IF(ISNUMBER(K659),K659,0),""),"")</f>
        <v/>
      </c>
    </row>
    <row r="660" ht="24" customHeight="1" s="63">
      <c r="E660" s="139" t="n"/>
      <c r="F660" s="139" t="n"/>
      <c r="G660" s="140">
        <f>IFERROR(IF(E660&gt;0,(F660/E660)*1000,""),"")</f>
        <v/>
      </c>
      <c r="H660" s="139">
        <f>IFERROR(IF(E660&gt;0,E660*IF(ISNUMBER(J660),J660,IF(OR(C660="Alpha",B660="Alpha"),$C$7,IF(C660="Futures",$C$6,$C$5))),""),"")</f>
        <v/>
      </c>
      <c r="I660" s="139">
        <f>IFERROR(IF(AND(ISNUMBER(F660),ISNUMBER(H660)),F660-H660,""),"")</f>
        <v/>
      </c>
      <c r="J660" s="114" t="n"/>
      <c r="K660" s="139">
        <f>IFERROR(IF(H660&gt;0,H660*IF(OR(C660="Alpha",B660="Alpha"),$C$9,$C$8),""),"")</f>
        <v/>
      </c>
      <c r="L660" s="139">
        <f>IFERROR(IF(ISNUMBER(F660),F660-IF(ISNUMBER(K660),K660,0),""),"")</f>
        <v/>
      </c>
    </row>
    <row r="661" ht="24" customHeight="1" s="63">
      <c r="E661" s="139" t="n"/>
      <c r="F661" s="139" t="n"/>
      <c r="G661" s="140">
        <f>IFERROR(IF(E661&gt;0,(F661/E661)*1000,""),"")</f>
        <v/>
      </c>
      <c r="H661" s="139">
        <f>IFERROR(IF(E661&gt;0,E661*IF(ISNUMBER(J661),J661,IF(OR(C661="Alpha",B661="Alpha"),$C$7,IF(C661="Futures",$C$6,$C$5))),""),"")</f>
        <v/>
      </c>
      <c r="I661" s="139">
        <f>IFERROR(IF(AND(ISNUMBER(F661),ISNUMBER(H661)),F661-H661,""),"")</f>
        <v/>
      </c>
      <c r="J661" s="114" t="n"/>
      <c r="K661" s="139">
        <f>IFERROR(IF(H661&gt;0,H661*IF(OR(C661="Alpha",B661="Alpha"),$C$9,$C$8),""),"")</f>
        <v/>
      </c>
      <c r="L661" s="139">
        <f>IFERROR(IF(ISNUMBER(F661),F661-IF(ISNUMBER(K661),K661,0),""),"")</f>
        <v/>
      </c>
    </row>
    <row r="662" ht="24" customHeight="1" s="63">
      <c r="E662" s="139" t="n"/>
      <c r="F662" s="139" t="n"/>
      <c r="G662" s="140">
        <f>IFERROR(IF(E662&gt;0,(F662/E662)*1000,""),"")</f>
        <v/>
      </c>
      <c r="H662" s="139">
        <f>IFERROR(IF(E662&gt;0,E662*IF(ISNUMBER(J662),J662,IF(OR(C662="Alpha",B662="Alpha"),$C$7,IF(C662="Futures",$C$6,$C$5))),""),"")</f>
        <v/>
      </c>
      <c r="I662" s="139">
        <f>IFERROR(IF(AND(ISNUMBER(F662),ISNUMBER(H662)),F662-H662,""),"")</f>
        <v/>
      </c>
      <c r="J662" s="114" t="n"/>
      <c r="K662" s="139">
        <f>IFERROR(IF(H662&gt;0,H662*IF(OR(C662="Alpha",B662="Alpha"),$C$9,$C$8),""),"")</f>
        <v/>
      </c>
      <c r="L662" s="139">
        <f>IFERROR(IF(ISNUMBER(F662),F662-IF(ISNUMBER(K662),K662,0),""),"")</f>
        <v/>
      </c>
    </row>
    <row r="663" ht="24" customHeight="1" s="63">
      <c r="E663" s="139" t="n"/>
      <c r="F663" s="139" t="n"/>
      <c r="G663" s="140">
        <f>IFERROR(IF(E663&gt;0,(F663/E663)*1000,""),"")</f>
        <v/>
      </c>
      <c r="H663" s="139">
        <f>IFERROR(IF(E663&gt;0,E663*IF(ISNUMBER(J663),J663,IF(OR(C663="Alpha",B663="Alpha"),$C$7,IF(C663="Futures",$C$6,$C$5))),""),"")</f>
        <v/>
      </c>
      <c r="I663" s="139">
        <f>IFERROR(IF(AND(ISNUMBER(F663),ISNUMBER(H663)),F663-H663,""),"")</f>
        <v/>
      </c>
      <c r="J663" s="114" t="n"/>
      <c r="K663" s="139">
        <f>IFERROR(IF(H663&gt;0,H663*IF(OR(C663="Alpha",B663="Alpha"),$C$9,$C$8),""),"")</f>
        <v/>
      </c>
      <c r="L663" s="139">
        <f>IFERROR(IF(ISNUMBER(F663),F663-IF(ISNUMBER(K663),K663,0),""),"")</f>
        <v/>
      </c>
    </row>
    <row r="664" ht="24" customHeight="1" s="63">
      <c r="E664" s="139" t="n"/>
      <c r="F664" s="139" t="n"/>
      <c r="G664" s="140">
        <f>IFERROR(IF(E664&gt;0,(F664/E664)*1000,""),"")</f>
        <v/>
      </c>
      <c r="H664" s="139">
        <f>IFERROR(IF(E664&gt;0,E664*IF(ISNUMBER(J664),J664,IF(OR(C664="Alpha",B664="Alpha"),$C$7,IF(C664="Futures",$C$6,$C$5))),""),"")</f>
        <v/>
      </c>
      <c r="I664" s="139">
        <f>IFERROR(IF(AND(ISNUMBER(F664),ISNUMBER(H664)),F664-H664,""),"")</f>
        <v/>
      </c>
      <c r="J664" s="114" t="n"/>
      <c r="K664" s="139">
        <f>IFERROR(IF(H664&gt;0,H664*IF(OR(C664="Alpha",B664="Alpha"),$C$9,$C$8),""),"")</f>
        <v/>
      </c>
      <c r="L664" s="139">
        <f>IFERROR(IF(ISNUMBER(F664),F664-IF(ISNUMBER(K664),K664,0),""),"")</f>
        <v/>
      </c>
    </row>
    <row r="665" ht="24" customHeight="1" s="63">
      <c r="E665" s="139" t="n"/>
      <c r="F665" s="139" t="n"/>
      <c r="G665" s="140">
        <f>IFERROR(IF(E665&gt;0,(F665/E665)*1000,""),"")</f>
        <v/>
      </c>
      <c r="H665" s="139">
        <f>IFERROR(IF(E665&gt;0,E665*IF(ISNUMBER(J665),J665,IF(OR(C665="Alpha",B665="Alpha"),$C$7,IF(C665="Futures",$C$6,$C$5))),""),"")</f>
        <v/>
      </c>
      <c r="I665" s="139">
        <f>IFERROR(IF(AND(ISNUMBER(F665),ISNUMBER(H665)),F665-H665,""),"")</f>
        <v/>
      </c>
      <c r="J665" s="114" t="n"/>
      <c r="K665" s="139">
        <f>IFERROR(IF(H665&gt;0,H665*IF(OR(C665="Alpha",B665="Alpha"),$C$9,$C$8),""),"")</f>
        <v/>
      </c>
      <c r="L665" s="139">
        <f>IFERROR(IF(ISNUMBER(F665),F665-IF(ISNUMBER(K665),K665,0),""),"")</f>
        <v/>
      </c>
    </row>
    <row r="666" ht="24" customHeight="1" s="63">
      <c r="E666" s="139" t="n"/>
      <c r="F666" s="139" t="n"/>
      <c r="G666" s="140">
        <f>IFERROR(IF(E666&gt;0,(F666/E666)*1000,""),"")</f>
        <v/>
      </c>
      <c r="H666" s="139">
        <f>IFERROR(IF(E666&gt;0,E666*IF(ISNUMBER(J666),J666,IF(OR(C666="Alpha",B666="Alpha"),$C$7,IF(C666="Futures",$C$6,$C$5))),""),"")</f>
        <v/>
      </c>
      <c r="I666" s="139">
        <f>IFERROR(IF(AND(ISNUMBER(F666),ISNUMBER(H666)),F666-H666,""),"")</f>
        <v/>
      </c>
      <c r="J666" s="114" t="n"/>
      <c r="K666" s="139">
        <f>IFERROR(IF(H666&gt;0,H666*IF(OR(C666="Alpha",B666="Alpha"),$C$9,$C$8),""),"")</f>
        <v/>
      </c>
      <c r="L666" s="139">
        <f>IFERROR(IF(ISNUMBER(F666),F666-IF(ISNUMBER(K666),K666,0),""),"")</f>
        <v/>
      </c>
    </row>
    <row r="667" ht="24" customHeight="1" s="63">
      <c r="E667" s="139" t="n"/>
      <c r="F667" s="139" t="n"/>
      <c r="G667" s="140">
        <f>IFERROR(IF(E667&gt;0,(F667/E667)*1000,""),"")</f>
        <v/>
      </c>
      <c r="H667" s="139">
        <f>IFERROR(IF(E667&gt;0,E667*IF(ISNUMBER(J667),J667,IF(OR(C667="Alpha",B667="Alpha"),$C$7,IF(C667="Futures",$C$6,$C$5))),""),"")</f>
        <v/>
      </c>
      <c r="I667" s="139">
        <f>IFERROR(IF(AND(ISNUMBER(F667),ISNUMBER(H667)),F667-H667,""),"")</f>
        <v/>
      </c>
      <c r="J667" s="114" t="n"/>
      <c r="K667" s="139">
        <f>IFERROR(IF(H667&gt;0,H667*IF(OR(C667="Alpha",B667="Alpha"),$C$9,$C$8),""),"")</f>
        <v/>
      </c>
      <c r="L667" s="139">
        <f>IFERROR(IF(ISNUMBER(F667),F667-IF(ISNUMBER(K667),K667,0),""),"")</f>
        <v/>
      </c>
    </row>
    <row r="668" ht="24" customHeight="1" s="63">
      <c r="E668" s="139" t="n"/>
      <c r="F668" s="139" t="n"/>
      <c r="G668" s="140">
        <f>IFERROR(IF(E668&gt;0,(F668/E668)*1000,""),"")</f>
        <v/>
      </c>
      <c r="H668" s="139">
        <f>IFERROR(IF(E668&gt;0,E668*IF(ISNUMBER(J668),J668,IF(OR(C668="Alpha",B668="Alpha"),$C$7,IF(C668="Futures",$C$6,$C$5))),""),"")</f>
        <v/>
      </c>
      <c r="I668" s="139">
        <f>IFERROR(IF(AND(ISNUMBER(F668),ISNUMBER(H668)),F668-H668,""),"")</f>
        <v/>
      </c>
      <c r="J668" s="114" t="n"/>
      <c r="K668" s="139">
        <f>IFERROR(IF(H668&gt;0,H668*IF(OR(C668="Alpha",B668="Alpha"),$C$9,$C$8),""),"")</f>
        <v/>
      </c>
      <c r="L668" s="139">
        <f>IFERROR(IF(ISNUMBER(F668),F668-IF(ISNUMBER(K668),K668,0),""),"")</f>
        <v/>
      </c>
    </row>
    <row r="669" ht="24" customHeight="1" s="63">
      <c r="E669" s="139" t="n"/>
      <c r="F669" s="139" t="n"/>
      <c r="G669" s="140">
        <f>IFERROR(IF(E669&gt;0,(F669/E669)*1000,""),"")</f>
        <v/>
      </c>
      <c r="H669" s="139">
        <f>IFERROR(IF(E669&gt;0,E669*IF(ISNUMBER(J669),J669,IF(OR(C669="Alpha",B669="Alpha"),$C$7,IF(C669="Futures",$C$6,$C$5))),""),"")</f>
        <v/>
      </c>
      <c r="I669" s="139">
        <f>IFERROR(IF(AND(ISNUMBER(F669),ISNUMBER(H669)),F669-H669,""),"")</f>
        <v/>
      </c>
      <c r="J669" s="114" t="n"/>
      <c r="K669" s="139">
        <f>IFERROR(IF(H669&gt;0,H669*IF(OR(C669="Alpha",B669="Alpha"),$C$9,$C$8),""),"")</f>
        <v/>
      </c>
      <c r="L669" s="139">
        <f>IFERROR(IF(ISNUMBER(F669),F669-IF(ISNUMBER(K669),K669,0),""),"")</f>
        <v/>
      </c>
    </row>
    <row r="670" ht="24" customHeight="1" s="63">
      <c r="E670" s="139" t="n"/>
      <c r="F670" s="139" t="n"/>
      <c r="G670" s="140">
        <f>IFERROR(IF(E670&gt;0,(F670/E670)*1000,""),"")</f>
        <v/>
      </c>
      <c r="H670" s="139">
        <f>IFERROR(IF(E670&gt;0,E670*IF(ISNUMBER(J670),J670,IF(OR(C670="Alpha",B670="Alpha"),$C$7,IF(C670="Futures",$C$6,$C$5))),""),"")</f>
        <v/>
      </c>
      <c r="I670" s="139">
        <f>IFERROR(IF(AND(ISNUMBER(F670),ISNUMBER(H670)),F670-H670,""),"")</f>
        <v/>
      </c>
      <c r="J670" s="114" t="n"/>
      <c r="K670" s="139">
        <f>IFERROR(IF(H670&gt;0,H670*IF(OR(C670="Alpha",B670="Alpha"),$C$9,$C$8),""),"")</f>
        <v/>
      </c>
      <c r="L670" s="139">
        <f>IFERROR(IF(ISNUMBER(F670),F670-IF(ISNUMBER(K670),K670,0),""),"")</f>
        <v/>
      </c>
    </row>
    <row r="671" ht="24" customHeight="1" s="63">
      <c r="E671" s="139" t="n"/>
      <c r="F671" s="139" t="n"/>
      <c r="G671" s="140">
        <f>IFERROR(IF(E671&gt;0,(F671/E671)*1000,""),"")</f>
        <v/>
      </c>
      <c r="H671" s="139">
        <f>IFERROR(IF(E671&gt;0,E671*IF(ISNUMBER(J671),J671,IF(OR(C671="Alpha",B671="Alpha"),$C$7,IF(C671="Futures",$C$6,$C$5))),""),"")</f>
        <v/>
      </c>
      <c r="I671" s="139">
        <f>IFERROR(IF(AND(ISNUMBER(F671),ISNUMBER(H671)),F671-H671,""),"")</f>
        <v/>
      </c>
      <c r="J671" s="114" t="n"/>
      <c r="K671" s="139">
        <f>IFERROR(IF(H671&gt;0,H671*IF(OR(C671="Alpha",B671="Alpha"),$C$9,$C$8),""),"")</f>
        <v/>
      </c>
      <c r="L671" s="139">
        <f>IFERROR(IF(ISNUMBER(F671),F671-IF(ISNUMBER(K671),K671,0),""),"")</f>
        <v/>
      </c>
    </row>
    <row r="672" ht="24" customHeight="1" s="63">
      <c r="E672" s="139" t="n"/>
      <c r="F672" s="139" t="n"/>
      <c r="G672" s="140">
        <f>IFERROR(IF(E672&gt;0,(F672/E672)*1000,""),"")</f>
        <v/>
      </c>
      <c r="H672" s="139">
        <f>IFERROR(IF(E672&gt;0,E672*IF(ISNUMBER(J672),J672,IF(OR(C672="Alpha",B672="Alpha"),$C$7,IF(C672="Futures",$C$6,$C$5))),""),"")</f>
        <v/>
      </c>
      <c r="I672" s="139">
        <f>IFERROR(IF(AND(ISNUMBER(F672),ISNUMBER(H672)),F672-H672,""),"")</f>
        <v/>
      </c>
      <c r="J672" s="114" t="n"/>
      <c r="K672" s="139">
        <f>IFERROR(IF(H672&gt;0,H672*IF(OR(C672="Alpha",B672="Alpha"),$C$9,$C$8),""),"")</f>
        <v/>
      </c>
      <c r="L672" s="139">
        <f>IFERROR(IF(ISNUMBER(F672),F672-IF(ISNUMBER(K672),K672,0),""),"")</f>
        <v/>
      </c>
    </row>
    <row r="673" ht="24" customHeight="1" s="63">
      <c r="E673" s="139" t="n"/>
      <c r="F673" s="139" t="n"/>
      <c r="G673" s="140">
        <f>IFERROR(IF(E673&gt;0,(F673/E673)*1000,""),"")</f>
        <v/>
      </c>
      <c r="H673" s="139">
        <f>IFERROR(IF(E673&gt;0,E673*IF(ISNUMBER(J673),J673,IF(OR(C673="Alpha",B673="Alpha"),$C$7,IF(C673="Futures",$C$6,$C$5))),""),"")</f>
        <v/>
      </c>
      <c r="I673" s="139">
        <f>IFERROR(IF(AND(ISNUMBER(F673),ISNUMBER(H673)),F673-H673,""),"")</f>
        <v/>
      </c>
      <c r="J673" s="114" t="n"/>
      <c r="K673" s="139">
        <f>IFERROR(IF(H673&gt;0,H673*IF(OR(C673="Alpha",B673="Alpha"),$C$9,$C$8),""),"")</f>
        <v/>
      </c>
      <c r="L673" s="139">
        <f>IFERROR(IF(ISNUMBER(F673),F673-IF(ISNUMBER(K673),K673,0),""),"")</f>
        <v/>
      </c>
    </row>
    <row r="674" ht="24" customHeight="1" s="63">
      <c r="E674" s="139" t="n"/>
      <c r="F674" s="139" t="n"/>
      <c r="G674" s="140">
        <f>IFERROR(IF(E674&gt;0,(F674/E674)*1000,""),"")</f>
        <v/>
      </c>
      <c r="H674" s="139">
        <f>IFERROR(IF(E674&gt;0,E674*IF(ISNUMBER(J674),J674,IF(OR(C674="Alpha",B674="Alpha"),$C$7,IF(C674="Futures",$C$6,$C$5))),""),"")</f>
        <v/>
      </c>
      <c r="I674" s="139">
        <f>IFERROR(IF(AND(ISNUMBER(F674),ISNUMBER(H674)),F674-H674,""),"")</f>
        <v/>
      </c>
      <c r="J674" s="114" t="n"/>
      <c r="K674" s="139">
        <f>IFERROR(IF(H674&gt;0,H674*IF(OR(C674="Alpha",B674="Alpha"),$C$9,$C$8),""),"")</f>
        <v/>
      </c>
      <c r="L674" s="139">
        <f>IFERROR(IF(ISNUMBER(F674),F674-IF(ISNUMBER(K674),K674,0),""),"")</f>
        <v/>
      </c>
    </row>
    <row r="675" ht="24" customHeight="1" s="63">
      <c r="E675" s="139" t="n"/>
      <c r="F675" s="139" t="n"/>
      <c r="G675" s="140">
        <f>IFERROR(IF(E675&gt;0,(F675/E675)*1000,""),"")</f>
        <v/>
      </c>
      <c r="H675" s="139">
        <f>IFERROR(IF(E675&gt;0,E675*IF(ISNUMBER(J675),J675,IF(OR(C675="Alpha",B675="Alpha"),$C$7,IF(C675="Futures",$C$6,$C$5))),""),"")</f>
        <v/>
      </c>
      <c r="I675" s="139">
        <f>IFERROR(IF(AND(ISNUMBER(F675),ISNUMBER(H675)),F675-H675,""),"")</f>
        <v/>
      </c>
      <c r="J675" s="114" t="n"/>
      <c r="K675" s="139">
        <f>IFERROR(IF(H675&gt;0,H675*IF(OR(C675="Alpha",B675="Alpha"),$C$9,$C$8),""),"")</f>
        <v/>
      </c>
      <c r="L675" s="139">
        <f>IFERROR(IF(ISNUMBER(F675),F675-IF(ISNUMBER(K675),K675,0),""),"")</f>
        <v/>
      </c>
    </row>
    <row r="676" ht="24" customHeight="1" s="63">
      <c r="E676" s="139" t="n"/>
      <c r="F676" s="139" t="n"/>
      <c r="G676" s="140">
        <f>IFERROR(IF(E676&gt;0,(F676/E676)*1000,""),"")</f>
        <v/>
      </c>
      <c r="H676" s="139">
        <f>IFERROR(IF(E676&gt;0,E676*IF(ISNUMBER(J676),J676,IF(OR(C676="Alpha",B676="Alpha"),$C$7,IF(C676="Futures",$C$6,$C$5))),""),"")</f>
        <v/>
      </c>
      <c r="I676" s="139">
        <f>IFERROR(IF(AND(ISNUMBER(F676),ISNUMBER(H676)),F676-H676,""),"")</f>
        <v/>
      </c>
      <c r="J676" s="114" t="n"/>
      <c r="K676" s="139">
        <f>IFERROR(IF(H676&gt;0,H676*IF(OR(C676="Alpha",B676="Alpha"),$C$9,$C$8),""),"")</f>
        <v/>
      </c>
      <c r="L676" s="139">
        <f>IFERROR(IF(ISNUMBER(F676),F676-IF(ISNUMBER(K676),K676,0),""),"")</f>
        <v/>
      </c>
    </row>
    <row r="677" ht="24" customHeight="1" s="63">
      <c r="E677" s="139" t="n"/>
      <c r="F677" s="139" t="n"/>
      <c r="G677" s="140">
        <f>IFERROR(IF(E677&gt;0,(F677/E677)*1000,""),"")</f>
        <v/>
      </c>
      <c r="H677" s="139">
        <f>IFERROR(IF(E677&gt;0,E677*IF(ISNUMBER(J677),J677,IF(OR(C677="Alpha",B677="Alpha"),$C$7,IF(C677="Futures",$C$6,$C$5))),""),"")</f>
        <v/>
      </c>
      <c r="I677" s="139">
        <f>IFERROR(IF(AND(ISNUMBER(F677),ISNUMBER(H677)),F677-H677,""),"")</f>
        <v/>
      </c>
      <c r="J677" s="114" t="n"/>
      <c r="K677" s="139">
        <f>IFERROR(IF(H677&gt;0,H677*IF(OR(C677="Alpha",B677="Alpha"),$C$9,$C$8),""),"")</f>
        <v/>
      </c>
      <c r="L677" s="139">
        <f>IFERROR(IF(ISNUMBER(F677),F677-IF(ISNUMBER(K677),K677,0),""),"")</f>
        <v/>
      </c>
    </row>
    <row r="678" ht="24" customHeight="1" s="63">
      <c r="E678" s="139" t="n"/>
      <c r="F678" s="139" t="n"/>
      <c r="G678" s="140">
        <f>IFERROR(IF(E678&gt;0,(F678/E678)*1000,""),"")</f>
        <v/>
      </c>
      <c r="H678" s="139">
        <f>IFERROR(IF(E678&gt;0,E678*IF(ISNUMBER(J678),J678,IF(OR(C678="Alpha",B678="Alpha"),$C$7,IF(C678="Futures",$C$6,$C$5))),""),"")</f>
        <v/>
      </c>
      <c r="I678" s="139">
        <f>IFERROR(IF(AND(ISNUMBER(F678),ISNUMBER(H678)),F678-H678,""),"")</f>
        <v/>
      </c>
      <c r="J678" s="114" t="n"/>
      <c r="K678" s="139">
        <f>IFERROR(IF(H678&gt;0,H678*IF(OR(C678="Alpha",B678="Alpha"),$C$9,$C$8),""),"")</f>
        <v/>
      </c>
      <c r="L678" s="139">
        <f>IFERROR(IF(ISNUMBER(F678),F678-IF(ISNUMBER(K678),K678,0),""),"")</f>
        <v/>
      </c>
    </row>
    <row r="679" ht="24" customHeight="1" s="63">
      <c r="E679" s="139" t="n"/>
      <c r="F679" s="139" t="n"/>
      <c r="G679" s="140">
        <f>IFERROR(IF(E679&gt;0,(F679/E679)*1000,""),"")</f>
        <v/>
      </c>
      <c r="H679" s="139">
        <f>IFERROR(IF(E679&gt;0,E679*IF(ISNUMBER(J679),J679,IF(OR(C679="Alpha",B679="Alpha"),$C$7,IF(C679="Futures",$C$6,$C$5))),""),"")</f>
        <v/>
      </c>
      <c r="I679" s="139">
        <f>IFERROR(IF(AND(ISNUMBER(F679),ISNUMBER(H679)),F679-H679,""),"")</f>
        <v/>
      </c>
      <c r="J679" s="114" t="n"/>
      <c r="K679" s="139">
        <f>IFERROR(IF(H679&gt;0,H679*IF(OR(C679="Alpha",B679="Alpha"),$C$9,$C$8),""),"")</f>
        <v/>
      </c>
      <c r="L679" s="139">
        <f>IFERROR(IF(ISNUMBER(F679),F679-IF(ISNUMBER(K679),K679,0),""),"")</f>
        <v/>
      </c>
    </row>
    <row r="680" ht="24" customHeight="1" s="63">
      <c r="E680" s="139" t="n"/>
      <c r="F680" s="139" t="n"/>
      <c r="G680" s="140">
        <f>IFERROR(IF(E680&gt;0,(F680/E680)*1000,""),"")</f>
        <v/>
      </c>
      <c r="H680" s="139">
        <f>IFERROR(IF(E680&gt;0,E680*IF(ISNUMBER(J680),J680,IF(OR(C680="Alpha",B680="Alpha"),$C$7,IF(C680="Futures",$C$6,$C$5))),""),"")</f>
        <v/>
      </c>
      <c r="I680" s="139">
        <f>IFERROR(IF(AND(ISNUMBER(F680),ISNUMBER(H680)),F680-H680,""),"")</f>
        <v/>
      </c>
      <c r="J680" s="114" t="n"/>
      <c r="K680" s="139">
        <f>IFERROR(IF(H680&gt;0,H680*IF(OR(C680="Alpha",B680="Alpha"),$C$9,$C$8),""),"")</f>
        <v/>
      </c>
      <c r="L680" s="139">
        <f>IFERROR(IF(ISNUMBER(F680),F680-IF(ISNUMBER(K680),K680,0),""),"")</f>
        <v/>
      </c>
    </row>
    <row r="681" ht="24" customHeight="1" s="63">
      <c r="E681" s="139" t="n"/>
      <c r="F681" s="139" t="n"/>
      <c r="G681" s="140">
        <f>IFERROR(IF(E681&gt;0,(F681/E681)*1000,""),"")</f>
        <v/>
      </c>
      <c r="H681" s="139">
        <f>IFERROR(IF(E681&gt;0,E681*IF(ISNUMBER(J681),J681,IF(OR(C681="Alpha",B681="Alpha"),$C$7,IF(C681="Futures",$C$6,$C$5))),""),"")</f>
        <v/>
      </c>
      <c r="I681" s="139">
        <f>IFERROR(IF(AND(ISNUMBER(F681),ISNUMBER(H681)),F681-H681,""),"")</f>
        <v/>
      </c>
      <c r="J681" s="114" t="n"/>
      <c r="K681" s="139">
        <f>IFERROR(IF(H681&gt;0,H681*IF(OR(C681="Alpha",B681="Alpha"),$C$9,$C$8),""),"")</f>
        <v/>
      </c>
      <c r="L681" s="139">
        <f>IFERROR(IF(ISNUMBER(F681),F681-IF(ISNUMBER(K681),K681,0),""),"")</f>
        <v/>
      </c>
    </row>
    <row r="682" ht="24" customHeight="1" s="63">
      <c r="E682" s="139" t="n"/>
      <c r="F682" s="139" t="n"/>
      <c r="G682" s="140">
        <f>IFERROR(IF(E682&gt;0,(F682/E682)*1000,""),"")</f>
        <v/>
      </c>
      <c r="H682" s="139">
        <f>IFERROR(IF(E682&gt;0,E682*IF(ISNUMBER(J682),J682,IF(OR(C682="Alpha",B682="Alpha"),$C$7,IF(C682="Futures",$C$6,$C$5))),""),"")</f>
        <v/>
      </c>
      <c r="I682" s="139">
        <f>IFERROR(IF(AND(ISNUMBER(F682),ISNUMBER(H682)),F682-H682,""),"")</f>
        <v/>
      </c>
      <c r="J682" s="114" t="n"/>
      <c r="K682" s="139">
        <f>IFERROR(IF(H682&gt;0,H682*IF(OR(C682="Alpha",B682="Alpha"),$C$9,$C$8),""),"")</f>
        <v/>
      </c>
      <c r="L682" s="139">
        <f>IFERROR(IF(ISNUMBER(F682),F682-IF(ISNUMBER(K682),K682,0),""),"")</f>
        <v/>
      </c>
    </row>
    <row r="683" ht="24" customHeight="1" s="63">
      <c r="E683" s="139" t="n"/>
      <c r="F683" s="139" t="n"/>
      <c r="G683" s="140">
        <f>IFERROR(IF(E683&gt;0,(F683/E683)*1000,""),"")</f>
        <v/>
      </c>
      <c r="H683" s="139">
        <f>IFERROR(IF(E683&gt;0,E683*IF(ISNUMBER(J683),J683,IF(OR(C683="Alpha",B683="Alpha"),$C$7,IF(C683="Futures",$C$6,$C$5))),""),"")</f>
        <v/>
      </c>
      <c r="I683" s="139">
        <f>IFERROR(IF(AND(ISNUMBER(F683),ISNUMBER(H683)),F683-H683,""),"")</f>
        <v/>
      </c>
      <c r="J683" s="114" t="n"/>
      <c r="K683" s="139">
        <f>IFERROR(IF(H683&gt;0,H683*IF(OR(C683="Alpha",B683="Alpha"),$C$9,$C$8),""),"")</f>
        <v/>
      </c>
      <c r="L683" s="139">
        <f>IFERROR(IF(ISNUMBER(F683),F683-IF(ISNUMBER(K683),K683,0),""),"")</f>
        <v/>
      </c>
    </row>
    <row r="684" ht="24" customHeight="1" s="63">
      <c r="E684" s="139" t="n"/>
      <c r="F684" s="139" t="n"/>
      <c r="G684" s="140">
        <f>IFERROR(IF(E684&gt;0,(F684/E684)*1000,""),"")</f>
        <v/>
      </c>
      <c r="H684" s="139">
        <f>IFERROR(IF(E684&gt;0,E684*IF(ISNUMBER(J684),J684,IF(OR(C684="Alpha",B684="Alpha"),$C$7,IF(C684="Futures",$C$6,$C$5))),""),"")</f>
        <v/>
      </c>
      <c r="I684" s="139">
        <f>IFERROR(IF(AND(ISNUMBER(F684),ISNUMBER(H684)),F684-H684,""),"")</f>
        <v/>
      </c>
      <c r="J684" s="114" t="n"/>
      <c r="K684" s="139">
        <f>IFERROR(IF(H684&gt;0,H684*IF(OR(C684="Alpha",B684="Alpha"),$C$9,$C$8),""),"")</f>
        <v/>
      </c>
      <c r="L684" s="139">
        <f>IFERROR(IF(ISNUMBER(F684),F684-IF(ISNUMBER(K684),K684,0),""),"")</f>
        <v/>
      </c>
    </row>
    <row r="685" ht="24" customHeight="1" s="63">
      <c r="E685" s="139" t="n"/>
      <c r="F685" s="139" t="n"/>
      <c r="G685" s="140">
        <f>IFERROR(IF(E685&gt;0,(F685/E685)*1000,""),"")</f>
        <v/>
      </c>
      <c r="H685" s="139">
        <f>IFERROR(IF(E685&gt;0,E685*IF(ISNUMBER(J685),J685,IF(OR(C685="Alpha",B685="Alpha"),$C$7,IF(C685="Futures",$C$6,$C$5))),""),"")</f>
        <v/>
      </c>
      <c r="I685" s="139">
        <f>IFERROR(IF(AND(ISNUMBER(F685),ISNUMBER(H685)),F685-H685,""),"")</f>
        <v/>
      </c>
      <c r="J685" s="114" t="n"/>
      <c r="K685" s="139">
        <f>IFERROR(IF(H685&gt;0,H685*IF(OR(C685="Alpha",B685="Alpha"),$C$9,$C$8),""),"")</f>
        <v/>
      </c>
      <c r="L685" s="139">
        <f>IFERROR(IF(ISNUMBER(F685),F685-IF(ISNUMBER(K685),K685,0),""),"")</f>
        <v/>
      </c>
    </row>
    <row r="686" ht="24" customHeight="1" s="63">
      <c r="E686" s="139" t="n"/>
      <c r="F686" s="139" t="n"/>
      <c r="G686" s="140">
        <f>IFERROR(IF(E686&gt;0,(F686/E686)*1000,""),"")</f>
        <v/>
      </c>
      <c r="H686" s="139">
        <f>IFERROR(IF(E686&gt;0,E686*IF(ISNUMBER(J686),J686,IF(OR(C686="Alpha",B686="Alpha"),$C$7,IF(C686="Futures",$C$6,$C$5))),""),"")</f>
        <v/>
      </c>
      <c r="I686" s="139">
        <f>IFERROR(IF(AND(ISNUMBER(F686),ISNUMBER(H686)),F686-H686,""),"")</f>
        <v/>
      </c>
      <c r="J686" s="114" t="n"/>
      <c r="K686" s="139">
        <f>IFERROR(IF(H686&gt;0,H686*IF(OR(C686="Alpha",B686="Alpha"),$C$9,$C$8),""),"")</f>
        <v/>
      </c>
      <c r="L686" s="139">
        <f>IFERROR(IF(ISNUMBER(F686),F686-IF(ISNUMBER(K686),K686,0),""),"")</f>
        <v/>
      </c>
    </row>
    <row r="687" ht="24" customHeight="1" s="63">
      <c r="E687" s="139" t="n"/>
      <c r="F687" s="139" t="n"/>
      <c r="G687" s="140">
        <f>IFERROR(IF(E687&gt;0,(F687/E687)*1000,""),"")</f>
        <v/>
      </c>
      <c r="H687" s="139">
        <f>IFERROR(IF(E687&gt;0,E687*IF(ISNUMBER(J687),J687,IF(OR(C687="Alpha",B687="Alpha"),$C$7,IF(C687="Futures",$C$6,$C$5))),""),"")</f>
        <v/>
      </c>
      <c r="I687" s="139">
        <f>IFERROR(IF(AND(ISNUMBER(F687),ISNUMBER(H687)),F687-H687,""),"")</f>
        <v/>
      </c>
      <c r="J687" s="114" t="n"/>
      <c r="K687" s="139">
        <f>IFERROR(IF(H687&gt;0,H687*IF(OR(C687="Alpha",B687="Alpha"),$C$9,$C$8),""),"")</f>
        <v/>
      </c>
      <c r="L687" s="139">
        <f>IFERROR(IF(ISNUMBER(F687),F687-IF(ISNUMBER(K687),K687,0),""),"")</f>
        <v/>
      </c>
    </row>
    <row r="688" ht="24" customHeight="1" s="63">
      <c r="E688" s="139" t="n"/>
      <c r="F688" s="139" t="n"/>
      <c r="G688" s="140">
        <f>IFERROR(IF(E688&gt;0,(F688/E688)*1000,""),"")</f>
        <v/>
      </c>
      <c r="H688" s="139">
        <f>IFERROR(IF(E688&gt;0,E688*IF(ISNUMBER(J688),J688,IF(OR(C688="Alpha",B688="Alpha"),$C$7,IF(C688="Futures",$C$6,$C$5))),""),"")</f>
        <v/>
      </c>
      <c r="I688" s="139">
        <f>IFERROR(IF(AND(ISNUMBER(F688),ISNUMBER(H688)),F688-H688,""),"")</f>
        <v/>
      </c>
      <c r="J688" s="114" t="n"/>
      <c r="K688" s="139">
        <f>IFERROR(IF(H688&gt;0,H688*IF(OR(C688="Alpha",B688="Alpha"),$C$9,$C$8),""),"")</f>
        <v/>
      </c>
      <c r="L688" s="139">
        <f>IFERROR(IF(ISNUMBER(F688),F688-IF(ISNUMBER(K688),K688,0),""),"")</f>
        <v/>
      </c>
    </row>
    <row r="689" ht="24" customHeight="1" s="63">
      <c r="E689" s="139" t="n"/>
      <c r="F689" s="139" t="n"/>
      <c r="G689" s="140">
        <f>IFERROR(IF(E689&gt;0,(F689/E689)*1000,""),"")</f>
        <v/>
      </c>
      <c r="H689" s="139">
        <f>IFERROR(IF(E689&gt;0,E689*IF(ISNUMBER(J689),J689,IF(OR(C689="Alpha",B689="Alpha"),$C$7,IF(C689="Futures",$C$6,$C$5))),""),"")</f>
        <v/>
      </c>
      <c r="I689" s="139">
        <f>IFERROR(IF(AND(ISNUMBER(F689),ISNUMBER(H689)),F689-H689,""),"")</f>
        <v/>
      </c>
      <c r="J689" s="114" t="n"/>
      <c r="K689" s="139">
        <f>IFERROR(IF(H689&gt;0,H689*IF(OR(C689="Alpha",B689="Alpha"),$C$9,$C$8),""),"")</f>
        <v/>
      </c>
      <c r="L689" s="139">
        <f>IFERROR(IF(ISNUMBER(F689),F689-IF(ISNUMBER(K689),K689,0),""),"")</f>
        <v/>
      </c>
    </row>
    <row r="690" ht="24" customHeight="1" s="63">
      <c r="E690" s="139" t="n"/>
      <c r="F690" s="139" t="n"/>
      <c r="G690" s="140">
        <f>IFERROR(IF(E690&gt;0,(F690/E690)*1000,""),"")</f>
        <v/>
      </c>
      <c r="H690" s="139">
        <f>IFERROR(IF(E690&gt;0,E690*IF(ISNUMBER(J690),J690,IF(OR(C690="Alpha",B690="Alpha"),$C$7,IF(C690="Futures",$C$6,$C$5))),""),"")</f>
        <v/>
      </c>
      <c r="I690" s="139">
        <f>IFERROR(IF(AND(ISNUMBER(F690),ISNUMBER(H690)),F690-H690,""),"")</f>
        <v/>
      </c>
      <c r="J690" s="114" t="n"/>
      <c r="K690" s="139">
        <f>IFERROR(IF(H690&gt;0,H690*IF(OR(C690="Alpha",B690="Alpha"),$C$9,$C$8),""),"")</f>
        <v/>
      </c>
      <c r="L690" s="139">
        <f>IFERROR(IF(ISNUMBER(F690),F690-IF(ISNUMBER(K690),K690,0),""),"")</f>
        <v/>
      </c>
    </row>
    <row r="691" ht="24" customHeight="1" s="63">
      <c r="E691" s="139" t="n"/>
      <c r="F691" s="139" t="n"/>
      <c r="G691" s="140">
        <f>IFERROR(IF(E691&gt;0,(F691/E691)*1000,""),"")</f>
        <v/>
      </c>
      <c r="H691" s="139">
        <f>IFERROR(IF(E691&gt;0,E691*IF(ISNUMBER(J691),J691,IF(OR(C691="Alpha",B691="Alpha"),$C$7,IF(C691="Futures",$C$6,$C$5))),""),"")</f>
        <v/>
      </c>
      <c r="I691" s="139">
        <f>IFERROR(IF(AND(ISNUMBER(F691),ISNUMBER(H691)),F691-H691,""),"")</f>
        <v/>
      </c>
      <c r="J691" s="114" t="n"/>
      <c r="K691" s="139">
        <f>IFERROR(IF(H691&gt;0,H691*IF(OR(C691="Alpha",B691="Alpha"),$C$9,$C$8),""),"")</f>
        <v/>
      </c>
      <c r="L691" s="139">
        <f>IFERROR(IF(ISNUMBER(F691),F691-IF(ISNUMBER(K691),K691,0),""),"")</f>
        <v/>
      </c>
    </row>
    <row r="692" ht="24" customHeight="1" s="63">
      <c r="E692" s="139" t="n"/>
      <c r="F692" s="139" t="n"/>
      <c r="G692" s="140">
        <f>IFERROR(IF(E692&gt;0,(F692/E692)*1000,""),"")</f>
        <v/>
      </c>
      <c r="H692" s="139">
        <f>IFERROR(IF(E692&gt;0,E692*IF(ISNUMBER(J692),J692,IF(OR(C692="Alpha",B692="Alpha"),$C$7,IF(C692="Futures",$C$6,$C$5))),""),"")</f>
        <v/>
      </c>
      <c r="I692" s="139">
        <f>IFERROR(IF(AND(ISNUMBER(F692),ISNUMBER(H692)),F692-H692,""),"")</f>
        <v/>
      </c>
      <c r="J692" s="114" t="n"/>
      <c r="K692" s="139">
        <f>IFERROR(IF(H692&gt;0,H692*IF(OR(C692="Alpha",B692="Alpha"),$C$9,$C$8),""),"")</f>
        <v/>
      </c>
      <c r="L692" s="139">
        <f>IFERROR(IF(ISNUMBER(F692),F692-IF(ISNUMBER(K692),K692,0),""),"")</f>
        <v/>
      </c>
    </row>
    <row r="693" ht="24" customHeight="1" s="63">
      <c r="E693" s="139" t="n"/>
      <c r="F693" s="139" t="n"/>
      <c r="G693" s="140">
        <f>IFERROR(IF(E693&gt;0,(F693/E693)*1000,""),"")</f>
        <v/>
      </c>
      <c r="H693" s="139">
        <f>IFERROR(IF(E693&gt;0,E693*IF(ISNUMBER(J693),J693,IF(OR(C693="Alpha",B693="Alpha"),$C$7,IF(C693="Futures",$C$6,$C$5))),""),"")</f>
        <v/>
      </c>
      <c r="I693" s="139">
        <f>IFERROR(IF(AND(ISNUMBER(F693),ISNUMBER(H693)),F693-H693,""),"")</f>
        <v/>
      </c>
      <c r="J693" s="114" t="n"/>
      <c r="K693" s="139">
        <f>IFERROR(IF(H693&gt;0,H693*IF(OR(C693="Alpha",B693="Alpha"),$C$9,$C$8),""),"")</f>
        <v/>
      </c>
      <c r="L693" s="139">
        <f>IFERROR(IF(ISNUMBER(F693),F693-IF(ISNUMBER(K693),K693,0),""),"")</f>
        <v/>
      </c>
    </row>
    <row r="694" ht="24" customHeight="1" s="63">
      <c r="E694" s="139" t="n"/>
      <c r="F694" s="139" t="n"/>
      <c r="G694" s="140">
        <f>IFERROR(IF(E694&gt;0,(F694/E694)*1000,""),"")</f>
        <v/>
      </c>
      <c r="H694" s="139">
        <f>IFERROR(IF(E694&gt;0,E694*IF(ISNUMBER(J694),J694,IF(OR(C694="Alpha",B694="Alpha"),$C$7,IF(C694="Futures",$C$6,$C$5))),""),"")</f>
        <v/>
      </c>
      <c r="I694" s="139">
        <f>IFERROR(IF(AND(ISNUMBER(F694),ISNUMBER(H694)),F694-H694,""),"")</f>
        <v/>
      </c>
      <c r="J694" s="114" t="n"/>
      <c r="K694" s="139">
        <f>IFERROR(IF(H694&gt;0,H694*IF(OR(C694="Alpha",B694="Alpha"),$C$9,$C$8),""),"")</f>
        <v/>
      </c>
      <c r="L694" s="139">
        <f>IFERROR(IF(ISNUMBER(F694),F694-IF(ISNUMBER(K694),K694,0),""),"")</f>
        <v/>
      </c>
    </row>
    <row r="695" ht="24" customHeight="1" s="63">
      <c r="E695" s="139" t="n"/>
      <c r="F695" s="139" t="n"/>
      <c r="G695" s="140">
        <f>IFERROR(IF(E695&gt;0,(F695/E695)*1000,""),"")</f>
        <v/>
      </c>
      <c r="H695" s="139">
        <f>IFERROR(IF(E695&gt;0,E695*IF(ISNUMBER(J695),J695,IF(OR(C695="Alpha",B695="Alpha"),$C$7,IF(C695="Futures",$C$6,$C$5))),""),"")</f>
        <v/>
      </c>
      <c r="I695" s="139">
        <f>IFERROR(IF(AND(ISNUMBER(F695),ISNUMBER(H695)),F695-H695,""),"")</f>
        <v/>
      </c>
      <c r="J695" s="114" t="n"/>
      <c r="K695" s="139">
        <f>IFERROR(IF(H695&gt;0,H695*IF(OR(C695="Alpha",B695="Alpha"),$C$9,$C$8),""),"")</f>
        <v/>
      </c>
      <c r="L695" s="139">
        <f>IFERROR(IF(ISNUMBER(F695),F695-IF(ISNUMBER(K695),K695,0),""),"")</f>
        <v/>
      </c>
    </row>
    <row r="696" ht="24" customHeight="1" s="63">
      <c r="E696" s="139" t="n"/>
      <c r="F696" s="139" t="n"/>
      <c r="G696" s="140">
        <f>IFERROR(IF(E696&gt;0,(F696/E696)*1000,""),"")</f>
        <v/>
      </c>
      <c r="H696" s="139">
        <f>IFERROR(IF(E696&gt;0,E696*IF(ISNUMBER(J696),J696,IF(OR(C696="Alpha",B696="Alpha"),$C$7,IF(C696="Futures",$C$6,$C$5))),""),"")</f>
        <v/>
      </c>
      <c r="I696" s="139">
        <f>IFERROR(IF(AND(ISNUMBER(F696),ISNUMBER(H696)),F696-H696,""),"")</f>
        <v/>
      </c>
      <c r="J696" s="114" t="n"/>
      <c r="K696" s="139">
        <f>IFERROR(IF(H696&gt;0,H696*IF(OR(C696="Alpha",B696="Alpha"),$C$9,$C$8),""),"")</f>
        <v/>
      </c>
      <c r="L696" s="139">
        <f>IFERROR(IF(ISNUMBER(F696),F696-IF(ISNUMBER(K696),K696,0),""),"")</f>
        <v/>
      </c>
    </row>
    <row r="697" ht="24" customHeight="1" s="63">
      <c r="E697" s="139" t="n"/>
      <c r="F697" s="139" t="n"/>
      <c r="G697" s="140">
        <f>IFERROR(IF(E697&gt;0,(F697/E697)*1000,""),"")</f>
        <v/>
      </c>
      <c r="H697" s="139">
        <f>IFERROR(IF(E697&gt;0,E697*IF(ISNUMBER(J697),J697,IF(OR(C697="Alpha",B697="Alpha"),$C$7,IF(C697="Futures",$C$6,$C$5))),""),"")</f>
        <v/>
      </c>
      <c r="I697" s="139">
        <f>IFERROR(IF(AND(ISNUMBER(F697),ISNUMBER(H697)),F697-H697,""),"")</f>
        <v/>
      </c>
      <c r="J697" s="114" t="n"/>
      <c r="K697" s="139">
        <f>IFERROR(IF(H697&gt;0,H697*IF(OR(C697="Alpha",B697="Alpha"),$C$9,$C$8),""),"")</f>
        <v/>
      </c>
      <c r="L697" s="139">
        <f>IFERROR(IF(ISNUMBER(F697),F697-IF(ISNUMBER(K697),K697,0),""),"")</f>
        <v/>
      </c>
    </row>
    <row r="698" ht="24" customHeight="1" s="63">
      <c r="E698" s="139" t="n"/>
      <c r="F698" s="139" t="n"/>
      <c r="G698" s="140">
        <f>IFERROR(IF(E698&gt;0,(F698/E698)*1000,""),"")</f>
        <v/>
      </c>
      <c r="H698" s="139">
        <f>IFERROR(IF(E698&gt;0,E698*IF(ISNUMBER(J698),J698,IF(OR(C698="Alpha",B698="Alpha"),$C$7,IF(C698="Futures",$C$6,$C$5))),""),"")</f>
        <v/>
      </c>
      <c r="I698" s="139">
        <f>IFERROR(IF(AND(ISNUMBER(F698),ISNUMBER(H698)),F698-H698,""),"")</f>
        <v/>
      </c>
      <c r="J698" s="114" t="n"/>
      <c r="K698" s="139">
        <f>IFERROR(IF(H698&gt;0,H698*IF(OR(C698="Alpha",B698="Alpha"),$C$9,$C$8),""),"")</f>
        <v/>
      </c>
      <c r="L698" s="139">
        <f>IFERROR(IF(ISNUMBER(F698),F698-IF(ISNUMBER(K698),K698,0),""),"")</f>
        <v/>
      </c>
    </row>
    <row r="699" ht="24" customHeight="1" s="63">
      <c r="E699" s="139" t="n"/>
      <c r="F699" s="139" t="n"/>
      <c r="G699" s="140">
        <f>IFERROR(IF(E699&gt;0,(F699/E699)*1000,""),"")</f>
        <v/>
      </c>
      <c r="H699" s="139">
        <f>IFERROR(IF(E699&gt;0,E699*IF(ISNUMBER(J699),J699,IF(OR(C699="Alpha",B699="Alpha"),$C$7,IF(C699="Futures",$C$6,$C$5))),""),"")</f>
        <v/>
      </c>
      <c r="I699" s="139">
        <f>IFERROR(IF(AND(ISNUMBER(F699),ISNUMBER(H699)),F699-H699,""),"")</f>
        <v/>
      </c>
      <c r="J699" s="114" t="n"/>
      <c r="K699" s="139">
        <f>IFERROR(IF(H699&gt;0,H699*IF(OR(C699="Alpha",B699="Alpha"),$C$9,$C$8),""),"")</f>
        <v/>
      </c>
      <c r="L699" s="139">
        <f>IFERROR(IF(ISNUMBER(F699),F699-IF(ISNUMBER(K699),K699,0),""),"")</f>
        <v/>
      </c>
    </row>
    <row r="700" ht="24" customHeight="1" s="63">
      <c r="E700" s="139" t="n"/>
      <c r="F700" s="139" t="n"/>
      <c r="G700" s="140">
        <f>IFERROR(IF(E700&gt;0,(F700/E700)*1000,""),"")</f>
        <v/>
      </c>
      <c r="H700" s="139">
        <f>IFERROR(IF(E700&gt;0,E700*IF(ISNUMBER(J700),J700,IF(OR(C700="Alpha",B700="Alpha"),$C$7,IF(C700="Futures",$C$6,$C$5))),""),"")</f>
        <v/>
      </c>
      <c r="I700" s="139">
        <f>IFERROR(IF(AND(ISNUMBER(F700),ISNUMBER(H700)),F700-H700,""),"")</f>
        <v/>
      </c>
      <c r="J700" s="114" t="n"/>
      <c r="K700" s="139">
        <f>IFERROR(IF(H700&gt;0,H700*IF(OR(C700="Alpha",B700="Alpha"),$C$9,$C$8),""),"")</f>
        <v/>
      </c>
      <c r="L700" s="139">
        <f>IFERROR(IF(ISNUMBER(F700),F700-IF(ISNUMBER(K700),K700,0),""),"")</f>
        <v/>
      </c>
    </row>
    <row r="701" ht="24" customHeight="1" s="63">
      <c r="E701" s="139" t="n"/>
      <c r="F701" s="139" t="n"/>
      <c r="G701" s="140">
        <f>IFERROR(IF(E701&gt;0,(F701/E701)*1000,""),"")</f>
        <v/>
      </c>
      <c r="H701" s="139">
        <f>IFERROR(IF(E701&gt;0,E701*IF(ISNUMBER(J701),J701,IF(OR(C701="Alpha",B701="Alpha"),$C$7,IF(C701="Futures",$C$6,$C$5))),""),"")</f>
        <v/>
      </c>
      <c r="I701" s="139">
        <f>IFERROR(IF(AND(ISNUMBER(F701),ISNUMBER(H701)),F701-H701,""),"")</f>
        <v/>
      </c>
      <c r="J701" s="114" t="n"/>
      <c r="K701" s="139">
        <f>IFERROR(IF(H701&gt;0,H701*IF(OR(C701="Alpha",B701="Alpha"),$C$9,$C$8),""),"")</f>
        <v/>
      </c>
      <c r="L701" s="139">
        <f>IFERROR(IF(ISNUMBER(F701),F701-IF(ISNUMBER(K701),K701,0),""),"")</f>
        <v/>
      </c>
    </row>
    <row r="702" ht="24" customHeight="1" s="63">
      <c r="E702" s="139" t="n"/>
      <c r="F702" s="139" t="n"/>
      <c r="G702" s="140">
        <f>IFERROR(IF(E702&gt;0,(F702/E702)*1000,""),"")</f>
        <v/>
      </c>
      <c r="H702" s="139">
        <f>IFERROR(IF(E702&gt;0,E702*IF(ISNUMBER(J702),J702,IF(OR(C702="Alpha",B702="Alpha"),$C$7,IF(C702="Futures",$C$6,$C$5))),""),"")</f>
        <v/>
      </c>
      <c r="I702" s="139">
        <f>IFERROR(IF(AND(ISNUMBER(F702),ISNUMBER(H702)),F702-H702,""),"")</f>
        <v/>
      </c>
      <c r="J702" s="114" t="n"/>
      <c r="K702" s="139">
        <f>IFERROR(IF(H702&gt;0,H702*IF(OR(C702="Alpha",B702="Alpha"),$C$9,$C$8),""),"")</f>
        <v/>
      </c>
      <c r="L702" s="139">
        <f>IFERROR(IF(ISNUMBER(F702),F702-IF(ISNUMBER(K702),K702,0),""),"")</f>
        <v/>
      </c>
    </row>
    <row r="703" ht="24" customHeight="1" s="63">
      <c r="E703" s="139" t="n"/>
      <c r="F703" s="139" t="n"/>
      <c r="G703" s="140">
        <f>IFERROR(IF(E703&gt;0,(F703/E703)*1000,""),"")</f>
        <v/>
      </c>
      <c r="H703" s="139">
        <f>IFERROR(IF(E703&gt;0,E703*IF(ISNUMBER(J703),J703,IF(OR(C703="Alpha",B703="Alpha"),$C$7,IF(C703="Futures",$C$6,$C$5))),""),"")</f>
        <v/>
      </c>
      <c r="I703" s="139">
        <f>IFERROR(IF(AND(ISNUMBER(F703),ISNUMBER(H703)),F703-H703,""),"")</f>
        <v/>
      </c>
      <c r="J703" s="114" t="n"/>
      <c r="K703" s="139">
        <f>IFERROR(IF(H703&gt;0,H703*IF(OR(C703="Alpha",B703="Alpha"),$C$9,$C$8),""),"")</f>
        <v/>
      </c>
      <c r="L703" s="139">
        <f>IFERROR(IF(ISNUMBER(F703),F703-IF(ISNUMBER(K703),K703,0),""),"")</f>
        <v/>
      </c>
    </row>
    <row r="704" ht="24" customHeight="1" s="63">
      <c r="E704" s="139" t="n"/>
      <c r="F704" s="139" t="n"/>
      <c r="G704" s="140">
        <f>IFERROR(IF(E704&gt;0,(F704/E704)*1000,""),"")</f>
        <v/>
      </c>
      <c r="H704" s="139">
        <f>IFERROR(IF(E704&gt;0,E704*IF(ISNUMBER(J704),J704,IF(OR(C704="Alpha",B704="Alpha"),$C$7,IF(C704="Futures",$C$6,$C$5))),""),"")</f>
        <v/>
      </c>
      <c r="I704" s="139">
        <f>IFERROR(IF(AND(ISNUMBER(F704),ISNUMBER(H704)),F704-H704,""),"")</f>
        <v/>
      </c>
      <c r="J704" s="114" t="n"/>
      <c r="K704" s="139">
        <f>IFERROR(IF(H704&gt;0,H704*IF(OR(C704="Alpha",B704="Alpha"),$C$9,$C$8),""),"")</f>
        <v/>
      </c>
      <c r="L704" s="139">
        <f>IFERROR(IF(ISNUMBER(F704),F704-IF(ISNUMBER(K704),K704,0),""),"")</f>
        <v/>
      </c>
    </row>
    <row r="705" ht="24" customHeight="1" s="63">
      <c r="E705" s="139" t="n"/>
      <c r="F705" s="139" t="n"/>
      <c r="G705" s="140">
        <f>IFERROR(IF(E705&gt;0,(F705/E705)*1000,""),"")</f>
        <v/>
      </c>
      <c r="H705" s="139">
        <f>IFERROR(IF(E705&gt;0,E705*IF(ISNUMBER(J705),J705,IF(OR(C705="Alpha",B705="Alpha"),$C$7,IF(C705="Futures",$C$6,$C$5))),""),"")</f>
        <v/>
      </c>
      <c r="I705" s="139">
        <f>IFERROR(IF(AND(ISNUMBER(F705),ISNUMBER(H705)),F705-H705,""),"")</f>
        <v/>
      </c>
      <c r="J705" s="114" t="n"/>
      <c r="K705" s="139">
        <f>IFERROR(IF(H705&gt;0,H705*IF(OR(C705="Alpha",B705="Alpha"),$C$9,$C$8),""),"")</f>
        <v/>
      </c>
      <c r="L705" s="139">
        <f>IFERROR(IF(ISNUMBER(F705),F705-IF(ISNUMBER(K705),K705,0),""),"")</f>
        <v/>
      </c>
    </row>
    <row r="706" ht="24" customHeight="1" s="63">
      <c r="E706" s="139" t="n"/>
      <c r="F706" s="139" t="n"/>
      <c r="G706" s="140">
        <f>IFERROR(IF(E706&gt;0,(F706/E706)*1000,""),"")</f>
        <v/>
      </c>
      <c r="H706" s="139">
        <f>IFERROR(IF(E706&gt;0,E706*IF(ISNUMBER(J706),J706,IF(OR(C706="Alpha",B706="Alpha"),$C$7,IF(C706="Futures",$C$6,$C$5))),""),"")</f>
        <v/>
      </c>
      <c r="I706" s="139">
        <f>IFERROR(IF(AND(ISNUMBER(F706),ISNUMBER(H706)),F706-H706,""),"")</f>
        <v/>
      </c>
      <c r="J706" s="114" t="n"/>
      <c r="K706" s="139">
        <f>IFERROR(IF(H706&gt;0,H706*IF(OR(C706="Alpha",B706="Alpha"),$C$9,$C$8),""),"")</f>
        <v/>
      </c>
      <c r="L706" s="139">
        <f>IFERROR(IF(ISNUMBER(F706),F706-IF(ISNUMBER(K706),K706,0),""),"")</f>
        <v/>
      </c>
    </row>
    <row r="707" ht="24" customHeight="1" s="63">
      <c r="E707" s="139" t="n"/>
      <c r="F707" s="139" t="n"/>
      <c r="G707" s="140">
        <f>IFERROR(IF(E707&gt;0,(F707/E707)*1000,""),"")</f>
        <v/>
      </c>
      <c r="H707" s="139">
        <f>IFERROR(IF(E707&gt;0,E707*IF(ISNUMBER(J707),J707,IF(OR(C707="Alpha",B707="Alpha"),$C$7,IF(C707="Futures",$C$6,$C$5))),""),"")</f>
        <v/>
      </c>
      <c r="I707" s="139">
        <f>IFERROR(IF(AND(ISNUMBER(F707),ISNUMBER(H707)),F707-H707,""),"")</f>
        <v/>
      </c>
      <c r="J707" s="114" t="n"/>
      <c r="K707" s="139">
        <f>IFERROR(IF(H707&gt;0,H707*IF(OR(C707="Alpha",B707="Alpha"),$C$9,$C$8),""),"")</f>
        <v/>
      </c>
      <c r="L707" s="139">
        <f>IFERROR(IF(ISNUMBER(F707),F707-IF(ISNUMBER(K707),K707,0),""),"")</f>
        <v/>
      </c>
    </row>
    <row r="708" ht="24" customHeight="1" s="63">
      <c r="E708" s="139" t="n"/>
      <c r="F708" s="139" t="n"/>
      <c r="G708" s="140">
        <f>IFERROR(IF(E708&gt;0,(F708/E708)*1000,""),"")</f>
        <v/>
      </c>
      <c r="H708" s="139">
        <f>IFERROR(IF(E708&gt;0,E708*IF(ISNUMBER(J708),J708,IF(OR(C708="Alpha",B708="Alpha"),$C$7,IF(C708="Futures",$C$6,$C$5))),""),"")</f>
        <v/>
      </c>
      <c r="I708" s="139">
        <f>IFERROR(IF(AND(ISNUMBER(F708),ISNUMBER(H708)),F708-H708,""),"")</f>
        <v/>
      </c>
      <c r="J708" s="114" t="n"/>
      <c r="K708" s="139">
        <f>IFERROR(IF(H708&gt;0,H708*IF(OR(C708="Alpha",B708="Alpha"),$C$9,$C$8),""),"")</f>
        <v/>
      </c>
      <c r="L708" s="139">
        <f>IFERROR(IF(ISNUMBER(F708),F708-IF(ISNUMBER(K708),K708,0),""),"")</f>
        <v/>
      </c>
    </row>
    <row r="709" ht="24" customHeight="1" s="63">
      <c r="E709" s="139" t="n"/>
      <c r="F709" s="139" t="n"/>
      <c r="G709" s="140">
        <f>IFERROR(IF(E709&gt;0,(F709/E709)*1000,""),"")</f>
        <v/>
      </c>
      <c r="H709" s="139">
        <f>IFERROR(IF(E709&gt;0,E709*IF(ISNUMBER(J709),J709,IF(OR(C709="Alpha",B709="Alpha"),$C$7,IF(C709="Futures",$C$6,$C$5))),""),"")</f>
        <v/>
      </c>
      <c r="I709" s="139">
        <f>IFERROR(IF(AND(ISNUMBER(F709),ISNUMBER(H709)),F709-H709,""),"")</f>
        <v/>
      </c>
      <c r="J709" s="114" t="n"/>
      <c r="K709" s="139">
        <f>IFERROR(IF(H709&gt;0,H709*IF(OR(C709="Alpha",B709="Alpha"),$C$9,$C$8),""),"")</f>
        <v/>
      </c>
      <c r="L709" s="139">
        <f>IFERROR(IF(ISNUMBER(F709),F709-IF(ISNUMBER(K709),K709,0),""),"")</f>
        <v/>
      </c>
    </row>
    <row r="710" ht="24" customHeight="1" s="63">
      <c r="E710" s="139" t="n"/>
      <c r="F710" s="139" t="n"/>
      <c r="G710" s="140">
        <f>IFERROR(IF(E710&gt;0,(F710/E710)*1000,""),"")</f>
        <v/>
      </c>
      <c r="H710" s="139">
        <f>IFERROR(IF(E710&gt;0,E710*IF(ISNUMBER(J710),J710,IF(OR(C710="Alpha",B710="Alpha"),$C$7,IF(C710="Futures",$C$6,$C$5))),""),"")</f>
        <v/>
      </c>
      <c r="I710" s="139">
        <f>IFERROR(IF(AND(ISNUMBER(F710),ISNUMBER(H710)),F710-H710,""),"")</f>
        <v/>
      </c>
      <c r="J710" s="114" t="n"/>
      <c r="K710" s="139">
        <f>IFERROR(IF(H710&gt;0,H710*IF(OR(C710="Alpha",B710="Alpha"),$C$9,$C$8),""),"")</f>
        <v/>
      </c>
      <c r="L710" s="139">
        <f>IFERROR(IF(ISNUMBER(F710),F710-IF(ISNUMBER(K710),K710,0),""),"")</f>
        <v/>
      </c>
    </row>
    <row r="711" ht="24" customHeight="1" s="63">
      <c r="E711" s="139" t="n"/>
      <c r="F711" s="139" t="n"/>
      <c r="G711" s="140">
        <f>IFERROR(IF(E711&gt;0,(F711/E711)*1000,""),"")</f>
        <v/>
      </c>
      <c r="H711" s="139">
        <f>IFERROR(IF(E711&gt;0,E711*IF(ISNUMBER(J711),J711,IF(OR(C711="Alpha",B711="Alpha"),$C$7,IF(C711="Futures",$C$6,$C$5))),""),"")</f>
        <v/>
      </c>
      <c r="I711" s="139">
        <f>IFERROR(IF(AND(ISNUMBER(F711),ISNUMBER(H711)),F711-H711,""),"")</f>
        <v/>
      </c>
      <c r="J711" s="114" t="n"/>
      <c r="K711" s="139">
        <f>IFERROR(IF(H711&gt;0,H711*IF(OR(C711="Alpha",B711="Alpha"),$C$9,$C$8),""),"")</f>
        <v/>
      </c>
      <c r="L711" s="139">
        <f>IFERROR(IF(ISNUMBER(F711),F711-IF(ISNUMBER(K711),K711,0),""),"")</f>
        <v/>
      </c>
    </row>
    <row r="712" ht="24" customHeight="1" s="63">
      <c r="E712" s="139" t="n"/>
      <c r="F712" s="139" t="n"/>
      <c r="G712" s="140">
        <f>IFERROR(IF(E712&gt;0,(F712/E712)*1000,""),"")</f>
        <v/>
      </c>
      <c r="H712" s="139">
        <f>IFERROR(IF(E712&gt;0,E712*IF(ISNUMBER(J712),J712,IF(OR(C712="Alpha",B712="Alpha"),$C$7,IF(C712="Futures",$C$6,$C$5))),""),"")</f>
        <v/>
      </c>
      <c r="I712" s="139">
        <f>IFERROR(IF(AND(ISNUMBER(F712),ISNUMBER(H712)),F712-H712,""),"")</f>
        <v/>
      </c>
      <c r="J712" s="114" t="n"/>
      <c r="K712" s="139">
        <f>IFERROR(IF(H712&gt;0,H712*IF(OR(C712="Alpha",B712="Alpha"),$C$9,$C$8),""),"")</f>
        <v/>
      </c>
      <c r="L712" s="139">
        <f>IFERROR(IF(ISNUMBER(F712),F712-IF(ISNUMBER(K712),K712,0),""),"")</f>
        <v/>
      </c>
    </row>
    <row r="713" ht="24" customHeight="1" s="63">
      <c r="E713" s="139" t="n"/>
      <c r="F713" s="139" t="n"/>
      <c r="G713" s="140">
        <f>IFERROR(IF(E713&gt;0,(F713/E713)*1000,""),"")</f>
        <v/>
      </c>
      <c r="H713" s="139">
        <f>IFERROR(IF(E713&gt;0,E713*IF(ISNUMBER(J713),J713,IF(OR(C713="Alpha",B713="Alpha"),$C$7,IF(C713="Futures",$C$6,$C$5))),""),"")</f>
        <v/>
      </c>
      <c r="I713" s="139">
        <f>IFERROR(IF(AND(ISNUMBER(F713),ISNUMBER(H713)),F713-H713,""),"")</f>
        <v/>
      </c>
      <c r="J713" s="114" t="n"/>
      <c r="K713" s="139">
        <f>IFERROR(IF(H713&gt;0,H713*IF(OR(C713="Alpha",B713="Alpha"),$C$9,$C$8),""),"")</f>
        <v/>
      </c>
      <c r="L713" s="139">
        <f>IFERROR(IF(ISNUMBER(F713),F713-IF(ISNUMBER(K713),K713,0),""),"")</f>
        <v/>
      </c>
    </row>
    <row r="714" ht="24" customHeight="1" s="63">
      <c r="E714" s="139" t="n"/>
      <c r="F714" s="139" t="n"/>
      <c r="G714" s="140">
        <f>IFERROR(IF(E714&gt;0,(F714/E714)*1000,""),"")</f>
        <v/>
      </c>
      <c r="H714" s="139">
        <f>IFERROR(IF(E714&gt;0,E714*IF(ISNUMBER(J714),J714,IF(OR(C714="Alpha",B714="Alpha"),$C$7,IF(C714="Futures",$C$6,$C$5))),""),"")</f>
        <v/>
      </c>
      <c r="I714" s="139">
        <f>IFERROR(IF(AND(ISNUMBER(F714),ISNUMBER(H714)),F714-H714,""),"")</f>
        <v/>
      </c>
      <c r="J714" s="114" t="n"/>
      <c r="K714" s="139">
        <f>IFERROR(IF(H714&gt;0,H714*IF(OR(C714="Alpha",B714="Alpha"),$C$9,$C$8),""),"")</f>
        <v/>
      </c>
      <c r="L714" s="139">
        <f>IFERROR(IF(ISNUMBER(F714),F714-IF(ISNUMBER(K714),K714,0),""),"")</f>
        <v/>
      </c>
    </row>
    <row r="715" ht="24" customHeight="1" s="63">
      <c r="E715" s="139" t="n"/>
      <c r="F715" s="139" t="n"/>
      <c r="G715" s="140">
        <f>IFERROR(IF(E715&gt;0,(F715/E715)*1000,""),"")</f>
        <v/>
      </c>
      <c r="H715" s="139">
        <f>IFERROR(IF(E715&gt;0,E715*IF(ISNUMBER(J715),J715,IF(OR(C715="Alpha",B715="Alpha"),$C$7,IF(C715="Futures",$C$6,$C$5))),""),"")</f>
        <v/>
      </c>
      <c r="I715" s="139">
        <f>IFERROR(IF(AND(ISNUMBER(F715),ISNUMBER(H715)),F715-H715,""),"")</f>
        <v/>
      </c>
      <c r="J715" s="114" t="n"/>
      <c r="K715" s="139">
        <f>IFERROR(IF(H715&gt;0,H715*IF(OR(C715="Alpha",B715="Alpha"),$C$9,$C$8),""),"")</f>
        <v/>
      </c>
      <c r="L715" s="139">
        <f>IFERROR(IF(ISNUMBER(F715),F715-IF(ISNUMBER(K715),K715,0),""),"")</f>
        <v/>
      </c>
    </row>
    <row r="716" ht="24" customHeight="1" s="63">
      <c r="E716" s="139" t="n"/>
      <c r="F716" s="139" t="n"/>
      <c r="G716" s="140">
        <f>IFERROR(IF(E716&gt;0,(F716/E716)*1000,""),"")</f>
        <v/>
      </c>
      <c r="H716" s="139">
        <f>IFERROR(IF(E716&gt;0,E716*IF(ISNUMBER(J716),J716,IF(OR(C716="Alpha",B716="Alpha"),$C$7,IF(C716="Futures",$C$6,$C$5))),""),"")</f>
        <v/>
      </c>
      <c r="I716" s="139">
        <f>IFERROR(IF(AND(ISNUMBER(F716),ISNUMBER(H716)),F716-H716,""),"")</f>
        <v/>
      </c>
      <c r="J716" s="114" t="n"/>
      <c r="K716" s="139">
        <f>IFERROR(IF(H716&gt;0,H716*IF(OR(C716="Alpha",B716="Alpha"),$C$9,$C$8),""),"")</f>
        <v/>
      </c>
      <c r="L716" s="139">
        <f>IFERROR(IF(ISNUMBER(F716),F716-IF(ISNUMBER(K716),K716,0),""),"")</f>
        <v/>
      </c>
    </row>
    <row r="717" ht="24" customHeight="1" s="63">
      <c r="E717" s="139" t="n"/>
      <c r="F717" s="139" t="n"/>
      <c r="G717" s="140">
        <f>IFERROR(IF(E717&gt;0,(F717/E717)*1000,""),"")</f>
        <v/>
      </c>
      <c r="H717" s="139">
        <f>IFERROR(IF(E717&gt;0,E717*IF(ISNUMBER(J717),J717,IF(OR(C717="Alpha",B717="Alpha"),$C$7,IF(C717="Futures",$C$6,$C$5))),""),"")</f>
        <v/>
      </c>
      <c r="I717" s="139">
        <f>IFERROR(IF(AND(ISNUMBER(F717),ISNUMBER(H717)),F717-H717,""),"")</f>
        <v/>
      </c>
      <c r="J717" s="114" t="n"/>
      <c r="K717" s="139">
        <f>IFERROR(IF(H717&gt;0,H717*IF(OR(C717="Alpha",B717="Alpha"),$C$9,$C$8),""),"")</f>
        <v/>
      </c>
      <c r="L717" s="139">
        <f>IFERROR(IF(ISNUMBER(F717),F717-IF(ISNUMBER(K717),K717,0),""),"")</f>
        <v/>
      </c>
    </row>
    <row r="718" ht="24" customHeight="1" s="63">
      <c r="E718" s="139" t="n"/>
      <c r="F718" s="139" t="n"/>
      <c r="G718" s="140">
        <f>IFERROR(IF(E718&gt;0,(F718/E718)*1000,""),"")</f>
        <v/>
      </c>
      <c r="H718" s="139">
        <f>IFERROR(IF(E718&gt;0,E718*IF(ISNUMBER(J718),J718,IF(OR(C718="Alpha",B718="Alpha"),$C$7,IF(C718="Futures",$C$6,$C$5))),""),"")</f>
        <v/>
      </c>
      <c r="I718" s="139">
        <f>IFERROR(IF(AND(ISNUMBER(F718),ISNUMBER(H718)),F718-H718,""),"")</f>
        <v/>
      </c>
      <c r="J718" s="114" t="n"/>
      <c r="K718" s="139">
        <f>IFERROR(IF(H718&gt;0,H718*IF(OR(C718="Alpha",B718="Alpha"),$C$9,$C$8),""),"")</f>
        <v/>
      </c>
      <c r="L718" s="139">
        <f>IFERROR(IF(ISNUMBER(F718),F718-IF(ISNUMBER(K718),K718,0),""),"")</f>
        <v/>
      </c>
    </row>
    <row r="719" ht="24" customHeight="1" s="63">
      <c r="E719" s="139" t="n"/>
      <c r="F719" s="139" t="n"/>
      <c r="G719" s="140">
        <f>IFERROR(IF(E719&gt;0,(F719/E719)*1000,""),"")</f>
        <v/>
      </c>
      <c r="H719" s="139">
        <f>IFERROR(IF(E719&gt;0,E719*IF(ISNUMBER(J719),J719,IF(OR(C719="Alpha",B719="Alpha"),$C$7,IF(C719="Futures",$C$6,$C$5))),""),"")</f>
        <v/>
      </c>
      <c r="I719" s="139">
        <f>IFERROR(IF(AND(ISNUMBER(F719),ISNUMBER(H719)),F719-H719,""),"")</f>
        <v/>
      </c>
      <c r="J719" s="114" t="n"/>
      <c r="K719" s="139">
        <f>IFERROR(IF(H719&gt;0,H719*IF(OR(C719="Alpha",B719="Alpha"),$C$9,$C$8),""),"")</f>
        <v/>
      </c>
      <c r="L719" s="139">
        <f>IFERROR(IF(ISNUMBER(F719),F719-IF(ISNUMBER(K719),K719,0),""),"")</f>
        <v/>
      </c>
    </row>
    <row r="720" ht="24" customHeight="1" s="63">
      <c r="E720" s="139" t="n"/>
      <c r="F720" s="139" t="n"/>
      <c r="G720" s="140">
        <f>IFERROR(IF(E720&gt;0,(F720/E720)*1000,""),"")</f>
        <v/>
      </c>
      <c r="H720" s="139">
        <f>IFERROR(IF(E720&gt;0,E720*IF(ISNUMBER(J720),J720,IF(OR(C720="Alpha",B720="Alpha"),$C$7,IF(C720="Futures",$C$6,$C$5))),""),"")</f>
        <v/>
      </c>
      <c r="I720" s="139">
        <f>IFERROR(IF(AND(ISNUMBER(F720),ISNUMBER(H720)),F720-H720,""),"")</f>
        <v/>
      </c>
      <c r="J720" s="114" t="n"/>
      <c r="K720" s="139">
        <f>IFERROR(IF(H720&gt;0,H720*IF(OR(C720="Alpha",B720="Alpha"),$C$9,$C$8),""),"")</f>
        <v/>
      </c>
      <c r="L720" s="139">
        <f>IFERROR(IF(ISNUMBER(F720),F720-IF(ISNUMBER(K720),K720,0),""),"")</f>
        <v/>
      </c>
    </row>
    <row r="721" ht="24" customHeight="1" s="63">
      <c r="E721" s="139" t="n"/>
      <c r="F721" s="139" t="n"/>
      <c r="G721" s="140">
        <f>IFERROR(IF(E721&gt;0,(F721/E721)*1000,""),"")</f>
        <v/>
      </c>
      <c r="H721" s="139">
        <f>IFERROR(IF(E721&gt;0,E721*IF(ISNUMBER(J721),J721,IF(OR(C721="Alpha",B721="Alpha"),$C$7,IF(C721="Futures",$C$6,$C$5))),""),"")</f>
        <v/>
      </c>
      <c r="I721" s="139">
        <f>IFERROR(IF(AND(ISNUMBER(F721),ISNUMBER(H721)),F721-H721,""),"")</f>
        <v/>
      </c>
      <c r="J721" s="114" t="n"/>
      <c r="K721" s="139">
        <f>IFERROR(IF(H721&gt;0,H721*IF(OR(C721="Alpha",B721="Alpha"),$C$9,$C$8),""),"")</f>
        <v/>
      </c>
      <c r="L721" s="139">
        <f>IFERROR(IF(ISNUMBER(F721),F721-IF(ISNUMBER(K721),K721,0),""),"")</f>
        <v/>
      </c>
    </row>
    <row r="722" ht="24" customHeight="1" s="63">
      <c r="E722" s="139" t="n"/>
      <c r="F722" s="139" t="n"/>
      <c r="G722" s="140">
        <f>IFERROR(IF(E722&gt;0,(F722/E722)*1000,""),"")</f>
        <v/>
      </c>
      <c r="H722" s="139">
        <f>IFERROR(IF(E722&gt;0,E722*IF(ISNUMBER(J722),J722,IF(OR(C722="Alpha",B722="Alpha"),$C$7,IF(C722="Futures",$C$6,$C$5))),""),"")</f>
        <v/>
      </c>
      <c r="I722" s="139">
        <f>IFERROR(IF(AND(ISNUMBER(F722),ISNUMBER(H722)),F722-H722,""),"")</f>
        <v/>
      </c>
      <c r="J722" s="114" t="n"/>
      <c r="K722" s="139">
        <f>IFERROR(IF(H722&gt;0,H722*IF(OR(C722="Alpha",B722="Alpha"),$C$9,$C$8),""),"")</f>
        <v/>
      </c>
      <c r="L722" s="139">
        <f>IFERROR(IF(ISNUMBER(F722),F722-IF(ISNUMBER(K722),K722,0),""),"")</f>
        <v/>
      </c>
    </row>
    <row r="723" ht="24" customHeight="1" s="63">
      <c r="E723" s="139" t="n"/>
      <c r="F723" s="139" t="n"/>
      <c r="G723" s="140">
        <f>IFERROR(IF(E723&gt;0,(F723/E723)*1000,""),"")</f>
        <v/>
      </c>
      <c r="H723" s="139">
        <f>IFERROR(IF(E723&gt;0,E723*IF(ISNUMBER(J723),J723,IF(OR(C723="Alpha",B723="Alpha"),$C$7,IF(C723="Futures",$C$6,$C$5))),""),"")</f>
        <v/>
      </c>
      <c r="I723" s="139">
        <f>IFERROR(IF(AND(ISNUMBER(F723),ISNUMBER(H723)),F723-H723,""),"")</f>
        <v/>
      </c>
      <c r="J723" s="114" t="n"/>
      <c r="K723" s="139">
        <f>IFERROR(IF(H723&gt;0,H723*IF(OR(C723="Alpha",B723="Alpha"),$C$9,$C$8),""),"")</f>
        <v/>
      </c>
      <c r="L723" s="139">
        <f>IFERROR(IF(ISNUMBER(F723),F723-IF(ISNUMBER(K723),K723,0),""),"")</f>
        <v/>
      </c>
    </row>
    <row r="724" ht="24" customHeight="1" s="63">
      <c r="E724" s="139" t="n"/>
      <c r="F724" s="139" t="n"/>
      <c r="G724" s="140">
        <f>IFERROR(IF(E724&gt;0,(F724/E724)*1000,""),"")</f>
        <v/>
      </c>
      <c r="H724" s="139">
        <f>IFERROR(IF(E724&gt;0,E724*IF(ISNUMBER(J724),J724,IF(OR(C724="Alpha",B724="Alpha"),$C$7,IF(C724="Futures",$C$6,$C$5))),""),"")</f>
        <v/>
      </c>
      <c r="I724" s="139">
        <f>IFERROR(IF(AND(ISNUMBER(F724),ISNUMBER(H724)),F724-H724,""),"")</f>
        <v/>
      </c>
      <c r="J724" s="114" t="n"/>
      <c r="K724" s="139">
        <f>IFERROR(IF(H724&gt;0,H724*IF(OR(C724="Alpha",B724="Alpha"),$C$9,$C$8),""),"")</f>
        <v/>
      </c>
      <c r="L724" s="139">
        <f>IFERROR(IF(ISNUMBER(F724),F724-IF(ISNUMBER(K724),K724,0),""),"")</f>
        <v/>
      </c>
    </row>
    <row r="725" ht="24" customHeight="1" s="63">
      <c r="E725" s="139" t="n"/>
      <c r="F725" s="139" t="n"/>
      <c r="G725" s="140">
        <f>IFERROR(IF(E725&gt;0,(F725/E725)*1000,""),"")</f>
        <v/>
      </c>
      <c r="H725" s="139">
        <f>IFERROR(IF(E725&gt;0,E725*IF(ISNUMBER(J725),J725,IF(OR(C725="Alpha",B725="Alpha"),$C$7,IF(C725="Futures",$C$6,$C$5))),""),"")</f>
        <v/>
      </c>
      <c r="I725" s="139">
        <f>IFERROR(IF(AND(ISNUMBER(F725),ISNUMBER(H725)),F725-H725,""),"")</f>
        <v/>
      </c>
      <c r="J725" s="114" t="n"/>
      <c r="K725" s="139">
        <f>IFERROR(IF(H725&gt;0,H725*IF(OR(C725="Alpha",B725="Alpha"),$C$9,$C$8),""),"")</f>
        <v/>
      </c>
      <c r="L725" s="139">
        <f>IFERROR(IF(ISNUMBER(F725),F725-IF(ISNUMBER(K725),K725,0),""),"")</f>
        <v/>
      </c>
    </row>
    <row r="726" ht="24" customHeight="1" s="63">
      <c r="E726" s="139" t="n"/>
      <c r="F726" s="139" t="n"/>
      <c r="G726" s="140">
        <f>IFERROR(IF(E726&gt;0,(F726/E726)*1000,""),"")</f>
        <v/>
      </c>
      <c r="H726" s="139">
        <f>IFERROR(IF(E726&gt;0,E726*IF(ISNUMBER(J726),J726,IF(OR(C726="Alpha",B726="Alpha"),$C$7,IF(C726="Futures",$C$6,$C$5))),""),"")</f>
        <v/>
      </c>
      <c r="I726" s="139">
        <f>IFERROR(IF(AND(ISNUMBER(F726),ISNUMBER(H726)),F726-H726,""),"")</f>
        <v/>
      </c>
      <c r="J726" s="114" t="n"/>
      <c r="K726" s="139">
        <f>IFERROR(IF(H726&gt;0,H726*IF(OR(C726="Alpha",B726="Alpha"),$C$9,$C$8),""),"")</f>
        <v/>
      </c>
      <c r="L726" s="139">
        <f>IFERROR(IF(ISNUMBER(F726),F726-IF(ISNUMBER(K726),K726,0),""),"")</f>
        <v/>
      </c>
    </row>
    <row r="727" ht="24" customHeight="1" s="63">
      <c r="E727" s="139" t="n"/>
      <c r="F727" s="139" t="n"/>
      <c r="G727" s="140">
        <f>IFERROR(IF(E727&gt;0,(F727/E727)*1000,""),"")</f>
        <v/>
      </c>
      <c r="H727" s="139">
        <f>IFERROR(IF(E727&gt;0,E727*IF(ISNUMBER(J727),J727,IF(OR(C727="Alpha",B727="Alpha"),$C$7,IF(C727="Futures",$C$6,$C$5))),""),"")</f>
        <v/>
      </c>
      <c r="I727" s="139">
        <f>IFERROR(IF(AND(ISNUMBER(F727),ISNUMBER(H727)),F727-H727,""),"")</f>
        <v/>
      </c>
      <c r="J727" s="114" t="n"/>
      <c r="K727" s="139">
        <f>IFERROR(IF(H727&gt;0,H727*IF(OR(C727="Alpha",B727="Alpha"),$C$9,$C$8),""),"")</f>
        <v/>
      </c>
      <c r="L727" s="139">
        <f>IFERROR(IF(ISNUMBER(F727),F727-IF(ISNUMBER(K727),K727,0),""),"")</f>
        <v/>
      </c>
    </row>
    <row r="728" ht="24" customHeight="1" s="63">
      <c r="E728" s="139" t="n"/>
      <c r="F728" s="139" t="n"/>
      <c r="G728" s="140">
        <f>IFERROR(IF(E728&gt;0,(F728/E728)*1000,""),"")</f>
        <v/>
      </c>
      <c r="H728" s="139">
        <f>IFERROR(IF(E728&gt;0,E728*IF(ISNUMBER(J728),J728,IF(OR(C728="Alpha",B728="Alpha"),$C$7,IF(C728="Futures",$C$6,$C$5))),""),"")</f>
        <v/>
      </c>
      <c r="I728" s="139">
        <f>IFERROR(IF(AND(ISNUMBER(F728),ISNUMBER(H728)),F728-H728,""),"")</f>
        <v/>
      </c>
      <c r="J728" s="114" t="n"/>
      <c r="K728" s="139">
        <f>IFERROR(IF(H728&gt;0,H728*IF(OR(C728="Alpha",B728="Alpha"),$C$9,$C$8),""),"")</f>
        <v/>
      </c>
      <c r="L728" s="139">
        <f>IFERROR(IF(ISNUMBER(F728),F728-IF(ISNUMBER(K728),K728,0),""),"")</f>
        <v/>
      </c>
    </row>
    <row r="729" ht="24" customHeight="1" s="63">
      <c r="E729" s="139" t="n"/>
      <c r="F729" s="139" t="n"/>
      <c r="G729" s="140">
        <f>IFERROR(IF(E729&gt;0,(F729/E729)*1000,""),"")</f>
        <v/>
      </c>
      <c r="H729" s="139">
        <f>IFERROR(IF(E729&gt;0,E729*IF(ISNUMBER(J729),J729,IF(OR(C729="Alpha",B729="Alpha"),$C$7,IF(C729="Futures",$C$6,$C$5))),""),"")</f>
        <v/>
      </c>
      <c r="I729" s="139">
        <f>IFERROR(IF(AND(ISNUMBER(F729),ISNUMBER(H729)),F729-H729,""),"")</f>
        <v/>
      </c>
      <c r="J729" s="114" t="n"/>
      <c r="K729" s="139">
        <f>IFERROR(IF(H729&gt;0,H729*IF(OR(C729="Alpha",B729="Alpha"),$C$9,$C$8),""),"")</f>
        <v/>
      </c>
      <c r="L729" s="139">
        <f>IFERROR(IF(ISNUMBER(F729),F729-IF(ISNUMBER(K729),K729,0),""),"")</f>
        <v/>
      </c>
    </row>
    <row r="730" ht="24" customHeight="1" s="63">
      <c r="E730" s="139" t="n"/>
      <c r="F730" s="139" t="n"/>
      <c r="G730" s="140">
        <f>IFERROR(IF(E730&gt;0,(F730/E730)*1000,""),"")</f>
        <v/>
      </c>
      <c r="H730" s="139">
        <f>IFERROR(IF(E730&gt;0,E730*IF(ISNUMBER(J730),J730,IF(OR(C730="Alpha",B730="Alpha"),$C$7,IF(C730="Futures",$C$6,$C$5))),""),"")</f>
        <v/>
      </c>
      <c r="I730" s="139">
        <f>IFERROR(IF(AND(ISNUMBER(F730),ISNUMBER(H730)),F730-H730,""),"")</f>
        <v/>
      </c>
      <c r="J730" s="114" t="n"/>
      <c r="K730" s="139">
        <f>IFERROR(IF(H730&gt;0,H730*IF(OR(C730="Alpha",B730="Alpha"),$C$9,$C$8),""),"")</f>
        <v/>
      </c>
      <c r="L730" s="139">
        <f>IFERROR(IF(ISNUMBER(F730),F730-IF(ISNUMBER(K730),K730,0),""),"")</f>
        <v/>
      </c>
    </row>
    <row r="731" ht="24" customHeight="1" s="63">
      <c r="E731" s="139" t="n"/>
      <c r="F731" s="139" t="n"/>
      <c r="G731" s="140">
        <f>IFERROR(IF(E731&gt;0,(F731/E731)*1000,""),"")</f>
        <v/>
      </c>
      <c r="H731" s="139">
        <f>IFERROR(IF(E731&gt;0,E731*IF(ISNUMBER(J731),J731,IF(OR(C731="Alpha",B731="Alpha"),$C$7,IF(C731="Futures",$C$6,$C$5))),""),"")</f>
        <v/>
      </c>
      <c r="I731" s="139">
        <f>IFERROR(IF(AND(ISNUMBER(F731),ISNUMBER(H731)),F731-H731,""),"")</f>
        <v/>
      </c>
      <c r="J731" s="114" t="n"/>
      <c r="K731" s="139">
        <f>IFERROR(IF(H731&gt;0,H731*IF(OR(C731="Alpha",B731="Alpha"),$C$9,$C$8),""),"")</f>
        <v/>
      </c>
      <c r="L731" s="139">
        <f>IFERROR(IF(ISNUMBER(F731),F731-IF(ISNUMBER(K731),K731,0),""),"")</f>
        <v/>
      </c>
    </row>
    <row r="732" ht="24" customHeight="1" s="63">
      <c r="E732" s="139" t="n"/>
      <c r="F732" s="139" t="n"/>
      <c r="G732" s="140">
        <f>IFERROR(IF(E732&gt;0,(F732/E732)*1000,""),"")</f>
        <v/>
      </c>
      <c r="H732" s="139">
        <f>IFERROR(IF(E732&gt;0,E732*IF(ISNUMBER(J732),J732,IF(OR(C732="Alpha",B732="Alpha"),$C$7,IF(C732="Futures",$C$6,$C$5))),""),"")</f>
        <v/>
      </c>
      <c r="I732" s="139">
        <f>IFERROR(IF(AND(ISNUMBER(F732),ISNUMBER(H732)),F732-H732,""),"")</f>
        <v/>
      </c>
      <c r="J732" s="114" t="n"/>
      <c r="K732" s="139">
        <f>IFERROR(IF(H732&gt;0,H732*IF(OR(C732="Alpha",B732="Alpha"),$C$9,$C$8),""),"")</f>
        <v/>
      </c>
      <c r="L732" s="139">
        <f>IFERROR(IF(ISNUMBER(F732),F732-IF(ISNUMBER(K732),K732,0),""),"")</f>
        <v/>
      </c>
    </row>
    <row r="733" ht="24" customHeight="1" s="63">
      <c r="E733" s="139" t="n"/>
      <c r="F733" s="139" t="n"/>
      <c r="G733" s="140">
        <f>IFERROR(IF(E733&gt;0,(F733/E733)*1000,""),"")</f>
        <v/>
      </c>
      <c r="H733" s="139">
        <f>IFERROR(IF(E733&gt;0,E733*IF(ISNUMBER(J733),J733,IF(OR(C733="Alpha",B733="Alpha"),$C$7,IF(C733="Futures",$C$6,$C$5))),""),"")</f>
        <v/>
      </c>
      <c r="I733" s="139">
        <f>IFERROR(IF(AND(ISNUMBER(F733),ISNUMBER(H733)),F733-H733,""),"")</f>
        <v/>
      </c>
      <c r="J733" s="114" t="n"/>
      <c r="K733" s="139">
        <f>IFERROR(IF(H733&gt;0,H733*IF(OR(C733="Alpha",B733="Alpha"),$C$9,$C$8),""),"")</f>
        <v/>
      </c>
      <c r="L733" s="139">
        <f>IFERROR(IF(ISNUMBER(F733),F733-IF(ISNUMBER(K733),K733,0),""),"")</f>
        <v/>
      </c>
    </row>
    <row r="734" ht="24" customHeight="1" s="63">
      <c r="E734" s="139" t="n"/>
      <c r="F734" s="139" t="n"/>
      <c r="G734" s="140">
        <f>IFERROR(IF(E734&gt;0,(F734/E734)*1000,""),"")</f>
        <v/>
      </c>
      <c r="H734" s="139">
        <f>IFERROR(IF(E734&gt;0,E734*IF(ISNUMBER(J734),J734,IF(OR(C734="Alpha",B734="Alpha"),$C$7,IF(C734="Futures",$C$6,$C$5))),""),"")</f>
        <v/>
      </c>
      <c r="I734" s="139">
        <f>IFERROR(IF(AND(ISNUMBER(F734),ISNUMBER(H734)),F734-H734,""),"")</f>
        <v/>
      </c>
      <c r="J734" s="114" t="n"/>
      <c r="K734" s="139">
        <f>IFERROR(IF(H734&gt;0,H734*IF(OR(C734="Alpha",B734="Alpha"),$C$9,$C$8),""),"")</f>
        <v/>
      </c>
      <c r="L734" s="139">
        <f>IFERROR(IF(ISNUMBER(F734),F734-IF(ISNUMBER(K734),K734,0),""),"")</f>
        <v/>
      </c>
    </row>
    <row r="735" ht="24" customHeight="1" s="63">
      <c r="E735" s="139" t="n"/>
      <c r="F735" s="139" t="n"/>
      <c r="G735" s="140">
        <f>IFERROR(IF(E735&gt;0,(F735/E735)*1000,""),"")</f>
        <v/>
      </c>
      <c r="H735" s="139">
        <f>IFERROR(IF(E735&gt;0,E735*IF(ISNUMBER(J735),J735,IF(OR(C735="Alpha",B735="Alpha"),$C$7,IF(C735="Futures",$C$6,$C$5))),""),"")</f>
        <v/>
      </c>
      <c r="I735" s="139">
        <f>IFERROR(IF(AND(ISNUMBER(F735),ISNUMBER(H735)),F735-H735,""),"")</f>
        <v/>
      </c>
      <c r="J735" s="114" t="n"/>
      <c r="K735" s="139">
        <f>IFERROR(IF(H735&gt;0,H735*IF(OR(C735="Alpha",B735="Alpha"),$C$9,$C$8),""),"")</f>
        <v/>
      </c>
      <c r="L735" s="139">
        <f>IFERROR(IF(ISNUMBER(F735),F735-IF(ISNUMBER(K735),K735,0),""),"")</f>
        <v/>
      </c>
    </row>
    <row r="736" ht="24" customHeight="1" s="63">
      <c r="E736" s="139" t="n"/>
      <c r="F736" s="139" t="n"/>
      <c r="G736" s="140">
        <f>IFERROR(IF(E736&gt;0,(F736/E736)*1000,""),"")</f>
        <v/>
      </c>
      <c r="H736" s="139">
        <f>IFERROR(IF(E736&gt;0,E736*IF(ISNUMBER(J736),J736,IF(OR(C736="Alpha",B736="Alpha"),$C$7,IF(C736="Futures",$C$6,$C$5))),""),"")</f>
        <v/>
      </c>
      <c r="I736" s="139">
        <f>IFERROR(IF(AND(ISNUMBER(F736),ISNUMBER(H736)),F736-H736,""),"")</f>
        <v/>
      </c>
      <c r="J736" s="114" t="n"/>
      <c r="K736" s="139">
        <f>IFERROR(IF(H736&gt;0,H736*IF(OR(C736="Alpha",B736="Alpha"),$C$9,$C$8),""),"")</f>
        <v/>
      </c>
      <c r="L736" s="139">
        <f>IFERROR(IF(ISNUMBER(F736),F736-IF(ISNUMBER(K736),K736,0),""),"")</f>
        <v/>
      </c>
    </row>
    <row r="737" ht="24" customHeight="1" s="63">
      <c r="E737" s="139" t="n"/>
      <c r="F737" s="139" t="n"/>
      <c r="G737" s="140">
        <f>IFERROR(IF(E737&gt;0,(F737/E737)*1000,""),"")</f>
        <v/>
      </c>
      <c r="H737" s="139">
        <f>IFERROR(IF(E737&gt;0,E737*IF(ISNUMBER(J737),J737,IF(OR(C737="Alpha",B737="Alpha"),$C$7,IF(C737="Futures",$C$6,$C$5))),""),"")</f>
        <v/>
      </c>
      <c r="I737" s="139">
        <f>IFERROR(IF(AND(ISNUMBER(F737),ISNUMBER(H737)),F737-H737,""),"")</f>
        <v/>
      </c>
      <c r="J737" s="114" t="n"/>
      <c r="K737" s="139">
        <f>IFERROR(IF(H737&gt;0,H737*IF(OR(C737="Alpha",B737="Alpha"),$C$9,$C$8),""),"")</f>
        <v/>
      </c>
      <c r="L737" s="139">
        <f>IFERROR(IF(ISNUMBER(F737),F737-IF(ISNUMBER(K737),K737,0),""),"")</f>
        <v/>
      </c>
    </row>
    <row r="738" ht="24" customHeight="1" s="63">
      <c r="E738" s="139" t="n"/>
      <c r="F738" s="139" t="n"/>
      <c r="G738" s="140">
        <f>IFERROR(IF(E738&gt;0,(F738/E738)*1000,""),"")</f>
        <v/>
      </c>
      <c r="H738" s="139">
        <f>IFERROR(IF(E738&gt;0,E738*IF(ISNUMBER(J738),J738,IF(OR(C738="Alpha",B738="Alpha"),$C$7,IF(C738="Futures",$C$6,$C$5))),""),"")</f>
        <v/>
      </c>
      <c r="I738" s="139">
        <f>IFERROR(IF(AND(ISNUMBER(F738),ISNUMBER(H738)),F738-H738,""),"")</f>
        <v/>
      </c>
      <c r="J738" s="114" t="n"/>
      <c r="K738" s="139">
        <f>IFERROR(IF(H738&gt;0,H738*IF(OR(C738="Alpha",B738="Alpha"),$C$9,$C$8),""),"")</f>
        <v/>
      </c>
      <c r="L738" s="139">
        <f>IFERROR(IF(ISNUMBER(F738),F738-IF(ISNUMBER(K738),K738,0),""),"")</f>
        <v/>
      </c>
    </row>
    <row r="739" ht="24" customHeight="1" s="63">
      <c r="E739" s="139" t="n"/>
      <c r="F739" s="139" t="n"/>
      <c r="G739" s="140">
        <f>IFERROR(IF(E739&gt;0,(F739/E739)*1000,""),"")</f>
        <v/>
      </c>
      <c r="H739" s="139">
        <f>IFERROR(IF(E739&gt;0,E739*IF(ISNUMBER(J739),J739,IF(OR(C739="Alpha",B739="Alpha"),$C$7,IF(C739="Futures",$C$6,$C$5))),""),"")</f>
        <v/>
      </c>
      <c r="I739" s="139">
        <f>IFERROR(IF(AND(ISNUMBER(F739),ISNUMBER(H739)),F739-H739,""),"")</f>
        <v/>
      </c>
      <c r="J739" s="114" t="n"/>
      <c r="K739" s="139">
        <f>IFERROR(IF(H739&gt;0,H739*IF(OR(C739="Alpha",B739="Alpha"),$C$9,$C$8),""),"")</f>
        <v/>
      </c>
      <c r="L739" s="139">
        <f>IFERROR(IF(ISNUMBER(F739),F739-IF(ISNUMBER(K739),K739,0),""),"")</f>
        <v/>
      </c>
    </row>
    <row r="740" ht="24" customHeight="1" s="63">
      <c r="E740" s="139" t="n"/>
      <c r="F740" s="139" t="n"/>
      <c r="G740" s="140">
        <f>IFERROR(IF(E740&gt;0,(F740/E740)*1000,""),"")</f>
        <v/>
      </c>
      <c r="H740" s="139">
        <f>IFERROR(IF(E740&gt;0,E740*IF(ISNUMBER(J740),J740,IF(OR(C740="Alpha",B740="Alpha"),$C$7,IF(C740="Futures",$C$6,$C$5))),""),"")</f>
        <v/>
      </c>
      <c r="I740" s="139">
        <f>IFERROR(IF(AND(ISNUMBER(F740),ISNUMBER(H740)),F740-H740,""),"")</f>
        <v/>
      </c>
      <c r="J740" s="114" t="n"/>
      <c r="K740" s="139">
        <f>IFERROR(IF(H740&gt;0,H740*IF(OR(C740="Alpha",B740="Alpha"),$C$9,$C$8),""),"")</f>
        <v/>
      </c>
      <c r="L740" s="139">
        <f>IFERROR(IF(ISNUMBER(F740),F740-IF(ISNUMBER(K740),K740,0),""),"")</f>
        <v/>
      </c>
    </row>
    <row r="741" ht="24" customHeight="1" s="63">
      <c r="E741" s="139" t="n"/>
      <c r="F741" s="139" t="n"/>
      <c r="G741" s="140">
        <f>IFERROR(IF(E741&gt;0,(F741/E741)*1000,""),"")</f>
        <v/>
      </c>
      <c r="H741" s="139">
        <f>IFERROR(IF(E741&gt;0,E741*IF(ISNUMBER(J741),J741,IF(OR(C741="Alpha",B741="Alpha"),$C$7,IF(C741="Futures",$C$6,$C$5))),""),"")</f>
        <v/>
      </c>
      <c r="I741" s="139">
        <f>IFERROR(IF(AND(ISNUMBER(F741),ISNUMBER(H741)),F741-H741,""),"")</f>
        <v/>
      </c>
      <c r="J741" s="114" t="n"/>
      <c r="K741" s="139">
        <f>IFERROR(IF(H741&gt;0,H741*IF(OR(C741="Alpha",B741="Alpha"),$C$9,$C$8),""),"")</f>
        <v/>
      </c>
      <c r="L741" s="139">
        <f>IFERROR(IF(ISNUMBER(F741),F741-IF(ISNUMBER(K741),K741,0),""),"")</f>
        <v/>
      </c>
    </row>
    <row r="742" ht="24" customHeight="1" s="63">
      <c r="E742" s="139" t="n"/>
      <c r="F742" s="139" t="n"/>
      <c r="G742" s="140">
        <f>IFERROR(IF(E742&gt;0,(F742/E742)*1000,""),"")</f>
        <v/>
      </c>
      <c r="H742" s="139">
        <f>IFERROR(IF(E742&gt;0,E742*IF(ISNUMBER(J742),J742,IF(OR(C742="Alpha",B742="Alpha"),$C$7,IF(C742="Futures",$C$6,$C$5))),""),"")</f>
        <v/>
      </c>
      <c r="I742" s="139">
        <f>IFERROR(IF(AND(ISNUMBER(F742),ISNUMBER(H742)),F742-H742,""),"")</f>
        <v/>
      </c>
      <c r="J742" s="114" t="n"/>
      <c r="K742" s="139">
        <f>IFERROR(IF(H742&gt;0,H742*IF(OR(C742="Alpha",B742="Alpha"),$C$9,$C$8),""),"")</f>
        <v/>
      </c>
      <c r="L742" s="139">
        <f>IFERROR(IF(ISNUMBER(F742),F742-IF(ISNUMBER(K742),K742,0),""),"")</f>
        <v/>
      </c>
    </row>
    <row r="743" ht="24" customHeight="1" s="63">
      <c r="E743" s="139" t="n"/>
      <c r="F743" s="139" t="n"/>
      <c r="G743" s="140">
        <f>IFERROR(IF(E743&gt;0,(F743/E743)*1000,""),"")</f>
        <v/>
      </c>
      <c r="H743" s="139">
        <f>IFERROR(IF(E743&gt;0,E743*IF(ISNUMBER(J743),J743,IF(OR(C743="Alpha",B743="Alpha"),$C$7,IF(C743="Futures",$C$6,$C$5))),""),"")</f>
        <v/>
      </c>
      <c r="I743" s="139">
        <f>IFERROR(IF(AND(ISNUMBER(F743),ISNUMBER(H743)),F743-H743,""),"")</f>
        <v/>
      </c>
      <c r="J743" s="114" t="n"/>
      <c r="K743" s="139">
        <f>IFERROR(IF(H743&gt;0,H743*IF(OR(C743="Alpha",B743="Alpha"),$C$9,$C$8),""),"")</f>
        <v/>
      </c>
      <c r="L743" s="139">
        <f>IFERROR(IF(ISNUMBER(F743),F743-IF(ISNUMBER(K743),K743,0),""),"")</f>
        <v/>
      </c>
    </row>
    <row r="744" ht="24" customHeight="1" s="63">
      <c r="E744" s="139" t="n"/>
      <c r="F744" s="139" t="n"/>
      <c r="G744" s="140">
        <f>IFERROR(IF(E744&gt;0,(F744/E744)*1000,""),"")</f>
        <v/>
      </c>
      <c r="H744" s="139">
        <f>IFERROR(IF(E744&gt;0,E744*IF(ISNUMBER(J744),J744,IF(OR(C744="Alpha",B744="Alpha"),$C$7,IF(C744="Futures",$C$6,$C$5))),""),"")</f>
        <v/>
      </c>
      <c r="I744" s="139">
        <f>IFERROR(IF(AND(ISNUMBER(F744),ISNUMBER(H744)),F744-H744,""),"")</f>
        <v/>
      </c>
      <c r="J744" s="114" t="n"/>
      <c r="K744" s="139">
        <f>IFERROR(IF(H744&gt;0,H744*IF(OR(C744="Alpha",B744="Alpha"),$C$9,$C$8),""),"")</f>
        <v/>
      </c>
      <c r="L744" s="139">
        <f>IFERROR(IF(ISNUMBER(F744),F744-IF(ISNUMBER(K744),K744,0),""),"")</f>
        <v/>
      </c>
    </row>
    <row r="745" ht="24" customHeight="1" s="63">
      <c r="E745" s="139" t="n"/>
      <c r="F745" s="139" t="n"/>
      <c r="G745" s="140">
        <f>IFERROR(IF(E745&gt;0,(F745/E745)*1000,""),"")</f>
        <v/>
      </c>
      <c r="H745" s="139">
        <f>IFERROR(IF(E745&gt;0,E745*IF(ISNUMBER(J745),J745,IF(OR(C745="Alpha",B745="Alpha"),$C$7,IF(C745="Futures",$C$6,$C$5))),""),"")</f>
        <v/>
      </c>
      <c r="I745" s="139">
        <f>IFERROR(IF(AND(ISNUMBER(F745),ISNUMBER(H745)),F745-H745,""),"")</f>
        <v/>
      </c>
      <c r="J745" s="114" t="n"/>
      <c r="K745" s="139">
        <f>IFERROR(IF(H745&gt;0,H745*IF(OR(C745="Alpha",B745="Alpha"),$C$9,$C$8),""),"")</f>
        <v/>
      </c>
      <c r="L745" s="139">
        <f>IFERROR(IF(ISNUMBER(F745),F745-IF(ISNUMBER(K745),K745,0),""),"")</f>
        <v/>
      </c>
    </row>
    <row r="746" ht="24" customHeight="1" s="63">
      <c r="E746" s="139" t="n"/>
      <c r="F746" s="139" t="n"/>
      <c r="G746" s="140">
        <f>IFERROR(IF(E746&gt;0,(F746/E746)*1000,""),"")</f>
        <v/>
      </c>
      <c r="H746" s="139">
        <f>IFERROR(IF(E746&gt;0,E746*IF(ISNUMBER(J746),J746,IF(OR(C746="Alpha",B746="Alpha"),$C$7,IF(C746="Futures",$C$6,$C$5))),""),"")</f>
        <v/>
      </c>
      <c r="I746" s="139">
        <f>IFERROR(IF(AND(ISNUMBER(F746),ISNUMBER(H746)),F746-H746,""),"")</f>
        <v/>
      </c>
      <c r="J746" s="114" t="n"/>
      <c r="K746" s="139">
        <f>IFERROR(IF(H746&gt;0,H746*IF(OR(C746="Alpha",B746="Alpha"),$C$9,$C$8),""),"")</f>
        <v/>
      </c>
      <c r="L746" s="139">
        <f>IFERROR(IF(ISNUMBER(F746),F746-IF(ISNUMBER(K746),K746,0),""),"")</f>
        <v/>
      </c>
    </row>
    <row r="747" ht="24" customHeight="1" s="63">
      <c r="E747" s="139" t="n"/>
      <c r="F747" s="139" t="n"/>
      <c r="G747" s="140">
        <f>IFERROR(IF(E747&gt;0,(F747/E747)*1000,""),"")</f>
        <v/>
      </c>
      <c r="H747" s="139">
        <f>IFERROR(IF(E747&gt;0,E747*IF(ISNUMBER(J747),J747,IF(OR(C747="Alpha",B747="Alpha"),$C$7,IF(C747="Futures",$C$6,$C$5))),""),"")</f>
        <v/>
      </c>
      <c r="I747" s="139">
        <f>IFERROR(IF(AND(ISNUMBER(F747),ISNUMBER(H747)),F747-H747,""),"")</f>
        <v/>
      </c>
      <c r="J747" s="114" t="n"/>
      <c r="K747" s="139">
        <f>IFERROR(IF(H747&gt;0,H747*IF(OR(C747="Alpha",B747="Alpha"),$C$9,$C$8),""),"")</f>
        <v/>
      </c>
      <c r="L747" s="139">
        <f>IFERROR(IF(ISNUMBER(F747),F747-IF(ISNUMBER(K747),K747,0),""),"")</f>
        <v/>
      </c>
    </row>
    <row r="748" ht="24" customHeight="1" s="63">
      <c r="E748" s="139" t="n"/>
      <c r="F748" s="139" t="n"/>
      <c r="G748" s="140">
        <f>IFERROR(IF(E748&gt;0,(F748/E748)*1000,""),"")</f>
        <v/>
      </c>
      <c r="H748" s="139">
        <f>IFERROR(IF(E748&gt;0,E748*IF(ISNUMBER(J748),J748,IF(OR(C748="Alpha",B748="Alpha"),$C$7,IF(C748="Futures",$C$6,$C$5))),""),"")</f>
        <v/>
      </c>
      <c r="I748" s="139">
        <f>IFERROR(IF(AND(ISNUMBER(F748),ISNUMBER(H748)),F748-H748,""),"")</f>
        <v/>
      </c>
      <c r="J748" s="114" t="n"/>
      <c r="K748" s="139">
        <f>IFERROR(IF(H748&gt;0,H748*IF(OR(C748="Alpha",B748="Alpha"),$C$9,$C$8),""),"")</f>
        <v/>
      </c>
      <c r="L748" s="139">
        <f>IFERROR(IF(ISNUMBER(F748),F748-IF(ISNUMBER(K748),K748,0),""),"")</f>
        <v/>
      </c>
    </row>
    <row r="749" ht="24" customHeight="1" s="63">
      <c r="E749" s="139" t="n"/>
      <c r="F749" s="139" t="n"/>
      <c r="G749" s="140">
        <f>IFERROR(IF(E749&gt;0,(F749/E749)*1000,""),"")</f>
        <v/>
      </c>
      <c r="H749" s="139">
        <f>IFERROR(IF(E749&gt;0,E749*IF(ISNUMBER(J749),J749,IF(OR(C749="Alpha",B749="Alpha"),$C$7,IF(C749="Futures",$C$6,$C$5))),""),"")</f>
        <v/>
      </c>
      <c r="I749" s="139">
        <f>IFERROR(IF(AND(ISNUMBER(F749),ISNUMBER(H749)),F749-H749,""),"")</f>
        <v/>
      </c>
      <c r="J749" s="114" t="n"/>
      <c r="K749" s="139">
        <f>IFERROR(IF(H749&gt;0,H749*IF(OR(C749="Alpha",B749="Alpha"),$C$9,$C$8),""),"")</f>
        <v/>
      </c>
      <c r="L749" s="139">
        <f>IFERROR(IF(ISNUMBER(F749),F749-IF(ISNUMBER(K749),K749,0),""),"")</f>
        <v/>
      </c>
    </row>
    <row r="750" ht="24" customHeight="1" s="63">
      <c r="E750" s="139" t="n"/>
      <c r="F750" s="139" t="n"/>
      <c r="G750" s="140">
        <f>IFERROR(IF(E750&gt;0,(F750/E750)*1000,""),"")</f>
        <v/>
      </c>
      <c r="H750" s="139">
        <f>IFERROR(IF(E750&gt;0,E750*IF(ISNUMBER(J750),J750,IF(OR(C750="Alpha",B750="Alpha"),$C$7,IF(C750="Futures",$C$6,$C$5))),""),"")</f>
        <v/>
      </c>
      <c r="I750" s="139">
        <f>IFERROR(IF(AND(ISNUMBER(F750),ISNUMBER(H750)),F750-H750,""),"")</f>
        <v/>
      </c>
      <c r="J750" s="114" t="n"/>
      <c r="K750" s="139">
        <f>IFERROR(IF(H750&gt;0,H750*IF(OR(C750="Alpha",B750="Alpha"),$C$9,$C$8),""),"")</f>
        <v/>
      </c>
      <c r="L750" s="139">
        <f>IFERROR(IF(ISNUMBER(F750),F750-IF(ISNUMBER(K750),K750,0),""),"")</f>
        <v/>
      </c>
    </row>
    <row r="751" ht="24" customHeight="1" s="63">
      <c r="E751" s="139" t="n"/>
      <c r="F751" s="139" t="n"/>
      <c r="G751" s="140">
        <f>IFERROR(IF(E751&gt;0,(F751/E751)*1000,""),"")</f>
        <v/>
      </c>
      <c r="H751" s="139">
        <f>IFERROR(IF(E751&gt;0,E751*IF(ISNUMBER(J751),J751,IF(OR(C751="Alpha",B751="Alpha"),$C$7,IF(C751="Futures",$C$6,$C$5))),""),"")</f>
        <v/>
      </c>
      <c r="I751" s="139">
        <f>IFERROR(IF(AND(ISNUMBER(F751),ISNUMBER(H751)),F751-H751,""),"")</f>
        <v/>
      </c>
      <c r="J751" s="114" t="n"/>
      <c r="K751" s="139">
        <f>IFERROR(IF(H751&gt;0,H751*IF(OR(C751="Alpha",B751="Alpha"),$C$9,$C$8),""),"")</f>
        <v/>
      </c>
      <c r="L751" s="139">
        <f>IFERROR(IF(ISNUMBER(F751),F751-IF(ISNUMBER(K751),K751,0),""),"")</f>
        <v/>
      </c>
    </row>
    <row r="752" ht="24" customHeight="1" s="63">
      <c r="E752" s="139" t="n"/>
      <c r="F752" s="139" t="n"/>
      <c r="G752" s="140">
        <f>IFERROR(IF(E752&gt;0,(F752/E752)*1000,""),"")</f>
        <v/>
      </c>
      <c r="H752" s="139">
        <f>IFERROR(IF(E752&gt;0,E752*IF(ISNUMBER(J752),J752,IF(OR(C752="Alpha",B752="Alpha"),$C$7,IF(C752="Futures",$C$6,$C$5))),""),"")</f>
        <v/>
      </c>
      <c r="I752" s="139">
        <f>IFERROR(IF(AND(ISNUMBER(F752),ISNUMBER(H752)),F752-H752,""),"")</f>
        <v/>
      </c>
      <c r="J752" s="114" t="n"/>
      <c r="K752" s="139">
        <f>IFERROR(IF(H752&gt;0,H752*IF(OR(C752="Alpha",B752="Alpha"),$C$9,$C$8),""),"")</f>
        <v/>
      </c>
      <c r="L752" s="139">
        <f>IFERROR(IF(ISNUMBER(F752),F752-IF(ISNUMBER(K752),K752,0),""),"")</f>
        <v/>
      </c>
    </row>
    <row r="753" ht="24" customHeight="1" s="63">
      <c r="E753" s="139" t="n"/>
      <c r="F753" s="139" t="n"/>
      <c r="G753" s="140">
        <f>IFERROR(IF(E753&gt;0,(F753/E753)*1000,""),"")</f>
        <v/>
      </c>
      <c r="H753" s="139">
        <f>IFERROR(IF(E753&gt;0,E753*IF(ISNUMBER(J753),J753,IF(OR(C753="Alpha",B753="Alpha"),$C$7,IF(C753="Futures",$C$6,$C$5))),""),"")</f>
        <v/>
      </c>
      <c r="I753" s="139">
        <f>IFERROR(IF(AND(ISNUMBER(F753),ISNUMBER(H753)),F753-H753,""),"")</f>
        <v/>
      </c>
      <c r="J753" s="114" t="n"/>
      <c r="K753" s="139">
        <f>IFERROR(IF(H753&gt;0,H753*IF(OR(C753="Alpha",B753="Alpha"),$C$9,$C$8),""),"")</f>
        <v/>
      </c>
      <c r="L753" s="139">
        <f>IFERROR(IF(ISNUMBER(F753),F753-IF(ISNUMBER(K753),K753,0),""),"")</f>
        <v/>
      </c>
    </row>
    <row r="754" ht="24" customHeight="1" s="63">
      <c r="E754" s="139" t="n"/>
      <c r="F754" s="139" t="n"/>
      <c r="G754" s="140">
        <f>IFERROR(IF(E754&gt;0,(F754/E754)*1000,""),"")</f>
        <v/>
      </c>
      <c r="H754" s="139">
        <f>IFERROR(IF(E754&gt;0,E754*IF(ISNUMBER(J754),J754,IF(OR(C754="Alpha",B754="Alpha"),$C$7,IF(C754="Futures",$C$6,$C$5))),""),"")</f>
        <v/>
      </c>
      <c r="I754" s="139">
        <f>IFERROR(IF(AND(ISNUMBER(F754),ISNUMBER(H754)),F754-H754,""),"")</f>
        <v/>
      </c>
      <c r="J754" s="114" t="n"/>
      <c r="K754" s="139">
        <f>IFERROR(IF(H754&gt;0,H754*IF(OR(C754="Alpha",B754="Alpha"),$C$9,$C$8),""),"")</f>
        <v/>
      </c>
      <c r="L754" s="139">
        <f>IFERROR(IF(ISNUMBER(F754),F754-IF(ISNUMBER(K754),K754,0),""),"")</f>
        <v/>
      </c>
    </row>
    <row r="755" ht="24" customHeight="1" s="63">
      <c r="E755" s="139" t="n"/>
      <c r="F755" s="139" t="n"/>
      <c r="G755" s="140">
        <f>IFERROR(IF(E755&gt;0,(F755/E755)*1000,""),"")</f>
        <v/>
      </c>
      <c r="H755" s="139">
        <f>IFERROR(IF(E755&gt;0,E755*IF(ISNUMBER(J755),J755,IF(OR(C755="Alpha",B755="Alpha"),$C$7,IF(C755="Futures",$C$6,$C$5))),""),"")</f>
        <v/>
      </c>
      <c r="I755" s="139">
        <f>IFERROR(IF(AND(ISNUMBER(F755),ISNUMBER(H755)),F755-H755,""),"")</f>
        <v/>
      </c>
      <c r="J755" s="114" t="n"/>
      <c r="K755" s="139">
        <f>IFERROR(IF(H755&gt;0,H755*IF(OR(C755="Alpha",B755="Alpha"),$C$9,$C$8),""),"")</f>
        <v/>
      </c>
      <c r="L755" s="139">
        <f>IFERROR(IF(ISNUMBER(F755),F755-IF(ISNUMBER(K755),K755,0),""),"")</f>
        <v/>
      </c>
    </row>
    <row r="756" ht="24" customHeight="1" s="63">
      <c r="E756" s="139" t="n"/>
      <c r="F756" s="139" t="n"/>
      <c r="G756" s="140">
        <f>IFERROR(IF(E756&gt;0,(F756/E756)*1000,""),"")</f>
        <v/>
      </c>
      <c r="H756" s="139">
        <f>IFERROR(IF(E756&gt;0,E756*IF(ISNUMBER(J756),J756,IF(OR(C756="Alpha",B756="Alpha"),$C$7,IF(C756="Futures",$C$6,$C$5))),""),"")</f>
        <v/>
      </c>
      <c r="I756" s="139">
        <f>IFERROR(IF(AND(ISNUMBER(F756),ISNUMBER(H756)),F756-H756,""),"")</f>
        <v/>
      </c>
      <c r="J756" s="114" t="n"/>
      <c r="K756" s="139">
        <f>IFERROR(IF(H756&gt;0,H756*IF(OR(C756="Alpha",B756="Alpha"),$C$9,$C$8),""),"")</f>
        <v/>
      </c>
      <c r="L756" s="139">
        <f>IFERROR(IF(ISNUMBER(F756),F756-IF(ISNUMBER(K756),K756,0),""),"")</f>
        <v/>
      </c>
    </row>
    <row r="757" ht="24" customHeight="1" s="63">
      <c r="E757" s="139" t="n"/>
      <c r="F757" s="139" t="n"/>
      <c r="G757" s="140">
        <f>IFERROR(IF(E757&gt;0,(F757/E757)*1000,""),"")</f>
        <v/>
      </c>
      <c r="H757" s="139">
        <f>IFERROR(IF(E757&gt;0,E757*IF(ISNUMBER(J757),J757,IF(OR(C757="Alpha",B757="Alpha"),$C$7,IF(C757="Futures",$C$6,$C$5))),""),"")</f>
        <v/>
      </c>
      <c r="I757" s="139">
        <f>IFERROR(IF(AND(ISNUMBER(F757),ISNUMBER(H757)),F757-H757,""),"")</f>
        <v/>
      </c>
      <c r="J757" s="114" t="n"/>
      <c r="K757" s="139">
        <f>IFERROR(IF(H757&gt;0,H757*IF(OR(C757="Alpha",B757="Alpha"),$C$9,$C$8),""),"")</f>
        <v/>
      </c>
      <c r="L757" s="139">
        <f>IFERROR(IF(ISNUMBER(F757),F757-IF(ISNUMBER(K757),K757,0),""),"")</f>
        <v/>
      </c>
    </row>
    <row r="758" ht="24" customHeight="1" s="63">
      <c r="E758" s="139" t="n"/>
      <c r="F758" s="139" t="n"/>
      <c r="G758" s="140">
        <f>IFERROR(IF(E758&gt;0,(F758/E758)*1000,""),"")</f>
        <v/>
      </c>
      <c r="H758" s="139">
        <f>IFERROR(IF(E758&gt;0,E758*IF(ISNUMBER(J758),J758,IF(OR(C758="Alpha",B758="Alpha"),$C$7,IF(C758="Futures",$C$6,$C$5))),""),"")</f>
        <v/>
      </c>
      <c r="I758" s="139">
        <f>IFERROR(IF(AND(ISNUMBER(F758),ISNUMBER(H758)),F758-H758,""),"")</f>
        <v/>
      </c>
      <c r="J758" s="114" t="n"/>
      <c r="K758" s="139">
        <f>IFERROR(IF(H758&gt;0,H758*IF(OR(C758="Alpha",B758="Alpha"),$C$9,$C$8),""),"")</f>
        <v/>
      </c>
      <c r="L758" s="139">
        <f>IFERROR(IF(ISNUMBER(F758),F758-IF(ISNUMBER(K758),K758,0),""),"")</f>
        <v/>
      </c>
    </row>
    <row r="759" ht="24" customHeight="1" s="63">
      <c r="E759" s="139" t="n"/>
      <c r="F759" s="139" t="n"/>
      <c r="G759" s="140">
        <f>IFERROR(IF(E759&gt;0,(F759/E759)*1000,""),"")</f>
        <v/>
      </c>
      <c r="H759" s="139">
        <f>IFERROR(IF(E759&gt;0,E759*IF(ISNUMBER(J759),J759,IF(OR(C759="Alpha",B759="Alpha"),$C$7,IF(C759="Futures",$C$6,$C$5))),""),"")</f>
        <v/>
      </c>
      <c r="I759" s="139">
        <f>IFERROR(IF(AND(ISNUMBER(F759),ISNUMBER(H759)),F759-H759,""),"")</f>
        <v/>
      </c>
      <c r="J759" s="114" t="n"/>
      <c r="K759" s="139">
        <f>IFERROR(IF(H759&gt;0,H759*IF(OR(C759="Alpha",B759="Alpha"),$C$9,$C$8),""),"")</f>
        <v/>
      </c>
      <c r="L759" s="139">
        <f>IFERROR(IF(ISNUMBER(F759),F759-IF(ISNUMBER(K759),K759,0),""),"")</f>
        <v/>
      </c>
    </row>
    <row r="760" ht="24" customHeight="1" s="63">
      <c r="E760" s="139" t="n"/>
      <c r="F760" s="139" t="n"/>
      <c r="G760" s="140">
        <f>IFERROR(IF(E760&gt;0,(F760/E760)*1000,""),"")</f>
        <v/>
      </c>
      <c r="H760" s="139">
        <f>IFERROR(IF(E760&gt;0,E760*IF(ISNUMBER(J760),J760,IF(OR(C760="Alpha",B760="Alpha"),$C$7,IF(C760="Futures",$C$6,$C$5))),""),"")</f>
        <v/>
      </c>
      <c r="I760" s="139">
        <f>IFERROR(IF(AND(ISNUMBER(F760),ISNUMBER(H760)),F760-H760,""),"")</f>
        <v/>
      </c>
      <c r="J760" s="114" t="n"/>
      <c r="K760" s="139">
        <f>IFERROR(IF(H760&gt;0,H760*IF(OR(C760="Alpha",B760="Alpha"),$C$9,$C$8),""),"")</f>
        <v/>
      </c>
      <c r="L760" s="139">
        <f>IFERROR(IF(ISNUMBER(F760),F760-IF(ISNUMBER(K760),K760,0),""),"")</f>
        <v/>
      </c>
    </row>
    <row r="761" ht="24" customHeight="1" s="63">
      <c r="E761" s="139" t="n"/>
      <c r="F761" s="139" t="n"/>
      <c r="G761" s="140">
        <f>IFERROR(IF(E761&gt;0,(F761/E761)*1000,""),"")</f>
        <v/>
      </c>
      <c r="H761" s="139">
        <f>IFERROR(IF(E761&gt;0,E761*IF(ISNUMBER(J761),J761,IF(OR(C761="Alpha",B761="Alpha"),$C$7,IF(C761="Futures",$C$6,$C$5))),""),"")</f>
        <v/>
      </c>
      <c r="I761" s="139">
        <f>IFERROR(IF(AND(ISNUMBER(F761),ISNUMBER(H761)),F761-H761,""),"")</f>
        <v/>
      </c>
      <c r="J761" s="114" t="n"/>
      <c r="K761" s="139">
        <f>IFERROR(IF(H761&gt;0,H761*IF(OR(C761="Alpha",B761="Alpha"),$C$9,$C$8),""),"")</f>
        <v/>
      </c>
      <c r="L761" s="139">
        <f>IFERROR(IF(ISNUMBER(F761),F761-IF(ISNUMBER(K761),K761,0),""),"")</f>
        <v/>
      </c>
    </row>
    <row r="762" ht="24" customHeight="1" s="63">
      <c r="E762" s="139" t="n"/>
      <c r="F762" s="139" t="n"/>
      <c r="G762" s="140">
        <f>IFERROR(IF(E762&gt;0,(F762/E762)*1000,""),"")</f>
        <v/>
      </c>
      <c r="H762" s="139">
        <f>IFERROR(IF(E762&gt;0,E762*IF(ISNUMBER(J762),J762,IF(OR(C762="Alpha",B762="Alpha"),$C$7,IF(C762="Futures",$C$6,$C$5))),""),"")</f>
        <v/>
      </c>
      <c r="I762" s="139">
        <f>IFERROR(IF(AND(ISNUMBER(F762),ISNUMBER(H762)),F762-H762,""),"")</f>
        <v/>
      </c>
      <c r="J762" s="114" t="n"/>
      <c r="K762" s="139">
        <f>IFERROR(IF(H762&gt;0,H762*IF(OR(C762="Alpha",B762="Alpha"),$C$9,$C$8),""),"")</f>
        <v/>
      </c>
      <c r="L762" s="139">
        <f>IFERROR(IF(ISNUMBER(F762),F762-IF(ISNUMBER(K762),K762,0),""),"")</f>
        <v/>
      </c>
    </row>
    <row r="763" ht="24" customHeight="1" s="63">
      <c r="E763" s="139" t="n"/>
      <c r="F763" s="139" t="n"/>
      <c r="G763" s="140">
        <f>IFERROR(IF(E763&gt;0,(F763/E763)*1000,""),"")</f>
        <v/>
      </c>
      <c r="H763" s="139">
        <f>IFERROR(IF(E763&gt;0,E763*IF(ISNUMBER(J763),J763,IF(OR(C763="Alpha",B763="Alpha"),$C$7,IF(C763="Futures",$C$6,$C$5))),""),"")</f>
        <v/>
      </c>
      <c r="I763" s="139">
        <f>IFERROR(IF(AND(ISNUMBER(F763),ISNUMBER(H763)),F763-H763,""),"")</f>
        <v/>
      </c>
      <c r="J763" s="114" t="n"/>
      <c r="K763" s="139">
        <f>IFERROR(IF(H763&gt;0,H763*IF(OR(C763="Alpha",B763="Alpha"),$C$9,$C$8),""),"")</f>
        <v/>
      </c>
      <c r="L763" s="139">
        <f>IFERROR(IF(ISNUMBER(F763),F763-IF(ISNUMBER(K763),K763,0),""),"")</f>
        <v/>
      </c>
    </row>
    <row r="764" ht="24" customHeight="1" s="63">
      <c r="E764" s="139" t="n"/>
      <c r="F764" s="139" t="n"/>
      <c r="G764" s="140">
        <f>IFERROR(IF(E764&gt;0,(F764/E764)*1000,""),"")</f>
        <v/>
      </c>
      <c r="H764" s="139">
        <f>IFERROR(IF(E764&gt;0,E764*IF(ISNUMBER(J764),J764,IF(OR(C764="Alpha",B764="Alpha"),$C$7,IF(C764="Futures",$C$6,$C$5))),""),"")</f>
        <v/>
      </c>
      <c r="I764" s="139">
        <f>IFERROR(IF(AND(ISNUMBER(F764),ISNUMBER(H764)),F764-H764,""),"")</f>
        <v/>
      </c>
      <c r="J764" s="114" t="n"/>
      <c r="K764" s="139">
        <f>IFERROR(IF(H764&gt;0,H764*IF(OR(C764="Alpha",B764="Alpha"),$C$9,$C$8),""),"")</f>
        <v/>
      </c>
      <c r="L764" s="139">
        <f>IFERROR(IF(ISNUMBER(F764),F764-IF(ISNUMBER(K764),K764,0),""),"")</f>
        <v/>
      </c>
    </row>
    <row r="765" ht="24" customHeight="1" s="63">
      <c r="E765" s="139" t="n"/>
      <c r="F765" s="139" t="n"/>
      <c r="G765" s="140">
        <f>IFERROR(IF(E765&gt;0,(F765/E765)*1000,""),"")</f>
        <v/>
      </c>
      <c r="H765" s="139">
        <f>IFERROR(IF(E765&gt;0,E765*IF(ISNUMBER(J765),J765,IF(OR(C765="Alpha",B765="Alpha"),$C$7,IF(C765="Futures",$C$6,$C$5))),""),"")</f>
        <v/>
      </c>
      <c r="I765" s="139">
        <f>IFERROR(IF(AND(ISNUMBER(F765),ISNUMBER(H765)),F765-H765,""),"")</f>
        <v/>
      </c>
      <c r="J765" s="114" t="n"/>
      <c r="K765" s="139">
        <f>IFERROR(IF(H765&gt;0,H765*IF(OR(C765="Alpha",B765="Alpha"),$C$9,$C$8),""),"")</f>
        <v/>
      </c>
      <c r="L765" s="139">
        <f>IFERROR(IF(ISNUMBER(F765),F765-IF(ISNUMBER(K765),K765,0),""),"")</f>
        <v/>
      </c>
    </row>
    <row r="766" ht="24" customHeight="1" s="63">
      <c r="E766" s="139" t="n"/>
      <c r="F766" s="139" t="n"/>
      <c r="G766" s="140">
        <f>IFERROR(IF(E766&gt;0,(F766/E766)*1000,""),"")</f>
        <v/>
      </c>
      <c r="H766" s="139">
        <f>IFERROR(IF(E766&gt;0,E766*IF(ISNUMBER(J766),J766,IF(OR(C766="Alpha",B766="Alpha"),$C$7,IF(C766="Futures",$C$6,$C$5))),""),"")</f>
        <v/>
      </c>
      <c r="I766" s="139">
        <f>IFERROR(IF(AND(ISNUMBER(F766),ISNUMBER(H766)),F766-H766,""),"")</f>
        <v/>
      </c>
      <c r="J766" s="114" t="n"/>
      <c r="K766" s="139">
        <f>IFERROR(IF(H766&gt;0,H766*IF(OR(C766="Alpha",B766="Alpha"),$C$9,$C$8),""),"")</f>
        <v/>
      </c>
      <c r="L766" s="139">
        <f>IFERROR(IF(ISNUMBER(F766),F766-IF(ISNUMBER(K766),K766,0),""),"")</f>
        <v/>
      </c>
    </row>
    <row r="767" ht="24" customHeight="1" s="63">
      <c r="E767" s="139" t="n"/>
      <c r="F767" s="139" t="n"/>
      <c r="G767" s="140">
        <f>IFERROR(IF(E767&gt;0,(F767/E767)*1000,""),"")</f>
        <v/>
      </c>
      <c r="H767" s="139">
        <f>IFERROR(IF(E767&gt;0,E767*IF(ISNUMBER(J767),J767,IF(OR(C767="Alpha",B767="Alpha"),$C$7,IF(C767="Futures",$C$6,$C$5))),""),"")</f>
        <v/>
      </c>
      <c r="I767" s="139">
        <f>IFERROR(IF(AND(ISNUMBER(F767),ISNUMBER(H767)),F767-H767,""),"")</f>
        <v/>
      </c>
      <c r="J767" s="114" t="n"/>
      <c r="K767" s="139">
        <f>IFERROR(IF(H767&gt;0,H767*IF(OR(C767="Alpha",B767="Alpha"),$C$9,$C$8),""),"")</f>
        <v/>
      </c>
      <c r="L767" s="139">
        <f>IFERROR(IF(ISNUMBER(F767),F767-IF(ISNUMBER(K767),K767,0),""),"")</f>
        <v/>
      </c>
    </row>
    <row r="768" ht="24" customHeight="1" s="63">
      <c r="E768" s="139" t="n"/>
      <c r="F768" s="139" t="n"/>
      <c r="G768" s="140">
        <f>IFERROR(IF(E768&gt;0,(F768/E768)*1000,""),"")</f>
        <v/>
      </c>
      <c r="H768" s="139">
        <f>IFERROR(IF(E768&gt;0,E768*IF(ISNUMBER(J768),J768,IF(OR(C768="Alpha",B768="Alpha"),$C$7,IF(C768="Futures",$C$6,$C$5))),""),"")</f>
        <v/>
      </c>
      <c r="I768" s="139">
        <f>IFERROR(IF(AND(ISNUMBER(F768),ISNUMBER(H768)),F768-H768,""),"")</f>
        <v/>
      </c>
      <c r="J768" s="114" t="n"/>
      <c r="K768" s="139">
        <f>IFERROR(IF(H768&gt;0,H768*IF(OR(C768="Alpha",B768="Alpha"),$C$9,$C$8),""),"")</f>
        <v/>
      </c>
      <c r="L768" s="139">
        <f>IFERROR(IF(ISNUMBER(F768),F768-IF(ISNUMBER(K768),K768,0),""),"")</f>
        <v/>
      </c>
    </row>
    <row r="769" ht="24" customHeight="1" s="63">
      <c r="E769" s="139" t="n"/>
      <c r="F769" s="139" t="n"/>
      <c r="G769" s="140">
        <f>IFERROR(IF(E769&gt;0,(F769/E769)*1000,""),"")</f>
        <v/>
      </c>
      <c r="H769" s="139">
        <f>IFERROR(IF(E769&gt;0,E769*IF(ISNUMBER(J769),J769,IF(OR(C769="Alpha",B769="Alpha"),$C$7,IF(C769="Futures",$C$6,$C$5))),""),"")</f>
        <v/>
      </c>
      <c r="I769" s="139">
        <f>IFERROR(IF(AND(ISNUMBER(F769),ISNUMBER(H769)),F769-H769,""),"")</f>
        <v/>
      </c>
      <c r="J769" s="114" t="n"/>
      <c r="K769" s="139">
        <f>IFERROR(IF(H769&gt;0,H769*IF(OR(C769="Alpha",B769="Alpha"),$C$9,$C$8),""),"")</f>
        <v/>
      </c>
      <c r="L769" s="139">
        <f>IFERROR(IF(ISNUMBER(F769),F769-IF(ISNUMBER(K769),K769,0),""),"")</f>
        <v/>
      </c>
    </row>
    <row r="770" ht="24" customHeight="1" s="63">
      <c r="E770" s="139" t="n"/>
      <c r="F770" s="139" t="n"/>
      <c r="G770" s="140">
        <f>IFERROR(IF(E770&gt;0,(F770/E770)*1000,""),"")</f>
        <v/>
      </c>
      <c r="H770" s="139">
        <f>IFERROR(IF(E770&gt;0,E770*IF(ISNUMBER(J770),J770,IF(OR(C770="Alpha",B770="Alpha"),$C$7,IF(C770="Futures",$C$6,$C$5))),""),"")</f>
        <v/>
      </c>
      <c r="I770" s="139">
        <f>IFERROR(IF(AND(ISNUMBER(F770),ISNUMBER(H770)),F770-H770,""),"")</f>
        <v/>
      </c>
      <c r="J770" s="114" t="n"/>
      <c r="K770" s="139">
        <f>IFERROR(IF(H770&gt;0,H770*IF(OR(C770="Alpha",B770="Alpha"),$C$9,$C$8),""),"")</f>
        <v/>
      </c>
      <c r="L770" s="139">
        <f>IFERROR(IF(ISNUMBER(F770),F770-IF(ISNUMBER(K770),K770,0),""),"")</f>
        <v/>
      </c>
    </row>
    <row r="771" ht="24" customHeight="1" s="63">
      <c r="E771" s="139" t="n"/>
      <c r="F771" s="139" t="n"/>
      <c r="G771" s="140">
        <f>IFERROR(IF(E771&gt;0,(F771/E771)*1000,""),"")</f>
        <v/>
      </c>
      <c r="H771" s="139">
        <f>IFERROR(IF(E771&gt;0,E771*IF(ISNUMBER(J771),J771,IF(OR(C771="Alpha",B771="Alpha"),$C$7,IF(C771="Futures",$C$6,$C$5))),""),"")</f>
        <v/>
      </c>
      <c r="I771" s="139">
        <f>IFERROR(IF(AND(ISNUMBER(F771),ISNUMBER(H771)),F771-H771,""),"")</f>
        <v/>
      </c>
      <c r="J771" s="114" t="n"/>
      <c r="K771" s="139">
        <f>IFERROR(IF(H771&gt;0,H771*IF(OR(C771="Alpha",B771="Alpha"),$C$9,$C$8),""),"")</f>
        <v/>
      </c>
      <c r="L771" s="139">
        <f>IFERROR(IF(ISNUMBER(F771),F771-IF(ISNUMBER(K771),K771,0),""),"")</f>
        <v/>
      </c>
    </row>
    <row r="772" ht="24" customHeight="1" s="63">
      <c r="E772" s="139" t="n"/>
      <c r="F772" s="139" t="n"/>
      <c r="G772" s="140">
        <f>IFERROR(IF(E772&gt;0,(F772/E772)*1000,""),"")</f>
        <v/>
      </c>
      <c r="H772" s="139">
        <f>IFERROR(IF(E772&gt;0,E772*IF(ISNUMBER(J772),J772,IF(OR(C772="Alpha",B772="Alpha"),$C$7,IF(C772="Futures",$C$6,$C$5))),""),"")</f>
        <v/>
      </c>
      <c r="I772" s="139">
        <f>IFERROR(IF(AND(ISNUMBER(F772),ISNUMBER(H772)),F772-H772,""),"")</f>
        <v/>
      </c>
      <c r="J772" s="114" t="n"/>
      <c r="K772" s="139">
        <f>IFERROR(IF(H772&gt;0,H772*IF(OR(C772="Alpha",B772="Alpha"),$C$9,$C$8),""),"")</f>
        <v/>
      </c>
      <c r="L772" s="139">
        <f>IFERROR(IF(ISNUMBER(F772),F772-IF(ISNUMBER(K772),K772,0),""),"")</f>
        <v/>
      </c>
    </row>
    <row r="773" ht="24" customHeight="1" s="63">
      <c r="E773" s="139" t="n"/>
      <c r="F773" s="139" t="n"/>
      <c r="G773" s="140">
        <f>IFERROR(IF(E773&gt;0,(F773/E773)*1000,""),"")</f>
        <v/>
      </c>
      <c r="H773" s="139">
        <f>IFERROR(IF(E773&gt;0,E773*IF(ISNUMBER(J773),J773,IF(OR(C773="Alpha",B773="Alpha"),$C$7,IF(C773="Futures",$C$6,$C$5))),""),"")</f>
        <v/>
      </c>
      <c r="I773" s="139">
        <f>IFERROR(IF(AND(ISNUMBER(F773),ISNUMBER(H773)),F773-H773,""),"")</f>
        <v/>
      </c>
      <c r="J773" s="114" t="n"/>
      <c r="K773" s="139">
        <f>IFERROR(IF(H773&gt;0,H773*IF(OR(C773="Alpha",B773="Alpha"),$C$9,$C$8),""),"")</f>
        <v/>
      </c>
      <c r="L773" s="139">
        <f>IFERROR(IF(ISNUMBER(F773),F773-IF(ISNUMBER(K773),K773,0),""),"")</f>
        <v/>
      </c>
    </row>
    <row r="774" ht="24" customHeight="1" s="63">
      <c r="E774" s="139" t="n"/>
      <c r="F774" s="139" t="n"/>
      <c r="G774" s="140">
        <f>IFERROR(IF(E774&gt;0,(F774/E774)*1000,""),"")</f>
        <v/>
      </c>
      <c r="H774" s="139">
        <f>IFERROR(IF(E774&gt;0,E774*IF(ISNUMBER(J774),J774,IF(OR(C774="Alpha",B774="Alpha"),$C$7,IF(C774="Futures",$C$6,$C$5))),""),"")</f>
        <v/>
      </c>
      <c r="I774" s="139">
        <f>IFERROR(IF(AND(ISNUMBER(F774),ISNUMBER(H774)),F774-H774,""),"")</f>
        <v/>
      </c>
      <c r="J774" s="114" t="n"/>
      <c r="K774" s="139">
        <f>IFERROR(IF(H774&gt;0,H774*IF(OR(C774="Alpha",B774="Alpha"),$C$9,$C$8),""),"")</f>
        <v/>
      </c>
      <c r="L774" s="139">
        <f>IFERROR(IF(ISNUMBER(F774),F774-IF(ISNUMBER(K774),K774,0),""),"")</f>
        <v/>
      </c>
    </row>
    <row r="775" ht="24" customHeight="1" s="63">
      <c r="E775" s="139" t="n"/>
      <c r="F775" s="139" t="n"/>
      <c r="G775" s="140">
        <f>IFERROR(IF(E775&gt;0,(F775/E775)*1000,""),"")</f>
        <v/>
      </c>
      <c r="H775" s="139">
        <f>IFERROR(IF(E775&gt;0,E775*IF(ISNUMBER(J775),J775,IF(OR(C775="Alpha",B775="Alpha"),$C$7,IF(C775="Futures",$C$6,$C$5))),""),"")</f>
        <v/>
      </c>
      <c r="I775" s="139">
        <f>IFERROR(IF(AND(ISNUMBER(F775),ISNUMBER(H775)),F775-H775,""),"")</f>
        <v/>
      </c>
      <c r="J775" s="114" t="n"/>
      <c r="K775" s="139">
        <f>IFERROR(IF(H775&gt;0,H775*IF(OR(C775="Alpha",B775="Alpha"),$C$9,$C$8),""),"")</f>
        <v/>
      </c>
      <c r="L775" s="139">
        <f>IFERROR(IF(ISNUMBER(F775),F775-IF(ISNUMBER(K775),K775,0),""),"")</f>
        <v/>
      </c>
    </row>
    <row r="776" ht="24" customHeight="1" s="63">
      <c r="E776" s="139" t="n"/>
      <c r="F776" s="139" t="n"/>
      <c r="G776" s="140">
        <f>IFERROR(IF(E776&gt;0,(F776/E776)*1000,""),"")</f>
        <v/>
      </c>
      <c r="H776" s="139">
        <f>IFERROR(IF(E776&gt;0,E776*IF(ISNUMBER(J776),J776,IF(OR(C776="Alpha",B776="Alpha"),$C$7,IF(C776="Futures",$C$6,$C$5))),""),"")</f>
        <v/>
      </c>
      <c r="I776" s="139">
        <f>IFERROR(IF(AND(ISNUMBER(F776),ISNUMBER(H776)),F776-H776,""),"")</f>
        <v/>
      </c>
      <c r="J776" s="114" t="n"/>
      <c r="K776" s="139">
        <f>IFERROR(IF(H776&gt;0,H776*IF(OR(C776="Alpha",B776="Alpha"),$C$9,$C$8),""),"")</f>
        <v/>
      </c>
      <c r="L776" s="139">
        <f>IFERROR(IF(ISNUMBER(F776),F776-IF(ISNUMBER(K776),K776,0),""),"")</f>
        <v/>
      </c>
    </row>
    <row r="777" ht="24" customHeight="1" s="63">
      <c r="E777" s="139" t="n"/>
      <c r="F777" s="139" t="n"/>
      <c r="G777" s="140">
        <f>IFERROR(IF(E777&gt;0,(F777/E777)*1000,""),"")</f>
        <v/>
      </c>
      <c r="H777" s="139">
        <f>IFERROR(IF(E777&gt;0,E777*IF(ISNUMBER(J777),J777,IF(OR(C777="Alpha",B777="Alpha"),$C$7,IF(C777="Futures",$C$6,$C$5))),""),"")</f>
        <v/>
      </c>
      <c r="I777" s="139">
        <f>IFERROR(IF(AND(ISNUMBER(F777),ISNUMBER(H777)),F777-H777,""),"")</f>
        <v/>
      </c>
      <c r="J777" s="114" t="n"/>
      <c r="K777" s="139">
        <f>IFERROR(IF(H777&gt;0,H777*IF(OR(C777="Alpha",B777="Alpha"),$C$9,$C$8),""),"")</f>
        <v/>
      </c>
      <c r="L777" s="139">
        <f>IFERROR(IF(ISNUMBER(F777),F777-IF(ISNUMBER(K777),K777,0),""),"")</f>
        <v/>
      </c>
    </row>
    <row r="778" ht="24" customHeight="1" s="63">
      <c r="E778" s="139" t="n"/>
      <c r="F778" s="139" t="n"/>
      <c r="G778" s="140">
        <f>IFERROR(IF(E778&gt;0,(F778/E778)*1000,""),"")</f>
        <v/>
      </c>
      <c r="H778" s="139">
        <f>IFERROR(IF(E778&gt;0,E778*IF(ISNUMBER(J778),J778,IF(OR(C778="Alpha",B778="Alpha"),$C$7,IF(C778="Futures",$C$6,$C$5))),""),"")</f>
        <v/>
      </c>
      <c r="I778" s="139">
        <f>IFERROR(IF(AND(ISNUMBER(F778),ISNUMBER(H778)),F778-H778,""),"")</f>
        <v/>
      </c>
      <c r="J778" s="114" t="n"/>
      <c r="K778" s="139">
        <f>IFERROR(IF(H778&gt;0,H778*IF(OR(C778="Alpha",B778="Alpha"),$C$9,$C$8),""),"")</f>
        <v/>
      </c>
      <c r="L778" s="139">
        <f>IFERROR(IF(ISNUMBER(F778),F778-IF(ISNUMBER(K778),K778,0),""),"")</f>
        <v/>
      </c>
    </row>
    <row r="779" ht="24" customHeight="1" s="63">
      <c r="E779" s="139" t="n"/>
      <c r="F779" s="139" t="n"/>
      <c r="G779" s="140">
        <f>IFERROR(IF(E779&gt;0,(F779/E779)*1000,""),"")</f>
        <v/>
      </c>
      <c r="H779" s="139">
        <f>IFERROR(IF(E779&gt;0,E779*IF(ISNUMBER(J779),J779,IF(OR(C779="Alpha",B779="Alpha"),$C$7,IF(C779="Futures",$C$6,$C$5))),""),"")</f>
        <v/>
      </c>
      <c r="I779" s="139">
        <f>IFERROR(IF(AND(ISNUMBER(F779),ISNUMBER(H779)),F779-H779,""),"")</f>
        <v/>
      </c>
      <c r="J779" s="114" t="n"/>
      <c r="K779" s="139">
        <f>IFERROR(IF(H779&gt;0,H779*IF(OR(C779="Alpha",B779="Alpha"),$C$9,$C$8),""),"")</f>
        <v/>
      </c>
      <c r="L779" s="139">
        <f>IFERROR(IF(ISNUMBER(F779),F779-IF(ISNUMBER(K779),K779,0),""),"")</f>
        <v/>
      </c>
    </row>
    <row r="780" ht="24" customHeight="1" s="63">
      <c r="E780" s="139" t="n"/>
      <c r="F780" s="139" t="n"/>
      <c r="G780" s="140">
        <f>IFERROR(IF(E780&gt;0,(F780/E780)*1000,""),"")</f>
        <v/>
      </c>
      <c r="H780" s="139">
        <f>IFERROR(IF(E780&gt;0,E780*IF(ISNUMBER(J780),J780,IF(OR(C780="Alpha",B780="Alpha"),$C$7,IF(C780="Futures",$C$6,$C$5))),""),"")</f>
        <v/>
      </c>
      <c r="I780" s="139">
        <f>IFERROR(IF(AND(ISNUMBER(F780),ISNUMBER(H780)),F780-H780,""),"")</f>
        <v/>
      </c>
      <c r="J780" s="114" t="n"/>
      <c r="K780" s="139">
        <f>IFERROR(IF(H780&gt;0,H780*IF(OR(C780="Alpha",B780="Alpha"),$C$9,$C$8),""),"")</f>
        <v/>
      </c>
      <c r="L780" s="139">
        <f>IFERROR(IF(ISNUMBER(F780),F780-IF(ISNUMBER(K780),K780,0),""),"")</f>
        <v/>
      </c>
    </row>
    <row r="781" ht="24" customHeight="1" s="63">
      <c r="E781" s="139" t="n"/>
      <c r="F781" s="139" t="n"/>
      <c r="G781" s="140">
        <f>IFERROR(IF(E781&gt;0,(F781/E781)*1000,""),"")</f>
        <v/>
      </c>
      <c r="H781" s="139">
        <f>IFERROR(IF(E781&gt;0,E781*IF(ISNUMBER(J781),J781,IF(OR(C781="Alpha",B781="Alpha"),$C$7,IF(C781="Futures",$C$6,$C$5))),""),"")</f>
        <v/>
      </c>
      <c r="I781" s="139">
        <f>IFERROR(IF(AND(ISNUMBER(F781),ISNUMBER(H781)),F781-H781,""),"")</f>
        <v/>
      </c>
      <c r="J781" s="114" t="n"/>
      <c r="K781" s="139">
        <f>IFERROR(IF(H781&gt;0,H781*IF(OR(C781="Alpha",B781="Alpha"),$C$9,$C$8),""),"")</f>
        <v/>
      </c>
      <c r="L781" s="139">
        <f>IFERROR(IF(ISNUMBER(F781),F781-IF(ISNUMBER(K781),K781,0),""),"")</f>
        <v/>
      </c>
    </row>
    <row r="782" ht="24" customHeight="1" s="63">
      <c r="E782" s="139" t="n"/>
      <c r="F782" s="139" t="n"/>
      <c r="G782" s="140">
        <f>IFERROR(IF(E782&gt;0,(F782/E782)*1000,""),"")</f>
        <v/>
      </c>
      <c r="H782" s="139">
        <f>IFERROR(IF(E782&gt;0,E782*IF(ISNUMBER(J782),J782,IF(OR(C782="Alpha",B782="Alpha"),$C$7,IF(C782="Futures",$C$6,$C$5))),""),"")</f>
        <v/>
      </c>
      <c r="I782" s="139">
        <f>IFERROR(IF(AND(ISNUMBER(F782),ISNUMBER(H782)),F782-H782,""),"")</f>
        <v/>
      </c>
      <c r="J782" s="114" t="n"/>
      <c r="K782" s="139">
        <f>IFERROR(IF(H782&gt;0,H782*IF(OR(C782="Alpha",B782="Alpha"),$C$9,$C$8),""),"")</f>
        <v/>
      </c>
      <c r="L782" s="139">
        <f>IFERROR(IF(ISNUMBER(F782),F782-IF(ISNUMBER(K782),K782,0),""),"")</f>
        <v/>
      </c>
    </row>
    <row r="783" ht="24" customHeight="1" s="63">
      <c r="E783" s="139" t="n"/>
      <c r="F783" s="139" t="n"/>
      <c r="G783" s="140">
        <f>IFERROR(IF(E783&gt;0,(F783/E783)*1000,""),"")</f>
        <v/>
      </c>
      <c r="H783" s="139">
        <f>IFERROR(IF(E783&gt;0,E783*IF(ISNUMBER(J783),J783,IF(OR(C783="Alpha",B783="Alpha"),$C$7,IF(C783="Futures",$C$6,$C$5))),""),"")</f>
        <v/>
      </c>
      <c r="I783" s="139">
        <f>IFERROR(IF(AND(ISNUMBER(F783),ISNUMBER(H783)),F783-H783,""),"")</f>
        <v/>
      </c>
      <c r="J783" s="114" t="n"/>
      <c r="K783" s="139">
        <f>IFERROR(IF(H783&gt;0,H783*IF(OR(C783="Alpha",B783="Alpha"),$C$9,$C$8),""),"")</f>
        <v/>
      </c>
      <c r="L783" s="139">
        <f>IFERROR(IF(ISNUMBER(F783),F783-IF(ISNUMBER(K783),K783,0),""),"")</f>
        <v/>
      </c>
    </row>
    <row r="784" ht="24" customHeight="1" s="63">
      <c r="E784" s="139" t="n"/>
      <c r="F784" s="139" t="n"/>
      <c r="G784" s="140">
        <f>IFERROR(IF(E784&gt;0,(F784/E784)*1000,""),"")</f>
        <v/>
      </c>
      <c r="H784" s="139">
        <f>IFERROR(IF(E784&gt;0,E784*IF(ISNUMBER(J784),J784,IF(OR(C784="Alpha",B784="Alpha"),$C$7,IF(C784="Futures",$C$6,$C$5))),""),"")</f>
        <v/>
      </c>
      <c r="I784" s="139">
        <f>IFERROR(IF(AND(ISNUMBER(F784),ISNUMBER(H784)),F784-H784,""),"")</f>
        <v/>
      </c>
      <c r="J784" s="114" t="n"/>
      <c r="K784" s="139">
        <f>IFERROR(IF(H784&gt;0,H784*IF(OR(C784="Alpha",B784="Alpha"),$C$9,$C$8),""),"")</f>
        <v/>
      </c>
      <c r="L784" s="139">
        <f>IFERROR(IF(ISNUMBER(F784),F784-IF(ISNUMBER(K784),K784,0),""),"")</f>
        <v/>
      </c>
    </row>
    <row r="785" ht="24" customHeight="1" s="63">
      <c r="E785" s="139" t="n"/>
      <c r="F785" s="139" t="n"/>
      <c r="G785" s="140">
        <f>IFERROR(IF(E785&gt;0,(F785/E785)*1000,""),"")</f>
        <v/>
      </c>
      <c r="H785" s="139">
        <f>IFERROR(IF(E785&gt;0,E785*IF(ISNUMBER(J785),J785,IF(OR(C785="Alpha",B785="Alpha"),$C$7,IF(C785="Futures",$C$6,$C$5))),""),"")</f>
        <v/>
      </c>
      <c r="I785" s="139">
        <f>IFERROR(IF(AND(ISNUMBER(F785),ISNUMBER(H785)),F785-H785,""),"")</f>
        <v/>
      </c>
      <c r="J785" s="114" t="n"/>
      <c r="K785" s="139">
        <f>IFERROR(IF(H785&gt;0,H785*IF(OR(C785="Alpha",B785="Alpha"),$C$9,$C$8),""),"")</f>
        <v/>
      </c>
      <c r="L785" s="139">
        <f>IFERROR(IF(ISNUMBER(F785),F785-IF(ISNUMBER(K785),K785,0),""),"")</f>
        <v/>
      </c>
    </row>
    <row r="786" ht="24" customHeight="1" s="63">
      <c r="E786" s="139" t="n"/>
      <c r="F786" s="139" t="n"/>
      <c r="G786" s="140">
        <f>IFERROR(IF(E786&gt;0,(F786/E786)*1000,""),"")</f>
        <v/>
      </c>
      <c r="H786" s="139">
        <f>IFERROR(IF(E786&gt;0,E786*IF(ISNUMBER(J786),J786,IF(OR(C786="Alpha",B786="Alpha"),$C$7,IF(C786="Futures",$C$6,$C$5))),""),"")</f>
        <v/>
      </c>
      <c r="I786" s="139">
        <f>IFERROR(IF(AND(ISNUMBER(F786),ISNUMBER(H786)),F786-H786,""),"")</f>
        <v/>
      </c>
      <c r="J786" s="114" t="n"/>
      <c r="K786" s="139">
        <f>IFERROR(IF(H786&gt;0,H786*IF(OR(C786="Alpha",B786="Alpha"),$C$9,$C$8),""),"")</f>
        <v/>
      </c>
      <c r="L786" s="139">
        <f>IFERROR(IF(ISNUMBER(F786),F786-IF(ISNUMBER(K786),K786,0),""),"")</f>
        <v/>
      </c>
    </row>
    <row r="787" ht="24" customHeight="1" s="63">
      <c r="E787" s="139" t="n"/>
      <c r="F787" s="139" t="n"/>
      <c r="G787" s="140">
        <f>IFERROR(IF(E787&gt;0,(F787/E787)*1000,""),"")</f>
        <v/>
      </c>
      <c r="H787" s="139">
        <f>IFERROR(IF(E787&gt;0,E787*IF(ISNUMBER(J787),J787,IF(OR(C787="Alpha",B787="Alpha"),$C$7,IF(C787="Futures",$C$6,$C$5))),""),"")</f>
        <v/>
      </c>
      <c r="I787" s="139">
        <f>IFERROR(IF(AND(ISNUMBER(F787),ISNUMBER(H787)),F787-H787,""),"")</f>
        <v/>
      </c>
      <c r="J787" s="114" t="n"/>
      <c r="K787" s="139">
        <f>IFERROR(IF(H787&gt;0,H787*IF(OR(C787="Alpha",B787="Alpha"),$C$9,$C$8),""),"")</f>
        <v/>
      </c>
      <c r="L787" s="139">
        <f>IFERROR(IF(ISNUMBER(F787),F787-IF(ISNUMBER(K787),K787,0),""),"")</f>
        <v/>
      </c>
    </row>
    <row r="788" ht="24" customHeight="1" s="63">
      <c r="E788" s="139" t="n"/>
      <c r="F788" s="139" t="n"/>
      <c r="G788" s="140">
        <f>IFERROR(IF(E788&gt;0,(F788/E788)*1000,""),"")</f>
        <v/>
      </c>
      <c r="H788" s="139">
        <f>IFERROR(IF(E788&gt;0,E788*IF(ISNUMBER(J788),J788,IF(OR(C788="Alpha",B788="Alpha"),$C$7,IF(C788="Futures",$C$6,$C$5))),""),"")</f>
        <v/>
      </c>
      <c r="I788" s="139">
        <f>IFERROR(IF(AND(ISNUMBER(F788),ISNUMBER(H788)),F788-H788,""),"")</f>
        <v/>
      </c>
      <c r="J788" s="114" t="n"/>
      <c r="K788" s="139">
        <f>IFERROR(IF(H788&gt;0,H788*IF(OR(C788="Alpha",B788="Alpha"),$C$9,$C$8),""),"")</f>
        <v/>
      </c>
      <c r="L788" s="139">
        <f>IFERROR(IF(ISNUMBER(F788),F788-IF(ISNUMBER(K788),K788,0),""),"")</f>
        <v/>
      </c>
    </row>
    <row r="789" ht="24" customHeight="1" s="63">
      <c r="E789" s="139" t="n"/>
      <c r="F789" s="139" t="n"/>
      <c r="G789" s="140">
        <f>IFERROR(IF(E789&gt;0,(F789/E789)*1000,""),"")</f>
        <v/>
      </c>
      <c r="H789" s="139">
        <f>IFERROR(IF(E789&gt;0,E789*IF(ISNUMBER(J789),J789,IF(OR(C789="Alpha",B789="Alpha"),$C$7,IF(C789="Futures",$C$6,$C$5))),""),"")</f>
        <v/>
      </c>
      <c r="I789" s="139">
        <f>IFERROR(IF(AND(ISNUMBER(F789),ISNUMBER(H789)),F789-H789,""),"")</f>
        <v/>
      </c>
      <c r="J789" s="114" t="n"/>
      <c r="K789" s="139">
        <f>IFERROR(IF(H789&gt;0,H789*IF(OR(C789="Alpha",B789="Alpha"),$C$9,$C$8),""),"")</f>
        <v/>
      </c>
      <c r="L789" s="139">
        <f>IFERROR(IF(ISNUMBER(F789),F789-IF(ISNUMBER(K789),K789,0),""),"")</f>
        <v/>
      </c>
    </row>
    <row r="790" ht="24" customHeight="1" s="63">
      <c r="E790" s="139" t="n"/>
      <c r="F790" s="139" t="n"/>
      <c r="G790" s="140">
        <f>IFERROR(IF(E790&gt;0,(F790/E790)*1000,""),"")</f>
        <v/>
      </c>
      <c r="H790" s="139">
        <f>IFERROR(IF(E790&gt;0,E790*IF(ISNUMBER(J790),J790,IF(OR(C790="Alpha",B790="Alpha"),$C$7,IF(C790="Futures",$C$6,$C$5))),""),"")</f>
        <v/>
      </c>
      <c r="I790" s="139">
        <f>IFERROR(IF(AND(ISNUMBER(F790),ISNUMBER(H790)),F790-H790,""),"")</f>
        <v/>
      </c>
      <c r="J790" s="114" t="n"/>
      <c r="K790" s="139">
        <f>IFERROR(IF(H790&gt;0,H790*IF(OR(C790="Alpha",B790="Alpha"),$C$9,$C$8),""),"")</f>
        <v/>
      </c>
      <c r="L790" s="139">
        <f>IFERROR(IF(ISNUMBER(F790),F790-IF(ISNUMBER(K790),K790,0),""),"")</f>
        <v/>
      </c>
    </row>
    <row r="791" ht="24" customHeight="1" s="63">
      <c r="E791" s="139" t="n"/>
      <c r="F791" s="139" t="n"/>
      <c r="G791" s="140">
        <f>IFERROR(IF(E791&gt;0,(F791/E791)*1000,""),"")</f>
        <v/>
      </c>
      <c r="H791" s="139">
        <f>IFERROR(IF(E791&gt;0,E791*IF(ISNUMBER(J791),J791,IF(OR(C791="Alpha",B791="Alpha"),$C$7,IF(C791="Futures",$C$6,$C$5))),""),"")</f>
        <v/>
      </c>
      <c r="I791" s="139">
        <f>IFERROR(IF(AND(ISNUMBER(F791),ISNUMBER(H791)),F791-H791,""),"")</f>
        <v/>
      </c>
      <c r="J791" s="114" t="n"/>
      <c r="K791" s="139">
        <f>IFERROR(IF(H791&gt;0,H791*IF(OR(C791="Alpha",B791="Alpha"),$C$9,$C$8),""),"")</f>
        <v/>
      </c>
      <c r="L791" s="139">
        <f>IFERROR(IF(ISNUMBER(F791),F791-IF(ISNUMBER(K791),K791,0),""),"")</f>
        <v/>
      </c>
    </row>
    <row r="792" ht="24" customHeight="1" s="63">
      <c r="E792" s="139" t="n"/>
      <c r="F792" s="139" t="n"/>
      <c r="G792" s="140">
        <f>IFERROR(IF(E792&gt;0,(F792/E792)*1000,""),"")</f>
        <v/>
      </c>
      <c r="H792" s="139">
        <f>IFERROR(IF(E792&gt;0,E792*IF(ISNUMBER(J792),J792,IF(OR(C792="Alpha",B792="Alpha"),$C$7,IF(C792="Futures",$C$6,$C$5))),""),"")</f>
        <v/>
      </c>
      <c r="I792" s="139">
        <f>IFERROR(IF(AND(ISNUMBER(F792),ISNUMBER(H792)),F792-H792,""),"")</f>
        <v/>
      </c>
      <c r="J792" s="114" t="n"/>
      <c r="K792" s="139">
        <f>IFERROR(IF(H792&gt;0,H792*IF(OR(C792="Alpha",B792="Alpha"),$C$9,$C$8),""),"")</f>
        <v/>
      </c>
      <c r="L792" s="139">
        <f>IFERROR(IF(ISNUMBER(F792),F792-IF(ISNUMBER(K792),K792,0),""),"")</f>
        <v/>
      </c>
    </row>
    <row r="793" ht="24" customHeight="1" s="63">
      <c r="E793" s="139" t="n"/>
      <c r="F793" s="139" t="n"/>
      <c r="G793" s="140">
        <f>IFERROR(IF(E793&gt;0,(F793/E793)*1000,""),"")</f>
        <v/>
      </c>
      <c r="H793" s="139">
        <f>IFERROR(IF(E793&gt;0,E793*IF(ISNUMBER(J793),J793,IF(OR(C793="Alpha",B793="Alpha"),$C$7,IF(C793="Futures",$C$6,$C$5))),""),"")</f>
        <v/>
      </c>
      <c r="I793" s="139">
        <f>IFERROR(IF(AND(ISNUMBER(F793),ISNUMBER(H793)),F793-H793,""),"")</f>
        <v/>
      </c>
      <c r="J793" s="114" t="n"/>
      <c r="K793" s="139">
        <f>IFERROR(IF(H793&gt;0,H793*IF(OR(C793="Alpha",B793="Alpha"),$C$9,$C$8),""),"")</f>
        <v/>
      </c>
      <c r="L793" s="139">
        <f>IFERROR(IF(ISNUMBER(F793),F793-IF(ISNUMBER(K793),K793,0),""),"")</f>
        <v/>
      </c>
    </row>
    <row r="794" ht="24" customHeight="1" s="63">
      <c r="E794" s="139" t="n"/>
      <c r="F794" s="139" t="n"/>
      <c r="G794" s="140">
        <f>IFERROR(IF(E794&gt;0,(F794/E794)*1000,""),"")</f>
        <v/>
      </c>
      <c r="H794" s="139">
        <f>IFERROR(IF(E794&gt;0,E794*IF(ISNUMBER(J794),J794,IF(OR(C794="Alpha",B794="Alpha"),$C$7,IF(C794="Futures",$C$6,$C$5))),""),"")</f>
        <v/>
      </c>
      <c r="I794" s="139">
        <f>IFERROR(IF(AND(ISNUMBER(F794),ISNUMBER(H794)),F794-H794,""),"")</f>
        <v/>
      </c>
      <c r="J794" s="114" t="n"/>
      <c r="K794" s="139">
        <f>IFERROR(IF(H794&gt;0,H794*IF(OR(C794="Alpha",B794="Alpha"),$C$9,$C$8),""),"")</f>
        <v/>
      </c>
      <c r="L794" s="139">
        <f>IFERROR(IF(ISNUMBER(F794),F794-IF(ISNUMBER(K794),K794,0),""),"")</f>
        <v/>
      </c>
    </row>
    <row r="795" ht="24" customHeight="1" s="63">
      <c r="E795" s="139" t="n"/>
      <c r="F795" s="139" t="n"/>
      <c r="G795" s="140">
        <f>IFERROR(IF(E795&gt;0,(F795/E795)*1000,""),"")</f>
        <v/>
      </c>
      <c r="H795" s="139">
        <f>IFERROR(IF(E795&gt;0,E795*IF(ISNUMBER(J795),J795,IF(OR(C795="Alpha",B795="Alpha"),$C$7,IF(C795="Futures",$C$6,$C$5))),""),"")</f>
        <v/>
      </c>
      <c r="I795" s="139">
        <f>IFERROR(IF(AND(ISNUMBER(F795),ISNUMBER(H795)),F795-H795,""),"")</f>
        <v/>
      </c>
      <c r="J795" s="114" t="n"/>
      <c r="K795" s="139">
        <f>IFERROR(IF(H795&gt;0,H795*IF(OR(C795="Alpha",B795="Alpha"),$C$9,$C$8),""),"")</f>
        <v/>
      </c>
      <c r="L795" s="139">
        <f>IFERROR(IF(ISNUMBER(F795),F795-IF(ISNUMBER(K795),K795,0),""),"")</f>
        <v/>
      </c>
    </row>
    <row r="796" ht="24" customHeight="1" s="63">
      <c r="E796" s="139" t="n"/>
      <c r="F796" s="139" t="n"/>
      <c r="G796" s="140">
        <f>IFERROR(IF(E796&gt;0,(F796/E796)*1000,""),"")</f>
        <v/>
      </c>
      <c r="H796" s="139">
        <f>IFERROR(IF(E796&gt;0,E796*IF(ISNUMBER(J796),J796,IF(OR(C796="Alpha",B796="Alpha"),$C$7,IF(C796="Futures",$C$6,$C$5))),""),"")</f>
        <v/>
      </c>
      <c r="I796" s="139">
        <f>IFERROR(IF(AND(ISNUMBER(F796),ISNUMBER(H796)),F796-H796,""),"")</f>
        <v/>
      </c>
      <c r="J796" s="114" t="n"/>
      <c r="K796" s="139">
        <f>IFERROR(IF(H796&gt;0,H796*IF(OR(C796="Alpha",B796="Alpha"),$C$9,$C$8),""),"")</f>
        <v/>
      </c>
      <c r="L796" s="139">
        <f>IFERROR(IF(ISNUMBER(F796),F796-IF(ISNUMBER(K796),K796,0),""),"")</f>
        <v/>
      </c>
    </row>
    <row r="797" ht="24" customHeight="1" s="63">
      <c r="E797" s="139" t="n"/>
      <c r="F797" s="139" t="n"/>
      <c r="G797" s="140">
        <f>IFERROR(IF(E797&gt;0,(F797/E797)*1000,""),"")</f>
        <v/>
      </c>
      <c r="H797" s="139">
        <f>IFERROR(IF(E797&gt;0,E797*IF(ISNUMBER(J797),J797,IF(OR(C797="Alpha",B797="Alpha"),$C$7,IF(C797="Futures",$C$6,$C$5))),""),"")</f>
        <v/>
      </c>
      <c r="I797" s="139">
        <f>IFERROR(IF(AND(ISNUMBER(F797),ISNUMBER(H797)),F797-H797,""),"")</f>
        <v/>
      </c>
      <c r="J797" s="114" t="n"/>
      <c r="K797" s="139">
        <f>IFERROR(IF(H797&gt;0,H797*IF(OR(C797="Alpha",B797="Alpha"),$C$9,$C$8),""),"")</f>
        <v/>
      </c>
      <c r="L797" s="139">
        <f>IFERROR(IF(ISNUMBER(F797),F797-IF(ISNUMBER(K797),K797,0),""),"")</f>
        <v/>
      </c>
    </row>
    <row r="798" ht="24" customHeight="1" s="63">
      <c r="E798" s="139" t="n"/>
      <c r="F798" s="139" t="n"/>
      <c r="G798" s="140">
        <f>IFERROR(IF(E798&gt;0,(F798/E798)*1000,""),"")</f>
        <v/>
      </c>
      <c r="H798" s="139">
        <f>IFERROR(IF(E798&gt;0,E798*IF(ISNUMBER(J798),J798,IF(OR(C798="Alpha",B798="Alpha"),$C$7,IF(C798="Futures",$C$6,$C$5))),""),"")</f>
        <v/>
      </c>
      <c r="I798" s="139">
        <f>IFERROR(IF(AND(ISNUMBER(F798),ISNUMBER(H798)),F798-H798,""),"")</f>
        <v/>
      </c>
      <c r="J798" s="114" t="n"/>
      <c r="K798" s="139">
        <f>IFERROR(IF(H798&gt;0,H798*IF(OR(C798="Alpha",B798="Alpha"),$C$9,$C$8),""),"")</f>
        <v/>
      </c>
      <c r="L798" s="139">
        <f>IFERROR(IF(ISNUMBER(F798),F798-IF(ISNUMBER(K798),K798,0),""),"")</f>
        <v/>
      </c>
    </row>
    <row r="799" ht="24" customHeight="1" s="63">
      <c r="E799" s="139" t="n"/>
      <c r="F799" s="139" t="n"/>
      <c r="G799" s="140">
        <f>IFERROR(IF(E799&gt;0,(F799/E799)*1000,""),"")</f>
        <v/>
      </c>
      <c r="H799" s="139">
        <f>IFERROR(IF(E799&gt;0,E799*IF(ISNUMBER(J799),J799,IF(OR(C799="Alpha",B799="Alpha"),$C$7,IF(C799="Futures",$C$6,$C$5))),""),"")</f>
        <v/>
      </c>
      <c r="I799" s="139">
        <f>IFERROR(IF(AND(ISNUMBER(F799),ISNUMBER(H799)),F799-H799,""),"")</f>
        <v/>
      </c>
      <c r="J799" s="114" t="n"/>
      <c r="K799" s="139">
        <f>IFERROR(IF(H799&gt;0,H799*IF(OR(C799="Alpha",B799="Alpha"),$C$9,$C$8),""),"")</f>
        <v/>
      </c>
      <c r="L799" s="139">
        <f>IFERROR(IF(ISNUMBER(F799),F799-IF(ISNUMBER(K799),K799,0),""),"")</f>
        <v/>
      </c>
    </row>
    <row r="800" ht="24" customHeight="1" s="63">
      <c r="E800" s="139" t="n"/>
      <c r="F800" s="139" t="n"/>
      <c r="G800" s="140">
        <f>IFERROR(IF(E800&gt;0,(F800/E800)*1000,""),"")</f>
        <v/>
      </c>
      <c r="H800" s="139">
        <f>IFERROR(IF(E800&gt;0,E800*IF(ISNUMBER(J800),J800,IF(OR(C800="Alpha",B800="Alpha"),$C$7,IF(C800="Futures",$C$6,$C$5))),""),"")</f>
        <v/>
      </c>
      <c r="I800" s="139">
        <f>IFERROR(IF(AND(ISNUMBER(F800),ISNUMBER(H800)),F800-H800,""),"")</f>
        <v/>
      </c>
      <c r="J800" s="114" t="n"/>
      <c r="K800" s="139">
        <f>IFERROR(IF(H800&gt;0,H800*IF(OR(C800="Alpha",B800="Alpha"),$C$9,$C$8),""),"")</f>
        <v/>
      </c>
      <c r="L800" s="139">
        <f>IFERROR(IF(ISNUMBER(F800),F800-IF(ISNUMBER(K800),K800,0),""),"")</f>
        <v/>
      </c>
    </row>
    <row r="801" ht="24" customHeight="1" s="63">
      <c r="E801" s="139" t="n"/>
      <c r="F801" s="139" t="n"/>
      <c r="G801" s="140">
        <f>IFERROR(IF(E801&gt;0,(F801/E801)*1000,""),"")</f>
        <v/>
      </c>
      <c r="H801" s="139">
        <f>IFERROR(IF(E801&gt;0,E801*IF(ISNUMBER(J801),J801,IF(OR(C801="Alpha",B801="Alpha"),$C$7,IF(C801="Futures",$C$6,$C$5))),""),"")</f>
        <v/>
      </c>
      <c r="I801" s="139">
        <f>IFERROR(IF(AND(ISNUMBER(F801),ISNUMBER(H801)),F801-H801,""),"")</f>
        <v/>
      </c>
      <c r="J801" s="114" t="n"/>
      <c r="K801" s="139">
        <f>IFERROR(IF(H801&gt;0,H801*IF(OR(C801="Alpha",B801="Alpha"),$C$9,$C$8),""),"")</f>
        <v/>
      </c>
      <c r="L801" s="139">
        <f>IFERROR(IF(ISNUMBER(F801),F801-IF(ISNUMBER(K801),K801,0),""),"")</f>
        <v/>
      </c>
    </row>
    <row r="802" ht="24" customHeight="1" s="63">
      <c r="E802" s="139" t="n"/>
      <c r="F802" s="139" t="n"/>
      <c r="G802" s="140">
        <f>IFERROR(IF(E802&gt;0,(F802/E802)*1000,""),"")</f>
        <v/>
      </c>
      <c r="H802" s="139">
        <f>IFERROR(IF(E802&gt;0,E802*IF(ISNUMBER(J802),J802,IF(OR(C802="Alpha",B802="Alpha"),$C$7,IF(C802="Futures",$C$6,$C$5))),""),"")</f>
        <v/>
      </c>
      <c r="I802" s="139">
        <f>IFERROR(IF(AND(ISNUMBER(F802),ISNUMBER(H802)),F802-H802,""),"")</f>
        <v/>
      </c>
      <c r="J802" s="114" t="n"/>
      <c r="K802" s="139">
        <f>IFERROR(IF(H802&gt;0,H802*IF(OR(C802="Alpha",B802="Alpha"),$C$9,$C$8),""),"")</f>
        <v/>
      </c>
      <c r="L802" s="139">
        <f>IFERROR(IF(ISNUMBER(F802),F802-IF(ISNUMBER(K802),K802,0),""),"")</f>
        <v/>
      </c>
    </row>
    <row r="803" ht="24" customHeight="1" s="63">
      <c r="E803" s="139" t="n"/>
      <c r="F803" s="139" t="n"/>
      <c r="G803" s="140">
        <f>IFERROR(IF(E803&gt;0,(F803/E803)*1000,""),"")</f>
        <v/>
      </c>
      <c r="H803" s="139">
        <f>IFERROR(IF(E803&gt;0,E803*IF(ISNUMBER(J803),J803,IF(OR(C803="Alpha",B803="Alpha"),$C$7,IF(C803="Futures",$C$6,$C$5))),""),"")</f>
        <v/>
      </c>
      <c r="I803" s="139">
        <f>IFERROR(IF(AND(ISNUMBER(F803),ISNUMBER(H803)),F803-H803,""),"")</f>
        <v/>
      </c>
      <c r="J803" s="114" t="n"/>
      <c r="K803" s="139">
        <f>IFERROR(IF(H803&gt;0,H803*IF(OR(C803="Alpha",B803="Alpha"),$C$9,$C$8),""),"")</f>
        <v/>
      </c>
      <c r="L803" s="139">
        <f>IFERROR(IF(ISNUMBER(F803),F803-IF(ISNUMBER(K803),K803,0),""),"")</f>
        <v/>
      </c>
    </row>
    <row r="804" ht="24" customHeight="1" s="63">
      <c r="E804" s="139" t="n"/>
      <c r="F804" s="139" t="n"/>
      <c r="G804" s="140">
        <f>IFERROR(IF(E804&gt;0,(F804/E804)*1000,""),"")</f>
        <v/>
      </c>
      <c r="H804" s="139">
        <f>IFERROR(IF(E804&gt;0,E804*IF(ISNUMBER(J804),J804,IF(OR(C804="Alpha",B804="Alpha"),$C$7,IF(C804="Futures",$C$6,$C$5))),""),"")</f>
        <v/>
      </c>
      <c r="I804" s="139">
        <f>IFERROR(IF(AND(ISNUMBER(F804),ISNUMBER(H804)),F804-H804,""),"")</f>
        <v/>
      </c>
      <c r="J804" s="114" t="n"/>
      <c r="K804" s="139">
        <f>IFERROR(IF(H804&gt;0,H804*IF(OR(C804="Alpha",B804="Alpha"),$C$9,$C$8),""),"")</f>
        <v/>
      </c>
      <c r="L804" s="139">
        <f>IFERROR(IF(ISNUMBER(F804),F804-IF(ISNUMBER(K804),K804,0),""),"")</f>
        <v/>
      </c>
    </row>
    <row r="805" ht="24" customHeight="1" s="63">
      <c r="E805" s="139" t="n"/>
      <c r="F805" s="139" t="n"/>
      <c r="G805" s="140">
        <f>IFERROR(IF(E805&gt;0,(F805/E805)*1000,""),"")</f>
        <v/>
      </c>
      <c r="H805" s="139">
        <f>IFERROR(IF(E805&gt;0,E805*IF(ISNUMBER(J805),J805,IF(OR(C805="Alpha",B805="Alpha"),$C$7,IF(C805="Futures",$C$6,$C$5))),""),"")</f>
        <v/>
      </c>
      <c r="I805" s="139">
        <f>IFERROR(IF(AND(ISNUMBER(F805),ISNUMBER(H805)),F805-H805,""),"")</f>
        <v/>
      </c>
      <c r="J805" s="114" t="n"/>
      <c r="K805" s="139">
        <f>IFERROR(IF(H805&gt;0,H805*IF(OR(C805="Alpha",B805="Alpha"),$C$9,$C$8),""),"")</f>
        <v/>
      </c>
      <c r="L805" s="139">
        <f>IFERROR(IF(ISNUMBER(F805),F805-IF(ISNUMBER(K805),K805,0),""),"")</f>
        <v/>
      </c>
    </row>
    <row r="806" ht="24" customHeight="1" s="63">
      <c r="E806" s="139" t="n"/>
      <c r="F806" s="139" t="n"/>
      <c r="G806" s="140">
        <f>IFERROR(IF(E806&gt;0,(F806/E806)*1000,""),"")</f>
        <v/>
      </c>
      <c r="H806" s="139">
        <f>IFERROR(IF(E806&gt;0,E806*IF(ISNUMBER(J806),J806,IF(OR(C806="Alpha",B806="Alpha"),$C$7,IF(C806="Futures",$C$6,$C$5))),""),"")</f>
        <v/>
      </c>
      <c r="I806" s="139">
        <f>IFERROR(IF(AND(ISNUMBER(F806),ISNUMBER(H806)),F806-H806,""),"")</f>
        <v/>
      </c>
      <c r="J806" s="114" t="n"/>
      <c r="K806" s="139">
        <f>IFERROR(IF(H806&gt;0,H806*IF(OR(C806="Alpha",B806="Alpha"),$C$9,$C$8),""),"")</f>
        <v/>
      </c>
      <c r="L806" s="139">
        <f>IFERROR(IF(ISNUMBER(F806),F806-IF(ISNUMBER(K806),K806,0),""),"")</f>
        <v/>
      </c>
    </row>
    <row r="807" ht="24" customHeight="1" s="63">
      <c r="E807" s="139" t="n"/>
      <c r="F807" s="139" t="n"/>
      <c r="G807" s="140">
        <f>IFERROR(IF(E807&gt;0,(F807/E807)*1000,""),"")</f>
        <v/>
      </c>
      <c r="H807" s="139">
        <f>IFERROR(IF(E807&gt;0,E807*IF(ISNUMBER(J807),J807,IF(OR(C807="Alpha",B807="Alpha"),$C$7,IF(C807="Futures",$C$6,$C$5))),""),"")</f>
        <v/>
      </c>
      <c r="I807" s="139">
        <f>IFERROR(IF(AND(ISNUMBER(F807),ISNUMBER(H807)),F807-H807,""),"")</f>
        <v/>
      </c>
      <c r="J807" s="114" t="n"/>
      <c r="K807" s="139">
        <f>IFERROR(IF(H807&gt;0,H807*IF(OR(C807="Alpha",B807="Alpha"),$C$9,$C$8),""),"")</f>
        <v/>
      </c>
      <c r="L807" s="139">
        <f>IFERROR(IF(ISNUMBER(F807),F807-IF(ISNUMBER(K807),K807,0),""),"")</f>
        <v/>
      </c>
    </row>
    <row r="808" ht="24" customHeight="1" s="63">
      <c r="E808" s="139" t="n"/>
      <c r="F808" s="139" t="n"/>
      <c r="G808" s="140">
        <f>IFERROR(IF(E808&gt;0,(F808/E808)*1000,""),"")</f>
        <v/>
      </c>
      <c r="H808" s="139">
        <f>IFERROR(IF(E808&gt;0,E808*IF(ISNUMBER(J808),J808,IF(OR(C808="Alpha",B808="Alpha"),$C$7,IF(C808="Futures",$C$6,$C$5))),""),"")</f>
        <v/>
      </c>
      <c r="I808" s="139">
        <f>IFERROR(IF(AND(ISNUMBER(F808),ISNUMBER(H808)),F808-H808,""),"")</f>
        <v/>
      </c>
      <c r="J808" s="114" t="n"/>
      <c r="K808" s="139">
        <f>IFERROR(IF(H808&gt;0,H808*IF(OR(C808="Alpha",B808="Alpha"),$C$9,$C$8),""),"")</f>
        <v/>
      </c>
      <c r="L808" s="139">
        <f>IFERROR(IF(ISNUMBER(F808),F808-IF(ISNUMBER(K808),K808,0),""),"")</f>
        <v/>
      </c>
    </row>
    <row r="809" ht="24" customHeight="1" s="63">
      <c r="E809" s="139" t="n"/>
      <c r="F809" s="139" t="n"/>
      <c r="G809" s="140">
        <f>IFERROR(IF(E809&gt;0,(F809/E809)*1000,""),"")</f>
        <v/>
      </c>
      <c r="H809" s="139">
        <f>IFERROR(IF(E809&gt;0,E809*IF(ISNUMBER(J809),J809,IF(OR(C809="Alpha",B809="Alpha"),$C$7,IF(C809="Futures",$C$6,$C$5))),""),"")</f>
        <v/>
      </c>
      <c r="I809" s="139">
        <f>IFERROR(IF(AND(ISNUMBER(F809),ISNUMBER(H809)),F809-H809,""),"")</f>
        <v/>
      </c>
      <c r="J809" s="114" t="n"/>
      <c r="K809" s="139">
        <f>IFERROR(IF(H809&gt;0,H809*IF(OR(C809="Alpha",B809="Alpha"),$C$9,$C$8),""),"")</f>
        <v/>
      </c>
      <c r="L809" s="139">
        <f>IFERROR(IF(ISNUMBER(F809),F809-IF(ISNUMBER(K809),K809,0),""),"")</f>
        <v/>
      </c>
    </row>
    <row r="810" ht="24" customHeight="1" s="63">
      <c r="E810" s="139" t="n"/>
      <c r="F810" s="139" t="n"/>
      <c r="G810" s="140">
        <f>IFERROR(IF(E810&gt;0,(F810/E810)*1000,""),"")</f>
        <v/>
      </c>
      <c r="H810" s="139">
        <f>IFERROR(IF(E810&gt;0,E810*IF(ISNUMBER(J810),J810,IF(OR(C810="Alpha",B810="Alpha"),$C$7,IF(C810="Futures",$C$6,$C$5))),""),"")</f>
        <v/>
      </c>
      <c r="I810" s="139">
        <f>IFERROR(IF(AND(ISNUMBER(F810),ISNUMBER(H810)),F810-H810,""),"")</f>
        <v/>
      </c>
      <c r="J810" s="114" t="n"/>
      <c r="K810" s="139">
        <f>IFERROR(IF(H810&gt;0,H810*IF(OR(C810="Alpha",B810="Alpha"),$C$9,$C$8),""),"")</f>
        <v/>
      </c>
      <c r="L810" s="139">
        <f>IFERROR(IF(ISNUMBER(F810),F810-IF(ISNUMBER(K810),K810,0),""),"")</f>
        <v/>
      </c>
    </row>
    <row r="811" ht="24" customHeight="1" s="63">
      <c r="E811" s="139" t="n"/>
      <c r="F811" s="139" t="n"/>
      <c r="G811" s="140">
        <f>IFERROR(IF(E811&gt;0,(F811/E811)*1000,""),"")</f>
        <v/>
      </c>
      <c r="H811" s="139">
        <f>IFERROR(IF(E811&gt;0,E811*IF(ISNUMBER(J811),J811,IF(OR(C811="Alpha",B811="Alpha"),$C$7,IF(C811="Futures",$C$6,$C$5))),""),"")</f>
        <v/>
      </c>
      <c r="I811" s="139">
        <f>IFERROR(IF(AND(ISNUMBER(F811),ISNUMBER(H811)),F811-H811,""),"")</f>
        <v/>
      </c>
      <c r="J811" s="114" t="n"/>
      <c r="K811" s="139">
        <f>IFERROR(IF(H811&gt;0,H811*IF(OR(C811="Alpha",B811="Alpha"),$C$9,$C$8),""),"")</f>
        <v/>
      </c>
      <c r="L811" s="139">
        <f>IFERROR(IF(ISNUMBER(F811),F811-IF(ISNUMBER(K811),K811,0),""),"")</f>
        <v/>
      </c>
    </row>
    <row r="812" ht="24" customHeight="1" s="63">
      <c r="E812" s="139" t="n"/>
      <c r="F812" s="139" t="n"/>
      <c r="G812" s="140">
        <f>IFERROR(IF(E812&gt;0,(F812/E812)*1000,""),"")</f>
        <v/>
      </c>
      <c r="H812" s="139">
        <f>IFERROR(IF(E812&gt;0,E812*IF(ISNUMBER(J812),J812,IF(OR(C812="Alpha",B812="Alpha"),$C$7,IF(C812="Futures",$C$6,$C$5))),""),"")</f>
        <v/>
      </c>
      <c r="I812" s="139">
        <f>IFERROR(IF(AND(ISNUMBER(F812),ISNUMBER(H812)),F812-H812,""),"")</f>
        <v/>
      </c>
      <c r="J812" s="114" t="n"/>
      <c r="K812" s="139">
        <f>IFERROR(IF(H812&gt;0,H812*IF(OR(C812="Alpha",B812="Alpha"),$C$9,$C$8),""),"")</f>
        <v/>
      </c>
      <c r="L812" s="139">
        <f>IFERROR(IF(ISNUMBER(F812),F812-IF(ISNUMBER(K812),K812,0),""),"")</f>
        <v/>
      </c>
    </row>
    <row r="813" ht="24" customHeight="1" s="63">
      <c r="E813" s="139" t="n"/>
      <c r="F813" s="139" t="n"/>
      <c r="G813" s="140">
        <f>IFERROR(IF(E813&gt;0,(F813/E813)*1000,""),"")</f>
        <v/>
      </c>
      <c r="H813" s="139">
        <f>IFERROR(IF(E813&gt;0,E813*IF(ISNUMBER(J813),J813,IF(OR(C813="Alpha",B813="Alpha"),$C$7,IF(C813="Futures",$C$6,$C$5))),""),"")</f>
        <v/>
      </c>
      <c r="I813" s="139">
        <f>IFERROR(IF(AND(ISNUMBER(F813),ISNUMBER(H813)),F813-H813,""),"")</f>
        <v/>
      </c>
      <c r="J813" s="114" t="n"/>
      <c r="K813" s="139">
        <f>IFERROR(IF(H813&gt;0,H813*IF(OR(C813="Alpha",B813="Alpha"),$C$9,$C$8),""),"")</f>
        <v/>
      </c>
      <c r="L813" s="139">
        <f>IFERROR(IF(ISNUMBER(F813),F813-IF(ISNUMBER(K813),K813,0),""),"")</f>
        <v/>
      </c>
    </row>
    <row r="814" ht="24" customHeight="1" s="63">
      <c r="E814" s="139" t="n"/>
      <c r="F814" s="139" t="n"/>
      <c r="G814" s="140">
        <f>IFERROR(IF(E814&gt;0,(F814/E814)*1000,""),"")</f>
        <v/>
      </c>
      <c r="H814" s="139">
        <f>IFERROR(IF(E814&gt;0,E814*IF(ISNUMBER(J814),J814,IF(OR(C814="Alpha",B814="Alpha"),$C$7,IF(C814="Futures",$C$6,$C$5))),""),"")</f>
        <v/>
      </c>
      <c r="I814" s="139">
        <f>IFERROR(IF(AND(ISNUMBER(F814),ISNUMBER(H814)),F814-H814,""),"")</f>
        <v/>
      </c>
      <c r="J814" s="114" t="n"/>
      <c r="K814" s="139">
        <f>IFERROR(IF(H814&gt;0,H814*IF(OR(C814="Alpha",B814="Alpha"),$C$9,$C$8),""),"")</f>
        <v/>
      </c>
      <c r="L814" s="139">
        <f>IFERROR(IF(ISNUMBER(F814),F814-IF(ISNUMBER(K814),K814,0),""),"")</f>
        <v/>
      </c>
    </row>
    <row r="815" ht="24" customHeight="1" s="63">
      <c r="E815" s="139" t="n"/>
      <c r="F815" s="139" t="n"/>
      <c r="G815" s="140">
        <f>IFERROR(IF(E815&gt;0,(F815/E815)*1000,""),"")</f>
        <v/>
      </c>
      <c r="H815" s="139">
        <f>IFERROR(IF(E815&gt;0,E815*IF(ISNUMBER(J815),J815,IF(OR(C815="Alpha",B815="Alpha"),$C$7,IF(C815="Futures",$C$6,$C$5))),""),"")</f>
        <v/>
      </c>
      <c r="I815" s="139">
        <f>IFERROR(IF(AND(ISNUMBER(F815),ISNUMBER(H815)),F815-H815,""),"")</f>
        <v/>
      </c>
      <c r="J815" s="114" t="n"/>
      <c r="K815" s="139">
        <f>IFERROR(IF(H815&gt;0,H815*IF(OR(C815="Alpha",B815="Alpha"),$C$9,$C$8),""),"")</f>
        <v/>
      </c>
      <c r="L815" s="139">
        <f>IFERROR(IF(ISNUMBER(F815),F815-IF(ISNUMBER(K815),K815,0),""),"")</f>
        <v/>
      </c>
    </row>
    <row r="816" ht="24" customHeight="1" s="63">
      <c r="E816" s="139" t="n"/>
      <c r="F816" s="139" t="n"/>
      <c r="G816" s="140">
        <f>IFERROR(IF(E816&gt;0,(F816/E816)*1000,""),"")</f>
        <v/>
      </c>
      <c r="H816" s="139">
        <f>IFERROR(IF(E816&gt;0,E816*IF(ISNUMBER(J816),J816,IF(OR(C816="Alpha",B816="Alpha"),$C$7,IF(C816="Futures",$C$6,$C$5))),""),"")</f>
        <v/>
      </c>
      <c r="I816" s="139">
        <f>IFERROR(IF(AND(ISNUMBER(F816),ISNUMBER(H816)),F816-H816,""),"")</f>
        <v/>
      </c>
      <c r="J816" s="114" t="n"/>
      <c r="K816" s="139">
        <f>IFERROR(IF(H816&gt;0,H816*IF(OR(C816="Alpha",B816="Alpha"),$C$9,$C$8),""),"")</f>
        <v/>
      </c>
      <c r="L816" s="139">
        <f>IFERROR(IF(ISNUMBER(F816),F816-IF(ISNUMBER(K816),K816,0),""),"")</f>
        <v/>
      </c>
    </row>
    <row r="817" ht="24" customHeight="1" s="63">
      <c r="E817" s="139" t="n"/>
      <c r="F817" s="139" t="n"/>
      <c r="G817" s="140">
        <f>IFERROR(IF(E817&gt;0,(F817/E817)*1000,""),"")</f>
        <v/>
      </c>
      <c r="H817" s="139">
        <f>IFERROR(IF(E817&gt;0,E817*IF(ISNUMBER(J817),J817,IF(OR(C817="Alpha",B817="Alpha"),$C$7,IF(C817="Futures",$C$6,$C$5))),""),"")</f>
        <v/>
      </c>
      <c r="I817" s="139">
        <f>IFERROR(IF(AND(ISNUMBER(F817),ISNUMBER(H817)),F817-H817,""),"")</f>
        <v/>
      </c>
      <c r="J817" s="114" t="n"/>
      <c r="K817" s="139">
        <f>IFERROR(IF(H817&gt;0,H817*IF(OR(C817="Alpha",B817="Alpha"),$C$9,$C$8),""),"")</f>
        <v/>
      </c>
      <c r="L817" s="139">
        <f>IFERROR(IF(ISNUMBER(F817),F817-IF(ISNUMBER(K817),K817,0),""),"")</f>
        <v/>
      </c>
    </row>
    <row r="818" ht="24" customHeight="1" s="63">
      <c r="E818" s="139" t="n"/>
      <c r="F818" s="139" t="n"/>
      <c r="G818" s="140">
        <f>IFERROR(IF(E818&gt;0,(F818/E818)*1000,""),"")</f>
        <v/>
      </c>
      <c r="H818" s="139">
        <f>IFERROR(IF(E818&gt;0,E818*IF(ISNUMBER(J818),J818,IF(OR(C818="Alpha",B818="Alpha"),$C$7,IF(C818="Futures",$C$6,$C$5))),""),"")</f>
        <v/>
      </c>
      <c r="I818" s="139">
        <f>IFERROR(IF(AND(ISNUMBER(F818),ISNUMBER(H818)),F818-H818,""),"")</f>
        <v/>
      </c>
      <c r="J818" s="114" t="n"/>
      <c r="K818" s="139">
        <f>IFERROR(IF(H818&gt;0,H818*IF(OR(C818="Alpha",B818="Alpha"),$C$9,$C$8),""),"")</f>
        <v/>
      </c>
      <c r="L818" s="139">
        <f>IFERROR(IF(ISNUMBER(F818),F818-IF(ISNUMBER(K818),K818,0),""),"")</f>
        <v/>
      </c>
    </row>
    <row r="819" ht="24" customHeight="1" s="63">
      <c r="E819" s="139" t="n"/>
      <c r="F819" s="139" t="n"/>
      <c r="G819" s="140">
        <f>IFERROR(IF(E819&gt;0,(F819/E819)*1000,""),"")</f>
        <v/>
      </c>
      <c r="H819" s="139">
        <f>IFERROR(IF(E819&gt;0,E819*IF(ISNUMBER(J819),J819,IF(OR(C819="Alpha",B819="Alpha"),$C$7,IF(C819="Futures",$C$6,$C$5))),""),"")</f>
        <v/>
      </c>
      <c r="I819" s="139">
        <f>IFERROR(IF(AND(ISNUMBER(F819),ISNUMBER(H819)),F819-H819,""),"")</f>
        <v/>
      </c>
      <c r="J819" s="114" t="n"/>
      <c r="K819" s="139">
        <f>IFERROR(IF(H819&gt;0,H819*IF(OR(C819="Alpha",B819="Alpha"),$C$9,$C$8),""),"")</f>
        <v/>
      </c>
      <c r="L819" s="139">
        <f>IFERROR(IF(ISNUMBER(F819),F819-IF(ISNUMBER(K819),K819,0),""),"")</f>
        <v/>
      </c>
    </row>
    <row r="820" ht="24" customHeight="1" s="63">
      <c r="E820" s="139" t="n"/>
      <c r="F820" s="139" t="n"/>
      <c r="G820" s="140">
        <f>IFERROR(IF(E820&gt;0,(F820/E820)*1000,""),"")</f>
        <v/>
      </c>
      <c r="H820" s="139">
        <f>IFERROR(IF(E820&gt;0,E820*IF(ISNUMBER(J820),J820,IF(OR(C820="Alpha",B820="Alpha"),$C$7,IF(C820="Futures",$C$6,$C$5))),""),"")</f>
        <v/>
      </c>
      <c r="I820" s="139">
        <f>IFERROR(IF(AND(ISNUMBER(F820),ISNUMBER(H820)),F820-H820,""),"")</f>
        <v/>
      </c>
      <c r="J820" s="114" t="n"/>
      <c r="K820" s="139">
        <f>IFERROR(IF(H820&gt;0,H820*IF(OR(C820="Alpha",B820="Alpha"),$C$9,$C$8),""),"")</f>
        <v/>
      </c>
      <c r="L820" s="139">
        <f>IFERROR(IF(ISNUMBER(F820),F820-IF(ISNUMBER(K820),K820,0),""),"")</f>
        <v/>
      </c>
    </row>
    <row r="821" ht="24" customHeight="1" s="63">
      <c r="E821" s="139" t="n"/>
      <c r="F821" s="139" t="n"/>
      <c r="G821" s="140">
        <f>IFERROR(IF(E821&gt;0,(F821/E821)*1000,""),"")</f>
        <v/>
      </c>
      <c r="H821" s="139">
        <f>IFERROR(IF(E821&gt;0,E821*IF(ISNUMBER(J821),J821,IF(OR(C821="Alpha",B821="Alpha"),$C$7,IF(C821="Futures",$C$6,$C$5))),""),"")</f>
        <v/>
      </c>
      <c r="I821" s="139">
        <f>IFERROR(IF(AND(ISNUMBER(F821),ISNUMBER(H821)),F821-H821,""),"")</f>
        <v/>
      </c>
      <c r="J821" s="114" t="n"/>
      <c r="K821" s="139">
        <f>IFERROR(IF(H821&gt;0,H821*IF(OR(C821="Alpha",B821="Alpha"),$C$9,$C$8),""),"")</f>
        <v/>
      </c>
      <c r="L821" s="139">
        <f>IFERROR(IF(ISNUMBER(F821),F821-IF(ISNUMBER(K821),K821,0),""),"")</f>
        <v/>
      </c>
    </row>
    <row r="822" ht="24" customHeight="1" s="63">
      <c r="E822" s="139" t="n"/>
      <c r="F822" s="139" t="n"/>
      <c r="G822" s="140">
        <f>IFERROR(IF(E822&gt;0,(F822/E822)*1000,""),"")</f>
        <v/>
      </c>
      <c r="H822" s="139">
        <f>IFERROR(IF(E822&gt;0,E822*IF(ISNUMBER(J822),J822,IF(OR(C822="Alpha",B822="Alpha"),$C$7,IF(C822="Futures",$C$6,$C$5))),""),"")</f>
        <v/>
      </c>
      <c r="I822" s="139">
        <f>IFERROR(IF(AND(ISNUMBER(F822),ISNUMBER(H822)),F822-H822,""),"")</f>
        <v/>
      </c>
      <c r="J822" s="114" t="n"/>
      <c r="K822" s="139">
        <f>IFERROR(IF(H822&gt;0,H822*IF(OR(C822="Alpha",B822="Alpha"),$C$9,$C$8),""),"")</f>
        <v/>
      </c>
      <c r="L822" s="139">
        <f>IFERROR(IF(ISNUMBER(F822),F822-IF(ISNUMBER(K822),K822,0),""),"")</f>
        <v/>
      </c>
    </row>
    <row r="823" ht="24" customHeight="1" s="63">
      <c r="E823" s="139" t="n"/>
      <c r="F823" s="139" t="n"/>
      <c r="G823" s="140">
        <f>IFERROR(IF(E823&gt;0,(F823/E823)*1000,""),"")</f>
        <v/>
      </c>
      <c r="H823" s="139">
        <f>IFERROR(IF(E823&gt;0,E823*IF(ISNUMBER(J823),J823,IF(OR(C823="Alpha",B823="Alpha"),$C$7,IF(C823="Futures",$C$6,$C$5))),""),"")</f>
        <v/>
      </c>
      <c r="I823" s="139">
        <f>IFERROR(IF(AND(ISNUMBER(F823),ISNUMBER(H823)),F823-H823,""),"")</f>
        <v/>
      </c>
      <c r="J823" s="114" t="n"/>
      <c r="K823" s="139">
        <f>IFERROR(IF(H823&gt;0,H823*IF(OR(C823="Alpha",B823="Alpha"),$C$9,$C$8),""),"")</f>
        <v/>
      </c>
      <c r="L823" s="139">
        <f>IFERROR(IF(ISNUMBER(F823),F823-IF(ISNUMBER(K823),K823,0),""),"")</f>
        <v/>
      </c>
    </row>
    <row r="824" ht="24" customHeight="1" s="63">
      <c r="E824" s="139" t="n"/>
      <c r="F824" s="139" t="n"/>
      <c r="G824" s="140">
        <f>IFERROR(IF(E824&gt;0,(F824/E824)*1000,""),"")</f>
        <v/>
      </c>
      <c r="H824" s="139">
        <f>IFERROR(IF(E824&gt;0,E824*IF(ISNUMBER(J824),J824,IF(OR(C824="Alpha",B824="Alpha"),$C$7,IF(C824="Futures",$C$6,$C$5))),""),"")</f>
        <v/>
      </c>
      <c r="I824" s="139">
        <f>IFERROR(IF(AND(ISNUMBER(F824),ISNUMBER(H824)),F824-H824,""),"")</f>
        <v/>
      </c>
      <c r="J824" s="114" t="n"/>
      <c r="K824" s="139">
        <f>IFERROR(IF(H824&gt;0,H824*IF(OR(C824="Alpha",B824="Alpha"),$C$9,$C$8),""),"")</f>
        <v/>
      </c>
      <c r="L824" s="139">
        <f>IFERROR(IF(ISNUMBER(F824),F824-IF(ISNUMBER(K824),K824,0),""),"")</f>
        <v/>
      </c>
    </row>
    <row r="825" ht="24" customHeight="1" s="63">
      <c r="E825" s="139" t="n"/>
      <c r="F825" s="139" t="n"/>
      <c r="G825" s="140">
        <f>IFERROR(IF(E825&gt;0,(F825/E825)*1000,""),"")</f>
        <v/>
      </c>
      <c r="H825" s="139">
        <f>IFERROR(IF(E825&gt;0,E825*IF(ISNUMBER(J825),J825,IF(OR(C825="Alpha",B825="Alpha"),$C$7,IF(C825="Futures",$C$6,$C$5))),""),"")</f>
        <v/>
      </c>
      <c r="I825" s="139">
        <f>IFERROR(IF(AND(ISNUMBER(F825),ISNUMBER(H825)),F825-H825,""),"")</f>
        <v/>
      </c>
      <c r="J825" s="114" t="n"/>
      <c r="K825" s="139">
        <f>IFERROR(IF(H825&gt;0,H825*IF(OR(C825="Alpha",B825="Alpha"),$C$9,$C$8),""),"")</f>
        <v/>
      </c>
      <c r="L825" s="139">
        <f>IFERROR(IF(ISNUMBER(F825),F825-IF(ISNUMBER(K825),K825,0),""),"")</f>
        <v/>
      </c>
    </row>
    <row r="826" ht="24" customHeight="1" s="63">
      <c r="E826" s="139" t="n"/>
      <c r="F826" s="139" t="n"/>
      <c r="G826" s="140">
        <f>IFERROR(IF(E826&gt;0,(F826/E826)*1000,""),"")</f>
        <v/>
      </c>
      <c r="H826" s="139">
        <f>IFERROR(IF(E826&gt;0,E826*IF(ISNUMBER(J826),J826,IF(OR(C826="Alpha",B826="Alpha"),$C$7,IF(C826="Futures",$C$6,$C$5))),""),"")</f>
        <v/>
      </c>
      <c r="I826" s="139">
        <f>IFERROR(IF(AND(ISNUMBER(F826),ISNUMBER(H826)),F826-H826,""),"")</f>
        <v/>
      </c>
      <c r="J826" s="114" t="n"/>
      <c r="K826" s="139">
        <f>IFERROR(IF(H826&gt;0,H826*IF(OR(C826="Alpha",B826="Alpha"),$C$9,$C$8),""),"")</f>
        <v/>
      </c>
      <c r="L826" s="139">
        <f>IFERROR(IF(ISNUMBER(F826),F826-IF(ISNUMBER(K826),K826,0),""),"")</f>
        <v/>
      </c>
    </row>
    <row r="827" ht="24" customHeight="1" s="63">
      <c r="E827" s="139" t="n"/>
      <c r="F827" s="139" t="n"/>
      <c r="G827" s="140">
        <f>IFERROR(IF(E827&gt;0,(F827/E827)*1000,""),"")</f>
        <v/>
      </c>
      <c r="H827" s="139">
        <f>IFERROR(IF(E827&gt;0,E827*IF(ISNUMBER(J827),J827,IF(OR(C827="Alpha",B827="Alpha"),$C$7,IF(C827="Futures",$C$6,$C$5))),""),"")</f>
        <v/>
      </c>
      <c r="I827" s="139">
        <f>IFERROR(IF(AND(ISNUMBER(F827),ISNUMBER(H827)),F827-H827,""),"")</f>
        <v/>
      </c>
      <c r="J827" s="114" t="n"/>
      <c r="K827" s="139">
        <f>IFERROR(IF(H827&gt;0,H827*IF(OR(C827="Alpha",B827="Alpha"),$C$9,$C$8),""),"")</f>
        <v/>
      </c>
      <c r="L827" s="139">
        <f>IFERROR(IF(ISNUMBER(F827),F827-IF(ISNUMBER(K827),K827,0),""),"")</f>
        <v/>
      </c>
    </row>
    <row r="828" ht="24" customHeight="1" s="63">
      <c r="E828" s="139" t="n"/>
      <c r="F828" s="139" t="n"/>
      <c r="G828" s="140">
        <f>IFERROR(IF(E828&gt;0,(F828/E828)*1000,""),"")</f>
        <v/>
      </c>
      <c r="H828" s="139">
        <f>IFERROR(IF(E828&gt;0,E828*IF(ISNUMBER(J828),J828,IF(OR(C828="Alpha",B828="Alpha"),$C$7,IF(C828="Futures",$C$6,$C$5))),""),"")</f>
        <v/>
      </c>
      <c r="I828" s="139">
        <f>IFERROR(IF(AND(ISNUMBER(F828),ISNUMBER(H828)),F828-H828,""),"")</f>
        <v/>
      </c>
      <c r="J828" s="114" t="n"/>
      <c r="K828" s="139">
        <f>IFERROR(IF(H828&gt;0,H828*IF(OR(C828="Alpha",B828="Alpha"),$C$9,$C$8),""),"")</f>
        <v/>
      </c>
      <c r="L828" s="139">
        <f>IFERROR(IF(ISNUMBER(F828),F828-IF(ISNUMBER(K828),K828,0),""),"")</f>
        <v/>
      </c>
    </row>
    <row r="829" ht="24" customHeight="1" s="63">
      <c r="E829" s="139" t="n"/>
      <c r="F829" s="139" t="n"/>
      <c r="G829" s="140">
        <f>IFERROR(IF(E829&gt;0,(F829/E829)*1000,""),"")</f>
        <v/>
      </c>
      <c r="H829" s="139">
        <f>IFERROR(IF(E829&gt;0,E829*IF(ISNUMBER(J829),J829,IF(OR(C829="Alpha",B829="Alpha"),$C$7,IF(C829="Futures",$C$6,$C$5))),""),"")</f>
        <v/>
      </c>
      <c r="I829" s="139">
        <f>IFERROR(IF(AND(ISNUMBER(F829),ISNUMBER(H829)),F829-H829,""),"")</f>
        <v/>
      </c>
      <c r="J829" s="114" t="n"/>
      <c r="K829" s="139">
        <f>IFERROR(IF(H829&gt;0,H829*IF(OR(C829="Alpha",B829="Alpha"),$C$9,$C$8),""),"")</f>
        <v/>
      </c>
      <c r="L829" s="139">
        <f>IFERROR(IF(ISNUMBER(F829),F829-IF(ISNUMBER(K829),K829,0),""),"")</f>
        <v/>
      </c>
    </row>
    <row r="830" ht="24" customHeight="1" s="63">
      <c r="E830" s="139" t="n"/>
      <c r="F830" s="139" t="n"/>
      <c r="G830" s="140">
        <f>IFERROR(IF(E830&gt;0,(F830/E830)*1000,""),"")</f>
        <v/>
      </c>
      <c r="H830" s="139">
        <f>IFERROR(IF(E830&gt;0,E830*IF(ISNUMBER(J830),J830,IF(OR(C830="Alpha",B830="Alpha"),$C$7,IF(C830="Futures",$C$6,$C$5))),""),"")</f>
        <v/>
      </c>
      <c r="I830" s="139">
        <f>IFERROR(IF(AND(ISNUMBER(F830),ISNUMBER(H830)),F830-H830,""),"")</f>
        <v/>
      </c>
      <c r="J830" s="114" t="n"/>
      <c r="K830" s="139">
        <f>IFERROR(IF(H830&gt;0,H830*IF(OR(C830="Alpha",B830="Alpha"),$C$9,$C$8),""),"")</f>
        <v/>
      </c>
      <c r="L830" s="139">
        <f>IFERROR(IF(ISNUMBER(F830),F830-IF(ISNUMBER(K830),K830,0),""),"")</f>
        <v/>
      </c>
    </row>
    <row r="831" ht="24" customHeight="1" s="63">
      <c r="E831" s="139" t="n"/>
      <c r="F831" s="139" t="n"/>
      <c r="G831" s="140">
        <f>IFERROR(IF(E831&gt;0,(F831/E831)*1000,""),"")</f>
        <v/>
      </c>
      <c r="H831" s="139">
        <f>IFERROR(IF(E831&gt;0,E831*IF(ISNUMBER(J831),J831,IF(OR(C831="Alpha",B831="Alpha"),$C$7,IF(C831="Futures",$C$6,$C$5))),""),"")</f>
        <v/>
      </c>
      <c r="I831" s="139">
        <f>IFERROR(IF(AND(ISNUMBER(F831),ISNUMBER(H831)),F831-H831,""),"")</f>
        <v/>
      </c>
      <c r="J831" s="114" t="n"/>
      <c r="K831" s="139">
        <f>IFERROR(IF(H831&gt;0,H831*IF(OR(C831="Alpha",B831="Alpha"),$C$9,$C$8),""),"")</f>
        <v/>
      </c>
      <c r="L831" s="139">
        <f>IFERROR(IF(ISNUMBER(F831),F831-IF(ISNUMBER(K831),K831,0),""),"")</f>
        <v/>
      </c>
    </row>
    <row r="832" ht="24" customHeight="1" s="63">
      <c r="E832" s="139" t="n"/>
      <c r="F832" s="139" t="n"/>
      <c r="G832" s="140">
        <f>IFERROR(IF(E832&gt;0,(F832/E832)*1000,""),"")</f>
        <v/>
      </c>
      <c r="H832" s="139">
        <f>IFERROR(IF(E832&gt;0,E832*IF(ISNUMBER(J832),J832,IF(OR(C832="Alpha",B832="Alpha"),$C$7,IF(C832="Futures",$C$6,$C$5))),""),"")</f>
        <v/>
      </c>
      <c r="I832" s="139">
        <f>IFERROR(IF(AND(ISNUMBER(F832),ISNUMBER(H832)),F832-H832,""),"")</f>
        <v/>
      </c>
      <c r="J832" s="114" t="n"/>
      <c r="K832" s="139">
        <f>IFERROR(IF(H832&gt;0,H832*IF(OR(C832="Alpha",B832="Alpha"),$C$9,$C$8),""),"")</f>
        <v/>
      </c>
      <c r="L832" s="139">
        <f>IFERROR(IF(ISNUMBER(F832),F832-IF(ISNUMBER(K832),K832,0),""),"")</f>
        <v/>
      </c>
    </row>
    <row r="833" ht="24" customHeight="1" s="63">
      <c r="E833" s="139" t="n"/>
      <c r="F833" s="139" t="n"/>
      <c r="G833" s="140">
        <f>IFERROR(IF(E833&gt;0,(F833/E833)*1000,""),"")</f>
        <v/>
      </c>
      <c r="H833" s="139">
        <f>IFERROR(IF(E833&gt;0,E833*IF(ISNUMBER(J833),J833,IF(OR(C833="Alpha",B833="Alpha"),$C$7,IF(C833="Futures",$C$6,$C$5))),""),"")</f>
        <v/>
      </c>
      <c r="I833" s="139">
        <f>IFERROR(IF(AND(ISNUMBER(F833),ISNUMBER(H833)),F833-H833,""),"")</f>
        <v/>
      </c>
      <c r="J833" s="114" t="n"/>
      <c r="K833" s="139">
        <f>IFERROR(IF(H833&gt;0,H833*IF(OR(C833="Alpha",B833="Alpha"),$C$9,$C$8),""),"")</f>
        <v/>
      </c>
      <c r="L833" s="139">
        <f>IFERROR(IF(ISNUMBER(F833),F833-IF(ISNUMBER(K833),K833,0),""),"")</f>
        <v/>
      </c>
    </row>
    <row r="834" ht="24" customHeight="1" s="63">
      <c r="E834" s="139" t="n"/>
      <c r="F834" s="139" t="n"/>
      <c r="G834" s="140">
        <f>IFERROR(IF(E834&gt;0,(F834/E834)*1000,""),"")</f>
        <v/>
      </c>
      <c r="H834" s="139">
        <f>IFERROR(IF(E834&gt;0,E834*IF(ISNUMBER(J834),J834,IF(OR(C834="Alpha",B834="Alpha"),$C$7,IF(C834="Futures",$C$6,$C$5))),""),"")</f>
        <v/>
      </c>
      <c r="I834" s="139">
        <f>IFERROR(IF(AND(ISNUMBER(F834),ISNUMBER(H834)),F834-H834,""),"")</f>
        <v/>
      </c>
      <c r="J834" s="114" t="n"/>
      <c r="K834" s="139">
        <f>IFERROR(IF(H834&gt;0,H834*IF(OR(C834="Alpha",B834="Alpha"),$C$9,$C$8),""),"")</f>
        <v/>
      </c>
      <c r="L834" s="139">
        <f>IFERROR(IF(ISNUMBER(F834),F834-IF(ISNUMBER(K834),K834,0),""),"")</f>
        <v/>
      </c>
    </row>
    <row r="835" ht="24" customHeight="1" s="63">
      <c r="E835" s="139" t="n"/>
      <c r="F835" s="139" t="n"/>
      <c r="G835" s="140">
        <f>IFERROR(IF(E835&gt;0,(F835/E835)*1000,""),"")</f>
        <v/>
      </c>
      <c r="H835" s="139">
        <f>IFERROR(IF(E835&gt;0,E835*IF(ISNUMBER(J835),J835,IF(OR(C835="Alpha",B835="Alpha"),$C$7,IF(C835="Futures",$C$6,$C$5))),""),"")</f>
        <v/>
      </c>
      <c r="I835" s="139">
        <f>IFERROR(IF(AND(ISNUMBER(F835),ISNUMBER(H835)),F835-H835,""),"")</f>
        <v/>
      </c>
      <c r="J835" s="114" t="n"/>
      <c r="K835" s="139">
        <f>IFERROR(IF(H835&gt;0,H835*IF(OR(C835="Alpha",B835="Alpha"),$C$9,$C$8),""),"")</f>
        <v/>
      </c>
      <c r="L835" s="139">
        <f>IFERROR(IF(ISNUMBER(F835),F835-IF(ISNUMBER(K835),K835,0),""),"")</f>
        <v/>
      </c>
    </row>
    <row r="836" ht="24" customHeight="1" s="63">
      <c r="E836" s="139" t="n"/>
      <c r="F836" s="139" t="n"/>
      <c r="G836" s="140">
        <f>IFERROR(IF(E836&gt;0,(F836/E836)*1000,""),"")</f>
        <v/>
      </c>
      <c r="H836" s="139">
        <f>IFERROR(IF(E836&gt;0,E836*IF(ISNUMBER(J836),J836,IF(OR(C836="Alpha",B836="Alpha"),$C$7,IF(C836="Futures",$C$6,$C$5))),""),"")</f>
        <v/>
      </c>
      <c r="I836" s="139">
        <f>IFERROR(IF(AND(ISNUMBER(F836),ISNUMBER(H836)),F836-H836,""),"")</f>
        <v/>
      </c>
      <c r="J836" s="114" t="n"/>
      <c r="K836" s="139">
        <f>IFERROR(IF(H836&gt;0,H836*IF(OR(C836="Alpha",B836="Alpha"),$C$9,$C$8),""),"")</f>
        <v/>
      </c>
      <c r="L836" s="139">
        <f>IFERROR(IF(ISNUMBER(F836),F836-IF(ISNUMBER(K836),K836,0),""),"")</f>
        <v/>
      </c>
    </row>
    <row r="837" ht="24" customHeight="1" s="63">
      <c r="E837" s="139" t="n"/>
      <c r="F837" s="139" t="n"/>
      <c r="G837" s="140">
        <f>IFERROR(IF(E837&gt;0,(F837/E837)*1000,""),"")</f>
        <v/>
      </c>
      <c r="H837" s="139">
        <f>IFERROR(IF(E837&gt;0,E837*IF(ISNUMBER(J837),J837,IF(OR(C837="Alpha",B837="Alpha"),$C$7,IF(C837="Futures",$C$6,$C$5))),""),"")</f>
        <v/>
      </c>
      <c r="I837" s="139">
        <f>IFERROR(IF(AND(ISNUMBER(F837),ISNUMBER(H837)),F837-H837,""),"")</f>
        <v/>
      </c>
      <c r="J837" s="114" t="n"/>
      <c r="K837" s="139">
        <f>IFERROR(IF(H837&gt;0,H837*IF(OR(C837="Alpha",B837="Alpha"),$C$9,$C$8),""),"")</f>
        <v/>
      </c>
      <c r="L837" s="139">
        <f>IFERROR(IF(ISNUMBER(F837),F837-IF(ISNUMBER(K837),K837,0),""),"")</f>
        <v/>
      </c>
    </row>
    <row r="838" ht="24" customHeight="1" s="63">
      <c r="E838" s="139" t="n"/>
      <c r="F838" s="139" t="n"/>
      <c r="G838" s="140">
        <f>IFERROR(IF(E838&gt;0,(F838/E838)*1000,""),"")</f>
        <v/>
      </c>
      <c r="H838" s="139">
        <f>IFERROR(IF(E838&gt;0,E838*IF(ISNUMBER(J838),J838,IF(OR(C838="Alpha",B838="Alpha"),$C$7,IF(C838="Futures",$C$6,$C$5))),""),"")</f>
        <v/>
      </c>
      <c r="I838" s="139">
        <f>IFERROR(IF(AND(ISNUMBER(F838),ISNUMBER(H838)),F838-H838,""),"")</f>
        <v/>
      </c>
      <c r="J838" s="114" t="n"/>
      <c r="K838" s="139">
        <f>IFERROR(IF(H838&gt;0,H838*IF(OR(C838="Alpha",B838="Alpha"),$C$9,$C$8),""),"")</f>
        <v/>
      </c>
      <c r="L838" s="139">
        <f>IFERROR(IF(ISNUMBER(F838),F838-IF(ISNUMBER(K838),K838,0),""),"")</f>
        <v/>
      </c>
    </row>
    <row r="839" ht="24" customHeight="1" s="63">
      <c r="E839" s="139" t="n"/>
      <c r="F839" s="139" t="n"/>
      <c r="G839" s="140">
        <f>IFERROR(IF(E839&gt;0,(F839/E839)*1000,""),"")</f>
        <v/>
      </c>
      <c r="H839" s="139">
        <f>IFERROR(IF(E839&gt;0,E839*IF(ISNUMBER(J839),J839,IF(OR(C839="Alpha",B839="Alpha"),$C$7,IF(C839="Futures",$C$6,$C$5))),""),"")</f>
        <v/>
      </c>
      <c r="I839" s="139">
        <f>IFERROR(IF(AND(ISNUMBER(F839),ISNUMBER(H839)),F839-H839,""),"")</f>
        <v/>
      </c>
      <c r="J839" s="114" t="n"/>
      <c r="K839" s="139">
        <f>IFERROR(IF(H839&gt;0,H839*IF(OR(C839="Alpha",B839="Alpha"),$C$9,$C$8),""),"")</f>
        <v/>
      </c>
      <c r="L839" s="139">
        <f>IFERROR(IF(ISNUMBER(F839),F839-IF(ISNUMBER(K839),K839,0),""),"")</f>
        <v/>
      </c>
    </row>
    <row r="840" ht="24" customHeight="1" s="63">
      <c r="E840" s="139" t="n"/>
      <c r="F840" s="139" t="n"/>
      <c r="G840" s="140">
        <f>IFERROR(IF(E840&gt;0,(F840/E840)*1000,""),"")</f>
        <v/>
      </c>
      <c r="H840" s="139">
        <f>IFERROR(IF(E840&gt;0,E840*IF(ISNUMBER(J840),J840,IF(OR(C840="Alpha",B840="Alpha"),$C$7,IF(C840="Futures",$C$6,$C$5))),""),"")</f>
        <v/>
      </c>
      <c r="I840" s="139">
        <f>IFERROR(IF(AND(ISNUMBER(F840),ISNUMBER(H840)),F840-H840,""),"")</f>
        <v/>
      </c>
      <c r="J840" s="114" t="n"/>
      <c r="K840" s="139">
        <f>IFERROR(IF(H840&gt;0,H840*IF(OR(C840="Alpha",B840="Alpha"),$C$9,$C$8),""),"")</f>
        <v/>
      </c>
      <c r="L840" s="139">
        <f>IFERROR(IF(ISNUMBER(F840),F840-IF(ISNUMBER(K840),K840,0),""),"")</f>
        <v/>
      </c>
    </row>
    <row r="841" ht="24" customHeight="1" s="63">
      <c r="E841" s="139" t="n"/>
      <c r="F841" s="139" t="n"/>
      <c r="G841" s="140">
        <f>IFERROR(IF(E841&gt;0,(F841/E841)*1000,""),"")</f>
        <v/>
      </c>
      <c r="H841" s="139">
        <f>IFERROR(IF(E841&gt;0,E841*IF(ISNUMBER(J841),J841,IF(OR(C841="Alpha",B841="Alpha"),$C$7,IF(C841="Futures",$C$6,$C$5))),""),"")</f>
        <v/>
      </c>
      <c r="I841" s="139">
        <f>IFERROR(IF(AND(ISNUMBER(F841),ISNUMBER(H841)),F841-H841,""),"")</f>
        <v/>
      </c>
      <c r="J841" s="114" t="n"/>
      <c r="K841" s="139">
        <f>IFERROR(IF(H841&gt;0,H841*IF(OR(C841="Alpha",B841="Alpha"),$C$9,$C$8),""),"")</f>
        <v/>
      </c>
      <c r="L841" s="139">
        <f>IFERROR(IF(ISNUMBER(F841),F841-IF(ISNUMBER(K841),K841,0),""),"")</f>
        <v/>
      </c>
    </row>
    <row r="842" ht="24" customHeight="1" s="63">
      <c r="E842" s="139" t="n"/>
      <c r="F842" s="139" t="n"/>
      <c r="G842" s="140">
        <f>IFERROR(IF(E842&gt;0,(F842/E842)*1000,""),"")</f>
        <v/>
      </c>
      <c r="H842" s="139">
        <f>IFERROR(IF(E842&gt;0,E842*IF(ISNUMBER(J842),J842,IF(OR(C842="Alpha",B842="Alpha"),$C$7,IF(C842="Futures",$C$6,$C$5))),""),"")</f>
        <v/>
      </c>
      <c r="I842" s="139">
        <f>IFERROR(IF(AND(ISNUMBER(F842),ISNUMBER(H842)),F842-H842,""),"")</f>
        <v/>
      </c>
      <c r="J842" s="114" t="n"/>
      <c r="K842" s="139">
        <f>IFERROR(IF(H842&gt;0,H842*IF(OR(C842="Alpha",B842="Alpha"),$C$9,$C$8),""),"")</f>
        <v/>
      </c>
      <c r="L842" s="139">
        <f>IFERROR(IF(ISNUMBER(F842),F842-IF(ISNUMBER(K842),K842,0),""),"")</f>
        <v/>
      </c>
    </row>
    <row r="843" ht="24" customHeight="1" s="63">
      <c r="E843" s="139" t="n"/>
      <c r="F843" s="139" t="n"/>
      <c r="G843" s="140">
        <f>IFERROR(IF(E843&gt;0,(F843/E843)*1000,""),"")</f>
        <v/>
      </c>
      <c r="H843" s="139">
        <f>IFERROR(IF(E843&gt;0,E843*IF(ISNUMBER(J843),J843,IF(OR(C843="Alpha",B843="Alpha"),$C$7,IF(C843="Futures",$C$6,$C$5))),""),"")</f>
        <v/>
      </c>
      <c r="I843" s="139">
        <f>IFERROR(IF(AND(ISNUMBER(F843),ISNUMBER(H843)),F843-H843,""),"")</f>
        <v/>
      </c>
      <c r="J843" s="114" t="n"/>
      <c r="K843" s="139">
        <f>IFERROR(IF(H843&gt;0,H843*IF(OR(C843="Alpha",B843="Alpha"),$C$9,$C$8),""),"")</f>
        <v/>
      </c>
      <c r="L843" s="139">
        <f>IFERROR(IF(ISNUMBER(F843),F843-IF(ISNUMBER(K843),K843,0),""),"")</f>
        <v/>
      </c>
    </row>
    <row r="844" ht="24" customHeight="1" s="63">
      <c r="E844" s="139" t="n"/>
      <c r="F844" s="139" t="n"/>
      <c r="G844" s="140">
        <f>IFERROR(IF(E844&gt;0,(F844/E844)*1000,""),"")</f>
        <v/>
      </c>
      <c r="H844" s="139">
        <f>IFERROR(IF(E844&gt;0,E844*IF(ISNUMBER(J844),J844,IF(OR(C844="Alpha",B844="Alpha"),$C$7,IF(C844="Futures",$C$6,$C$5))),""),"")</f>
        <v/>
      </c>
      <c r="I844" s="139">
        <f>IFERROR(IF(AND(ISNUMBER(F844),ISNUMBER(H844)),F844-H844,""),"")</f>
        <v/>
      </c>
      <c r="J844" s="114" t="n"/>
      <c r="K844" s="139">
        <f>IFERROR(IF(H844&gt;0,H844*IF(OR(C844="Alpha",B844="Alpha"),$C$9,$C$8),""),"")</f>
        <v/>
      </c>
      <c r="L844" s="139">
        <f>IFERROR(IF(ISNUMBER(F844),F844-IF(ISNUMBER(K844),K844,0),""),"")</f>
        <v/>
      </c>
    </row>
    <row r="845" ht="24" customHeight="1" s="63">
      <c r="E845" s="139" t="n"/>
      <c r="F845" s="139" t="n"/>
      <c r="G845" s="140">
        <f>IFERROR(IF(E845&gt;0,(F845/E845)*1000,""),"")</f>
        <v/>
      </c>
      <c r="H845" s="139">
        <f>IFERROR(IF(E845&gt;0,E845*IF(ISNUMBER(J845),J845,IF(OR(C845="Alpha",B845="Alpha"),$C$7,IF(C845="Futures",$C$6,$C$5))),""),"")</f>
        <v/>
      </c>
      <c r="I845" s="139">
        <f>IFERROR(IF(AND(ISNUMBER(F845),ISNUMBER(H845)),F845-H845,""),"")</f>
        <v/>
      </c>
      <c r="J845" s="114" t="n"/>
      <c r="K845" s="139">
        <f>IFERROR(IF(H845&gt;0,H845*IF(OR(C845="Alpha",B845="Alpha"),$C$9,$C$8),""),"")</f>
        <v/>
      </c>
      <c r="L845" s="139">
        <f>IFERROR(IF(ISNUMBER(F845),F845-IF(ISNUMBER(K845),K845,0),""),"")</f>
        <v/>
      </c>
    </row>
    <row r="846" ht="24" customHeight="1" s="63">
      <c r="E846" s="139" t="n"/>
      <c r="F846" s="139" t="n"/>
      <c r="G846" s="140">
        <f>IFERROR(IF(E846&gt;0,(F846/E846)*1000,""),"")</f>
        <v/>
      </c>
      <c r="H846" s="139">
        <f>IFERROR(IF(E846&gt;0,E846*IF(ISNUMBER(J846),J846,IF(OR(C846="Alpha",B846="Alpha"),$C$7,IF(C846="Futures",$C$6,$C$5))),""),"")</f>
        <v/>
      </c>
      <c r="I846" s="139">
        <f>IFERROR(IF(AND(ISNUMBER(F846),ISNUMBER(H846)),F846-H846,""),"")</f>
        <v/>
      </c>
      <c r="J846" s="114" t="n"/>
      <c r="K846" s="139">
        <f>IFERROR(IF(H846&gt;0,H846*IF(OR(C846="Alpha",B846="Alpha"),$C$9,$C$8),""),"")</f>
        <v/>
      </c>
      <c r="L846" s="139">
        <f>IFERROR(IF(ISNUMBER(F846),F846-IF(ISNUMBER(K846),K846,0),""),"")</f>
        <v/>
      </c>
    </row>
    <row r="847" ht="24" customHeight="1" s="63">
      <c r="E847" s="139" t="n"/>
      <c r="F847" s="139" t="n"/>
      <c r="G847" s="140">
        <f>IFERROR(IF(E847&gt;0,(F847/E847)*1000,""),"")</f>
        <v/>
      </c>
      <c r="H847" s="139">
        <f>IFERROR(IF(E847&gt;0,E847*IF(ISNUMBER(J847),J847,IF(OR(C847="Alpha",B847="Alpha"),$C$7,IF(C847="Futures",$C$6,$C$5))),""),"")</f>
        <v/>
      </c>
      <c r="I847" s="139">
        <f>IFERROR(IF(AND(ISNUMBER(F847),ISNUMBER(H847)),F847-H847,""),"")</f>
        <v/>
      </c>
      <c r="J847" s="114" t="n"/>
      <c r="K847" s="139">
        <f>IFERROR(IF(H847&gt;0,H847*IF(OR(C847="Alpha",B847="Alpha"),$C$9,$C$8),""),"")</f>
        <v/>
      </c>
      <c r="L847" s="139">
        <f>IFERROR(IF(ISNUMBER(F847),F847-IF(ISNUMBER(K847),K847,0),""),"")</f>
        <v/>
      </c>
    </row>
    <row r="848" ht="24" customHeight="1" s="63">
      <c r="E848" s="139" t="n"/>
      <c r="F848" s="139" t="n"/>
      <c r="G848" s="140">
        <f>IFERROR(IF(E848&gt;0,(F848/E848)*1000,""),"")</f>
        <v/>
      </c>
      <c r="H848" s="139">
        <f>IFERROR(IF(E848&gt;0,E848*IF(ISNUMBER(J848),J848,IF(OR(C848="Alpha",B848="Alpha"),$C$7,IF(C848="Futures",$C$6,$C$5))),""),"")</f>
        <v/>
      </c>
      <c r="I848" s="139">
        <f>IFERROR(IF(AND(ISNUMBER(F848),ISNUMBER(H848)),F848-H848,""),"")</f>
        <v/>
      </c>
      <c r="J848" s="114" t="n"/>
      <c r="K848" s="139">
        <f>IFERROR(IF(H848&gt;0,H848*IF(OR(C848="Alpha",B848="Alpha"),$C$9,$C$8),""),"")</f>
        <v/>
      </c>
      <c r="L848" s="139">
        <f>IFERROR(IF(ISNUMBER(F848),F848-IF(ISNUMBER(K848),K848,0),""),"")</f>
        <v/>
      </c>
    </row>
    <row r="849" ht="24" customHeight="1" s="63">
      <c r="E849" s="139" t="n"/>
      <c r="F849" s="139" t="n"/>
      <c r="G849" s="140">
        <f>IFERROR(IF(E849&gt;0,(F849/E849)*1000,""),"")</f>
        <v/>
      </c>
      <c r="H849" s="139">
        <f>IFERROR(IF(E849&gt;0,E849*IF(ISNUMBER(J849),J849,IF(OR(C849="Alpha",B849="Alpha"),$C$7,IF(C849="Futures",$C$6,$C$5))),""),"")</f>
        <v/>
      </c>
      <c r="I849" s="139">
        <f>IFERROR(IF(AND(ISNUMBER(F849),ISNUMBER(H849)),F849-H849,""),"")</f>
        <v/>
      </c>
      <c r="J849" s="114" t="n"/>
      <c r="K849" s="139">
        <f>IFERROR(IF(H849&gt;0,H849*IF(OR(C849="Alpha",B849="Alpha"),$C$9,$C$8),""),"")</f>
        <v/>
      </c>
      <c r="L849" s="139">
        <f>IFERROR(IF(ISNUMBER(F849),F849-IF(ISNUMBER(K849),K849,0),""),"")</f>
        <v/>
      </c>
    </row>
    <row r="850" ht="24" customHeight="1" s="63">
      <c r="E850" s="139" t="n"/>
      <c r="F850" s="139" t="n"/>
      <c r="G850" s="140">
        <f>IFERROR(IF(E850&gt;0,(F850/E850)*1000,""),"")</f>
        <v/>
      </c>
      <c r="H850" s="139">
        <f>IFERROR(IF(E850&gt;0,E850*IF(ISNUMBER(J850),J850,IF(OR(C850="Alpha",B850="Alpha"),$C$7,IF(C850="Futures",$C$6,$C$5))),""),"")</f>
        <v/>
      </c>
      <c r="I850" s="139">
        <f>IFERROR(IF(AND(ISNUMBER(F850),ISNUMBER(H850)),F850-H850,""),"")</f>
        <v/>
      </c>
      <c r="J850" s="114" t="n"/>
      <c r="K850" s="139">
        <f>IFERROR(IF(H850&gt;0,H850*IF(OR(C850="Alpha",B850="Alpha"),$C$9,$C$8),""),"")</f>
        <v/>
      </c>
      <c r="L850" s="139">
        <f>IFERROR(IF(ISNUMBER(F850),F850-IF(ISNUMBER(K850),K850,0),""),"")</f>
        <v/>
      </c>
    </row>
    <row r="851" ht="24" customHeight="1" s="63">
      <c r="E851" s="139" t="n"/>
      <c r="F851" s="139" t="n"/>
      <c r="G851" s="140">
        <f>IFERROR(IF(E851&gt;0,(F851/E851)*1000,""),"")</f>
        <v/>
      </c>
      <c r="H851" s="139">
        <f>IFERROR(IF(E851&gt;0,E851*IF(ISNUMBER(J851),J851,IF(OR(C851="Alpha",B851="Alpha"),$C$7,IF(C851="Futures",$C$6,$C$5))),""),"")</f>
        <v/>
      </c>
      <c r="I851" s="139">
        <f>IFERROR(IF(AND(ISNUMBER(F851),ISNUMBER(H851)),F851-H851,""),"")</f>
        <v/>
      </c>
      <c r="J851" s="114" t="n"/>
      <c r="K851" s="139">
        <f>IFERROR(IF(H851&gt;0,H851*IF(OR(C851="Alpha",B851="Alpha"),$C$9,$C$8),""),"")</f>
        <v/>
      </c>
      <c r="L851" s="139">
        <f>IFERROR(IF(ISNUMBER(F851),F851-IF(ISNUMBER(K851),K851,0),""),"")</f>
        <v/>
      </c>
    </row>
    <row r="852" ht="24" customHeight="1" s="63">
      <c r="E852" s="139" t="n"/>
      <c r="F852" s="139" t="n"/>
      <c r="G852" s="140">
        <f>IFERROR(IF(E852&gt;0,(F852/E852)*1000,""),"")</f>
        <v/>
      </c>
      <c r="H852" s="139">
        <f>IFERROR(IF(E852&gt;0,E852*IF(ISNUMBER(J852),J852,IF(OR(C852="Alpha",B852="Alpha"),$C$7,IF(C852="Futures",$C$6,$C$5))),""),"")</f>
        <v/>
      </c>
      <c r="I852" s="139">
        <f>IFERROR(IF(AND(ISNUMBER(F852),ISNUMBER(H852)),F852-H852,""),"")</f>
        <v/>
      </c>
      <c r="J852" s="114" t="n"/>
      <c r="K852" s="139">
        <f>IFERROR(IF(H852&gt;0,H852*IF(OR(C852="Alpha",B852="Alpha"),$C$9,$C$8),""),"")</f>
        <v/>
      </c>
      <c r="L852" s="139">
        <f>IFERROR(IF(ISNUMBER(F852),F852-IF(ISNUMBER(K852),K852,0),""),"")</f>
        <v/>
      </c>
    </row>
    <row r="853" ht="24" customHeight="1" s="63">
      <c r="E853" s="139" t="n"/>
      <c r="F853" s="139" t="n"/>
      <c r="G853" s="140">
        <f>IFERROR(IF(E853&gt;0,(F853/E853)*1000,""),"")</f>
        <v/>
      </c>
      <c r="H853" s="139">
        <f>IFERROR(IF(E853&gt;0,E853*IF(ISNUMBER(J853),J853,IF(OR(C853="Alpha",B853="Alpha"),$C$7,IF(C853="Futures",$C$6,$C$5))),""),"")</f>
        <v/>
      </c>
      <c r="I853" s="139">
        <f>IFERROR(IF(AND(ISNUMBER(F853),ISNUMBER(H853)),F853-H853,""),"")</f>
        <v/>
      </c>
      <c r="J853" s="114" t="n"/>
      <c r="K853" s="139">
        <f>IFERROR(IF(H853&gt;0,H853*IF(OR(C853="Alpha",B853="Alpha"),$C$9,$C$8),""),"")</f>
        <v/>
      </c>
      <c r="L853" s="139">
        <f>IFERROR(IF(ISNUMBER(F853),F853-IF(ISNUMBER(K853),K853,0),""),"")</f>
        <v/>
      </c>
    </row>
    <row r="854" ht="24" customHeight="1" s="63">
      <c r="E854" s="139" t="n"/>
      <c r="F854" s="139" t="n"/>
      <c r="G854" s="140">
        <f>IFERROR(IF(E854&gt;0,(F854/E854)*1000,""),"")</f>
        <v/>
      </c>
      <c r="H854" s="139">
        <f>IFERROR(IF(E854&gt;0,E854*IF(ISNUMBER(J854),J854,IF(OR(C854="Alpha",B854="Alpha"),$C$7,IF(C854="Futures",$C$6,$C$5))),""),"")</f>
        <v/>
      </c>
      <c r="I854" s="139">
        <f>IFERROR(IF(AND(ISNUMBER(F854),ISNUMBER(H854)),F854-H854,""),"")</f>
        <v/>
      </c>
      <c r="J854" s="114" t="n"/>
      <c r="K854" s="139">
        <f>IFERROR(IF(H854&gt;0,H854*IF(OR(C854="Alpha",B854="Alpha"),$C$9,$C$8),""),"")</f>
        <v/>
      </c>
      <c r="L854" s="139">
        <f>IFERROR(IF(ISNUMBER(F854),F854-IF(ISNUMBER(K854),K854,0),""),"")</f>
        <v/>
      </c>
    </row>
    <row r="855" ht="24" customHeight="1" s="63">
      <c r="E855" s="139" t="n"/>
      <c r="F855" s="139" t="n"/>
      <c r="G855" s="140">
        <f>IFERROR(IF(E855&gt;0,(F855/E855)*1000,""),"")</f>
        <v/>
      </c>
      <c r="H855" s="139">
        <f>IFERROR(IF(E855&gt;0,E855*IF(ISNUMBER(J855),J855,IF(OR(C855="Alpha",B855="Alpha"),$C$7,IF(C855="Futures",$C$6,$C$5))),""),"")</f>
        <v/>
      </c>
      <c r="I855" s="139">
        <f>IFERROR(IF(AND(ISNUMBER(F855),ISNUMBER(H855)),F855-H855,""),"")</f>
        <v/>
      </c>
      <c r="J855" s="114" t="n"/>
      <c r="K855" s="139">
        <f>IFERROR(IF(H855&gt;0,H855*IF(OR(C855="Alpha",B855="Alpha"),$C$9,$C$8),""),"")</f>
        <v/>
      </c>
      <c r="L855" s="139">
        <f>IFERROR(IF(ISNUMBER(F855),F855-IF(ISNUMBER(K855),K855,0),""),"")</f>
        <v/>
      </c>
    </row>
    <row r="856" ht="24" customHeight="1" s="63">
      <c r="E856" s="139" t="n"/>
      <c r="F856" s="139" t="n"/>
      <c r="G856" s="140">
        <f>IFERROR(IF(E856&gt;0,(F856/E856)*1000,""),"")</f>
        <v/>
      </c>
      <c r="H856" s="139">
        <f>IFERROR(IF(E856&gt;0,E856*IF(ISNUMBER(J856),J856,IF(OR(C856="Alpha",B856="Alpha"),$C$7,IF(C856="Futures",$C$6,$C$5))),""),"")</f>
        <v/>
      </c>
      <c r="I856" s="139">
        <f>IFERROR(IF(AND(ISNUMBER(F856),ISNUMBER(H856)),F856-H856,""),"")</f>
        <v/>
      </c>
      <c r="J856" s="114" t="n"/>
      <c r="K856" s="139">
        <f>IFERROR(IF(H856&gt;0,H856*IF(OR(C856="Alpha",B856="Alpha"),$C$9,$C$8),""),"")</f>
        <v/>
      </c>
      <c r="L856" s="139">
        <f>IFERROR(IF(ISNUMBER(F856),F856-IF(ISNUMBER(K856),K856,0),""),"")</f>
        <v/>
      </c>
    </row>
    <row r="857" ht="24" customHeight="1" s="63">
      <c r="E857" s="139" t="n"/>
      <c r="F857" s="139" t="n"/>
      <c r="G857" s="140">
        <f>IFERROR(IF(E857&gt;0,(F857/E857)*1000,""),"")</f>
        <v/>
      </c>
      <c r="H857" s="139">
        <f>IFERROR(IF(E857&gt;0,E857*IF(ISNUMBER(J857),J857,IF(OR(C857="Alpha",B857="Alpha"),$C$7,IF(C857="Futures",$C$6,$C$5))),""),"")</f>
        <v/>
      </c>
      <c r="I857" s="139">
        <f>IFERROR(IF(AND(ISNUMBER(F857),ISNUMBER(H857)),F857-H857,""),"")</f>
        <v/>
      </c>
      <c r="J857" s="114" t="n"/>
      <c r="K857" s="139">
        <f>IFERROR(IF(H857&gt;0,H857*IF(OR(C857="Alpha",B857="Alpha"),$C$9,$C$8),""),"")</f>
        <v/>
      </c>
      <c r="L857" s="139">
        <f>IFERROR(IF(ISNUMBER(F857),F857-IF(ISNUMBER(K857),K857,0),""),"")</f>
        <v/>
      </c>
    </row>
    <row r="858" ht="24" customHeight="1" s="63">
      <c r="E858" s="139" t="n"/>
      <c r="F858" s="139" t="n"/>
      <c r="G858" s="140">
        <f>IFERROR(IF(E858&gt;0,(F858/E858)*1000,""),"")</f>
        <v/>
      </c>
      <c r="H858" s="139">
        <f>IFERROR(IF(E858&gt;0,E858*IF(ISNUMBER(J858),J858,IF(OR(C858="Alpha",B858="Alpha"),$C$7,IF(C858="Futures",$C$6,$C$5))),""),"")</f>
        <v/>
      </c>
      <c r="I858" s="139">
        <f>IFERROR(IF(AND(ISNUMBER(F858),ISNUMBER(H858)),F858-H858,""),"")</f>
        <v/>
      </c>
      <c r="J858" s="114" t="n"/>
      <c r="K858" s="139">
        <f>IFERROR(IF(H858&gt;0,H858*IF(OR(C858="Alpha",B858="Alpha"),$C$9,$C$8),""),"")</f>
        <v/>
      </c>
      <c r="L858" s="139">
        <f>IFERROR(IF(ISNUMBER(F858),F858-IF(ISNUMBER(K858),K858,0),""),"")</f>
        <v/>
      </c>
    </row>
    <row r="859" ht="24" customHeight="1" s="63">
      <c r="E859" s="139" t="n"/>
      <c r="F859" s="139" t="n"/>
      <c r="G859" s="140">
        <f>IFERROR(IF(E859&gt;0,(F859/E859)*1000,""),"")</f>
        <v/>
      </c>
      <c r="H859" s="139">
        <f>IFERROR(IF(E859&gt;0,E859*IF(ISNUMBER(J859),J859,IF(OR(C859="Alpha",B859="Alpha"),$C$7,IF(C859="Futures",$C$6,$C$5))),""),"")</f>
        <v/>
      </c>
      <c r="I859" s="139">
        <f>IFERROR(IF(AND(ISNUMBER(F859),ISNUMBER(H859)),F859-H859,""),"")</f>
        <v/>
      </c>
      <c r="J859" s="114" t="n"/>
      <c r="K859" s="139">
        <f>IFERROR(IF(H859&gt;0,H859*IF(OR(C859="Alpha",B859="Alpha"),$C$9,$C$8),""),"")</f>
        <v/>
      </c>
      <c r="L859" s="139">
        <f>IFERROR(IF(ISNUMBER(F859),F859-IF(ISNUMBER(K859),K859,0),""),"")</f>
        <v/>
      </c>
    </row>
    <row r="860" ht="24" customHeight="1" s="63">
      <c r="E860" s="139" t="n"/>
      <c r="F860" s="139" t="n"/>
      <c r="G860" s="140">
        <f>IFERROR(IF(E860&gt;0,(F860/E860)*1000,""),"")</f>
        <v/>
      </c>
      <c r="H860" s="139">
        <f>IFERROR(IF(E860&gt;0,E860*IF(ISNUMBER(J860),J860,IF(OR(C860="Alpha",B860="Alpha"),$C$7,IF(C860="Futures",$C$6,$C$5))),""),"")</f>
        <v/>
      </c>
      <c r="I860" s="139">
        <f>IFERROR(IF(AND(ISNUMBER(F860),ISNUMBER(H860)),F860-H860,""),"")</f>
        <v/>
      </c>
      <c r="J860" s="114" t="n"/>
      <c r="K860" s="139">
        <f>IFERROR(IF(H860&gt;0,H860*IF(OR(C860="Alpha",B860="Alpha"),$C$9,$C$8),""),"")</f>
        <v/>
      </c>
      <c r="L860" s="139">
        <f>IFERROR(IF(ISNUMBER(F860),F860-IF(ISNUMBER(K860),K860,0),""),"")</f>
        <v/>
      </c>
    </row>
    <row r="861" ht="24" customHeight="1" s="63">
      <c r="E861" s="139" t="n"/>
      <c r="F861" s="139" t="n"/>
      <c r="G861" s="140">
        <f>IFERROR(IF(E861&gt;0,(F861/E861)*1000,""),"")</f>
        <v/>
      </c>
      <c r="H861" s="139">
        <f>IFERROR(IF(E861&gt;0,E861*IF(ISNUMBER(J861),J861,IF(OR(C861="Alpha",B861="Alpha"),$C$7,IF(C861="Futures",$C$6,$C$5))),""),"")</f>
        <v/>
      </c>
      <c r="I861" s="139">
        <f>IFERROR(IF(AND(ISNUMBER(F861),ISNUMBER(H861)),F861-H861,""),"")</f>
        <v/>
      </c>
      <c r="J861" s="114" t="n"/>
      <c r="K861" s="139">
        <f>IFERROR(IF(H861&gt;0,H861*IF(OR(C861="Alpha",B861="Alpha"),$C$9,$C$8),""),"")</f>
        <v/>
      </c>
      <c r="L861" s="139">
        <f>IFERROR(IF(ISNUMBER(F861),F861-IF(ISNUMBER(K861),K861,0),""),"")</f>
        <v/>
      </c>
    </row>
    <row r="862" ht="24" customHeight="1" s="63">
      <c r="E862" s="139" t="n"/>
      <c r="F862" s="139" t="n"/>
      <c r="G862" s="140">
        <f>IFERROR(IF(E862&gt;0,(F862/E862)*1000,""),"")</f>
        <v/>
      </c>
      <c r="H862" s="139">
        <f>IFERROR(IF(E862&gt;0,E862*IF(ISNUMBER(J862),J862,IF(OR(C862="Alpha",B862="Alpha"),$C$7,IF(C862="Futures",$C$6,$C$5))),""),"")</f>
        <v/>
      </c>
      <c r="I862" s="139">
        <f>IFERROR(IF(AND(ISNUMBER(F862),ISNUMBER(H862)),F862-H862,""),"")</f>
        <v/>
      </c>
      <c r="J862" s="114" t="n"/>
      <c r="K862" s="139">
        <f>IFERROR(IF(H862&gt;0,H862*IF(OR(C862="Alpha",B862="Alpha"),$C$9,$C$8),""),"")</f>
        <v/>
      </c>
      <c r="L862" s="139">
        <f>IFERROR(IF(ISNUMBER(F862),F862-IF(ISNUMBER(K862),K862,0),""),"")</f>
        <v/>
      </c>
    </row>
    <row r="863" ht="24" customHeight="1" s="63">
      <c r="E863" s="139" t="n"/>
      <c r="F863" s="139" t="n"/>
      <c r="G863" s="140">
        <f>IFERROR(IF(E863&gt;0,(F863/E863)*1000,""),"")</f>
        <v/>
      </c>
      <c r="H863" s="139">
        <f>IFERROR(IF(E863&gt;0,E863*IF(ISNUMBER(J863),J863,IF(OR(C863="Alpha",B863="Alpha"),$C$7,IF(C863="Futures",$C$6,$C$5))),""),"")</f>
        <v/>
      </c>
      <c r="I863" s="139">
        <f>IFERROR(IF(AND(ISNUMBER(F863),ISNUMBER(H863)),F863-H863,""),"")</f>
        <v/>
      </c>
      <c r="J863" s="114" t="n"/>
      <c r="K863" s="139">
        <f>IFERROR(IF(H863&gt;0,H863*IF(OR(C863="Alpha",B863="Alpha"),$C$9,$C$8),""),"")</f>
        <v/>
      </c>
      <c r="L863" s="139">
        <f>IFERROR(IF(ISNUMBER(F863),F863-IF(ISNUMBER(K863),K863,0),""),"")</f>
        <v/>
      </c>
    </row>
    <row r="864" ht="24" customHeight="1" s="63">
      <c r="E864" s="139" t="n"/>
      <c r="F864" s="139" t="n"/>
      <c r="G864" s="140">
        <f>IFERROR(IF(E864&gt;0,(F864/E864)*1000,""),"")</f>
        <v/>
      </c>
      <c r="H864" s="139">
        <f>IFERROR(IF(E864&gt;0,E864*IF(ISNUMBER(J864),J864,IF(OR(C864="Alpha",B864="Alpha"),$C$7,IF(C864="Futures",$C$6,$C$5))),""),"")</f>
        <v/>
      </c>
      <c r="I864" s="139">
        <f>IFERROR(IF(AND(ISNUMBER(F864),ISNUMBER(H864)),F864-H864,""),"")</f>
        <v/>
      </c>
      <c r="J864" s="114" t="n"/>
      <c r="K864" s="139">
        <f>IFERROR(IF(H864&gt;0,H864*IF(OR(C864="Alpha",B864="Alpha"),$C$9,$C$8),""),"")</f>
        <v/>
      </c>
      <c r="L864" s="139">
        <f>IFERROR(IF(ISNUMBER(F864),F864-IF(ISNUMBER(K864),K864,0),""),"")</f>
        <v/>
      </c>
    </row>
    <row r="865" ht="24" customHeight="1" s="63">
      <c r="E865" s="139" t="n"/>
      <c r="F865" s="139" t="n"/>
      <c r="G865" s="140">
        <f>IFERROR(IF(E865&gt;0,(F865/E865)*1000,""),"")</f>
        <v/>
      </c>
      <c r="H865" s="139">
        <f>IFERROR(IF(E865&gt;0,E865*IF(ISNUMBER(J865),J865,IF(OR(C865="Alpha",B865="Alpha"),$C$7,IF(C865="Futures",$C$6,$C$5))),""),"")</f>
        <v/>
      </c>
      <c r="I865" s="139">
        <f>IFERROR(IF(AND(ISNUMBER(F865),ISNUMBER(H865)),F865-H865,""),"")</f>
        <v/>
      </c>
      <c r="J865" s="114" t="n"/>
      <c r="K865" s="139">
        <f>IFERROR(IF(H865&gt;0,H865*IF(OR(C865="Alpha",B865="Alpha"),$C$9,$C$8),""),"")</f>
        <v/>
      </c>
      <c r="L865" s="139">
        <f>IFERROR(IF(ISNUMBER(F865),F865-IF(ISNUMBER(K865),K865,0),""),"")</f>
        <v/>
      </c>
    </row>
    <row r="866" ht="24" customHeight="1" s="63">
      <c r="E866" s="139" t="n"/>
      <c r="F866" s="139" t="n"/>
      <c r="G866" s="140">
        <f>IFERROR(IF(E866&gt;0,(F866/E866)*1000,""),"")</f>
        <v/>
      </c>
      <c r="H866" s="139">
        <f>IFERROR(IF(E866&gt;0,E866*IF(ISNUMBER(J866),J866,IF(OR(C866="Alpha",B866="Alpha"),$C$7,IF(C866="Futures",$C$6,$C$5))),""),"")</f>
        <v/>
      </c>
      <c r="I866" s="139">
        <f>IFERROR(IF(AND(ISNUMBER(F866),ISNUMBER(H866)),F866-H866,""),"")</f>
        <v/>
      </c>
      <c r="J866" s="114" t="n"/>
      <c r="K866" s="139">
        <f>IFERROR(IF(H866&gt;0,H866*IF(OR(C866="Alpha",B866="Alpha"),$C$9,$C$8),""),"")</f>
        <v/>
      </c>
      <c r="L866" s="139">
        <f>IFERROR(IF(ISNUMBER(F866),F866-IF(ISNUMBER(K866),K866,0),""),"")</f>
        <v/>
      </c>
    </row>
    <row r="867" ht="24" customHeight="1" s="63">
      <c r="E867" s="139" t="n"/>
      <c r="F867" s="139" t="n"/>
      <c r="G867" s="140">
        <f>IFERROR(IF(E867&gt;0,(F867/E867)*1000,""),"")</f>
        <v/>
      </c>
      <c r="H867" s="139">
        <f>IFERROR(IF(E867&gt;0,E867*IF(ISNUMBER(J867),J867,IF(OR(C867="Alpha",B867="Alpha"),$C$7,IF(C867="Futures",$C$6,$C$5))),""),"")</f>
        <v/>
      </c>
      <c r="I867" s="139">
        <f>IFERROR(IF(AND(ISNUMBER(F867),ISNUMBER(H867)),F867-H867,""),"")</f>
        <v/>
      </c>
      <c r="J867" s="114" t="n"/>
      <c r="K867" s="139">
        <f>IFERROR(IF(H867&gt;0,H867*IF(OR(C867="Alpha",B867="Alpha"),$C$9,$C$8),""),"")</f>
        <v/>
      </c>
      <c r="L867" s="139">
        <f>IFERROR(IF(ISNUMBER(F867),F867-IF(ISNUMBER(K867),K867,0),""),"")</f>
        <v/>
      </c>
    </row>
    <row r="868" ht="24" customHeight="1" s="63">
      <c r="E868" s="139" t="n"/>
      <c r="F868" s="139" t="n"/>
      <c r="G868" s="140">
        <f>IFERROR(IF(E868&gt;0,(F868/E868)*1000,""),"")</f>
        <v/>
      </c>
      <c r="H868" s="139">
        <f>IFERROR(IF(E868&gt;0,E868*IF(ISNUMBER(J868),J868,IF(OR(C868="Alpha",B868="Alpha"),$C$7,IF(C868="Futures",$C$6,$C$5))),""),"")</f>
        <v/>
      </c>
      <c r="I868" s="139">
        <f>IFERROR(IF(AND(ISNUMBER(F868),ISNUMBER(H868)),F868-H868,""),"")</f>
        <v/>
      </c>
      <c r="J868" s="114" t="n"/>
      <c r="K868" s="139">
        <f>IFERROR(IF(H868&gt;0,H868*IF(OR(C868="Alpha",B868="Alpha"),$C$9,$C$8),""),"")</f>
        <v/>
      </c>
      <c r="L868" s="139">
        <f>IFERROR(IF(ISNUMBER(F868),F868-IF(ISNUMBER(K868),K868,0),""),"")</f>
        <v/>
      </c>
    </row>
    <row r="869" ht="24" customHeight="1" s="63">
      <c r="E869" s="139" t="n"/>
      <c r="F869" s="139" t="n"/>
      <c r="G869" s="140">
        <f>IFERROR(IF(E869&gt;0,(F869/E869)*1000,""),"")</f>
        <v/>
      </c>
      <c r="H869" s="139">
        <f>IFERROR(IF(E869&gt;0,E869*IF(ISNUMBER(J869),J869,IF(OR(C869="Alpha",B869="Alpha"),$C$7,IF(C869="Futures",$C$6,$C$5))),""),"")</f>
        <v/>
      </c>
      <c r="I869" s="139">
        <f>IFERROR(IF(AND(ISNUMBER(F869),ISNUMBER(H869)),F869-H869,""),"")</f>
        <v/>
      </c>
      <c r="J869" s="114" t="n"/>
      <c r="K869" s="139">
        <f>IFERROR(IF(H869&gt;0,H869*IF(OR(C869="Alpha",B869="Alpha"),$C$9,$C$8),""),"")</f>
        <v/>
      </c>
      <c r="L869" s="139">
        <f>IFERROR(IF(ISNUMBER(F869),F869-IF(ISNUMBER(K869),K869,0),""),"")</f>
        <v/>
      </c>
    </row>
    <row r="870" ht="24" customHeight="1" s="63">
      <c r="E870" s="139" t="n"/>
      <c r="F870" s="139" t="n"/>
      <c r="G870" s="140">
        <f>IFERROR(IF(E870&gt;0,(F870/E870)*1000,""),"")</f>
        <v/>
      </c>
      <c r="H870" s="139">
        <f>IFERROR(IF(E870&gt;0,E870*IF(ISNUMBER(J870),J870,IF(OR(C870="Alpha",B870="Alpha"),$C$7,IF(C870="Futures",$C$6,$C$5))),""),"")</f>
        <v/>
      </c>
      <c r="I870" s="139">
        <f>IFERROR(IF(AND(ISNUMBER(F870),ISNUMBER(H870)),F870-H870,""),"")</f>
        <v/>
      </c>
      <c r="J870" s="114" t="n"/>
      <c r="K870" s="139">
        <f>IFERROR(IF(H870&gt;0,H870*IF(OR(C870="Alpha",B870="Alpha"),$C$9,$C$8),""),"")</f>
        <v/>
      </c>
      <c r="L870" s="139">
        <f>IFERROR(IF(ISNUMBER(F870),F870-IF(ISNUMBER(K870),K870,0),""),"")</f>
        <v/>
      </c>
    </row>
    <row r="871" ht="24" customHeight="1" s="63">
      <c r="E871" s="139" t="n"/>
      <c r="F871" s="139" t="n"/>
      <c r="G871" s="140">
        <f>IFERROR(IF(E871&gt;0,(F871/E871)*1000,""),"")</f>
        <v/>
      </c>
      <c r="H871" s="139">
        <f>IFERROR(IF(E871&gt;0,E871*IF(ISNUMBER(J871),J871,IF(OR(C871="Alpha",B871="Alpha"),$C$7,IF(C871="Futures",$C$6,$C$5))),""),"")</f>
        <v/>
      </c>
      <c r="I871" s="139">
        <f>IFERROR(IF(AND(ISNUMBER(F871),ISNUMBER(H871)),F871-H871,""),"")</f>
        <v/>
      </c>
      <c r="J871" s="114" t="n"/>
      <c r="K871" s="139">
        <f>IFERROR(IF(H871&gt;0,H871*IF(OR(C871="Alpha",B871="Alpha"),$C$9,$C$8),""),"")</f>
        <v/>
      </c>
      <c r="L871" s="139">
        <f>IFERROR(IF(ISNUMBER(F871),F871-IF(ISNUMBER(K871),K871,0),""),"")</f>
        <v/>
      </c>
    </row>
    <row r="872" ht="24" customHeight="1" s="63">
      <c r="E872" s="139" t="n"/>
      <c r="F872" s="139" t="n"/>
      <c r="G872" s="140">
        <f>IFERROR(IF(E872&gt;0,(F872/E872)*1000,""),"")</f>
        <v/>
      </c>
      <c r="H872" s="139">
        <f>IFERROR(IF(E872&gt;0,E872*IF(ISNUMBER(J872),J872,IF(OR(C872="Alpha",B872="Alpha"),$C$7,IF(C872="Futures",$C$6,$C$5))),""),"")</f>
        <v/>
      </c>
      <c r="I872" s="139">
        <f>IFERROR(IF(AND(ISNUMBER(F872),ISNUMBER(H872)),F872-H872,""),"")</f>
        <v/>
      </c>
      <c r="J872" s="114" t="n"/>
      <c r="K872" s="139">
        <f>IFERROR(IF(H872&gt;0,H872*IF(OR(C872="Alpha",B872="Alpha"),$C$9,$C$8),""),"")</f>
        <v/>
      </c>
      <c r="L872" s="139">
        <f>IFERROR(IF(ISNUMBER(F872),F872-IF(ISNUMBER(K872),K872,0),""),"")</f>
        <v/>
      </c>
    </row>
    <row r="873" ht="24" customHeight="1" s="63">
      <c r="E873" s="139" t="n"/>
      <c r="F873" s="139" t="n"/>
      <c r="G873" s="140">
        <f>IFERROR(IF(E873&gt;0,(F873/E873)*1000,""),"")</f>
        <v/>
      </c>
      <c r="H873" s="139">
        <f>IFERROR(IF(E873&gt;0,E873*IF(ISNUMBER(J873),J873,IF(OR(C873="Alpha",B873="Alpha"),$C$7,IF(C873="Futures",$C$6,$C$5))),""),"")</f>
        <v/>
      </c>
      <c r="I873" s="139">
        <f>IFERROR(IF(AND(ISNUMBER(F873),ISNUMBER(H873)),F873-H873,""),"")</f>
        <v/>
      </c>
      <c r="J873" s="114" t="n"/>
      <c r="K873" s="139">
        <f>IFERROR(IF(H873&gt;0,H873*IF(OR(C873="Alpha",B873="Alpha"),$C$9,$C$8),""),"")</f>
        <v/>
      </c>
      <c r="L873" s="139">
        <f>IFERROR(IF(ISNUMBER(F873),F873-IF(ISNUMBER(K873),K873,0),""),"")</f>
        <v/>
      </c>
    </row>
    <row r="874" ht="24" customHeight="1" s="63">
      <c r="E874" s="139" t="n"/>
      <c r="F874" s="139" t="n"/>
      <c r="G874" s="140">
        <f>IFERROR(IF(E874&gt;0,(F874/E874)*1000,""),"")</f>
        <v/>
      </c>
      <c r="H874" s="139">
        <f>IFERROR(IF(E874&gt;0,E874*IF(ISNUMBER(J874),J874,IF(OR(C874="Alpha",B874="Alpha"),$C$7,IF(C874="Futures",$C$6,$C$5))),""),"")</f>
        <v/>
      </c>
      <c r="I874" s="139">
        <f>IFERROR(IF(AND(ISNUMBER(F874),ISNUMBER(H874)),F874-H874,""),"")</f>
        <v/>
      </c>
      <c r="J874" s="114" t="n"/>
      <c r="K874" s="139">
        <f>IFERROR(IF(H874&gt;0,H874*IF(OR(C874="Alpha",B874="Alpha"),$C$9,$C$8),""),"")</f>
        <v/>
      </c>
      <c r="L874" s="139">
        <f>IFERROR(IF(ISNUMBER(F874),F874-IF(ISNUMBER(K874),K874,0),""),"")</f>
        <v/>
      </c>
    </row>
    <row r="875" ht="24" customHeight="1" s="63">
      <c r="E875" s="139" t="n"/>
      <c r="F875" s="139" t="n"/>
      <c r="G875" s="140">
        <f>IFERROR(IF(E875&gt;0,(F875/E875)*1000,""),"")</f>
        <v/>
      </c>
      <c r="H875" s="139">
        <f>IFERROR(IF(E875&gt;0,E875*IF(ISNUMBER(J875),J875,IF(OR(C875="Alpha",B875="Alpha"),$C$7,IF(C875="Futures",$C$6,$C$5))),""),"")</f>
        <v/>
      </c>
      <c r="I875" s="139">
        <f>IFERROR(IF(AND(ISNUMBER(F875),ISNUMBER(H875)),F875-H875,""),"")</f>
        <v/>
      </c>
      <c r="J875" s="114" t="n"/>
      <c r="K875" s="139">
        <f>IFERROR(IF(H875&gt;0,H875*IF(OR(C875="Alpha",B875="Alpha"),$C$9,$C$8),""),"")</f>
        <v/>
      </c>
      <c r="L875" s="139">
        <f>IFERROR(IF(ISNUMBER(F875),F875-IF(ISNUMBER(K875),K875,0),""),"")</f>
        <v/>
      </c>
    </row>
    <row r="876" ht="24" customHeight="1" s="63">
      <c r="E876" s="139" t="n"/>
      <c r="F876" s="139" t="n"/>
      <c r="G876" s="140">
        <f>IFERROR(IF(E876&gt;0,(F876/E876)*1000,""),"")</f>
        <v/>
      </c>
      <c r="H876" s="139">
        <f>IFERROR(IF(E876&gt;0,E876*IF(ISNUMBER(J876),J876,IF(OR(C876="Alpha",B876="Alpha"),$C$7,IF(C876="Futures",$C$6,$C$5))),""),"")</f>
        <v/>
      </c>
      <c r="I876" s="139">
        <f>IFERROR(IF(AND(ISNUMBER(F876),ISNUMBER(H876)),F876-H876,""),"")</f>
        <v/>
      </c>
      <c r="J876" s="114" t="n"/>
      <c r="K876" s="139">
        <f>IFERROR(IF(H876&gt;0,H876*IF(OR(C876="Alpha",B876="Alpha"),$C$9,$C$8),""),"")</f>
        <v/>
      </c>
      <c r="L876" s="139">
        <f>IFERROR(IF(ISNUMBER(F876),F876-IF(ISNUMBER(K876),K876,0),""),"")</f>
        <v/>
      </c>
    </row>
    <row r="877" ht="24" customHeight="1" s="63">
      <c r="E877" s="139" t="n"/>
      <c r="F877" s="139" t="n"/>
      <c r="G877" s="140">
        <f>IFERROR(IF(E877&gt;0,(F877/E877)*1000,""),"")</f>
        <v/>
      </c>
      <c r="H877" s="139">
        <f>IFERROR(IF(E877&gt;0,E877*IF(ISNUMBER(J877),J877,IF(OR(C877="Alpha",B877="Alpha"),$C$7,IF(C877="Futures",$C$6,$C$5))),""),"")</f>
        <v/>
      </c>
      <c r="I877" s="139">
        <f>IFERROR(IF(AND(ISNUMBER(F877),ISNUMBER(H877)),F877-H877,""),"")</f>
        <v/>
      </c>
      <c r="J877" s="114" t="n"/>
      <c r="K877" s="139">
        <f>IFERROR(IF(H877&gt;0,H877*IF(OR(C877="Alpha",B877="Alpha"),$C$9,$C$8),""),"")</f>
        <v/>
      </c>
      <c r="L877" s="139">
        <f>IFERROR(IF(ISNUMBER(F877),F877-IF(ISNUMBER(K877),K877,0),""),"")</f>
        <v/>
      </c>
    </row>
    <row r="878" ht="24" customHeight="1" s="63">
      <c r="E878" s="139" t="n"/>
      <c r="F878" s="139" t="n"/>
      <c r="G878" s="140">
        <f>IFERROR(IF(E878&gt;0,(F878/E878)*1000,""),"")</f>
        <v/>
      </c>
      <c r="H878" s="139">
        <f>IFERROR(IF(E878&gt;0,E878*IF(ISNUMBER(J878),J878,IF(OR(C878="Alpha",B878="Alpha"),$C$7,IF(C878="Futures",$C$6,$C$5))),""),"")</f>
        <v/>
      </c>
      <c r="I878" s="139">
        <f>IFERROR(IF(AND(ISNUMBER(F878),ISNUMBER(H878)),F878-H878,""),"")</f>
        <v/>
      </c>
      <c r="J878" s="114" t="n"/>
      <c r="K878" s="139">
        <f>IFERROR(IF(H878&gt;0,H878*IF(OR(C878="Alpha",B878="Alpha"),$C$9,$C$8),""),"")</f>
        <v/>
      </c>
      <c r="L878" s="139">
        <f>IFERROR(IF(ISNUMBER(F878),F878-IF(ISNUMBER(K878),K878,0),""),"")</f>
        <v/>
      </c>
    </row>
    <row r="879" ht="24" customHeight="1" s="63">
      <c r="E879" s="139" t="n"/>
      <c r="F879" s="139" t="n"/>
      <c r="G879" s="140">
        <f>IFERROR(IF(E879&gt;0,(F879/E879)*1000,""),"")</f>
        <v/>
      </c>
      <c r="H879" s="139">
        <f>IFERROR(IF(E879&gt;0,E879*IF(ISNUMBER(J879),J879,IF(OR(C879="Alpha",B879="Alpha"),$C$7,IF(C879="Futures",$C$6,$C$5))),""),"")</f>
        <v/>
      </c>
      <c r="I879" s="139">
        <f>IFERROR(IF(AND(ISNUMBER(F879),ISNUMBER(H879)),F879-H879,""),"")</f>
        <v/>
      </c>
      <c r="J879" s="114" t="n"/>
      <c r="K879" s="139">
        <f>IFERROR(IF(H879&gt;0,H879*IF(OR(C879="Alpha",B879="Alpha"),$C$9,$C$8),""),"")</f>
        <v/>
      </c>
      <c r="L879" s="139">
        <f>IFERROR(IF(ISNUMBER(F879),F879-IF(ISNUMBER(K879),K879,0),""),"")</f>
        <v/>
      </c>
    </row>
    <row r="880" ht="24" customHeight="1" s="63">
      <c r="E880" s="139" t="n"/>
      <c r="F880" s="139" t="n"/>
      <c r="G880" s="140">
        <f>IFERROR(IF(E880&gt;0,(F880/E880)*1000,""),"")</f>
        <v/>
      </c>
      <c r="H880" s="139">
        <f>IFERROR(IF(E880&gt;0,E880*IF(ISNUMBER(J880),J880,IF(OR(C880="Alpha",B880="Alpha"),$C$7,IF(C880="Futures",$C$6,$C$5))),""),"")</f>
        <v/>
      </c>
      <c r="I880" s="139">
        <f>IFERROR(IF(AND(ISNUMBER(F880),ISNUMBER(H880)),F880-H880,""),"")</f>
        <v/>
      </c>
      <c r="J880" s="114" t="n"/>
      <c r="K880" s="139">
        <f>IFERROR(IF(H880&gt;0,H880*IF(OR(C880="Alpha",B880="Alpha"),$C$9,$C$8),""),"")</f>
        <v/>
      </c>
      <c r="L880" s="139">
        <f>IFERROR(IF(ISNUMBER(F880),F880-IF(ISNUMBER(K880),K880,0),""),"")</f>
        <v/>
      </c>
    </row>
    <row r="881" ht="24" customHeight="1" s="63">
      <c r="E881" s="139" t="n"/>
      <c r="F881" s="139" t="n"/>
      <c r="G881" s="140">
        <f>IFERROR(IF(E881&gt;0,(F881/E881)*1000,""),"")</f>
        <v/>
      </c>
      <c r="H881" s="139">
        <f>IFERROR(IF(E881&gt;0,E881*IF(ISNUMBER(J881),J881,IF(OR(C881="Alpha",B881="Alpha"),$C$7,IF(C881="Futures",$C$6,$C$5))),""),"")</f>
        <v/>
      </c>
      <c r="I881" s="139">
        <f>IFERROR(IF(AND(ISNUMBER(F881),ISNUMBER(H881)),F881-H881,""),"")</f>
        <v/>
      </c>
      <c r="J881" s="114" t="n"/>
      <c r="K881" s="139">
        <f>IFERROR(IF(H881&gt;0,H881*IF(OR(C881="Alpha",B881="Alpha"),$C$9,$C$8),""),"")</f>
        <v/>
      </c>
      <c r="L881" s="139">
        <f>IFERROR(IF(ISNUMBER(F881),F881-IF(ISNUMBER(K881),K881,0),""),"")</f>
        <v/>
      </c>
    </row>
    <row r="882" ht="24" customHeight="1" s="63">
      <c r="E882" s="139" t="n"/>
      <c r="F882" s="139" t="n"/>
      <c r="G882" s="140">
        <f>IFERROR(IF(E882&gt;0,(F882/E882)*1000,""),"")</f>
        <v/>
      </c>
      <c r="H882" s="139">
        <f>IFERROR(IF(E882&gt;0,E882*IF(ISNUMBER(J882),J882,IF(OR(C882="Alpha",B882="Alpha"),$C$7,IF(C882="Futures",$C$6,$C$5))),""),"")</f>
        <v/>
      </c>
      <c r="I882" s="139">
        <f>IFERROR(IF(AND(ISNUMBER(F882),ISNUMBER(H882)),F882-H882,""),"")</f>
        <v/>
      </c>
      <c r="J882" s="114" t="n"/>
      <c r="K882" s="139">
        <f>IFERROR(IF(H882&gt;0,H882*IF(OR(C882="Alpha",B882="Alpha"),$C$9,$C$8),""),"")</f>
        <v/>
      </c>
      <c r="L882" s="139">
        <f>IFERROR(IF(ISNUMBER(F882),F882-IF(ISNUMBER(K882),K882,0),""),"")</f>
        <v/>
      </c>
    </row>
    <row r="883" ht="24" customHeight="1" s="63">
      <c r="E883" s="139" t="n"/>
      <c r="F883" s="139" t="n"/>
      <c r="G883" s="140">
        <f>IFERROR(IF(E883&gt;0,(F883/E883)*1000,""),"")</f>
        <v/>
      </c>
      <c r="H883" s="139">
        <f>IFERROR(IF(E883&gt;0,E883*IF(ISNUMBER(J883),J883,IF(OR(C883="Alpha",B883="Alpha"),$C$7,IF(C883="Futures",$C$6,$C$5))),""),"")</f>
        <v/>
      </c>
      <c r="I883" s="139">
        <f>IFERROR(IF(AND(ISNUMBER(F883),ISNUMBER(H883)),F883-H883,""),"")</f>
        <v/>
      </c>
      <c r="J883" s="114" t="n"/>
      <c r="K883" s="139">
        <f>IFERROR(IF(H883&gt;0,H883*IF(OR(C883="Alpha",B883="Alpha"),$C$9,$C$8),""),"")</f>
        <v/>
      </c>
      <c r="L883" s="139">
        <f>IFERROR(IF(ISNUMBER(F883),F883-IF(ISNUMBER(K883),K883,0),""),"")</f>
        <v/>
      </c>
    </row>
    <row r="884" ht="24" customHeight="1" s="63">
      <c r="E884" s="139" t="n"/>
      <c r="F884" s="139" t="n"/>
      <c r="G884" s="140">
        <f>IFERROR(IF(E884&gt;0,(F884/E884)*1000,""),"")</f>
        <v/>
      </c>
      <c r="H884" s="139">
        <f>IFERROR(IF(E884&gt;0,E884*IF(ISNUMBER(J884),J884,IF(OR(C884="Alpha",B884="Alpha"),$C$7,IF(C884="Futures",$C$6,$C$5))),""),"")</f>
        <v/>
      </c>
      <c r="I884" s="139">
        <f>IFERROR(IF(AND(ISNUMBER(F884),ISNUMBER(H884)),F884-H884,""),"")</f>
        <v/>
      </c>
      <c r="J884" s="114" t="n"/>
      <c r="K884" s="139">
        <f>IFERROR(IF(H884&gt;0,H884*IF(OR(C884="Alpha",B884="Alpha"),$C$9,$C$8),""),"")</f>
        <v/>
      </c>
      <c r="L884" s="139">
        <f>IFERROR(IF(ISNUMBER(F884),F884-IF(ISNUMBER(K884),K884,0),""),"")</f>
        <v/>
      </c>
    </row>
    <row r="885" ht="24" customHeight="1" s="63">
      <c r="E885" s="139" t="n"/>
      <c r="F885" s="139" t="n"/>
      <c r="G885" s="140">
        <f>IFERROR(IF(E885&gt;0,(F885/E885)*1000,""),"")</f>
        <v/>
      </c>
      <c r="H885" s="139">
        <f>IFERROR(IF(E885&gt;0,E885*IF(ISNUMBER(J885),J885,IF(OR(C885="Alpha",B885="Alpha"),$C$7,IF(C885="Futures",$C$6,$C$5))),""),"")</f>
        <v/>
      </c>
      <c r="I885" s="139">
        <f>IFERROR(IF(AND(ISNUMBER(F885),ISNUMBER(H885)),F885-H885,""),"")</f>
        <v/>
      </c>
      <c r="J885" s="114" t="n"/>
      <c r="K885" s="139">
        <f>IFERROR(IF(H885&gt;0,H885*IF(OR(C885="Alpha",B885="Alpha"),$C$9,$C$8),""),"")</f>
        <v/>
      </c>
      <c r="L885" s="139">
        <f>IFERROR(IF(ISNUMBER(F885),F885-IF(ISNUMBER(K885),K885,0),""),"")</f>
        <v/>
      </c>
    </row>
    <row r="886" ht="24" customHeight="1" s="63">
      <c r="E886" s="139" t="n"/>
      <c r="F886" s="139" t="n"/>
      <c r="G886" s="140">
        <f>IFERROR(IF(E886&gt;0,(F886/E886)*1000,""),"")</f>
        <v/>
      </c>
      <c r="H886" s="139">
        <f>IFERROR(IF(E886&gt;0,E886*IF(ISNUMBER(J886),J886,IF(OR(C886="Alpha",B886="Alpha"),$C$7,IF(C886="Futures",$C$6,$C$5))),""),"")</f>
        <v/>
      </c>
      <c r="I886" s="139">
        <f>IFERROR(IF(AND(ISNUMBER(F886),ISNUMBER(H886)),F886-H886,""),"")</f>
        <v/>
      </c>
      <c r="J886" s="114" t="n"/>
      <c r="K886" s="139">
        <f>IFERROR(IF(H886&gt;0,H886*IF(OR(C886="Alpha",B886="Alpha"),$C$9,$C$8),""),"")</f>
        <v/>
      </c>
      <c r="L886" s="139">
        <f>IFERROR(IF(ISNUMBER(F886),F886-IF(ISNUMBER(K886),K886,0),""),"")</f>
        <v/>
      </c>
    </row>
    <row r="887" ht="24" customHeight="1" s="63">
      <c r="E887" s="139" t="n"/>
      <c r="F887" s="139" t="n"/>
      <c r="G887" s="140">
        <f>IFERROR(IF(E887&gt;0,(F887/E887)*1000,""),"")</f>
        <v/>
      </c>
      <c r="H887" s="139">
        <f>IFERROR(IF(E887&gt;0,E887*IF(ISNUMBER(J887),J887,IF(OR(C887="Alpha",B887="Alpha"),$C$7,IF(C887="Futures",$C$6,$C$5))),""),"")</f>
        <v/>
      </c>
      <c r="I887" s="139">
        <f>IFERROR(IF(AND(ISNUMBER(F887),ISNUMBER(H887)),F887-H887,""),"")</f>
        <v/>
      </c>
      <c r="J887" s="114" t="n"/>
      <c r="K887" s="139">
        <f>IFERROR(IF(H887&gt;0,H887*IF(OR(C887="Alpha",B887="Alpha"),$C$9,$C$8),""),"")</f>
        <v/>
      </c>
      <c r="L887" s="139">
        <f>IFERROR(IF(ISNUMBER(F887),F887-IF(ISNUMBER(K887),K887,0),""),"")</f>
        <v/>
      </c>
    </row>
    <row r="888" ht="24" customHeight="1" s="63">
      <c r="E888" s="139" t="n"/>
      <c r="F888" s="139" t="n"/>
      <c r="G888" s="140">
        <f>IFERROR(IF(E888&gt;0,(F888/E888)*1000,""),"")</f>
        <v/>
      </c>
      <c r="H888" s="139">
        <f>IFERROR(IF(E888&gt;0,E888*IF(ISNUMBER(J888),J888,IF(OR(C888="Alpha",B888="Alpha"),$C$7,IF(C888="Futures",$C$6,$C$5))),""),"")</f>
        <v/>
      </c>
      <c r="I888" s="139">
        <f>IFERROR(IF(AND(ISNUMBER(F888),ISNUMBER(H888)),F888-H888,""),"")</f>
        <v/>
      </c>
      <c r="J888" s="114" t="n"/>
      <c r="K888" s="139">
        <f>IFERROR(IF(H888&gt;0,H888*IF(OR(C888="Alpha",B888="Alpha"),$C$9,$C$8),""),"")</f>
        <v/>
      </c>
      <c r="L888" s="139">
        <f>IFERROR(IF(ISNUMBER(F888),F888-IF(ISNUMBER(K888),K888,0),""),"")</f>
        <v/>
      </c>
    </row>
    <row r="889" ht="24" customHeight="1" s="63">
      <c r="E889" s="139" t="n"/>
      <c r="F889" s="139" t="n"/>
      <c r="G889" s="140">
        <f>IFERROR(IF(E889&gt;0,(F889/E889)*1000,""),"")</f>
        <v/>
      </c>
      <c r="H889" s="139">
        <f>IFERROR(IF(E889&gt;0,E889*IF(ISNUMBER(J889),J889,IF(OR(C889="Alpha",B889="Alpha"),$C$7,IF(C889="Futures",$C$6,$C$5))),""),"")</f>
        <v/>
      </c>
      <c r="I889" s="139">
        <f>IFERROR(IF(AND(ISNUMBER(F889),ISNUMBER(H889)),F889-H889,""),"")</f>
        <v/>
      </c>
      <c r="J889" s="114" t="n"/>
      <c r="K889" s="139">
        <f>IFERROR(IF(H889&gt;0,H889*IF(OR(C889="Alpha",B889="Alpha"),$C$9,$C$8),""),"")</f>
        <v/>
      </c>
      <c r="L889" s="139">
        <f>IFERROR(IF(ISNUMBER(F889),F889-IF(ISNUMBER(K889),K889,0),""),"")</f>
        <v/>
      </c>
    </row>
    <row r="890" ht="24" customHeight="1" s="63">
      <c r="E890" s="139" t="n"/>
      <c r="F890" s="139" t="n"/>
      <c r="G890" s="140">
        <f>IFERROR(IF(E890&gt;0,(F890/E890)*1000,""),"")</f>
        <v/>
      </c>
      <c r="H890" s="139">
        <f>IFERROR(IF(E890&gt;0,E890*IF(ISNUMBER(J890),J890,IF(OR(C890="Alpha",B890="Alpha"),$C$7,IF(C890="Futures",$C$6,$C$5))),""),"")</f>
        <v/>
      </c>
      <c r="I890" s="139">
        <f>IFERROR(IF(AND(ISNUMBER(F890),ISNUMBER(H890)),F890-H890,""),"")</f>
        <v/>
      </c>
      <c r="J890" s="114" t="n"/>
      <c r="K890" s="139">
        <f>IFERROR(IF(H890&gt;0,H890*IF(OR(C890="Alpha",B890="Alpha"),$C$9,$C$8),""),"")</f>
        <v/>
      </c>
      <c r="L890" s="139">
        <f>IFERROR(IF(ISNUMBER(F890),F890-IF(ISNUMBER(K890),K890,0),""),"")</f>
        <v/>
      </c>
    </row>
    <row r="891" ht="24" customHeight="1" s="63">
      <c r="E891" s="139" t="n"/>
      <c r="F891" s="139" t="n"/>
      <c r="G891" s="140">
        <f>IFERROR(IF(E891&gt;0,(F891/E891)*1000,""),"")</f>
        <v/>
      </c>
      <c r="H891" s="139">
        <f>IFERROR(IF(E891&gt;0,E891*IF(ISNUMBER(J891),J891,IF(OR(C891="Alpha",B891="Alpha"),$C$7,IF(C891="Futures",$C$6,$C$5))),""),"")</f>
        <v/>
      </c>
      <c r="I891" s="139">
        <f>IFERROR(IF(AND(ISNUMBER(F891),ISNUMBER(H891)),F891-H891,""),"")</f>
        <v/>
      </c>
      <c r="J891" s="114" t="n"/>
      <c r="K891" s="139">
        <f>IFERROR(IF(H891&gt;0,H891*IF(OR(C891="Alpha",B891="Alpha"),$C$9,$C$8),""),"")</f>
        <v/>
      </c>
      <c r="L891" s="139">
        <f>IFERROR(IF(ISNUMBER(F891),F891-IF(ISNUMBER(K891),K891,0),""),"")</f>
        <v/>
      </c>
    </row>
    <row r="892" ht="24" customHeight="1" s="63">
      <c r="E892" s="139" t="n"/>
      <c r="F892" s="139" t="n"/>
      <c r="G892" s="140">
        <f>IFERROR(IF(E892&gt;0,(F892/E892)*1000,""),"")</f>
        <v/>
      </c>
      <c r="H892" s="139">
        <f>IFERROR(IF(E892&gt;0,E892*IF(ISNUMBER(J892),J892,IF(OR(C892="Alpha",B892="Alpha"),$C$7,IF(C892="Futures",$C$6,$C$5))),""),"")</f>
        <v/>
      </c>
      <c r="I892" s="139">
        <f>IFERROR(IF(AND(ISNUMBER(F892),ISNUMBER(H892)),F892-H892,""),"")</f>
        <v/>
      </c>
      <c r="J892" s="114" t="n"/>
      <c r="K892" s="139">
        <f>IFERROR(IF(H892&gt;0,H892*IF(OR(C892="Alpha",B892="Alpha"),$C$9,$C$8),""),"")</f>
        <v/>
      </c>
      <c r="L892" s="139">
        <f>IFERROR(IF(ISNUMBER(F892),F892-IF(ISNUMBER(K892),K892,0),""),"")</f>
        <v/>
      </c>
    </row>
    <row r="893" ht="24" customHeight="1" s="63">
      <c r="E893" s="139" t="n"/>
      <c r="F893" s="139" t="n"/>
      <c r="G893" s="140">
        <f>IFERROR(IF(E893&gt;0,(F893/E893)*1000,""),"")</f>
        <v/>
      </c>
      <c r="H893" s="139">
        <f>IFERROR(IF(E893&gt;0,E893*IF(ISNUMBER(J893),J893,IF(OR(C893="Alpha",B893="Alpha"),$C$7,IF(C893="Futures",$C$6,$C$5))),""),"")</f>
        <v/>
      </c>
      <c r="I893" s="139">
        <f>IFERROR(IF(AND(ISNUMBER(F893),ISNUMBER(H893)),F893-H893,""),"")</f>
        <v/>
      </c>
      <c r="J893" s="114" t="n"/>
      <c r="K893" s="139">
        <f>IFERROR(IF(H893&gt;0,H893*IF(OR(C893="Alpha",B893="Alpha"),$C$9,$C$8),""),"")</f>
        <v/>
      </c>
      <c r="L893" s="139">
        <f>IFERROR(IF(ISNUMBER(F893),F893-IF(ISNUMBER(K893),K893,0),""),"")</f>
        <v/>
      </c>
    </row>
    <row r="894" ht="24" customHeight="1" s="63">
      <c r="E894" s="139" t="n"/>
      <c r="F894" s="139" t="n"/>
      <c r="G894" s="140">
        <f>IFERROR(IF(E894&gt;0,(F894/E894)*1000,""),"")</f>
        <v/>
      </c>
      <c r="H894" s="139">
        <f>IFERROR(IF(E894&gt;0,E894*IF(ISNUMBER(J894),J894,IF(OR(C894="Alpha",B894="Alpha"),$C$7,IF(C894="Futures",$C$6,$C$5))),""),"")</f>
        <v/>
      </c>
      <c r="I894" s="139">
        <f>IFERROR(IF(AND(ISNUMBER(F894),ISNUMBER(H894)),F894-H894,""),"")</f>
        <v/>
      </c>
      <c r="J894" s="114" t="n"/>
      <c r="K894" s="139">
        <f>IFERROR(IF(H894&gt;0,H894*IF(OR(C894="Alpha",B894="Alpha"),$C$9,$C$8),""),"")</f>
        <v/>
      </c>
      <c r="L894" s="139">
        <f>IFERROR(IF(ISNUMBER(F894),F894-IF(ISNUMBER(K894),K894,0),""),"")</f>
        <v/>
      </c>
    </row>
    <row r="895" ht="24" customHeight="1" s="63">
      <c r="E895" s="139" t="n"/>
      <c r="F895" s="139" t="n"/>
      <c r="G895" s="140">
        <f>IFERROR(IF(E895&gt;0,(F895/E895)*1000,""),"")</f>
        <v/>
      </c>
      <c r="H895" s="139">
        <f>IFERROR(IF(E895&gt;0,E895*IF(ISNUMBER(J895),J895,IF(OR(C895="Alpha",B895="Alpha"),$C$7,IF(C895="Futures",$C$6,$C$5))),""),"")</f>
        <v/>
      </c>
      <c r="I895" s="139">
        <f>IFERROR(IF(AND(ISNUMBER(F895),ISNUMBER(H895)),F895-H895,""),"")</f>
        <v/>
      </c>
      <c r="J895" s="114" t="n"/>
      <c r="K895" s="139">
        <f>IFERROR(IF(H895&gt;0,H895*IF(OR(C895="Alpha",B895="Alpha"),$C$9,$C$8),""),"")</f>
        <v/>
      </c>
      <c r="L895" s="139">
        <f>IFERROR(IF(ISNUMBER(F895),F895-IF(ISNUMBER(K895),K895,0),""),"")</f>
        <v/>
      </c>
    </row>
    <row r="896" ht="24" customHeight="1" s="63">
      <c r="E896" s="139" t="n"/>
      <c r="F896" s="139" t="n"/>
      <c r="G896" s="140">
        <f>IFERROR(IF(E896&gt;0,(F896/E896)*1000,""),"")</f>
        <v/>
      </c>
      <c r="H896" s="139">
        <f>IFERROR(IF(E896&gt;0,E896*IF(ISNUMBER(J896),J896,IF(OR(C896="Alpha",B896="Alpha"),$C$7,IF(C896="Futures",$C$6,$C$5))),""),"")</f>
        <v/>
      </c>
      <c r="I896" s="139">
        <f>IFERROR(IF(AND(ISNUMBER(F896),ISNUMBER(H896)),F896-H896,""),"")</f>
        <v/>
      </c>
      <c r="J896" s="114" t="n"/>
      <c r="K896" s="139">
        <f>IFERROR(IF(H896&gt;0,H896*IF(OR(C896="Alpha",B896="Alpha"),$C$9,$C$8),""),"")</f>
        <v/>
      </c>
      <c r="L896" s="139">
        <f>IFERROR(IF(ISNUMBER(F896),F896-IF(ISNUMBER(K896),K896,0),""),"")</f>
        <v/>
      </c>
    </row>
    <row r="897" ht="24" customHeight="1" s="63">
      <c r="E897" s="139" t="n"/>
      <c r="F897" s="139" t="n"/>
      <c r="G897" s="140">
        <f>IFERROR(IF(E897&gt;0,(F897/E897)*1000,""),"")</f>
        <v/>
      </c>
      <c r="H897" s="139">
        <f>IFERROR(IF(E897&gt;0,E897*IF(ISNUMBER(J897),J897,IF(OR(C897="Alpha",B897="Alpha"),$C$7,IF(C897="Futures",$C$6,$C$5))),""),"")</f>
        <v/>
      </c>
      <c r="I897" s="139">
        <f>IFERROR(IF(AND(ISNUMBER(F897),ISNUMBER(H897)),F897-H897,""),"")</f>
        <v/>
      </c>
      <c r="J897" s="114" t="n"/>
      <c r="K897" s="139">
        <f>IFERROR(IF(H897&gt;0,H897*IF(OR(C897="Alpha",B897="Alpha"),$C$9,$C$8),""),"")</f>
        <v/>
      </c>
      <c r="L897" s="139">
        <f>IFERROR(IF(ISNUMBER(F897),F897-IF(ISNUMBER(K897),K897,0),""),"")</f>
        <v/>
      </c>
    </row>
    <row r="898" ht="24" customHeight="1" s="63">
      <c r="E898" s="139" t="n"/>
      <c r="F898" s="139" t="n"/>
      <c r="G898" s="140">
        <f>IFERROR(IF(E898&gt;0,(F898/E898)*1000,""),"")</f>
        <v/>
      </c>
      <c r="H898" s="139">
        <f>IFERROR(IF(E898&gt;0,E898*IF(ISNUMBER(J898),J898,IF(OR(C898="Alpha",B898="Alpha"),$C$7,IF(C898="Futures",$C$6,$C$5))),""),"")</f>
        <v/>
      </c>
      <c r="I898" s="139">
        <f>IFERROR(IF(AND(ISNUMBER(F898),ISNUMBER(H898)),F898-H898,""),"")</f>
        <v/>
      </c>
      <c r="J898" s="114" t="n"/>
      <c r="K898" s="139">
        <f>IFERROR(IF(H898&gt;0,H898*IF(OR(C898="Alpha",B898="Alpha"),$C$9,$C$8),""),"")</f>
        <v/>
      </c>
      <c r="L898" s="139">
        <f>IFERROR(IF(ISNUMBER(F898),F898-IF(ISNUMBER(K898),K898,0),""),"")</f>
        <v/>
      </c>
    </row>
    <row r="899" ht="24" customHeight="1" s="63">
      <c r="E899" s="139" t="n"/>
      <c r="F899" s="139" t="n"/>
      <c r="G899" s="140">
        <f>IFERROR(IF(E899&gt;0,(F899/E899)*1000,""),"")</f>
        <v/>
      </c>
      <c r="H899" s="139">
        <f>IFERROR(IF(E899&gt;0,E899*IF(ISNUMBER(J899),J899,IF(OR(C899="Alpha",B899="Alpha"),$C$7,IF(C899="Futures",$C$6,$C$5))),""),"")</f>
        <v/>
      </c>
      <c r="I899" s="139">
        <f>IFERROR(IF(AND(ISNUMBER(F899),ISNUMBER(H899)),F899-H899,""),"")</f>
        <v/>
      </c>
      <c r="J899" s="114" t="n"/>
      <c r="K899" s="139">
        <f>IFERROR(IF(H899&gt;0,H899*IF(OR(C899="Alpha",B899="Alpha"),$C$9,$C$8),""),"")</f>
        <v/>
      </c>
      <c r="L899" s="139">
        <f>IFERROR(IF(ISNUMBER(F899),F899-IF(ISNUMBER(K899),K899,0),""),"")</f>
        <v/>
      </c>
    </row>
    <row r="900" ht="24" customHeight="1" s="63">
      <c r="E900" s="139" t="n"/>
      <c r="F900" s="139" t="n"/>
      <c r="G900" s="140">
        <f>IFERROR(IF(E900&gt;0,(F900/E900)*1000,""),"")</f>
        <v/>
      </c>
      <c r="H900" s="139">
        <f>IFERROR(IF(E900&gt;0,E900*IF(ISNUMBER(J900),J900,IF(OR(C900="Alpha",B900="Alpha"),$C$7,IF(C900="Futures",$C$6,$C$5))),""),"")</f>
        <v/>
      </c>
      <c r="I900" s="139">
        <f>IFERROR(IF(AND(ISNUMBER(F900),ISNUMBER(H900)),F900-H900,""),"")</f>
        <v/>
      </c>
      <c r="J900" s="114" t="n"/>
      <c r="K900" s="139">
        <f>IFERROR(IF(H900&gt;0,H900*IF(OR(C900="Alpha",B900="Alpha"),$C$9,$C$8),""),"")</f>
        <v/>
      </c>
      <c r="L900" s="139">
        <f>IFERROR(IF(ISNUMBER(F900),F900-IF(ISNUMBER(K900),K900,0),""),"")</f>
        <v/>
      </c>
    </row>
    <row r="901" ht="24" customHeight="1" s="63">
      <c r="E901" s="139" t="n"/>
      <c r="F901" s="139" t="n"/>
      <c r="G901" s="140">
        <f>IFERROR(IF(E901&gt;0,(F901/E901)*1000,""),"")</f>
        <v/>
      </c>
      <c r="H901" s="139">
        <f>IFERROR(IF(E901&gt;0,E901*IF(ISNUMBER(J901),J901,IF(OR(C901="Alpha",B901="Alpha"),$C$7,IF(C901="Futures",$C$6,$C$5))),""),"")</f>
        <v/>
      </c>
      <c r="I901" s="139">
        <f>IFERROR(IF(AND(ISNUMBER(F901),ISNUMBER(H901)),F901-H901,""),"")</f>
        <v/>
      </c>
      <c r="J901" s="114" t="n"/>
      <c r="K901" s="139">
        <f>IFERROR(IF(H901&gt;0,H901*IF(OR(C901="Alpha",B901="Alpha"),$C$9,$C$8),""),"")</f>
        <v/>
      </c>
      <c r="L901" s="139">
        <f>IFERROR(IF(ISNUMBER(F901),F901-IF(ISNUMBER(K901),K901,0),""),"")</f>
        <v/>
      </c>
    </row>
    <row r="902" ht="24" customHeight="1" s="63">
      <c r="E902" s="139" t="n"/>
      <c r="F902" s="139" t="n"/>
      <c r="G902" s="140">
        <f>IFERROR(IF(E902&gt;0,(F902/E902)*1000,""),"")</f>
        <v/>
      </c>
      <c r="H902" s="139">
        <f>IFERROR(IF(E902&gt;0,E902*IF(ISNUMBER(J902),J902,IF(OR(C902="Alpha",B902="Alpha"),$C$7,IF(C902="Futures",$C$6,$C$5))),""),"")</f>
        <v/>
      </c>
      <c r="I902" s="139">
        <f>IFERROR(IF(AND(ISNUMBER(F902),ISNUMBER(H902)),F902-H902,""),"")</f>
        <v/>
      </c>
      <c r="J902" s="114" t="n"/>
      <c r="K902" s="139">
        <f>IFERROR(IF(H902&gt;0,H902*IF(OR(C902="Alpha",B902="Alpha"),$C$9,$C$8),""),"")</f>
        <v/>
      </c>
      <c r="L902" s="139">
        <f>IFERROR(IF(ISNUMBER(F902),F902-IF(ISNUMBER(K902),K902,0),""),"")</f>
        <v/>
      </c>
    </row>
    <row r="903" ht="24" customHeight="1" s="63">
      <c r="E903" s="139" t="n"/>
      <c r="F903" s="139" t="n"/>
      <c r="G903" s="140">
        <f>IFERROR(IF(E903&gt;0,(F903/E903)*1000,""),"")</f>
        <v/>
      </c>
      <c r="H903" s="139">
        <f>IFERROR(IF(E903&gt;0,E903*IF(ISNUMBER(J903),J903,IF(OR(C903="Alpha",B903="Alpha"),$C$7,IF(C903="Futures",$C$6,$C$5))),""),"")</f>
        <v/>
      </c>
      <c r="I903" s="139">
        <f>IFERROR(IF(AND(ISNUMBER(F903),ISNUMBER(H903)),F903-H903,""),"")</f>
        <v/>
      </c>
      <c r="J903" s="114" t="n"/>
      <c r="K903" s="139">
        <f>IFERROR(IF(H903&gt;0,H903*IF(OR(C903="Alpha",B903="Alpha"),$C$9,$C$8),""),"")</f>
        <v/>
      </c>
      <c r="L903" s="139">
        <f>IFERROR(IF(ISNUMBER(F903),F903-IF(ISNUMBER(K903),K903,0),""),"")</f>
        <v/>
      </c>
    </row>
    <row r="904" ht="24" customHeight="1" s="63">
      <c r="E904" s="139" t="n"/>
      <c r="F904" s="139" t="n"/>
      <c r="G904" s="140">
        <f>IFERROR(IF(E904&gt;0,(F904/E904)*1000,""),"")</f>
        <v/>
      </c>
      <c r="H904" s="139">
        <f>IFERROR(IF(E904&gt;0,E904*IF(ISNUMBER(J904),J904,IF(OR(C904="Alpha",B904="Alpha"),$C$7,IF(C904="Futures",$C$6,$C$5))),""),"")</f>
        <v/>
      </c>
      <c r="I904" s="139">
        <f>IFERROR(IF(AND(ISNUMBER(F904),ISNUMBER(H904)),F904-H904,""),"")</f>
        <v/>
      </c>
      <c r="J904" s="114" t="n"/>
      <c r="K904" s="139">
        <f>IFERROR(IF(H904&gt;0,H904*IF(OR(C904="Alpha",B904="Alpha"),$C$9,$C$8),""),"")</f>
        <v/>
      </c>
      <c r="L904" s="139">
        <f>IFERROR(IF(ISNUMBER(F904),F904-IF(ISNUMBER(K904),K904,0),""),"")</f>
        <v/>
      </c>
    </row>
    <row r="905" ht="24" customHeight="1" s="63">
      <c r="E905" s="139" t="n"/>
      <c r="F905" s="139" t="n"/>
      <c r="G905" s="140">
        <f>IFERROR(IF(E905&gt;0,(F905/E905)*1000,""),"")</f>
        <v/>
      </c>
      <c r="H905" s="139">
        <f>IFERROR(IF(E905&gt;0,E905*IF(ISNUMBER(J905),J905,IF(OR(C905="Alpha",B905="Alpha"),$C$7,IF(C905="Futures",$C$6,$C$5))),""),"")</f>
        <v/>
      </c>
      <c r="I905" s="139">
        <f>IFERROR(IF(AND(ISNUMBER(F905),ISNUMBER(H905)),F905-H905,""),"")</f>
        <v/>
      </c>
      <c r="J905" s="114" t="n"/>
      <c r="K905" s="139">
        <f>IFERROR(IF(H905&gt;0,H905*IF(OR(C905="Alpha",B905="Alpha"),$C$9,$C$8),""),"")</f>
        <v/>
      </c>
      <c r="L905" s="139">
        <f>IFERROR(IF(ISNUMBER(F905),F905-IF(ISNUMBER(K905),K905,0),""),"")</f>
        <v/>
      </c>
    </row>
    <row r="906" ht="24" customHeight="1" s="63">
      <c r="E906" s="139" t="n"/>
      <c r="F906" s="139" t="n"/>
      <c r="G906" s="140">
        <f>IFERROR(IF(E906&gt;0,(F906/E906)*1000,""),"")</f>
        <v/>
      </c>
      <c r="H906" s="139">
        <f>IFERROR(IF(E906&gt;0,E906*IF(ISNUMBER(J906),J906,IF(OR(C906="Alpha",B906="Alpha"),$C$7,IF(C906="Futures",$C$6,$C$5))),""),"")</f>
        <v/>
      </c>
      <c r="I906" s="139">
        <f>IFERROR(IF(AND(ISNUMBER(F906),ISNUMBER(H906)),F906-H906,""),"")</f>
        <v/>
      </c>
      <c r="J906" s="114" t="n"/>
      <c r="K906" s="139">
        <f>IFERROR(IF(H906&gt;0,H906*IF(OR(C906="Alpha",B906="Alpha"),$C$9,$C$8),""),"")</f>
        <v/>
      </c>
      <c r="L906" s="139">
        <f>IFERROR(IF(ISNUMBER(F906),F906-IF(ISNUMBER(K906),K906,0),""),"")</f>
        <v/>
      </c>
    </row>
    <row r="907" ht="24" customHeight="1" s="63">
      <c r="E907" s="139" t="n"/>
      <c r="F907" s="139" t="n"/>
      <c r="G907" s="140">
        <f>IFERROR(IF(E907&gt;0,(F907/E907)*1000,""),"")</f>
        <v/>
      </c>
      <c r="H907" s="139">
        <f>IFERROR(IF(E907&gt;0,E907*IF(ISNUMBER(J907),J907,IF(OR(C907="Alpha",B907="Alpha"),$C$7,IF(C907="Futures",$C$6,$C$5))),""),"")</f>
        <v/>
      </c>
      <c r="I907" s="139">
        <f>IFERROR(IF(AND(ISNUMBER(F907),ISNUMBER(H907)),F907-H907,""),"")</f>
        <v/>
      </c>
      <c r="J907" s="114" t="n"/>
      <c r="K907" s="139">
        <f>IFERROR(IF(H907&gt;0,H907*IF(OR(C907="Alpha",B907="Alpha"),$C$9,$C$8),""),"")</f>
        <v/>
      </c>
      <c r="L907" s="139">
        <f>IFERROR(IF(ISNUMBER(F907),F907-IF(ISNUMBER(K907),K907,0),""),"")</f>
        <v/>
      </c>
    </row>
    <row r="908" ht="24" customHeight="1" s="63">
      <c r="E908" s="139" t="n"/>
      <c r="F908" s="139" t="n"/>
      <c r="G908" s="140">
        <f>IFERROR(IF(E908&gt;0,(F908/E908)*1000,""),"")</f>
        <v/>
      </c>
      <c r="H908" s="139">
        <f>IFERROR(IF(E908&gt;0,E908*IF(ISNUMBER(J908),J908,IF(OR(C908="Alpha",B908="Alpha"),$C$7,IF(C908="Futures",$C$6,$C$5))),""),"")</f>
        <v/>
      </c>
      <c r="I908" s="139">
        <f>IFERROR(IF(AND(ISNUMBER(F908),ISNUMBER(H908)),F908-H908,""),"")</f>
        <v/>
      </c>
      <c r="J908" s="114" t="n"/>
      <c r="K908" s="139">
        <f>IFERROR(IF(H908&gt;0,H908*IF(OR(C908="Alpha",B908="Alpha"),$C$9,$C$8),""),"")</f>
        <v/>
      </c>
      <c r="L908" s="139">
        <f>IFERROR(IF(ISNUMBER(F908),F908-IF(ISNUMBER(K908),K908,0),""),"")</f>
        <v/>
      </c>
    </row>
    <row r="909" ht="24" customHeight="1" s="63">
      <c r="E909" s="139" t="n"/>
      <c r="F909" s="139" t="n"/>
      <c r="G909" s="140">
        <f>IFERROR(IF(E909&gt;0,(F909/E909)*1000,""),"")</f>
        <v/>
      </c>
      <c r="H909" s="139">
        <f>IFERROR(IF(E909&gt;0,E909*IF(ISNUMBER(J909),J909,IF(OR(C909="Alpha",B909="Alpha"),$C$7,IF(C909="Futures",$C$6,$C$5))),""),"")</f>
        <v/>
      </c>
      <c r="I909" s="139">
        <f>IFERROR(IF(AND(ISNUMBER(F909),ISNUMBER(H909)),F909-H909,""),"")</f>
        <v/>
      </c>
      <c r="J909" s="114" t="n"/>
      <c r="K909" s="139">
        <f>IFERROR(IF(H909&gt;0,H909*IF(OR(C909="Alpha",B909="Alpha"),$C$9,$C$8),""),"")</f>
        <v/>
      </c>
      <c r="L909" s="139">
        <f>IFERROR(IF(ISNUMBER(F909),F909-IF(ISNUMBER(K909),K909,0),""),"")</f>
        <v/>
      </c>
    </row>
    <row r="910" ht="24" customHeight="1" s="63">
      <c r="E910" s="139" t="n"/>
      <c r="F910" s="139" t="n"/>
      <c r="G910" s="140">
        <f>IFERROR(IF(E910&gt;0,(F910/E910)*1000,""),"")</f>
        <v/>
      </c>
      <c r="H910" s="139">
        <f>IFERROR(IF(E910&gt;0,E910*IF(ISNUMBER(J910),J910,IF(OR(C910="Alpha",B910="Alpha"),$C$7,IF(C910="Futures",$C$6,$C$5))),""),"")</f>
        <v/>
      </c>
      <c r="I910" s="139">
        <f>IFERROR(IF(AND(ISNUMBER(F910),ISNUMBER(H910)),F910-H910,""),"")</f>
        <v/>
      </c>
      <c r="J910" s="114" t="n"/>
      <c r="K910" s="139">
        <f>IFERROR(IF(H910&gt;0,H910*IF(OR(C910="Alpha",B910="Alpha"),$C$9,$C$8),""),"")</f>
        <v/>
      </c>
      <c r="L910" s="139">
        <f>IFERROR(IF(ISNUMBER(F910),F910-IF(ISNUMBER(K910),K910,0),""),"")</f>
        <v/>
      </c>
    </row>
    <row r="911" ht="24" customHeight="1" s="63">
      <c r="E911" s="139" t="n"/>
      <c r="F911" s="139" t="n"/>
      <c r="G911" s="140">
        <f>IFERROR(IF(E911&gt;0,(F911/E911)*1000,""),"")</f>
        <v/>
      </c>
      <c r="H911" s="139">
        <f>IFERROR(IF(E911&gt;0,E911*IF(ISNUMBER(J911),J911,IF(OR(C911="Alpha",B911="Alpha"),$C$7,IF(C911="Futures",$C$6,$C$5))),""),"")</f>
        <v/>
      </c>
      <c r="I911" s="139">
        <f>IFERROR(IF(AND(ISNUMBER(F911),ISNUMBER(H911)),F911-H911,""),"")</f>
        <v/>
      </c>
      <c r="J911" s="114" t="n"/>
      <c r="K911" s="139">
        <f>IFERROR(IF(H911&gt;0,H911*IF(OR(C911="Alpha",B911="Alpha"),$C$9,$C$8),""),"")</f>
        <v/>
      </c>
      <c r="L911" s="139">
        <f>IFERROR(IF(ISNUMBER(F911),F911-IF(ISNUMBER(K911),K911,0),""),"")</f>
        <v/>
      </c>
    </row>
    <row r="912" ht="24" customHeight="1" s="63">
      <c r="E912" s="139" t="n"/>
      <c r="F912" s="139" t="n"/>
      <c r="G912" s="140">
        <f>IFERROR(IF(E912&gt;0,(F912/E912)*1000,""),"")</f>
        <v/>
      </c>
      <c r="H912" s="139">
        <f>IFERROR(IF(E912&gt;0,E912*IF(ISNUMBER(J912),J912,IF(OR(C912="Alpha",B912="Alpha"),$C$7,IF(C912="Futures",$C$6,$C$5))),""),"")</f>
        <v/>
      </c>
      <c r="I912" s="139">
        <f>IFERROR(IF(AND(ISNUMBER(F912),ISNUMBER(H912)),F912-H912,""),"")</f>
        <v/>
      </c>
      <c r="J912" s="114" t="n"/>
      <c r="K912" s="139">
        <f>IFERROR(IF(H912&gt;0,H912*IF(OR(C912="Alpha",B912="Alpha"),$C$9,$C$8),""),"")</f>
        <v/>
      </c>
      <c r="L912" s="139">
        <f>IFERROR(IF(ISNUMBER(F912),F912-IF(ISNUMBER(K912),K912,0),""),"")</f>
        <v/>
      </c>
    </row>
    <row r="913" ht="24" customHeight="1" s="63">
      <c r="E913" s="139" t="n"/>
      <c r="F913" s="139" t="n"/>
      <c r="G913" s="140">
        <f>IFERROR(IF(E913&gt;0,(F913/E913)*1000,""),"")</f>
        <v/>
      </c>
      <c r="H913" s="139">
        <f>IFERROR(IF(E913&gt;0,E913*IF(ISNUMBER(J913),J913,IF(OR(C913="Alpha",B913="Alpha"),$C$7,IF(C913="Futures",$C$6,$C$5))),""),"")</f>
        <v/>
      </c>
      <c r="I913" s="139">
        <f>IFERROR(IF(AND(ISNUMBER(F913),ISNUMBER(H913)),F913-H913,""),"")</f>
        <v/>
      </c>
      <c r="J913" s="114" t="n"/>
      <c r="K913" s="139">
        <f>IFERROR(IF(H913&gt;0,H913*IF(OR(C913="Alpha",B913="Alpha"),$C$9,$C$8),""),"")</f>
        <v/>
      </c>
      <c r="L913" s="139">
        <f>IFERROR(IF(ISNUMBER(F913),F913-IF(ISNUMBER(K913),K913,0),""),"")</f>
        <v/>
      </c>
    </row>
    <row r="914" ht="24" customHeight="1" s="63">
      <c r="E914" s="139" t="n"/>
      <c r="F914" s="139" t="n"/>
      <c r="G914" s="140">
        <f>IFERROR(IF(E914&gt;0,(F914/E914)*1000,""),"")</f>
        <v/>
      </c>
      <c r="H914" s="139">
        <f>IFERROR(IF(E914&gt;0,E914*IF(ISNUMBER(J914),J914,IF(OR(C914="Alpha",B914="Alpha"),$C$7,IF(C914="Futures",$C$6,$C$5))),""),"")</f>
        <v/>
      </c>
      <c r="I914" s="139">
        <f>IFERROR(IF(AND(ISNUMBER(F914),ISNUMBER(H914)),F914-H914,""),"")</f>
        <v/>
      </c>
      <c r="J914" s="114" t="n"/>
      <c r="K914" s="139">
        <f>IFERROR(IF(H914&gt;0,H914*IF(OR(C914="Alpha",B914="Alpha"),$C$9,$C$8),""),"")</f>
        <v/>
      </c>
      <c r="L914" s="139">
        <f>IFERROR(IF(ISNUMBER(F914),F914-IF(ISNUMBER(K914),K914,0),""),"")</f>
        <v/>
      </c>
    </row>
    <row r="915" ht="24" customHeight="1" s="63">
      <c r="E915" s="139" t="n"/>
      <c r="F915" s="139" t="n"/>
      <c r="G915" s="140">
        <f>IFERROR(IF(E915&gt;0,(F915/E915)*1000,""),"")</f>
        <v/>
      </c>
      <c r="H915" s="139">
        <f>IFERROR(IF(E915&gt;0,E915*IF(ISNUMBER(J915),J915,IF(OR(C915="Alpha",B915="Alpha"),$C$7,IF(C915="Futures",$C$6,$C$5))),""),"")</f>
        <v/>
      </c>
      <c r="I915" s="139">
        <f>IFERROR(IF(AND(ISNUMBER(F915),ISNUMBER(H915)),F915-H915,""),"")</f>
        <v/>
      </c>
      <c r="J915" s="114" t="n"/>
      <c r="K915" s="139">
        <f>IFERROR(IF(H915&gt;0,H915*IF(OR(C915="Alpha",B915="Alpha"),$C$9,$C$8),""),"")</f>
        <v/>
      </c>
      <c r="L915" s="139">
        <f>IFERROR(IF(ISNUMBER(F915),F915-IF(ISNUMBER(K915),K915,0),""),"")</f>
        <v/>
      </c>
    </row>
    <row r="916" ht="24" customHeight="1" s="63">
      <c r="E916" s="139" t="n"/>
      <c r="F916" s="139" t="n"/>
      <c r="G916" s="140">
        <f>IFERROR(IF(E916&gt;0,(F916/E916)*1000,""),"")</f>
        <v/>
      </c>
      <c r="H916" s="139">
        <f>IFERROR(IF(E916&gt;0,E916*IF(ISNUMBER(J916),J916,IF(OR(C916="Alpha",B916="Alpha"),$C$7,IF(C916="Futures",$C$6,$C$5))),""),"")</f>
        <v/>
      </c>
      <c r="I916" s="139">
        <f>IFERROR(IF(AND(ISNUMBER(F916),ISNUMBER(H916)),F916-H916,""),"")</f>
        <v/>
      </c>
      <c r="J916" s="114" t="n"/>
      <c r="K916" s="139">
        <f>IFERROR(IF(H916&gt;0,H916*IF(OR(C916="Alpha",B916="Alpha"),$C$9,$C$8),""),"")</f>
        <v/>
      </c>
      <c r="L916" s="139">
        <f>IFERROR(IF(ISNUMBER(F916),F916-IF(ISNUMBER(K916),K916,0),""),"")</f>
        <v/>
      </c>
    </row>
    <row r="917" ht="24" customHeight="1" s="63">
      <c r="E917" s="139" t="n"/>
      <c r="F917" s="139" t="n"/>
      <c r="G917" s="140">
        <f>IFERROR(IF(E917&gt;0,(F917/E917)*1000,""),"")</f>
        <v/>
      </c>
      <c r="H917" s="139">
        <f>IFERROR(IF(E917&gt;0,E917*IF(ISNUMBER(J917),J917,IF(OR(C917="Alpha",B917="Alpha"),$C$7,IF(C917="Futures",$C$6,$C$5))),""),"")</f>
        <v/>
      </c>
      <c r="I917" s="139">
        <f>IFERROR(IF(AND(ISNUMBER(F917),ISNUMBER(H917)),F917-H917,""),"")</f>
        <v/>
      </c>
      <c r="J917" s="114" t="n"/>
      <c r="K917" s="139">
        <f>IFERROR(IF(H917&gt;0,H917*IF(OR(C917="Alpha",B917="Alpha"),$C$9,$C$8),""),"")</f>
        <v/>
      </c>
      <c r="L917" s="139">
        <f>IFERROR(IF(ISNUMBER(F917),F917-IF(ISNUMBER(K917),K917,0),""),"")</f>
        <v/>
      </c>
    </row>
    <row r="918" ht="24" customHeight="1" s="63">
      <c r="E918" s="139" t="n"/>
      <c r="F918" s="139" t="n"/>
      <c r="G918" s="140">
        <f>IFERROR(IF(E918&gt;0,(F918/E918)*1000,""),"")</f>
        <v/>
      </c>
      <c r="H918" s="139">
        <f>IFERROR(IF(E918&gt;0,E918*IF(ISNUMBER(J918),J918,IF(OR(C918="Alpha",B918="Alpha"),$C$7,IF(C918="Futures",$C$6,$C$5))),""),"")</f>
        <v/>
      </c>
      <c r="I918" s="139">
        <f>IFERROR(IF(AND(ISNUMBER(F918),ISNUMBER(H918)),F918-H918,""),"")</f>
        <v/>
      </c>
      <c r="J918" s="114" t="n"/>
      <c r="K918" s="139">
        <f>IFERROR(IF(H918&gt;0,H918*IF(OR(C918="Alpha",B918="Alpha"),$C$9,$C$8),""),"")</f>
        <v/>
      </c>
      <c r="L918" s="139">
        <f>IFERROR(IF(ISNUMBER(F918),F918-IF(ISNUMBER(K918),K918,0),""),"")</f>
        <v/>
      </c>
    </row>
    <row r="919" ht="24" customHeight="1" s="63">
      <c r="E919" s="139" t="n"/>
      <c r="F919" s="139" t="n"/>
      <c r="G919" s="140">
        <f>IFERROR(IF(E919&gt;0,(F919/E919)*1000,""),"")</f>
        <v/>
      </c>
      <c r="H919" s="139">
        <f>IFERROR(IF(E919&gt;0,E919*IF(ISNUMBER(J919),J919,IF(OR(C919="Alpha",B919="Alpha"),$C$7,IF(C919="Futures",$C$6,$C$5))),""),"")</f>
        <v/>
      </c>
      <c r="I919" s="139">
        <f>IFERROR(IF(AND(ISNUMBER(F919),ISNUMBER(H919)),F919-H919,""),"")</f>
        <v/>
      </c>
      <c r="J919" s="114" t="n"/>
      <c r="K919" s="139">
        <f>IFERROR(IF(H919&gt;0,H919*IF(OR(C919="Alpha",B919="Alpha"),$C$9,$C$8),""),"")</f>
        <v/>
      </c>
      <c r="L919" s="139">
        <f>IFERROR(IF(ISNUMBER(F919),F919-IF(ISNUMBER(K919),K919,0),""),"")</f>
        <v/>
      </c>
    </row>
    <row r="920" ht="24" customHeight="1" s="63">
      <c r="E920" s="139" t="n"/>
      <c r="F920" s="139" t="n"/>
      <c r="G920" s="140">
        <f>IFERROR(IF(E920&gt;0,(F920/E920)*1000,""),"")</f>
        <v/>
      </c>
      <c r="H920" s="139">
        <f>IFERROR(IF(E920&gt;0,E920*IF(ISNUMBER(J920),J920,IF(OR(C920="Alpha",B920="Alpha"),$C$7,IF(C920="Futures",$C$6,$C$5))),""),"")</f>
        <v/>
      </c>
      <c r="I920" s="139">
        <f>IFERROR(IF(AND(ISNUMBER(F920),ISNUMBER(H920)),F920-H920,""),"")</f>
        <v/>
      </c>
      <c r="J920" s="114" t="n"/>
      <c r="K920" s="139">
        <f>IFERROR(IF(H920&gt;0,H920*IF(OR(C920="Alpha",B920="Alpha"),$C$9,$C$8),""),"")</f>
        <v/>
      </c>
      <c r="L920" s="139">
        <f>IFERROR(IF(ISNUMBER(F920),F920-IF(ISNUMBER(K920),K920,0),""),"")</f>
        <v/>
      </c>
    </row>
    <row r="921" ht="24" customHeight="1" s="63">
      <c r="E921" s="139" t="n"/>
      <c r="F921" s="139" t="n"/>
      <c r="G921" s="140">
        <f>IFERROR(IF(E921&gt;0,(F921/E921)*1000,""),"")</f>
        <v/>
      </c>
      <c r="H921" s="139">
        <f>IFERROR(IF(E921&gt;0,E921*IF(ISNUMBER(J921),J921,IF(OR(C921="Alpha",B921="Alpha"),$C$7,IF(C921="Futures",$C$6,$C$5))),""),"")</f>
        <v/>
      </c>
      <c r="I921" s="139">
        <f>IFERROR(IF(AND(ISNUMBER(F921),ISNUMBER(H921)),F921-H921,""),"")</f>
        <v/>
      </c>
      <c r="J921" s="114" t="n"/>
      <c r="K921" s="139">
        <f>IFERROR(IF(H921&gt;0,H921*IF(OR(C921="Alpha",B921="Alpha"),$C$9,$C$8),""),"")</f>
        <v/>
      </c>
      <c r="L921" s="139">
        <f>IFERROR(IF(ISNUMBER(F921),F921-IF(ISNUMBER(K921),K921,0),""),"")</f>
        <v/>
      </c>
    </row>
    <row r="922" ht="24" customHeight="1" s="63">
      <c r="E922" s="139" t="n"/>
      <c r="F922" s="139" t="n"/>
      <c r="G922" s="140">
        <f>IFERROR(IF(E922&gt;0,(F922/E922)*1000,""),"")</f>
        <v/>
      </c>
      <c r="H922" s="139">
        <f>IFERROR(IF(E922&gt;0,E922*IF(ISNUMBER(J922),J922,IF(OR(C922="Alpha",B922="Alpha"),$C$7,IF(C922="Futures",$C$6,$C$5))),""),"")</f>
        <v/>
      </c>
      <c r="I922" s="139">
        <f>IFERROR(IF(AND(ISNUMBER(F922),ISNUMBER(H922)),F922-H922,""),"")</f>
        <v/>
      </c>
      <c r="J922" s="114" t="n"/>
      <c r="K922" s="139">
        <f>IFERROR(IF(H922&gt;0,H922*IF(OR(C922="Alpha",B922="Alpha"),$C$9,$C$8),""),"")</f>
        <v/>
      </c>
      <c r="L922" s="139">
        <f>IFERROR(IF(ISNUMBER(F922),F922-IF(ISNUMBER(K922),K922,0),""),"")</f>
        <v/>
      </c>
    </row>
    <row r="923" ht="24" customHeight="1" s="63">
      <c r="E923" s="139" t="n"/>
      <c r="F923" s="139" t="n"/>
      <c r="G923" s="140">
        <f>IFERROR(IF(E923&gt;0,(F923/E923)*1000,""),"")</f>
        <v/>
      </c>
      <c r="H923" s="139">
        <f>IFERROR(IF(E923&gt;0,E923*IF(ISNUMBER(J923),J923,IF(OR(C923="Alpha",B923="Alpha"),$C$7,IF(C923="Futures",$C$6,$C$5))),""),"")</f>
        <v/>
      </c>
      <c r="I923" s="139">
        <f>IFERROR(IF(AND(ISNUMBER(F923),ISNUMBER(H923)),F923-H923,""),"")</f>
        <v/>
      </c>
      <c r="J923" s="114" t="n"/>
      <c r="K923" s="139">
        <f>IFERROR(IF(H923&gt;0,H923*IF(OR(C923="Alpha",B923="Alpha"),$C$9,$C$8),""),"")</f>
        <v/>
      </c>
      <c r="L923" s="139">
        <f>IFERROR(IF(ISNUMBER(F923),F923-IF(ISNUMBER(K923),K923,0),""),"")</f>
        <v/>
      </c>
    </row>
    <row r="924" ht="24" customHeight="1" s="63">
      <c r="E924" s="139" t="n"/>
      <c r="F924" s="139" t="n"/>
      <c r="G924" s="140">
        <f>IFERROR(IF(E924&gt;0,(F924/E924)*1000,""),"")</f>
        <v/>
      </c>
      <c r="H924" s="139">
        <f>IFERROR(IF(E924&gt;0,E924*IF(ISNUMBER(J924),J924,IF(OR(C924="Alpha",B924="Alpha"),$C$7,IF(C924="Futures",$C$6,$C$5))),""),"")</f>
        <v/>
      </c>
      <c r="I924" s="139">
        <f>IFERROR(IF(AND(ISNUMBER(F924),ISNUMBER(H924)),F924-H924,""),"")</f>
        <v/>
      </c>
      <c r="J924" s="114" t="n"/>
      <c r="K924" s="139">
        <f>IFERROR(IF(H924&gt;0,H924*IF(OR(C924="Alpha",B924="Alpha"),$C$9,$C$8),""),"")</f>
        <v/>
      </c>
      <c r="L924" s="139">
        <f>IFERROR(IF(ISNUMBER(F924),F924-IF(ISNUMBER(K924),K924,0),""),"")</f>
        <v/>
      </c>
    </row>
    <row r="925" ht="24" customHeight="1" s="63">
      <c r="E925" s="139" t="n"/>
      <c r="F925" s="139" t="n"/>
      <c r="G925" s="140">
        <f>IFERROR(IF(E925&gt;0,(F925/E925)*1000,""),"")</f>
        <v/>
      </c>
      <c r="H925" s="139">
        <f>IFERROR(IF(E925&gt;0,E925*IF(ISNUMBER(J925),J925,IF(OR(C925="Alpha",B925="Alpha"),$C$7,IF(C925="Futures",$C$6,$C$5))),""),"")</f>
        <v/>
      </c>
      <c r="I925" s="139">
        <f>IFERROR(IF(AND(ISNUMBER(F925),ISNUMBER(H925)),F925-H925,""),"")</f>
        <v/>
      </c>
      <c r="J925" s="114" t="n"/>
      <c r="K925" s="139">
        <f>IFERROR(IF(H925&gt;0,H925*IF(OR(C925="Alpha",B925="Alpha"),$C$9,$C$8),""),"")</f>
        <v/>
      </c>
      <c r="L925" s="139">
        <f>IFERROR(IF(ISNUMBER(F925),F925-IF(ISNUMBER(K925),K925,0),""),"")</f>
        <v/>
      </c>
    </row>
    <row r="926" ht="24" customHeight="1" s="63">
      <c r="E926" s="139" t="n"/>
      <c r="F926" s="139" t="n"/>
      <c r="G926" s="140">
        <f>IFERROR(IF(E926&gt;0,(F926/E926)*1000,""),"")</f>
        <v/>
      </c>
      <c r="H926" s="139">
        <f>IFERROR(IF(E926&gt;0,E926*IF(ISNUMBER(J926),J926,IF(OR(C926="Alpha",B926="Alpha"),$C$7,IF(C926="Futures",$C$6,$C$5))),""),"")</f>
        <v/>
      </c>
      <c r="I926" s="139">
        <f>IFERROR(IF(AND(ISNUMBER(F926),ISNUMBER(H926)),F926-H926,""),"")</f>
        <v/>
      </c>
      <c r="J926" s="114" t="n"/>
      <c r="K926" s="139">
        <f>IFERROR(IF(H926&gt;0,H926*IF(OR(C926="Alpha",B926="Alpha"),$C$9,$C$8),""),"")</f>
        <v/>
      </c>
      <c r="L926" s="139">
        <f>IFERROR(IF(ISNUMBER(F926),F926-IF(ISNUMBER(K926),K926,0),""),"")</f>
        <v/>
      </c>
    </row>
    <row r="927" ht="24" customHeight="1" s="63">
      <c r="E927" s="139" t="n"/>
      <c r="F927" s="139" t="n"/>
      <c r="G927" s="140">
        <f>IFERROR(IF(E927&gt;0,(F927/E927)*1000,""),"")</f>
        <v/>
      </c>
      <c r="H927" s="139">
        <f>IFERROR(IF(E927&gt;0,E927*IF(ISNUMBER(J927),J927,IF(OR(C927="Alpha",B927="Alpha"),$C$7,IF(C927="Futures",$C$6,$C$5))),""),"")</f>
        <v/>
      </c>
      <c r="I927" s="139">
        <f>IFERROR(IF(AND(ISNUMBER(F927),ISNUMBER(H927)),F927-H927,""),"")</f>
        <v/>
      </c>
      <c r="J927" s="114" t="n"/>
      <c r="K927" s="139">
        <f>IFERROR(IF(H927&gt;0,H927*IF(OR(C927="Alpha",B927="Alpha"),$C$9,$C$8),""),"")</f>
        <v/>
      </c>
      <c r="L927" s="139">
        <f>IFERROR(IF(ISNUMBER(F927),F927-IF(ISNUMBER(K927),K927,0),""),"")</f>
        <v/>
      </c>
    </row>
    <row r="928" ht="24" customHeight="1" s="63">
      <c r="E928" s="139" t="n"/>
      <c r="F928" s="139" t="n"/>
      <c r="G928" s="140">
        <f>IFERROR(IF(E928&gt;0,(F928/E928)*1000,""),"")</f>
        <v/>
      </c>
      <c r="H928" s="139">
        <f>IFERROR(IF(E928&gt;0,E928*IF(ISNUMBER(J928),J928,IF(OR(C928="Alpha",B928="Alpha"),$C$7,IF(C928="Futures",$C$6,$C$5))),""),"")</f>
        <v/>
      </c>
      <c r="I928" s="139">
        <f>IFERROR(IF(AND(ISNUMBER(F928),ISNUMBER(H928)),F928-H928,""),"")</f>
        <v/>
      </c>
      <c r="J928" s="114" t="n"/>
      <c r="K928" s="139">
        <f>IFERROR(IF(H928&gt;0,H928*IF(OR(C928="Alpha",B928="Alpha"),$C$9,$C$8),""),"")</f>
        <v/>
      </c>
      <c r="L928" s="139">
        <f>IFERROR(IF(ISNUMBER(F928),F928-IF(ISNUMBER(K928),K928,0),""),"")</f>
        <v/>
      </c>
    </row>
    <row r="929" ht="24" customHeight="1" s="63">
      <c r="E929" s="139" t="n"/>
      <c r="F929" s="139" t="n"/>
      <c r="G929" s="140">
        <f>IFERROR(IF(E929&gt;0,(F929/E929)*1000,""),"")</f>
        <v/>
      </c>
      <c r="H929" s="139">
        <f>IFERROR(IF(E929&gt;0,E929*IF(ISNUMBER(J929),J929,IF(OR(C929="Alpha",B929="Alpha"),$C$7,IF(C929="Futures",$C$6,$C$5))),""),"")</f>
        <v/>
      </c>
      <c r="I929" s="139">
        <f>IFERROR(IF(AND(ISNUMBER(F929),ISNUMBER(H929)),F929-H929,""),"")</f>
        <v/>
      </c>
      <c r="J929" s="114" t="n"/>
      <c r="K929" s="139">
        <f>IFERROR(IF(H929&gt;0,H929*IF(OR(C929="Alpha",B929="Alpha"),$C$9,$C$8),""),"")</f>
        <v/>
      </c>
      <c r="L929" s="139">
        <f>IFERROR(IF(ISNUMBER(F929),F929-IF(ISNUMBER(K929),K929,0),""),"")</f>
        <v/>
      </c>
    </row>
    <row r="930" ht="24" customHeight="1" s="63">
      <c r="E930" s="139" t="n"/>
      <c r="F930" s="139" t="n"/>
      <c r="G930" s="140">
        <f>IFERROR(IF(E930&gt;0,(F930/E930)*1000,""),"")</f>
        <v/>
      </c>
      <c r="H930" s="139">
        <f>IFERROR(IF(E930&gt;0,E930*IF(ISNUMBER(J930),J930,IF(OR(C930="Alpha",B930="Alpha"),$C$7,IF(C930="Futures",$C$6,$C$5))),""),"")</f>
        <v/>
      </c>
      <c r="I930" s="139">
        <f>IFERROR(IF(AND(ISNUMBER(F930),ISNUMBER(H930)),F930-H930,""),"")</f>
        <v/>
      </c>
      <c r="J930" s="114" t="n"/>
      <c r="K930" s="139">
        <f>IFERROR(IF(H930&gt;0,H930*IF(OR(C930="Alpha",B930="Alpha"),$C$9,$C$8),""),"")</f>
        <v/>
      </c>
      <c r="L930" s="139">
        <f>IFERROR(IF(ISNUMBER(F930),F930-IF(ISNUMBER(K930),K930,0),""),"")</f>
        <v/>
      </c>
    </row>
    <row r="931" ht="24" customHeight="1" s="63">
      <c r="E931" s="139" t="n"/>
      <c r="F931" s="139" t="n"/>
      <c r="G931" s="140">
        <f>IFERROR(IF(E931&gt;0,(F931/E931)*1000,""),"")</f>
        <v/>
      </c>
      <c r="H931" s="139">
        <f>IFERROR(IF(E931&gt;0,E931*IF(ISNUMBER(J931),J931,IF(OR(C931="Alpha",B931="Alpha"),$C$7,IF(C931="Futures",$C$6,$C$5))),""),"")</f>
        <v/>
      </c>
      <c r="I931" s="139">
        <f>IFERROR(IF(AND(ISNUMBER(F931),ISNUMBER(H931)),F931-H931,""),"")</f>
        <v/>
      </c>
      <c r="J931" s="114" t="n"/>
      <c r="K931" s="139">
        <f>IFERROR(IF(H931&gt;0,H931*IF(OR(C931="Alpha",B931="Alpha"),$C$9,$C$8),""),"")</f>
        <v/>
      </c>
      <c r="L931" s="139">
        <f>IFERROR(IF(ISNUMBER(F931),F931-IF(ISNUMBER(K931),K931,0),""),"")</f>
        <v/>
      </c>
    </row>
    <row r="932" ht="24" customHeight="1" s="63">
      <c r="E932" s="139" t="n"/>
      <c r="F932" s="139" t="n"/>
      <c r="G932" s="140">
        <f>IFERROR(IF(E932&gt;0,(F932/E932)*1000,""),"")</f>
        <v/>
      </c>
      <c r="H932" s="139">
        <f>IFERROR(IF(E932&gt;0,E932*IF(ISNUMBER(J932),J932,IF(OR(C932="Alpha",B932="Alpha"),$C$7,IF(C932="Futures",$C$6,$C$5))),""),"")</f>
        <v/>
      </c>
      <c r="I932" s="139">
        <f>IFERROR(IF(AND(ISNUMBER(F932),ISNUMBER(H932)),F932-H932,""),"")</f>
        <v/>
      </c>
      <c r="J932" s="114" t="n"/>
      <c r="K932" s="139">
        <f>IFERROR(IF(H932&gt;0,H932*IF(OR(C932="Alpha",B932="Alpha"),$C$9,$C$8),""),"")</f>
        <v/>
      </c>
      <c r="L932" s="139">
        <f>IFERROR(IF(ISNUMBER(F932),F932-IF(ISNUMBER(K932),K932,0),""),"")</f>
        <v/>
      </c>
    </row>
    <row r="933" ht="24" customHeight="1" s="63">
      <c r="E933" s="139" t="n"/>
      <c r="F933" s="139" t="n"/>
      <c r="G933" s="140">
        <f>IFERROR(IF(E933&gt;0,(F933/E933)*1000,""),"")</f>
        <v/>
      </c>
      <c r="H933" s="139">
        <f>IFERROR(IF(E933&gt;0,E933*IF(ISNUMBER(J933),J933,IF(OR(C933="Alpha",B933="Alpha"),$C$7,IF(C933="Futures",$C$6,$C$5))),""),"")</f>
        <v/>
      </c>
      <c r="I933" s="139">
        <f>IFERROR(IF(AND(ISNUMBER(F933),ISNUMBER(H933)),F933-H933,""),"")</f>
        <v/>
      </c>
      <c r="J933" s="114" t="n"/>
      <c r="K933" s="139">
        <f>IFERROR(IF(H933&gt;0,H933*IF(OR(C933="Alpha",B933="Alpha"),$C$9,$C$8),""),"")</f>
        <v/>
      </c>
      <c r="L933" s="139">
        <f>IFERROR(IF(ISNUMBER(F933),F933-IF(ISNUMBER(K933),K933,0),""),"")</f>
        <v/>
      </c>
    </row>
    <row r="934" ht="24" customHeight="1" s="63">
      <c r="E934" s="139" t="n"/>
      <c r="F934" s="139" t="n"/>
      <c r="G934" s="140">
        <f>IFERROR(IF(E934&gt;0,(F934/E934)*1000,""),"")</f>
        <v/>
      </c>
      <c r="H934" s="139">
        <f>IFERROR(IF(E934&gt;0,E934*IF(ISNUMBER(J934),J934,IF(OR(C934="Alpha",B934="Alpha"),$C$7,IF(C934="Futures",$C$6,$C$5))),""),"")</f>
        <v/>
      </c>
      <c r="I934" s="139">
        <f>IFERROR(IF(AND(ISNUMBER(F934),ISNUMBER(H934)),F934-H934,""),"")</f>
        <v/>
      </c>
      <c r="J934" s="114" t="n"/>
      <c r="K934" s="139">
        <f>IFERROR(IF(H934&gt;0,H934*IF(OR(C934="Alpha",B934="Alpha"),$C$9,$C$8),""),"")</f>
        <v/>
      </c>
      <c r="L934" s="139">
        <f>IFERROR(IF(ISNUMBER(F934),F934-IF(ISNUMBER(K934),K934,0),""),"")</f>
        <v/>
      </c>
    </row>
    <row r="935" ht="24" customHeight="1" s="63">
      <c r="E935" s="139" t="n"/>
      <c r="F935" s="139" t="n"/>
      <c r="G935" s="140">
        <f>IFERROR(IF(E935&gt;0,(F935/E935)*1000,""),"")</f>
        <v/>
      </c>
      <c r="H935" s="139">
        <f>IFERROR(IF(E935&gt;0,E935*IF(ISNUMBER(J935),J935,IF(OR(C935="Alpha",B935="Alpha"),$C$7,IF(C935="Futures",$C$6,$C$5))),""),"")</f>
        <v/>
      </c>
      <c r="I935" s="139">
        <f>IFERROR(IF(AND(ISNUMBER(F935),ISNUMBER(H935)),F935-H935,""),"")</f>
        <v/>
      </c>
      <c r="J935" s="114" t="n"/>
      <c r="K935" s="139">
        <f>IFERROR(IF(H935&gt;0,H935*IF(OR(C935="Alpha",B935="Alpha"),$C$9,$C$8),""),"")</f>
        <v/>
      </c>
      <c r="L935" s="139">
        <f>IFERROR(IF(ISNUMBER(F935),F935-IF(ISNUMBER(K935),K935,0),""),"")</f>
        <v/>
      </c>
    </row>
    <row r="936" ht="24" customHeight="1" s="63">
      <c r="E936" s="139" t="n"/>
      <c r="F936" s="139" t="n"/>
      <c r="G936" s="140">
        <f>IFERROR(IF(E936&gt;0,(F936/E936)*1000,""),"")</f>
        <v/>
      </c>
      <c r="H936" s="139">
        <f>IFERROR(IF(E936&gt;0,E936*IF(ISNUMBER(J936),J936,IF(OR(C936="Alpha",B936="Alpha"),$C$7,IF(C936="Futures",$C$6,$C$5))),""),"")</f>
        <v/>
      </c>
      <c r="I936" s="139">
        <f>IFERROR(IF(AND(ISNUMBER(F936),ISNUMBER(H936)),F936-H936,""),"")</f>
        <v/>
      </c>
      <c r="J936" s="114" t="n"/>
      <c r="K936" s="139">
        <f>IFERROR(IF(H936&gt;0,H936*IF(OR(C936="Alpha",B936="Alpha"),$C$9,$C$8),""),"")</f>
        <v/>
      </c>
      <c r="L936" s="139">
        <f>IFERROR(IF(ISNUMBER(F936),F936-IF(ISNUMBER(K936),K936,0),""),"")</f>
        <v/>
      </c>
    </row>
    <row r="937" ht="24" customHeight="1" s="63">
      <c r="E937" s="139" t="n"/>
      <c r="F937" s="139" t="n"/>
      <c r="G937" s="140">
        <f>IFERROR(IF(E937&gt;0,(F937/E937)*1000,""),"")</f>
        <v/>
      </c>
      <c r="H937" s="139">
        <f>IFERROR(IF(E937&gt;0,E937*IF(ISNUMBER(J937),J937,IF(OR(C937="Alpha",B937="Alpha"),$C$7,IF(C937="Futures",$C$6,$C$5))),""),"")</f>
        <v/>
      </c>
      <c r="I937" s="139">
        <f>IFERROR(IF(AND(ISNUMBER(F937),ISNUMBER(H937)),F937-H937,""),"")</f>
        <v/>
      </c>
      <c r="J937" s="114" t="n"/>
      <c r="K937" s="139">
        <f>IFERROR(IF(H937&gt;0,H937*IF(OR(C937="Alpha",B937="Alpha"),$C$9,$C$8),""),"")</f>
        <v/>
      </c>
      <c r="L937" s="139">
        <f>IFERROR(IF(ISNUMBER(F937),F937-IF(ISNUMBER(K937),K937,0),""),"")</f>
        <v/>
      </c>
    </row>
    <row r="938" ht="24" customHeight="1" s="63">
      <c r="E938" s="139" t="n"/>
      <c r="F938" s="139" t="n"/>
      <c r="G938" s="140">
        <f>IFERROR(IF(E938&gt;0,(F938/E938)*1000,""),"")</f>
        <v/>
      </c>
      <c r="H938" s="139">
        <f>IFERROR(IF(E938&gt;0,E938*IF(ISNUMBER(J938),J938,IF(OR(C938="Alpha",B938="Alpha"),$C$7,IF(C938="Futures",$C$6,$C$5))),""),"")</f>
        <v/>
      </c>
      <c r="I938" s="139">
        <f>IFERROR(IF(AND(ISNUMBER(F938),ISNUMBER(H938)),F938-H938,""),"")</f>
        <v/>
      </c>
      <c r="J938" s="114" t="n"/>
      <c r="K938" s="139">
        <f>IFERROR(IF(H938&gt;0,H938*IF(OR(C938="Alpha",B938="Alpha"),$C$9,$C$8),""),"")</f>
        <v/>
      </c>
      <c r="L938" s="139">
        <f>IFERROR(IF(ISNUMBER(F938),F938-IF(ISNUMBER(K938),K938,0),""),"")</f>
        <v/>
      </c>
    </row>
    <row r="939" ht="24" customHeight="1" s="63">
      <c r="E939" s="139" t="n"/>
      <c r="F939" s="139" t="n"/>
      <c r="G939" s="140">
        <f>IFERROR(IF(E939&gt;0,(F939/E939)*1000,""),"")</f>
        <v/>
      </c>
      <c r="H939" s="139">
        <f>IFERROR(IF(E939&gt;0,E939*IF(ISNUMBER(J939),J939,IF(OR(C939="Alpha",B939="Alpha"),$C$7,IF(C939="Futures",$C$6,$C$5))),""),"")</f>
        <v/>
      </c>
      <c r="I939" s="139">
        <f>IFERROR(IF(AND(ISNUMBER(F939),ISNUMBER(H939)),F939-H939,""),"")</f>
        <v/>
      </c>
      <c r="J939" s="114" t="n"/>
      <c r="K939" s="139">
        <f>IFERROR(IF(H939&gt;0,H939*IF(OR(C939="Alpha",B939="Alpha"),$C$9,$C$8),""),"")</f>
        <v/>
      </c>
      <c r="L939" s="139">
        <f>IFERROR(IF(ISNUMBER(F939),F939-IF(ISNUMBER(K939),K939,0),""),"")</f>
        <v/>
      </c>
    </row>
    <row r="940" ht="24" customHeight="1" s="63">
      <c r="E940" s="139" t="n"/>
      <c r="F940" s="139" t="n"/>
      <c r="G940" s="140">
        <f>IFERROR(IF(E940&gt;0,(F940/E940)*1000,""),"")</f>
        <v/>
      </c>
      <c r="H940" s="139">
        <f>IFERROR(IF(E940&gt;0,E940*IF(ISNUMBER(J940),J940,IF(OR(C940="Alpha",B940="Alpha"),$C$7,IF(C940="Futures",$C$6,$C$5))),""),"")</f>
        <v/>
      </c>
      <c r="I940" s="139">
        <f>IFERROR(IF(AND(ISNUMBER(F940),ISNUMBER(H940)),F940-H940,""),"")</f>
        <v/>
      </c>
      <c r="J940" s="114" t="n"/>
      <c r="K940" s="139">
        <f>IFERROR(IF(H940&gt;0,H940*IF(OR(C940="Alpha",B940="Alpha"),$C$9,$C$8),""),"")</f>
        <v/>
      </c>
      <c r="L940" s="139">
        <f>IFERROR(IF(ISNUMBER(F940),F940-IF(ISNUMBER(K940),K940,0),""),"")</f>
        <v/>
      </c>
    </row>
    <row r="941" ht="24" customHeight="1" s="63">
      <c r="E941" s="139" t="n"/>
      <c r="F941" s="139" t="n"/>
      <c r="G941" s="140">
        <f>IFERROR(IF(E941&gt;0,(F941/E941)*1000,""),"")</f>
        <v/>
      </c>
      <c r="H941" s="139">
        <f>IFERROR(IF(E941&gt;0,E941*IF(ISNUMBER(J941),J941,IF(OR(C941="Alpha",B941="Alpha"),$C$7,IF(C941="Futures",$C$6,$C$5))),""),"")</f>
        <v/>
      </c>
      <c r="I941" s="139">
        <f>IFERROR(IF(AND(ISNUMBER(F941),ISNUMBER(H941)),F941-H941,""),"")</f>
        <v/>
      </c>
      <c r="J941" s="114" t="n"/>
      <c r="K941" s="139">
        <f>IFERROR(IF(H941&gt;0,H941*IF(OR(C941="Alpha",B941="Alpha"),$C$9,$C$8),""),"")</f>
        <v/>
      </c>
      <c r="L941" s="139">
        <f>IFERROR(IF(ISNUMBER(F941),F941-IF(ISNUMBER(K941),K941,0),""),"")</f>
        <v/>
      </c>
    </row>
    <row r="942" ht="24" customHeight="1" s="63">
      <c r="E942" s="139" t="n"/>
      <c r="F942" s="139" t="n"/>
      <c r="G942" s="140">
        <f>IFERROR(IF(E942&gt;0,(F942/E942)*1000,""),"")</f>
        <v/>
      </c>
      <c r="H942" s="139">
        <f>IFERROR(IF(E942&gt;0,E942*IF(ISNUMBER(J942),J942,IF(OR(C942="Alpha",B942="Alpha"),$C$7,IF(C942="Futures",$C$6,$C$5))),""),"")</f>
        <v/>
      </c>
      <c r="I942" s="139">
        <f>IFERROR(IF(AND(ISNUMBER(F942),ISNUMBER(H942)),F942-H942,""),"")</f>
        <v/>
      </c>
      <c r="J942" s="114" t="n"/>
      <c r="K942" s="139">
        <f>IFERROR(IF(H942&gt;0,H942*IF(OR(C942="Alpha",B942="Alpha"),$C$9,$C$8),""),"")</f>
        <v/>
      </c>
      <c r="L942" s="139">
        <f>IFERROR(IF(ISNUMBER(F942),F942-IF(ISNUMBER(K942),K942,0),""),"")</f>
        <v/>
      </c>
    </row>
    <row r="943" ht="24" customHeight="1" s="63">
      <c r="E943" s="139" t="n"/>
      <c r="F943" s="139" t="n"/>
      <c r="G943" s="140">
        <f>IFERROR(IF(E943&gt;0,(F943/E943)*1000,""),"")</f>
        <v/>
      </c>
      <c r="H943" s="139">
        <f>IFERROR(IF(E943&gt;0,E943*IF(ISNUMBER(J943),J943,IF(OR(C943="Alpha",B943="Alpha"),$C$7,IF(C943="Futures",$C$6,$C$5))),""),"")</f>
        <v/>
      </c>
      <c r="I943" s="139">
        <f>IFERROR(IF(AND(ISNUMBER(F943),ISNUMBER(H943)),F943-H943,""),"")</f>
        <v/>
      </c>
      <c r="J943" s="114" t="n"/>
      <c r="K943" s="139">
        <f>IFERROR(IF(H943&gt;0,H943*IF(OR(C943="Alpha",B943="Alpha"),$C$9,$C$8),""),"")</f>
        <v/>
      </c>
      <c r="L943" s="139">
        <f>IFERROR(IF(ISNUMBER(F943),F943-IF(ISNUMBER(K943),K943,0),""),"")</f>
        <v/>
      </c>
    </row>
    <row r="944" ht="24" customHeight="1" s="63">
      <c r="E944" s="139" t="n"/>
      <c r="F944" s="139" t="n"/>
      <c r="G944" s="140">
        <f>IFERROR(IF(E944&gt;0,(F944/E944)*1000,""),"")</f>
        <v/>
      </c>
      <c r="H944" s="139">
        <f>IFERROR(IF(E944&gt;0,E944*IF(ISNUMBER(J944),J944,IF(OR(C944="Alpha",B944="Alpha"),$C$7,IF(C944="Futures",$C$6,$C$5))),""),"")</f>
        <v/>
      </c>
      <c r="I944" s="139">
        <f>IFERROR(IF(AND(ISNUMBER(F944),ISNUMBER(H944)),F944-H944,""),"")</f>
        <v/>
      </c>
      <c r="J944" s="114" t="n"/>
      <c r="K944" s="139">
        <f>IFERROR(IF(H944&gt;0,H944*IF(OR(C944="Alpha",B944="Alpha"),$C$9,$C$8),""),"")</f>
        <v/>
      </c>
      <c r="L944" s="139">
        <f>IFERROR(IF(ISNUMBER(F944),F944-IF(ISNUMBER(K944),K944,0),""),"")</f>
        <v/>
      </c>
    </row>
    <row r="945" ht="24" customHeight="1" s="63">
      <c r="E945" s="139" t="n"/>
      <c r="F945" s="139" t="n"/>
      <c r="G945" s="140">
        <f>IFERROR(IF(E945&gt;0,(F945/E945)*1000,""),"")</f>
        <v/>
      </c>
      <c r="H945" s="139">
        <f>IFERROR(IF(E945&gt;0,E945*IF(ISNUMBER(J945),J945,IF(OR(C945="Alpha",B945="Alpha"),$C$7,IF(C945="Futures",$C$6,$C$5))),""),"")</f>
        <v/>
      </c>
      <c r="I945" s="139">
        <f>IFERROR(IF(AND(ISNUMBER(F945),ISNUMBER(H945)),F945-H945,""),"")</f>
        <v/>
      </c>
      <c r="J945" s="114" t="n"/>
      <c r="K945" s="139">
        <f>IFERROR(IF(H945&gt;0,H945*IF(OR(C945="Alpha",B945="Alpha"),$C$9,$C$8),""),"")</f>
        <v/>
      </c>
      <c r="L945" s="139">
        <f>IFERROR(IF(ISNUMBER(F945),F945-IF(ISNUMBER(K945),K945,0),""),"")</f>
        <v/>
      </c>
    </row>
    <row r="946" ht="24" customHeight="1" s="63">
      <c r="E946" s="139" t="n"/>
      <c r="F946" s="139" t="n"/>
      <c r="G946" s="140">
        <f>IFERROR(IF(E946&gt;0,(F946/E946)*1000,""),"")</f>
        <v/>
      </c>
      <c r="H946" s="139">
        <f>IFERROR(IF(E946&gt;0,E946*IF(ISNUMBER(J946),J946,IF(OR(C946="Alpha",B946="Alpha"),$C$7,IF(C946="Futures",$C$6,$C$5))),""),"")</f>
        <v/>
      </c>
      <c r="I946" s="139">
        <f>IFERROR(IF(AND(ISNUMBER(F946),ISNUMBER(H946)),F946-H946,""),"")</f>
        <v/>
      </c>
      <c r="J946" s="114" t="n"/>
      <c r="K946" s="139">
        <f>IFERROR(IF(H946&gt;0,H946*IF(OR(C946="Alpha",B946="Alpha"),$C$9,$C$8),""),"")</f>
        <v/>
      </c>
      <c r="L946" s="139">
        <f>IFERROR(IF(ISNUMBER(F946),F946-IF(ISNUMBER(K946),K946,0),""),"")</f>
        <v/>
      </c>
    </row>
    <row r="947" ht="24" customHeight="1" s="63">
      <c r="E947" s="139" t="n"/>
      <c r="F947" s="139" t="n"/>
      <c r="G947" s="140">
        <f>IFERROR(IF(E947&gt;0,(F947/E947)*1000,""),"")</f>
        <v/>
      </c>
      <c r="H947" s="139">
        <f>IFERROR(IF(E947&gt;0,E947*IF(ISNUMBER(J947),J947,IF(OR(C947="Alpha",B947="Alpha"),$C$7,IF(C947="Futures",$C$6,$C$5))),""),"")</f>
        <v/>
      </c>
      <c r="I947" s="139">
        <f>IFERROR(IF(AND(ISNUMBER(F947),ISNUMBER(H947)),F947-H947,""),"")</f>
        <v/>
      </c>
      <c r="J947" s="114" t="n"/>
      <c r="K947" s="139">
        <f>IFERROR(IF(H947&gt;0,H947*IF(OR(C947="Alpha",B947="Alpha"),$C$9,$C$8),""),"")</f>
        <v/>
      </c>
      <c r="L947" s="139">
        <f>IFERROR(IF(ISNUMBER(F947),F947-IF(ISNUMBER(K947),K947,0),""),"")</f>
        <v/>
      </c>
    </row>
    <row r="948" ht="24" customHeight="1" s="63">
      <c r="E948" s="139" t="n"/>
      <c r="F948" s="139" t="n"/>
      <c r="G948" s="140">
        <f>IFERROR(IF(E948&gt;0,(F948/E948)*1000,""),"")</f>
        <v/>
      </c>
      <c r="H948" s="139">
        <f>IFERROR(IF(E948&gt;0,E948*IF(ISNUMBER(J948),J948,IF(OR(C948="Alpha",B948="Alpha"),$C$7,IF(C948="Futures",$C$6,$C$5))),""),"")</f>
        <v/>
      </c>
      <c r="I948" s="139">
        <f>IFERROR(IF(AND(ISNUMBER(F948),ISNUMBER(H948)),F948-H948,""),"")</f>
        <v/>
      </c>
      <c r="J948" s="114" t="n"/>
      <c r="K948" s="139">
        <f>IFERROR(IF(H948&gt;0,H948*IF(OR(C948="Alpha",B948="Alpha"),$C$9,$C$8),""),"")</f>
        <v/>
      </c>
      <c r="L948" s="139">
        <f>IFERROR(IF(ISNUMBER(F948),F948-IF(ISNUMBER(K948),K948,0),""),"")</f>
        <v/>
      </c>
    </row>
    <row r="949" ht="24" customHeight="1" s="63">
      <c r="E949" s="139" t="n"/>
      <c r="F949" s="139" t="n"/>
      <c r="G949" s="140">
        <f>IFERROR(IF(E949&gt;0,(F949/E949)*1000,""),"")</f>
        <v/>
      </c>
      <c r="H949" s="139">
        <f>IFERROR(IF(E949&gt;0,E949*IF(ISNUMBER(J949),J949,IF(OR(C949="Alpha",B949="Alpha"),$C$7,IF(C949="Futures",$C$6,$C$5))),""),"")</f>
        <v/>
      </c>
      <c r="I949" s="139">
        <f>IFERROR(IF(AND(ISNUMBER(F949),ISNUMBER(H949)),F949-H949,""),"")</f>
        <v/>
      </c>
      <c r="J949" s="114" t="n"/>
      <c r="K949" s="139">
        <f>IFERROR(IF(H949&gt;0,H949*IF(OR(C949="Alpha",B949="Alpha"),$C$9,$C$8),""),"")</f>
        <v/>
      </c>
      <c r="L949" s="139">
        <f>IFERROR(IF(ISNUMBER(F949),F949-IF(ISNUMBER(K949),K949,0),""),"")</f>
        <v/>
      </c>
    </row>
    <row r="950" ht="24" customHeight="1" s="63">
      <c r="E950" s="139" t="n"/>
      <c r="F950" s="139" t="n"/>
      <c r="G950" s="140">
        <f>IFERROR(IF(E950&gt;0,(F950/E950)*1000,""),"")</f>
        <v/>
      </c>
      <c r="H950" s="139">
        <f>IFERROR(IF(E950&gt;0,E950*IF(ISNUMBER(J950),J950,IF(OR(C950="Alpha",B950="Alpha"),$C$7,IF(C950="Futures",$C$6,$C$5))),""),"")</f>
        <v/>
      </c>
      <c r="I950" s="139">
        <f>IFERROR(IF(AND(ISNUMBER(F950),ISNUMBER(H950)),F950-H950,""),"")</f>
        <v/>
      </c>
      <c r="J950" s="114" t="n"/>
      <c r="K950" s="139">
        <f>IFERROR(IF(H950&gt;0,H950*IF(OR(C950="Alpha",B950="Alpha"),$C$9,$C$8),""),"")</f>
        <v/>
      </c>
      <c r="L950" s="139">
        <f>IFERROR(IF(ISNUMBER(F950),F950-IF(ISNUMBER(K950),K950,0),""),"")</f>
        <v/>
      </c>
    </row>
    <row r="951" ht="24" customHeight="1" s="63">
      <c r="E951" s="139" t="n"/>
      <c r="F951" s="139" t="n"/>
      <c r="G951" s="140">
        <f>IFERROR(IF(E951&gt;0,(F951/E951)*1000,""),"")</f>
        <v/>
      </c>
      <c r="H951" s="139">
        <f>IFERROR(IF(E951&gt;0,E951*IF(ISNUMBER(J951),J951,IF(OR(C951="Alpha",B951="Alpha"),$C$7,IF(C951="Futures",$C$6,$C$5))),""),"")</f>
        <v/>
      </c>
      <c r="I951" s="139">
        <f>IFERROR(IF(AND(ISNUMBER(F951),ISNUMBER(H951)),F951-H951,""),"")</f>
        <v/>
      </c>
      <c r="J951" s="114" t="n"/>
      <c r="K951" s="139">
        <f>IFERROR(IF(H951&gt;0,H951*IF(OR(C951="Alpha",B951="Alpha"),$C$9,$C$8),""),"")</f>
        <v/>
      </c>
      <c r="L951" s="139">
        <f>IFERROR(IF(ISNUMBER(F951),F951-IF(ISNUMBER(K951),K951,0),""),"")</f>
        <v/>
      </c>
    </row>
    <row r="952" ht="24" customHeight="1" s="63">
      <c r="E952" s="139" t="n"/>
      <c r="F952" s="139" t="n"/>
      <c r="G952" s="140">
        <f>IFERROR(IF(E952&gt;0,(F952/E952)*1000,""),"")</f>
        <v/>
      </c>
      <c r="H952" s="139">
        <f>IFERROR(IF(E952&gt;0,E952*IF(ISNUMBER(J952),J952,IF(OR(C952="Alpha",B952="Alpha"),$C$7,IF(C952="Futures",$C$6,$C$5))),""),"")</f>
        <v/>
      </c>
      <c r="I952" s="139">
        <f>IFERROR(IF(AND(ISNUMBER(F952),ISNUMBER(H952)),F952-H952,""),"")</f>
        <v/>
      </c>
      <c r="J952" s="114" t="n"/>
      <c r="K952" s="139">
        <f>IFERROR(IF(H952&gt;0,H952*IF(OR(C952="Alpha",B952="Alpha"),$C$9,$C$8),""),"")</f>
        <v/>
      </c>
      <c r="L952" s="139">
        <f>IFERROR(IF(ISNUMBER(F952),F952-IF(ISNUMBER(K952),K952,0),""),"")</f>
        <v/>
      </c>
    </row>
    <row r="953" ht="24" customHeight="1" s="63">
      <c r="E953" s="139" t="n"/>
      <c r="F953" s="139" t="n"/>
      <c r="G953" s="140">
        <f>IFERROR(IF(E953&gt;0,(F953/E953)*1000,""),"")</f>
        <v/>
      </c>
      <c r="H953" s="139">
        <f>IFERROR(IF(E953&gt;0,E953*IF(ISNUMBER(J953),J953,IF(OR(C953="Alpha",B953="Alpha"),$C$7,IF(C953="Futures",$C$6,$C$5))),""),"")</f>
        <v/>
      </c>
      <c r="I953" s="139">
        <f>IFERROR(IF(AND(ISNUMBER(F953),ISNUMBER(H953)),F953-H953,""),"")</f>
        <v/>
      </c>
      <c r="J953" s="114" t="n"/>
      <c r="K953" s="139">
        <f>IFERROR(IF(H953&gt;0,H953*IF(OR(C953="Alpha",B953="Alpha"),$C$9,$C$8),""),"")</f>
        <v/>
      </c>
      <c r="L953" s="139">
        <f>IFERROR(IF(ISNUMBER(F953),F953-IF(ISNUMBER(K953),K953,0),""),"")</f>
        <v/>
      </c>
    </row>
    <row r="954" ht="24" customHeight="1" s="63">
      <c r="E954" s="139" t="n"/>
      <c r="F954" s="139" t="n"/>
      <c r="G954" s="140">
        <f>IFERROR(IF(E954&gt;0,(F954/E954)*1000,""),"")</f>
        <v/>
      </c>
      <c r="H954" s="139">
        <f>IFERROR(IF(E954&gt;0,E954*IF(ISNUMBER(J954),J954,IF(OR(C954="Alpha",B954="Alpha"),$C$7,IF(C954="Futures",$C$6,$C$5))),""),"")</f>
        <v/>
      </c>
      <c r="I954" s="139">
        <f>IFERROR(IF(AND(ISNUMBER(F954),ISNUMBER(H954)),F954-H954,""),"")</f>
        <v/>
      </c>
      <c r="J954" s="114" t="n"/>
      <c r="K954" s="139">
        <f>IFERROR(IF(H954&gt;0,H954*IF(OR(C954="Alpha",B954="Alpha"),$C$9,$C$8),""),"")</f>
        <v/>
      </c>
      <c r="L954" s="139">
        <f>IFERROR(IF(ISNUMBER(F954),F954-IF(ISNUMBER(K954),K954,0),""),"")</f>
        <v/>
      </c>
    </row>
    <row r="955" ht="24" customHeight="1" s="63">
      <c r="E955" s="139" t="n"/>
      <c r="F955" s="139" t="n"/>
      <c r="G955" s="140">
        <f>IFERROR(IF(E955&gt;0,(F955/E955)*1000,""),"")</f>
        <v/>
      </c>
      <c r="H955" s="139">
        <f>IFERROR(IF(E955&gt;0,E955*IF(ISNUMBER(J955),J955,IF(OR(C955="Alpha",B955="Alpha"),$C$7,IF(C955="Futures",$C$6,$C$5))),""),"")</f>
        <v/>
      </c>
      <c r="I955" s="139">
        <f>IFERROR(IF(AND(ISNUMBER(F955),ISNUMBER(H955)),F955-H955,""),"")</f>
        <v/>
      </c>
      <c r="J955" s="114" t="n"/>
      <c r="K955" s="139">
        <f>IFERROR(IF(H955&gt;0,H955*IF(OR(C955="Alpha",B955="Alpha"),$C$9,$C$8),""),"")</f>
        <v/>
      </c>
      <c r="L955" s="139">
        <f>IFERROR(IF(ISNUMBER(F955),F955-IF(ISNUMBER(K955),K955,0),""),"")</f>
        <v/>
      </c>
    </row>
    <row r="956" ht="24" customHeight="1" s="63">
      <c r="E956" s="139" t="n"/>
      <c r="F956" s="139" t="n"/>
      <c r="G956" s="140">
        <f>IFERROR(IF(E956&gt;0,(F956/E956)*1000,""),"")</f>
        <v/>
      </c>
      <c r="H956" s="139">
        <f>IFERROR(IF(E956&gt;0,E956*IF(ISNUMBER(J956),J956,IF(OR(C956="Alpha",B956="Alpha"),$C$7,IF(C956="Futures",$C$6,$C$5))),""),"")</f>
        <v/>
      </c>
      <c r="I956" s="139">
        <f>IFERROR(IF(AND(ISNUMBER(F956),ISNUMBER(H956)),F956-H956,""),"")</f>
        <v/>
      </c>
      <c r="J956" s="114" t="n"/>
      <c r="K956" s="139">
        <f>IFERROR(IF(H956&gt;0,H956*IF(OR(C956="Alpha",B956="Alpha"),$C$9,$C$8),""),"")</f>
        <v/>
      </c>
      <c r="L956" s="139">
        <f>IFERROR(IF(ISNUMBER(F956),F956-IF(ISNUMBER(K956),K956,0),""),"")</f>
        <v/>
      </c>
    </row>
    <row r="957" ht="24" customHeight="1" s="63">
      <c r="E957" s="139" t="n"/>
      <c r="F957" s="139" t="n"/>
      <c r="G957" s="140">
        <f>IFERROR(IF(E957&gt;0,(F957/E957)*1000,""),"")</f>
        <v/>
      </c>
      <c r="H957" s="139">
        <f>IFERROR(IF(E957&gt;0,E957*IF(ISNUMBER(J957),J957,IF(OR(C957="Alpha",B957="Alpha"),$C$7,IF(C957="Futures",$C$6,$C$5))),""),"")</f>
        <v/>
      </c>
      <c r="I957" s="139">
        <f>IFERROR(IF(AND(ISNUMBER(F957),ISNUMBER(H957)),F957-H957,""),"")</f>
        <v/>
      </c>
      <c r="J957" s="114" t="n"/>
      <c r="K957" s="139">
        <f>IFERROR(IF(H957&gt;0,H957*IF(OR(C957="Alpha",B957="Alpha"),$C$9,$C$8),""),"")</f>
        <v/>
      </c>
      <c r="L957" s="139">
        <f>IFERROR(IF(ISNUMBER(F957),F957-IF(ISNUMBER(K957),K957,0),""),"")</f>
        <v/>
      </c>
    </row>
    <row r="958" ht="24" customHeight="1" s="63">
      <c r="E958" s="139" t="n"/>
      <c r="F958" s="139" t="n"/>
      <c r="G958" s="140">
        <f>IFERROR(IF(E958&gt;0,(F958/E958)*1000,""),"")</f>
        <v/>
      </c>
      <c r="H958" s="139">
        <f>IFERROR(IF(E958&gt;0,E958*IF(ISNUMBER(J958),J958,IF(OR(C958="Alpha",B958="Alpha"),$C$7,IF(C958="Futures",$C$6,$C$5))),""),"")</f>
        <v/>
      </c>
      <c r="I958" s="139">
        <f>IFERROR(IF(AND(ISNUMBER(F958),ISNUMBER(H958)),F958-H958,""),"")</f>
        <v/>
      </c>
      <c r="J958" s="114" t="n"/>
      <c r="K958" s="139">
        <f>IFERROR(IF(H958&gt;0,H958*IF(OR(C958="Alpha",B958="Alpha"),$C$9,$C$8),""),"")</f>
        <v/>
      </c>
      <c r="L958" s="139">
        <f>IFERROR(IF(ISNUMBER(F958),F958-IF(ISNUMBER(K958),K958,0),""),"")</f>
        <v/>
      </c>
    </row>
    <row r="959" ht="24" customHeight="1" s="63">
      <c r="E959" s="139" t="n"/>
      <c r="F959" s="139" t="n"/>
      <c r="G959" s="140">
        <f>IFERROR(IF(E959&gt;0,(F959/E959)*1000,""),"")</f>
        <v/>
      </c>
      <c r="H959" s="139">
        <f>IFERROR(IF(E959&gt;0,E959*IF(ISNUMBER(J959),J959,IF(OR(C959="Alpha",B959="Alpha"),$C$7,IF(C959="Futures",$C$6,$C$5))),""),"")</f>
        <v/>
      </c>
      <c r="I959" s="139">
        <f>IFERROR(IF(AND(ISNUMBER(F959),ISNUMBER(H959)),F959-H959,""),"")</f>
        <v/>
      </c>
      <c r="J959" s="114" t="n"/>
      <c r="K959" s="139">
        <f>IFERROR(IF(H959&gt;0,H959*IF(OR(C959="Alpha",B959="Alpha"),$C$9,$C$8),""),"")</f>
        <v/>
      </c>
      <c r="L959" s="139">
        <f>IFERROR(IF(ISNUMBER(F959),F959-IF(ISNUMBER(K959),K959,0),""),"")</f>
        <v/>
      </c>
    </row>
    <row r="960" ht="24" customHeight="1" s="63">
      <c r="E960" s="139" t="n"/>
      <c r="F960" s="139" t="n"/>
      <c r="G960" s="140">
        <f>IFERROR(IF(E960&gt;0,(F960/E960)*1000,""),"")</f>
        <v/>
      </c>
      <c r="H960" s="139">
        <f>IFERROR(IF(E960&gt;0,E960*IF(ISNUMBER(J960),J960,IF(OR(C960="Alpha",B960="Alpha"),$C$7,IF(C960="Futures",$C$6,$C$5))),""),"")</f>
        <v/>
      </c>
      <c r="I960" s="139">
        <f>IFERROR(IF(AND(ISNUMBER(F960),ISNUMBER(H960)),F960-H960,""),"")</f>
        <v/>
      </c>
      <c r="J960" s="114" t="n"/>
      <c r="K960" s="139">
        <f>IFERROR(IF(H960&gt;0,H960*IF(OR(C960="Alpha",B960="Alpha"),$C$9,$C$8),""),"")</f>
        <v/>
      </c>
      <c r="L960" s="139">
        <f>IFERROR(IF(ISNUMBER(F960),F960-IF(ISNUMBER(K960),K960,0),""),"")</f>
        <v/>
      </c>
    </row>
    <row r="961" ht="24" customHeight="1" s="63">
      <c r="E961" s="139" t="n"/>
      <c r="F961" s="139" t="n"/>
      <c r="G961" s="140">
        <f>IFERROR(IF(E961&gt;0,(F961/E961)*1000,""),"")</f>
        <v/>
      </c>
      <c r="H961" s="139">
        <f>IFERROR(IF(E961&gt;0,E961*IF(ISNUMBER(J961),J961,IF(OR(C961="Alpha",B961="Alpha"),$C$7,IF(C961="Futures",$C$6,$C$5))),""),"")</f>
        <v/>
      </c>
      <c r="I961" s="139">
        <f>IFERROR(IF(AND(ISNUMBER(F961),ISNUMBER(H961)),F961-H961,""),"")</f>
        <v/>
      </c>
      <c r="J961" s="114" t="n"/>
      <c r="K961" s="139">
        <f>IFERROR(IF(H961&gt;0,H961*IF(OR(C961="Alpha",B961="Alpha"),$C$9,$C$8),""),"")</f>
        <v/>
      </c>
      <c r="L961" s="139">
        <f>IFERROR(IF(ISNUMBER(F961),F961-IF(ISNUMBER(K961),K961,0),""),"")</f>
        <v/>
      </c>
    </row>
    <row r="962" ht="24" customHeight="1" s="63">
      <c r="E962" s="139" t="n"/>
      <c r="F962" s="139" t="n"/>
      <c r="G962" s="140">
        <f>IFERROR(IF(E962&gt;0,(F962/E962)*1000,""),"")</f>
        <v/>
      </c>
      <c r="H962" s="139">
        <f>IFERROR(IF(E962&gt;0,E962*IF(ISNUMBER(J962),J962,IF(OR(C962="Alpha",B962="Alpha"),$C$7,IF(C962="Futures",$C$6,$C$5))),""),"")</f>
        <v/>
      </c>
      <c r="I962" s="139">
        <f>IFERROR(IF(AND(ISNUMBER(F962),ISNUMBER(H962)),F962-H962,""),"")</f>
        <v/>
      </c>
      <c r="J962" s="114" t="n"/>
      <c r="K962" s="139">
        <f>IFERROR(IF(H962&gt;0,H962*IF(OR(C962="Alpha",B962="Alpha"),$C$9,$C$8),""),"")</f>
        <v/>
      </c>
      <c r="L962" s="139">
        <f>IFERROR(IF(ISNUMBER(F962),F962-IF(ISNUMBER(K962),K962,0),""),"")</f>
        <v/>
      </c>
    </row>
    <row r="963" ht="24" customHeight="1" s="63">
      <c r="E963" s="139" t="n"/>
      <c r="F963" s="139" t="n"/>
      <c r="G963" s="140">
        <f>IFERROR(IF(E963&gt;0,(F963/E963)*1000,""),"")</f>
        <v/>
      </c>
      <c r="H963" s="139">
        <f>IFERROR(IF(E963&gt;0,E963*IF(ISNUMBER(J963),J963,IF(OR(C963="Alpha",B963="Alpha"),$C$7,IF(C963="Futures",$C$6,$C$5))),""),"")</f>
        <v/>
      </c>
      <c r="I963" s="139">
        <f>IFERROR(IF(AND(ISNUMBER(F963),ISNUMBER(H963)),F963-H963,""),"")</f>
        <v/>
      </c>
      <c r="J963" s="114" t="n"/>
      <c r="K963" s="139">
        <f>IFERROR(IF(H963&gt;0,H963*IF(OR(C963="Alpha",B963="Alpha"),$C$9,$C$8),""),"")</f>
        <v/>
      </c>
      <c r="L963" s="139">
        <f>IFERROR(IF(ISNUMBER(F963),F963-IF(ISNUMBER(K963),K963,0),""),"")</f>
        <v/>
      </c>
    </row>
    <row r="964" ht="24" customHeight="1" s="63">
      <c r="E964" s="139" t="n"/>
      <c r="F964" s="139" t="n"/>
      <c r="G964" s="140">
        <f>IFERROR(IF(E964&gt;0,(F964/E964)*1000,""),"")</f>
        <v/>
      </c>
      <c r="H964" s="139">
        <f>IFERROR(IF(E964&gt;0,E964*IF(ISNUMBER(J964),J964,IF(OR(C964="Alpha",B964="Alpha"),$C$7,IF(C964="Futures",$C$6,$C$5))),""),"")</f>
        <v/>
      </c>
      <c r="I964" s="139">
        <f>IFERROR(IF(AND(ISNUMBER(F964),ISNUMBER(H964)),F964-H964,""),"")</f>
        <v/>
      </c>
      <c r="J964" s="114" t="n"/>
      <c r="K964" s="139">
        <f>IFERROR(IF(H964&gt;0,H964*IF(OR(C964="Alpha",B964="Alpha"),$C$9,$C$8),""),"")</f>
        <v/>
      </c>
      <c r="L964" s="139">
        <f>IFERROR(IF(ISNUMBER(F964),F964-IF(ISNUMBER(K964),K964,0),""),"")</f>
        <v/>
      </c>
    </row>
    <row r="965" ht="24" customHeight="1" s="63">
      <c r="E965" s="139" t="n"/>
      <c r="F965" s="139" t="n"/>
      <c r="G965" s="140">
        <f>IFERROR(IF(E965&gt;0,(F965/E965)*1000,""),"")</f>
        <v/>
      </c>
      <c r="H965" s="139">
        <f>IFERROR(IF(E965&gt;0,E965*IF(ISNUMBER(J965),J965,IF(OR(C965="Alpha",B965="Alpha"),$C$7,IF(C965="Futures",$C$6,$C$5))),""),"")</f>
        <v/>
      </c>
      <c r="I965" s="139">
        <f>IFERROR(IF(AND(ISNUMBER(F965),ISNUMBER(H965)),F965-H965,""),"")</f>
        <v/>
      </c>
      <c r="J965" s="114" t="n"/>
      <c r="K965" s="139">
        <f>IFERROR(IF(H965&gt;0,H965*IF(OR(C965="Alpha",B965="Alpha"),$C$9,$C$8),""),"")</f>
        <v/>
      </c>
      <c r="L965" s="139">
        <f>IFERROR(IF(ISNUMBER(F965),F965-IF(ISNUMBER(K965),K965,0),""),"")</f>
        <v/>
      </c>
    </row>
    <row r="966" ht="24" customHeight="1" s="63">
      <c r="E966" s="139" t="n"/>
      <c r="F966" s="139" t="n"/>
      <c r="G966" s="140">
        <f>IFERROR(IF(E966&gt;0,(F966/E966)*1000,""),"")</f>
        <v/>
      </c>
      <c r="H966" s="139">
        <f>IFERROR(IF(E966&gt;0,E966*IF(ISNUMBER(J966),J966,IF(OR(C966="Alpha",B966="Alpha"),$C$7,IF(C966="Futures",$C$6,$C$5))),""),"")</f>
        <v/>
      </c>
      <c r="I966" s="139">
        <f>IFERROR(IF(AND(ISNUMBER(F966),ISNUMBER(H966)),F966-H966,""),"")</f>
        <v/>
      </c>
      <c r="J966" s="114" t="n"/>
      <c r="K966" s="139">
        <f>IFERROR(IF(H966&gt;0,H966*IF(OR(C966="Alpha",B966="Alpha"),$C$9,$C$8),""),"")</f>
        <v/>
      </c>
      <c r="L966" s="139">
        <f>IFERROR(IF(ISNUMBER(F966),F966-IF(ISNUMBER(K966),K966,0),""),"")</f>
        <v/>
      </c>
    </row>
    <row r="967" ht="24" customHeight="1" s="63">
      <c r="E967" s="139" t="n"/>
      <c r="F967" s="139" t="n"/>
      <c r="G967" s="140">
        <f>IFERROR(IF(E967&gt;0,(F967/E967)*1000,""),"")</f>
        <v/>
      </c>
      <c r="H967" s="139">
        <f>IFERROR(IF(E967&gt;0,E967*IF(ISNUMBER(J967),J967,IF(OR(C967="Alpha",B967="Alpha"),$C$7,IF(C967="Futures",$C$6,$C$5))),""),"")</f>
        <v/>
      </c>
      <c r="I967" s="139">
        <f>IFERROR(IF(AND(ISNUMBER(F967),ISNUMBER(H967)),F967-H967,""),"")</f>
        <v/>
      </c>
      <c r="J967" s="114" t="n"/>
      <c r="K967" s="139">
        <f>IFERROR(IF(H967&gt;0,H967*IF(OR(C967="Alpha",B967="Alpha"),$C$9,$C$8),""),"")</f>
        <v/>
      </c>
      <c r="L967" s="139">
        <f>IFERROR(IF(ISNUMBER(F967),F967-IF(ISNUMBER(K967),K967,0),""),"")</f>
        <v/>
      </c>
    </row>
    <row r="968" ht="24" customHeight="1" s="63">
      <c r="E968" s="139" t="n"/>
      <c r="F968" s="139" t="n"/>
      <c r="G968" s="140">
        <f>IFERROR(IF(E968&gt;0,(F968/E968)*1000,""),"")</f>
        <v/>
      </c>
      <c r="H968" s="139">
        <f>IFERROR(IF(E968&gt;0,E968*IF(ISNUMBER(J968),J968,IF(OR(C968="Alpha",B968="Alpha"),$C$7,IF(C968="Futures",$C$6,$C$5))),""),"")</f>
        <v/>
      </c>
      <c r="I968" s="139">
        <f>IFERROR(IF(AND(ISNUMBER(F968),ISNUMBER(H968)),F968-H968,""),"")</f>
        <v/>
      </c>
      <c r="J968" s="114" t="n"/>
      <c r="K968" s="139">
        <f>IFERROR(IF(H968&gt;0,H968*IF(OR(C968="Alpha",B968="Alpha"),$C$9,$C$8),""),"")</f>
        <v/>
      </c>
      <c r="L968" s="139">
        <f>IFERROR(IF(ISNUMBER(F968),F968-IF(ISNUMBER(K968),K968,0),""),"")</f>
        <v/>
      </c>
    </row>
    <row r="969" ht="24" customHeight="1" s="63">
      <c r="E969" s="139" t="n"/>
      <c r="F969" s="139" t="n"/>
      <c r="G969" s="140">
        <f>IFERROR(IF(E969&gt;0,(F969/E969)*1000,""),"")</f>
        <v/>
      </c>
      <c r="H969" s="139">
        <f>IFERROR(IF(E969&gt;0,E969*IF(ISNUMBER(J969),J969,IF(OR(C969="Alpha",B969="Alpha"),$C$7,IF(C969="Futures",$C$6,$C$5))),""),"")</f>
        <v/>
      </c>
      <c r="I969" s="139">
        <f>IFERROR(IF(AND(ISNUMBER(F969),ISNUMBER(H969)),F969-H969,""),"")</f>
        <v/>
      </c>
      <c r="J969" s="114" t="n"/>
      <c r="K969" s="139">
        <f>IFERROR(IF(H969&gt;0,H969*IF(OR(C969="Alpha",B969="Alpha"),$C$9,$C$8),""),"")</f>
        <v/>
      </c>
      <c r="L969" s="139">
        <f>IFERROR(IF(ISNUMBER(F969),F969-IF(ISNUMBER(K969),K969,0),""),"")</f>
        <v/>
      </c>
    </row>
    <row r="970" ht="24" customHeight="1" s="63">
      <c r="E970" s="139" t="n"/>
      <c r="F970" s="139" t="n"/>
      <c r="G970" s="140">
        <f>IFERROR(IF(E970&gt;0,(F970/E970)*1000,""),"")</f>
        <v/>
      </c>
      <c r="H970" s="139">
        <f>IFERROR(IF(E970&gt;0,E970*IF(ISNUMBER(J970),J970,IF(OR(C970="Alpha",B970="Alpha"),$C$7,IF(C970="Futures",$C$6,$C$5))),""),"")</f>
        <v/>
      </c>
      <c r="I970" s="139">
        <f>IFERROR(IF(AND(ISNUMBER(F970),ISNUMBER(H970)),F970-H970,""),"")</f>
        <v/>
      </c>
      <c r="J970" s="114" t="n"/>
      <c r="K970" s="139">
        <f>IFERROR(IF(H970&gt;0,H970*IF(OR(C970="Alpha",B970="Alpha"),$C$9,$C$8),""),"")</f>
        <v/>
      </c>
      <c r="L970" s="139">
        <f>IFERROR(IF(ISNUMBER(F970),F970-IF(ISNUMBER(K970),K970,0),""),"")</f>
        <v/>
      </c>
    </row>
    <row r="971" ht="24" customHeight="1" s="63">
      <c r="E971" s="139" t="n"/>
      <c r="F971" s="139" t="n"/>
      <c r="G971" s="140">
        <f>IFERROR(IF(E971&gt;0,(F971/E971)*1000,""),"")</f>
        <v/>
      </c>
      <c r="H971" s="139">
        <f>IFERROR(IF(E971&gt;0,E971*IF(ISNUMBER(J971),J971,IF(OR(C971="Alpha",B971="Alpha"),$C$7,IF(C971="Futures",$C$6,$C$5))),""),"")</f>
        <v/>
      </c>
      <c r="I971" s="139">
        <f>IFERROR(IF(AND(ISNUMBER(F971),ISNUMBER(H971)),F971-H971,""),"")</f>
        <v/>
      </c>
      <c r="J971" s="114" t="n"/>
      <c r="K971" s="139">
        <f>IFERROR(IF(H971&gt;0,H971*IF(OR(C971="Alpha",B971="Alpha"),$C$9,$C$8),""),"")</f>
        <v/>
      </c>
      <c r="L971" s="139">
        <f>IFERROR(IF(ISNUMBER(F971),F971-IF(ISNUMBER(K971),K971,0),""),"")</f>
        <v/>
      </c>
    </row>
    <row r="972" ht="24" customHeight="1" s="63">
      <c r="E972" s="139" t="n"/>
      <c r="F972" s="139" t="n"/>
      <c r="G972" s="140">
        <f>IFERROR(IF(E972&gt;0,(F972/E972)*1000,""),"")</f>
        <v/>
      </c>
      <c r="H972" s="139">
        <f>IFERROR(IF(E972&gt;0,E972*IF(ISNUMBER(J972),J972,IF(OR(C972="Alpha",B972="Alpha"),$C$7,IF(C972="Futures",$C$6,$C$5))),""),"")</f>
        <v/>
      </c>
      <c r="I972" s="139">
        <f>IFERROR(IF(AND(ISNUMBER(F972),ISNUMBER(H972)),F972-H972,""),"")</f>
        <v/>
      </c>
      <c r="J972" s="114" t="n"/>
      <c r="K972" s="139">
        <f>IFERROR(IF(H972&gt;0,H972*IF(OR(C972="Alpha",B972="Alpha"),$C$9,$C$8),""),"")</f>
        <v/>
      </c>
      <c r="L972" s="139">
        <f>IFERROR(IF(ISNUMBER(F972),F972-IF(ISNUMBER(K972),K972,0),""),"")</f>
        <v/>
      </c>
    </row>
    <row r="973" ht="24" customHeight="1" s="63">
      <c r="E973" s="139" t="n"/>
      <c r="F973" s="139" t="n"/>
      <c r="G973" s="140">
        <f>IFERROR(IF(E973&gt;0,(F973/E973)*1000,""),"")</f>
        <v/>
      </c>
      <c r="H973" s="139">
        <f>IFERROR(IF(E973&gt;0,E973*IF(ISNUMBER(J973),J973,IF(OR(C973="Alpha",B973="Alpha"),$C$7,IF(C973="Futures",$C$6,$C$5))),""),"")</f>
        <v/>
      </c>
      <c r="I973" s="139">
        <f>IFERROR(IF(AND(ISNUMBER(F973),ISNUMBER(H973)),F973-H973,""),"")</f>
        <v/>
      </c>
      <c r="J973" s="114" t="n"/>
      <c r="K973" s="139">
        <f>IFERROR(IF(H973&gt;0,H973*IF(OR(C973="Alpha",B973="Alpha"),$C$9,$C$8),""),"")</f>
        <v/>
      </c>
      <c r="L973" s="139">
        <f>IFERROR(IF(ISNUMBER(F973),F973-IF(ISNUMBER(K973),K973,0),""),"")</f>
        <v/>
      </c>
    </row>
    <row r="974" ht="24" customHeight="1" s="63">
      <c r="E974" s="139" t="n"/>
      <c r="F974" s="139" t="n"/>
      <c r="G974" s="140">
        <f>IFERROR(IF(E974&gt;0,(F974/E974)*1000,""),"")</f>
        <v/>
      </c>
      <c r="H974" s="139">
        <f>IFERROR(IF(E974&gt;0,E974*IF(ISNUMBER(J974),J974,IF(OR(C974="Alpha",B974="Alpha"),$C$7,IF(C974="Futures",$C$6,$C$5))),""),"")</f>
        <v/>
      </c>
      <c r="I974" s="139">
        <f>IFERROR(IF(AND(ISNUMBER(F974),ISNUMBER(H974)),F974-H974,""),"")</f>
        <v/>
      </c>
      <c r="J974" s="114" t="n"/>
      <c r="K974" s="139">
        <f>IFERROR(IF(H974&gt;0,H974*IF(OR(C974="Alpha",B974="Alpha"),$C$9,$C$8),""),"")</f>
        <v/>
      </c>
      <c r="L974" s="139">
        <f>IFERROR(IF(ISNUMBER(F974),F974-IF(ISNUMBER(K974),K974,0),""),"")</f>
        <v/>
      </c>
    </row>
    <row r="975" ht="24" customHeight="1" s="63">
      <c r="E975" s="139" t="n"/>
      <c r="F975" s="139" t="n"/>
      <c r="G975" s="140">
        <f>IFERROR(IF(E975&gt;0,(F975/E975)*1000,""),"")</f>
        <v/>
      </c>
      <c r="H975" s="139">
        <f>IFERROR(IF(E975&gt;0,E975*IF(ISNUMBER(J975),J975,IF(OR(C975="Alpha",B975="Alpha"),$C$7,IF(C975="Futures",$C$6,$C$5))),""),"")</f>
        <v/>
      </c>
      <c r="I975" s="139">
        <f>IFERROR(IF(AND(ISNUMBER(F975),ISNUMBER(H975)),F975-H975,""),"")</f>
        <v/>
      </c>
      <c r="J975" s="114" t="n"/>
      <c r="K975" s="139">
        <f>IFERROR(IF(H975&gt;0,H975*IF(OR(C975="Alpha",B975="Alpha"),$C$9,$C$8),""),"")</f>
        <v/>
      </c>
      <c r="L975" s="139">
        <f>IFERROR(IF(ISNUMBER(F975),F975-IF(ISNUMBER(K975),K975,0),""),"")</f>
        <v/>
      </c>
    </row>
    <row r="976" ht="24" customHeight="1" s="63">
      <c r="E976" s="139" t="n"/>
      <c r="F976" s="139" t="n"/>
      <c r="G976" s="140">
        <f>IFERROR(IF(E976&gt;0,(F976/E976)*1000,""),"")</f>
        <v/>
      </c>
      <c r="H976" s="139">
        <f>IFERROR(IF(E976&gt;0,E976*IF(ISNUMBER(J976),J976,IF(OR(C976="Alpha",B976="Alpha"),$C$7,IF(C976="Futures",$C$6,$C$5))),""),"")</f>
        <v/>
      </c>
      <c r="I976" s="139">
        <f>IFERROR(IF(AND(ISNUMBER(F976),ISNUMBER(H976)),F976-H976,""),"")</f>
        <v/>
      </c>
      <c r="J976" s="114" t="n"/>
      <c r="K976" s="139">
        <f>IFERROR(IF(H976&gt;0,H976*IF(OR(C976="Alpha",B976="Alpha"),$C$9,$C$8),""),"")</f>
        <v/>
      </c>
      <c r="L976" s="139">
        <f>IFERROR(IF(ISNUMBER(F976),F976-IF(ISNUMBER(K976),K976,0),""),"")</f>
        <v/>
      </c>
    </row>
    <row r="977" ht="24" customHeight="1" s="63">
      <c r="E977" s="139" t="n"/>
      <c r="F977" s="139" t="n"/>
      <c r="G977" s="140">
        <f>IFERROR(IF(E977&gt;0,(F977/E977)*1000,""),"")</f>
        <v/>
      </c>
      <c r="H977" s="139">
        <f>IFERROR(IF(E977&gt;0,E977*IF(ISNUMBER(J977),J977,IF(OR(C977="Alpha",B977="Alpha"),$C$7,IF(C977="Futures",$C$6,$C$5))),""),"")</f>
        <v/>
      </c>
      <c r="I977" s="139">
        <f>IFERROR(IF(AND(ISNUMBER(F977),ISNUMBER(H977)),F977-H977,""),"")</f>
        <v/>
      </c>
      <c r="J977" s="114" t="n"/>
      <c r="K977" s="139">
        <f>IFERROR(IF(H977&gt;0,H977*IF(OR(C977="Alpha",B977="Alpha"),$C$9,$C$8),""),"")</f>
        <v/>
      </c>
      <c r="L977" s="139">
        <f>IFERROR(IF(ISNUMBER(F977),F977-IF(ISNUMBER(K977),K977,0),""),"")</f>
        <v/>
      </c>
    </row>
    <row r="978" ht="24" customHeight="1" s="63">
      <c r="E978" s="139" t="n"/>
      <c r="F978" s="139" t="n"/>
      <c r="G978" s="140">
        <f>IFERROR(IF(E978&gt;0,(F978/E978)*1000,""),"")</f>
        <v/>
      </c>
      <c r="H978" s="139">
        <f>IFERROR(IF(E978&gt;0,E978*IF(ISNUMBER(J978),J978,IF(OR(C978="Alpha",B978="Alpha"),$C$7,IF(C978="Futures",$C$6,$C$5))),""),"")</f>
        <v/>
      </c>
      <c r="I978" s="139">
        <f>IFERROR(IF(AND(ISNUMBER(F978),ISNUMBER(H978)),F978-H978,""),"")</f>
        <v/>
      </c>
      <c r="J978" s="114" t="n"/>
      <c r="K978" s="139">
        <f>IFERROR(IF(H978&gt;0,H978*IF(OR(C978="Alpha",B978="Alpha"),$C$9,$C$8),""),"")</f>
        <v/>
      </c>
      <c r="L978" s="139">
        <f>IFERROR(IF(ISNUMBER(F978),F978-IF(ISNUMBER(K978),K978,0),""),"")</f>
        <v/>
      </c>
    </row>
    <row r="979" ht="24" customHeight="1" s="63">
      <c r="E979" s="139" t="n"/>
      <c r="F979" s="139" t="n"/>
      <c r="G979" s="140">
        <f>IFERROR(IF(E979&gt;0,(F979/E979)*1000,""),"")</f>
        <v/>
      </c>
      <c r="H979" s="139">
        <f>IFERROR(IF(E979&gt;0,E979*IF(ISNUMBER(J979),J979,IF(OR(C979="Alpha",B979="Alpha"),$C$7,IF(C979="Futures",$C$6,$C$5))),""),"")</f>
        <v/>
      </c>
      <c r="I979" s="139">
        <f>IFERROR(IF(AND(ISNUMBER(F979),ISNUMBER(H979)),F979-H979,""),"")</f>
        <v/>
      </c>
      <c r="J979" s="114" t="n"/>
      <c r="K979" s="139">
        <f>IFERROR(IF(H979&gt;0,H979*IF(OR(C979="Alpha",B979="Alpha"),$C$9,$C$8),""),"")</f>
        <v/>
      </c>
      <c r="L979" s="139">
        <f>IFERROR(IF(ISNUMBER(F979),F979-IF(ISNUMBER(K979),K979,0),""),"")</f>
        <v/>
      </c>
    </row>
    <row r="980" ht="24" customHeight="1" s="63">
      <c r="E980" s="139" t="n"/>
      <c r="F980" s="139" t="n"/>
      <c r="G980" s="140">
        <f>IFERROR(IF(E980&gt;0,(F980/E980)*1000,""),"")</f>
        <v/>
      </c>
      <c r="H980" s="139">
        <f>IFERROR(IF(E980&gt;0,E980*IF(ISNUMBER(J980),J980,IF(OR(C980="Alpha",B980="Alpha"),$C$7,IF(C980="Futures",$C$6,$C$5))),""),"")</f>
        <v/>
      </c>
      <c r="I980" s="139">
        <f>IFERROR(IF(AND(ISNUMBER(F980),ISNUMBER(H980)),F980-H980,""),"")</f>
        <v/>
      </c>
      <c r="J980" s="114" t="n"/>
      <c r="K980" s="139">
        <f>IFERROR(IF(H980&gt;0,H980*IF(OR(C980="Alpha",B980="Alpha"),$C$9,$C$8),""),"")</f>
        <v/>
      </c>
      <c r="L980" s="139">
        <f>IFERROR(IF(ISNUMBER(F980),F980-IF(ISNUMBER(K980),K980,0),""),"")</f>
        <v/>
      </c>
    </row>
    <row r="981" ht="24" customHeight="1" s="63">
      <c r="E981" s="139" t="n"/>
      <c r="F981" s="139" t="n"/>
      <c r="G981" s="140">
        <f>IFERROR(IF(E981&gt;0,(F981/E981)*1000,""),"")</f>
        <v/>
      </c>
      <c r="H981" s="139">
        <f>IFERROR(IF(E981&gt;0,E981*IF(ISNUMBER(J981),J981,IF(OR(C981="Alpha",B981="Alpha"),$C$7,IF(C981="Futures",$C$6,$C$5))),""),"")</f>
        <v/>
      </c>
      <c r="I981" s="139">
        <f>IFERROR(IF(AND(ISNUMBER(F981),ISNUMBER(H981)),F981-H981,""),"")</f>
        <v/>
      </c>
      <c r="J981" s="114" t="n"/>
      <c r="K981" s="139">
        <f>IFERROR(IF(H981&gt;0,H981*IF(OR(C981="Alpha",B981="Alpha"),$C$9,$C$8),""),"")</f>
        <v/>
      </c>
      <c r="L981" s="139">
        <f>IFERROR(IF(ISNUMBER(F981),F981-IF(ISNUMBER(K981),K981,0),""),"")</f>
        <v/>
      </c>
    </row>
    <row r="982" ht="24" customHeight="1" s="63">
      <c r="E982" s="139" t="n"/>
      <c r="F982" s="139" t="n"/>
      <c r="G982" s="140">
        <f>IFERROR(IF(E982&gt;0,(F982/E982)*1000,""),"")</f>
        <v/>
      </c>
      <c r="H982" s="139">
        <f>IFERROR(IF(E982&gt;0,E982*IF(ISNUMBER(J982),J982,IF(OR(C982="Alpha",B982="Alpha"),$C$7,IF(C982="Futures",$C$6,$C$5))),""),"")</f>
        <v/>
      </c>
      <c r="I982" s="139">
        <f>IFERROR(IF(AND(ISNUMBER(F982),ISNUMBER(H982)),F982-H982,""),"")</f>
        <v/>
      </c>
      <c r="J982" s="114" t="n"/>
      <c r="K982" s="139">
        <f>IFERROR(IF(H982&gt;0,H982*IF(OR(C982="Alpha",B982="Alpha"),$C$9,$C$8),""),"")</f>
        <v/>
      </c>
      <c r="L982" s="139">
        <f>IFERROR(IF(ISNUMBER(F982),F982-IF(ISNUMBER(K982),K982,0),""),"")</f>
        <v/>
      </c>
    </row>
    <row r="983" ht="24" customHeight="1" s="63">
      <c r="E983" s="139" t="n"/>
      <c r="F983" s="139" t="n"/>
      <c r="G983" s="140">
        <f>IFERROR(IF(E983&gt;0,(F983/E983)*1000,""),"")</f>
        <v/>
      </c>
      <c r="H983" s="139">
        <f>IFERROR(IF(E983&gt;0,E983*IF(ISNUMBER(J983),J983,IF(OR(C983="Alpha",B983="Alpha"),$C$7,IF(C983="Futures",$C$6,$C$5))),""),"")</f>
        <v/>
      </c>
      <c r="I983" s="139">
        <f>IFERROR(IF(AND(ISNUMBER(F983),ISNUMBER(H983)),F983-H983,""),"")</f>
        <v/>
      </c>
      <c r="J983" s="114" t="n"/>
      <c r="K983" s="139">
        <f>IFERROR(IF(H983&gt;0,H983*IF(OR(C983="Alpha",B983="Alpha"),$C$9,$C$8),""),"")</f>
        <v/>
      </c>
      <c r="L983" s="139">
        <f>IFERROR(IF(ISNUMBER(F983),F983-IF(ISNUMBER(K983),K983,0),""),"")</f>
        <v/>
      </c>
    </row>
    <row r="984" ht="24" customHeight="1" s="63">
      <c r="E984" s="139" t="n"/>
      <c r="F984" s="139" t="n"/>
      <c r="G984" s="140">
        <f>IFERROR(IF(E984&gt;0,(F984/E984)*1000,""),"")</f>
        <v/>
      </c>
      <c r="H984" s="139">
        <f>IFERROR(IF(E984&gt;0,E984*IF(ISNUMBER(J984),J984,IF(OR(C984="Alpha",B984="Alpha"),$C$7,IF(C984="Futures",$C$6,$C$5))),""),"")</f>
        <v/>
      </c>
      <c r="I984" s="139">
        <f>IFERROR(IF(AND(ISNUMBER(F984),ISNUMBER(H984)),F984-H984,""),"")</f>
        <v/>
      </c>
      <c r="J984" s="114" t="n"/>
      <c r="K984" s="139">
        <f>IFERROR(IF(H984&gt;0,H984*IF(OR(C984="Alpha",B984="Alpha"),$C$9,$C$8),""),"")</f>
        <v/>
      </c>
      <c r="L984" s="139">
        <f>IFERROR(IF(ISNUMBER(F984),F984-IF(ISNUMBER(K984),K984,0),""),"")</f>
        <v/>
      </c>
    </row>
    <row r="985" ht="24" customHeight="1" s="63">
      <c r="E985" s="139" t="n"/>
      <c r="F985" s="139" t="n"/>
      <c r="G985" s="140">
        <f>IFERROR(IF(E985&gt;0,(F985/E985)*1000,""),"")</f>
        <v/>
      </c>
      <c r="H985" s="139">
        <f>IFERROR(IF(E985&gt;0,E985*IF(ISNUMBER(J985),J985,IF(OR(C985="Alpha",B985="Alpha"),$C$7,IF(C985="Futures",$C$6,$C$5))),""),"")</f>
        <v/>
      </c>
      <c r="I985" s="139">
        <f>IFERROR(IF(AND(ISNUMBER(F985),ISNUMBER(H985)),F985-H985,""),"")</f>
        <v/>
      </c>
      <c r="J985" s="114" t="n"/>
      <c r="K985" s="139">
        <f>IFERROR(IF(H985&gt;0,H985*IF(OR(C985="Alpha",B985="Alpha"),$C$9,$C$8),""),"")</f>
        <v/>
      </c>
      <c r="L985" s="139">
        <f>IFERROR(IF(ISNUMBER(F985),F985-IF(ISNUMBER(K985),K985,0),""),"")</f>
        <v/>
      </c>
    </row>
    <row r="986" ht="24" customHeight="1" s="63">
      <c r="E986" s="139" t="n"/>
      <c r="F986" s="139" t="n"/>
      <c r="G986" s="140">
        <f>IFERROR(IF(E986&gt;0,(F986/E986)*1000,""),"")</f>
        <v/>
      </c>
      <c r="H986" s="139">
        <f>IFERROR(IF(E986&gt;0,E986*IF(ISNUMBER(J986),J986,IF(OR(C986="Alpha",B986="Alpha"),$C$7,IF(C986="Futures",$C$6,$C$5))),""),"")</f>
        <v/>
      </c>
      <c r="I986" s="139">
        <f>IFERROR(IF(AND(ISNUMBER(F986),ISNUMBER(H986)),F986-H986,""),"")</f>
        <v/>
      </c>
      <c r="J986" s="114" t="n"/>
      <c r="K986" s="139">
        <f>IFERROR(IF(H986&gt;0,H986*IF(OR(C986="Alpha",B986="Alpha"),$C$9,$C$8),""),"")</f>
        <v/>
      </c>
      <c r="L986" s="139">
        <f>IFERROR(IF(ISNUMBER(F986),F986-IF(ISNUMBER(K986),K986,0),""),"")</f>
        <v/>
      </c>
    </row>
    <row r="987" ht="24" customHeight="1" s="63">
      <c r="E987" s="139" t="n"/>
      <c r="F987" s="139" t="n"/>
      <c r="G987" s="140">
        <f>IFERROR(IF(E987&gt;0,(F987/E987)*1000,""),"")</f>
        <v/>
      </c>
      <c r="H987" s="139">
        <f>IFERROR(IF(E987&gt;0,E987*IF(ISNUMBER(J987),J987,IF(OR(C987="Alpha",B987="Alpha"),$C$7,IF(C987="Futures",$C$6,$C$5))),""),"")</f>
        <v/>
      </c>
      <c r="I987" s="139">
        <f>IFERROR(IF(AND(ISNUMBER(F987),ISNUMBER(H987)),F987-H987,""),"")</f>
        <v/>
      </c>
      <c r="J987" s="114" t="n"/>
      <c r="K987" s="139">
        <f>IFERROR(IF(H987&gt;0,H987*IF(OR(C987="Alpha",B987="Alpha"),$C$9,$C$8),""),"")</f>
        <v/>
      </c>
      <c r="L987" s="139">
        <f>IFERROR(IF(ISNUMBER(F987),F987-IF(ISNUMBER(K987),K987,0),""),"")</f>
        <v/>
      </c>
    </row>
    <row r="988" ht="24" customHeight="1" s="63">
      <c r="E988" s="139" t="n"/>
      <c r="F988" s="139" t="n"/>
      <c r="G988" s="140">
        <f>IFERROR(IF(E988&gt;0,(F988/E988)*1000,""),"")</f>
        <v/>
      </c>
      <c r="H988" s="139">
        <f>IFERROR(IF(E988&gt;0,E988*IF(ISNUMBER(J988),J988,IF(OR(C988="Alpha",B988="Alpha"),$C$7,IF(C988="Futures",$C$6,$C$5))),""),"")</f>
        <v/>
      </c>
      <c r="I988" s="139">
        <f>IFERROR(IF(AND(ISNUMBER(F988),ISNUMBER(H988)),F988-H988,""),"")</f>
        <v/>
      </c>
      <c r="J988" s="114" t="n"/>
      <c r="K988" s="139">
        <f>IFERROR(IF(H988&gt;0,H988*IF(OR(C988="Alpha",B988="Alpha"),$C$9,$C$8),""),"")</f>
        <v/>
      </c>
      <c r="L988" s="139">
        <f>IFERROR(IF(ISNUMBER(F988),F988-IF(ISNUMBER(K988),K988,0),""),"")</f>
        <v/>
      </c>
    </row>
    <row r="989" ht="24" customHeight="1" s="63">
      <c r="E989" s="139" t="n"/>
      <c r="F989" s="139" t="n"/>
      <c r="G989" s="140">
        <f>IFERROR(IF(E989&gt;0,(F989/E989)*1000,""),"")</f>
        <v/>
      </c>
      <c r="H989" s="139">
        <f>IFERROR(IF(E989&gt;0,E989*IF(ISNUMBER(J989),J989,IF(OR(C989="Alpha",B989="Alpha"),$C$7,IF(C989="Futures",$C$6,$C$5))),""),"")</f>
        <v/>
      </c>
      <c r="I989" s="139">
        <f>IFERROR(IF(AND(ISNUMBER(F989),ISNUMBER(H989)),F989-H989,""),"")</f>
        <v/>
      </c>
      <c r="J989" s="114" t="n"/>
      <c r="K989" s="139">
        <f>IFERROR(IF(H989&gt;0,H989*IF(OR(C989="Alpha",B989="Alpha"),$C$9,$C$8),""),"")</f>
        <v/>
      </c>
      <c r="L989" s="139">
        <f>IFERROR(IF(ISNUMBER(F989),F989-IF(ISNUMBER(K989),K989,0),""),"")</f>
        <v/>
      </c>
    </row>
    <row r="990" ht="24" customHeight="1" s="63">
      <c r="E990" s="139" t="n"/>
      <c r="F990" s="139" t="n"/>
      <c r="G990" s="140">
        <f>IFERROR(IF(E990&gt;0,(F990/E990)*1000,""),"")</f>
        <v/>
      </c>
      <c r="H990" s="139">
        <f>IFERROR(IF(E990&gt;0,E990*IF(ISNUMBER(J990),J990,IF(OR(C990="Alpha",B990="Alpha"),$C$7,IF(C990="Futures",$C$6,$C$5))),""),"")</f>
        <v/>
      </c>
      <c r="I990" s="139">
        <f>IFERROR(IF(AND(ISNUMBER(F990),ISNUMBER(H990)),F990-H990,""),"")</f>
        <v/>
      </c>
      <c r="J990" s="114" t="n"/>
      <c r="K990" s="139">
        <f>IFERROR(IF(H990&gt;0,H990*IF(OR(C990="Alpha",B990="Alpha"),$C$9,$C$8),""),"")</f>
        <v/>
      </c>
      <c r="L990" s="139">
        <f>IFERROR(IF(ISNUMBER(F990),F990-IF(ISNUMBER(K990),K990,0),""),"")</f>
        <v/>
      </c>
    </row>
    <row r="991" ht="24" customHeight="1" s="63">
      <c r="E991" s="139" t="n"/>
      <c r="F991" s="139" t="n"/>
      <c r="G991" s="140">
        <f>IFERROR(IF(E991&gt;0,(F991/E991)*1000,""),"")</f>
        <v/>
      </c>
      <c r="H991" s="139">
        <f>IFERROR(IF(E991&gt;0,E991*IF(ISNUMBER(J991),J991,IF(OR(C991="Alpha",B991="Alpha"),$C$7,IF(C991="Futures",$C$6,$C$5))),""),"")</f>
        <v/>
      </c>
      <c r="I991" s="139">
        <f>IFERROR(IF(AND(ISNUMBER(F991),ISNUMBER(H991)),F991-H991,""),"")</f>
        <v/>
      </c>
      <c r="J991" s="114" t="n"/>
      <c r="K991" s="139">
        <f>IFERROR(IF(H991&gt;0,H991*IF(OR(C991="Alpha",B991="Alpha"),$C$9,$C$8),""),"")</f>
        <v/>
      </c>
      <c r="L991" s="139">
        <f>IFERROR(IF(ISNUMBER(F991),F991-IF(ISNUMBER(K991),K991,0),""),"")</f>
        <v/>
      </c>
    </row>
    <row r="992" ht="24" customHeight="1" s="63">
      <c r="E992" s="139" t="n"/>
      <c r="F992" s="139" t="n"/>
      <c r="G992" s="140">
        <f>IFERROR(IF(E992&gt;0,(F992/E992)*1000,""),"")</f>
        <v/>
      </c>
      <c r="H992" s="139">
        <f>IFERROR(IF(E992&gt;0,E992*IF(ISNUMBER(J992),J992,IF(OR(C992="Alpha",B992="Alpha"),$C$7,IF(C992="Futures",$C$6,$C$5))),""),"")</f>
        <v/>
      </c>
      <c r="I992" s="139">
        <f>IFERROR(IF(AND(ISNUMBER(F992),ISNUMBER(H992)),F992-H992,""),"")</f>
        <v/>
      </c>
      <c r="J992" s="114" t="n"/>
      <c r="K992" s="139">
        <f>IFERROR(IF(H992&gt;0,H992*IF(OR(C992="Alpha",B992="Alpha"),$C$9,$C$8),""),"")</f>
        <v/>
      </c>
      <c r="L992" s="139">
        <f>IFERROR(IF(ISNUMBER(F992),F992-IF(ISNUMBER(K992),K992,0),""),"")</f>
        <v/>
      </c>
    </row>
    <row r="993" ht="24" customHeight="1" s="63">
      <c r="E993" s="139" t="n"/>
      <c r="F993" s="139" t="n"/>
      <c r="G993" s="140">
        <f>IFERROR(IF(E993&gt;0,(F993/E993)*1000,""),"")</f>
        <v/>
      </c>
      <c r="H993" s="139">
        <f>IFERROR(IF(E993&gt;0,E993*IF(ISNUMBER(J993),J993,IF(OR(C993="Alpha",B993="Alpha"),$C$7,IF(C993="Futures",$C$6,$C$5))),""),"")</f>
        <v/>
      </c>
      <c r="I993" s="139">
        <f>IFERROR(IF(AND(ISNUMBER(F993),ISNUMBER(H993)),F993-H993,""),"")</f>
        <v/>
      </c>
      <c r="J993" s="114" t="n"/>
      <c r="K993" s="139">
        <f>IFERROR(IF(H993&gt;0,H993*IF(OR(C993="Alpha",B993="Alpha"),$C$9,$C$8),""),"")</f>
        <v/>
      </c>
      <c r="L993" s="139">
        <f>IFERROR(IF(ISNUMBER(F993),F993-IF(ISNUMBER(K993),K993,0),""),"")</f>
        <v/>
      </c>
    </row>
    <row r="994" ht="24" customHeight="1" s="63">
      <c r="E994" s="139" t="n"/>
      <c r="F994" s="139" t="n"/>
      <c r="G994" s="140">
        <f>IFERROR(IF(E994&gt;0,(F994/E994)*1000,""),"")</f>
        <v/>
      </c>
      <c r="H994" s="139">
        <f>IFERROR(IF(E994&gt;0,E994*IF(ISNUMBER(J994),J994,IF(OR(C994="Alpha",B994="Alpha"),$C$7,IF(C994="Futures",$C$6,$C$5))),""),"")</f>
        <v/>
      </c>
      <c r="I994" s="139">
        <f>IFERROR(IF(AND(ISNUMBER(F994),ISNUMBER(H994)),F994-H994,""),"")</f>
        <v/>
      </c>
      <c r="J994" s="114" t="n"/>
      <c r="K994" s="139">
        <f>IFERROR(IF(H994&gt;0,H994*IF(OR(C994="Alpha",B994="Alpha"),$C$9,$C$8),""),"")</f>
        <v/>
      </c>
      <c r="L994" s="139">
        <f>IFERROR(IF(ISNUMBER(F994),F994-IF(ISNUMBER(K994),K994,0),""),"")</f>
        <v/>
      </c>
    </row>
    <row r="995" ht="24" customHeight="1" s="63">
      <c r="E995" s="139" t="n"/>
      <c r="F995" s="139" t="n"/>
      <c r="G995" s="140">
        <f>IFERROR(IF(E995&gt;0,(F995/E995)*1000,""),"")</f>
        <v/>
      </c>
      <c r="H995" s="139">
        <f>IFERROR(IF(E995&gt;0,E995*IF(ISNUMBER(J995),J995,IF(OR(C995="Alpha",B995="Alpha"),$C$7,IF(C995="Futures",$C$6,$C$5))),""),"")</f>
        <v/>
      </c>
      <c r="I995" s="139">
        <f>IFERROR(IF(AND(ISNUMBER(F995),ISNUMBER(H995)),F995-H995,""),"")</f>
        <v/>
      </c>
      <c r="J995" s="114" t="n"/>
      <c r="K995" s="139">
        <f>IFERROR(IF(H995&gt;0,H995*IF(OR(C995="Alpha",B995="Alpha"),$C$9,$C$8),""),"")</f>
        <v/>
      </c>
      <c r="L995" s="139">
        <f>IFERROR(IF(ISNUMBER(F995),F995-IF(ISNUMBER(K995),K995,0),""),"")</f>
        <v/>
      </c>
    </row>
    <row r="996" ht="24" customHeight="1" s="63">
      <c r="E996" s="139" t="n"/>
      <c r="F996" s="139" t="n"/>
      <c r="G996" s="140">
        <f>IFERROR(IF(E996&gt;0,(F996/E996)*1000,""),"")</f>
        <v/>
      </c>
      <c r="H996" s="139">
        <f>IFERROR(IF(E996&gt;0,E996*IF(ISNUMBER(J996),J996,IF(OR(C996="Alpha",B996="Alpha"),$C$7,IF(C996="Futures",$C$6,$C$5))),""),"")</f>
        <v/>
      </c>
      <c r="I996" s="139">
        <f>IFERROR(IF(AND(ISNUMBER(F996),ISNUMBER(H996)),F996-H996,""),"")</f>
        <v/>
      </c>
      <c r="J996" s="114" t="n"/>
      <c r="K996" s="139">
        <f>IFERROR(IF(H996&gt;0,H996*IF(OR(C996="Alpha",B996="Alpha"),$C$9,$C$8),""),"")</f>
        <v/>
      </c>
      <c r="L996" s="139">
        <f>IFERROR(IF(ISNUMBER(F996),F996-IF(ISNUMBER(K996),K996,0),""),"")</f>
        <v/>
      </c>
    </row>
    <row r="997" ht="24" customHeight="1" s="63">
      <c r="E997" s="139" t="n"/>
      <c r="F997" s="139" t="n"/>
      <c r="G997" s="140">
        <f>IFERROR(IF(E997&gt;0,(F997/E997)*1000,""),"")</f>
        <v/>
      </c>
      <c r="H997" s="139">
        <f>IFERROR(IF(E997&gt;0,E997*IF(ISNUMBER(J997),J997,IF(OR(C997="Alpha",B997="Alpha"),$C$7,IF(C997="Futures",$C$6,$C$5))),""),"")</f>
        <v/>
      </c>
      <c r="I997" s="139">
        <f>IFERROR(IF(AND(ISNUMBER(F997),ISNUMBER(H997)),F997-H997,""),"")</f>
        <v/>
      </c>
      <c r="J997" s="114" t="n"/>
      <c r="K997" s="139">
        <f>IFERROR(IF(H997&gt;0,H997*IF(OR(C997="Alpha",B997="Alpha"),$C$9,$C$8),""),"")</f>
        <v/>
      </c>
      <c r="L997" s="139">
        <f>IFERROR(IF(ISNUMBER(F997),F997-IF(ISNUMBER(K997),K997,0),""),"")</f>
        <v/>
      </c>
    </row>
    <row r="998" ht="24" customHeight="1" s="63">
      <c r="E998" s="139" t="n"/>
      <c r="F998" s="139" t="n"/>
      <c r="G998" s="140">
        <f>IFERROR(IF(E998&gt;0,(F998/E998)*1000,""),"")</f>
        <v/>
      </c>
      <c r="H998" s="139">
        <f>IFERROR(IF(E998&gt;0,E998*IF(ISNUMBER(J998),J998,IF(OR(C998="Alpha",B998="Alpha"),$C$7,IF(C998="Futures",$C$6,$C$5))),""),"")</f>
        <v/>
      </c>
      <c r="I998" s="139">
        <f>IFERROR(IF(AND(ISNUMBER(F998),ISNUMBER(H998)),F998-H998,""),"")</f>
        <v/>
      </c>
      <c r="J998" s="114" t="n"/>
      <c r="K998" s="139">
        <f>IFERROR(IF(H998&gt;0,H998*IF(OR(C998="Alpha",B998="Alpha"),$C$9,$C$8),""),"")</f>
        <v/>
      </c>
      <c r="L998" s="139">
        <f>IFERROR(IF(ISNUMBER(F998),F998-IF(ISNUMBER(K998),K998,0),""),"")</f>
        <v/>
      </c>
    </row>
    <row r="999" ht="24" customHeight="1" s="63">
      <c r="E999" s="139" t="n"/>
      <c r="F999" s="139" t="n"/>
      <c r="G999" s="140">
        <f>IFERROR(IF(E999&gt;0,(F999/E999)*1000,""),"")</f>
        <v/>
      </c>
      <c r="H999" s="139">
        <f>IFERROR(IF(E999&gt;0,E999*IF(ISNUMBER(J999),J999,IF(OR(C999="Alpha",B999="Alpha"),$C$7,IF(C999="Futures",$C$6,$C$5))),""),"")</f>
        <v/>
      </c>
      <c r="I999" s="139">
        <f>IFERROR(IF(AND(ISNUMBER(F999),ISNUMBER(H999)),F999-H999,""),"")</f>
        <v/>
      </c>
      <c r="J999" s="114" t="n"/>
      <c r="K999" s="139">
        <f>IFERROR(IF(H999&gt;0,H999*IF(OR(C999="Alpha",B999="Alpha"),$C$9,$C$8),""),"")</f>
        <v/>
      </c>
      <c r="L999" s="139">
        <f>IFERROR(IF(ISNUMBER(F999),F999-IF(ISNUMBER(K999),K999,0),""),"")</f>
        <v/>
      </c>
    </row>
    <row r="1000" ht="24" customHeight="1" s="63">
      <c r="E1000" s="139" t="n"/>
      <c r="F1000" s="139" t="n"/>
      <c r="G1000" s="140">
        <f>IFERROR(IF(E1000&gt;0,(F1000/E1000)*1000,""),"")</f>
        <v/>
      </c>
      <c r="H1000" s="139">
        <f>IFERROR(IF(E1000&gt;0,E1000*IF(ISNUMBER(J1000),J1000,IF(OR(C1000="Alpha",B1000="Alpha"),$C$7,IF(C1000="Futures",$C$6,$C$5))),""),"")</f>
        <v/>
      </c>
      <c r="I1000" s="139">
        <f>IFERROR(IF(AND(ISNUMBER(F1000),ISNUMBER(H1000)),F1000-H1000,""),"")</f>
        <v/>
      </c>
      <c r="J1000" s="114" t="n"/>
      <c r="K1000" s="139">
        <f>IFERROR(IF(H1000&gt;0,H1000*IF(OR(C1000="Alpha",B1000="Alpha"),$C$9,$C$8),""),"")</f>
        <v/>
      </c>
      <c r="L1000" s="139">
        <f>IFERROR(IF(ISNUMBER(F1000),F1000-IF(ISNUMBER(K1000),K1000,0),""),"")</f>
        <v/>
      </c>
    </row>
    <row r="1001" ht="24" customHeight="1" s="63">
      <c r="E1001" s="139" t="n"/>
      <c r="F1001" s="139" t="n"/>
      <c r="G1001" s="140">
        <f>IFERROR(IF(E1001&gt;0,(F1001/E1001)*1000,""),"")</f>
        <v/>
      </c>
      <c r="H1001" s="139">
        <f>IFERROR(IF(E1001&gt;0,E1001*IF(ISNUMBER(J1001),J1001,IF(OR(C1001="Alpha",B1001="Alpha"),$C$7,IF(C1001="Futures",$C$6,$C$5))),""),"")</f>
        <v/>
      </c>
      <c r="I1001" s="139">
        <f>IFERROR(IF(AND(ISNUMBER(F1001),ISNUMBER(H1001)),F1001-H1001,""),"")</f>
        <v/>
      </c>
      <c r="J1001" s="114" t="n"/>
      <c r="K1001" s="139">
        <f>IFERROR(IF(H1001&gt;0,H1001*IF(OR(C1001="Alpha",B1001="Alpha"),$C$9,$C$8),""),"")</f>
        <v/>
      </c>
      <c r="L1001" s="139">
        <f>IFERROR(IF(ISNUMBER(F1001),F1001-IF(ISNUMBER(K1001),K1001,0),""),"")</f>
        <v/>
      </c>
    </row>
    <row r="1002" ht="24" customHeight="1" s="63">
      <c r="E1002" s="139" t="n"/>
      <c r="F1002" s="139" t="n"/>
      <c r="G1002" s="140">
        <f>IFERROR(IF(E1002&gt;0,(F1002/E1002)*1000,""),"")</f>
        <v/>
      </c>
      <c r="H1002" s="139">
        <f>IFERROR(IF(E1002&gt;0,E1002*IF(ISNUMBER(J1002),J1002,IF(OR(C1002="Alpha",B1002="Alpha"),$C$7,IF(C1002="Futures",$C$6,$C$5))),""),"")</f>
        <v/>
      </c>
      <c r="I1002" s="139">
        <f>IFERROR(IF(AND(ISNUMBER(F1002),ISNUMBER(H1002)),F1002-H1002,""),"")</f>
        <v/>
      </c>
      <c r="J1002" s="114" t="n"/>
      <c r="K1002" s="139">
        <f>IFERROR(IF(H1002&gt;0,H1002*IF(OR(C1002="Alpha",B1002="Alpha"),$C$9,$C$8),""),"")</f>
        <v/>
      </c>
      <c r="L1002" s="139">
        <f>IFERROR(IF(ISNUMBER(F1002),F1002-IF(ISNUMBER(K1002),K1002,0),""),"")</f>
        <v/>
      </c>
    </row>
    <row r="1003" ht="24" customHeight="1" s="63">
      <c r="E1003" s="139" t="n"/>
      <c r="F1003" s="139" t="n"/>
      <c r="G1003" s="140">
        <f>IFERROR(IF(E1003&gt;0,(F1003/E1003)*1000,""),"")</f>
        <v/>
      </c>
      <c r="H1003" s="139">
        <f>IFERROR(IF(E1003&gt;0,E1003*IF(ISNUMBER(J1003),J1003,IF(OR(C1003="Alpha",B1003="Alpha"),$C$7,IF(C1003="Futures",$C$6,$C$5))),""),"")</f>
        <v/>
      </c>
      <c r="I1003" s="139">
        <f>IFERROR(IF(AND(ISNUMBER(F1003),ISNUMBER(H1003)),F1003-H1003,""),"")</f>
        <v/>
      </c>
      <c r="J1003" s="114" t="n"/>
      <c r="K1003" s="139">
        <f>IFERROR(IF(H1003&gt;0,H1003*IF(OR(C1003="Alpha",B1003="Alpha"),$C$9,$C$8),""),"")</f>
        <v/>
      </c>
      <c r="L1003" s="139">
        <f>IFERROR(IF(ISNUMBER(F1003),F1003-IF(ISNUMBER(K1003),K1003,0),""),"")</f>
        <v/>
      </c>
    </row>
    <row r="1004" ht="24" customHeight="1" s="63">
      <c r="E1004" s="139" t="n"/>
      <c r="F1004" s="139" t="n"/>
      <c r="G1004" s="140">
        <f>IFERROR(IF(E1004&gt;0,(F1004/E1004)*1000,""),"")</f>
        <v/>
      </c>
      <c r="H1004" s="139">
        <f>IFERROR(IF(E1004&gt;0,E1004*IF(ISNUMBER(J1004),J1004,IF(OR(C1004="Alpha",B1004="Alpha"),$C$7,IF(C1004="Futures",$C$6,$C$5))),""),"")</f>
        <v/>
      </c>
      <c r="I1004" s="139">
        <f>IFERROR(IF(AND(ISNUMBER(F1004),ISNUMBER(H1004)),F1004-H1004,""),"")</f>
        <v/>
      </c>
      <c r="J1004" s="114" t="n"/>
      <c r="K1004" s="139">
        <f>IFERROR(IF(H1004&gt;0,H1004*IF(OR(C1004="Alpha",B1004="Alpha"),$C$9,$C$8),""),"")</f>
        <v/>
      </c>
      <c r="L1004" s="139">
        <f>IFERROR(IF(ISNUMBER(F1004),F1004-IF(ISNUMBER(K1004),K1004,0),""),"")</f>
        <v/>
      </c>
    </row>
    <row r="1005" ht="24" customHeight="1" s="63">
      <c r="E1005" s="139" t="n"/>
      <c r="F1005" s="139" t="n"/>
      <c r="G1005" s="140">
        <f>IFERROR(IF(E1005&gt;0,(F1005/E1005)*1000,""),"")</f>
        <v/>
      </c>
      <c r="H1005" s="139">
        <f>IFERROR(IF(E1005&gt;0,E1005*IF(ISNUMBER(J1005),J1005,IF(OR(C1005="Alpha",B1005="Alpha"),$C$7,IF(C1005="Futures",$C$6,$C$5))),""),"")</f>
        <v/>
      </c>
      <c r="I1005" s="139">
        <f>IFERROR(IF(AND(ISNUMBER(F1005),ISNUMBER(H1005)),F1005-H1005,""),"")</f>
        <v/>
      </c>
      <c r="J1005" s="114" t="n"/>
      <c r="K1005" s="139">
        <f>IFERROR(IF(H1005&gt;0,H1005*IF(OR(C1005="Alpha",B1005="Alpha"),$C$9,$C$8),""),"")</f>
        <v/>
      </c>
      <c r="L1005" s="139">
        <f>IFERROR(IF(ISNUMBER(F1005),F1005-IF(ISNUMBER(K1005),K1005,0),""),"")</f>
        <v/>
      </c>
    </row>
    <row r="1006" ht="24" customHeight="1" s="63">
      <c r="E1006" s="139" t="n"/>
      <c r="F1006" s="139" t="n"/>
      <c r="G1006" s="140">
        <f>IFERROR(IF(E1006&gt;0,(F1006/E1006)*1000,""),"")</f>
        <v/>
      </c>
      <c r="H1006" s="139">
        <f>IFERROR(IF(E1006&gt;0,E1006*IF(ISNUMBER(J1006),J1006,IF(OR(C1006="Alpha",B1006="Alpha"),$C$7,IF(C1006="Futures",$C$6,$C$5))),""),"")</f>
        <v/>
      </c>
      <c r="I1006" s="139">
        <f>IFERROR(IF(AND(ISNUMBER(F1006),ISNUMBER(H1006)),F1006-H1006,""),"")</f>
        <v/>
      </c>
      <c r="J1006" s="114" t="n"/>
      <c r="K1006" s="139">
        <f>IFERROR(IF(H1006&gt;0,H1006*IF(OR(C1006="Alpha",B1006="Alpha"),$C$9,$C$8),""),"")</f>
        <v/>
      </c>
      <c r="L1006" s="139">
        <f>IFERROR(IF(ISNUMBER(F1006),F1006-IF(ISNUMBER(K1006),K1006,0),""),"")</f>
        <v/>
      </c>
    </row>
    <row r="1007" ht="24" customHeight="1" s="63">
      <c r="E1007" s="139" t="n"/>
      <c r="F1007" s="139" t="n"/>
      <c r="G1007" s="140">
        <f>IFERROR(IF(E1007&gt;0,(F1007/E1007)*1000,""),"")</f>
        <v/>
      </c>
      <c r="H1007" s="139">
        <f>IFERROR(IF(E1007&gt;0,E1007*IF(ISNUMBER(J1007),J1007,IF(OR(C1007="Alpha",B1007="Alpha"),$C$7,IF(C1007="Futures",$C$6,$C$5))),""),"")</f>
        <v/>
      </c>
      <c r="I1007" s="139">
        <f>IFERROR(IF(AND(ISNUMBER(F1007),ISNUMBER(H1007)),F1007-H1007,""),"")</f>
        <v/>
      </c>
      <c r="J1007" s="114" t="n"/>
      <c r="K1007" s="139">
        <f>IFERROR(IF(H1007&gt;0,H1007*IF(OR(C1007="Alpha",B1007="Alpha"),$C$9,$C$8),""),"")</f>
        <v/>
      </c>
      <c r="L1007" s="139">
        <f>IFERROR(IF(ISNUMBER(F1007),F1007-IF(ISNUMBER(K1007),K1007,0),""),"")</f>
        <v/>
      </c>
    </row>
    <row r="1008" ht="24" customHeight="1" s="63">
      <c r="E1008" s="139" t="n"/>
      <c r="F1008" s="139" t="n"/>
      <c r="G1008" s="140">
        <f>IFERROR(IF(E1008&gt;0,(F1008/E1008)*1000,""),"")</f>
        <v/>
      </c>
      <c r="H1008" s="139">
        <f>IFERROR(IF(E1008&gt;0,E1008*IF(ISNUMBER(J1008),J1008,IF(OR(C1008="Alpha",B1008="Alpha"),$C$7,IF(C1008="Futures",$C$6,$C$5))),""),"")</f>
        <v/>
      </c>
      <c r="I1008" s="139">
        <f>IFERROR(IF(AND(ISNUMBER(F1008),ISNUMBER(H1008)),F1008-H1008,""),"")</f>
        <v/>
      </c>
      <c r="J1008" s="114" t="n"/>
      <c r="K1008" s="139">
        <f>IFERROR(IF(H1008&gt;0,H1008*IF(OR(C1008="Alpha",B1008="Alpha"),$C$9,$C$8),""),"")</f>
        <v/>
      </c>
      <c r="L1008" s="139">
        <f>IFERROR(IF(ISNUMBER(F1008),F1008-IF(ISNUMBER(K1008),K1008,0),""),"")</f>
        <v/>
      </c>
    </row>
    <row r="1009" ht="24" customHeight="1" s="63">
      <c r="E1009" s="139" t="n"/>
      <c r="F1009" s="139" t="n"/>
      <c r="G1009" s="140">
        <f>IFERROR(IF(E1009&gt;0,(F1009/E1009)*1000,""),"")</f>
        <v/>
      </c>
      <c r="H1009" s="139">
        <f>IFERROR(IF(E1009&gt;0,E1009*IF(ISNUMBER(J1009),J1009,IF(OR(C1009="Alpha",B1009="Alpha"),$C$7,IF(C1009="Futures",$C$6,$C$5))),""),"")</f>
        <v/>
      </c>
      <c r="I1009" s="139">
        <f>IFERROR(IF(AND(ISNUMBER(F1009),ISNUMBER(H1009)),F1009-H1009,""),"")</f>
        <v/>
      </c>
      <c r="J1009" s="114" t="n"/>
      <c r="K1009" s="139">
        <f>IFERROR(IF(H1009&gt;0,H1009*IF(OR(C1009="Alpha",B1009="Alpha"),$C$9,$C$8),""),"")</f>
        <v/>
      </c>
      <c r="L1009" s="139">
        <f>IFERROR(IF(ISNUMBER(F1009),F1009-IF(ISNUMBER(K1009),K1009,0),""),"")</f>
        <v/>
      </c>
    </row>
    <row r="1010" ht="24" customHeight="1" s="63">
      <c r="E1010" s="139" t="n"/>
      <c r="F1010" s="139" t="n"/>
      <c r="G1010" s="140">
        <f>IFERROR(IF(E1010&gt;0,(F1010/E1010)*1000,""),"")</f>
        <v/>
      </c>
      <c r="H1010" s="139">
        <f>IFERROR(IF(E1010&gt;0,E1010*IF(ISNUMBER(J1010),J1010,IF(OR(C1010="Alpha",B1010="Alpha"),$C$7,IF(C1010="Futures",$C$6,$C$5))),""),"")</f>
        <v/>
      </c>
      <c r="I1010" s="139">
        <f>IFERROR(IF(AND(ISNUMBER(F1010),ISNUMBER(H1010)),F1010-H1010,""),"")</f>
        <v/>
      </c>
      <c r="J1010" s="114" t="n"/>
      <c r="K1010" s="139">
        <f>IFERROR(IF(H1010&gt;0,H1010*IF(OR(C1010="Alpha",B1010="Alpha"),$C$9,$C$8),""),"")</f>
        <v/>
      </c>
      <c r="L1010" s="139">
        <f>IFERROR(IF(ISNUMBER(F1010),F1010-IF(ISNUMBER(K1010),K1010,0),""),"")</f>
        <v/>
      </c>
    </row>
    <row r="1011" ht="24" customHeight="1" s="63">
      <c r="E1011" s="139" t="n"/>
      <c r="F1011" s="139" t="n"/>
      <c r="G1011" s="140">
        <f>IFERROR(IF(E1011&gt;0,(F1011/E1011)*1000,""),"")</f>
        <v/>
      </c>
      <c r="H1011" s="139">
        <f>IFERROR(IF(E1011&gt;0,E1011*IF(ISNUMBER(J1011),J1011,IF(OR(C1011="Alpha",B1011="Alpha"),$C$7,IF(C1011="Futures",$C$6,$C$5))),""),"")</f>
        <v/>
      </c>
      <c r="I1011" s="139">
        <f>IFERROR(IF(AND(ISNUMBER(F1011),ISNUMBER(H1011)),F1011-H1011,""),"")</f>
        <v/>
      </c>
      <c r="J1011" s="114" t="n"/>
      <c r="K1011" s="139">
        <f>IFERROR(IF(H1011&gt;0,H1011*IF(OR(C1011="Alpha",B1011="Alpha"),$C$9,$C$8),""),"")</f>
        <v/>
      </c>
      <c r="L1011" s="139">
        <f>IFERROR(IF(ISNUMBER(F1011),F1011-IF(ISNUMBER(K1011),K1011,0),""),"")</f>
        <v/>
      </c>
    </row>
    <row r="1012" ht="24" customHeight="1" s="63">
      <c r="E1012" s="139" t="n"/>
      <c r="F1012" s="139" t="n"/>
      <c r="G1012" s="140">
        <f>IFERROR(IF(E1012&gt;0,(F1012/E1012)*1000,""),"")</f>
        <v/>
      </c>
      <c r="H1012" s="139">
        <f>IFERROR(IF(E1012&gt;0,E1012*IF(ISNUMBER(J1012),J1012,IF(OR(C1012="Alpha",B1012="Alpha"),$C$7,IF(C1012="Futures",$C$6,$C$5))),""),"")</f>
        <v/>
      </c>
      <c r="I1012" s="139">
        <f>IFERROR(IF(AND(ISNUMBER(F1012),ISNUMBER(H1012)),F1012-H1012,""),"")</f>
        <v/>
      </c>
      <c r="J1012" s="114" t="n"/>
      <c r="K1012" s="139">
        <f>IFERROR(IF(H1012&gt;0,H1012*IF(OR(C1012="Alpha",B1012="Alpha"),$C$9,$C$8),""),"")</f>
        <v/>
      </c>
      <c r="L1012" s="139">
        <f>IFERROR(IF(ISNUMBER(F1012),F1012-IF(ISNUMBER(K1012),K1012,0),""),"")</f>
        <v/>
      </c>
    </row>
    <row r="1013" ht="24" customHeight="1" s="63">
      <c r="E1013" s="139" t="n"/>
      <c r="F1013" s="139" t="n"/>
      <c r="G1013" s="140">
        <f>IFERROR(IF(E1013&gt;0,(F1013/E1013)*1000,""),"")</f>
        <v/>
      </c>
      <c r="H1013" s="139">
        <f>IFERROR(IF(E1013&gt;0,E1013*IF(ISNUMBER(J1013),J1013,IF(OR(C1013="Alpha",B1013="Alpha"),$C$7,IF(C1013="Futures",$C$6,$C$5))),""),"")</f>
        <v/>
      </c>
      <c r="I1013" s="139">
        <f>IFERROR(IF(AND(ISNUMBER(F1013),ISNUMBER(H1013)),F1013-H1013,""),"")</f>
        <v/>
      </c>
      <c r="J1013" s="114" t="n"/>
      <c r="K1013" s="139">
        <f>IFERROR(IF(H1013&gt;0,H1013*IF(OR(C1013="Alpha",B1013="Alpha"),$C$9,$C$8),""),"")</f>
        <v/>
      </c>
      <c r="L1013" s="139">
        <f>IFERROR(IF(ISNUMBER(F1013),F1013-IF(ISNUMBER(K1013),K1013,0),""),"")</f>
        <v/>
      </c>
    </row>
    <row r="1014" ht="24" customHeight="1" s="63">
      <c r="E1014" s="139" t="n"/>
      <c r="F1014" s="139" t="n"/>
      <c r="G1014" s="140">
        <f>IFERROR(IF(E1014&gt;0,(F1014/E1014)*1000,""),"")</f>
        <v/>
      </c>
      <c r="H1014" s="139">
        <f>IFERROR(IF(E1014&gt;0,E1014*IF(ISNUMBER(J1014),J1014,IF(OR(C1014="Alpha",B1014="Alpha"),$C$7,IF(C1014="Futures",$C$6,$C$5))),""),"")</f>
        <v/>
      </c>
      <c r="I1014" s="139">
        <f>IFERROR(IF(AND(ISNUMBER(F1014),ISNUMBER(H1014)),F1014-H1014,""),"")</f>
        <v/>
      </c>
      <c r="J1014" s="114" t="n"/>
      <c r="K1014" s="139">
        <f>IFERROR(IF(H1014&gt;0,H1014*IF(OR(C1014="Alpha",B1014="Alpha"),$C$9,$C$8),""),"")</f>
        <v/>
      </c>
      <c r="L1014" s="139">
        <f>IFERROR(IF(ISNUMBER(F1014),F1014-IF(ISNUMBER(K1014),K1014,0),""),"")</f>
        <v/>
      </c>
    </row>
    <row r="1015" ht="24" customHeight="1" s="63">
      <c r="E1015" s="139" t="n"/>
      <c r="F1015" s="139" t="n"/>
      <c r="G1015" s="140">
        <f>IFERROR(IF(E1015&gt;0,(F1015/E1015)*1000,""),"")</f>
        <v/>
      </c>
      <c r="H1015" s="139">
        <f>IFERROR(IF(E1015&gt;0,E1015*IF(ISNUMBER(J1015),J1015,IF(OR(C1015="Alpha",B1015="Alpha"),$C$7,IF(C1015="Futures",$C$6,$C$5))),""),"")</f>
        <v/>
      </c>
      <c r="I1015" s="139">
        <f>IFERROR(IF(AND(ISNUMBER(F1015),ISNUMBER(H1015)),F1015-H1015,""),"")</f>
        <v/>
      </c>
      <c r="J1015" s="114" t="n"/>
      <c r="K1015" s="139">
        <f>IFERROR(IF(H1015&gt;0,H1015*IF(OR(C1015="Alpha",B1015="Alpha"),$C$9,$C$8),""),"")</f>
        <v/>
      </c>
      <c r="L1015" s="139">
        <f>IFERROR(IF(ISNUMBER(F1015),F1015-IF(ISNUMBER(K1015),K1015,0),""),"")</f>
        <v/>
      </c>
    </row>
    <row r="1016" ht="24" customHeight="1" s="63">
      <c r="E1016" s="139" t="n"/>
      <c r="F1016" s="139" t="n"/>
      <c r="G1016" s="140">
        <f>IFERROR(IF(E1016&gt;0,(F1016/E1016)*1000,""),"")</f>
        <v/>
      </c>
      <c r="H1016" s="139">
        <f>IFERROR(IF(E1016&gt;0,E1016*IF(ISNUMBER(J1016),J1016,IF(OR(C1016="Alpha",B1016="Alpha"),$C$7,IF(C1016="Futures",$C$6,$C$5))),""),"")</f>
        <v/>
      </c>
      <c r="I1016" s="139">
        <f>IFERROR(IF(AND(ISNUMBER(F1016),ISNUMBER(H1016)),F1016-H1016,""),"")</f>
        <v/>
      </c>
      <c r="J1016" s="114" t="n"/>
      <c r="K1016" s="139">
        <f>IFERROR(IF(H1016&gt;0,H1016*IF(OR(C1016="Alpha",B1016="Alpha"),$C$9,$C$8),""),"")</f>
        <v/>
      </c>
      <c r="L1016" s="139">
        <f>IFERROR(IF(ISNUMBER(F1016),F1016-IF(ISNUMBER(K1016),K1016,0),""),"")</f>
        <v/>
      </c>
    </row>
    <row r="1017" ht="24" customHeight="1" s="63">
      <c r="E1017" s="139" t="n"/>
      <c r="F1017" s="139" t="n"/>
      <c r="G1017" s="140">
        <f>IFERROR(IF(E1017&gt;0,(F1017/E1017)*1000,""),"")</f>
        <v/>
      </c>
      <c r="H1017" s="139">
        <f>IFERROR(IF(E1017&gt;0,E1017*IF(ISNUMBER(J1017),J1017,IF(OR(C1017="Alpha",B1017="Alpha"),$C$7,IF(C1017="Futures",$C$6,$C$5))),""),"")</f>
        <v/>
      </c>
      <c r="I1017" s="139">
        <f>IFERROR(IF(AND(ISNUMBER(F1017),ISNUMBER(H1017)),F1017-H1017,""),"")</f>
        <v/>
      </c>
      <c r="J1017" s="114" t="n"/>
      <c r="K1017" s="139">
        <f>IFERROR(IF(H1017&gt;0,H1017*IF(OR(C1017="Alpha",B1017="Alpha"),$C$9,$C$8),""),"")</f>
        <v/>
      </c>
      <c r="L1017" s="139">
        <f>IFERROR(IF(ISNUMBER(F1017),F1017-IF(ISNUMBER(K1017),K1017,0),""),"")</f>
        <v/>
      </c>
    </row>
    <row r="1018" ht="24" customHeight="1" s="63">
      <c r="E1018" s="139" t="n"/>
      <c r="F1018" s="139" t="n"/>
      <c r="G1018" s="140">
        <f>IFERROR(IF(E1018&gt;0,(F1018/E1018)*1000,""),"")</f>
        <v/>
      </c>
      <c r="H1018" s="139">
        <f>IFERROR(IF(E1018&gt;0,E1018*IF(ISNUMBER(J1018),J1018,IF(OR(C1018="Alpha",B1018="Alpha"),$C$7,IF(C1018="Futures",$C$6,$C$5))),""),"")</f>
        <v/>
      </c>
      <c r="I1018" s="139">
        <f>IFERROR(IF(AND(ISNUMBER(F1018),ISNUMBER(H1018)),F1018-H1018,""),"")</f>
        <v/>
      </c>
      <c r="J1018" s="114" t="n"/>
      <c r="K1018" s="139">
        <f>IFERROR(IF(H1018&gt;0,H1018*IF(OR(C1018="Alpha",B1018="Alpha"),$C$9,$C$8),""),"")</f>
        <v/>
      </c>
      <c r="L1018" s="139">
        <f>IFERROR(IF(ISNUMBER(F1018),F1018-IF(ISNUMBER(K1018),K1018,0),""),"")</f>
        <v/>
      </c>
    </row>
    <row r="1019" ht="24" customHeight="1" s="63">
      <c r="E1019" s="139" t="n"/>
      <c r="F1019" s="139" t="n"/>
      <c r="G1019" s="140">
        <f>IFERROR(IF(E1019&gt;0,(F1019/E1019)*1000,""),"")</f>
        <v/>
      </c>
      <c r="H1019" s="139">
        <f>IFERROR(IF(E1019&gt;0,E1019*IF(ISNUMBER(J1019),J1019,IF(OR(C1019="Alpha",B1019="Alpha"),$C$7,IF(C1019="Futures",$C$6,$C$5))),""),"")</f>
        <v/>
      </c>
      <c r="I1019" s="139">
        <f>IFERROR(IF(AND(ISNUMBER(F1019),ISNUMBER(H1019)),F1019-H1019,""),"")</f>
        <v/>
      </c>
      <c r="J1019" s="114" t="n"/>
      <c r="K1019" s="139">
        <f>IFERROR(IF(H1019&gt;0,H1019*IF(OR(C1019="Alpha",B1019="Alpha"),$C$9,$C$8),""),"")</f>
        <v/>
      </c>
      <c r="L1019" s="139">
        <f>IFERROR(IF(ISNUMBER(F1019),F1019-IF(ISNUMBER(K1019),K1019,0),""),"")</f>
        <v/>
      </c>
    </row>
    <row r="1020" ht="24" customHeight="1" s="63">
      <c r="E1020" s="139" t="n"/>
      <c r="F1020" s="139" t="n"/>
      <c r="G1020" s="140">
        <f>IFERROR(IF(E1020&gt;0,(F1020/E1020)*1000,""),"")</f>
        <v/>
      </c>
      <c r="H1020" s="139">
        <f>IFERROR(IF(E1020&gt;0,E1020*IF(ISNUMBER(J1020),J1020,IF(OR(C1020="Alpha",B1020="Alpha"),$C$7,IF(C1020="Futures",$C$6,$C$5))),""),"")</f>
        <v/>
      </c>
      <c r="I1020" s="139">
        <f>IFERROR(IF(AND(ISNUMBER(F1020),ISNUMBER(H1020)),F1020-H1020,""),"")</f>
        <v/>
      </c>
      <c r="J1020" s="114" t="n"/>
      <c r="K1020" s="139">
        <f>IFERROR(IF(H1020&gt;0,H1020*IF(OR(C1020="Alpha",B1020="Alpha"),$C$9,$C$8),""),"")</f>
        <v/>
      </c>
      <c r="L1020" s="139">
        <f>IFERROR(IF(ISNUMBER(F1020),F1020-IF(ISNUMBER(K1020),K1020,0),""),"")</f>
        <v/>
      </c>
    </row>
    <row r="1021" ht="24" customHeight="1" s="63">
      <c r="E1021" s="139" t="n"/>
      <c r="F1021" s="139" t="n"/>
      <c r="G1021" s="140">
        <f>IFERROR(IF(E1021&gt;0,(F1021/E1021)*1000,""),"")</f>
        <v/>
      </c>
      <c r="H1021" s="139">
        <f>IFERROR(IF(E1021&gt;0,E1021*IF(ISNUMBER(J1021),J1021,IF(OR(C1021="Alpha",B1021="Alpha"),$C$7,IF(C1021="Futures",$C$6,$C$5))),""),"")</f>
        <v/>
      </c>
      <c r="I1021" s="139">
        <f>IFERROR(IF(AND(ISNUMBER(F1021),ISNUMBER(H1021)),F1021-H1021,""),"")</f>
        <v/>
      </c>
      <c r="J1021" s="114" t="n"/>
      <c r="K1021" s="139">
        <f>IFERROR(IF(H1021&gt;0,H1021*IF(OR(C1021="Alpha",B1021="Alpha"),$C$9,$C$8),""),"")</f>
        <v/>
      </c>
      <c r="L1021" s="139">
        <f>IFERROR(IF(ISNUMBER(F1021),F1021-IF(ISNUMBER(K1021),K1021,0),""),"")</f>
        <v/>
      </c>
    </row>
    <row r="1022" ht="24" customHeight="1" s="63">
      <c r="E1022" s="139" t="n"/>
      <c r="F1022" s="139" t="n"/>
      <c r="G1022" s="140">
        <f>IFERROR(IF(E1022&gt;0,(F1022/E1022)*1000,""),"")</f>
        <v/>
      </c>
      <c r="H1022" s="139">
        <f>IFERROR(IF(E1022&gt;0,E1022*IF(ISNUMBER(J1022),J1022,IF(OR(C1022="Alpha",B1022="Alpha"),$C$7,IF(C1022="Futures",$C$6,$C$5))),""),"")</f>
        <v/>
      </c>
      <c r="I1022" s="139">
        <f>IFERROR(IF(AND(ISNUMBER(F1022),ISNUMBER(H1022)),F1022-H1022,""),"")</f>
        <v/>
      </c>
      <c r="J1022" s="114" t="n"/>
      <c r="K1022" s="139">
        <f>IFERROR(IF(H1022&gt;0,H1022*IF(OR(C1022="Alpha",B1022="Alpha"),$C$9,$C$8),""),"")</f>
        <v/>
      </c>
      <c r="L1022" s="139">
        <f>IFERROR(IF(ISNUMBER(F1022),F1022-IF(ISNUMBER(K1022),K1022,0),""),"")</f>
        <v/>
      </c>
    </row>
    <row r="1023" ht="24" customHeight="1" s="63">
      <c r="E1023" s="139" t="n"/>
      <c r="F1023" s="139" t="n"/>
      <c r="G1023" s="140">
        <f>IFERROR(IF(E1023&gt;0,(F1023/E1023)*1000,""),"")</f>
        <v/>
      </c>
      <c r="H1023" s="139">
        <f>IFERROR(IF(E1023&gt;0,E1023*IF(ISNUMBER(J1023),J1023,IF(OR(C1023="Alpha",B1023="Alpha"),$C$7,IF(C1023="Futures",$C$6,$C$5))),""),"")</f>
        <v/>
      </c>
      <c r="I1023" s="139">
        <f>IFERROR(IF(AND(ISNUMBER(F1023),ISNUMBER(H1023)),F1023-H1023,""),"")</f>
        <v/>
      </c>
      <c r="J1023" s="114" t="n"/>
      <c r="K1023" s="139">
        <f>IFERROR(IF(H1023&gt;0,H1023*IF(OR(C1023="Alpha",B1023="Alpha"),$C$9,$C$8),""),"")</f>
        <v/>
      </c>
      <c r="L1023" s="139">
        <f>IFERROR(IF(ISNUMBER(F1023),F1023-IF(ISNUMBER(K1023),K1023,0),""),"")</f>
        <v/>
      </c>
    </row>
    <row r="1024" ht="24" customHeight="1" s="63">
      <c r="E1024" s="139" t="n"/>
      <c r="F1024" s="139" t="n"/>
      <c r="G1024" s="140">
        <f>IFERROR(IF(E1024&gt;0,(F1024/E1024)*1000,""),"")</f>
        <v/>
      </c>
      <c r="H1024" s="139">
        <f>IFERROR(IF(E1024&gt;0,E1024*IF(ISNUMBER(J1024),J1024,IF(OR(C1024="Alpha",B1024="Alpha"),$C$7,IF(C1024="Futures",$C$6,$C$5))),""),"")</f>
        <v/>
      </c>
      <c r="I1024" s="139">
        <f>IFERROR(IF(AND(ISNUMBER(F1024),ISNUMBER(H1024)),F1024-H1024,""),"")</f>
        <v/>
      </c>
      <c r="J1024" s="114" t="n"/>
      <c r="K1024" s="139">
        <f>IFERROR(IF(H1024&gt;0,H1024*IF(OR(C1024="Alpha",B1024="Alpha"),$C$9,$C$8),""),"")</f>
        <v/>
      </c>
      <c r="L1024" s="139">
        <f>IFERROR(IF(ISNUMBER(F1024),F1024-IF(ISNUMBER(K1024),K1024,0),""),"")</f>
        <v/>
      </c>
    </row>
    <row r="1025" ht="24" customHeight="1" s="63">
      <c r="E1025" s="139" t="n"/>
      <c r="F1025" s="139" t="n"/>
      <c r="G1025" s="140">
        <f>IFERROR(IF(E1025&gt;0,(F1025/E1025)*1000,""),"")</f>
        <v/>
      </c>
      <c r="H1025" s="139">
        <f>IFERROR(IF(E1025&gt;0,E1025*IF(ISNUMBER(J1025),J1025,IF(OR(C1025="Alpha",B1025="Alpha"),$C$7,IF(C1025="Futures",$C$6,$C$5))),""),"")</f>
        <v/>
      </c>
      <c r="I1025" s="139">
        <f>IFERROR(IF(AND(ISNUMBER(F1025),ISNUMBER(H1025)),F1025-H1025,""),"")</f>
        <v/>
      </c>
      <c r="J1025" s="114" t="n"/>
      <c r="K1025" s="139">
        <f>IFERROR(IF(H1025&gt;0,H1025*IF(OR(C1025="Alpha",B1025="Alpha"),$C$9,$C$8),""),"")</f>
        <v/>
      </c>
      <c r="L1025" s="139">
        <f>IFERROR(IF(ISNUMBER(F1025),F1025-IF(ISNUMBER(K1025),K1025,0),""),"")</f>
        <v/>
      </c>
    </row>
    <row r="1026" ht="24" customHeight="1" s="63">
      <c r="E1026" s="139" t="n"/>
      <c r="F1026" s="139" t="n"/>
      <c r="G1026" s="140">
        <f>IFERROR(IF(E1026&gt;0,(F1026/E1026)*1000,""),"")</f>
        <v/>
      </c>
      <c r="H1026" s="139">
        <f>IFERROR(IF(E1026&gt;0,E1026*IF(ISNUMBER(J1026),J1026,IF(OR(C1026="Alpha",B1026="Alpha"),$C$7,IF(C1026="Futures",$C$6,$C$5))),""),"")</f>
        <v/>
      </c>
      <c r="I1026" s="139">
        <f>IFERROR(IF(AND(ISNUMBER(F1026),ISNUMBER(H1026)),F1026-H1026,""),"")</f>
        <v/>
      </c>
      <c r="J1026" s="114" t="n"/>
      <c r="K1026" s="139">
        <f>IFERROR(IF(H1026&gt;0,H1026*IF(OR(C1026="Alpha",B1026="Alpha"),$C$9,$C$8),""),"")</f>
        <v/>
      </c>
      <c r="L1026" s="139">
        <f>IFERROR(IF(ISNUMBER(F1026),F1026-IF(ISNUMBER(K1026),K1026,0),""),"")</f>
        <v/>
      </c>
    </row>
    <row r="1027" ht="24" customHeight="1" s="63">
      <c r="E1027" s="139" t="n"/>
      <c r="F1027" s="139" t="n"/>
      <c r="G1027" s="140">
        <f>IFERROR(IF(E1027&gt;0,(F1027/E1027)*1000,""),"")</f>
        <v/>
      </c>
      <c r="H1027" s="139">
        <f>IFERROR(IF(E1027&gt;0,E1027*IF(ISNUMBER(J1027),J1027,IF(OR(C1027="Alpha",B1027="Alpha"),$C$7,IF(C1027="Futures",$C$6,$C$5))),""),"")</f>
        <v/>
      </c>
      <c r="I1027" s="139">
        <f>IFERROR(IF(AND(ISNUMBER(F1027),ISNUMBER(H1027)),F1027-H1027,""),"")</f>
        <v/>
      </c>
      <c r="J1027" s="114" t="n"/>
      <c r="K1027" s="139">
        <f>IFERROR(IF(H1027&gt;0,H1027*IF(OR(C1027="Alpha",B1027="Alpha"),$C$9,$C$8),""),"")</f>
        <v/>
      </c>
      <c r="L1027" s="139">
        <f>IFERROR(IF(ISNUMBER(F1027),F1027-IF(ISNUMBER(K1027),K1027,0),""),"")</f>
        <v/>
      </c>
    </row>
    <row r="1028" ht="24" customHeight="1" s="63">
      <c r="E1028" s="139" t="n"/>
      <c r="F1028" s="139" t="n"/>
      <c r="G1028" s="140">
        <f>IFERROR(IF(E1028&gt;0,(F1028/E1028)*1000,""),"")</f>
        <v/>
      </c>
      <c r="H1028" s="139">
        <f>IFERROR(IF(E1028&gt;0,E1028*IF(ISNUMBER(J1028),J1028,IF(OR(C1028="Alpha",B1028="Alpha"),$C$7,IF(C1028="Futures",$C$6,$C$5))),""),"")</f>
        <v/>
      </c>
      <c r="I1028" s="139">
        <f>IFERROR(IF(AND(ISNUMBER(F1028),ISNUMBER(H1028)),F1028-H1028,""),"")</f>
        <v/>
      </c>
      <c r="J1028" s="114" t="n"/>
      <c r="K1028" s="139">
        <f>IFERROR(IF(H1028&gt;0,H1028*IF(OR(C1028="Alpha",B1028="Alpha"),$C$9,$C$8),""),"")</f>
        <v/>
      </c>
      <c r="L1028" s="139">
        <f>IFERROR(IF(ISNUMBER(F1028),F1028-IF(ISNUMBER(K1028),K1028,0),""),"")</f>
        <v/>
      </c>
    </row>
    <row r="1029" ht="24" customHeight="1" s="63">
      <c r="E1029" s="139" t="n"/>
      <c r="F1029" s="139" t="n"/>
      <c r="G1029" s="140">
        <f>IFERROR(IF(E1029&gt;0,(F1029/E1029)*1000,""),"")</f>
        <v/>
      </c>
      <c r="H1029" s="139">
        <f>IFERROR(IF(E1029&gt;0,E1029*IF(ISNUMBER(J1029),J1029,IF(OR(C1029="Alpha",B1029="Alpha"),$C$7,IF(C1029="Futures",$C$6,$C$5))),""),"")</f>
        <v/>
      </c>
      <c r="I1029" s="139">
        <f>IFERROR(IF(AND(ISNUMBER(F1029),ISNUMBER(H1029)),F1029-H1029,""),"")</f>
        <v/>
      </c>
      <c r="J1029" s="114" t="n"/>
      <c r="K1029" s="139">
        <f>IFERROR(IF(H1029&gt;0,H1029*IF(OR(C1029="Alpha",B1029="Alpha"),$C$9,$C$8),""),"")</f>
        <v/>
      </c>
      <c r="L1029" s="139">
        <f>IFERROR(IF(ISNUMBER(F1029),F1029-IF(ISNUMBER(K1029),K1029,0),""),"")</f>
        <v/>
      </c>
    </row>
    <row r="1030" ht="24" customHeight="1" s="63">
      <c r="E1030" s="139" t="n"/>
      <c r="F1030" s="139" t="n"/>
      <c r="G1030" s="140">
        <f>IFERROR(IF(E1030&gt;0,(F1030/E1030)*1000,""),"")</f>
        <v/>
      </c>
      <c r="H1030" s="139">
        <f>IFERROR(IF(E1030&gt;0,E1030*IF(ISNUMBER(J1030),J1030,IF(OR(C1030="Alpha",B1030="Alpha"),$C$7,IF(C1030="Futures",$C$6,$C$5))),""),"")</f>
        <v/>
      </c>
      <c r="I1030" s="139">
        <f>IFERROR(IF(AND(ISNUMBER(F1030),ISNUMBER(H1030)),F1030-H1030,""),"")</f>
        <v/>
      </c>
      <c r="J1030" s="114" t="n"/>
      <c r="K1030" s="139">
        <f>IFERROR(IF(H1030&gt;0,H1030*IF(OR(C1030="Alpha",B1030="Alpha"),$C$9,$C$8),""),"")</f>
        <v/>
      </c>
      <c r="L1030" s="139">
        <f>IFERROR(IF(ISNUMBER(F1030),F1030-IF(ISNUMBER(K1030),K1030,0),""),"")</f>
        <v/>
      </c>
    </row>
    <row r="1031" ht="24" customHeight="1" s="63">
      <c r="E1031" s="139" t="n"/>
      <c r="F1031" s="139" t="n"/>
      <c r="G1031" s="140">
        <f>IFERROR(IF(E1031&gt;0,(F1031/E1031)*1000,""),"")</f>
        <v/>
      </c>
      <c r="H1031" s="139">
        <f>IFERROR(IF(E1031&gt;0,E1031*IF(ISNUMBER(J1031),J1031,IF(OR(C1031="Alpha",B1031="Alpha"),$C$7,IF(C1031="Futures",$C$6,$C$5))),""),"")</f>
        <v/>
      </c>
      <c r="I1031" s="139">
        <f>IFERROR(IF(AND(ISNUMBER(F1031),ISNUMBER(H1031)),F1031-H1031,""),"")</f>
        <v/>
      </c>
      <c r="J1031" s="114" t="n"/>
      <c r="K1031" s="139">
        <f>IFERROR(IF(H1031&gt;0,H1031*IF(OR(C1031="Alpha",B1031="Alpha"),$C$9,$C$8),""),"")</f>
        <v/>
      </c>
      <c r="L1031" s="139">
        <f>IFERROR(IF(ISNUMBER(F1031),F1031-IF(ISNUMBER(K1031),K1031,0),""),"")</f>
        <v/>
      </c>
    </row>
    <row r="1032" ht="24" customHeight="1" s="63">
      <c r="E1032" s="139" t="n"/>
      <c r="F1032" s="139" t="n"/>
      <c r="G1032" s="140">
        <f>IFERROR(IF(E1032&gt;0,(F1032/E1032)*1000,""),"")</f>
        <v/>
      </c>
      <c r="H1032" s="139">
        <f>IFERROR(IF(E1032&gt;0,E1032*IF(ISNUMBER(J1032),J1032,IF(OR(C1032="Alpha",B1032="Alpha"),$C$7,IF(C1032="Futures",$C$6,$C$5))),""),"")</f>
        <v/>
      </c>
      <c r="I1032" s="139">
        <f>IFERROR(IF(AND(ISNUMBER(F1032),ISNUMBER(H1032)),F1032-H1032,""),"")</f>
        <v/>
      </c>
      <c r="J1032" s="114" t="n"/>
      <c r="K1032" s="139">
        <f>IFERROR(IF(H1032&gt;0,H1032*IF(OR(C1032="Alpha",B1032="Alpha"),$C$9,$C$8),""),"")</f>
        <v/>
      </c>
      <c r="L1032" s="139">
        <f>IFERROR(IF(ISNUMBER(F1032),F1032-IF(ISNUMBER(K1032),K1032,0),""),"")</f>
        <v/>
      </c>
    </row>
    <row r="1033" ht="24" customHeight="1" s="63">
      <c r="E1033" s="139" t="n"/>
      <c r="F1033" s="139" t="n"/>
      <c r="G1033" s="140">
        <f>IFERROR(IF(E1033&gt;0,(F1033/E1033)*1000,""),"")</f>
        <v/>
      </c>
      <c r="H1033" s="139">
        <f>IFERROR(IF(E1033&gt;0,E1033*IF(ISNUMBER(J1033),J1033,IF(OR(C1033="Alpha",B1033="Alpha"),$C$7,IF(C1033="Futures",$C$6,$C$5))),""),"")</f>
        <v/>
      </c>
      <c r="I1033" s="139">
        <f>IFERROR(IF(AND(ISNUMBER(F1033),ISNUMBER(H1033)),F1033-H1033,""),"")</f>
        <v/>
      </c>
      <c r="J1033" s="114" t="n"/>
      <c r="K1033" s="139">
        <f>IFERROR(IF(H1033&gt;0,H1033*IF(OR(C1033="Alpha",B1033="Alpha"),$C$9,$C$8),""),"")</f>
        <v/>
      </c>
      <c r="L1033" s="139">
        <f>IFERROR(IF(ISNUMBER(F1033),F1033-IF(ISNUMBER(K1033),K1033,0),""),"")</f>
        <v/>
      </c>
    </row>
    <row r="1034" ht="24" customHeight="1" s="63">
      <c r="E1034" s="139" t="n"/>
      <c r="F1034" s="139" t="n"/>
      <c r="G1034" s="140">
        <f>IFERROR(IF(E1034&gt;0,(F1034/E1034)*1000,""),"")</f>
        <v/>
      </c>
      <c r="H1034" s="139">
        <f>IFERROR(IF(E1034&gt;0,E1034*IF(ISNUMBER(J1034),J1034,IF(OR(C1034="Alpha",B1034="Alpha"),$C$7,IF(C1034="Futures",$C$6,$C$5))),""),"")</f>
        <v/>
      </c>
      <c r="I1034" s="139">
        <f>IFERROR(IF(AND(ISNUMBER(F1034),ISNUMBER(H1034)),F1034-H1034,""),"")</f>
        <v/>
      </c>
      <c r="J1034" s="114" t="n"/>
      <c r="K1034" s="139">
        <f>IFERROR(IF(H1034&gt;0,H1034*IF(OR(C1034="Alpha",B1034="Alpha"),$C$9,$C$8),""),"")</f>
        <v/>
      </c>
      <c r="L1034" s="139">
        <f>IFERROR(IF(ISNUMBER(F1034),F1034-IF(ISNUMBER(K1034),K1034,0),""),"")</f>
        <v/>
      </c>
    </row>
    <row r="1035" ht="24" customHeight="1" s="63">
      <c r="E1035" s="139" t="n"/>
      <c r="F1035" s="139" t="n"/>
      <c r="G1035" s="140">
        <f>IFERROR(IF(E1035&gt;0,(F1035/E1035)*1000,""),"")</f>
        <v/>
      </c>
      <c r="H1035" s="139">
        <f>IFERROR(IF(E1035&gt;0,E1035*IF(ISNUMBER(J1035),J1035,IF(OR(C1035="Alpha",B1035="Alpha"),$C$7,IF(C1035="Futures",$C$6,$C$5))),""),"")</f>
        <v/>
      </c>
      <c r="I1035" s="139">
        <f>IFERROR(IF(AND(ISNUMBER(F1035),ISNUMBER(H1035)),F1035-H1035,""),"")</f>
        <v/>
      </c>
      <c r="J1035" s="114" t="n"/>
      <c r="K1035" s="139">
        <f>IFERROR(IF(H1035&gt;0,H1035*IF(OR(C1035="Alpha",B1035="Alpha"),$C$9,$C$8),""),"")</f>
        <v/>
      </c>
      <c r="L1035" s="139">
        <f>IFERROR(IF(ISNUMBER(F1035),F1035-IF(ISNUMBER(K1035),K1035,0),""),"")</f>
        <v/>
      </c>
    </row>
    <row r="1036" ht="24" customHeight="1" s="63">
      <c r="E1036" s="139" t="n"/>
      <c r="F1036" s="139" t="n"/>
      <c r="G1036" s="140">
        <f>IFERROR(IF(E1036&gt;0,(F1036/E1036)*1000,""),"")</f>
        <v/>
      </c>
      <c r="H1036" s="139">
        <f>IFERROR(IF(E1036&gt;0,E1036*IF(ISNUMBER(J1036),J1036,IF(OR(C1036="Alpha",B1036="Alpha"),$C$7,IF(C1036="Futures",$C$6,$C$5))),""),"")</f>
        <v/>
      </c>
      <c r="I1036" s="139">
        <f>IFERROR(IF(AND(ISNUMBER(F1036),ISNUMBER(H1036)),F1036-H1036,""),"")</f>
        <v/>
      </c>
      <c r="J1036" s="114" t="n"/>
      <c r="K1036" s="139">
        <f>IFERROR(IF(H1036&gt;0,H1036*IF(OR(C1036="Alpha",B1036="Alpha"),$C$9,$C$8),""),"")</f>
        <v/>
      </c>
      <c r="L1036" s="139">
        <f>IFERROR(IF(ISNUMBER(F1036),F1036-IF(ISNUMBER(K1036),K1036,0),""),"")</f>
        <v/>
      </c>
    </row>
    <row r="1037" ht="24" customHeight="1" s="63">
      <c r="E1037" s="139" t="n"/>
      <c r="F1037" s="139" t="n"/>
      <c r="G1037" s="140">
        <f>IFERROR(IF(E1037&gt;0,(F1037/E1037)*1000,""),"")</f>
        <v/>
      </c>
      <c r="H1037" s="139">
        <f>IFERROR(IF(E1037&gt;0,E1037*IF(ISNUMBER(J1037),J1037,IF(OR(C1037="Alpha",B1037="Alpha"),$C$7,IF(C1037="Futures",$C$6,$C$5))),""),"")</f>
        <v/>
      </c>
      <c r="I1037" s="139">
        <f>IFERROR(IF(AND(ISNUMBER(F1037),ISNUMBER(H1037)),F1037-H1037,""),"")</f>
        <v/>
      </c>
      <c r="J1037" s="114" t="n"/>
      <c r="K1037" s="139">
        <f>IFERROR(IF(H1037&gt;0,H1037*IF(OR(C1037="Alpha",B1037="Alpha"),$C$9,$C$8),""),"")</f>
        <v/>
      </c>
      <c r="L1037" s="139">
        <f>IFERROR(IF(ISNUMBER(F1037),F1037-IF(ISNUMBER(K1037),K1037,0),""),"")</f>
        <v/>
      </c>
    </row>
    <row r="1038" ht="24" customHeight="1" s="63">
      <c r="E1038" s="139" t="n"/>
      <c r="F1038" s="139" t="n"/>
      <c r="G1038" s="140">
        <f>IFERROR(IF(E1038&gt;0,(F1038/E1038)*1000,""),"")</f>
        <v/>
      </c>
      <c r="H1038" s="139">
        <f>IFERROR(IF(E1038&gt;0,E1038*IF(ISNUMBER(J1038),J1038,IF(OR(C1038="Alpha",B1038="Alpha"),$C$7,IF(C1038="Futures",$C$6,$C$5))),""),"")</f>
        <v/>
      </c>
      <c r="I1038" s="139">
        <f>IFERROR(IF(AND(ISNUMBER(F1038),ISNUMBER(H1038)),F1038-H1038,""),"")</f>
        <v/>
      </c>
      <c r="J1038" s="114" t="n"/>
      <c r="K1038" s="139">
        <f>IFERROR(IF(H1038&gt;0,H1038*IF(OR(C1038="Alpha",B1038="Alpha"),$C$9,$C$8),""),"")</f>
        <v/>
      </c>
      <c r="L1038" s="139">
        <f>IFERROR(IF(ISNUMBER(F1038),F1038-IF(ISNUMBER(K1038),K1038,0),""),"")</f>
        <v/>
      </c>
    </row>
    <row r="1039" ht="24" customHeight="1" s="63">
      <c r="E1039" s="139" t="n"/>
      <c r="F1039" s="139" t="n"/>
      <c r="G1039" s="140">
        <f>IFERROR(IF(E1039&gt;0,(F1039/E1039)*1000,""),"")</f>
        <v/>
      </c>
      <c r="H1039" s="139">
        <f>IFERROR(IF(E1039&gt;0,E1039*IF(ISNUMBER(J1039),J1039,IF(OR(C1039="Alpha",B1039="Alpha"),$C$7,IF(C1039="Futures",$C$6,$C$5))),""),"")</f>
        <v/>
      </c>
      <c r="I1039" s="139">
        <f>IFERROR(IF(AND(ISNUMBER(F1039),ISNUMBER(H1039)),F1039-H1039,""),"")</f>
        <v/>
      </c>
      <c r="J1039" s="114" t="n"/>
      <c r="K1039" s="139">
        <f>IFERROR(IF(H1039&gt;0,H1039*IF(OR(C1039="Alpha",B1039="Alpha"),$C$9,$C$8),""),"")</f>
        <v/>
      </c>
      <c r="L1039" s="139">
        <f>IFERROR(IF(ISNUMBER(F1039),F1039-IF(ISNUMBER(K1039),K1039,0),""),"")</f>
        <v/>
      </c>
    </row>
    <row r="1040" ht="24" customHeight="1" s="63">
      <c r="E1040" s="139" t="n"/>
      <c r="F1040" s="139" t="n"/>
      <c r="G1040" s="140">
        <f>IFERROR(IF(E1040&gt;0,(F1040/E1040)*1000,""),"")</f>
        <v/>
      </c>
      <c r="H1040" s="139">
        <f>IFERROR(IF(E1040&gt;0,E1040*IF(ISNUMBER(J1040),J1040,IF(OR(C1040="Alpha",B1040="Alpha"),$C$7,IF(C1040="Futures",$C$6,$C$5))),""),"")</f>
        <v/>
      </c>
      <c r="I1040" s="139">
        <f>IFERROR(IF(AND(ISNUMBER(F1040),ISNUMBER(H1040)),F1040-H1040,""),"")</f>
        <v/>
      </c>
      <c r="J1040" s="114" t="n"/>
      <c r="K1040" s="139">
        <f>IFERROR(IF(H1040&gt;0,H1040*IF(OR(C1040="Alpha",B1040="Alpha"),$C$9,$C$8),""),"")</f>
        <v/>
      </c>
      <c r="L1040" s="139">
        <f>IFERROR(IF(ISNUMBER(F1040),F1040-IF(ISNUMBER(K1040),K1040,0),""),"")</f>
        <v/>
      </c>
    </row>
    <row r="1041" ht="24" customHeight="1" s="63">
      <c r="E1041" s="139" t="n"/>
      <c r="F1041" s="139" t="n"/>
      <c r="G1041" s="140">
        <f>IFERROR(IF(E1041&gt;0,(F1041/E1041)*1000,""),"")</f>
        <v/>
      </c>
      <c r="H1041" s="139">
        <f>IFERROR(IF(E1041&gt;0,E1041*IF(ISNUMBER(J1041),J1041,IF(OR(C1041="Alpha",B1041="Alpha"),$C$7,IF(C1041="Futures",$C$6,$C$5))),""),"")</f>
        <v/>
      </c>
      <c r="I1041" s="139">
        <f>IFERROR(IF(AND(ISNUMBER(F1041),ISNUMBER(H1041)),F1041-H1041,""),"")</f>
        <v/>
      </c>
      <c r="J1041" s="114" t="n"/>
      <c r="K1041" s="139">
        <f>IFERROR(IF(H1041&gt;0,H1041*IF(OR(C1041="Alpha",B1041="Alpha"),$C$9,$C$8),""),"")</f>
        <v/>
      </c>
      <c r="L1041" s="139">
        <f>IFERROR(IF(ISNUMBER(F1041),F1041-IF(ISNUMBER(K1041),K1041,0),""),"")</f>
        <v/>
      </c>
    </row>
    <row r="1042" ht="24" customHeight="1" s="63">
      <c r="E1042" s="139" t="n"/>
      <c r="F1042" s="139" t="n"/>
      <c r="G1042" s="140">
        <f>IFERROR(IF(E1042&gt;0,(F1042/E1042)*1000,""),"")</f>
        <v/>
      </c>
      <c r="H1042" s="139">
        <f>IFERROR(IF(E1042&gt;0,E1042*IF(ISNUMBER(J1042),J1042,IF(OR(C1042="Alpha",B1042="Alpha"),$C$7,IF(C1042="Futures",$C$6,$C$5))),""),"")</f>
        <v/>
      </c>
      <c r="I1042" s="139">
        <f>IFERROR(IF(AND(ISNUMBER(F1042),ISNUMBER(H1042)),F1042-H1042,""),"")</f>
        <v/>
      </c>
      <c r="J1042" s="114" t="n"/>
      <c r="K1042" s="139">
        <f>IFERROR(IF(H1042&gt;0,H1042*IF(OR(C1042="Alpha",B1042="Alpha"),$C$9,$C$8),""),"")</f>
        <v/>
      </c>
      <c r="L1042" s="139">
        <f>IFERROR(IF(ISNUMBER(F1042),F1042-IF(ISNUMBER(K1042),K1042,0),""),"")</f>
        <v/>
      </c>
    </row>
    <row r="1043" ht="24" customHeight="1" s="63">
      <c r="E1043" s="139" t="n"/>
      <c r="F1043" s="139" t="n"/>
      <c r="G1043" s="140">
        <f>IFERROR(IF(E1043&gt;0,(F1043/E1043)*1000,""),"")</f>
        <v/>
      </c>
      <c r="H1043" s="139">
        <f>IFERROR(IF(E1043&gt;0,E1043*IF(ISNUMBER(J1043),J1043,IF(OR(C1043="Alpha",B1043="Alpha"),$C$7,IF(C1043="Futures",$C$6,$C$5))),""),"")</f>
        <v/>
      </c>
      <c r="I1043" s="139">
        <f>IFERROR(IF(AND(ISNUMBER(F1043),ISNUMBER(H1043)),F1043-H1043,""),"")</f>
        <v/>
      </c>
      <c r="J1043" s="114" t="n"/>
      <c r="K1043" s="139">
        <f>IFERROR(IF(H1043&gt;0,H1043*IF(OR(C1043="Alpha",B1043="Alpha"),$C$9,$C$8),""),"")</f>
        <v/>
      </c>
      <c r="L1043" s="139">
        <f>IFERROR(IF(ISNUMBER(F1043),F1043-IF(ISNUMBER(K1043),K1043,0),""),"")</f>
        <v/>
      </c>
    </row>
    <row r="1044" ht="24" customHeight="1" s="63">
      <c r="E1044" s="139" t="n"/>
      <c r="F1044" s="139" t="n"/>
      <c r="G1044" s="140">
        <f>IFERROR(IF(E1044&gt;0,(F1044/E1044)*1000,""),"")</f>
        <v/>
      </c>
      <c r="H1044" s="139">
        <f>IFERROR(IF(E1044&gt;0,E1044*IF(ISNUMBER(J1044),J1044,IF(OR(C1044="Alpha",B1044="Alpha"),$C$7,IF(C1044="Futures",$C$6,$C$5))),""),"")</f>
        <v/>
      </c>
      <c r="I1044" s="139">
        <f>IFERROR(IF(AND(ISNUMBER(F1044),ISNUMBER(H1044)),F1044-H1044,""),"")</f>
        <v/>
      </c>
      <c r="J1044" s="114" t="n"/>
      <c r="K1044" s="139">
        <f>IFERROR(IF(H1044&gt;0,H1044*IF(OR(C1044="Alpha",B1044="Alpha"),$C$9,$C$8),""),"")</f>
        <v/>
      </c>
      <c r="L1044" s="139">
        <f>IFERROR(IF(ISNUMBER(F1044),F1044-IF(ISNUMBER(K1044),K1044,0),""),"")</f>
        <v/>
      </c>
    </row>
    <row r="1045" ht="24" customHeight="1" s="63">
      <c r="E1045" s="139" t="n"/>
      <c r="F1045" s="139" t="n"/>
      <c r="G1045" s="140">
        <f>IFERROR(IF(E1045&gt;0,(F1045/E1045)*1000,""),"")</f>
        <v/>
      </c>
      <c r="H1045" s="139">
        <f>IFERROR(IF(E1045&gt;0,E1045*IF(ISNUMBER(J1045),J1045,IF(OR(C1045="Alpha",B1045="Alpha"),$C$7,IF(C1045="Futures",$C$6,$C$5))),""),"")</f>
        <v/>
      </c>
      <c r="I1045" s="139">
        <f>IFERROR(IF(AND(ISNUMBER(F1045),ISNUMBER(H1045)),F1045-H1045,""),"")</f>
        <v/>
      </c>
      <c r="J1045" s="114" t="n"/>
      <c r="K1045" s="139">
        <f>IFERROR(IF(H1045&gt;0,H1045*IF(OR(C1045="Alpha",B1045="Alpha"),$C$9,$C$8),""),"")</f>
        <v/>
      </c>
      <c r="L1045" s="139">
        <f>IFERROR(IF(ISNUMBER(F1045),F1045-IF(ISNUMBER(K1045),K1045,0),""),"")</f>
        <v/>
      </c>
    </row>
    <row r="1046" ht="24" customHeight="1" s="63">
      <c r="E1046" s="139" t="n"/>
      <c r="F1046" s="139" t="n"/>
      <c r="G1046" s="140">
        <f>IFERROR(IF(E1046&gt;0,(F1046/E1046)*1000,""),"")</f>
        <v/>
      </c>
      <c r="H1046" s="139">
        <f>IFERROR(IF(E1046&gt;0,E1046*IF(ISNUMBER(J1046),J1046,IF(OR(C1046="Alpha",B1046="Alpha"),$C$7,IF(C1046="Futures",$C$6,$C$5))),""),"")</f>
        <v/>
      </c>
      <c r="I1046" s="139">
        <f>IFERROR(IF(AND(ISNUMBER(F1046),ISNUMBER(H1046)),F1046-H1046,""),"")</f>
        <v/>
      </c>
      <c r="J1046" s="114" t="n"/>
      <c r="K1046" s="139">
        <f>IFERROR(IF(H1046&gt;0,H1046*IF(OR(C1046="Alpha",B1046="Alpha"),$C$9,$C$8),""),"")</f>
        <v/>
      </c>
      <c r="L1046" s="139">
        <f>IFERROR(IF(ISNUMBER(F1046),F1046-IF(ISNUMBER(K1046),K1046,0),""),"")</f>
        <v/>
      </c>
    </row>
    <row r="1047" ht="24" customHeight="1" s="63">
      <c r="E1047" s="139" t="n"/>
      <c r="F1047" s="139" t="n"/>
      <c r="G1047" s="140">
        <f>IFERROR(IF(E1047&gt;0,(F1047/E1047)*1000,""),"")</f>
        <v/>
      </c>
      <c r="H1047" s="139">
        <f>IFERROR(IF(E1047&gt;0,E1047*IF(ISNUMBER(J1047),J1047,IF(OR(C1047="Alpha",B1047="Alpha"),$C$7,IF(C1047="Futures",$C$6,$C$5))),""),"")</f>
        <v/>
      </c>
      <c r="I1047" s="139">
        <f>IFERROR(IF(AND(ISNUMBER(F1047),ISNUMBER(H1047)),F1047-H1047,""),"")</f>
        <v/>
      </c>
      <c r="J1047" s="114" t="n"/>
      <c r="K1047" s="139">
        <f>IFERROR(IF(H1047&gt;0,H1047*IF(OR(C1047="Alpha",B1047="Alpha"),$C$9,$C$8),""),"")</f>
        <v/>
      </c>
      <c r="L1047" s="139">
        <f>IFERROR(IF(ISNUMBER(F1047),F1047-IF(ISNUMBER(K1047),K1047,0),""),"")</f>
        <v/>
      </c>
    </row>
    <row r="1048" ht="24" customHeight="1" s="63">
      <c r="E1048" s="139" t="n"/>
      <c r="F1048" s="139" t="n"/>
      <c r="G1048" s="140">
        <f>IFERROR(IF(E1048&gt;0,(F1048/E1048)*1000,""),"")</f>
        <v/>
      </c>
      <c r="H1048" s="139">
        <f>IFERROR(IF(E1048&gt;0,E1048*IF(ISNUMBER(J1048),J1048,IF(OR(C1048="Alpha",B1048="Alpha"),$C$7,IF(C1048="Futures",$C$6,$C$5))),""),"")</f>
        <v/>
      </c>
      <c r="I1048" s="139">
        <f>IFERROR(IF(AND(ISNUMBER(F1048),ISNUMBER(H1048)),F1048-H1048,""),"")</f>
        <v/>
      </c>
      <c r="J1048" s="114" t="n"/>
      <c r="K1048" s="139">
        <f>IFERROR(IF(H1048&gt;0,H1048*IF(OR(C1048="Alpha",B1048="Alpha"),$C$9,$C$8),""),"")</f>
        <v/>
      </c>
      <c r="L1048" s="139">
        <f>IFERROR(IF(ISNUMBER(F1048),F1048-IF(ISNUMBER(K1048),K1048,0),""),"")</f>
        <v/>
      </c>
    </row>
    <row r="1049" ht="24" customHeight="1" s="63">
      <c r="E1049" s="139" t="n"/>
      <c r="F1049" s="139" t="n"/>
      <c r="G1049" s="140">
        <f>IFERROR(IF(E1049&gt;0,(F1049/E1049)*1000,""),"")</f>
        <v/>
      </c>
      <c r="H1049" s="139">
        <f>IFERROR(IF(E1049&gt;0,E1049*IF(ISNUMBER(J1049),J1049,IF(OR(C1049="Alpha",B1049="Alpha"),$C$7,IF(C1049="Futures",$C$6,$C$5))),""),"")</f>
        <v/>
      </c>
      <c r="I1049" s="139">
        <f>IFERROR(IF(AND(ISNUMBER(F1049),ISNUMBER(H1049)),F1049-H1049,""),"")</f>
        <v/>
      </c>
      <c r="J1049" s="114" t="n"/>
      <c r="K1049" s="139">
        <f>IFERROR(IF(H1049&gt;0,H1049*IF(OR(C1049="Alpha",B1049="Alpha"),$C$9,$C$8),""),"")</f>
        <v/>
      </c>
      <c r="L1049" s="139">
        <f>IFERROR(IF(ISNUMBER(F1049),F1049-IF(ISNUMBER(K1049),K1049,0),""),"")</f>
        <v/>
      </c>
    </row>
    <row r="1050" ht="24" customHeight="1" s="63">
      <c r="E1050" s="139" t="n"/>
      <c r="F1050" s="139" t="n"/>
      <c r="G1050" s="140">
        <f>IFERROR(IF(E1050&gt;0,(F1050/E1050)*1000,""),"")</f>
        <v/>
      </c>
      <c r="H1050" s="139">
        <f>IFERROR(IF(E1050&gt;0,E1050*IF(ISNUMBER(J1050),J1050,IF(OR(C1050="Alpha",B1050="Alpha"),$C$7,IF(C1050="Futures",$C$6,$C$5))),""),"")</f>
        <v/>
      </c>
      <c r="I1050" s="139">
        <f>IFERROR(IF(AND(ISNUMBER(F1050),ISNUMBER(H1050)),F1050-H1050,""),"")</f>
        <v/>
      </c>
      <c r="J1050" s="114" t="n"/>
      <c r="K1050" s="139">
        <f>IFERROR(IF(H1050&gt;0,H1050*IF(OR(C1050="Alpha",B1050="Alpha"),$C$9,$C$8),""),"")</f>
        <v/>
      </c>
      <c r="L1050" s="139">
        <f>IFERROR(IF(ISNUMBER(F1050),F1050-IF(ISNUMBER(K1050),K1050,0),""),"")</f>
        <v/>
      </c>
    </row>
    <row r="1051" ht="24" customHeight="1" s="63">
      <c r="E1051" s="139" t="n"/>
      <c r="F1051" s="139" t="n"/>
      <c r="G1051" s="140">
        <f>IFERROR(IF(E1051&gt;0,(F1051/E1051)*1000,""),"")</f>
        <v/>
      </c>
      <c r="H1051" s="139">
        <f>IFERROR(IF(E1051&gt;0,E1051*IF(ISNUMBER(J1051),J1051,IF(OR(C1051="Alpha",B1051="Alpha"),$C$7,IF(C1051="Futures",$C$6,$C$5))),""),"")</f>
        <v/>
      </c>
      <c r="I1051" s="139">
        <f>IFERROR(IF(AND(ISNUMBER(F1051),ISNUMBER(H1051)),F1051-H1051,""),"")</f>
        <v/>
      </c>
      <c r="J1051" s="114" t="n"/>
      <c r="K1051" s="139">
        <f>IFERROR(IF(H1051&gt;0,H1051*IF(OR(C1051="Alpha",B1051="Alpha"),$C$9,$C$8),""),"")</f>
        <v/>
      </c>
      <c r="L1051" s="139">
        <f>IFERROR(IF(ISNUMBER(F1051),F1051-IF(ISNUMBER(K1051),K1051,0),""),"")</f>
        <v/>
      </c>
    </row>
    <row r="1052" ht="24" customHeight="1" s="63">
      <c r="E1052" s="139" t="n"/>
      <c r="F1052" s="139" t="n"/>
      <c r="G1052" s="140">
        <f>IFERROR(IF(E1052&gt;0,(F1052/E1052)*1000,""),"")</f>
        <v/>
      </c>
      <c r="H1052" s="139">
        <f>IFERROR(IF(E1052&gt;0,E1052*IF(ISNUMBER(J1052),J1052,IF(OR(C1052="Alpha",B1052="Alpha"),$C$7,IF(C1052="Futures",$C$6,$C$5))),""),"")</f>
        <v/>
      </c>
      <c r="I1052" s="139">
        <f>IFERROR(IF(AND(ISNUMBER(F1052),ISNUMBER(H1052)),F1052-H1052,""),"")</f>
        <v/>
      </c>
      <c r="J1052" s="114" t="n"/>
      <c r="K1052" s="139">
        <f>IFERROR(IF(H1052&gt;0,H1052*IF(OR(C1052="Alpha",B1052="Alpha"),$C$9,$C$8),""),"")</f>
        <v/>
      </c>
      <c r="L1052" s="139">
        <f>IFERROR(IF(ISNUMBER(F1052),F1052-IF(ISNUMBER(K1052),K1052,0),""),"")</f>
        <v/>
      </c>
    </row>
    <row r="1053" ht="24" customHeight="1" s="63">
      <c r="E1053" s="139" t="n"/>
      <c r="F1053" s="139" t="n"/>
      <c r="G1053" s="140">
        <f>IFERROR(IF(E1053&gt;0,(F1053/E1053)*1000,""),"")</f>
        <v/>
      </c>
      <c r="H1053" s="139">
        <f>IFERROR(IF(E1053&gt;0,E1053*IF(ISNUMBER(J1053),J1053,IF(OR(C1053="Alpha",B1053="Alpha"),$C$7,IF(C1053="Futures",$C$6,$C$5))),""),"")</f>
        <v/>
      </c>
      <c r="I1053" s="139">
        <f>IFERROR(IF(AND(ISNUMBER(F1053),ISNUMBER(H1053)),F1053-H1053,""),"")</f>
        <v/>
      </c>
      <c r="J1053" s="114" t="n"/>
      <c r="K1053" s="139">
        <f>IFERROR(IF(H1053&gt;0,H1053*IF(OR(C1053="Alpha",B1053="Alpha"),$C$9,$C$8),""),"")</f>
        <v/>
      </c>
      <c r="L1053" s="139">
        <f>IFERROR(IF(ISNUMBER(F1053),F1053-IF(ISNUMBER(K1053),K1053,0),""),"")</f>
        <v/>
      </c>
    </row>
    <row r="1054" ht="24" customHeight="1" s="63">
      <c r="E1054" s="139" t="n"/>
      <c r="F1054" s="139" t="n"/>
      <c r="G1054" s="140">
        <f>IFERROR(IF(E1054&gt;0,(F1054/E1054)*1000,""),"")</f>
        <v/>
      </c>
      <c r="H1054" s="139">
        <f>IFERROR(IF(E1054&gt;0,E1054*IF(ISNUMBER(J1054),J1054,IF(OR(C1054="Alpha",B1054="Alpha"),$C$7,IF(C1054="Futures",$C$6,$C$5))),""),"")</f>
        <v/>
      </c>
      <c r="I1054" s="139">
        <f>IFERROR(IF(AND(ISNUMBER(F1054),ISNUMBER(H1054)),F1054-H1054,""),"")</f>
        <v/>
      </c>
      <c r="J1054" s="114" t="n"/>
      <c r="K1054" s="139">
        <f>IFERROR(IF(H1054&gt;0,H1054*IF(OR(C1054="Alpha",B1054="Alpha"),$C$9,$C$8),""),"")</f>
        <v/>
      </c>
      <c r="L1054" s="139">
        <f>IFERROR(IF(ISNUMBER(F1054),F1054-IF(ISNUMBER(K1054),K1054,0),""),"")</f>
        <v/>
      </c>
    </row>
    <row r="1055" ht="24" customHeight="1" s="63">
      <c r="E1055" s="139" t="n"/>
      <c r="F1055" s="139" t="n"/>
      <c r="G1055" s="140">
        <f>IFERROR(IF(E1055&gt;0,(F1055/E1055)*1000,""),"")</f>
        <v/>
      </c>
      <c r="H1055" s="139">
        <f>IFERROR(IF(E1055&gt;0,E1055*IF(ISNUMBER(J1055),J1055,IF(OR(C1055="Alpha",B1055="Alpha"),$C$7,IF(C1055="Futures",$C$6,$C$5))),""),"")</f>
        <v/>
      </c>
      <c r="I1055" s="139">
        <f>IFERROR(IF(AND(ISNUMBER(F1055),ISNUMBER(H1055)),F1055-H1055,""),"")</f>
        <v/>
      </c>
      <c r="J1055" s="114" t="n"/>
      <c r="K1055" s="139">
        <f>IFERROR(IF(H1055&gt;0,H1055*IF(OR(C1055="Alpha",B1055="Alpha"),$C$9,$C$8),""),"")</f>
        <v/>
      </c>
      <c r="L1055" s="139">
        <f>IFERROR(IF(ISNUMBER(F1055),F1055-IF(ISNUMBER(K1055),K1055,0),""),"")</f>
        <v/>
      </c>
    </row>
    <row r="1056" ht="24" customHeight="1" s="63">
      <c r="E1056" s="139" t="n"/>
      <c r="F1056" s="139" t="n"/>
      <c r="G1056" s="140">
        <f>IFERROR(IF(E1056&gt;0,(F1056/E1056)*1000,""),"")</f>
        <v/>
      </c>
      <c r="H1056" s="139">
        <f>IFERROR(IF(E1056&gt;0,E1056*IF(ISNUMBER(J1056),J1056,IF(OR(C1056="Alpha",B1056="Alpha"),$C$7,IF(C1056="Futures",$C$6,$C$5))),""),"")</f>
        <v/>
      </c>
      <c r="I1056" s="139">
        <f>IFERROR(IF(AND(ISNUMBER(F1056),ISNUMBER(H1056)),F1056-H1056,""),"")</f>
        <v/>
      </c>
      <c r="J1056" s="114" t="n"/>
      <c r="K1056" s="139">
        <f>IFERROR(IF(H1056&gt;0,H1056*IF(OR(C1056="Alpha",B1056="Alpha"),$C$9,$C$8),""),"")</f>
        <v/>
      </c>
      <c r="L1056" s="139">
        <f>IFERROR(IF(ISNUMBER(F1056),F1056-IF(ISNUMBER(K1056),K1056,0),""),"")</f>
        <v/>
      </c>
    </row>
    <row r="1057" ht="24" customHeight="1" s="63">
      <c r="E1057" s="139" t="n"/>
      <c r="F1057" s="139" t="n"/>
      <c r="G1057" s="140">
        <f>IFERROR(IF(E1057&gt;0,(F1057/E1057)*1000,""),"")</f>
        <v/>
      </c>
      <c r="H1057" s="139">
        <f>IFERROR(IF(E1057&gt;0,E1057*IF(ISNUMBER(J1057),J1057,IF(OR(C1057="Alpha",B1057="Alpha"),$C$7,IF(C1057="Futures",$C$6,$C$5))),""),"")</f>
        <v/>
      </c>
      <c r="I1057" s="139">
        <f>IFERROR(IF(AND(ISNUMBER(F1057),ISNUMBER(H1057)),F1057-H1057,""),"")</f>
        <v/>
      </c>
      <c r="J1057" s="114" t="n"/>
      <c r="K1057" s="139">
        <f>IFERROR(IF(H1057&gt;0,H1057*IF(OR(C1057="Alpha",B1057="Alpha"),$C$9,$C$8),""),"")</f>
        <v/>
      </c>
      <c r="L1057" s="139">
        <f>IFERROR(IF(ISNUMBER(F1057),F1057-IF(ISNUMBER(K1057),K1057,0),""),"")</f>
        <v/>
      </c>
    </row>
    <row r="1058" ht="24" customHeight="1" s="63">
      <c r="E1058" s="139" t="n"/>
      <c r="F1058" s="139" t="n"/>
      <c r="G1058" s="140">
        <f>IFERROR(IF(E1058&gt;0,(F1058/E1058)*1000,""),"")</f>
        <v/>
      </c>
      <c r="H1058" s="139">
        <f>IFERROR(IF(E1058&gt;0,E1058*IF(ISNUMBER(J1058),J1058,IF(OR(C1058="Alpha",B1058="Alpha"),$C$7,IF(C1058="Futures",$C$6,$C$5))),""),"")</f>
        <v/>
      </c>
      <c r="I1058" s="139">
        <f>IFERROR(IF(AND(ISNUMBER(F1058),ISNUMBER(H1058)),F1058-H1058,""),"")</f>
        <v/>
      </c>
      <c r="J1058" s="114" t="n"/>
      <c r="K1058" s="139">
        <f>IFERROR(IF(H1058&gt;0,H1058*IF(OR(C1058="Alpha",B1058="Alpha"),$C$9,$C$8),""),"")</f>
        <v/>
      </c>
      <c r="L1058" s="139">
        <f>IFERROR(IF(ISNUMBER(F1058),F1058-IF(ISNUMBER(K1058),K1058,0),""),"")</f>
        <v/>
      </c>
    </row>
    <row r="1059" ht="24" customHeight="1" s="63">
      <c r="E1059" s="139" t="n"/>
      <c r="F1059" s="139" t="n"/>
      <c r="G1059" s="140">
        <f>IFERROR(IF(E1059&gt;0,(F1059/E1059)*1000,""),"")</f>
        <v/>
      </c>
      <c r="H1059" s="139">
        <f>IFERROR(IF(E1059&gt;0,E1059*IF(ISNUMBER(J1059),J1059,IF(OR(C1059="Alpha",B1059="Alpha"),$C$7,IF(C1059="Futures",$C$6,$C$5))),""),"")</f>
        <v/>
      </c>
      <c r="I1059" s="139">
        <f>IFERROR(IF(AND(ISNUMBER(F1059),ISNUMBER(H1059)),F1059-H1059,""),"")</f>
        <v/>
      </c>
      <c r="J1059" s="114" t="n"/>
      <c r="K1059" s="139">
        <f>IFERROR(IF(H1059&gt;0,H1059*IF(OR(C1059="Alpha",B1059="Alpha"),$C$9,$C$8),""),"")</f>
        <v/>
      </c>
      <c r="L1059" s="139">
        <f>IFERROR(IF(ISNUMBER(F1059),F1059-IF(ISNUMBER(K1059),K1059,0),""),"")</f>
        <v/>
      </c>
    </row>
    <row r="1060" ht="24" customHeight="1" s="63">
      <c r="E1060" s="139" t="n"/>
      <c r="F1060" s="139" t="n"/>
      <c r="G1060" s="140">
        <f>IFERROR(IF(E1060&gt;0,(F1060/E1060)*1000,""),"")</f>
        <v/>
      </c>
      <c r="H1060" s="139">
        <f>IFERROR(IF(E1060&gt;0,E1060*IF(ISNUMBER(J1060),J1060,IF(OR(C1060="Alpha",B1060="Alpha"),$C$7,IF(C1060="Futures",$C$6,$C$5))),""),"")</f>
        <v/>
      </c>
      <c r="I1060" s="139">
        <f>IFERROR(IF(AND(ISNUMBER(F1060),ISNUMBER(H1060)),F1060-H1060,""),"")</f>
        <v/>
      </c>
      <c r="J1060" s="114" t="n"/>
      <c r="K1060" s="139">
        <f>IFERROR(IF(H1060&gt;0,H1060*IF(OR(C1060="Alpha",B1060="Alpha"),$C$9,$C$8),""),"")</f>
        <v/>
      </c>
      <c r="L1060" s="139">
        <f>IFERROR(IF(ISNUMBER(F1060),F1060-IF(ISNUMBER(K1060),K1060,0),""),"")</f>
        <v/>
      </c>
    </row>
    <row r="1061" ht="24" customHeight="1" s="63">
      <c r="E1061" s="139" t="n"/>
      <c r="F1061" s="139" t="n"/>
      <c r="G1061" s="140">
        <f>IFERROR(IF(E1061&gt;0,(F1061/E1061)*1000,""),"")</f>
        <v/>
      </c>
      <c r="H1061" s="139">
        <f>IFERROR(IF(E1061&gt;0,E1061*IF(ISNUMBER(J1061),J1061,IF(OR(C1061="Alpha",B1061="Alpha"),$C$7,IF(C1061="Futures",$C$6,$C$5))),""),"")</f>
        <v/>
      </c>
      <c r="I1061" s="139">
        <f>IFERROR(IF(AND(ISNUMBER(F1061),ISNUMBER(H1061)),F1061-H1061,""),"")</f>
        <v/>
      </c>
      <c r="J1061" s="114" t="n"/>
      <c r="K1061" s="139">
        <f>IFERROR(IF(H1061&gt;0,H1061*IF(OR(C1061="Alpha",B1061="Alpha"),$C$9,$C$8),""),"")</f>
        <v/>
      </c>
      <c r="L1061" s="139">
        <f>IFERROR(IF(ISNUMBER(F1061),F1061-IF(ISNUMBER(K1061),K1061,0),""),"")</f>
        <v/>
      </c>
    </row>
    <row r="1062" ht="24" customHeight="1" s="63">
      <c r="E1062" s="139" t="n"/>
      <c r="F1062" s="139" t="n"/>
      <c r="G1062" s="140">
        <f>IFERROR(IF(E1062&gt;0,(F1062/E1062)*1000,""),"")</f>
        <v/>
      </c>
      <c r="H1062" s="139">
        <f>IFERROR(IF(E1062&gt;0,E1062*IF(ISNUMBER(J1062),J1062,IF(OR(C1062="Alpha",B1062="Alpha"),$C$7,IF(C1062="Futures",$C$6,$C$5))),""),"")</f>
        <v/>
      </c>
      <c r="I1062" s="139">
        <f>IFERROR(IF(AND(ISNUMBER(F1062),ISNUMBER(H1062)),F1062-H1062,""),"")</f>
        <v/>
      </c>
      <c r="J1062" s="114" t="n"/>
      <c r="K1062" s="139">
        <f>IFERROR(IF(H1062&gt;0,H1062*IF(OR(C1062="Alpha",B1062="Alpha"),$C$9,$C$8),""),"")</f>
        <v/>
      </c>
      <c r="L1062" s="139">
        <f>IFERROR(IF(ISNUMBER(F1062),F1062-IF(ISNUMBER(K1062),K1062,0),""),"")</f>
        <v/>
      </c>
    </row>
    <row r="1063" ht="24" customHeight="1" s="63">
      <c r="E1063" s="139" t="n"/>
      <c r="F1063" s="139" t="n"/>
      <c r="G1063" s="140">
        <f>IFERROR(IF(E1063&gt;0,(F1063/E1063)*1000,""),"")</f>
        <v/>
      </c>
      <c r="H1063" s="139">
        <f>IFERROR(IF(E1063&gt;0,E1063*IF(ISNUMBER(J1063),J1063,IF(OR(C1063="Alpha",B1063="Alpha"),$C$7,IF(C1063="Futures",$C$6,$C$5))),""),"")</f>
        <v/>
      </c>
      <c r="I1063" s="139">
        <f>IFERROR(IF(AND(ISNUMBER(F1063),ISNUMBER(H1063)),F1063-H1063,""),"")</f>
        <v/>
      </c>
      <c r="J1063" s="114" t="n"/>
      <c r="K1063" s="139">
        <f>IFERROR(IF(H1063&gt;0,H1063*IF(OR(C1063="Alpha",B1063="Alpha"),$C$9,$C$8),""),"")</f>
        <v/>
      </c>
      <c r="L1063" s="139">
        <f>IFERROR(IF(ISNUMBER(F1063),F1063-IF(ISNUMBER(K1063),K1063,0),""),"")</f>
        <v/>
      </c>
    </row>
    <row r="1064" ht="24" customHeight="1" s="63">
      <c r="E1064" s="139" t="n"/>
      <c r="F1064" s="139" t="n"/>
      <c r="G1064" s="140">
        <f>IFERROR(IF(E1064&gt;0,(F1064/E1064)*1000,""),"")</f>
        <v/>
      </c>
      <c r="H1064" s="139">
        <f>IFERROR(IF(E1064&gt;0,E1064*IF(ISNUMBER(J1064),J1064,IF(OR(C1064="Alpha",B1064="Alpha"),$C$7,IF(C1064="Futures",$C$6,$C$5))),""),"")</f>
        <v/>
      </c>
      <c r="I1064" s="139">
        <f>IFERROR(IF(AND(ISNUMBER(F1064),ISNUMBER(H1064)),F1064-H1064,""),"")</f>
        <v/>
      </c>
      <c r="J1064" s="114" t="n"/>
      <c r="K1064" s="139">
        <f>IFERROR(IF(H1064&gt;0,H1064*IF(OR(C1064="Alpha",B1064="Alpha"),$C$9,$C$8),""),"")</f>
        <v/>
      </c>
      <c r="L1064" s="139">
        <f>IFERROR(IF(ISNUMBER(F1064),F1064-IF(ISNUMBER(K1064),K1064,0),""),"")</f>
        <v/>
      </c>
    </row>
    <row r="1065" ht="24" customHeight="1" s="63">
      <c r="E1065" s="139" t="n"/>
      <c r="F1065" s="139" t="n"/>
      <c r="G1065" s="140">
        <f>IFERROR(IF(E1065&gt;0,(F1065/E1065)*1000,""),"")</f>
        <v/>
      </c>
      <c r="H1065" s="139">
        <f>IFERROR(IF(E1065&gt;0,E1065*IF(ISNUMBER(J1065),J1065,IF(OR(C1065="Alpha",B1065="Alpha"),$C$7,IF(C1065="Futures",$C$6,$C$5))),""),"")</f>
        <v/>
      </c>
      <c r="I1065" s="139">
        <f>IFERROR(IF(AND(ISNUMBER(F1065),ISNUMBER(H1065)),F1065-H1065,""),"")</f>
        <v/>
      </c>
      <c r="J1065" s="114" t="n"/>
      <c r="K1065" s="139">
        <f>IFERROR(IF(H1065&gt;0,H1065*IF(OR(C1065="Alpha",B1065="Alpha"),$C$9,$C$8),""),"")</f>
        <v/>
      </c>
      <c r="L1065" s="139">
        <f>IFERROR(IF(ISNUMBER(F1065),F1065-IF(ISNUMBER(K1065),K1065,0),""),"")</f>
        <v/>
      </c>
    </row>
    <row r="1066" ht="24" customHeight="1" s="63">
      <c r="E1066" s="139" t="n"/>
      <c r="F1066" s="139" t="n"/>
      <c r="G1066" s="140">
        <f>IFERROR(IF(E1066&gt;0,(F1066/E1066)*1000,""),"")</f>
        <v/>
      </c>
      <c r="H1066" s="139">
        <f>IFERROR(IF(E1066&gt;0,E1066*IF(ISNUMBER(J1066),J1066,IF(OR(C1066="Alpha",B1066="Alpha"),$C$7,IF(C1066="Futures",$C$6,$C$5))),""),"")</f>
        <v/>
      </c>
      <c r="I1066" s="139">
        <f>IFERROR(IF(AND(ISNUMBER(F1066),ISNUMBER(H1066)),F1066-H1066,""),"")</f>
        <v/>
      </c>
      <c r="J1066" s="114" t="n"/>
      <c r="K1066" s="139">
        <f>IFERROR(IF(H1066&gt;0,H1066*IF(OR(C1066="Alpha",B1066="Alpha"),$C$9,$C$8),""),"")</f>
        <v/>
      </c>
      <c r="L1066" s="139">
        <f>IFERROR(IF(ISNUMBER(F1066),F1066-IF(ISNUMBER(K1066),K1066,0),""),"")</f>
        <v/>
      </c>
    </row>
    <row r="1067" ht="24" customHeight="1" s="63">
      <c r="E1067" s="139" t="n"/>
      <c r="F1067" s="139" t="n"/>
      <c r="G1067" s="140">
        <f>IFERROR(IF(E1067&gt;0,(F1067/E1067)*1000,""),"")</f>
        <v/>
      </c>
      <c r="H1067" s="139">
        <f>IFERROR(IF(E1067&gt;0,E1067*IF(ISNUMBER(J1067),J1067,IF(OR(C1067="Alpha",B1067="Alpha"),$C$7,IF(C1067="Futures",$C$6,$C$5))),""),"")</f>
        <v/>
      </c>
      <c r="I1067" s="139">
        <f>IFERROR(IF(AND(ISNUMBER(F1067),ISNUMBER(H1067)),F1067-H1067,""),"")</f>
        <v/>
      </c>
      <c r="J1067" s="114" t="n"/>
      <c r="K1067" s="139">
        <f>IFERROR(IF(H1067&gt;0,H1067*IF(OR(C1067="Alpha",B1067="Alpha"),$C$9,$C$8),""),"")</f>
        <v/>
      </c>
      <c r="L1067" s="139">
        <f>IFERROR(IF(ISNUMBER(F1067),F1067-IF(ISNUMBER(K1067),K1067,0),""),"")</f>
        <v/>
      </c>
    </row>
    <row r="1068" ht="24" customHeight="1" s="63">
      <c r="E1068" s="139" t="n"/>
      <c r="F1068" s="139" t="n"/>
      <c r="G1068" s="140">
        <f>IFERROR(IF(E1068&gt;0,(F1068/E1068)*1000,""),"")</f>
        <v/>
      </c>
      <c r="H1068" s="139">
        <f>IFERROR(IF(E1068&gt;0,E1068*IF(ISNUMBER(J1068),J1068,IF(OR(C1068="Alpha",B1068="Alpha"),$C$7,IF(C1068="Futures",$C$6,$C$5))),""),"")</f>
        <v/>
      </c>
      <c r="I1068" s="139">
        <f>IFERROR(IF(AND(ISNUMBER(F1068),ISNUMBER(H1068)),F1068-H1068,""),"")</f>
        <v/>
      </c>
      <c r="J1068" s="114" t="n"/>
      <c r="K1068" s="139">
        <f>IFERROR(IF(H1068&gt;0,H1068*IF(OR(C1068="Alpha",B1068="Alpha"),$C$9,$C$8),""),"")</f>
        <v/>
      </c>
      <c r="L1068" s="139">
        <f>IFERROR(IF(ISNUMBER(F1068),F1068-IF(ISNUMBER(K1068),K1068,0),""),"")</f>
        <v/>
      </c>
    </row>
    <row r="1069" ht="24" customHeight="1" s="63">
      <c r="E1069" s="139" t="n"/>
      <c r="F1069" s="139" t="n"/>
      <c r="G1069" s="140">
        <f>IFERROR(IF(E1069&gt;0,(F1069/E1069)*1000,""),"")</f>
        <v/>
      </c>
      <c r="H1069" s="139">
        <f>IFERROR(IF(E1069&gt;0,E1069*IF(ISNUMBER(J1069),J1069,IF(OR(C1069="Alpha",B1069="Alpha"),$C$7,IF(C1069="Futures",$C$6,$C$5))),""),"")</f>
        <v/>
      </c>
      <c r="I1069" s="139">
        <f>IFERROR(IF(AND(ISNUMBER(F1069),ISNUMBER(H1069)),F1069-H1069,""),"")</f>
        <v/>
      </c>
      <c r="J1069" s="114" t="n"/>
      <c r="K1069" s="139">
        <f>IFERROR(IF(H1069&gt;0,H1069*IF(OR(C1069="Alpha",B1069="Alpha"),$C$9,$C$8),""),"")</f>
        <v/>
      </c>
      <c r="L1069" s="139">
        <f>IFERROR(IF(ISNUMBER(F1069),F1069-IF(ISNUMBER(K1069),K1069,0),""),"")</f>
        <v/>
      </c>
    </row>
    <row r="1070" ht="24" customHeight="1" s="63">
      <c r="E1070" s="139" t="n"/>
      <c r="F1070" s="139" t="n"/>
      <c r="G1070" s="140">
        <f>IFERROR(IF(E1070&gt;0,(F1070/E1070)*1000,""),"")</f>
        <v/>
      </c>
      <c r="H1070" s="139">
        <f>IFERROR(IF(E1070&gt;0,E1070*IF(ISNUMBER(J1070),J1070,IF(OR(C1070="Alpha",B1070="Alpha"),$C$7,IF(C1070="Futures",$C$6,$C$5))),""),"")</f>
        <v/>
      </c>
      <c r="I1070" s="139">
        <f>IFERROR(IF(AND(ISNUMBER(F1070),ISNUMBER(H1070)),F1070-H1070,""),"")</f>
        <v/>
      </c>
      <c r="J1070" s="114" t="n"/>
      <c r="K1070" s="139">
        <f>IFERROR(IF(H1070&gt;0,H1070*IF(OR(C1070="Alpha",B1070="Alpha"),$C$9,$C$8),""),"")</f>
        <v/>
      </c>
      <c r="L1070" s="139">
        <f>IFERROR(IF(ISNUMBER(F1070),F1070-IF(ISNUMBER(K1070),K1070,0),""),"")</f>
        <v/>
      </c>
    </row>
    <row r="1071" ht="24" customHeight="1" s="63">
      <c r="E1071" s="139" t="n"/>
      <c r="F1071" s="139" t="n"/>
      <c r="G1071" s="140">
        <f>IFERROR(IF(E1071&gt;0,(F1071/E1071)*1000,""),"")</f>
        <v/>
      </c>
      <c r="H1071" s="139">
        <f>IFERROR(IF(E1071&gt;0,E1071*IF(ISNUMBER(J1071),J1071,IF(OR(C1071="Alpha",B1071="Alpha"),$C$7,IF(C1071="Futures",$C$6,$C$5))),""),"")</f>
        <v/>
      </c>
      <c r="I1071" s="139">
        <f>IFERROR(IF(AND(ISNUMBER(F1071),ISNUMBER(H1071)),F1071-H1071,""),"")</f>
        <v/>
      </c>
      <c r="J1071" s="114" t="n"/>
      <c r="K1071" s="139">
        <f>IFERROR(IF(H1071&gt;0,H1071*IF(OR(C1071="Alpha",B1071="Alpha"),$C$9,$C$8),""),"")</f>
        <v/>
      </c>
      <c r="L1071" s="139">
        <f>IFERROR(IF(ISNUMBER(F1071),F1071-IF(ISNUMBER(K1071),K1071,0),""),"")</f>
        <v/>
      </c>
    </row>
    <row r="1072" ht="24" customHeight="1" s="63">
      <c r="E1072" s="139" t="n"/>
      <c r="F1072" s="139" t="n"/>
      <c r="G1072" s="140">
        <f>IFERROR(IF(E1072&gt;0,(F1072/E1072)*1000,""),"")</f>
        <v/>
      </c>
      <c r="H1072" s="139">
        <f>IFERROR(IF(E1072&gt;0,E1072*IF(ISNUMBER(J1072),J1072,IF(OR(C1072="Alpha",B1072="Alpha"),$C$7,IF(C1072="Futures",$C$6,$C$5))),""),"")</f>
        <v/>
      </c>
      <c r="I1072" s="139">
        <f>IFERROR(IF(AND(ISNUMBER(F1072),ISNUMBER(H1072)),F1072-H1072,""),"")</f>
        <v/>
      </c>
      <c r="J1072" s="114" t="n"/>
      <c r="K1072" s="139">
        <f>IFERROR(IF(H1072&gt;0,H1072*IF(OR(C1072="Alpha",B1072="Alpha"),$C$9,$C$8),""),"")</f>
        <v/>
      </c>
      <c r="L1072" s="139">
        <f>IFERROR(IF(ISNUMBER(F1072),F1072-IF(ISNUMBER(K1072),K1072,0),""),"")</f>
        <v/>
      </c>
    </row>
    <row r="1073" ht="24" customHeight="1" s="63">
      <c r="E1073" s="139" t="n"/>
      <c r="F1073" s="139" t="n"/>
      <c r="G1073" s="140">
        <f>IFERROR(IF(E1073&gt;0,(F1073/E1073)*1000,""),"")</f>
        <v/>
      </c>
      <c r="H1073" s="139">
        <f>IFERROR(IF(E1073&gt;0,E1073*IF(ISNUMBER(J1073),J1073,IF(OR(C1073="Alpha",B1073="Alpha"),$C$7,IF(C1073="Futures",$C$6,$C$5))),""),"")</f>
        <v/>
      </c>
      <c r="I1073" s="139">
        <f>IFERROR(IF(AND(ISNUMBER(F1073),ISNUMBER(H1073)),F1073-H1073,""),"")</f>
        <v/>
      </c>
      <c r="J1073" s="114" t="n"/>
      <c r="K1073" s="139">
        <f>IFERROR(IF(H1073&gt;0,H1073*IF(OR(C1073="Alpha",B1073="Alpha"),$C$9,$C$8),""),"")</f>
        <v/>
      </c>
      <c r="L1073" s="139">
        <f>IFERROR(IF(ISNUMBER(F1073),F1073-IF(ISNUMBER(K1073),K1073,0),""),"")</f>
        <v/>
      </c>
    </row>
    <row r="1074" ht="24" customHeight="1" s="63">
      <c r="E1074" s="139" t="n"/>
      <c r="F1074" s="139" t="n"/>
      <c r="G1074" s="140">
        <f>IFERROR(IF(E1074&gt;0,(F1074/E1074)*1000,""),"")</f>
        <v/>
      </c>
      <c r="H1074" s="139">
        <f>IFERROR(IF(E1074&gt;0,E1074*IF(ISNUMBER(J1074),J1074,IF(OR(C1074="Alpha",B1074="Alpha"),$C$7,IF(C1074="Futures",$C$6,$C$5))),""),"")</f>
        <v/>
      </c>
      <c r="I1074" s="139">
        <f>IFERROR(IF(AND(ISNUMBER(F1074),ISNUMBER(H1074)),F1074-H1074,""),"")</f>
        <v/>
      </c>
      <c r="J1074" s="114" t="n"/>
      <c r="K1074" s="139">
        <f>IFERROR(IF(H1074&gt;0,H1074*IF(OR(C1074="Alpha",B1074="Alpha"),$C$9,$C$8),""),"")</f>
        <v/>
      </c>
      <c r="L1074" s="139">
        <f>IFERROR(IF(ISNUMBER(F1074),F1074-IF(ISNUMBER(K1074),K1074,0),""),"")</f>
        <v/>
      </c>
    </row>
    <row r="1075" ht="24" customHeight="1" s="63">
      <c r="E1075" s="139" t="n"/>
      <c r="F1075" s="139" t="n"/>
      <c r="G1075" s="140">
        <f>IFERROR(IF(E1075&gt;0,(F1075/E1075)*1000,""),"")</f>
        <v/>
      </c>
      <c r="H1075" s="139">
        <f>IFERROR(IF(E1075&gt;0,E1075*IF(ISNUMBER(J1075),J1075,IF(OR(C1075="Alpha",B1075="Alpha"),$C$7,IF(C1075="Futures",$C$6,$C$5))),""),"")</f>
        <v/>
      </c>
      <c r="I1075" s="139">
        <f>IFERROR(IF(AND(ISNUMBER(F1075),ISNUMBER(H1075)),F1075-H1075,""),"")</f>
        <v/>
      </c>
      <c r="J1075" s="114" t="n"/>
      <c r="K1075" s="139">
        <f>IFERROR(IF(H1075&gt;0,H1075*IF(OR(C1075="Alpha",B1075="Alpha"),$C$9,$C$8),""),"")</f>
        <v/>
      </c>
      <c r="L1075" s="139">
        <f>IFERROR(IF(ISNUMBER(F1075),F1075-IF(ISNUMBER(K1075),K1075,0),""),"")</f>
        <v/>
      </c>
    </row>
    <row r="1076" ht="24" customHeight="1" s="63">
      <c r="E1076" s="139" t="n"/>
      <c r="F1076" s="139" t="n"/>
      <c r="G1076" s="140">
        <f>IFERROR(IF(E1076&gt;0,(F1076/E1076)*1000,""),"")</f>
        <v/>
      </c>
      <c r="H1076" s="139">
        <f>IFERROR(IF(E1076&gt;0,E1076*IF(ISNUMBER(J1076),J1076,IF(OR(C1076="Alpha",B1076="Alpha"),$C$7,IF(C1076="Futures",$C$6,$C$5))),""),"")</f>
        <v/>
      </c>
      <c r="I1076" s="139">
        <f>IFERROR(IF(AND(ISNUMBER(F1076),ISNUMBER(H1076)),F1076-H1076,""),"")</f>
        <v/>
      </c>
      <c r="J1076" s="114" t="n"/>
      <c r="K1076" s="139">
        <f>IFERROR(IF(H1076&gt;0,H1076*IF(OR(C1076="Alpha",B1076="Alpha"),$C$9,$C$8),""),"")</f>
        <v/>
      </c>
      <c r="L1076" s="139">
        <f>IFERROR(IF(ISNUMBER(F1076),F1076-IF(ISNUMBER(K1076),K1076,0),""),"")</f>
        <v/>
      </c>
    </row>
    <row r="1077" ht="24" customHeight="1" s="63">
      <c r="E1077" s="139" t="n"/>
      <c r="F1077" s="139" t="n"/>
      <c r="G1077" s="140">
        <f>IFERROR(IF(E1077&gt;0,(F1077/E1077)*1000,""),"")</f>
        <v/>
      </c>
      <c r="H1077" s="139">
        <f>IFERROR(IF(E1077&gt;0,E1077*IF(ISNUMBER(J1077),J1077,IF(OR(C1077="Alpha",B1077="Alpha"),$C$7,IF(C1077="Futures",$C$6,$C$5))),""),"")</f>
        <v/>
      </c>
      <c r="I1077" s="139">
        <f>IFERROR(IF(AND(ISNUMBER(F1077),ISNUMBER(H1077)),F1077-H1077,""),"")</f>
        <v/>
      </c>
      <c r="J1077" s="114" t="n"/>
      <c r="K1077" s="139">
        <f>IFERROR(IF(H1077&gt;0,H1077*IF(OR(C1077="Alpha",B1077="Alpha"),$C$9,$C$8),""),"")</f>
        <v/>
      </c>
      <c r="L1077" s="139">
        <f>IFERROR(IF(ISNUMBER(F1077),F1077-IF(ISNUMBER(K1077),K1077,0),""),"")</f>
        <v/>
      </c>
    </row>
    <row r="1078" ht="24" customHeight="1" s="63">
      <c r="E1078" s="139" t="n"/>
      <c r="F1078" s="139" t="n"/>
      <c r="G1078" s="140">
        <f>IFERROR(IF(E1078&gt;0,(F1078/E1078)*1000,""),"")</f>
        <v/>
      </c>
      <c r="H1078" s="139">
        <f>IFERROR(IF(E1078&gt;0,E1078*IF(ISNUMBER(J1078),J1078,IF(OR(C1078="Alpha",B1078="Alpha"),$C$7,IF(C1078="Futures",$C$6,$C$5))),""),"")</f>
        <v/>
      </c>
      <c r="I1078" s="139">
        <f>IFERROR(IF(AND(ISNUMBER(F1078),ISNUMBER(H1078)),F1078-H1078,""),"")</f>
        <v/>
      </c>
      <c r="J1078" s="114" t="n"/>
      <c r="K1078" s="139">
        <f>IFERROR(IF(H1078&gt;0,H1078*IF(OR(C1078="Alpha",B1078="Alpha"),$C$9,$C$8),""),"")</f>
        <v/>
      </c>
      <c r="L1078" s="139">
        <f>IFERROR(IF(ISNUMBER(F1078),F1078-IF(ISNUMBER(K1078),K1078,0),""),"")</f>
        <v/>
      </c>
    </row>
    <row r="1079" ht="24" customHeight="1" s="63">
      <c r="E1079" s="139" t="n"/>
      <c r="F1079" s="139" t="n"/>
      <c r="G1079" s="140">
        <f>IFERROR(IF(E1079&gt;0,(F1079/E1079)*1000,""),"")</f>
        <v/>
      </c>
      <c r="H1079" s="139">
        <f>IFERROR(IF(E1079&gt;0,E1079*IF(ISNUMBER(J1079),J1079,IF(OR(C1079="Alpha",B1079="Alpha"),$C$7,IF(C1079="Futures",$C$6,$C$5))),""),"")</f>
        <v/>
      </c>
      <c r="I1079" s="139">
        <f>IFERROR(IF(AND(ISNUMBER(F1079),ISNUMBER(H1079)),F1079-H1079,""),"")</f>
        <v/>
      </c>
      <c r="J1079" s="114" t="n"/>
      <c r="K1079" s="139">
        <f>IFERROR(IF(H1079&gt;0,H1079*IF(OR(C1079="Alpha",B1079="Alpha"),$C$9,$C$8),""),"")</f>
        <v/>
      </c>
      <c r="L1079" s="139">
        <f>IFERROR(IF(ISNUMBER(F1079),F1079-IF(ISNUMBER(K1079),K1079,0),""),"")</f>
        <v/>
      </c>
    </row>
    <row r="1080" ht="24" customHeight="1" s="63">
      <c r="E1080" s="139" t="n"/>
      <c r="F1080" s="139" t="n"/>
      <c r="G1080" s="140">
        <f>IFERROR(IF(E1080&gt;0,(F1080/E1080)*1000,""),"")</f>
        <v/>
      </c>
      <c r="H1080" s="139">
        <f>IFERROR(IF(E1080&gt;0,E1080*IF(ISNUMBER(J1080),J1080,IF(OR(C1080="Alpha",B1080="Alpha"),$C$7,IF(C1080="Futures",$C$6,$C$5))),""),"")</f>
        <v/>
      </c>
      <c r="I1080" s="139">
        <f>IFERROR(IF(AND(ISNUMBER(F1080),ISNUMBER(H1080)),F1080-H1080,""),"")</f>
        <v/>
      </c>
      <c r="J1080" s="114" t="n"/>
      <c r="K1080" s="139">
        <f>IFERROR(IF(H1080&gt;0,H1080*IF(OR(C1080="Alpha",B1080="Alpha"),$C$9,$C$8),""),"")</f>
        <v/>
      </c>
      <c r="L1080" s="139">
        <f>IFERROR(IF(ISNUMBER(F1080),F1080-IF(ISNUMBER(K1080),K1080,0),""),"")</f>
        <v/>
      </c>
    </row>
    <row r="1081" ht="24" customHeight="1" s="63">
      <c r="E1081" s="139" t="n"/>
      <c r="F1081" s="139" t="n"/>
      <c r="G1081" s="140">
        <f>IFERROR(IF(E1081&gt;0,(F1081/E1081)*1000,""),"")</f>
        <v/>
      </c>
      <c r="H1081" s="139">
        <f>IFERROR(IF(E1081&gt;0,E1081*IF(ISNUMBER(J1081),J1081,IF(OR(C1081="Alpha",B1081="Alpha"),$C$7,IF(C1081="Futures",$C$6,$C$5))),""),"")</f>
        <v/>
      </c>
      <c r="I1081" s="139">
        <f>IFERROR(IF(AND(ISNUMBER(F1081),ISNUMBER(H1081)),F1081-H1081,""),"")</f>
        <v/>
      </c>
      <c r="J1081" s="114" t="n"/>
      <c r="K1081" s="139">
        <f>IFERROR(IF(H1081&gt;0,H1081*IF(OR(C1081="Alpha",B1081="Alpha"),$C$9,$C$8),""),"")</f>
        <v/>
      </c>
      <c r="L1081" s="139">
        <f>IFERROR(IF(ISNUMBER(F1081),F1081-IF(ISNUMBER(K1081),K1081,0),""),"")</f>
        <v/>
      </c>
    </row>
    <row r="1082" ht="24" customHeight="1" s="63">
      <c r="E1082" s="139" t="n"/>
      <c r="F1082" s="139" t="n"/>
      <c r="G1082" s="140">
        <f>IFERROR(IF(E1082&gt;0,(F1082/E1082)*1000,""),"")</f>
        <v/>
      </c>
      <c r="H1082" s="139">
        <f>IFERROR(IF(E1082&gt;0,E1082*IF(ISNUMBER(J1082),J1082,IF(OR(C1082="Alpha",B1082="Alpha"),$C$7,IF(C1082="Futures",$C$6,$C$5))),""),"")</f>
        <v/>
      </c>
      <c r="I1082" s="139">
        <f>IFERROR(IF(AND(ISNUMBER(F1082),ISNUMBER(H1082)),F1082-H1082,""),"")</f>
        <v/>
      </c>
      <c r="J1082" s="114" t="n"/>
      <c r="K1082" s="139">
        <f>IFERROR(IF(H1082&gt;0,H1082*IF(OR(C1082="Alpha",B1082="Alpha"),$C$9,$C$8),""),"")</f>
        <v/>
      </c>
      <c r="L1082" s="139">
        <f>IFERROR(IF(ISNUMBER(F1082),F1082-IF(ISNUMBER(K1082),K1082,0),""),"")</f>
        <v/>
      </c>
    </row>
    <row r="1083" ht="24" customHeight="1" s="63">
      <c r="E1083" s="139" t="n"/>
      <c r="F1083" s="139" t="n"/>
      <c r="G1083" s="140">
        <f>IFERROR(IF(E1083&gt;0,(F1083/E1083)*1000,""),"")</f>
        <v/>
      </c>
      <c r="H1083" s="139">
        <f>IFERROR(IF(E1083&gt;0,E1083*IF(ISNUMBER(J1083),J1083,IF(OR(C1083="Alpha",B1083="Alpha"),$C$7,IF(C1083="Futures",$C$6,$C$5))),""),"")</f>
        <v/>
      </c>
      <c r="I1083" s="139">
        <f>IFERROR(IF(AND(ISNUMBER(F1083),ISNUMBER(H1083)),F1083-H1083,""),"")</f>
        <v/>
      </c>
      <c r="J1083" s="114" t="n"/>
      <c r="K1083" s="139">
        <f>IFERROR(IF(H1083&gt;0,H1083*IF(OR(C1083="Alpha",B1083="Alpha"),$C$9,$C$8),""),"")</f>
        <v/>
      </c>
      <c r="L1083" s="139">
        <f>IFERROR(IF(ISNUMBER(F1083),F1083-IF(ISNUMBER(K1083),K1083,0),""),"")</f>
        <v/>
      </c>
    </row>
    <row r="1084" ht="24" customHeight="1" s="63">
      <c r="E1084" s="139" t="n"/>
      <c r="F1084" s="139" t="n"/>
      <c r="G1084" s="140">
        <f>IFERROR(IF(E1084&gt;0,(F1084/E1084)*1000,""),"")</f>
        <v/>
      </c>
      <c r="H1084" s="139">
        <f>IFERROR(IF(E1084&gt;0,E1084*IF(ISNUMBER(J1084),J1084,IF(OR(C1084="Alpha",B1084="Alpha"),$C$7,IF(C1084="Futures",$C$6,$C$5))),""),"")</f>
        <v/>
      </c>
      <c r="I1084" s="139">
        <f>IFERROR(IF(AND(ISNUMBER(F1084),ISNUMBER(H1084)),F1084-H1084,""),"")</f>
        <v/>
      </c>
      <c r="J1084" s="114" t="n"/>
      <c r="K1084" s="139">
        <f>IFERROR(IF(H1084&gt;0,H1084*IF(OR(C1084="Alpha",B1084="Alpha"),$C$9,$C$8),""),"")</f>
        <v/>
      </c>
      <c r="L1084" s="139">
        <f>IFERROR(IF(ISNUMBER(F1084),F1084-IF(ISNUMBER(K1084),K1084,0),""),"")</f>
        <v/>
      </c>
    </row>
    <row r="1085" ht="24" customHeight="1" s="63">
      <c r="E1085" s="139" t="n"/>
      <c r="F1085" s="139" t="n"/>
      <c r="G1085" s="140">
        <f>IFERROR(IF(E1085&gt;0,(F1085/E1085)*1000,""),"")</f>
        <v/>
      </c>
      <c r="H1085" s="139">
        <f>IFERROR(IF(E1085&gt;0,E1085*IF(ISNUMBER(J1085),J1085,IF(OR(C1085="Alpha",B1085="Alpha"),$C$7,IF(C1085="Futures",$C$6,$C$5))),""),"")</f>
        <v/>
      </c>
      <c r="I1085" s="139">
        <f>IFERROR(IF(AND(ISNUMBER(F1085),ISNUMBER(H1085)),F1085-H1085,""),"")</f>
        <v/>
      </c>
      <c r="J1085" s="114" t="n"/>
      <c r="K1085" s="139">
        <f>IFERROR(IF(H1085&gt;0,H1085*IF(OR(C1085="Alpha",B1085="Alpha"),$C$9,$C$8),""),"")</f>
        <v/>
      </c>
      <c r="L1085" s="139">
        <f>IFERROR(IF(ISNUMBER(F1085),F1085-IF(ISNUMBER(K1085),K1085,0),""),"")</f>
        <v/>
      </c>
    </row>
    <row r="1086" ht="24" customHeight="1" s="63">
      <c r="E1086" s="139" t="n"/>
      <c r="F1086" s="139" t="n"/>
      <c r="G1086" s="140">
        <f>IFERROR(IF(E1086&gt;0,(F1086/E1086)*1000,""),"")</f>
        <v/>
      </c>
      <c r="H1086" s="139">
        <f>IFERROR(IF(E1086&gt;0,E1086*IF(ISNUMBER(J1086),J1086,IF(OR(C1086="Alpha",B1086="Alpha"),$C$7,IF(C1086="Futures",$C$6,$C$5))),""),"")</f>
        <v/>
      </c>
      <c r="I1086" s="139">
        <f>IFERROR(IF(AND(ISNUMBER(F1086),ISNUMBER(H1086)),F1086-H1086,""),"")</f>
        <v/>
      </c>
      <c r="J1086" s="114" t="n"/>
      <c r="K1086" s="139">
        <f>IFERROR(IF(H1086&gt;0,H1086*IF(OR(C1086="Alpha",B1086="Alpha"),$C$9,$C$8),""),"")</f>
        <v/>
      </c>
      <c r="L1086" s="139">
        <f>IFERROR(IF(ISNUMBER(F1086),F1086-IF(ISNUMBER(K1086),K1086,0),""),"")</f>
        <v/>
      </c>
    </row>
    <row r="1087" ht="24" customHeight="1" s="63">
      <c r="E1087" s="139" t="n"/>
      <c r="F1087" s="139" t="n"/>
      <c r="G1087" s="140">
        <f>IFERROR(IF(E1087&gt;0,(F1087/E1087)*1000,""),"")</f>
        <v/>
      </c>
      <c r="H1087" s="139">
        <f>IFERROR(IF(E1087&gt;0,E1087*IF(ISNUMBER(J1087),J1087,IF(OR(C1087="Alpha",B1087="Alpha"),$C$7,IF(C1087="Futures",$C$6,$C$5))),""),"")</f>
        <v/>
      </c>
      <c r="I1087" s="139">
        <f>IFERROR(IF(AND(ISNUMBER(F1087),ISNUMBER(H1087)),F1087-H1087,""),"")</f>
        <v/>
      </c>
      <c r="J1087" s="114" t="n"/>
      <c r="K1087" s="139">
        <f>IFERROR(IF(H1087&gt;0,H1087*IF(OR(C1087="Alpha",B1087="Alpha"),$C$9,$C$8),""),"")</f>
        <v/>
      </c>
      <c r="L1087" s="139">
        <f>IFERROR(IF(ISNUMBER(F1087),F1087-IF(ISNUMBER(K1087),K1087,0),""),"")</f>
        <v/>
      </c>
    </row>
    <row r="1088" ht="24" customHeight="1" s="63">
      <c r="E1088" s="139" t="n"/>
      <c r="F1088" s="139" t="n"/>
      <c r="G1088" s="140">
        <f>IFERROR(IF(E1088&gt;0,(F1088/E1088)*1000,""),"")</f>
        <v/>
      </c>
      <c r="H1088" s="139">
        <f>IFERROR(IF(E1088&gt;0,E1088*IF(ISNUMBER(J1088),J1088,IF(OR(C1088="Alpha",B1088="Alpha"),$C$7,IF(C1088="Futures",$C$6,$C$5))),""),"")</f>
        <v/>
      </c>
      <c r="I1088" s="139">
        <f>IFERROR(IF(AND(ISNUMBER(F1088),ISNUMBER(H1088)),F1088-H1088,""),"")</f>
        <v/>
      </c>
      <c r="J1088" s="114" t="n"/>
      <c r="K1088" s="139">
        <f>IFERROR(IF(H1088&gt;0,H1088*IF(OR(C1088="Alpha",B1088="Alpha"),$C$9,$C$8),""),"")</f>
        <v/>
      </c>
      <c r="L1088" s="139">
        <f>IFERROR(IF(ISNUMBER(F1088),F1088-IF(ISNUMBER(K1088),K1088,0),""),"")</f>
        <v/>
      </c>
    </row>
    <row r="1089" ht="24" customHeight="1" s="63">
      <c r="E1089" s="139" t="n"/>
      <c r="F1089" s="139" t="n"/>
      <c r="G1089" s="140">
        <f>IFERROR(IF(E1089&gt;0,(F1089/E1089)*1000,""),"")</f>
        <v/>
      </c>
      <c r="H1089" s="139">
        <f>IFERROR(IF(E1089&gt;0,E1089*IF(ISNUMBER(J1089),J1089,IF(OR(C1089="Alpha",B1089="Alpha"),$C$7,IF(C1089="Futures",$C$6,$C$5))),""),"")</f>
        <v/>
      </c>
      <c r="I1089" s="139">
        <f>IFERROR(IF(AND(ISNUMBER(F1089),ISNUMBER(H1089)),F1089-H1089,""),"")</f>
        <v/>
      </c>
      <c r="J1089" s="114" t="n"/>
      <c r="K1089" s="139">
        <f>IFERROR(IF(H1089&gt;0,H1089*IF(OR(C1089="Alpha",B1089="Alpha"),$C$9,$C$8),""),"")</f>
        <v/>
      </c>
      <c r="L1089" s="139">
        <f>IFERROR(IF(ISNUMBER(F1089),F1089-IF(ISNUMBER(K1089),K1089,0),""),"")</f>
        <v/>
      </c>
    </row>
    <row r="1090" ht="24" customHeight="1" s="63">
      <c r="E1090" s="139" t="n"/>
      <c r="F1090" s="139" t="n"/>
      <c r="G1090" s="140">
        <f>IFERROR(IF(E1090&gt;0,(F1090/E1090)*1000,""),"")</f>
        <v/>
      </c>
      <c r="H1090" s="139">
        <f>IFERROR(IF(E1090&gt;0,E1090*IF(ISNUMBER(J1090),J1090,IF(OR(C1090="Alpha",B1090="Alpha"),$C$7,IF(C1090="Futures",$C$6,$C$5))),""),"")</f>
        <v/>
      </c>
      <c r="I1090" s="139">
        <f>IFERROR(IF(AND(ISNUMBER(F1090),ISNUMBER(H1090)),F1090-H1090,""),"")</f>
        <v/>
      </c>
      <c r="J1090" s="114" t="n"/>
      <c r="K1090" s="139">
        <f>IFERROR(IF(H1090&gt;0,H1090*IF(OR(C1090="Alpha",B1090="Alpha"),$C$9,$C$8),""),"")</f>
        <v/>
      </c>
      <c r="L1090" s="139">
        <f>IFERROR(IF(ISNUMBER(F1090),F1090-IF(ISNUMBER(K1090),K1090,0),""),"")</f>
        <v/>
      </c>
    </row>
    <row r="1091" ht="24" customHeight="1" s="63">
      <c r="E1091" s="139" t="n"/>
      <c r="F1091" s="139" t="n"/>
      <c r="G1091" s="140">
        <f>IFERROR(IF(E1091&gt;0,(F1091/E1091)*1000,""),"")</f>
        <v/>
      </c>
      <c r="H1091" s="139">
        <f>IFERROR(IF(E1091&gt;0,E1091*IF(ISNUMBER(J1091),J1091,IF(OR(C1091="Alpha",B1091="Alpha"),$C$7,IF(C1091="Futures",$C$6,$C$5))),""),"")</f>
        <v/>
      </c>
      <c r="I1091" s="139">
        <f>IFERROR(IF(AND(ISNUMBER(F1091),ISNUMBER(H1091)),F1091-H1091,""),"")</f>
        <v/>
      </c>
      <c r="J1091" s="114" t="n"/>
      <c r="K1091" s="139">
        <f>IFERROR(IF(H1091&gt;0,H1091*IF(OR(C1091="Alpha",B1091="Alpha"),$C$9,$C$8),""),"")</f>
        <v/>
      </c>
      <c r="L1091" s="139">
        <f>IFERROR(IF(ISNUMBER(F1091),F1091-IF(ISNUMBER(K1091),K1091,0),""),"")</f>
        <v/>
      </c>
    </row>
    <row r="1092" ht="24" customHeight="1" s="63">
      <c r="E1092" s="139" t="n"/>
      <c r="F1092" s="139" t="n"/>
      <c r="G1092" s="140">
        <f>IFERROR(IF(E1092&gt;0,(F1092/E1092)*1000,""),"")</f>
        <v/>
      </c>
      <c r="H1092" s="139">
        <f>IFERROR(IF(E1092&gt;0,E1092*IF(ISNUMBER(J1092),J1092,IF(OR(C1092="Alpha",B1092="Alpha"),$C$7,IF(C1092="Futures",$C$6,$C$5))),""),"")</f>
        <v/>
      </c>
      <c r="I1092" s="139">
        <f>IFERROR(IF(AND(ISNUMBER(F1092),ISNUMBER(H1092)),F1092-H1092,""),"")</f>
        <v/>
      </c>
      <c r="J1092" s="114" t="n"/>
      <c r="K1092" s="139">
        <f>IFERROR(IF(H1092&gt;0,H1092*IF(OR(C1092="Alpha",B1092="Alpha"),$C$9,$C$8),""),"")</f>
        <v/>
      </c>
      <c r="L1092" s="139">
        <f>IFERROR(IF(ISNUMBER(F1092),F1092-IF(ISNUMBER(K1092),K1092,0),""),"")</f>
        <v/>
      </c>
    </row>
    <row r="1093" ht="24" customHeight="1" s="63">
      <c r="E1093" s="139" t="n"/>
      <c r="F1093" s="139" t="n"/>
      <c r="G1093" s="140">
        <f>IFERROR(IF(E1093&gt;0,(F1093/E1093)*1000,""),"")</f>
        <v/>
      </c>
      <c r="H1093" s="139">
        <f>IFERROR(IF(E1093&gt;0,E1093*IF(ISNUMBER(J1093),J1093,IF(OR(C1093="Alpha",B1093="Alpha"),$C$7,IF(C1093="Futures",$C$6,$C$5))),""),"")</f>
        <v/>
      </c>
      <c r="I1093" s="139">
        <f>IFERROR(IF(AND(ISNUMBER(F1093),ISNUMBER(H1093)),F1093-H1093,""),"")</f>
        <v/>
      </c>
      <c r="J1093" s="114" t="n"/>
      <c r="K1093" s="139">
        <f>IFERROR(IF(H1093&gt;0,H1093*IF(OR(C1093="Alpha",B1093="Alpha"),$C$9,$C$8),""),"")</f>
        <v/>
      </c>
      <c r="L1093" s="139">
        <f>IFERROR(IF(ISNUMBER(F1093),F1093-IF(ISNUMBER(K1093),K1093,0),""),"")</f>
        <v/>
      </c>
    </row>
    <row r="1094" ht="24" customHeight="1" s="63">
      <c r="E1094" s="139" t="n"/>
      <c r="F1094" s="139" t="n"/>
      <c r="G1094" s="140">
        <f>IFERROR(IF(E1094&gt;0,(F1094/E1094)*1000,""),"")</f>
        <v/>
      </c>
      <c r="H1094" s="139">
        <f>IFERROR(IF(E1094&gt;0,E1094*IF(ISNUMBER(J1094),J1094,IF(OR(C1094="Alpha",B1094="Alpha"),$C$7,IF(C1094="Futures",$C$6,$C$5))),""),"")</f>
        <v/>
      </c>
      <c r="I1094" s="139">
        <f>IFERROR(IF(AND(ISNUMBER(F1094),ISNUMBER(H1094)),F1094-H1094,""),"")</f>
        <v/>
      </c>
      <c r="J1094" s="114" t="n"/>
      <c r="K1094" s="139">
        <f>IFERROR(IF(H1094&gt;0,H1094*IF(OR(C1094="Alpha",B1094="Alpha"),$C$9,$C$8),""),"")</f>
        <v/>
      </c>
      <c r="L1094" s="139">
        <f>IFERROR(IF(ISNUMBER(F1094),F1094-IF(ISNUMBER(K1094),K1094,0),""),"")</f>
        <v/>
      </c>
    </row>
    <row r="1095" ht="24" customHeight="1" s="63">
      <c r="E1095" s="139" t="n"/>
      <c r="F1095" s="139" t="n"/>
      <c r="G1095" s="140">
        <f>IFERROR(IF(E1095&gt;0,(F1095/E1095)*1000,""),"")</f>
        <v/>
      </c>
      <c r="H1095" s="139">
        <f>IFERROR(IF(E1095&gt;0,E1095*IF(ISNUMBER(J1095),J1095,IF(OR(C1095="Alpha",B1095="Alpha"),$C$7,IF(C1095="Futures",$C$6,$C$5))),""),"")</f>
        <v/>
      </c>
      <c r="I1095" s="139">
        <f>IFERROR(IF(AND(ISNUMBER(F1095),ISNUMBER(H1095)),F1095-H1095,""),"")</f>
        <v/>
      </c>
      <c r="J1095" s="114" t="n"/>
      <c r="K1095" s="139">
        <f>IFERROR(IF(H1095&gt;0,H1095*IF(OR(C1095="Alpha",B1095="Alpha"),$C$9,$C$8),""),"")</f>
        <v/>
      </c>
      <c r="L1095" s="139">
        <f>IFERROR(IF(ISNUMBER(F1095),F1095-IF(ISNUMBER(K1095),K1095,0),""),"")</f>
        <v/>
      </c>
    </row>
    <row r="1096" ht="24" customHeight="1" s="63">
      <c r="E1096" s="139" t="n"/>
      <c r="F1096" s="139" t="n"/>
      <c r="G1096" s="140">
        <f>IFERROR(IF(E1096&gt;0,(F1096/E1096)*1000,""),"")</f>
        <v/>
      </c>
      <c r="H1096" s="139">
        <f>IFERROR(IF(E1096&gt;0,E1096*IF(ISNUMBER(J1096),J1096,IF(OR(C1096="Alpha",B1096="Alpha"),$C$7,IF(C1096="Futures",$C$6,$C$5))),""),"")</f>
        <v/>
      </c>
      <c r="I1096" s="139">
        <f>IFERROR(IF(AND(ISNUMBER(F1096),ISNUMBER(H1096)),F1096-H1096,""),"")</f>
        <v/>
      </c>
      <c r="J1096" s="114" t="n"/>
      <c r="K1096" s="139">
        <f>IFERROR(IF(H1096&gt;0,H1096*IF(OR(C1096="Alpha",B1096="Alpha"),$C$9,$C$8),""),"")</f>
        <v/>
      </c>
      <c r="L1096" s="139">
        <f>IFERROR(IF(ISNUMBER(F1096),F1096-IF(ISNUMBER(K1096),K1096,0),""),"")</f>
        <v/>
      </c>
    </row>
    <row r="1097" ht="24" customHeight="1" s="63">
      <c r="E1097" s="139" t="n"/>
      <c r="F1097" s="139" t="n"/>
      <c r="G1097" s="140">
        <f>IFERROR(IF(E1097&gt;0,(F1097/E1097)*1000,""),"")</f>
        <v/>
      </c>
      <c r="H1097" s="139">
        <f>IFERROR(IF(E1097&gt;0,E1097*IF(ISNUMBER(J1097),J1097,IF(OR(C1097="Alpha",B1097="Alpha"),$C$7,IF(C1097="Futures",$C$6,$C$5))),""),"")</f>
        <v/>
      </c>
      <c r="I1097" s="139">
        <f>IFERROR(IF(AND(ISNUMBER(F1097),ISNUMBER(H1097)),F1097-H1097,""),"")</f>
        <v/>
      </c>
      <c r="J1097" s="114" t="n"/>
      <c r="K1097" s="139">
        <f>IFERROR(IF(H1097&gt;0,H1097*IF(OR(C1097="Alpha",B1097="Alpha"),$C$9,$C$8),""),"")</f>
        <v/>
      </c>
      <c r="L1097" s="139">
        <f>IFERROR(IF(ISNUMBER(F1097),F1097-IF(ISNUMBER(K1097),K1097,0),""),"")</f>
        <v/>
      </c>
    </row>
    <row r="1098" ht="24" customHeight="1" s="63">
      <c r="E1098" s="139" t="n"/>
      <c r="F1098" s="139" t="n"/>
      <c r="G1098" s="140">
        <f>IFERROR(IF(E1098&gt;0,(F1098/E1098)*1000,""),"")</f>
        <v/>
      </c>
      <c r="H1098" s="139">
        <f>IFERROR(IF(E1098&gt;0,E1098*IF(ISNUMBER(J1098),J1098,IF(OR(C1098="Alpha",B1098="Alpha"),$C$7,IF(C1098="Futures",$C$6,$C$5))),""),"")</f>
        <v/>
      </c>
      <c r="I1098" s="139">
        <f>IFERROR(IF(AND(ISNUMBER(F1098),ISNUMBER(H1098)),F1098-H1098,""),"")</f>
        <v/>
      </c>
      <c r="J1098" s="114" t="n"/>
      <c r="K1098" s="139">
        <f>IFERROR(IF(H1098&gt;0,H1098*IF(OR(C1098="Alpha",B1098="Alpha"),$C$9,$C$8),""),"")</f>
        <v/>
      </c>
      <c r="L1098" s="139">
        <f>IFERROR(IF(ISNUMBER(F1098),F1098-IF(ISNUMBER(K1098),K1098,0),""),"")</f>
        <v/>
      </c>
    </row>
    <row r="1099" ht="24" customHeight="1" s="63">
      <c r="E1099" s="139" t="n"/>
      <c r="F1099" s="139" t="n"/>
      <c r="G1099" s="140">
        <f>IFERROR(IF(E1099&gt;0,(F1099/E1099)*1000,""),"")</f>
        <v/>
      </c>
      <c r="H1099" s="139">
        <f>IFERROR(IF(E1099&gt;0,E1099*IF(ISNUMBER(J1099),J1099,IF(OR(C1099="Alpha",B1099="Alpha"),$C$7,IF(C1099="Futures",$C$6,$C$5))),""),"")</f>
        <v/>
      </c>
      <c r="I1099" s="139">
        <f>IFERROR(IF(AND(ISNUMBER(F1099),ISNUMBER(H1099)),F1099-H1099,""),"")</f>
        <v/>
      </c>
      <c r="J1099" s="114" t="n"/>
      <c r="K1099" s="139">
        <f>IFERROR(IF(H1099&gt;0,H1099*IF(OR(C1099="Alpha",B1099="Alpha"),$C$9,$C$8),""),"")</f>
        <v/>
      </c>
      <c r="L1099" s="139">
        <f>IFERROR(IF(ISNUMBER(F1099),F1099-IF(ISNUMBER(K1099),K1099,0),""),"")</f>
        <v/>
      </c>
    </row>
    <row r="1100" ht="24" customHeight="1" s="63">
      <c r="E1100" s="139" t="n"/>
      <c r="F1100" s="139" t="n"/>
      <c r="G1100" s="140">
        <f>IFERROR(IF(E1100&gt;0,(F1100/E1100)*1000,""),"")</f>
        <v/>
      </c>
      <c r="H1100" s="139">
        <f>IFERROR(IF(E1100&gt;0,E1100*IF(ISNUMBER(J1100),J1100,IF(OR(C1100="Alpha",B1100="Alpha"),$C$7,IF(C1100="Futures",$C$6,$C$5))),""),"")</f>
        <v/>
      </c>
      <c r="I1100" s="139">
        <f>IFERROR(IF(AND(ISNUMBER(F1100),ISNUMBER(H1100)),F1100-H1100,""),"")</f>
        <v/>
      </c>
      <c r="J1100" s="114" t="n"/>
      <c r="K1100" s="139">
        <f>IFERROR(IF(H1100&gt;0,H1100*IF(OR(C1100="Alpha",B1100="Alpha"),$C$9,$C$8),""),"")</f>
        <v/>
      </c>
      <c r="L1100" s="139">
        <f>IFERROR(IF(ISNUMBER(F1100),F1100-IF(ISNUMBER(K1100),K1100,0),""),"")</f>
        <v/>
      </c>
    </row>
    <row r="1101" ht="24" customHeight="1" s="63">
      <c r="E1101" s="139" t="n"/>
      <c r="F1101" s="139" t="n"/>
      <c r="G1101" s="140">
        <f>IFERROR(IF(E1101&gt;0,(F1101/E1101)*1000,""),"")</f>
        <v/>
      </c>
      <c r="H1101" s="139">
        <f>IFERROR(IF(E1101&gt;0,E1101*IF(ISNUMBER(J1101),J1101,IF(OR(C1101="Alpha",B1101="Alpha"),$C$7,IF(C1101="Futures",$C$6,$C$5))),""),"")</f>
        <v/>
      </c>
      <c r="I1101" s="139">
        <f>IFERROR(IF(AND(ISNUMBER(F1101),ISNUMBER(H1101)),F1101-H1101,""),"")</f>
        <v/>
      </c>
      <c r="J1101" s="114" t="n"/>
      <c r="K1101" s="139">
        <f>IFERROR(IF(H1101&gt;0,H1101*IF(OR(C1101="Alpha",B1101="Alpha"),$C$9,$C$8),""),"")</f>
        <v/>
      </c>
      <c r="L1101" s="139">
        <f>IFERROR(IF(ISNUMBER(F1101),F1101-IF(ISNUMBER(K1101),K1101,0),""),"")</f>
        <v/>
      </c>
    </row>
    <row r="1102" ht="24" customHeight="1" s="63">
      <c r="E1102" s="139" t="n"/>
      <c r="F1102" s="139" t="n"/>
      <c r="G1102" s="140">
        <f>IFERROR(IF(E1102&gt;0,(F1102/E1102)*1000,""),"")</f>
        <v/>
      </c>
      <c r="H1102" s="139">
        <f>IFERROR(IF(E1102&gt;0,E1102*IF(ISNUMBER(J1102),J1102,IF(OR(C1102="Alpha",B1102="Alpha"),$C$7,IF(C1102="Futures",$C$6,$C$5))),""),"")</f>
        <v/>
      </c>
      <c r="I1102" s="139">
        <f>IFERROR(IF(AND(ISNUMBER(F1102),ISNUMBER(H1102)),F1102-H1102,""),"")</f>
        <v/>
      </c>
      <c r="J1102" s="114" t="n"/>
      <c r="K1102" s="139">
        <f>IFERROR(IF(H1102&gt;0,H1102*IF(OR(C1102="Alpha",B1102="Alpha"),$C$9,$C$8),""),"")</f>
        <v/>
      </c>
      <c r="L1102" s="139">
        <f>IFERROR(IF(ISNUMBER(F1102),F1102-IF(ISNUMBER(K1102),K1102,0),""),"")</f>
        <v/>
      </c>
    </row>
    <row r="1103" ht="24" customHeight="1" s="63">
      <c r="E1103" s="139" t="n"/>
      <c r="F1103" s="139" t="n"/>
      <c r="G1103" s="140">
        <f>IFERROR(IF(E1103&gt;0,(F1103/E1103)*1000,""),"")</f>
        <v/>
      </c>
      <c r="H1103" s="139">
        <f>IFERROR(IF(E1103&gt;0,E1103*IF(ISNUMBER(J1103),J1103,IF(OR(C1103="Alpha",B1103="Alpha"),$C$7,IF(C1103="Futures",$C$6,$C$5))),""),"")</f>
        <v/>
      </c>
      <c r="I1103" s="139">
        <f>IFERROR(IF(AND(ISNUMBER(F1103),ISNUMBER(H1103)),F1103-H1103,""),"")</f>
        <v/>
      </c>
      <c r="J1103" s="114" t="n"/>
      <c r="K1103" s="139">
        <f>IFERROR(IF(H1103&gt;0,H1103*IF(OR(C1103="Alpha",B1103="Alpha"),$C$9,$C$8),""),"")</f>
        <v/>
      </c>
      <c r="L1103" s="139">
        <f>IFERROR(IF(ISNUMBER(F1103),F1103-IF(ISNUMBER(K1103),K1103,0),""),"")</f>
        <v/>
      </c>
    </row>
    <row r="1104" ht="24" customHeight="1" s="63">
      <c r="E1104" s="139" t="n"/>
      <c r="F1104" s="139" t="n"/>
      <c r="G1104" s="140">
        <f>IFERROR(IF(E1104&gt;0,(F1104/E1104)*1000,""),"")</f>
        <v/>
      </c>
      <c r="H1104" s="139">
        <f>IFERROR(IF(E1104&gt;0,E1104*IF(ISNUMBER(J1104),J1104,IF(OR(C1104="Alpha",B1104="Alpha"),$C$7,IF(C1104="Futures",$C$6,$C$5))),""),"")</f>
        <v/>
      </c>
      <c r="I1104" s="139">
        <f>IFERROR(IF(AND(ISNUMBER(F1104),ISNUMBER(H1104)),F1104-H1104,""),"")</f>
        <v/>
      </c>
      <c r="J1104" s="114" t="n"/>
      <c r="K1104" s="139">
        <f>IFERROR(IF(H1104&gt;0,H1104*IF(OR(C1104="Alpha",B1104="Alpha"),$C$9,$C$8),""),"")</f>
        <v/>
      </c>
      <c r="L1104" s="139">
        <f>IFERROR(IF(ISNUMBER(F1104),F1104-IF(ISNUMBER(K1104),K1104,0),""),"")</f>
        <v/>
      </c>
    </row>
    <row r="1105" ht="24" customHeight="1" s="63">
      <c r="E1105" s="139" t="n"/>
      <c r="F1105" s="139" t="n"/>
      <c r="G1105" s="140">
        <f>IFERROR(IF(E1105&gt;0,(F1105/E1105)*1000,""),"")</f>
        <v/>
      </c>
      <c r="H1105" s="139">
        <f>IFERROR(IF(E1105&gt;0,E1105*IF(ISNUMBER(J1105),J1105,IF(OR(C1105="Alpha",B1105="Alpha"),$C$7,IF(C1105="Futures",$C$6,$C$5))),""),"")</f>
        <v/>
      </c>
      <c r="I1105" s="139">
        <f>IFERROR(IF(AND(ISNUMBER(F1105),ISNUMBER(H1105)),F1105-H1105,""),"")</f>
        <v/>
      </c>
      <c r="J1105" s="114" t="n"/>
      <c r="K1105" s="139">
        <f>IFERROR(IF(H1105&gt;0,H1105*IF(OR(C1105="Alpha",B1105="Alpha"),$C$9,$C$8),""),"")</f>
        <v/>
      </c>
      <c r="L1105" s="139">
        <f>IFERROR(IF(ISNUMBER(F1105),F1105-IF(ISNUMBER(K1105),K1105,0),""),"")</f>
        <v/>
      </c>
    </row>
    <row r="1106" ht="24" customHeight="1" s="63">
      <c r="E1106" s="139" t="n"/>
      <c r="F1106" s="139" t="n"/>
      <c r="G1106" s="140">
        <f>IFERROR(IF(E1106&gt;0,(F1106/E1106)*1000,""),"")</f>
        <v/>
      </c>
      <c r="H1106" s="139">
        <f>IFERROR(IF(E1106&gt;0,E1106*IF(ISNUMBER(J1106),J1106,IF(OR(C1106="Alpha",B1106="Alpha"),$C$7,IF(C1106="Futures",$C$6,$C$5))),""),"")</f>
        <v/>
      </c>
      <c r="I1106" s="139">
        <f>IFERROR(IF(AND(ISNUMBER(F1106),ISNUMBER(H1106)),F1106-H1106,""),"")</f>
        <v/>
      </c>
      <c r="J1106" s="114" t="n"/>
      <c r="K1106" s="139">
        <f>IFERROR(IF(H1106&gt;0,H1106*IF(OR(C1106="Alpha",B1106="Alpha"),$C$9,$C$8),""),"")</f>
        <v/>
      </c>
      <c r="L1106" s="139">
        <f>IFERROR(IF(ISNUMBER(F1106),F1106-IF(ISNUMBER(K1106),K1106,0),""),"")</f>
        <v/>
      </c>
    </row>
    <row r="1107" ht="24" customHeight="1" s="63">
      <c r="E1107" s="139" t="n"/>
      <c r="F1107" s="139" t="n"/>
      <c r="G1107" s="140">
        <f>IFERROR(IF(E1107&gt;0,(F1107/E1107)*1000,""),"")</f>
        <v/>
      </c>
      <c r="H1107" s="139">
        <f>IFERROR(IF(E1107&gt;0,E1107*IF(ISNUMBER(J1107),J1107,IF(OR(C1107="Alpha",B1107="Alpha"),$C$7,IF(C1107="Futures",$C$6,$C$5))),""),"")</f>
        <v/>
      </c>
      <c r="I1107" s="139">
        <f>IFERROR(IF(AND(ISNUMBER(F1107),ISNUMBER(H1107)),F1107-H1107,""),"")</f>
        <v/>
      </c>
      <c r="J1107" s="114" t="n"/>
      <c r="K1107" s="139">
        <f>IFERROR(IF(H1107&gt;0,H1107*IF(OR(C1107="Alpha",B1107="Alpha"),$C$9,$C$8),""),"")</f>
        <v/>
      </c>
      <c r="L1107" s="139">
        <f>IFERROR(IF(ISNUMBER(F1107),F1107-IF(ISNUMBER(K1107),K1107,0),""),"")</f>
        <v/>
      </c>
    </row>
    <row r="1108" ht="24" customHeight="1" s="63">
      <c r="E1108" s="139" t="n"/>
      <c r="F1108" s="139" t="n"/>
      <c r="G1108" s="140">
        <f>IFERROR(IF(E1108&gt;0,(F1108/E1108)*1000,""),"")</f>
        <v/>
      </c>
      <c r="H1108" s="139">
        <f>IFERROR(IF(E1108&gt;0,E1108*IF(ISNUMBER(J1108),J1108,IF(OR(C1108="Alpha",B1108="Alpha"),$C$7,IF(C1108="Futures",$C$6,$C$5))),""),"")</f>
        <v/>
      </c>
      <c r="I1108" s="139">
        <f>IFERROR(IF(AND(ISNUMBER(F1108),ISNUMBER(H1108)),F1108-H1108,""),"")</f>
        <v/>
      </c>
      <c r="J1108" s="114" t="n"/>
      <c r="K1108" s="139">
        <f>IFERROR(IF(H1108&gt;0,H1108*IF(OR(C1108="Alpha",B1108="Alpha"),$C$9,$C$8),""),"")</f>
        <v/>
      </c>
      <c r="L1108" s="139">
        <f>IFERROR(IF(ISNUMBER(F1108),F1108-IF(ISNUMBER(K1108),K1108,0),""),"")</f>
        <v/>
      </c>
    </row>
    <row r="1109" ht="24" customHeight="1" s="63">
      <c r="E1109" s="139" t="n"/>
      <c r="F1109" s="139" t="n"/>
      <c r="G1109" s="140">
        <f>IFERROR(IF(E1109&gt;0,(F1109/E1109)*1000,""),"")</f>
        <v/>
      </c>
      <c r="H1109" s="139">
        <f>IFERROR(IF(E1109&gt;0,E1109*IF(ISNUMBER(J1109),J1109,IF(OR(C1109="Alpha",B1109="Alpha"),$C$7,IF(C1109="Futures",$C$6,$C$5))),""),"")</f>
        <v/>
      </c>
      <c r="I1109" s="139">
        <f>IFERROR(IF(AND(ISNUMBER(F1109),ISNUMBER(H1109)),F1109-H1109,""),"")</f>
        <v/>
      </c>
      <c r="J1109" s="114" t="n"/>
      <c r="K1109" s="139">
        <f>IFERROR(IF(H1109&gt;0,H1109*IF(OR(C1109="Alpha",B1109="Alpha"),$C$9,$C$8),""),"")</f>
        <v/>
      </c>
      <c r="L1109" s="139">
        <f>IFERROR(IF(ISNUMBER(F1109),F1109-IF(ISNUMBER(K1109),K1109,0),""),"")</f>
        <v/>
      </c>
    </row>
    <row r="1110" ht="24" customHeight="1" s="63">
      <c r="E1110" s="139" t="n"/>
      <c r="F1110" s="139" t="n"/>
      <c r="G1110" s="140">
        <f>IFERROR(IF(E1110&gt;0,(F1110/E1110)*1000,""),"")</f>
        <v/>
      </c>
      <c r="H1110" s="139">
        <f>IFERROR(IF(E1110&gt;0,E1110*IF(ISNUMBER(J1110),J1110,IF(OR(C1110="Alpha",B1110="Alpha"),$C$7,IF(C1110="Futures",$C$6,$C$5))),""),"")</f>
        <v/>
      </c>
      <c r="I1110" s="139">
        <f>IFERROR(IF(AND(ISNUMBER(F1110),ISNUMBER(H1110)),F1110-H1110,""),"")</f>
        <v/>
      </c>
      <c r="J1110" s="114" t="n"/>
      <c r="K1110" s="139">
        <f>IFERROR(IF(H1110&gt;0,H1110*IF(OR(C1110="Alpha",B1110="Alpha"),$C$9,$C$8),""),"")</f>
        <v/>
      </c>
      <c r="L1110" s="139">
        <f>IFERROR(IF(ISNUMBER(F1110),F1110-IF(ISNUMBER(K1110),K1110,0),""),"")</f>
        <v/>
      </c>
    </row>
    <row r="1111" ht="24" customHeight="1" s="63">
      <c r="E1111" s="139" t="n"/>
      <c r="F1111" s="139" t="n"/>
      <c r="G1111" s="140">
        <f>IFERROR(IF(E1111&gt;0,(F1111/E1111)*1000,""),"")</f>
        <v/>
      </c>
      <c r="H1111" s="139">
        <f>IFERROR(IF(E1111&gt;0,E1111*IF(ISNUMBER(J1111),J1111,IF(OR(C1111="Alpha",B1111="Alpha"),$C$7,IF(C1111="Futures",$C$6,$C$5))),""),"")</f>
        <v/>
      </c>
      <c r="I1111" s="139">
        <f>IFERROR(IF(AND(ISNUMBER(F1111),ISNUMBER(H1111)),F1111-H1111,""),"")</f>
        <v/>
      </c>
      <c r="J1111" s="114" t="n"/>
      <c r="K1111" s="139">
        <f>IFERROR(IF(H1111&gt;0,H1111*IF(OR(C1111="Alpha",B1111="Alpha"),$C$9,$C$8),""),"")</f>
        <v/>
      </c>
      <c r="L1111" s="139">
        <f>IFERROR(IF(ISNUMBER(F1111),F1111-IF(ISNUMBER(K1111),K1111,0),""),"")</f>
        <v/>
      </c>
    </row>
    <row r="1112" ht="24" customHeight="1" s="63">
      <c r="E1112" s="139" t="n"/>
      <c r="F1112" s="139" t="n"/>
      <c r="G1112" s="140">
        <f>IFERROR(IF(E1112&gt;0,(F1112/E1112)*1000,""),"")</f>
        <v/>
      </c>
      <c r="H1112" s="139">
        <f>IFERROR(IF(E1112&gt;0,E1112*IF(ISNUMBER(J1112),J1112,IF(OR(C1112="Alpha",B1112="Alpha"),$C$7,IF(C1112="Futures",$C$6,$C$5))),""),"")</f>
        <v/>
      </c>
      <c r="I1112" s="139">
        <f>IFERROR(IF(AND(ISNUMBER(F1112),ISNUMBER(H1112)),F1112-H1112,""),"")</f>
        <v/>
      </c>
      <c r="J1112" s="114" t="n"/>
      <c r="K1112" s="139">
        <f>IFERROR(IF(H1112&gt;0,H1112*IF(OR(C1112="Alpha",B1112="Alpha"),$C$9,$C$8),""),"")</f>
        <v/>
      </c>
      <c r="L1112" s="139">
        <f>IFERROR(IF(ISNUMBER(F1112),F1112-IF(ISNUMBER(K1112),K1112,0),""),"")</f>
        <v/>
      </c>
    </row>
    <row r="1113" ht="24" customHeight="1" s="63">
      <c r="E1113" s="139" t="n"/>
      <c r="F1113" s="139" t="n"/>
      <c r="G1113" s="140">
        <f>IFERROR(IF(E1113&gt;0,(F1113/E1113)*1000,""),"")</f>
        <v/>
      </c>
      <c r="H1113" s="139">
        <f>IFERROR(IF(E1113&gt;0,E1113*IF(ISNUMBER(J1113),J1113,IF(OR(C1113="Alpha",B1113="Alpha"),$C$7,IF(C1113="Futures",$C$6,$C$5))),""),"")</f>
        <v/>
      </c>
      <c r="I1113" s="139">
        <f>IFERROR(IF(AND(ISNUMBER(F1113),ISNUMBER(H1113)),F1113-H1113,""),"")</f>
        <v/>
      </c>
      <c r="J1113" s="114" t="n"/>
      <c r="K1113" s="139">
        <f>IFERROR(IF(H1113&gt;0,H1113*IF(OR(C1113="Alpha",B1113="Alpha"),$C$9,$C$8),""),"")</f>
        <v/>
      </c>
      <c r="L1113" s="139">
        <f>IFERROR(IF(ISNUMBER(F1113),F1113-IF(ISNUMBER(K1113),K1113,0),""),"")</f>
        <v/>
      </c>
    </row>
    <row r="1114" ht="24" customHeight="1" s="63">
      <c r="E1114" s="139" t="n"/>
      <c r="F1114" s="139" t="n"/>
      <c r="G1114" s="140">
        <f>IFERROR(IF(E1114&gt;0,(F1114/E1114)*1000,""),"")</f>
        <v/>
      </c>
      <c r="H1114" s="139">
        <f>IFERROR(IF(E1114&gt;0,E1114*IF(ISNUMBER(J1114),J1114,IF(OR(C1114="Alpha",B1114="Alpha"),$C$7,IF(C1114="Futures",$C$6,$C$5))),""),"")</f>
        <v/>
      </c>
      <c r="I1114" s="139">
        <f>IFERROR(IF(AND(ISNUMBER(F1114),ISNUMBER(H1114)),F1114-H1114,""),"")</f>
        <v/>
      </c>
      <c r="J1114" s="114" t="n"/>
      <c r="K1114" s="139">
        <f>IFERROR(IF(H1114&gt;0,H1114*IF(OR(C1114="Alpha",B1114="Alpha"),$C$9,$C$8),""),"")</f>
        <v/>
      </c>
      <c r="L1114" s="139">
        <f>IFERROR(IF(ISNUMBER(F1114),F1114-IF(ISNUMBER(K1114),K1114,0),""),"")</f>
        <v/>
      </c>
    </row>
    <row r="1115" ht="24" customHeight="1" s="63">
      <c r="E1115" s="139" t="n"/>
      <c r="F1115" s="139" t="n"/>
      <c r="G1115" s="140">
        <f>IFERROR(IF(E1115&gt;0,(F1115/E1115)*1000,""),"")</f>
        <v/>
      </c>
      <c r="H1115" s="139">
        <f>IFERROR(IF(E1115&gt;0,E1115*IF(ISNUMBER(J1115),J1115,IF(OR(C1115="Alpha",B1115="Alpha"),$C$7,IF(C1115="Futures",$C$6,$C$5))),""),"")</f>
        <v/>
      </c>
      <c r="I1115" s="139">
        <f>IFERROR(IF(AND(ISNUMBER(F1115),ISNUMBER(H1115)),F1115-H1115,""),"")</f>
        <v/>
      </c>
      <c r="J1115" s="114" t="n"/>
      <c r="K1115" s="139">
        <f>IFERROR(IF(H1115&gt;0,H1115*IF(OR(C1115="Alpha",B1115="Alpha"),$C$9,$C$8),""),"")</f>
        <v/>
      </c>
      <c r="L1115" s="139">
        <f>IFERROR(IF(ISNUMBER(F1115),F1115-IF(ISNUMBER(K1115),K1115,0),""),"")</f>
        <v/>
      </c>
    </row>
    <row r="1116" ht="24" customHeight="1" s="63">
      <c r="E1116" s="139" t="n"/>
      <c r="F1116" s="139" t="n"/>
      <c r="G1116" s="140">
        <f>IFERROR(IF(E1116&gt;0,(F1116/E1116)*1000,""),"")</f>
        <v/>
      </c>
      <c r="H1116" s="139">
        <f>IFERROR(IF(E1116&gt;0,E1116*IF(ISNUMBER(J1116),J1116,IF(OR(C1116="Alpha",B1116="Alpha"),$C$7,IF(C1116="Futures",$C$6,$C$5))),""),"")</f>
        <v/>
      </c>
      <c r="I1116" s="139">
        <f>IFERROR(IF(AND(ISNUMBER(F1116),ISNUMBER(H1116)),F1116-H1116,""),"")</f>
        <v/>
      </c>
      <c r="J1116" s="114" t="n"/>
      <c r="K1116" s="139">
        <f>IFERROR(IF(H1116&gt;0,H1116*IF(OR(C1116="Alpha",B1116="Alpha"),$C$9,$C$8),""),"")</f>
        <v/>
      </c>
      <c r="L1116" s="139">
        <f>IFERROR(IF(ISNUMBER(F1116),F1116-IF(ISNUMBER(K1116),K1116,0),""),"")</f>
        <v/>
      </c>
    </row>
    <row r="1117" ht="24" customHeight="1" s="63">
      <c r="E1117" s="139" t="n"/>
      <c r="F1117" s="139" t="n"/>
      <c r="G1117" s="140">
        <f>IFERROR(IF(E1117&gt;0,(F1117/E1117)*1000,""),"")</f>
        <v/>
      </c>
      <c r="H1117" s="139">
        <f>IFERROR(IF(E1117&gt;0,E1117*IF(ISNUMBER(J1117),J1117,IF(OR(C1117="Alpha",B1117="Alpha"),$C$7,IF(C1117="Futures",$C$6,$C$5))),""),"")</f>
        <v/>
      </c>
      <c r="I1117" s="139">
        <f>IFERROR(IF(AND(ISNUMBER(F1117),ISNUMBER(H1117)),F1117-H1117,""),"")</f>
        <v/>
      </c>
      <c r="J1117" s="114" t="n"/>
      <c r="K1117" s="139">
        <f>IFERROR(IF(H1117&gt;0,H1117*IF(OR(C1117="Alpha",B1117="Alpha"),$C$9,$C$8),""),"")</f>
        <v/>
      </c>
      <c r="L1117" s="139">
        <f>IFERROR(IF(ISNUMBER(F1117),F1117-IF(ISNUMBER(K1117),K1117,0),""),"")</f>
        <v/>
      </c>
    </row>
    <row r="1118" ht="24" customHeight="1" s="63">
      <c r="E1118" s="139" t="n"/>
      <c r="F1118" s="139" t="n"/>
      <c r="G1118" s="140">
        <f>IFERROR(IF(E1118&gt;0,(F1118/E1118)*1000,""),"")</f>
        <v/>
      </c>
      <c r="H1118" s="139">
        <f>IFERROR(IF(E1118&gt;0,E1118*IF(ISNUMBER(J1118),J1118,IF(OR(C1118="Alpha",B1118="Alpha"),$C$7,IF(C1118="Futures",$C$6,$C$5))),""),"")</f>
        <v/>
      </c>
      <c r="I1118" s="139">
        <f>IFERROR(IF(AND(ISNUMBER(F1118),ISNUMBER(H1118)),F1118-H1118,""),"")</f>
        <v/>
      </c>
      <c r="J1118" s="114" t="n"/>
      <c r="K1118" s="139">
        <f>IFERROR(IF(H1118&gt;0,H1118*IF(OR(C1118="Alpha",B1118="Alpha"),$C$9,$C$8),""),"")</f>
        <v/>
      </c>
      <c r="L1118" s="139">
        <f>IFERROR(IF(ISNUMBER(F1118),F1118-IF(ISNUMBER(K1118),K1118,0),""),"")</f>
        <v/>
      </c>
    </row>
    <row r="1119" ht="24" customHeight="1" s="63">
      <c r="E1119" s="139" t="n"/>
      <c r="F1119" s="139" t="n"/>
      <c r="G1119" s="140">
        <f>IFERROR(IF(E1119&gt;0,(F1119/E1119)*1000,""),"")</f>
        <v/>
      </c>
      <c r="H1119" s="139">
        <f>IFERROR(IF(E1119&gt;0,E1119*IF(ISNUMBER(J1119),J1119,IF(OR(C1119="Alpha",B1119="Alpha"),$C$7,IF(C1119="Futures",$C$6,$C$5))),""),"")</f>
        <v/>
      </c>
      <c r="I1119" s="139">
        <f>IFERROR(IF(AND(ISNUMBER(F1119),ISNUMBER(H1119)),F1119-H1119,""),"")</f>
        <v/>
      </c>
      <c r="J1119" s="114" t="n"/>
      <c r="K1119" s="139">
        <f>IFERROR(IF(H1119&gt;0,H1119*IF(OR(C1119="Alpha",B1119="Alpha"),$C$9,$C$8),""),"")</f>
        <v/>
      </c>
      <c r="L1119" s="139">
        <f>IFERROR(IF(ISNUMBER(F1119),F1119-IF(ISNUMBER(K1119),K1119,0),""),"")</f>
        <v/>
      </c>
    </row>
    <row r="1120" ht="24" customHeight="1" s="63">
      <c r="E1120" s="139" t="n"/>
      <c r="F1120" s="139" t="n"/>
      <c r="G1120" s="140">
        <f>IFERROR(IF(E1120&gt;0,(F1120/E1120)*1000,""),"")</f>
        <v/>
      </c>
      <c r="H1120" s="139">
        <f>IFERROR(IF(E1120&gt;0,E1120*IF(ISNUMBER(J1120),J1120,IF(OR(C1120="Alpha",B1120="Alpha"),$C$7,IF(C1120="Futures",$C$6,$C$5))),""),"")</f>
        <v/>
      </c>
      <c r="I1120" s="139">
        <f>IFERROR(IF(AND(ISNUMBER(F1120),ISNUMBER(H1120)),F1120-H1120,""),"")</f>
        <v/>
      </c>
      <c r="J1120" s="114" t="n"/>
      <c r="K1120" s="139">
        <f>IFERROR(IF(H1120&gt;0,H1120*IF(OR(C1120="Alpha",B1120="Alpha"),$C$9,$C$8),""),"")</f>
        <v/>
      </c>
      <c r="L1120" s="139">
        <f>IFERROR(IF(ISNUMBER(F1120),F1120-IF(ISNUMBER(K1120),K1120,0),""),"")</f>
        <v/>
      </c>
    </row>
    <row r="1121" ht="24" customHeight="1" s="63">
      <c r="E1121" s="139" t="n"/>
      <c r="F1121" s="139" t="n"/>
      <c r="G1121" s="140">
        <f>IFERROR(IF(E1121&gt;0,(F1121/E1121)*1000,""),"")</f>
        <v/>
      </c>
      <c r="H1121" s="139">
        <f>IFERROR(IF(E1121&gt;0,E1121*IF(ISNUMBER(J1121),J1121,IF(OR(C1121="Alpha",B1121="Alpha"),$C$7,IF(C1121="Futures",$C$6,$C$5))),""),"")</f>
        <v/>
      </c>
      <c r="I1121" s="139">
        <f>IFERROR(IF(AND(ISNUMBER(F1121),ISNUMBER(H1121)),F1121-H1121,""),"")</f>
        <v/>
      </c>
      <c r="J1121" s="114" t="n"/>
      <c r="K1121" s="139">
        <f>IFERROR(IF(H1121&gt;0,H1121*IF(OR(C1121="Alpha",B1121="Alpha"),$C$9,$C$8),""),"")</f>
        <v/>
      </c>
      <c r="L1121" s="139">
        <f>IFERROR(IF(ISNUMBER(F1121),F1121-IF(ISNUMBER(K1121),K1121,0),""),"")</f>
        <v/>
      </c>
    </row>
    <row r="1122" ht="24" customHeight="1" s="63">
      <c r="E1122" s="139" t="n"/>
      <c r="F1122" s="139" t="n"/>
      <c r="G1122" s="140">
        <f>IFERROR(IF(E1122&gt;0,(F1122/E1122)*1000,""),"")</f>
        <v/>
      </c>
      <c r="H1122" s="139">
        <f>IFERROR(IF(E1122&gt;0,E1122*IF(ISNUMBER(J1122),J1122,IF(OR(C1122="Alpha",B1122="Alpha"),$C$7,IF(C1122="Futures",$C$6,$C$5))),""),"")</f>
        <v/>
      </c>
      <c r="I1122" s="139">
        <f>IFERROR(IF(AND(ISNUMBER(F1122),ISNUMBER(H1122)),F1122-H1122,""),"")</f>
        <v/>
      </c>
      <c r="J1122" s="114" t="n"/>
      <c r="K1122" s="139">
        <f>IFERROR(IF(H1122&gt;0,H1122*IF(OR(C1122="Alpha",B1122="Alpha"),$C$9,$C$8),""),"")</f>
        <v/>
      </c>
      <c r="L1122" s="139">
        <f>IFERROR(IF(ISNUMBER(F1122),F1122-IF(ISNUMBER(K1122),K1122,0),""),"")</f>
        <v/>
      </c>
    </row>
    <row r="1123" ht="24" customHeight="1" s="63">
      <c r="E1123" s="139" t="n"/>
      <c r="F1123" s="139" t="n"/>
      <c r="G1123" s="140">
        <f>IFERROR(IF(E1123&gt;0,(F1123/E1123)*1000,""),"")</f>
        <v/>
      </c>
      <c r="H1123" s="139">
        <f>IFERROR(IF(E1123&gt;0,E1123*IF(ISNUMBER(J1123),J1123,IF(OR(C1123="Alpha",B1123="Alpha"),$C$7,IF(C1123="Futures",$C$6,$C$5))),""),"")</f>
        <v/>
      </c>
      <c r="I1123" s="139">
        <f>IFERROR(IF(AND(ISNUMBER(F1123),ISNUMBER(H1123)),F1123-H1123,""),"")</f>
        <v/>
      </c>
      <c r="J1123" s="114" t="n"/>
      <c r="K1123" s="139">
        <f>IFERROR(IF(H1123&gt;0,H1123*IF(OR(C1123="Alpha",B1123="Alpha"),$C$9,$C$8),""),"")</f>
        <v/>
      </c>
      <c r="L1123" s="139">
        <f>IFERROR(IF(ISNUMBER(F1123),F1123-IF(ISNUMBER(K1123),K1123,0),""),"")</f>
        <v/>
      </c>
    </row>
    <row r="1124" ht="24" customHeight="1" s="63">
      <c r="E1124" s="139" t="n"/>
      <c r="F1124" s="139" t="n"/>
      <c r="G1124" s="140">
        <f>IFERROR(IF(E1124&gt;0,(F1124/E1124)*1000,""),"")</f>
        <v/>
      </c>
      <c r="H1124" s="139">
        <f>IFERROR(IF(E1124&gt;0,E1124*IF(ISNUMBER(J1124),J1124,IF(OR(C1124="Alpha",B1124="Alpha"),$C$7,IF(C1124="Futures",$C$6,$C$5))),""),"")</f>
        <v/>
      </c>
      <c r="I1124" s="139">
        <f>IFERROR(IF(AND(ISNUMBER(F1124),ISNUMBER(H1124)),F1124-H1124,""),"")</f>
        <v/>
      </c>
      <c r="J1124" s="114" t="n"/>
      <c r="K1124" s="139">
        <f>IFERROR(IF(H1124&gt;0,H1124*IF(OR(C1124="Alpha",B1124="Alpha"),$C$9,$C$8),""),"")</f>
        <v/>
      </c>
      <c r="L1124" s="139">
        <f>IFERROR(IF(ISNUMBER(F1124),F1124-IF(ISNUMBER(K1124),K1124,0),""),"")</f>
        <v/>
      </c>
    </row>
    <row r="1125" ht="24" customHeight="1" s="63">
      <c r="E1125" s="139" t="n"/>
      <c r="F1125" s="139" t="n"/>
      <c r="G1125" s="140">
        <f>IFERROR(IF(E1125&gt;0,(F1125/E1125)*1000,""),"")</f>
        <v/>
      </c>
      <c r="H1125" s="139">
        <f>IFERROR(IF(E1125&gt;0,E1125*IF(ISNUMBER(J1125),J1125,IF(OR(C1125="Alpha",B1125="Alpha"),$C$7,IF(C1125="Futures",$C$6,$C$5))),""),"")</f>
        <v/>
      </c>
      <c r="I1125" s="139">
        <f>IFERROR(IF(AND(ISNUMBER(F1125),ISNUMBER(H1125)),F1125-H1125,""),"")</f>
        <v/>
      </c>
      <c r="J1125" s="114" t="n"/>
      <c r="K1125" s="139">
        <f>IFERROR(IF(H1125&gt;0,H1125*IF(OR(C1125="Alpha",B1125="Alpha"),$C$9,$C$8),""),"")</f>
        <v/>
      </c>
      <c r="L1125" s="139">
        <f>IFERROR(IF(ISNUMBER(F1125),F1125-IF(ISNUMBER(K1125),K1125,0),""),"")</f>
        <v/>
      </c>
    </row>
    <row r="1126" ht="24" customHeight="1" s="63">
      <c r="E1126" s="139" t="n"/>
      <c r="F1126" s="139" t="n"/>
      <c r="G1126" s="140">
        <f>IFERROR(IF(E1126&gt;0,(F1126/E1126)*1000,""),"")</f>
        <v/>
      </c>
      <c r="H1126" s="139">
        <f>IFERROR(IF(E1126&gt;0,E1126*IF(ISNUMBER(J1126),J1126,IF(OR(C1126="Alpha",B1126="Alpha"),$C$7,IF(C1126="Futures",$C$6,$C$5))),""),"")</f>
        <v/>
      </c>
      <c r="I1126" s="139">
        <f>IFERROR(IF(AND(ISNUMBER(F1126),ISNUMBER(H1126)),F1126-H1126,""),"")</f>
        <v/>
      </c>
      <c r="J1126" s="114" t="n"/>
      <c r="K1126" s="139">
        <f>IFERROR(IF(H1126&gt;0,H1126*IF(OR(C1126="Alpha",B1126="Alpha"),$C$9,$C$8),""),"")</f>
        <v/>
      </c>
      <c r="L1126" s="139">
        <f>IFERROR(IF(ISNUMBER(F1126),F1126-IF(ISNUMBER(K1126),K1126,0),""),"")</f>
        <v/>
      </c>
    </row>
    <row r="1127" ht="24" customHeight="1" s="63">
      <c r="E1127" s="139" t="n"/>
      <c r="F1127" s="139" t="n"/>
      <c r="G1127" s="140">
        <f>IFERROR(IF(E1127&gt;0,(F1127/E1127)*1000,""),"")</f>
        <v/>
      </c>
      <c r="H1127" s="139">
        <f>IFERROR(IF(E1127&gt;0,E1127*IF(ISNUMBER(J1127),J1127,IF(OR(C1127="Alpha",B1127="Alpha"),$C$7,IF(C1127="Futures",$C$6,$C$5))),""),"")</f>
        <v/>
      </c>
      <c r="I1127" s="139">
        <f>IFERROR(IF(AND(ISNUMBER(F1127),ISNUMBER(H1127)),F1127-H1127,""),"")</f>
        <v/>
      </c>
      <c r="J1127" s="114" t="n"/>
      <c r="K1127" s="139">
        <f>IFERROR(IF(H1127&gt;0,H1127*IF(OR(C1127="Alpha",B1127="Alpha"),$C$9,$C$8),""),"")</f>
        <v/>
      </c>
      <c r="L1127" s="139">
        <f>IFERROR(IF(ISNUMBER(F1127),F1127-IF(ISNUMBER(K1127),K1127,0),""),"")</f>
        <v/>
      </c>
    </row>
    <row r="1128" ht="24" customHeight="1" s="63">
      <c r="E1128" s="139" t="n"/>
      <c r="F1128" s="139" t="n"/>
      <c r="G1128" s="140">
        <f>IFERROR(IF(E1128&gt;0,(F1128/E1128)*1000,""),"")</f>
        <v/>
      </c>
      <c r="H1128" s="139">
        <f>IFERROR(IF(E1128&gt;0,E1128*IF(ISNUMBER(J1128),J1128,IF(OR(C1128="Alpha",B1128="Alpha"),$C$7,IF(C1128="Futures",$C$6,$C$5))),""),"")</f>
        <v/>
      </c>
      <c r="I1128" s="139">
        <f>IFERROR(IF(AND(ISNUMBER(F1128),ISNUMBER(H1128)),F1128-H1128,""),"")</f>
        <v/>
      </c>
      <c r="J1128" s="114" t="n"/>
      <c r="K1128" s="139">
        <f>IFERROR(IF(H1128&gt;0,H1128*IF(OR(C1128="Alpha",B1128="Alpha"),$C$9,$C$8),""),"")</f>
        <v/>
      </c>
      <c r="L1128" s="139">
        <f>IFERROR(IF(ISNUMBER(F1128),F1128-IF(ISNUMBER(K1128),K1128,0),""),"")</f>
        <v/>
      </c>
    </row>
    <row r="1129" ht="24" customHeight="1" s="63">
      <c r="E1129" s="139" t="n"/>
      <c r="F1129" s="139" t="n"/>
      <c r="G1129" s="140">
        <f>IFERROR(IF(E1129&gt;0,(F1129/E1129)*1000,""),"")</f>
        <v/>
      </c>
      <c r="H1129" s="139">
        <f>IFERROR(IF(E1129&gt;0,E1129*IF(ISNUMBER(J1129),J1129,IF(OR(C1129="Alpha",B1129="Alpha"),$C$7,IF(C1129="Futures",$C$6,$C$5))),""),"")</f>
        <v/>
      </c>
      <c r="I1129" s="139">
        <f>IFERROR(IF(AND(ISNUMBER(F1129),ISNUMBER(H1129)),F1129-H1129,""),"")</f>
        <v/>
      </c>
      <c r="J1129" s="114" t="n"/>
      <c r="K1129" s="139">
        <f>IFERROR(IF(H1129&gt;0,H1129*IF(OR(C1129="Alpha",B1129="Alpha"),$C$9,$C$8),""),"")</f>
        <v/>
      </c>
      <c r="L1129" s="139">
        <f>IFERROR(IF(ISNUMBER(F1129),F1129-IF(ISNUMBER(K1129),K1129,0),""),"")</f>
        <v/>
      </c>
    </row>
    <row r="1130" ht="24" customHeight="1" s="63">
      <c r="E1130" s="139" t="n"/>
      <c r="F1130" s="139" t="n"/>
      <c r="G1130" s="140">
        <f>IFERROR(IF(E1130&gt;0,(F1130/E1130)*1000,""),"")</f>
        <v/>
      </c>
      <c r="H1130" s="139">
        <f>IFERROR(IF(E1130&gt;0,E1130*IF(ISNUMBER(J1130),J1130,IF(OR(C1130="Alpha",B1130="Alpha"),$C$7,IF(C1130="Futures",$C$6,$C$5))),""),"")</f>
        <v/>
      </c>
      <c r="I1130" s="139">
        <f>IFERROR(IF(AND(ISNUMBER(F1130),ISNUMBER(H1130)),F1130-H1130,""),"")</f>
        <v/>
      </c>
      <c r="J1130" s="114" t="n"/>
      <c r="K1130" s="139">
        <f>IFERROR(IF(H1130&gt;0,H1130*IF(OR(C1130="Alpha",B1130="Alpha"),$C$9,$C$8),""),"")</f>
        <v/>
      </c>
      <c r="L1130" s="139">
        <f>IFERROR(IF(ISNUMBER(F1130),F1130-IF(ISNUMBER(K1130),K1130,0),""),"")</f>
        <v/>
      </c>
    </row>
    <row r="1131" ht="24" customHeight="1" s="63">
      <c r="E1131" s="139" t="n"/>
      <c r="F1131" s="139" t="n"/>
      <c r="G1131" s="140">
        <f>IFERROR(IF(E1131&gt;0,(F1131/E1131)*1000,""),"")</f>
        <v/>
      </c>
      <c r="H1131" s="139">
        <f>IFERROR(IF(E1131&gt;0,E1131*IF(ISNUMBER(J1131),J1131,IF(OR(C1131="Alpha",B1131="Alpha"),$C$7,IF(C1131="Futures",$C$6,$C$5))),""),"")</f>
        <v/>
      </c>
      <c r="I1131" s="139">
        <f>IFERROR(IF(AND(ISNUMBER(F1131),ISNUMBER(H1131)),F1131-H1131,""),"")</f>
        <v/>
      </c>
      <c r="J1131" s="114" t="n"/>
      <c r="K1131" s="139">
        <f>IFERROR(IF(H1131&gt;0,H1131*IF(OR(C1131="Alpha",B1131="Alpha"),$C$9,$C$8),""),"")</f>
        <v/>
      </c>
      <c r="L1131" s="139">
        <f>IFERROR(IF(ISNUMBER(F1131),F1131-IF(ISNUMBER(K1131),K1131,0),""),"")</f>
        <v/>
      </c>
    </row>
    <row r="1132" ht="24" customHeight="1" s="63">
      <c r="E1132" s="139" t="n"/>
      <c r="F1132" s="139" t="n"/>
      <c r="G1132" s="140">
        <f>IFERROR(IF(E1132&gt;0,(F1132/E1132)*1000,""),"")</f>
        <v/>
      </c>
      <c r="H1132" s="139">
        <f>IFERROR(IF(E1132&gt;0,E1132*IF(ISNUMBER(J1132),J1132,IF(OR(C1132="Alpha",B1132="Alpha"),$C$7,IF(C1132="Futures",$C$6,$C$5))),""),"")</f>
        <v/>
      </c>
      <c r="I1132" s="139">
        <f>IFERROR(IF(AND(ISNUMBER(F1132),ISNUMBER(H1132)),F1132-H1132,""),"")</f>
        <v/>
      </c>
      <c r="J1132" s="114" t="n"/>
      <c r="K1132" s="139">
        <f>IFERROR(IF(H1132&gt;0,H1132*IF(OR(C1132="Alpha",B1132="Alpha"),$C$9,$C$8),""),"")</f>
        <v/>
      </c>
      <c r="L1132" s="139">
        <f>IFERROR(IF(ISNUMBER(F1132),F1132-IF(ISNUMBER(K1132),K1132,0),""),"")</f>
        <v/>
      </c>
    </row>
    <row r="1133" ht="24" customHeight="1" s="63">
      <c r="E1133" s="139" t="n"/>
      <c r="F1133" s="139" t="n"/>
      <c r="G1133" s="140">
        <f>IFERROR(IF(E1133&gt;0,(F1133/E1133)*1000,""),"")</f>
        <v/>
      </c>
      <c r="H1133" s="139">
        <f>IFERROR(IF(E1133&gt;0,E1133*IF(ISNUMBER(J1133),J1133,IF(OR(C1133="Alpha",B1133="Alpha"),$C$7,IF(C1133="Futures",$C$6,$C$5))),""),"")</f>
        <v/>
      </c>
      <c r="I1133" s="139">
        <f>IFERROR(IF(AND(ISNUMBER(F1133),ISNUMBER(H1133)),F1133-H1133,""),"")</f>
        <v/>
      </c>
      <c r="J1133" s="114" t="n"/>
      <c r="K1133" s="139">
        <f>IFERROR(IF(H1133&gt;0,H1133*IF(OR(C1133="Alpha",B1133="Alpha"),$C$9,$C$8),""),"")</f>
        <v/>
      </c>
      <c r="L1133" s="139">
        <f>IFERROR(IF(ISNUMBER(F1133),F1133-IF(ISNUMBER(K1133),K1133,0),""),"")</f>
        <v/>
      </c>
    </row>
    <row r="1134" ht="24" customHeight="1" s="63">
      <c r="E1134" s="139" t="n"/>
      <c r="F1134" s="139" t="n"/>
      <c r="G1134" s="140">
        <f>IFERROR(IF(E1134&gt;0,(F1134/E1134)*1000,""),"")</f>
        <v/>
      </c>
      <c r="H1134" s="139">
        <f>IFERROR(IF(E1134&gt;0,E1134*IF(ISNUMBER(J1134),J1134,IF(OR(C1134="Alpha",B1134="Alpha"),$C$7,IF(C1134="Futures",$C$6,$C$5))),""),"")</f>
        <v/>
      </c>
      <c r="I1134" s="139">
        <f>IFERROR(IF(AND(ISNUMBER(F1134),ISNUMBER(H1134)),F1134-H1134,""),"")</f>
        <v/>
      </c>
      <c r="J1134" s="114" t="n"/>
      <c r="K1134" s="139">
        <f>IFERROR(IF(H1134&gt;0,H1134*IF(OR(C1134="Alpha",B1134="Alpha"),$C$9,$C$8),""),"")</f>
        <v/>
      </c>
      <c r="L1134" s="139">
        <f>IFERROR(IF(ISNUMBER(F1134),F1134-IF(ISNUMBER(K1134),K1134,0),""),"")</f>
        <v/>
      </c>
    </row>
    <row r="1135" ht="24" customHeight="1" s="63">
      <c r="E1135" s="139" t="n"/>
      <c r="F1135" s="139" t="n"/>
      <c r="G1135" s="140">
        <f>IFERROR(IF(E1135&gt;0,(F1135/E1135)*1000,""),"")</f>
        <v/>
      </c>
      <c r="H1135" s="139">
        <f>IFERROR(IF(E1135&gt;0,E1135*IF(ISNUMBER(J1135),J1135,IF(OR(C1135="Alpha",B1135="Alpha"),$C$7,IF(C1135="Futures",$C$6,$C$5))),""),"")</f>
        <v/>
      </c>
      <c r="I1135" s="139">
        <f>IFERROR(IF(AND(ISNUMBER(F1135),ISNUMBER(H1135)),F1135-H1135,""),"")</f>
        <v/>
      </c>
      <c r="J1135" s="114" t="n"/>
      <c r="K1135" s="139">
        <f>IFERROR(IF(H1135&gt;0,H1135*IF(OR(C1135="Alpha",B1135="Alpha"),$C$9,$C$8),""),"")</f>
        <v/>
      </c>
      <c r="L1135" s="139">
        <f>IFERROR(IF(ISNUMBER(F1135),F1135-IF(ISNUMBER(K1135),K1135,0),""),"")</f>
        <v/>
      </c>
    </row>
    <row r="1136" ht="24" customHeight="1" s="63">
      <c r="E1136" s="139" t="n"/>
      <c r="F1136" s="139" t="n"/>
      <c r="G1136" s="140">
        <f>IFERROR(IF(E1136&gt;0,(F1136/E1136)*1000,""),"")</f>
        <v/>
      </c>
      <c r="H1136" s="139">
        <f>IFERROR(IF(E1136&gt;0,E1136*IF(ISNUMBER(J1136),J1136,IF(OR(C1136="Alpha",B1136="Alpha"),$C$7,IF(C1136="Futures",$C$6,$C$5))),""),"")</f>
        <v/>
      </c>
      <c r="I1136" s="139">
        <f>IFERROR(IF(AND(ISNUMBER(F1136),ISNUMBER(H1136)),F1136-H1136,""),"")</f>
        <v/>
      </c>
      <c r="J1136" s="114" t="n"/>
      <c r="K1136" s="139">
        <f>IFERROR(IF(H1136&gt;0,H1136*IF(OR(C1136="Alpha",B1136="Alpha"),$C$9,$C$8),""),"")</f>
        <v/>
      </c>
      <c r="L1136" s="139">
        <f>IFERROR(IF(ISNUMBER(F1136),F1136-IF(ISNUMBER(K1136),K1136,0),""),"")</f>
        <v/>
      </c>
    </row>
    <row r="1137" ht="24" customHeight="1" s="63">
      <c r="E1137" s="139" t="n"/>
      <c r="F1137" s="139" t="n"/>
      <c r="G1137" s="140">
        <f>IFERROR(IF(E1137&gt;0,(F1137/E1137)*1000,""),"")</f>
        <v/>
      </c>
      <c r="H1137" s="139">
        <f>IFERROR(IF(E1137&gt;0,E1137*IF(ISNUMBER(J1137),J1137,IF(OR(C1137="Alpha",B1137="Alpha"),$C$7,IF(C1137="Futures",$C$6,$C$5))),""),"")</f>
        <v/>
      </c>
      <c r="I1137" s="139">
        <f>IFERROR(IF(AND(ISNUMBER(F1137),ISNUMBER(H1137)),F1137-H1137,""),"")</f>
        <v/>
      </c>
      <c r="J1137" s="114" t="n"/>
      <c r="K1137" s="139">
        <f>IFERROR(IF(H1137&gt;0,H1137*IF(OR(C1137="Alpha",B1137="Alpha"),$C$9,$C$8),""),"")</f>
        <v/>
      </c>
      <c r="L1137" s="139">
        <f>IFERROR(IF(ISNUMBER(F1137),F1137-IF(ISNUMBER(K1137),K1137,0),""),"")</f>
        <v/>
      </c>
    </row>
    <row r="1138" ht="24" customHeight="1" s="63">
      <c r="E1138" s="139" t="n"/>
      <c r="F1138" s="139" t="n"/>
      <c r="G1138" s="140">
        <f>IFERROR(IF(E1138&gt;0,(F1138/E1138)*1000,""),"")</f>
        <v/>
      </c>
      <c r="H1138" s="139">
        <f>IFERROR(IF(E1138&gt;0,E1138*IF(ISNUMBER(J1138),J1138,IF(OR(C1138="Alpha",B1138="Alpha"),$C$7,IF(C1138="Futures",$C$6,$C$5))),""),"")</f>
        <v/>
      </c>
      <c r="I1138" s="139">
        <f>IFERROR(IF(AND(ISNUMBER(F1138),ISNUMBER(H1138)),F1138-H1138,""),"")</f>
        <v/>
      </c>
      <c r="J1138" s="114" t="n"/>
      <c r="K1138" s="139">
        <f>IFERROR(IF(H1138&gt;0,H1138*IF(OR(C1138="Alpha",B1138="Alpha"),$C$9,$C$8),""),"")</f>
        <v/>
      </c>
      <c r="L1138" s="139">
        <f>IFERROR(IF(ISNUMBER(F1138),F1138-IF(ISNUMBER(K1138),K1138,0),""),"")</f>
        <v/>
      </c>
    </row>
    <row r="1139" ht="24" customHeight="1" s="63">
      <c r="E1139" s="139" t="n"/>
      <c r="F1139" s="139" t="n"/>
      <c r="G1139" s="140">
        <f>IFERROR(IF(E1139&gt;0,(F1139/E1139)*1000,""),"")</f>
        <v/>
      </c>
      <c r="H1139" s="139">
        <f>IFERROR(IF(E1139&gt;0,E1139*IF(ISNUMBER(J1139),J1139,IF(OR(C1139="Alpha",B1139="Alpha"),$C$7,IF(C1139="Futures",$C$6,$C$5))),""),"")</f>
        <v/>
      </c>
      <c r="I1139" s="139">
        <f>IFERROR(IF(AND(ISNUMBER(F1139),ISNUMBER(H1139)),F1139-H1139,""),"")</f>
        <v/>
      </c>
      <c r="J1139" s="114" t="n"/>
      <c r="K1139" s="139">
        <f>IFERROR(IF(H1139&gt;0,H1139*IF(OR(C1139="Alpha",B1139="Alpha"),$C$9,$C$8),""),"")</f>
        <v/>
      </c>
      <c r="L1139" s="139">
        <f>IFERROR(IF(ISNUMBER(F1139),F1139-IF(ISNUMBER(K1139),K1139,0),""),"")</f>
        <v/>
      </c>
    </row>
    <row r="1140" ht="24" customHeight="1" s="63">
      <c r="E1140" s="139" t="n"/>
      <c r="F1140" s="139" t="n"/>
      <c r="G1140" s="140">
        <f>IFERROR(IF(E1140&gt;0,(F1140/E1140)*1000,""),"")</f>
        <v/>
      </c>
      <c r="H1140" s="139">
        <f>IFERROR(IF(E1140&gt;0,E1140*IF(ISNUMBER(J1140),J1140,IF(OR(C1140="Alpha",B1140="Alpha"),$C$7,IF(C1140="Futures",$C$6,$C$5))),""),"")</f>
        <v/>
      </c>
      <c r="I1140" s="139">
        <f>IFERROR(IF(AND(ISNUMBER(F1140),ISNUMBER(H1140)),F1140-H1140,""),"")</f>
        <v/>
      </c>
      <c r="J1140" s="114" t="n"/>
      <c r="K1140" s="139">
        <f>IFERROR(IF(H1140&gt;0,H1140*IF(OR(C1140="Alpha",B1140="Alpha"),$C$9,$C$8),""),"")</f>
        <v/>
      </c>
      <c r="L1140" s="139">
        <f>IFERROR(IF(ISNUMBER(F1140),F1140-IF(ISNUMBER(K1140),K1140,0),""),"")</f>
        <v/>
      </c>
    </row>
    <row r="1141" ht="24" customHeight="1" s="63">
      <c r="E1141" s="139" t="n"/>
      <c r="F1141" s="139" t="n"/>
      <c r="G1141" s="140">
        <f>IFERROR(IF(E1141&gt;0,(F1141/E1141)*1000,""),"")</f>
        <v/>
      </c>
      <c r="H1141" s="139">
        <f>IFERROR(IF(E1141&gt;0,E1141*IF(ISNUMBER(J1141),J1141,IF(OR(C1141="Alpha",B1141="Alpha"),$C$7,IF(C1141="Futures",$C$6,$C$5))),""),"")</f>
        <v/>
      </c>
      <c r="I1141" s="139">
        <f>IFERROR(IF(AND(ISNUMBER(F1141),ISNUMBER(H1141)),F1141-H1141,""),"")</f>
        <v/>
      </c>
      <c r="J1141" s="114" t="n"/>
      <c r="K1141" s="139">
        <f>IFERROR(IF(H1141&gt;0,H1141*IF(OR(C1141="Alpha",B1141="Alpha"),$C$9,$C$8),""),"")</f>
        <v/>
      </c>
      <c r="L1141" s="139">
        <f>IFERROR(IF(ISNUMBER(F1141),F1141-IF(ISNUMBER(K1141),K1141,0),""),"")</f>
        <v/>
      </c>
    </row>
    <row r="1142" ht="24" customHeight="1" s="63">
      <c r="E1142" s="139" t="n"/>
      <c r="F1142" s="139" t="n"/>
      <c r="G1142" s="140">
        <f>IFERROR(IF(E1142&gt;0,(F1142/E1142)*1000,""),"")</f>
        <v/>
      </c>
      <c r="H1142" s="139">
        <f>IFERROR(IF(E1142&gt;0,E1142*IF(ISNUMBER(J1142),J1142,IF(OR(C1142="Alpha",B1142="Alpha"),$C$7,IF(C1142="Futures",$C$6,$C$5))),""),"")</f>
        <v/>
      </c>
      <c r="I1142" s="139">
        <f>IFERROR(IF(AND(ISNUMBER(F1142),ISNUMBER(H1142)),F1142-H1142,""),"")</f>
        <v/>
      </c>
      <c r="J1142" s="114" t="n"/>
      <c r="K1142" s="139">
        <f>IFERROR(IF(H1142&gt;0,H1142*IF(OR(C1142="Alpha",B1142="Alpha"),$C$9,$C$8),""),"")</f>
        <v/>
      </c>
      <c r="L1142" s="139">
        <f>IFERROR(IF(ISNUMBER(F1142),F1142-IF(ISNUMBER(K1142),K1142,0),""),"")</f>
        <v/>
      </c>
    </row>
    <row r="1143" ht="24" customHeight="1" s="63">
      <c r="E1143" s="139" t="n"/>
      <c r="F1143" s="139" t="n"/>
      <c r="G1143" s="140">
        <f>IFERROR(IF(E1143&gt;0,(F1143/E1143)*1000,""),"")</f>
        <v/>
      </c>
      <c r="H1143" s="139">
        <f>IFERROR(IF(E1143&gt;0,E1143*IF(ISNUMBER(J1143),J1143,IF(OR(C1143="Alpha",B1143="Alpha"),$C$7,IF(C1143="Futures",$C$6,$C$5))),""),"")</f>
        <v/>
      </c>
      <c r="I1143" s="139">
        <f>IFERROR(IF(AND(ISNUMBER(F1143),ISNUMBER(H1143)),F1143-H1143,""),"")</f>
        <v/>
      </c>
      <c r="J1143" s="114" t="n"/>
      <c r="K1143" s="139">
        <f>IFERROR(IF(H1143&gt;0,H1143*IF(OR(C1143="Alpha",B1143="Alpha"),$C$9,$C$8),""),"")</f>
        <v/>
      </c>
      <c r="L1143" s="139">
        <f>IFERROR(IF(ISNUMBER(F1143),F1143-IF(ISNUMBER(K1143),K1143,0),""),"")</f>
        <v/>
      </c>
    </row>
    <row r="1144" ht="24" customHeight="1" s="63">
      <c r="E1144" s="139" t="n"/>
      <c r="F1144" s="139" t="n"/>
      <c r="G1144" s="140">
        <f>IFERROR(IF(E1144&gt;0,(F1144/E1144)*1000,""),"")</f>
        <v/>
      </c>
      <c r="H1144" s="139">
        <f>IFERROR(IF(E1144&gt;0,E1144*IF(ISNUMBER(J1144),J1144,IF(OR(C1144="Alpha",B1144="Alpha"),$C$7,IF(C1144="Futures",$C$6,$C$5))),""),"")</f>
        <v/>
      </c>
      <c r="I1144" s="139">
        <f>IFERROR(IF(AND(ISNUMBER(F1144),ISNUMBER(H1144)),F1144-H1144,""),"")</f>
        <v/>
      </c>
      <c r="J1144" s="114" t="n"/>
      <c r="K1144" s="139">
        <f>IFERROR(IF(H1144&gt;0,H1144*IF(OR(C1144="Alpha",B1144="Alpha"),$C$9,$C$8),""),"")</f>
        <v/>
      </c>
      <c r="L1144" s="139">
        <f>IFERROR(IF(ISNUMBER(F1144),F1144-IF(ISNUMBER(K1144),K1144,0),""),"")</f>
        <v/>
      </c>
    </row>
    <row r="1145" ht="24" customHeight="1" s="63">
      <c r="E1145" s="139" t="n"/>
      <c r="F1145" s="139" t="n"/>
      <c r="G1145" s="140">
        <f>IFERROR(IF(E1145&gt;0,(F1145/E1145)*1000,""),"")</f>
        <v/>
      </c>
      <c r="H1145" s="139">
        <f>IFERROR(IF(E1145&gt;0,E1145*IF(ISNUMBER(J1145),J1145,IF(OR(C1145="Alpha",B1145="Alpha"),$C$7,IF(C1145="Futures",$C$6,$C$5))),""),"")</f>
        <v/>
      </c>
      <c r="I1145" s="139">
        <f>IFERROR(IF(AND(ISNUMBER(F1145),ISNUMBER(H1145)),F1145-H1145,""),"")</f>
        <v/>
      </c>
      <c r="J1145" s="114" t="n"/>
      <c r="K1145" s="139">
        <f>IFERROR(IF(H1145&gt;0,H1145*IF(OR(C1145="Alpha",B1145="Alpha"),$C$9,$C$8),""),"")</f>
        <v/>
      </c>
      <c r="L1145" s="139">
        <f>IFERROR(IF(ISNUMBER(F1145),F1145-IF(ISNUMBER(K1145),K1145,0),""),"")</f>
        <v/>
      </c>
    </row>
    <row r="1146" ht="24" customHeight="1" s="63">
      <c r="E1146" s="139" t="n"/>
      <c r="F1146" s="139" t="n"/>
      <c r="G1146" s="140">
        <f>IFERROR(IF(E1146&gt;0,(F1146/E1146)*1000,""),"")</f>
        <v/>
      </c>
      <c r="H1146" s="139">
        <f>IFERROR(IF(E1146&gt;0,E1146*IF(ISNUMBER(J1146),J1146,IF(OR(C1146="Alpha",B1146="Alpha"),$C$7,IF(C1146="Futures",$C$6,$C$5))),""),"")</f>
        <v/>
      </c>
      <c r="I1146" s="139">
        <f>IFERROR(IF(AND(ISNUMBER(F1146),ISNUMBER(H1146)),F1146-H1146,""),"")</f>
        <v/>
      </c>
      <c r="J1146" s="114" t="n"/>
      <c r="K1146" s="139">
        <f>IFERROR(IF(H1146&gt;0,H1146*IF(OR(C1146="Alpha",B1146="Alpha"),$C$9,$C$8),""),"")</f>
        <v/>
      </c>
      <c r="L1146" s="139">
        <f>IFERROR(IF(ISNUMBER(F1146),F1146-IF(ISNUMBER(K1146),K1146,0),""),"")</f>
        <v/>
      </c>
    </row>
    <row r="1147" ht="24" customHeight="1" s="63">
      <c r="E1147" s="139" t="n"/>
      <c r="F1147" s="139" t="n"/>
      <c r="G1147" s="140">
        <f>IFERROR(IF(E1147&gt;0,(F1147/E1147)*1000,""),"")</f>
        <v/>
      </c>
      <c r="H1147" s="139">
        <f>IFERROR(IF(E1147&gt;0,E1147*IF(ISNUMBER(J1147),J1147,IF(OR(C1147="Alpha",B1147="Alpha"),$C$7,IF(C1147="Futures",$C$6,$C$5))),""),"")</f>
        <v/>
      </c>
      <c r="I1147" s="139">
        <f>IFERROR(IF(AND(ISNUMBER(F1147),ISNUMBER(H1147)),F1147-H1147,""),"")</f>
        <v/>
      </c>
      <c r="J1147" s="114" t="n"/>
      <c r="K1147" s="139">
        <f>IFERROR(IF(H1147&gt;0,H1147*IF(OR(C1147="Alpha",B1147="Alpha"),$C$9,$C$8),""),"")</f>
        <v/>
      </c>
      <c r="L1147" s="139">
        <f>IFERROR(IF(ISNUMBER(F1147),F1147-IF(ISNUMBER(K1147),K1147,0),""),"")</f>
        <v/>
      </c>
    </row>
    <row r="1148" ht="24" customHeight="1" s="63">
      <c r="E1148" s="139" t="n"/>
      <c r="F1148" s="139" t="n"/>
      <c r="G1148" s="140">
        <f>IFERROR(IF(E1148&gt;0,(F1148/E1148)*1000,""),"")</f>
        <v/>
      </c>
      <c r="H1148" s="139">
        <f>IFERROR(IF(E1148&gt;0,E1148*IF(ISNUMBER(J1148),J1148,IF(OR(C1148="Alpha",B1148="Alpha"),$C$7,IF(C1148="Futures",$C$6,$C$5))),""),"")</f>
        <v/>
      </c>
      <c r="I1148" s="139">
        <f>IFERROR(IF(AND(ISNUMBER(F1148),ISNUMBER(H1148)),F1148-H1148,""),"")</f>
        <v/>
      </c>
      <c r="J1148" s="114" t="n"/>
      <c r="K1148" s="139">
        <f>IFERROR(IF(H1148&gt;0,H1148*IF(OR(C1148="Alpha",B1148="Alpha"),$C$9,$C$8),""),"")</f>
        <v/>
      </c>
      <c r="L1148" s="139">
        <f>IFERROR(IF(ISNUMBER(F1148),F1148-IF(ISNUMBER(K1148),K1148,0),""),"")</f>
        <v/>
      </c>
    </row>
    <row r="1149" ht="24" customHeight="1" s="63">
      <c r="E1149" s="139" t="n"/>
      <c r="F1149" s="139" t="n"/>
      <c r="G1149" s="140">
        <f>IFERROR(IF(E1149&gt;0,(F1149/E1149)*1000,""),"")</f>
        <v/>
      </c>
      <c r="H1149" s="139">
        <f>IFERROR(IF(E1149&gt;0,E1149*IF(ISNUMBER(J1149),J1149,IF(OR(C1149="Alpha",B1149="Alpha"),$C$7,IF(C1149="Futures",$C$6,$C$5))),""),"")</f>
        <v/>
      </c>
      <c r="I1149" s="139">
        <f>IFERROR(IF(AND(ISNUMBER(F1149),ISNUMBER(H1149)),F1149-H1149,""),"")</f>
        <v/>
      </c>
      <c r="J1149" s="114" t="n"/>
      <c r="K1149" s="139">
        <f>IFERROR(IF(H1149&gt;0,H1149*IF(OR(C1149="Alpha",B1149="Alpha"),$C$9,$C$8),""),"")</f>
        <v/>
      </c>
      <c r="L1149" s="139">
        <f>IFERROR(IF(ISNUMBER(F1149),F1149-IF(ISNUMBER(K1149),K1149,0),""),"")</f>
        <v/>
      </c>
    </row>
    <row r="1150" ht="24" customHeight="1" s="63">
      <c r="E1150" s="139" t="n"/>
      <c r="F1150" s="139" t="n"/>
      <c r="G1150" s="140">
        <f>IFERROR(IF(E1150&gt;0,(F1150/E1150)*1000,""),"")</f>
        <v/>
      </c>
      <c r="H1150" s="139">
        <f>IFERROR(IF(E1150&gt;0,E1150*IF(ISNUMBER(J1150),J1150,IF(OR(C1150="Alpha",B1150="Alpha"),$C$7,IF(C1150="Futures",$C$6,$C$5))),""),"")</f>
        <v/>
      </c>
      <c r="I1150" s="139">
        <f>IFERROR(IF(AND(ISNUMBER(F1150),ISNUMBER(H1150)),F1150-H1150,""),"")</f>
        <v/>
      </c>
      <c r="J1150" s="114" t="n"/>
      <c r="K1150" s="139">
        <f>IFERROR(IF(H1150&gt;0,H1150*IF(OR(C1150="Alpha",B1150="Alpha"),$C$9,$C$8),""),"")</f>
        <v/>
      </c>
      <c r="L1150" s="139">
        <f>IFERROR(IF(ISNUMBER(F1150),F1150-IF(ISNUMBER(K1150),K1150,0),""),"")</f>
        <v/>
      </c>
    </row>
    <row r="1151" ht="24" customHeight="1" s="63">
      <c r="E1151" s="139" t="n"/>
      <c r="F1151" s="139" t="n"/>
      <c r="G1151" s="140">
        <f>IFERROR(IF(E1151&gt;0,(F1151/E1151)*1000,""),"")</f>
        <v/>
      </c>
      <c r="H1151" s="139">
        <f>IFERROR(IF(E1151&gt;0,E1151*IF(ISNUMBER(J1151),J1151,IF(OR(C1151="Alpha",B1151="Alpha"),$C$7,IF(C1151="Futures",$C$6,$C$5))),""),"")</f>
        <v/>
      </c>
      <c r="I1151" s="139">
        <f>IFERROR(IF(AND(ISNUMBER(F1151),ISNUMBER(H1151)),F1151-H1151,""),"")</f>
        <v/>
      </c>
      <c r="J1151" s="114" t="n"/>
      <c r="K1151" s="139">
        <f>IFERROR(IF(H1151&gt;0,H1151*IF(OR(C1151="Alpha",B1151="Alpha"),$C$9,$C$8),""),"")</f>
        <v/>
      </c>
      <c r="L1151" s="139">
        <f>IFERROR(IF(ISNUMBER(F1151),F1151-IF(ISNUMBER(K1151),K1151,0),""),"")</f>
        <v/>
      </c>
    </row>
    <row r="1152" ht="24" customHeight="1" s="63">
      <c r="E1152" s="139" t="n"/>
      <c r="F1152" s="139" t="n"/>
      <c r="G1152" s="140">
        <f>IFERROR(IF(E1152&gt;0,(F1152/E1152)*1000,""),"")</f>
        <v/>
      </c>
      <c r="H1152" s="139">
        <f>IFERROR(IF(E1152&gt;0,E1152*IF(ISNUMBER(J1152),J1152,IF(OR(C1152="Alpha",B1152="Alpha"),$C$7,IF(C1152="Futures",$C$6,$C$5))),""),"")</f>
        <v/>
      </c>
      <c r="I1152" s="139">
        <f>IFERROR(IF(AND(ISNUMBER(F1152),ISNUMBER(H1152)),F1152-H1152,""),"")</f>
        <v/>
      </c>
      <c r="J1152" s="114" t="n"/>
      <c r="K1152" s="139">
        <f>IFERROR(IF(H1152&gt;0,H1152*IF(OR(C1152="Alpha",B1152="Alpha"),$C$9,$C$8),""),"")</f>
        <v/>
      </c>
      <c r="L1152" s="139">
        <f>IFERROR(IF(ISNUMBER(F1152),F1152-IF(ISNUMBER(K1152),K1152,0),""),"")</f>
        <v/>
      </c>
    </row>
    <row r="1153" ht="24" customHeight="1" s="63">
      <c r="E1153" s="139" t="n"/>
      <c r="F1153" s="139" t="n"/>
      <c r="G1153" s="140">
        <f>IFERROR(IF(E1153&gt;0,(F1153/E1153)*1000,""),"")</f>
        <v/>
      </c>
      <c r="H1153" s="139">
        <f>IFERROR(IF(E1153&gt;0,E1153*IF(ISNUMBER(J1153),J1153,IF(OR(C1153="Alpha",B1153="Alpha"),$C$7,IF(C1153="Futures",$C$6,$C$5))),""),"")</f>
        <v/>
      </c>
      <c r="I1153" s="139">
        <f>IFERROR(IF(AND(ISNUMBER(F1153),ISNUMBER(H1153)),F1153-H1153,""),"")</f>
        <v/>
      </c>
      <c r="J1153" s="114" t="n"/>
      <c r="K1153" s="139">
        <f>IFERROR(IF(H1153&gt;0,H1153*IF(OR(C1153="Alpha",B1153="Alpha"),$C$9,$C$8),""),"")</f>
        <v/>
      </c>
      <c r="L1153" s="139">
        <f>IFERROR(IF(ISNUMBER(F1153),F1153-IF(ISNUMBER(K1153),K1153,0),""),"")</f>
        <v/>
      </c>
    </row>
    <row r="1154" ht="24" customHeight="1" s="63">
      <c r="E1154" s="139" t="n"/>
      <c r="F1154" s="139" t="n"/>
      <c r="G1154" s="140">
        <f>IFERROR(IF(E1154&gt;0,(F1154/E1154)*1000,""),"")</f>
        <v/>
      </c>
      <c r="H1154" s="139">
        <f>IFERROR(IF(E1154&gt;0,E1154*IF(ISNUMBER(J1154),J1154,IF(OR(C1154="Alpha",B1154="Alpha"),$C$7,IF(C1154="Futures",$C$6,$C$5))),""),"")</f>
        <v/>
      </c>
      <c r="I1154" s="139">
        <f>IFERROR(IF(AND(ISNUMBER(F1154),ISNUMBER(H1154)),F1154-H1154,""),"")</f>
        <v/>
      </c>
      <c r="J1154" s="114" t="n"/>
      <c r="K1154" s="139">
        <f>IFERROR(IF(H1154&gt;0,H1154*IF(OR(C1154="Alpha",B1154="Alpha"),$C$9,$C$8),""),"")</f>
        <v/>
      </c>
      <c r="L1154" s="139">
        <f>IFERROR(IF(ISNUMBER(F1154),F1154-IF(ISNUMBER(K1154),K1154,0),""),"")</f>
        <v/>
      </c>
    </row>
    <row r="1155" ht="24" customHeight="1" s="63">
      <c r="E1155" s="139" t="n"/>
      <c r="F1155" s="139" t="n"/>
      <c r="G1155" s="140">
        <f>IFERROR(IF(E1155&gt;0,(F1155/E1155)*1000,""),"")</f>
        <v/>
      </c>
      <c r="H1155" s="139">
        <f>IFERROR(IF(E1155&gt;0,E1155*IF(ISNUMBER(J1155),J1155,IF(OR(C1155="Alpha",B1155="Alpha"),$C$7,IF(C1155="Futures",$C$6,$C$5))),""),"")</f>
        <v/>
      </c>
      <c r="I1155" s="139">
        <f>IFERROR(IF(AND(ISNUMBER(F1155),ISNUMBER(H1155)),F1155-H1155,""),"")</f>
        <v/>
      </c>
      <c r="J1155" s="114" t="n"/>
      <c r="K1155" s="139">
        <f>IFERROR(IF(H1155&gt;0,H1155*IF(OR(C1155="Alpha",B1155="Alpha"),$C$9,$C$8),""),"")</f>
        <v/>
      </c>
      <c r="L1155" s="139">
        <f>IFERROR(IF(ISNUMBER(F1155),F1155-IF(ISNUMBER(K1155),K1155,0),""),"")</f>
        <v/>
      </c>
    </row>
    <row r="1156" ht="24" customHeight="1" s="63">
      <c r="E1156" s="139" t="n"/>
      <c r="F1156" s="139" t="n"/>
      <c r="G1156" s="140">
        <f>IFERROR(IF(E1156&gt;0,(F1156/E1156)*1000,""),"")</f>
        <v/>
      </c>
      <c r="H1156" s="139">
        <f>IFERROR(IF(E1156&gt;0,E1156*IF(ISNUMBER(J1156),J1156,IF(OR(C1156="Alpha",B1156="Alpha"),$C$7,IF(C1156="Futures",$C$6,$C$5))),""),"")</f>
        <v/>
      </c>
      <c r="I1156" s="139">
        <f>IFERROR(IF(AND(ISNUMBER(F1156),ISNUMBER(H1156)),F1156-H1156,""),"")</f>
        <v/>
      </c>
      <c r="J1156" s="114" t="n"/>
      <c r="K1156" s="139">
        <f>IFERROR(IF(H1156&gt;0,H1156*IF(OR(C1156="Alpha",B1156="Alpha"),$C$9,$C$8),""),"")</f>
        <v/>
      </c>
      <c r="L1156" s="139">
        <f>IFERROR(IF(ISNUMBER(F1156),F1156-IF(ISNUMBER(K1156),K1156,0),""),"")</f>
        <v/>
      </c>
    </row>
    <row r="1157" ht="24" customHeight="1" s="63">
      <c r="E1157" s="139" t="n"/>
      <c r="F1157" s="139" t="n"/>
      <c r="G1157" s="140">
        <f>IFERROR(IF(E1157&gt;0,(F1157/E1157)*1000,""),"")</f>
        <v/>
      </c>
      <c r="H1157" s="139">
        <f>IFERROR(IF(E1157&gt;0,E1157*IF(ISNUMBER(J1157),J1157,IF(OR(C1157="Alpha",B1157="Alpha"),$C$7,IF(C1157="Futures",$C$6,$C$5))),""),"")</f>
        <v/>
      </c>
      <c r="I1157" s="139">
        <f>IFERROR(IF(AND(ISNUMBER(F1157),ISNUMBER(H1157)),F1157-H1157,""),"")</f>
        <v/>
      </c>
      <c r="J1157" s="114" t="n"/>
      <c r="K1157" s="139">
        <f>IFERROR(IF(H1157&gt;0,H1157*IF(OR(C1157="Alpha",B1157="Alpha"),$C$9,$C$8),""),"")</f>
        <v/>
      </c>
      <c r="L1157" s="139">
        <f>IFERROR(IF(ISNUMBER(F1157),F1157-IF(ISNUMBER(K1157),K1157,0),""),"")</f>
        <v/>
      </c>
    </row>
    <row r="1158" ht="24" customHeight="1" s="63">
      <c r="E1158" s="139" t="n"/>
      <c r="F1158" s="139" t="n"/>
      <c r="G1158" s="140">
        <f>IFERROR(IF(E1158&gt;0,(F1158/E1158)*1000,""),"")</f>
        <v/>
      </c>
      <c r="H1158" s="139">
        <f>IFERROR(IF(E1158&gt;0,E1158*IF(ISNUMBER(J1158),J1158,IF(OR(C1158="Alpha",B1158="Alpha"),$C$7,IF(C1158="Futures",$C$6,$C$5))),""),"")</f>
        <v/>
      </c>
      <c r="I1158" s="139">
        <f>IFERROR(IF(AND(ISNUMBER(F1158),ISNUMBER(H1158)),F1158-H1158,""),"")</f>
        <v/>
      </c>
      <c r="J1158" s="114" t="n"/>
      <c r="K1158" s="139">
        <f>IFERROR(IF(H1158&gt;0,H1158*IF(OR(C1158="Alpha",B1158="Alpha"),$C$9,$C$8),""),"")</f>
        <v/>
      </c>
      <c r="L1158" s="139">
        <f>IFERROR(IF(ISNUMBER(F1158),F1158-IF(ISNUMBER(K1158),K1158,0),""),"")</f>
        <v/>
      </c>
    </row>
    <row r="1159" ht="24" customHeight="1" s="63">
      <c r="E1159" s="139" t="n"/>
      <c r="F1159" s="139" t="n"/>
      <c r="G1159" s="140">
        <f>IFERROR(IF(E1159&gt;0,(F1159/E1159)*1000,""),"")</f>
        <v/>
      </c>
      <c r="H1159" s="139">
        <f>IFERROR(IF(E1159&gt;0,E1159*IF(ISNUMBER(J1159),J1159,IF(OR(C1159="Alpha",B1159="Alpha"),$C$7,IF(C1159="Futures",$C$6,$C$5))),""),"")</f>
        <v/>
      </c>
      <c r="I1159" s="139">
        <f>IFERROR(IF(AND(ISNUMBER(F1159),ISNUMBER(H1159)),F1159-H1159,""),"")</f>
        <v/>
      </c>
      <c r="J1159" s="114" t="n"/>
      <c r="K1159" s="139">
        <f>IFERROR(IF(H1159&gt;0,H1159*IF(OR(C1159="Alpha",B1159="Alpha"),$C$9,$C$8),""),"")</f>
        <v/>
      </c>
      <c r="L1159" s="139">
        <f>IFERROR(IF(ISNUMBER(F1159),F1159-IF(ISNUMBER(K1159),K1159,0),""),"")</f>
        <v/>
      </c>
    </row>
    <row r="1160" ht="24" customHeight="1" s="63">
      <c r="E1160" s="139" t="n"/>
      <c r="F1160" s="139" t="n"/>
      <c r="G1160" s="140">
        <f>IFERROR(IF(E1160&gt;0,(F1160/E1160)*1000,""),"")</f>
        <v/>
      </c>
      <c r="H1160" s="139">
        <f>IFERROR(IF(E1160&gt;0,E1160*IF(ISNUMBER(J1160),J1160,IF(OR(C1160="Alpha",B1160="Alpha"),$C$7,IF(C1160="Futures",$C$6,$C$5))),""),"")</f>
        <v/>
      </c>
      <c r="I1160" s="139">
        <f>IFERROR(IF(AND(ISNUMBER(F1160),ISNUMBER(H1160)),F1160-H1160,""),"")</f>
        <v/>
      </c>
      <c r="J1160" s="114" t="n"/>
      <c r="K1160" s="139">
        <f>IFERROR(IF(H1160&gt;0,H1160*IF(OR(C1160="Alpha",B1160="Alpha"),$C$9,$C$8),""),"")</f>
        <v/>
      </c>
      <c r="L1160" s="139">
        <f>IFERROR(IF(ISNUMBER(F1160),F1160-IF(ISNUMBER(K1160),K1160,0),""),"")</f>
        <v/>
      </c>
    </row>
    <row r="1161" ht="24" customHeight="1" s="63">
      <c r="E1161" s="139" t="n"/>
      <c r="F1161" s="139" t="n"/>
      <c r="G1161" s="140">
        <f>IFERROR(IF(E1161&gt;0,(F1161/E1161)*1000,""),"")</f>
        <v/>
      </c>
      <c r="H1161" s="139">
        <f>IFERROR(IF(E1161&gt;0,E1161*IF(ISNUMBER(J1161),J1161,IF(OR(C1161="Alpha",B1161="Alpha"),$C$7,IF(C1161="Futures",$C$6,$C$5))),""),"")</f>
        <v/>
      </c>
      <c r="I1161" s="139">
        <f>IFERROR(IF(AND(ISNUMBER(F1161),ISNUMBER(H1161)),F1161-H1161,""),"")</f>
        <v/>
      </c>
      <c r="J1161" s="114" t="n"/>
      <c r="K1161" s="139">
        <f>IFERROR(IF(H1161&gt;0,H1161*IF(OR(C1161="Alpha",B1161="Alpha"),$C$9,$C$8),""),"")</f>
        <v/>
      </c>
      <c r="L1161" s="139">
        <f>IFERROR(IF(ISNUMBER(F1161),F1161-IF(ISNUMBER(K1161),K1161,0),""),"")</f>
        <v/>
      </c>
    </row>
    <row r="1162" ht="24" customHeight="1" s="63">
      <c r="E1162" s="139" t="n"/>
      <c r="F1162" s="139" t="n"/>
      <c r="G1162" s="140">
        <f>IFERROR(IF(E1162&gt;0,(F1162/E1162)*1000,""),"")</f>
        <v/>
      </c>
      <c r="H1162" s="139">
        <f>IFERROR(IF(E1162&gt;0,E1162*IF(ISNUMBER(J1162),J1162,IF(OR(C1162="Alpha",B1162="Alpha"),$C$7,IF(C1162="Futures",$C$6,$C$5))),""),"")</f>
        <v/>
      </c>
      <c r="I1162" s="139">
        <f>IFERROR(IF(AND(ISNUMBER(F1162),ISNUMBER(H1162)),F1162-H1162,""),"")</f>
        <v/>
      </c>
      <c r="J1162" s="114" t="n"/>
      <c r="K1162" s="139">
        <f>IFERROR(IF(H1162&gt;0,H1162*IF(OR(C1162="Alpha",B1162="Alpha"),$C$9,$C$8),""),"")</f>
        <v/>
      </c>
      <c r="L1162" s="139">
        <f>IFERROR(IF(ISNUMBER(F1162),F1162-IF(ISNUMBER(K1162),K1162,0),""),"")</f>
        <v/>
      </c>
    </row>
    <row r="1163" ht="24" customHeight="1" s="63">
      <c r="E1163" s="139" t="n"/>
      <c r="F1163" s="139" t="n"/>
      <c r="G1163" s="140">
        <f>IFERROR(IF(E1163&gt;0,(F1163/E1163)*1000,""),"")</f>
        <v/>
      </c>
      <c r="H1163" s="139">
        <f>IFERROR(IF(E1163&gt;0,E1163*IF(ISNUMBER(J1163),J1163,IF(OR(C1163="Alpha",B1163="Alpha"),$C$7,IF(C1163="Futures",$C$6,$C$5))),""),"")</f>
        <v/>
      </c>
      <c r="I1163" s="139">
        <f>IFERROR(IF(AND(ISNUMBER(F1163),ISNUMBER(H1163)),F1163-H1163,""),"")</f>
        <v/>
      </c>
      <c r="J1163" s="114" t="n"/>
      <c r="K1163" s="139">
        <f>IFERROR(IF(H1163&gt;0,H1163*IF(OR(C1163="Alpha",B1163="Alpha"),$C$9,$C$8),""),"")</f>
        <v/>
      </c>
      <c r="L1163" s="139">
        <f>IFERROR(IF(ISNUMBER(F1163),F1163-IF(ISNUMBER(K1163),K1163,0),""),"")</f>
        <v/>
      </c>
    </row>
    <row r="1164" ht="24" customHeight="1" s="63">
      <c r="E1164" s="139" t="n"/>
      <c r="F1164" s="139" t="n"/>
      <c r="G1164" s="140">
        <f>IFERROR(IF(E1164&gt;0,(F1164/E1164)*1000,""),"")</f>
        <v/>
      </c>
      <c r="H1164" s="139">
        <f>IFERROR(IF(E1164&gt;0,E1164*IF(ISNUMBER(J1164),J1164,IF(OR(C1164="Alpha",B1164="Alpha"),$C$7,IF(C1164="Futures",$C$6,$C$5))),""),"")</f>
        <v/>
      </c>
      <c r="I1164" s="139">
        <f>IFERROR(IF(AND(ISNUMBER(F1164),ISNUMBER(H1164)),F1164-H1164,""),"")</f>
        <v/>
      </c>
      <c r="J1164" s="114" t="n"/>
      <c r="K1164" s="139">
        <f>IFERROR(IF(H1164&gt;0,H1164*IF(OR(C1164="Alpha",B1164="Alpha"),$C$9,$C$8),""),"")</f>
        <v/>
      </c>
      <c r="L1164" s="139">
        <f>IFERROR(IF(ISNUMBER(F1164),F1164-IF(ISNUMBER(K1164),K1164,0),""),"")</f>
        <v/>
      </c>
    </row>
    <row r="1165" ht="24" customHeight="1" s="63">
      <c r="E1165" s="139" t="n"/>
      <c r="F1165" s="139" t="n"/>
      <c r="G1165" s="140">
        <f>IFERROR(IF(E1165&gt;0,(F1165/E1165)*1000,""),"")</f>
        <v/>
      </c>
      <c r="H1165" s="139">
        <f>IFERROR(IF(E1165&gt;0,E1165*IF(ISNUMBER(J1165),J1165,IF(OR(C1165="Alpha",B1165="Alpha"),$C$7,IF(C1165="Futures",$C$6,$C$5))),""),"")</f>
        <v/>
      </c>
      <c r="I1165" s="139">
        <f>IFERROR(IF(AND(ISNUMBER(F1165),ISNUMBER(H1165)),F1165-H1165,""),"")</f>
        <v/>
      </c>
      <c r="J1165" s="114" t="n"/>
      <c r="K1165" s="139">
        <f>IFERROR(IF(H1165&gt;0,H1165*IF(OR(C1165="Alpha",B1165="Alpha"),$C$9,$C$8),""),"")</f>
        <v/>
      </c>
      <c r="L1165" s="139">
        <f>IFERROR(IF(ISNUMBER(F1165),F1165-IF(ISNUMBER(K1165),K1165,0),""),"")</f>
        <v/>
      </c>
    </row>
    <row r="1166" ht="24" customHeight="1" s="63">
      <c r="E1166" s="139" t="n"/>
      <c r="F1166" s="139" t="n"/>
      <c r="G1166" s="140">
        <f>IFERROR(IF(E1166&gt;0,(F1166/E1166)*1000,""),"")</f>
        <v/>
      </c>
      <c r="H1166" s="139">
        <f>IFERROR(IF(E1166&gt;0,E1166*IF(ISNUMBER(J1166),J1166,IF(OR(C1166="Alpha",B1166="Alpha"),$C$7,IF(C1166="Futures",$C$6,$C$5))),""),"")</f>
        <v/>
      </c>
      <c r="I1166" s="139">
        <f>IFERROR(IF(AND(ISNUMBER(F1166),ISNUMBER(H1166)),F1166-H1166,""),"")</f>
        <v/>
      </c>
      <c r="J1166" s="114" t="n"/>
      <c r="K1166" s="139">
        <f>IFERROR(IF(H1166&gt;0,H1166*IF(OR(C1166="Alpha",B1166="Alpha"),$C$9,$C$8),""),"")</f>
        <v/>
      </c>
      <c r="L1166" s="139">
        <f>IFERROR(IF(ISNUMBER(F1166),F1166-IF(ISNUMBER(K1166),K1166,0),""),"")</f>
        <v/>
      </c>
    </row>
    <row r="1167" ht="24" customHeight="1" s="63">
      <c r="E1167" s="139" t="n"/>
      <c r="F1167" s="139" t="n"/>
      <c r="G1167" s="140">
        <f>IFERROR(IF(E1167&gt;0,(F1167/E1167)*1000,""),"")</f>
        <v/>
      </c>
      <c r="H1167" s="139">
        <f>IFERROR(IF(E1167&gt;0,E1167*IF(ISNUMBER(J1167),J1167,IF(OR(C1167="Alpha",B1167="Alpha"),$C$7,IF(C1167="Futures",$C$6,$C$5))),""),"")</f>
        <v/>
      </c>
      <c r="I1167" s="139">
        <f>IFERROR(IF(AND(ISNUMBER(F1167),ISNUMBER(H1167)),F1167-H1167,""),"")</f>
        <v/>
      </c>
      <c r="J1167" s="114" t="n"/>
      <c r="K1167" s="139">
        <f>IFERROR(IF(H1167&gt;0,H1167*IF(OR(C1167="Alpha",B1167="Alpha"),$C$9,$C$8),""),"")</f>
        <v/>
      </c>
      <c r="L1167" s="139">
        <f>IFERROR(IF(ISNUMBER(F1167),F1167-IF(ISNUMBER(K1167),K1167,0),""),"")</f>
        <v/>
      </c>
    </row>
    <row r="1168" ht="24" customHeight="1" s="63">
      <c r="E1168" s="139" t="n"/>
      <c r="F1168" s="139" t="n"/>
      <c r="G1168" s="140">
        <f>IFERROR(IF(E1168&gt;0,(F1168/E1168)*1000,""),"")</f>
        <v/>
      </c>
      <c r="H1168" s="139">
        <f>IFERROR(IF(E1168&gt;0,E1168*IF(ISNUMBER(J1168),J1168,IF(OR(C1168="Alpha",B1168="Alpha"),$C$7,IF(C1168="Futures",$C$6,$C$5))),""),"")</f>
        <v/>
      </c>
      <c r="I1168" s="139">
        <f>IFERROR(IF(AND(ISNUMBER(F1168),ISNUMBER(H1168)),F1168-H1168,""),"")</f>
        <v/>
      </c>
      <c r="J1168" s="114" t="n"/>
      <c r="K1168" s="139">
        <f>IFERROR(IF(H1168&gt;0,H1168*IF(OR(C1168="Alpha",B1168="Alpha"),$C$9,$C$8),""),"")</f>
        <v/>
      </c>
      <c r="L1168" s="139">
        <f>IFERROR(IF(ISNUMBER(F1168),F1168-IF(ISNUMBER(K1168),K1168,0),""),"")</f>
        <v/>
      </c>
    </row>
    <row r="1169" ht="24" customHeight="1" s="63">
      <c r="E1169" s="139" t="n"/>
      <c r="F1169" s="139" t="n"/>
      <c r="G1169" s="140">
        <f>IFERROR(IF(E1169&gt;0,(F1169/E1169)*1000,""),"")</f>
        <v/>
      </c>
      <c r="H1169" s="139">
        <f>IFERROR(IF(E1169&gt;0,E1169*IF(ISNUMBER(J1169),J1169,IF(OR(C1169="Alpha",B1169="Alpha"),$C$7,IF(C1169="Futures",$C$6,$C$5))),""),"")</f>
        <v/>
      </c>
      <c r="I1169" s="139">
        <f>IFERROR(IF(AND(ISNUMBER(F1169),ISNUMBER(H1169)),F1169-H1169,""),"")</f>
        <v/>
      </c>
      <c r="J1169" s="114" t="n"/>
      <c r="K1169" s="139">
        <f>IFERROR(IF(H1169&gt;0,H1169*IF(OR(C1169="Alpha",B1169="Alpha"),$C$9,$C$8),""),"")</f>
        <v/>
      </c>
      <c r="L1169" s="139">
        <f>IFERROR(IF(ISNUMBER(F1169),F1169-IF(ISNUMBER(K1169),K1169,0),""),"")</f>
        <v/>
      </c>
    </row>
    <row r="1170" ht="24" customHeight="1" s="63">
      <c r="E1170" s="139" t="n"/>
      <c r="F1170" s="139" t="n"/>
      <c r="G1170" s="140">
        <f>IFERROR(IF(E1170&gt;0,(F1170/E1170)*1000,""),"")</f>
        <v/>
      </c>
      <c r="H1170" s="139">
        <f>IFERROR(IF(E1170&gt;0,E1170*IF(ISNUMBER(J1170),J1170,IF(OR(C1170="Alpha",B1170="Alpha"),$C$7,IF(C1170="Futures",$C$6,$C$5))),""),"")</f>
        <v/>
      </c>
      <c r="I1170" s="139">
        <f>IFERROR(IF(AND(ISNUMBER(F1170),ISNUMBER(H1170)),F1170-H1170,""),"")</f>
        <v/>
      </c>
      <c r="J1170" s="114" t="n"/>
      <c r="K1170" s="139">
        <f>IFERROR(IF(H1170&gt;0,H1170*IF(OR(C1170="Alpha",B1170="Alpha"),$C$9,$C$8),""),"")</f>
        <v/>
      </c>
      <c r="L1170" s="139">
        <f>IFERROR(IF(ISNUMBER(F1170),F1170-IF(ISNUMBER(K1170),K1170,0),""),"")</f>
        <v/>
      </c>
    </row>
    <row r="1171" ht="24" customHeight="1" s="63">
      <c r="E1171" s="139" t="n"/>
      <c r="F1171" s="139" t="n"/>
      <c r="G1171" s="140">
        <f>IFERROR(IF(E1171&gt;0,(F1171/E1171)*1000,""),"")</f>
        <v/>
      </c>
      <c r="H1171" s="139">
        <f>IFERROR(IF(E1171&gt;0,E1171*IF(ISNUMBER(J1171),J1171,IF(OR(C1171="Alpha",B1171="Alpha"),$C$7,IF(C1171="Futures",$C$6,$C$5))),""),"")</f>
        <v/>
      </c>
      <c r="I1171" s="139">
        <f>IFERROR(IF(AND(ISNUMBER(F1171),ISNUMBER(H1171)),F1171-H1171,""),"")</f>
        <v/>
      </c>
      <c r="J1171" s="114" t="n"/>
      <c r="K1171" s="139">
        <f>IFERROR(IF(H1171&gt;0,H1171*IF(OR(C1171="Alpha",B1171="Alpha"),$C$9,$C$8),""),"")</f>
        <v/>
      </c>
      <c r="L1171" s="139">
        <f>IFERROR(IF(ISNUMBER(F1171),F1171-IF(ISNUMBER(K1171),K1171,0),""),"")</f>
        <v/>
      </c>
    </row>
    <row r="1172" ht="24" customHeight="1" s="63">
      <c r="E1172" s="139" t="n"/>
      <c r="F1172" s="139" t="n"/>
      <c r="G1172" s="140">
        <f>IFERROR(IF(E1172&gt;0,(F1172/E1172)*1000,""),"")</f>
        <v/>
      </c>
      <c r="H1172" s="139">
        <f>IFERROR(IF(E1172&gt;0,E1172*IF(ISNUMBER(J1172),J1172,IF(OR(C1172="Alpha",B1172="Alpha"),$C$7,IF(C1172="Futures",$C$6,$C$5))),""),"")</f>
        <v/>
      </c>
      <c r="I1172" s="139">
        <f>IFERROR(IF(AND(ISNUMBER(F1172),ISNUMBER(H1172)),F1172-H1172,""),"")</f>
        <v/>
      </c>
      <c r="J1172" s="114" t="n"/>
      <c r="K1172" s="139">
        <f>IFERROR(IF(H1172&gt;0,H1172*IF(OR(C1172="Alpha",B1172="Alpha"),$C$9,$C$8),""),"")</f>
        <v/>
      </c>
      <c r="L1172" s="139">
        <f>IFERROR(IF(ISNUMBER(F1172),F1172-IF(ISNUMBER(K1172),K1172,0),""),"")</f>
        <v/>
      </c>
    </row>
    <row r="1173" ht="24" customHeight="1" s="63">
      <c r="E1173" s="139" t="n"/>
      <c r="F1173" s="139" t="n"/>
      <c r="G1173" s="140">
        <f>IFERROR(IF(E1173&gt;0,(F1173/E1173)*1000,""),"")</f>
        <v/>
      </c>
      <c r="H1173" s="139">
        <f>IFERROR(IF(E1173&gt;0,E1173*IF(ISNUMBER(J1173),J1173,IF(OR(C1173="Alpha",B1173="Alpha"),$C$7,IF(C1173="Futures",$C$6,$C$5))),""),"")</f>
        <v/>
      </c>
      <c r="I1173" s="139">
        <f>IFERROR(IF(AND(ISNUMBER(F1173),ISNUMBER(H1173)),F1173-H1173,""),"")</f>
        <v/>
      </c>
      <c r="J1173" s="114" t="n"/>
      <c r="K1173" s="139">
        <f>IFERROR(IF(H1173&gt;0,H1173*IF(OR(C1173="Alpha",B1173="Alpha"),$C$9,$C$8),""),"")</f>
        <v/>
      </c>
      <c r="L1173" s="139">
        <f>IFERROR(IF(ISNUMBER(F1173),F1173-IF(ISNUMBER(K1173),K1173,0),""),"")</f>
        <v/>
      </c>
    </row>
    <row r="1174" ht="24" customHeight="1" s="63">
      <c r="E1174" s="139" t="n"/>
      <c r="F1174" s="139" t="n"/>
      <c r="G1174" s="140">
        <f>IFERROR(IF(E1174&gt;0,(F1174/E1174)*1000,""),"")</f>
        <v/>
      </c>
      <c r="H1174" s="139">
        <f>IFERROR(IF(E1174&gt;0,E1174*IF(ISNUMBER(J1174),J1174,IF(OR(C1174="Alpha",B1174="Alpha"),$C$7,IF(C1174="Futures",$C$6,$C$5))),""),"")</f>
        <v/>
      </c>
      <c r="I1174" s="139">
        <f>IFERROR(IF(AND(ISNUMBER(F1174),ISNUMBER(H1174)),F1174-H1174,""),"")</f>
        <v/>
      </c>
      <c r="J1174" s="114" t="n"/>
      <c r="K1174" s="139">
        <f>IFERROR(IF(H1174&gt;0,H1174*IF(OR(C1174="Alpha",B1174="Alpha"),$C$9,$C$8),""),"")</f>
        <v/>
      </c>
      <c r="L1174" s="139">
        <f>IFERROR(IF(ISNUMBER(F1174),F1174-IF(ISNUMBER(K1174),K1174,0),""),"")</f>
        <v/>
      </c>
    </row>
    <row r="1175" ht="24" customHeight="1" s="63">
      <c r="E1175" s="139" t="n"/>
      <c r="F1175" s="139" t="n"/>
      <c r="G1175" s="140">
        <f>IFERROR(IF(E1175&gt;0,(F1175/E1175)*1000,""),"")</f>
        <v/>
      </c>
      <c r="H1175" s="139">
        <f>IFERROR(IF(E1175&gt;0,E1175*IF(ISNUMBER(J1175),J1175,IF(OR(C1175="Alpha",B1175="Alpha"),$C$7,IF(C1175="Futures",$C$6,$C$5))),""),"")</f>
        <v/>
      </c>
      <c r="I1175" s="139">
        <f>IFERROR(IF(AND(ISNUMBER(F1175),ISNUMBER(H1175)),F1175-H1175,""),"")</f>
        <v/>
      </c>
      <c r="J1175" s="114" t="n"/>
      <c r="K1175" s="139">
        <f>IFERROR(IF(H1175&gt;0,H1175*IF(OR(C1175="Alpha",B1175="Alpha"),$C$9,$C$8),""),"")</f>
        <v/>
      </c>
      <c r="L1175" s="139">
        <f>IFERROR(IF(ISNUMBER(F1175),F1175-IF(ISNUMBER(K1175),K1175,0),""),"")</f>
        <v/>
      </c>
    </row>
    <row r="1176" ht="24" customHeight="1" s="63">
      <c r="E1176" s="139" t="n"/>
      <c r="F1176" s="139" t="n"/>
      <c r="G1176" s="140">
        <f>IFERROR(IF(E1176&gt;0,(F1176/E1176)*1000,""),"")</f>
        <v/>
      </c>
      <c r="H1176" s="139">
        <f>IFERROR(IF(E1176&gt;0,E1176*IF(ISNUMBER(J1176),J1176,IF(OR(C1176="Alpha",B1176="Alpha"),$C$7,IF(C1176="Futures",$C$6,$C$5))),""),"")</f>
        <v/>
      </c>
      <c r="I1176" s="139">
        <f>IFERROR(IF(AND(ISNUMBER(F1176),ISNUMBER(H1176)),F1176-H1176,""),"")</f>
        <v/>
      </c>
      <c r="J1176" s="114" t="n"/>
      <c r="K1176" s="139">
        <f>IFERROR(IF(H1176&gt;0,H1176*IF(OR(C1176="Alpha",B1176="Alpha"),$C$9,$C$8),""),"")</f>
        <v/>
      </c>
      <c r="L1176" s="139">
        <f>IFERROR(IF(ISNUMBER(F1176),F1176-IF(ISNUMBER(K1176),K1176,0),""),"")</f>
        <v/>
      </c>
    </row>
    <row r="1177" ht="24" customHeight="1" s="63">
      <c r="E1177" s="139" t="n"/>
      <c r="F1177" s="139" t="n"/>
      <c r="G1177" s="140">
        <f>IFERROR(IF(E1177&gt;0,(F1177/E1177)*1000,""),"")</f>
        <v/>
      </c>
      <c r="H1177" s="139">
        <f>IFERROR(IF(E1177&gt;0,E1177*IF(ISNUMBER(J1177),J1177,IF(OR(C1177="Alpha",B1177="Alpha"),$C$7,IF(C1177="Futures",$C$6,$C$5))),""),"")</f>
        <v/>
      </c>
      <c r="I1177" s="139">
        <f>IFERROR(IF(AND(ISNUMBER(F1177),ISNUMBER(H1177)),F1177-H1177,""),"")</f>
        <v/>
      </c>
      <c r="J1177" s="114" t="n"/>
      <c r="K1177" s="139">
        <f>IFERROR(IF(H1177&gt;0,H1177*IF(OR(C1177="Alpha",B1177="Alpha"),$C$9,$C$8),""),"")</f>
        <v/>
      </c>
      <c r="L1177" s="139">
        <f>IFERROR(IF(ISNUMBER(F1177),F1177-IF(ISNUMBER(K1177),K1177,0),""),"")</f>
        <v/>
      </c>
    </row>
    <row r="1178" ht="24" customHeight="1" s="63">
      <c r="E1178" s="139" t="n"/>
      <c r="F1178" s="139" t="n"/>
      <c r="G1178" s="140">
        <f>IFERROR(IF(E1178&gt;0,(F1178/E1178)*1000,""),"")</f>
        <v/>
      </c>
      <c r="H1178" s="139">
        <f>IFERROR(IF(E1178&gt;0,E1178*IF(ISNUMBER(J1178),J1178,IF(OR(C1178="Alpha",B1178="Alpha"),$C$7,IF(C1178="Futures",$C$6,$C$5))),""),"")</f>
        <v/>
      </c>
      <c r="I1178" s="139">
        <f>IFERROR(IF(AND(ISNUMBER(F1178),ISNUMBER(H1178)),F1178-H1178,""),"")</f>
        <v/>
      </c>
      <c r="J1178" s="114" t="n"/>
      <c r="K1178" s="139">
        <f>IFERROR(IF(H1178&gt;0,H1178*IF(OR(C1178="Alpha",B1178="Alpha"),$C$9,$C$8),""),"")</f>
        <v/>
      </c>
      <c r="L1178" s="139">
        <f>IFERROR(IF(ISNUMBER(F1178),F1178-IF(ISNUMBER(K1178),K1178,0),""),"")</f>
        <v/>
      </c>
    </row>
    <row r="1179" ht="24" customHeight="1" s="63">
      <c r="E1179" s="139" t="n"/>
      <c r="F1179" s="139" t="n"/>
      <c r="G1179" s="140">
        <f>IFERROR(IF(E1179&gt;0,(F1179/E1179)*1000,""),"")</f>
        <v/>
      </c>
      <c r="H1179" s="139">
        <f>IFERROR(IF(E1179&gt;0,E1179*IF(ISNUMBER(J1179),J1179,IF(OR(C1179="Alpha",B1179="Alpha"),$C$7,IF(C1179="Futures",$C$6,$C$5))),""),"")</f>
        <v/>
      </c>
      <c r="I1179" s="139">
        <f>IFERROR(IF(AND(ISNUMBER(F1179),ISNUMBER(H1179)),F1179-H1179,""),"")</f>
        <v/>
      </c>
      <c r="J1179" s="114" t="n"/>
      <c r="K1179" s="139">
        <f>IFERROR(IF(H1179&gt;0,H1179*IF(OR(C1179="Alpha",B1179="Alpha"),$C$9,$C$8),""),"")</f>
        <v/>
      </c>
      <c r="L1179" s="139">
        <f>IFERROR(IF(ISNUMBER(F1179),F1179-IF(ISNUMBER(K1179),K1179,0),""),"")</f>
        <v/>
      </c>
    </row>
    <row r="1180" ht="24" customHeight="1" s="63">
      <c r="E1180" s="139" t="n"/>
      <c r="F1180" s="139" t="n"/>
      <c r="G1180" s="140">
        <f>IFERROR(IF(E1180&gt;0,(F1180/E1180)*1000,""),"")</f>
        <v/>
      </c>
      <c r="H1180" s="139">
        <f>IFERROR(IF(E1180&gt;0,E1180*IF(ISNUMBER(J1180),J1180,IF(OR(C1180="Alpha",B1180="Alpha"),$C$7,IF(C1180="Futures",$C$6,$C$5))),""),"")</f>
        <v/>
      </c>
      <c r="I1180" s="139">
        <f>IFERROR(IF(AND(ISNUMBER(F1180),ISNUMBER(H1180)),F1180-H1180,""),"")</f>
        <v/>
      </c>
      <c r="J1180" s="114" t="n"/>
      <c r="K1180" s="139">
        <f>IFERROR(IF(H1180&gt;0,H1180*IF(OR(C1180="Alpha",B1180="Alpha"),$C$9,$C$8),""),"")</f>
        <v/>
      </c>
      <c r="L1180" s="139">
        <f>IFERROR(IF(ISNUMBER(F1180),F1180-IF(ISNUMBER(K1180),K1180,0),""),"")</f>
        <v/>
      </c>
    </row>
    <row r="1181" ht="24" customHeight="1" s="63">
      <c r="E1181" s="139" t="n"/>
      <c r="F1181" s="139" t="n"/>
      <c r="G1181" s="140">
        <f>IFERROR(IF(E1181&gt;0,(F1181/E1181)*1000,""),"")</f>
        <v/>
      </c>
      <c r="H1181" s="139">
        <f>IFERROR(IF(E1181&gt;0,E1181*IF(ISNUMBER(J1181),J1181,IF(OR(C1181="Alpha",B1181="Alpha"),$C$7,IF(C1181="Futures",$C$6,$C$5))),""),"")</f>
        <v/>
      </c>
      <c r="I1181" s="139">
        <f>IFERROR(IF(AND(ISNUMBER(F1181),ISNUMBER(H1181)),F1181-H1181,""),"")</f>
        <v/>
      </c>
      <c r="J1181" s="114" t="n"/>
      <c r="K1181" s="139">
        <f>IFERROR(IF(H1181&gt;0,H1181*IF(OR(C1181="Alpha",B1181="Alpha"),$C$9,$C$8),""),"")</f>
        <v/>
      </c>
      <c r="L1181" s="139">
        <f>IFERROR(IF(ISNUMBER(F1181),F1181-IF(ISNUMBER(K1181),K1181,0),""),"")</f>
        <v/>
      </c>
    </row>
    <row r="1182" ht="24" customHeight="1" s="63">
      <c r="E1182" s="139" t="n"/>
      <c r="F1182" s="139" t="n"/>
      <c r="G1182" s="140">
        <f>IFERROR(IF(E1182&gt;0,(F1182/E1182)*1000,""),"")</f>
        <v/>
      </c>
      <c r="H1182" s="139">
        <f>IFERROR(IF(E1182&gt;0,E1182*IF(ISNUMBER(J1182),J1182,IF(OR(C1182="Alpha",B1182="Alpha"),$C$7,IF(C1182="Futures",$C$6,$C$5))),""),"")</f>
        <v/>
      </c>
      <c r="I1182" s="139">
        <f>IFERROR(IF(AND(ISNUMBER(F1182),ISNUMBER(H1182)),F1182-H1182,""),"")</f>
        <v/>
      </c>
      <c r="J1182" s="114" t="n"/>
      <c r="K1182" s="139">
        <f>IFERROR(IF(H1182&gt;0,H1182*IF(OR(C1182="Alpha",B1182="Alpha"),$C$9,$C$8),""),"")</f>
        <v/>
      </c>
      <c r="L1182" s="139">
        <f>IFERROR(IF(ISNUMBER(F1182),F1182-IF(ISNUMBER(K1182),K1182,0),""),"")</f>
        <v/>
      </c>
    </row>
    <row r="1183" ht="24" customHeight="1" s="63">
      <c r="E1183" s="139" t="n"/>
      <c r="F1183" s="139" t="n"/>
      <c r="G1183" s="140">
        <f>IFERROR(IF(E1183&gt;0,(F1183/E1183)*1000,""),"")</f>
        <v/>
      </c>
      <c r="H1183" s="139">
        <f>IFERROR(IF(E1183&gt;0,E1183*IF(ISNUMBER(J1183),J1183,IF(OR(C1183="Alpha",B1183="Alpha"),$C$7,IF(C1183="Futures",$C$6,$C$5))),""),"")</f>
        <v/>
      </c>
      <c r="I1183" s="139">
        <f>IFERROR(IF(AND(ISNUMBER(F1183),ISNUMBER(H1183)),F1183-H1183,""),"")</f>
        <v/>
      </c>
      <c r="J1183" s="114" t="n"/>
      <c r="K1183" s="139">
        <f>IFERROR(IF(H1183&gt;0,H1183*IF(OR(C1183="Alpha",B1183="Alpha"),$C$9,$C$8),""),"")</f>
        <v/>
      </c>
      <c r="L1183" s="139">
        <f>IFERROR(IF(ISNUMBER(F1183),F1183-IF(ISNUMBER(K1183),K1183,0),""),"")</f>
        <v/>
      </c>
    </row>
    <row r="1184" ht="24" customHeight="1" s="63">
      <c r="E1184" s="139" t="n"/>
      <c r="F1184" s="139" t="n"/>
      <c r="G1184" s="140">
        <f>IFERROR(IF(E1184&gt;0,(F1184/E1184)*1000,""),"")</f>
        <v/>
      </c>
      <c r="H1184" s="139">
        <f>IFERROR(IF(E1184&gt;0,E1184*IF(ISNUMBER(J1184),J1184,IF(OR(C1184="Alpha",B1184="Alpha"),$C$7,IF(C1184="Futures",$C$6,$C$5))),""),"")</f>
        <v/>
      </c>
      <c r="I1184" s="139">
        <f>IFERROR(IF(AND(ISNUMBER(F1184),ISNUMBER(H1184)),F1184-H1184,""),"")</f>
        <v/>
      </c>
      <c r="J1184" s="114" t="n"/>
      <c r="K1184" s="139">
        <f>IFERROR(IF(H1184&gt;0,H1184*IF(OR(C1184="Alpha",B1184="Alpha"),$C$9,$C$8),""),"")</f>
        <v/>
      </c>
      <c r="L1184" s="139">
        <f>IFERROR(IF(ISNUMBER(F1184),F1184-IF(ISNUMBER(K1184),K1184,0),""),"")</f>
        <v/>
      </c>
    </row>
    <row r="1185" ht="24" customHeight="1" s="63">
      <c r="E1185" s="139" t="n"/>
      <c r="F1185" s="139" t="n"/>
      <c r="G1185" s="140">
        <f>IFERROR(IF(E1185&gt;0,(F1185/E1185)*1000,""),"")</f>
        <v/>
      </c>
      <c r="H1185" s="139">
        <f>IFERROR(IF(E1185&gt;0,E1185*IF(ISNUMBER(J1185),J1185,IF(OR(C1185="Alpha",B1185="Alpha"),$C$7,IF(C1185="Futures",$C$6,$C$5))),""),"")</f>
        <v/>
      </c>
      <c r="I1185" s="139">
        <f>IFERROR(IF(AND(ISNUMBER(F1185),ISNUMBER(H1185)),F1185-H1185,""),"")</f>
        <v/>
      </c>
      <c r="J1185" s="114" t="n"/>
      <c r="K1185" s="139">
        <f>IFERROR(IF(H1185&gt;0,H1185*IF(OR(C1185="Alpha",B1185="Alpha"),$C$9,$C$8),""),"")</f>
        <v/>
      </c>
      <c r="L1185" s="139">
        <f>IFERROR(IF(ISNUMBER(F1185),F1185-IF(ISNUMBER(K1185),K1185,0),""),"")</f>
        <v/>
      </c>
    </row>
    <row r="1186" ht="24" customHeight="1" s="63">
      <c r="E1186" s="139" t="n"/>
      <c r="F1186" s="139" t="n"/>
      <c r="G1186" s="140">
        <f>IFERROR(IF(E1186&gt;0,(F1186/E1186)*1000,""),"")</f>
        <v/>
      </c>
      <c r="H1186" s="139">
        <f>IFERROR(IF(E1186&gt;0,E1186*IF(ISNUMBER(J1186),J1186,IF(OR(C1186="Alpha",B1186="Alpha"),$C$7,IF(C1186="Futures",$C$6,$C$5))),""),"")</f>
        <v/>
      </c>
      <c r="I1186" s="139">
        <f>IFERROR(IF(AND(ISNUMBER(F1186),ISNUMBER(H1186)),F1186-H1186,""),"")</f>
        <v/>
      </c>
      <c r="J1186" s="114" t="n"/>
      <c r="K1186" s="139">
        <f>IFERROR(IF(H1186&gt;0,H1186*IF(OR(C1186="Alpha",B1186="Alpha"),$C$9,$C$8),""),"")</f>
        <v/>
      </c>
      <c r="L1186" s="139">
        <f>IFERROR(IF(ISNUMBER(F1186),F1186-IF(ISNUMBER(K1186),K1186,0),""),"")</f>
        <v/>
      </c>
    </row>
    <row r="1187" ht="24" customHeight="1" s="63">
      <c r="E1187" s="139" t="n"/>
      <c r="F1187" s="139" t="n"/>
      <c r="G1187" s="140">
        <f>IFERROR(IF(E1187&gt;0,(F1187/E1187)*1000,""),"")</f>
        <v/>
      </c>
      <c r="H1187" s="139">
        <f>IFERROR(IF(E1187&gt;0,E1187*IF(ISNUMBER(J1187),J1187,IF(OR(C1187="Alpha",B1187="Alpha"),$C$7,IF(C1187="Futures",$C$6,$C$5))),""),"")</f>
        <v/>
      </c>
      <c r="I1187" s="139">
        <f>IFERROR(IF(AND(ISNUMBER(F1187),ISNUMBER(H1187)),F1187-H1187,""),"")</f>
        <v/>
      </c>
      <c r="J1187" s="114" t="n"/>
      <c r="K1187" s="139">
        <f>IFERROR(IF(H1187&gt;0,H1187*IF(OR(C1187="Alpha",B1187="Alpha"),$C$9,$C$8),""),"")</f>
        <v/>
      </c>
      <c r="L1187" s="139">
        <f>IFERROR(IF(ISNUMBER(F1187),F1187-IF(ISNUMBER(K1187),K1187,0),""),"")</f>
        <v/>
      </c>
    </row>
    <row r="1188" ht="24" customHeight="1" s="63">
      <c r="E1188" s="139" t="n"/>
      <c r="F1188" s="139" t="n"/>
      <c r="G1188" s="140">
        <f>IFERROR(IF(E1188&gt;0,(F1188/E1188)*1000,""),"")</f>
        <v/>
      </c>
      <c r="H1188" s="139">
        <f>IFERROR(IF(E1188&gt;0,E1188*IF(ISNUMBER(J1188),J1188,IF(OR(C1188="Alpha",B1188="Alpha"),$C$7,IF(C1188="Futures",$C$6,$C$5))),""),"")</f>
        <v/>
      </c>
      <c r="I1188" s="139">
        <f>IFERROR(IF(AND(ISNUMBER(F1188),ISNUMBER(H1188)),F1188-H1188,""),"")</f>
        <v/>
      </c>
      <c r="J1188" s="114" t="n"/>
      <c r="K1188" s="139">
        <f>IFERROR(IF(H1188&gt;0,H1188*IF(OR(C1188="Alpha",B1188="Alpha"),$C$9,$C$8),""),"")</f>
        <v/>
      </c>
      <c r="L1188" s="139">
        <f>IFERROR(IF(ISNUMBER(F1188),F1188-IF(ISNUMBER(K1188),K1188,0),""),"")</f>
        <v/>
      </c>
    </row>
    <row r="1189" ht="24" customHeight="1" s="63">
      <c r="E1189" s="139" t="n"/>
      <c r="F1189" s="139" t="n"/>
      <c r="G1189" s="140">
        <f>IFERROR(IF(E1189&gt;0,(F1189/E1189)*1000,""),"")</f>
        <v/>
      </c>
      <c r="H1189" s="139">
        <f>IFERROR(IF(E1189&gt;0,E1189*IF(ISNUMBER(J1189),J1189,IF(OR(C1189="Alpha",B1189="Alpha"),$C$7,IF(C1189="Futures",$C$6,$C$5))),""),"")</f>
        <v/>
      </c>
      <c r="I1189" s="139">
        <f>IFERROR(IF(AND(ISNUMBER(F1189),ISNUMBER(H1189)),F1189-H1189,""),"")</f>
        <v/>
      </c>
      <c r="J1189" s="114" t="n"/>
      <c r="K1189" s="139">
        <f>IFERROR(IF(H1189&gt;0,H1189*IF(OR(C1189="Alpha",B1189="Alpha"),$C$9,$C$8),""),"")</f>
        <v/>
      </c>
      <c r="L1189" s="139">
        <f>IFERROR(IF(ISNUMBER(F1189),F1189-IF(ISNUMBER(K1189),K1189,0),""),"")</f>
        <v/>
      </c>
    </row>
    <row r="1190" ht="24" customHeight="1" s="63">
      <c r="E1190" s="139" t="n"/>
      <c r="F1190" s="139" t="n"/>
      <c r="G1190" s="140">
        <f>IFERROR(IF(E1190&gt;0,(F1190/E1190)*1000,""),"")</f>
        <v/>
      </c>
      <c r="H1190" s="139">
        <f>IFERROR(IF(E1190&gt;0,E1190*IF(ISNUMBER(J1190),J1190,IF(OR(C1190="Alpha",B1190="Alpha"),$C$7,IF(C1190="Futures",$C$6,$C$5))),""),"")</f>
        <v/>
      </c>
      <c r="I1190" s="139">
        <f>IFERROR(IF(AND(ISNUMBER(F1190),ISNUMBER(H1190)),F1190-H1190,""),"")</f>
        <v/>
      </c>
      <c r="J1190" s="114" t="n"/>
      <c r="K1190" s="139">
        <f>IFERROR(IF(H1190&gt;0,H1190*IF(OR(C1190="Alpha",B1190="Alpha"),$C$9,$C$8),""),"")</f>
        <v/>
      </c>
      <c r="L1190" s="139">
        <f>IFERROR(IF(ISNUMBER(F1190),F1190-IF(ISNUMBER(K1190),K1190,0),""),"")</f>
        <v/>
      </c>
    </row>
    <row r="1191" ht="24" customHeight="1" s="63">
      <c r="E1191" s="139" t="n"/>
      <c r="F1191" s="139" t="n"/>
      <c r="G1191" s="140">
        <f>IFERROR(IF(E1191&gt;0,(F1191/E1191)*1000,""),"")</f>
        <v/>
      </c>
      <c r="H1191" s="139">
        <f>IFERROR(IF(E1191&gt;0,E1191*IF(ISNUMBER(J1191),J1191,IF(OR(C1191="Alpha",B1191="Alpha"),$C$7,IF(C1191="Futures",$C$6,$C$5))),""),"")</f>
        <v/>
      </c>
      <c r="I1191" s="139">
        <f>IFERROR(IF(AND(ISNUMBER(F1191),ISNUMBER(H1191)),F1191-H1191,""),"")</f>
        <v/>
      </c>
      <c r="J1191" s="114" t="n"/>
      <c r="K1191" s="139">
        <f>IFERROR(IF(H1191&gt;0,H1191*IF(OR(C1191="Alpha",B1191="Alpha"),$C$9,$C$8),""),"")</f>
        <v/>
      </c>
      <c r="L1191" s="139">
        <f>IFERROR(IF(ISNUMBER(F1191),F1191-IF(ISNUMBER(K1191),K1191,0),""),"")</f>
        <v/>
      </c>
    </row>
    <row r="1192" ht="24" customHeight="1" s="63">
      <c r="E1192" s="139" t="n"/>
      <c r="F1192" s="139" t="n"/>
      <c r="G1192" s="140">
        <f>IFERROR(IF(E1192&gt;0,(F1192/E1192)*1000,""),"")</f>
        <v/>
      </c>
      <c r="H1192" s="139">
        <f>IFERROR(IF(E1192&gt;0,E1192*IF(ISNUMBER(J1192),J1192,IF(OR(C1192="Alpha",B1192="Alpha"),$C$7,IF(C1192="Futures",$C$6,$C$5))),""),"")</f>
        <v/>
      </c>
      <c r="I1192" s="139">
        <f>IFERROR(IF(AND(ISNUMBER(F1192),ISNUMBER(H1192)),F1192-H1192,""),"")</f>
        <v/>
      </c>
      <c r="J1192" s="114" t="n"/>
      <c r="K1192" s="139">
        <f>IFERROR(IF(H1192&gt;0,H1192*IF(OR(C1192="Alpha",B1192="Alpha"),$C$9,$C$8),""),"")</f>
        <v/>
      </c>
      <c r="L1192" s="139">
        <f>IFERROR(IF(ISNUMBER(F1192),F1192-IF(ISNUMBER(K1192),K1192,0),""),"")</f>
        <v/>
      </c>
    </row>
    <row r="1193" ht="24" customHeight="1" s="63">
      <c r="E1193" s="139" t="n"/>
      <c r="F1193" s="139" t="n"/>
      <c r="G1193" s="140">
        <f>IFERROR(IF(E1193&gt;0,(F1193/E1193)*1000,""),"")</f>
        <v/>
      </c>
      <c r="H1193" s="139">
        <f>IFERROR(IF(E1193&gt;0,E1193*IF(ISNUMBER(J1193),J1193,IF(OR(C1193="Alpha",B1193="Alpha"),$C$7,IF(C1193="Futures",$C$6,$C$5))),""),"")</f>
        <v/>
      </c>
      <c r="I1193" s="139">
        <f>IFERROR(IF(AND(ISNUMBER(F1193),ISNUMBER(H1193)),F1193-H1193,""),"")</f>
        <v/>
      </c>
      <c r="J1193" s="114" t="n"/>
      <c r="K1193" s="139">
        <f>IFERROR(IF(H1193&gt;0,H1193*IF(OR(C1193="Alpha",B1193="Alpha"),$C$9,$C$8),""),"")</f>
        <v/>
      </c>
      <c r="L1193" s="139">
        <f>IFERROR(IF(ISNUMBER(F1193),F1193-IF(ISNUMBER(K1193),K1193,0),""),"")</f>
        <v/>
      </c>
    </row>
    <row r="1194" ht="24" customHeight="1" s="63">
      <c r="E1194" s="139" t="n"/>
      <c r="F1194" s="139" t="n"/>
      <c r="G1194" s="140">
        <f>IFERROR(IF(E1194&gt;0,(F1194/E1194)*1000,""),"")</f>
        <v/>
      </c>
      <c r="H1194" s="139">
        <f>IFERROR(IF(E1194&gt;0,E1194*IF(ISNUMBER(J1194),J1194,IF(OR(C1194="Alpha",B1194="Alpha"),$C$7,IF(C1194="Futures",$C$6,$C$5))),""),"")</f>
        <v/>
      </c>
      <c r="I1194" s="139">
        <f>IFERROR(IF(AND(ISNUMBER(F1194),ISNUMBER(H1194)),F1194-H1194,""),"")</f>
        <v/>
      </c>
      <c r="J1194" s="114" t="n"/>
      <c r="K1194" s="139">
        <f>IFERROR(IF(H1194&gt;0,H1194*IF(OR(C1194="Alpha",B1194="Alpha"),$C$9,$C$8),""),"")</f>
        <v/>
      </c>
      <c r="L1194" s="139">
        <f>IFERROR(IF(ISNUMBER(F1194),F1194-IF(ISNUMBER(K1194),K1194,0),""),"")</f>
        <v/>
      </c>
    </row>
    <row r="1195" ht="24" customHeight="1" s="63">
      <c r="E1195" s="139" t="n"/>
      <c r="F1195" s="139" t="n"/>
      <c r="G1195" s="140">
        <f>IFERROR(IF(E1195&gt;0,(F1195/E1195)*1000,""),"")</f>
        <v/>
      </c>
      <c r="H1195" s="139">
        <f>IFERROR(IF(E1195&gt;0,E1195*IF(ISNUMBER(J1195),J1195,IF(OR(C1195="Alpha",B1195="Alpha"),$C$7,IF(C1195="Futures",$C$6,$C$5))),""),"")</f>
        <v/>
      </c>
      <c r="I1195" s="139">
        <f>IFERROR(IF(AND(ISNUMBER(F1195),ISNUMBER(H1195)),F1195-H1195,""),"")</f>
        <v/>
      </c>
      <c r="J1195" s="114" t="n"/>
      <c r="K1195" s="139">
        <f>IFERROR(IF(H1195&gt;0,H1195*IF(OR(C1195="Alpha",B1195="Alpha"),$C$9,$C$8),""),"")</f>
        <v/>
      </c>
      <c r="L1195" s="139">
        <f>IFERROR(IF(ISNUMBER(F1195),F1195-IF(ISNUMBER(K1195),K1195,0),""),"")</f>
        <v/>
      </c>
    </row>
    <row r="1196" ht="24" customHeight="1" s="63">
      <c r="E1196" s="139" t="n"/>
      <c r="F1196" s="139" t="n"/>
      <c r="G1196" s="140">
        <f>IFERROR(IF(E1196&gt;0,(F1196/E1196)*1000,""),"")</f>
        <v/>
      </c>
      <c r="H1196" s="139">
        <f>IFERROR(IF(E1196&gt;0,E1196*IF(ISNUMBER(J1196),J1196,IF(OR(C1196="Alpha",B1196="Alpha"),$C$7,IF(C1196="Futures",$C$6,$C$5))),""),"")</f>
        <v/>
      </c>
      <c r="I1196" s="139">
        <f>IFERROR(IF(AND(ISNUMBER(F1196),ISNUMBER(H1196)),F1196-H1196,""),"")</f>
        <v/>
      </c>
      <c r="J1196" s="114" t="n"/>
      <c r="K1196" s="139">
        <f>IFERROR(IF(H1196&gt;0,H1196*IF(OR(C1196="Alpha",B1196="Alpha"),$C$9,$C$8),""),"")</f>
        <v/>
      </c>
      <c r="L1196" s="139">
        <f>IFERROR(IF(ISNUMBER(F1196),F1196-IF(ISNUMBER(K1196),K1196,0),""),"")</f>
        <v/>
      </c>
    </row>
    <row r="1197" ht="24" customHeight="1" s="63">
      <c r="E1197" s="139" t="n"/>
      <c r="F1197" s="139" t="n"/>
      <c r="G1197" s="140">
        <f>IFERROR(IF(E1197&gt;0,(F1197/E1197)*1000,""),"")</f>
        <v/>
      </c>
      <c r="H1197" s="139">
        <f>IFERROR(IF(E1197&gt;0,E1197*IF(ISNUMBER(J1197),J1197,IF(OR(C1197="Alpha",B1197="Alpha"),$C$7,IF(C1197="Futures",$C$6,$C$5))),""),"")</f>
        <v/>
      </c>
      <c r="I1197" s="139">
        <f>IFERROR(IF(AND(ISNUMBER(F1197),ISNUMBER(H1197)),F1197-H1197,""),"")</f>
        <v/>
      </c>
      <c r="J1197" s="114" t="n"/>
      <c r="K1197" s="139">
        <f>IFERROR(IF(H1197&gt;0,H1197*IF(OR(C1197="Alpha",B1197="Alpha"),$C$9,$C$8),""),"")</f>
        <v/>
      </c>
      <c r="L1197" s="139">
        <f>IFERROR(IF(ISNUMBER(F1197),F1197-IF(ISNUMBER(K1197),K1197,0),""),"")</f>
        <v/>
      </c>
    </row>
    <row r="1198" ht="24" customHeight="1" s="63">
      <c r="E1198" s="139" t="n"/>
      <c r="F1198" s="139" t="n"/>
      <c r="G1198" s="140">
        <f>IFERROR(IF(E1198&gt;0,(F1198/E1198)*1000,""),"")</f>
        <v/>
      </c>
      <c r="H1198" s="139">
        <f>IFERROR(IF(E1198&gt;0,E1198*IF(ISNUMBER(J1198),J1198,IF(OR(C1198="Alpha",B1198="Alpha"),$C$7,IF(C1198="Futures",$C$6,$C$5))),""),"")</f>
        <v/>
      </c>
      <c r="I1198" s="139">
        <f>IFERROR(IF(AND(ISNUMBER(F1198),ISNUMBER(H1198)),F1198-H1198,""),"")</f>
        <v/>
      </c>
      <c r="J1198" s="114" t="n"/>
      <c r="K1198" s="139">
        <f>IFERROR(IF(H1198&gt;0,H1198*IF(OR(C1198="Alpha",B1198="Alpha"),$C$9,$C$8),""),"")</f>
        <v/>
      </c>
      <c r="L1198" s="139">
        <f>IFERROR(IF(ISNUMBER(F1198),F1198-IF(ISNUMBER(K1198),K1198,0),""),"")</f>
        <v/>
      </c>
    </row>
    <row r="1199" ht="24" customHeight="1" s="63">
      <c r="E1199" s="139" t="n"/>
      <c r="F1199" s="139" t="n"/>
      <c r="G1199" s="140">
        <f>IFERROR(IF(E1199&gt;0,(F1199/E1199)*1000,""),"")</f>
        <v/>
      </c>
      <c r="H1199" s="139">
        <f>IFERROR(IF(E1199&gt;0,E1199*IF(ISNUMBER(J1199),J1199,IF(OR(C1199="Alpha",B1199="Alpha"),$C$7,IF(C1199="Futures",$C$6,$C$5))),""),"")</f>
        <v/>
      </c>
      <c r="I1199" s="139">
        <f>IFERROR(IF(AND(ISNUMBER(F1199),ISNUMBER(H1199)),F1199-H1199,""),"")</f>
        <v/>
      </c>
      <c r="J1199" s="114" t="n"/>
      <c r="K1199" s="139">
        <f>IFERROR(IF(H1199&gt;0,H1199*IF(OR(C1199="Alpha",B1199="Alpha"),$C$9,$C$8),""),"")</f>
        <v/>
      </c>
      <c r="L1199" s="139">
        <f>IFERROR(IF(ISNUMBER(F1199),F1199-IF(ISNUMBER(K1199),K1199,0),""),"")</f>
        <v/>
      </c>
    </row>
    <row r="1200" ht="24" customHeight="1" s="63">
      <c r="E1200" s="139" t="n"/>
      <c r="F1200" s="139" t="n"/>
      <c r="G1200" s="140">
        <f>IFERROR(IF(E1200&gt;0,(F1200/E1200)*1000,""),"")</f>
        <v/>
      </c>
      <c r="H1200" s="139">
        <f>IFERROR(IF(E1200&gt;0,E1200*IF(ISNUMBER(J1200),J1200,IF(OR(C1200="Alpha",B1200="Alpha"),$C$7,IF(C1200="Futures",$C$6,$C$5))),""),"")</f>
        <v/>
      </c>
      <c r="I1200" s="139">
        <f>IFERROR(IF(AND(ISNUMBER(F1200),ISNUMBER(H1200)),F1200-H1200,""),"")</f>
        <v/>
      </c>
      <c r="J1200" s="114" t="n"/>
      <c r="K1200" s="139">
        <f>IFERROR(IF(H1200&gt;0,H1200*IF(OR(C1200="Alpha",B1200="Alpha"),$C$9,$C$8),""),"")</f>
        <v/>
      </c>
      <c r="L1200" s="139">
        <f>IFERROR(IF(ISNUMBER(F1200),F1200-IF(ISNUMBER(K1200),K1200,0),""),"")</f>
        <v/>
      </c>
    </row>
    <row r="1201" ht="24" customHeight="1" s="63">
      <c r="E1201" s="139" t="n"/>
      <c r="F1201" s="139" t="n"/>
      <c r="G1201" s="140">
        <f>IFERROR(IF(E1201&gt;0,(F1201/E1201)*1000,""),"")</f>
        <v/>
      </c>
      <c r="H1201" s="139">
        <f>IFERROR(IF(E1201&gt;0,E1201*IF(ISNUMBER(J1201),J1201,IF(OR(C1201="Alpha",B1201="Alpha"),$C$7,IF(C1201="Futures",$C$6,$C$5))),""),"")</f>
        <v/>
      </c>
      <c r="I1201" s="139">
        <f>IFERROR(IF(AND(ISNUMBER(F1201),ISNUMBER(H1201)),F1201-H1201,""),"")</f>
        <v/>
      </c>
      <c r="J1201" s="114" t="n"/>
      <c r="K1201" s="139">
        <f>IFERROR(IF(H1201&gt;0,H1201*IF(OR(C1201="Alpha",B1201="Alpha"),$C$9,$C$8),""),"")</f>
        <v/>
      </c>
      <c r="L1201" s="139">
        <f>IFERROR(IF(ISNUMBER(F1201),F1201-IF(ISNUMBER(K1201),K1201,0),""),"")</f>
        <v/>
      </c>
    </row>
    <row r="1202" ht="24" customHeight="1" s="63">
      <c r="E1202" s="139" t="n"/>
      <c r="F1202" s="139" t="n"/>
      <c r="G1202" s="140">
        <f>IFERROR(IF(E1202&gt;0,(F1202/E1202)*1000,""),"")</f>
        <v/>
      </c>
      <c r="H1202" s="139">
        <f>IFERROR(IF(E1202&gt;0,E1202*IF(ISNUMBER(J1202),J1202,IF(OR(C1202="Alpha",B1202="Alpha"),$C$7,IF(C1202="Futures",$C$6,$C$5))),""),"")</f>
        <v/>
      </c>
      <c r="I1202" s="139">
        <f>IFERROR(IF(AND(ISNUMBER(F1202),ISNUMBER(H1202)),F1202-H1202,""),"")</f>
        <v/>
      </c>
      <c r="J1202" s="114" t="n"/>
      <c r="K1202" s="139">
        <f>IFERROR(IF(H1202&gt;0,H1202*IF(OR(C1202="Alpha",B1202="Alpha"),$C$9,$C$8),""),"")</f>
        <v/>
      </c>
      <c r="L1202" s="139">
        <f>IFERROR(IF(ISNUMBER(F1202),F1202-IF(ISNUMBER(K1202),K1202,0),""),"")</f>
        <v/>
      </c>
    </row>
    <row r="1203" ht="24" customHeight="1" s="63">
      <c r="E1203" s="139" t="n"/>
      <c r="F1203" s="139" t="n"/>
      <c r="G1203" s="140">
        <f>IFERROR(IF(E1203&gt;0,(F1203/E1203)*1000,""),"")</f>
        <v/>
      </c>
      <c r="H1203" s="139">
        <f>IFERROR(IF(E1203&gt;0,E1203*IF(ISNUMBER(J1203),J1203,IF(OR(C1203="Alpha",B1203="Alpha"),$C$7,IF(C1203="Futures",$C$6,$C$5))),""),"")</f>
        <v/>
      </c>
      <c r="I1203" s="139">
        <f>IFERROR(IF(AND(ISNUMBER(F1203),ISNUMBER(H1203)),F1203-H1203,""),"")</f>
        <v/>
      </c>
      <c r="J1203" s="114" t="n"/>
      <c r="K1203" s="139">
        <f>IFERROR(IF(H1203&gt;0,H1203*IF(OR(C1203="Alpha",B1203="Alpha"),$C$9,$C$8),""),"")</f>
        <v/>
      </c>
      <c r="L1203" s="139">
        <f>IFERROR(IF(ISNUMBER(F1203),F1203-IF(ISNUMBER(K1203),K1203,0),""),"")</f>
        <v/>
      </c>
    </row>
    <row r="1204" ht="24" customHeight="1" s="63">
      <c r="E1204" s="139" t="n"/>
      <c r="F1204" s="139" t="n"/>
      <c r="G1204" s="140">
        <f>IFERROR(IF(E1204&gt;0,(F1204/E1204)*1000,""),"")</f>
        <v/>
      </c>
      <c r="H1204" s="139">
        <f>IFERROR(IF(E1204&gt;0,E1204*IF(ISNUMBER(J1204),J1204,IF(OR(C1204="Alpha",B1204="Alpha"),$C$7,IF(C1204="Futures",$C$6,$C$5))),""),"")</f>
        <v/>
      </c>
      <c r="I1204" s="139">
        <f>IFERROR(IF(AND(ISNUMBER(F1204),ISNUMBER(H1204)),F1204-H1204,""),"")</f>
        <v/>
      </c>
      <c r="J1204" s="114" t="n"/>
      <c r="K1204" s="139">
        <f>IFERROR(IF(H1204&gt;0,H1204*IF(OR(C1204="Alpha",B1204="Alpha"),$C$9,$C$8),""),"")</f>
        <v/>
      </c>
      <c r="L1204" s="139">
        <f>IFERROR(IF(ISNUMBER(F1204),F1204-IF(ISNUMBER(K1204),K1204,0),""),"")</f>
        <v/>
      </c>
    </row>
    <row r="1205" ht="24" customHeight="1" s="63">
      <c r="E1205" s="139" t="n"/>
      <c r="F1205" s="139" t="n"/>
      <c r="G1205" s="140">
        <f>IFERROR(IF(E1205&gt;0,(F1205/E1205)*1000,""),"")</f>
        <v/>
      </c>
      <c r="H1205" s="139">
        <f>IFERROR(IF(E1205&gt;0,E1205*IF(ISNUMBER(J1205),J1205,IF(OR(C1205="Alpha",B1205="Alpha"),$C$7,IF(C1205="Futures",$C$6,$C$5))),""),"")</f>
        <v/>
      </c>
      <c r="I1205" s="139">
        <f>IFERROR(IF(AND(ISNUMBER(F1205),ISNUMBER(H1205)),F1205-H1205,""),"")</f>
        <v/>
      </c>
      <c r="J1205" s="114" t="n"/>
      <c r="K1205" s="139">
        <f>IFERROR(IF(H1205&gt;0,H1205*IF(OR(C1205="Alpha",B1205="Alpha"),$C$9,$C$8),""),"")</f>
        <v/>
      </c>
      <c r="L1205" s="139">
        <f>IFERROR(IF(ISNUMBER(F1205),F1205-IF(ISNUMBER(K1205),K1205,0),""),"")</f>
        <v/>
      </c>
    </row>
    <row r="1206" ht="24" customHeight="1" s="63">
      <c r="E1206" s="139" t="n"/>
      <c r="F1206" s="139" t="n"/>
      <c r="G1206" s="140">
        <f>IFERROR(IF(E1206&gt;0,(F1206/E1206)*1000,""),"")</f>
        <v/>
      </c>
      <c r="H1206" s="139">
        <f>IFERROR(IF(E1206&gt;0,E1206*IF(ISNUMBER(J1206),J1206,IF(OR(C1206="Alpha",B1206="Alpha"),$C$7,IF(C1206="Futures",$C$6,$C$5))),""),"")</f>
        <v/>
      </c>
      <c r="I1206" s="139">
        <f>IFERROR(IF(AND(ISNUMBER(F1206),ISNUMBER(H1206)),F1206-H1206,""),"")</f>
        <v/>
      </c>
      <c r="J1206" s="114" t="n"/>
      <c r="K1206" s="139">
        <f>IFERROR(IF(H1206&gt;0,H1206*IF(OR(C1206="Alpha",B1206="Alpha"),$C$9,$C$8),""),"")</f>
        <v/>
      </c>
      <c r="L1206" s="139">
        <f>IFERROR(IF(ISNUMBER(F1206),F1206-IF(ISNUMBER(K1206),K1206,0),""),"")</f>
        <v/>
      </c>
    </row>
    <row r="1207" ht="24" customHeight="1" s="63">
      <c r="E1207" s="139" t="n"/>
      <c r="F1207" s="139" t="n"/>
      <c r="G1207" s="140">
        <f>IFERROR(IF(E1207&gt;0,(F1207/E1207)*1000,""),"")</f>
        <v/>
      </c>
      <c r="H1207" s="139">
        <f>IFERROR(IF(E1207&gt;0,E1207*IF(ISNUMBER(J1207),J1207,IF(OR(C1207="Alpha",B1207="Alpha"),$C$7,IF(C1207="Futures",$C$6,$C$5))),""),"")</f>
        <v/>
      </c>
      <c r="I1207" s="139">
        <f>IFERROR(IF(AND(ISNUMBER(F1207),ISNUMBER(H1207)),F1207-H1207,""),"")</f>
        <v/>
      </c>
      <c r="J1207" s="114" t="n"/>
      <c r="K1207" s="139">
        <f>IFERROR(IF(H1207&gt;0,H1207*IF(OR(C1207="Alpha",B1207="Alpha"),$C$9,$C$8),""),"")</f>
        <v/>
      </c>
      <c r="L1207" s="139">
        <f>IFERROR(IF(ISNUMBER(F1207),F1207-IF(ISNUMBER(K1207),K1207,0),""),"")</f>
        <v/>
      </c>
    </row>
    <row r="1208" ht="24" customHeight="1" s="63">
      <c r="E1208" s="139" t="n"/>
      <c r="F1208" s="139" t="n"/>
      <c r="G1208" s="140">
        <f>IFERROR(IF(E1208&gt;0,(F1208/E1208)*1000,""),"")</f>
        <v/>
      </c>
      <c r="H1208" s="139">
        <f>IFERROR(IF(E1208&gt;0,E1208*IF(ISNUMBER(J1208),J1208,IF(OR(C1208="Alpha",B1208="Alpha"),$C$7,IF(C1208="Futures",$C$6,$C$5))),""),"")</f>
        <v/>
      </c>
      <c r="I1208" s="139">
        <f>IFERROR(IF(AND(ISNUMBER(F1208),ISNUMBER(H1208)),F1208-H1208,""),"")</f>
        <v/>
      </c>
      <c r="J1208" s="114" t="n"/>
      <c r="K1208" s="139">
        <f>IFERROR(IF(H1208&gt;0,H1208*IF(OR(C1208="Alpha",B1208="Alpha"),$C$9,$C$8),""),"")</f>
        <v/>
      </c>
      <c r="L1208" s="139">
        <f>IFERROR(IF(ISNUMBER(F1208),F1208-IF(ISNUMBER(K1208),K1208,0),""),"")</f>
        <v/>
      </c>
    </row>
    <row r="1209" ht="24" customHeight="1" s="63">
      <c r="E1209" s="139" t="n"/>
      <c r="F1209" s="139" t="n"/>
      <c r="G1209" s="140">
        <f>IFERROR(IF(E1209&gt;0,(F1209/E1209)*1000,""),"")</f>
        <v/>
      </c>
      <c r="H1209" s="139">
        <f>IFERROR(IF(E1209&gt;0,E1209*IF(ISNUMBER(J1209),J1209,IF(OR(C1209="Alpha",B1209="Alpha"),$C$7,IF(C1209="Futures",$C$6,$C$5))),""),"")</f>
        <v/>
      </c>
      <c r="I1209" s="139">
        <f>IFERROR(IF(AND(ISNUMBER(F1209),ISNUMBER(H1209)),F1209-H1209,""),"")</f>
        <v/>
      </c>
      <c r="J1209" s="114" t="n"/>
      <c r="K1209" s="139">
        <f>IFERROR(IF(H1209&gt;0,H1209*IF(OR(C1209="Alpha",B1209="Alpha"),$C$9,$C$8),""),"")</f>
        <v/>
      </c>
      <c r="L1209" s="139">
        <f>IFERROR(IF(ISNUMBER(F1209),F1209-IF(ISNUMBER(K1209),K1209,0),""),"")</f>
        <v/>
      </c>
    </row>
    <row r="1210" ht="24" customHeight="1" s="63">
      <c r="E1210" s="139" t="n"/>
      <c r="F1210" s="139" t="n"/>
      <c r="G1210" s="140">
        <f>IFERROR(IF(E1210&gt;0,(F1210/E1210)*1000,""),"")</f>
        <v/>
      </c>
      <c r="H1210" s="139">
        <f>IFERROR(IF(E1210&gt;0,E1210*IF(ISNUMBER(J1210),J1210,IF(OR(C1210="Alpha",B1210="Alpha"),$C$7,IF(C1210="Futures",$C$6,$C$5))),""),"")</f>
        <v/>
      </c>
      <c r="I1210" s="139">
        <f>IFERROR(IF(AND(ISNUMBER(F1210),ISNUMBER(H1210)),F1210-H1210,""),"")</f>
        <v/>
      </c>
      <c r="J1210" s="114" t="n"/>
      <c r="K1210" s="139">
        <f>IFERROR(IF(H1210&gt;0,H1210*IF(OR(C1210="Alpha",B1210="Alpha"),$C$9,$C$8),""),"")</f>
        <v/>
      </c>
      <c r="L1210" s="139">
        <f>IFERROR(IF(ISNUMBER(F1210),F1210-IF(ISNUMBER(K1210),K1210,0),""),"")</f>
        <v/>
      </c>
    </row>
    <row r="1211" ht="24" customHeight="1" s="63">
      <c r="E1211" s="139" t="n"/>
      <c r="F1211" s="139" t="n"/>
      <c r="G1211" s="140">
        <f>IFERROR(IF(E1211&gt;0,(F1211/E1211)*1000,""),"")</f>
        <v/>
      </c>
      <c r="H1211" s="139">
        <f>IFERROR(IF(E1211&gt;0,E1211*IF(ISNUMBER(J1211),J1211,IF(OR(C1211="Alpha",B1211="Alpha"),$C$7,IF(C1211="Futures",$C$6,$C$5))),""),"")</f>
        <v/>
      </c>
      <c r="I1211" s="139">
        <f>IFERROR(IF(AND(ISNUMBER(F1211),ISNUMBER(H1211)),F1211-H1211,""),"")</f>
        <v/>
      </c>
      <c r="J1211" s="114" t="n"/>
      <c r="K1211" s="139">
        <f>IFERROR(IF(H1211&gt;0,H1211*IF(OR(C1211="Alpha",B1211="Alpha"),$C$9,$C$8),""),"")</f>
        <v/>
      </c>
      <c r="L1211" s="139">
        <f>IFERROR(IF(ISNUMBER(F1211),F1211-IF(ISNUMBER(K1211),K1211,0),""),"")</f>
        <v/>
      </c>
    </row>
    <row r="1212" ht="24" customHeight="1" s="63">
      <c r="E1212" s="139" t="n"/>
      <c r="F1212" s="139" t="n"/>
      <c r="G1212" s="140">
        <f>IFERROR(IF(E1212&gt;0,(F1212/E1212)*1000,""),"")</f>
        <v/>
      </c>
      <c r="H1212" s="139">
        <f>IFERROR(IF(E1212&gt;0,E1212*IF(ISNUMBER(J1212),J1212,IF(OR(C1212="Alpha",B1212="Alpha"),$C$7,IF(C1212="Futures",$C$6,$C$5))),""),"")</f>
        <v/>
      </c>
      <c r="I1212" s="139">
        <f>IFERROR(IF(AND(ISNUMBER(F1212),ISNUMBER(H1212)),F1212-H1212,""),"")</f>
        <v/>
      </c>
      <c r="J1212" s="114" t="n"/>
      <c r="K1212" s="139">
        <f>IFERROR(IF(H1212&gt;0,H1212*IF(OR(C1212="Alpha",B1212="Alpha"),$C$9,$C$8),""),"")</f>
        <v/>
      </c>
      <c r="L1212" s="139">
        <f>IFERROR(IF(ISNUMBER(F1212),F1212-IF(ISNUMBER(K1212),K1212,0),""),"")</f>
        <v/>
      </c>
    </row>
    <row r="1213" ht="24" customHeight="1" s="63">
      <c r="E1213" s="139" t="n"/>
      <c r="F1213" s="139" t="n"/>
      <c r="G1213" s="140">
        <f>IFERROR(IF(E1213&gt;0,(F1213/E1213)*1000,""),"")</f>
        <v/>
      </c>
      <c r="H1213" s="139">
        <f>IFERROR(IF(E1213&gt;0,E1213*IF(ISNUMBER(J1213),J1213,IF(OR(C1213="Alpha",B1213="Alpha"),$C$7,IF(C1213="Futures",$C$6,$C$5))),""),"")</f>
        <v/>
      </c>
      <c r="I1213" s="139">
        <f>IFERROR(IF(AND(ISNUMBER(F1213),ISNUMBER(H1213)),F1213-H1213,""),"")</f>
        <v/>
      </c>
      <c r="J1213" s="114" t="n"/>
      <c r="K1213" s="139">
        <f>IFERROR(IF(H1213&gt;0,H1213*IF(OR(C1213="Alpha",B1213="Alpha"),$C$9,$C$8),""),"")</f>
        <v/>
      </c>
      <c r="L1213" s="139">
        <f>IFERROR(IF(ISNUMBER(F1213),F1213-IF(ISNUMBER(K1213),K1213,0),""),"")</f>
        <v/>
      </c>
    </row>
    <row r="1214" ht="24" customHeight="1" s="63">
      <c r="E1214" s="139" t="n"/>
      <c r="F1214" s="139" t="n"/>
      <c r="G1214" s="140">
        <f>IFERROR(IF(E1214&gt;0,(F1214/E1214)*1000,""),"")</f>
        <v/>
      </c>
      <c r="H1214" s="139">
        <f>IFERROR(IF(E1214&gt;0,E1214*IF(ISNUMBER(J1214),J1214,IF(OR(C1214="Alpha",B1214="Alpha"),$C$7,IF(C1214="Futures",$C$6,$C$5))),""),"")</f>
        <v/>
      </c>
      <c r="I1214" s="139">
        <f>IFERROR(IF(AND(ISNUMBER(F1214),ISNUMBER(H1214)),F1214-H1214,""),"")</f>
        <v/>
      </c>
      <c r="J1214" s="114" t="n"/>
      <c r="K1214" s="139">
        <f>IFERROR(IF(H1214&gt;0,H1214*IF(OR(C1214="Alpha",B1214="Alpha"),$C$9,$C$8),""),"")</f>
        <v/>
      </c>
      <c r="L1214" s="139">
        <f>IFERROR(IF(ISNUMBER(F1214),F1214-IF(ISNUMBER(K1214),K1214,0),""),"")</f>
        <v/>
      </c>
    </row>
    <row r="1215" ht="24" customHeight="1" s="63">
      <c r="E1215" s="139" t="n"/>
      <c r="F1215" s="139" t="n"/>
      <c r="G1215" s="140">
        <f>IFERROR(IF(E1215&gt;0,(F1215/E1215)*1000,""),"")</f>
        <v/>
      </c>
      <c r="H1215" s="139">
        <f>IFERROR(IF(E1215&gt;0,E1215*IF(ISNUMBER(J1215),J1215,IF(OR(C1215="Alpha",B1215="Alpha"),$C$7,IF(C1215="Futures",$C$6,$C$5))),""),"")</f>
        <v/>
      </c>
      <c r="I1215" s="139">
        <f>IFERROR(IF(AND(ISNUMBER(F1215),ISNUMBER(H1215)),F1215-H1215,""),"")</f>
        <v/>
      </c>
      <c r="J1215" s="114" t="n"/>
      <c r="K1215" s="139">
        <f>IFERROR(IF(H1215&gt;0,H1215*IF(OR(C1215="Alpha",B1215="Alpha"),$C$9,$C$8),""),"")</f>
        <v/>
      </c>
      <c r="L1215" s="139">
        <f>IFERROR(IF(ISNUMBER(F1215),F1215-IF(ISNUMBER(K1215),K1215,0),""),"")</f>
        <v/>
      </c>
    </row>
    <row r="1216" ht="24" customHeight="1" s="63">
      <c r="E1216" s="139" t="n"/>
      <c r="F1216" s="139" t="n"/>
      <c r="G1216" s="140">
        <f>IFERROR(IF(E1216&gt;0,(F1216/E1216)*1000,""),"")</f>
        <v/>
      </c>
      <c r="H1216" s="139">
        <f>IFERROR(IF(E1216&gt;0,E1216*IF(ISNUMBER(J1216),J1216,IF(OR(C1216="Alpha",B1216="Alpha"),$C$7,IF(C1216="Futures",$C$6,$C$5))),""),"")</f>
        <v/>
      </c>
      <c r="I1216" s="139">
        <f>IFERROR(IF(AND(ISNUMBER(F1216),ISNUMBER(H1216)),F1216-H1216,""),"")</f>
        <v/>
      </c>
      <c r="J1216" s="114" t="n"/>
      <c r="K1216" s="139">
        <f>IFERROR(IF(H1216&gt;0,H1216*IF(OR(C1216="Alpha",B1216="Alpha"),$C$9,$C$8),""),"")</f>
        <v/>
      </c>
      <c r="L1216" s="139">
        <f>IFERROR(IF(ISNUMBER(F1216),F1216-IF(ISNUMBER(K1216),K1216,0),""),"")</f>
        <v/>
      </c>
    </row>
    <row r="1217" ht="24" customHeight="1" s="63">
      <c r="E1217" s="139" t="n"/>
      <c r="F1217" s="139" t="n"/>
      <c r="G1217" s="140">
        <f>IFERROR(IF(E1217&gt;0,(F1217/E1217)*1000,""),"")</f>
        <v/>
      </c>
      <c r="H1217" s="139">
        <f>IFERROR(IF(E1217&gt;0,E1217*IF(ISNUMBER(J1217),J1217,IF(OR(C1217="Alpha",B1217="Alpha"),$C$7,IF(C1217="Futures",$C$6,$C$5))),""),"")</f>
        <v/>
      </c>
      <c r="I1217" s="139">
        <f>IFERROR(IF(AND(ISNUMBER(F1217),ISNUMBER(H1217)),F1217-H1217,""),"")</f>
        <v/>
      </c>
      <c r="J1217" s="114" t="n"/>
      <c r="K1217" s="139">
        <f>IFERROR(IF(H1217&gt;0,H1217*IF(OR(C1217="Alpha",B1217="Alpha"),$C$9,$C$8),""),"")</f>
        <v/>
      </c>
      <c r="L1217" s="139">
        <f>IFERROR(IF(ISNUMBER(F1217),F1217-IF(ISNUMBER(K1217),K1217,0),""),"")</f>
        <v/>
      </c>
    </row>
    <row r="1218" ht="24" customHeight="1" s="63">
      <c r="E1218" s="139" t="n"/>
      <c r="F1218" s="139" t="n"/>
      <c r="G1218" s="140">
        <f>IFERROR(IF(E1218&gt;0,(F1218/E1218)*1000,""),"")</f>
        <v/>
      </c>
      <c r="H1218" s="139">
        <f>IFERROR(IF(E1218&gt;0,E1218*IF(ISNUMBER(J1218),J1218,IF(OR(C1218="Alpha",B1218="Alpha"),$C$7,IF(C1218="Futures",$C$6,$C$5))),""),"")</f>
        <v/>
      </c>
      <c r="I1218" s="139">
        <f>IFERROR(IF(AND(ISNUMBER(F1218),ISNUMBER(H1218)),F1218-H1218,""),"")</f>
        <v/>
      </c>
      <c r="J1218" s="114" t="n"/>
      <c r="K1218" s="139">
        <f>IFERROR(IF(H1218&gt;0,H1218*IF(OR(C1218="Alpha",B1218="Alpha"),$C$9,$C$8),""),"")</f>
        <v/>
      </c>
      <c r="L1218" s="139">
        <f>IFERROR(IF(ISNUMBER(F1218),F1218-IF(ISNUMBER(K1218),K1218,0),""),"")</f>
        <v/>
      </c>
    </row>
    <row r="1219" ht="24" customHeight="1" s="63">
      <c r="E1219" s="139" t="n"/>
      <c r="F1219" s="139" t="n"/>
      <c r="G1219" s="140">
        <f>IFERROR(IF(E1219&gt;0,(F1219/E1219)*1000,""),"")</f>
        <v/>
      </c>
      <c r="H1219" s="139">
        <f>IFERROR(IF(E1219&gt;0,E1219*IF(ISNUMBER(J1219),J1219,IF(OR(C1219="Alpha",B1219="Alpha"),$C$7,IF(C1219="Futures",$C$6,$C$5))),""),"")</f>
        <v/>
      </c>
      <c r="I1219" s="139">
        <f>IFERROR(IF(AND(ISNUMBER(F1219),ISNUMBER(H1219)),F1219-H1219,""),"")</f>
        <v/>
      </c>
      <c r="J1219" s="114" t="n"/>
      <c r="K1219" s="139">
        <f>IFERROR(IF(H1219&gt;0,H1219*IF(OR(C1219="Alpha",B1219="Alpha"),$C$9,$C$8),""),"")</f>
        <v/>
      </c>
      <c r="L1219" s="139">
        <f>IFERROR(IF(ISNUMBER(F1219),F1219-IF(ISNUMBER(K1219),K1219,0),""),"")</f>
        <v/>
      </c>
    </row>
    <row r="1220" ht="24" customHeight="1" s="63">
      <c r="E1220" s="139" t="n"/>
      <c r="F1220" s="139" t="n"/>
      <c r="G1220" s="140">
        <f>IFERROR(IF(E1220&gt;0,(F1220/E1220)*1000,""),"")</f>
        <v/>
      </c>
      <c r="H1220" s="139">
        <f>IFERROR(IF(E1220&gt;0,E1220*IF(ISNUMBER(J1220),J1220,IF(OR(C1220="Alpha",B1220="Alpha"),$C$7,IF(C1220="Futures",$C$6,$C$5))),""),"")</f>
        <v/>
      </c>
      <c r="I1220" s="139">
        <f>IFERROR(IF(AND(ISNUMBER(F1220),ISNUMBER(H1220)),F1220-H1220,""),"")</f>
        <v/>
      </c>
      <c r="J1220" s="114" t="n"/>
      <c r="K1220" s="139">
        <f>IFERROR(IF(H1220&gt;0,H1220*IF(OR(C1220="Alpha",B1220="Alpha"),$C$9,$C$8),""),"")</f>
        <v/>
      </c>
      <c r="L1220" s="139">
        <f>IFERROR(IF(ISNUMBER(F1220),F1220-IF(ISNUMBER(K1220),K1220,0),""),"")</f>
        <v/>
      </c>
    </row>
    <row r="1221" ht="24" customHeight="1" s="63">
      <c r="E1221" s="139" t="n"/>
      <c r="F1221" s="139" t="n"/>
      <c r="G1221" s="140">
        <f>IFERROR(IF(E1221&gt;0,(F1221/E1221)*1000,""),"")</f>
        <v/>
      </c>
      <c r="H1221" s="139">
        <f>IFERROR(IF(E1221&gt;0,E1221*IF(ISNUMBER(J1221),J1221,IF(OR(C1221="Alpha",B1221="Alpha"),$C$7,IF(C1221="Futures",$C$6,$C$5))),""),"")</f>
        <v/>
      </c>
      <c r="I1221" s="139">
        <f>IFERROR(IF(AND(ISNUMBER(F1221),ISNUMBER(H1221)),F1221-H1221,""),"")</f>
        <v/>
      </c>
      <c r="J1221" s="114" t="n"/>
      <c r="K1221" s="139">
        <f>IFERROR(IF(H1221&gt;0,H1221*IF(OR(C1221="Alpha",B1221="Alpha"),$C$9,$C$8),""),"")</f>
        <v/>
      </c>
      <c r="L1221" s="139">
        <f>IFERROR(IF(ISNUMBER(F1221),F1221-IF(ISNUMBER(K1221),K1221,0),""),"")</f>
        <v/>
      </c>
    </row>
    <row r="1222" ht="24" customHeight="1" s="63">
      <c r="E1222" s="139" t="n"/>
      <c r="F1222" s="139" t="n"/>
      <c r="G1222" s="140">
        <f>IFERROR(IF(E1222&gt;0,(F1222/E1222)*1000,""),"")</f>
        <v/>
      </c>
      <c r="H1222" s="139">
        <f>IFERROR(IF(E1222&gt;0,E1222*IF(ISNUMBER(J1222),J1222,IF(OR(C1222="Alpha",B1222="Alpha"),$C$7,IF(C1222="Futures",$C$6,$C$5))),""),"")</f>
        <v/>
      </c>
      <c r="I1222" s="139">
        <f>IFERROR(IF(AND(ISNUMBER(F1222),ISNUMBER(H1222)),F1222-H1222,""),"")</f>
        <v/>
      </c>
      <c r="J1222" s="114" t="n"/>
      <c r="K1222" s="139">
        <f>IFERROR(IF(H1222&gt;0,H1222*IF(OR(C1222="Alpha",B1222="Alpha"),$C$9,$C$8),""),"")</f>
        <v/>
      </c>
      <c r="L1222" s="139">
        <f>IFERROR(IF(ISNUMBER(F1222),F1222-IF(ISNUMBER(K1222),K1222,0),""),"")</f>
        <v/>
      </c>
    </row>
    <row r="1223" ht="24" customHeight="1" s="63">
      <c r="E1223" s="139" t="n"/>
      <c r="F1223" s="139" t="n"/>
      <c r="G1223" s="140">
        <f>IFERROR(IF(E1223&gt;0,(F1223/E1223)*1000,""),"")</f>
        <v/>
      </c>
      <c r="H1223" s="139">
        <f>IFERROR(IF(E1223&gt;0,E1223*IF(ISNUMBER(J1223),J1223,IF(OR(C1223="Alpha",B1223="Alpha"),$C$7,IF(C1223="Futures",$C$6,$C$5))),""),"")</f>
        <v/>
      </c>
      <c r="I1223" s="139">
        <f>IFERROR(IF(AND(ISNUMBER(F1223),ISNUMBER(H1223)),F1223-H1223,""),"")</f>
        <v/>
      </c>
      <c r="J1223" s="114" t="n"/>
      <c r="K1223" s="139">
        <f>IFERROR(IF(H1223&gt;0,H1223*IF(OR(C1223="Alpha",B1223="Alpha"),$C$9,$C$8),""),"")</f>
        <v/>
      </c>
      <c r="L1223" s="139">
        <f>IFERROR(IF(ISNUMBER(F1223),F1223-IF(ISNUMBER(K1223),K1223,0),""),"")</f>
        <v/>
      </c>
    </row>
    <row r="1224" ht="24" customHeight="1" s="63">
      <c r="E1224" s="139" t="n"/>
      <c r="F1224" s="139" t="n"/>
      <c r="G1224" s="140">
        <f>IFERROR(IF(E1224&gt;0,(F1224/E1224)*1000,""),"")</f>
        <v/>
      </c>
      <c r="H1224" s="139">
        <f>IFERROR(IF(E1224&gt;0,E1224*IF(ISNUMBER(J1224),J1224,IF(OR(C1224="Alpha",B1224="Alpha"),$C$7,IF(C1224="Futures",$C$6,$C$5))),""),"")</f>
        <v/>
      </c>
      <c r="I1224" s="139">
        <f>IFERROR(IF(AND(ISNUMBER(F1224),ISNUMBER(H1224)),F1224-H1224,""),"")</f>
        <v/>
      </c>
      <c r="J1224" s="114" t="n"/>
      <c r="K1224" s="139">
        <f>IFERROR(IF(H1224&gt;0,H1224*IF(OR(C1224="Alpha",B1224="Alpha"),$C$9,$C$8),""),"")</f>
        <v/>
      </c>
      <c r="L1224" s="139">
        <f>IFERROR(IF(ISNUMBER(F1224),F1224-IF(ISNUMBER(K1224),K1224,0),""),"")</f>
        <v/>
      </c>
    </row>
    <row r="1225" ht="24" customHeight="1" s="63">
      <c r="E1225" s="139" t="n"/>
      <c r="F1225" s="139" t="n"/>
      <c r="G1225" s="140">
        <f>IFERROR(IF(E1225&gt;0,(F1225/E1225)*1000,""),"")</f>
        <v/>
      </c>
      <c r="H1225" s="139">
        <f>IFERROR(IF(E1225&gt;0,E1225*IF(ISNUMBER(J1225),J1225,IF(OR(C1225="Alpha",B1225="Alpha"),$C$7,IF(C1225="Futures",$C$6,$C$5))),""),"")</f>
        <v/>
      </c>
      <c r="I1225" s="139">
        <f>IFERROR(IF(AND(ISNUMBER(F1225),ISNUMBER(H1225)),F1225-H1225,""),"")</f>
        <v/>
      </c>
      <c r="J1225" s="114" t="n"/>
      <c r="K1225" s="139">
        <f>IFERROR(IF(H1225&gt;0,H1225*IF(OR(C1225="Alpha",B1225="Alpha"),$C$9,$C$8),""),"")</f>
        <v/>
      </c>
      <c r="L1225" s="139">
        <f>IFERROR(IF(ISNUMBER(F1225),F1225-IF(ISNUMBER(K1225),K1225,0),""),"")</f>
        <v/>
      </c>
    </row>
    <row r="1226" ht="24" customHeight="1" s="63">
      <c r="E1226" s="139" t="n"/>
      <c r="F1226" s="139" t="n"/>
      <c r="G1226" s="140">
        <f>IFERROR(IF(E1226&gt;0,(F1226/E1226)*1000,""),"")</f>
        <v/>
      </c>
      <c r="H1226" s="139">
        <f>IFERROR(IF(E1226&gt;0,E1226*IF(ISNUMBER(J1226),J1226,IF(OR(C1226="Alpha",B1226="Alpha"),$C$7,IF(C1226="Futures",$C$6,$C$5))),""),"")</f>
        <v/>
      </c>
      <c r="I1226" s="139">
        <f>IFERROR(IF(AND(ISNUMBER(F1226),ISNUMBER(H1226)),F1226-H1226,""),"")</f>
        <v/>
      </c>
      <c r="J1226" s="114" t="n"/>
      <c r="K1226" s="139">
        <f>IFERROR(IF(H1226&gt;0,H1226*IF(OR(C1226="Alpha",B1226="Alpha"),$C$9,$C$8),""),"")</f>
        <v/>
      </c>
      <c r="L1226" s="139">
        <f>IFERROR(IF(ISNUMBER(F1226),F1226-IF(ISNUMBER(K1226),K1226,0),""),"")</f>
        <v/>
      </c>
    </row>
    <row r="1227" ht="24" customHeight="1" s="63">
      <c r="E1227" s="139" t="n"/>
      <c r="F1227" s="139" t="n"/>
      <c r="G1227" s="140">
        <f>IFERROR(IF(E1227&gt;0,(F1227/E1227)*1000,""),"")</f>
        <v/>
      </c>
      <c r="H1227" s="139">
        <f>IFERROR(IF(E1227&gt;0,E1227*IF(ISNUMBER(J1227),J1227,IF(OR(C1227="Alpha",B1227="Alpha"),$C$7,IF(C1227="Futures",$C$6,$C$5))),""),"")</f>
        <v/>
      </c>
      <c r="I1227" s="139">
        <f>IFERROR(IF(AND(ISNUMBER(F1227),ISNUMBER(H1227)),F1227-H1227,""),"")</f>
        <v/>
      </c>
      <c r="J1227" s="114" t="n"/>
      <c r="K1227" s="139">
        <f>IFERROR(IF(H1227&gt;0,H1227*IF(OR(C1227="Alpha",B1227="Alpha"),$C$9,$C$8),""),"")</f>
        <v/>
      </c>
      <c r="L1227" s="139">
        <f>IFERROR(IF(ISNUMBER(F1227),F1227-IF(ISNUMBER(K1227),K1227,0),""),"")</f>
        <v/>
      </c>
    </row>
    <row r="1228" ht="24" customHeight="1" s="63">
      <c r="E1228" s="139" t="n"/>
      <c r="F1228" s="139" t="n"/>
      <c r="G1228" s="140">
        <f>IFERROR(IF(E1228&gt;0,(F1228/E1228)*1000,""),"")</f>
        <v/>
      </c>
      <c r="H1228" s="139">
        <f>IFERROR(IF(E1228&gt;0,E1228*IF(ISNUMBER(J1228),J1228,IF(OR(C1228="Alpha",B1228="Alpha"),$C$7,IF(C1228="Futures",$C$6,$C$5))),""),"")</f>
        <v/>
      </c>
      <c r="I1228" s="139">
        <f>IFERROR(IF(AND(ISNUMBER(F1228),ISNUMBER(H1228)),F1228-H1228,""),"")</f>
        <v/>
      </c>
      <c r="J1228" s="114" t="n"/>
      <c r="K1228" s="139">
        <f>IFERROR(IF(H1228&gt;0,H1228*IF(OR(C1228="Alpha",B1228="Alpha"),$C$9,$C$8),""),"")</f>
        <v/>
      </c>
      <c r="L1228" s="139">
        <f>IFERROR(IF(ISNUMBER(F1228),F1228-IF(ISNUMBER(K1228),K1228,0),""),"")</f>
        <v/>
      </c>
    </row>
    <row r="1229" ht="24" customHeight="1" s="63">
      <c r="E1229" s="139" t="n"/>
      <c r="F1229" s="139" t="n"/>
      <c r="G1229" s="140">
        <f>IFERROR(IF(E1229&gt;0,(F1229/E1229)*1000,""),"")</f>
        <v/>
      </c>
      <c r="H1229" s="139">
        <f>IFERROR(IF(E1229&gt;0,E1229*IF(ISNUMBER(J1229),J1229,IF(OR(C1229="Alpha",B1229="Alpha"),$C$7,IF(C1229="Futures",$C$6,$C$5))),""),"")</f>
        <v/>
      </c>
      <c r="I1229" s="139">
        <f>IFERROR(IF(AND(ISNUMBER(F1229),ISNUMBER(H1229)),F1229-H1229,""),"")</f>
        <v/>
      </c>
      <c r="J1229" s="114" t="n"/>
      <c r="K1229" s="139">
        <f>IFERROR(IF(H1229&gt;0,H1229*IF(OR(C1229="Alpha",B1229="Alpha"),$C$9,$C$8),""),"")</f>
        <v/>
      </c>
      <c r="L1229" s="139">
        <f>IFERROR(IF(ISNUMBER(F1229),F1229-IF(ISNUMBER(K1229),K1229,0),""),"")</f>
        <v/>
      </c>
    </row>
    <row r="1230" ht="24" customHeight="1" s="63">
      <c r="E1230" s="139" t="n"/>
      <c r="F1230" s="139" t="n"/>
      <c r="G1230" s="140">
        <f>IFERROR(IF(E1230&gt;0,(F1230/E1230)*1000,""),"")</f>
        <v/>
      </c>
      <c r="H1230" s="139">
        <f>IFERROR(IF(E1230&gt;0,E1230*IF(ISNUMBER(J1230),J1230,IF(OR(C1230="Alpha",B1230="Alpha"),$C$7,IF(C1230="Futures",$C$6,$C$5))),""),"")</f>
        <v/>
      </c>
      <c r="I1230" s="139">
        <f>IFERROR(IF(AND(ISNUMBER(F1230),ISNUMBER(H1230)),F1230-H1230,""),"")</f>
        <v/>
      </c>
      <c r="J1230" s="114" t="n"/>
      <c r="K1230" s="139">
        <f>IFERROR(IF(H1230&gt;0,H1230*IF(OR(C1230="Alpha",B1230="Alpha"),$C$9,$C$8),""),"")</f>
        <v/>
      </c>
      <c r="L1230" s="139">
        <f>IFERROR(IF(ISNUMBER(F1230),F1230-IF(ISNUMBER(K1230),K1230,0),""),"")</f>
        <v/>
      </c>
    </row>
    <row r="1231" ht="24" customHeight="1" s="63">
      <c r="E1231" s="139" t="n"/>
      <c r="F1231" s="139" t="n"/>
      <c r="G1231" s="140">
        <f>IFERROR(IF(E1231&gt;0,(F1231/E1231)*1000,""),"")</f>
        <v/>
      </c>
      <c r="H1231" s="139">
        <f>IFERROR(IF(E1231&gt;0,E1231*IF(ISNUMBER(J1231),J1231,IF(OR(C1231="Alpha",B1231="Alpha"),$C$7,IF(C1231="Futures",$C$6,$C$5))),""),"")</f>
        <v/>
      </c>
      <c r="I1231" s="139">
        <f>IFERROR(IF(AND(ISNUMBER(F1231),ISNUMBER(H1231)),F1231-H1231,""),"")</f>
        <v/>
      </c>
      <c r="J1231" s="114" t="n"/>
      <c r="K1231" s="139">
        <f>IFERROR(IF(H1231&gt;0,H1231*IF(OR(C1231="Alpha",B1231="Alpha"),$C$9,$C$8),""),"")</f>
        <v/>
      </c>
      <c r="L1231" s="139">
        <f>IFERROR(IF(ISNUMBER(F1231),F1231-IF(ISNUMBER(K1231),K1231,0),""),"")</f>
        <v/>
      </c>
    </row>
    <row r="1232" ht="24" customHeight="1" s="63">
      <c r="E1232" s="139" t="n"/>
      <c r="F1232" s="139" t="n"/>
      <c r="G1232" s="140">
        <f>IFERROR(IF(E1232&gt;0,(F1232/E1232)*1000,""),"")</f>
        <v/>
      </c>
      <c r="H1232" s="139">
        <f>IFERROR(IF(E1232&gt;0,E1232*IF(ISNUMBER(J1232),J1232,IF(OR(C1232="Alpha",B1232="Alpha"),$C$7,IF(C1232="Futures",$C$6,$C$5))),""),"")</f>
        <v/>
      </c>
      <c r="I1232" s="139">
        <f>IFERROR(IF(AND(ISNUMBER(F1232),ISNUMBER(H1232)),F1232-H1232,""),"")</f>
        <v/>
      </c>
      <c r="J1232" s="114" t="n"/>
      <c r="K1232" s="139">
        <f>IFERROR(IF(H1232&gt;0,H1232*IF(OR(C1232="Alpha",B1232="Alpha"),$C$9,$C$8),""),"")</f>
        <v/>
      </c>
      <c r="L1232" s="139">
        <f>IFERROR(IF(ISNUMBER(F1232),F1232-IF(ISNUMBER(K1232),K1232,0),""),"")</f>
        <v/>
      </c>
    </row>
    <row r="1233" ht="24" customHeight="1" s="63">
      <c r="E1233" s="139" t="n"/>
      <c r="F1233" s="139" t="n"/>
      <c r="G1233" s="140">
        <f>IFERROR(IF(E1233&gt;0,(F1233/E1233)*1000,""),"")</f>
        <v/>
      </c>
      <c r="H1233" s="139">
        <f>IFERROR(IF(E1233&gt;0,E1233*IF(ISNUMBER(J1233),J1233,IF(OR(C1233="Alpha",B1233="Alpha"),$C$7,IF(C1233="Futures",$C$6,$C$5))),""),"")</f>
        <v/>
      </c>
      <c r="I1233" s="139">
        <f>IFERROR(IF(AND(ISNUMBER(F1233),ISNUMBER(H1233)),F1233-H1233,""),"")</f>
        <v/>
      </c>
      <c r="J1233" s="114" t="n"/>
      <c r="K1233" s="139">
        <f>IFERROR(IF(H1233&gt;0,H1233*IF(OR(C1233="Alpha",B1233="Alpha"),$C$9,$C$8),""),"")</f>
        <v/>
      </c>
      <c r="L1233" s="139">
        <f>IFERROR(IF(ISNUMBER(F1233),F1233-IF(ISNUMBER(K1233),K1233,0),""),"")</f>
        <v/>
      </c>
    </row>
    <row r="1234" ht="24" customHeight="1" s="63">
      <c r="E1234" s="139" t="n"/>
      <c r="F1234" s="139" t="n"/>
      <c r="G1234" s="140">
        <f>IFERROR(IF(E1234&gt;0,(F1234/E1234)*1000,""),"")</f>
        <v/>
      </c>
      <c r="H1234" s="139">
        <f>IFERROR(IF(E1234&gt;0,E1234*IF(ISNUMBER(J1234),J1234,IF(OR(C1234="Alpha",B1234="Alpha"),$C$7,IF(C1234="Futures",$C$6,$C$5))),""),"")</f>
        <v/>
      </c>
      <c r="I1234" s="139">
        <f>IFERROR(IF(AND(ISNUMBER(F1234),ISNUMBER(H1234)),F1234-H1234,""),"")</f>
        <v/>
      </c>
      <c r="J1234" s="114" t="n"/>
      <c r="K1234" s="139">
        <f>IFERROR(IF(H1234&gt;0,H1234*IF(OR(C1234="Alpha",B1234="Alpha"),$C$9,$C$8),""),"")</f>
        <v/>
      </c>
      <c r="L1234" s="139">
        <f>IFERROR(IF(ISNUMBER(F1234),F1234-IF(ISNUMBER(K1234),K1234,0),""),"")</f>
        <v/>
      </c>
    </row>
    <row r="1235" ht="24" customHeight="1" s="63">
      <c r="E1235" s="139" t="n"/>
      <c r="F1235" s="139" t="n"/>
      <c r="G1235" s="140">
        <f>IFERROR(IF(E1235&gt;0,(F1235/E1235)*1000,""),"")</f>
        <v/>
      </c>
      <c r="H1235" s="139">
        <f>IFERROR(IF(E1235&gt;0,E1235*IF(ISNUMBER(J1235),J1235,IF(OR(C1235="Alpha",B1235="Alpha"),$C$7,IF(C1235="Futures",$C$6,$C$5))),""),"")</f>
        <v/>
      </c>
      <c r="I1235" s="139">
        <f>IFERROR(IF(AND(ISNUMBER(F1235),ISNUMBER(H1235)),F1235-H1235,""),"")</f>
        <v/>
      </c>
      <c r="J1235" s="114" t="n"/>
      <c r="K1235" s="139">
        <f>IFERROR(IF(H1235&gt;0,H1235*IF(OR(C1235="Alpha",B1235="Alpha"),$C$9,$C$8),""),"")</f>
        <v/>
      </c>
      <c r="L1235" s="139">
        <f>IFERROR(IF(ISNUMBER(F1235),F1235-IF(ISNUMBER(K1235),K1235,0),""),"")</f>
        <v/>
      </c>
    </row>
    <row r="1236" ht="24" customHeight="1" s="63">
      <c r="E1236" s="139" t="n"/>
      <c r="F1236" s="139" t="n"/>
      <c r="G1236" s="140">
        <f>IFERROR(IF(E1236&gt;0,(F1236/E1236)*1000,""),"")</f>
        <v/>
      </c>
      <c r="H1236" s="139">
        <f>IFERROR(IF(E1236&gt;0,E1236*IF(ISNUMBER(J1236),J1236,IF(OR(C1236="Alpha",B1236="Alpha"),$C$7,IF(C1236="Futures",$C$6,$C$5))),""),"")</f>
        <v/>
      </c>
      <c r="I1236" s="139">
        <f>IFERROR(IF(AND(ISNUMBER(F1236),ISNUMBER(H1236)),F1236-H1236,""),"")</f>
        <v/>
      </c>
      <c r="J1236" s="114" t="n"/>
      <c r="K1236" s="139">
        <f>IFERROR(IF(H1236&gt;0,H1236*IF(OR(C1236="Alpha",B1236="Alpha"),$C$9,$C$8),""),"")</f>
        <v/>
      </c>
      <c r="L1236" s="139">
        <f>IFERROR(IF(ISNUMBER(F1236),F1236-IF(ISNUMBER(K1236),K1236,0),""),"")</f>
        <v/>
      </c>
    </row>
    <row r="1237" ht="24" customHeight="1" s="63">
      <c r="E1237" s="139" t="n"/>
      <c r="F1237" s="139" t="n"/>
      <c r="G1237" s="140">
        <f>IFERROR(IF(E1237&gt;0,(F1237/E1237)*1000,""),"")</f>
        <v/>
      </c>
      <c r="H1237" s="139">
        <f>IFERROR(IF(E1237&gt;0,E1237*IF(ISNUMBER(J1237),J1237,IF(OR(C1237="Alpha",B1237="Alpha"),$C$7,IF(C1237="Futures",$C$6,$C$5))),""),"")</f>
        <v/>
      </c>
      <c r="I1237" s="139">
        <f>IFERROR(IF(AND(ISNUMBER(F1237),ISNUMBER(H1237)),F1237-H1237,""),"")</f>
        <v/>
      </c>
      <c r="J1237" s="114" t="n"/>
      <c r="K1237" s="139">
        <f>IFERROR(IF(H1237&gt;0,H1237*IF(OR(C1237="Alpha",B1237="Alpha"),$C$9,$C$8),""),"")</f>
        <v/>
      </c>
      <c r="L1237" s="139">
        <f>IFERROR(IF(ISNUMBER(F1237),F1237-IF(ISNUMBER(K1237),K1237,0),""),"")</f>
        <v/>
      </c>
    </row>
    <row r="1238" ht="24" customHeight="1" s="63">
      <c r="E1238" s="139" t="n"/>
      <c r="F1238" s="139" t="n"/>
      <c r="G1238" s="140">
        <f>IFERROR(IF(E1238&gt;0,(F1238/E1238)*1000,""),"")</f>
        <v/>
      </c>
      <c r="H1238" s="139">
        <f>IFERROR(IF(E1238&gt;0,E1238*IF(ISNUMBER(J1238),J1238,IF(OR(C1238="Alpha",B1238="Alpha"),$C$7,IF(C1238="Futures",$C$6,$C$5))),""),"")</f>
        <v/>
      </c>
      <c r="I1238" s="139">
        <f>IFERROR(IF(AND(ISNUMBER(F1238),ISNUMBER(H1238)),F1238-H1238,""),"")</f>
        <v/>
      </c>
      <c r="J1238" s="114" t="n"/>
      <c r="K1238" s="139">
        <f>IFERROR(IF(H1238&gt;0,H1238*IF(OR(C1238="Alpha",B1238="Alpha"),$C$9,$C$8),""),"")</f>
        <v/>
      </c>
      <c r="L1238" s="139">
        <f>IFERROR(IF(ISNUMBER(F1238),F1238-IF(ISNUMBER(K1238),K1238,0),""),"")</f>
        <v/>
      </c>
    </row>
    <row r="1239" ht="24" customHeight="1" s="63">
      <c r="E1239" s="139" t="n"/>
      <c r="F1239" s="139" t="n"/>
      <c r="G1239" s="140">
        <f>IFERROR(IF(E1239&gt;0,(F1239/E1239)*1000,""),"")</f>
        <v/>
      </c>
      <c r="H1239" s="139">
        <f>IFERROR(IF(E1239&gt;0,E1239*IF(ISNUMBER(J1239),J1239,IF(OR(C1239="Alpha",B1239="Alpha"),$C$7,IF(C1239="Futures",$C$6,$C$5))),""),"")</f>
        <v/>
      </c>
      <c r="I1239" s="139">
        <f>IFERROR(IF(AND(ISNUMBER(F1239),ISNUMBER(H1239)),F1239-H1239,""),"")</f>
        <v/>
      </c>
      <c r="J1239" s="114" t="n"/>
      <c r="K1239" s="139">
        <f>IFERROR(IF(H1239&gt;0,H1239*IF(OR(C1239="Alpha",B1239="Alpha"),$C$9,$C$8),""),"")</f>
        <v/>
      </c>
      <c r="L1239" s="139">
        <f>IFERROR(IF(ISNUMBER(F1239),F1239-IF(ISNUMBER(K1239),K1239,0),""),"")</f>
        <v/>
      </c>
    </row>
    <row r="1240" ht="24" customHeight="1" s="63">
      <c r="E1240" s="139" t="n"/>
      <c r="F1240" s="139" t="n"/>
      <c r="G1240" s="140">
        <f>IFERROR(IF(E1240&gt;0,(F1240/E1240)*1000,""),"")</f>
        <v/>
      </c>
      <c r="H1240" s="139">
        <f>IFERROR(IF(E1240&gt;0,E1240*IF(ISNUMBER(J1240),J1240,IF(OR(C1240="Alpha",B1240="Alpha"),$C$7,IF(C1240="Futures",$C$6,$C$5))),""),"")</f>
        <v/>
      </c>
      <c r="I1240" s="139">
        <f>IFERROR(IF(AND(ISNUMBER(F1240),ISNUMBER(H1240)),F1240-H1240,""),"")</f>
        <v/>
      </c>
      <c r="J1240" s="114" t="n"/>
      <c r="K1240" s="139">
        <f>IFERROR(IF(H1240&gt;0,H1240*IF(OR(C1240="Alpha",B1240="Alpha"),$C$9,$C$8),""),"")</f>
        <v/>
      </c>
      <c r="L1240" s="139">
        <f>IFERROR(IF(ISNUMBER(F1240),F1240-IF(ISNUMBER(K1240),K1240,0),""),"")</f>
        <v/>
      </c>
    </row>
    <row r="1241" ht="24" customHeight="1" s="63">
      <c r="E1241" s="139" t="n"/>
      <c r="F1241" s="139" t="n"/>
      <c r="G1241" s="140">
        <f>IFERROR(IF(E1241&gt;0,(F1241/E1241)*1000,""),"")</f>
        <v/>
      </c>
      <c r="H1241" s="139">
        <f>IFERROR(IF(E1241&gt;0,E1241*IF(ISNUMBER(J1241),J1241,IF(OR(C1241="Alpha",B1241="Alpha"),$C$7,IF(C1241="Futures",$C$6,$C$5))),""),"")</f>
        <v/>
      </c>
      <c r="I1241" s="139">
        <f>IFERROR(IF(AND(ISNUMBER(F1241),ISNUMBER(H1241)),F1241-H1241,""),"")</f>
        <v/>
      </c>
      <c r="J1241" s="114" t="n"/>
      <c r="K1241" s="139">
        <f>IFERROR(IF(H1241&gt;0,H1241*IF(OR(C1241="Alpha",B1241="Alpha"),$C$9,$C$8),""),"")</f>
        <v/>
      </c>
      <c r="L1241" s="139">
        <f>IFERROR(IF(ISNUMBER(F1241),F1241-IF(ISNUMBER(K1241),K1241,0),""),"")</f>
        <v/>
      </c>
    </row>
    <row r="1242" ht="24" customHeight="1" s="63">
      <c r="E1242" s="139" t="n"/>
      <c r="F1242" s="139" t="n"/>
      <c r="G1242" s="140">
        <f>IFERROR(IF(E1242&gt;0,(F1242/E1242)*1000,""),"")</f>
        <v/>
      </c>
      <c r="H1242" s="139">
        <f>IFERROR(IF(E1242&gt;0,E1242*IF(ISNUMBER(J1242),J1242,IF(OR(C1242="Alpha",B1242="Alpha"),$C$7,IF(C1242="Futures",$C$6,$C$5))),""),"")</f>
        <v/>
      </c>
      <c r="I1242" s="139">
        <f>IFERROR(IF(AND(ISNUMBER(F1242),ISNUMBER(H1242)),F1242-H1242,""),"")</f>
        <v/>
      </c>
      <c r="J1242" s="114" t="n"/>
      <c r="K1242" s="139">
        <f>IFERROR(IF(H1242&gt;0,H1242*IF(OR(C1242="Alpha",B1242="Alpha"),$C$9,$C$8),""),"")</f>
        <v/>
      </c>
      <c r="L1242" s="139">
        <f>IFERROR(IF(ISNUMBER(F1242),F1242-IF(ISNUMBER(K1242),K1242,0),""),"")</f>
        <v/>
      </c>
    </row>
    <row r="1243" ht="24" customHeight="1" s="63">
      <c r="E1243" s="139" t="n"/>
      <c r="F1243" s="139" t="n"/>
      <c r="G1243" s="140">
        <f>IFERROR(IF(E1243&gt;0,(F1243/E1243)*1000,""),"")</f>
        <v/>
      </c>
      <c r="H1243" s="139">
        <f>IFERROR(IF(E1243&gt;0,E1243*IF(ISNUMBER(J1243),J1243,IF(OR(C1243="Alpha",B1243="Alpha"),$C$7,IF(C1243="Futures",$C$6,$C$5))),""),"")</f>
        <v/>
      </c>
      <c r="I1243" s="139">
        <f>IFERROR(IF(AND(ISNUMBER(F1243),ISNUMBER(H1243)),F1243-H1243,""),"")</f>
        <v/>
      </c>
      <c r="J1243" s="114" t="n"/>
      <c r="K1243" s="139">
        <f>IFERROR(IF(H1243&gt;0,H1243*IF(OR(C1243="Alpha",B1243="Alpha"),$C$9,$C$8),""),"")</f>
        <v/>
      </c>
      <c r="L1243" s="139">
        <f>IFERROR(IF(ISNUMBER(F1243),F1243-IF(ISNUMBER(K1243),K1243,0),""),"")</f>
        <v/>
      </c>
    </row>
    <row r="1244" ht="24" customHeight="1" s="63">
      <c r="E1244" s="139" t="n"/>
      <c r="F1244" s="139" t="n"/>
      <c r="G1244" s="140">
        <f>IFERROR(IF(E1244&gt;0,(F1244/E1244)*1000,""),"")</f>
        <v/>
      </c>
      <c r="H1244" s="139">
        <f>IFERROR(IF(E1244&gt;0,E1244*IF(ISNUMBER(J1244),J1244,IF(OR(C1244="Alpha",B1244="Alpha"),$C$7,IF(C1244="Futures",$C$6,$C$5))),""),"")</f>
        <v/>
      </c>
      <c r="I1244" s="139">
        <f>IFERROR(IF(AND(ISNUMBER(F1244),ISNUMBER(H1244)),F1244-H1244,""),"")</f>
        <v/>
      </c>
      <c r="J1244" s="114" t="n"/>
      <c r="K1244" s="139">
        <f>IFERROR(IF(H1244&gt;0,H1244*IF(OR(C1244="Alpha",B1244="Alpha"),$C$9,$C$8),""),"")</f>
        <v/>
      </c>
      <c r="L1244" s="139">
        <f>IFERROR(IF(ISNUMBER(F1244),F1244-IF(ISNUMBER(K1244),K1244,0),""),"")</f>
        <v/>
      </c>
    </row>
    <row r="1245" ht="24" customHeight="1" s="63">
      <c r="E1245" s="139" t="n"/>
      <c r="F1245" s="139" t="n"/>
      <c r="G1245" s="140">
        <f>IFERROR(IF(E1245&gt;0,(F1245/E1245)*1000,""),"")</f>
        <v/>
      </c>
      <c r="H1245" s="139">
        <f>IFERROR(IF(E1245&gt;0,E1245*IF(ISNUMBER(J1245),J1245,IF(OR(C1245="Alpha",B1245="Alpha"),$C$7,IF(C1245="Futures",$C$6,$C$5))),""),"")</f>
        <v/>
      </c>
      <c r="I1245" s="139">
        <f>IFERROR(IF(AND(ISNUMBER(F1245),ISNUMBER(H1245)),F1245-H1245,""),"")</f>
        <v/>
      </c>
      <c r="J1245" s="114" t="n"/>
      <c r="K1245" s="139">
        <f>IFERROR(IF(H1245&gt;0,H1245*IF(OR(C1245="Alpha",B1245="Alpha"),$C$9,$C$8),""),"")</f>
        <v/>
      </c>
      <c r="L1245" s="139">
        <f>IFERROR(IF(ISNUMBER(F1245),F1245-IF(ISNUMBER(K1245),K1245,0),""),"")</f>
        <v/>
      </c>
    </row>
    <row r="1246" ht="24" customHeight="1" s="63">
      <c r="E1246" s="139" t="n"/>
      <c r="F1246" s="139" t="n"/>
      <c r="G1246" s="140">
        <f>IFERROR(IF(E1246&gt;0,(F1246/E1246)*1000,""),"")</f>
        <v/>
      </c>
      <c r="H1246" s="139">
        <f>IFERROR(IF(E1246&gt;0,E1246*IF(ISNUMBER(J1246),J1246,IF(OR(C1246="Alpha",B1246="Alpha"),$C$7,IF(C1246="Futures",$C$6,$C$5))),""),"")</f>
        <v/>
      </c>
      <c r="I1246" s="139">
        <f>IFERROR(IF(AND(ISNUMBER(F1246),ISNUMBER(H1246)),F1246-H1246,""),"")</f>
        <v/>
      </c>
      <c r="J1246" s="114" t="n"/>
      <c r="K1246" s="139">
        <f>IFERROR(IF(H1246&gt;0,H1246*IF(OR(C1246="Alpha",B1246="Alpha"),$C$9,$C$8),""),"")</f>
        <v/>
      </c>
      <c r="L1246" s="139">
        <f>IFERROR(IF(ISNUMBER(F1246),F1246-IF(ISNUMBER(K1246),K1246,0),""),"")</f>
        <v/>
      </c>
    </row>
    <row r="1247" ht="24" customHeight="1" s="63">
      <c r="E1247" s="139" t="n"/>
      <c r="F1247" s="139" t="n"/>
      <c r="G1247" s="140">
        <f>IFERROR(IF(E1247&gt;0,(F1247/E1247)*1000,""),"")</f>
        <v/>
      </c>
      <c r="H1247" s="139">
        <f>IFERROR(IF(E1247&gt;0,E1247*IF(ISNUMBER(J1247),J1247,IF(OR(C1247="Alpha",B1247="Alpha"),$C$7,IF(C1247="Futures",$C$6,$C$5))),""),"")</f>
        <v/>
      </c>
      <c r="I1247" s="139">
        <f>IFERROR(IF(AND(ISNUMBER(F1247),ISNUMBER(H1247)),F1247-H1247,""),"")</f>
        <v/>
      </c>
      <c r="J1247" s="114" t="n"/>
      <c r="K1247" s="139">
        <f>IFERROR(IF(H1247&gt;0,H1247*IF(OR(C1247="Alpha",B1247="Alpha"),$C$9,$C$8),""),"")</f>
        <v/>
      </c>
      <c r="L1247" s="139">
        <f>IFERROR(IF(ISNUMBER(F1247),F1247-IF(ISNUMBER(K1247),K1247,0),""),"")</f>
        <v/>
      </c>
    </row>
    <row r="1248" ht="24" customHeight="1" s="63">
      <c r="E1248" s="139" t="n"/>
      <c r="F1248" s="139" t="n"/>
      <c r="G1248" s="140">
        <f>IFERROR(IF(E1248&gt;0,(F1248/E1248)*1000,""),"")</f>
        <v/>
      </c>
      <c r="H1248" s="139">
        <f>IFERROR(IF(E1248&gt;0,E1248*IF(ISNUMBER(J1248),J1248,IF(OR(C1248="Alpha",B1248="Alpha"),$C$7,IF(C1248="Futures",$C$6,$C$5))),""),"")</f>
        <v/>
      </c>
      <c r="I1248" s="139">
        <f>IFERROR(IF(AND(ISNUMBER(F1248),ISNUMBER(H1248)),F1248-H1248,""),"")</f>
        <v/>
      </c>
      <c r="J1248" s="114" t="n"/>
      <c r="K1248" s="139">
        <f>IFERROR(IF(H1248&gt;0,H1248*IF(OR(C1248="Alpha",B1248="Alpha"),$C$9,$C$8),""),"")</f>
        <v/>
      </c>
      <c r="L1248" s="139">
        <f>IFERROR(IF(ISNUMBER(F1248),F1248-IF(ISNUMBER(K1248),K1248,0),""),"")</f>
        <v/>
      </c>
    </row>
    <row r="1249" ht="24" customHeight="1" s="63">
      <c r="E1249" s="139" t="n"/>
      <c r="F1249" s="139" t="n"/>
      <c r="G1249" s="140">
        <f>IFERROR(IF(E1249&gt;0,(F1249/E1249)*1000,""),"")</f>
        <v/>
      </c>
      <c r="H1249" s="139">
        <f>IFERROR(IF(E1249&gt;0,E1249*IF(ISNUMBER(J1249),J1249,IF(OR(C1249="Alpha",B1249="Alpha"),$C$7,IF(C1249="Futures",$C$6,$C$5))),""),"")</f>
        <v/>
      </c>
      <c r="I1249" s="139">
        <f>IFERROR(IF(AND(ISNUMBER(F1249),ISNUMBER(H1249)),F1249-H1249,""),"")</f>
        <v/>
      </c>
      <c r="J1249" s="114" t="n"/>
      <c r="K1249" s="139">
        <f>IFERROR(IF(H1249&gt;0,H1249*IF(OR(C1249="Alpha",B1249="Alpha"),$C$9,$C$8),""),"")</f>
        <v/>
      </c>
      <c r="L1249" s="139">
        <f>IFERROR(IF(ISNUMBER(F1249),F1249-IF(ISNUMBER(K1249),K1249,0),""),"")</f>
        <v/>
      </c>
    </row>
    <row r="1250" ht="24" customHeight="1" s="63">
      <c r="E1250" s="139" t="n"/>
      <c r="F1250" s="139" t="n"/>
      <c r="G1250" s="140">
        <f>IFERROR(IF(E1250&gt;0,(F1250/E1250)*1000,""),"")</f>
        <v/>
      </c>
      <c r="H1250" s="139">
        <f>IFERROR(IF(E1250&gt;0,E1250*IF(ISNUMBER(J1250),J1250,IF(OR(C1250="Alpha",B1250="Alpha"),$C$7,IF(C1250="Futures",$C$6,$C$5))),""),"")</f>
        <v/>
      </c>
      <c r="I1250" s="139">
        <f>IFERROR(IF(AND(ISNUMBER(F1250),ISNUMBER(H1250)),F1250-H1250,""),"")</f>
        <v/>
      </c>
      <c r="J1250" s="114" t="n"/>
      <c r="K1250" s="139">
        <f>IFERROR(IF(H1250&gt;0,H1250*IF(OR(C1250="Alpha",B1250="Alpha"),$C$9,$C$8),""),"")</f>
        <v/>
      </c>
      <c r="L1250" s="139">
        <f>IFERROR(IF(ISNUMBER(F1250),F1250-IF(ISNUMBER(K1250),K1250,0),""),"")</f>
        <v/>
      </c>
    </row>
    <row r="1251" ht="24" customHeight="1" s="63">
      <c r="E1251" s="139" t="n"/>
      <c r="F1251" s="139" t="n"/>
      <c r="G1251" s="140">
        <f>IFERROR(IF(E1251&gt;0,(F1251/E1251)*1000,""),"")</f>
        <v/>
      </c>
      <c r="H1251" s="139">
        <f>IFERROR(IF(E1251&gt;0,E1251*IF(ISNUMBER(J1251),J1251,IF(OR(C1251="Alpha",B1251="Alpha"),$C$7,IF(C1251="Futures",$C$6,$C$5))),""),"")</f>
        <v/>
      </c>
      <c r="I1251" s="139">
        <f>IFERROR(IF(AND(ISNUMBER(F1251),ISNUMBER(H1251)),F1251-H1251,""),"")</f>
        <v/>
      </c>
      <c r="J1251" s="114" t="n"/>
      <c r="K1251" s="139">
        <f>IFERROR(IF(H1251&gt;0,H1251*IF(OR(C1251="Alpha",B1251="Alpha"),$C$9,$C$8),""),"")</f>
        <v/>
      </c>
      <c r="L1251" s="139">
        <f>IFERROR(IF(ISNUMBER(F1251),F1251-IF(ISNUMBER(K1251),K1251,0),""),"")</f>
        <v/>
      </c>
    </row>
    <row r="1252" ht="24" customHeight="1" s="63">
      <c r="E1252" s="139" t="n"/>
      <c r="F1252" s="139" t="n"/>
      <c r="G1252" s="140">
        <f>IFERROR(IF(E1252&gt;0,(F1252/E1252)*1000,""),"")</f>
        <v/>
      </c>
      <c r="H1252" s="139">
        <f>IFERROR(IF(E1252&gt;0,E1252*IF(ISNUMBER(J1252),J1252,IF(OR(C1252="Alpha",B1252="Alpha"),$C$7,IF(C1252="Futures",$C$6,$C$5))),""),"")</f>
        <v/>
      </c>
      <c r="I1252" s="139">
        <f>IFERROR(IF(AND(ISNUMBER(F1252),ISNUMBER(H1252)),F1252-H1252,""),"")</f>
        <v/>
      </c>
      <c r="J1252" s="114" t="n"/>
      <c r="K1252" s="139">
        <f>IFERROR(IF(H1252&gt;0,H1252*IF(OR(C1252="Alpha",B1252="Alpha"),$C$9,$C$8),""),"")</f>
        <v/>
      </c>
      <c r="L1252" s="139">
        <f>IFERROR(IF(ISNUMBER(F1252),F1252-IF(ISNUMBER(K1252),K1252,0),""),"")</f>
        <v/>
      </c>
    </row>
    <row r="1253" ht="24" customHeight="1" s="63">
      <c r="E1253" s="139" t="n"/>
      <c r="F1253" s="139" t="n"/>
      <c r="G1253" s="140">
        <f>IFERROR(IF(E1253&gt;0,(F1253/E1253)*1000,""),"")</f>
        <v/>
      </c>
      <c r="H1253" s="139">
        <f>IFERROR(IF(E1253&gt;0,E1253*IF(ISNUMBER(J1253),J1253,IF(OR(C1253="Alpha",B1253="Alpha"),$C$7,IF(C1253="Futures",$C$6,$C$5))),""),"")</f>
        <v/>
      </c>
      <c r="I1253" s="139">
        <f>IFERROR(IF(AND(ISNUMBER(F1253),ISNUMBER(H1253)),F1253-H1253,""),"")</f>
        <v/>
      </c>
      <c r="J1253" s="114" t="n"/>
      <c r="K1253" s="139">
        <f>IFERROR(IF(H1253&gt;0,H1253*IF(OR(C1253="Alpha",B1253="Alpha"),$C$9,$C$8),""),"")</f>
        <v/>
      </c>
      <c r="L1253" s="139">
        <f>IFERROR(IF(ISNUMBER(F1253),F1253-IF(ISNUMBER(K1253),K1253,0),""),"")</f>
        <v/>
      </c>
    </row>
    <row r="1254" ht="24" customHeight="1" s="63">
      <c r="E1254" s="139" t="n"/>
      <c r="F1254" s="139" t="n"/>
      <c r="G1254" s="140">
        <f>IFERROR(IF(E1254&gt;0,(F1254/E1254)*1000,""),"")</f>
        <v/>
      </c>
      <c r="H1254" s="139">
        <f>IFERROR(IF(E1254&gt;0,E1254*IF(ISNUMBER(J1254),J1254,IF(OR(C1254="Alpha",B1254="Alpha"),$C$7,IF(C1254="Futures",$C$6,$C$5))),""),"")</f>
        <v/>
      </c>
      <c r="I1254" s="139">
        <f>IFERROR(IF(AND(ISNUMBER(F1254),ISNUMBER(H1254)),F1254-H1254,""),"")</f>
        <v/>
      </c>
      <c r="J1254" s="114" t="n"/>
      <c r="K1254" s="139">
        <f>IFERROR(IF(H1254&gt;0,H1254*IF(OR(C1254="Alpha",B1254="Alpha"),$C$9,$C$8),""),"")</f>
        <v/>
      </c>
      <c r="L1254" s="139">
        <f>IFERROR(IF(ISNUMBER(F1254),F1254-IF(ISNUMBER(K1254),K1254,0),""),"")</f>
        <v/>
      </c>
    </row>
    <row r="1255" ht="24" customHeight="1" s="63">
      <c r="E1255" s="139" t="n"/>
      <c r="F1255" s="139" t="n"/>
      <c r="G1255" s="140">
        <f>IFERROR(IF(E1255&gt;0,(F1255/E1255)*1000,""),"")</f>
        <v/>
      </c>
      <c r="H1255" s="139">
        <f>IFERROR(IF(E1255&gt;0,E1255*IF(ISNUMBER(J1255),J1255,IF(OR(C1255="Alpha",B1255="Alpha"),$C$7,IF(C1255="Futures",$C$6,$C$5))),""),"")</f>
        <v/>
      </c>
      <c r="I1255" s="139">
        <f>IFERROR(IF(AND(ISNUMBER(F1255),ISNUMBER(H1255)),F1255-H1255,""),"")</f>
        <v/>
      </c>
      <c r="J1255" s="114" t="n"/>
      <c r="K1255" s="139">
        <f>IFERROR(IF(H1255&gt;0,H1255*IF(OR(C1255="Alpha",B1255="Alpha"),$C$9,$C$8),""),"")</f>
        <v/>
      </c>
      <c r="L1255" s="139">
        <f>IFERROR(IF(ISNUMBER(F1255),F1255-IF(ISNUMBER(K1255),K1255,0),""),"")</f>
        <v/>
      </c>
    </row>
    <row r="1256" ht="24" customHeight="1" s="63">
      <c r="E1256" s="139" t="n"/>
      <c r="F1256" s="139" t="n"/>
      <c r="G1256" s="140">
        <f>IFERROR(IF(E1256&gt;0,(F1256/E1256)*1000,""),"")</f>
        <v/>
      </c>
      <c r="H1256" s="139">
        <f>IFERROR(IF(E1256&gt;0,E1256*IF(ISNUMBER(J1256),J1256,IF(OR(C1256="Alpha",B1256="Alpha"),$C$7,IF(C1256="Futures",$C$6,$C$5))),""),"")</f>
        <v/>
      </c>
      <c r="I1256" s="139">
        <f>IFERROR(IF(AND(ISNUMBER(F1256),ISNUMBER(H1256)),F1256-H1256,""),"")</f>
        <v/>
      </c>
      <c r="J1256" s="114" t="n"/>
      <c r="K1256" s="139">
        <f>IFERROR(IF(H1256&gt;0,H1256*IF(OR(C1256="Alpha",B1256="Alpha"),$C$9,$C$8),""),"")</f>
        <v/>
      </c>
      <c r="L1256" s="139">
        <f>IFERROR(IF(ISNUMBER(F1256),F1256-IF(ISNUMBER(K1256),K1256,0),""),"")</f>
        <v/>
      </c>
    </row>
    <row r="1257" ht="24" customHeight="1" s="63">
      <c r="E1257" s="139" t="n"/>
      <c r="F1257" s="139" t="n"/>
      <c r="G1257" s="140">
        <f>IFERROR(IF(E1257&gt;0,(F1257/E1257)*1000,""),"")</f>
        <v/>
      </c>
      <c r="H1257" s="139">
        <f>IFERROR(IF(E1257&gt;0,E1257*IF(ISNUMBER(J1257),J1257,IF(OR(C1257="Alpha",B1257="Alpha"),$C$7,IF(C1257="Futures",$C$6,$C$5))),""),"")</f>
        <v/>
      </c>
      <c r="I1257" s="139">
        <f>IFERROR(IF(AND(ISNUMBER(F1257),ISNUMBER(H1257)),F1257-H1257,""),"")</f>
        <v/>
      </c>
      <c r="J1257" s="114" t="n"/>
      <c r="K1257" s="139">
        <f>IFERROR(IF(H1257&gt;0,H1257*IF(OR(C1257="Alpha",B1257="Alpha"),$C$9,$C$8),""),"")</f>
        <v/>
      </c>
      <c r="L1257" s="139">
        <f>IFERROR(IF(ISNUMBER(F1257),F1257-IF(ISNUMBER(K1257),K1257,0),""),"")</f>
        <v/>
      </c>
    </row>
    <row r="1258" ht="24" customHeight="1" s="63">
      <c r="E1258" s="139" t="n"/>
      <c r="F1258" s="139" t="n"/>
      <c r="G1258" s="140">
        <f>IFERROR(IF(E1258&gt;0,(F1258/E1258)*1000,""),"")</f>
        <v/>
      </c>
      <c r="H1258" s="139">
        <f>IFERROR(IF(E1258&gt;0,E1258*IF(ISNUMBER(J1258),J1258,IF(OR(C1258="Alpha",B1258="Alpha"),$C$7,IF(C1258="Futures",$C$6,$C$5))),""),"")</f>
        <v/>
      </c>
      <c r="I1258" s="139">
        <f>IFERROR(IF(AND(ISNUMBER(F1258),ISNUMBER(H1258)),F1258-H1258,""),"")</f>
        <v/>
      </c>
      <c r="J1258" s="114" t="n"/>
      <c r="K1258" s="139">
        <f>IFERROR(IF(H1258&gt;0,H1258*IF(OR(C1258="Alpha",B1258="Alpha"),$C$9,$C$8),""),"")</f>
        <v/>
      </c>
      <c r="L1258" s="139">
        <f>IFERROR(IF(ISNUMBER(F1258),F1258-IF(ISNUMBER(K1258),K1258,0),""),"")</f>
        <v/>
      </c>
    </row>
    <row r="1259" ht="24" customHeight="1" s="63">
      <c r="E1259" s="139" t="n"/>
      <c r="F1259" s="139" t="n"/>
      <c r="G1259" s="140">
        <f>IFERROR(IF(E1259&gt;0,(F1259/E1259)*1000,""),"")</f>
        <v/>
      </c>
      <c r="H1259" s="139">
        <f>IFERROR(IF(E1259&gt;0,E1259*IF(ISNUMBER(J1259),J1259,IF(OR(C1259="Alpha",B1259="Alpha"),$C$7,IF(C1259="Futures",$C$6,$C$5))),""),"")</f>
        <v/>
      </c>
      <c r="I1259" s="139">
        <f>IFERROR(IF(AND(ISNUMBER(F1259),ISNUMBER(H1259)),F1259-H1259,""),"")</f>
        <v/>
      </c>
      <c r="J1259" s="114" t="n"/>
      <c r="K1259" s="139">
        <f>IFERROR(IF(H1259&gt;0,H1259*IF(OR(C1259="Alpha",B1259="Alpha"),$C$9,$C$8),""),"")</f>
        <v/>
      </c>
      <c r="L1259" s="139">
        <f>IFERROR(IF(ISNUMBER(F1259),F1259-IF(ISNUMBER(K1259),K1259,0),""),"")</f>
        <v/>
      </c>
    </row>
    <row r="1260" ht="24" customHeight="1" s="63">
      <c r="E1260" s="139" t="n"/>
      <c r="F1260" s="139" t="n"/>
      <c r="G1260" s="140">
        <f>IFERROR(IF(E1260&gt;0,(F1260/E1260)*1000,""),"")</f>
        <v/>
      </c>
      <c r="H1260" s="139">
        <f>IFERROR(IF(E1260&gt;0,E1260*IF(ISNUMBER(J1260),J1260,IF(OR(C1260="Alpha",B1260="Alpha"),$C$7,IF(C1260="Futures",$C$6,$C$5))),""),"")</f>
        <v/>
      </c>
      <c r="I1260" s="139">
        <f>IFERROR(IF(AND(ISNUMBER(F1260),ISNUMBER(H1260)),F1260-H1260,""),"")</f>
        <v/>
      </c>
      <c r="J1260" s="114" t="n"/>
      <c r="K1260" s="139">
        <f>IFERROR(IF(H1260&gt;0,H1260*IF(OR(C1260="Alpha",B1260="Alpha"),$C$9,$C$8),""),"")</f>
        <v/>
      </c>
      <c r="L1260" s="139">
        <f>IFERROR(IF(ISNUMBER(F1260),F1260-IF(ISNUMBER(K1260),K1260,0),""),"")</f>
        <v/>
      </c>
    </row>
    <row r="1261" ht="24" customHeight="1" s="63">
      <c r="E1261" s="139" t="n"/>
      <c r="F1261" s="139" t="n"/>
      <c r="G1261" s="140">
        <f>IFERROR(IF(E1261&gt;0,(F1261/E1261)*1000,""),"")</f>
        <v/>
      </c>
      <c r="H1261" s="139">
        <f>IFERROR(IF(E1261&gt;0,E1261*IF(ISNUMBER(J1261),J1261,IF(OR(C1261="Alpha",B1261="Alpha"),$C$7,IF(C1261="Futures",$C$6,$C$5))),""),"")</f>
        <v/>
      </c>
      <c r="I1261" s="139">
        <f>IFERROR(IF(AND(ISNUMBER(F1261),ISNUMBER(H1261)),F1261-H1261,""),"")</f>
        <v/>
      </c>
      <c r="J1261" s="114" t="n"/>
      <c r="K1261" s="139">
        <f>IFERROR(IF(H1261&gt;0,H1261*IF(OR(C1261="Alpha",B1261="Alpha"),$C$9,$C$8),""),"")</f>
        <v/>
      </c>
      <c r="L1261" s="139">
        <f>IFERROR(IF(ISNUMBER(F1261),F1261-IF(ISNUMBER(K1261),K1261,0),""),"")</f>
        <v/>
      </c>
    </row>
    <row r="1262" ht="24" customHeight="1" s="63">
      <c r="E1262" s="139" t="n"/>
      <c r="F1262" s="139" t="n"/>
      <c r="G1262" s="140">
        <f>IFERROR(IF(E1262&gt;0,(F1262/E1262)*1000,""),"")</f>
        <v/>
      </c>
      <c r="H1262" s="139">
        <f>IFERROR(IF(E1262&gt;0,E1262*IF(ISNUMBER(J1262),J1262,IF(OR(C1262="Alpha",B1262="Alpha"),$C$7,IF(C1262="Futures",$C$6,$C$5))),""),"")</f>
        <v/>
      </c>
      <c r="I1262" s="139">
        <f>IFERROR(IF(AND(ISNUMBER(F1262),ISNUMBER(H1262)),F1262-H1262,""),"")</f>
        <v/>
      </c>
      <c r="J1262" s="114" t="n"/>
      <c r="K1262" s="139">
        <f>IFERROR(IF(H1262&gt;0,H1262*IF(OR(C1262="Alpha",B1262="Alpha"),$C$9,$C$8),""),"")</f>
        <v/>
      </c>
      <c r="L1262" s="139">
        <f>IFERROR(IF(ISNUMBER(F1262),F1262-IF(ISNUMBER(K1262),K1262,0),""),"")</f>
        <v/>
      </c>
    </row>
    <row r="1263" ht="24" customHeight="1" s="63">
      <c r="E1263" s="139" t="n"/>
      <c r="F1263" s="139" t="n"/>
      <c r="G1263" s="140">
        <f>IFERROR(IF(E1263&gt;0,(F1263/E1263)*1000,""),"")</f>
        <v/>
      </c>
      <c r="H1263" s="139">
        <f>IFERROR(IF(E1263&gt;0,E1263*IF(ISNUMBER(J1263),J1263,IF(OR(C1263="Alpha",B1263="Alpha"),$C$7,IF(C1263="Futures",$C$6,$C$5))),""),"")</f>
        <v/>
      </c>
      <c r="I1263" s="139">
        <f>IFERROR(IF(AND(ISNUMBER(F1263),ISNUMBER(H1263)),F1263-H1263,""),"")</f>
        <v/>
      </c>
      <c r="J1263" s="114" t="n"/>
      <c r="K1263" s="139">
        <f>IFERROR(IF(H1263&gt;0,H1263*IF(OR(C1263="Alpha",B1263="Alpha"),$C$9,$C$8),""),"")</f>
        <v/>
      </c>
      <c r="L1263" s="139">
        <f>IFERROR(IF(ISNUMBER(F1263),F1263-IF(ISNUMBER(K1263),K1263,0),""),"")</f>
        <v/>
      </c>
    </row>
    <row r="1264" ht="24" customHeight="1" s="63">
      <c r="E1264" s="139" t="n"/>
      <c r="F1264" s="139" t="n"/>
      <c r="G1264" s="140">
        <f>IFERROR(IF(E1264&gt;0,(F1264/E1264)*1000,""),"")</f>
        <v/>
      </c>
      <c r="H1264" s="139">
        <f>IFERROR(IF(E1264&gt;0,E1264*IF(ISNUMBER(J1264),J1264,IF(OR(C1264="Alpha",B1264="Alpha"),$C$7,IF(C1264="Futures",$C$6,$C$5))),""),"")</f>
        <v/>
      </c>
      <c r="I1264" s="139">
        <f>IFERROR(IF(AND(ISNUMBER(F1264),ISNUMBER(H1264)),F1264-H1264,""),"")</f>
        <v/>
      </c>
      <c r="J1264" s="114" t="n"/>
      <c r="K1264" s="139">
        <f>IFERROR(IF(H1264&gt;0,H1264*IF(OR(C1264="Alpha",B1264="Alpha"),$C$9,$C$8),""),"")</f>
        <v/>
      </c>
      <c r="L1264" s="139">
        <f>IFERROR(IF(ISNUMBER(F1264),F1264-IF(ISNUMBER(K1264),K1264,0),""),"")</f>
        <v/>
      </c>
    </row>
    <row r="1265" ht="24" customHeight="1" s="63">
      <c r="E1265" s="139" t="n"/>
      <c r="F1265" s="139" t="n"/>
      <c r="G1265" s="140">
        <f>IFERROR(IF(E1265&gt;0,(F1265/E1265)*1000,""),"")</f>
        <v/>
      </c>
      <c r="H1265" s="139">
        <f>IFERROR(IF(E1265&gt;0,E1265*IF(ISNUMBER(J1265),J1265,IF(OR(C1265="Alpha",B1265="Alpha"),$C$7,IF(C1265="Futures",$C$6,$C$5))),""),"")</f>
        <v/>
      </c>
      <c r="I1265" s="139">
        <f>IFERROR(IF(AND(ISNUMBER(F1265),ISNUMBER(H1265)),F1265-H1265,""),"")</f>
        <v/>
      </c>
      <c r="J1265" s="114" t="n"/>
      <c r="K1265" s="139">
        <f>IFERROR(IF(H1265&gt;0,H1265*IF(OR(C1265="Alpha",B1265="Alpha"),$C$9,$C$8),""),"")</f>
        <v/>
      </c>
      <c r="L1265" s="139">
        <f>IFERROR(IF(ISNUMBER(F1265),F1265-IF(ISNUMBER(K1265),K1265,0),""),"")</f>
        <v/>
      </c>
    </row>
    <row r="1266" ht="24" customHeight="1" s="63">
      <c r="E1266" s="139" t="n"/>
      <c r="F1266" s="139" t="n"/>
      <c r="G1266" s="140">
        <f>IFERROR(IF(E1266&gt;0,(F1266/E1266)*1000,""),"")</f>
        <v/>
      </c>
      <c r="H1266" s="139">
        <f>IFERROR(IF(E1266&gt;0,E1266*IF(ISNUMBER(J1266),J1266,IF(OR(C1266="Alpha",B1266="Alpha"),$C$7,IF(C1266="Futures",$C$6,$C$5))),""),"")</f>
        <v/>
      </c>
      <c r="I1266" s="139">
        <f>IFERROR(IF(AND(ISNUMBER(F1266),ISNUMBER(H1266)),F1266-H1266,""),"")</f>
        <v/>
      </c>
      <c r="J1266" s="114" t="n"/>
      <c r="K1266" s="139">
        <f>IFERROR(IF(H1266&gt;0,H1266*IF(OR(C1266="Alpha",B1266="Alpha"),$C$9,$C$8),""),"")</f>
        <v/>
      </c>
      <c r="L1266" s="139">
        <f>IFERROR(IF(ISNUMBER(F1266),F1266-IF(ISNUMBER(K1266),K1266,0),""),"")</f>
        <v/>
      </c>
    </row>
    <row r="1267" ht="24" customHeight="1" s="63">
      <c r="E1267" s="139" t="n"/>
      <c r="F1267" s="139" t="n"/>
      <c r="G1267" s="140">
        <f>IFERROR(IF(E1267&gt;0,(F1267/E1267)*1000,""),"")</f>
        <v/>
      </c>
      <c r="H1267" s="139">
        <f>IFERROR(IF(E1267&gt;0,E1267*IF(ISNUMBER(J1267),J1267,IF(OR(C1267="Alpha",B1267="Alpha"),$C$7,IF(C1267="Futures",$C$6,$C$5))),""),"")</f>
        <v/>
      </c>
      <c r="I1267" s="139">
        <f>IFERROR(IF(AND(ISNUMBER(F1267),ISNUMBER(H1267)),F1267-H1267,""),"")</f>
        <v/>
      </c>
      <c r="J1267" s="114" t="n"/>
      <c r="K1267" s="139">
        <f>IFERROR(IF(H1267&gt;0,H1267*IF(OR(C1267="Alpha",B1267="Alpha"),$C$9,$C$8),""),"")</f>
        <v/>
      </c>
      <c r="L1267" s="139">
        <f>IFERROR(IF(ISNUMBER(F1267),F1267-IF(ISNUMBER(K1267),K1267,0),""),"")</f>
        <v/>
      </c>
    </row>
    <row r="1268" ht="24" customHeight="1" s="63">
      <c r="E1268" s="139" t="n"/>
      <c r="F1268" s="139" t="n"/>
      <c r="G1268" s="140">
        <f>IFERROR(IF(E1268&gt;0,(F1268/E1268)*1000,""),"")</f>
        <v/>
      </c>
      <c r="H1268" s="139">
        <f>IFERROR(IF(E1268&gt;0,E1268*IF(ISNUMBER(J1268),J1268,IF(OR(C1268="Alpha",B1268="Alpha"),$C$7,IF(C1268="Futures",$C$6,$C$5))),""),"")</f>
        <v/>
      </c>
      <c r="I1268" s="139">
        <f>IFERROR(IF(AND(ISNUMBER(F1268),ISNUMBER(H1268)),F1268-H1268,""),"")</f>
        <v/>
      </c>
      <c r="J1268" s="114" t="n"/>
      <c r="K1268" s="139">
        <f>IFERROR(IF(H1268&gt;0,H1268*IF(OR(C1268="Alpha",B1268="Alpha"),$C$9,$C$8),""),"")</f>
        <v/>
      </c>
      <c r="L1268" s="139">
        <f>IFERROR(IF(ISNUMBER(F1268),F1268-IF(ISNUMBER(K1268),K1268,0),""),"")</f>
        <v/>
      </c>
    </row>
    <row r="1269" ht="24" customHeight="1" s="63">
      <c r="E1269" s="139" t="n"/>
      <c r="F1269" s="139" t="n"/>
      <c r="G1269" s="140">
        <f>IFERROR(IF(E1269&gt;0,(F1269/E1269)*1000,""),"")</f>
        <v/>
      </c>
      <c r="H1269" s="139">
        <f>IFERROR(IF(E1269&gt;0,E1269*IF(ISNUMBER(J1269),J1269,IF(OR(C1269="Alpha",B1269="Alpha"),$C$7,IF(C1269="Futures",$C$6,$C$5))),""),"")</f>
        <v/>
      </c>
      <c r="I1269" s="139">
        <f>IFERROR(IF(AND(ISNUMBER(F1269),ISNUMBER(H1269)),F1269-H1269,""),"")</f>
        <v/>
      </c>
      <c r="J1269" s="114" t="n"/>
      <c r="K1269" s="139">
        <f>IFERROR(IF(H1269&gt;0,H1269*IF(OR(C1269="Alpha",B1269="Alpha"),$C$9,$C$8),""),"")</f>
        <v/>
      </c>
      <c r="L1269" s="139">
        <f>IFERROR(IF(ISNUMBER(F1269),F1269-IF(ISNUMBER(K1269),K1269,0),""),"")</f>
        <v/>
      </c>
    </row>
    <row r="1270" ht="24" customHeight="1" s="63">
      <c r="E1270" s="139" t="n"/>
      <c r="F1270" s="139" t="n"/>
      <c r="G1270" s="140">
        <f>IFERROR(IF(E1270&gt;0,(F1270/E1270)*1000,""),"")</f>
        <v/>
      </c>
      <c r="H1270" s="139">
        <f>IFERROR(IF(E1270&gt;0,E1270*IF(ISNUMBER(J1270),J1270,IF(OR(C1270="Alpha",B1270="Alpha"),$C$7,IF(C1270="Futures",$C$6,$C$5))),""),"")</f>
        <v/>
      </c>
      <c r="I1270" s="139">
        <f>IFERROR(IF(AND(ISNUMBER(F1270),ISNUMBER(H1270)),F1270-H1270,""),"")</f>
        <v/>
      </c>
      <c r="J1270" s="114" t="n"/>
      <c r="K1270" s="139">
        <f>IFERROR(IF(H1270&gt;0,H1270*IF(OR(C1270="Alpha",B1270="Alpha"),$C$9,$C$8),""),"")</f>
        <v/>
      </c>
      <c r="L1270" s="139">
        <f>IFERROR(IF(ISNUMBER(F1270),F1270-IF(ISNUMBER(K1270),K1270,0),""),"")</f>
        <v/>
      </c>
    </row>
    <row r="1271" ht="24" customHeight="1" s="63">
      <c r="E1271" s="139" t="n"/>
      <c r="F1271" s="139" t="n"/>
      <c r="G1271" s="140">
        <f>IFERROR(IF(E1271&gt;0,(F1271/E1271)*1000,""),"")</f>
        <v/>
      </c>
      <c r="H1271" s="139">
        <f>IFERROR(IF(E1271&gt;0,E1271*IF(ISNUMBER(J1271),J1271,IF(OR(C1271="Alpha",B1271="Alpha"),$C$7,IF(C1271="Futures",$C$6,$C$5))),""),"")</f>
        <v/>
      </c>
      <c r="I1271" s="139">
        <f>IFERROR(IF(AND(ISNUMBER(F1271),ISNUMBER(H1271)),F1271-H1271,""),"")</f>
        <v/>
      </c>
      <c r="J1271" s="114" t="n"/>
      <c r="K1271" s="139">
        <f>IFERROR(IF(H1271&gt;0,H1271*IF(OR(C1271="Alpha",B1271="Alpha"),$C$9,$C$8),""),"")</f>
        <v/>
      </c>
      <c r="L1271" s="139">
        <f>IFERROR(IF(ISNUMBER(F1271),F1271-IF(ISNUMBER(K1271),K1271,0),""),"")</f>
        <v/>
      </c>
    </row>
    <row r="1272" ht="24" customHeight="1" s="63">
      <c r="E1272" s="139" t="n"/>
      <c r="F1272" s="139" t="n"/>
      <c r="G1272" s="140">
        <f>IFERROR(IF(E1272&gt;0,(F1272/E1272)*1000,""),"")</f>
        <v/>
      </c>
      <c r="H1272" s="139">
        <f>IFERROR(IF(E1272&gt;0,E1272*IF(ISNUMBER(J1272),J1272,IF(OR(C1272="Alpha",B1272="Alpha"),$C$7,IF(C1272="Futures",$C$6,$C$5))),""),"")</f>
        <v/>
      </c>
      <c r="I1272" s="139">
        <f>IFERROR(IF(AND(ISNUMBER(F1272),ISNUMBER(H1272)),F1272-H1272,""),"")</f>
        <v/>
      </c>
      <c r="J1272" s="114" t="n"/>
      <c r="K1272" s="139">
        <f>IFERROR(IF(H1272&gt;0,H1272*IF(OR(C1272="Alpha",B1272="Alpha"),$C$9,$C$8),""),"")</f>
        <v/>
      </c>
      <c r="L1272" s="139">
        <f>IFERROR(IF(ISNUMBER(F1272),F1272-IF(ISNUMBER(K1272),K1272,0),""),"")</f>
        <v/>
      </c>
    </row>
    <row r="1273" ht="24" customHeight="1" s="63">
      <c r="E1273" s="139" t="n"/>
      <c r="F1273" s="139" t="n"/>
      <c r="G1273" s="140">
        <f>IFERROR(IF(E1273&gt;0,(F1273/E1273)*1000,""),"")</f>
        <v/>
      </c>
      <c r="H1273" s="139">
        <f>IFERROR(IF(E1273&gt;0,E1273*IF(ISNUMBER(J1273),J1273,IF(OR(C1273="Alpha",B1273="Alpha"),$C$7,IF(C1273="Futures",$C$6,$C$5))),""),"")</f>
        <v/>
      </c>
      <c r="I1273" s="139">
        <f>IFERROR(IF(AND(ISNUMBER(F1273),ISNUMBER(H1273)),F1273-H1273,""),"")</f>
        <v/>
      </c>
      <c r="J1273" s="114" t="n"/>
      <c r="K1273" s="139">
        <f>IFERROR(IF(H1273&gt;0,H1273*IF(OR(C1273="Alpha",B1273="Alpha"),$C$9,$C$8),""),"")</f>
        <v/>
      </c>
      <c r="L1273" s="139">
        <f>IFERROR(IF(ISNUMBER(F1273),F1273-IF(ISNUMBER(K1273),K1273,0),""),"")</f>
        <v/>
      </c>
    </row>
    <row r="1274" ht="24" customHeight="1" s="63">
      <c r="E1274" s="139" t="n"/>
      <c r="F1274" s="139" t="n"/>
      <c r="G1274" s="140">
        <f>IFERROR(IF(E1274&gt;0,(F1274/E1274)*1000,""),"")</f>
        <v/>
      </c>
      <c r="H1274" s="139">
        <f>IFERROR(IF(E1274&gt;0,E1274*IF(ISNUMBER(J1274),J1274,IF(OR(C1274="Alpha",B1274="Alpha"),$C$7,IF(C1274="Futures",$C$6,$C$5))),""),"")</f>
        <v/>
      </c>
      <c r="I1274" s="139">
        <f>IFERROR(IF(AND(ISNUMBER(F1274),ISNUMBER(H1274)),F1274-H1274,""),"")</f>
        <v/>
      </c>
      <c r="J1274" s="114" t="n"/>
      <c r="K1274" s="139">
        <f>IFERROR(IF(H1274&gt;0,H1274*IF(OR(C1274="Alpha",B1274="Alpha"),$C$9,$C$8),""),"")</f>
        <v/>
      </c>
      <c r="L1274" s="139">
        <f>IFERROR(IF(ISNUMBER(F1274),F1274-IF(ISNUMBER(K1274),K1274,0),""),"")</f>
        <v/>
      </c>
    </row>
    <row r="1275" ht="24" customHeight="1" s="63">
      <c r="E1275" s="139" t="n"/>
      <c r="F1275" s="139" t="n"/>
      <c r="G1275" s="140">
        <f>IFERROR(IF(E1275&gt;0,(F1275/E1275)*1000,""),"")</f>
        <v/>
      </c>
      <c r="H1275" s="139">
        <f>IFERROR(IF(E1275&gt;0,E1275*IF(ISNUMBER(J1275),J1275,IF(OR(C1275="Alpha",B1275="Alpha"),$C$7,IF(C1275="Futures",$C$6,$C$5))),""),"")</f>
        <v/>
      </c>
      <c r="I1275" s="139">
        <f>IFERROR(IF(AND(ISNUMBER(F1275),ISNUMBER(H1275)),F1275-H1275,""),"")</f>
        <v/>
      </c>
      <c r="J1275" s="114" t="n"/>
      <c r="K1275" s="139">
        <f>IFERROR(IF(H1275&gt;0,H1275*IF(OR(C1275="Alpha",B1275="Alpha"),$C$9,$C$8),""),"")</f>
        <v/>
      </c>
      <c r="L1275" s="139">
        <f>IFERROR(IF(ISNUMBER(F1275),F1275-IF(ISNUMBER(K1275),K1275,0),""),"")</f>
        <v/>
      </c>
    </row>
    <row r="1276" ht="24" customHeight="1" s="63">
      <c r="E1276" s="139" t="n"/>
      <c r="F1276" s="139" t="n"/>
      <c r="G1276" s="140">
        <f>IFERROR(IF(E1276&gt;0,(F1276/E1276)*1000,""),"")</f>
        <v/>
      </c>
      <c r="H1276" s="139">
        <f>IFERROR(IF(E1276&gt;0,E1276*IF(ISNUMBER(J1276),J1276,IF(OR(C1276="Alpha",B1276="Alpha"),$C$7,IF(C1276="Futures",$C$6,$C$5))),""),"")</f>
        <v/>
      </c>
      <c r="I1276" s="139">
        <f>IFERROR(IF(AND(ISNUMBER(F1276),ISNUMBER(H1276)),F1276-H1276,""),"")</f>
        <v/>
      </c>
      <c r="J1276" s="114" t="n"/>
      <c r="K1276" s="139">
        <f>IFERROR(IF(H1276&gt;0,H1276*IF(OR(C1276="Alpha",B1276="Alpha"),$C$9,$C$8),""),"")</f>
        <v/>
      </c>
      <c r="L1276" s="139">
        <f>IFERROR(IF(ISNUMBER(F1276),F1276-IF(ISNUMBER(K1276),K1276,0),""),"")</f>
        <v/>
      </c>
    </row>
    <row r="1277" ht="24" customHeight="1" s="63">
      <c r="E1277" s="139" t="n"/>
      <c r="F1277" s="139" t="n"/>
      <c r="G1277" s="140">
        <f>IFERROR(IF(E1277&gt;0,(F1277/E1277)*1000,""),"")</f>
        <v/>
      </c>
      <c r="H1277" s="139">
        <f>IFERROR(IF(E1277&gt;0,E1277*IF(ISNUMBER(J1277),J1277,IF(OR(C1277="Alpha",B1277="Alpha"),$C$7,IF(C1277="Futures",$C$6,$C$5))),""),"")</f>
        <v/>
      </c>
      <c r="I1277" s="139">
        <f>IFERROR(IF(AND(ISNUMBER(F1277),ISNUMBER(H1277)),F1277-H1277,""),"")</f>
        <v/>
      </c>
      <c r="J1277" s="114" t="n"/>
      <c r="K1277" s="139">
        <f>IFERROR(IF(H1277&gt;0,H1277*IF(OR(C1277="Alpha",B1277="Alpha"),$C$9,$C$8),""),"")</f>
        <v/>
      </c>
      <c r="L1277" s="139">
        <f>IFERROR(IF(ISNUMBER(F1277),F1277-IF(ISNUMBER(K1277),K1277,0),""),"")</f>
        <v/>
      </c>
    </row>
    <row r="1278" ht="24" customHeight="1" s="63">
      <c r="E1278" s="139" t="n"/>
      <c r="F1278" s="139" t="n"/>
      <c r="G1278" s="140">
        <f>IFERROR(IF(E1278&gt;0,(F1278/E1278)*1000,""),"")</f>
        <v/>
      </c>
      <c r="H1278" s="139">
        <f>IFERROR(IF(E1278&gt;0,E1278*IF(ISNUMBER(J1278),J1278,IF(OR(C1278="Alpha",B1278="Alpha"),$C$7,IF(C1278="Futures",$C$6,$C$5))),""),"")</f>
        <v/>
      </c>
      <c r="I1278" s="139">
        <f>IFERROR(IF(AND(ISNUMBER(F1278),ISNUMBER(H1278)),F1278-H1278,""),"")</f>
        <v/>
      </c>
      <c r="J1278" s="114" t="n"/>
      <c r="K1278" s="139">
        <f>IFERROR(IF(H1278&gt;0,H1278*IF(OR(C1278="Alpha",B1278="Alpha"),$C$9,$C$8),""),"")</f>
        <v/>
      </c>
      <c r="L1278" s="139">
        <f>IFERROR(IF(ISNUMBER(F1278),F1278-IF(ISNUMBER(K1278),K1278,0),""),"")</f>
        <v/>
      </c>
    </row>
    <row r="1279" ht="24" customHeight="1" s="63">
      <c r="E1279" s="139" t="n"/>
      <c r="F1279" s="139" t="n"/>
      <c r="G1279" s="140">
        <f>IFERROR(IF(E1279&gt;0,(F1279/E1279)*1000,""),"")</f>
        <v/>
      </c>
      <c r="H1279" s="139">
        <f>IFERROR(IF(E1279&gt;0,E1279*IF(ISNUMBER(J1279),J1279,IF(OR(C1279="Alpha",B1279="Alpha"),$C$7,IF(C1279="Futures",$C$6,$C$5))),""),"")</f>
        <v/>
      </c>
      <c r="I1279" s="139">
        <f>IFERROR(IF(AND(ISNUMBER(F1279),ISNUMBER(H1279)),F1279-H1279,""),"")</f>
        <v/>
      </c>
      <c r="J1279" s="114" t="n"/>
      <c r="K1279" s="139">
        <f>IFERROR(IF(H1279&gt;0,H1279*IF(OR(C1279="Alpha",B1279="Alpha"),$C$9,$C$8),""),"")</f>
        <v/>
      </c>
      <c r="L1279" s="139">
        <f>IFERROR(IF(ISNUMBER(F1279),F1279-IF(ISNUMBER(K1279),K1279,0),""),"")</f>
        <v/>
      </c>
    </row>
    <row r="1280" ht="24" customHeight="1" s="63">
      <c r="E1280" s="139" t="n"/>
      <c r="F1280" s="139" t="n"/>
      <c r="G1280" s="140">
        <f>IFERROR(IF(E1280&gt;0,(F1280/E1280)*1000,""),"")</f>
        <v/>
      </c>
      <c r="H1280" s="139">
        <f>IFERROR(IF(E1280&gt;0,E1280*IF(ISNUMBER(J1280),J1280,IF(OR(C1280="Alpha",B1280="Alpha"),$C$7,IF(C1280="Futures",$C$6,$C$5))),""),"")</f>
        <v/>
      </c>
      <c r="I1280" s="139">
        <f>IFERROR(IF(AND(ISNUMBER(F1280),ISNUMBER(H1280)),F1280-H1280,""),"")</f>
        <v/>
      </c>
      <c r="J1280" s="114" t="n"/>
      <c r="K1280" s="139">
        <f>IFERROR(IF(H1280&gt;0,H1280*IF(OR(C1280="Alpha",B1280="Alpha"),$C$9,$C$8),""),"")</f>
        <v/>
      </c>
      <c r="L1280" s="139">
        <f>IFERROR(IF(ISNUMBER(F1280),F1280-IF(ISNUMBER(K1280),K1280,0),""),"")</f>
        <v/>
      </c>
    </row>
    <row r="1281" ht="24" customHeight="1" s="63">
      <c r="E1281" s="139" t="n"/>
      <c r="F1281" s="139" t="n"/>
      <c r="G1281" s="140">
        <f>IFERROR(IF(E1281&gt;0,(F1281/E1281)*1000,""),"")</f>
        <v/>
      </c>
      <c r="H1281" s="139">
        <f>IFERROR(IF(E1281&gt;0,E1281*IF(ISNUMBER(J1281),J1281,IF(OR(C1281="Alpha",B1281="Alpha"),$C$7,IF(C1281="Futures",$C$6,$C$5))),""),"")</f>
        <v/>
      </c>
      <c r="I1281" s="139">
        <f>IFERROR(IF(AND(ISNUMBER(F1281),ISNUMBER(H1281)),F1281-H1281,""),"")</f>
        <v/>
      </c>
      <c r="J1281" s="114" t="n"/>
      <c r="K1281" s="139">
        <f>IFERROR(IF(H1281&gt;0,H1281*IF(OR(C1281="Alpha",B1281="Alpha"),$C$9,$C$8),""),"")</f>
        <v/>
      </c>
      <c r="L1281" s="139">
        <f>IFERROR(IF(ISNUMBER(F1281),F1281-IF(ISNUMBER(K1281),K1281,0),""),"")</f>
        <v/>
      </c>
    </row>
    <row r="1282" ht="24" customHeight="1" s="63">
      <c r="E1282" s="139" t="n"/>
      <c r="F1282" s="139" t="n"/>
      <c r="G1282" s="140">
        <f>IFERROR(IF(E1282&gt;0,(F1282/E1282)*1000,""),"")</f>
        <v/>
      </c>
      <c r="H1282" s="139">
        <f>IFERROR(IF(E1282&gt;0,E1282*IF(ISNUMBER(J1282),J1282,IF(OR(C1282="Alpha",B1282="Alpha"),$C$7,IF(C1282="Futures",$C$6,$C$5))),""),"")</f>
        <v/>
      </c>
      <c r="I1282" s="139">
        <f>IFERROR(IF(AND(ISNUMBER(F1282),ISNUMBER(H1282)),F1282-H1282,""),"")</f>
        <v/>
      </c>
      <c r="J1282" s="114" t="n"/>
      <c r="K1282" s="139">
        <f>IFERROR(IF(H1282&gt;0,H1282*IF(OR(C1282="Alpha",B1282="Alpha"),$C$9,$C$8),""),"")</f>
        <v/>
      </c>
      <c r="L1282" s="139">
        <f>IFERROR(IF(ISNUMBER(F1282),F1282-IF(ISNUMBER(K1282),K1282,0),""),"")</f>
        <v/>
      </c>
    </row>
    <row r="1283" ht="24" customHeight="1" s="63">
      <c r="E1283" s="139" t="n"/>
      <c r="F1283" s="139" t="n"/>
      <c r="G1283" s="140">
        <f>IFERROR(IF(E1283&gt;0,(F1283/E1283)*1000,""),"")</f>
        <v/>
      </c>
      <c r="H1283" s="139">
        <f>IFERROR(IF(E1283&gt;0,E1283*IF(ISNUMBER(J1283),J1283,IF(OR(C1283="Alpha",B1283="Alpha"),$C$7,IF(C1283="Futures",$C$6,$C$5))),""),"")</f>
        <v/>
      </c>
      <c r="I1283" s="139">
        <f>IFERROR(IF(AND(ISNUMBER(F1283),ISNUMBER(H1283)),F1283-H1283,""),"")</f>
        <v/>
      </c>
      <c r="J1283" s="114" t="n"/>
      <c r="K1283" s="139">
        <f>IFERROR(IF(H1283&gt;0,H1283*IF(OR(C1283="Alpha",B1283="Alpha"),$C$9,$C$8),""),"")</f>
        <v/>
      </c>
      <c r="L1283" s="139">
        <f>IFERROR(IF(ISNUMBER(F1283),F1283-IF(ISNUMBER(K1283),K1283,0),""),"")</f>
        <v/>
      </c>
    </row>
    <row r="1284" ht="24" customHeight="1" s="63">
      <c r="E1284" s="139" t="n"/>
      <c r="F1284" s="139" t="n"/>
      <c r="G1284" s="140">
        <f>IFERROR(IF(E1284&gt;0,(F1284/E1284)*1000,""),"")</f>
        <v/>
      </c>
      <c r="H1284" s="139">
        <f>IFERROR(IF(E1284&gt;0,E1284*IF(ISNUMBER(J1284),J1284,IF(OR(C1284="Alpha",B1284="Alpha"),$C$7,IF(C1284="Futures",$C$6,$C$5))),""),"")</f>
        <v/>
      </c>
      <c r="I1284" s="139">
        <f>IFERROR(IF(AND(ISNUMBER(F1284),ISNUMBER(H1284)),F1284-H1284,""),"")</f>
        <v/>
      </c>
      <c r="J1284" s="114" t="n"/>
      <c r="K1284" s="139">
        <f>IFERROR(IF(H1284&gt;0,H1284*IF(OR(C1284="Alpha",B1284="Alpha"),$C$9,$C$8),""),"")</f>
        <v/>
      </c>
      <c r="L1284" s="139">
        <f>IFERROR(IF(ISNUMBER(F1284),F1284-IF(ISNUMBER(K1284),K1284,0),""),"")</f>
        <v/>
      </c>
    </row>
    <row r="1285" ht="24" customHeight="1" s="63">
      <c r="E1285" s="139" t="n"/>
      <c r="F1285" s="139" t="n"/>
      <c r="G1285" s="140">
        <f>IFERROR(IF(E1285&gt;0,(F1285/E1285)*1000,""),"")</f>
        <v/>
      </c>
      <c r="H1285" s="139">
        <f>IFERROR(IF(E1285&gt;0,E1285*IF(ISNUMBER(J1285),J1285,IF(OR(C1285="Alpha",B1285="Alpha"),$C$7,IF(C1285="Futures",$C$6,$C$5))),""),"")</f>
        <v/>
      </c>
      <c r="I1285" s="139">
        <f>IFERROR(IF(AND(ISNUMBER(F1285),ISNUMBER(H1285)),F1285-H1285,""),"")</f>
        <v/>
      </c>
      <c r="J1285" s="114" t="n"/>
      <c r="K1285" s="139">
        <f>IFERROR(IF(H1285&gt;0,H1285*IF(OR(C1285="Alpha",B1285="Alpha"),$C$9,$C$8),""),"")</f>
        <v/>
      </c>
      <c r="L1285" s="139">
        <f>IFERROR(IF(ISNUMBER(F1285),F1285-IF(ISNUMBER(K1285),K1285,0),""),"")</f>
        <v/>
      </c>
    </row>
    <row r="1286" ht="24" customHeight="1" s="63">
      <c r="E1286" s="139" t="n"/>
      <c r="F1286" s="139" t="n"/>
      <c r="G1286" s="140">
        <f>IFERROR(IF(E1286&gt;0,(F1286/E1286)*1000,""),"")</f>
        <v/>
      </c>
      <c r="H1286" s="139">
        <f>IFERROR(IF(E1286&gt;0,E1286*IF(ISNUMBER(J1286),J1286,IF(OR(C1286="Alpha",B1286="Alpha"),$C$7,IF(C1286="Futures",$C$6,$C$5))),""),"")</f>
        <v/>
      </c>
      <c r="I1286" s="139">
        <f>IFERROR(IF(AND(ISNUMBER(F1286),ISNUMBER(H1286)),F1286-H1286,""),"")</f>
        <v/>
      </c>
      <c r="J1286" s="114" t="n"/>
      <c r="K1286" s="139">
        <f>IFERROR(IF(H1286&gt;0,H1286*IF(OR(C1286="Alpha",B1286="Alpha"),$C$9,$C$8),""),"")</f>
        <v/>
      </c>
      <c r="L1286" s="139">
        <f>IFERROR(IF(ISNUMBER(F1286),F1286-IF(ISNUMBER(K1286),K1286,0),""),"")</f>
        <v/>
      </c>
    </row>
    <row r="1287" ht="24" customHeight="1" s="63">
      <c r="E1287" s="139" t="n"/>
      <c r="F1287" s="139" t="n"/>
      <c r="G1287" s="140">
        <f>IFERROR(IF(E1287&gt;0,(F1287/E1287)*1000,""),"")</f>
        <v/>
      </c>
      <c r="H1287" s="139">
        <f>IFERROR(IF(E1287&gt;0,E1287*IF(ISNUMBER(J1287),J1287,IF(OR(C1287="Alpha",B1287="Alpha"),$C$7,IF(C1287="Futures",$C$6,$C$5))),""),"")</f>
        <v/>
      </c>
      <c r="I1287" s="139">
        <f>IFERROR(IF(AND(ISNUMBER(F1287),ISNUMBER(H1287)),F1287-H1287,""),"")</f>
        <v/>
      </c>
      <c r="J1287" s="114" t="n"/>
      <c r="K1287" s="139">
        <f>IFERROR(IF(H1287&gt;0,H1287*IF(OR(C1287="Alpha",B1287="Alpha"),$C$9,$C$8),""),"")</f>
        <v/>
      </c>
      <c r="L1287" s="139">
        <f>IFERROR(IF(ISNUMBER(F1287),F1287-IF(ISNUMBER(K1287),K1287,0),""),"")</f>
        <v/>
      </c>
    </row>
    <row r="1288" ht="24" customHeight="1" s="63">
      <c r="E1288" s="139" t="n"/>
      <c r="F1288" s="139" t="n"/>
      <c r="G1288" s="140">
        <f>IFERROR(IF(E1288&gt;0,(F1288/E1288)*1000,""),"")</f>
        <v/>
      </c>
      <c r="H1288" s="139">
        <f>IFERROR(IF(E1288&gt;0,E1288*IF(ISNUMBER(J1288),J1288,IF(OR(C1288="Alpha",B1288="Alpha"),$C$7,IF(C1288="Futures",$C$6,$C$5))),""),"")</f>
        <v/>
      </c>
      <c r="I1288" s="139">
        <f>IFERROR(IF(AND(ISNUMBER(F1288),ISNUMBER(H1288)),F1288-H1288,""),"")</f>
        <v/>
      </c>
      <c r="J1288" s="114" t="n"/>
      <c r="K1288" s="139">
        <f>IFERROR(IF(H1288&gt;0,H1288*IF(OR(C1288="Alpha",B1288="Alpha"),$C$9,$C$8),""),"")</f>
        <v/>
      </c>
      <c r="L1288" s="139">
        <f>IFERROR(IF(ISNUMBER(F1288),F1288-IF(ISNUMBER(K1288),K1288,0),""),"")</f>
        <v/>
      </c>
    </row>
    <row r="1289" ht="24" customHeight="1" s="63">
      <c r="E1289" s="139" t="n"/>
      <c r="F1289" s="139" t="n"/>
      <c r="G1289" s="140">
        <f>IFERROR(IF(E1289&gt;0,(F1289/E1289)*1000,""),"")</f>
        <v/>
      </c>
      <c r="H1289" s="139">
        <f>IFERROR(IF(E1289&gt;0,E1289*IF(ISNUMBER(J1289),J1289,IF(OR(C1289="Alpha",B1289="Alpha"),$C$7,IF(C1289="Futures",$C$6,$C$5))),""),"")</f>
        <v/>
      </c>
      <c r="I1289" s="139">
        <f>IFERROR(IF(AND(ISNUMBER(F1289),ISNUMBER(H1289)),F1289-H1289,""),"")</f>
        <v/>
      </c>
      <c r="J1289" s="114" t="n"/>
      <c r="K1289" s="139">
        <f>IFERROR(IF(H1289&gt;0,H1289*IF(OR(C1289="Alpha",B1289="Alpha"),$C$9,$C$8),""),"")</f>
        <v/>
      </c>
      <c r="L1289" s="139">
        <f>IFERROR(IF(ISNUMBER(F1289),F1289-IF(ISNUMBER(K1289),K1289,0),""),"")</f>
        <v/>
      </c>
    </row>
    <row r="1290" ht="24" customHeight="1" s="63">
      <c r="E1290" s="139" t="n"/>
      <c r="F1290" s="139" t="n"/>
      <c r="G1290" s="140">
        <f>IFERROR(IF(E1290&gt;0,(F1290/E1290)*1000,""),"")</f>
        <v/>
      </c>
      <c r="H1290" s="139">
        <f>IFERROR(IF(E1290&gt;0,E1290*IF(ISNUMBER(J1290),J1290,IF(OR(C1290="Alpha",B1290="Alpha"),$C$7,IF(C1290="Futures",$C$6,$C$5))),""),"")</f>
        <v/>
      </c>
      <c r="I1290" s="139">
        <f>IFERROR(IF(AND(ISNUMBER(F1290),ISNUMBER(H1290)),F1290-H1290,""),"")</f>
        <v/>
      </c>
      <c r="J1290" s="114" t="n"/>
      <c r="K1290" s="139">
        <f>IFERROR(IF(H1290&gt;0,H1290*IF(OR(C1290="Alpha",B1290="Alpha"),$C$9,$C$8),""),"")</f>
        <v/>
      </c>
      <c r="L1290" s="139">
        <f>IFERROR(IF(ISNUMBER(F1290),F1290-IF(ISNUMBER(K1290),K1290,0),""),"")</f>
        <v/>
      </c>
    </row>
    <row r="1291" ht="24" customHeight="1" s="63">
      <c r="E1291" s="139" t="n"/>
      <c r="F1291" s="139" t="n"/>
      <c r="G1291" s="140">
        <f>IFERROR(IF(E1291&gt;0,(F1291/E1291)*1000,""),"")</f>
        <v/>
      </c>
      <c r="H1291" s="139">
        <f>IFERROR(IF(E1291&gt;0,E1291*IF(ISNUMBER(J1291),J1291,IF(OR(C1291="Alpha",B1291="Alpha"),$C$7,IF(C1291="Futures",$C$6,$C$5))),""),"")</f>
        <v/>
      </c>
      <c r="I1291" s="139">
        <f>IFERROR(IF(AND(ISNUMBER(F1291),ISNUMBER(H1291)),F1291-H1291,""),"")</f>
        <v/>
      </c>
      <c r="J1291" s="114" t="n"/>
      <c r="K1291" s="139">
        <f>IFERROR(IF(H1291&gt;0,H1291*IF(OR(C1291="Alpha",B1291="Alpha"),$C$9,$C$8),""),"")</f>
        <v/>
      </c>
      <c r="L1291" s="139">
        <f>IFERROR(IF(ISNUMBER(F1291),F1291-IF(ISNUMBER(K1291),K1291,0),""),"")</f>
        <v/>
      </c>
    </row>
    <row r="1292" ht="24" customHeight="1" s="63">
      <c r="E1292" s="139" t="n"/>
      <c r="F1292" s="139" t="n"/>
      <c r="G1292" s="140">
        <f>IFERROR(IF(E1292&gt;0,(F1292/E1292)*1000,""),"")</f>
        <v/>
      </c>
      <c r="H1292" s="139">
        <f>IFERROR(IF(E1292&gt;0,E1292*IF(ISNUMBER(J1292),J1292,IF(OR(C1292="Alpha",B1292="Alpha"),$C$7,IF(C1292="Futures",$C$6,$C$5))),""),"")</f>
        <v/>
      </c>
      <c r="I1292" s="139">
        <f>IFERROR(IF(AND(ISNUMBER(F1292),ISNUMBER(H1292)),F1292-H1292,""),"")</f>
        <v/>
      </c>
      <c r="J1292" s="114" t="n"/>
      <c r="K1292" s="139">
        <f>IFERROR(IF(H1292&gt;0,H1292*IF(OR(C1292="Alpha",B1292="Alpha"),$C$9,$C$8),""),"")</f>
        <v/>
      </c>
      <c r="L1292" s="139">
        <f>IFERROR(IF(ISNUMBER(F1292),F1292-IF(ISNUMBER(K1292),K1292,0),""),"")</f>
        <v/>
      </c>
    </row>
    <row r="1293" ht="24" customHeight="1" s="63">
      <c r="E1293" s="139" t="n"/>
      <c r="F1293" s="139" t="n"/>
      <c r="G1293" s="140">
        <f>IFERROR(IF(E1293&gt;0,(F1293/E1293)*1000,""),"")</f>
        <v/>
      </c>
      <c r="H1293" s="139">
        <f>IFERROR(IF(E1293&gt;0,E1293*IF(ISNUMBER(J1293),J1293,IF(OR(C1293="Alpha",B1293="Alpha"),$C$7,IF(C1293="Futures",$C$6,$C$5))),""),"")</f>
        <v/>
      </c>
      <c r="I1293" s="139">
        <f>IFERROR(IF(AND(ISNUMBER(F1293),ISNUMBER(H1293)),F1293-H1293,""),"")</f>
        <v/>
      </c>
      <c r="J1293" s="114" t="n"/>
      <c r="K1293" s="139">
        <f>IFERROR(IF(H1293&gt;0,H1293*IF(OR(C1293="Alpha",B1293="Alpha"),$C$9,$C$8),""),"")</f>
        <v/>
      </c>
      <c r="L1293" s="139">
        <f>IFERROR(IF(ISNUMBER(F1293),F1293-IF(ISNUMBER(K1293),K1293,0),""),"")</f>
        <v/>
      </c>
    </row>
    <row r="1294" ht="24" customHeight="1" s="63">
      <c r="E1294" s="139" t="n"/>
      <c r="F1294" s="139" t="n"/>
      <c r="G1294" s="140">
        <f>IFERROR(IF(E1294&gt;0,(F1294/E1294)*1000,""),"")</f>
        <v/>
      </c>
      <c r="H1294" s="139">
        <f>IFERROR(IF(E1294&gt;0,E1294*IF(ISNUMBER(J1294),J1294,IF(OR(C1294="Alpha",B1294="Alpha"),$C$7,IF(C1294="Futures",$C$6,$C$5))),""),"")</f>
        <v/>
      </c>
      <c r="I1294" s="139">
        <f>IFERROR(IF(AND(ISNUMBER(F1294),ISNUMBER(H1294)),F1294-H1294,""),"")</f>
        <v/>
      </c>
      <c r="J1294" s="114" t="n"/>
      <c r="K1294" s="139">
        <f>IFERROR(IF(H1294&gt;0,H1294*IF(OR(C1294="Alpha",B1294="Alpha"),$C$9,$C$8),""),"")</f>
        <v/>
      </c>
      <c r="L1294" s="139">
        <f>IFERROR(IF(ISNUMBER(F1294),F1294-IF(ISNUMBER(K1294),K1294,0),""),"")</f>
        <v/>
      </c>
    </row>
    <row r="1295" ht="24" customHeight="1" s="63">
      <c r="E1295" s="139" t="n"/>
      <c r="F1295" s="139" t="n"/>
      <c r="G1295" s="140">
        <f>IFERROR(IF(E1295&gt;0,(F1295/E1295)*1000,""),"")</f>
        <v/>
      </c>
      <c r="H1295" s="139">
        <f>IFERROR(IF(E1295&gt;0,E1295*IF(ISNUMBER(J1295),J1295,IF(OR(C1295="Alpha",B1295="Alpha"),$C$7,IF(C1295="Futures",$C$6,$C$5))),""),"")</f>
        <v/>
      </c>
      <c r="I1295" s="139">
        <f>IFERROR(IF(AND(ISNUMBER(F1295),ISNUMBER(H1295)),F1295-H1295,""),"")</f>
        <v/>
      </c>
      <c r="J1295" s="114" t="n"/>
      <c r="K1295" s="139">
        <f>IFERROR(IF(H1295&gt;0,H1295*IF(OR(C1295="Alpha",B1295="Alpha"),$C$9,$C$8),""),"")</f>
        <v/>
      </c>
      <c r="L1295" s="139">
        <f>IFERROR(IF(ISNUMBER(F1295),F1295-IF(ISNUMBER(K1295),K1295,0),""),"")</f>
        <v/>
      </c>
    </row>
    <row r="1296" ht="24" customHeight="1" s="63">
      <c r="E1296" s="139" t="n"/>
      <c r="F1296" s="139" t="n"/>
      <c r="G1296" s="140">
        <f>IFERROR(IF(E1296&gt;0,(F1296/E1296)*1000,""),"")</f>
        <v/>
      </c>
      <c r="H1296" s="139">
        <f>IFERROR(IF(E1296&gt;0,E1296*IF(ISNUMBER(J1296),J1296,IF(OR(C1296="Alpha",B1296="Alpha"),$C$7,IF(C1296="Futures",$C$6,$C$5))),""),"")</f>
        <v/>
      </c>
      <c r="I1296" s="139">
        <f>IFERROR(IF(AND(ISNUMBER(F1296),ISNUMBER(H1296)),F1296-H1296,""),"")</f>
        <v/>
      </c>
      <c r="J1296" s="114" t="n"/>
      <c r="K1296" s="139">
        <f>IFERROR(IF(H1296&gt;0,H1296*IF(OR(C1296="Alpha",B1296="Alpha"),$C$9,$C$8),""),"")</f>
        <v/>
      </c>
      <c r="L1296" s="139">
        <f>IFERROR(IF(ISNUMBER(F1296),F1296-IF(ISNUMBER(K1296),K1296,0),""),"")</f>
        <v/>
      </c>
    </row>
    <row r="1297" ht="24" customHeight="1" s="63">
      <c r="E1297" s="139" t="n"/>
      <c r="F1297" s="139" t="n"/>
      <c r="G1297" s="140">
        <f>IFERROR(IF(E1297&gt;0,(F1297/E1297)*1000,""),"")</f>
        <v/>
      </c>
      <c r="H1297" s="139">
        <f>IFERROR(IF(E1297&gt;0,E1297*IF(ISNUMBER(J1297),J1297,IF(OR(C1297="Alpha",B1297="Alpha"),$C$7,IF(C1297="Futures",$C$6,$C$5))),""),"")</f>
        <v/>
      </c>
      <c r="I1297" s="139">
        <f>IFERROR(IF(AND(ISNUMBER(F1297),ISNUMBER(H1297)),F1297-H1297,""),"")</f>
        <v/>
      </c>
      <c r="J1297" s="114" t="n"/>
      <c r="K1297" s="139">
        <f>IFERROR(IF(H1297&gt;0,H1297*IF(OR(C1297="Alpha",B1297="Alpha"),$C$9,$C$8),""),"")</f>
        <v/>
      </c>
      <c r="L1297" s="139">
        <f>IFERROR(IF(ISNUMBER(F1297),F1297-IF(ISNUMBER(K1297),K1297,0),""),"")</f>
        <v/>
      </c>
    </row>
    <row r="1298" ht="24" customHeight="1" s="63">
      <c r="E1298" s="139" t="n"/>
      <c r="F1298" s="139" t="n"/>
      <c r="G1298" s="140">
        <f>IFERROR(IF(E1298&gt;0,(F1298/E1298)*1000,""),"")</f>
        <v/>
      </c>
      <c r="H1298" s="139">
        <f>IFERROR(IF(E1298&gt;0,E1298*IF(ISNUMBER(J1298),J1298,IF(OR(C1298="Alpha",B1298="Alpha"),$C$7,IF(C1298="Futures",$C$6,$C$5))),""),"")</f>
        <v/>
      </c>
      <c r="I1298" s="139">
        <f>IFERROR(IF(AND(ISNUMBER(F1298),ISNUMBER(H1298)),F1298-H1298,""),"")</f>
        <v/>
      </c>
      <c r="J1298" s="114" t="n"/>
      <c r="K1298" s="139">
        <f>IFERROR(IF(H1298&gt;0,H1298*IF(OR(C1298="Alpha",B1298="Alpha"),$C$9,$C$8),""),"")</f>
        <v/>
      </c>
      <c r="L1298" s="139">
        <f>IFERROR(IF(ISNUMBER(F1298),F1298-IF(ISNUMBER(K1298),K1298,0),""),"")</f>
        <v/>
      </c>
    </row>
    <row r="1299" ht="24" customHeight="1" s="63">
      <c r="E1299" s="139" t="n"/>
      <c r="F1299" s="139" t="n"/>
      <c r="G1299" s="140">
        <f>IFERROR(IF(E1299&gt;0,(F1299/E1299)*1000,""),"")</f>
        <v/>
      </c>
      <c r="H1299" s="139">
        <f>IFERROR(IF(E1299&gt;0,E1299*IF(ISNUMBER(J1299),J1299,IF(OR(C1299="Alpha",B1299="Alpha"),$C$7,IF(C1299="Futures",$C$6,$C$5))),""),"")</f>
        <v/>
      </c>
      <c r="I1299" s="139">
        <f>IFERROR(IF(AND(ISNUMBER(F1299),ISNUMBER(H1299)),F1299-H1299,""),"")</f>
        <v/>
      </c>
      <c r="J1299" s="114" t="n"/>
      <c r="K1299" s="139">
        <f>IFERROR(IF(H1299&gt;0,H1299*IF(OR(C1299="Alpha",B1299="Alpha"),$C$9,$C$8),""),"")</f>
        <v/>
      </c>
      <c r="L1299" s="139">
        <f>IFERROR(IF(ISNUMBER(F1299),F1299-IF(ISNUMBER(K1299),K1299,0),""),"")</f>
        <v/>
      </c>
    </row>
    <row r="1300" ht="24" customHeight="1" s="63">
      <c r="E1300" s="139" t="n"/>
      <c r="F1300" s="139" t="n"/>
      <c r="G1300" s="140">
        <f>IFERROR(IF(E1300&gt;0,(F1300/E1300)*1000,""),"")</f>
        <v/>
      </c>
      <c r="H1300" s="139">
        <f>IFERROR(IF(E1300&gt;0,E1300*IF(ISNUMBER(J1300),J1300,IF(OR(C1300="Alpha",B1300="Alpha"),$C$7,IF(C1300="Futures",$C$6,$C$5))),""),"")</f>
        <v/>
      </c>
      <c r="I1300" s="139">
        <f>IFERROR(IF(AND(ISNUMBER(F1300),ISNUMBER(H1300)),F1300-H1300,""),"")</f>
        <v/>
      </c>
      <c r="J1300" s="114" t="n"/>
      <c r="K1300" s="139">
        <f>IFERROR(IF(H1300&gt;0,H1300*IF(OR(C1300="Alpha",B1300="Alpha"),$C$9,$C$8),""),"")</f>
        <v/>
      </c>
      <c r="L1300" s="139">
        <f>IFERROR(IF(ISNUMBER(F1300),F1300-IF(ISNUMBER(K1300),K1300,0),""),"")</f>
        <v/>
      </c>
    </row>
    <row r="1301" ht="24" customHeight="1" s="63">
      <c r="E1301" s="139" t="n"/>
      <c r="F1301" s="139" t="n"/>
      <c r="G1301" s="140">
        <f>IFERROR(IF(E1301&gt;0,(F1301/E1301)*1000,""),"")</f>
        <v/>
      </c>
      <c r="H1301" s="139">
        <f>IFERROR(IF(E1301&gt;0,E1301*IF(ISNUMBER(J1301),J1301,IF(OR(C1301="Alpha",B1301="Alpha"),$C$7,IF(C1301="Futures",$C$6,$C$5))),""),"")</f>
        <v/>
      </c>
      <c r="I1301" s="139">
        <f>IFERROR(IF(AND(ISNUMBER(F1301),ISNUMBER(H1301)),F1301-H1301,""),"")</f>
        <v/>
      </c>
      <c r="J1301" s="114" t="n"/>
      <c r="K1301" s="139">
        <f>IFERROR(IF(H1301&gt;0,H1301*IF(OR(C1301="Alpha",B1301="Alpha"),$C$9,$C$8),""),"")</f>
        <v/>
      </c>
      <c r="L1301" s="139">
        <f>IFERROR(IF(ISNUMBER(F1301),F1301-IF(ISNUMBER(K1301),K1301,0),""),"")</f>
        <v/>
      </c>
    </row>
    <row r="1302" ht="24" customHeight="1" s="63">
      <c r="E1302" s="139" t="n"/>
      <c r="F1302" s="139" t="n"/>
      <c r="G1302" s="140">
        <f>IFERROR(IF(E1302&gt;0,(F1302/E1302)*1000,""),"")</f>
        <v/>
      </c>
      <c r="H1302" s="139">
        <f>IFERROR(IF(E1302&gt;0,E1302*IF(ISNUMBER(J1302),J1302,IF(OR(C1302="Alpha",B1302="Alpha"),$C$7,IF(C1302="Futures",$C$6,$C$5))),""),"")</f>
        <v/>
      </c>
      <c r="I1302" s="139">
        <f>IFERROR(IF(AND(ISNUMBER(F1302),ISNUMBER(H1302)),F1302-H1302,""),"")</f>
        <v/>
      </c>
      <c r="J1302" s="114" t="n"/>
      <c r="K1302" s="139">
        <f>IFERROR(IF(H1302&gt;0,H1302*IF(OR(C1302="Alpha",B1302="Alpha"),$C$9,$C$8),""),"")</f>
        <v/>
      </c>
      <c r="L1302" s="139">
        <f>IFERROR(IF(ISNUMBER(F1302),F1302-IF(ISNUMBER(K1302),K1302,0),""),"")</f>
        <v/>
      </c>
    </row>
    <row r="1303" ht="24" customHeight="1" s="63">
      <c r="E1303" s="139" t="n"/>
      <c r="F1303" s="139" t="n"/>
      <c r="G1303" s="140">
        <f>IFERROR(IF(E1303&gt;0,(F1303/E1303)*1000,""),"")</f>
        <v/>
      </c>
      <c r="H1303" s="139">
        <f>IFERROR(IF(E1303&gt;0,E1303*IF(ISNUMBER(J1303),J1303,IF(OR(C1303="Alpha",B1303="Alpha"),$C$7,IF(C1303="Futures",$C$6,$C$5))),""),"")</f>
        <v/>
      </c>
      <c r="I1303" s="139">
        <f>IFERROR(IF(AND(ISNUMBER(F1303),ISNUMBER(H1303)),F1303-H1303,""),"")</f>
        <v/>
      </c>
      <c r="J1303" s="114" t="n"/>
      <c r="K1303" s="139">
        <f>IFERROR(IF(H1303&gt;0,H1303*IF(OR(C1303="Alpha",B1303="Alpha"),$C$9,$C$8),""),"")</f>
        <v/>
      </c>
      <c r="L1303" s="139">
        <f>IFERROR(IF(ISNUMBER(F1303),F1303-IF(ISNUMBER(K1303),K1303,0),""),"")</f>
        <v/>
      </c>
    </row>
    <row r="1304" ht="24" customHeight="1" s="63">
      <c r="E1304" s="139" t="n"/>
      <c r="F1304" s="139" t="n"/>
      <c r="G1304" s="140">
        <f>IFERROR(IF(E1304&gt;0,(F1304/E1304)*1000,""),"")</f>
        <v/>
      </c>
      <c r="H1304" s="139">
        <f>IFERROR(IF(E1304&gt;0,E1304*IF(ISNUMBER(J1304),J1304,IF(OR(C1304="Alpha",B1304="Alpha"),$C$7,IF(C1304="Futures",$C$6,$C$5))),""),"")</f>
        <v/>
      </c>
      <c r="I1304" s="139">
        <f>IFERROR(IF(AND(ISNUMBER(F1304),ISNUMBER(H1304)),F1304-H1304,""),"")</f>
        <v/>
      </c>
      <c r="J1304" s="114" t="n"/>
      <c r="K1304" s="139">
        <f>IFERROR(IF(H1304&gt;0,H1304*IF(OR(C1304="Alpha",B1304="Alpha"),$C$9,$C$8),""),"")</f>
        <v/>
      </c>
      <c r="L1304" s="139">
        <f>IFERROR(IF(ISNUMBER(F1304),F1304-IF(ISNUMBER(K1304),K1304,0),""),"")</f>
        <v/>
      </c>
    </row>
    <row r="1305" ht="24" customHeight="1" s="63">
      <c r="E1305" s="139" t="n"/>
      <c r="F1305" s="139" t="n"/>
      <c r="G1305" s="140">
        <f>IFERROR(IF(E1305&gt;0,(F1305/E1305)*1000,""),"")</f>
        <v/>
      </c>
      <c r="H1305" s="139">
        <f>IFERROR(IF(E1305&gt;0,E1305*IF(ISNUMBER(J1305),J1305,IF(OR(C1305="Alpha",B1305="Alpha"),$C$7,IF(C1305="Futures",$C$6,$C$5))),""),"")</f>
        <v/>
      </c>
      <c r="I1305" s="139">
        <f>IFERROR(IF(AND(ISNUMBER(F1305),ISNUMBER(H1305)),F1305-H1305,""),"")</f>
        <v/>
      </c>
      <c r="J1305" s="114" t="n"/>
      <c r="K1305" s="139">
        <f>IFERROR(IF(H1305&gt;0,H1305*IF(OR(C1305="Alpha",B1305="Alpha"),$C$9,$C$8),""),"")</f>
        <v/>
      </c>
      <c r="L1305" s="139">
        <f>IFERROR(IF(ISNUMBER(F1305),F1305-IF(ISNUMBER(K1305),K1305,0),""),"")</f>
        <v/>
      </c>
    </row>
    <row r="1306" ht="24" customHeight="1" s="63">
      <c r="E1306" s="139" t="n"/>
      <c r="F1306" s="139" t="n"/>
      <c r="G1306" s="140">
        <f>IFERROR(IF(E1306&gt;0,(F1306/E1306)*1000,""),"")</f>
        <v/>
      </c>
      <c r="H1306" s="139">
        <f>IFERROR(IF(E1306&gt;0,E1306*IF(ISNUMBER(J1306),J1306,IF(OR(C1306="Alpha",B1306="Alpha"),$C$7,IF(C1306="Futures",$C$6,$C$5))),""),"")</f>
        <v/>
      </c>
      <c r="I1306" s="139">
        <f>IFERROR(IF(AND(ISNUMBER(F1306),ISNUMBER(H1306)),F1306-H1306,""),"")</f>
        <v/>
      </c>
      <c r="J1306" s="114" t="n"/>
      <c r="K1306" s="139">
        <f>IFERROR(IF(H1306&gt;0,H1306*IF(OR(C1306="Alpha",B1306="Alpha"),$C$9,$C$8),""),"")</f>
        <v/>
      </c>
      <c r="L1306" s="139">
        <f>IFERROR(IF(ISNUMBER(F1306),F1306-IF(ISNUMBER(K1306),K1306,0),""),"")</f>
        <v/>
      </c>
    </row>
    <row r="1307" ht="24" customHeight="1" s="63">
      <c r="E1307" s="139" t="n"/>
      <c r="F1307" s="139" t="n"/>
      <c r="G1307" s="140">
        <f>IFERROR(IF(E1307&gt;0,(F1307/E1307)*1000,""),"")</f>
        <v/>
      </c>
      <c r="H1307" s="139">
        <f>IFERROR(IF(E1307&gt;0,E1307*IF(ISNUMBER(J1307),J1307,IF(OR(C1307="Alpha",B1307="Alpha"),$C$7,IF(C1307="Futures",$C$6,$C$5))),""),"")</f>
        <v/>
      </c>
      <c r="I1307" s="139">
        <f>IFERROR(IF(AND(ISNUMBER(F1307),ISNUMBER(H1307)),F1307-H1307,""),"")</f>
        <v/>
      </c>
      <c r="J1307" s="114" t="n"/>
      <c r="K1307" s="139">
        <f>IFERROR(IF(H1307&gt;0,H1307*IF(OR(C1307="Alpha",B1307="Alpha"),$C$9,$C$8),""),"")</f>
        <v/>
      </c>
      <c r="L1307" s="139">
        <f>IFERROR(IF(ISNUMBER(F1307),F1307-IF(ISNUMBER(K1307),K1307,0),""),"")</f>
        <v/>
      </c>
    </row>
    <row r="1308" ht="24" customHeight="1" s="63">
      <c r="E1308" s="139" t="n"/>
      <c r="F1308" s="139" t="n"/>
      <c r="G1308" s="140">
        <f>IFERROR(IF(E1308&gt;0,(F1308/E1308)*1000,""),"")</f>
        <v/>
      </c>
      <c r="H1308" s="139">
        <f>IFERROR(IF(E1308&gt;0,E1308*IF(ISNUMBER(J1308),J1308,IF(OR(C1308="Alpha",B1308="Alpha"),$C$7,IF(C1308="Futures",$C$6,$C$5))),""),"")</f>
        <v/>
      </c>
      <c r="I1308" s="139">
        <f>IFERROR(IF(AND(ISNUMBER(F1308),ISNUMBER(H1308)),F1308-H1308,""),"")</f>
        <v/>
      </c>
      <c r="J1308" s="114" t="n"/>
      <c r="K1308" s="139">
        <f>IFERROR(IF(H1308&gt;0,H1308*IF(OR(C1308="Alpha",B1308="Alpha"),$C$9,$C$8),""),"")</f>
        <v/>
      </c>
      <c r="L1308" s="139">
        <f>IFERROR(IF(ISNUMBER(F1308),F1308-IF(ISNUMBER(K1308),K1308,0),""),"")</f>
        <v/>
      </c>
    </row>
    <row r="1309" ht="24" customHeight="1" s="63">
      <c r="E1309" s="139" t="n"/>
      <c r="F1309" s="139" t="n"/>
      <c r="G1309" s="140">
        <f>IFERROR(IF(E1309&gt;0,(F1309/E1309)*1000,""),"")</f>
        <v/>
      </c>
      <c r="H1309" s="139">
        <f>IFERROR(IF(E1309&gt;0,E1309*IF(ISNUMBER(J1309),J1309,IF(OR(C1309="Alpha",B1309="Alpha"),$C$7,IF(C1309="Futures",$C$6,$C$5))),""),"")</f>
        <v/>
      </c>
      <c r="I1309" s="139">
        <f>IFERROR(IF(AND(ISNUMBER(F1309),ISNUMBER(H1309)),F1309-H1309,""),"")</f>
        <v/>
      </c>
      <c r="J1309" s="114" t="n"/>
      <c r="K1309" s="139">
        <f>IFERROR(IF(H1309&gt;0,H1309*IF(OR(C1309="Alpha",B1309="Alpha"),$C$9,$C$8),""),"")</f>
        <v/>
      </c>
      <c r="L1309" s="139">
        <f>IFERROR(IF(ISNUMBER(F1309),F1309-IF(ISNUMBER(K1309),K1309,0),""),"")</f>
        <v/>
      </c>
    </row>
    <row r="1310" ht="24" customHeight="1" s="63">
      <c r="E1310" s="139" t="n"/>
      <c r="F1310" s="139" t="n"/>
      <c r="G1310" s="140">
        <f>IFERROR(IF(E1310&gt;0,(F1310/E1310)*1000,""),"")</f>
        <v/>
      </c>
      <c r="H1310" s="139">
        <f>IFERROR(IF(E1310&gt;0,E1310*IF(ISNUMBER(J1310),J1310,IF(OR(C1310="Alpha",B1310="Alpha"),$C$7,IF(C1310="Futures",$C$6,$C$5))),""),"")</f>
        <v/>
      </c>
      <c r="I1310" s="139">
        <f>IFERROR(IF(AND(ISNUMBER(F1310),ISNUMBER(H1310)),F1310-H1310,""),"")</f>
        <v/>
      </c>
      <c r="J1310" s="114" t="n"/>
      <c r="K1310" s="139">
        <f>IFERROR(IF(H1310&gt;0,H1310*IF(OR(C1310="Alpha",B1310="Alpha"),$C$9,$C$8),""),"")</f>
        <v/>
      </c>
      <c r="L1310" s="139">
        <f>IFERROR(IF(ISNUMBER(F1310),F1310-IF(ISNUMBER(K1310),K1310,0),""),"")</f>
        <v/>
      </c>
    </row>
    <row r="1311" ht="24" customHeight="1" s="63">
      <c r="E1311" s="139" t="n"/>
      <c r="F1311" s="139" t="n"/>
      <c r="G1311" s="140">
        <f>IFERROR(IF(E1311&gt;0,(F1311/E1311)*1000,""),"")</f>
        <v/>
      </c>
      <c r="H1311" s="139">
        <f>IFERROR(IF(E1311&gt;0,E1311*IF(ISNUMBER(J1311),J1311,IF(OR(C1311="Alpha",B1311="Alpha"),$C$7,IF(C1311="Futures",$C$6,$C$5))),""),"")</f>
        <v/>
      </c>
      <c r="I1311" s="139">
        <f>IFERROR(IF(AND(ISNUMBER(F1311),ISNUMBER(H1311)),F1311-H1311,""),"")</f>
        <v/>
      </c>
      <c r="J1311" s="114" t="n"/>
      <c r="K1311" s="139">
        <f>IFERROR(IF(H1311&gt;0,H1311*IF(OR(C1311="Alpha",B1311="Alpha"),$C$9,$C$8),""),"")</f>
        <v/>
      </c>
      <c r="L1311" s="139">
        <f>IFERROR(IF(ISNUMBER(F1311),F1311-IF(ISNUMBER(K1311),K1311,0),""),"")</f>
        <v/>
      </c>
    </row>
    <row r="1312" ht="24" customHeight="1" s="63">
      <c r="E1312" s="139" t="n"/>
      <c r="F1312" s="139" t="n"/>
      <c r="G1312" s="140">
        <f>IFERROR(IF(E1312&gt;0,(F1312/E1312)*1000,""),"")</f>
        <v/>
      </c>
      <c r="H1312" s="139">
        <f>IFERROR(IF(E1312&gt;0,E1312*IF(ISNUMBER(J1312),J1312,IF(OR(C1312="Alpha",B1312="Alpha"),$C$7,IF(C1312="Futures",$C$6,$C$5))),""),"")</f>
        <v/>
      </c>
      <c r="I1312" s="139">
        <f>IFERROR(IF(AND(ISNUMBER(F1312),ISNUMBER(H1312)),F1312-H1312,""),"")</f>
        <v/>
      </c>
      <c r="J1312" s="114" t="n"/>
      <c r="K1312" s="139">
        <f>IFERROR(IF(H1312&gt;0,H1312*IF(OR(C1312="Alpha",B1312="Alpha"),$C$9,$C$8),""),"")</f>
        <v/>
      </c>
      <c r="L1312" s="139">
        <f>IFERROR(IF(ISNUMBER(F1312),F1312-IF(ISNUMBER(K1312),K1312,0),""),"")</f>
        <v/>
      </c>
    </row>
    <row r="1313" ht="24" customHeight="1" s="63">
      <c r="E1313" s="139" t="n"/>
      <c r="F1313" s="139" t="n"/>
      <c r="G1313" s="140">
        <f>IFERROR(IF(E1313&gt;0,(F1313/E1313)*1000,""),"")</f>
        <v/>
      </c>
      <c r="H1313" s="139">
        <f>IFERROR(IF(E1313&gt;0,E1313*IF(ISNUMBER(J1313),J1313,IF(OR(C1313="Alpha",B1313="Alpha"),$C$7,IF(C1313="Futures",$C$6,$C$5))),""),"")</f>
        <v/>
      </c>
      <c r="I1313" s="139">
        <f>IFERROR(IF(AND(ISNUMBER(F1313),ISNUMBER(H1313)),F1313-H1313,""),"")</f>
        <v/>
      </c>
      <c r="J1313" s="114" t="n"/>
      <c r="K1313" s="139">
        <f>IFERROR(IF(H1313&gt;0,H1313*IF(OR(C1313="Alpha",B1313="Alpha"),$C$9,$C$8),""),"")</f>
        <v/>
      </c>
      <c r="L1313" s="139">
        <f>IFERROR(IF(ISNUMBER(F1313),F1313-IF(ISNUMBER(K1313),K1313,0),""),"")</f>
        <v/>
      </c>
    </row>
    <row r="1314" ht="24" customHeight="1" s="63">
      <c r="E1314" s="139" t="n"/>
      <c r="F1314" s="139" t="n"/>
      <c r="G1314" s="140">
        <f>IFERROR(IF(E1314&gt;0,(F1314/E1314)*1000,""),"")</f>
        <v/>
      </c>
      <c r="H1314" s="139">
        <f>IFERROR(IF(E1314&gt;0,E1314*IF(ISNUMBER(J1314),J1314,IF(OR(C1314="Alpha",B1314="Alpha"),$C$7,IF(C1314="Futures",$C$6,$C$5))),""),"")</f>
        <v/>
      </c>
      <c r="I1314" s="139">
        <f>IFERROR(IF(AND(ISNUMBER(F1314),ISNUMBER(H1314)),F1314-H1314,""),"")</f>
        <v/>
      </c>
      <c r="J1314" s="114" t="n"/>
      <c r="K1314" s="139">
        <f>IFERROR(IF(H1314&gt;0,H1314*IF(OR(C1314="Alpha",B1314="Alpha"),$C$9,$C$8),""),"")</f>
        <v/>
      </c>
      <c r="L1314" s="139">
        <f>IFERROR(IF(ISNUMBER(F1314),F1314-IF(ISNUMBER(K1314),K1314,0),""),"")</f>
        <v/>
      </c>
    </row>
    <row r="1315" ht="24" customHeight="1" s="63">
      <c r="E1315" s="139" t="n"/>
      <c r="F1315" s="139" t="n"/>
      <c r="G1315" s="140">
        <f>IFERROR(IF(E1315&gt;0,(F1315/E1315)*1000,""),"")</f>
        <v/>
      </c>
      <c r="H1315" s="139">
        <f>IFERROR(IF(E1315&gt;0,E1315*IF(ISNUMBER(J1315),J1315,IF(OR(C1315="Alpha",B1315="Alpha"),$C$7,IF(C1315="Futures",$C$6,$C$5))),""),"")</f>
        <v/>
      </c>
      <c r="I1315" s="139">
        <f>IFERROR(IF(AND(ISNUMBER(F1315),ISNUMBER(H1315)),F1315-H1315,""),"")</f>
        <v/>
      </c>
      <c r="J1315" s="114" t="n"/>
      <c r="K1315" s="139">
        <f>IFERROR(IF(H1315&gt;0,H1315*IF(OR(C1315="Alpha",B1315="Alpha"),$C$9,$C$8),""),"")</f>
        <v/>
      </c>
      <c r="L1315" s="139">
        <f>IFERROR(IF(ISNUMBER(F1315),F1315-IF(ISNUMBER(K1315),K1315,0),""),"")</f>
        <v/>
      </c>
    </row>
    <row r="1316" ht="24" customHeight="1" s="63">
      <c r="E1316" s="139" t="n"/>
      <c r="F1316" s="139" t="n"/>
      <c r="G1316" s="140">
        <f>IFERROR(IF(E1316&gt;0,(F1316/E1316)*1000,""),"")</f>
        <v/>
      </c>
      <c r="H1316" s="139">
        <f>IFERROR(IF(E1316&gt;0,E1316*IF(ISNUMBER(J1316),J1316,IF(OR(C1316="Alpha",B1316="Alpha"),$C$7,IF(C1316="Futures",$C$6,$C$5))),""),"")</f>
        <v/>
      </c>
      <c r="I1316" s="139">
        <f>IFERROR(IF(AND(ISNUMBER(F1316),ISNUMBER(H1316)),F1316-H1316,""),"")</f>
        <v/>
      </c>
      <c r="J1316" s="114" t="n"/>
      <c r="K1316" s="139">
        <f>IFERROR(IF(H1316&gt;0,H1316*IF(OR(C1316="Alpha",B1316="Alpha"),$C$9,$C$8),""),"")</f>
        <v/>
      </c>
      <c r="L1316" s="139">
        <f>IFERROR(IF(ISNUMBER(F1316),F1316-IF(ISNUMBER(K1316),K1316,0),""),"")</f>
        <v/>
      </c>
    </row>
    <row r="1317" ht="24" customHeight="1" s="63">
      <c r="E1317" s="139" t="n"/>
      <c r="F1317" s="139" t="n"/>
      <c r="G1317" s="140">
        <f>IFERROR(IF(E1317&gt;0,(F1317/E1317)*1000,""),"")</f>
        <v/>
      </c>
      <c r="H1317" s="139">
        <f>IFERROR(IF(E1317&gt;0,E1317*IF(ISNUMBER(J1317),J1317,IF(OR(C1317="Alpha",B1317="Alpha"),$C$7,IF(C1317="Futures",$C$6,$C$5))),""),"")</f>
        <v/>
      </c>
      <c r="I1317" s="139">
        <f>IFERROR(IF(AND(ISNUMBER(F1317),ISNUMBER(H1317)),F1317-H1317,""),"")</f>
        <v/>
      </c>
      <c r="J1317" s="114" t="n"/>
      <c r="K1317" s="139">
        <f>IFERROR(IF(H1317&gt;0,H1317*IF(OR(C1317="Alpha",B1317="Alpha"),$C$9,$C$8),""),"")</f>
        <v/>
      </c>
      <c r="L1317" s="139">
        <f>IFERROR(IF(ISNUMBER(F1317),F1317-IF(ISNUMBER(K1317),K1317,0),""),"")</f>
        <v/>
      </c>
    </row>
    <row r="1318" ht="24" customHeight="1" s="63">
      <c r="E1318" s="139" t="n"/>
      <c r="F1318" s="139" t="n"/>
      <c r="G1318" s="140">
        <f>IFERROR(IF(E1318&gt;0,(F1318/E1318)*1000,""),"")</f>
        <v/>
      </c>
      <c r="H1318" s="139">
        <f>IFERROR(IF(E1318&gt;0,E1318*IF(ISNUMBER(J1318),J1318,IF(OR(C1318="Alpha",B1318="Alpha"),$C$7,IF(C1318="Futures",$C$6,$C$5))),""),"")</f>
        <v/>
      </c>
      <c r="I1318" s="139">
        <f>IFERROR(IF(AND(ISNUMBER(F1318),ISNUMBER(H1318)),F1318-H1318,""),"")</f>
        <v/>
      </c>
      <c r="J1318" s="114" t="n"/>
      <c r="K1318" s="139">
        <f>IFERROR(IF(H1318&gt;0,H1318*IF(OR(C1318="Alpha",B1318="Alpha"),$C$9,$C$8),""),"")</f>
        <v/>
      </c>
      <c r="L1318" s="139">
        <f>IFERROR(IF(ISNUMBER(F1318),F1318-IF(ISNUMBER(K1318),K1318,0),""),"")</f>
        <v/>
      </c>
    </row>
    <row r="1319" ht="24" customHeight="1" s="63">
      <c r="E1319" s="139" t="n"/>
      <c r="F1319" s="139" t="n"/>
      <c r="G1319" s="140">
        <f>IFERROR(IF(E1319&gt;0,(F1319/E1319)*1000,""),"")</f>
        <v/>
      </c>
      <c r="H1319" s="139">
        <f>IFERROR(IF(E1319&gt;0,E1319*IF(ISNUMBER(J1319),J1319,IF(OR(C1319="Alpha",B1319="Alpha"),$C$7,IF(C1319="Futures",$C$6,$C$5))),""),"")</f>
        <v/>
      </c>
      <c r="I1319" s="139">
        <f>IFERROR(IF(AND(ISNUMBER(F1319),ISNUMBER(H1319)),F1319-H1319,""),"")</f>
        <v/>
      </c>
      <c r="J1319" s="114" t="n"/>
      <c r="K1319" s="139">
        <f>IFERROR(IF(H1319&gt;0,H1319*IF(OR(C1319="Alpha",B1319="Alpha"),$C$9,$C$8),""),"")</f>
        <v/>
      </c>
      <c r="L1319" s="139">
        <f>IFERROR(IF(ISNUMBER(F1319),F1319-IF(ISNUMBER(K1319),K1319,0),""),"")</f>
        <v/>
      </c>
    </row>
    <row r="1320" ht="24" customHeight="1" s="63">
      <c r="E1320" s="139" t="n"/>
      <c r="F1320" s="139" t="n"/>
      <c r="G1320" s="140">
        <f>IFERROR(IF(E1320&gt;0,(F1320/E1320)*1000,""),"")</f>
        <v/>
      </c>
      <c r="H1320" s="139">
        <f>IFERROR(IF(E1320&gt;0,E1320*IF(ISNUMBER(J1320),J1320,IF(OR(C1320="Alpha",B1320="Alpha"),$C$7,IF(C1320="Futures",$C$6,$C$5))),""),"")</f>
        <v/>
      </c>
      <c r="I1320" s="139">
        <f>IFERROR(IF(AND(ISNUMBER(F1320),ISNUMBER(H1320)),F1320-H1320,""),"")</f>
        <v/>
      </c>
      <c r="J1320" s="114" t="n"/>
      <c r="K1320" s="139">
        <f>IFERROR(IF(H1320&gt;0,H1320*IF(OR(C1320="Alpha",B1320="Alpha"),$C$9,$C$8),""),"")</f>
        <v/>
      </c>
      <c r="L1320" s="139">
        <f>IFERROR(IF(ISNUMBER(F1320),F1320-IF(ISNUMBER(K1320),K1320,0),""),"")</f>
        <v/>
      </c>
    </row>
    <row r="1321" ht="24" customHeight="1" s="63">
      <c r="E1321" s="139" t="n"/>
      <c r="F1321" s="139" t="n"/>
      <c r="G1321" s="140">
        <f>IFERROR(IF(E1321&gt;0,(F1321/E1321)*1000,""),"")</f>
        <v/>
      </c>
      <c r="H1321" s="139">
        <f>IFERROR(IF(E1321&gt;0,E1321*IF(ISNUMBER(J1321),J1321,IF(OR(C1321="Alpha",B1321="Alpha"),$C$7,IF(C1321="Futures",$C$6,$C$5))),""),"")</f>
        <v/>
      </c>
      <c r="I1321" s="139">
        <f>IFERROR(IF(AND(ISNUMBER(F1321),ISNUMBER(H1321)),F1321-H1321,""),"")</f>
        <v/>
      </c>
      <c r="J1321" s="114" t="n"/>
      <c r="K1321" s="139">
        <f>IFERROR(IF(H1321&gt;0,H1321*IF(OR(C1321="Alpha",B1321="Alpha"),$C$9,$C$8),""),"")</f>
        <v/>
      </c>
      <c r="L1321" s="139">
        <f>IFERROR(IF(ISNUMBER(F1321),F1321-IF(ISNUMBER(K1321),K1321,0),""),"")</f>
        <v/>
      </c>
    </row>
    <row r="1322" ht="24" customHeight="1" s="63">
      <c r="E1322" s="139" t="n"/>
      <c r="F1322" s="139" t="n"/>
      <c r="G1322" s="140">
        <f>IFERROR(IF(E1322&gt;0,(F1322/E1322)*1000,""),"")</f>
        <v/>
      </c>
      <c r="H1322" s="139">
        <f>IFERROR(IF(E1322&gt;0,E1322*IF(ISNUMBER(J1322),J1322,IF(OR(C1322="Alpha",B1322="Alpha"),$C$7,IF(C1322="Futures",$C$6,$C$5))),""),"")</f>
        <v/>
      </c>
      <c r="I1322" s="139">
        <f>IFERROR(IF(AND(ISNUMBER(F1322),ISNUMBER(H1322)),F1322-H1322,""),"")</f>
        <v/>
      </c>
      <c r="J1322" s="114" t="n"/>
      <c r="K1322" s="139">
        <f>IFERROR(IF(H1322&gt;0,H1322*IF(OR(C1322="Alpha",B1322="Alpha"),$C$9,$C$8),""),"")</f>
        <v/>
      </c>
      <c r="L1322" s="139">
        <f>IFERROR(IF(ISNUMBER(F1322),F1322-IF(ISNUMBER(K1322),K1322,0),""),"")</f>
        <v/>
      </c>
    </row>
    <row r="1323" ht="24" customHeight="1" s="63">
      <c r="E1323" s="139" t="n"/>
      <c r="F1323" s="139" t="n"/>
      <c r="G1323" s="140">
        <f>IFERROR(IF(E1323&gt;0,(F1323/E1323)*1000,""),"")</f>
        <v/>
      </c>
      <c r="H1323" s="139">
        <f>IFERROR(IF(E1323&gt;0,E1323*IF(ISNUMBER(J1323),J1323,IF(OR(C1323="Alpha",B1323="Alpha"),$C$7,IF(C1323="Futures",$C$6,$C$5))),""),"")</f>
        <v/>
      </c>
      <c r="I1323" s="139">
        <f>IFERROR(IF(AND(ISNUMBER(F1323),ISNUMBER(H1323)),F1323-H1323,""),"")</f>
        <v/>
      </c>
      <c r="J1323" s="114" t="n"/>
      <c r="K1323" s="139">
        <f>IFERROR(IF(H1323&gt;0,H1323*IF(OR(C1323="Alpha",B1323="Alpha"),$C$9,$C$8),""),"")</f>
        <v/>
      </c>
      <c r="L1323" s="139">
        <f>IFERROR(IF(ISNUMBER(F1323),F1323-IF(ISNUMBER(K1323),K1323,0),""),"")</f>
        <v/>
      </c>
    </row>
    <row r="1324" ht="24" customHeight="1" s="63">
      <c r="E1324" s="139" t="n"/>
      <c r="F1324" s="139" t="n"/>
      <c r="G1324" s="140">
        <f>IFERROR(IF(E1324&gt;0,(F1324/E1324)*1000,""),"")</f>
        <v/>
      </c>
      <c r="H1324" s="139">
        <f>IFERROR(IF(E1324&gt;0,E1324*IF(ISNUMBER(J1324),J1324,IF(OR(C1324="Alpha",B1324="Alpha"),$C$7,IF(C1324="Futures",$C$6,$C$5))),""),"")</f>
        <v/>
      </c>
      <c r="I1324" s="139">
        <f>IFERROR(IF(AND(ISNUMBER(F1324),ISNUMBER(H1324)),F1324-H1324,""),"")</f>
        <v/>
      </c>
      <c r="J1324" s="114" t="n"/>
      <c r="K1324" s="139">
        <f>IFERROR(IF(H1324&gt;0,H1324*IF(OR(C1324="Alpha",B1324="Alpha"),$C$9,$C$8),""),"")</f>
        <v/>
      </c>
      <c r="L1324" s="139">
        <f>IFERROR(IF(ISNUMBER(F1324),F1324-IF(ISNUMBER(K1324),K1324,0),""),"")</f>
        <v/>
      </c>
    </row>
    <row r="1325" ht="24" customHeight="1" s="63">
      <c r="E1325" s="139" t="n"/>
      <c r="F1325" s="139" t="n"/>
      <c r="G1325" s="140">
        <f>IFERROR(IF(E1325&gt;0,(F1325/E1325)*1000,""),"")</f>
        <v/>
      </c>
      <c r="H1325" s="139">
        <f>IFERROR(IF(E1325&gt;0,E1325*IF(ISNUMBER(J1325),J1325,IF(OR(C1325="Alpha",B1325="Alpha"),$C$7,IF(C1325="Futures",$C$6,$C$5))),""),"")</f>
        <v/>
      </c>
      <c r="I1325" s="139">
        <f>IFERROR(IF(AND(ISNUMBER(F1325),ISNUMBER(H1325)),F1325-H1325,""),"")</f>
        <v/>
      </c>
      <c r="J1325" s="114" t="n"/>
      <c r="K1325" s="139">
        <f>IFERROR(IF(H1325&gt;0,H1325*IF(OR(C1325="Alpha",B1325="Alpha"),$C$9,$C$8),""),"")</f>
        <v/>
      </c>
      <c r="L1325" s="139">
        <f>IFERROR(IF(ISNUMBER(F1325),F1325-IF(ISNUMBER(K1325),K1325,0),""),"")</f>
        <v/>
      </c>
    </row>
    <row r="1326" ht="24" customHeight="1" s="63">
      <c r="E1326" s="139" t="n"/>
      <c r="F1326" s="139" t="n"/>
      <c r="G1326" s="140">
        <f>IFERROR(IF(E1326&gt;0,(F1326/E1326)*1000,""),"")</f>
        <v/>
      </c>
      <c r="H1326" s="139">
        <f>IFERROR(IF(E1326&gt;0,E1326*IF(ISNUMBER(J1326),J1326,IF(OR(C1326="Alpha",B1326="Alpha"),$C$7,IF(C1326="Futures",$C$6,$C$5))),""),"")</f>
        <v/>
      </c>
      <c r="I1326" s="139">
        <f>IFERROR(IF(AND(ISNUMBER(F1326),ISNUMBER(H1326)),F1326-H1326,""),"")</f>
        <v/>
      </c>
      <c r="J1326" s="114" t="n"/>
      <c r="K1326" s="139">
        <f>IFERROR(IF(H1326&gt;0,H1326*IF(OR(C1326="Alpha",B1326="Alpha"),$C$9,$C$8),""),"")</f>
        <v/>
      </c>
      <c r="L1326" s="139">
        <f>IFERROR(IF(ISNUMBER(F1326),F1326-IF(ISNUMBER(K1326),K1326,0),""),"")</f>
        <v/>
      </c>
    </row>
    <row r="1327" ht="24" customHeight="1" s="63">
      <c r="E1327" s="139" t="n"/>
      <c r="F1327" s="139" t="n"/>
      <c r="G1327" s="140">
        <f>IFERROR(IF(E1327&gt;0,(F1327/E1327)*1000,""),"")</f>
        <v/>
      </c>
      <c r="H1327" s="139">
        <f>IFERROR(IF(E1327&gt;0,E1327*IF(ISNUMBER(J1327),J1327,IF(OR(C1327="Alpha",B1327="Alpha"),$C$7,IF(C1327="Futures",$C$6,$C$5))),""),"")</f>
        <v/>
      </c>
      <c r="I1327" s="139">
        <f>IFERROR(IF(AND(ISNUMBER(F1327),ISNUMBER(H1327)),F1327-H1327,""),"")</f>
        <v/>
      </c>
      <c r="J1327" s="114" t="n"/>
      <c r="K1327" s="139">
        <f>IFERROR(IF(H1327&gt;0,H1327*IF(OR(C1327="Alpha",B1327="Alpha"),$C$9,$C$8),""),"")</f>
        <v/>
      </c>
      <c r="L1327" s="139">
        <f>IFERROR(IF(ISNUMBER(F1327),F1327-IF(ISNUMBER(K1327),K1327,0),""),"")</f>
        <v/>
      </c>
    </row>
    <row r="1328" ht="24" customHeight="1" s="63">
      <c r="E1328" s="139" t="n"/>
      <c r="F1328" s="139" t="n"/>
      <c r="G1328" s="140">
        <f>IFERROR(IF(E1328&gt;0,(F1328/E1328)*1000,""),"")</f>
        <v/>
      </c>
      <c r="H1328" s="139">
        <f>IFERROR(IF(E1328&gt;0,E1328*IF(ISNUMBER(J1328),J1328,IF(OR(C1328="Alpha",B1328="Alpha"),$C$7,IF(C1328="Futures",$C$6,$C$5))),""),"")</f>
        <v/>
      </c>
      <c r="I1328" s="139">
        <f>IFERROR(IF(AND(ISNUMBER(F1328),ISNUMBER(H1328)),F1328-H1328,""),"")</f>
        <v/>
      </c>
      <c r="J1328" s="114" t="n"/>
      <c r="K1328" s="139">
        <f>IFERROR(IF(H1328&gt;0,H1328*IF(OR(C1328="Alpha",B1328="Alpha"),$C$9,$C$8),""),"")</f>
        <v/>
      </c>
      <c r="L1328" s="139">
        <f>IFERROR(IF(ISNUMBER(F1328),F1328-IF(ISNUMBER(K1328),K1328,0),""),"")</f>
        <v/>
      </c>
    </row>
    <row r="1329" ht="24" customHeight="1" s="63">
      <c r="E1329" s="139" t="n"/>
      <c r="F1329" s="139" t="n"/>
      <c r="G1329" s="140">
        <f>IFERROR(IF(E1329&gt;0,(F1329/E1329)*1000,""),"")</f>
        <v/>
      </c>
      <c r="H1329" s="139">
        <f>IFERROR(IF(E1329&gt;0,E1329*IF(ISNUMBER(J1329),J1329,IF(OR(C1329="Alpha",B1329="Alpha"),$C$7,IF(C1329="Futures",$C$6,$C$5))),""),"")</f>
        <v/>
      </c>
      <c r="I1329" s="139">
        <f>IFERROR(IF(AND(ISNUMBER(F1329),ISNUMBER(H1329)),F1329-H1329,""),"")</f>
        <v/>
      </c>
      <c r="J1329" s="114" t="n"/>
      <c r="K1329" s="139">
        <f>IFERROR(IF(H1329&gt;0,H1329*IF(OR(C1329="Alpha",B1329="Alpha"),$C$9,$C$8),""),"")</f>
        <v/>
      </c>
      <c r="L1329" s="139">
        <f>IFERROR(IF(ISNUMBER(F1329),F1329-IF(ISNUMBER(K1329),K1329,0),""),"")</f>
        <v/>
      </c>
    </row>
    <row r="1330" ht="24" customHeight="1" s="63">
      <c r="E1330" s="139" t="n"/>
      <c r="F1330" s="139" t="n"/>
      <c r="G1330" s="140">
        <f>IFERROR(IF(E1330&gt;0,(F1330/E1330)*1000,""),"")</f>
        <v/>
      </c>
      <c r="H1330" s="139">
        <f>IFERROR(IF(E1330&gt;0,E1330*IF(ISNUMBER(J1330),J1330,IF(OR(C1330="Alpha",B1330="Alpha"),$C$7,IF(C1330="Futures",$C$6,$C$5))),""),"")</f>
        <v/>
      </c>
      <c r="I1330" s="139">
        <f>IFERROR(IF(AND(ISNUMBER(F1330),ISNUMBER(H1330)),F1330-H1330,""),"")</f>
        <v/>
      </c>
      <c r="J1330" s="114" t="n"/>
      <c r="K1330" s="139">
        <f>IFERROR(IF(H1330&gt;0,H1330*IF(OR(C1330="Alpha",B1330="Alpha"),$C$9,$C$8),""),"")</f>
        <v/>
      </c>
      <c r="L1330" s="139">
        <f>IFERROR(IF(ISNUMBER(F1330),F1330-IF(ISNUMBER(K1330),K1330,0),""),"")</f>
        <v/>
      </c>
    </row>
    <row r="1331" ht="24" customHeight="1" s="63">
      <c r="E1331" s="139" t="n"/>
      <c r="F1331" s="139" t="n"/>
      <c r="G1331" s="140">
        <f>IFERROR(IF(E1331&gt;0,(F1331/E1331)*1000,""),"")</f>
        <v/>
      </c>
      <c r="H1331" s="139">
        <f>IFERROR(IF(E1331&gt;0,E1331*IF(ISNUMBER(J1331),J1331,IF(OR(C1331="Alpha",B1331="Alpha"),$C$7,IF(C1331="Futures",$C$6,$C$5))),""),"")</f>
        <v/>
      </c>
      <c r="I1331" s="139">
        <f>IFERROR(IF(AND(ISNUMBER(F1331),ISNUMBER(H1331)),F1331-H1331,""),"")</f>
        <v/>
      </c>
      <c r="J1331" s="114" t="n"/>
      <c r="K1331" s="139">
        <f>IFERROR(IF(H1331&gt;0,H1331*IF(OR(C1331="Alpha",B1331="Alpha"),$C$9,$C$8),""),"")</f>
        <v/>
      </c>
      <c r="L1331" s="139">
        <f>IFERROR(IF(ISNUMBER(F1331),F1331-IF(ISNUMBER(K1331),K1331,0),""),"")</f>
        <v/>
      </c>
    </row>
    <row r="1332" ht="24" customHeight="1" s="63">
      <c r="E1332" s="139" t="n"/>
      <c r="F1332" s="139" t="n"/>
      <c r="G1332" s="140">
        <f>IFERROR(IF(E1332&gt;0,(F1332/E1332)*1000,""),"")</f>
        <v/>
      </c>
      <c r="H1332" s="139">
        <f>IFERROR(IF(E1332&gt;0,E1332*IF(ISNUMBER(J1332),J1332,IF(OR(C1332="Alpha",B1332="Alpha"),$C$7,IF(C1332="Futures",$C$6,$C$5))),""),"")</f>
        <v/>
      </c>
      <c r="I1332" s="139">
        <f>IFERROR(IF(AND(ISNUMBER(F1332),ISNUMBER(H1332)),F1332-H1332,""),"")</f>
        <v/>
      </c>
      <c r="J1332" s="114" t="n"/>
      <c r="K1332" s="139">
        <f>IFERROR(IF(H1332&gt;0,H1332*IF(OR(C1332="Alpha",B1332="Alpha"),$C$9,$C$8),""),"")</f>
        <v/>
      </c>
      <c r="L1332" s="139">
        <f>IFERROR(IF(ISNUMBER(F1332),F1332-IF(ISNUMBER(K1332),K1332,0),""),"")</f>
        <v/>
      </c>
    </row>
    <row r="1333" ht="24" customHeight="1" s="63">
      <c r="E1333" s="139" t="n"/>
      <c r="F1333" s="139" t="n"/>
      <c r="G1333" s="140">
        <f>IFERROR(IF(E1333&gt;0,(F1333/E1333)*1000,""),"")</f>
        <v/>
      </c>
      <c r="H1333" s="139">
        <f>IFERROR(IF(E1333&gt;0,E1333*IF(ISNUMBER(J1333),J1333,IF(OR(C1333="Alpha",B1333="Alpha"),$C$7,IF(C1333="Futures",$C$6,$C$5))),""),"")</f>
        <v/>
      </c>
      <c r="I1333" s="139">
        <f>IFERROR(IF(AND(ISNUMBER(F1333),ISNUMBER(H1333)),F1333-H1333,""),"")</f>
        <v/>
      </c>
      <c r="J1333" s="114" t="n"/>
      <c r="K1333" s="139">
        <f>IFERROR(IF(H1333&gt;0,H1333*IF(OR(C1333="Alpha",B1333="Alpha"),$C$9,$C$8),""),"")</f>
        <v/>
      </c>
      <c r="L1333" s="139">
        <f>IFERROR(IF(ISNUMBER(F1333),F1333-IF(ISNUMBER(K1333),K1333,0),""),"")</f>
        <v/>
      </c>
    </row>
    <row r="1334" ht="24" customHeight="1" s="63">
      <c r="E1334" s="139" t="n"/>
      <c r="F1334" s="139" t="n"/>
      <c r="G1334" s="140">
        <f>IFERROR(IF(E1334&gt;0,(F1334/E1334)*1000,""),"")</f>
        <v/>
      </c>
      <c r="H1334" s="139">
        <f>IFERROR(IF(E1334&gt;0,E1334*IF(ISNUMBER(J1334),J1334,IF(OR(C1334="Alpha",B1334="Alpha"),$C$7,IF(C1334="Futures",$C$6,$C$5))),""),"")</f>
        <v/>
      </c>
      <c r="I1334" s="139">
        <f>IFERROR(IF(AND(ISNUMBER(F1334),ISNUMBER(H1334)),F1334-H1334,""),"")</f>
        <v/>
      </c>
      <c r="J1334" s="114" t="n"/>
      <c r="K1334" s="139">
        <f>IFERROR(IF(H1334&gt;0,H1334*IF(OR(C1334="Alpha",B1334="Alpha"),$C$9,$C$8),""),"")</f>
        <v/>
      </c>
      <c r="L1334" s="139">
        <f>IFERROR(IF(ISNUMBER(F1334),F1334-IF(ISNUMBER(K1334),K1334,0),""),"")</f>
        <v/>
      </c>
    </row>
    <row r="1335" ht="24" customHeight="1" s="63">
      <c r="E1335" s="139" t="n"/>
      <c r="F1335" s="139" t="n"/>
      <c r="G1335" s="140">
        <f>IFERROR(IF(E1335&gt;0,(F1335/E1335)*1000,""),"")</f>
        <v/>
      </c>
      <c r="H1335" s="139">
        <f>IFERROR(IF(E1335&gt;0,E1335*IF(ISNUMBER(J1335),J1335,IF(OR(C1335="Alpha",B1335="Alpha"),$C$7,IF(C1335="Futures",$C$6,$C$5))),""),"")</f>
        <v/>
      </c>
      <c r="I1335" s="139">
        <f>IFERROR(IF(AND(ISNUMBER(F1335),ISNUMBER(H1335)),F1335-H1335,""),"")</f>
        <v/>
      </c>
      <c r="J1335" s="114" t="n"/>
      <c r="K1335" s="139">
        <f>IFERROR(IF(H1335&gt;0,H1335*IF(OR(C1335="Alpha",B1335="Alpha"),$C$9,$C$8),""),"")</f>
        <v/>
      </c>
      <c r="L1335" s="139">
        <f>IFERROR(IF(ISNUMBER(F1335),F1335-IF(ISNUMBER(K1335),K1335,0),""),"")</f>
        <v/>
      </c>
    </row>
    <row r="1336" ht="24" customHeight="1" s="63">
      <c r="E1336" s="139" t="n"/>
      <c r="F1336" s="139" t="n"/>
      <c r="G1336" s="140">
        <f>IFERROR(IF(E1336&gt;0,(F1336/E1336)*1000,""),"")</f>
        <v/>
      </c>
      <c r="H1336" s="139">
        <f>IFERROR(IF(E1336&gt;0,E1336*IF(ISNUMBER(J1336),J1336,IF(OR(C1336="Alpha",B1336="Alpha"),$C$7,IF(C1336="Futures",$C$6,$C$5))),""),"")</f>
        <v/>
      </c>
      <c r="I1336" s="139">
        <f>IFERROR(IF(AND(ISNUMBER(F1336),ISNUMBER(H1336)),F1336-H1336,""),"")</f>
        <v/>
      </c>
      <c r="J1336" s="114" t="n"/>
      <c r="K1336" s="139">
        <f>IFERROR(IF(H1336&gt;0,H1336*IF(OR(C1336="Alpha",B1336="Alpha"),$C$9,$C$8),""),"")</f>
        <v/>
      </c>
      <c r="L1336" s="139">
        <f>IFERROR(IF(ISNUMBER(F1336),F1336-IF(ISNUMBER(K1336),K1336,0),""),"")</f>
        <v/>
      </c>
    </row>
    <row r="1337" ht="24" customHeight="1" s="63">
      <c r="E1337" s="139" t="n"/>
      <c r="F1337" s="139" t="n"/>
      <c r="G1337" s="140">
        <f>IFERROR(IF(E1337&gt;0,(F1337/E1337)*1000,""),"")</f>
        <v/>
      </c>
      <c r="H1337" s="139">
        <f>IFERROR(IF(E1337&gt;0,E1337*IF(ISNUMBER(J1337),J1337,IF(OR(C1337="Alpha",B1337="Alpha"),$C$7,IF(C1337="Futures",$C$6,$C$5))),""),"")</f>
        <v/>
      </c>
      <c r="I1337" s="139">
        <f>IFERROR(IF(AND(ISNUMBER(F1337),ISNUMBER(H1337)),F1337-H1337,""),"")</f>
        <v/>
      </c>
      <c r="J1337" s="114" t="n"/>
      <c r="K1337" s="139">
        <f>IFERROR(IF(H1337&gt;0,H1337*IF(OR(C1337="Alpha",B1337="Alpha"),$C$9,$C$8),""),"")</f>
        <v/>
      </c>
      <c r="L1337" s="139">
        <f>IFERROR(IF(ISNUMBER(F1337),F1337-IF(ISNUMBER(K1337),K1337,0),""),"")</f>
        <v/>
      </c>
    </row>
    <row r="1338" ht="24" customHeight="1" s="63">
      <c r="E1338" s="139" t="n"/>
      <c r="F1338" s="139" t="n"/>
      <c r="G1338" s="140">
        <f>IFERROR(IF(E1338&gt;0,(F1338/E1338)*1000,""),"")</f>
        <v/>
      </c>
      <c r="H1338" s="139">
        <f>IFERROR(IF(E1338&gt;0,E1338*IF(ISNUMBER(J1338),J1338,IF(OR(C1338="Alpha",B1338="Alpha"),$C$7,IF(C1338="Futures",$C$6,$C$5))),""),"")</f>
        <v/>
      </c>
      <c r="I1338" s="139">
        <f>IFERROR(IF(AND(ISNUMBER(F1338),ISNUMBER(H1338)),F1338-H1338,""),"")</f>
        <v/>
      </c>
      <c r="J1338" s="114" t="n"/>
      <c r="K1338" s="139">
        <f>IFERROR(IF(H1338&gt;0,H1338*IF(OR(C1338="Alpha",B1338="Alpha"),$C$9,$C$8),""),"")</f>
        <v/>
      </c>
      <c r="L1338" s="139">
        <f>IFERROR(IF(ISNUMBER(F1338),F1338-IF(ISNUMBER(K1338),K1338,0),""),"")</f>
        <v/>
      </c>
    </row>
    <row r="1339" ht="24" customHeight="1" s="63">
      <c r="E1339" s="139" t="n"/>
      <c r="F1339" s="139" t="n"/>
      <c r="G1339" s="140">
        <f>IFERROR(IF(E1339&gt;0,(F1339/E1339)*1000,""),"")</f>
        <v/>
      </c>
      <c r="H1339" s="139">
        <f>IFERROR(IF(E1339&gt;0,E1339*IF(ISNUMBER(J1339),J1339,IF(OR(C1339="Alpha",B1339="Alpha"),$C$7,IF(C1339="Futures",$C$6,$C$5))),""),"")</f>
        <v/>
      </c>
      <c r="I1339" s="139">
        <f>IFERROR(IF(AND(ISNUMBER(F1339),ISNUMBER(H1339)),F1339-H1339,""),"")</f>
        <v/>
      </c>
      <c r="J1339" s="114" t="n"/>
      <c r="K1339" s="139">
        <f>IFERROR(IF(H1339&gt;0,H1339*IF(OR(C1339="Alpha",B1339="Alpha"),$C$9,$C$8),""),"")</f>
        <v/>
      </c>
      <c r="L1339" s="139">
        <f>IFERROR(IF(ISNUMBER(F1339),F1339-IF(ISNUMBER(K1339),K1339,0),""),"")</f>
        <v/>
      </c>
    </row>
    <row r="1340" ht="24" customHeight="1" s="63">
      <c r="E1340" s="139" t="n"/>
      <c r="F1340" s="139" t="n"/>
      <c r="G1340" s="140">
        <f>IFERROR(IF(E1340&gt;0,(F1340/E1340)*1000,""),"")</f>
        <v/>
      </c>
      <c r="H1340" s="139">
        <f>IFERROR(IF(E1340&gt;0,E1340*IF(ISNUMBER(J1340),J1340,IF(OR(C1340="Alpha",B1340="Alpha"),$C$7,IF(C1340="Futures",$C$6,$C$5))),""),"")</f>
        <v/>
      </c>
      <c r="I1340" s="139">
        <f>IFERROR(IF(AND(ISNUMBER(F1340),ISNUMBER(H1340)),F1340-H1340,""),"")</f>
        <v/>
      </c>
      <c r="J1340" s="114" t="n"/>
      <c r="K1340" s="139">
        <f>IFERROR(IF(H1340&gt;0,H1340*IF(OR(C1340="Alpha",B1340="Alpha"),$C$9,$C$8),""),"")</f>
        <v/>
      </c>
      <c r="L1340" s="139">
        <f>IFERROR(IF(ISNUMBER(F1340),F1340-IF(ISNUMBER(K1340),K1340,0),""),"")</f>
        <v/>
      </c>
    </row>
    <row r="1341" ht="24" customHeight="1" s="63">
      <c r="E1341" s="139" t="n"/>
      <c r="F1341" s="139" t="n"/>
      <c r="G1341" s="140">
        <f>IFERROR(IF(E1341&gt;0,(F1341/E1341)*1000,""),"")</f>
        <v/>
      </c>
      <c r="H1341" s="139">
        <f>IFERROR(IF(E1341&gt;0,E1341*IF(ISNUMBER(J1341),J1341,IF(OR(C1341="Alpha",B1341="Alpha"),$C$7,IF(C1341="Futures",$C$6,$C$5))),""),"")</f>
        <v/>
      </c>
      <c r="I1341" s="139">
        <f>IFERROR(IF(AND(ISNUMBER(F1341),ISNUMBER(H1341)),F1341-H1341,""),"")</f>
        <v/>
      </c>
      <c r="J1341" s="114" t="n"/>
      <c r="K1341" s="139">
        <f>IFERROR(IF(H1341&gt;0,H1341*IF(OR(C1341="Alpha",B1341="Alpha"),$C$9,$C$8),""),"")</f>
        <v/>
      </c>
      <c r="L1341" s="139">
        <f>IFERROR(IF(ISNUMBER(F1341),F1341-IF(ISNUMBER(K1341),K1341,0),""),"")</f>
        <v/>
      </c>
    </row>
    <row r="1342" ht="24" customHeight="1" s="63">
      <c r="E1342" s="139" t="n"/>
      <c r="F1342" s="139" t="n"/>
      <c r="G1342" s="140">
        <f>IFERROR(IF(E1342&gt;0,(F1342/E1342)*1000,""),"")</f>
        <v/>
      </c>
      <c r="H1342" s="139">
        <f>IFERROR(IF(E1342&gt;0,E1342*IF(ISNUMBER(J1342),J1342,IF(OR(C1342="Alpha",B1342="Alpha"),$C$7,IF(C1342="Futures",$C$6,$C$5))),""),"")</f>
        <v/>
      </c>
      <c r="I1342" s="139">
        <f>IFERROR(IF(AND(ISNUMBER(F1342),ISNUMBER(H1342)),F1342-H1342,""),"")</f>
        <v/>
      </c>
      <c r="J1342" s="114" t="n"/>
      <c r="K1342" s="139">
        <f>IFERROR(IF(H1342&gt;0,H1342*IF(OR(C1342="Alpha",B1342="Alpha"),$C$9,$C$8),""),"")</f>
        <v/>
      </c>
      <c r="L1342" s="139">
        <f>IFERROR(IF(ISNUMBER(F1342),F1342-IF(ISNUMBER(K1342),K1342,0),""),"")</f>
        <v/>
      </c>
    </row>
    <row r="1343" ht="24" customHeight="1" s="63">
      <c r="E1343" s="139" t="n"/>
      <c r="F1343" s="139" t="n"/>
      <c r="G1343" s="140">
        <f>IFERROR(IF(E1343&gt;0,(F1343/E1343)*1000,""),"")</f>
        <v/>
      </c>
      <c r="H1343" s="139">
        <f>IFERROR(IF(E1343&gt;0,E1343*IF(ISNUMBER(J1343),J1343,IF(OR(C1343="Alpha",B1343="Alpha"),$C$7,IF(C1343="Futures",$C$6,$C$5))),""),"")</f>
        <v/>
      </c>
      <c r="I1343" s="139">
        <f>IFERROR(IF(AND(ISNUMBER(F1343),ISNUMBER(H1343)),F1343-H1343,""),"")</f>
        <v/>
      </c>
      <c r="J1343" s="114" t="n"/>
      <c r="K1343" s="139">
        <f>IFERROR(IF(H1343&gt;0,H1343*IF(OR(C1343="Alpha",B1343="Alpha"),$C$9,$C$8),""),"")</f>
        <v/>
      </c>
      <c r="L1343" s="139">
        <f>IFERROR(IF(ISNUMBER(F1343),F1343-IF(ISNUMBER(K1343),K1343,0),""),"")</f>
        <v/>
      </c>
    </row>
    <row r="1344" ht="24" customHeight="1" s="63">
      <c r="E1344" s="139" t="n"/>
      <c r="F1344" s="139" t="n"/>
      <c r="G1344" s="140">
        <f>IFERROR(IF(E1344&gt;0,(F1344/E1344)*1000,""),"")</f>
        <v/>
      </c>
      <c r="H1344" s="139">
        <f>IFERROR(IF(E1344&gt;0,E1344*IF(ISNUMBER(J1344),J1344,IF(OR(C1344="Alpha",B1344="Alpha"),$C$7,IF(C1344="Futures",$C$6,$C$5))),""),"")</f>
        <v/>
      </c>
      <c r="I1344" s="139">
        <f>IFERROR(IF(AND(ISNUMBER(F1344),ISNUMBER(H1344)),F1344-H1344,""),"")</f>
        <v/>
      </c>
      <c r="J1344" s="114" t="n"/>
      <c r="K1344" s="139">
        <f>IFERROR(IF(H1344&gt;0,H1344*IF(OR(C1344="Alpha",B1344="Alpha"),$C$9,$C$8),""),"")</f>
        <v/>
      </c>
      <c r="L1344" s="139">
        <f>IFERROR(IF(ISNUMBER(F1344),F1344-IF(ISNUMBER(K1344),K1344,0),""),"")</f>
        <v/>
      </c>
    </row>
    <row r="1345" ht="24" customHeight="1" s="63">
      <c r="E1345" s="139" t="n"/>
      <c r="F1345" s="139" t="n"/>
      <c r="G1345" s="140">
        <f>IFERROR(IF(E1345&gt;0,(F1345/E1345)*1000,""),"")</f>
        <v/>
      </c>
      <c r="H1345" s="139">
        <f>IFERROR(IF(E1345&gt;0,E1345*IF(ISNUMBER(J1345),J1345,IF(OR(C1345="Alpha",B1345="Alpha"),$C$7,IF(C1345="Futures",$C$6,$C$5))),""),"")</f>
        <v/>
      </c>
      <c r="I1345" s="139">
        <f>IFERROR(IF(AND(ISNUMBER(F1345),ISNUMBER(H1345)),F1345-H1345,""),"")</f>
        <v/>
      </c>
      <c r="J1345" s="114" t="n"/>
      <c r="K1345" s="139">
        <f>IFERROR(IF(H1345&gt;0,H1345*IF(OR(C1345="Alpha",B1345="Alpha"),$C$9,$C$8),""),"")</f>
        <v/>
      </c>
      <c r="L1345" s="139">
        <f>IFERROR(IF(ISNUMBER(F1345),F1345-IF(ISNUMBER(K1345),K1345,0),""),"")</f>
        <v/>
      </c>
    </row>
    <row r="1346" ht="24" customHeight="1" s="63">
      <c r="E1346" s="139" t="n"/>
      <c r="F1346" s="139" t="n"/>
      <c r="G1346" s="140">
        <f>IFERROR(IF(E1346&gt;0,(F1346/E1346)*1000,""),"")</f>
        <v/>
      </c>
      <c r="H1346" s="139">
        <f>IFERROR(IF(E1346&gt;0,E1346*IF(ISNUMBER(J1346),J1346,IF(OR(C1346="Alpha",B1346="Alpha"),$C$7,IF(C1346="Futures",$C$6,$C$5))),""),"")</f>
        <v/>
      </c>
      <c r="I1346" s="139">
        <f>IFERROR(IF(AND(ISNUMBER(F1346),ISNUMBER(H1346)),F1346-H1346,""),"")</f>
        <v/>
      </c>
      <c r="J1346" s="114" t="n"/>
      <c r="K1346" s="139">
        <f>IFERROR(IF(H1346&gt;0,H1346*IF(OR(C1346="Alpha",B1346="Alpha"),$C$9,$C$8),""),"")</f>
        <v/>
      </c>
      <c r="L1346" s="139">
        <f>IFERROR(IF(ISNUMBER(F1346),F1346-IF(ISNUMBER(K1346),K1346,0),""),"")</f>
        <v/>
      </c>
    </row>
    <row r="1347" ht="24" customHeight="1" s="63">
      <c r="E1347" s="139" t="n"/>
      <c r="F1347" s="139" t="n"/>
      <c r="G1347" s="140">
        <f>IFERROR(IF(E1347&gt;0,(F1347/E1347)*1000,""),"")</f>
        <v/>
      </c>
      <c r="H1347" s="139">
        <f>IFERROR(IF(E1347&gt;0,E1347*IF(ISNUMBER(J1347),J1347,IF(OR(C1347="Alpha",B1347="Alpha"),$C$7,IF(C1347="Futures",$C$6,$C$5))),""),"")</f>
        <v/>
      </c>
      <c r="I1347" s="139">
        <f>IFERROR(IF(AND(ISNUMBER(F1347),ISNUMBER(H1347)),F1347-H1347,""),"")</f>
        <v/>
      </c>
      <c r="J1347" s="114" t="n"/>
      <c r="K1347" s="139">
        <f>IFERROR(IF(H1347&gt;0,H1347*IF(OR(C1347="Alpha",B1347="Alpha"),$C$9,$C$8),""),"")</f>
        <v/>
      </c>
      <c r="L1347" s="139">
        <f>IFERROR(IF(ISNUMBER(F1347),F1347-IF(ISNUMBER(K1347),K1347,0),""),"")</f>
        <v/>
      </c>
    </row>
    <row r="1348" ht="24" customHeight="1" s="63">
      <c r="E1348" s="139" t="n"/>
      <c r="F1348" s="139" t="n"/>
      <c r="G1348" s="140">
        <f>IFERROR(IF(E1348&gt;0,(F1348/E1348)*1000,""),"")</f>
        <v/>
      </c>
      <c r="H1348" s="139">
        <f>IFERROR(IF(E1348&gt;0,E1348*IF(ISNUMBER(J1348),J1348,IF(OR(C1348="Alpha",B1348="Alpha"),$C$7,IF(C1348="Futures",$C$6,$C$5))),""),"")</f>
        <v/>
      </c>
      <c r="I1348" s="139">
        <f>IFERROR(IF(AND(ISNUMBER(F1348),ISNUMBER(H1348)),F1348-H1348,""),"")</f>
        <v/>
      </c>
      <c r="J1348" s="114" t="n"/>
      <c r="K1348" s="139">
        <f>IFERROR(IF(H1348&gt;0,H1348*IF(OR(C1348="Alpha",B1348="Alpha"),$C$9,$C$8),""),"")</f>
        <v/>
      </c>
      <c r="L1348" s="139">
        <f>IFERROR(IF(ISNUMBER(F1348),F1348-IF(ISNUMBER(K1348),K1348,0),""),"")</f>
        <v/>
      </c>
    </row>
    <row r="1349" ht="24" customHeight="1" s="63">
      <c r="E1349" s="139" t="n"/>
      <c r="F1349" s="139" t="n"/>
      <c r="G1349" s="140">
        <f>IFERROR(IF(E1349&gt;0,(F1349/E1349)*1000,""),"")</f>
        <v/>
      </c>
      <c r="H1349" s="139">
        <f>IFERROR(IF(E1349&gt;0,E1349*IF(ISNUMBER(J1349),J1349,IF(OR(C1349="Alpha",B1349="Alpha"),$C$7,IF(C1349="Futures",$C$6,$C$5))),""),"")</f>
        <v/>
      </c>
      <c r="I1349" s="139">
        <f>IFERROR(IF(AND(ISNUMBER(F1349),ISNUMBER(H1349)),F1349-H1349,""),"")</f>
        <v/>
      </c>
      <c r="J1349" s="114" t="n"/>
      <c r="K1349" s="139">
        <f>IFERROR(IF(H1349&gt;0,H1349*IF(OR(C1349="Alpha",B1349="Alpha"),$C$9,$C$8),""),"")</f>
        <v/>
      </c>
      <c r="L1349" s="139">
        <f>IFERROR(IF(ISNUMBER(F1349),F1349-IF(ISNUMBER(K1349),K1349,0),""),"")</f>
        <v/>
      </c>
    </row>
    <row r="1350" ht="24" customHeight="1" s="63">
      <c r="E1350" s="139" t="n"/>
      <c r="F1350" s="139" t="n"/>
      <c r="G1350" s="140">
        <f>IFERROR(IF(E1350&gt;0,(F1350/E1350)*1000,""),"")</f>
        <v/>
      </c>
      <c r="H1350" s="139">
        <f>IFERROR(IF(E1350&gt;0,E1350*IF(ISNUMBER(J1350),J1350,IF(OR(C1350="Alpha",B1350="Alpha"),$C$7,IF(C1350="Futures",$C$6,$C$5))),""),"")</f>
        <v/>
      </c>
      <c r="I1350" s="139">
        <f>IFERROR(IF(AND(ISNUMBER(F1350),ISNUMBER(H1350)),F1350-H1350,""),"")</f>
        <v/>
      </c>
      <c r="J1350" s="114" t="n"/>
      <c r="K1350" s="139">
        <f>IFERROR(IF(H1350&gt;0,H1350*IF(OR(C1350="Alpha",B1350="Alpha"),$C$9,$C$8),""),"")</f>
        <v/>
      </c>
      <c r="L1350" s="139">
        <f>IFERROR(IF(ISNUMBER(F1350),F1350-IF(ISNUMBER(K1350),K1350,0),""),"")</f>
        <v/>
      </c>
    </row>
    <row r="1351" ht="24" customHeight="1" s="63">
      <c r="E1351" s="139" t="n"/>
      <c r="F1351" s="139" t="n"/>
      <c r="G1351" s="140">
        <f>IFERROR(IF(E1351&gt;0,(F1351/E1351)*1000,""),"")</f>
        <v/>
      </c>
      <c r="H1351" s="139">
        <f>IFERROR(IF(E1351&gt;0,E1351*IF(ISNUMBER(J1351),J1351,IF(OR(C1351="Alpha",B1351="Alpha"),$C$7,IF(C1351="Futures",$C$6,$C$5))),""),"")</f>
        <v/>
      </c>
      <c r="I1351" s="139">
        <f>IFERROR(IF(AND(ISNUMBER(F1351),ISNUMBER(H1351)),F1351-H1351,""),"")</f>
        <v/>
      </c>
      <c r="J1351" s="114" t="n"/>
      <c r="K1351" s="139">
        <f>IFERROR(IF(H1351&gt;0,H1351*IF(OR(C1351="Alpha",B1351="Alpha"),$C$9,$C$8),""),"")</f>
        <v/>
      </c>
      <c r="L1351" s="139">
        <f>IFERROR(IF(ISNUMBER(F1351),F1351-IF(ISNUMBER(K1351),K1351,0),""),"")</f>
        <v/>
      </c>
    </row>
    <row r="1352" ht="24" customHeight="1" s="63">
      <c r="E1352" s="139" t="n"/>
      <c r="F1352" s="139" t="n"/>
      <c r="G1352" s="140">
        <f>IFERROR(IF(E1352&gt;0,(F1352/E1352)*1000,""),"")</f>
        <v/>
      </c>
      <c r="H1352" s="139">
        <f>IFERROR(IF(E1352&gt;0,E1352*IF(ISNUMBER(J1352),J1352,IF(OR(C1352="Alpha",B1352="Alpha"),$C$7,IF(C1352="Futures",$C$6,$C$5))),""),"")</f>
        <v/>
      </c>
      <c r="I1352" s="139">
        <f>IFERROR(IF(AND(ISNUMBER(F1352),ISNUMBER(H1352)),F1352-H1352,""),"")</f>
        <v/>
      </c>
      <c r="J1352" s="114" t="n"/>
      <c r="K1352" s="139">
        <f>IFERROR(IF(H1352&gt;0,H1352*IF(OR(C1352="Alpha",B1352="Alpha"),$C$9,$C$8),""),"")</f>
        <v/>
      </c>
      <c r="L1352" s="139">
        <f>IFERROR(IF(ISNUMBER(F1352),F1352-IF(ISNUMBER(K1352),K1352,0),""),"")</f>
        <v/>
      </c>
    </row>
    <row r="1353" ht="24" customHeight="1" s="63">
      <c r="E1353" s="139" t="n"/>
      <c r="F1353" s="139" t="n"/>
      <c r="G1353" s="140">
        <f>IFERROR(IF(E1353&gt;0,(F1353/E1353)*1000,""),"")</f>
        <v/>
      </c>
      <c r="H1353" s="139">
        <f>IFERROR(IF(E1353&gt;0,E1353*IF(ISNUMBER(J1353),J1353,IF(OR(C1353="Alpha",B1353="Alpha"),$C$7,IF(C1353="Futures",$C$6,$C$5))),""),"")</f>
        <v/>
      </c>
      <c r="I1353" s="139">
        <f>IFERROR(IF(AND(ISNUMBER(F1353),ISNUMBER(H1353)),F1353-H1353,""),"")</f>
        <v/>
      </c>
      <c r="J1353" s="114" t="n"/>
      <c r="K1353" s="139">
        <f>IFERROR(IF(H1353&gt;0,H1353*IF(OR(C1353="Alpha",B1353="Alpha"),$C$9,$C$8),""),"")</f>
        <v/>
      </c>
      <c r="L1353" s="139">
        <f>IFERROR(IF(ISNUMBER(F1353),F1353-IF(ISNUMBER(K1353),K1353,0),""),"")</f>
        <v/>
      </c>
    </row>
    <row r="1354" ht="24" customHeight="1" s="63">
      <c r="E1354" s="139" t="n"/>
      <c r="F1354" s="139" t="n"/>
      <c r="G1354" s="140">
        <f>IFERROR(IF(E1354&gt;0,(F1354/E1354)*1000,""),"")</f>
        <v/>
      </c>
      <c r="H1354" s="139">
        <f>IFERROR(IF(E1354&gt;0,E1354*IF(ISNUMBER(J1354),J1354,IF(OR(C1354="Alpha",B1354="Alpha"),$C$7,IF(C1354="Futures",$C$6,$C$5))),""),"")</f>
        <v/>
      </c>
      <c r="I1354" s="139">
        <f>IFERROR(IF(AND(ISNUMBER(F1354),ISNUMBER(H1354)),F1354-H1354,""),"")</f>
        <v/>
      </c>
      <c r="J1354" s="114" t="n"/>
      <c r="K1354" s="139">
        <f>IFERROR(IF(H1354&gt;0,H1354*IF(OR(C1354="Alpha",B1354="Alpha"),$C$9,$C$8),""),"")</f>
        <v/>
      </c>
      <c r="L1354" s="139">
        <f>IFERROR(IF(ISNUMBER(F1354),F1354-IF(ISNUMBER(K1354),K1354,0),""),"")</f>
        <v/>
      </c>
    </row>
    <row r="1355" ht="24" customHeight="1" s="63">
      <c r="E1355" s="139" t="n"/>
      <c r="F1355" s="139" t="n"/>
      <c r="G1355" s="140">
        <f>IFERROR(IF(E1355&gt;0,(F1355/E1355)*1000,""),"")</f>
        <v/>
      </c>
      <c r="H1355" s="139">
        <f>IFERROR(IF(E1355&gt;0,E1355*IF(ISNUMBER(J1355),J1355,IF(OR(C1355="Alpha",B1355="Alpha"),$C$7,IF(C1355="Futures",$C$6,$C$5))),""),"")</f>
        <v/>
      </c>
      <c r="I1355" s="139">
        <f>IFERROR(IF(AND(ISNUMBER(F1355),ISNUMBER(H1355)),F1355-H1355,""),"")</f>
        <v/>
      </c>
      <c r="J1355" s="114" t="n"/>
      <c r="K1355" s="139">
        <f>IFERROR(IF(H1355&gt;0,H1355*IF(OR(C1355="Alpha",B1355="Alpha"),$C$9,$C$8),""),"")</f>
        <v/>
      </c>
      <c r="L1355" s="139">
        <f>IFERROR(IF(ISNUMBER(F1355),F1355-IF(ISNUMBER(K1355),K1355,0),""),"")</f>
        <v/>
      </c>
    </row>
    <row r="1356" ht="24" customHeight="1" s="63">
      <c r="E1356" s="139" t="n"/>
      <c r="F1356" s="139" t="n"/>
      <c r="G1356" s="140">
        <f>IFERROR(IF(E1356&gt;0,(F1356/E1356)*1000,""),"")</f>
        <v/>
      </c>
      <c r="H1356" s="139">
        <f>IFERROR(IF(E1356&gt;0,E1356*IF(ISNUMBER(J1356),J1356,IF(OR(C1356="Alpha",B1356="Alpha"),$C$7,IF(C1356="Futures",$C$6,$C$5))),""),"")</f>
        <v/>
      </c>
      <c r="I1356" s="139">
        <f>IFERROR(IF(AND(ISNUMBER(F1356),ISNUMBER(H1356)),F1356-H1356,""),"")</f>
        <v/>
      </c>
      <c r="J1356" s="114" t="n"/>
      <c r="K1356" s="139">
        <f>IFERROR(IF(H1356&gt;0,H1356*IF(OR(C1356="Alpha",B1356="Alpha"),$C$9,$C$8),""),"")</f>
        <v/>
      </c>
      <c r="L1356" s="139">
        <f>IFERROR(IF(ISNUMBER(F1356),F1356-IF(ISNUMBER(K1356),K1356,0),""),"")</f>
        <v/>
      </c>
    </row>
    <row r="1357" ht="24" customHeight="1" s="63">
      <c r="E1357" s="139" t="n"/>
      <c r="F1357" s="139" t="n"/>
      <c r="G1357" s="140">
        <f>IFERROR(IF(E1357&gt;0,(F1357/E1357)*1000,""),"")</f>
        <v/>
      </c>
      <c r="H1357" s="139">
        <f>IFERROR(IF(E1357&gt;0,E1357*IF(ISNUMBER(J1357),J1357,IF(OR(C1357="Alpha",B1357="Alpha"),$C$7,IF(C1357="Futures",$C$6,$C$5))),""),"")</f>
        <v/>
      </c>
      <c r="I1357" s="139">
        <f>IFERROR(IF(AND(ISNUMBER(F1357),ISNUMBER(H1357)),F1357-H1357,""),"")</f>
        <v/>
      </c>
      <c r="J1357" s="114" t="n"/>
      <c r="K1357" s="139">
        <f>IFERROR(IF(H1357&gt;0,H1357*IF(OR(C1357="Alpha",B1357="Alpha"),$C$9,$C$8),""),"")</f>
        <v/>
      </c>
      <c r="L1357" s="139">
        <f>IFERROR(IF(ISNUMBER(F1357),F1357-IF(ISNUMBER(K1357),K1357,0),""),"")</f>
        <v/>
      </c>
    </row>
    <row r="1358" ht="24" customHeight="1" s="63">
      <c r="E1358" s="139" t="n"/>
      <c r="F1358" s="139" t="n"/>
      <c r="G1358" s="140">
        <f>IFERROR(IF(E1358&gt;0,(F1358/E1358)*1000,""),"")</f>
        <v/>
      </c>
      <c r="H1358" s="139">
        <f>IFERROR(IF(E1358&gt;0,E1358*IF(ISNUMBER(J1358),J1358,IF(OR(C1358="Alpha",B1358="Alpha"),$C$7,IF(C1358="Futures",$C$6,$C$5))),""),"")</f>
        <v/>
      </c>
      <c r="I1358" s="139">
        <f>IFERROR(IF(AND(ISNUMBER(F1358),ISNUMBER(H1358)),F1358-H1358,""),"")</f>
        <v/>
      </c>
      <c r="J1358" s="114" t="n"/>
      <c r="K1358" s="139">
        <f>IFERROR(IF(H1358&gt;0,H1358*IF(OR(C1358="Alpha",B1358="Alpha"),$C$9,$C$8),""),"")</f>
        <v/>
      </c>
      <c r="L1358" s="139">
        <f>IFERROR(IF(ISNUMBER(F1358),F1358-IF(ISNUMBER(K1358),K1358,0),""),"")</f>
        <v/>
      </c>
    </row>
    <row r="1359" ht="24" customHeight="1" s="63">
      <c r="E1359" s="139" t="n"/>
      <c r="F1359" s="139" t="n"/>
      <c r="G1359" s="140">
        <f>IFERROR(IF(E1359&gt;0,(F1359/E1359)*1000,""),"")</f>
        <v/>
      </c>
      <c r="H1359" s="139">
        <f>IFERROR(IF(E1359&gt;0,E1359*IF(ISNUMBER(J1359),J1359,IF(OR(C1359="Alpha",B1359="Alpha"),$C$7,IF(C1359="Futures",$C$6,$C$5))),""),"")</f>
        <v/>
      </c>
      <c r="I1359" s="139">
        <f>IFERROR(IF(AND(ISNUMBER(F1359),ISNUMBER(H1359)),F1359-H1359,""),"")</f>
        <v/>
      </c>
      <c r="J1359" s="114" t="n"/>
      <c r="K1359" s="139">
        <f>IFERROR(IF(H1359&gt;0,H1359*IF(OR(C1359="Alpha",B1359="Alpha"),$C$9,$C$8),""),"")</f>
        <v/>
      </c>
      <c r="L1359" s="139">
        <f>IFERROR(IF(ISNUMBER(F1359),F1359-IF(ISNUMBER(K1359),K1359,0),""),"")</f>
        <v/>
      </c>
    </row>
    <row r="1360" ht="24" customHeight="1" s="63">
      <c r="E1360" s="139" t="n"/>
      <c r="F1360" s="139" t="n"/>
      <c r="G1360" s="140">
        <f>IFERROR(IF(E1360&gt;0,(F1360/E1360)*1000,""),"")</f>
        <v/>
      </c>
      <c r="H1360" s="139">
        <f>IFERROR(IF(E1360&gt;0,E1360*IF(ISNUMBER(J1360),J1360,IF(OR(C1360="Alpha",B1360="Alpha"),$C$7,IF(C1360="Futures",$C$6,$C$5))),""),"")</f>
        <v/>
      </c>
      <c r="I1360" s="139">
        <f>IFERROR(IF(AND(ISNUMBER(F1360),ISNUMBER(H1360)),F1360-H1360,""),"")</f>
        <v/>
      </c>
      <c r="J1360" s="114" t="n"/>
      <c r="K1360" s="139">
        <f>IFERROR(IF(H1360&gt;0,H1360*IF(OR(C1360="Alpha",B1360="Alpha"),$C$9,$C$8),""),"")</f>
        <v/>
      </c>
      <c r="L1360" s="139">
        <f>IFERROR(IF(ISNUMBER(F1360),F1360-IF(ISNUMBER(K1360),K1360,0),""),"")</f>
        <v/>
      </c>
    </row>
    <row r="1361" ht="24" customHeight="1" s="63">
      <c r="E1361" s="139" t="n"/>
      <c r="F1361" s="139" t="n"/>
      <c r="G1361" s="140">
        <f>IFERROR(IF(E1361&gt;0,(F1361/E1361)*1000,""),"")</f>
        <v/>
      </c>
      <c r="H1361" s="139">
        <f>IFERROR(IF(E1361&gt;0,E1361*IF(ISNUMBER(J1361),J1361,IF(OR(C1361="Alpha",B1361="Alpha"),$C$7,IF(C1361="Futures",$C$6,$C$5))),""),"")</f>
        <v/>
      </c>
      <c r="I1361" s="139">
        <f>IFERROR(IF(AND(ISNUMBER(F1361),ISNUMBER(H1361)),F1361-H1361,""),"")</f>
        <v/>
      </c>
      <c r="J1361" s="114" t="n"/>
      <c r="K1361" s="139">
        <f>IFERROR(IF(H1361&gt;0,H1361*IF(OR(C1361="Alpha",B1361="Alpha"),$C$9,$C$8),""),"")</f>
        <v/>
      </c>
      <c r="L1361" s="139">
        <f>IFERROR(IF(ISNUMBER(F1361),F1361-IF(ISNUMBER(K1361),K1361,0),""),"")</f>
        <v/>
      </c>
    </row>
    <row r="1362" ht="24" customHeight="1" s="63">
      <c r="E1362" s="139" t="n"/>
      <c r="F1362" s="139" t="n"/>
      <c r="G1362" s="140">
        <f>IFERROR(IF(E1362&gt;0,(F1362/E1362)*1000,""),"")</f>
        <v/>
      </c>
      <c r="H1362" s="139">
        <f>IFERROR(IF(E1362&gt;0,E1362*IF(ISNUMBER(J1362),J1362,IF(OR(C1362="Alpha",B1362="Alpha"),$C$7,IF(C1362="Futures",$C$6,$C$5))),""),"")</f>
        <v/>
      </c>
      <c r="I1362" s="139">
        <f>IFERROR(IF(AND(ISNUMBER(F1362),ISNUMBER(H1362)),F1362-H1362,""),"")</f>
        <v/>
      </c>
      <c r="J1362" s="114" t="n"/>
      <c r="K1362" s="139">
        <f>IFERROR(IF(H1362&gt;0,H1362*IF(OR(C1362="Alpha",B1362="Alpha"),$C$9,$C$8),""),"")</f>
        <v/>
      </c>
      <c r="L1362" s="139">
        <f>IFERROR(IF(ISNUMBER(F1362),F1362-IF(ISNUMBER(K1362),K1362,0),""),"")</f>
        <v/>
      </c>
    </row>
    <row r="1363" ht="24" customHeight="1" s="63">
      <c r="E1363" s="139" t="n"/>
      <c r="F1363" s="139" t="n"/>
      <c r="G1363" s="140">
        <f>IFERROR(IF(E1363&gt;0,(F1363/E1363)*1000,""),"")</f>
        <v/>
      </c>
      <c r="H1363" s="139">
        <f>IFERROR(IF(E1363&gt;0,E1363*IF(ISNUMBER(J1363),J1363,IF(OR(C1363="Alpha",B1363="Alpha"),$C$7,IF(C1363="Futures",$C$6,$C$5))),""),"")</f>
        <v/>
      </c>
      <c r="I1363" s="139">
        <f>IFERROR(IF(AND(ISNUMBER(F1363),ISNUMBER(H1363)),F1363-H1363,""),"")</f>
        <v/>
      </c>
      <c r="J1363" s="114" t="n"/>
      <c r="K1363" s="139">
        <f>IFERROR(IF(H1363&gt;0,H1363*IF(OR(C1363="Alpha",B1363="Alpha"),$C$9,$C$8),""),"")</f>
        <v/>
      </c>
      <c r="L1363" s="139">
        <f>IFERROR(IF(ISNUMBER(F1363),F1363-IF(ISNUMBER(K1363),K1363,0),""),"")</f>
        <v/>
      </c>
    </row>
    <row r="1364" ht="24" customHeight="1" s="63">
      <c r="E1364" s="139" t="n"/>
      <c r="F1364" s="139" t="n"/>
      <c r="G1364" s="140">
        <f>IFERROR(IF(E1364&gt;0,(F1364/E1364)*1000,""),"")</f>
        <v/>
      </c>
      <c r="H1364" s="139">
        <f>IFERROR(IF(E1364&gt;0,E1364*IF(ISNUMBER(J1364),J1364,IF(OR(C1364="Alpha",B1364="Alpha"),$C$7,IF(C1364="Futures",$C$6,$C$5))),""),"")</f>
        <v/>
      </c>
      <c r="I1364" s="139">
        <f>IFERROR(IF(AND(ISNUMBER(F1364),ISNUMBER(H1364)),F1364-H1364,""),"")</f>
        <v/>
      </c>
      <c r="J1364" s="114" t="n"/>
      <c r="K1364" s="139">
        <f>IFERROR(IF(H1364&gt;0,H1364*IF(OR(C1364="Alpha",B1364="Alpha"),$C$9,$C$8),""),"")</f>
        <v/>
      </c>
      <c r="L1364" s="139">
        <f>IFERROR(IF(ISNUMBER(F1364),F1364-IF(ISNUMBER(K1364),K1364,0),""),"")</f>
        <v/>
      </c>
    </row>
    <row r="1365" ht="24" customHeight="1" s="63">
      <c r="E1365" s="139" t="n"/>
      <c r="F1365" s="139" t="n"/>
      <c r="G1365" s="140">
        <f>IFERROR(IF(E1365&gt;0,(F1365/E1365)*1000,""),"")</f>
        <v/>
      </c>
      <c r="H1365" s="139">
        <f>IFERROR(IF(E1365&gt;0,E1365*IF(ISNUMBER(J1365),J1365,IF(OR(C1365="Alpha",B1365="Alpha"),$C$7,IF(C1365="Futures",$C$6,$C$5))),""),"")</f>
        <v/>
      </c>
      <c r="I1365" s="139">
        <f>IFERROR(IF(AND(ISNUMBER(F1365),ISNUMBER(H1365)),F1365-H1365,""),"")</f>
        <v/>
      </c>
      <c r="J1365" s="114" t="n"/>
      <c r="K1365" s="139">
        <f>IFERROR(IF(H1365&gt;0,H1365*IF(OR(C1365="Alpha",B1365="Alpha"),$C$9,$C$8),""),"")</f>
        <v/>
      </c>
      <c r="L1365" s="139">
        <f>IFERROR(IF(ISNUMBER(F1365),F1365-IF(ISNUMBER(K1365),K1365,0),""),"")</f>
        <v/>
      </c>
    </row>
    <row r="1366" ht="24" customHeight="1" s="63">
      <c r="E1366" s="139" t="n"/>
      <c r="F1366" s="139" t="n"/>
      <c r="G1366" s="140">
        <f>IFERROR(IF(E1366&gt;0,(F1366/E1366)*1000,""),"")</f>
        <v/>
      </c>
      <c r="H1366" s="139">
        <f>IFERROR(IF(E1366&gt;0,E1366*IF(ISNUMBER(J1366),J1366,IF(OR(C1366="Alpha",B1366="Alpha"),$C$7,IF(C1366="Futures",$C$6,$C$5))),""),"")</f>
        <v/>
      </c>
      <c r="I1366" s="139">
        <f>IFERROR(IF(AND(ISNUMBER(F1366),ISNUMBER(H1366)),F1366-H1366,""),"")</f>
        <v/>
      </c>
      <c r="J1366" s="114" t="n"/>
      <c r="K1366" s="139">
        <f>IFERROR(IF(H1366&gt;0,H1366*IF(OR(C1366="Alpha",B1366="Alpha"),$C$9,$C$8),""),"")</f>
        <v/>
      </c>
      <c r="L1366" s="139">
        <f>IFERROR(IF(ISNUMBER(F1366),F1366-IF(ISNUMBER(K1366),K1366,0),""),"")</f>
        <v/>
      </c>
    </row>
    <row r="1367" ht="24" customHeight="1" s="63">
      <c r="E1367" s="139" t="n"/>
      <c r="F1367" s="139" t="n"/>
      <c r="G1367" s="140">
        <f>IFERROR(IF(E1367&gt;0,(F1367/E1367)*1000,""),"")</f>
        <v/>
      </c>
      <c r="H1367" s="139">
        <f>IFERROR(IF(E1367&gt;0,E1367*IF(ISNUMBER(J1367),J1367,IF(OR(C1367="Alpha",B1367="Alpha"),$C$7,IF(C1367="Futures",$C$6,$C$5))),""),"")</f>
        <v/>
      </c>
      <c r="I1367" s="139">
        <f>IFERROR(IF(AND(ISNUMBER(F1367),ISNUMBER(H1367)),F1367-H1367,""),"")</f>
        <v/>
      </c>
      <c r="J1367" s="114" t="n"/>
      <c r="K1367" s="139">
        <f>IFERROR(IF(H1367&gt;0,H1367*IF(OR(C1367="Alpha",B1367="Alpha"),$C$9,$C$8),""),"")</f>
        <v/>
      </c>
      <c r="L1367" s="139">
        <f>IFERROR(IF(ISNUMBER(F1367),F1367-IF(ISNUMBER(K1367),K1367,0),""),"")</f>
        <v/>
      </c>
    </row>
    <row r="1368" ht="24" customHeight="1" s="63">
      <c r="E1368" s="139" t="n"/>
      <c r="F1368" s="139" t="n"/>
      <c r="G1368" s="140">
        <f>IFERROR(IF(E1368&gt;0,(F1368/E1368)*1000,""),"")</f>
        <v/>
      </c>
      <c r="H1368" s="139">
        <f>IFERROR(IF(E1368&gt;0,E1368*IF(ISNUMBER(J1368),J1368,IF(OR(C1368="Alpha",B1368="Alpha"),$C$7,IF(C1368="Futures",$C$6,$C$5))),""),"")</f>
        <v/>
      </c>
      <c r="I1368" s="139">
        <f>IFERROR(IF(AND(ISNUMBER(F1368),ISNUMBER(H1368)),F1368-H1368,""),"")</f>
        <v/>
      </c>
      <c r="J1368" s="114" t="n"/>
      <c r="K1368" s="139">
        <f>IFERROR(IF(H1368&gt;0,H1368*IF(OR(C1368="Alpha",B1368="Alpha"),$C$9,$C$8),""),"")</f>
        <v/>
      </c>
      <c r="L1368" s="139">
        <f>IFERROR(IF(ISNUMBER(F1368),F1368-IF(ISNUMBER(K1368),K1368,0),""),"")</f>
        <v/>
      </c>
    </row>
    <row r="1369" ht="24" customHeight="1" s="63">
      <c r="E1369" s="139" t="n"/>
      <c r="F1369" s="139" t="n"/>
      <c r="G1369" s="140">
        <f>IFERROR(IF(E1369&gt;0,(F1369/E1369)*1000,""),"")</f>
        <v/>
      </c>
      <c r="H1369" s="139">
        <f>IFERROR(IF(E1369&gt;0,E1369*IF(ISNUMBER(J1369),J1369,IF(OR(C1369="Alpha",B1369="Alpha"),$C$7,IF(C1369="Futures",$C$6,$C$5))),""),"")</f>
        <v/>
      </c>
      <c r="I1369" s="139">
        <f>IFERROR(IF(AND(ISNUMBER(F1369),ISNUMBER(H1369)),F1369-H1369,""),"")</f>
        <v/>
      </c>
      <c r="J1369" s="114" t="n"/>
      <c r="K1369" s="139">
        <f>IFERROR(IF(H1369&gt;0,H1369*IF(OR(C1369="Alpha",B1369="Alpha"),$C$9,$C$8),""),"")</f>
        <v/>
      </c>
      <c r="L1369" s="139">
        <f>IFERROR(IF(ISNUMBER(F1369),F1369-IF(ISNUMBER(K1369),K1369,0),""),"")</f>
        <v/>
      </c>
    </row>
    <row r="1370" ht="24" customHeight="1" s="63">
      <c r="E1370" s="139" t="n"/>
      <c r="F1370" s="139" t="n"/>
      <c r="G1370" s="140">
        <f>IFERROR(IF(E1370&gt;0,(F1370/E1370)*1000,""),"")</f>
        <v/>
      </c>
      <c r="H1370" s="139">
        <f>IFERROR(IF(E1370&gt;0,E1370*IF(ISNUMBER(J1370),J1370,IF(OR(C1370="Alpha",B1370="Alpha"),$C$7,IF(C1370="Futures",$C$6,$C$5))),""),"")</f>
        <v/>
      </c>
      <c r="I1370" s="139">
        <f>IFERROR(IF(AND(ISNUMBER(F1370),ISNUMBER(H1370)),F1370-H1370,""),"")</f>
        <v/>
      </c>
      <c r="J1370" s="114" t="n"/>
      <c r="K1370" s="139">
        <f>IFERROR(IF(H1370&gt;0,H1370*IF(OR(C1370="Alpha",B1370="Alpha"),$C$9,$C$8),""),"")</f>
        <v/>
      </c>
      <c r="L1370" s="139">
        <f>IFERROR(IF(ISNUMBER(F1370),F1370-IF(ISNUMBER(K1370),K1370,0),""),"")</f>
        <v/>
      </c>
    </row>
    <row r="1371" ht="24" customHeight="1" s="63">
      <c r="E1371" s="139" t="n"/>
      <c r="F1371" s="139" t="n"/>
      <c r="G1371" s="140">
        <f>IFERROR(IF(E1371&gt;0,(F1371/E1371)*1000,""),"")</f>
        <v/>
      </c>
      <c r="H1371" s="139">
        <f>IFERROR(IF(E1371&gt;0,E1371*IF(ISNUMBER(J1371),J1371,IF(OR(C1371="Alpha",B1371="Alpha"),$C$7,IF(C1371="Futures",$C$6,$C$5))),""),"")</f>
        <v/>
      </c>
      <c r="I1371" s="139">
        <f>IFERROR(IF(AND(ISNUMBER(F1371),ISNUMBER(H1371)),F1371-H1371,""),"")</f>
        <v/>
      </c>
      <c r="J1371" s="114" t="n"/>
      <c r="K1371" s="139">
        <f>IFERROR(IF(H1371&gt;0,H1371*IF(OR(C1371="Alpha",B1371="Alpha"),$C$9,$C$8),""),"")</f>
        <v/>
      </c>
      <c r="L1371" s="139">
        <f>IFERROR(IF(ISNUMBER(F1371),F1371-IF(ISNUMBER(K1371),K1371,0),""),"")</f>
        <v/>
      </c>
    </row>
    <row r="1372" ht="24" customHeight="1" s="63">
      <c r="E1372" s="139" t="n"/>
      <c r="F1372" s="139" t="n"/>
      <c r="G1372" s="140">
        <f>IFERROR(IF(E1372&gt;0,(F1372/E1372)*1000,""),"")</f>
        <v/>
      </c>
      <c r="H1372" s="139">
        <f>IFERROR(IF(E1372&gt;0,E1372*IF(ISNUMBER(J1372),J1372,IF(OR(C1372="Alpha",B1372="Alpha"),$C$7,IF(C1372="Futures",$C$6,$C$5))),""),"")</f>
        <v/>
      </c>
      <c r="I1372" s="139">
        <f>IFERROR(IF(AND(ISNUMBER(F1372),ISNUMBER(H1372)),F1372-H1372,""),"")</f>
        <v/>
      </c>
      <c r="J1372" s="114" t="n"/>
      <c r="K1372" s="139">
        <f>IFERROR(IF(H1372&gt;0,H1372*IF(OR(C1372="Alpha",B1372="Alpha"),$C$9,$C$8),""),"")</f>
        <v/>
      </c>
      <c r="L1372" s="139">
        <f>IFERROR(IF(ISNUMBER(F1372),F1372-IF(ISNUMBER(K1372),K1372,0),""),"")</f>
        <v/>
      </c>
    </row>
    <row r="1373" ht="24" customHeight="1" s="63">
      <c r="E1373" s="139" t="n"/>
      <c r="F1373" s="139" t="n"/>
      <c r="G1373" s="140">
        <f>IFERROR(IF(E1373&gt;0,(F1373/E1373)*1000,""),"")</f>
        <v/>
      </c>
      <c r="H1373" s="139">
        <f>IFERROR(IF(E1373&gt;0,E1373*IF(ISNUMBER(J1373),J1373,IF(OR(C1373="Alpha",B1373="Alpha"),$C$7,IF(C1373="Futures",$C$6,$C$5))),""),"")</f>
        <v/>
      </c>
      <c r="I1373" s="139">
        <f>IFERROR(IF(AND(ISNUMBER(F1373),ISNUMBER(H1373)),F1373-H1373,""),"")</f>
        <v/>
      </c>
      <c r="J1373" s="114" t="n"/>
      <c r="K1373" s="139">
        <f>IFERROR(IF(H1373&gt;0,H1373*IF(OR(C1373="Alpha",B1373="Alpha"),$C$9,$C$8),""),"")</f>
        <v/>
      </c>
      <c r="L1373" s="139">
        <f>IFERROR(IF(ISNUMBER(F1373),F1373-IF(ISNUMBER(K1373),K1373,0),""),"")</f>
        <v/>
      </c>
    </row>
    <row r="1374" ht="24" customHeight="1" s="63">
      <c r="E1374" s="139" t="n"/>
      <c r="F1374" s="139" t="n"/>
      <c r="G1374" s="140">
        <f>IFERROR(IF(E1374&gt;0,(F1374/E1374)*1000,""),"")</f>
        <v/>
      </c>
      <c r="H1374" s="139">
        <f>IFERROR(IF(E1374&gt;0,E1374*IF(ISNUMBER(J1374),J1374,IF(OR(C1374="Alpha",B1374="Alpha"),$C$7,IF(C1374="Futures",$C$6,$C$5))),""),"")</f>
        <v/>
      </c>
      <c r="I1374" s="139">
        <f>IFERROR(IF(AND(ISNUMBER(F1374),ISNUMBER(H1374)),F1374-H1374,""),"")</f>
        <v/>
      </c>
      <c r="J1374" s="114" t="n"/>
      <c r="K1374" s="139">
        <f>IFERROR(IF(H1374&gt;0,H1374*IF(OR(C1374="Alpha",B1374="Alpha"),$C$9,$C$8),""),"")</f>
        <v/>
      </c>
      <c r="L1374" s="139">
        <f>IFERROR(IF(ISNUMBER(F1374),F1374-IF(ISNUMBER(K1374),K1374,0),""),"")</f>
        <v/>
      </c>
    </row>
    <row r="1375" ht="24" customHeight="1" s="63">
      <c r="E1375" s="139" t="n"/>
      <c r="F1375" s="139" t="n"/>
      <c r="G1375" s="140">
        <f>IFERROR(IF(E1375&gt;0,(F1375/E1375)*1000,""),"")</f>
        <v/>
      </c>
      <c r="H1375" s="139">
        <f>IFERROR(IF(E1375&gt;0,E1375*IF(ISNUMBER(J1375),J1375,IF(OR(C1375="Alpha",B1375="Alpha"),$C$7,IF(C1375="Futures",$C$6,$C$5))),""),"")</f>
        <v/>
      </c>
      <c r="I1375" s="139">
        <f>IFERROR(IF(AND(ISNUMBER(F1375),ISNUMBER(H1375)),F1375-H1375,""),"")</f>
        <v/>
      </c>
      <c r="J1375" s="114" t="n"/>
      <c r="K1375" s="139">
        <f>IFERROR(IF(H1375&gt;0,H1375*IF(OR(C1375="Alpha",B1375="Alpha"),$C$9,$C$8),""),"")</f>
        <v/>
      </c>
      <c r="L1375" s="139">
        <f>IFERROR(IF(ISNUMBER(F1375),F1375-IF(ISNUMBER(K1375),K1375,0),""),"")</f>
        <v/>
      </c>
    </row>
    <row r="1376" ht="24" customHeight="1" s="63">
      <c r="E1376" s="139" t="n"/>
      <c r="F1376" s="139" t="n"/>
      <c r="G1376" s="140">
        <f>IFERROR(IF(E1376&gt;0,(F1376/E1376)*1000,""),"")</f>
        <v/>
      </c>
      <c r="H1376" s="139">
        <f>IFERROR(IF(E1376&gt;0,E1376*IF(ISNUMBER(J1376),J1376,IF(OR(C1376="Alpha",B1376="Alpha"),$C$7,IF(C1376="Futures",$C$6,$C$5))),""),"")</f>
        <v/>
      </c>
      <c r="I1376" s="139">
        <f>IFERROR(IF(AND(ISNUMBER(F1376),ISNUMBER(H1376)),F1376-H1376,""),"")</f>
        <v/>
      </c>
      <c r="J1376" s="114" t="n"/>
      <c r="K1376" s="139">
        <f>IFERROR(IF(H1376&gt;0,H1376*IF(OR(C1376="Alpha",B1376="Alpha"),$C$9,$C$8),""),"")</f>
        <v/>
      </c>
      <c r="L1376" s="139">
        <f>IFERROR(IF(ISNUMBER(F1376),F1376-IF(ISNUMBER(K1376),K1376,0),""),"")</f>
        <v/>
      </c>
    </row>
    <row r="1377" ht="24" customHeight="1" s="63">
      <c r="E1377" s="139" t="n"/>
      <c r="F1377" s="139" t="n"/>
      <c r="G1377" s="140">
        <f>IFERROR(IF(E1377&gt;0,(F1377/E1377)*1000,""),"")</f>
        <v/>
      </c>
      <c r="H1377" s="139">
        <f>IFERROR(IF(E1377&gt;0,E1377*IF(ISNUMBER(J1377),J1377,IF(OR(C1377="Alpha",B1377="Alpha"),$C$7,IF(C1377="Futures",$C$6,$C$5))),""),"")</f>
        <v/>
      </c>
      <c r="I1377" s="139">
        <f>IFERROR(IF(AND(ISNUMBER(F1377),ISNUMBER(H1377)),F1377-H1377,""),"")</f>
        <v/>
      </c>
      <c r="J1377" s="114" t="n"/>
      <c r="K1377" s="139">
        <f>IFERROR(IF(H1377&gt;0,H1377*IF(OR(C1377="Alpha",B1377="Alpha"),$C$9,$C$8),""),"")</f>
        <v/>
      </c>
      <c r="L1377" s="139">
        <f>IFERROR(IF(ISNUMBER(F1377),F1377-IF(ISNUMBER(K1377),K1377,0),""),"")</f>
        <v/>
      </c>
    </row>
    <row r="1378" ht="24" customHeight="1" s="63">
      <c r="E1378" s="139" t="n"/>
      <c r="F1378" s="139" t="n"/>
      <c r="G1378" s="140">
        <f>IFERROR(IF(E1378&gt;0,(F1378/E1378)*1000,""),"")</f>
        <v/>
      </c>
      <c r="H1378" s="139">
        <f>IFERROR(IF(E1378&gt;0,E1378*IF(ISNUMBER(J1378),J1378,IF(OR(C1378="Alpha",B1378="Alpha"),$C$7,IF(C1378="Futures",$C$6,$C$5))),""),"")</f>
        <v/>
      </c>
      <c r="I1378" s="139">
        <f>IFERROR(IF(AND(ISNUMBER(F1378),ISNUMBER(H1378)),F1378-H1378,""),"")</f>
        <v/>
      </c>
      <c r="J1378" s="114" t="n"/>
      <c r="K1378" s="139">
        <f>IFERROR(IF(H1378&gt;0,H1378*IF(OR(C1378="Alpha",B1378="Alpha"),$C$9,$C$8),""),"")</f>
        <v/>
      </c>
      <c r="L1378" s="139">
        <f>IFERROR(IF(ISNUMBER(F1378),F1378-IF(ISNUMBER(K1378),K1378,0),""),"")</f>
        <v/>
      </c>
    </row>
    <row r="1379" ht="24" customHeight="1" s="63">
      <c r="E1379" s="139" t="n"/>
      <c r="F1379" s="139" t="n"/>
      <c r="G1379" s="140">
        <f>IFERROR(IF(E1379&gt;0,(F1379/E1379)*1000,""),"")</f>
        <v/>
      </c>
      <c r="H1379" s="139">
        <f>IFERROR(IF(E1379&gt;0,E1379*IF(ISNUMBER(J1379),J1379,IF(OR(C1379="Alpha",B1379="Alpha"),$C$7,IF(C1379="Futures",$C$6,$C$5))),""),"")</f>
        <v/>
      </c>
      <c r="I1379" s="139">
        <f>IFERROR(IF(AND(ISNUMBER(F1379),ISNUMBER(H1379)),F1379-H1379,""),"")</f>
        <v/>
      </c>
      <c r="J1379" s="114" t="n"/>
      <c r="K1379" s="139">
        <f>IFERROR(IF(H1379&gt;0,H1379*IF(OR(C1379="Alpha",B1379="Alpha"),$C$9,$C$8),""),"")</f>
        <v/>
      </c>
      <c r="L1379" s="139">
        <f>IFERROR(IF(ISNUMBER(F1379),F1379-IF(ISNUMBER(K1379),K1379,0),""),"")</f>
        <v/>
      </c>
    </row>
    <row r="1380" ht="24" customHeight="1" s="63">
      <c r="E1380" s="139" t="n"/>
      <c r="F1380" s="139" t="n"/>
      <c r="G1380" s="140">
        <f>IFERROR(IF(E1380&gt;0,(F1380/E1380)*1000,""),"")</f>
        <v/>
      </c>
      <c r="H1380" s="139">
        <f>IFERROR(IF(E1380&gt;0,E1380*IF(ISNUMBER(J1380),J1380,IF(OR(C1380="Alpha",B1380="Alpha"),$C$7,IF(C1380="Futures",$C$6,$C$5))),""),"")</f>
        <v/>
      </c>
      <c r="I1380" s="139">
        <f>IFERROR(IF(AND(ISNUMBER(F1380),ISNUMBER(H1380)),F1380-H1380,""),"")</f>
        <v/>
      </c>
      <c r="J1380" s="114" t="n"/>
      <c r="K1380" s="139">
        <f>IFERROR(IF(H1380&gt;0,H1380*IF(OR(C1380="Alpha",B1380="Alpha"),$C$9,$C$8),""),"")</f>
        <v/>
      </c>
      <c r="L1380" s="139">
        <f>IFERROR(IF(ISNUMBER(F1380),F1380-IF(ISNUMBER(K1380),K1380,0),""),"")</f>
        <v/>
      </c>
    </row>
    <row r="1381" ht="24" customHeight="1" s="63">
      <c r="E1381" s="139" t="n"/>
      <c r="F1381" s="139" t="n"/>
      <c r="G1381" s="140">
        <f>IFERROR(IF(E1381&gt;0,(F1381/E1381)*1000,""),"")</f>
        <v/>
      </c>
      <c r="H1381" s="139">
        <f>IFERROR(IF(E1381&gt;0,E1381*IF(ISNUMBER(J1381),J1381,IF(OR(C1381="Alpha",B1381="Alpha"),$C$7,IF(C1381="Futures",$C$6,$C$5))),""),"")</f>
        <v/>
      </c>
      <c r="I1381" s="139">
        <f>IFERROR(IF(AND(ISNUMBER(F1381),ISNUMBER(H1381)),F1381-H1381,""),"")</f>
        <v/>
      </c>
      <c r="J1381" s="114" t="n"/>
      <c r="K1381" s="139">
        <f>IFERROR(IF(H1381&gt;0,H1381*IF(OR(C1381="Alpha",B1381="Alpha"),$C$9,$C$8),""),"")</f>
        <v/>
      </c>
      <c r="L1381" s="139">
        <f>IFERROR(IF(ISNUMBER(F1381),F1381-IF(ISNUMBER(K1381),K1381,0),""),"")</f>
        <v/>
      </c>
    </row>
    <row r="1382" ht="24" customHeight="1" s="63">
      <c r="E1382" s="139" t="n"/>
      <c r="F1382" s="139" t="n"/>
      <c r="G1382" s="140">
        <f>IFERROR(IF(E1382&gt;0,(F1382/E1382)*1000,""),"")</f>
        <v/>
      </c>
      <c r="H1382" s="139">
        <f>IFERROR(IF(E1382&gt;0,E1382*IF(ISNUMBER(J1382),J1382,IF(OR(C1382="Alpha",B1382="Alpha"),$C$7,IF(C1382="Futures",$C$6,$C$5))),""),"")</f>
        <v/>
      </c>
      <c r="I1382" s="139">
        <f>IFERROR(IF(AND(ISNUMBER(F1382),ISNUMBER(H1382)),F1382-H1382,""),"")</f>
        <v/>
      </c>
      <c r="J1382" s="114" t="n"/>
      <c r="K1382" s="139">
        <f>IFERROR(IF(H1382&gt;0,H1382*IF(OR(C1382="Alpha",B1382="Alpha"),$C$9,$C$8),""),"")</f>
        <v/>
      </c>
      <c r="L1382" s="139">
        <f>IFERROR(IF(ISNUMBER(F1382),F1382-IF(ISNUMBER(K1382),K1382,0),""),"")</f>
        <v/>
      </c>
    </row>
    <row r="1383" ht="24" customHeight="1" s="63">
      <c r="E1383" s="139" t="n"/>
      <c r="F1383" s="139" t="n"/>
      <c r="G1383" s="140">
        <f>IFERROR(IF(E1383&gt;0,(F1383/E1383)*1000,""),"")</f>
        <v/>
      </c>
      <c r="H1383" s="139">
        <f>IFERROR(IF(E1383&gt;0,E1383*IF(ISNUMBER(J1383),J1383,IF(OR(C1383="Alpha",B1383="Alpha"),$C$7,IF(C1383="Futures",$C$6,$C$5))),""),"")</f>
        <v/>
      </c>
      <c r="I1383" s="139">
        <f>IFERROR(IF(AND(ISNUMBER(F1383),ISNUMBER(H1383)),F1383-H1383,""),"")</f>
        <v/>
      </c>
      <c r="J1383" s="114" t="n"/>
      <c r="K1383" s="139">
        <f>IFERROR(IF(H1383&gt;0,H1383*IF(OR(C1383="Alpha",B1383="Alpha"),$C$9,$C$8),""),"")</f>
        <v/>
      </c>
      <c r="L1383" s="139">
        <f>IFERROR(IF(ISNUMBER(F1383),F1383-IF(ISNUMBER(K1383),K1383,0),""),"")</f>
        <v/>
      </c>
    </row>
    <row r="1384" ht="24" customHeight="1" s="63">
      <c r="E1384" s="139" t="n"/>
      <c r="F1384" s="139" t="n"/>
      <c r="G1384" s="140">
        <f>IFERROR(IF(E1384&gt;0,(F1384/E1384)*1000,""),"")</f>
        <v/>
      </c>
      <c r="H1384" s="139">
        <f>IFERROR(IF(E1384&gt;0,E1384*IF(ISNUMBER(J1384),J1384,IF(OR(C1384="Alpha",B1384="Alpha"),$C$7,IF(C1384="Futures",$C$6,$C$5))),""),"")</f>
        <v/>
      </c>
      <c r="I1384" s="139">
        <f>IFERROR(IF(AND(ISNUMBER(F1384),ISNUMBER(H1384)),F1384-H1384,""),"")</f>
        <v/>
      </c>
      <c r="J1384" s="114" t="n"/>
      <c r="K1384" s="139">
        <f>IFERROR(IF(H1384&gt;0,H1384*IF(OR(C1384="Alpha",B1384="Alpha"),$C$9,$C$8),""),"")</f>
        <v/>
      </c>
      <c r="L1384" s="139">
        <f>IFERROR(IF(ISNUMBER(F1384),F1384-IF(ISNUMBER(K1384),K1384,0),""),"")</f>
        <v/>
      </c>
    </row>
    <row r="1385" ht="24" customHeight="1" s="63">
      <c r="E1385" s="139" t="n"/>
      <c r="F1385" s="139" t="n"/>
      <c r="G1385" s="140">
        <f>IFERROR(IF(E1385&gt;0,(F1385/E1385)*1000,""),"")</f>
        <v/>
      </c>
      <c r="H1385" s="139">
        <f>IFERROR(IF(E1385&gt;0,E1385*IF(ISNUMBER(J1385),J1385,IF(OR(C1385="Alpha",B1385="Alpha"),$C$7,IF(C1385="Futures",$C$6,$C$5))),""),"")</f>
        <v/>
      </c>
      <c r="I1385" s="139">
        <f>IFERROR(IF(AND(ISNUMBER(F1385),ISNUMBER(H1385)),F1385-H1385,""),"")</f>
        <v/>
      </c>
      <c r="J1385" s="114" t="n"/>
      <c r="K1385" s="139">
        <f>IFERROR(IF(H1385&gt;0,H1385*IF(OR(C1385="Alpha",B1385="Alpha"),$C$9,$C$8),""),"")</f>
        <v/>
      </c>
      <c r="L1385" s="139">
        <f>IFERROR(IF(ISNUMBER(F1385),F1385-IF(ISNUMBER(K1385),K1385,0),""),"")</f>
        <v/>
      </c>
    </row>
    <row r="1386" ht="24" customHeight="1" s="63">
      <c r="E1386" s="139" t="n"/>
      <c r="F1386" s="139" t="n"/>
      <c r="G1386" s="140">
        <f>IFERROR(IF(E1386&gt;0,(F1386/E1386)*1000,""),"")</f>
        <v/>
      </c>
      <c r="H1386" s="139">
        <f>IFERROR(IF(E1386&gt;0,E1386*IF(ISNUMBER(J1386),J1386,IF(OR(C1386="Alpha",B1386="Alpha"),$C$7,IF(C1386="Futures",$C$6,$C$5))),""),"")</f>
        <v/>
      </c>
      <c r="I1386" s="139">
        <f>IFERROR(IF(AND(ISNUMBER(F1386),ISNUMBER(H1386)),F1386-H1386,""),"")</f>
        <v/>
      </c>
      <c r="J1386" s="114" t="n"/>
      <c r="K1386" s="139">
        <f>IFERROR(IF(H1386&gt;0,H1386*IF(OR(C1386="Alpha",B1386="Alpha"),$C$9,$C$8),""),"")</f>
        <v/>
      </c>
      <c r="L1386" s="139">
        <f>IFERROR(IF(ISNUMBER(F1386),F1386-IF(ISNUMBER(K1386),K1386,0),""),"")</f>
        <v/>
      </c>
    </row>
    <row r="1387" ht="24" customHeight="1" s="63">
      <c r="E1387" s="139" t="n"/>
      <c r="F1387" s="139" t="n"/>
      <c r="G1387" s="140">
        <f>IFERROR(IF(E1387&gt;0,(F1387/E1387)*1000,""),"")</f>
        <v/>
      </c>
      <c r="H1387" s="139">
        <f>IFERROR(IF(E1387&gt;0,E1387*IF(ISNUMBER(J1387),J1387,IF(OR(C1387="Alpha",B1387="Alpha"),$C$7,IF(C1387="Futures",$C$6,$C$5))),""),"")</f>
        <v/>
      </c>
      <c r="I1387" s="139">
        <f>IFERROR(IF(AND(ISNUMBER(F1387),ISNUMBER(H1387)),F1387-H1387,""),"")</f>
        <v/>
      </c>
      <c r="J1387" s="114" t="n"/>
      <c r="K1387" s="139">
        <f>IFERROR(IF(H1387&gt;0,H1387*IF(OR(C1387="Alpha",B1387="Alpha"),$C$9,$C$8),""),"")</f>
        <v/>
      </c>
      <c r="L1387" s="139">
        <f>IFERROR(IF(ISNUMBER(F1387),F1387-IF(ISNUMBER(K1387),K1387,0),""),"")</f>
        <v/>
      </c>
    </row>
    <row r="1388" ht="24" customHeight="1" s="63">
      <c r="E1388" s="139" t="n"/>
      <c r="F1388" s="139" t="n"/>
      <c r="G1388" s="140">
        <f>IFERROR(IF(E1388&gt;0,(F1388/E1388)*1000,""),"")</f>
        <v/>
      </c>
      <c r="H1388" s="139">
        <f>IFERROR(IF(E1388&gt;0,E1388*IF(ISNUMBER(J1388),J1388,IF(OR(C1388="Alpha",B1388="Alpha"),$C$7,IF(C1388="Futures",$C$6,$C$5))),""),"")</f>
        <v/>
      </c>
      <c r="I1388" s="139">
        <f>IFERROR(IF(AND(ISNUMBER(F1388),ISNUMBER(H1388)),F1388-H1388,""),"")</f>
        <v/>
      </c>
      <c r="J1388" s="114" t="n"/>
      <c r="K1388" s="139">
        <f>IFERROR(IF(H1388&gt;0,H1388*IF(OR(C1388="Alpha",B1388="Alpha"),$C$9,$C$8),""),"")</f>
        <v/>
      </c>
      <c r="L1388" s="139">
        <f>IFERROR(IF(ISNUMBER(F1388),F1388-IF(ISNUMBER(K1388),K1388,0),""),"")</f>
        <v/>
      </c>
    </row>
    <row r="1389" ht="24" customHeight="1" s="63">
      <c r="E1389" s="139" t="n"/>
      <c r="F1389" s="139" t="n"/>
      <c r="G1389" s="140">
        <f>IFERROR(IF(E1389&gt;0,(F1389/E1389)*1000,""),"")</f>
        <v/>
      </c>
      <c r="H1389" s="139">
        <f>IFERROR(IF(E1389&gt;0,E1389*IF(ISNUMBER(J1389),J1389,IF(OR(C1389="Alpha",B1389="Alpha"),$C$7,IF(C1389="Futures",$C$6,$C$5))),""),"")</f>
        <v/>
      </c>
      <c r="I1389" s="139">
        <f>IFERROR(IF(AND(ISNUMBER(F1389),ISNUMBER(H1389)),F1389-H1389,""),"")</f>
        <v/>
      </c>
      <c r="J1389" s="114" t="n"/>
      <c r="K1389" s="139">
        <f>IFERROR(IF(H1389&gt;0,H1389*IF(OR(C1389="Alpha",B1389="Alpha"),$C$9,$C$8),""),"")</f>
        <v/>
      </c>
      <c r="L1389" s="139">
        <f>IFERROR(IF(ISNUMBER(F1389),F1389-IF(ISNUMBER(K1389),K1389,0),""),"")</f>
        <v/>
      </c>
    </row>
    <row r="1390" ht="24" customHeight="1" s="63">
      <c r="E1390" s="139" t="n"/>
      <c r="F1390" s="139" t="n"/>
      <c r="G1390" s="140">
        <f>IFERROR(IF(E1390&gt;0,(F1390/E1390)*1000,""),"")</f>
        <v/>
      </c>
      <c r="H1390" s="139">
        <f>IFERROR(IF(E1390&gt;0,E1390*IF(ISNUMBER(J1390),J1390,IF(OR(C1390="Alpha",B1390="Alpha"),$C$7,IF(C1390="Futures",$C$6,$C$5))),""),"")</f>
        <v/>
      </c>
      <c r="I1390" s="139">
        <f>IFERROR(IF(AND(ISNUMBER(F1390),ISNUMBER(H1390)),F1390-H1390,""),"")</f>
        <v/>
      </c>
      <c r="J1390" s="114" t="n"/>
      <c r="K1390" s="139">
        <f>IFERROR(IF(H1390&gt;0,H1390*IF(OR(C1390="Alpha",B1390="Alpha"),$C$9,$C$8),""),"")</f>
        <v/>
      </c>
      <c r="L1390" s="139">
        <f>IFERROR(IF(ISNUMBER(F1390),F1390-IF(ISNUMBER(K1390),K1390,0),""),"")</f>
        <v/>
      </c>
    </row>
    <row r="1391" ht="24" customHeight="1" s="63">
      <c r="E1391" s="139" t="n"/>
      <c r="F1391" s="139" t="n"/>
      <c r="G1391" s="140">
        <f>IFERROR(IF(E1391&gt;0,(F1391/E1391)*1000,""),"")</f>
        <v/>
      </c>
      <c r="H1391" s="139">
        <f>IFERROR(IF(E1391&gt;0,E1391*IF(ISNUMBER(J1391),J1391,IF(OR(C1391="Alpha",B1391="Alpha"),$C$7,IF(C1391="Futures",$C$6,$C$5))),""),"")</f>
        <v/>
      </c>
      <c r="I1391" s="139">
        <f>IFERROR(IF(AND(ISNUMBER(F1391),ISNUMBER(H1391)),F1391-H1391,""),"")</f>
        <v/>
      </c>
      <c r="J1391" s="114" t="n"/>
      <c r="K1391" s="139">
        <f>IFERROR(IF(H1391&gt;0,H1391*IF(OR(C1391="Alpha",B1391="Alpha"),$C$9,$C$8),""),"")</f>
        <v/>
      </c>
      <c r="L1391" s="139">
        <f>IFERROR(IF(ISNUMBER(F1391),F1391-IF(ISNUMBER(K1391),K1391,0),""),"")</f>
        <v/>
      </c>
    </row>
    <row r="1392" ht="24" customHeight="1" s="63">
      <c r="E1392" s="139" t="n"/>
      <c r="F1392" s="139" t="n"/>
      <c r="G1392" s="140">
        <f>IFERROR(IF(E1392&gt;0,(F1392/E1392)*1000,""),"")</f>
        <v/>
      </c>
      <c r="H1392" s="139">
        <f>IFERROR(IF(E1392&gt;0,E1392*IF(ISNUMBER(J1392),J1392,IF(OR(C1392="Alpha",B1392="Alpha"),$C$7,IF(C1392="Futures",$C$6,$C$5))),""),"")</f>
        <v/>
      </c>
      <c r="I1392" s="139">
        <f>IFERROR(IF(AND(ISNUMBER(F1392),ISNUMBER(H1392)),F1392-H1392,""),"")</f>
        <v/>
      </c>
      <c r="J1392" s="114" t="n"/>
      <c r="K1392" s="139">
        <f>IFERROR(IF(H1392&gt;0,H1392*IF(OR(C1392="Alpha",B1392="Alpha"),$C$9,$C$8),""),"")</f>
        <v/>
      </c>
      <c r="L1392" s="139">
        <f>IFERROR(IF(ISNUMBER(F1392),F1392-IF(ISNUMBER(K1392),K1392,0),""),"")</f>
        <v/>
      </c>
    </row>
    <row r="1393" ht="24" customHeight="1" s="63">
      <c r="E1393" s="139" t="n"/>
      <c r="F1393" s="139" t="n"/>
      <c r="G1393" s="140">
        <f>IFERROR(IF(E1393&gt;0,(F1393/E1393)*1000,""),"")</f>
        <v/>
      </c>
      <c r="H1393" s="139">
        <f>IFERROR(IF(E1393&gt;0,E1393*IF(ISNUMBER(J1393),J1393,IF(OR(C1393="Alpha",B1393="Alpha"),$C$7,IF(C1393="Futures",$C$6,$C$5))),""),"")</f>
        <v/>
      </c>
      <c r="I1393" s="139">
        <f>IFERROR(IF(AND(ISNUMBER(F1393),ISNUMBER(H1393)),F1393-H1393,""),"")</f>
        <v/>
      </c>
      <c r="J1393" s="114" t="n"/>
      <c r="K1393" s="139">
        <f>IFERROR(IF(H1393&gt;0,H1393*IF(OR(C1393="Alpha",B1393="Alpha"),$C$9,$C$8),""),"")</f>
        <v/>
      </c>
      <c r="L1393" s="139">
        <f>IFERROR(IF(ISNUMBER(F1393),F1393-IF(ISNUMBER(K1393),K1393,0),""),"")</f>
        <v/>
      </c>
    </row>
    <row r="1394" ht="24" customHeight="1" s="63">
      <c r="E1394" s="139" t="n"/>
      <c r="F1394" s="139" t="n"/>
      <c r="G1394" s="140">
        <f>IFERROR(IF(E1394&gt;0,(F1394/E1394)*1000,""),"")</f>
        <v/>
      </c>
      <c r="H1394" s="139">
        <f>IFERROR(IF(E1394&gt;0,E1394*IF(ISNUMBER(J1394),J1394,IF(OR(C1394="Alpha",B1394="Alpha"),$C$7,IF(C1394="Futures",$C$6,$C$5))),""),"")</f>
        <v/>
      </c>
      <c r="I1394" s="139">
        <f>IFERROR(IF(AND(ISNUMBER(F1394),ISNUMBER(H1394)),F1394-H1394,""),"")</f>
        <v/>
      </c>
      <c r="J1394" s="114" t="n"/>
      <c r="K1394" s="139">
        <f>IFERROR(IF(H1394&gt;0,H1394*IF(OR(C1394="Alpha",B1394="Alpha"),$C$9,$C$8),""),"")</f>
        <v/>
      </c>
      <c r="L1394" s="139">
        <f>IFERROR(IF(ISNUMBER(F1394),F1394-IF(ISNUMBER(K1394),K1394,0),""),"")</f>
        <v/>
      </c>
    </row>
    <row r="1395" ht="24" customHeight="1" s="63">
      <c r="E1395" s="139" t="n"/>
      <c r="F1395" s="139" t="n"/>
      <c r="G1395" s="140">
        <f>IFERROR(IF(E1395&gt;0,(F1395/E1395)*1000,""),"")</f>
        <v/>
      </c>
      <c r="H1395" s="139">
        <f>IFERROR(IF(E1395&gt;0,E1395*IF(ISNUMBER(J1395),J1395,IF(OR(C1395="Alpha",B1395="Alpha"),$C$7,IF(C1395="Futures",$C$6,$C$5))),""),"")</f>
        <v/>
      </c>
      <c r="I1395" s="139">
        <f>IFERROR(IF(AND(ISNUMBER(F1395),ISNUMBER(H1395)),F1395-H1395,""),"")</f>
        <v/>
      </c>
      <c r="J1395" s="114" t="n"/>
      <c r="K1395" s="139">
        <f>IFERROR(IF(H1395&gt;0,H1395*IF(OR(C1395="Alpha",B1395="Alpha"),$C$9,$C$8),""),"")</f>
        <v/>
      </c>
      <c r="L1395" s="139">
        <f>IFERROR(IF(ISNUMBER(F1395),F1395-IF(ISNUMBER(K1395),K1395,0),""),"")</f>
        <v/>
      </c>
    </row>
    <row r="1396" ht="24" customHeight="1" s="63">
      <c r="E1396" s="139" t="n"/>
      <c r="F1396" s="139" t="n"/>
      <c r="G1396" s="140">
        <f>IFERROR(IF(E1396&gt;0,(F1396/E1396)*1000,""),"")</f>
        <v/>
      </c>
      <c r="H1396" s="139">
        <f>IFERROR(IF(E1396&gt;0,E1396*IF(ISNUMBER(J1396),J1396,IF(OR(C1396="Alpha",B1396="Alpha"),$C$7,IF(C1396="Futures",$C$6,$C$5))),""),"")</f>
        <v/>
      </c>
      <c r="I1396" s="139">
        <f>IFERROR(IF(AND(ISNUMBER(F1396),ISNUMBER(H1396)),F1396-H1396,""),"")</f>
        <v/>
      </c>
      <c r="J1396" s="114" t="n"/>
      <c r="K1396" s="139">
        <f>IFERROR(IF(H1396&gt;0,H1396*IF(OR(C1396="Alpha",B1396="Alpha"),$C$9,$C$8),""),"")</f>
        <v/>
      </c>
      <c r="L1396" s="139">
        <f>IFERROR(IF(ISNUMBER(F1396),F1396-IF(ISNUMBER(K1396),K1396,0),""),"")</f>
        <v/>
      </c>
    </row>
    <row r="1397" ht="24" customHeight="1" s="63">
      <c r="E1397" s="139" t="n"/>
      <c r="F1397" s="139" t="n"/>
      <c r="G1397" s="140">
        <f>IFERROR(IF(E1397&gt;0,(F1397/E1397)*1000,""),"")</f>
        <v/>
      </c>
      <c r="H1397" s="139">
        <f>IFERROR(IF(E1397&gt;0,E1397*IF(ISNUMBER(J1397),J1397,IF(OR(C1397="Alpha",B1397="Alpha"),$C$7,IF(C1397="Futures",$C$6,$C$5))),""),"")</f>
        <v/>
      </c>
      <c r="I1397" s="139">
        <f>IFERROR(IF(AND(ISNUMBER(F1397),ISNUMBER(H1397)),F1397-H1397,""),"")</f>
        <v/>
      </c>
      <c r="J1397" s="114" t="n"/>
      <c r="K1397" s="139">
        <f>IFERROR(IF(H1397&gt;0,H1397*IF(OR(C1397="Alpha",B1397="Alpha"),$C$9,$C$8),""),"")</f>
        <v/>
      </c>
      <c r="L1397" s="139">
        <f>IFERROR(IF(ISNUMBER(F1397),F1397-IF(ISNUMBER(K1397),K1397,0),""),"")</f>
        <v/>
      </c>
    </row>
    <row r="1398" ht="24" customHeight="1" s="63">
      <c r="E1398" s="139" t="n"/>
      <c r="F1398" s="139" t="n"/>
      <c r="G1398" s="140">
        <f>IFERROR(IF(E1398&gt;0,(F1398/E1398)*1000,""),"")</f>
        <v/>
      </c>
      <c r="H1398" s="139">
        <f>IFERROR(IF(E1398&gt;0,E1398*IF(ISNUMBER(J1398),J1398,IF(OR(C1398="Alpha",B1398="Alpha"),$C$7,IF(C1398="Futures",$C$6,$C$5))),""),"")</f>
        <v/>
      </c>
      <c r="I1398" s="139">
        <f>IFERROR(IF(AND(ISNUMBER(F1398),ISNUMBER(H1398)),F1398-H1398,""),"")</f>
        <v/>
      </c>
      <c r="J1398" s="114" t="n"/>
      <c r="K1398" s="139">
        <f>IFERROR(IF(H1398&gt;0,H1398*IF(OR(C1398="Alpha",B1398="Alpha"),$C$9,$C$8),""),"")</f>
        <v/>
      </c>
      <c r="L1398" s="139">
        <f>IFERROR(IF(ISNUMBER(F1398),F1398-IF(ISNUMBER(K1398),K1398,0),""),"")</f>
        <v/>
      </c>
    </row>
    <row r="1399" ht="24" customHeight="1" s="63">
      <c r="E1399" s="139" t="n"/>
      <c r="F1399" s="139" t="n"/>
      <c r="G1399" s="140">
        <f>IFERROR(IF(E1399&gt;0,(F1399/E1399)*1000,""),"")</f>
        <v/>
      </c>
      <c r="H1399" s="139">
        <f>IFERROR(IF(E1399&gt;0,E1399*IF(ISNUMBER(J1399),J1399,IF(OR(C1399="Alpha",B1399="Alpha"),$C$7,IF(C1399="Futures",$C$6,$C$5))),""),"")</f>
        <v/>
      </c>
      <c r="I1399" s="139">
        <f>IFERROR(IF(AND(ISNUMBER(F1399),ISNUMBER(H1399)),F1399-H1399,""),"")</f>
        <v/>
      </c>
      <c r="J1399" s="114" t="n"/>
      <c r="K1399" s="139">
        <f>IFERROR(IF(H1399&gt;0,H1399*IF(OR(C1399="Alpha",B1399="Alpha"),$C$9,$C$8),""),"")</f>
        <v/>
      </c>
      <c r="L1399" s="139">
        <f>IFERROR(IF(ISNUMBER(F1399),F1399-IF(ISNUMBER(K1399),K1399,0),""),"")</f>
        <v/>
      </c>
    </row>
    <row r="1400" ht="24" customHeight="1" s="63">
      <c r="E1400" s="139" t="n"/>
      <c r="F1400" s="139" t="n"/>
      <c r="G1400" s="140">
        <f>IFERROR(IF(E1400&gt;0,(F1400/E1400)*1000,""),"")</f>
        <v/>
      </c>
      <c r="H1400" s="139">
        <f>IFERROR(IF(E1400&gt;0,E1400*IF(ISNUMBER(J1400),J1400,IF(OR(C1400="Alpha",B1400="Alpha"),$C$7,IF(C1400="Futures",$C$6,$C$5))),""),"")</f>
        <v/>
      </c>
      <c r="I1400" s="139">
        <f>IFERROR(IF(AND(ISNUMBER(F1400),ISNUMBER(H1400)),F1400-H1400,""),"")</f>
        <v/>
      </c>
      <c r="J1400" s="114" t="n"/>
      <c r="K1400" s="139">
        <f>IFERROR(IF(H1400&gt;0,H1400*IF(OR(C1400="Alpha",B1400="Alpha"),$C$9,$C$8),""),"")</f>
        <v/>
      </c>
      <c r="L1400" s="139">
        <f>IFERROR(IF(ISNUMBER(F1400),F1400-IF(ISNUMBER(K1400),K1400,0),""),"")</f>
        <v/>
      </c>
    </row>
    <row r="1401" ht="24" customHeight="1" s="63">
      <c r="E1401" s="139" t="n"/>
      <c r="F1401" s="139" t="n"/>
      <c r="G1401" s="140">
        <f>IFERROR(IF(E1401&gt;0,(F1401/E1401)*1000,""),"")</f>
        <v/>
      </c>
      <c r="H1401" s="139">
        <f>IFERROR(IF(E1401&gt;0,E1401*IF(ISNUMBER(J1401),J1401,IF(OR(C1401="Alpha",B1401="Alpha"),$C$7,IF(C1401="Futures",$C$6,$C$5))),""),"")</f>
        <v/>
      </c>
      <c r="I1401" s="139">
        <f>IFERROR(IF(AND(ISNUMBER(F1401),ISNUMBER(H1401)),F1401-H1401,""),"")</f>
        <v/>
      </c>
      <c r="J1401" s="114" t="n"/>
      <c r="K1401" s="139">
        <f>IFERROR(IF(H1401&gt;0,H1401*IF(OR(C1401="Alpha",B1401="Alpha"),$C$9,$C$8),""),"")</f>
        <v/>
      </c>
      <c r="L1401" s="139">
        <f>IFERROR(IF(ISNUMBER(F1401),F1401-IF(ISNUMBER(K1401),K1401,0),""),"")</f>
        <v/>
      </c>
    </row>
    <row r="1402" ht="24" customHeight="1" s="63">
      <c r="E1402" s="139" t="n"/>
      <c r="F1402" s="139" t="n"/>
      <c r="G1402" s="140">
        <f>IFERROR(IF(E1402&gt;0,(F1402/E1402)*1000,""),"")</f>
        <v/>
      </c>
      <c r="H1402" s="139">
        <f>IFERROR(IF(E1402&gt;0,E1402*IF(ISNUMBER(J1402),J1402,IF(OR(C1402="Alpha",B1402="Alpha"),$C$7,IF(C1402="Futures",$C$6,$C$5))),""),"")</f>
        <v/>
      </c>
      <c r="I1402" s="139">
        <f>IFERROR(IF(AND(ISNUMBER(F1402),ISNUMBER(H1402)),F1402-H1402,""),"")</f>
        <v/>
      </c>
      <c r="J1402" s="114" t="n"/>
      <c r="K1402" s="139">
        <f>IFERROR(IF(H1402&gt;0,H1402*IF(OR(C1402="Alpha",B1402="Alpha"),$C$9,$C$8),""),"")</f>
        <v/>
      </c>
      <c r="L1402" s="139">
        <f>IFERROR(IF(ISNUMBER(F1402),F1402-IF(ISNUMBER(K1402),K1402,0),""),"")</f>
        <v/>
      </c>
    </row>
    <row r="1403" ht="24" customHeight="1" s="63">
      <c r="E1403" s="139" t="n"/>
      <c r="F1403" s="139" t="n"/>
      <c r="G1403" s="140">
        <f>IFERROR(IF(E1403&gt;0,(F1403/E1403)*1000,""),"")</f>
        <v/>
      </c>
      <c r="H1403" s="139">
        <f>IFERROR(IF(E1403&gt;0,E1403*IF(ISNUMBER(J1403),J1403,IF(OR(C1403="Alpha",B1403="Alpha"),$C$7,IF(C1403="Futures",$C$6,$C$5))),""),"")</f>
        <v/>
      </c>
      <c r="I1403" s="139">
        <f>IFERROR(IF(AND(ISNUMBER(F1403),ISNUMBER(H1403)),F1403-H1403,""),"")</f>
        <v/>
      </c>
      <c r="J1403" s="114" t="n"/>
      <c r="K1403" s="139">
        <f>IFERROR(IF(H1403&gt;0,H1403*IF(OR(C1403="Alpha",B1403="Alpha"),$C$9,$C$8),""),"")</f>
        <v/>
      </c>
      <c r="L1403" s="139">
        <f>IFERROR(IF(ISNUMBER(F1403),F1403-IF(ISNUMBER(K1403),K1403,0),""),"")</f>
        <v/>
      </c>
    </row>
    <row r="1404" ht="24" customHeight="1" s="63">
      <c r="E1404" s="139" t="n"/>
      <c r="F1404" s="139" t="n"/>
      <c r="G1404" s="140">
        <f>IFERROR(IF(E1404&gt;0,(F1404/E1404)*1000,""),"")</f>
        <v/>
      </c>
      <c r="H1404" s="139">
        <f>IFERROR(IF(E1404&gt;0,E1404*IF(ISNUMBER(J1404),J1404,IF(OR(C1404="Alpha",B1404="Alpha"),$C$7,IF(C1404="Futures",$C$6,$C$5))),""),"")</f>
        <v/>
      </c>
      <c r="I1404" s="139">
        <f>IFERROR(IF(AND(ISNUMBER(F1404),ISNUMBER(H1404)),F1404-H1404,""),"")</f>
        <v/>
      </c>
      <c r="J1404" s="114" t="n"/>
      <c r="K1404" s="139">
        <f>IFERROR(IF(H1404&gt;0,H1404*IF(OR(C1404="Alpha",B1404="Alpha"),$C$9,$C$8),""),"")</f>
        <v/>
      </c>
      <c r="L1404" s="139">
        <f>IFERROR(IF(ISNUMBER(F1404),F1404-IF(ISNUMBER(K1404),K1404,0),""),"")</f>
        <v/>
      </c>
    </row>
    <row r="1405" ht="24" customHeight="1" s="63">
      <c r="E1405" s="139" t="n"/>
      <c r="F1405" s="139" t="n"/>
      <c r="G1405" s="140">
        <f>IFERROR(IF(E1405&gt;0,(F1405/E1405)*1000,""),"")</f>
        <v/>
      </c>
      <c r="H1405" s="139">
        <f>IFERROR(IF(E1405&gt;0,E1405*IF(ISNUMBER(J1405),J1405,IF(OR(C1405="Alpha",B1405="Alpha"),$C$7,IF(C1405="Futures",$C$6,$C$5))),""),"")</f>
        <v/>
      </c>
      <c r="I1405" s="139">
        <f>IFERROR(IF(AND(ISNUMBER(F1405),ISNUMBER(H1405)),F1405-H1405,""),"")</f>
        <v/>
      </c>
      <c r="J1405" s="114" t="n"/>
      <c r="K1405" s="139">
        <f>IFERROR(IF(H1405&gt;0,H1405*IF(OR(C1405="Alpha",B1405="Alpha"),$C$9,$C$8),""),"")</f>
        <v/>
      </c>
      <c r="L1405" s="139">
        <f>IFERROR(IF(ISNUMBER(F1405),F1405-IF(ISNUMBER(K1405),K1405,0),""),"")</f>
        <v/>
      </c>
    </row>
    <row r="1406" ht="24" customHeight="1" s="63">
      <c r="E1406" s="139" t="n"/>
      <c r="F1406" s="139" t="n"/>
      <c r="G1406" s="140">
        <f>IFERROR(IF(E1406&gt;0,(F1406/E1406)*1000,""),"")</f>
        <v/>
      </c>
      <c r="H1406" s="139">
        <f>IFERROR(IF(E1406&gt;0,E1406*IF(ISNUMBER(J1406),J1406,IF(OR(C1406="Alpha",B1406="Alpha"),$C$7,IF(C1406="Futures",$C$6,$C$5))),""),"")</f>
        <v/>
      </c>
      <c r="I1406" s="139">
        <f>IFERROR(IF(AND(ISNUMBER(F1406),ISNUMBER(H1406)),F1406-H1406,""),"")</f>
        <v/>
      </c>
      <c r="J1406" s="114" t="n"/>
      <c r="K1406" s="139">
        <f>IFERROR(IF(H1406&gt;0,H1406*IF(OR(C1406="Alpha",B1406="Alpha"),$C$9,$C$8),""),"")</f>
        <v/>
      </c>
      <c r="L1406" s="139">
        <f>IFERROR(IF(ISNUMBER(F1406),F1406-IF(ISNUMBER(K1406),K1406,0),""),"")</f>
        <v/>
      </c>
    </row>
    <row r="1407" ht="24" customHeight="1" s="63">
      <c r="E1407" s="139" t="n"/>
      <c r="F1407" s="139" t="n"/>
      <c r="G1407" s="140">
        <f>IFERROR(IF(E1407&gt;0,(F1407/E1407)*1000,""),"")</f>
        <v/>
      </c>
      <c r="H1407" s="139">
        <f>IFERROR(IF(E1407&gt;0,E1407*IF(ISNUMBER(J1407),J1407,IF(OR(C1407="Alpha",B1407="Alpha"),$C$7,IF(C1407="Futures",$C$6,$C$5))),""),"")</f>
        <v/>
      </c>
      <c r="I1407" s="139">
        <f>IFERROR(IF(AND(ISNUMBER(F1407),ISNUMBER(H1407)),F1407-H1407,""),"")</f>
        <v/>
      </c>
      <c r="J1407" s="114" t="n"/>
      <c r="K1407" s="139">
        <f>IFERROR(IF(H1407&gt;0,H1407*IF(OR(C1407="Alpha",B1407="Alpha"),$C$9,$C$8),""),"")</f>
        <v/>
      </c>
      <c r="L1407" s="139">
        <f>IFERROR(IF(ISNUMBER(F1407),F1407-IF(ISNUMBER(K1407),K1407,0),""),"")</f>
        <v/>
      </c>
    </row>
    <row r="1408" ht="24" customHeight="1" s="63">
      <c r="E1408" s="139" t="n"/>
      <c r="F1408" s="139" t="n"/>
      <c r="G1408" s="140">
        <f>IFERROR(IF(E1408&gt;0,(F1408/E1408)*1000,""),"")</f>
        <v/>
      </c>
      <c r="H1408" s="139">
        <f>IFERROR(IF(E1408&gt;0,E1408*IF(ISNUMBER(J1408),J1408,IF(OR(C1408="Alpha",B1408="Alpha"),$C$7,IF(C1408="Futures",$C$6,$C$5))),""),"")</f>
        <v/>
      </c>
      <c r="I1408" s="139">
        <f>IFERROR(IF(AND(ISNUMBER(F1408),ISNUMBER(H1408)),F1408-H1408,""),"")</f>
        <v/>
      </c>
      <c r="J1408" s="114" t="n"/>
      <c r="K1408" s="139">
        <f>IFERROR(IF(H1408&gt;0,H1408*IF(OR(C1408="Alpha",B1408="Alpha"),$C$9,$C$8),""),"")</f>
        <v/>
      </c>
      <c r="L1408" s="139">
        <f>IFERROR(IF(ISNUMBER(F1408),F1408-IF(ISNUMBER(K1408),K1408,0),""),"")</f>
        <v/>
      </c>
    </row>
    <row r="1409" ht="24" customHeight="1" s="63">
      <c r="E1409" s="139" t="n"/>
      <c r="F1409" s="139" t="n"/>
      <c r="G1409" s="140">
        <f>IFERROR(IF(E1409&gt;0,(F1409/E1409)*1000,""),"")</f>
        <v/>
      </c>
      <c r="H1409" s="139">
        <f>IFERROR(IF(E1409&gt;0,E1409*IF(ISNUMBER(J1409),J1409,IF(OR(C1409="Alpha",B1409="Alpha"),$C$7,IF(C1409="Futures",$C$6,$C$5))),""),"")</f>
        <v/>
      </c>
      <c r="I1409" s="139">
        <f>IFERROR(IF(AND(ISNUMBER(F1409),ISNUMBER(H1409)),F1409-H1409,""),"")</f>
        <v/>
      </c>
      <c r="J1409" s="114" t="n"/>
      <c r="K1409" s="139">
        <f>IFERROR(IF(H1409&gt;0,H1409*IF(OR(C1409="Alpha",B1409="Alpha"),$C$9,$C$8),""),"")</f>
        <v/>
      </c>
      <c r="L1409" s="139">
        <f>IFERROR(IF(ISNUMBER(F1409),F1409-IF(ISNUMBER(K1409),K1409,0),""),"")</f>
        <v/>
      </c>
    </row>
    <row r="1410" ht="24" customHeight="1" s="63">
      <c r="E1410" s="139" t="n"/>
      <c r="F1410" s="139" t="n"/>
      <c r="G1410" s="140">
        <f>IFERROR(IF(E1410&gt;0,(F1410/E1410)*1000,""),"")</f>
        <v/>
      </c>
      <c r="H1410" s="139">
        <f>IFERROR(IF(E1410&gt;0,E1410*IF(ISNUMBER(J1410),J1410,IF(OR(C1410="Alpha",B1410="Alpha"),$C$7,IF(C1410="Futures",$C$6,$C$5))),""),"")</f>
        <v/>
      </c>
      <c r="I1410" s="139">
        <f>IFERROR(IF(AND(ISNUMBER(F1410),ISNUMBER(H1410)),F1410-H1410,""),"")</f>
        <v/>
      </c>
      <c r="J1410" s="114" t="n"/>
      <c r="K1410" s="139">
        <f>IFERROR(IF(H1410&gt;0,H1410*IF(OR(C1410="Alpha",B1410="Alpha"),$C$9,$C$8),""),"")</f>
        <v/>
      </c>
      <c r="L1410" s="139">
        <f>IFERROR(IF(ISNUMBER(F1410),F1410-IF(ISNUMBER(K1410),K1410,0),""),"")</f>
        <v/>
      </c>
    </row>
    <row r="1411" ht="24" customHeight="1" s="63">
      <c r="E1411" s="139" t="n"/>
      <c r="F1411" s="139" t="n"/>
      <c r="G1411" s="140">
        <f>IFERROR(IF(E1411&gt;0,(F1411/E1411)*1000,""),"")</f>
        <v/>
      </c>
      <c r="H1411" s="139">
        <f>IFERROR(IF(E1411&gt;0,E1411*IF(ISNUMBER(J1411),J1411,IF(OR(C1411="Alpha",B1411="Alpha"),$C$7,IF(C1411="Futures",$C$6,$C$5))),""),"")</f>
        <v/>
      </c>
      <c r="I1411" s="139">
        <f>IFERROR(IF(AND(ISNUMBER(F1411),ISNUMBER(H1411)),F1411-H1411,""),"")</f>
        <v/>
      </c>
      <c r="J1411" s="114" t="n"/>
      <c r="K1411" s="139">
        <f>IFERROR(IF(H1411&gt;0,H1411*IF(OR(C1411="Alpha",B1411="Alpha"),$C$9,$C$8),""),"")</f>
        <v/>
      </c>
      <c r="L1411" s="139">
        <f>IFERROR(IF(ISNUMBER(F1411),F1411-IF(ISNUMBER(K1411),K1411,0),""),"")</f>
        <v/>
      </c>
    </row>
    <row r="1412" ht="24" customHeight="1" s="63">
      <c r="E1412" s="139" t="n"/>
      <c r="F1412" s="139" t="n"/>
      <c r="G1412" s="140">
        <f>IFERROR(IF(E1412&gt;0,(F1412/E1412)*1000,""),"")</f>
        <v/>
      </c>
      <c r="H1412" s="139">
        <f>IFERROR(IF(E1412&gt;0,E1412*IF(ISNUMBER(J1412),J1412,IF(OR(C1412="Alpha",B1412="Alpha"),$C$7,IF(C1412="Futures",$C$6,$C$5))),""),"")</f>
        <v/>
      </c>
      <c r="I1412" s="139">
        <f>IFERROR(IF(AND(ISNUMBER(F1412),ISNUMBER(H1412)),F1412-H1412,""),"")</f>
        <v/>
      </c>
      <c r="J1412" s="114" t="n"/>
      <c r="K1412" s="139">
        <f>IFERROR(IF(H1412&gt;0,H1412*IF(OR(C1412="Alpha",B1412="Alpha"),$C$9,$C$8),""),"")</f>
        <v/>
      </c>
      <c r="L1412" s="139">
        <f>IFERROR(IF(ISNUMBER(F1412),F1412-IF(ISNUMBER(K1412),K1412,0),""),"")</f>
        <v/>
      </c>
    </row>
    <row r="1413" ht="24" customHeight="1" s="63">
      <c r="E1413" s="139" t="n"/>
      <c r="F1413" s="139" t="n"/>
      <c r="G1413" s="140">
        <f>IFERROR(IF(E1413&gt;0,(F1413/E1413)*1000,""),"")</f>
        <v/>
      </c>
      <c r="H1413" s="139">
        <f>IFERROR(IF(E1413&gt;0,E1413*IF(ISNUMBER(J1413),J1413,IF(OR(C1413="Alpha",B1413="Alpha"),$C$7,IF(C1413="Futures",$C$6,$C$5))),""),"")</f>
        <v/>
      </c>
      <c r="I1413" s="139">
        <f>IFERROR(IF(AND(ISNUMBER(F1413),ISNUMBER(H1413)),F1413-H1413,""),"")</f>
        <v/>
      </c>
      <c r="J1413" s="114" t="n"/>
      <c r="K1413" s="139">
        <f>IFERROR(IF(H1413&gt;0,H1413*IF(OR(C1413="Alpha",B1413="Alpha"),$C$9,$C$8),""),"")</f>
        <v/>
      </c>
      <c r="L1413" s="139">
        <f>IFERROR(IF(ISNUMBER(F1413),F1413-IF(ISNUMBER(K1413),K1413,0),""),"")</f>
        <v/>
      </c>
    </row>
    <row r="1414" ht="24" customHeight="1" s="63">
      <c r="E1414" s="139" t="n"/>
      <c r="F1414" s="139" t="n"/>
      <c r="G1414" s="140">
        <f>IFERROR(IF(E1414&gt;0,(F1414/E1414)*1000,""),"")</f>
        <v/>
      </c>
      <c r="H1414" s="139">
        <f>IFERROR(IF(E1414&gt;0,E1414*IF(ISNUMBER(J1414),J1414,IF(OR(C1414="Alpha",B1414="Alpha"),$C$7,IF(C1414="Futures",$C$6,$C$5))),""),"")</f>
        <v/>
      </c>
      <c r="I1414" s="139">
        <f>IFERROR(IF(AND(ISNUMBER(F1414),ISNUMBER(H1414)),F1414-H1414,""),"")</f>
        <v/>
      </c>
      <c r="J1414" s="114" t="n"/>
      <c r="K1414" s="139">
        <f>IFERROR(IF(H1414&gt;0,H1414*IF(OR(C1414="Alpha",B1414="Alpha"),$C$9,$C$8),""),"")</f>
        <v/>
      </c>
      <c r="L1414" s="139">
        <f>IFERROR(IF(ISNUMBER(F1414),F1414-IF(ISNUMBER(K1414),K1414,0),""),"")</f>
        <v/>
      </c>
    </row>
    <row r="1415" ht="24" customHeight="1" s="63">
      <c r="E1415" s="139" t="n"/>
      <c r="F1415" s="139" t="n"/>
      <c r="G1415" s="140">
        <f>IFERROR(IF(E1415&gt;0,(F1415/E1415)*1000,""),"")</f>
        <v/>
      </c>
      <c r="H1415" s="139">
        <f>IFERROR(IF(E1415&gt;0,E1415*IF(ISNUMBER(J1415),J1415,IF(OR(C1415="Alpha",B1415="Alpha"),$C$7,IF(C1415="Futures",$C$6,$C$5))),""),"")</f>
        <v/>
      </c>
      <c r="I1415" s="139">
        <f>IFERROR(IF(AND(ISNUMBER(F1415),ISNUMBER(H1415)),F1415-H1415,""),"")</f>
        <v/>
      </c>
      <c r="J1415" s="114" t="n"/>
      <c r="K1415" s="139">
        <f>IFERROR(IF(H1415&gt;0,H1415*IF(OR(C1415="Alpha",B1415="Alpha"),$C$9,$C$8),""),"")</f>
        <v/>
      </c>
      <c r="L1415" s="139">
        <f>IFERROR(IF(ISNUMBER(F1415),F1415-IF(ISNUMBER(K1415),K1415,0),""),"")</f>
        <v/>
      </c>
    </row>
    <row r="1416" ht="24" customHeight="1" s="63">
      <c r="E1416" s="139" t="n"/>
      <c r="F1416" s="139" t="n"/>
      <c r="G1416" s="140">
        <f>IFERROR(IF(E1416&gt;0,(F1416/E1416)*1000,""),"")</f>
        <v/>
      </c>
      <c r="H1416" s="139">
        <f>IFERROR(IF(E1416&gt;0,E1416*IF(ISNUMBER(J1416),J1416,IF(OR(C1416="Alpha",B1416="Alpha"),$C$7,IF(C1416="Futures",$C$6,$C$5))),""),"")</f>
        <v/>
      </c>
      <c r="I1416" s="139">
        <f>IFERROR(IF(AND(ISNUMBER(F1416),ISNUMBER(H1416)),F1416-H1416,""),"")</f>
        <v/>
      </c>
      <c r="J1416" s="114" t="n"/>
      <c r="K1416" s="139">
        <f>IFERROR(IF(H1416&gt;0,H1416*IF(OR(C1416="Alpha",B1416="Alpha"),$C$9,$C$8),""),"")</f>
        <v/>
      </c>
      <c r="L1416" s="139">
        <f>IFERROR(IF(ISNUMBER(F1416),F1416-IF(ISNUMBER(K1416),K1416,0),""),"")</f>
        <v/>
      </c>
    </row>
    <row r="1417" ht="24" customHeight="1" s="63">
      <c r="E1417" s="139" t="n"/>
      <c r="F1417" s="139" t="n"/>
      <c r="G1417" s="140">
        <f>IFERROR(IF(E1417&gt;0,(F1417/E1417)*1000,""),"")</f>
        <v/>
      </c>
      <c r="H1417" s="139">
        <f>IFERROR(IF(E1417&gt;0,E1417*IF(ISNUMBER(J1417),J1417,IF(OR(C1417="Alpha",B1417="Alpha"),$C$7,IF(C1417="Futures",$C$6,$C$5))),""),"")</f>
        <v/>
      </c>
      <c r="I1417" s="139">
        <f>IFERROR(IF(AND(ISNUMBER(F1417),ISNUMBER(H1417)),F1417-H1417,""),"")</f>
        <v/>
      </c>
      <c r="J1417" s="114" t="n"/>
      <c r="K1417" s="139">
        <f>IFERROR(IF(H1417&gt;0,H1417*IF(OR(C1417="Alpha",B1417="Alpha"),$C$9,$C$8),""),"")</f>
        <v/>
      </c>
      <c r="L1417" s="139">
        <f>IFERROR(IF(ISNUMBER(F1417),F1417-IF(ISNUMBER(K1417),K1417,0),""),"")</f>
        <v/>
      </c>
    </row>
    <row r="1418" ht="24" customHeight="1" s="63">
      <c r="E1418" s="139" t="n"/>
      <c r="F1418" s="139" t="n"/>
      <c r="G1418" s="140">
        <f>IFERROR(IF(E1418&gt;0,(F1418/E1418)*1000,""),"")</f>
        <v/>
      </c>
      <c r="H1418" s="139">
        <f>IFERROR(IF(E1418&gt;0,E1418*IF(ISNUMBER(J1418),J1418,IF(OR(C1418="Alpha",B1418="Alpha"),$C$7,IF(C1418="Futures",$C$6,$C$5))),""),"")</f>
        <v/>
      </c>
      <c r="I1418" s="139">
        <f>IFERROR(IF(AND(ISNUMBER(F1418),ISNUMBER(H1418)),F1418-H1418,""),"")</f>
        <v/>
      </c>
      <c r="J1418" s="114" t="n"/>
      <c r="K1418" s="139">
        <f>IFERROR(IF(H1418&gt;0,H1418*IF(OR(C1418="Alpha",B1418="Alpha"),$C$9,$C$8),""),"")</f>
        <v/>
      </c>
      <c r="L1418" s="139">
        <f>IFERROR(IF(ISNUMBER(F1418),F1418-IF(ISNUMBER(K1418),K1418,0),""),"")</f>
        <v/>
      </c>
    </row>
    <row r="1419" ht="24" customHeight="1" s="63">
      <c r="E1419" s="139" t="n"/>
      <c r="F1419" s="139" t="n"/>
      <c r="G1419" s="140">
        <f>IFERROR(IF(E1419&gt;0,(F1419/E1419)*1000,""),"")</f>
        <v/>
      </c>
      <c r="H1419" s="139">
        <f>IFERROR(IF(E1419&gt;0,E1419*IF(ISNUMBER(J1419),J1419,IF(OR(C1419="Alpha",B1419="Alpha"),$C$7,IF(C1419="Futures",$C$6,$C$5))),""),"")</f>
        <v/>
      </c>
      <c r="I1419" s="139">
        <f>IFERROR(IF(AND(ISNUMBER(F1419),ISNUMBER(H1419)),F1419-H1419,""),"")</f>
        <v/>
      </c>
      <c r="J1419" s="114" t="n"/>
      <c r="K1419" s="139">
        <f>IFERROR(IF(H1419&gt;0,H1419*IF(OR(C1419="Alpha",B1419="Alpha"),$C$9,$C$8),""),"")</f>
        <v/>
      </c>
      <c r="L1419" s="139">
        <f>IFERROR(IF(ISNUMBER(F1419),F1419-IF(ISNUMBER(K1419),K1419,0),""),"")</f>
        <v/>
      </c>
    </row>
    <row r="1420" ht="24" customHeight="1" s="63">
      <c r="E1420" s="139" t="n"/>
      <c r="F1420" s="139" t="n"/>
      <c r="G1420" s="140">
        <f>IFERROR(IF(E1420&gt;0,(F1420/E1420)*1000,""),"")</f>
        <v/>
      </c>
      <c r="H1420" s="139">
        <f>IFERROR(IF(E1420&gt;0,E1420*IF(ISNUMBER(J1420),J1420,IF(OR(C1420="Alpha",B1420="Alpha"),$C$7,IF(C1420="Futures",$C$6,$C$5))),""),"")</f>
        <v/>
      </c>
      <c r="I1420" s="139">
        <f>IFERROR(IF(AND(ISNUMBER(F1420),ISNUMBER(H1420)),F1420-H1420,""),"")</f>
        <v/>
      </c>
      <c r="J1420" s="114" t="n"/>
      <c r="K1420" s="139">
        <f>IFERROR(IF(H1420&gt;0,H1420*IF(OR(C1420="Alpha",B1420="Alpha"),$C$9,$C$8),""),"")</f>
        <v/>
      </c>
      <c r="L1420" s="139">
        <f>IFERROR(IF(ISNUMBER(F1420),F1420-IF(ISNUMBER(K1420),K1420,0),""),"")</f>
        <v/>
      </c>
    </row>
    <row r="1421" ht="24" customHeight="1" s="63">
      <c r="E1421" s="139" t="n"/>
      <c r="F1421" s="139" t="n"/>
      <c r="G1421" s="140">
        <f>IFERROR(IF(E1421&gt;0,(F1421/E1421)*1000,""),"")</f>
        <v/>
      </c>
      <c r="H1421" s="139">
        <f>IFERROR(IF(E1421&gt;0,E1421*IF(ISNUMBER(J1421),J1421,IF(OR(C1421="Alpha",B1421="Alpha"),$C$7,IF(C1421="Futures",$C$6,$C$5))),""),"")</f>
        <v/>
      </c>
      <c r="I1421" s="139">
        <f>IFERROR(IF(AND(ISNUMBER(F1421),ISNUMBER(H1421)),F1421-H1421,""),"")</f>
        <v/>
      </c>
      <c r="J1421" s="114" t="n"/>
      <c r="K1421" s="139">
        <f>IFERROR(IF(H1421&gt;0,H1421*IF(OR(C1421="Alpha",B1421="Alpha"),$C$9,$C$8),""),"")</f>
        <v/>
      </c>
      <c r="L1421" s="139">
        <f>IFERROR(IF(ISNUMBER(F1421),F1421-IF(ISNUMBER(K1421),K1421,0),""),"")</f>
        <v/>
      </c>
    </row>
    <row r="1422" ht="24" customHeight="1" s="63">
      <c r="E1422" s="139" t="n"/>
      <c r="F1422" s="139" t="n"/>
      <c r="G1422" s="140">
        <f>IFERROR(IF(E1422&gt;0,(F1422/E1422)*1000,""),"")</f>
        <v/>
      </c>
      <c r="H1422" s="139">
        <f>IFERROR(IF(E1422&gt;0,E1422*IF(ISNUMBER(J1422),J1422,IF(OR(C1422="Alpha",B1422="Alpha"),$C$7,IF(C1422="Futures",$C$6,$C$5))),""),"")</f>
        <v/>
      </c>
      <c r="I1422" s="139">
        <f>IFERROR(IF(AND(ISNUMBER(F1422),ISNUMBER(H1422)),F1422-H1422,""),"")</f>
        <v/>
      </c>
      <c r="J1422" s="114" t="n"/>
      <c r="K1422" s="139">
        <f>IFERROR(IF(H1422&gt;0,H1422*IF(OR(C1422="Alpha",B1422="Alpha"),$C$9,$C$8),""),"")</f>
        <v/>
      </c>
      <c r="L1422" s="139">
        <f>IFERROR(IF(ISNUMBER(F1422),F1422-IF(ISNUMBER(K1422),K1422,0),""),"")</f>
        <v/>
      </c>
    </row>
    <row r="1423" ht="24" customHeight="1" s="63">
      <c r="E1423" s="139" t="n"/>
      <c r="F1423" s="139" t="n"/>
      <c r="G1423" s="140">
        <f>IFERROR(IF(E1423&gt;0,(F1423/E1423)*1000,""),"")</f>
        <v/>
      </c>
      <c r="H1423" s="139">
        <f>IFERROR(IF(E1423&gt;0,E1423*IF(ISNUMBER(J1423),J1423,IF(OR(C1423="Alpha",B1423="Alpha"),$C$7,IF(C1423="Futures",$C$6,$C$5))),""),"")</f>
        <v/>
      </c>
      <c r="I1423" s="139">
        <f>IFERROR(IF(AND(ISNUMBER(F1423),ISNUMBER(H1423)),F1423-H1423,""),"")</f>
        <v/>
      </c>
      <c r="J1423" s="114" t="n"/>
      <c r="K1423" s="139">
        <f>IFERROR(IF(H1423&gt;0,H1423*IF(OR(C1423="Alpha",B1423="Alpha"),$C$9,$C$8),""),"")</f>
        <v/>
      </c>
      <c r="L1423" s="139">
        <f>IFERROR(IF(ISNUMBER(F1423),F1423-IF(ISNUMBER(K1423),K1423,0),""),"")</f>
        <v/>
      </c>
    </row>
    <row r="1424" ht="24" customHeight="1" s="63">
      <c r="E1424" s="139" t="n"/>
      <c r="F1424" s="139" t="n"/>
      <c r="G1424" s="140">
        <f>IFERROR(IF(E1424&gt;0,(F1424/E1424)*1000,""),"")</f>
        <v/>
      </c>
      <c r="H1424" s="139">
        <f>IFERROR(IF(E1424&gt;0,E1424*IF(ISNUMBER(J1424),J1424,IF(OR(C1424="Alpha",B1424="Alpha"),$C$7,IF(C1424="Futures",$C$6,$C$5))),""),"")</f>
        <v/>
      </c>
      <c r="I1424" s="139">
        <f>IFERROR(IF(AND(ISNUMBER(F1424),ISNUMBER(H1424)),F1424-H1424,""),"")</f>
        <v/>
      </c>
      <c r="J1424" s="114" t="n"/>
      <c r="K1424" s="139">
        <f>IFERROR(IF(H1424&gt;0,H1424*IF(OR(C1424="Alpha",B1424="Alpha"),$C$9,$C$8),""),"")</f>
        <v/>
      </c>
      <c r="L1424" s="139">
        <f>IFERROR(IF(ISNUMBER(F1424),F1424-IF(ISNUMBER(K1424),K1424,0),""),"")</f>
        <v/>
      </c>
    </row>
    <row r="1425" ht="24" customHeight="1" s="63">
      <c r="E1425" s="139" t="n"/>
      <c r="F1425" s="139" t="n"/>
      <c r="G1425" s="140">
        <f>IFERROR(IF(E1425&gt;0,(F1425/E1425)*1000,""),"")</f>
        <v/>
      </c>
      <c r="H1425" s="139">
        <f>IFERROR(IF(E1425&gt;0,E1425*IF(ISNUMBER(J1425),J1425,IF(OR(C1425="Alpha",B1425="Alpha"),$C$7,IF(C1425="Futures",$C$6,$C$5))),""),"")</f>
        <v/>
      </c>
      <c r="I1425" s="139">
        <f>IFERROR(IF(AND(ISNUMBER(F1425),ISNUMBER(H1425)),F1425-H1425,""),"")</f>
        <v/>
      </c>
      <c r="J1425" s="114" t="n"/>
      <c r="K1425" s="139">
        <f>IFERROR(IF(H1425&gt;0,H1425*IF(OR(C1425="Alpha",B1425="Alpha"),$C$9,$C$8),""),"")</f>
        <v/>
      </c>
      <c r="L1425" s="139">
        <f>IFERROR(IF(ISNUMBER(F1425),F1425-IF(ISNUMBER(K1425),K1425,0),""),"")</f>
        <v/>
      </c>
    </row>
    <row r="1426" ht="24" customHeight="1" s="63">
      <c r="E1426" s="139" t="n"/>
      <c r="F1426" s="139" t="n"/>
      <c r="G1426" s="140">
        <f>IFERROR(IF(E1426&gt;0,(F1426/E1426)*1000,""),"")</f>
        <v/>
      </c>
      <c r="H1426" s="139">
        <f>IFERROR(IF(E1426&gt;0,E1426*IF(ISNUMBER(J1426),J1426,IF(OR(C1426="Alpha",B1426="Alpha"),$C$7,IF(C1426="Futures",$C$6,$C$5))),""),"")</f>
        <v/>
      </c>
      <c r="I1426" s="139">
        <f>IFERROR(IF(AND(ISNUMBER(F1426),ISNUMBER(H1426)),F1426-H1426,""),"")</f>
        <v/>
      </c>
      <c r="J1426" s="114" t="n"/>
      <c r="K1426" s="139">
        <f>IFERROR(IF(H1426&gt;0,H1426*IF(OR(C1426="Alpha",B1426="Alpha"),$C$9,$C$8),""),"")</f>
        <v/>
      </c>
      <c r="L1426" s="139">
        <f>IFERROR(IF(ISNUMBER(F1426),F1426-IF(ISNUMBER(K1426),K1426,0),""),"")</f>
        <v/>
      </c>
    </row>
    <row r="1427" ht="24" customHeight="1" s="63">
      <c r="E1427" s="139" t="n"/>
      <c r="F1427" s="139" t="n"/>
      <c r="G1427" s="140">
        <f>IFERROR(IF(E1427&gt;0,(F1427/E1427)*1000,""),"")</f>
        <v/>
      </c>
      <c r="H1427" s="139">
        <f>IFERROR(IF(E1427&gt;0,E1427*IF(ISNUMBER(J1427),J1427,IF(OR(C1427="Alpha",B1427="Alpha"),$C$7,IF(C1427="Futures",$C$6,$C$5))),""),"")</f>
        <v/>
      </c>
      <c r="I1427" s="139">
        <f>IFERROR(IF(AND(ISNUMBER(F1427),ISNUMBER(H1427)),F1427-H1427,""),"")</f>
        <v/>
      </c>
      <c r="J1427" s="114" t="n"/>
      <c r="K1427" s="139">
        <f>IFERROR(IF(H1427&gt;0,H1427*IF(OR(C1427="Alpha",B1427="Alpha"),$C$9,$C$8),""),"")</f>
        <v/>
      </c>
      <c r="L1427" s="139">
        <f>IFERROR(IF(ISNUMBER(F1427),F1427-IF(ISNUMBER(K1427),K1427,0),""),"")</f>
        <v/>
      </c>
    </row>
    <row r="1428" ht="24" customHeight="1" s="63">
      <c r="E1428" s="139" t="n"/>
      <c r="F1428" s="139" t="n"/>
      <c r="G1428" s="140">
        <f>IFERROR(IF(E1428&gt;0,(F1428/E1428)*1000,""),"")</f>
        <v/>
      </c>
      <c r="H1428" s="139">
        <f>IFERROR(IF(E1428&gt;0,E1428*IF(ISNUMBER(J1428),J1428,IF(OR(C1428="Alpha",B1428="Alpha"),$C$7,IF(C1428="Futures",$C$6,$C$5))),""),"")</f>
        <v/>
      </c>
      <c r="I1428" s="139">
        <f>IFERROR(IF(AND(ISNUMBER(F1428),ISNUMBER(H1428)),F1428-H1428,""),"")</f>
        <v/>
      </c>
      <c r="J1428" s="114" t="n"/>
      <c r="K1428" s="139">
        <f>IFERROR(IF(H1428&gt;0,H1428*IF(OR(C1428="Alpha",B1428="Alpha"),$C$9,$C$8),""),"")</f>
        <v/>
      </c>
      <c r="L1428" s="139">
        <f>IFERROR(IF(ISNUMBER(F1428),F1428-IF(ISNUMBER(K1428),K1428,0),""),"")</f>
        <v/>
      </c>
    </row>
    <row r="1429" ht="24" customHeight="1" s="63">
      <c r="E1429" s="139" t="n"/>
      <c r="F1429" s="139" t="n"/>
      <c r="G1429" s="140">
        <f>IFERROR(IF(E1429&gt;0,(F1429/E1429)*1000,""),"")</f>
        <v/>
      </c>
      <c r="H1429" s="139">
        <f>IFERROR(IF(E1429&gt;0,E1429*IF(ISNUMBER(J1429),J1429,IF(OR(C1429="Alpha",B1429="Alpha"),$C$7,IF(C1429="Futures",$C$6,$C$5))),""),"")</f>
        <v/>
      </c>
      <c r="I1429" s="139">
        <f>IFERROR(IF(AND(ISNUMBER(F1429),ISNUMBER(H1429)),F1429-H1429,""),"")</f>
        <v/>
      </c>
      <c r="J1429" s="114" t="n"/>
      <c r="K1429" s="139">
        <f>IFERROR(IF(H1429&gt;0,H1429*IF(OR(C1429="Alpha",B1429="Alpha"),$C$9,$C$8),""),"")</f>
        <v/>
      </c>
      <c r="L1429" s="139">
        <f>IFERROR(IF(ISNUMBER(F1429),F1429-IF(ISNUMBER(K1429),K1429,0),""),"")</f>
        <v/>
      </c>
    </row>
    <row r="1430" ht="24" customHeight="1" s="63">
      <c r="E1430" s="139" t="n"/>
      <c r="F1430" s="139" t="n"/>
      <c r="G1430" s="140">
        <f>IFERROR(IF(E1430&gt;0,(F1430/E1430)*1000,""),"")</f>
        <v/>
      </c>
      <c r="H1430" s="139">
        <f>IFERROR(IF(E1430&gt;0,E1430*IF(ISNUMBER(J1430),J1430,IF(OR(C1430="Alpha",B1430="Alpha"),$C$7,IF(C1430="Futures",$C$6,$C$5))),""),"")</f>
        <v/>
      </c>
      <c r="I1430" s="139">
        <f>IFERROR(IF(AND(ISNUMBER(F1430),ISNUMBER(H1430)),F1430-H1430,""),"")</f>
        <v/>
      </c>
      <c r="J1430" s="114" t="n"/>
      <c r="K1430" s="139">
        <f>IFERROR(IF(H1430&gt;0,H1430*IF(OR(C1430="Alpha",B1430="Alpha"),$C$9,$C$8),""),"")</f>
        <v/>
      </c>
      <c r="L1430" s="139">
        <f>IFERROR(IF(ISNUMBER(F1430),F1430-IF(ISNUMBER(K1430),K1430,0),""),"")</f>
        <v/>
      </c>
    </row>
    <row r="1431" ht="24" customHeight="1" s="63">
      <c r="E1431" s="139" t="n"/>
      <c r="F1431" s="139" t="n"/>
      <c r="G1431" s="140">
        <f>IFERROR(IF(E1431&gt;0,(F1431/E1431)*1000,""),"")</f>
        <v/>
      </c>
      <c r="H1431" s="139">
        <f>IFERROR(IF(E1431&gt;0,E1431*IF(ISNUMBER(J1431),J1431,IF(OR(C1431="Alpha",B1431="Alpha"),$C$7,IF(C1431="Futures",$C$6,$C$5))),""),"")</f>
        <v/>
      </c>
      <c r="I1431" s="139">
        <f>IFERROR(IF(AND(ISNUMBER(F1431),ISNUMBER(H1431)),F1431-H1431,""),"")</f>
        <v/>
      </c>
      <c r="J1431" s="114" t="n"/>
      <c r="K1431" s="139">
        <f>IFERROR(IF(H1431&gt;0,H1431*IF(OR(C1431="Alpha",B1431="Alpha"),$C$9,$C$8),""),"")</f>
        <v/>
      </c>
      <c r="L1431" s="139">
        <f>IFERROR(IF(ISNUMBER(F1431),F1431-IF(ISNUMBER(K1431),K1431,0),""),"")</f>
        <v/>
      </c>
    </row>
    <row r="1432" ht="24" customHeight="1" s="63">
      <c r="E1432" s="139" t="n"/>
      <c r="F1432" s="139" t="n"/>
      <c r="G1432" s="140">
        <f>IFERROR(IF(E1432&gt;0,(F1432/E1432)*1000,""),"")</f>
        <v/>
      </c>
      <c r="H1432" s="139">
        <f>IFERROR(IF(E1432&gt;0,E1432*IF(ISNUMBER(J1432),J1432,IF(OR(C1432="Alpha",B1432="Alpha"),$C$7,IF(C1432="Futures",$C$6,$C$5))),""),"")</f>
        <v/>
      </c>
      <c r="I1432" s="139">
        <f>IFERROR(IF(AND(ISNUMBER(F1432),ISNUMBER(H1432)),F1432-H1432,""),"")</f>
        <v/>
      </c>
      <c r="J1432" s="114" t="n"/>
      <c r="K1432" s="139">
        <f>IFERROR(IF(H1432&gt;0,H1432*IF(OR(C1432="Alpha",B1432="Alpha"),$C$9,$C$8),""),"")</f>
        <v/>
      </c>
      <c r="L1432" s="139">
        <f>IFERROR(IF(ISNUMBER(F1432),F1432-IF(ISNUMBER(K1432),K1432,0),""),"")</f>
        <v/>
      </c>
    </row>
    <row r="1433" ht="24" customHeight="1" s="63">
      <c r="E1433" s="139" t="n"/>
      <c r="F1433" s="139" t="n"/>
      <c r="G1433" s="140">
        <f>IFERROR(IF(E1433&gt;0,(F1433/E1433)*1000,""),"")</f>
        <v/>
      </c>
      <c r="H1433" s="139">
        <f>IFERROR(IF(E1433&gt;0,E1433*IF(ISNUMBER(J1433),J1433,IF(OR(C1433="Alpha",B1433="Alpha"),$C$7,IF(C1433="Futures",$C$6,$C$5))),""),"")</f>
        <v/>
      </c>
      <c r="I1433" s="139">
        <f>IFERROR(IF(AND(ISNUMBER(F1433),ISNUMBER(H1433)),F1433-H1433,""),"")</f>
        <v/>
      </c>
      <c r="J1433" s="114" t="n"/>
      <c r="K1433" s="139">
        <f>IFERROR(IF(H1433&gt;0,H1433*IF(OR(C1433="Alpha",B1433="Alpha"),$C$9,$C$8),""),"")</f>
        <v/>
      </c>
      <c r="L1433" s="139">
        <f>IFERROR(IF(ISNUMBER(F1433),F1433-IF(ISNUMBER(K1433),K1433,0),""),"")</f>
        <v/>
      </c>
    </row>
    <row r="1434" ht="24" customHeight="1" s="63">
      <c r="E1434" s="139" t="n"/>
      <c r="F1434" s="139" t="n"/>
      <c r="G1434" s="140">
        <f>IFERROR(IF(E1434&gt;0,(F1434/E1434)*1000,""),"")</f>
        <v/>
      </c>
      <c r="H1434" s="139">
        <f>IFERROR(IF(E1434&gt;0,E1434*IF(ISNUMBER(J1434),J1434,IF(OR(C1434="Alpha",B1434="Alpha"),$C$7,IF(C1434="Futures",$C$6,$C$5))),""),"")</f>
        <v/>
      </c>
      <c r="I1434" s="139">
        <f>IFERROR(IF(AND(ISNUMBER(F1434),ISNUMBER(H1434)),F1434-H1434,""),"")</f>
        <v/>
      </c>
      <c r="J1434" s="114" t="n"/>
      <c r="K1434" s="139">
        <f>IFERROR(IF(H1434&gt;0,H1434*IF(OR(C1434="Alpha",B1434="Alpha"),$C$9,$C$8),""),"")</f>
        <v/>
      </c>
      <c r="L1434" s="139">
        <f>IFERROR(IF(ISNUMBER(F1434),F1434-IF(ISNUMBER(K1434),K1434,0),""),"")</f>
        <v/>
      </c>
    </row>
    <row r="1435" ht="24" customHeight="1" s="63">
      <c r="E1435" s="139" t="n"/>
      <c r="F1435" s="139" t="n"/>
      <c r="G1435" s="140">
        <f>IFERROR(IF(E1435&gt;0,(F1435/E1435)*1000,""),"")</f>
        <v/>
      </c>
      <c r="H1435" s="139">
        <f>IFERROR(IF(E1435&gt;0,E1435*IF(ISNUMBER(J1435),J1435,IF(OR(C1435="Alpha",B1435="Alpha"),$C$7,IF(C1435="Futures",$C$6,$C$5))),""),"")</f>
        <v/>
      </c>
      <c r="I1435" s="139">
        <f>IFERROR(IF(AND(ISNUMBER(F1435),ISNUMBER(H1435)),F1435-H1435,""),"")</f>
        <v/>
      </c>
      <c r="J1435" s="114" t="n"/>
      <c r="K1435" s="139">
        <f>IFERROR(IF(H1435&gt;0,H1435*IF(OR(C1435="Alpha",B1435="Alpha"),$C$9,$C$8),""),"")</f>
        <v/>
      </c>
      <c r="L1435" s="139">
        <f>IFERROR(IF(ISNUMBER(F1435),F1435-IF(ISNUMBER(K1435),K1435,0),""),"")</f>
        <v/>
      </c>
    </row>
    <row r="1436" ht="24" customHeight="1" s="63">
      <c r="E1436" s="139" t="n"/>
      <c r="F1436" s="139" t="n"/>
      <c r="G1436" s="140">
        <f>IFERROR(IF(E1436&gt;0,(F1436/E1436)*1000,""),"")</f>
        <v/>
      </c>
      <c r="H1436" s="139">
        <f>IFERROR(IF(E1436&gt;0,E1436*IF(ISNUMBER(J1436),J1436,IF(OR(C1436="Alpha",B1436="Alpha"),$C$7,IF(C1436="Futures",$C$6,$C$5))),""),"")</f>
        <v/>
      </c>
      <c r="I1436" s="139">
        <f>IFERROR(IF(AND(ISNUMBER(F1436),ISNUMBER(H1436)),F1436-H1436,""),"")</f>
        <v/>
      </c>
      <c r="J1436" s="114" t="n"/>
      <c r="K1436" s="139">
        <f>IFERROR(IF(H1436&gt;0,H1436*IF(OR(C1436="Alpha",B1436="Alpha"),$C$9,$C$8),""),"")</f>
        <v/>
      </c>
      <c r="L1436" s="139">
        <f>IFERROR(IF(ISNUMBER(F1436),F1436-IF(ISNUMBER(K1436),K1436,0),""),"")</f>
        <v/>
      </c>
    </row>
    <row r="1437" ht="24" customHeight="1" s="63">
      <c r="E1437" s="139" t="n"/>
      <c r="F1437" s="139" t="n"/>
      <c r="G1437" s="140">
        <f>IFERROR(IF(E1437&gt;0,(F1437/E1437)*1000,""),"")</f>
        <v/>
      </c>
      <c r="H1437" s="139">
        <f>IFERROR(IF(E1437&gt;0,E1437*IF(ISNUMBER(J1437),J1437,IF(OR(C1437="Alpha",B1437="Alpha"),$C$7,IF(C1437="Futures",$C$6,$C$5))),""),"")</f>
        <v/>
      </c>
      <c r="I1437" s="139">
        <f>IFERROR(IF(AND(ISNUMBER(F1437),ISNUMBER(H1437)),F1437-H1437,""),"")</f>
        <v/>
      </c>
      <c r="J1437" s="114" t="n"/>
      <c r="K1437" s="139">
        <f>IFERROR(IF(H1437&gt;0,H1437*IF(OR(C1437="Alpha",B1437="Alpha"),$C$9,$C$8),""),"")</f>
        <v/>
      </c>
      <c r="L1437" s="139">
        <f>IFERROR(IF(ISNUMBER(F1437),F1437-IF(ISNUMBER(K1437),K1437,0),""),"")</f>
        <v/>
      </c>
    </row>
    <row r="1438" ht="24" customHeight="1" s="63">
      <c r="E1438" s="139" t="n"/>
      <c r="F1438" s="139" t="n"/>
      <c r="G1438" s="140">
        <f>IFERROR(IF(E1438&gt;0,(F1438/E1438)*1000,""),"")</f>
        <v/>
      </c>
      <c r="H1438" s="139">
        <f>IFERROR(IF(E1438&gt;0,E1438*IF(ISNUMBER(J1438),J1438,IF(OR(C1438="Alpha",B1438="Alpha"),$C$7,IF(C1438="Futures",$C$6,$C$5))),""),"")</f>
        <v/>
      </c>
      <c r="I1438" s="139">
        <f>IFERROR(IF(AND(ISNUMBER(F1438),ISNUMBER(H1438)),F1438-H1438,""),"")</f>
        <v/>
      </c>
      <c r="J1438" s="114" t="n"/>
      <c r="K1438" s="139">
        <f>IFERROR(IF(H1438&gt;0,H1438*IF(OR(C1438="Alpha",B1438="Alpha"),$C$9,$C$8),""),"")</f>
        <v/>
      </c>
      <c r="L1438" s="139">
        <f>IFERROR(IF(ISNUMBER(F1438),F1438-IF(ISNUMBER(K1438),K1438,0),""),"")</f>
        <v/>
      </c>
    </row>
    <row r="1439" ht="24" customHeight="1" s="63">
      <c r="E1439" s="139" t="n"/>
      <c r="F1439" s="139" t="n"/>
      <c r="G1439" s="140">
        <f>IFERROR(IF(E1439&gt;0,(F1439/E1439)*1000,""),"")</f>
        <v/>
      </c>
      <c r="H1439" s="139">
        <f>IFERROR(IF(E1439&gt;0,E1439*IF(ISNUMBER(J1439),J1439,IF(OR(C1439="Alpha",B1439="Alpha"),$C$7,IF(C1439="Futures",$C$6,$C$5))),""),"")</f>
        <v/>
      </c>
      <c r="I1439" s="139">
        <f>IFERROR(IF(AND(ISNUMBER(F1439),ISNUMBER(H1439)),F1439-H1439,""),"")</f>
        <v/>
      </c>
      <c r="J1439" s="114" t="n"/>
      <c r="K1439" s="139">
        <f>IFERROR(IF(H1439&gt;0,H1439*IF(OR(C1439="Alpha",B1439="Alpha"),$C$9,$C$8),""),"")</f>
        <v/>
      </c>
      <c r="L1439" s="139">
        <f>IFERROR(IF(ISNUMBER(F1439),F1439-IF(ISNUMBER(K1439),K1439,0),""),"")</f>
        <v/>
      </c>
    </row>
    <row r="1440" ht="24" customHeight="1" s="63">
      <c r="E1440" s="139" t="n"/>
      <c r="F1440" s="139" t="n"/>
      <c r="G1440" s="140">
        <f>IFERROR(IF(E1440&gt;0,(F1440/E1440)*1000,""),"")</f>
        <v/>
      </c>
      <c r="H1440" s="139">
        <f>IFERROR(IF(E1440&gt;0,E1440*IF(ISNUMBER(J1440),J1440,IF(OR(C1440="Alpha",B1440="Alpha"),$C$7,IF(C1440="Futures",$C$6,$C$5))),""),"")</f>
        <v/>
      </c>
      <c r="I1440" s="139">
        <f>IFERROR(IF(AND(ISNUMBER(F1440),ISNUMBER(H1440)),F1440-H1440,""),"")</f>
        <v/>
      </c>
      <c r="J1440" s="114" t="n"/>
      <c r="K1440" s="139">
        <f>IFERROR(IF(H1440&gt;0,H1440*IF(OR(C1440="Alpha",B1440="Alpha"),$C$9,$C$8),""),"")</f>
        <v/>
      </c>
      <c r="L1440" s="139">
        <f>IFERROR(IF(ISNUMBER(F1440),F1440-IF(ISNUMBER(K1440),K1440,0),""),"")</f>
        <v/>
      </c>
    </row>
    <row r="1441" ht="24" customHeight="1" s="63">
      <c r="E1441" s="139" t="n"/>
      <c r="F1441" s="139" t="n"/>
      <c r="G1441" s="140">
        <f>IFERROR(IF(E1441&gt;0,(F1441/E1441)*1000,""),"")</f>
        <v/>
      </c>
      <c r="H1441" s="139">
        <f>IFERROR(IF(E1441&gt;0,E1441*IF(ISNUMBER(J1441),J1441,IF(OR(C1441="Alpha",B1441="Alpha"),$C$7,IF(C1441="Futures",$C$6,$C$5))),""),"")</f>
        <v/>
      </c>
      <c r="I1441" s="139">
        <f>IFERROR(IF(AND(ISNUMBER(F1441),ISNUMBER(H1441)),F1441-H1441,""),"")</f>
        <v/>
      </c>
      <c r="J1441" s="114" t="n"/>
      <c r="K1441" s="139">
        <f>IFERROR(IF(H1441&gt;0,H1441*IF(OR(C1441="Alpha",B1441="Alpha"),$C$9,$C$8),""),"")</f>
        <v/>
      </c>
      <c r="L1441" s="139">
        <f>IFERROR(IF(ISNUMBER(F1441),F1441-IF(ISNUMBER(K1441),K1441,0),""),"")</f>
        <v/>
      </c>
    </row>
    <row r="1442" ht="24" customHeight="1" s="63">
      <c r="E1442" s="139" t="n"/>
      <c r="F1442" s="139" t="n"/>
      <c r="G1442" s="140">
        <f>IFERROR(IF(E1442&gt;0,(F1442/E1442)*1000,""),"")</f>
        <v/>
      </c>
      <c r="H1442" s="139">
        <f>IFERROR(IF(E1442&gt;0,E1442*IF(ISNUMBER(J1442),J1442,IF(OR(C1442="Alpha",B1442="Alpha"),$C$7,IF(C1442="Futures",$C$6,$C$5))),""),"")</f>
        <v/>
      </c>
      <c r="I1442" s="139">
        <f>IFERROR(IF(AND(ISNUMBER(F1442),ISNUMBER(H1442)),F1442-H1442,""),"")</f>
        <v/>
      </c>
      <c r="J1442" s="114" t="n"/>
      <c r="K1442" s="139">
        <f>IFERROR(IF(H1442&gt;0,H1442*IF(OR(C1442="Alpha",B1442="Alpha"),$C$9,$C$8),""),"")</f>
        <v/>
      </c>
      <c r="L1442" s="139">
        <f>IFERROR(IF(ISNUMBER(F1442),F1442-IF(ISNUMBER(K1442),K1442,0),""),"")</f>
        <v/>
      </c>
    </row>
    <row r="1443" ht="24" customHeight="1" s="63">
      <c r="E1443" s="139" t="n"/>
      <c r="F1443" s="139" t="n"/>
      <c r="G1443" s="140">
        <f>IFERROR(IF(E1443&gt;0,(F1443/E1443)*1000,""),"")</f>
        <v/>
      </c>
      <c r="H1443" s="139">
        <f>IFERROR(IF(E1443&gt;0,E1443*IF(ISNUMBER(J1443),J1443,IF(OR(C1443="Alpha",B1443="Alpha"),$C$7,IF(C1443="Futures",$C$6,$C$5))),""),"")</f>
        <v/>
      </c>
      <c r="I1443" s="139">
        <f>IFERROR(IF(AND(ISNUMBER(F1443),ISNUMBER(H1443)),F1443-H1443,""),"")</f>
        <v/>
      </c>
      <c r="J1443" s="114" t="n"/>
      <c r="K1443" s="139">
        <f>IFERROR(IF(H1443&gt;0,H1443*IF(OR(C1443="Alpha",B1443="Alpha"),$C$9,$C$8),""),"")</f>
        <v/>
      </c>
      <c r="L1443" s="139">
        <f>IFERROR(IF(ISNUMBER(F1443),F1443-IF(ISNUMBER(K1443),K1443,0),""),"")</f>
        <v/>
      </c>
    </row>
    <row r="1444" ht="24" customHeight="1" s="63">
      <c r="E1444" s="139" t="n"/>
      <c r="F1444" s="139" t="n"/>
      <c r="G1444" s="140">
        <f>IFERROR(IF(E1444&gt;0,(F1444/E1444)*1000,""),"")</f>
        <v/>
      </c>
      <c r="H1444" s="139">
        <f>IFERROR(IF(E1444&gt;0,E1444*IF(ISNUMBER(J1444),J1444,IF(OR(C1444="Alpha",B1444="Alpha"),$C$7,IF(C1444="Futures",$C$6,$C$5))),""),"")</f>
        <v/>
      </c>
      <c r="I1444" s="139">
        <f>IFERROR(IF(AND(ISNUMBER(F1444),ISNUMBER(H1444)),F1444-H1444,""),"")</f>
        <v/>
      </c>
      <c r="J1444" s="114" t="n"/>
      <c r="K1444" s="139">
        <f>IFERROR(IF(H1444&gt;0,H1444*IF(OR(C1444="Alpha",B1444="Alpha"),$C$9,$C$8),""),"")</f>
        <v/>
      </c>
      <c r="L1444" s="139">
        <f>IFERROR(IF(ISNUMBER(F1444),F1444-IF(ISNUMBER(K1444),K1444,0),""),"")</f>
        <v/>
      </c>
    </row>
    <row r="1445" ht="24" customHeight="1" s="63">
      <c r="E1445" s="139" t="n"/>
      <c r="F1445" s="139" t="n"/>
      <c r="G1445" s="140">
        <f>IFERROR(IF(E1445&gt;0,(F1445/E1445)*1000,""),"")</f>
        <v/>
      </c>
      <c r="H1445" s="139">
        <f>IFERROR(IF(E1445&gt;0,E1445*IF(ISNUMBER(J1445),J1445,IF(OR(C1445="Alpha",B1445="Alpha"),$C$7,IF(C1445="Futures",$C$6,$C$5))),""),"")</f>
        <v/>
      </c>
      <c r="I1445" s="139">
        <f>IFERROR(IF(AND(ISNUMBER(F1445),ISNUMBER(H1445)),F1445-H1445,""),"")</f>
        <v/>
      </c>
      <c r="J1445" s="114" t="n"/>
      <c r="K1445" s="139">
        <f>IFERROR(IF(H1445&gt;0,H1445*IF(OR(C1445="Alpha",B1445="Alpha"),$C$9,$C$8),""),"")</f>
        <v/>
      </c>
      <c r="L1445" s="139">
        <f>IFERROR(IF(ISNUMBER(F1445),F1445-IF(ISNUMBER(K1445),K1445,0),""),"")</f>
        <v/>
      </c>
    </row>
    <row r="1446" ht="24" customHeight="1" s="63">
      <c r="E1446" s="139" t="n"/>
      <c r="F1446" s="139" t="n"/>
      <c r="G1446" s="140">
        <f>IFERROR(IF(E1446&gt;0,(F1446/E1446)*1000,""),"")</f>
        <v/>
      </c>
      <c r="H1446" s="139">
        <f>IFERROR(IF(E1446&gt;0,E1446*IF(ISNUMBER(J1446),J1446,IF(OR(C1446="Alpha",B1446="Alpha"),$C$7,IF(C1446="Futures",$C$6,$C$5))),""),"")</f>
        <v/>
      </c>
      <c r="I1446" s="139">
        <f>IFERROR(IF(AND(ISNUMBER(F1446),ISNUMBER(H1446)),F1446-H1446,""),"")</f>
        <v/>
      </c>
      <c r="J1446" s="114" t="n"/>
      <c r="K1446" s="139">
        <f>IFERROR(IF(H1446&gt;0,H1446*IF(OR(C1446="Alpha",B1446="Alpha"),$C$9,$C$8),""),"")</f>
        <v/>
      </c>
      <c r="L1446" s="139">
        <f>IFERROR(IF(ISNUMBER(F1446),F1446-IF(ISNUMBER(K1446),K1446,0),""),"")</f>
        <v/>
      </c>
    </row>
    <row r="1447" ht="24" customHeight="1" s="63">
      <c r="E1447" s="139" t="n"/>
      <c r="F1447" s="139" t="n"/>
      <c r="G1447" s="140">
        <f>IFERROR(IF(E1447&gt;0,(F1447/E1447)*1000,""),"")</f>
        <v/>
      </c>
      <c r="H1447" s="139">
        <f>IFERROR(IF(E1447&gt;0,E1447*IF(ISNUMBER(J1447),J1447,IF(OR(C1447="Alpha",B1447="Alpha"),$C$7,IF(C1447="Futures",$C$6,$C$5))),""),"")</f>
        <v/>
      </c>
      <c r="I1447" s="139">
        <f>IFERROR(IF(AND(ISNUMBER(F1447),ISNUMBER(H1447)),F1447-H1447,""),"")</f>
        <v/>
      </c>
      <c r="J1447" s="114" t="n"/>
      <c r="K1447" s="139">
        <f>IFERROR(IF(H1447&gt;0,H1447*IF(OR(C1447="Alpha",B1447="Alpha"),$C$9,$C$8),""),"")</f>
        <v/>
      </c>
      <c r="L1447" s="139">
        <f>IFERROR(IF(ISNUMBER(F1447),F1447-IF(ISNUMBER(K1447),K1447,0),""),"")</f>
        <v/>
      </c>
    </row>
    <row r="1448" ht="24" customHeight="1" s="63">
      <c r="E1448" s="139" t="n"/>
      <c r="F1448" s="139" t="n"/>
      <c r="G1448" s="140">
        <f>IFERROR(IF(E1448&gt;0,(F1448/E1448)*1000,""),"")</f>
        <v/>
      </c>
      <c r="H1448" s="139">
        <f>IFERROR(IF(E1448&gt;0,E1448*IF(ISNUMBER(J1448),J1448,IF(OR(C1448="Alpha",B1448="Alpha"),$C$7,IF(C1448="Futures",$C$6,$C$5))),""),"")</f>
        <v/>
      </c>
      <c r="I1448" s="139">
        <f>IFERROR(IF(AND(ISNUMBER(F1448),ISNUMBER(H1448)),F1448-H1448,""),"")</f>
        <v/>
      </c>
      <c r="J1448" s="114" t="n"/>
      <c r="K1448" s="139">
        <f>IFERROR(IF(H1448&gt;0,H1448*IF(OR(C1448="Alpha",B1448="Alpha"),$C$9,$C$8),""),"")</f>
        <v/>
      </c>
      <c r="L1448" s="139">
        <f>IFERROR(IF(ISNUMBER(F1448),F1448-IF(ISNUMBER(K1448),K1448,0),""),"")</f>
        <v/>
      </c>
    </row>
    <row r="1449" ht="24" customHeight="1" s="63">
      <c r="E1449" s="139" t="n"/>
      <c r="F1449" s="139" t="n"/>
      <c r="G1449" s="140">
        <f>IFERROR(IF(E1449&gt;0,(F1449/E1449)*1000,""),"")</f>
        <v/>
      </c>
      <c r="H1449" s="139">
        <f>IFERROR(IF(E1449&gt;0,E1449*IF(ISNUMBER(J1449),J1449,IF(OR(C1449="Alpha",B1449="Alpha"),$C$7,IF(C1449="Futures",$C$6,$C$5))),""),"")</f>
        <v/>
      </c>
      <c r="I1449" s="139">
        <f>IFERROR(IF(AND(ISNUMBER(F1449),ISNUMBER(H1449)),F1449-H1449,""),"")</f>
        <v/>
      </c>
      <c r="J1449" s="114" t="n"/>
      <c r="K1449" s="139">
        <f>IFERROR(IF(H1449&gt;0,H1449*IF(OR(C1449="Alpha",B1449="Alpha"),$C$9,$C$8),""),"")</f>
        <v/>
      </c>
      <c r="L1449" s="139">
        <f>IFERROR(IF(ISNUMBER(F1449),F1449-IF(ISNUMBER(K1449),K1449,0),""),"")</f>
        <v/>
      </c>
    </row>
    <row r="1450" ht="24" customHeight="1" s="63">
      <c r="E1450" s="139" t="n"/>
      <c r="F1450" s="139" t="n"/>
      <c r="G1450" s="140">
        <f>IFERROR(IF(E1450&gt;0,(F1450/E1450)*1000,""),"")</f>
        <v/>
      </c>
      <c r="H1450" s="139">
        <f>IFERROR(IF(E1450&gt;0,E1450*IF(ISNUMBER(J1450),J1450,IF(OR(C1450="Alpha",B1450="Alpha"),$C$7,IF(C1450="Futures",$C$6,$C$5))),""),"")</f>
        <v/>
      </c>
      <c r="I1450" s="139">
        <f>IFERROR(IF(AND(ISNUMBER(F1450),ISNUMBER(H1450)),F1450-H1450,""),"")</f>
        <v/>
      </c>
      <c r="J1450" s="114" t="n"/>
      <c r="K1450" s="139">
        <f>IFERROR(IF(H1450&gt;0,H1450*IF(OR(C1450="Alpha",B1450="Alpha"),$C$9,$C$8),""),"")</f>
        <v/>
      </c>
      <c r="L1450" s="139">
        <f>IFERROR(IF(ISNUMBER(F1450),F1450-IF(ISNUMBER(K1450),K1450,0),""),"")</f>
        <v/>
      </c>
    </row>
    <row r="1451" ht="24" customHeight="1" s="63">
      <c r="E1451" s="139" t="n"/>
      <c r="F1451" s="139" t="n"/>
      <c r="G1451" s="140">
        <f>IFERROR(IF(E1451&gt;0,(F1451/E1451)*1000,""),"")</f>
        <v/>
      </c>
      <c r="H1451" s="139">
        <f>IFERROR(IF(E1451&gt;0,E1451*IF(ISNUMBER(J1451),J1451,IF(OR(C1451="Alpha",B1451="Alpha"),$C$7,IF(C1451="Futures",$C$6,$C$5))),""),"")</f>
        <v/>
      </c>
      <c r="I1451" s="139">
        <f>IFERROR(IF(AND(ISNUMBER(F1451),ISNUMBER(H1451)),F1451-H1451,""),"")</f>
        <v/>
      </c>
      <c r="J1451" s="114" t="n"/>
      <c r="K1451" s="139">
        <f>IFERROR(IF(H1451&gt;0,H1451*IF(OR(C1451="Alpha",B1451="Alpha"),$C$9,$C$8),""),"")</f>
        <v/>
      </c>
      <c r="L1451" s="139">
        <f>IFERROR(IF(ISNUMBER(F1451),F1451-IF(ISNUMBER(K1451),K1451,0),""),"")</f>
        <v/>
      </c>
    </row>
    <row r="1452" ht="24" customHeight="1" s="63">
      <c r="E1452" s="139" t="n"/>
      <c r="F1452" s="139" t="n"/>
      <c r="G1452" s="140">
        <f>IFERROR(IF(E1452&gt;0,(F1452/E1452)*1000,""),"")</f>
        <v/>
      </c>
      <c r="H1452" s="139">
        <f>IFERROR(IF(E1452&gt;0,E1452*IF(ISNUMBER(J1452),J1452,IF(OR(C1452="Alpha",B1452="Alpha"),$C$7,IF(C1452="Futures",$C$6,$C$5))),""),"")</f>
        <v/>
      </c>
      <c r="I1452" s="139">
        <f>IFERROR(IF(AND(ISNUMBER(F1452),ISNUMBER(H1452)),F1452-H1452,""),"")</f>
        <v/>
      </c>
      <c r="J1452" s="114" t="n"/>
      <c r="K1452" s="139">
        <f>IFERROR(IF(H1452&gt;0,H1452*IF(OR(C1452="Alpha",B1452="Alpha"),$C$9,$C$8),""),"")</f>
        <v/>
      </c>
      <c r="L1452" s="139">
        <f>IFERROR(IF(ISNUMBER(F1452),F1452-IF(ISNUMBER(K1452),K1452,0),""),"")</f>
        <v/>
      </c>
    </row>
    <row r="1453" ht="24" customHeight="1" s="63">
      <c r="E1453" s="139" t="n"/>
      <c r="F1453" s="139" t="n"/>
      <c r="G1453" s="140">
        <f>IFERROR(IF(E1453&gt;0,(F1453/E1453)*1000,""),"")</f>
        <v/>
      </c>
      <c r="H1453" s="139">
        <f>IFERROR(IF(E1453&gt;0,E1453*IF(ISNUMBER(J1453),J1453,IF(OR(C1453="Alpha",B1453="Alpha"),$C$7,IF(C1453="Futures",$C$6,$C$5))),""),"")</f>
        <v/>
      </c>
      <c r="I1453" s="139">
        <f>IFERROR(IF(AND(ISNUMBER(F1453),ISNUMBER(H1453)),F1453-H1453,""),"")</f>
        <v/>
      </c>
      <c r="J1453" s="114" t="n"/>
      <c r="K1453" s="139">
        <f>IFERROR(IF(H1453&gt;0,H1453*IF(OR(C1453="Alpha",B1453="Alpha"),$C$9,$C$8),""),"")</f>
        <v/>
      </c>
      <c r="L1453" s="139">
        <f>IFERROR(IF(ISNUMBER(F1453),F1453-IF(ISNUMBER(K1453),K1453,0),""),"")</f>
        <v/>
      </c>
    </row>
    <row r="1454" ht="24" customHeight="1" s="63">
      <c r="E1454" s="139" t="n"/>
      <c r="F1454" s="139" t="n"/>
      <c r="G1454" s="140">
        <f>IFERROR(IF(E1454&gt;0,(F1454/E1454)*1000,""),"")</f>
        <v/>
      </c>
      <c r="H1454" s="139">
        <f>IFERROR(IF(E1454&gt;0,E1454*IF(ISNUMBER(J1454),J1454,IF(OR(C1454="Alpha",B1454="Alpha"),$C$7,IF(C1454="Futures",$C$6,$C$5))),""),"")</f>
        <v/>
      </c>
      <c r="I1454" s="139">
        <f>IFERROR(IF(AND(ISNUMBER(F1454),ISNUMBER(H1454)),F1454-H1454,""),"")</f>
        <v/>
      </c>
      <c r="J1454" s="114" t="n"/>
      <c r="K1454" s="139">
        <f>IFERROR(IF(H1454&gt;0,H1454*IF(OR(C1454="Alpha",B1454="Alpha"),$C$9,$C$8),""),"")</f>
        <v/>
      </c>
      <c r="L1454" s="139">
        <f>IFERROR(IF(ISNUMBER(F1454),F1454-IF(ISNUMBER(K1454),K1454,0),""),"")</f>
        <v/>
      </c>
    </row>
    <row r="1455" ht="24" customHeight="1" s="63">
      <c r="E1455" s="139" t="n"/>
      <c r="F1455" s="139" t="n"/>
      <c r="G1455" s="140">
        <f>IFERROR(IF(E1455&gt;0,(F1455/E1455)*1000,""),"")</f>
        <v/>
      </c>
      <c r="H1455" s="139">
        <f>IFERROR(IF(E1455&gt;0,E1455*IF(ISNUMBER(J1455),J1455,IF(OR(C1455="Alpha",B1455="Alpha"),$C$7,IF(C1455="Futures",$C$6,$C$5))),""),"")</f>
        <v/>
      </c>
      <c r="I1455" s="139">
        <f>IFERROR(IF(AND(ISNUMBER(F1455),ISNUMBER(H1455)),F1455-H1455,""),"")</f>
        <v/>
      </c>
      <c r="J1455" s="114" t="n"/>
      <c r="K1455" s="139">
        <f>IFERROR(IF(H1455&gt;0,H1455*IF(OR(C1455="Alpha",B1455="Alpha"),$C$9,$C$8),""),"")</f>
        <v/>
      </c>
      <c r="L1455" s="139">
        <f>IFERROR(IF(ISNUMBER(F1455),F1455-IF(ISNUMBER(K1455),K1455,0),""),"")</f>
        <v/>
      </c>
    </row>
    <row r="1456" ht="24" customHeight="1" s="63">
      <c r="E1456" s="139" t="n"/>
      <c r="F1456" s="139" t="n"/>
      <c r="G1456" s="140">
        <f>IFERROR(IF(E1456&gt;0,(F1456/E1456)*1000,""),"")</f>
        <v/>
      </c>
      <c r="H1456" s="139">
        <f>IFERROR(IF(E1456&gt;0,E1456*IF(ISNUMBER(J1456),J1456,IF(OR(C1456="Alpha",B1456="Alpha"),$C$7,IF(C1456="Futures",$C$6,$C$5))),""),"")</f>
        <v/>
      </c>
      <c r="I1456" s="139">
        <f>IFERROR(IF(AND(ISNUMBER(F1456),ISNUMBER(H1456)),F1456-H1456,""),"")</f>
        <v/>
      </c>
      <c r="J1456" s="114" t="n"/>
      <c r="K1456" s="139">
        <f>IFERROR(IF(H1456&gt;0,H1456*IF(OR(C1456="Alpha",B1456="Alpha"),$C$9,$C$8),""),"")</f>
        <v/>
      </c>
      <c r="L1456" s="139">
        <f>IFERROR(IF(ISNUMBER(F1456),F1456-IF(ISNUMBER(K1456),K1456,0),""),"")</f>
        <v/>
      </c>
    </row>
    <row r="1457" ht="24" customHeight="1" s="63">
      <c r="E1457" s="139" t="n"/>
      <c r="F1457" s="139" t="n"/>
      <c r="G1457" s="140">
        <f>IFERROR(IF(E1457&gt;0,(F1457/E1457)*1000,""),"")</f>
        <v/>
      </c>
      <c r="H1457" s="139">
        <f>IFERROR(IF(E1457&gt;0,E1457*IF(ISNUMBER(J1457),J1457,IF(OR(C1457="Alpha",B1457="Alpha"),$C$7,IF(C1457="Futures",$C$6,$C$5))),""),"")</f>
        <v/>
      </c>
      <c r="I1457" s="139">
        <f>IFERROR(IF(AND(ISNUMBER(F1457),ISNUMBER(H1457)),F1457-H1457,""),"")</f>
        <v/>
      </c>
      <c r="J1457" s="114" t="n"/>
      <c r="K1457" s="139">
        <f>IFERROR(IF(H1457&gt;0,H1457*IF(OR(C1457="Alpha",B1457="Alpha"),$C$9,$C$8),""),"")</f>
        <v/>
      </c>
      <c r="L1457" s="139">
        <f>IFERROR(IF(ISNUMBER(F1457),F1457-IF(ISNUMBER(K1457),K1457,0),""),"")</f>
        <v/>
      </c>
    </row>
    <row r="1458" ht="24" customHeight="1" s="63">
      <c r="E1458" s="139" t="n"/>
      <c r="F1458" s="139" t="n"/>
      <c r="G1458" s="140">
        <f>IFERROR(IF(E1458&gt;0,(F1458/E1458)*1000,""),"")</f>
        <v/>
      </c>
      <c r="H1458" s="139">
        <f>IFERROR(IF(E1458&gt;0,E1458*IF(ISNUMBER(J1458),J1458,IF(OR(C1458="Alpha",B1458="Alpha"),$C$7,IF(C1458="Futures",$C$6,$C$5))),""),"")</f>
        <v/>
      </c>
      <c r="I1458" s="139">
        <f>IFERROR(IF(AND(ISNUMBER(F1458),ISNUMBER(H1458)),F1458-H1458,""),"")</f>
        <v/>
      </c>
      <c r="J1458" s="114" t="n"/>
      <c r="K1458" s="139">
        <f>IFERROR(IF(H1458&gt;0,H1458*IF(OR(C1458="Alpha",B1458="Alpha"),$C$9,$C$8),""),"")</f>
        <v/>
      </c>
      <c r="L1458" s="139">
        <f>IFERROR(IF(ISNUMBER(F1458),F1458-IF(ISNUMBER(K1458),K1458,0),""),"")</f>
        <v/>
      </c>
    </row>
    <row r="1459" ht="24" customHeight="1" s="63">
      <c r="E1459" s="139" t="n"/>
      <c r="F1459" s="139" t="n"/>
      <c r="G1459" s="140">
        <f>IFERROR(IF(E1459&gt;0,(F1459/E1459)*1000,""),"")</f>
        <v/>
      </c>
      <c r="H1459" s="139">
        <f>IFERROR(IF(E1459&gt;0,E1459*IF(ISNUMBER(J1459),J1459,IF(OR(C1459="Alpha",B1459="Alpha"),$C$7,IF(C1459="Futures",$C$6,$C$5))),""),"")</f>
        <v/>
      </c>
      <c r="I1459" s="139">
        <f>IFERROR(IF(AND(ISNUMBER(F1459),ISNUMBER(H1459)),F1459-H1459,""),"")</f>
        <v/>
      </c>
      <c r="J1459" s="114" t="n"/>
      <c r="K1459" s="139">
        <f>IFERROR(IF(H1459&gt;0,H1459*IF(OR(C1459="Alpha",B1459="Alpha"),$C$9,$C$8),""),"")</f>
        <v/>
      </c>
      <c r="L1459" s="139">
        <f>IFERROR(IF(ISNUMBER(F1459),F1459-IF(ISNUMBER(K1459),K1459,0),""),"")</f>
        <v/>
      </c>
    </row>
    <row r="1460" ht="24" customHeight="1" s="63">
      <c r="E1460" s="139" t="n"/>
      <c r="F1460" s="139" t="n"/>
      <c r="G1460" s="140">
        <f>IFERROR(IF(E1460&gt;0,(F1460/E1460)*1000,""),"")</f>
        <v/>
      </c>
      <c r="H1460" s="139">
        <f>IFERROR(IF(E1460&gt;0,E1460*IF(ISNUMBER(J1460),J1460,IF(OR(C1460="Alpha",B1460="Alpha"),$C$7,IF(C1460="Futures",$C$6,$C$5))),""),"")</f>
        <v/>
      </c>
      <c r="I1460" s="139">
        <f>IFERROR(IF(AND(ISNUMBER(F1460),ISNUMBER(H1460)),F1460-H1460,""),"")</f>
        <v/>
      </c>
      <c r="J1460" s="114" t="n"/>
      <c r="K1460" s="139">
        <f>IFERROR(IF(H1460&gt;0,H1460*IF(OR(C1460="Alpha",B1460="Alpha"),$C$9,$C$8),""),"")</f>
        <v/>
      </c>
      <c r="L1460" s="139">
        <f>IFERROR(IF(ISNUMBER(F1460),F1460-IF(ISNUMBER(K1460),K1460,0),""),"")</f>
        <v/>
      </c>
    </row>
    <row r="1461" ht="24" customHeight="1" s="63">
      <c r="E1461" s="139" t="n"/>
      <c r="F1461" s="139" t="n"/>
      <c r="G1461" s="140">
        <f>IFERROR(IF(E1461&gt;0,(F1461/E1461)*1000,""),"")</f>
        <v/>
      </c>
      <c r="H1461" s="139">
        <f>IFERROR(IF(E1461&gt;0,E1461*IF(ISNUMBER(J1461),J1461,IF(OR(C1461="Alpha",B1461="Alpha"),$C$7,IF(C1461="Futures",$C$6,$C$5))),""),"")</f>
        <v/>
      </c>
      <c r="I1461" s="139">
        <f>IFERROR(IF(AND(ISNUMBER(F1461),ISNUMBER(H1461)),F1461-H1461,""),"")</f>
        <v/>
      </c>
      <c r="J1461" s="114" t="n"/>
      <c r="K1461" s="139">
        <f>IFERROR(IF(H1461&gt;0,H1461*IF(OR(C1461="Alpha",B1461="Alpha"),$C$9,$C$8),""),"")</f>
        <v/>
      </c>
      <c r="L1461" s="139">
        <f>IFERROR(IF(ISNUMBER(F1461),F1461-IF(ISNUMBER(K1461),K1461,0),""),"")</f>
        <v/>
      </c>
    </row>
    <row r="1462" ht="24" customHeight="1" s="63">
      <c r="E1462" s="139" t="n"/>
      <c r="F1462" s="139" t="n"/>
      <c r="G1462" s="140">
        <f>IFERROR(IF(E1462&gt;0,(F1462/E1462)*1000,""),"")</f>
        <v/>
      </c>
      <c r="H1462" s="139">
        <f>IFERROR(IF(E1462&gt;0,E1462*IF(ISNUMBER(J1462),J1462,IF(OR(C1462="Alpha",B1462="Alpha"),$C$7,IF(C1462="Futures",$C$6,$C$5))),""),"")</f>
        <v/>
      </c>
      <c r="I1462" s="139">
        <f>IFERROR(IF(AND(ISNUMBER(F1462),ISNUMBER(H1462)),F1462-H1462,""),"")</f>
        <v/>
      </c>
      <c r="J1462" s="114" t="n"/>
      <c r="K1462" s="139">
        <f>IFERROR(IF(H1462&gt;0,H1462*IF(OR(C1462="Alpha",B1462="Alpha"),$C$9,$C$8),""),"")</f>
        <v/>
      </c>
      <c r="L1462" s="139">
        <f>IFERROR(IF(ISNUMBER(F1462),F1462-IF(ISNUMBER(K1462),K1462,0),""),"")</f>
        <v/>
      </c>
    </row>
    <row r="1463" ht="24" customHeight="1" s="63">
      <c r="E1463" s="139" t="n"/>
      <c r="F1463" s="139" t="n"/>
      <c r="G1463" s="140">
        <f>IFERROR(IF(E1463&gt;0,(F1463/E1463)*1000,""),"")</f>
        <v/>
      </c>
      <c r="H1463" s="139">
        <f>IFERROR(IF(E1463&gt;0,E1463*IF(ISNUMBER(J1463),J1463,IF(OR(C1463="Alpha",B1463="Alpha"),$C$7,IF(C1463="Futures",$C$6,$C$5))),""),"")</f>
        <v/>
      </c>
      <c r="I1463" s="139">
        <f>IFERROR(IF(AND(ISNUMBER(F1463),ISNUMBER(H1463)),F1463-H1463,""),"")</f>
        <v/>
      </c>
      <c r="J1463" s="114" t="n"/>
      <c r="K1463" s="139">
        <f>IFERROR(IF(H1463&gt;0,H1463*IF(OR(C1463="Alpha",B1463="Alpha"),$C$9,$C$8),""),"")</f>
        <v/>
      </c>
      <c r="L1463" s="139">
        <f>IFERROR(IF(ISNUMBER(F1463),F1463-IF(ISNUMBER(K1463),K1463,0),""),"")</f>
        <v/>
      </c>
    </row>
    <row r="1464" ht="24" customHeight="1" s="63">
      <c r="E1464" s="139" t="n"/>
      <c r="F1464" s="139" t="n"/>
      <c r="G1464" s="140">
        <f>IFERROR(IF(E1464&gt;0,(F1464/E1464)*1000,""),"")</f>
        <v/>
      </c>
      <c r="H1464" s="139">
        <f>IFERROR(IF(E1464&gt;0,E1464*IF(ISNUMBER(J1464),J1464,IF(OR(C1464="Alpha",B1464="Alpha"),$C$7,IF(C1464="Futures",$C$6,$C$5))),""),"")</f>
        <v/>
      </c>
      <c r="I1464" s="139">
        <f>IFERROR(IF(AND(ISNUMBER(F1464),ISNUMBER(H1464)),F1464-H1464,""),"")</f>
        <v/>
      </c>
      <c r="J1464" s="114" t="n"/>
      <c r="K1464" s="139">
        <f>IFERROR(IF(H1464&gt;0,H1464*IF(OR(C1464="Alpha",B1464="Alpha"),$C$9,$C$8),""),"")</f>
        <v/>
      </c>
      <c r="L1464" s="139">
        <f>IFERROR(IF(ISNUMBER(F1464),F1464-IF(ISNUMBER(K1464),K1464,0),""),"")</f>
        <v/>
      </c>
    </row>
    <row r="1465" ht="24" customHeight="1" s="63">
      <c r="E1465" s="139" t="n"/>
      <c r="F1465" s="139" t="n"/>
      <c r="G1465" s="140">
        <f>IFERROR(IF(E1465&gt;0,(F1465/E1465)*1000,""),"")</f>
        <v/>
      </c>
      <c r="H1465" s="139">
        <f>IFERROR(IF(E1465&gt;0,E1465*IF(ISNUMBER(J1465),J1465,IF(OR(C1465="Alpha",B1465="Alpha"),$C$7,IF(C1465="Futures",$C$6,$C$5))),""),"")</f>
        <v/>
      </c>
      <c r="I1465" s="139">
        <f>IFERROR(IF(AND(ISNUMBER(F1465),ISNUMBER(H1465)),F1465-H1465,""),"")</f>
        <v/>
      </c>
      <c r="J1465" s="114" t="n"/>
      <c r="K1465" s="139">
        <f>IFERROR(IF(H1465&gt;0,H1465*IF(OR(C1465="Alpha",B1465="Alpha"),$C$9,$C$8),""),"")</f>
        <v/>
      </c>
      <c r="L1465" s="139">
        <f>IFERROR(IF(ISNUMBER(F1465),F1465-IF(ISNUMBER(K1465),K1465,0),""),"")</f>
        <v/>
      </c>
    </row>
    <row r="1466" ht="24" customHeight="1" s="63">
      <c r="E1466" s="139" t="n"/>
      <c r="F1466" s="139" t="n"/>
      <c r="G1466" s="140">
        <f>IFERROR(IF(E1466&gt;0,(F1466/E1466)*1000,""),"")</f>
        <v/>
      </c>
      <c r="H1466" s="139">
        <f>IFERROR(IF(E1466&gt;0,E1466*IF(ISNUMBER(J1466),J1466,IF(OR(C1466="Alpha",B1466="Alpha"),$C$7,IF(C1466="Futures",$C$6,$C$5))),""),"")</f>
        <v/>
      </c>
      <c r="I1466" s="139">
        <f>IFERROR(IF(AND(ISNUMBER(F1466),ISNUMBER(H1466)),F1466-H1466,""),"")</f>
        <v/>
      </c>
      <c r="J1466" s="114" t="n"/>
      <c r="K1466" s="139">
        <f>IFERROR(IF(H1466&gt;0,H1466*IF(OR(C1466="Alpha",B1466="Alpha"),$C$9,$C$8),""),"")</f>
        <v/>
      </c>
      <c r="L1466" s="139">
        <f>IFERROR(IF(ISNUMBER(F1466),F1466-IF(ISNUMBER(K1466),K1466,0),""),"")</f>
        <v/>
      </c>
    </row>
    <row r="1467" ht="24" customHeight="1" s="63">
      <c r="E1467" s="139" t="n"/>
      <c r="F1467" s="139" t="n"/>
      <c r="G1467" s="140">
        <f>IFERROR(IF(E1467&gt;0,(F1467/E1467)*1000,""),"")</f>
        <v/>
      </c>
      <c r="H1467" s="139">
        <f>IFERROR(IF(E1467&gt;0,E1467*IF(ISNUMBER(J1467),J1467,IF(OR(C1467="Alpha",B1467="Alpha"),$C$7,IF(C1467="Futures",$C$6,$C$5))),""),"")</f>
        <v/>
      </c>
      <c r="I1467" s="139">
        <f>IFERROR(IF(AND(ISNUMBER(F1467),ISNUMBER(H1467)),F1467-H1467,""),"")</f>
        <v/>
      </c>
      <c r="J1467" s="114" t="n"/>
      <c r="K1467" s="139">
        <f>IFERROR(IF(H1467&gt;0,H1467*IF(OR(C1467="Alpha",B1467="Alpha"),$C$9,$C$8),""),"")</f>
        <v/>
      </c>
      <c r="L1467" s="139">
        <f>IFERROR(IF(ISNUMBER(F1467),F1467-IF(ISNUMBER(K1467),K1467,0),""),"")</f>
        <v/>
      </c>
    </row>
    <row r="1468" ht="24" customHeight="1" s="63">
      <c r="E1468" s="139" t="n"/>
      <c r="F1468" s="139" t="n"/>
      <c r="G1468" s="140">
        <f>IFERROR(IF(E1468&gt;0,(F1468/E1468)*1000,""),"")</f>
        <v/>
      </c>
      <c r="H1468" s="139">
        <f>IFERROR(IF(E1468&gt;0,E1468*IF(ISNUMBER(J1468),J1468,IF(OR(C1468="Alpha",B1468="Alpha"),$C$7,IF(C1468="Futures",$C$6,$C$5))),""),"")</f>
        <v/>
      </c>
      <c r="I1468" s="139">
        <f>IFERROR(IF(AND(ISNUMBER(F1468),ISNUMBER(H1468)),F1468-H1468,""),"")</f>
        <v/>
      </c>
      <c r="J1468" s="114" t="n"/>
      <c r="K1468" s="139">
        <f>IFERROR(IF(H1468&gt;0,H1468*IF(OR(C1468="Alpha",B1468="Alpha"),$C$9,$C$8),""),"")</f>
        <v/>
      </c>
      <c r="L1468" s="139">
        <f>IFERROR(IF(ISNUMBER(F1468),F1468-IF(ISNUMBER(K1468),K1468,0),""),"")</f>
        <v/>
      </c>
    </row>
    <row r="1469" ht="24" customHeight="1" s="63">
      <c r="E1469" s="139" t="n"/>
      <c r="F1469" s="139" t="n"/>
      <c r="G1469" s="140">
        <f>IFERROR(IF(E1469&gt;0,(F1469/E1469)*1000,""),"")</f>
        <v/>
      </c>
      <c r="H1469" s="139">
        <f>IFERROR(IF(E1469&gt;0,E1469*IF(ISNUMBER(J1469),J1469,IF(OR(C1469="Alpha",B1469="Alpha"),$C$7,IF(C1469="Futures",$C$6,$C$5))),""),"")</f>
        <v/>
      </c>
      <c r="I1469" s="139">
        <f>IFERROR(IF(AND(ISNUMBER(F1469),ISNUMBER(H1469)),F1469-H1469,""),"")</f>
        <v/>
      </c>
      <c r="J1469" s="114" t="n"/>
      <c r="K1469" s="139">
        <f>IFERROR(IF(H1469&gt;0,H1469*IF(OR(C1469="Alpha",B1469="Alpha"),$C$9,$C$8),""),"")</f>
        <v/>
      </c>
      <c r="L1469" s="139">
        <f>IFERROR(IF(ISNUMBER(F1469),F1469-IF(ISNUMBER(K1469),K1469,0),""),"")</f>
        <v/>
      </c>
    </row>
    <row r="1470" ht="24" customHeight="1" s="63">
      <c r="E1470" s="139" t="n"/>
      <c r="F1470" s="139" t="n"/>
      <c r="G1470" s="140">
        <f>IFERROR(IF(E1470&gt;0,(F1470/E1470)*1000,""),"")</f>
        <v/>
      </c>
      <c r="H1470" s="139">
        <f>IFERROR(IF(E1470&gt;0,E1470*IF(ISNUMBER(J1470),J1470,IF(OR(C1470="Alpha",B1470="Alpha"),$C$7,IF(C1470="Futures",$C$6,$C$5))),""),"")</f>
        <v/>
      </c>
      <c r="I1470" s="139">
        <f>IFERROR(IF(AND(ISNUMBER(F1470),ISNUMBER(H1470)),F1470-H1470,""),"")</f>
        <v/>
      </c>
      <c r="J1470" s="114" t="n"/>
      <c r="K1470" s="139">
        <f>IFERROR(IF(H1470&gt;0,H1470*IF(OR(C1470="Alpha",B1470="Alpha"),$C$9,$C$8),""),"")</f>
        <v/>
      </c>
      <c r="L1470" s="139">
        <f>IFERROR(IF(ISNUMBER(F1470),F1470-IF(ISNUMBER(K1470),K1470,0),""),"")</f>
        <v/>
      </c>
    </row>
    <row r="1471" ht="24" customHeight="1" s="63">
      <c r="E1471" s="139" t="n"/>
      <c r="F1471" s="139" t="n"/>
      <c r="G1471" s="140">
        <f>IFERROR(IF(E1471&gt;0,(F1471/E1471)*1000,""),"")</f>
        <v/>
      </c>
      <c r="H1471" s="139">
        <f>IFERROR(IF(E1471&gt;0,E1471*IF(ISNUMBER(J1471),J1471,IF(OR(C1471="Alpha",B1471="Alpha"),$C$7,IF(C1471="Futures",$C$6,$C$5))),""),"")</f>
        <v/>
      </c>
      <c r="I1471" s="139">
        <f>IFERROR(IF(AND(ISNUMBER(F1471),ISNUMBER(H1471)),F1471-H1471,""),"")</f>
        <v/>
      </c>
      <c r="J1471" s="114" t="n"/>
      <c r="K1471" s="139">
        <f>IFERROR(IF(H1471&gt;0,H1471*IF(OR(C1471="Alpha",B1471="Alpha"),$C$9,$C$8),""),"")</f>
        <v/>
      </c>
      <c r="L1471" s="139">
        <f>IFERROR(IF(ISNUMBER(F1471),F1471-IF(ISNUMBER(K1471),K1471,0),""),"")</f>
        <v/>
      </c>
    </row>
    <row r="1472" ht="24" customHeight="1" s="63">
      <c r="E1472" s="139" t="n"/>
      <c r="F1472" s="139" t="n"/>
      <c r="G1472" s="140">
        <f>IFERROR(IF(E1472&gt;0,(F1472/E1472)*1000,""),"")</f>
        <v/>
      </c>
      <c r="H1472" s="139">
        <f>IFERROR(IF(E1472&gt;0,E1472*IF(ISNUMBER(J1472),J1472,IF(OR(C1472="Alpha",B1472="Alpha"),$C$7,IF(C1472="Futures",$C$6,$C$5))),""),"")</f>
        <v/>
      </c>
      <c r="I1472" s="139">
        <f>IFERROR(IF(AND(ISNUMBER(F1472),ISNUMBER(H1472)),F1472-H1472,""),"")</f>
        <v/>
      </c>
      <c r="J1472" s="114" t="n"/>
      <c r="K1472" s="139">
        <f>IFERROR(IF(H1472&gt;0,H1472*IF(OR(C1472="Alpha",B1472="Alpha"),$C$9,$C$8),""),"")</f>
        <v/>
      </c>
      <c r="L1472" s="139">
        <f>IFERROR(IF(ISNUMBER(F1472),F1472-IF(ISNUMBER(K1472),K1472,0),""),"")</f>
        <v/>
      </c>
    </row>
    <row r="1473" ht="24" customHeight="1" s="63">
      <c r="E1473" s="139" t="n"/>
      <c r="F1473" s="139" t="n"/>
      <c r="G1473" s="140">
        <f>IFERROR(IF(E1473&gt;0,(F1473/E1473)*1000,""),"")</f>
        <v/>
      </c>
      <c r="H1473" s="139">
        <f>IFERROR(IF(E1473&gt;0,E1473*IF(ISNUMBER(J1473),J1473,IF(OR(C1473="Alpha",B1473="Alpha"),$C$7,IF(C1473="Futures",$C$6,$C$5))),""),"")</f>
        <v/>
      </c>
      <c r="I1473" s="139">
        <f>IFERROR(IF(AND(ISNUMBER(F1473),ISNUMBER(H1473)),F1473-H1473,""),"")</f>
        <v/>
      </c>
      <c r="J1473" s="114" t="n"/>
      <c r="K1473" s="139">
        <f>IFERROR(IF(H1473&gt;0,H1473*IF(OR(C1473="Alpha",B1473="Alpha"),$C$9,$C$8),""),"")</f>
        <v/>
      </c>
      <c r="L1473" s="139">
        <f>IFERROR(IF(ISNUMBER(F1473),F1473-IF(ISNUMBER(K1473),K1473,0),""),"")</f>
        <v/>
      </c>
    </row>
    <row r="1474" ht="24" customHeight="1" s="63">
      <c r="E1474" s="139" t="n"/>
      <c r="F1474" s="139" t="n"/>
      <c r="G1474" s="140">
        <f>IFERROR(IF(E1474&gt;0,(F1474/E1474)*1000,""),"")</f>
        <v/>
      </c>
      <c r="H1474" s="139">
        <f>IFERROR(IF(E1474&gt;0,E1474*IF(ISNUMBER(J1474),J1474,IF(OR(C1474="Alpha",B1474="Alpha"),$C$7,IF(C1474="Futures",$C$6,$C$5))),""),"")</f>
        <v/>
      </c>
      <c r="I1474" s="139">
        <f>IFERROR(IF(AND(ISNUMBER(F1474),ISNUMBER(H1474)),F1474-H1474,""),"")</f>
        <v/>
      </c>
      <c r="J1474" s="114" t="n"/>
      <c r="K1474" s="139">
        <f>IFERROR(IF(H1474&gt;0,H1474*IF(OR(C1474="Alpha",B1474="Alpha"),$C$9,$C$8),""),"")</f>
        <v/>
      </c>
      <c r="L1474" s="139">
        <f>IFERROR(IF(ISNUMBER(F1474),F1474-IF(ISNUMBER(K1474),K1474,0),""),"")</f>
        <v/>
      </c>
    </row>
    <row r="1475" ht="24" customHeight="1" s="63">
      <c r="E1475" s="139" t="n"/>
      <c r="F1475" s="139" t="n"/>
      <c r="G1475" s="140">
        <f>IFERROR(IF(E1475&gt;0,(F1475/E1475)*1000,""),"")</f>
        <v/>
      </c>
      <c r="H1475" s="139">
        <f>IFERROR(IF(E1475&gt;0,E1475*IF(ISNUMBER(J1475),J1475,IF(OR(C1475="Alpha",B1475="Alpha"),$C$7,IF(C1475="Futures",$C$6,$C$5))),""),"")</f>
        <v/>
      </c>
      <c r="I1475" s="139">
        <f>IFERROR(IF(AND(ISNUMBER(F1475),ISNUMBER(H1475)),F1475-H1475,""),"")</f>
        <v/>
      </c>
      <c r="J1475" s="114" t="n"/>
      <c r="K1475" s="139">
        <f>IFERROR(IF(H1475&gt;0,H1475*IF(OR(C1475="Alpha",B1475="Alpha"),$C$9,$C$8),""),"")</f>
        <v/>
      </c>
      <c r="L1475" s="139">
        <f>IFERROR(IF(ISNUMBER(F1475),F1475-IF(ISNUMBER(K1475),K1475,0),""),"")</f>
        <v/>
      </c>
    </row>
    <row r="1476" ht="24" customHeight="1" s="63">
      <c r="E1476" s="139" t="n"/>
      <c r="F1476" s="139" t="n"/>
      <c r="G1476" s="140">
        <f>IFERROR(IF(E1476&gt;0,(F1476/E1476)*1000,""),"")</f>
        <v/>
      </c>
      <c r="H1476" s="139">
        <f>IFERROR(IF(E1476&gt;0,E1476*IF(ISNUMBER(J1476),J1476,IF(OR(C1476="Alpha",B1476="Alpha"),$C$7,IF(C1476="Futures",$C$6,$C$5))),""),"")</f>
        <v/>
      </c>
      <c r="I1476" s="139">
        <f>IFERROR(IF(AND(ISNUMBER(F1476),ISNUMBER(H1476)),F1476-H1476,""),"")</f>
        <v/>
      </c>
      <c r="J1476" s="114" t="n"/>
      <c r="K1476" s="139">
        <f>IFERROR(IF(H1476&gt;0,H1476*IF(OR(C1476="Alpha",B1476="Alpha"),$C$9,$C$8),""),"")</f>
        <v/>
      </c>
      <c r="L1476" s="139">
        <f>IFERROR(IF(ISNUMBER(F1476),F1476-IF(ISNUMBER(K1476),K1476,0),""),"")</f>
        <v/>
      </c>
    </row>
    <row r="1477" ht="24" customHeight="1" s="63">
      <c r="E1477" s="139" t="n"/>
      <c r="F1477" s="139" t="n"/>
      <c r="G1477" s="140">
        <f>IFERROR(IF(E1477&gt;0,(F1477/E1477)*1000,""),"")</f>
        <v/>
      </c>
      <c r="H1477" s="139">
        <f>IFERROR(IF(E1477&gt;0,E1477*IF(ISNUMBER(J1477),J1477,IF(OR(C1477="Alpha",B1477="Alpha"),$C$7,IF(C1477="Futures",$C$6,$C$5))),""),"")</f>
        <v/>
      </c>
      <c r="I1477" s="139">
        <f>IFERROR(IF(AND(ISNUMBER(F1477),ISNUMBER(H1477)),F1477-H1477,""),"")</f>
        <v/>
      </c>
      <c r="J1477" s="114" t="n"/>
      <c r="K1477" s="139">
        <f>IFERROR(IF(H1477&gt;0,H1477*IF(OR(C1477="Alpha",B1477="Alpha"),$C$9,$C$8),""),"")</f>
        <v/>
      </c>
      <c r="L1477" s="139">
        <f>IFERROR(IF(ISNUMBER(F1477),F1477-IF(ISNUMBER(K1477),K1477,0),""),"")</f>
        <v/>
      </c>
    </row>
    <row r="1478" ht="24" customHeight="1" s="63">
      <c r="E1478" s="139" t="n"/>
      <c r="F1478" s="139" t="n"/>
      <c r="G1478" s="140">
        <f>IFERROR(IF(E1478&gt;0,(F1478/E1478)*1000,""),"")</f>
        <v/>
      </c>
      <c r="H1478" s="139">
        <f>IFERROR(IF(E1478&gt;0,E1478*IF(ISNUMBER(J1478),J1478,IF(OR(C1478="Alpha",B1478="Alpha"),$C$7,IF(C1478="Futures",$C$6,$C$5))),""),"")</f>
        <v/>
      </c>
      <c r="I1478" s="139">
        <f>IFERROR(IF(AND(ISNUMBER(F1478),ISNUMBER(H1478)),F1478-H1478,""),"")</f>
        <v/>
      </c>
      <c r="J1478" s="114" t="n"/>
      <c r="K1478" s="139">
        <f>IFERROR(IF(H1478&gt;0,H1478*IF(OR(C1478="Alpha",B1478="Alpha"),$C$9,$C$8),""),"")</f>
        <v/>
      </c>
      <c r="L1478" s="139">
        <f>IFERROR(IF(ISNUMBER(F1478),F1478-IF(ISNUMBER(K1478),K1478,0),""),"")</f>
        <v/>
      </c>
    </row>
    <row r="1479" ht="24" customHeight="1" s="63">
      <c r="E1479" s="139" t="n"/>
      <c r="F1479" s="139" t="n"/>
      <c r="G1479" s="140">
        <f>IFERROR(IF(E1479&gt;0,(F1479/E1479)*1000,""),"")</f>
        <v/>
      </c>
      <c r="H1479" s="139">
        <f>IFERROR(IF(E1479&gt;0,E1479*IF(ISNUMBER(J1479),J1479,IF(OR(C1479="Alpha",B1479="Alpha"),$C$7,IF(C1479="Futures",$C$6,$C$5))),""),"")</f>
        <v/>
      </c>
      <c r="I1479" s="139">
        <f>IFERROR(IF(AND(ISNUMBER(F1479),ISNUMBER(H1479)),F1479-H1479,""),"")</f>
        <v/>
      </c>
      <c r="J1479" s="114" t="n"/>
      <c r="K1479" s="139">
        <f>IFERROR(IF(H1479&gt;0,H1479*IF(OR(C1479="Alpha",B1479="Alpha"),$C$9,$C$8),""),"")</f>
        <v/>
      </c>
      <c r="L1479" s="139">
        <f>IFERROR(IF(ISNUMBER(F1479),F1479-IF(ISNUMBER(K1479),K1479,0),""),"")</f>
        <v/>
      </c>
    </row>
    <row r="1480" ht="24" customHeight="1" s="63">
      <c r="E1480" s="139" t="n"/>
      <c r="F1480" s="139" t="n"/>
      <c r="G1480" s="140">
        <f>IFERROR(IF(E1480&gt;0,(F1480/E1480)*1000,""),"")</f>
        <v/>
      </c>
      <c r="H1480" s="139">
        <f>IFERROR(IF(E1480&gt;0,E1480*IF(ISNUMBER(J1480),J1480,IF(OR(C1480="Alpha",B1480="Alpha"),$C$7,IF(C1480="Futures",$C$6,$C$5))),""),"")</f>
        <v/>
      </c>
      <c r="I1480" s="139">
        <f>IFERROR(IF(AND(ISNUMBER(F1480),ISNUMBER(H1480)),F1480-H1480,""),"")</f>
        <v/>
      </c>
      <c r="J1480" s="114" t="n"/>
      <c r="K1480" s="139">
        <f>IFERROR(IF(H1480&gt;0,H1480*IF(OR(C1480="Alpha",B1480="Alpha"),$C$9,$C$8),""),"")</f>
        <v/>
      </c>
      <c r="L1480" s="139">
        <f>IFERROR(IF(ISNUMBER(F1480),F1480-IF(ISNUMBER(K1480),K1480,0),""),"")</f>
        <v/>
      </c>
    </row>
    <row r="1481" ht="24" customHeight="1" s="63">
      <c r="E1481" s="139" t="n"/>
      <c r="F1481" s="139" t="n"/>
      <c r="G1481" s="140">
        <f>IFERROR(IF(E1481&gt;0,(F1481/E1481)*1000,""),"")</f>
        <v/>
      </c>
      <c r="H1481" s="139">
        <f>IFERROR(IF(E1481&gt;0,E1481*IF(ISNUMBER(J1481),J1481,IF(OR(C1481="Alpha",B1481="Alpha"),$C$7,IF(C1481="Futures",$C$6,$C$5))),""),"")</f>
        <v/>
      </c>
      <c r="I1481" s="139">
        <f>IFERROR(IF(AND(ISNUMBER(F1481),ISNUMBER(H1481)),F1481-H1481,""),"")</f>
        <v/>
      </c>
      <c r="J1481" s="114" t="n"/>
      <c r="K1481" s="139">
        <f>IFERROR(IF(H1481&gt;0,H1481*IF(OR(C1481="Alpha",B1481="Alpha"),$C$9,$C$8),""),"")</f>
        <v/>
      </c>
      <c r="L1481" s="139">
        <f>IFERROR(IF(ISNUMBER(F1481),F1481-IF(ISNUMBER(K1481),K1481,0),""),"")</f>
        <v/>
      </c>
    </row>
    <row r="1482" ht="24" customHeight="1" s="63">
      <c r="E1482" s="139" t="n"/>
      <c r="F1482" s="139" t="n"/>
      <c r="G1482" s="140">
        <f>IFERROR(IF(E1482&gt;0,(F1482/E1482)*1000,""),"")</f>
        <v/>
      </c>
      <c r="H1482" s="139">
        <f>IFERROR(IF(E1482&gt;0,E1482*IF(ISNUMBER(J1482),J1482,IF(OR(C1482="Alpha",B1482="Alpha"),$C$7,IF(C1482="Futures",$C$6,$C$5))),""),"")</f>
        <v/>
      </c>
      <c r="I1482" s="139">
        <f>IFERROR(IF(AND(ISNUMBER(F1482),ISNUMBER(H1482)),F1482-H1482,""),"")</f>
        <v/>
      </c>
      <c r="J1482" s="114" t="n"/>
      <c r="K1482" s="139">
        <f>IFERROR(IF(H1482&gt;0,H1482*IF(OR(C1482="Alpha",B1482="Alpha"),$C$9,$C$8),""),"")</f>
        <v/>
      </c>
      <c r="L1482" s="139">
        <f>IFERROR(IF(ISNUMBER(F1482),F1482-IF(ISNUMBER(K1482),K1482,0),""),"")</f>
        <v/>
      </c>
    </row>
    <row r="1483" ht="24" customHeight="1" s="63">
      <c r="E1483" s="139" t="n"/>
      <c r="F1483" s="139" t="n"/>
      <c r="G1483" s="140">
        <f>IFERROR(IF(E1483&gt;0,(F1483/E1483)*1000,""),"")</f>
        <v/>
      </c>
      <c r="H1483" s="139">
        <f>IFERROR(IF(E1483&gt;0,E1483*IF(ISNUMBER(J1483),J1483,IF(OR(C1483="Alpha",B1483="Alpha"),$C$7,IF(C1483="Futures",$C$6,$C$5))),""),"")</f>
        <v/>
      </c>
      <c r="I1483" s="139">
        <f>IFERROR(IF(AND(ISNUMBER(F1483),ISNUMBER(H1483)),F1483-H1483,""),"")</f>
        <v/>
      </c>
      <c r="J1483" s="114" t="n"/>
      <c r="K1483" s="139">
        <f>IFERROR(IF(H1483&gt;0,H1483*IF(OR(C1483="Alpha",B1483="Alpha"),$C$9,$C$8),""),"")</f>
        <v/>
      </c>
      <c r="L1483" s="139">
        <f>IFERROR(IF(ISNUMBER(F1483),F1483-IF(ISNUMBER(K1483),K1483,0),""),"")</f>
        <v/>
      </c>
    </row>
    <row r="1484" ht="24" customHeight="1" s="63">
      <c r="E1484" s="139" t="n"/>
      <c r="F1484" s="139" t="n"/>
      <c r="G1484" s="140">
        <f>IFERROR(IF(E1484&gt;0,(F1484/E1484)*1000,""),"")</f>
        <v/>
      </c>
      <c r="H1484" s="139">
        <f>IFERROR(IF(E1484&gt;0,E1484*IF(ISNUMBER(J1484),J1484,IF(OR(C1484="Alpha",B1484="Alpha"),$C$7,IF(C1484="Futures",$C$6,$C$5))),""),"")</f>
        <v/>
      </c>
      <c r="I1484" s="139">
        <f>IFERROR(IF(AND(ISNUMBER(F1484),ISNUMBER(H1484)),F1484-H1484,""),"")</f>
        <v/>
      </c>
      <c r="J1484" s="114" t="n"/>
      <c r="K1484" s="139">
        <f>IFERROR(IF(H1484&gt;0,H1484*IF(OR(C1484="Alpha",B1484="Alpha"),$C$9,$C$8),""),"")</f>
        <v/>
      </c>
      <c r="L1484" s="139">
        <f>IFERROR(IF(ISNUMBER(F1484),F1484-IF(ISNUMBER(K1484),K1484,0),""),"")</f>
        <v/>
      </c>
    </row>
    <row r="1485" ht="24" customHeight="1" s="63">
      <c r="E1485" s="139" t="n"/>
      <c r="F1485" s="139" t="n"/>
      <c r="G1485" s="140">
        <f>IFERROR(IF(E1485&gt;0,(F1485/E1485)*1000,""),"")</f>
        <v/>
      </c>
      <c r="H1485" s="139">
        <f>IFERROR(IF(E1485&gt;0,E1485*IF(ISNUMBER(J1485),J1485,IF(OR(C1485="Alpha",B1485="Alpha"),$C$7,IF(C1485="Futures",$C$6,$C$5))),""),"")</f>
        <v/>
      </c>
      <c r="I1485" s="139">
        <f>IFERROR(IF(AND(ISNUMBER(F1485),ISNUMBER(H1485)),F1485-H1485,""),"")</f>
        <v/>
      </c>
      <c r="J1485" s="114" t="n"/>
      <c r="K1485" s="139">
        <f>IFERROR(IF(H1485&gt;0,H1485*IF(OR(C1485="Alpha",B1485="Alpha"),$C$9,$C$8),""),"")</f>
        <v/>
      </c>
      <c r="L1485" s="139">
        <f>IFERROR(IF(ISNUMBER(F1485),F1485-IF(ISNUMBER(K1485),K1485,0),""),"")</f>
        <v/>
      </c>
    </row>
    <row r="1486" ht="24" customHeight="1" s="63">
      <c r="E1486" s="139" t="n"/>
      <c r="F1486" s="139" t="n"/>
      <c r="G1486" s="140">
        <f>IFERROR(IF(E1486&gt;0,(F1486/E1486)*1000,""),"")</f>
        <v/>
      </c>
      <c r="H1486" s="139">
        <f>IFERROR(IF(E1486&gt;0,E1486*IF(ISNUMBER(J1486),J1486,IF(OR(C1486="Alpha",B1486="Alpha"),$C$7,IF(C1486="Futures",$C$6,$C$5))),""),"")</f>
        <v/>
      </c>
      <c r="I1486" s="139">
        <f>IFERROR(IF(AND(ISNUMBER(F1486),ISNUMBER(H1486)),F1486-H1486,""),"")</f>
        <v/>
      </c>
      <c r="J1486" s="114" t="n"/>
      <c r="K1486" s="139">
        <f>IFERROR(IF(H1486&gt;0,H1486*IF(OR(C1486="Alpha",B1486="Alpha"),$C$9,$C$8),""),"")</f>
        <v/>
      </c>
      <c r="L1486" s="139">
        <f>IFERROR(IF(ISNUMBER(F1486),F1486-IF(ISNUMBER(K1486),K1486,0),""),"")</f>
        <v/>
      </c>
    </row>
    <row r="1487" ht="24" customHeight="1" s="63">
      <c r="E1487" s="139" t="n"/>
      <c r="F1487" s="139" t="n"/>
      <c r="G1487" s="140">
        <f>IFERROR(IF(E1487&gt;0,(F1487/E1487)*1000,""),"")</f>
        <v/>
      </c>
      <c r="H1487" s="139">
        <f>IFERROR(IF(E1487&gt;0,E1487*IF(ISNUMBER(J1487),J1487,IF(OR(C1487="Alpha",B1487="Alpha"),$C$7,IF(C1487="Futures",$C$6,$C$5))),""),"")</f>
        <v/>
      </c>
      <c r="I1487" s="139">
        <f>IFERROR(IF(AND(ISNUMBER(F1487),ISNUMBER(H1487)),F1487-H1487,""),"")</f>
        <v/>
      </c>
      <c r="J1487" s="114" t="n"/>
      <c r="K1487" s="139">
        <f>IFERROR(IF(H1487&gt;0,H1487*IF(OR(C1487="Alpha",B1487="Alpha"),$C$9,$C$8),""),"")</f>
        <v/>
      </c>
      <c r="L1487" s="139">
        <f>IFERROR(IF(ISNUMBER(F1487),F1487-IF(ISNUMBER(K1487),K1487,0),""),"")</f>
        <v/>
      </c>
    </row>
    <row r="1488" ht="24" customHeight="1" s="63">
      <c r="E1488" s="139" t="n"/>
      <c r="F1488" s="139" t="n"/>
      <c r="G1488" s="140">
        <f>IFERROR(IF(E1488&gt;0,(F1488/E1488)*1000,""),"")</f>
        <v/>
      </c>
      <c r="H1488" s="139">
        <f>IFERROR(IF(E1488&gt;0,E1488*IF(ISNUMBER(J1488),J1488,IF(OR(C1488="Alpha",B1488="Alpha"),$C$7,IF(C1488="Futures",$C$6,$C$5))),""),"")</f>
        <v/>
      </c>
      <c r="I1488" s="139">
        <f>IFERROR(IF(AND(ISNUMBER(F1488),ISNUMBER(H1488)),F1488-H1488,""),"")</f>
        <v/>
      </c>
      <c r="J1488" s="114" t="n"/>
      <c r="K1488" s="139">
        <f>IFERROR(IF(H1488&gt;0,H1488*IF(OR(C1488="Alpha",B1488="Alpha"),$C$9,$C$8),""),"")</f>
        <v/>
      </c>
      <c r="L1488" s="139">
        <f>IFERROR(IF(ISNUMBER(F1488),F1488-IF(ISNUMBER(K1488),K1488,0),""),"")</f>
        <v/>
      </c>
    </row>
    <row r="1489" ht="24" customHeight="1" s="63">
      <c r="E1489" s="139" t="n"/>
      <c r="F1489" s="139" t="n"/>
      <c r="G1489" s="140">
        <f>IFERROR(IF(E1489&gt;0,(F1489/E1489)*1000,""),"")</f>
        <v/>
      </c>
      <c r="H1489" s="139">
        <f>IFERROR(IF(E1489&gt;0,E1489*IF(ISNUMBER(J1489),J1489,IF(OR(C1489="Alpha",B1489="Alpha"),$C$7,IF(C1489="Futures",$C$6,$C$5))),""),"")</f>
        <v/>
      </c>
      <c r="I1489" s="139">
        <f>IFERROR(IF(AND(ISNUMBER(F1489),ISNUMBER(H1489)),F1489-H1489,""),"")</f>
        <v/>
      </c>
      <c r="J1489" s="114" t="n"/>
      <c r="K1489" s="139">
        <f>IFERROR(IF(H1489&gt;0,H1489*IF(OR(C1489="Alpha",B1489="Alpha"),$C$9,$C$8),""),"")</f>
        <v/>
      </c>
      <c r="L1489" s="139">
        <f>IFERROR(IF(ISNUMBER(F1489),F1489-IF(ISNUMBER(K1489),K1489,0),""),"")</f>
        <v/>
      </c>
    </row>
    <row r="1490" ht="24" customHeight="1" s="63">
      <c r="E1490" s="139" t="n"/>
      <c r="F1490" s="139" t="n"/>
      <c r="G1490" s="140">
        <f>IFERROR(IF(E1490&gt;0,(F1490/E1490)*1000,""),"")</f>
        <v/>
      </c>
      <c r="H1490" s="139">
        <f>IFERROR(IF(E1490&gt;0,E1490*IF(ISNUMBER(J1490),J1490,IF(OR(C1490="Alpha",B1490="Alpha"),$C$7,IF(C1490="Futures",$C$6,$C$5))),""),"")</f>
        <v/>
      </c>
      <c r="I1490" s="139">
        <f>IFERROR(IF(AND(ISNUMBER(F1490),ISNUMBER(H1490)),F1490-H1490,""),"")</f>
        <v/>
      </c>
      <c r="J1490" s="114" t="n"/>
      <c r="K1490" s="139">
        <f>IFERROR(IF(H1490&gt;0,H1490*IF(OR(C1490="Alpha",B1490="Alpha"),$C$9,$C$8),""),"")</f>
        <v/>
      </c>
      <c r="L1490" s="139">
        <f>IFERROR(IF(ISNUMBER(F1490),F1490-IF(ISNUMBER(K1490),K1490,0),""),"")</f>
        <v/>
      </c>
    </row>
    <row r="1491" ht="24" customHeight="1" s="63">
      <c r="E1491" s="139" t="n"/>
      <c r="F1491" s="139" t="n"/>
      <c r="G1491" s="140">
        <f>IFERROR(IF(E1491&gt;0,(F1491/E1491)*1000,""),"")</f>
        <v/>
      </c>
      <c r="H1491" s="139">
        <f>IFERROR(IF(E1491&gt;0,E1491*IF(ISNUMBER(J1491),J1491,IF(OR(C1491="Alpha",B1491="Alpha"),$C$7,IF(C1491="Futures",$C$6,$C$5))),""),"")</f>
        <v/>
      </c>
      <c r="I1491" s="139">
        <f>IFERROR(IF(AND(ISNUMBER(F1491),ISNUMBER(H1491)),F1491-H1491,""),"")</f>
        <v/>
      </c>
      <c r="J1491" s="114" t="n"/>
      <c r="K1491" s="139">
        <f>IFERROR(IF(H1491&gt;0,H1491*IF(OR(C1491="Alpha",B1491="Alpha"),$C$9,$C$8),""),"")</f>
        <v/>
      </c>
      <c r="L1491" s="139">
        <f>IFERROR(IF(ISNUMBER(F1491),F1491-IF(ISNUMBER(K1491),K1491,0),""),"")</f>
        <v/>
      </c>
    </row>
    <row r="1492" ht="24" customHeight="1" s="63">
      <c r="E1492" s="139" t="n"/>
      <c r="F1492" s="139" t="n"/>
      <c r="G1492" s="140">
        <f>IFERROR(IF(E1492&gt;0,(F1492/E1492)*1000,""),"")</f>
        <v/>
      </c>
      <c r="H1492" s="139">
        <f>IFERROR(IF(E1492&gt;0,E1492*IF(ISNUMBER(J1492),J1492,IF(OR(C1492="Alpha",B1492="Alpha"),$C$7,IF(C1492="Futures",$C$6,$C$5))),""),"")</f>
        <v/>
      </c>
      <c r="I1492" s="139">
        <f>IFERROR(IF(AND(ISNUMBER(F1492),ISNUMBER(H1492)),F1492-H1492,""),"")</f>
        <v/>
      </c>
      <c r="J1492" s="114" t="n"/>
      <c r="K1492" s="139">
        <f>IFERROR(IF(H1492&gt;0,H1492*IF(OR(C1492="Alpha",B1492="Alpha"),$C$9,$C$8),""),"")</f>
        <v/>
      </c>
      <c r="L1492" s="139">
        <f>IFERROR(IF(ISNUMBER(F1492),F1492-IF(ISNUMBER(K1492),K1492,0),""),"")</f>
        <v/>
      </c>
    </row>
    <row r="1493" ht="24" customHeight="1" s="63">
      <c r="E1493" s="139" t="n"/>
      <c r="F1493" s="139" t="n"/>
      <c r="G1493" s="140">
        <f>IFERROR(IF(E1493&gt;0,(F1493/E1493)*1000,""),"")</f>
        <v/>
      </c>
      <c r="H1493" s="139">
        <f>IFERROR(IF(E1493&gt;0,E1493*IF(ISNUMBER(J1493),J1493,IF(OR(C1493="Alpha",B1493="Alpha"),$C$7,IF(C1493="Futures",$C$6,$C$5))),""),"")</f>
        <v/>
      </c>
      <c r="I1493" s="139">
        <f>IFERROR(IF(AND(ISNUMBER(F1493),ISNUMBER(H1493)),F1493-H1493,""),"")</f>
        <v/>
      </c>
      <c r="J1493" s="114" t="n"/>
      <c r="K1493" s="139">
        <f>IFERROR(IF(H1493&gt;0,H1493*IF(OR(C1493="Alpha",B1493="Alpha"),$C$9,$C$8),""),"")</f>
        <v/>
      </c>
      <c r="L1493" s="139">
        <f>IFERROR(IF(ISNUMBER(F1493),F1493-IF(ISNUMBER(K1493),K1493,0),""),"")</f>
        <v/>
      </c>
    </row>
    <row r="1494" ht="24" customHeight="1" s="63">
      <c r="E1494" s="139" t="n"/>
      <c r="F1494" s="139" t="n"/>
      <c r="G1494" s="140">
        <f>IFERROR(IF(E1494&gt;0,(F1494/E1494)*1000,""),"")</f>
        <v/>
      </c>
      <c r="H1494" s="139">
        <f>IFERROR(IF(E1494&gt;0,E1494*IF(ISNUMBER(J1494),J1494,IF(OR(C1494="Alpha",B1494="Alpha"),$C$7,IF(C1494="Futures",$C$6,$C$5))),""),"")</f>
        <v/>
      </c>
      <c r="I1494" s="139">
        <f>IFERROR(IF(AND(ISNUMBER(F1494),ISNUMBER(H1494)),F1494-H1494,""),"")</f>
        <v/>
      </c>
      <c r="J1494" s="114" t="n"/>
      <c r="K1494" s="139">
        <f>IFERROR(IF(H1494&gt;0,H1494*IF(OR(C1494="Alpha",B1494="Alpha"),$C$9,$C$8),""),"")</f>
        <v/>
      </c>
      <c r="L1494" s="139">
        <f>IFERROR(IF(ISNUMBER(F1494),F1494-IF(ISNUMBER(K1494),K1494,0),""),"")</f>
        <v/>
      </c>
    </row>
    <row r="1495" ht="24" customHeight="1" s="63">
      <c r="E1495" s="139" t="n"/>
      <c r="F1495" s="139" t="n"/>
      <c r="G1495" s="140">
        <f>IFERROR(IF(E1495&gt;0,(F1495/E1495)*1000,""),"")</f>
        <v/>
      </c>
      <c r="H1495" s="139">
        <f>IFERROR(IF(E1495&gt;0,E1495*IF(ISNUMBER(J1495),J1495,IF(OR(C1495="Alpha",B1495="Alpha"),$C$7,IF(C1495="Futures",$C$6,$C$5))),""),"")</f>
        <v/>
      </c>
      <c r="I1495" s="139">
        <f>IFERROR(IF(AND(ISNUMBER(F1495),ISNUMBER(H1495)),F1495-H1495,""),"")</f>
        <v/>
      </c>
      <c r="J1495" s="114" t="n"/>
      <c r="K1495" s="139">
        <f>IFERROR(IF(H1495&gt;0,H1495*IF(OR(C1495="Alpha",B1495="Alpha"),$C$9,$C$8),""),"")</f>
        <v/>
      </c>
      <c r="L1495" s="139">
        <f>IFERROR(IF(ISNUMBER(F1495),F1495-IF(ISNUMBER(K1495),K1495,0),""),"")</f>
        <v/>
      </c>
    </row>
    <row r="1496" ht="24" customHeight="1" s="63">
      <c r="E1496" s="139" t="n"/>
      <c r="F1496" s="139" t="n"/>
      <c r="G1496" s="140">
        <f>IFERROR(IF(E1496&gt;0,(F1496/E1496)*1000,""),"")</f>
        <v/>
      </c>
      <c r="H1496" s="139">
        <f>IFERROR(IF(E1496&gt;0,E1496*IF(ISNUMBER(J1496),J1496,IF(OR(C1496="Alpha",B1496="Alpha"),$C$7,IF(C1496="Futures",$C$6,$C$5))),""),"")</f>
        <v/>
      </c>
      <c r="I1496" s="139">
        <f>IFERROR(IF(AND(ISNUMBER(F1496),ISNUMBER(H1496)),F1496-H1496,""),"")</f>
        <v/>
      </c>
      <c r="J1496" s="114" t="n"/>
      <c r="K1496" s="139">
        <f>IFERROR(IF(H1496&gt;0,H1496*IF(OR(C1496="Alpha",B1496="Alpha"),$C$9,$C$8),""),"")</f>
        <v/>
      </c>
      <c r="L1496" s="139">
        <f>IFERROR(IF(ISNUMBER(F1496),F1496-IF(ISNUMBER(K1496),K1496,0),""),"")</f>
        <v/>
      </c>
    </row>
    <row r="1497" ht="24" customHeight="1" s="63">
      <c r="E1497" s="139" t="n"/>
      <c r="F1497" s="139" t="n"/>
      <c r="G1497" s="140">
        <f>IFERROR(IF(E1497&gt;0,(F1497/E1497)*1000,""),"")</f>
        <v/>
      </c>
      <c r="H1497" s="139">
        <f>IFERROR(IF(E1497&gt;0,E1497*IF(ISNUMBER(J1497),J1497,IF(OR(C1497="Alpha",B1497="Alpha"),$C$7,IF(C1497="Futures",$C$6,$C$5))),""),"")</f>
        <v/>
      </c>
      <c r="I1497" s="139">
        <f>IFERROR(IF(AND(ISNUMBER(F1497),ISNUMBER(H1497)),F1497-H1497,""),"")</f>
        <v/>
      </c>
      <c r="J1497" s="114" t="n"/>
      <c r="K1497" s="139">
        <f>IFERROR(IF(H1497&gt;0,H1497*IF(OR(C1497="Alpha",B1497="Alpha"),$C$9,$C$8),""),"")</f>
        <v/>
      </c>
      <c r="L1497" s="139">
        <f>IFERROR(IF(ISNUMBER(F1497),F1497-IF(ISNUMBER(K1497),K1497,0),""),"")</f>
        <v/>
      </c>
    </row>
    <row r="1498" ht="24" customHeight="1" s="63">
      <c r="E1498" s="139" t="n"/>
      <c r="F1498" s="139" t="n"/>
      <c r="G1498" s="140">
        <f>IFERROR(IF(E1498&gt;0,(F1498/E1498)*1000,""),"")</f>
        <v/>
      </c>
      <c r="H1498" s="139">
        <f>IFERROR(IF(E1498&gt;0,E1498*IF(ISNUMBER(J1498),J1498,IF(OR(C1498="Alpha",B1498="Alpha"),$C$7,IF(C1498="Futures",$C$6,$C$5))),""),"")</f>
        <v/>
      </c>
      <c r="I1498" s="139">
        <f>IFERROR(IF(AND(ISNUMBER(F1498),ISNUMBER(H1498)),F1498-H1498,""),"")</f>
        <v/>
      </c>
      <c r="J1498" s="114" t="n"/>
      <c r="K1498" s="139">
        <f>IFERROR(IF(H1498&gt;0,H1498*IF(OR(C1498="Alpha",B1498="Alpha"),$C$9,$C$8),""),"")</f>
        <v/>
      </c>
      <c r="L1498" s="139">
        <f>IFERROR(IF(ISNUMBER(F1498),F1498-IF(ISNUMBER(K1498),K1498,0),""),"")</f>
        <v/>
      </c>
    </row>
    <row r="1499" ht="24" customHeight="1" s="63">
      <c r="E1499" s="139" t="n"/>
      <c r="F1499" s="139" t="n"/>
      <c r="G1499" s="140">
        <f>IFERROR(IF(E1499&gt;0,(F1499/E1499)*1000,""),"")</f>
        <v/>
      </c>
      <c r="H1499" s="139">
        <f>IFERROR(IF(E1499&gt;0,E1499*IF(ISNUMBER(J1499),J1499,IF(OR(C1499="Alpha",B1499="Alpha"),$C$7,IF(C1499="Futures",$C$6,$C$5))),""),"")</f>
        <v/>
      </c>
      <c r="I1499" s="139">
        <f>IFERROR(IF(AND(ISNUMBER(F1499),ISNUMBER(H1499)),F1499-H1499,""),"")</f>
        <v/>
      </c>
      <c r="J1499" s="114" t="n"/>
      <c r="K1499" s="139">
        <f>IFERROR(IF(H1499&gt;0,H1499*IF(OR(C1499="Alpha",B1499="Alpha"),$C$9,$C$8),""),"")</f>
        <v/>
      </c>
      <c r="L1499" s="139">
        <f>IFERROR(IF(ISNUMBER(F1499),F1499-IF(ISNUMBER(K1499),K1499,0),""),"")</f>
        <v/>
      </c>
    </row>
    <row r="1500" ht="24" customHeight="1" s="63">
      <c r="E1500" s="139" t="n"/>
      <c r="F1500" s="139" t="n"/>
      <c r="G1500" s="140">
        <f>IFERROR(IF(E1500&gt;0,(F1500/E1500)*1000,""),"")</f>
        <v/>
      </c>
      <c r="H1500" s="139">
        <f>IFERROR(IF(E1500&gt;0,E1500*IF(ISNUMBER(J1500),J1500,IF(OR(C1500="Alpha",B1500="Alpha"),$C$7,IF(C1500="Futures",$C$6,$C$5))),""),"")</f>
        <v/>
      </c>
      <c r="I1500" s="139">
        <f>IFERROR(IF(AND(ISNUMBER(F1500),ISNUMBER(H1500)),F1500-H1500,""),"")</f>
        <v/>
      </c>
      <c r="J1500" s="114" t="n"/>
      <c r="K1500" s="139">
        <f>IFERROR(IF(H1500&gt;0,H1500*IF(OR(C1500="Alpha",B1500="Alpha"),$C$9,$C$8),""),"")</f>
        <v/>
      </c>
      <c r="L1500" s="139">
        <f>IFERROR(IF(ISNUMBER(F1500),F1500-IF(ISNUMBER(K1500),K1500,0),""),"")</f>
        <v/>
      </c>
    </row>
    <row r="1501" ht="24" customHeight="1" s="63">
      <c r="E1501" s="139" t="n"/>
      <c r="F1501" s="139" t="n"/>
      <c r="G1501" s="140">
        <f>IFERROR(IF(E1501&gt;0,(F1501/E1501)*1000,""),"")</f>
        <v/>
      </c>
      <c r="H1501" s="139">
        <f>IFERROR(IF(E1501&gt;0,E1501*IF(ISNUMBER(J1501),J1501,IF(OR(C1501="Alpha",B1501="Alpha"),$C$7,IF(C1501="Futures",$C$6,$C$5))),""),"")</f>
        <v/>
      </c>
      <c r="I1501" s="139">
        <f>IFERROR(IF(AND(ISNUMBER(F1501),ISNUMBER(H1501)),F1501-H1501,""),"")</f>
        <v/>
      </c>
      <c r="J1501" s="114" t="n"/>
      <c r="K1501" s="139">
        <f>IFERROR(IF(H1501&gt;0,H1501*IF(OR(C1501="Alpha",B1501="Alpha"),$C$9,$C$8),""),"")</f>
        <v/>
      </c>
      <c r="L1501" s="139">
        <f>IFERROR(IF(ISNUMBER(F1501),F1501-IF(ISNUMBER(K1501),K1501,0),""),"")</f>
        <v/>
      </c>
    </row>
    <row r="1502" ht="24" customHeight="1" s="63">
      <c r="E1502" s="139" t="n"/>
      <c r="F1502" s="139" t="n"/>
      <c r="G1502" s="140">
        <f>IFERROR(IF(E1502&gt;0,(F1502/E1502)*1000,""),"")</f>
        <v/>
      </c>
      <c r="H1502" s="139">
        <f>IFERROR(IF(E1502&gt;0,E1502*IF(ISNUMBER(J1502),J1502,IF(OR(C1502="Alpha",B1502="Alpha"),$C$7,IF(C1502="Futures",$C$6,$C$5))),""),"")</f>
        <v/>
      </c>
      <c r="I1502" s="139">
        <f>IFERROR(IF(AND(ISNUMBER(F1502),ISNUMBER(H1502)),F1502-H1502,""),"")</f>
        <v/>
      </c>
      <c r="J1502" s="114" t="n"/>
      <c r="K1502" s="139">
        <f>IFERROR(IF(H1502&gt;0,H1502*IF(OR(C1502="Alpha",B1502="Alpha"),$C$9,$C$8),""),"")</f>
        <v/>
      </c>
      <c r="L1502" s="139">
        <f>IFERROR(IF(ISNUMBER(F1502),F1502-IF(ISNUMBER(K1502),K1502,0),""),"")</f>
        <v/>
      </c>
    </row>
    <row r="1503" ht="24" customHeight="1" s="63">
      <c r="E1503" s="139" t="n"/>
      <c r="F1503" s="139" t="n"/>
      <c r="G1503" s="140">
        <f>IFERROR(IF(E1503&gt;0,(F1503/E1503)*1000,""),"")</f>
        <v/>
      </c>
      <c r="H1503" s="139">
        <f>IFERROR(IF(E1503&gt;0,E1503*IF(ISNUMBER(J1503),J1503,IF(OR(C1503="Alpha",B1503="Alpha"),$C$7,IF(C1503="Futures",$C$6,$C$5))),""),"")</f>
        <v/>
      </c>
      <c r="I1503" s="139">
        <f>IFERROR(IF(AND(ISNUMBER(F1503),ISNUMBER(H1503)),F1503-H1503,""),"")</f>
        <v/>
      </c>
      <c r="J1503" s="114" t="n"/>
      <c r="K1503" s="139">
        <f>IFERROR(IF(H1503&gt;0,H1503*IF(OR(C1503="Alpha",B1503="Alpha"),$C$9,$C$8),""),"")</f>
        <v/>
      </c>
      <c r="L1503" s="139">
        <f>IFERROR(IF(ISNUMBER(F1503),F1503-IF(ISNUMBER(K1503),K1503,0),""),"")</f>
        <v/>
      </c>
    </row>
    <row r="1504" ht="24" customHeight="1" s="63">
      <c r="E1504" s="139" t="n"/>
      <c r="F1504" s="139" t="n"/>
      <c r="G1504" s="140">
        <f>IFERROR(IF(E1504&gt;0,(F1504/E1504)*1000,""),"")</f>
        <v/>
      </c>
      <c r="H1504" s="139">
        <f>IFERROR(IF(E1504&gt;0,E1504*IF(ISNUMBER(J1504),J1504,IF(OR(C1504="Alpha",B1504="Alpha"),$C$7,IF(C1504="Futures",$C$6,$C$5))),""),"")</f>
        <v/>
      </c>
      <c r="I1504" s="139">
        <f>IFERROR(IF(AND(ISNUMBER(F1504),ISNUMBER(H1504)),F1504-H1504,""),"")</f>
        <v/>
      </c>
      <c r="J1504" s="114" t="n"/>
      <c r="K1504" s="139">
        <f>IFERROR(IF(H1504&gt;0,H1504*IF(OR(C1504="Alpha",B1504="Alpha"),$C$9,$C$8),""),"")</f>
        <v/>
      </c>
      <c r="L1504" s="139">
        <f>IFERROR(IF(ISNUMBER(F1504),F1504-IF(ISNUMBER(K1504),K1504,0),""),"")</f>
        <v/>
      </c>
    </row>
    <row r="1505" ht="24" customHeight="1" s="63">
      <c r="E1505" s="139" t="n"/>
      <c r="F1505" s="139" t="n"/>
      <c r="G1505" s="140">
        <f>IFERROR(IF(E1505&gt;0,(F1505/E1505)*1000,""),"")</f>
        <v/>
      </c>
      <c r="H1505" s="139">
        <f>IFERROR(IF(E1505&gt;0,E1505*IF(ISNUMBER(J1505),J1505,IF(OR(C1505="Alpha",B1505="Alpha"),$C$7,IF(C1505="Futures",$C$6,$C$5))),""),"")</f>
        <v/>
      </c>
      <c r="I1505" s="139">
        <f>IFERROR(IF(AND(ISNUMBER(F1505),ISNUMBER(H1505)),F1505-H1505,""),"")</f>
        <v/>
      </c>
      <c r="J1505" s="114" t="n"/>
      <c r="K1505" s="139">
        <f>IFERROR(IF(H1505&gt;0,H1505*IF(OR(C1505="Alpha",B1505="Alpha"),$C$9,$C$8),""),"")</f>
        <v/>
      </c>
      <c r="L1505" s="139">
        <f>IFERROR(IF(ISNUMBER(F1505),F1505-IF(ISNUMBER(K1505),K1505,0),""),"")</f>
        <v/>
      </c>
    </row>
    <row r="1506" ht="24" customHeight="1" s="63">
      <c r="E1506" s="139" t="n"/>
      <c r="F1506" s="139" t="n"/>
      <c r="G1506" s="140">
        <f>IFERROR(IF(E1506&gt;0,(F1506/E1506)*1000,""),"")</f>
        <v/>
      </c>
      <c r="H1506" s="139">
        <f>IFERROR(IF(E1506&gt;0,E1506*IF(ISNUMBER(J1506),J1506,IF(OR(C1506="Alpha",B1506="Alpha"),$C$7,IF(C1506="Futures",$C$6,$C$5))),""),"")</f>
        <v/>
      </c>
      <c r="I1506" s="139">
        <f>IFERROR(IF(AND(ISNUMBER(F1506),ISNUMBER(H1506)),F1506-H1506,""),"")</f>
        <v/>
      </c>
      <c r="J1506" s="114" t="n"/>
      <c r="K1506" s="139">
        <f>IFERROR(IF(H1506&gt;0,H1506*IF(OR(C1506="Alpha",B1506="Alpha"),$C$9,$C$8),""),"")</f>
        <v/>
      </c>
      <c r="L1506" s="139">
        <f>IFERROR(IF(ISNUMBER(F1506),F1506-IF(ISNUMBER(K1506),K1506,0),""),"")</f>
        <v/>
      </c>
    </row>
    <row r="1507" ht="24" customHeight="1" s="63">
      <c r="E1507" s="139" t="n"/>
      <c r="F1507" s="139" t="n"/>
      <c r="G1507" s="140">
        <f>IFERROR(IF(E1507&gt;0,(F1507/E1507)*1000,""),"")</f>
        <v/>
      </c>
      <c r="H1507" s="139">
        <f>IFERROR(IF(E1507&gt;0,E1507*IF(ISNUMBER(J1507),J1507,IF(OR(C1507="Alpha",B1507="Alpha"),$C$7,IF(C1507="Futures",$C$6,$C$5))),""),"")</f>
        <v/>
      </c>
      <c r="I1507" s="139">
        <f>IFERROR(IF(AND(ISNUMBER(F1507),ISNUMBER(H1507)),F1507-H1507,""),"")</f>
        <v/>
      </c>
      <c r="J1507" s="114" t="n"/>
      <c r="K1507" s="139">
        <f>IFERROR(IF(H1507&gt;0,H1507*IF(OR(C1507="Alpha",B1507="Alpha"),$C$9,$C$8),""),"")</f>
        <v/>
      </c>
      <c r="L1507" s="139">
        <f>IFERROR(IF(ISNUMBER(F1507),F1507-IF(ISNUMBER(K1507),K1507,0),""),"")</f>
        <v/>
      </c>
    </row>
    <row r="1508" ht="24" customHeight="1" s="63">
      <c r="E1508" s="139" t="n"/>
      <c r="F1508" s="139" t="n"/>
      <c r="G1508" s="140">
        <f>IFERROR(IF(E1508&gt;0,(F1508/E1508)*1000,""),"")</f>
        <v/>
      </c>
      <c r="H1508" s="139">
        <f>IFERROR(IF(E1508&gt;0,E1508*IF(ISNUMBER(J1508),J1508,IF(OR(C1508="Alpha",B1508="Alpha"),$C$7,IF(C1508="Futures",$C$6,$C$5))),""),"")</f>
        <v/>
      </c>
      <c r="I1508" s="139">
        <f>IFERROR(IF(AND(ISNUMBER(F1508),ISNUMBER(H1508)),F1508-H1508,""),"")</f>
        <v/>
      </c>
      <c r="J1508" s="114" t="n"/>
      <c r="K1508" s="139">
        <f>IFERROR(IF(H1508&gt;0,H1508*IF(OR(C1508="Alpha",B1508="Alpha"),$C$9,$C$8),""),"")</f>
        <v/>
      </c>
      <c r="L1508" s="139">
        <f>IFERROR(IF(ISNUMBER(F1508),F1508-IF(ISNUMBER(K1508),K1508,0),""),"")</f>
        <v/>
      </c>
    </row>
    <row r="1509" ht="24" customHeight="1" s="63">
      <c r="E1509" s="139" t="n"/>
      <c r="F1509" s="139" t="n"/>
      <c r="G1509" s="140">
        <f>IFERROR(IF(E1509&gt;0,(F1509/E1509)*1000,""),"")</f>
        <v/>
      </c>
      <c r="H1509" s="139">
        <f>IFERROR(IF(E1509&gt;0,E1509*IF(ISNUMBER(J1509),J1509,IF(OR(C1509="Alpha",B1509="Alpha"),$C$7,IF(C1509="Futures",$C$6,$C$5))),""),"")</f>
        <v/>
      </c>
      <c r="I1509" s="139">
        <f>IFERROR(IF(AND(ISNUMBER(F1509),ISNUMBER(H1509)),F1509-H1509,""),"")</f>
        <v/>
      </c>
      <c r="J1509" s="114" t="n"/>
      <c r="K1509" s="139">
        <f>IFERROR(IF(H1509&gt;0,H1509*IF(OR(C1509="Alpha",B1509="Alpha"),$C$9,$C$8),""),"")</f>
        <v/>
      </c>
      <c r="L1509" s="139">
        <f>IFERROR(IF(ISNUMBER(F1509),F1509-IF(ISNUMBER(K1509),K1509,0),""),"")</f>
        <v/>
      </c>
    </row>
    <row r="1510" ht="24" customHeight="1" s="63">
      <c r="E1510" s="139" t="n"/>
      <c r="F1510" s="139" t="n"/>
      <c r="G1510" s="140">
        <f>IFERROR(IF(E1510&gt;0,(F1510/E1510)*1000,""),"")</f>
        <v/>
      </c>
      <c r="H1510" s="139">
        <f>IFERROR(IF(E1510&gt;0,E1510*IF(ISNUMBER(J1510),J1510,IF(OR(C1510="Alpha",B1510="Alpha"),$C$7,IF(C1510="Futures",$C$6,$C$5))),""),"")</f>
        <v/>
      </c>
      <c r="I1510" s="139">
        <f>IFERROR(IF(AND(ISNUMBER(F1510),ISNUMBER(H1510)),F1510-H1510,""),"")</f>
        <v/>
      </c>
      <c r="J1510" s="114" t="n"/>
      <c r="K1510" s="139">
        <f>IFERROR(IF(H1510&gt;0,H1510*IF(OR(C1510="Alpha",B1510="Alpha"),$C$9,$C$8),""),"")</f>
        <v/>
      </c>
      <c r="L1510" s="139">
        <f>IFERROR(IF(ISNUMBER(F1510),F1510-IF(ISNUMBER(K1510),K1510,0),""),"")</f>
        <v/>
      </c>
    </row>
    <row r="1511" ht="24" customHeight="1" s="63">
      <c r="E1511" s="139" t="n"/>
      <c r="F1511" s="139" t="n"/>
      <c r="G1511" s="140">
        <f>IFERROR(IF(E1511&gt;0,(F1511/E1511)*1000,""),"")</f>
        <v/>
      </c>
      <c r="H1511" s="139">
        <f>IFERROR(IF(E1511&gt;0,E1511*IF(ISNUMBER(J1511),J1511,IF(OR(C1511="Alpha",B1511="Alpha"),$C$7,IF(C1511="Futures",$C$6,$C$5))),""),"")</f>
        <v/>
      </c>
      <c r="I1511" s="139">
        <f>IFERROR(IF(AND(ISNUMBER(F1511),ISNUMBER(H1511)),F1511-H1511,""),"")</f>
        <v/>
      </c>
      <c r="J1511" s="114" t="n"/>
      <c r="K1511" s="139">
        <f>IFERROR(IF(H1511&gt;0,H1511*IF(OR(C1511="Alpha",B1511="Alpha"),$C$9,$C$8),""),"")</f>
        <v/>
      </c>
      <c r="L1511" s="139">
        <f>IFERROR(IF(ISNUMBER(F1511),F1511-IF(ISNUMBER(K1511),K1511,0),""),"")</f>
        <v/>
      </c>
    </row>
    <row r="1512" ht="24" customHeight="1" s="63">
      <c r="E1512" s="139" t="n"/>
      <c r="F1512" s="139" t="n"/>
      <c r="G1512" s="140">
        <f>IFERROR(IF(E1512&gt;0,(F1512/E1512)*1000,""),"")</f>
        <v/>
      </c>
      <c r="H1512" s="139">
        <f>IFERROR(IF(E1512&gt;0,E1512*IF(ISNUMBER(J1512),J1512,IF(OR(C1512="Alpha",B1512="Alpha"),$C$7,IF(C1512="Futures",$C$6,$C$5))),""),"")</f>
        <v/>
      </c>
      <c r="I1512" s="139">
        <f>IFERROR(IF(AND(ISNUMBER(F1512),ISNUMBER(H1512)),F1512-H1512,""),"")</f>
        <v/>
      </c>
      <c r="J1512" s="114" t="n"/>
      <c r="K1512" s="139">
        <f>IFERROR(IF(H1512&gt;0,H1512*IF(OR(C1512="Alpha",B1512="Alpha"),$C$9,$C$8),""),"")</f>
        <v/>
      </c>
      <c r="L1512" s="139">
        <f>IFERROR(IF(ISNUMBER(F1512),F1512-IF(ISNUMBER(K1512),K1512,0),""),"")</f>
        <v/>
      </c>
    </row>
    <row r="1513" ht="24" customHeight="1" s="63">
      <c r="E1513" s="139" t="n"/>
      <c r="F1513" s="139" t="n"/>
      <c r="G1513" s="140">
        <f>IFERROR(IF(E1513&gt;0,(F1513/E1513)*1000,""),"")</f>
        <v/>
      </c>
      <c r="H1513" s="139">
        <f>IFERROR(IF(E1513&gt;0,E1513*IF(ISNUMBER(J1513),J1513,IF(OR(C1513="Alpha",B1513="Alpha"),$C$7,IF(C1513="Futures",$C$6,$C$5))),""),"")</f>
        <v/>
      </c>
      <c r="I1513" s="139">
        <f>IFERROR(IF(AND(ISNUMBER(F1513),ISNUMBER(H1513)),F1513-H1513,""),"")</f>
        <v/>
      </c>
      <c r="J1513" s="114" t="n"/>
      <c r="K1513" s="139">
        <f>IFERROR(IF(H1513&gt;0,H1513*IF(OR(C1513="Alpha",B1513="Alpha"),$C$9,$C$8),""),"")</f>
        <v/>
      </c>
      <c r="L1513" s="139">
        <f>IFERROR(IF(ISNUMBER(F1513),F1513-IF(ISNUMBER(K1513),K1513,0),""),"")</f>
        <v/>
      </c>
    </row>
    <row r="1514" ht="24" customHeight="1" s="63">
      <c r="E1514" s="139" t="n"/>
      <c r="F1514" s="139" t="n"/>
      <c r="G1514" s="140">
        <f>IFERROR(IF(E1514&gt;0,(F1514/E1514)*1000,""),"")</f>
        <v/>
      </c>
      <c r="H1514" s="139">
        <f>IFERROR(IF(E1514&gt;0,E1514*IF(ISNUMBER(J1514),J1514,IF(OR(C1514="Alpha",B1514="Alpha"),$C$7,IF(C1514="Futures",$C$6,$C$5))),""),"")</f>
        <v/>
      </c>
      <c r="I1514" s="139">
        <f>IFERROR(IF(AND(ISNUMBER(F1514),ISNUMBER(H1514)),F1514-H1514,""),"")</f>
        <v/>
      </c>
      <c r="J1514" s="114" t="n"/>
      <c r="K1514" s="139">
        <f>IFERROR(IF(H1514&gt;0,H1514*IF(OR(C1514="Alpha",B1514="Alpha"),$C$9,$C$8),""),"")</f>
        <v/>
      </c>
      <c r="L1514" s="139">
        <f>IFERROR(IF(ISNUMBER(F1514),F1514-IF(ISNUMBER(K1514),K1514,0),""),"")</f>
        <v/>
      </c>
    </row>
    <row r="1515" ht="24" customHeight="1" s="63">
      <c r="E1515" s="139" t="n"/>
      <c r="F1515" s="139" t="n"/>
      <c r="G1515" s="140">
        <f>IFERROR(IF(E1515&gt;0,(F1515/E1515)*1000,""),"")</f>
        <v/>
      </c>
      <c r="H1515" s="139">
        <f>IFERROR(IF(E1515&gt;0,E1515*IF(ISNUMBER(J1515),J1515,IF(OR(C1515="Alpha",B1515="Alpha"),$C$7,IF(C1515="Futures",$C$6,$C$5))),""),"")</f>
        <v/>
      </c>
      <c r="I1515" s="139">
        <f>IFERROR(IF(AND(ISNUMBER(F1515),ISNUMBER(H1515)),F1515-H1515,""),"")</f>
        <v/>
      </c>
      <c r="J1515" s="114" t="n"/>
      <c r="K1515" s="139">
        <f>IFERROR(IF(H1515&gt;0,H1515*IF(OR(C1515="Alpha",B1515="Alpha"),$C$9,$C$8),""),"")</f>
        <v/>
      </c>
      <c r="L1515" s="139">
        <f>IFERROR(IF(ISNUMBER(F1515),F1515-IF(ISNUMBER(K1515),K1515,0),""),"")</f>
        <v/>
      </c>
    </row>
    <row r="1516" ht="24" customHeight="1" s="63">
      <c r="E1516" s="139" t="n"/>
      <c r="F1516" s="139" t="n"/>
      <c r="G1516" s="140">
        <f>IFERROR(IF(E1516&gt;0,(F1516/E1516)*1000,""),"")</f>
        <v/>
      </c>
      <c r="H1516" s="139">
        <f>IFERROR(IF(E1516&gt;0,E1516*IF(ISNUMBER(J1516),J1516,IF(OR(C1516="Alpha",B1516="Alpha"),$C$7,IF(C1516="Futures",$C$6,$C$5))),""),"")</f>
        <v/>
      </c>
      <c r="I1516" s="139">
        <f>IFERROR(IF(AND(ISNUMBER(F1516),ISNUMBER(H1516)),F1516-H1516,""),"")</f>
        <v/>
      </c>
      <c r="J1516" s="114" t="n"/>
      <c r="K1516" s="139">
        <f>IFERROR(IF(H1516&gt;0,H1516*IF(OR(C1516="Alpha",B1516="Alpha"),$C$9,$C$8),""),"")</f>
        <v/>
      </c>
      <c r="L1516" s="139">
        <f>IFERROR(IF(ISNUMBER(F1516),F1516-IF(ISNUMBER(K1516),K1516,0),""),"")</f>
        <v/>
      </c>
    </row>
    <row r="1517" ht="24" customHeight="1" s="63">
      <c r="E1517" s="139" t="n"/>
      <c r="F1517" s="139" t="n"/>
      <c r="G1517" s="140">
        <f>IFERROR(IF(E1517&gt;0,(F1517/E1517)*1000,""),"")</f>
        <v/>
      </c>
      <c r="H1517" s="139">
        <f>IFERROR(IF(E1517&gt;0,E1517*IF(ISNUMBER(J1517),J1517,IF(OR(C1517="Alpha",B1517="Alpha"),$C$7,IF(C1517="Futures",$C$6,$C$5))),""),"")</f>
        <v/>
      </c>
      <c r="I1517" s="139">
        <f>IFERROR(IF(AND(ISNUMBER(F1517),ISNUMBER(H1517)),F1517-H1517,""),"")</f>
        <v/>
      </c>
      <c r="J1517" s="114" t="n"/>
      <c r="K1517" s="139">
        <f>IFERROR(IF(H1517&gt;0,H1517*IF(OR(C1517="Alpha",B1517="Alpha"),$C$9,$C$8),""),"")</f>
        <v/>
      </c>
      <c r="L1517" s="139">
        <f>IFERROR(IF(ISNUMBER(F1517),F1517-IF(ISNUMBER(K1517),K1517,0),""),"")</f>
        <v/>
      </c>
    </row>
    <row r="1518" ht="24" customHeight="1" s="63">
      <c r="E1518" s="139" t="n"/>
      <c r="F1518" s="139" t="n"/>
      <c r="G1518" s="140">
        <f>IFERROR(IF(E1518&gt;0,(F1518/E1518)*1000,""),"")</f>
        <v/>
      </c>
      <c r="H1518" s="139">
        <f>IFERROR(IF(E1518&gt;0,E1518*IF(ISNUMBER(J1518),J1518,IF(OR(C1518="Alpha",B1518="Alpha"),$C$7,IF(C1518="Futures",$C$6,$C$5))),""),"")</f>
        <v/>
      </c>
      <c r="I1518" s="139">
        <f>IFERROR(IF(AND(ISNUMBER(F1518),ISNUMBER(H1518)),F1518-H1518,""),"")</f>
        <v/>
      </c>
      <c r="J1518" s="114" t="n"/>
      <c r="K1518" s="139">
        <f>IFERROR(IF(H1518&gt;0,H1518*IF(OR(C1518="Alpha",B1518="Alpha"),$C$9,$C$8),""),"")</f>
        <v/>
      </c>
      <c r="L1518" s="139">
        <f>IFERROR(IF(ISNUMBER(F1518),F1518-IF(ISNUMBER(K1518),K1518,0),""),"")</f>
        <v/>
      </c>
    </row>
    <row r="1519" ht="24" customHeight="1" s="63">
      <c r="E1519" s="139" t="n"/>
      <c r="F1519" s="139" t="n"/>
      <c r="G1519" s="140">
        <f>IFERROR(IF(E1519&gt;0,(F1519/E1519)*1000,""),"")</f>
        <v/>
      </c>
      <c r="H1519" s="139">
        <f>IFERROR(IF(E1519&gt;0,E1519*IF(ISNUMBER(J1519),J1519,IF(OR(C1519="Alpha",B1519="Alpha"),$C$7,IF(C1519="Futures",$C$6,$C$5))),""),"")</f>
        <v/>
      </c>
      <c r="I1519" s="139">
        <f>IFERROR(IF(AND(ISNUMBER(F1519),ISNUMBER(H1519)),F1519-H1519,""),"")</f>
        <v/>
      </c>
      <c r="J1519" s="114" t="n"/>
      <c r="K1519" s="139">
        <f>IFERROR(IF(H1519&gt;0,H1519*IF(OR(C1519="Alpha",B1519="Alpha"),$C$9,$C$8),""),"")</f>
        <v/>
      </c>
      <c r="L1519" s="139">
        <f>IFERROR(IF(ISNUMBER(F1519),F1519-IF(ISNUMBER(K1519),K1519,0),""),"")</f>
        <v/>
      </c>
    </row>
    <row r="1520" ht="24" customHeight="1" s="63">
      <c r="E1520" s="139" t="n"/>
      <c r="F1520" s="139" t="n"/>
      <c r="G1520" s="140">
        <f>IFERROR(IF(E1520&gt;0,(F1520/E1520)*1000,""),"")</f>
        <v/>
      </c>
      <c r="H1520" s="139">
        <f>IFERROR(IF(E1520&gt;0,E1520*IF(ISNUMBER(J1520),J1520,IF(OR(C1520="Alpha",B1520="Alpha"),$C$7,IF(C1520="Futures",$C$6,$C$5))),""),"")</f>
        <v/>
      </c>
      <c r="I1520" s="139">
        <f>IFERROR(IF(AND(ISNUMBER(F1520),ISNUMBER(H1520)),F1520-H1520,""),"")</f>
        <v/>
      </c>
      <c r="J1520" s="114" t="n"/>
      <c r="K1520" s="139">
        <f>IFERROR(IF(H1520&gt;0,H1520*IF(OR(C1520="Alpha",B1520="Alpha"),$C$9,$C$8),""),"")</f>
        <v/>
      </c>
      <c r="L1520" s="139">
        <f>IFERROR(IF(ISNUMBER(F1520),F1520-IF(ISNUMBER(K1520),K1520,0),""),"")</f>
        <v/>
      </c>
    </row>
    <row r="1521" ht="24" customHeight="1" s="63">
      <c r="E1521" s="139" t="n"/>
      <c r="F1521" s="139" t="n"/>
      <c r="G1521" s="140">
        <f>IFERROR(IF(E1521&gt;0,(F1521/E1521)*1000,""),"")</f>
        <v/>
      </c>
      <c r="H1521" s="139">
        <f>IFERROR(IF(E1521&gt;0,E1521*IF(ISNUMBER(J1521),J1521,IF(OR(C1521="Alpha",B1521="Alpha"),$C$7,IF(C1521="Futures",$C$6,$C$5))),""),"")</f>
        <v/>
      </c>
      <c r="I1521" s="139">
        <f>IFERROR(IF(AND(ISNUMBER(F1521),ISNUMBER(H1521)),F1521-H1521,""),"")</f>
        <v/>
      </c>
      <c r="J1521" s="114" t="n"/>
      <c r="K1521" s="139">
        <f>IFERROR(IF(H1521&gt;0,H1521*IF(OR(C1521="Alpha",B1521="Alpha"),$C$9,$C$8),""),"")</f>
        <v/>
      </c>
      <c r="L1521" s="139">
        <f>IFERROR(IF(ISNUMBER(F1521),F1521-IF(ISNUMBER(K1521),K1521,0),""),"")</f>
        <v/>
      </c>
    </row>
    <row r="1522" ht="24" customHeight="1" s="63">
      <c r="E1522" s="139" t="n"/>
      <c r="F1522" s="139" t="n"/>
      <c r="G1522" s="140">
        <f>IFERROR(IF(E1522&gt;0,(F1522/E1522)*1000,""),"")</f>
        <v/>
      </c>
      <c r="H1522" s="139">
        <f>IFERROR(IF(E1522&gt;0,E1522*IF(ISNUMBER(J1522),J1522,IF(OR(C1522="Alpha",B1522="Alpha"),$C$7,IF(C1522="Futures",$C$6,$C$5))),""),"")</f>
        <v/>
      </c>
      <c r="I1522" s="139">
        <f>IFERROR(IF(AND(ISNUMBER(F1522),ISNUMBER(H1522)),F1522-H1522,""),"")</f>
        <v/>
      </c>
      <c r="J1522" s="114" t="n"/>
      <c r="K1522" s="139">
        <f>IFERROR(IF(H1522&gt;0,H1522*IF(OR(C1522="Alpha",B1522="Alpha"),$C$9,$C$8),""),"")</f>
        <v/>
      </c>
      <c r="L1522" s="139">
        <f>IFERROR(IF(ISNUMBER(F1522),F1522-IF(ISNUMBER(K1522),K1522,0),""),"")</f>
        <v/>
      </c>
    </row>
    <row r="1523" ht="24" customHeight="1" s="63">
      <c r="E1523" s="139" t="n"/>
      <c r="F1523" s="139" t="n"/>
      <c r="G1523" s="140">
        <f>IFERROR(IF(E1523&gt;0,(F1523/E1523)*1000,""),"")</f>
        <v/>
      </c>
      <c r="H1523" s="139">
        <f>IFERROR(IF(E1523&gt;0,E1523*IF(ISNUMBER(J1523),J1523,IF(OR(C1523="Alpha",B1523="Alpha"),$C$7,IF(C1523="Futures",$C$6,$C$5))),""),"")</f>
        <v/>
      </c>
      <c r="I1523" s="139">
        <f>IFERROR(IF(AND(ISNUMBER(F1523),ISNUMBER(H1523)),F1523-H1523,""),"")</f>
        <v/>
      </c>
      <c r="J1523" s="114" t="n"/>
      <c r="K1523" s="139">
        <f>IFERROR(IF(H1523&gt;0,H1523*IF(OR(C1523="Alpha",B1523="Alpha"),$C$9,$C$8),""),"")</f>
        <v/>
      </c>
      <c r="L1523" s="139">
        <f>IFERROR(IF(ISNUMBER(F1523),F1523-IF(ISNUMBER(K1523),K1523,0),""),"")</f>
        <v/>
      </c>
    </row>
    <row r="1524" ht="24" customHeight="1" s="63">
      <c r="E1524" s="139" t="n"/>
      <c r="F1524" s="139" t="n"/>
      <c r="G1524" s="140">
        <f>IFERROR(IF(E1524&gt;0,(F1524/E1524)*1000,""),"")</f>
        <v/>
      </c>
      <c r="H1524" s="139">
        <f>IFERROR(IF(E1524&gt;0,E1524*IF(ISNUMBER(J1524),J1524,IF(OR(C1524="Alpha",B1524="Alpha"),$C$7,IF(C1524="Futures",$C$6,$C$5))),""),"")</f>
        <v/>
      </c>
      <c r="I1524" s="139">
        <f>IFERROR(IF(AND(ISNUMBER(F1524),ISNUMBER(H1524)),F1524-H1524,""),"")</f>
        <v/>
      </c>
      <c r="J1524" s="114" t="n"/>
      <c r="K1524" s="139">
        <f>IFERROR(IF(H1524&gt;0,H1524*IF(OR(C1524="Alpha",B1524="Alpha"),$C$9,$C$8),""),"")</f>
        <v/>
      </c>
      <c r="L1524" s="139">
        <f>IFERROR(IF(ISNUMBER(F1524),F1524-IF(ISNUMBER(K1524),K1524,0),""),"")</f>
        <v/>
      </c>
    </row>
    <row r="1525" ht="24" customHeight="1" s="63">
      <c r="E1525" s="139" t="n"/>
      <c r="F1525" s="139" t="n"/>
      <c r="G1525" s="140">
        <f>IFERROR(IF(E1525&gt;0,(F1525/E1525)*1000,""),"")</f>
        <v/>
      </c>
      <c r="H1525" s="139">
        <f>IFERROR(IF(E1525&gt;0,E1525*IF(ISNUMBER(J1525),J1525,IF(OR(C1525="Alpha",B1525="Alpha"),$C$7,IF(C1525="Futures",$C$6,$C$5))),""),"")</f>
        <v/>
      </c>
      <c r="I1525" s="139">
        <f>IFERROR(IF(AND(ISNUMBER(F1525),ISNUMBER(H1525)),F1525-H1525,""),"")</f>
        <v/>
      </c>
      <c r="J1525" s="114" t="n"/>
      <c r="K1525" s="139">
        <f>IFERROR(IF(H1525&gt;0,H1525*IF(OR(C1525="Alpha",B1525="Alpha"),$C$9,$C$8),""),"")</f>
        <v/>
      </c>
      <c r="L1525" s="139">
        <f>IFERROR(IF(ISNUMBER(F1525),F1525-IF(ISNUMBER(K1525),K1525,0),""),"")</f>
        <v/>
      </c>
    </row>
    <row r="1526" ht="24" customHeight="1" s="63">
      <c r="E1526" s="139" t="n"/>
      <c r="F1526" s="139" t="n"/>
      <c r="G1526" s="140">
        <f>IFERROR(IF(E1526&gt;0,(F1526/E1526)*1000,""),"")</f>
        <v/>
      </c>
      <c r="H1526" s="139">
        <f>IFERROR(IF(E1526&gt;0,E1526*IF(ISNUMBER(J1526),J1526,IF(OR(C1526="Alpha",B1526="Alpha"),$C$7,IF(C1526="Futures",$C$6,$C$5))),""),"")</f>
        <v/>
      </c>
      <c r="I1526" s="139">
        <f>IFERROR(IF(AND(ISNUMBER(F1526),ISNUMBER(H1526)),F1526-H1526,""),"")</f>
        <v/>
      </c>
      <c r="J1526" s="114" t="n"/>
      <c r="K1526" s="139">
        <f>IFERROR(IF(H1526&gt;0,H1526*IF(OR(C1526="Alpha",B1526="Alpha"),$C$9,$C$8),""),"")</f>
        <v/>
      </c>
      <c r="L1526" s="139">
        <f>IFERROR(IF(ISNUMBER(F1526),F1526-IF(ISNUMBER(K1526),K1526,0),""),"")</f>
        <v/>
      </c>
    </row>
    <row r="1527" ht="24" customHeight="1" s="63">
      <c r="E1527" s="139" t="n"/>
      <c r="F1527" s="139" t="n"/>
      <c r="G1527" s="140">
        <f>IFERROR(IF(E1527&gt;0,(F1527/E1527)*1000,""),"")</f>
        <v/>
      </c>
      <c r="H1527" s="139">
        <f>IFERROR(IF(E1527&gt;0,E1527*IF(ISNUMBER(J1527),J1527,IF(OR(C1527="Alpha",B1527="Alpha"),$C$7,IF(C1527="Futures",$C$6,$C$5))),""),"")</f>
        <v/>
      </c>
      <c r="I1527" s="139">
        <f>IFERROR(IF(AND(ISNUMBER(F1527),ISNUMBER(H1527)),F1527-H1527,""),"")</f>
        <v/>
      </c>
      <c r="J1527" s="114" t="n"/>
      <c r="K1527" s="139">
        <f>IFERROR(IF(H1527&gt;0,H1527*IF(OR(C1527="Alpha",B1527="Alpha"),$C$9,$C$8),""),"")</f>
        <v/>
      </c>
      <c r="L1527" s="139">
        <f>IFERROR(IF(ISNUMBER(F1527),F1527-IF(ISNUMBER(K1527),K1527,0),""),"")</f>
        <v/>
      </c>
    </row>
    <row r="1528" ht="24" customHeight="1" s="63">
      <c r="E1528" s="139" t="n"/>
      <c r="F1528" s="139" t="n"/>
      <c r="G1528" s="140">
        <f>IFERROR(IF(E1528&gt;0,(F1528/E1528)*1000,""),"")</f>
        <v/>
      </c>
      <c r="H1528" s="139">
        <f>IFERROR(IF(E1528&gt;0,E1528*IF(ISNUMBER(J1528),J1528,IF(OR(C1528="Alpha",B1528="Alpha"),$C$7,IF(C1528="Futures",$C$6,$C$5))),""),"")</f>
        <v/>
      </c>
      <c r="I1528" s="139">
        <f>IFERROR(IF(AND(ISNUMBER(F1528),ISNUMBER(H1528)),F1528-H1528,""),"")</f>
        <v/>
      </c>
      <c r="J1528" s="114" t="n"/>
      <c r="K1528" s="139">
        <f>IFERROR(IF(H1528&gt;0,H1528*IF(OR(C1528="Alpha",B1528="Alpha"),$C$9,$C$8),""),"")</f>
        <v/>
      </c>
      <c r="L1528" s="139">
        <f>IFERROR(IF(ISNUMBER(F1528),F1528-IF(ISNUMBER(K1528),K1528,0),""),"")</f>
        <v/>
      </c>
    </row>
    <row r="1529" ht="24" customHeight="1" s="63">
      <c r="E1529" s="139" t="n"/>
      <c r="F1529" s="139" t="n"/>
      <c r="G1529" s="140">
        <f>IFERROR(IF(E1529&gt;0,(F1529/E1529)*1000,""),"")</f>
        <v/>
      </c>
      <c r="H1529" s="139">
        <f>IFERROR(IF(E1529&gt;0,E1529*IF(ISNUMBER(J1529),J1529,IF(OR(C1529="Alpha",B1529="Alpha"),$C$7,IF(C1529="Futures",$C$6,$C$5))),""),"")</f>
        <v/>
      </c>
      <c r="I1529" s="139">
        <f>IFERROR(IF(AND(ISNUMBER(F1529),ISNUMBER(H1529)),F1529-H1529,""),"")</f>
        <v/>
      </c>
      <c r="J1529" s="114" t="n"/>
      <c r="K1529" s="139">
        <f>IFERROR(IF(H1529&gt;0,H1529*IF(OR(C1529="Alpha",B1529="Alpha"),$C$9,$C$8),""),"")</f>
        <v/>
      </c>
      <c r="L1529" s="139">
        <f>IFERROR(IF(ISNUMBER(F1529),F1529-IF(ISNUMBER(K1529),K1529,0),""),"")</f>
        <v/>
      </c>
    </row>
    <row r="1530" ht="24" customHeight="1" s="63">
      <c r="E1530" s="139" t="n"/>
      <c r="F1530" s="139" t="n"/>
      <c r="G1530" s="140">
        <f>IFERROR(IF(E1530&gt;0,(F1530/E1530)*1000,""),"")</f>
        <v/>
      </c>
      <c r="H1530" s="139">
        <f>IFERROR(IF(E1530&gt;0,E1530*IF(ISNUMBER(J1530),J1530,IF(OR(C1530="Alpha",B1530="Alpha"),$C$7,IF(C1530="Futures",$C$6,$C$5))),""),"")</f>
        <v/>
      </c>
      <c r="I1530" s="139">
        <f>IFERROR(IF(AND(ISNUMBER(F1530),ISNUMBER(H1530)),F1530-H1530,""),"")</f>
        <v/>
      </c>
      <c r="J1530" s="114" t="n"/>
      <c r="K1530" s="139">
        <f>IFERROR(IF(H1530&gt;0,H1530*IF(OR(C1530="Alpha",B1530="Alpha"),$C$9,$C$8),""),"")</f>
        <v/>
      </c>
      <c r="L1530" s="139">
        <f>IFERROR(IF(ISNUMBER(F1530),F1530-IF(ISNUMBER(K1530),K1530,0),""),"")</f>
        <v/>
      </c>
    </row>
    <row r="1531" ht="24" customHeight="1" s="63">
      <c r="E1531" s="139" t="n"/>
      <c r="F1531" s="139" t="n"/>
      <c r="G1531" s="140">
        <f>IFERROR(IF(E1531&gt;0,(F1531/E1531)*1000,""),"")</f>
        <v/>
      </c>
      <c r="H1531" s="139">
        <f>IFERROR(IF(E1531&gt;0,E1531*IF(ISNUMBER(J1531),J1531,IF(OR(C1531="Alpha",B1531="Alpha"),$C$7,IF(C1531="Futures",$C$6,$C$5))),""),"")</f>
        <v/>
      </c>
      <c r="I1531" s="139">
        <f>IFERROR(IF(AND(ISNUMBER(F1531),ISNUMBER(H1531)),F1531-H1531,""),"")</f>
        <v/>
      </c>
      <c r="J1531" s="114" t="n"/>
      <c r="K1531" s="139">
        <f>IFERROR(IF(H1531&gt;0,H1531*IF(OR(C1531="Alpha",B1531="Alpha"),$C$9,$C$8),""),"")</f>
        <v/>
      </c>
      <c r="L1531" s="139">
        <f>IFERROR(IF(ISNUMBER(F1531),F1531-IF(ISNUMBER(K1531),K1531,0),""),"")</f>
        <v/>
      </c>
    </row>
    <row r="1532" ht="24" customHeight="1" s="63">
      <c r="E1532" s="139" t="n"/>
      <c r="F1532" s="139" t="n"/>
      <c r="G1532" s="140">
        <f>IFERROR(IF(E1532&gt;0,(F1532/E1532)*1000,""),"")</f>
        <v/>
      </c>
      <c r="H1532" s="139">
        <f>IFERROR(IF(E1532&gt;0,E1532*IF(ISNUMBER(J1532),J1532,IF(OR(C1532="Alpha",B1532="Alpha"),$C$7,IF(C1532="Futures",$C$6,$C$5))),""),"")</f>
        <v/>
      </c>
      <c r="I1532" s="139">
        <f>IFERROR(IF(AND(ISNUMBER(F1532),ISNUMBER(H1532)),F1532-H1532,""),"")</f>
        <v/>
      </c>
      <c r="J1532" s="114" t="n"/>
      <c r="K1532" s="139">
        <f>IFERROR(IF(H1532&gt;0,H1532*IF(OR(C1532="Alpha",B1532="Alpha"),$C$9,$C$8),""),"")</f>
        <v/>
      </c>
      <c r="L1532" s="139">
        <f>IFERROR(IF(ISNUMBER(F1532),F1532-IF(ISNUMBER(K1532),K1532,0),""),"")</f>
        <v/>
      </c>
    </row>
    <row r="1533" ht="24" customHeight="1" s="63">
      <c r="E1533" s="139" t="n"/>
      <c r="F1533" s="139" t="n"/>
      <c r="G1533" s="140">
        <f>IFERROR(IF(E1533&gt;0,(F1533/E1533)*1000,""),"")</f>
        <v/>
      </c>
      <c r="H1533" s="139">
        <f>IFERROR(IF(E1533&gt;0,E1533*IF(ISNUMBER(J1533),J1533,IF(OR(C1533="Alpha",B1533="Alpha"),$C$7,IF(C1533="Futures",$C$6,$C$5))),""),"")</f>
        <v/>
      </c>
      <c r="I1533" s="139">
        <f>IFERROR(IF(AND(ISNUMBER(F1533),ISNUMBER(H1533)),F1533-H1533,""),"")</f>
        <v/>
      </c>
      <c r="J1533" s="114" t="n"/>
      <c r="K1533" s="139">
        <f>IFERROR(IF(H1533&gt;0,H1533*IF(OR(C1533="Alpha",B1533="Alpha"),$C$9,$C$8),""),"")</f>
        <v/>
      </c>
      <c r="L1533" s="139">
        <f>IFERROR(IF(ISNUMBER(F1533),F1533-IF(ISNUMBER(K1533),K1533,0),""),"")</f>
        <v/>
      </c>
    </row>
    <row r="1534" ht="24" customHeight="1" s="63">
      <c r="E1534" s="139" t="n"/>
      <c r="F1534" s="139" t="n"/>
      <c r="G1534" s="140">
        <f>IFERROR(IF(E1534&gt;0,(F1534/E1534)*1000,""),"")</f>
        <v/>
      </c>
      <c r="H1534" s="139">
        <f>IFERROR(IF(E1534&gt;0,E1534*IF(ISNUMBER(J1534),J1534,IF(OR(C1534="Alpha",B1534="Alpha"),$C$7,IF(C1534="Futures",$C$6,$C$5))),""),"")</f>
        <v/>
      </c>
      <c r="I1534" s="139">
        <f>IFERROR(IF(AND(ISNUMBER(F1534),ISNUMBER(H1534)),F1534-H1534,""),"")</f>
        <v/>
      </c>
      <c r="J1534" s="114" t="n"/>
      <c r="K1534" s="139">
        <f>IFERROR(IF(H1534&gt;0,H1534*IF(OR(C1534="Alpha",B1534="Alpha"),$C$9,$C$8),""),"")</f>
        <v/>
      </c>
      <c r="L1534" s="139">
        <f>IFERROR(IF(ISNUMBER(F1534),F1534-IF(ISNUMBER(K1534),K1534,0),""),"")</f>
        <v/>
      </c>
    </row>
    <row r="1535" ht="24" customHeight="1" s="63">
      <c r="E1535" s="139" t="n"/>
      <c r="F1535" s="139" t="n"/>
      <c r="G1535" s="140">
        <f>IFERROR(IF(E1535&gt;0,(F1535/E1535)*1000,""),"")</f>
        <v/>
      </c>
      <c r="H1535" s="139">
        <f>IFERROR(IF(E1535&gt;0,E1535*IF(ISNUMBER(J1535),J1535,IF(OR(C1535="Alpha",B1535="Alpha"),$C$7,IF(C1535="Futures",$C$6,$C$5))),""),"")</f>
        <v/>
      </c>
      <c r="I1535" s="139">
        <f>IFERROR(IF(AND(ISNUMBER(F1535),ISNUMBER(H1535)),F1535-H1535,""),"")</f>
        <v/>
      </c>
      <c r="J1535" s="114" t="n"/>
      <c r="K1535" s="139">
        <f>IFERROR(IF(H1535&gt;0,H1535*IF(OR(C1535="Alpha",B1535="Alpha"),$C$9,$C$8),""),"")</f>
        <v/>
      </c>
      <c r="L1535" s="139">
        <f>IFERROR(IF(ISNUMBER(F1535),F1535-IF(ISNUMBER(K1535),K1535,0),""),"")</f>
        <v/>
      </c>
    </row>
    <row r="1536" ht="24" customHeight="1" s="63">
      <c r="E1536" s="139" t="n"/>
      <c r="F1536" s="139" t="n"/>
      <c r="G1536" s="140">
        <f>IFERROR(IF(E1536&gt;0,(F1536/E1536)*1000,""),"")</f>
        <v/>
      </c>
      <c r="H1536" s="139">
        <f>IFERROR(IF(E1536&gt;0,E1536*IF(ISNUMBER(J1536),J1536,IF(OR(C1536="Alpha",B1536="Alpha"),$C$7,IF(C1536="Futures",$C$6,$C$5))),""),"")</f>
        <v/>
      </c>
      <c r="I1536" s="139">
        <f>IFERROR(IF(AND(ISNUMBER(F1536),ISNUMBER(H1536)),F1536-H1536,""),"")</f>
        <v/>
      </c>
      <c r="J1536" s="114" t="n"/>
      <c r="K1536" s="139">
        <f>IFERROR(IF(H1536&gt;0,H1536*IF(OR(C1536="Alpha",B1536="Alpha"),$C$9,$C$8),""),"")</f>
        <v/>
      </c>
      <c r="L1536" s="139">
        <f>IFERROR(IF(ISNUMBER(F1536),F1536-IF(ISNUMBER(K1536),K1536,0),""),"")</f>
        <v/>
      </c>
    </row>
    <row r="1537" ht="24" customHeight="1" s="63">
      <c r="E1537" s="139" t="n"/>
      <c r="F1537" s="139" t="n"/>
      <c r="G1537" s="140">
        <f>IFERROR(IF(E1537&gt;0,(F1537/E1537)*1000,""),"")</f>
        <v/>
      </c>
      <c r="H1537" s="139">
        <f>IFERROR(IF(E1537&gt;0,E1537*IF(ISNUMBER(J1537),J1537,IF(OR(C1537="Alpha",B1537="Alpha"),$C$7,IF(C1537="Futures",$C$6,$C$5))),""),"")</f>
        <v/>
      </c>
      <c r="I1537" s="139">
        <f>IFERROR(IF(AND(ISNUMBER(F1537),ISNUMBER(H1537)),F1537-H1537,""),"")</f>
        <v/>
      </c>
      <c r="J1537" s="114" t="n"/>
      <c r="K1537" s="139">
        <f>IFERROR(IF(H1537&gt;0,H1537*IF(OR(C1537="Alpha",B1537="Alpha"),$C$9,$C$8),""),"")</f>
        <v/>
      </c>
      <c r="L1537" s="139">
        <f>IFERROR(IF(ISNUMBER(F1537),F1537-IF(ISNUMBER(K1537),K1537,0),""),"")</f>
        <v/>
      </c>
    </row>
    <row r="1538" ht="24" customHeight="1" s="63">
      <c r="E1538" s="139" t="n"/>
      <c r="F1538" s="139" t="n"/>
      <c r="G1538" s="140">
        <f>IFERROR(IF(E1538&gt;0,(F1538/E1538)*1000,""),"")</f>
        <v/>
      </c>
      <c r="H1538" s="139">
        <f>IFERROR(IF(E1538&gt;0,E1538*IF(ISNUMBER(J1538),J1538,IF(OR(C1538="Alpha",B1538="Alpha"),$C$7,IF(C1538="Futures",$C$6,$C$5))),""),"")</f>
        <v/>
      </c>
      <c r="I1538" s="139">
        <f>IFERROR(IF(AND(ISNUMBER(F1538),ISNUMBER(H1538)),F1538-H1538,""),"")</f>
        <v/>
      </c>
      <c r="J1538" s="114" t="n"/>
      <c r="K1538" s="139">
        <f>IFERROR(IF(H1538&gt;0,H1538*IF(OR(C1538="Alpha",B1538="Alpha"),$C$9,$C$8),""),"")</f>
        <v/>
      </c>
      <c r="L1538" s="139">
        <f>IFERROR(IF(ISNUMBER(F1538),F1538-IF(ISNUMBER(K1538),K1538,0),""),"")</f>
        <v/>
      </c>
    </row>
    <row r="1539" ht="24" customHeight="1" s="63">
      <c r="E1539" s="139" t="n"/>
      <c r="F1539" s="139" t="n"/>
      <c r="G1539" s="140">
        <f>IFERROR(IF(E1539&gt;0,(F1539/E1539)*1000,""),"")</f>
        <v/>
      </c>
      <c r="H1539" s="139">
        <f>IFERROR(IF(E1539&gt;0,E1539*IF(ISNUMBER(J1539),J1539,IF(OR(C1539="Alpha",B1539="Alpha"),$C$7,IF(C1539="Futures",$C$6,$C$5))),""),"")</f>
        <v/>
      </c>
      <c r="I1539" s="139">
        <f>IFERROR(IF(AND(ISNUMBER(F1539),ISNUMBER(H1539)),F1539-H1539,""),"")</f>
        <v/>
      </c>
      <c r="J1539" s="114" t="n"/>
      <c r="K1539" s="139">
        <f>IFERROR(IF(H1539&gt;0,H1539*IF(OR(C1539="Alpha",B1539="Alpha"),$C$9,$C$8),""),"")</f>
        <v/>
      </c>
      <c r="L1539" s="139">
        <f>IFERROR(IF(ISNUMBER(F1539),F1539-IF(ISNUMBER(K1539),K1539,0),""),"")</f>
        <v/>
      </c>
    </row>
    <row r="1540" ht="24" customHeight="1" s="63">
      <c r="E1540" s="139" t="n"/>
      <c r="F1540" s="139" t="n"/>
      <c r="G1540" s="140">
        <f>IFERROR(IF(E1540&gt;0,(F1540/E1540)*1000,""),"")</f>
        <v/>
      </c>
      <c r="H1540" s="139">
        <f>IFERROR(IF(E1540&gt;0,E1540*IF(ISNUMBER(J1540),J1540,IF(OR(C1540="Alpha",B1540="Alpha"),$C$7,IF(C1540="Futures",$C$6,$C$5))),""),"")</f>
        <v/>
      </c>
      <c r="I1540" s="139">
        <f>IFERROR(IF(AND(ISNUMBER(F1540),ISNUMBER(H1540)),F1540-H1540,""),"")</f>
        <v/>
      </c>
      <c r="J1540" s="114" t="n"/>
      <c r="K1540" s="139">
        <f>IFERROR(IF(H1540&gt;0,H1540*IF(OR(C1540="Alpha",B1540="Alpha"),$C$9,$C$8),""),"")</f>
        <v/>
      </c>
      <c r="L1540" s="139">
        <f>IFERROR(IF(ISNUMBER(F1540),F1540-IF(ISNUMBER(K1540),K1540,0),""),"")</f>
        <v/>
      </c>
    </row>
    <row r="1541" ht="24" customHeight="1" s="63">
      <c r="E1541" s="139" t="n"/>
      <c r="F1541" s="139" t="n"/>
      <c r="G1541" s="140">
        <f>IFERROR(IF(E1541&gt;0,(F1541/E1541)*1000,""),"")</f>
        <v/>
      </c>
      <c r="H1541" s="139">
        <f>IFERROR(IF(E1541&gt;0,E1541*IF(ISNUMBER(J1541),J1541,IF(OR(C1541="Alpha",B1541="Alpha"),$C$7,IF(C1541="Futures",$C$6,$C$5))),""),"")</f>
        <v/>
      </c>
      <c r="I1541" s="139">
        <f>IFERROR(IF(AND(ISNUMBER(F1541),ISNUMBER(H1541)),F1541-H1541,""),"")</f>
        <v/>
      </c>
      <c r="J1541" s="114" t="n"/>
      <c r="K1541" s="139">
        <f>IFERROR(IF(H1541&gt;0,H1541*IF(OR(C1541="Alpha",B1541="Alpha"),$C$9,$C$8),""),"")</f>
        <v/>
      </c>
      <c r="L1541" s="139">
        <f>IFERROR(IF(ISNUMBER(F1541),F1541-IF(ISNUMBER(K1541),K1541,0),""),"")</f>
        <v/>
      </c>
    </row>
    <row r="1542" ht="24" customHeight="1" s="63">
      <c r="E1542" s="139" t="n"/>
      <c r="F1542" s="139" t="n"/>
      <c r="G1542" s="140">
        <f>IFERROR(IF(E1542&gt;0,(F1542/E1542)*1000,""),"")</f>
        <v/>
      </c>
      <c r="H1542" s="139">
        <f>IFERROR(IF(E1542&gt;0,E1542*IF(ISNUMBER(J1542),J1542,IF(OR(C1542="Alpha",B1542="Alpha"),$C$7,IF(C1542="Futures",$C$6,$C$5))),""),"")</f>
        <v/>
      </c>
      <c r="I1542" s="139">
        <f>IFERROR(IF(AND(ISNUMBER(F1542),ISNUMBER(H1542)),F1542-H1542,""),"")</f>
        <v/>
      </c>
      <c r="J1542" s="114" t="n"/>
      <c r="K1542" s="139">
        <f>IFERROR(IF(H1542&gt;0,H1542*IF(OR(C1542="Alpha",B1542="Alpha"),$C$9,$C$8),""),"")</f>
        <v/>
      </c>
      <c r="L1542" s="139">
        <f>IFERROR(IF(ISNUMBER(F1542),F1542-IF(ISNUMBER(K1542),K1542,0),""),"")</f>
        <v/>
      </c>
    </row>
    <row r="1543" ht="24" customHeight="1" s="63">
      <c r="E1543" s="139" t="n"/>
      <c r="F1543" s="139" t="n"/>
      <c r="G1543" s="140">
        <f>IFERROR(IF(E1543&gt;0,(F1543/E1543)*1000,""),"")</f>
        <v/>
      </c>
      <c r="H1543" s="139">
        <f>IFERROR(IF(E1543&gt;0,E1543*IF(ISNUMBER(J1543),J1543,IF(OR(C1543="Alpha",B1543="Alpha"),$C$7,IF(C1543="Futures",$C$6,$C$5))),""),"")</f>
        <v/>
      </c>
      <c r="I1543" s="139">
        <f>IFERROR(IF(AND(ISNUMBER(F1543),ISNUMBER(H1543)),F1543-H1543,""),"")</f>
        <v/>
      </c>
      <c r="J1543" s="114" t="n"/>
      <c r="K1543" s="139">
        <f>IFERROR(IF(H1543&gt;0,H1543*IF(OR(C1543="Alpha",B1543="Alpha"),$C$9,$C$8),""),"")</f>
        <v/>
      </c>
      <c r="L1543" s="139">
        <f>IFERROR(IF(ISNUMBER(F1543),F1543-IF(ISNUMBER(K1543),K1543,0),""),"")</f>
        <v/>
      </c>
    </row>
    <row r="1544" ht="24" customHeight="1" s="63">
      <c r="E1544" s="139" t="n"/>
      <c r="F1544" s="139" t="n"/>
      <c r="G1544" s="140">
        <f>IFERROR(IF(E1544&gt;0,(F1544/E1544)*1000,""),"")</f>
        <v/>
      </c>
      <c r="H1544" s="139">
        <f>IFERROR(IF(E1544&gt;0,E1544*IF(ISNUMBER(J1544),J1544,IF(OR(C1544="Alpha",B1544="Alpha"),$C$7,IF(C1544="Futures",$C$6,$C$5))),""),"")</f>
        <v/>
      </c>
      <c r="I1544" s="139">
        <f>IFERROR(IF(AND(ISNUMBER(F1544),ISNUMBER(H1544)),F1544-H1544,""),"")</f>
        <v/>
      </c>
      <c r="J1544" s="114" t="n"/>
      <c r="K1544" s="139">
        <f>IFERROR(IF(H1544&gt;0,H1544*IF(OR(C1544="Alpha",B1544="Alpha"),$C$9,$C$8),""),"")</f>
        <v/>
      </c>
      <c r="L1544" s="139">
        <f>IFERROR(IF(ISNUMBER(F1544),F1544-IF(ISNUMBER(K1544),K1544,0),""),"")</f>
        <v/>
      </c>
    </row>
    <row r="1545" ht="24" customHeight="1" s="63">
      <c r="E1545" s="139" t="n"/>
      <c r="F1545" s="139" t="n"/>
      <c r="G1545" s="140">
        <f>IFERROR(IF(E1545&gt;0,(F1545/E1545)*1000,""),"")</f>
        <v/>
      </c>
      <c r="H1545" s="139">
        <f>IFERROR(IF(E1545&gt;0,E1545*IF(ISNUMBER(J1545),J1545,IF(OR(C1545="Alpha",B1545="Alpha"),$C$7,IF(C1545="Futures",$C$6,$C$5))),""),"")</f>
        <v/>
      </c>
      <c r="I1545" s="139">
        <f>IFERROR(IF(AND(ISNUMBER(F1545),ISNUMBER(H1545)),F1545-H1545,""),"")</f>
        <v/>
      </c>
      <c r="J1545" s="114" t="n"/>
      <c r="K1545" s="139">
        <f>IFERROR(IF(H1545&gt;0,H1545*IF(OR(C1545="Alpha",B1545="Alpha"),$C$9,$C$8),""),"")</f>
        <v/>
      </c>
      <c r="L1545" s="139">
        <f>IFERROR(IF(ISNUMBER(F1545),F1545-IF(ISNUMBER(K1545),K1545,0),""),"")</f>
        <v/>
      </c>
    </row>
    <row r="1546" ht="24" customHeight="1" s="63">
      <c r="E1546" s="139" t="n"/>
      <c r="F1546" s="139" t="n"/>
      <c r="G1546" s="140">
        <f>IFERROR(IF(E1546&gt;0,(F1546/E1546)*1000,""),"")</f>
        <v/>
      </c>
      <c r="H1546" s="139">
        <f>IFERROR(IF(E1546&gt;0,E1546*IF(ISNUMBER(J1546),J1546,IF(OR(C1546="Alpha",B1546="Alpha"),$C$7,IF(C1546="Futures",$C$6,$C$5))),""),"")</f>
        <v/>
      </c>
      <c r="I1546" s="139">
        <f>IFERROR(IF(AND(ISNUMBER(F1546),ISNUMBER(H1546)),F1546-H1546,""),"")</f>
        <v/>
      </c>
      <c r="J1546" s="114" t="n"/>
      <c r="K1546" s="139">
        <f>IFERROR(IF(H1546&gt;0,H1546*IF(OR(C1546="Alpha",B1546="Alpha"),$C$9,$C$8),""),"")</f>
        <v/>
      </c>
      <c r="L1546" s="139">
        <f>IFERROR(IF(ISNUMBER(F1546),F1546-IF(ISNUMBER(K1546),K1546,0),""),"")</f>
        <v/>
      </c>
    </row>
    <row r="1547" ht="24" customHeight="1" s="63">
      <c r="E1547" s="139" t="n"/>
      <c r="F1547" s="139" t="n"/>
      <c r="G1547" s="140">
        <f>IFERROR(IF(E1547&gt;0,(F1547/E1547)*1000,""),"")</f>
        <v/>
      </c>
      <c r="H1547" s="139">
        <f>IFERROR(IF(E1547&gt;0,E1547*IF(ISNUMBER(J1547),J1547,IF(OR(C1547="Alpha",B1547="Alpha"),$C$7,IF(C1547="Futures",$C$6,$C$5))),""),"")</f>
        <v/>
      </c>
      <c r="I1547" s="139">
        <f>IFERROR(IF(AND(ISNUMBER(F1547),ISNUMBER(H1547)),F1547-H1547,""),"")</f>
        <v/>
      </c>
      <c r="J1547" s="114" t="n"/>
      <c r="K1547" s="139">
        <f>IFERROR(IF(H1547&gt;0,H1547*IF(OR(C1547="Alpha",B1547="Alpha"),$C$9,$C$8),""),"")</f>
        <v/>
      </c>
      <c r="L1547" s="139">
        <f>IFERROR(IF(ISNUMBER(F1547),F1547-IF(ISNUMBER(K1547),K1547,0),""),"")</f>
        <v/>
      </c>
    </row>
    <row r="1548" ht="24" customHeight="1" s="63">
      <c r="E1548" s="139" t="n"/>
      <c r="F1548" s="139" t="n"/>
      <c r="G1548" s="140">
        <f>IFERROR(IF(E1548&gt;0,(F1548/E1548)*1000,""),"")</f>
        <v/>
      </c>
      <c r="H1548" s="139">
        <f>IFERROR(IF(E1548&gt;0,E1548*IF(ISNUMBER(J1548),J1548,IF(OR(C1548="Alpha",B1548="Alpha"),$C$7,IF(C1548="Futures",$C$6,$C$5))),""),"")</f>
        <v/>
      </c>
      <c r="I1548" s="139">
        <f>IFERROR(IF(AND(ISNUMBER(F1548),ISNUMBER(H1548)),F1548-H1548,""),"")</f>
        <v/>
      </c>
      <c r="J1548" s="114" t="n"/>
      <c r="K1548" s="139">
        <f>IFERROR(IF(H1548&gt;0,H1548*IF(OR(C1548="Alpha",B1548="Alpha"),$C$9,$C$8),""),"")</f>
        <v/>
      </c>
      <c r="L1548" s="139">
        <f>IFERROR(IF(ISNUMBER(F1548),F1548-IF(ISNUMBER(K1548),K1548,0),""),"")</f>
        <v/>
      </c>
    </row>
    <row r="1549" ht="24" customHeight="1" s="63">
      <c r="E1549" s="139" t="n"/>
      <c r="F1549" s="139" t="n"/>
      <c r="G1549" s="140">
        <f>IFERROR(IF(E1549&gt;0,(F1549/E1549)*1000,""),"")</f>
        <v/>
      </c>
      <c r="H1549" s="139">
        <f>IFERROR(IF(E1549&gt;0,E1549*IF(ISNUMBER(J1549),J1549,IF(OR(C1549="Alpha",B1549="Alpha"),$C$7,IF(C1549="Futures",$C$6,$C$5))),""),"")</f>
        <v/>
      </c>
      <c r="I1549" s="139">
        <f>IFERROR(IF(AND(ISNUMBER(F1549),ISNUMBER(H1549)),F1549-H1549,""),"")</f>
        <v/>
      </c>
      <c r="J1549" s="114" t="n"/>
      <c r="K1549" s="139">
        <f>IFERROR(IF(H1549&gt;0,H1549*IF(OR(C1549="Alpha",B1549="Alpha"),$C$9,$C$8),""),"")</f>
        <v/>
      </c>
      <c r="L1549" s="139">
        <f>IFERROR(IF(ISNUMBER(F1549),F1549-IF(ISNUMBER(K1549),K1549,0),""),"")</f>
        <v/>
      </c>
    </row>
    <row r="1550" ht="24" customHeight="1" s="63">
      <c r="E1550" s="139" t="n"/>
      <c r="F1550" s="139" t="n"/>
      <c r="G1550" s="140">
        <f>IFERROR(IF(E1550&gt;0,(F1550/E1550)*1000,""),"")</f>
        <v/>
      </c>
      <c r="H1550" s="139">
        <f>IFERROR(IF(E1550&gt;0,E1550*IF(ISNUMBER(J1550),J1550,IF(OR(C1550="Alpha",B1550="Alpha"),$C$7,IF(C1550="Futures",$C$6,$C$5))),""),"")</f>
        <v/>
      </c>
      <c r="I1550" s="139">
        <f>IFERROR(IF(AND(ISNUMBER(F1550),ISNUMBER(H1550)),F1550-H1550,""),"")</f>
        <v/>
      </c>
      <c r="J1550" s="114" t="n"/>
      <c r="K1550" s="139">
        <f>IFERROR(IF(H1550&gt;0,H1550*IF(OR(C1550="Alpha",B1550="Alpha"),$C$9,$C$8),""),"")</f>
        <v/>
      </c>
      <c r="L1550" s="139">
        <f>IFERROR(IF(ISNUMBER(F1550),F1550-IF(ISNUMBER(K1550),K1550,0),""),"")</f>
        <v/>
      </c>
    </row>
    <row r="1551" ht="24" customHeight="1" s="63">
      <c r="E1551" s="139" t="n"/>
      <c r="F1551" s="139" t="n"/>
      <c r="G1551" s="140">
        <f>IFERROR(IF(E1551&gt;0,(F1551/E1551)*1000,""),"")</f>
        <v/>
      </c>
      <c r="H1551" s="139">
        <f>IFERROR(IF(E1551&gt;0,E1551*IF(ISNUMBER(J1551),J1551,IF(OR(C1551="Alpha",B1551="Alpha"),$C$7,IF(C1551="Futures",$C$6,$C$5))),""),"")</f>
        <v/>
      </c>
      <c r="I1551" s="139">
        <f>IFERROR(IF(AND(ISNUMBER(F1551),ISNUMBER(H1551)),F1551-H1551,""),"")</f>
        <v/>
      </c>
      <c r="J1551" s="114" t="n"/>
      <c r="K1551" s="139">
        <f>IFERROR(IF(H1551&gt;0,H1551*IF(OR(C1551="Alpha",B1551="Alpha"),$C$9,$C$8),""),"")</f>
        <v/>
      </c>
      <c r="L1551" s="139">
        <f>IFERROR(IF(ISNUMBER(F1551),F1551-IF(ISNUMBER(K1551),K1551,0),""),"")</f>
        <v/>
      </c>
    </row>
    <row r="1552" ht="24" customHeight="1" s="63">
      <c r="E1552" s="139" t="n"/>
      <c r="F1552" s="139" t="n"/>
      <c r="G1552" s="140">
        <f>IFERROR(IF(E1552&gt;0,(F1552/E1552)*1000,""),"")</f>
        <v/>
      </c>
      <c r="H1552" s="139">
        <f>IFERROR(IF(E1552&gt;0,E1552*IF(ISNUMBER(J1552),J1552,IF(OR(C1552="Alpha",B1552="Alpha"),$C$7,IF(C1552="Futures",$C$6,$C$5))),""),"")</f>
        <v/>
      </c>
      <c r="I1552" s="139">
        <f>IFERROR(IF(AND(ISNUMBER(F1552),ISNUMBER(H1552)),F1552-H1552,""),"")</f>
        <v/>
      </c>
      <c r="J1552" s="114" t="n"/>
      <c r="K1552" s="139">
        <f>IFERROR(IF(H1552&gt;0,H1552*IF(OR(C1552="Alpha",B1552="Alpha"),$C$9,$C$8),""),"")</f>
        <v/>
      </c>
      <c r="L1552" s="139">
        <f>IFERROR(IF(ISNUMBER(F1552),F1552-IF(ISNUMBER(K1552),K1552,0),""),"")</f>
        <v/>
      </c>
    </row>
    <row r="1553" ht="24" customHeight="1" s="63">
      <c r="E1553" s="139" t="n"/>
      <c r="F1553" s="139" t="n"/>
      <c r="G1553" s="140">
        <f>IFERROR(IF(E1553&gt;0,(F1553/E1553)*1000,""),"")</f>
        <v/>
      </c>
      <c r="H1553" s="139">
        <f>IFERROR(IF(E1553&gt;0,E1553*IF(ISNUMBER(J1553),J1553,IF(OR(C1553="Alpha",B1553="Alpha"),$C$7,IF(C1553="Futures",$C$6,$C$5))),""),"")</f>
        <v/>
      </c>
      <c r="I1553" s="139">
        <f>IFERROR(IF(AND(ISNUMBER(F1553),ISNUMBER(H1553)),F1553-H1553,""),"")</f>
        <v/>
      </c>
      <c r="J1553" s="114" t="n"/>
      <c r="K1553" s="139">
        <f>IFERROR(IF(H1553&gt;0,H1553*IF(OR(C1553="Alpha",B1553="Alpha"),$C$9,$C$8),""),"")</f>
        <v/>
      </c>
      <c r="L1553" s="139">
        <f>IFERROR(IF(ISNUMBER(F1553),F1553-IF(ISNUMBER(K1553),K1553,0),""),"")</f>
        <v/>
      </c>
    </row>
    <row r="1554" ht="24" customHeight="1" s="63">
      <c r="E1554" s="139" t="n"/>
      <c r="F1554" s="139" t="n"/>
      <c r="G1554" s="140">
        <f>IFERROR(IF(E1554&gt;0,(F1554/E1554)*1000,""),"")</f>
        <v/>
      </c>
      <c r="H1554" s="139">
        <f>IFERROR(IF(E1554&gt;0,E1554*IF(ISNUMBER(J1554),J1554,IF(OR(C1554="Alpha",B1554="Alpha"),$C$7,IF(C1554="Futures",$C$6,$C$5))),""),"")</f>
        <v/>
      </c>
      <c r="I1554" s="139">
        <f>IFERROR(IF(AND(ISNUMBER(F1554),ISNUMBER(H1554)),F1554-H1554,""),"")</f>
        <v/>
      </c>
      <c r="J1554" s="114" t="n"/>
      <c r="K1554" s="139">
        <f>IFERROR(IF(H1554&gt;0,H1554*IF(OR(C1554="Alpha",B1554="Alpha"),$C$9,$C$8),""),"")</f>
        <v/>
      </c>
      <c r="L1554" s="139">
        <f>IFERROR(IF(ISNUMBER(F1554),F1554-IF(ISNUMBER(K1554),K1554,0),""),"")</f>
        <v/>
      </c>
    </row>
    <row r="1555" ht="24" customHeight="1" s="63">
      <c r="E1555" s="139" t="n"/>
      <c r="F1555" s="139" t="n"/>
      <c r="G1555" s="140">
        <f>IFERROR(IF(E1555&gt;0,(F1555/E1555)*1000,""),"")</f>
        <v/>
      </c>
      <c r="H1555" s="139">
        <f>IFERROR(IF(E1555&gt;0,E1555*IF(ISNUMBER(J1555),J1555,IF(OR(C1555="Alpha",B1555="Alpha"),$C$7,IF(C1555="Futures",$C$6,$C$5))),""),"")</f>
        <v/>
      </c>
      <c r="I1555" s="139">
        <f>IFERROR(IF(AND(ISNUMBER(F1555),ISNUMBER(H1555)),F1555-H1555,""),"")</f>
        <v/>
      </c>
      <c r="J1555" s="114" t="n"/>
      <c r="K1555" s="139">
        <f>IFERROR(IF(H1555&gt;0,H1555*IF(OR(C1555="Alpha",B1555="Alpha"),$C$9,$C$8),""),"")</f>
        <v/>
      </c>
      <c r="L1555" s="139">
        <f>IFERROR(IF(ISNUMBER(F1555),F1555-IF(ISNUMBER(K1555),K1555,0),""),"")</f>
        <v/>
      </c>
    </row>
    <row r="1556" ht="24" customHeight="1" s="63">
      <c r="E1556" s="139" t="n"/>
      <c r="F1556" s="139" t="n"/>
      <c r="G1556" s="140">
        <f>IFERROR(IF(E1556&gt;0,(F1556/E1556)*1000,""),"")</f>
        <v/>
      </c>
      <c r="H1556" s="139">
        <f>IFERROR(IF(E1556&gt;0,E1556*IF(ISNUMBER(J1556),J1556,IF(OR(C1556="Alpha",B1556="Alpha"),$C$7,IF(C1556="Futures",$C$6,$C$5))),""),"")</f>
        <v/>
      </c>
      <c r="I1556" s="139">
        <f>IFERROR(IF(AND(ISNUMBER(F1556),ISNUMBER(H1556)),F1556-H1556,""),"")</f>
        <v/>
      </c>
      <c r="J1556" s="114" t="n"/>
      <c r="K1556" s="139">
        <f>IFERROR(IF(H1556&gt;0,H1556*IF(OR(C1556="Alpha",B1556="Alpha"),$C$9,$C$8),""),"")</f>
        <v/>
      </c>
      <c r="L1556" s="139">
        <f>IFERROR(IF(ISNUMBER(F1556),F1556-IF(ISNUMBER(K1556),K1556,0),""),"")</f>
        <v/>
      </c>
    </row>
    <row r="1557" ht="24" customHeight="1" s="63">
      <c r="E1557" s="139" t="n"/>
      <c r="F1557" s="139" t="n"/>
      <c r="G1557" s="140">
        <f>IFERROR(IF(E1557&gt;0,(F1557/E1557)*1000,""),"")</f>
        <v/>
      </c>
      <c r="H1557" s="139">
        <f>IFERROR(IF(E1557&gt;0,E1557*IF(ISNUMBER(J1557),J1557,IF(OR(C1557="Alpha",B1557="Alpha"),$C$7,IF(C1557="Futures",$C$6,$C$5))),""),"")</f>
        <v/>
      </c>
      <c r="I1557" s="139">
        <f>IFERROR(IF(AND(ISNUMBER(F1557),ISNUMBER(H1557)),F1557-H1557,""),"")</f>
        <v/>
      </c>
      <c r="J1557" s="114" t="n"/>
      <c r="K1557" s="139">
        <f>IFERROR(IF(H1557&gt;0,H1557*IF(OR(C1557="Alpha",B1557="Alpha"),$C$9,$C$8),""),"")</f>
        <v/>
      </c>
      <c r="L1557" s="139">
        <f>IFERROR(IF(ISNUMBER(F1557),F1557-IF(ISNUMBER(K1557),K1557,0),""),"")</f>
        <v/>
      </c>
    </row>
    <row r="1558" ht="24" customHeight="1" s="63">
      <c r="E1558" s="139" t="n"/>
      <c r="F1558" s="139" t="n"/>
      <c r="G1558" s="140">
        <f>IFERROR(IF(E1558&gt;0,(F1558/E1558)*1000,""),"")</f>
        <v/>
      </c>
      <c r="H1558" s="139">
        <f>IFERROR(IF(E1558&gt;0,E1558*IF(ISNUMBER(J1558),J1558,IF(OR(C1558="Alpha",B1558="Alpha"),$C$7,IF(C1558="Futures",$C$6,$C$5))),""),"")</f>
        <v/>
      </c>
      <c r="I1558" s="139">
        <f>IFERROR(IF(AND(ISNUMBER(F1558),ISNUMBER(H1558)),F1558-H1558,""),"")</f>
        <v/>
      </c>
      <c r="J1558" s="114" t="n"/>
      <c r="K1558" s="139">
        <f>IFERROR(IF(H1558&gt;0,H1558*IF(OR(C1558="Alpha",B1558="Alpha"),$C$9,$C$8),""),"")</f>
        <v/>
      </c>
      <c r="L1558" s="139">
        <f>IFERROR(IF(ISNUMBER(F1558),F1558-IF(ISNUMBER(K1558),K1558,0),""),"")</f>
        <v/>
      </c>
    </row>
    <row r="1559" ht="24" customHeight="1" s="63">
      <c r="E1559" s="139" t="n"/>
      <c r="F1559" s="139" t="n"/>
      <c r="G1559" s="140">
        <f>IFERROR(IF(E1559&gt;0,(F1559/E1559)*1000,""),"")</f>
        <v/>
      </c>
      <c r="H1559" s="139">
        <f>IFERROR(IF(E1559&gt;0,E1559*IF(ISNUMBER(J1559),J1559,IF(OR(C1559="Alpha",B1559="Alpha"),$C$7,IF(C1559="Futures",$C$6,$C$5))),""),"")</f>
        <v/>
      </c>
      <c r="I1559" s="139">
        <f>IFERROR(IF(AND(ISNUMBER(F1559),ISNUMBER(H1559)),F1559-H1559,""),"")</f>
        <v/>
      </c>
      <c r="J1559" s="114" t="n"/>
      <c r="K1559" s="139">
        <f>IFERROR(IF(H1559&gt;0,H1559*IF(OR(C1559="Alpha",B1559="Alpha"),$C$9,$C$8),""),"")</f>
        <v/>
      </c>
      <c r="L1559" s="139">
        <f>IFERROR(IF(ISNUMBER(F1559),F1559-IF(ISNUMBER(K1559),K1559,0),""),"")</f>
        <v/>
      </c>
    </row>
    <row r="1560" ht="24" customHeight="1" s="63">
      <c r="E1560" s="139" t="n"/>
      <c r="F1560" s="139" t="n"/>
      <c r="G1560" s="140">
        <f>IFERROR(IF(E1560&gt;0,(F1560/E1560)*1000,""),"")</f>
        <v/>
      </c>
      <c r="H1560" s="139">
        <f>IFERROR(IF(E1560&gt;0,E1560*IF(ISNUMBER(J1560),J1560,IF(OR(C1560="Alpha",B1560="Alpha"),$C$7,IF(C1560="Futures",$C$6,$C$5))),""),"")</f>
        <v/>
      </c>
      <c r="I1560" s="139">
        <f>IFERROR(IF(AND(ISNUMBER(F1560),ISNUMBER(H1560)),F1560-H1560,""),"")</f>
        <v/>
      </c>
      <c r="J1560" s="114" t="n"/>
      <c r="K1560" s="139">
        <f>IFERROR(IF(H1560&gt;0,H1560*IF(OR(C1560="Alpha",B1560="Alpha"),$C$9,$C$8),""),"")</f>
        <v/>
      </c>
      <c r="L1560" s="139">
        <f>IFERROR(IF(ISNUMBER(F1560),F1560-IF(ISNUMBER(K1560),K1560,0),""),"")</f>
        <v/>
      </c>
    </row>
    <row r="1561" ht="24" customHeight="1" s="63">
      <c r="E1561" s="139" t="n"/>
      <c r="F1561" s="139" t="n"/>
      <c r="G1561" s="140">
        <f>IFERROR(IF(E1561&gt;0,(F1561/E1561)*1000,""),"")</f>
        <v/>
      </c>
      <c r="H1561" s="139">
        <f>IFERROR(IF(E1561&gt;0,E1561*IF(ISNUMBER(J1561),J1561,IF(OR(C1561="Alpha",B1561="Alpha"),$C$7,IF(C1561="Futures",$C$6,$C$5))),""),"")</f>
        <v/>
      </c>
      <c r="I1561" s="139">
        <f>IFERROR(IF(AND(ISNUMBER(F1561),ISNUMBER(H1561)),F1561-H1561,""),"")</f>
        <v/>
      </c>
      <c r="J1561" s="114" t="n"/>
      <c r="K1561" s="139">
        <f>IFERROR(IF(H1561&gt;0,H1561*IF(OR(C1561="Alpha",B1561="Alpha"),$C$9,$C$8),""),"")</f>
        <v/>
      </c>
      <c r="L1561" s="139">
        <f>IFERROR(IF(ISNUMBER(F1561),F1561-IF(ISNUMBER(K1561),K1561,0),""),"")</f>
        <v/>
      </c>
    </row>
    <row r="1562" ht="24" customHeight="1" s="63">
      <c r="E1562" s="139" t="n"/>
      <c r="F1562" s="139" t="n"/>
      <c r="G1562" s="140">
        <f>IFERROR(IF(E1562&gt;0,(F1562/E1562)*1000,""),"")</f>
        <v/>
      </c>
      <c r="H1562" s="139">
        <f>IFERROR(IF(E1562&gt;0,E1562*IF(ISNUMBER(J1562),J1562,IF(OR(C1562="Alpha",B1562="Alpha"),$C$7,IF(C1562="Futures",$C$6,$C$5))),""),"")</f>
        <v/>
      </c>
      <c r="I1562" s="139">
        <f>IFERROR(IF(AND(ISNUMBER(F1562),ISNUMBER(H1562)),F1562-H1562,""),"")</f>
        <v/>
      </c>
      <c r="J1562" s="114" t="n"/>
      <c r="K1562" s="139">
        <f>IFERROR(IF(H1562&gt;0,H1562*IF(OR(C1562="Alpha",B1562="Alpha"),$C$9,$C$8),""),"")</f>
        <v/>
      </c>
      <c r="L1562" s="139">
        <f>IFERROR(IF(ISNUMBER(F1562),F1562-IF(ISNUMBER(K1562),K1562,0),""),"")</f>
        <v/>
      </c>
    </row>
    <row r="1563" ht="24" customHeight="1" s="63">
      <c r="E1563" s="139" t="n"/>
      <c r="F1563" s="139" t="n"/>
      <c r="G1563" s="140">
        <f>IFERROR(IF(E1563&gt;0,(F1563/E1563)*1000,""),"")</f>
        <v/>
      </c>
      <c r="H1563" s="139">
        <f>IFERROR(IF(E1563&gt;0,E1563*IF(ISNUMBER(J1563),J1563,IF(OR(C1563="Alpha",B1563="Alpha"),$C$7,IF(C1563="Futures",$C$6,$C$5))),""),"")</f>
        <v/>
      </c>
      <c r="I1563" s="139">
        <f>IFERROR(IF(AND(ISNUMBER(F1563),ISNUMBER(H1563)),F1563-H1563,""),"")</f>
        <v/>
      </c>
      <c r="J1563" s="114" t="n"/>
      <c r="K1563" s="139">
        <f>IFERROR(IF(H1563&gt;0,H1563*IF(OR(C1563="Alpha",B1563="Alpha"),$C$9,$C$8),""),"")</f>
        <v/>
      </c>
      <c r="L1563" s="139">
        <f>IFERROR(IF(ISNUMBER(F1563),F1563-IF(ISNUMBER(K1563),K1563,0),""),"")</f>
        <v/>
      </c>
    </row>
    <row r="1564" ht="24" customHeight="1" s="63">
      <c r="E1564" s="139" t="n"/>
      <c r="F1564" s="139" t="n"/>
      <c r="G1564" s="140">
        <f>IFERROR(IF(E1564&gt;0,(F1564/E1564)*1000,""),"")</f>
        <v/>
      </c>
      <c r="H1564" s="139">
        <f>IFERROR(IF(E1564&gt;0,E1564*IF(ISNUMBER(J1564),J1564,IF(OR(C1564="Alpha",B1564="Alpha"),$C$7,IF(C1564="Futures",$C$6,$C$5))),""),"")</f>
        <v/>
      </c>
      <c r="I1564" s="139">
        <f>IFERROR(IF(AND(ISNUMBER(F1564),ISNUMBER(H1564)),F1564-H1564,""),"")</f>
        <v/>
      </c>
      <c r="J1564" s="114" t="n"/>
      <c r="K1564" s="139">
        <f>IFERROR(IF(H1564&gt;0,H1564*IF(OR(C1564="Alpha",B1564="Alpha"),$C$9,$C$8),""),"")</f>
        <v/>
      </c>
      <c r="L1564" s="139">
        <f>IFERROR(IF(ISNUMBER(F1564),F1564-IF(ISNUMBER(K1564),K1564,0),""),"")</f>
        <v/>
      </c>
    </row>
    <row r="1565" ht="24" customHeight="1" s="63">
      <c r="E1565" s="139" t="n"/>
      <c r="F1565" s="139" t="n"/>
      <c r="G1565" s="140">
        <f>IFERROR(IF(E1565&gt;0,(F1565/E1565)*1000,""),"")</f>
        <v/>
      </c>
      <c r="H1565" s="139">
        <f>IFERROR(IF(E1565&gt;0,E1565*IF(ISNUMBER(J1565),J1565,IF(OR(C1565="Alpha",B1565="Alpha"),$C$7,IF(C1565="Futures",$C$6,$C$5))),""),"")</f>
        <v/>
      </c>
      <c r="I1565" s="139">
        <f>IFERROR(IF(AND(ISNUMBER(F1565),ISNUMBER(H1565)),F1565-H1565,""),"")</f>
        <v/>
      </c>
      <c r="J1565" s="114" t="n"/>
      <c r="K1565" s="139">
        <f>IFERROR(IF(H1565&gt;0,H1565*IF(OR(C1565="Alpha",B1565="Alpha"),$C$9,$C$8),""),"")</f>
        <v/>
      </c>
      <c r="L1565" s="139">
        <f>IFERROR(IF(ISNUMBER(F1565),F1565-IF(ISNUMBER(K1565),K1565,0),""),"")</f>
        <v/>
      </c>
    </row>
    <row r="1566" ht="24" customHeight="1" s="63">
      <c r="E1566" s="139" t="n"/>
      <c r="F1566" s="139" t="n"/>
      <c r="G1566" s="140">
        <f>IFERROR(IF(E1566&gt;0,(F1566/E1566)*1000,""),"")</f>
        <v/>
      </c>
      <c r="H1566" s="139">
        <f>IFERROR(IF(E1566&gt;0,E1566*IF(ISNUMBER(J1566),J1566,IF(OR(C1566="Alpha",B1566="Alpha"),$C$7,IF(C1566="Futures",$C$6,$C$5))),""),"")</f>
        <v/>
      </c>
      <c r="I1566" s="139">
        <f>IFERROR(IF(AND(ISNUMBER(F1566),ISNUMBER(H1566)),F1566-H1566,""),"")</f>
        <v/>
      </c>
      <c r="J1566" s="114" t="n"/>
      <c r="K1566" s="139">
        <f>IFERROR(IF(H1566&gt;0,H1566*IF(OR(C1566="Alpha",B1566="Alpha"),$C$9,$C$8),""),"")</f>
        <v/>
      </c>
      <c r="L1566" s="139">
        <f>IFERROR(IF(ISNUMBER(F1566),F1566-IF(ISNUMBER(K1566),K1566,0),""),"")</f>
        <v/>
      </c>
    </row>
    <row r="1567" ht="24" customHeight="1" s="63">
      <c r="E1567" s="139" t="n"/>
      <c r="F1567" s="139" t="n"/>
      <c r="G1567" s="140">
        <f>IFERROR(IF(E1567&gt;0,(F1567/E1567)*1000,""),"")</f>
        <v/>
      </c>
      <c r="H1567" s="139">
        <f>IFERROR(IF(E1567&gt;0,E1567*IF(ISNUMBER(J1567),J1567,IF(OR(C1567="Alpha",B1567="Alpha"),$C$7,IF(C1567="Futures",$C$6,$C$5))),""),"")</f>
        <v/>
      </c>
      <c r="I1567" s="139">
        <f>IFERROR(IF(AND(ISNUMBER(F1567),ISNUMBER(H1567)),F1567-H1567,""),"")</f>
        <v/>
      </c>
      <c r="J1567" s="114" t="n"/>
      <c r="K1567" s="139">
        <f>IFERROR(IF(H1567&gt;0,H1567*IF(OR(C1567="Alpha",B1567="Alpha"),$C$9,$C$8),""),"")</f>
        <v/>
      </c>
      <c r="L1567" s="139">
        <f>IFERROR(IF(ISNUMBER(F1567),F1567-IF(ISNUMBER(K1567),K1567,0),""),"")</f>
        <v/>
      </c>
    </row>
    <row r="1568" ht="24" customHeight="1" s="63">
      <c r="E1568" s="139" t="n"/>
      <c r="F1568" s="139" t="n"/>
      <c r="G1568" s="140">
        <f>IFERROR(IF(E1568&gt;0,(F1568/E1568)*1000,""),"")</f>
        <v/>
      </c>
      <c r="H1568" s="139">
        <f>IFERROR(IF(E1568&gt;0,E1568*IF(ISNUMBER(J1568),J1568,IF(OR(C1568="Alpha",B1568="Alpha"),$C$7,IF(C1568="Futures",$C$6,$C$5))),""),"")</f>
        <v/>
      </c>
      <c r="I1568" s="139">
        <f>IFERROR(IF(AND(ISNUMBER(F1568),ISNUMBER(H1568)),F1568-H1568,""),"")</f>
        <v/>
      </c>
      <c r="J1568" s="114" t="n"/>
      <c r="K1568" s="139">
        <f>IFERROR(IF(H1568&gt;0,H1568*IF(OR(C1568="Alpha",B1568="Alpha"),$C$9,$C$8),""),"")</f>
        <v/>
      </c>
      <c r="L1568" s="139">
        <f>IFERROR(IF(ISNUMBER(F1568),F1568-IF(ISNUMBER(K1568),K1568,0),""),"")</f>
        <v/>
      </c>
    </row>
    <row r="1569" ht="24" customHeight="1" s="63">
      <c r="E1569" s="139" t="n"/>
      <c r="F1569" s="139" t="n"/>
      <c r="G1569" s="140">
        <f>IFERROR(IF(E1569&gt;0,(F1569/E1569)*1000,""),"")</f>
        <v/>
      </c>
      <c r="H1569" s="139">
        <f>IFERROR(IF(E1569&gt;0,E1569*IF(ISNUMBER(J1569),J1569,IF(OR(C1569="Alpha",B1569="Alpha"),$C$7,IF(C1569="Futures",$C$6,$C$5))),""),"")</f>
        <v/>
      </c>
      <c r="I1569" s="139">
        <f>IFERROR(IF(AND(ISNUMBER(F1569),ISNUMBER(H1569)),F1569-H1569,""),"")</f>
        <v/>
      </c>
      <c r="J1569" s="114" t="n"/>
      <c r="K1569" s="139">
        <f>IFERROR(IF(H1569&gt;0,H1569*IF(OR(C1569="Alpha",B1569="Alpha"),$C$9,$C$8),""),"")</f>
        <v/>
      </c>
      <c r="L1569" s="139">
        <f>IFERROR(IF(ISNUMBER(F1569),F1569-IF(ISNUMBER(K1569),K1569,0),""),"")</f>
        <v/>
      </c>
    </row>
    <row r="1570" ht="24" customHeight="1" s="63">
      <c r="E1570" s="139" t="n"/>
      <c r="F1570" s="139" t="n"/>
      <c r="G1570" s="140">
        <f>IFERROR(IF(E1570&gt;0,(F1570/E1570)*1000,""),"")</f>
        <v/>
      </c>
      <c r="H1570" s="139">
        <f>IFERROR(IF(E1570&gt;0,E1570*IF(ISNUMBER(J1570),J1570,IF(OR(C1570="Alpha",B1570="Alpha"),$C$7,IF(C1570="Futures",$C$6,$C$5))),""),"")</f>
        <v/>
      </c>
      <c r="I1570" s="139">
        <f>IFERROR(IF(AND(ISNUMBER(F1570),ISNUMBER(H1570)),F1570-H1570,""),"")</f>
        <v/>
      </c>
      <c r="J1570" s="114" t="n"/>
      <c r="K1570" s="139">
        <f>IFERROR(IF(H1570&gt;0,H1570*IF(OR(C1570="Alpha",B1570="Alpha"),$C$9,$C$8),""),"")</f>
        <v/>
      </c>
      <c r="L1570" s="139">
        <f>IFERROR(IF(ISNUMBER(F1570),F1570-IF(ISNUMBER(K1570),K1570,0),""),"")</f>
        <v/>
      </c>
    </row>
    <row r="1571" ht="24" customHeight="1" s="63">
      <c r="E1571" s="139" t="n"/>
      <c r="F1571" s="139" t="n"/>
      <c r="G1571" s="140">
        <f>IFERROR(IF(E1571&gt;0,(F1571/E1571)*1000,""),"")</f>
        <v/>
      </c>
      <c r="H1571" s="139">
        <f>IFERROR(IF(E1571&gt;0,E1571*IF(ISNUMBER(J1571),J1571,IF(OR(C1571="Alpha",B1571="Alpha"),$C$7,IF(C1571="Futures",$C$6,$C$5))),""),"")</f>
        <v/>
      </c>
      <c r="I1571" s="139">
        <f>IFERROR(IF(AND(ISNUMBER(F1571),ISNUMBER(H1571)),F1571-H1571,""),"")</f>
        <v/>
      </c>
      <c r="J1571" s="114" t="n"/>
      <c r="K1571" s="139">
        <f>IFERROR(IF(H1571&gt;0,H1571*IF(OR(C1571="Alpha",B1571="Alpha"),$C$9,$C$8),""),"")</f>
        <v/>
      </c>
      <c r="L1571" s="139">
        <f>IFERROR(IF(ISNUMBER(F1571),F1571-IF(ISNUMBER(K1571),K1571,0),""),"")</f>
        <v/>
      </c>
    </row>
    <row r="1572" ht="24" customHeight="1" s="63">
      <c r="E1572" s="139" t="n"/>
      <c r="F1572" s="139" t="n"/>
      <c r="G1572" s="140">
        <f>IFERROR(IF(E1572&gt;0,(F1572/E1572)*1000,""),"")</f>
        <v/>
      </c>
      <c r="H1572" s="139">
        <f>IFERROR(IF(E1572&gt;0,E1572*IF(ISNUMBER(J1572),J1572,IF(OR(C1572="Alpha",B1572="Alpha"),$C$7,IF(C1572="Futures",$C$6,$C$5))),""),"")</f>
        <v/>
      </c>
      <c r="I1572" s="139">
        <f>IFERROR(IF(AND(ISNUMBER(F1572),ISNUMBER(H1572)),F1572-H1572,""),"")</f>
        <v/>
      </c>
      <c r="J1572" s="114" t="n"/>
      <c r="K1572" s="139">
        <f>IFERROR(IF(H1572&gt;0,H1572*IF(OR(C1572="Alpha",B1572="Alpha"),$C$9,$C$8),""),"")</f>
        <v/>
      </c>
      <c r="L1572" s="139">
        <f>IFERROR(IF(ISNUMBER(F1572),F1572-IF(ISNUMBER(K1572),K1572,0),""),"")</f>
        <v/>
      </c>
    </row>
    <row r="1573" ht="24" customHeight="1" s="63">
      <c r="E1573" s="139" t="n"/>
      <c r="F1573" s="139" t="n"/>
      <c r="G1573" s="140">
        <f>IFERROR(IF(E1573&gt;0,(F1573/E1573)*1000,""),"")</f>
        <v/>
      </c>
      <c r="H1573" s="139">
        <f>IFERROR(IF(E1573&gt;0,E1573*IF(ISNUMBER(J1573),J1573,IF(OR(C1573="Alpha",B1573="Alpha"),$C$7,IF(C1573="Futures",$C$6,$C$5))),""),"")</f>
        <v/>
      </c>
      <c r="I1573" s="139">
        <f>IFERROR(IF(AND(ISNUMBER(F1573),ISNUMBER(H1573)),F1573-H1573,""),"")</f>
        <v/>
      </c>
      <c r="J1573" s="114" t="n"/>
      <c r="K1573" s="139">
        <f>IFERROR(IF(H1573&gt;0,H1573*IF(OR(C1573="Alpha",B1573="Alpha"),$C$9,$C$8),""),"")</f>
        <v/>
      </c>
      <c r="L1573" s="139">
        <f>IFERROR(IF(ISNUMBER(F1573),F1573-IF(ISNUMBER(K1573),K1573,0),""),"")</f>
        <v/>
      </c>
    </row>
    <row r="1574" ht="24" customHeight="1" s="63">
      <c r="E1574" s="139" t="n"/>
      <c r="F1574" s="139" t="n"/>
      <c r="G1574" s="140">
        <f>IFERROR(IF(E1574&gt;0,(F1574/E1574)*1000,""),"")</f>
        <v/>
      </c>
      <c r="H1574" s="139">
        <f>IFERROR(IF(E1574&gt;0,E1574*IF(ISNUMBER(J1574),J1574,IF(OR(C1574="Alpha",B1574="Alpha"),$C$7,IF(C1574="Futures",$C$6,$C$5))),""),"")</f>
        <v/>
      </c>
      <c r="I1574" s="139">
        <f>IFERROR(IF(AND(ISNUMBER(F1574),ISNUMBER(H1574)),F1574-H1574,""),"")</f>
        <v/>
      </c>
      <c r="J1574" s="114" t="n"/>
      <c r="K1574" s="139">
        <f>IFERROR(IF(H1574&gt;0,H1574*IF(OR(C1574="Alpha",B1574="Alpha"),$C$9,$C$8),""),"")</f>
        <v/>
      </c>
      <c r="L1574" s="139">
        <f>IFERROR(IF(ISNUMBER(F1574),F1574-IF(ISNUMBER(K1574),K1574,0),""),"")</f>
        <v/>
      </c>
    </row>
    <row r="1575" ht="24" customHeight="1" s="63">
      <c r="E1575" s="139" t="n"/>
      <c r="F1575" s="139" t="n"/>
      <c r="G1575" s="140">
        <f>IFERROR(IF(E1575&gt;0,(F1575/E1575)*1000,""),"")</f>
        <v/>
      </c>
      <c r="H1575" s="139">
        <f>IFERROR(IF(E1575&gt;0,E1575*IF(ISNUMBER(J1575),J1575,IF(OR(C1575="Alpha",B1575="Alpha"),$C$7,IF(C1575="Futures",$C$6,$C$5))),""),"")</f>
        <v/>
      </c>
      <c r="I1575" s="139">
        <f>IFERROR(IF(AND(ISNUMBER(F1575),ISNUMBER(H1575)),F1575-H1575,""),"")</f>
        <v/>
      </c>
      <c r="J1575" s="114" t="n"/>
      <c r="K1575" s="139">
        <f>IFERROR(IF(H1575&gt;0,H1575*IF(OR(C1575="Alpha",B1575="Alpha"),$C$9,$C$8),""),"")</f>
        <v/>
      </c>
      <c r="L1575" s="139">
        <f>IFERROR(IF(ISNUMBER(F1575),F1575-IF(ISNUMBER(K1575),K1575,0),""),"")</f>
        <v/>
      </c>
    </row>
    <row r="1576" ht="24" customHeight="1" s="63">
      <c r="E1576" s="139" t="n"/>
      <c r="F1576" s="139" t="n"/>
      <c r="G1576" s="140">
        <f>IFERROR(IF(E1576&gt;0,(F1576/E1576)*1000,""),"")</f>
        <v/>
      </c>
      <c r="H1576" s="139">
        <f>IFERROR(IF(E1576&gt;0,E1576*IF(ISNUMBER(J1576),J1576,IF(OR(C1576="Alpha",B1576="Alpha"),$C$7,IF(C1576="Futures",$C$6,$C$5))),""),"")</f>
        <v/>
      </c>
      <c r="I1576" s="139">
        <f>IFERROR(IF(AND(ISNUMBER(F1576),ISNUMBER(H1576)),F1576-H1576,""),"")</f>
        <v/>
      </c>
      <c r="J1576" s="114" t="n"/>
      <c r="K1576" s="139">
        <f>IFERROR(IF(H1576&gt;0,H1576*IF(OR(C1576="Alpha",B1576="Alpha"),$C$9,$C$8),""),"")</f>
        <v/>
      </c>
      <c r="L1576" s="139">
        <f>IFERROR(IF(ISNUMBER(F1576),F1576-IF(ISNUMBER(K1576),K1576,0),""),"")</f>
        <v/>
      </c>
    </row>
    <row r="1577" ht="24" customHeight="1" s="63">
      <c r="E1577" s="139" t="n"/>
      <c r="F1577" s="139" t="n"/>
      <c r="G1577" s="140">
        <f>IFERROR(IF(E1577&gt;0,(F1577/E1577)*1000,""),"")</f>
        <v/>
      </c>
      <c r="H1577" s="139">
        <f>IFERROR(IF(E1577&gt;0,E1577*IF(ISNUMBER(J1577),J1577,IF(OR(C1577="Alpha",B1577="Alpha"),$C$7,IF(C1577="Futures",$C$6,$C$5))),""),"")</f>
        <v/>
      </c>
      <c r="I1577" s="139">
        <f>IFERROR(IF(AND(ISNUMBER(F1577),ISNUMBER(H1577)),F1577-H1577,""),"")</f>
        <v/>
      </c>
      <c r="J1577" s="114" t="n"/>
      <c r="K1577" s="139">
        <f>IFERROR(IF(H1577&gt;0,H1577*IF(OR(C1577="Alpha",B1577="Alpha"),$C$9,$C$8),""),"")</f>
        <v/>
      </c>
      <c r="L1577" s="139">
        <f>IFERROR(IF(ISNUMBER(F1577),F1577-IF(ISNUMBER(K1577),K1577,0),""),"")</f>
        <v/>
      </c>
    </row>
    <row r="1578" ht="24" customHeight="1" s="63">
      <c r="E1578" s="139" t="n"/>
      <c r="F1578" s="139" t="n"/>
      <c r="G1578" s="140">
        <f>IFERROR(IF(E1578&gt;0,(F1578/E1578)*1000,""),"")</f>
        <v/>
      </c>
      <c r="H1578" s="139">
        <f>IFERROR(IF(E1578&gt;0,E1578*IF(ISNUMBER(J1578),J1578,IF(OR(C1578="Alpha",B1578="Alpha"),$C$7,IF(C1578="Futures",$C$6,$C$5))),""),"")</f>
        <v/>
      </c>
      <c r="I1578" s="139">
        <f>IFERROR(IF(AND(ISNUMBER(F1578),ISNUMBER(H1578)),F1578-H1578,""),"")</f>
        <v/>
      </c>
      <c r="J1578" s="114" t="n"/>
      <c r="K1578" s="139">
        <f>IFERROR(IF(H1578&gt;0,H1578*IF(OR(C1578="Alpha",B1578="Alpha"),$C$9,$C$8),""),"")</f>
        <v/>
      </c>
      <c r="L1578" s="139">
        <f>IFERROR(IF(ISNUMBER(F1578),F1578-IF(ISNUMBER(K1578),K1578,0),""),"")</f>
        <v/>
      </c>
    </row>
    <row r="1579" ht="24" customHeight="1" s="63">
      <c r="E1579" s="139" t="n"/>
      <c r="F1579" s="139" t="n"/>
      <c r="G1579" s="140">
        <f>IFERROR(IF(E1579&gt;0,(F1579/E1579)*1000,""),"")</f>
        <v/>
      </c>
      <c r="H1579" s="139">
        <f>IFERROR(IF(E1579&gt;0,E1579*IF(ISNUMBER(J1579),J1579,IF(OR(C1579="Alpha",B1579="Alpha"),$C$7,IF(C1579="Futures",$C$6,$C$5))),""),"")</f>
        <v/>
      </c>
      <c r="I1579" s="139">
        <f>IFERROR(IF(AND(ISNUMBER(F1579),ISNUMBER(H1579)),F1579-H1579,""),"")</f>
        <v/>
      </c>
      <c r="J1579" s="114" t="n"/>
      <c r="K1579" s="139">
        <f>IFERROR(IF(H1579&gt;0,H1579*IF(OR(C1579="Alpha",B1579="Alpha"),$C$9,$C$8),""),"")</f>
        <v/>
      </c>
      <c r="L1579" s="139">
        <f>IFERROR(IF(ISNUMBER(F1579),F1579-IF(ISNUMBER(K1579),K1579,0),""),"")</f>
        <v/>
      </c>
    </row>
    <row r="1580" ht="24" customHeight="1" s="63">
      <c r="E1580" s="139" t="n"/>
      <c r="F1580" s="139" t="n"/>
      <c r="G1580" s="140">
        <f>IFERROR(IF(E1580&gt;0,(F1580/E1580)*1000,""),"")</f>
        <v/>
      </c>
      <c r="H1580" s="139">
        <f>IFERROR(IF(E1580&gt;0,E1580*IF(ISNUMBER(J1580),J1580,IF(OR(C1580="Alpha",B1580="Alpha"),$C$7,IF(C1580="Futures",$C$6,$C$5))),""),"")</f>
        <v/>
      </c>
      <c r="I1580" s="139">
        <f>IFERROR(IF(AND(ISNUMBER(F1580),ISNUMBER(H1580)),F1580-H1580,""),"")</f>
        <v/>
      </c>
      <c r="J1580" s="114" t="n"/>
      <c r="K1580" s="139">
        <f>IFERROR(IF(H1580&gt;0,H1580*IF(OR(C1580="Alpha",B1580="Alpha"),$C$9,$C$8),""),"")</f>
        <v/>
      </c>
      <c r="L1580" s="139">
        <f>IFERROR(IF(ISNUMBER(F1580),F1580-IF(ISNUMBER(K1580),K1580,0),""),"")</f>
        <v/>
      </c>
    </row>
    <row r="1581" ht="24" customHeight="1" s="63">
      <c r="E1581" s="139" t="n"/>
      <c r="F1581" s="139" t="n"/>
      <c r="G1581" s="140">
        <f>IFERROR(IF(E1581&gt;0,(F1581/E1581)*1000,""),"")</f>
        <v/>
      </c>
      <c r="H1581" s="139">
        <f>IFERROR(IF(E1581&gt;0,E1581*IF(ISNUMBER(J1581),J1581,IF(OR(C1581="Alpha",B1581="Alpha"),$C$7,IF(C1581="Futures",$C$6,$C$5))),""),"")</f>
        <v/>
      </c>
      <c r="I1581" s="139">
        <f>IFERROR(IF(AND(ISNUMBER(F1581),ISNUMBER(H1581)),F1581-H1581,""),"")</f>
        <v/>
      </c>
      <c r="J1581" s="114" t="n"/>
      <c r="K1581" s="139">
        <f>IFERROR(IF(H1581&gt;0,H1581*IF(OR(C1581="Alpha",B1581="Alpha"),$C$9,$C$8),""),"")</f>
        <v/>
      </c>
      <c r="L1581" s="139">
        <f>IFERROR(IF(ISNUMBER(F1581),F1581-IF(ISNUMBER(K1581),K1581,0),""),"")</f>
        <v/>
      </c>
    </row>
    <row r="1582" ht="24" customHeight="1" s="63">
      <c r="E1582" s="139" t="n"/>
      <c r="F1582" s="139" t="n"/>
      <c r="G1582" s="140">
        <f>IFERROR(IF(E1582&gt;0,(F1582/E1582)*1000,""),"")</f>
        <v/>
      </c>
      <c r="H1582" s="139">
        <f>IFERROR(IF(E1582&gt;0,E1582*IF(ISNUMBER(J1582),J1582,IF(OR(C1582="Alpha",B1582="Alpha"),$C$7,IF(C1582="Futures",$C$6,$C$5))),""),"")</f>
        <v/>
      </c>
      <c r="I1582" s="139">
        <f>IFERROR(IF(AND(ISNUMBER(F1582),ISNUMBER(H1582)),F1582-H1582,""),"")</f>
        <v/>
      </c>
      <c r="J1582" s="114" t="n"/>
      <c r="K1582" s="139">
        <f>IFERROR(IF(H1582&gt;0,H1582*IF(OR(C1582="Alpha",B1582="Alpha"),$C$9,$C$8),""),"")</f>
        <v/>
      </c>
      <c r="L1582" s="139">
        <f>IFERROR(IF(ISNUMBER(F1582),F1582-IF(ISNUMBER(K1582),K1582,0),""),"")</f>
        <v/>
      </c>
    </row>
    <row r="1583" ht="24" customHeight="1" s="63">
      <c r="E1583" s="139" t="n"/>
      <c r="F1583" s="139" t="n"/>
      <c r="G1583" s="140">
        <f>IFERROR(IF(E1583&gt;0,(F1583/E1583)*1000,""),"")</f>
        <v/>
      </c>
      <c r="H1583" s="139">
        <f>IFERROR(IF(E1583&gt;0,E1583*IF(ISNUMBER(J1583),J1583,IF(OR(C1583="Alpha",B1583="Alpha"),$C$7,IF(C1583="Futures",$C$6,$C$5))),""),"")</f>
        <v/>
      </c>
      <c r="I1583" s="139">
        <f>IFERROR(IF(AND(ISNUMBER(F1583),ISNUMBER(H1583)),F1583-H1583,""),"")</f>
        <v/>
      </c>
      <c r="J1583" s="114" t="n"/>
      <c r="K1583" s="139">
        <f>IFERROR(IF(H1583&gt;0,H1583*IF(OR(C1583="Alpha",B1583="Alpha"),$C$9,$C$8),""),"")</f>
        <v/>
      </c>
      <c r="L1583" s="139">
        <f>IFERROR(IF(ISNUMBER(F1583),F1583-IF(ISNUMBER(K1583),K1583,0),""),"")</f>
        <v/>
      </c>
    </row>
    <row r="1584" ht="24" customHeight="1" s="63">
      <c r="E1584" s="139" t="n"/>
      <c r="F1584" s="139" t="n"/>
      <c r="G1584" s="140">
        <f>IFERROR(IF(E1584&gt;0,(F1584/E1584)*1000,""),"")</f>
        <v/>
      </c>
      <c r="H1584" s="139">
        <f>IFERROR(IF(E1584&gt;0,E1584*IF(ISNUMBER(J1584),J1584,IF(OR(C1584="Alpha",B1584="Alpha"),$C$7,IF(C1584="Futures",$C$6,$C$5))),""),"")</f>
        <v/>
      </c>
      <c r="I1584" s="139">
        <f>IFERROR(IF(AND(ISNUMBER(F1584),ISNUMBER(H1584)),F1584-H1584,""),"")</f>
        <v/>
      </c>
      <c r="J1584" s="114" t="n"/>
      <c r="K1584" s="139">
        <f>IFERROR(IF(H1584&gt;0,H1584*IF(OR(C1584="Alpha",B1584="Alpha"),$C$9,$C$8),""),"")</f>
        <v/>
      </c>
      <c r="L1584" s="139">
        <f>IFERROR(IF(ISNUMBER(F1584),F1584-IF(ISNUMBER(K1584),K1584,0),""),"")</f>
        <v/>
      </c>
    </row>
    <row r="1585" ht="24" customHeight="1" s="63">
      <c r="E1585" s="139" t="n"/>
      <c r="F1585" s="139" t="n"/>
      <c r="G1585" s="140">
        <f>IFERROR(IF(E1585&gt;0,(F1585/E1585)*1000,""),"")</f>
        <v/>
      </c>
      <c r="H1585" s="139">
        <f>IFERROR(IF(E1585&gt;0,E1585*IF(ISNUMBER(J1585),J1585,IF(OR(C1585="Alpha",B1585="Alpha"),$C$7,IF(C1585="Futures",$C$6,$C$5))),""),"")</f>
        <v/>
      </c>
      <c r="I1585" s="139">
        <f>IFERROR(IF(AND(ISNUMBER(F1585),ISNUMBER(H1585)),F1585-H1585,""),"")</f>
        <v/>
      </c>
      <c r="J1585" s="114" t="n"/>
      <c r="K1585" s="139">
        <f>IFERROR(IF(H1585&gt;0,H1585*IF(OR(C1585="Alpha",B1585="Alpha"),$C$9,$C$8),""),"")</f>
        <v/>
      </c>
      <c r="L1585" s="139">
        <f>IFERROR(IF(ISNUMBER(F1585),F1585-IF(ISNUMBER(K1585),K1585,0),""),"")</f>
        <v/>
      </c>
    </row>
    <row r="1586" ht="24" customHeight="1" s="63">
      <c r="E1586" s="139" t="n"/>
      <c r="F1586" s="139" t="n"/>
      <c r="G1586" s="140">
        <f>IFERROR(IF(E1586&gt;0,(F1586/E1586)*1000,""),"")</f>
        <v/>
      </c>
      <c r="H1586" s="139">
        <f>IFERROR(IF(E1586&gt;0,E1586*IF(ISNUMBER(J1586),J1586,IF(OR(C1586="Alpha",B1586="Alpha"),$C$7,IF(C1586="Futures",$C$6,$C$5))),""),"")</f>
        <v/>
      </c>
      <c r="I1586" s="139">
        <f>IFERROR(IF(AND(ISNUMBER(F1586),ISNUMBER(H1586)),F1586-H1586,""),"")</f>
        <v/>
      </c>
      <c r="J1586" s="114" t="n"/>
      <c r="K1586" s="139">
        <f>IFERROR(IF(H1586&gt;0,H1586*IF(OR(C1586="Alpha",B1586="Alpha"),$C$9,$C$8),""),"")</f>
        <v/>
      </c>
      <c r="L1586" s="139">
        <f>IFERROR(IF(ISNUMBER(F1586),F1586-IF(ISNUMBER(K1586),K1586,0),""),"")</f>
        <v/>
      </c>
    </row>
    <row r="1587" ht="24" customHeight="1" s="63">
      <c r="E1587" s="139" t="n"/>
      <c r="F1587" s="139" t="n"/>
      <c r="G1587" s="140">
        <f>IFERROR(IF(E1587&gt;0,(F1587/E1587)*1000,""),"")</f>
        <v/>
      </c>
      <c r="H1587" s="139">
        <f>IFERROR(IF(E1587&gt;0,E1587*IF(ISNUMBER(J1587),J1587,IF(OR(C1587="Alpha",B1587="Alpha"),$C$7,IF(C1587="Futures",$C$6,$C$5))),""),"")</f>
        <v/>
      </c>
      <c r="I1587" s="139">
        <f>IFERROR(IF(AND(ISNUMBER(F1587),ISNUMBER(H1587)),F1587-H1587,""),"")</f>
        <v/>
      </c>
      <c r="J1587" s="114" t="n"/>
      <c r="K1587" s="139">
        <f>IFERROR(IF(H1587&gt;0,H1587*IF(OR(C1587="Alpha",B1587="Alpha"),$C$9,$C$8),""),"")</f>
        <v/>
      </c>
      <c r="L1587" s="139">
        <f>IFERROR(IF(ISNUMBER(F1587),F1587-IF(ISNUMBER(K1587),K1587,0),""),"")</f>
        <v/>
      </c>
    </row>
    <row r="1588" ht="24" customHeight="1" s="63">
      <c r="E1588" s="139" t="n"/>
      <c r="F1588" s="139" t="n"/>
      <c r="G1588" s="140">
        <f>IFERROR(IF(E1588&gt;0,(F1588/E1588)*1000,""),"")</f>
        <v/>
      </c>
      <c r="H1588" s="139">
        <f>IFERROR(IF(E1588&gt;0,E1588*IF(ISNUMBER(J1588),J1588,IF(OR(C1588="Alpha",B1588="Alpha"),$C$7,IF(C1588="Futures",$C$6,$C$5))),""),"")</f>
        <v/>
      </c>
      <c r="I1588" s="139">
        <f>IFERROR(IF(AND(ISNUMBER(F1588),ISNUMBER(H1588)),F1588-H1588,""),"")</f>
        <v/>
      </c>
      <c r="J1588" s="114" t="n"/>
      <c r="K1588" s="139">
        <f>IFERROR(IF(H1588&gt;0,H1588*IF(OR(C1588="Alpha",B1588="Alpha"),$C$9,$C$8),""),"")</f>
        <v/>
      </c>
      <c r="L1588" s="139">
        <f>IFERROR(IF(ISNUMBER(F1588),F1588-IF(ISNUMBER(K1588),K1588,0),""),"")</f>
        <v/>
      </c>
    </row>
    <row r="1589" ht="24" customHeight="1" s="63">
      <c r="E1589" s="139" t="n"/>
      <c r="F1589" s="139" t="n"/>
      <c r="G1589" s="140">
        <f>IFERROR(IF(E1589&gt;0,(F1589/E1589)*1000,""),"")</f>
        <v/>
      </c>
      <c r="H1589" s="139">
        <f>IFERROR(IF(E1589&gt;0,E1589*IF(ISNUMBER(J1589),J1589,IF(OR(C1589="Alpha",B1589="Alpha"),$C$7,IF(C1589="Futures",$C$6,$C$5))),""),"")</f>
        <v/>
      </c>
      <c r="I1589" s="139">
        <f>IFERROR(IF(AND(ISNUMBER(F1589),ISNUMBER(H1589)),F1589-H1589,""),"")</f>
        <v/>
      </c>
      <c r="J1589" s="114" t="n"/>
      <c r="K1589" s="139">
        <f>IFERROR(IF(H1589&gt;0,H1589*IF(OR(C1589="Alpha",B1589="Alpha"),$C$9,$C$8),""),"")</f>
        <v/>
      </c>
      <c r="L1589" s="139">
        <f>IFERROR(IF(ISNUMBER(F1589),F1589-IF(ISNUMBER(K1589),K1589,0),""),"")</f>
        <v/>
      </c>
    </row>
    <row r="1590" ht="24" customHeight="1" s="63">
      <c r="E1590" s="139" t="n"/>
      <c r="F1590" s="139" t="n"/>
      <c r="G1590" s="140">
        <f>IFERROR(IF(E1590&gt;0,(F1590/E1590)*1000,""),"")</f>
        <v/>
      </c>
      <c r="H1590" s="139">
        <f>IFERROR(IF(E1590&gt;0,E1590*IF(ISNUMBER(J1590),J1590,IF(OR(C1590="Alpha",B1590="Alpha"),$C$7,IF(C1590="Futures",$C$6,$C$5))),""),"")</f>
        <v/>
      </c>
      <c r="I1590" s="139">
        <f>IFERROR(IF(AND(ISNUMBER(F1590),ISNUMBER(H1590)),F1590-H1590,""),"")</f>
        <v/>
      </c>
      <c r="J1590" s="114" t="n"/>
      <c r="K1590" s="139">
        <f>IFERROR(IF(H1590&gt;0,H1590*IF(OR(C1590="Alpha",B1590="Alpha"),$C$9,$C$8),""),"")</f>
        <v/>
      </c>
      <c r="L1590" s="139">
        <f>IFERROR(IF(ISNUMBER(F1590),F1590-IF(ISNUMBER(K1590),K1590,0),""),"")</f>
        <v/>
      </c>
    </row>
    <row r="1591" ht="24" customHeight="1" s="63">
      <c r="E1591" s="139" t="n"/>
      <c r="F1591" s="139" t="n"/>
      <c r="G1591" s="140">
        <f>IFERROR(IF(E1591&gt;0,(F1591/E1591)*1000,""),"")</f>
        <v/>
      </c>
      <c r="H1591" s="139">
        <f>IFERROR(IF(E1591&gt;0,E1591*IF(ISNUMBER(J1591),J1591,IF(OR(C1591="Alpha",B1591="Alpha"),$C$7,IF(C1591="Futures",$C$6,$C$5))),""),"")</f>
        <v/>
      </c>
      <c r="I1591" s="139">
        <f>IFERROR(IF(AND(ISNUMBER(F1591),ISNUMBER(H1591)),F1591-H1591,""),"")</f>
        <v/>
      </c>
      <c r="J1591" s="114" t="n"/>
      <c r="K1591" s="139">
        <f>IFERROR(IF(H1591&gt;0,H1591*IF(OR(C1591="Alpha",B1591="Alpha"),$C$9,$C$8),""),"")</f>
        <v/>
      </c>
      <c r="L1591" s="139">
        <f>IFERROR(IF(ISNUMBER(F1591),F1591-IF(ISNUMBER(K1591),K1591,0),""),"")</f>
        <v/>
      </c>
    </row>
    <row r="1592" ht="24" customHeight="1" s="63">
      <c r="E1592" s="139" t="n"/>
      <c r="F1592" s="139" t="n"/>
      <c r="G1592" s="140">
        <f>IFERROR(IF(E1592&gt;0,(F1592/E1592)*1000,""),"")</f>
        <v/>
      </c>
      <c r="H1592" s="139">
        <f>IFERROR(IF(E1592&gt;0,E1592*IF(ISNUMBER(J1592),J1592,IF(OR(C1592="Alpha",B1592="Alpha"),$C$7,IF(C1592="Futures",$C$6,$C$5))),""),"")</f>
        <v/>
      </c>
      <c r="I1592" s="139">
        <f>IFERROR(IF(AND(ISNUMBER(F1592),ISNUMBER(H1592)),F1592-H1592,""),"")</f>
        <v/>
      </c>
      <c r="J1592" s="114" t="n"/>
      <c r="K1592" s="139">
        <f>IFERROR(IF(H1592&gt;0,H1592*IF(OR(C1592="Alpha",B1592="Alpha"),$C$9,$C$8),""),"")</f>
        <v/>
      </c>
      <c r="L1592" s="139">
        <f>IFERROR(IF(ISNUMBER(F1592),F1592-IF(ISNUMBER(K1592),K1592,0),""),"")</f>
        <v/>
      </c>
    </row>
    <row r="1593" ht="24" customHeight="1" s="63">
      <c r="E1593" s="139" t="n"/>
      <c r="F1593" s="139" t="n"/>
      <c r="G1593" s="140">
        <f>IFERROR(IF(E1593&gt;0,(F1593/E1593)*1000,""),"")</f>
        <v/>
      </c>
      <c r="H1593" s="139">
        <f>IFERROR(IF(E1593&gt;0,E1593*IF(ISNUMBER(J1593),J1593,IF(OR(C1593="Alpha",B1593="Alpha"),$C$7,IF(C1593="Futures",$C$6,$C$5))),""),"")</f>
        <v/>
      </c>
      <c r="I1593" s="139">
        <f>IFERROR(IF(AND(ISNUMBER(F1593),ISNUMBER(H1593)),F1593-H1593,""),"")</f>
        <v/>
      </c>
      <c r="J1593" s="114" t="n"/>
      <c r="K1593" s="139">
        <f>IFERROR(IF(H1593&gt;0,H1593*IF(OR(C1593="Alpha",B1593="Alpha"),$C$9,$C$8),""),"")</f>
        <v/>
      </c>
      <c r="L1593" s="139">
        <f>IFERROR(IF(ISNUMBER(F1593),F1593-IF(ISNUMBER(K1593),K1593,0),""),"")</f>
        <v/>
      </c>
    </row>
    <row r="1594" ht="24" customHeight="1" s="63">
      <c r="E1594" s="139" t="n"/>
      <c r="F1594" s="139" t="n"/>
      <c r="G1594" s="140">
        <f>IFERROR(IF(E1594&gt;0,(F1594/E1594)*1000,""),"")</f>
        <v/>
      </c>
      <c r="H1594" s="139">
        <f>IFERROR(IF(E1594&gt;0,E1594*IF(ISNUMBER(J1594),J1594,IF(OR(C1594="Alpha",B1594="Alpha"),$C$7,IF(C1594="Futures",$C$6,$C$5))),""),"")</f>
        <v/>
      </c>
      <c r="I1594" s="139">
        <f>IFERROR(IF(AND(ISNUMBER(F1594),ISNUMBER(H1594)),F1594-H1594,""),"")</f>
        <v/>
      </c>
      <c r="J1594" s="114" t="n"/>
      <c r="K1594" s="139">
        <f>IFERROR(IF(H1594&gt;0,H1594*IF(OR(C1594="Alpha",B1594="Alpha"),$C$9,$C$8),""),"")</f>
        <v/>
      </c>
      <c r="L1594" s="139">
        <f>IFERROR(IF(ISNUMBER(F1594),F1594-IF(ISNUMBER(K1594),K1594,0),""),"")</f>
        <v/>
      </c>
    </row>
    <row r="1595" ht="24" customHeight="1" s="63">
      <c r="E1595" s="139" t="n"/>
      <c r="F1595" s="139" t="n"/>
      <c r="G1595" s="140">
        <f>IFERROR(IF(E1595&gt;0,(F1595/E1595)*1000,""),"")</f>
        <v/>
      </c>
      <c r="H1595" s="139">
        <f>IFERROR(IF(E1595&gt;0,E1595*IF(ISNUMBER(J1595),J1595,IF(OR(C1595="Alpha",B1595="Alpha"),$C$7,IF(C1595="Futures",$C$6,$C$5))),""),"")</f>
        <v/>
      </c>
      <c r="I1595" s="139">
        <f>IFERROR(IF(AND(ISNUMBER(F1595),ISNUMBER(H1595)),F1595-H1595,""),"")</f>
        <v/>
      </c>
      <c r="J1595" s="114" t="n"/>
      <c r="K1595" s="139">
        <f>IFERROR(IF(H1595&gt;0,H1595*IF(OR(C1595="Alpha",B1595="Alpha"),$C$9,$C$8),""),"")</f>
        <v/>
      </c>
      <c r="L1595" s="139">
        <f>IFERROR(IF(ISNUMBER(F1595),F1595-IF(ISNUMBER(K1595),K1595,0),""),"")</f>
        <v/>
      </c>
    </row>
    <row r="1596" ht="24" customHeight="1" s="63">
      <c r="E1596" s="139" t="n"/>
      <c r="F1596" s="139" t="n"/>
      <c r="G1596" s="140">
        <f>IFERROR(IF(E1596&gt;0,(F1596/E1596)*1000,""),"")</f>
        <v/>
      </c>
      <c r="H1596" s="139">
        <f>IFERROR(IF(E1596&gt;0,E1596*IF(ISNUMBER(J1596),J1596,IF(OR(C1596="Alpha",B1596="Alpha"),$C$7,IF(C1596="Futures",$C$6,$C$5))),""),"")</f>
        <v/>
      </c>
      <c r="I1596" s="139">
        <f>IFERROR(IF(AND(ISNUMBER(F1596),ISNUMBER(H1596)),F1596-H1596,""),"")</f>
        <v/>
      </c>
      <c r="J1596" s="114" t="n"/>
      <c r="K1596" s="139">
        <f>IFERROR(IF(H1596&gt;0,H1596*IF(OR(C1596="Alpha",B1596="Alpha"),$C$9,$C$8),""),"")</f>
        <v/>
      </c>
      <c r="L1596" s="139">
        <f>IFERROR(IF(ISNUMBER(F1596),F1596-IF(ISNUMBER(K1596),K1596,0),""),"")</f>
        <v/>
      </c>
    </row>
    <row r="1597" ht="24" customHeight="1" s="63">
      <c r="E1597" s="139" t="n"/>
      <c r="F1597" s="139" t="n"/>
      <c r="G1597" s="140">
        <f>IFERROR(IF(E1597&gt;0,(F1597/E1597)*1000,""),"")</f>
        <v/>
      </c>
      <c r="H1597" s="139">
        <f>IFERROR(IF(E1597&gt;0,E1597*IF(ISNUMBER(J1597),J1597,IF(OR(C1597="Alpha",B1597="Alpha"),$C$7,IF(C1597="Futures",$C$6,$C$5))),""),"")</f>
        <v/>
      </c>
      <c r="I1597" s="139">
        <f>IFERROR(IF(AND(ISNUMBER(F1597),ISNUMBER(H1597)),F1597-H1597,""),"")</f>
        <v/>
      </c>
      <c r="J1597" s="114" t="n"/>
      <c r="K1597" s="139">
        <f>IFERROR(IF(H1597&gt;0,H1597*IF(OR(C1597="Alpha",B1597="Alpha"),$C$9,$C$8),""),"")</f>
        <v/>
      </c>
      <c r="L1597" s="139">
        <f>IFERROR(IF(ISNUMBER(F1597),F1597-IF(ISNUMBER(K1597),K1597,0),""),"")</f>
        <v/>
      </c>
    </row>
    <row r="1598" ht="24" customHeight="1" s="63">
      <c r="E1598" s="139" t="n"/>
      <c r="F1598" s="139" t="n"/>
      <c r="G1598" s="140">
        <f>IFERROR(IF(E1598&gt;0,(F1598/E1598)*1000,""),"")</f>
        <v/>
      </c>
      <c r="H1598" s="139">
        <f>IFERROR(IF(E1598&gt;0,E1598*IF(ISNUMBER(J1598),J1598,IF(OR(C1598="Alpha",B1598="Alpha"),$C$7,IF(C1598="Futures",$C$6,$C$5))),""),"")</f>
        <v/>
      </c>
      <c r="I1598" s="139">
        <f>IFERROR(IF(AND(ISNUMBER(F1598),ISNUMBER(H1598)),F1598-H1598,""),"")</f>
        <v/>
      </c>
      <c r="J1598" s="114" t="n"/>
      <c r="K1598" s="139">
        <f>IFERROR(IF(H1598&gt;0,H1598*IF(OR(C1598="Alpha",B1598="Alpha"),$C$9,$C$8),""),"")</f>
        <v/>
      </c>
      <c r="L1598" s="139">
        <f>IFERROR(IF(ISNUMBER(F1598),F1598-IF(ISNUMBER(K1598),K1598,0),""),"")</f>
        <v/>
      </c>
    </row>
    <row r="1599" ht="24" customHeight="1" s="63">
      <c r="E1599" s="139" t="n"/>
      <c r="F1599" s="139" t="n"/>
      <c r="G1599" s="140">
        <f>IFERROR(IF(E1599&gt;0,(F1599/E1599)*1000,""),"")</f>
        <v/>
      </c>
      <c r="H1599" s="139">
        <f>IFERROR(IF(E1599&gt;0,E1599*IF(ISNUMBER(J1599),J1599,IF(OR(C1599="Alpha",B1599="Alpha"),$C$7,IF(C1599="Futures",$C$6,$C$5))),""),"")</f>
        <v/>
      </c>
      <c r="I1599" s="139">
        <f>IFERROR(IF(AND(ISNUMBER(F1599),ISNUMBER(H1599)),F1599-H1599,""),"")</f>
        <v/>
      </c>
      <c r="J1599" s="114" t="n"/>
      <c r="K1599" s="139">
        <f>IFERROR(IF(H1599&gt;0,H1599*IF(OR(C1599="Alpha",B1599="Alpha"),$C$9,$C$8),""),"")</f>
        <v/>
      </c>
      <c r="L1599" s="139">
        <f>IFERROR(IF(ISNUMBER(F1599),F1599-IF(ISNUMBER(K1599),K1599,0),""),"")</f>
        <v/>
      </c>
    </row>
    <row r="1600" ht="24" customHeight="1" s="63">
      <c r="E1600" s="139" t="n"/>
      <c r="F1600" s="139" t="n"/>
      <c r="G1600" s="140">
        <f>IFERROR(IF(E1600&gt;0,(F1600/E1600)*1000,""),"")</f>
        <v/>
      </c>
      <c r="H1600" s="139">
        <f>IFERROR(IF(E1600&gt;0,E1600*IF(ISNUMBER(J1600),J1600,IF(OR(C1600="Alpha",B1600="Alpha"),$C$7,IF(C1600="Futures",$C$6,$C$5))),""),"")</f>
        <v/>
      </c>
      <c r="I1600" s="139">
        <f>IFERROR(IF(AND(ISNUMBER(F1600),ISNUMBER(H1600)),F1600-H1600,""),"")</f>
        <v/>
      </c>
      <c r="J1600" s="114" t="n"/>
      <c r="K1600" s="139">
        <f>IFERROR(IF(H1600&gt;0,H1600*IF(OR(C1600="Alpha",B1600="Alpha"),$C$9,$C$8),""),"")</f>
        <v/>
      </c>
      <c r="L1600" s="139">
        <f>IFERROR(IF(ISNUMBER(F1600),F1600-IF(ISNUMBER(K1600),K1600,0),""),"")</f>
        <v/>
      </c>
    </row>
    <row r="1601" ht="24" customHeight="1" s="63">
      <c r="E1601" s="139" t="n"/>
      <c r="F1601" s="139" t="n"/>
      <c r="G1601" s="140">
        <f>IFERROR(IF(E1601&gt;0,(F1601/E1601)*1000,""),"")</f>
        <v/>
      </c>
      <c r="H1601" s="139">
        <f>IFERROR(IF(E1601&gt;0,E1601*IF(ISNUMBER(J1601),J1601,IF(OR(C1601="Alpha",B1601="Alpha"),$C$7,IF(C1601="Futures",$C$6,$C$5))),""),"")</f>
        <v/>
      </c>
      <c r="I1601" s="139">
        <f>IFERROR(IF(AND(ISNUMBER(F1601),ISNUMBER(H1601)),F1601-H1601,""),"")</f>
        <v/>
      </c>
      <c r="J1601" s="114" t="n"/>
      <c r="K1601" s="139">
        <f>IFERROR(IF(H1601&gt;0,H1601*IF(OR(C1601="Alpha",B1601="Alpha"),$C$9,$C$8),""),"")</f>
        <v/>
      </c>
      <c r="L1601" s="139">
        <f>IFERROR(IF(ISNUMBER(F1601),F1601-IF(ISNUMBER(K1601),K1601,0),""),"")</f>
        <v/>
      </c>
    </row>
    <row r="1602" ht="24" customHeight="1" s="63">
      <c r="E1602" s="139" t="n"/>
      <c r="F1602" s="139" t="n"/>
      <c r="G1602" s="140">
        <f>IFERROR(IF(E1602&gt;0,(F1602/E1602)*1000,""),"")</f>
        <v/>
      </c>
      <c r="H1602" s="139">
        <f>IFERROR(IF(E1602&gt;0,E1602*IF(ISNUMBER(J1602),J1602,IF(OR(C1602="Alpha",B1602="Alpha"),$C$7,IF(C1602="Futures",$C$6,$C$5))),""),"")</f>
        <v/>
      </c>
      <c r="I1602" s="139">
        <f>IFERROR(IF(AND(ISNUMBER(F1602),ISNUMBER(H1602)),F1602-H1602,""),"")</f>
        <v/>
      </c>
      <c r="J1602" s="114" t="n"/>
      <c r="K1602" s="139">
        <f>IFERROR(IF(H1602&gt;0,H1602*IF(OR(C1602="Alpha",B1602="Alpha"),$C$9,$C$8),""),"")</f>
        <v/>
      </c>
      <c r="L1602" s="139">
        <f>IFERROR(IF(ISNUMBER(F1602),F1602-IF(ISNUMBER(K1602),K1602,0),""),"")</f>
        <v/>
      </c>
    </row>
    <row r="1603" ht="24" customHeight="1" s="63">
      <c r="E1603" s="139" t="n"/>
      <c r="F1603" s="139" t="n"/>
      <c r="G1603" s="140">
        <f>IFERROR(IF(E1603&gt;0,(F1603/E1603)*1000,""),"")</f>
        <v/>
      </c>
      <c r="H1603" s="139">
        <f>IFERROR(IF(E1603&gt;0,E1603*IF(ISNUMBER(J1603),J1603,IF(OR(C1603="Alpha",B1603="Alpha"),$C$7,IF(C1603="Futures",$C$6,$C$5))),""),"")</f>
        <v/>
      </c>
      <c r="I1603" s="139">
        <f>IFERROR(IF(AND(ISNUMBER(F1603),ISNUMBER(H1603)),F1603-H1603,""),"")</f>
        <v/>
      </c>
      <c r="J1603" s="114" t="n"/>
      <c r="K1603" s="139">
        <f>IFERROR(IF(H1603&gt;0,H1603*IF(OR(C1603="Alpha",B1603="Alpha"),$C$9,$C$8),""),"")</f>
        <v/>
      </c>
      <c r="L1603" s="139">
        <f>IFERROR(IF(ISNUMBER(F1603),F1603-IF(ISNUMBER(K1603),K1603,0),""),"")</f>
        <v/>
      </c>
    </row>
    <row r="1604" ht="24" customHeight="1" s="63">
      <c r="E1604" s="139" t="n"/>
      <c r="F1604" s="139" t="n"/>
      <c r="G1604" s="140">
        <f>IFERROR(IF(E1604&gt;0,(F1604/E1604)*1000,""),"")</f>
        <v/>
      </c>
      <c r="H1604" s="139">
        <f>IFERROR(IF(E1604&gt;0,E1604*IF(ISNUMBER(J1604),J1604,IF(OR(C1604="Alpha",B1604="Alpha"),$C$7,IF(C1604="Futures",$C$6,$C$5))),""),"")</f>
        <v/>
      </c>
      <c r="I1604" s="139">
        <f>IFERROR(IF(AND(ISNUMBER(F1604),ISNUMBER(H1604)),F1604-H1604,""),"")</f>
        <v/>
      </c>
      <c r="J1604" s="114" t="n"/>
      <c r="K1604" s="139">
        <f>IFERROR(IF(H1604&gt;0,H1604*IF(OR(C1604="Alpha",B1604="Alpha"),$C$9,$C$8),""),"")</f>
        <v/>
      </c>
      <c r="L1604" s="139">
        <f>IFERROR(IF(ISNUMBER(F1604),F1604-IF(ISNUMBER(K1604),K1604,0),""),"")</f>
        <v/>
      </c>
    </row>
    <row r="1605" ht="24" customHeight="1" s="63">
      <c r="E1605" s="139" t="n"/>
      <c r="F1605" s="139" t="n"/>
      <c r="G1605" s="140">
        <f>IFERROR(IF(E1605&gt;0,(F1605/E1605)*1000,""),"")</f>
        <v/>
      </c>
      <c r="H1605" s="139">
        <f>IFERROR(IF(E1605&gt;0,E1605*IF(ISNUMBER(J1605),J1605,IF(OR(C1605="Alpha",B1605="Alpha"),$C$7,IF(C1605="Futures",$C$6,$C$5))),""),"")</f>
        <v/>
      </c>
      <c r="I1605" s="139">
        <f>IFERROR(IF(AND(ISNUMBER(F1605),ISNUMBER(H1605)),F1605-H1605,""),"")</f>
        <v/>
      </c>
      <c r="J1605" s="114" t="n"/>
      <c r="K1605" s="139">
        <f>IFERROR(IF(H1605&gt;0,H1605*IF(OR(C1605="Alpha",B1605="Alpha"),$C$9,$C$8),""),"")</f>
        <v/>
      </c>
      <c r="L1605" s="139">
        <f>IFERROR(IF(ISNUMBER(F1605),F1605-IF(ISNUMBER(K1605),K1605,0),""),"")</f>
        <v/>
      </c>
    </row>
    <row r="1606" ht="24" customHeight="1" s="63">
      <c r="E1606" s="139" t="n"/>
      <c r="F1606" s="139" t="n"/>
      <c r="G1606" s="140">
        <f>IFERROR(IF(E1606&gt;0,(F1606/E1606)*1000,""),"")</f>
        <v/>
      </c>
      <c r="H1606" s="139">
        <f>IFERROR(IF(E1606&gt;0,E1606*IF(ISNUMBER(J1606),J1606,IF(OR(C1606="Alpha",B1606="Alpha"),$C$7,IF(C1606="Futures",$C$6,$C$5))),""),"")</f>
        <v/>
      </c>
      <c r="I1606" s="139">
        <f>IFERROR(IF(AND(ISNUMBER(F1606),ISNUMBER(H1606)),F1606-H1606,""),"")</f>
        <v/>
      </c>
      <c r="J1606" s="114" t="n"/>
      <c r="K1606" s="139">
        <f>IFERROR(IF(H1606&gt;0,H1606*IF(OR(C1606="Alpha",B1606="Alpha"),$C$9,$C$8),""),"")</f>
        <v/>
      </c>
      <c r="L1606" s="139">
        <f>IFERROR(IF(ISNUMBER(F1606),F1606-IF(ISNUMBER(K1606),K1606,0),""),"")</f>
        <v/>
      </c>
    </row>
    <row r="1607" ht="24" customHeight="1" s="63">
      <c r="E1607" s="139" t="n"/>
      <c r="F1607" s="139" t="n"/>
      <c r="G1607" s="140">
        <f>IFERROR(IF(E1607&gt;0,(F1607/E1607)*1000,""),"")</f>
        <v/>
      </c>
      <c r="H1607" s="139">
        <f>IFERROR(IF(E1607&gt;0,E1607*IF(ISNUMBER(J1607),J1607,IF(OR(C1607="Alpha",B1607="Alpha"),$C$7,IF(C1607="Futures",$C$6,$C$5))),""),"")</f>
        <v/>
      </c>
      <c r="I1607" s="139">
        <f>IFERROR(IF(AND(ISNUMBER(F1607),ISNUMBER(H1607)),F1607-H1607,""),"")</f>
        <v/>
      </c>
      <c r="J1607" s="114" t="n"/>
      <c r="K1607" s="139">
        <f>IFERROR(IF(H1607&gt;0,H1607*IF(OR(C1607="Alpha",B1607="Alpha"),$C$9,$C$8),""),"")</f>
        <v/>
      </c>
      <c r="L1607" s="139">
        <f>IFERROR(IF(ISNUMBER(F1607),F1607-IF(ISNUMBER(K1607),K1607,0),""),"")</f>
        <v/>
      </c>
    </row>
    <row r="1608" ht="24" customHeight="1" s="63">
      <c r="E1608" s="139" t="n"/>
      <c r="F1608" s="139" t="n"/>
      <c r="G1608" s="140">
        <f>IFERROR(IF(E1608&gt;0,(F1608/E1608)*1000,""),"")</f>
        <v/>
      </c>
      <c r="H1608" s="139">
        <f>IFERROR(IF(E1608&gt;0,E1608*IF(ISNUMBER(J1608),J1608,IF(OR(C1608="Alpha",B1608="Alpha"),$C$7,IF(C1608="Futures",$C$6,$C$5))),""),"")</f>
        <v/>
      </c>
      <c r="I1608" s="139">
        <f>IFERROR(IF(AND(ISNUMBER(F1608),ISNUMBER(H1608)),F1608-H1608,""),"")</f>
        <v/>
      </c>
      <c r="J1608" s="114" t="n"/>
      <c r="K1608" s="139">
        <f>IFERROR(IF(H1608&gt;0,H1608*IF(OR(C1608="Alpha",B1608="Alpha"),$C$9,$C$8),""),"")</f>
        <v/>
      </c>
      <c r="L1608" s="139">
        <f>IFERROR(IF(ISNUMBER(F1608),F1608-IF(ISNUMBER(K1608),K1608,0),""),"")</f>
        <v/>
      </c>
    </row>
    <row r="1609" ht="24" customHeight="1" s="63">
      <c r="E1609" s="139" t="n"/>
      <c r="F1609" s="139" t="n"/>
      <c r="G1609" s="140">
        <f>IFERROR(IF(E1609&gt;0,(F1609/E1609)*1000,""),"")</f>
        <v/>
      </c>
      <c r="H1609" s="139">
        <f>IFERROR(IF(E1609&gt;0,E1609*IF(ISNUMBER(J1609),J1609,IF(OR(C1609="Alpha",B1609="Alpha"),$C$7,IF(C1609="Futures",$C$6,$C$5))),""),"")</f>
        <v/>
      </c>
      <c r="I1609" s="139">
        <f>IFERROR(IF(AND(ISNUMBER(F1609),ISNUMBER(H1609)),F1609-H1609,""),"")</f>
        <v/>
      </c>
      <c r="J1609" s="114" t="n"/>
      <c r="K1609" s="139">
        <f>IFERROR(IF(H1609&gt;0,H1609*IF(OR(C1609="Alpha",B1609="Alpha"),$C$9,$C$8),""),"")</f>
        <v/>
      </c>
      <c r="L1609" s="139">
        <f>IFERROR(IF(ISNUMBER(F1609),F1609-IF(ISNUMBER(K1609),K1609,0),""),"")</f>
        <v/>
      </c>
    </row>
    <row r="1610" ht="24" customHeight="1" s="63">
      <c r="E1610" s="139" t="n"/>
      <c r="F1610" s="139" t="n"/>
      <c r="G1610" s="140">
        <f>IFERROR(IF(E1610&gt;0,(F1610/E1610)*1000,""),"")</f>
        <v/>
      </c>
      <c r="H1610" s="139">
        <f>IFERROR(IF(E1610&gt;0,E1610*IF(ISNUMBER(J1610),J1610,IF(OR(C1610="Alpha",B1610="Alpha"),$C$7,IF(C1610="Futures",$C$6,$C$5))),""),"")</f>
        <v/>
      </c>
      <c r="I1610" s="139">
        <f>IFERROR(IF(AND(ISNUMBER(F1610),ISNUMBER(H1610)),F1610-H1610,""),"")</f>
        <v/>
      </c>
      <c r="J1610" s="114" t="n"/>
      <c r="K1610" s="139">
        <f>IFERROR(IF(H1610&gt;0,H1610*IF(OR(C1610="Alpha",B1610="Alpha"),$C$9,$C$8),""),"")</f>
        <v/>
      </c>
      <c r="L1610" s="139">
        <f>IFERROR(IF(ISNUMBER(F1610),F1610-IF(ISNUMBER(K1610),K1610,0),""),"")</f>
        <v/>
      </c>
    </row>
    <row r="1611" ht="24" customHeight="1" s="63">
      <c r="E1611" s="139" t="n"/>
      <c r="F1611" s="139" t="n"/>
      <c r="G1611" s="140">
        <f>IFERROR(IF(E1611&gt;0,(F1611/E1611)*1000,""),"")</f>
        <v/>
      </c>
      <c r="H1611" s="139">
        <f>IFERROR(IF(E1611&gt;0,E1611*IF(ISNUMBER(J1611),J1611,IF(OR(C1611="Alpha",B1611="Alpha"),$C$7,IF(C1611="Futures",$C$6,$C$5))),""),"")</f>
        <v/>
      </c>
      <c r="I1611" s="139">
        <f>IFERROR(IF(AND(ISNUMBER(F1611),ISNUMBER(H1611)),F1611-H1611,""),"")</f>
        <v/>
      </c>
      <c r="J1611" s="114" t="n"/>
      <c r="K1611" s="139">
        <f>IFERROR(IF(H1611&gt;0,H1611*IF(OR(C1611="Alpha",B1611="Alpha"),$C$9,$C$8),""),"")</f>
        <v/>
      </c>
      <c r="L1611" s="139">
        <f>IFERROR(IF(ISNUMBER(F1611),F1611-IF(ISNUMBER(K1611),K1611,0),""),"")</f>
        <v/>
      </c>
    </row>
    <row r="1612" ht="24" customHeight="1" s="63">
      <c r="E1612" s="139" t="n"/>
      <c r="F1612" s="139" t="n"/>
      <c r="G1612" s="140">
        <f>IFERROR(IF(E1612&gt;0,(F1612/E1612)*1000,""),"")</f>
        <v/>
      </c>
      <c r="H1612" s="139">
        <f>IFERROR(IF(E1612&gt;0,E1612*IF(ISNUMBER(J1612),J1612,IF(OR(C1612="Alpha",B1612="Alpha"),$C$7,IF(C1612="Futures",$C$6,$C$5))),""),"")</f>
        <v/>
      </c>
      <c r="I1612" s="139">
        <f>IFERROR(IF(AND(ISNUMBER(F1612),ISNUMBER(H1612)),F1612-H1612,""),"")</f>
        <v/>
      </c>
      <c r="J1612" s="114" t="n"/>
      <c r="K1612" s="139">
        <f>IFERROR(IF(H1612&gt;0,H1612*IF(OR(C1612="Alpha",B1612="Alpha"),$C$9,$C$8),""),"")</f>
        <v/>
      </c>
      <c r="L1612" s="139">
        <f>IFERROR(IF(ISNUMBER(F1612),F1612-IF(ISNUMBER(K1612),K1612,0),""),"")</f>
        <v/>
      </c>
    </row>
    <row r="1613" ht="24" customHeight="1" s="63">
      <c r="E1613" s="139" t="n"/>
      <c r="F1613" s="139" t="n"/>
      <c r="G1613" s="140">
        <f>IFERROR(IF(E1613&gt;0,(F1613/E1613)*1000,""),"")</f>
        <v/>
      </c>
      <c r="H1613" s="139">
        <f>IFERROR(IF(E1613&gt;0,E1613*IF(ISNUMBER(J1613),J1613,IF(OR(C1613="Alpha",B1613="Alpha"),$C$7,IF(C1613="Futures",$C$6,$C$5))),""),"")</f>
        <v/>
      </c>
      <c r="I1613" s="139">
        <f>IFERROR(IF(AND(ISNUMBER(F1613),ISNUMBER(H1613)),F1613-H1613,""),"")</f>
        <v/>
      </c>
      <c r="J1613" s="114" t="n"/>
      <c r="K1613" s="139">
        <f>IFERROR(IF(H1613&gt;0,H1613*IF(OR(C1613="Alpha",B1613="Alpha"),$C$9,$C$8),""),"")</f>
        <v/>
      </c>
      <c r="L1613" s="139">
        <f>IFERROR(IF(ISNUMBER(F1613),F1613-IF(ISNUMBER(K1613),K1613,0),""),"")</f>
        <v/>
      </c>
    </row>
    <row r="1614" ht="24" customHeight="1" s="63">
      <c r="E1614" s="139" t="n"/>
      <c r="F1614" s="139" t="n"/>
      <c r="G1614" s="140">
        <f>IFERROR(IF(E1614&gt;0,(F1614/E1614)*1000,""),"")</f>
        <v/>
      </c>
      <c r="H1614" s="139">
        <f>IFERROR(IF(E1614&gt;0,E1614*IF(ISNUMBER(J1614),J1614,IF(OR(C1614="Alpha",B1614="Alpha"),$C$7,IF(C1614="Futures",$C$6,$C$5))),""),"")</f>
        <v/>
      </c>
      <c r="I1614" s="139">
        <f>IFERROR(IF(AND(ISNUMBER(F1614),ISNUMBER(H1614)),F1614-H1614,""),"")</f>
        <v/>
      </c>
      <c r="J1614" s="114" t="n"/>
      <c r="K1614" s="139">
        <f>IFERROR(IF(H1614&gt;0,H1614*IF(OR(C1614="Alpha",B1614="Alpha"),$C$9,$C$8),""),"")</f>
        <v/>
      </c>
      <c r="L1614" s="139">
        <f>IFERROR(IF(ISNUMBER(F1614),F1614-IF(ISNUMBER(K1614),K1614,0),""),"")</f>
        <v/>
      </c>
    </row>
    <row r="1615" ht="24" customHeight="1" s="63">
      <c r="E1615" s="139" t="n"/>
      <c r="F1615" s="139" t="n"/>
      <c r="G1615" s="140">
        <f>IFERROR(IF(E1615&gt;0,(F1615/E1615)*1000,""),"")</f>
        <v/>
      </c>
      <c r="H1615" s="139">
        <f>IFERROR(IF(E1615&gt;0,E1615*IF(ISNUMBER(J1615),J1615,IF(OR(C1615="Alpha",B1615="Alpha"),$C$7,IF(C1615="Futures",$C$6,$C$5))),""),"")</f>
        <v/>
      </c>
      <c r="I1615" s="139">
        <f>IFERROR(IF(AND(ISNUMBER(F1615),ISNUMBER(H1615)),F1615-H1615,""),"")</f>
        <v/>
      </c>
      <c r="J1615" s="114" t="n"/>
      <c r="K1615" s="139">
        <f>IFERROR(IF(H1615&gt;0,H1615*IF(OR(C1615="Alpha",B1615="Alpha"),$C$9,$C$8),""),"")</f>
        <v/>
      </c>
      <c r="L1615" s="139">
        <f>IFERROR(IF(ISNUMBER(F1615),F1615-IF(ISNUMBER(K1615),K1615,0),""),"")</f>
        <v/>
      </c>
    </row>
    <row r="1616" ht="24" customHeight="1" s="63">
      <c r="E1616" s="139" t="n"/>
      <c r="F1616" s="139" t="n"/>
      <c r="G1616" s="140">
        <f>IFERROR(IF(E1616&gt;0,(F1616/E1616)*1000,""),"")</f>
        <v/>
      </c>
      <c r="H1616" s="139">
        <f>IFERROR(IF(E1616&gt;0,E1616*IF(ISNUMBER(J1616),J1616,IF(OR(C1616="Alpha",B1616="Alpha"),$C$7,IF(C1616="Futures",$C$6,$C$5))),""),"")</f>
        <v/>
      </c>
      <c r="I1616" s="139">
        <f>IFERROR(IF(AND(ISNUMBER(F1616),ISNUMBER(H1616)),F1616-H1616,""),"")</f>
        <v/>
      </c>
      <c r="J1616" s="114" t="n"/>
      <c r="K1616" s="139">
        <f>IFERROR(IF(H1616&gt;0,H1616*IF(OR(C1616="Alpha",B1616="Alpha"),$C$9,$C$8),""),"")</f>
        <v/>
      </c>
      <c r="L1616" s="139">
        <f>IFERROR(IF(ISNUMBER(F1616),F1616-IF(ISNUMBER(K1616),K1616,0),""),"")</f>
        <v/>
      </c>
    </row>
    <row r="1617" ht="24" customHeight="1" s="63">
      <c r="E1617" s="139" t="n"/>
      <c r="F1617" s="139" t="n"/>
      <c r="G1617" s="140">
        <f>IFERROR(IF(E1617&gt;0,(F1617/E1617)*1000,""),"")</f>
        <v/>
      </c>
      <c r="H1617" s="139">
        <f>IFERROR(IF(E1617&gt;0,E1617*IF(ISNUMBER(J1617),J1617,IF(OR(C1617="Alpha",B1617="Alpha"),$C$7,IF(C1617="Futures",$C$6,$C$5))),""),"")</f>
        <v/>
      </c>
      <c r="I1617" s="139">
        <f>IFERROR(IF(AND(ISNUMBER(F1617),ISNUMBER(H1617)),F1617-H1617,""),"")</f>
        <v/>
      </c>
      <c r="J1617" s="114" t="n"/>
      <c r="K1617" s="139">
        <f>IFERROR(IF(H1617&gt;0,H1617*IF(OR(C1617="Alpha",B1617="Alpha"),$C$9,$C$8),""),"")</f>
        <v/>
      </c>
      <c r="L1617" s="139">
        <f>IFERROR(IF(ISNUMBER(F1617),F1617-IF(ISNUMBER(K1617),K1617,0),""),"")</f>
        <v/>
      </c>
    </row>
    <row r="1618" ht="24" customHeight="1" s="63">
      <c r="E1618" s="139" t="n"/>
      <c r="F1618" s="139" t="n"/>
      <c r="G1618" s="140">
        <f>IFERROR(IF(E1618&gt;0,(F1618/E1618)*1000,""),"")</f>
        <v/>
      </c>
      <c r="H1618" s="139">
        <f>IFERROR(IF(E1618&gt;0,E1618*IF(ISNUMBER(J1618),J1618,IF(OR(C1618="Alpha",B1618="Alpha"),$C$7,IF(C1618="Futures",$C$6,$C$5))),""),"")</f>
        <v/>
      </c>
      <c r="I1618" s="139">
        <f>IFERROR(IF(AND(ISNUMBER(F1618),ISNUMBER(H1618)),F1618-H1618,""),"")</f>
        <v/>
      </c>
      <c r="J1618" s="114" t="n"/>
      <c r="K1618" s="139">
        <f>IFERROR(IF(H1618&gt;0,H1618*IF(OR(C1618="Alpha",B1618="Alpha"),$C$9,$C$8),""),"")</f>
        <v/>
      </c>
      <c r="L1618" s="139">
        <f>IFERROR(IF(ISNUMBER(F1618),F1618-IF(ISNUMBER(K1618),K1618,0),""),"")</f>
        <v/>
      </c>
    </row>
    <row r="1619" ht="24" customHeight="1" s="63">
      <c r="E1619" s="139" t="n"/>
      <c r="F1619" s="139" t="n"/>
      <c r="G1619" s="140">
        <f>IFERROR(IF(E1619&gt;0,(F1619/E1619)*1000,""),"")</f>
        <v/>
      </c>
      <c r="H1619" s="139">
        <f>IFERROR(IF(E1619&gt;0,E1619*IF(ISNUMBER(J1619),J1619,IF(OR(C1619="Alpha",B1619="Alpha"),$C$7,IF(C1619="Futures",$C$6,$C$5))),""),"")</f>
        <v/>
      </c>
      <c r="I1619" s="139">
        <f>IFERROR(IF(AND(ISNUMBER(F1619),ISNUMBER(H1619)),F1619-H1619,""),"")</f>
        <v/>
      </c>
      <c r="J1619" s="114" t="n"/>
      <c r="K1619" s="139">
        <f>IFERROR(IF(H1619&gt;0,H1619*IF(OR(C1619="Alpha",B1619="Alpha"),$C$9,$C$8),""),"")</f>
        <v/>
      </c>
      <c r="L1619" s="139">
        <f>IFERROR(IF(ISNUMBER(F1619),F1619-IF(ISNUMBER(K1619),K1619,0),""),"")</f>
        <v/>
      </c>
    </row>
    <row r="1620" ht="24" customHeight="1" s="63">
      <c r="E1620" s="139" t="n"/>
      <c r="F1620" s="139" t="n"/>
      <c r="G1620" s="140">
        <f>IFERROR(IF(E1620&gt;0,(F1620/E1620)*1000,""),"")</f>
        <v/>
      </c>
      <c r="H1620" s="139">
        <f>IFERROR(IF(E1620&gt;0,E1620*IF(ISNUMBER(J1620),J1620,IF(OR(C1620="Alpha",B1620="Alpha"),$C$7,IF(C1620="Futures",$C$6,$C$5))),""),"")</f>
        <v/>
      </c>
      <c r="I1620" s="139">
        <f>IFERROR(IF(AND(ISNUMBER(F1620),ISNUMBER(H1620)),F1620-H1620,""),"")</f>
        <v/>
      </c>
      <c r="J1620" s="114" t="n"/>
      <c r="K1620" s="139">
        <f>IFERROR(IF(H1620&gt;0,H1620*IF(OR(C1620="Alpha",B1620="Alpha"),$C$9,$C$8),""),"")</f>
        <v/>
      </c>
      <c r="L1620" s="139">
        <f>IFERROR(IF(ISNUMBER(F1620),F1620-IF(ISNUMBER(K1620),K1620,0),""),"")</f>
        <v/>
      </c>
    </row>
    <row r="1621" ht="24" customHeight="1" s="63">
      <c r="E1621" s="139" t="n"/>
      <c r="F1621" s="139" t="n"/>
      <c r="G1621" s="140">
        <f>IFERROR(IF(E1621&gt;0,(F1621/E1621)*1000,""),"")</f>
        <v/>
      </c>
      <c r="H1621" s="139">
        <f>IFERROR(IF(E1621&gt;0,E1621*IF(ISNUMBER(J1621),J1621,IF(OR(C1621="Alpha",B1621="Alpha"),$C$7,IF(C1621="Futures",$C$6,$C$5))),""),"")</f>
        <v/>
      </c>
      <c r="I1621" s="139">
        <f>IFERROR(IF(AND(ISNUMBER(F1621),ISNUMBER(H1621)),F1621-H1621,""),"")</f>
        <v/>
      </c>
      <c r="J1621" s="114" t="n"/>
      <c r="K1621" s="139">
        <f>IFERROR(IF(H1621&gt;0,H1621*IF(OR(C1621="Alpha",B1621="Alpha"),$C$9,$C$8),""),"")</f>
        <v/>
      </c>
      <c r="L1621" s="139">
        <f>IFERROR(IF(ISNUMBER(F1621),F1621-IF(ISNUMBER(K1621),K1621,0),""),"")</f>
        <v/>
      </c>
    </row>
    <row r="1622" ht="24" customHeight="1" s="63">
      <c r="E1622" s="139" t="n"/>
      <c r="F1622" s="139" t="n"/>
      <c r="G1622" s="140">
        <f>IFERROR(IF(E1622&gt;0,(F1622/E1622)*1000,""),"")</f>
        <v/>
      </c>
      <c r="H1622" s="139">
        <f>IFERROR(IF(E1622&gt;0,E1622*IF(ISNUMBER(J1622),J1622,IF(OR(C1622="Alpha",B1622="Alpha"),$C$7,IF(C1622="Futures",$C$6,$C$5))),""),"")</f>
        <v/>
      </c>
      <c r="I1622" s="139">
        <f>IFERROR(IF(AND(ISNUMBER(F1622),ISNUMBER(H1622)),F1622-H1622,""),"")</f>
        <v/>
      </c>
      <c r="J1622" s="114" t="n"/>
      <c r="K1622" s="139">
        <f>IFERROR(IF(H1622&gt;0,H1622*IF(OR(C1622="Alpha",B1622="Alpha"),$C$9,$C$8),""),"")</f>
        <v/>
      </c>
      <c r="L1622" s="139">
        <f>IFERROR(IF(ISNUMBER(F1622),F1622-IF(ISNUMBER(K1622),K1622,0),""),"")</f>
        <v/>
      </c>
    </row>
    <row r="1623" ht="24" customHeight="1" s="63">
      <c r="E1623" s="139" t="n"/>
      <c r="F1623" s="139" t="n"/>
      <c r="G1623" s="140">
        <f>IFERROR(IF(E1623&gt;0,(F1623/E1623)*1000,""),"")</f>
        <v/>
      </c>
      <c r="H1623" s="139">
        <f>IFERROR(IF(E1623&gt;0,E1623*IF(ISNUMBER(J1623),J1623,IF(OR(C1623="Alpha",B1623="Alpha"),$C$7,IF(C1623="Futures",$C$6,$C$5))),""),"")</f>
        <v/>
      </c>
      <c r="I1623" s="139">
        <f>IFERROR(IF(AND(ISNUMBER(F1623),ISNUMBER(H1623)),F1623-H1623,""),"")</f>
        <v/>
      </c>
      <c r="J1623" s="114" t="n"/>
      <c r="K1623" s="139">
        <f>IFERROR(IF(H1623&gt;0,H1623*IF(OR(C1623="Alpha",B1623="Alpha"),$C$9,$C$8),""),"")</f>
        <v/>
      </c>
      <c r="L1623" s="139">
        <f>IFERROR(IF(ISNUMBER(F1623),F1623-IF(ISNUMBER(K1623),K1623,0),""),"")</f>
        <v/>
      </c>
    </row>
    <row r="1624" ht="24" customHeight="1" s="63">
      <c r="E1624" s="139" t="n"/>
      <c r="F1624" s="139" t="n"/>
      <c r="G1624" s="140">
        <f>IFERROR(IF(E1624&gt;0,(F1624/E1624)*1000,""),"")</f>
        <v/>
      </c>
      <c r="H1624" s="139">
        <f>IFERROR(IF(E1624&gt;0,E1624*IF(ISNUMBER(J1624),J1624,IF(OR(C1624="Alpha",B1624="Alpha"),$C$7,IF(C1624="Futures",$C$6,$C$5))),""),"")</f>
        <v/>
      </c>
      <c r="I1624" s="139">
        <f>IFERROR(IF(AND(ISNUMBER(F1624),ISNUMBER(H1624)),F1624-H1624,""),"")</f>
        <v/>
      </c>
      <c r="J1624" s="114" t="n"/>
      <c r="K1624" s="139">
        <f>IFERROR(IF(H1624&gt;0,H1624*IF(OR(C1624="Alpha",B1624="Alpha"),$C$9,$C$8),""),"")</f>
        <v/>
      </c>
      <c r="L1624" s="139">
        <f>IFERROR(IF(ISNUMBER(F1624),F1624-IF(ISNUMBER(K1624),K1624,0),""),"")</f>
        <v/>
      </c>
    </row>
    <row r="1625" ht="24" customHeight="1" s="63">
      <c r="E1625" s="139" t="n"/>
      <c r="F1625" s="139" t="n"/>
      <c r="G1625" s="140">
        <f>IFERROR(IF(E1625&gt;0,(F1625/E1625)*1000,""),"")</f>
        <v/>
      </c>
      <c r="H1625" s="139">
        <f>IFERROR(IF(E1625&gt;0,E1625*IF(ISNUMBER(J1625),J1625,IF(OR(C1625="Alpha",B1625="Alpha"),$C$7,IF(C1625="Futures",$C$6,$C$5))),""),"")</f>
        <v/>
      </c>
      <c r="I1625" s="139">
        <f>IFERROR(IF(AND(ISNUMBER(F1625),ISNUMBER(H1625)),F1625-H1625,""),"")</f>
        <v/>
      </c>
      <c r="J1625" s="114" t="n"/>
      <c r="K1625" s="139">
        <f>IFERROR(IF(H1625&gt;0,H1625*IF(OR(C1625="Alpha",B1625="Alpha"),$C$9,$C$8),""),"")</f>
        <v/>
      </c>
      <c r="L1625" s="139">
        <f>IFERROR(IF(ISNUMBER(F1625),F1625-IF(ISNUMBER(K1625),K1625,0),""),"")</f>
        <v/>
      </c>
    </row>
    <row r="1626" ht="24" customHeight="1" s="63">
      <c r="E1626" s="139" t="n"/>
      <c r="F1626" s="139" t="n"/>
      <c r="G1626" s="140">
        <f>IFERROR(IF(E1626&gt;0,(F1626/E1626)*1000,""),"")</f>
        <v/>
      </c>
      <c r="H1626" s="139">
        <f>IFERROR(IF(E1626&gt;0,E1626*IF(ISNUMBER(J1626),J1626,IF(OR(C1626="Alpha",B1626="Alpha"),$C$7,IF(C1626="Futures",$C$6,$C$5))),""),"")</f>
        <v/>
      </c>
      <c r="I1626" s="139">
        <f>IFERROR(IF(AND(ISNUMBER(F1626),ISNUMBER(H1626)),F1626-H1626,""),"")</f>
        <v/>
      </c>
      <c r="J1626" s="114" t="n"/>
      <c r="K1626" s="139">
        <f>IFERROR(IF(H1626&gt;0,H1626*IF(OR(C1626="Alpha",B1626="Alpha"),$C$9,$C$8),""),"")</f>
        <v/>
      </c>
      <c r="L1626" s="139">
        <f>IFERROR(IF(ISNUMBER(F1626),F1626-IF(ISNUMBER(K1626),K1626,0),""),"")</f>
        <v/>
      </c>
    </row>
    <row r="1627" ht="24" customHeight="1" s="63">
      <c r="E1627" s="139" t="n"/>
      <c r="F1627" s="139" t="n"/>
      <c r="G1627" s="140">
        <f>IFERROR(IF(E1627&gt;0,(F1627/E1627)*1000,""),"")</f>
        <v/>
      </c>
      <c r="H1627" s="139">
        <f>IFERROR(IF(E1627&gt;0,E1627*IF(ISNUMBER(J1627),J1627,IF(OR(C1627="Alpha",B1627="Alpha"),$C$7,IF(C1627="Futures",$C$6,$C$5))),""),"")</f>
        <v/>
      </c>
      <c r="I1627" s="139">
        <f>IFERROR(IF(AND(ISNUMBER(F1627),ISNUMBER(H1627)),F1627-H1627,""),"")</f>
        <v/>
      </c>
      <c r="J1627" s="114" t="n"/>
      <c r="K1627" s="139">
        <f>IFERROR(IF(H1627&gt;0,H1627*IF(OR(C1627="Alpha",B1627="Alpha"),$C$9,$C$8),""),"")</f>
        <v/>
      </c>
      <c r="L1627" s="139">
        <f>IFERROR(IF(ISNUMBER(F1627),F1627-IF(ISNUMBER(K1627),K1627,0),""),"")</f>
        <v/>
      </c>
    </row>
    <row r="1628" ht="24" customHeight="1" s="63">
      <c r="E1628" s="139" t="n"/>
      <c r="F1628" s="139" t="n"/>
      <c r="G1628" s="140">
        <f>IFERROR(IF(E1628&gt;0,(F1628/E1628)*1000,""),"")</f>
        <v/>
      </c>
      <c r="H1628" s="139">
        <f>IFERROR(IF(E1628&gt;0,E1628*IF(ISNUMBER(J1628),J1628,IF(OR(C1628="Alpha",B1628="Alpha"),$C$7,IF(C1628="Futures",$C$6,$C$5))),""),"")</f>
        <v/>
      </c>
      <c r="I1628" s="139">
        <f>IFERROR(IF(AND(ISNUMBER(F1628),ISNUMBER(H1628)),F1628-H1628,""),"")</f>
        <v/>
      </c>
      <c r="J1628" s="114" t="n"/>
      <c r="K1628" s="139">
        <f>IFERROR(IF(H1628&gt;0,H1628*IF(OR(C1628="Alpha",B1628="Alpha"),$C$9,$C$8),""),"")</f>
        <v/>
      </c>
      <c r="L1628" s="139">
        <f>IFERROR(IF(ISNUMBER(F1628),F1628-IF(ISNUMBER(K1628),K1628,0),""),"")</f>
        <v/>
      </c>
    </row>
    <row r="1629" ht="24" customHeight="1" s="63">
      <c r="E1629" s="139" t="n"/>
      <c r="F1629" s="139" t="n"/>
      <c r="G1629" s="140">
        <f>IFERROR(IF(E1629&gt;0,(F1629/E1629)*1000,""),"")</f>
        <v/>
      </c>
      <c r="H1629" s="139">
        <f>IFERROR(IF(E1629&gt;0,E1629*IF(ISNUMBER(J1629),J1629,IF(OR(C1629="Alpha",B1629="Alpha"),$C$7,IF(C1629="Futures",$C$6,$C$5))),""),"")</f>
        <v/>
      </c>
      <c r="I1629" s="139">
        <f>IFERROR(IF(AND(ISNUMBER(F1629),ISNUMBER(H1629)),F1629-H1629,""),"")</f>
        <v/>
      </c>
      <c r="J1629" s="114" t="n"/>
      <c r="K1629" s="139">
        <f>IFERROR(IF(H1629&gt;0,H1629*IF(OR(C1629="Alpha",B1629="Alpha"),$C$9,$C$8),""),"")</f>
        <v/>
      </c>
      <c r="L1629" s="139">
        <f>IFERROR(IF(ISNUMBER(F1629),F1629-IF(ISNUMBER(K1629),K1629,0),""),"")</f>
        <v/>
      </c>
    </row>
    <row r="1630" ht="24" customHeight="1" s="63">
      <c r="E1630" s="139" t="n"/>
      <c r="F1630" s="139" t="n"/>
      <c r="G1630" s="140">
        <f>IFERROR(IF(E1630&gt;0,(F1630/E1630)*1000,""),"")</f>
        <v/>
      </c>
      <c r="H1630" s="139">
        <f>IFERROR(IF(E1630&gt;0,E1630*IF(ISNUMBER(J1630),J1630,IF(OR(C1630="Alpha",B1630="Alpha"),$C$7,IF(C1630="Futures",$C$6,$C$5))),""),"")</f>
        <v/>
      </c>
      <c r="I1630" s="139">
        <f>IFERROR(IF(AND(ISNUMBER(F1630),ISNUMBER(H1630)),F1630-H1630,""),"")</f>
        <v/>
      </c>
      <c r="J1630" s="114" t="n"/>
      <c r="K1630" s="139">
        <f>IFERROR(IF(H1630&gt;0,H1630*IF(OR(C1630="Alpha",B1630="Alpha"),$C$9,$C$8),""),"")</f>
        <v/>
      </c>
      <c r="L1630" s="139">
        <f>IFERROR(IF(ISNUMBER(F1630),F1630-IF(ISNUMBER(K1630),K1630,0),""),"")</f>
        <v/>
      </c>
    </row>
    <row r="1631" ht="24" customHeight="1" s="63">
      <c r="E1631" s="139" t="n"/>
      <c r="F1631" s="139" t="n"/>
      <c r="G1631" s="140">
        <f>IFERROR(IF(E1631&gt;0,(F1631/E1631)*1000,""),"")</f>
        <v/>
      </c>
      <c r="H1631" s="139">
        <f>IFERROR(IF(E1631&gt;0,E1631*IF(ISNUMBER(J1631),J1631,IF(OR(C1631="Alpha",B1631="Alpha"),$C$7,IF(C1631="Futures",$C$6,$C$5))),""),"")</f>
        <v/>
      </c>
      <c r="I1631" s="139">
        <f>IFERROR(IF(AND(ISNUMBER(F1631),ISNUMBER(H1631)),F1631-H1631,""),"")</f>
        <v/>
      </c>
      <c r="J1631" s="114" t="n"/>
      <c r="K1631" s="139">
        <f>IFERROR(IF(H1631&gt;0,H1631*IF(OR(C1631="Alpha",B1631="Alpha"),$C$9,$C$8),""),"")</f>
        <v/>
      </c>
      <c r="L1631" s="139">
        <f>IFERROR(IF(ISNUMBER(F1631),F1631-IF(ISNUMBER(K1631),K1631,0),""),"")</f>
        <v/>
      </c>
    </row>
    <row r="1632" ht="24" customHeight="1" s="63">
      <c r="E1632" s="139" t="n"/>
      <c r="F1632" s="139" t="n"/>
      <c r="G1632" s="140">
        <f>IFERROR(IF(E1632&gt;0,(F1632/E1632)*1000,""),"")</f>
        <v/>
      </c>
      <c r="H1632" s="139">
        <f>IFERROR(IF(E1632&gt;0,E1632*IF(ISNUMBER(J1632),J1632,IF(OR(C1632="Alpha",B1632="Alpha"),$C$7,IF(C1632="Futures",$C$6,$C$5))),""),"")</f>
        <v/>
      </c>
      <c r="I1632" s="139">
        <f>IFERROR(IF(AND(ISNUMBER(F1632),ISNUMBER(H1632)),F1632-H1632,""),"")</f>
        <v/>
      </c>
      <c r="J1632" s="114" t="n"/>
      <c r="K1632" s="139">
        <f>IFERROR(IF(H1632&gt;0,H1632*IF(OR(C1632="Alpha",B1632="Alpha"),$C$9,$C$8),""),"")</f>
        <v/>
      </c>
      <c r="L1632" s="139">
        <f>IFERROR(IF(ISNUMBER(F1632),F1632-IF(ISNUMBER(K1632),K1632,0),""),"")</f>
        <v/>
      </c>
    </row>
    <row r="1633" ht="24" customHeight="1" s="63">
      <c r="E1633" s="139" t="n"/>
      <c r="F1633" s="139" t="n"/>
      <c r="G1633" s="140">
        <f>IFERROR(IF(E1633&gt;0,(F1633/E1633)*1000,""),"")</f>
        <v/>
      </c>
      <c r="H1633" s="139">
        <f>IFERROR(IF(E1633&gt;0,E1633*IF(ISNUMBER(J1633),J1633,IF(OR(C1633="Alpha",B1633="Alpha"),$C$7,IF(C1633="Futures",$C$6,$C$5))),""),"")</f>
        <v/>
      </c>
      <c r="I1633" s="139">
        <f>IFERROR(IF(AND(ISNUMBER(F1633),ISNUMBER(H1633)),F1633-H1633,""),"")</f>
        <v/>
      </c>
      <c r="J1633" s="114" t="n"/>
      <c r="K1633" s="139">
        <f>IFERROR(IF(H1633&gt;0,H1633*IF(OR(C1633="Alpha",B1633="Alpha"),$C$9,$C$8),""),"")</f>
        <v/>
      </c>
      <c r="L1633" s="139">
        <f>IFERROR(IF(ISNUMBER(F1633),F1633-IF(ISNUMBER(K1633),K1633,0),""),"")</f>
        <v/>
      </c>
    </row>
    <row r="1634" ht="24" customHeight="1" s="63">
      <c r="E1634" s="139" t="n"/>
      <c r="F1634" s="139" t="n"/>
      <c r="G1634" s="140">
        <f>IFERROR(IF(E1634&gt;0,(F1634/E1634)*1000,""),"")</f>
        <v/>
      </c>
      <c r="H1634" s="139">
        <f>IFERROR(IF(E1634&gt;0,E1634*IF(ISNUMBER(J1634),J1634,IF(OR(C1634="Alpha",B1634="Alpha"),$C$7,IF(C1634="Futures",$C$6,$C$5))),""),"")</f>
        <v/>
      </c>
      <c r="I1634" s="139">
        <f>IFERROR(IF(AND(ISNUMBER(F1634),ISNUMBER(H1634)),F1634-H1634,""),"")</f>
        <v/>
      </c>
      <c r="J1634" s="114" t="n"/>
      <c r="K1634" s="139">
        <f>IFERROR(IF(H1634&gt;0,H1634*IF(OR(C1634="Alpha",B1634="Alpha"),$C$9,$C$8),""),"")</f>
        <v/>
      </c>
      <c r="L1634" s="139">
        <f>IFERROR(IF(ISNUMBER(F1634),F1634-IF(ISNUMBER(K1634),K1634,0),""),"")</f>
        <v/>
      </c>
    </row>
    <row r="1635" ht="24" customHeight="1" s="63">
      <c r="E1635" s="139" t="n"/>
      <c r="F1635" s="139" t="n"/>
      <c r="G1635" s="140">
        <f>IFERROR(IF(E1635&gt;0,(F1635/E1635)*1000,""),"")</f>
        <v/>
      </c>
      <c r="H1635" s="139">
        <f>IFERROR(IF(E1635&gt;0,E1635*IF(ISNUMBER(J1635),J1635,IF(OR(C1635="Alpha",B1635="Alpha"),$C$7,IF(C1635="Futures",$C$6,$C$5))),""),"")</f>
        <v/>
      </c>
      <c r="I1635" s="139">
        <f>IFERROR(IF(AND(ISNUMBER(F1635),ISNUMBER(H1635)),F1635-H1635,""),"")</f>
        <v/>
      </c>
      <c r="J1635" s="114" t="n"/>
      <c r="K1635" s="139">
        <f>IFERROR(IF(H1635&gt;0,H1635*IF(OR(C1635="Alpha",B1635="Alpha"),$C$9,$C$8),""),"")</f>
        <v/>
      </c>
      <c r="L1635" s="139">
        <f>IFERROR(IF(ISNUMBER(F1635),F1635-IF(ISNUMBER(K1635),K1635,0),""),"")</f>
        <v/>
      </c>
    </row>
    <row r="1636" ht="24" customHeight="1" s="63">
      <c r="E1636" s="139" t="n"/>
      <c r="F1636" s="139" t="n"/>
      <c r="G1636" s="140">
        <f>IFERROR(IF(E1636&gt;0,(F1636/E1636)*1000,""),"")</f>
        <v/>
      </c>
      <c r="H1636" s="139">
        <f>IFERROR(IF(E1636&gt;0,E1636*IF(ISNUMBER(J1636),J1636,IF(OR(C1636="Alpha",B1636="Alpha"),$C$7,IF(C1636="Futures",$C$6,$C$5))),""),"")</f>
        <v/>
      </c>
      <c r="I1636" s="139">
        <f>IFERROR(IF(AND(ISNUMBER(F1636),ISNUMBER(H1636)),F1636-H1636,""),"")</f>
        <v/>
      </c>
      <c r="J1636" s="114" t="n"/>
      <c r="K1636" s="139">
        <f>IFERROR(IF(H1636&gt;0,H1636*IF(OR(C1636="Alpha",B1636="Alpha"),$C$9,$C$8),""),"")</f>
        <v/>
      </c>
      <c r="L1636" s="139">
        <f>IFERROR(IF(ISNUMBER(F1636),F1636-IF(ISNUMBER(K1636),K1636,0),""),"")</f>
        <v/>
      </c>
    </row>
    <row r="1637" ht="24" customHeight="1" s="63">
      <c r="E1637" s="139" t="n"/>
      <c r="F1637" s="139" t="n"/>
      <c r="G1637" s="140">
        <f>IFERROR(IF(E1637&gt;0,(F1637/E1637)*1000,""),"")</f>
        <v/>
      </c>
      <c r="H1637" s="139">
        <f>IFERROR(IF(E1637&gt;0,E1637*IF(ISNUMBER(J1637),J1637,IF(OR(C1637="Alpha",B1637="Alpha"),$C$7,IF(C1637="Futures",$C$6,$C$5))),""),"")</f>
        <v/>
      </c>
      <c r="I1637" s="139">
        <f>IFERROR(IF(AND(ISNUMBER(F1637),ISNUMBER(H1637)),F1637-H1637,""),"")</f>
        <v/>
      </c>
      <c r="J1637" s="114" t="n"/>
      <c r="K1637" s="139">
        <f>IFERROR(IF(H1637&gt;0,H1637*IF(OR(C1637="Alpha",B1637="Alpha"),$C$9,$C$8),""),"")</f>
        <v/>
      </c>
      <c r="L1637" s="139">
        <f>IFERROR(IF(ISNUMBER(F1637),F1637-IF(ISNUMBER(K1637),K1637,0),""),"")</f>
        <v/>
      </c>
    </row>
    <row r="1638" ht="24" customHeight="1" s="63">
      <c r="E1638" s="139" t="n"/>
      <c r="F1638" s="139" t="n"/>
      <c r="G1638" s="140">
        <f>IFERROR(IF(E1638&gt;0,(F1638/E1638)*1000,""),"")</f>
        <v/>
      </c>
      <c r="H1638" s="139">
        <f>IFERROR(IF(E1638&gt;0,E1638*IF(ISNUMBER(J1638),J1638,IF(OR(C1638="Alpha",B1638="Alpha"),$C$7,IF(C1638="Futures",$C$6,$C$5))),""),"")</f>
        <v/>
      </c>
      <c r="I1638" s="139">
        <f>IFERROR(IF(AND(ISNUMBER(F1638),ISNUMBER(H1638)),F1638-H1638,""),"")</f>
        <v/>
      </c>
      <c r="J1638" s="114" t="n"/>
      <c r="K1638" s="139">
        <f>IFERROR(IF(H1638&gt;0,H1638*IF(OR(C1638="Alpha",B1638="Alpha"),$C$9,$C$8),""),"")</f>
        <v/>
      </c>
      <c r="L1638" s="139">
        <f>IFERROR(IF(ISNUMBER(F1638),F1638-IF(ISNUMBER(K1638),K1638,0),""),"")</f>
        <v/>
      </c>
    </row>
    <row r="1639" ht="24" customHeight="1" s="63">
      <c r="E1639" s="139" t="n"/>
      <c r="F1639" s="139" t="n"/>
      <c r="G1639" s="140">
        <f>IFERROR(IF(E1639&gt;0,(F1639/E1639)*1000,""),"")</f>
        <v/>
      </c>
      <c r="H1639" s="139">
        <f>IFERROR(IF(E1639&gt;0,E1639*IF(ISNUMBER(J1639),J1639,IF(OR(C1639="Alpha",B1639="Alpha"),$C$7,IF(C1639="Futures",$C$6,$C$5))),""),"")</f>
        <v/>
      </c>
      <c r="I1639" s="139">
        <f>IFERROR(IF(AND(ISNUMBER(F1639),ISNUMBER(H1639)),F1639-H1639,""),"")</f>
        <v/>
      </c>
      <c r="J1639" s="114" t="n"/>
      <c r="K1639" s="139">
        <f>IFERROR(IF(H1639&gt;0,H1639*IF(OR(C1639="Alpha",B1639="Alpha"),$C$9,$C$8),""),"")</f>
        <v/>
      </c>
      <c r="L1639" s="139">
        <f>IFERROR(IF(ISNUMBER(F1639),F1639-IF(ISNUMBER(K1639),K1639,0),""),"")</f>
        <v/>
      </c>
    </row>
    <row r="1640" ht="24" customHeight="1" s="63">
      <c r="E1640" s="139" t="n"/>
      <c r="F1640" s="139" t="n"/>
      <c r="G1640" s="140">
        <f>IFERROR(IF(E1640&gt;0,(F1640/E1640)*1000,""),"")</f>
        <v/>
      </c>
      <c r="H1640" s="139">
        <f>IFERROR(IF(E1640&gt;0,E1640*IF(ISNUMBER(J1640),J1640,IF(OR(C1640="Alpha",B1640="Alpha"),$C$7,IF(C1640="Futures",$C$6,$C$5))),""),"")</f>
        <v/>
      </c>
      <c r="I1640" s="139">
        <f>IFERROR(IF(AND(ISNUMBER(F1640),ISNUMBER(H1640)),F1640-H1640,""),"")</f>
        <v/>
      </c>
      <c r="J1640" s="114" t="n"/>
      <c r="K1640" s="139">
        <f>IFERROR(IF(H1640&gt;0,H1640*IF(OR(C1640="Alpha",B1640="Alpha"),$C$9,$C$8),""),"")</f>
        <v/>
      </c>
      <c r="L1640" s="139">
        <f>IFERROR(IF(ISNUMBER(F1640),F1640-IF(ISNUMBER(K1640),K1640,0),""),"")</f>
        <v/>
      </c>
    </row>
    <row r="1641" ht="24" customHeight="1" s="63">
      <c r="E1641" s="139" t="n"/>
      <c r="F1641" s="139" t="n"/>
      <c r="G1641" s="140">
        <f>IFERROR(IF(E1641&gt;0,(F1641/E1641)*1000,""),"")</f>
        <v/>
      </c>
      <c r="H1641" s="139">
        <f>IFERROR(IF(E1641&gt;0,E1641*IF(ISNUMBER(J1641),J1641,IF(OR(C1641="Alpha",B1641="Alpha"),$C$7,IF(C1641="Futures",$C$6,$C$5))),""),"")</f>
        <v/>
      </c>
      <c r="I1641" s="139">
        <f>IFERROR(IF(AND(ISNUMBER(F1641),ISNUMBER(H1641)),F1641-H1641,""),"")</f>
        <v/>
      </c>
      <c r="J1641" s="114" t="n"/>
      <c r="K1641" s="139">
        <f>IFERROR(IF(H1641&gt;0,H1641*IF(OR(C1641="Alpha",B1641="Alpha"),$C$9,$C$8),""),"")</f>
        <v/>
      </c>
      <c r="L1641" s="139">
        <f>IFERROR(IF(ISNUMBER(F1641),F1641-IF(ISNUMBER(K1641),K1641,0),""),"")</f>
        <v/>
      </c>
    </row>
    <row r="1642" ht="24" customHeight="1" s="63">
      <c r="E1642" s="139" t="n"/>
      <c r="F1642" s="139" t="n"/>
      <c r="G1642" s="140">
        <f>IFERROR(IF(E1642&gt;0,(F1642/E1642)*1000,""),"")</f>
        <v/>
      </c>
      <c r="H1642" s="139">
        <f>IFERROR(IF(E1642&gt;0,E1642*IF(ISNUMBER(J1642),J1642,IF(OR(C1642="Alpha",B1642="Alpha"),$C$7,IF(C1642="Futures",$C$6,$C$5))),""),"")</f>
        <v/>
      </c>
      <c r="I1642" s="139">
        <f>IFERROR(IF(AND(ISNUMBER(F1642),ISNUMBER(H1642)),F1642-H1642,""),"")</f>
        <v/>
      </c>
      <c r="J1642" s="114" t="n"/>
      <c r="K1642" s="139">
        <f>IFERROR(IF(H1642&gt;0,H1642*IF(OR(C1642="Alpha",B1642="Alpha"),$C$9,$C$8),""),"")</f>
        <v/>
      </c>
      <c r="L1642" s="139">
        <f>IFERROR(IF(ISNUMBER(F1642),F1642-IF(ISNUMBER(K1642),K1642,0),""),"")</f>
        <v/>
      </c>
    </row>
    <row r="1643" ht="24" customHeight="1" s="63">
      <c r="E1643" s="139" t="n"/>
      <c r="F1643" s="139" t="n"/>
      <c r="G1643" s="140">
        <f>IFERROR(IF(E1643&gt;0,(F1643/E1643)*1000,""),"")</f>
        <v/>
      </c>
      <c r="H1643" s="139">
        <f>IFERROR(IF(E1643&gt;0,E1643*IF(ISNUMBER(J1643),J1643,IF(OR(C1643="Alpha",B1643="Alpha"),$C$7,IF(C1643="Futures",$C$6,$C$5))),""),"")</f>
        <v/>
      </c>
      <c r="I1643" s="139">
        <f>IFERROR(IF(AND(ISNUMBER(F1643),ISNUMBER(H1643)),F1643-H1643,""),"")</f>
        <v/>
      </c>
      <c r="J1643" s="114" t="n"/>
      <c r="K1643" s="139">
        <f>IFERROR(IF(H1643&gt;0,H1643*IF(OR(C1643="Alpha",B1643="Alpha"),$C$9,$C$8),""),"")</f>
        <v/>
      </c>
      <c r="L1643" s="139">
        <f>IFERROR(IF(ISNUMBER(F1643),F1643-IF(ISNUMBER(K1643),K1643,0),""),"")</f>
        <v/>
      </c>
    </row>
    <row r="1644" ht="24" customHeight="1" s="63">
      <c r="E1644" s="139" t="n"/>
      <c r="F1644" s="139" t="n"/>
      <c r="G1644" s="140">
        <f>IFERROR(IF(E1644&gt;0,(F1644/E1644)*1000,""),"")</f>
        <v/>
      </c>
      <c r="H1644" s="139">
        <f>IFERROR(IF(E1644&gt;0,E1644*IF(ISNUMBER(J1644),J1644,IF(OR(C1644="Alpha",B1644="Alpha"),$C$7,IF(C1644="Futures",$C$6,$C$5))),""),"")</f>
        <v/>
      </c>
      <c r="I1644" s="139">
        <f>IFERROR(IF(AND(ISNUMBER(F1644),ISNUMBER(H1644)),F1644-H1644,""),"")</f>
        <v/>
      </c>
      <c r="J1644" s="114" t="n"/>
      <c r="K1644" s="139">
        <f>IFERROR(IF(H1644&gt;0,H1644*IF(OR(C1644="Alpha",B1644="Alpha"),$C$9,$C$8),""),"")</f>
        <v/>
      </c>
      <c r="L1644" s="139">
        <f>IFERROR(IF(ISNUMBER(F1644),F1644-IF(ISNUMBER(K1644),K1644,0),""),"")</f>
        <v/>
      </c>
    </row>
    <row r="1645" ht="24" customHeight="1" s="63">
      <c r="E1645" s="139" t="n"/>
      <c r="F1645" s="139" t="n"/>
      <c r="G1645" s="140">
        <f>IFERROR(IF(E1645&gt;0,(F1645/E1645)*1000,""),"")</f>
        <v/>
      </c>
      <c r="H1645" s="139">
        <f>IFERROR(IF(E1645&gt;0,E1645*IF(ISNUMBER(J1645),J1645,IF(OR(C1645="Alpha",B1645="Alpha"),$C$7,IF(C1645="Futures",$C$6,$C$5))),""),"")</f>
        <v/>
      </c>
      <c r="I1645" s="139">
        <f>IFERROR(IF(AND(ISNUMBER(F1645),ISNUMBER(H1645)),F1645-H1645,""),"")</f>
        <v/>
      </c>
      <c r="J1645" s="114" t="n"/>
      <c r="K1645" s="139">
        <f>IFERROR(IF(H1645&gt;0,H1645*IF(OR(C1645="Alpha",B1645="Alpha"),$C$9,$C$8),""),"")</f>
        <v/>
      </c>
      <c r="L1645" s="139">
        <f>IFERROR(IF(ISNUMBER(F1645),F1645-IF(ISNUMBER(K1645),K1645,0),""),"")</f>
        <v/>
      </c>
    </row>
    <row r="1646" ht="24" customHeight="1" s="63">
      <c r="E1646" s="139" t="n"/>
      <c r="F1646" s="139" t="n"/>
      <c r="G1646" s="140">
        <f>IFERROR(IF(E1646&gt;0,(F1646/E1646)*1000,""),"")</f>
        <v/>
      </c>
      <c r="H1646" s="139">
        <f>IFERROR(IF(E1646&gt;0,E1646*IF(ISNUMBER(J1646),J1646,IF(OR(C1646="Alpha",B1646="Alpha"),$C$7,IF(C1646="Futures",$C$6,$C$5))),""),"")</f>
        <v/>
      </c>
      <c r="I1646" s="139">
        <f>IFERROR(IF(AND(ISNUMBER(F1646),ISNUMBER(H1646)),F1646-H1646,""),"")</f>
        <v/>
      </c>
      <c r="J1646" s="114" t="n"/>
      <c r="K1646" s="139">
        <f>IFERROR(IF(H1646&gt;0,H1646*IF(OR(C1646="Alpha",B1646="Alpha"),$C$9,$C$8),""),"")</f>
        <v/>
      </c>
      <c r="L1646" s="139">
        <f>IFERROR(IF(ISNUMBER(F1646),F1646-IF(ISNUMBER(K1646),K1646,0),""),"")</f>
        <v/>
      </c>
    </row>
    <row r="1647" ht="24" customHeight="1" s="63">
      <c r="E1647" s="139" t="n"/>
      <c r="F1647" s="139" t="n"/>
      <c r="G1647" s="140">
        <f>IFERROR(IF(E1647&gt;0,(F1647/E1647)*1000,""),"")</f>
        <v/>
      </c>
      <c r="H1647" s="139">
        <f>IFERROR(IF(E1647&gt;0,E1647*IF(ISNUMBER(J1647),J1647,IF(OR(C1647="Alpha",B1647="Alpha"),$C$7,IF(C1647="Futures",$C$6,$C$5))),""),"")</f>
        <v/>
      </c>
      <c r="I1647" s="139">
        <f>IFERROR(IF(AND(ISNUMBER(F1647),ISNUMBER(H1647)),F1647-H1647,""),"")</f>
        <v/>
      </c>
      <c r="J1647" s="114" t="n"/>
      <c r="K1647" s="139">
        <f>IFERROR(IF(H1647&gt;0,H1647*IF(OR(C1647="Alpha",B1647="Alpha"),$C$9,$C$8),""),"")</f>
        <v/>
      </c>
      <c r="L1647" s="139">
        <f>IFERROR(IF(ISNUMBER(F1647),F1647-IF(ISNUMBER(K1647),K1647,0),""),"")</f>
        <v/>
      </c>
    </row>
    <row r="1648" ht="24" customHeight="1" s="63">
      <c r="E1648" s="139" t="n"/>
      <c r="F1648" s="139" t="n"/>
      <c r="G1648" s="140">
        <f>IFERROR(IF(E1648&gt;0,(F1648/E1648)*1000,""),"")</f>
        <v/>
      </c>
      <c r="H1648" s="139">
        <f>IFERROR(IF(E1648&gt;0,E1648*IF(ISNUMBER(J1648),J1648,IF(OR(C1648="Alpha",B1648="Alpha"),$C$7,IF(C1648="Futures",$C$6,$C$5))),""),"")</f>
        <v/>
      </c>
      <c r="I1648" s="139">
        <f>IFERROR(IF(AND(ISNUMBER(F1648),ISNUMBER(H1648)),F1648-H1648,""),"")</f>
        <v/>
      </c>
      <c r="J1648" s="114" t="n"/>
      <c r="K1648" s="139">
        <f>IFERROR(IF(H1648&gt;0,H1648*IF(OR(C1648="Alpha",B1648="Alpha"),$C$9,$C$8),""),"")</f>
        <v/>
      </c>
      <c r="L1648" s="139">
        <f>IFERROR(IF(ISNUMBER(F1648),F1648-IF(ISNUMBER(K1648),K1648,0),""),"")</f>
        <v/>
      </c>
    </row>
    <row r="1649" ht="24" customHeight="1" s="63">
      <c r="E1649" s="139" t="n"/>
      <c r="F1649" s="139" t="n"/>
      <c r="G1649" s="140">
        <f>IFERROR(IF(E1649&gt;0,(F1649/E1649)*1000,""),"")</f>
        <v/>
      </c>
      <c r="H1649" s="139">
        <f>IFERROR(IF(E1649&gt;0,E1649*IF(ISNUMBER(J1649),J1649,IF(OR(C1649="Alpha",B1649="Alpha"),$C$7,IF(C1649="Futures",$C$6,$C$5))),""),"")</f>
        <v/>
      </c>
      <c r="I1649" s="139">
        <f>IFERROR(IF(AND(ISNUMBER(F1649),ISNUMBER(H1649)),F1649-H1649,""),"")</f>
        <v/>
      </c>
      <c r="J1649" s="114" t="n"/>
      <c r="K1649" s="139">
        <f>IFERROR(IF(H1649&gt;0,H1649*IF(OR(C1649="Alpha",B1649="Alpha"),$C$9,$C$8),""),"")</f>
        <v/>
      </c>
      <c r="L1649" s="139">
        <f>IFERROR(IF(ISNUMBER(F1649),F1649-IF(ISNUMBER(K1649),K1649,0),""),"")</f>
        <v/>
      </c>
    </row>
    <row r="1650" ht="24" customHeight="1" s="63">
      <c r="E1650" s="139" t="n"/>
      <c r="F1650" s="139" t="n"/>
      <c r="G1650" s="140">
        <f>IFERROR(IF(E1650&gt;0,(F1650/E1650)*1000,""),"")</f>
        <v/>
      </c>
      <c r="H1650" s="139">
        <f>IFERROR(IF(E1650&gt;0,E1650*IF(ISNUMBER(J1650),J1650,IF(OR(C1650="Alpha",B1650="Alpha"),$C$7,IF(C1650="Futures",$C$6,$C$5))),""),"")</f>
        <v/>
      </c>
      <c r="I1650" s="139">
        <f>IFERROR(IF(AND(ISNUMBER(F1650),ISNUMBER(H1650)),F1650-H1650,""),"")</f>
        <v/>
      </c>
      <c r="J1650" s="114" t="n"/>
      <c r="K1650" s="139">
        <f>IFERROR(IF(H1650&gt;0,H1650*IF(OR(C1650="Alpha",B1650="Alpha"),$C$9,$C$8),""),"")</f>
        <v/>
      </c>
      <c r="L1650" s="139">
        <f>IFERROR(IF(ISNUMBER(F1650),F1650-IF(ISNUMBER(K1650),K1650,0),""),"")</f>
        <v/>
      </c>
    </row>
    <row r="1651" ht="24" customHeight="1" s="63">
      <c r="E1651" s="139" t="n"/>
      <c r="F1651" s="139" t="n"/>
      <c r="G1651" s="140">
        <f>IFERROR(IF(E1651&gt;0,(F1651/E1651)*1000,""),"")</f>
        <v/>
      </c>
      <c r="H1651" s="139">
        <f>IFERROR(IF(E1651&gt;0,E1651*IF(ISNUMBER(J1651),J1651,IF(OR(C1651="Alpha",B1651="Alpha"),$C$7,IF(C1651="Futures",$C$6,$C$5))),""),"")</f>
        <v/>
      </c>
      <c r="I1651" s="139">
        <f>IFERROR(IF(AND(ISNUMBER(F1651),ISNUMBER(H1651)),F1651-H1651,""),"")</f>
        <v/>
      </c>
      <c r="J1651" s="114" t="n"/>
      <c r="K1651" s="139">
        <f>IFERROR(IF(H1651&gt;0,H1651*IF(OR(C1651="Alpha",B1651="Alpha"),$C$9,$C$8),""),"")</f>
        <v/>
      </c>
      <c r="L1651" s="139">
        <f>IFERROR(IF(ISNUMBER(F1651),F1651-IF(ISNUMBER(K1651),K1651,0),""),"")</f>
        <v/>
      </c>
    </row>
    <row r="1652" ht="24" customHeight="1" s="63">
      <c r="E1652" s="139" t="n"/>
      <c r="F1652" s="139" t="n"/>
      <c r="G1652" s="140">
        <f>IFERROR(IF(E1652&gt;0,(F1652/E1652)*1000,""),"")</f>
        <v/>
      </c>
      <c r="H1652" s="139">
        <f>IFERROR(IF(E1652&gt;0,E1652*IF(ISNUMBER(J1652),J1652,IF(OR(C1652="Alpha",B1652="Alpha"),$C$7,IF(C1652="Futures",$C$6,$C$5))),""),"")</f>
        <v/>
      </c>
      <c r="I1652" s="139">
        <f>IFERROR(IF(AND(ISNUMBER(F1652),ISNUMBER(H1652)),F1652-H1652,""),"")</f>
        <v/>
      </c>
      <c r="J1652" s="114" t="n"/>
      <c r="K1652" s="139">
        <f>IFERROR(IF(H1652&gt;0,H1652*IF(OR(C1652="Alpha",B1652="Alpha"),$C$9,$C$8),""),"")</f>
        <v/>
      </c>
      <c r="L1652" s="139">
        <f>IFERROR(IF(ISNUMBER(F1652),F1652-IF(ISNUMBER(K1652),K1652,0),""),"")</f>
        <v/>
      </c>
    </row>
    <row r="1653" ht="24" customHeight="1" s="63">
      <c r="E1653" s="139" t="n"/>
      <c r="F1653" s="139" t="n"/>
      <c r="G1653" s="140">
        <f>IFERROR(IF(E1653&gt;0,(F1653/E1653)*1000,""),"")</f>
        <v/>
      </c>
      <c r="H1653" s="139">
        <f>IFERROR(IF(E1653&gt;0,E1653*IF(ISNUMBER(J1653),J1653,IF(OR(C1653="Alpha",B1653="Alpha"),$C$7,IF(C1653="Futures",$C$6,$C$5))),""),"")</f>
        <v/>
      </c>
      <c r="I1653" s="139">
        <f>IFERROR(IF(AND(ISNUMBER(F1653),ISNUMBER(H1653)),F1653-H1653,""),"")</f>
        <v/>
      </c>
      <c r="J1653" s="114" t="n"/>
      <c r="K1653" s="139">
        <f>IFERROR(IF(H1653&gt;0,H1653*IF(OR(C1653="Alpha",B1653="Alpha"),$C$9,$C$8),""),"")</f>
        <v/>
      </c>
      <c r="L1653" s="139">
        <f>IFERROR(IF(ISNUMBER(F1653),F1653-IF(ISNUMBER(K1653),K1653,0),""),"")</f>
        <v/>
      </c>
    </row>
    <row r="1654" ht="24" customHeight="1" s="63">
      <c r="E1654" s="139" t="n"/>
      <c r="F1654" s="139" t="n"/>
      <c r="G1654" s="140">
        <f>IFERROR(IF(E1654&gt;0,(F1654/E1654)*1000,""),"")</f>
        <v/>
      </c>
      <c r="H1654" s="139">
        <f>IFERROR(IF(E1654&gt;0,E1654*IF(ISNUMBER(J1654),J1654,IF(OR(C1654="Alpha",B1654="Alpha"),$C$7,IF(C1654="Futures",$C$6,$C$5))),""),"")</f>
        <v/>
      </c>
      <c r="I1654" s="139">
        <f>IFERROR(IF(AND(ISNUMBER(F1654),ISNUMBER(H1654)),F1654-H1654,""),"")</f>
        <v/>
      </c>
      <c r="J1654" s="114" t="n"/>
      <c r="K1654" s="139">
        <f>IFERROR(IF(H1654&gt;0,H1654*IF(OR(C1654="Alpha",B1654="Alpha"),$C$9,$C$8),""),"")</f>
        <v/>
      </c>
      <c r="L1654" s="139">
        <f>IFERROR(IF(ISNUMBER(F1654),F1654-IF(ISNUMBER(K1654),K1654,0),""),"")</f>
        <v/>
      </c>
    </row>
    <row r="1655" ht="24" customHeight="1" s="63">
      <c r="E1655" s="139" t="n"/>
      <c r="F1655" s="139" t="n"/>
      <c r="G1655" s="140">
        <f>IFERROR(IF(E1655&gt;0,(F1655/E1655)*1000,""),"")</f>
        <v/>
      </c>
      <c r="H1655" s="139">
        <f>IFERROR(IF(E1655&gt;0,E1655*IF(ISNUMBER(J1655),J1655,IF(OR(C1655="Alpha",B1655="Alpha"),$C$7,IF(C1655="Futures",$C$6,$C$5))),""),"")</f>
        <v/>
      </c>
      <c r="I1655" s="139">
        <f>IFERROR(IF(AND(ISNUMBER(F1655),ISNUMBER(H1655)),F1655-H1655,""),"")</f>
        <v/>
      </c>
      <c r="J1655" s="114" t="n"/>
      <c r="K1655" s="139">
        <f>IFERROR(IF(H1655&gt;0,H1655*IF(OR(C1655="Alpha",B1655="Alpha"),$C$9,$C$8),""),"")</f>
        <v/>
      </c>
      <c r="L1655" s="139">
        <f>IFERROR(IF(ISNUMBER(F1655),F1655-IF(ISNUMBER(K1655),K1655,0),""),"")</f>
        <v/>
      </c>
    </row>
    <row r="1656" ht="24" customHeight="1" s="63">
      <c r="E1656" s="139" t="n"/>
      <c r="F1656" s="139" t="n"/>
      <c r="G1656" s="140">
        <f>IFERROR(IF(E1656&gt;0,(F1656/E1656)*1000,""),"")</f>
        <v/>
      </c>
      <c r="H1656" s="139">
        <f>IFERROR(IF(E1656&gt;0,E1656*IF(ISNUMBER(J1656),J1656,IF(OR(C1656="Alpha",B1656="Alpha"),$C$7,IF(C1656="Futures",$C$6,$C$5))),""),"")</f>
        <v/>
      </c>
      <c r="I1656" s="139">
        <f>IFERROR(IF(AND(ISNUMBER(F1656),ISNUMBER(H1656)),F1656-H1656,""),"")</f>
        <v/>
      </c>
      <c r="J1656" s="114" t="n"/>
      <c r="K1656" s="139">
        <f>IFERROR(IF(H1656&gt;0,H1656*IF(OR(C1656="Alpha",B1656="Alpha"),$C$9,$C$8),""),"")</f>
        <v/>
      </c>
      <c r="L1656" s="139">
        <f>IFERROR(IF(ISNUMBER(F1656),F1656-IF(ISNUMBER(K1656),K1656,0),""),"")</f>
        <v/>
      </c>
    </row>
    <row r="1657" ht="24" customHeight="1" s="63">
      <c r="E1657" s="139" t="n"/>
      <c r="F1657" s="139" t="n"/>
      <c r="G1657" s="140">
        <f>IFERROR(IF(E1657&gt;0,(F1657/E1657)*1000,""),"")</f>
        <v/>
      </c>
      <c r="H1657" s="139">
        <f>IFERROR(IF(E1657&gt;0,E1657*IF(ISNUMBER(J1657),J1657,IF(OR(C1657="Alpha",B1657="Alpha"),$C$7,IF(C1657="Futures",$C$6,$C$5))),""),"")</f>
        <v/>
      </c>
      <c r="I1657" s="139">
        <f>IFERROR(IF(AND(ISNUMBER(F1657),ISNUMBER(H1657)),F1657-H1657,""),"")</f>
        <v/>
      </c>
      <c r="J1657" s="114" t="n"/>
      <c r="K1657" s="139">
        <f>IFERROR(IF(H1657&gt;0,H1657*IF(OR(C1657="Alpha",B1657="Alpha"),$C$9,$C$8),""),"")</f>
        <v/>
      </c>
      <c r="L1657" s="139">
        <f>IFERROR(IF(ISNUMBER(F1657),F1657-IF(ISNUMBER(K1657),K1657,0),""),"")</f>
        <v/>
      </c>
    </row>
    <row r="1658" ht="24" customHeight="1" s="63">
      <c r="E1658" s="139" t="n"/>
      <c r="F1658" s="139" t="n"/>
      <c r="G1658" s="140">
        <f>IFERROR(IF(E1658&gt;0,(F1658/E1658)*1000,""),"")</f>
        <v/>
      </c>
      <c r="H1658" s="139">
        <f>IFERROR(IF(E1658&gt;0,E1658*IF(ISNUMBER(J1658),J1658,IF(OR(C1658="Alpha",B1658="Alpha"),$C$7,IF(C1658="Futures",$C$6,$C$5))),""),"")</f>
        <v/>
      </c>
      <c r="I1658" s="139">
        <f>IFERROR(IF(AND(ISNUMBER(F1658),ISNUMBER(H1658)),F1658-H1658,""),"")</f>
        <v/>
      </c>
      <c r="J1658" s="114" t="n"/>
      <c r="K1658" s="139">
        <f>IFERROR(IF(H1658&gt;0,H1658*IF(OR(C1658="Alpha",B1658="Alpha"),$C$9,$C$8),""),"")</f>
        <v/>
      </c>
      <c r="L1658" s="139">
        <f>IFERROR(IF(ISNUMBER(F1658),F1658-IF(ISNUMBER(K1658),K1658,0),""),"")</f>
        <v/>
      </c>
    </row>
    <row r="1659" ht="24" customHeight="1" s="63">
      <c r="E1659" s="139" t="n"/>
      <c r="F1659" s="139" t="n"/>
      <c r="G1659" s="140">
        <f>IFERROR(IF(E1659&gt;0,(F1659/E1659)*1000,""),"")</f>
        <v/>
      </c>
      <c r="H1659" s="139">
        <f>IFERROR(IF(E1659&gt;0,E1659*IF(ISNUMBER(J1659),J1659,IF(OR(C1659="Alpha",B1659="Alpha"),$C$7,IF(C1659="Futures",$C$6,$C$5))),""),"")</f>
        <v/>
      </c>
      <c r="I1659" s="139">
        <f>IFERROR(IF(AND(ISNUMBER(F1659),ISNUMBER(H1659)),F1659-H1659,""),"")</f>
        <v/>
      </c>
      <c r="J1659" s="114" t="n"/>
      <c r="K1659" s="139">
        <f>IFERROR(IF(H1659&gt;0,H1659*IF(OR(C1659="Alpha",B1659="Alpha"),$C$9,$C$8),""),"")</f>
        <v/>
      </c>
      <c r="L1659" s="139">
        <f>IFERROR(IF(ISNUMBER(F1659),F1659-IF(ISNUMBER(K1659),K1659,0),""),"")</f>
        <v/>
      </c>
    </row>
    <row r="1660" ht="24" customHeight="1" s="63">
      <c r="E1660" s="139" t="n"/>
      <c r="F1660" s="139" t="n"/>
      <c r="G1660" s="140">
        <f>IFERROR(IF(E1660&gt;0,(F1660/E1660)*1000,""),"")</f>
        <v/>
      </c>
      <c r="H1660" s="139">
        <f>IFERROR(IF(E1660&gt;0,E1660*IF(ISNUMBER(J1660),J1660,IF(OR(C1660="Alpha",B1660="Alpha"),$C$7,IF(C1660="Futures",$C$6,$C$5))),""),"")</f>
        <v/>
      </c>
      <c r="I1660" s="139">
        <f>IFERROR(IF(AND(ISNUMBER(F1660),ISNUMBER(H1660)),F1660-H1660,""),"")</f>
        <v/>
      </c>
      <c r="J1660" s="114" t="n"/>
      <c r="K1660" s="139">
        <f>IFERROR(IF(H1660&gt;0,H1660*IF(OR(C1660="Alpha",B1660="Alpha"),$C$9,$C$8),""),"")</f>
        <v/>
      </c>
      <c r="L1660" s="139">
        <f>IFERROR(IF(ISNUMBER(F1660),F1660-IF(ISNUMBER(K1660),K1660,0),""),"")</f>
        <v/>
      </c>
    </row>
    <row r="1661" ht="24" customHeight="1" s="63">
      <c r="E1661" s="139" t="n"/>
      <c r="F1661" s="139" t="n"/>
      <c r="G1661" s="140">
        <f>IFERROR(IF(E1661&gt;0,(F1661/E1661)*1000,""),"")</f>
        <v/>
      </c>
      <c r="H1661" s="139">
        <f>IFERROR(IF(E1661&gt;0,E1661*IF(ISNUMBER(J1661),J1661,IF(OR(C1661="Alpha",B1661="Alpha"),$C$7,IF(C1661="Futures",$C$6,$C$5))),""),"")</f>
        <v/>
      </c>
      <c r="I1661" s="139">
        <f>IFERROR(IF(AND(ISNUMBER(F1661),ISNUMBER(H1661)),F1661-H1661,""),"")</f>
        <v/>
      </c>
      <c r="J1661" s="114" t="n"/>
      <c r="K1661" s="139">
        <f>IFERROR(IF(H1661&gt;0,H1661*IF(OR(C1661="Alpha",B1661="Alpha"),$C$9,$C$8),""),"")</f>
        <v/>
      </c>
      <c r="L1661" s="139">
        <f>IFERROR(IF(ISNUMBER(F1661),F1661-IF(ISNUMBER(K1661),K1661,0),""),"")</f>
        <v/>
      </c>
    </row>
    <row r="1662" ht="24" customHeight="1" s="63">
      <c r="E1662" s="139" t="n"/>
      <c r="F1662" s="139" t="n"/>
      <c r="G1662" s="140">
        <f>IFERROR(IF(E1662&gt;0,(F1662/E1662)*1000,""),"")</f>
        <v/>
      </c>
      <c r="H1662" s="139">
        <f>IFERROR(IF(E1662&gt;0,E1662*IF(ISNUMBER(J1662),J1662,IF(OR(C1662="Alpha",B1662="Alpha"),$C$7,IF(C1662="Futures",$C$6,$C$5))),""),"")</f>
        <v/>
      </c>
      <c r="I1662" s="139">
        <f>IFERROR(IF(AND(ISNUMBER(F1662),ISNUMBER(H1662)),F1662-H1662,""),"")</f>
        <v/>
      </c>
      <c r="J1662" s="114" t="n"/>
      <c r="K1662" s="139">
        <f>IFERROR(IF(H1662&gt;0,H1662*IF(OR(C1662="Alpha",B1662="Alpha"),$C$9,$C$8),""),"")</f>
        <v/>
      </c>
      <c r="L1662" s="139">
        <f>IFERROR(IF(ISNUMBER(F1662),F1662-IF(ISNUMBER(K1662),K1662,0),""),"")</f>
        <v/>
      </c>
    </row>
    <row r="1663" ht="24" customHeight="1" s="63">
      <c r="E1663" s="139" t="n"/>
      <c r="F1663" s="139" t="n"/>
      <c r="G1663" s="140">
        <f>IFERROR(IF(E1663&gt;0,(F1663/E1663)*1000,""),"")</f>
        <v/>
      </c>
      <c r="H1663" s="139">
        <f>IFERROR(IF(E1663&gt;0,E1663*IF(ISNUMBER(J1663),J1663,IF(OR(C1663="Alpha",B1663="Alpha"),$C$7,IF(C1663="Futures",$C$6,$C$5))),""),"")</f>
        <v/>
      </c>
      <c r="I1663" s="139">
        <f>IFERROR(IF(AND(ISNUMBER(F1663),ISNUMBER(H1663)),F1663-H1663,""),"")</f>
        <v/>
      </c>
      <c r="J1663" s="114" t="n"/>
      <c r="K1663" s="139">
        <f>IFERROR(IF(H1663&gt;0,H1663*IF(OR(C1663="Alpha",B1663="Alpha"),$C$9,$C$8),""),"")</f>
        <v/>
      </c>
      <c r="L1663" s="139">
        <f>IFERROR(IF(ISNUMBER(F1663),F1663-IF(ISNUMBER(K1663),K1663,0),""),"")</f>
        <v/>
      </c>
    </row>
    <row r="1664" ht="24" customHeight="1" s="63">
      <c r="E1664" s="139" t="n"/>
      <c r="F1664" s="139" t="n"/>
      <c r="G1664" s="140">
        <f>IFERROR(IF(E1664&gt;0,(F1664/E1664)*1000,""),"")</f>
        <v/>
      </c>
      <c r="H1664" s="139">
        <f>IFERROR(IF(E1664&gt;0,E1664*IF(ISNUMBER(J1664),J1664,IF(OR(C1664="Alpha",B1664="Alpha"),$C$7,IF(C1664="Futures",$C$6,$C$5))),""),"")</f>
        <v/>
      </c>
      <c r="I1664" s="139">
        <f>IFERROR(IF(AND(ISNUMBER(F1664),ISNUMBER(H1664)),F1664-H1664,""),"")</f>
        <v/>
      </c>
      <c r="J1664" s="114" t="n"/>
      <c r="K1664" s="139">
        <f>IFERROR(IF(H1664&gt;0,H1664*IF(OR(C1664="Alpha",B1664="Alpha"),$C$9,$C$8),""),"")</f>
        <v/>
      </c>
      <c r="L1664" s="139">
        <f>IFERROR(IF(ISNUMBER(F1664),F1664-IF(ISNUMBER(K1664),K1664,0),""),"")</f>
        <v/>
      </c>
    </row>
    <row r="1665" ht="24" customHeight="1" s="63">
      <c r="E1665" s="139" t="n"/>
      <c r="F1665" s="139" t="n"/>
      <c r="G1665" s="140">
        <f>IFERROR(IF(E1665&gt;0,(F1665/E1665)*1000,""),"")</f>
        <v/>
      </c>
      <c r="H1665" s="139">
        <f>IFERROR(IF(E1665&gt;0,E1665*IF(ISNUMBER(J1665),J1665,IF(OR(C1665="Alpha",B1665="Alpha"),$C$7,IF(C1665="Futures",$C$6,$C$5))),""),"")</f>
        <v/>
      </c>
      <c r="I1665" s="139">
        <f>IFERROR(IF(AND(ISNUMBER(F1665),ISNUMBER(H1665)),F1665-H1665,""),"")</f>
        <v/>
      </c>
      <c r="J1665" s="114" t="n"/>
      <c r="K1665" s="139">
        <f>IFERROR(IF(H1665&gt;0,H1665*IF(OR(C1665="Alpha",B1665="Alpha"),$C$9,$C$8),""),"")</f>
        <v/>
      </c>
      <c r="L1665" s="139">
        <f>IFERROR(IF(ISNUMBER(F1665),F1665-IF(ISNUMBER(K1665),K1665,0),""),"")</f>
        <v/>
      </c>
    </row>
    <row r="1666" ht="24" customHeight="1" s="63">
      <c r="E1666" s="139" t="n"/>
      <c r="F1666" s="139" t="n"/>
      <c r="G1666" s="140">
        <f>IFERROR(IF(E1666&gt;0,(F1666/E1666)*1000,""),"")</f>
        <v/>
      </c>
      <c r="H1666" s="139">
        <f>IFERROR(IF(E1666&gt;0,E1666*IF(ISNUMBER(J1666),J1666,IF(OR(C1666="Alpha",B1666="Alpha"),$C$7,IF(C1666="Futures",$C$6,$C$5))),""),"")</f>
        <v/>
      </c>
      <c r="I1666" s="139">
        <f>IFERROR(IF(AND(ISNUMBER(F1666),ISNUMBER(H1666)),F1666-H1666,""),"")</f>
        <v/>
      </c>
      <c r="J1666" s="114" t="n"/>
      <c r="K1666" s="139">
        <f>IFERROR(IF(H1666&gt;0,H1666*IF(OR(C1666="Alpha",B1666="Alpha"),$C$9,$C$8),""),"")</f>
        <v/>
      </c>
      <c r="L1666" s="139">
        <f>IFERROR(IF(ISNUMBER(F1666),F1666-IF(ISNUMBER(K1666),K1666,0),""),"")</f>
        <v/>
      </c>
    </row>
    <row r="1667" ht="24" customHeight="1" s="63">
      <c r="E1667" s="139" t="n"/>
      <c r="F1667" s="139" t="n"/>
      <c r="G1667" s="140">
        <f>IFERROR(IF(E1667&gt;0,(F1667/E1667)*1000,""),"")</f>
        <v/>
      </c>
      <c r="H1667" s="139">
        <f>IFERROR(IF(E1667&gt;0,E1667*IF(ISNUMBER(J1667),J1667,IF(OR(C1667="Alpha",B1667="Alpha"),$C$7,IF(C1667="Futures",$C$6,$C$5))),""),"")</f>
        <v/>
      </c>
      <c r="I1667" s="139">
        <f>IFERROR(IF(AND(ISNUMBER(F1667),ISNUMBER(H1667)),F1667-H1667,""),"")</f>
        <v/>
      </c>
      <c r="J1667" s="114" t="n"/>
      <c r="K1667" s="139">
        <f>IFERROR(IF(H1667&gt;0,H1667*IF(OR(C1667="Alpha",B1667="Alpha"),$C$9,$C$8),""),"")</f>
        <v/>
      </c>
      <c r="L1667" s="139">
        <f>IFERROR(IF(ISNUMBER(F1667),F1667-IF(ISNUMBER(K1667),K1667,0),""),"")</f>
        <v/>
      </c>
    </row>
    <row r="1668" ht="24" customHeight="1" s="63">
      <c r="E1668" s="139" t="n"/>
      <c r="F1668" s="139" t="n"/>
      <c r="G1668" s="140">
        <f>IFERROR(IF(E1668&gt;0,(F1668/E1668)*1000,""),"")</f>
        <v/>
      </c>
      <c r="H1668" s="139">
        <f>IFERROR(IF(E1668&gt;0,E1668*IF(ISNUMBER(J1668),J1668,IF(OR(C1668="Alpha",B1668="Alpha"),$C$7,IF(C1668="Futures",$C$6,$C$5))),""),"")</f>
        <v/>
      </c>
      <c r="I1668" s="139">
        <f>IFERROR(IF(AND(ISNUMBER(F1668),ISNUMBER(H1668)),F1668-H1668,""),"")</f>
        <v/>
      </c>
      <c r="J1668" s="114" t="n"/>
      <c r="K1668" s="139">
        <f>IFERROR(IF(H1668&gt;0,H1668*IF(OR(C1668="Alpha",B1668="Alpha"),$C$9,$C$8),""),"")</f>
        <v/>
      </c>
      <c r="L1668" s="139">
        <f>IFERROR(IF(ISNUMBER(F1668),F1668-IF(ISNUMBER(K1668),K1668,0),""),"")</f>
        <v/>
      </c>
    </row>
    <row r="1669" ht="24" customHeight="1" s="63">
      <c r="E1669" s="139" t="n"/>
      <c r="F1669" s="139" t="n"/>
      <c r="G1669" s="140">
        <f>IFERROR(IF(E1669&gt;0,(F1669/E1669)*1000,""),"")</f>
        <v/>
      </c>
      <c r="H1669" s="139">
        <f>IFERROR(IF(E1669&gt;0,E1669*IF(ISNUMBER(J1669),J1669,IF(OR(C1669="Alpha",B1669="Alpha"),$C$7,IF(C1669="Futures",$C$6,$C$5))),""),"")</f>
        <v/>
      </c>
      <c r="I1669" s="139">
        <f>IFERROR(IF(AND(ISNUMBER(F1669),ISNUMBER(H1669)),F1669-H1669,""),"")</f>
        <v/>
      </c>
      <c r="J1669" s="114" t="n"/>
      <c r="K1669" s="139">
        <f>IFERROR(IF(H1669&gt;0,H1669*IF(OR(C1669="Alpha",B1669="Alpha"),$C$9,$C$8),""),"")</f>
        <v/>
      </c>
      <c r="L1669" s="139">
        <f>IFERROR(IF(ISNUMBER(F1669),F1669-IF(ISNUMBER(K1669),K1669,0),""),"")</f>
        <v/>
      </c>
    </row>
    <row r="1670" ht="24" customHeight="1" s="63">
      <c r="E1670" s="139" t="n"/>
      <c r="F1670" s="139" t="n"/>
      <c r="G1670" s="140">
        <f>IFERROR(IF(E1670&gt;0,(F1670/E1670)*1000,""),"")</f>
        <v/>
      </c>
      <c r="H1670" s="139">
        <f>IFERROR(IF(E1670&gt;0,E1670*IF(ISNUMBER(J1670),J1670,IF(OR(C1670="Alpha",B1670="Alpha"),$C$7,IF(C1670="Futures",$C$6,$C$5))),""),"")</f>
        <v/>
      </c>
      <c r="I1670" s="139">
        <f>IFERROR(IF(AND(ISNUMBER(F1670),ISNUMBER(H1670)),F1670-H1670,""),"")</f>
        <v/>
      </c>
      <c r="J1670" s="114" t="n"/>
      <c r="K1670" s="139">
        <f>IFERROR(IF(H1670&gt;0,H1670*IF(OR(C1670="Alpha",B1670="Alpha"),$C$9,$C$8),""),"")</f>
        <v/>
      </c>
      <c r="L1670" s="139">
        <f>IFERROR(IF(ISNUMBER(F1670),F1670-IF(ISNUMBER(K1670),K1670,0),""),"")</f>
        <v/>
      </c>
    </row>
    <row r="1671" ht="24" customHeight="1" s="63">
      <c r="E1671" s="139" t="n"/>
      <c r="F1671" s="139" t="n"/>
      <c r="G1671" s="140">
        <f>IFERROR(IF(E1671&gt;0,(F1671/E1671)*1000,""),"")</f>
        <v/>
      </c>
      <c r="H1671" s="139">
        <f>IFERROR(IF(E1671&gt;0,E1671*IF(ISNUMBER(J1671),J1671,IF(OR(C1671="Alpha",B1671="Alpha"),$C$7,IF(C1671="Futures",$C$6,$C$5))),""),"")</f>
        <v/>
      </c>
      <c r="I1671" s="139">
        <f>IFERROR(IF(AND(ISNUMBER(F1671),ISNUMBER(H1671)),F1671-H1671,""),"")</f>
        <v/>
      </c>
      <c r="J1671" s="114" t="n"/>
      <c r="K1671" s="139">
        <f>IFERROR(IF(H1671&gt;0,H1671*IF(OR(C1671="Alpha",B1671="Alpha"),$C$9,$C$8),""),"")</f>
        <v/>
      </c>
      <c r="L1671" s="139">
        <f>IFERROR(IF(ISNUMBER(F1671),F1671-IF(ISNUMBER(K1671),K1671,0),""),"")</f>
        <v/>
      </c>
    </row>
    <row r="1672" ht="24" customHeight="1" s="63">
      <c r="E1672" s="139" t="n"/>
      <c r="F1672" s="139" t="n"/>
      <c r="G1672" s="140">
        <f>IFERROR(IF(E1672&gt;0,(F1672/E1672)*1000,""),"")</f>
        <v/>
      </c>
      <c r="H1672" s="139">
        <f>IFERROR(IF(E1672&gt;0,E1672*IF(ISNUMBER(J1672),J1672,IF(OR(C1672="Alpha",B1672="Alpha"),$C$7,IF(C1672="Futures",$C$6,$C$5))),""),"")</f>
        <v/>
      </c>
      <c r="I1672" s="139">
        <f>IFERROR(IF(AND(ISNUMBER(F1672),ISNUMBER(H1672)),F1672-H1672,""),"")</f>
        <v/>
      </c>
      <c r="J1672" s="114" t="n"/>
      <c r="K1672" s="139">
        <f>IFERROR(IF(H1672&gt;0,H1672*IF(OR(C1672="Alpha",B1672="Alpha"),$C$9,$C$8),""),"")</f>
        <v/>
      </c>
      <c r="L1672" s="139">
        <f>IFERROR(IF(ISNUMBER(F1672),F1672-IF(ISNUMBER(K1672),K1672,0),""),"")</f>
        <v/>
      </c>
    </row>
    <row r="1673" ht="24" customHeight="1" s="63">
      <c r="E1673" s="139" t="n"/>
      <c r="F1673" s="139" t="n"/>
      <c r="G1673" s="140">
        <f>IFERROR(IF(E1673&gt;0,(F1673/E1673)*1000,""),"")</f>
        <v/>
      </c>
      <c r="H1673" s="139">
        <f>IFERROR(IF(E1673&gt;0,E1673*IF(ISNUMBER(J1673),J1673,IF(OR(C1673="Alpha",B1673="Alpha"),$C$7,IF(C1673="Futures",$C$6,$C$5))),""),"")</f>
        <v/>
      </c>
      <c r="I1673" s="139">
        <f>IFERROR(IF(AND(ISNUMBER(F1673),ISNUMBER(H1673)),F1673-H1673,""),"")</f>
        <v/>
      </c>
      <c r="J1673" s="114" t="n"/>
      <c r="K1673" s="139">
        <f>IFERROR(IF(H1673&gt;0,H1673*IF(OR(C1673="Alpha",B1673="Alpha"),$C$9,$C$8),""),"")</f>
        <v/>
      </c>
      <c r="L1673" s="139">
        <f>IFERROR(IF(ISNUMBER(F1673),F1673-IF(ISNUMBER(K1673),K1673,0),""),"")</f>
        <v/>
      </c>
    </row>
    <row r="1674" ht="24" customHeight="1" s="63">
      <c r="E1674" s="139" t="n"/>
      <c r="F1674" s="139" t="n"/>
      <c r="G1674" s="140">
        <f>IFERROR(IF(E1674&gt;0,(F1674/E1674)*1000,""),"")</f>
        <v/>
      </c>
      <c r="H1674" s="139">
        <f>IFERROR(IF(E1674&gt;0,E1674*IF(ISNUMBER(J1674),J1674,IF(OR(C1674="Alpha",B1674="Alpha"),$C$7,IF(C1674="Futures",$C$6,$C$5))),""),"")</f>
        <v/>
      </c>
      <c r="I1674" s="139">
        <f>IFERROR(IF(AND(ISNUMBER(F1674),ISNUMBER(H1674)),F1674-H1674,""),"")</f>
        <v/>
      </c>
      <c r="J1674" s="114" t="n"/>
      <c r="K1674" s="139">
        <f>IFERROR(IF(H1674&gt;0,H1674*IF(OR(C1674="Alpha",B1674="Alpha"),$C$9,$C$8),""),"")</f>
        <v/>
      </c>
      <c r="L1674" s="139">
        <f>IFERROR(IF(ISNUMBER(F1674),F1674-IF(ISNUMBER(K1674),K1674,0),""),"")</f>
        <v/>
      </c>
    </row>
    <row r="1675" ht="24" customHeight="1" s="63">
      <c r="E1675" s="139" t="n"/>
      <c r="F1675" s="139" t="n"/>
      <c r="G1675" s="140">
        <f>IFERROR(IF(E1675&gt;0,(F1675/E1675)*1000,""),"")</f>
        <v/>
      </c>
      <c r="H1675" s="139">
        <f>IFERROR(IF(E1675&gt;0,E1675*IF(ISNUMBER(J1675),J1675,IF(OR(C1675="Alpha",B1675="Alpha"),$C$7,IF(C1675="Futures",$C$6,$C$5))),""),"")</f>
        <v/>
      </c>
      <c r="I1675" s="139">
        <f>IFERROR(IF(AND(ISNUMBER(F1675),ISNUMBER(H1675)),F1675-H1675,""),"")</f>
        <v/>
      </c>
      <c r="J1675" s="114" t="n"/>
      <c r="K1675" s="139">
        <f>IFERROR(IF(H1675&gt;0,H1675*IF(OR(C1675="Alpha",B1675="Alpha"),$C$9,$C$8),""),"")</f>
        <v/>
      </c>
      <c r="L1675" s="139">
        <f>IFERROR(IF(ISNUMBER(F1675),F1675-IF(ISNUMBER(K1675),K1675,0),""),"")</f>
        <v/>
      </c>
    </row>
    <row r="1676" ht="24" customHeight="1" s="63">
      <c r="E1676" s="139" t="n"/>
      <c r="F1676" s="139" t="n"/>
      <c r="G1676" s="140">
        <f>IFERROR(IF(E1676&gt;0,(F1676/E1676)*1000,""),"")</f>
        <v/>
      </c>
      <c r="H1676" s="139">
        <f>IFERROR(IF(E1676&gt;0,E1676*IF(ISNUMBER(J1676),J1676,IF(OR(C1676="Alpha",B1676="Alpha"),$C$7,IF(C1676="Futures",$C$6,$C$5))),""),"")</f>
        <v/>
      </c>
      <c r="I1676" s="139">
        <f>IFERROR(IF(AND(ISNUMBER(F1676),ISNUMBER(H1676)),F1676-H1676,""),"")</f>
        <v/>
      </c>
      <c r="J1676" s="114" t="n"/>
      <c r="K1676" s="139">
        <f>IFERROR(IF(H1676&gt;0,H1676*IF(OR(C1676="Alpha",B1676="Alpha"),$C$9,$C$8),""),"")</f>
        <v/>
      </c>
      <c r="L1676" s="139">
        <f>IFERROR(IF(ISNUMBER(F1676),F1676-IF(ISNUMBER(K1676),K1676,0),""),"")</f>
        <v/>
      </c>
    </row>
    <row r="1677" ht="24" customHeight="1" s="63">
      <c r="E1677" s="139" t="n"/>
      <c r="F1677" s="139" t="n"/>
      <c r="G1677" s="140">
        <f>IFERROR(IF(E1677&gt;0,(F1677/E1677)*1000,""),"")</f>
        <v/>
      </c>
      <c r="H1677" s="139">
        <f>IFERROR(IF(E1677&gt;0,E1677*IF(ISNUMBER(J1677),J1677,IF(OR(C1677="Alpha",B1677="Alpha"),$C$7,IF(C1677="Futures",$C$6,$C$5))),""),"")</f>
        <v/>
      </c>
      <c r="I1677" s="139">
        <f>IFERROR(IF(AND(ISNUMBER(F1677),ISNUMBER(H1677)),F1677-H1677,""),"")</f>
        <v/>
      </c>
      <c r="J1677" s="114" t="n"/>
      <c r="K1677" s="139">
        <f>IFERROR(IF(H1677&gt;0,H1677*IF(OR(C1677="Alpha",B1677="Alpha"),$C$9,$C$8),""),"")</f>
        <v/>
      </c>
      <c r="L1677" s="139">
        <f>IFERROR(IF(ISNUMBER(F1677),F1677-IF(ISNUMBER(K1677),K1677,0),""),"")</f>
        <v/>
      </c>
    </row>
    <row r="1678" ht="24" customHeight="1" s="63">
      <c r="E1678" s="139" t="n"/>
      <c r="F1678" s="139" t="n"/>
      <c r="G1678" s="140">
        <f>IFERROR(IF(E1678&gt;0,(F1678/E1678)*1000,""),"")</f>
        <v/>
      </c>
      <c r="H1678" s="139">
        <f>IFERROR(IF(E1678&gt;0,E1678*IF(ISNUMBER(J1678),J1678,IF(OR(C1678="Alpha",B1678="Alpha"),$C$7,IF(C1678="Futures",$C$6,$C$5))),""),"")</f>
        <v/>
      </c>
      <c r="I1678" s="139">
        <f>IFERROR(IF(AND(ISNUMBER(F1678),ISNUMBER(H1678)),F1678-H1678,""),"")</f>
        <v/>
      </c>
      <c r="J1678" s="114" t="n"/>
      <c r="K1678" s="139">
        <f>IFERROR(IF(H1678&gt;0,H1678*IF(OR(C1678="Alpha",B1678="Alpha"),$C$9,$C$8),""),"")</f>
        <v/>
      </c>
      <c r="L1678" s="139">
        <f>IFERROR(IF(ISNUMBER(F1678),F1678-IF(ISNUMBER(K1678),K1678,0),""),"")</f>
        <v/>
      </c>
    </row>
    <row r="1679" ht="24" customHeight="1" s="63">
      <c r="E1679" s="139" t="n"/>
      <c r="F1679" s="139" t="n"/>
      <c r="G1679" s="140">
        <f>IFERROR(IF(E1679&gt;0,(F1679/E1679)*1000,""),"")</f>
        <v/>
      </c>
      <c r="H1679" s="139">
        <f>IFERROR(IF(E1679&gt;0,E1679*IF(ISNUMBER(J1679),J1679,IF(OR(C1679="Alpha",B1679="Alpha"),$C$7,IF(C1679="Futures",$C$6,$C$5))),""),"")</f>
        <v/>
      </c>
      <c r="I1679" s="139">
        <f>IFERROR(IF(AND(ISNUMBER(F1679),ISNUMBER(H1679)),F1679-H1679,""),"")</f>
        <v/>
      </c>
      <c r="J1679" s="114" t="n"/>
      <c r="K1679" s="139">
        <f>IFERROR(IF(H1679&gt;0,H1679*IF(OR(C1679="Alpha",B1679="Alpha"),$C$9,$C$8),""),"")</f>
        <v/>
      </c>
      <c r="L1679" s="139">
        <f>IFERROR(IF(ISNUMBER(F1679),F1679-IF(ISNUMBER(K1679),K1679,0),""),"")</f>
        <v/>
      </c>
    </row>
    <row r="1680" ht="24" customHeight="1" s="63">
      <c r="E1680" s="139" t="n"/>
      <c r="F1680" s="139" t="n"/>
      <c r="G1680" s="140">
        <f>IFERROR(IF(E1680&gt;0,(F1680/E1680)*1000,""),"")</f>
        <v/>
      </c>
      <c r="H1680" s="139">
        <f>IFERROR(IF(E1680&gt;0,E1680*IF(ISNUMBER(J1680),J1680,IF(OR(C1680="Alpha",B1680="Alpha"),$C$7,IF(C1680="Futures",$C$6,$C$5))),""),"")</f>
        <v/>
      </c>
      <c r="I1680" s="139">
        <f>IFERROR(IF(AND(ISNUMBER(F1680),ISNUMBER(H1680)),F1680-H1680,""),"")</f>
        <v/>
      </c>
      <c r="J1680" s="114" t="n"/>
      <c r="K1680" s="139">
        <f>IFERROR(IF(H1680&gt;0,H1680*IF(OR(C1680="Alpha",B1680="Alpha"),$C$9,$C$8),""),"")</f>
        <v/>
      </c>
      <c r="L1680" s="139">
        <f>IFERROR(IF(ISNUMBER(F1680),F1680-IF(ISNUMBER(K1680),K1680,0),""),"")</f>
        <v/>
      </c>
    </row>
    <row r="1681" ht="24" customHeight="1" s="63">
      <c r="E1681" s="139" t="n"/>
      <c r="F1681" s="139" t="n"/>
      <c r="G1681" s="140">
        <f>IFERROR(IF(E1681&gt;0,(F1681/E1681)*1000,""),"")</f>
        <v/>
      </c>
      <c r="H1681" s="139">
        <f>IFERROR(IF(E1681&gt;0,E1681*IF(ISNUMBER(J1681),J1681,IF(OR(C1681="Alpha",B1681="Alpha"),$C$7,IF(C1681="Futures",$C$6,$C$5))),""),"")</f>
        <v/>
      </c>
      <c r="I1681" s="139">
        <f>IFERROR(IF(AND(ISNUMBER(F1681),ISNUMBER(H1681)),F1681-H1681,""),"")</f>
        <v/>
      </c>
      <c r="J1681" s="114" t="n"/>
      <c r="K1681" s="139">
        <f>IFERROR(IF(H1681&gt;0,H1681*IF(OR(C1681="Alpha",B1681="Alpha"),$C$9,$C$8),""),"")</f>
        <v/>
      </c>
      <c r="L1681" s="139">
        <f>IFERROR(IF(ISNUMBER(F1681),F1681-IF(ISNUMBER(K1681),K1681,0),""),"")</f>
        <v/>
      </c>
    </row>
    <row r="1682" ht="24" customHeight="1" s="63">
      <c r="E1682" s="139" t="n"/>
      <c r="F1682" s="139" t="n"/>
      <c r="G1682" s="140">
        <f>IFERROR(IF(E1682&gt;0,(F1682/E1682)*1000,""),"")</f>
        <v/>
      </c>
      <c r="H1682" s="139">
        <f>IFERROR(IF(E1682&gt;0,E1682*IF(ISNUMBER(J1682),J1682,IF(OR(C1682="Alpha",B1682="Alpha"),$C$7,IF(C1682="Futures",$C$6,$C$5))),""),"")</f>
        <v/>
      </c>
      <c r="I1682" s="139">
        <f>IFERROR(IF(AND(ISNUMBER(F1682),ISNUMBER(H1682)),F1682-H1682,""),"")</f>
        <v/>
      </c>
      <c r="J1682" s="114" t="n"/>
      <c r="K1682" s="139">
        <f>IFERROR(IF(H1682&gt;0,H1682*IF(OR(C1682="Alpha",B1682="Alpha"),$C$9,$C$8),""),"")</f>
        <v/>
      </c>
      <c r="L1682" s="139">
        <f>IFERROR(IF(ISNUMBER(F1682),F1682-IF(ISNUMBER(K1682),K1682,0),""),"")</f>
        <v/>
      </c>
    </row>
    <row r="1683" ht="24" customHeight="1" s="63">
      <c r="E1683" s="139" t="n"/>
      <c r="F1683" s="139" t="n"/>
      <c r="G1683" s="140">
        <f>IFERROR(IF(E1683&gt;0,(F1683/E1683)*1000,""),"")</f>
        <v/>
      </c>
      <c r="H1683" s="139">
        <f>IFERROR(IF(E1683&gt;0,E1683*IF(ISNUMBER(J1683),J1683,IF(OR(C1683="Alpha",B1683="Alpha"),$C$7,IF(C1683="Futures",$C$6,$C$5))),""),"")</f>
        <v/>
      </c>
      <c r="I1683" s="139">
        <f>IFERROR(IF(AND(ISNUMBER(F1683),ISNUMBER(H1683)),F1683-H1683,""),"")</f>
        <v/>
      </c>
      <c r="J1683" s="114" t="n"/>
      <c r="K1683" s="139">
        <f>IFERROR(IF(H1683&gt;0,H1683*IF(OR(C1683="Alpha",B1683="Alpha"),$C$9,$C$8),""),"")</f>
        <v/>
      </c>
      <c r="L1683" s="139">
        <f>IFERROR(IF(ISNUMBER(F1683),F1683-IF(ISNUMBER(K1683),K1683,0),""),"")</f>
        <v/>
      </c>
    </row>
    <row r="1684" ht="24" customHeight="1" s="63">
      <c r="E1684" s="139" t="n"/>
      <c r="F1684" s="139" t="n"/>
      <c r="G1684" s="140">
        <f>IFERROR(IF(E1684&gt;0,(F1684/E1684)*1000,""),"")</f>
        <v/>
      </c>
      <c r="H1684" s="139">
        <f>IFERROR(IF(E1684&gt;0,E1684*IF(ISNUMBER(J1684),J1684,IF(OR(C1684="Alpha",B1684="Alpha"),$C$7,IF(C1684="Futures",$C$6,$C$5))),""),"")</f>
        <v/>
      </c>
      <c r="I1684" s="139">
        <f>IFERROR(IF(AND(ISNUMBER(F1684),ISNUMBER(H1684)),F1684-H1684,""),"")</f>
        <v/>
      </c>
      <c r="J1684" s="114" t="n"/>
      <c r="K1684" s="139">
        <f>IFERROR(IF(H1684&gt;0,H1684*IF(OR(C1684="Alpha",B1684="Alpha"),$C$9,$C$8),""),"")</f>
        <v/>
      </c>
      <c r="L1684" s="139">
        <f>IFERROR(IF(ISNUMBER(F1684),F1684-IF(ISNUMBER(K1684),K1684,0),""),"")</f>
        <v/>
      </c>
    </row>
    <row r="1685" ht="24" customHeight="1" s="63">
      <c r="E1685" s="139" t="n"/>
      <c r="F1685" s="139" t="n"/>
      <c r="G1685" s="140">
        <f>IFERROR(IF(E1685&gt;0,(F1685/E1685)*1000,""),"")</f>
        <v/>
      </c>
      <c r="H1685" s="139">
        <f>IFERROR(IF(E1685&gt;0,E1685*IF(ISNUMBER(J1685),J1685,IF(OR(C1685="Alpha",B1685="Alpha"),$C$7,IF(C1685="Futures",$C$6,$C$5))),""),"")</f>
        <v/>
      </c>
      <c r="I1685" s="139">
        <f>IFERROR(IF(AND(ISNUMBER(F1685),ISNUMBER(H1685)),F1685-H1685,""),"")</f>
        <v/>
      </c>
      <c r="J1685" s="114" t="n"/>
      <c r="K1685" s="139">
        <f>IFERROR(IF(H1685&gt;0,H1685*IF(OR(C1685="Alpha",B1685="Alpha"),$C$9,$C$8),""),"")</f>
        <v/>
      </c>
      <c r="L1685" s="139">
        <f>IFERROR(IF(ISNUMBER(F1685),F1685-IF(ISNUMBER(K1685),K1685,0),""),"")</f>
        <v/>
      </c>
    </row>
    <row r="1686" ht="24" customHeight="1" s="63">
      <c r="E1686" s="139" t="n"/>
      <c r="F1686" s="139" t="n"/>
      <c r="G1686" s="140">
        <f>IFERROR(IF(E1686&gt;0,(F1686/E1686)*1000,""),"")</f>
        <v/>
      </c>
      <c r="H1686" s="139">
        <f>IFERROR(IF(E1686&gt;0,E1686*IF(ISNUMBER(J1686),J1686,IF(OR(C1686="Alpha",B1686="Alpha"),$C$7,IF(C1686="Futures",$C$6,$C$5))),""),"")</f>
        <v/>
      </c>
      <c r="I1686" s="139">
        <f>IFERROR(IF(AND(ISNUMBER(F1686),ISNUMBER(H1686)),F1686-H1686,""),"")</f>
        <v/>
      </c>
      <c r="J1686" s="114" t="n"/>
      <c r="K1686" s="139">
        <f>IFERROR(IF(H1686&gt;0,H1686*IF(OR(C1686="Alpha",B1686="Alpha"),$C$9,$C$8),""),"")</f>
        <v/>
      </c>
      <c r="L1686" s="139">
        <f>IFERROR(IF(ISNUMBER(F1686),F1686-IF(ISNUMBER(K1686),K1686,0),""),"")</f>
        <v/>
      </c>
    </row>
    <row r="1687" ht="24" customHeight="1" s="63">
      <c r="E1687" s="139" t="n"/>
      <c r="F1687" s="139" t="n"/>
      <c r="G1687" s="140">
        <f>IFERROR(IF(E1687&gt;0,(F1687/E1687)*1000,""),"")</f>
        <v/>
      </c>
      <c r="H1687" s="139">
        <f>IFERROR(IF(E1687&gt;0,E1687*IF(ISNUMBER(J1687),J1687,IF(OR(C1687="Alpha",B1687="Alpha"),$C$7,IF(C1687="Futures",$C$6,$C$5))),""),"")</f>
        <v/>
      </c>
      <c r="I1687" s="139">
        <f>IFERROR(IF(AND(ISNUMBER(F1687),ISNUMBER(H1687)),F1687-H1687,""),"")</f>
        <v/>
      </c>
      <c r="J1687" s="114" t="n"/>
      <c r="K1687" s="139">
        <f>IFERROR(IF(H1687&gt;0,H1687*IF(OR(C1687="Alpha",B1687="Alpha"),$C$9,$C$8),""),"")</f>
        <v/>
      </c>
      <c r="L1687" s="139">
        <f>IFERROR(IF(ISNUMBER(F1687),F1687-IF(ISNUMBER(K1687),K1687,0),""),"")</f>
        <v/>
      </c>
    </row>
    <row r="1688" ht="24" customHeight="1" s="63">
      <c r="E1688" s="139" t="n"/>
      <c r="F1688" s="139" t="n"/>
      <c r="G1688" s="140">
        <f>IFERROR(IF(E1688&gt;0,(F1688/E1688)*1000,""),"")</f>
        <v/>
      </c>
      <c r="H1688" s="139">
        <f>IFERROR(IF(E1688&gt;0,E1688*IF(ISNUMBER(J1688),J1688,IF(OR(C1688="Alpha",B1688="Alpha"),$C$7,IF(C1688="Futures",$C$6,$C$5))),""),"")</f>
        <v/>
      </c>
      <c r="I1688" s="139">
        <f>IFERROR(IF(AND(ISNUMBER(F1688),ISNUMBER(H1688)),F1688-H1688,""),"")</f>
        <v/>
      </c>
      <c r="J1688" s="114" t="n"/>
      <c r="K1688" s="139">
        <f>IFERROR(IF(H1688&gt;0,H1688*IF(OR(C1688="Alpha",B1688="Alpha"),$C$9,$C$8),""),"")</f>
        <v/>
      </c>
      <c r="L1688" s="139">
        <f>IFERROR(IF(ISNUMBER(F1688),F1688-IF(ISNUMBER(K1688),K1688,0),""),"")</f>
        <v/>
      </c>
    </row>
    <row r="1689" ht="24" customHeight="1" s="63">
      <c r="E1689" s="139" t="n"/>
      <c r="F1689" s="139" t="n"/>
      <c r="G1689" s="140">
        <f>IFERROR(IF(E1689&gt;0,(F1689/E1689)*1000,""),"")</f>
        <v/>
      </c>
      <c r="H1689" s="139">
        <f>IFERROR(IF(E1689&gt;0,E1689*IF(ISNUMBER(J1689),J1689,IF(OR(C1689="Alpha",B1689="Alpha"),$C$7,IF(C1689="Futures",$C$6,$C$5))),""),"")</f>
        <v/>
      </c>
      <c r="I1689" s="139">
        <f>IFERROR(IF(AND(ISNUMBER(F1689),ISNUMBER(H1689)),F1689-H1689,""),"")</f>
        <v/>
      </c>
      <c r="J1689" s="114" t="n"/>
      <c r="K1689" s="139">
        <f>IFERROR(IF(H1689&gt;0,H1689*IF(OR(C1689="Alpha",B1689="Alpha"),$C$9,$C$8),""),"")</f>
        <v/>
      </c>
      <c r="L1689" s="139">
        <f>IFERROR(IF(ISNUMBER(F1689),F1689-IF(ISNUMBER(K1689),K1689,0),""),"")</f>
        <v/>
      </c>
    </row>
    <row r="1690" ht="24" customHeight="1" s="63">
      <c r="E1690" s="139" t="n"/>
      <c r="F1690" s="139" t="n"/>
      <c r="G1690" s="140">
        <f>IFERROR(IF(E1690&gt;0,(F1690/E1690)*1000,""),"")</f>
        <v/>
      </c>
      <c r="H1690" s="139">
        <f>IFERROR(IF(E1690&gt;0,E1690*IF(ISNUMBER(J1690),J1690,IF(OR(C1690="Alpha",B1690="Alpha"),$C$7,IF(C1690="Futures",$C$6,$C$5))),""),"")</f>
        <v/>
      </c>
      <c r="I1690" s="139">
        <f>IFERROR(IF(AND(ISNUMBER(F1690),ISNUMBER(H1690)),F1690-H1690,""),"")</f>
        <v/>
      </c>
      <c r="J1690" s="114" t="n"/>
      <c r="K1690" s="139">
        <f>IFERROR(IF(H1690&gt;0,H1690*IF(OR(C1690="Alpha",B1690="Alpha"),$C$9,$C$8),""),"")</f>
        <v/>
      </c>
      <c r="L1690" s="139">
        <f>IFERROR(IF(ISNUMBER(F1690),F1690-IF(ISNUMBER(K1690),K1690,0),""),"")</f>
        <v/>
      </c>
    </row>
    <row r="1691" ht="24" customHeight="1" s="63">
      <c r="E1691" s="139" t="n"/>
      <c r="F1691" s="139" t="n"/>
      <c r="G1691" s="140">
        <f>IFERROR(IF(E1691&gt;0,(F1691/E1691)*1000,""),"")</f>
        <v/>
      </c>
      <c r="H1691" s="139">
        <f>IFERROR(IF(E1691&gt;0,E1691*IF(ISNUMBER(J1691),J1691,IF(OR(C1691="Alpha",B1691="Alpha"),$C$7,IF(C1691="Futures",$C$6,$C$5))),""),"")</f>
        <v/>
      </c>
      <c r="I1691" s="139">
        <f>IFERROR(IF(AND(ISNUMBER(F1691),ISNUMBER(H1691)),F1691-H1691,""),"")</f>
        <v/>
      </c>
      <c r="J1691" s="114" t="n"/>
      <c r="K1691" s="139">
        <f>IFERROR(IF(H1691&gt;0,H1691*IF(OR(C1691="Alpha",B1691="Alpha"),$C$9,$C$8),""),"")</f>
        <v/>
      </c>
      <c r="L1691" s="139">
        <f>IFERROR(IF(ISNUMBER(F1691),F1691-IF(ISNUMBER(K1691),K1691,0),""),"")</f>
        <v/>
      </c>
    </row>
    <row r="1692" ht="24" customHeight="1" s="63">
      <c r="E1692" s="139" t="n"/>
      <c r="F1692" s="139" t="n"/>
      <c r="G1692" s="140">
        <f>IFERROR(IF(E1692&gt;0,(F1692/E1692)*1000,""),"")</f>
        <v/>
      </c>
      <c r="H1692" s="139">
        <f>IFERROR(IF(E1692&gt;0,E1692*IF(ISNUMBER(J1692),J1692,IF(OR(C1692="Alpha",B1692="Alpha"),$C$7,IF(C1692="Futures",$C$6,$C$5))),""),"")</f>
        <v/>
      </c>
      <c r="I1692" s="139">
        <f>IFERROR(IF(AND(ISNUMBER(F1692),ISNUMBER(H1692)),F1692-H1692,""),"")</f>
        <v/>
      </c>
      <c r="J1692" s="114" t="n"/>
      <c r="K1692" s="139">
        <f>IFERROR(IF(H1692&gt;0,H1692*IF(OR(C1692="Alpha",B1692="Alpha"),$C$9,$C$8),""),"")</f>
        <v/>
      </c>
      <c r="L1692" s="139">
        <f>IFERROR(IF(ISNUMBER(F1692),F1692-IF(ISNUMBER(K1692),K1692,0),""),"")</f>
        <v/>
      </c>
    </row>
    <row r="1693" ht="24" customHeight="1" s="63">
      <c r="E1693" s="139" t="n"/>
      <c r="F1693" s="139" t="n"/>
      <c r="G1693" s="140">
        <f>IFERROR(IF(E1693&gt;0,(F1693/E1693)*1000,""),"")</f>
        <v/>
      </c>
      <c r="H1693" s="139">
        <f>IFERROR(IF(E1693&gt;0,E1693*IF(ISNUMBER(J1693),J1693,IF(OR(C1693="Alpha",B1693="Alpha"),$C$7,IF(C1693="Futures",$C$6,$C$5))),""),"")</f>
        <v/>
      </c>
      <c r="I1693" s="139">
        <f>IFERROR(IF(AND(ISNUMBER(F1693),ISNUMBER(H1693)),F1693-H1693,""),"")</f>
        <v/>
      </c>
      <c r="J1693" s="114" t="n"/>
      <c r="K1693" s="139">
        <f>IFERROR(IF(H1693&gt;0,H1693*IF(OR(C1693="Alpha",B1693="Alpha"),$C$9,$C$8),""),"")</f>
        <v/>
      </c>
      <c r="L1693" s="139">
        <f>IFERROR(IF(ISNUMBER(F1693),F1693-IF(ISNUMBER(K1693),K1693,0),""),"")</f>
        <v/>
      </c>
    </row>
    <row r="1694" ht="24" customHeight="1" s="63">
      <c r="E1694" s="139" t="n"/>
      <c r="F1694" s="139" t="n"/>
      <c r="G1694" s="140">
        <f>IFERROR(IF(E1694&gt;0,(F1694/E1694)*1000,""),"")</f>
        <v/>
      </c>
      <c r="H1694" s="139">
        <f>IFERROR(IF(E1694&gt;0,E1694*IF(ISNUMBER(J1694),J1694,IF(OR(C1694="Alpha",B1694="Alpha"),$C$7,IF(C1694="Futures",$C$6,$C$5))),""),"")</f>
        <v/>
      </c>
      <c r="I1694" s="139">
        <f>IFERROR(IF(AND(ISNUMBER(F1694),ISNUMBER(H1694)),F1694-H1694,""),"")</f>
        <v/>
      </c>
      <c r="J1694" s="114" t="n"/>
      <c r="K1694" s="139">
        <f>IFERROR(IF(H1694&gt;0,H1694*IF(OR(C1694="Alpha",B1694="Alpha"),$C$9,$C$8),""),"")</f>
        <v/>
      </c>
      <c r="L1694" s="139">
        <f>IFERROR(IF(ISNUMBER(F1694),F1694-IF(ISNUMBER(K1694),K1694,0),""),"")</f>
        <v/>
      </c>
    </row>
    <row r="1695" ht="24" customHeight="1" s="63">
      <c r="E1695" s="139" t="n"/>
      <c r="F1695" s="139" t="n"/>
      <c r="G1695" s="140">
        <f>IFERROR(IF(E1695&gt;0,(F1695/E1695)*1000,""),"")</f>
        <v/>
      </c>
      <c r="H1695" s="139">
        <f>IFERROR(IF(E1695&gt;0,E1695*IF(ISNUMBER(J1695),J1695,IF(OR(C1695="Alpha",B1695="Alpha"),$C$7,IF(C1695="Futures",$C$6,$C$5))),""),"")</f>
        <v/>
      </c>
      <c r="I1695" s="139">
        <f>IFERROR(IF(AND(ISNUMBER(F1695),ISNUMBER(H1695)),F1695-H1695,""),"")</f>
        <v/>
      </c>
      <c r="J1695" s="114" t="n"/>
      <c r="K1695" s="139">
        <f>IFERROR(IF(H1695&gt;0,H1695*IF(OR(C1695="Alpha",B1695="Alpha"),$C$9,$C$8),""),"")</f>
        <v/>
      </c>
      <c r="L1695" s="139">
        <f>IFERROR(IF(ISNUMBER(F1695),F1695-IF(ISNUMBER(K1695),K1695,0),""),"")</f>
        <v/>
      </c>
    </row>
    <row r="1696" ht="24" customHeight="1" s="63">
      <c r="E1696" s="139" t="n"/>
      <c r="F1696" s="139" t="n"/>
      <c r="G1696" s="140">
        <f>IFERROR(IF(E1696&gt;0,(F1696/E1696)*1000,""),"")</f>
        <v/>
      </c>
      <c r="H1696" s="139">
        <f>IFERROR(IF(E1696&gt;0,E1696*IF(ISNUMBER(J1696),J1696,IF(OR(C1696="Alpha",B1696="Alpha"),$C$7,IF(C1696="Futures",$C$6,$C$5))),""),"")</f>
        <v/>
      </c>
      <c r="I1696" s="139">
        <f>IFERROR(IF(AND(ISNUMBER(F1696),ISNUMBER(H1696)),F1696-H1696,""),"")</f>
        <v/>
      </c>
      <c r="J1696" s="114" t="n"/>
      <c r="K1696" s="139">
        <f>IFERROR(IF(H1696&gt;0,H1696*IF(OR(C1696="Alpha",B1696="Alpha"),$C$9,$C$8),""),"")</f>
        <v/>
      </c>
      <c r="L1696" s="139">
        <f>IFERROR(IF(ISNUMBER(F1696),F1696-IF(ISNUMBER(K1696),K1696,0),""),"")</f>
        <v/>
      </c>
    </row>
    <row r="1697" ht="24" customHeight="1" s="63">
      <c r="E1697" s="139" t="n"/>
      <c r="F1697" s="139" t="n"/>
      <c r="G1697" s="140">
        <f>IFERROR(IF(E1697&gt;0,(F1697/E1697)*1000,""),"")</f>
        <v/>
      </c>
      <c r="H1697" s="139">
        <f>IFERROR(IF(E1697&gt;0,E1697*IF(ISNUMBER(J1697),J1697,IF(OR(C1697="Alpha",B1697="Alpha"),$C$7,IF(C1697="Futures",$C$6,$C$5))),""),"")</f>
        <v/>
      </c>
      <c r="I1697" s="139">
        <f>IFERROR(IF(AND(ISNUMBER(F1697),ISNUMBER(H1697)),F1697-H1697,""),"")</f>
        <v/>
      </c>
      <c r="J1697" s="114" t="n"/>
      <c r="K1697" s="139">
        <f>IFERROR(IF(H1697&gt;0,H1697*IF(OR(C1697="Alpha",B1697="Alpha"),$C$9,$C$8),""),"")</f>
        <v/>
      </c>
      <c r="L1697" s="139">
        <f>IFERROR(IF(ISNUMBER(F1697),F1697-IF(ISNUMBER(K1697),K1697,0),""),"")</f>
        <v/>
      </c>
    </row>
    <row r="1698" ht="24" customHeight="1" s="63">
      <c r="E1698" s="139" t="n"/>
      <c r="F1698" s="139" t="n"/>
      <c r="G1698" s="140">
        <f>IFERROR(IF(E1698&gt;0,(F1698/E1698)*1000,""),"")</f>
        <v/>
      </c>
      <c r="H1698" s="139">
        <f>IFERROR(IF(E1698&gt;0,E1698*IF(ISNUMBER(J1698),J1698,IF(OR(C1698="Alpha",B1698="Alpha"),$C$7,IF(C1698="Futures",$C$6,$C$5))),""),"")</f>
        <v/>
      </c>
      <c r="I1698" s="139">
        <f>IFERROR(IF(AND(ISNUMBER(F1698),ISNUMBER(H1698)),F1698-H1698,""),"")</f>
        <v/>
      </c>
      <c r="J1698" s="114" t="n"/>
      <c r="K1698" s="139">
        <f>IFERROR(IF(H1698&gt;0,H1698*IF(OR(C1698="Alpha",B1698="Alpha"),$C$9,$C$8),""),"")</f>
        <v/>
      </c>
      <c r="L1698" s="139">
        <f>IFERROR(IF(ISNUMBER(F1698),F1698-IF(ISNUMBER(K1698),K1698,0),""),"")</f>
        <v/>
      </c>
    </row>
    <row r="1699" ht="24" customHeight="1" s="63">
      <c r="E1699" s="139" t="n"/>
      <c r="F1699" s="139" t="n"/>
      <c r="G1699" s="140">
        <f>IFERROR(IF(E1699&gt;0,(F1699/E1699)*1000,""),"")</f>
        <v/>
      </c>
      <c r="H1699" s="139">
        <f>IFERROR(IF(E1699&gt;0,E1699*IF(ISNUMBER(J1699),J1699,IF(OR(C1699="Alpha",B1699="Alpha"),$C$7,IF(C1699="Futures",$C$6,$C$5))),""),"")</f>
        <v/>
      </c>
      <c r="I1699" s="139">
        <f>IFERROR(IF(AND(ISNUMBER(F1699),ISNUMBER(H1699)),F1699-H1699,""),"")</f>
        <v/>
      </c>
      <c r="J1699" s="114" t="n"/>
      <c r="K1699" s="139">
        <f>IFERROR(IF(H1699&gt;0,H1699*IF(OR(C1699="Alpha",B1699="Alpha"),$C$9,$C$8),""),"")</f>
        <v/>
      </c>
      <c r="L1699" s="139">
        <f>IFERROR(IF(ISNUMBER(F1699),F1699-IF(ISNUMBER(K1699),K1699,0),""),"")</f>
        <v/>
      </c>
    </row>
    <row r="1700" ht="24" customHeight="1" s="63">
      <c r="E1700" s="139" t="n"/>
      <c r="F1700" s="139" t="n"/>
      <c r="G1700" s="140">
        <f>IFERROR(IF(E1700&gt;0,(F1700/E1700)*1000,""),"")</f>
        <v/>
      </c>
      <c r="H1700" s="139">
        <f>IFERROR(IF(E1700&gt;0,E1700*IF(ISNUMBER(J1700),J1700,IF(OR(C1700="Alpha",B1700="Alpha"),$C$7,IF(C1700="Futures",$C$6,$C$5))),""),"")</f>
        <v/>
      </c>
      <c r="I1700" s="139">
        <f>IFERROR(IF(AND(ISNUMBER(F1700),ISNUMBER(H1700)),F1700-H1700,""),"")</f>
        <v/>
      </c>
      <c r="J1700" s="114" t="n"/>
      <c r="K1700" s="139">
        <f>IFERROR(IF(H1700&gt;0,H1700*IF(OR(C1700="Alpha",B1700="Alpha"),$C$9,$C$8),""),"")</f>
        <v/>
      </c>
      <c r="L1700" s="139">
        <f>IFERROR(IF(ISNUMBER(F1700),F1700-IF(ISNUMBER(K1700),K1700,0),""),"")</f>
        <v/>
      </c>
    </row>
    <row r="1701" ht="24" customHeight="1" s="63">
      <c r="E1701" s="139" t="n"/>
      <c r="F1701" s="139" t="n"/>
      <c r="G1701" s="140">
        <f>IFERROR(IF(E1701&gt;0,(F1701/E1701)*1000,""),"")</f>
        <v/>
      </c>
      <c r="H1701" s="139">
        <f>IFERROR(IF(E1701&gt;0,E1701*IF(ISNUMBER(J1701),J1701,IF(OR(C1701="Alpha",B1701="Alpha"),$C$7,IF(C1701="Futures",$C$6,$C$5))),""),"")</f>
        <v/>
      </c>
      <c r="I1701" s="139">
        <f>IFERROR(IF(AND(ISNUMBER(F1701),ISNUMBER(H1701)),F1701-H1701,""),"")</f>
        <v/>
      </c>
      <c r="J1701" s="114" t="n"/>
      <c r="K1701" s="139">
        <f>IFERROR(IF(H1701&gt;0,H1701*IF(OR(C1701="Alpha",B1701="Alpha"),$C$9,$C$8),""),"")</f>
        <v/>
      </c>
      <c r="L1701" s="139">
        <f>IFERROR(IF(ISNUMBER(F1701),F1701-IF(ISNUMBER(K1701),K1701,0),""),"")</f>
        <v/>
      </c>
    </row>
    <row r="1702" ht="24" customHeight="1" s="63">
      <c r="E1702" s="139" t="n"/>
      <c r="F1702" s="139" t="n"/>
      <c r="G1702" s="140">
        <f>IFERROR(IF(E1702&gt;0,(F1702/E1702)*1000,""),"")</f>
        <v/>
      </c>
      <c r="H1702" s="139">
        <f>IFERROR(IF(E1702&gt;0,E1702*IF(ISNUMBER(J1702),J1702,IF(OR(C1702="Alpha",B1702="Alpha"),$C$7,IF(C1702="Futures",$C$6,$C$5))),""),"")</f>
        <v/>
      </c>
      <c r="I1702" s="139">
        <f>IFERROR(IF(AND(ISNUMBER(F1702),ISNUMBER(H1702)),F1702-H1702,""),"")</f>
        <v/>
      </c>
      <c r="J1702" s="114" t="n"/>
      <c r="K1702" s="139">
        <f>IFERROR(IF(H1702&gt;0,H1702*IF(OR(C1702="Alpha",B1702="Alpha"),$C$9,$C$8),""),"")</f>
        <v/>
      </c>
      <c r="L1702" s="139">
        <f>IFERROR(IF(ISNUMBER(F1702),F1702-IF(ISNUMBER(K1702),K1702,0),""),"")</f>
        <v/>
      </c>
    </row>
    <row r="1703" ht="24" customHeight="1" s="63">
      <c r="E1703" s="139" t="n"/>
      <c r="F1703" s="139" t="n"/>
      <c r="G1703" s="140">
        <f>IFERROR(IF(E1703&gt;0,(F1703/E1703)*1000,""),"")</f>
        <v/>
      </c>
      <c r="H1703" s="139">
        <f>IFERROR(IF(E1703&gt;0,E1703*IF(ISNUMBER(J1703),J1703,IF(OR(C1703="Alpha",B1703="Alpha"),$C$7,IF(C1703="Futures",$C$6,$C$5))),""),"")</f>
        <v/>
      </c>
      <c r="I1703" s="139">
        <f>IFERROR(IF(AND(ISNUMBER(F1703),ISNUMBER(H1703)),F1703-H1703,""),"")</f>
        <v/>
      </c>
      <c r="J1703" s="114" t="n"/>
      <c r="K1703" s="139">
        <f>IFERROR(IF(H1703&gt;0,H1703*IF(OR(C1703="Alpha",B1703="Alpha"),$C$9,$C$8),""),"")</f>
        <v/>
      </c>
      <c r="L1703" s="139">
        <f>IFERROR(IF(ISNUMBER(F1703),F1703-IF(ISNUMBER(K1703),K1703,0),""),"")</f>
        <v/>
      </c>
    </row>
    <row r="1704" ht="24" customHeight="1" s="63">
      <c r="E1704" s="139" t="n"/>
      <c r="F1704" s="139" t="n"/>
      <c r="G1704" s="140">
        <f>IFERROR(IF(E1704&gt;0,(F1704/E1704)*1000,""),"")</f>
        <v/>
      </c>
      <c r="H1704" s="139">
        <f>IFERROR(IF(E1704&gt;0,E1704*IF(ISNUMBER(J1704),J1704,IF(OR(C1704="Alpha",B1704="Alpha"),$C$7,IF(C1704="Futures",$C$6,$C$5))),""),"")</f>
        <v/>
      </c>
      <c r="I1704" s="139">
        <f>IFERROR(IF(AND(ISNUMBER(F1704),ISNUMBER(H1704)),F1704-H1704,""),"")</f>
        <v/>
      </c>
      <c r="J1704" s="114" t="n"/>
      <c r="K1704" s="139">
        <f>IFERROR(IF(H1704&gt;0,H1704*IF(OR(C1704="Alpha",B1704="Alpha"),$C$9,$C$8),""),"")</f>
        <v/>
      </c>
      <c r="L1704" s="139">
        <f>IFERROR(IF(ISNUMBER(F1704),F1704-IF(ISNUMBER(K1704),K1704,0),""),"")</f>
        <v/>
      </c>
    </row>
    <row r="1705" ht="24" customHeight="1" s="63">
      <c r="E1705" s="139" t="n"/>
      <c r="F1705" s="139" t="n"/>
      <c r="G1705" s="140">
        <f>IFERROR(IF(E1705&gt;0,(F1705/E1705)*1000,""),"")</f>
        <v/>
      </c>
      <c r="H1705" s="139">
        <f>IFERROR(IF(E1705&gt;0,E1705*IF(ISNUMBER(J1705),J1705,IF(OR(C1705="Alpha",B1705="Alpha"),$C$7,IF(C1705="Futures",$C$6,$C$5))),""),"")</f>
        <v/>
      </c>
      <c r="I1705" s="139">
        <f>IFERROR(IF(AND(ISNUMBER(F1705),ISNUMBER(H1705)),F1705-H1705,""),"")</f>
        <v/>
      </c>
      <c r="J1705" s="114" t="n"/>
      <c r="K1705" s="139">
        <f>IFERROR(IF(H1705&gt;0,H1705*IF(OR(C1705="Alpha",B1705="Alpha"),$C$9,$C$8),""),"")</f>
        <v/>
      </c>
      <c r="L1705" s="139">
        <f>IFERROR(IF(ISNUMBER(F1705),F1705-IF(ISNUMBER(K1705),K1705,0),""),"")</f>
        <v/>
      </c>
    </row>
    <row r="1706" ht="24" customHeight="1" s="63">
      <c r="E1706" s="139" t="n"/>
      <c r="F1706" s="139" t="n"/>
      <c r="G1706" s="140">
        <f>IFERROR(IF(E1706&gt;0,(F1706/E1706)*1000,""),"")</f>
        <v/>
      </c>
      <c r="H1706" s="139">
        <f>IFERROR(IF(E1706&gt;0,E1706*IF(ISNUMBER(J1706),J1706,IF(OR(C1706="Alpha",B1706="Alpha"),$C$7,IF(C1706="Futures",$C$6,$C$5))),""),"")</f>
        <v/>
      </c>
      <c r="I1706" s="139">
        <f>IFERROR(IF(AND(ISNUMBER(F1706),ISNUMBER(H1706)),F1706-H1706,""),"")</f>
        <v/>
      </c>
      <c r="J1706" s="114" t="n"/>
      <c r="K1706" s="139">
        <f>IFERROR(IF(H1706&gt;0,H1706*IF(OR(C1706="Alpha",B1706="Alpha"),$C$9,$C$8),""),"")</f>
        <v/>
      </c>
      <c r="L1706" s="139">
        <f>IFERROR(IF(ISNUMBER(F1706),F1706-IF(ISNUMBER(K1706),K1706,0),""),"")</f>
        <v/>
      </c>
    </row>
    <row r="1707" ht="24" customHeight="1" s="63">
      <c r="E1707" s="139" t="n"/>
      <c r="F1707" s="139" t="n"/>
      <c r="G1707" s="140">
        <f>IFERROR(IF(E1707&gt;0,(F1707/E1707)*1000,""),"")</f>
        <v/>
      </c>
      <c r="H1707" s="139">
        <f>IFERROR(IF(E1707&gt;0,E1707*IF(ISNUMBER(J1707),J1707,IF(OR(C1707="Alpha",B1707="Alpha"),$C$7,IF(C1707="Futures",$C$6,$C$5))),""),"")</f>
        <v/>
      </c>
      <c r="I1707" s="139">
        <f>IFERROR(IF(AND(ISNUMBER(F1707),ISNUMBER(H1707)),F1707-H1707,""),"")</f>
        <v/>
      </c>
      <c r="J1707" s="114" t="n"/>
      <c r="K1707" s="139">
        <f>IFERROR(IF(H1707&gt;0,H1707*IF(OR(C1707="Alpha",B1707="Alpha"),$C$9,$C$8),""),"")</f>
        <v/>
      </c>
      <c r="L1707" s="139">
        <f>IFERROR(IF(ISNUMBER(F1707),F1707-IF(ISNUMBER(K1707),K1707,0),""),"")</f>
        <v/>
      </c>
    </row>
    <row r="1708" ht="24" customHeight="1" s="63">
      <c r="E1708" s="139" t="n"/>
      <c r="F1708" s="139" t="n"/>
      <c r="G1708" s="140">
        <f>IFERROR(IF(E1708&gt;0,(F1708/E1708)*1000,""),"")</f>
        <v/>
      </c>
      <c r="H1708" s="139">
        <f>IFERROR(IF(E1708&gt;0,E1708*IF(ISNUMBER(J1708),J1708,IF(OR(C1708="Alpha",B1708="Alpha"),$C$7,IF(C1708="Futures",$C$6,$C$5))),""),"")</f>
        <v/>
      </c>
      <c r="I1708" s="139">
        <f>IFERROR(IF(AND(ISNUMBER(F1708),ISNUMBER(H1708)),F1708-H1708,""),"")</f>
        <v/>
      </c>
      <c r="J1708" s="114" t="n"/>
      <c r="K1708" s="139">
        <f>IFERROR(IF(H1708&gt;0,H1708*IF(OR(C1708="Alpha",B1708="Alpha"),$C$9,$C$8),""),"")</f>
        <v/>
      </c>
      <c r="L1708" s="139">
        <f>IFERROR(IF(ISNUMBER(F1708),F1708-IF(ISNUMBER(K1708),K1708,0),""),"")</f>
        <v/>
      </c>
    </row>
    <row r="1709" ht="24" customHeight="1" s="63">
      <c r="E1709" s="139" t="n"/>
      <c r="F1709" s="139" t="n"/>
      <c r="G1709" s="140">
        <f>IFERROR(IF(E1709&gt;0,(F1709/E1709)*1000,""),"")</f>
        <v/>
      </c>
      <c r="H1709" s="139">
        <f>IFERROR(IF(E1709&gt;0,E1709*IF(ISNUMBER(J1709),J1709,IF(OR(C1709="Alpha",B1709="Alpha"),$C$7,IF(C1709="Futures",$C$6,$C$5))),""),"")</f>
        <v/>
      </c>
      <c r="I1709" s="139">
        <f>IFERROR(IF(AND(ISNUMBER(F1709),ISNUMBER(H1709)),F1709-H1709,""),"")</f>
        <v/>
      </c>
      <c r="J1709" s="114" t="n"/>
      <c r="K1709" s="139">
        <f>IFERROR(IF(H1709&gt;0,H1709*IF(OR(C1709="Alpha",B1709="Alpha"),$C$9,$C$8),""),"")</f>
        <v/>
      </c>
      <c r="L1709" s="139">
        <f>IFERROR(IF(ISNUMBER(F1709),F1709-IF(ISNUMBER(K1709),K1709,0),""),"")</f>
        <v/>
      </c>
    </row>
    <row r="1710" ht="24" customHeight="1" s="63">
      <c r="E1710" s="139" t="n"/>
      <c r="F1710" s="139" t="n"/>
      <c r="G1710" s="140">
        <f>IFERROR(IF(E1710&gt;0,(F1710/E1710)*1000,""),"")</f>
        <v/>
      </c>
      <c r="H1710" s="139">
        <f>IFERROR(IF(E1710&gt;0,E1710*IF(ISNUMBER(J1710),J1710,IF(OR(C1710="Alpha",B1710="Alpha"),$C$7,IF(C1710="Futures",$C$6,$C$5))),""),"")</f>
        <v/>
      </c>
      <c r="I1710" s="139">
        <f>IFERROR(IF(AND(ISNUMBER(F1710),ISNUMBER(H1710)),F1710-H1710,""),"")</f>
        <v/>
      </c>
      <c r="J1710" s="114" t="n"/>
      <c r="K1710" s="139">
        <f>IFERROR(IF(H1710&gt;0,H1710*IF(OR(C1710="Alpha",B1710="Alpha"),$C$9,$C$8),""),"")</f>
        <v/>
      </c>
      <c r="L1710" s="139">
        <f>IFERROR(IF(ISNUMBER(F1710),F1710-IF(ISNUMBER(K1710),K1710,0),""),"")</f>
        <v/>
      </c>
    </row>
    <row r="1711" ht="24" customHeight="1" s="63">
      <c r="E1711" s="139" t="n"/>
      <c r="F1711" s="139" t="n"/>
      <c r="G1711" s="140">
        <f>IFERROR(IF(E1711&gt;0,(F1711/E1711)*1000,""),"")</f>
        <v/>
      </c>
      <c r="H1711" s="139">
        <f>IFERROR(IF(E1711&gt;0,E1711*IF(ISNUMBER(J1711),J1711,IF(OR(C1711="Alpha",B1711="Alpha"),$C$7,IF(C1711="Futures",$C$6,$C$5))),""),"")</f>
        <v/>
      </c>
      <c r="I1711" s="139">
        <f>IFERROR(IF(AND(ISNUMBER(F1711),ISNUMBER(H1711)),F1711-H1711,""),"")</f>
        <v/>
      </c>
      <c r="J1711" s="114" t="n"/>
      <c r="K1711" s="139">
        <f>IFERROR(IF(H1711&gt;0,H1711*IF(OR(C1711="Alpha",B1711="Alpha"),$C$9,$C$8),""),"")</f>
        <v/>
      </c>
      <c r="L1711" s="139">
        <f>IFERROR(IF(ISNUMBER(F1711),F1711-IF(ISNUMBER(K1711),K1711,0),""),"")</f>
        <v/>
      </c>
    </row>
    <row r="1712" ht="24" customHeight="1" s="63">
      <c r="E1712" s="139" t="n"/>
      <c r="F1712" s="139" t="n"/>
      <c r="G1712" s="140">
        <f>IFERROR(IF(E1712&gt;0,(F1712/E1712)*1000,""),"")</f>
        <v/>
      </c>
      <c r="H1712" s="139">
        <f>IFERROR(IF(E1712&gt;0,E1712*IF(ISNUMBER(J1712),J1712,IF(OR(C1712="Alpha",B1712="Alpha"),$C$7,IF(C1712="Futures",$C$6,$C$5))),""),"")</f>
        <v/>
      </c>
      <c r="I1712" s="139">
        <f>IFERROR(IF(AND(ISNUMBER(F1712),ISNUMBER(H1712)),F1712-H1712,""),"")</f>
        <v/>
      </c>
      <c r="J1712" s="114" t="n"/>
      <c r="K1712" s="139">
        <f>IFERROR(IF(H1712&gt;0,H1712*IF(OR(C1712="Alpha",B1712="Alpha"),$C$9,$C$8),""),"")</f>
        <v/>
      </c>
      <c r="L1712" s="139">
        <f>IFERROR(IF(ISNUMBER(F1712),F1712-IF(ISNUMBER(K1712),K1712,0),""),"")</f>
        <v/>
      </c>
    </row>
    <row r="1713" ht="24" customHeight="1" s="63">
      <c r="E1713" s="139" t="n"/>
      <c r="F1713" s="139" t="n"/>
      <c r="G1713" s="140">
        <f>IFERROR(IF(E1713&gt;0,(F1713/E1713)*1000,""),"")</f>
        <v/>
      </c>
      <c r="H1713" s="139">
        <f>IFERROR(IF(E1713&gt;0,E1713*IF(ISNUMBER(J1713),J1713,IF(OR(C1713="Alpha",B1713="Alpha"),$C$7,IF(C1713="Futures",$C$6,$C$5))),""),"")</f>
        <v/>
      </c>
      <c r="I1713" s="139">
        <f>IFERROR(IF(AND(ISNUMBER(F1713),ISNUMBER(H1713)),F1713-H1713,""),"")</f>
        <v/>
      </c>
      <c r="J1713" s="114" t="n"/>
      <c r="K1713" s="139">
        <f>IFERROR(IF(H1713&gt;0,H1713*IF(OR(C1713="Alpha",B1713="Alpha"),$C$9,$C$8),""),"")</f>
        <v/>
      </c>
      <c r="L1713" s="139">
        <f>IFERROR(IF(ISNUMBER(F1713),F1713-IF(ISNUMBER(K1713),K1713,0),""),"")</f>
        <v/>
      </c>
    </row>
    <row r="1714" ht="24" customHeight="1" s="63">
      <c r="E1714" s="139" t="n"/>
      <c r="F1714" s="139" t="n"/>
      <c r="G1714" s="140">
        <f>IFERROR(IF(E1714&gt;0,(F1714/E1714)*1000,""),"")</f>
        <v/>
      </c>
      <c r="H1714" s="139">
        <f>IFERROR(IF(E1714&gt;0,E1714*IF(ISNUMBER(J1714),J1714,IF(OR(C1714="Alpha",B1714="Alpha"),$C$7,IF(C1714="Futures",$C$6,$C$5))),""),"")</f>
        <v/>
      </c>
      <c r="I1714" s="139">
        <f>IFERROR(IF(AND(ISNUMBER(F1714),ISNUMBER(H1714)),F1714-H1714,""),"")</f>
        <v/>
      </c>
      <c r="J1714" s="114" t="n"/>
      <c r="K1714" s="139">
        <f>IFERROR(IF(H1714&gt;0,H1714*IF(OR(C1714="Alpha",B1714="Alpha"),$C$9,$C$8),""),"")</f>
        <v/>
      </c>
      <c r="L1714" s="139">
        <f>IFERROR(IF(ISNUMBER(F1714),F1714-IF(ISNUMBER(K1714),K1714,0),""),"")</f>
        <v/>
      </c>
    </row>
    <row r="1715" ht="24" customHeight="1" s="63">
      <c r="E1715" s="139" t="n"/>
      <c r="F1715" s="139" t="n"/>
      <c r="G1715" s="140">
        <f>IFERROR(IF(E1715&gt;0,(F1715/E1715)*1000,""),"")</f>
        <v/>
      </c>
      <c r="H1715" s="139">
        <f>IFERROR(IF(E1715&gt;0,E1715*IF(ISNUMBER(J1715),J1715,IF(OR(C1715="Alpha",B1715="Alpha"),$C$7,IF(C1715="Futures",$C$6,$C$5))),""),"")</f>
        <v/>
      </c>
      <c r="I1715" s="139">
        <f>IFERROR(IF(AND(ISNUMBER(F1715),ISNUMBER(H1715)),F1715-H1715,""),"")</f>
        <v/>
      </c>
      <c r="J1715" s="114" t="n"/>
      <c r="K1715" s="139">
        <f>IFERROR(IF(H1715&gt;0,H1715*IF(OR(C1715="Alpha",B1715="Alpha"),$C$9,$C$8),""),"")</f>
        <v/>
      </c>
      <c r="L1715" s="139">
        <f>IFERROR(IF(ISNUMBER(F1715),F1715-IF(ISNUMBER(K1715),K1715,0),""),"")</f>
        <v/>
      </c>
    </row>
    <row r="1716" ht="24" customHeight="1" s="63">
      <c r="E1716" s="139" t="n"/>
      <c r="F1716" s="139" t="n"/>
      <c r="G1716" s="140">
        <f>IFERROR(IF(E1716&gt;0,(F1716/E1716)*1000,""),"")</f>
        <v/>
      </c>
      <c r="H1716" s="139">
        <f>IFERROR(IF(E1716&gt;0,E1716*IF(ISNUMBER(J1716),J1716,IF(OR(C1716="Alpha",B1716="Alpha"),$C$7,IF(C1716="Futures",$C$6,$C$5))),""),"")</f>
        <v/>
      </c>
      <c r="I1716" s="139">
        <f>IFERROR(IF(AND(ISNUMBER(F1716),ISNUMBER(H1716)),F1716-H1716,""),"")</f>
        <v/>
      </c>
      <c r="J1716" s="114" t="n"/>
      <c r="K1716" s="139">
        <f>IFERROR(IF(H1716&gt;0,H1716*IF(OR(C1716="Alpha",B1716="Alpha"),$C$9,$C$8),""),"")</f>
        <v/>
      </c>
      <c r="L1716" s="139">
        <f>IFERROR(IF(ISNUMBER(F1716),F1716-IF(ISNUMBER(K1716),K1716,0),""),"")</f>
        <v/>
      </c>
    </row>
    <row r="1717" ht="24" customHeight="1" s="63">
      <c r="E1717" s="139" t="n"/>
      <c r="F1717" s="139" t="n"/>
      <c r="G1717" s="140">
        <f>IFERROR(IF(E1717&gt;0,(F1717/E1717)*1000,""),"")</f>
        <v/>
      </c>
      <c r="H1717" s="139">
        <f>IFERROR(IF(E1717&gt;0,E1717*IF(ISNUMBER(J1717),J1717,IF(OR(C1717="Alpha",B1717="Alpha"),$C$7,IF(C1717="Futures",$C$6,$C$5))),""),"")</f>
        <v/>
      </c>
      <c r="I1717" s="139">
        <f>IFERROR(IF(AND(ISNUMBER(F1717),ISNUMBER(H1717)),F1717-H1717,""),"")</f>
        <v/>
      </c>
      <c r="J1717" s="114" t="n"/>
      <c r="K1717" s="139">
        <f>IFERROR(IF(H1717&gt;0,H1717*IF(OR(C1717="Alpha",B1717="Alpha"),$C$9,$C$8),""),"")</f>
        <v/>
      </c>
      <c r="L1717" s="139">
        <f>IFERROR(IF(ISNUMBER(F1717),F1717-IF(ISNUMBER(K1717),K1717,0),""),"")</f>
        <v/>
      </c>
    </row>
    <row r="1718" ht="24" customHeight="1" s="63">
      <c r="E1718" s="139" t="n"/>
      <c r="F1718" s="139" t="n"/>
      <c r="G1718" s="140">
        <f>IFERROR(IF(E1718&gt;0,(F1718/E1718)*1000,""),"")</f>
        <v/>
      </c>
      <c r="H1718" s="139">
        <f>IFERROR(IF(E1718&gt;0,E1718*IF(ISNUMBER(J1718),J1718,IF(OR(C1718="Alpha",B1718="Alpha"),$C$7,IF(C1718="Futures",$C$6,$C$5))),""),"")</f>
        <v/>
      </c>
      <c r="I1718" s="139">
        <f>IFERROR(IF(AND(ISNUMBER(F1718),ISNUMBER(H1718)),F1718-H1718,""),"")</f>
        <v/>
      </c>
      <c r="J1718" s="114" t="n"/>
      <c r="K1718" s="139">
        <f>IFERROR(IF(H1718&gt;0,H1718*IF(OR(C1718="Alpha",B1718="Alpha"),$C$9,$C$8),""),"")</f>
        <v/>
      </c>
      <c r="L1718" s="139">
        <f>IFERROR(IF(ISNUMBER(F1718),F1718-IF(ISNUMBER(K1718),K1718,0),""),"")</f>
        <v/>
      </c>
    </row>
    <row r="1719" ht="24" customHeight="1" s="63">
      <c r="E1719" s="139" t="n"/>
      <c r="F1719" s="139" t="n"/>
      <c r="G1719" s="140">
        <f>IFERROR(IF(E1719&gt;0,(F1719/E1719)*1000,""),"")</f>
        <v/>
      </c>
      <c r="H1719" s="139">
        <f>IFERROR(IF(E1719&gt;0,E1719*IF(ISNUMBER(J1719),J1719,IF(OR(C1719="Alpha",B1719="Alpha"),$C$7,IF(C1719="Futures",$C$6,$C$5))),""),"")</f>
        <v/>
      </c>
      <c r="I1719" s="139">
        <f>IFERROR(IF(AND(ISNUMBER(F1719),ISNUMBER(H1719)),F1719-H1719,""),"")</f>
        <v/>
      </c>
      <c r="J1719" s="114" t="n"/>
      <c r="K1719" s="139">
        <f>IFERROR(IF(H1719&gt;0,H1719*IF(OR(C1719="Alpha",B1719="Alpha"),$C$9,$C$8),""),"")</f>
        <v/>
      </c>
      <c r="L1719" s="139">
        <f>IFERROR(IF(ISNUMBER(F1719),F1719-IF(ISNUMBER(K1719),K1719,0),""),"")</f>
        <v/>
      </c>
    </row>
    <row r="1720" ht="24" customHeight="1" s="63">
      <c r="E1720" s="139" t="n"/>
      <c r="F1720" s="139" t="n"/>
      <c r="G1720" s="140">
        <f>IFERROR(IF(E1720&gt;0,(F1720/E1720)*1000,""),"")</f>
        <v/>
      </c>
      <c r="H1720" s="139">
        <f>IFERROR(IF(E1720&gt;0,E1720*IF(ISNUMBER(J1720),J1720,IF(OR(C1720="Alpha",B1720="Alpha"),$C$7,IF(C1720="Futures",$C$6,$C$5))),""),"")</f>
        <v/>
      </c>
      <c r="I1720" s="139">
        <f>IFERROR(IF(AND(ISNUMBER(F1720),ISNUMBER(H1720)),F1720-H1720,""),"")</f>
        <v/>
      </c>
      <c r="J1720" s="114" t="n"/>
      <c r="K1720" s="139">
        <f>IFERROR(IF(H1720&gt;0,H1720*IF(OR(C1720="Alpha",B1720="Alpha"),$C$9,$C$8),""),"")</f>
        <v/>
      </c>
      <c r="L1720" s="139">
        <f>IFERROR(IF(ISNUMBER(F1720),F1720-IF(ISNUMBER(K1720),K1720,0),""),"")</f>
        <v/>
      </c>
    </row>
    <row r="1721" ht="24" customHeight="1" s="63">
      <c r="E1721" s="139" t="n"/>
      <c r="F1721" s="139" t="n"/>
      <c r="G1721" s="140">
        <f>IFERROR(IF(E1721&gt;0,(F1721/E1721)*1000,""),"")</f>
        <v/>
      </c>
      <c r="H1721" s="139">
        <f>IFERROR(IF(E1721&gt;0,E1721*IF(ISNUMBER(J1721),J1721,IF(OR(C1721="Alpha",B1721="Alpha"),$C$7,IF(C1721="Futures",$C$6,$C$5))),""),"")</f>
        <v/>
      </c>
      <c r="I1721" s="139">
        <f>IFERROR(IF(AND(ISNUMBER(F1721),ISNUMBER(H1721)),F1721-H1721,""),"")</f>
        <v/>
      </c>
      <c r="J1721" s="114" t="n"/>
      <c r="K1721" s="139">
        <f>IFERROR(IF(H1721&gt;0,H1721*IF(OR(C1721="Alpha",B1721="Alpha"),$C$9,$C$8),""),"")</f>
        <v/>
      </c>
      <c r="L1721" s="139">
        <f>IFERROR(IF(ISNUMBER(F1721),F1721-IF(ISNUMBER(K1721),K1721,0),""),"")</f>
        <v/>
      </c>
    </row>
    <row r="1722" ht="24" customHeight="1" s="63">
      <c r="E1722" s="139" t="n"/>
      <c r="F1722" s="139" t="n"/>
      <c r="G1722" s="140">
        <f>IFERROR(IF(E1722&gt;0,(F1722/E1722)*1000,""),"")</f>
        <v/>
      </c>
      <c r="H1722" s="139">
        <f>IFERROR(IF(E1722&gt;0,E1722*IF(ISNUMBER(J1722),J1722,IF(OR(C1722="Alpha",B1722="Alpha"),$C$7,IF(C1722="Futures",$C$6,$C$5))),""),"")</f>
        <v/>
      </c>
      <c r="I1722" s="139">
        <f>IFERROR(IF(AND(ISNUMBER(F1722),ISNUMBER(H1722)),F1722-H1722,""),"")</f>
        <v/>
      </c>
      <c r="J1722" s="114" t="n"/>
      <c r="K1722" s="139">
        <f>IFERROR(IF(H1722&gt;0,H1722*IF(OR(C1722="Alpha",B1722="Alpha"),$C$9,$C$8),""),"")</f>
        <v/>
      </c>
      <c r="L1722" s="139">
        <f>IFERROR(IF(ISNUMBER(F1722),F1722-IF(ISNUMBER(K1722),K1722,0),""),"")</f>
        <v/>
      </c>
    </row>
    <row r="1723" ht="24" customHeight="1" s="63">
      <c r="E1723" s="139" t="n"/>
      <c r="F1723" s="139" t="n"/>
      <c r="G1723" s="140">
        <f>IFERROR(IF(E1723&gt;0,(F1723/E1723)*1000,""),"")</f>
        <v/>
      </c>
      <c r="H1723" s="139">
        <f>IFERROR(IF(E1723&gt;0,E1723*IF(ISNUMBER(J1723),J1723,IF(OR(C1723="Alpha",B1723="Alpha"),$C$7,IF(C1723="Futures",$C$6,$C$5))),""),"")</f>
        <v/>
      </c>
      <c r="I1723" s="139">
        <f>IFERROR(IF(AND(ISNUMBER(F1723),ISNUMBER(H1723)),F1723-H1723,""),"")</f>
        <v/>
      </c>
      <c r="J1723" s="114" t="n"/>
      <c r="K1723" s="139">
        <f>IFERROR(IF(H1723&gt;0,H1723*IF(OR(C1723="Alpha",B1723="Alpha"),$C$9,$C$8),""),"")</f>
        <v/>
      </c>
      <c r="L1723" s="139">
        <f>IFERROR(IF(ISNUMBER(F1723),F1723-IF(ISNUMBER(K1723),K1723,0),""),"")</f>
        <v/>
      </c>
    </row>
    <row r="1724" ht="24" customHeight="1" s="63">
      <c r="E1724" s="139" t="n"/>
      <c r="F1724" s="139" t="n"/>
      <c r="G1724" s="140">
        <f>IFERROR(IF(E1724&gt;0,(F1724/E1724)*1000,""),"")</f>
        <v/>
      </c>
      <c r="H1724" s="139">
        <f>IFERROR(IF(E1724&gt;0,E1724*IF(ISNUMBER(J1724),J1724,IF(OR(C1724="Alpha",B1724="Alpha"),$C$7,IF(C1724="Futures",$C$6,$C$5))),""),"")</f>
        <v/>
      </c>
      <c r="I1724" s="139">
        <f>IFERROR(IF(AND(ISNUMBER(F1724),ISNUMBER(H1724)),F1724-H1724,""),"")</f>
        <v/>
      </c>
      <c r="J1724" s="114" t="n"/>
      <c r="K1724" s="139">
        <f>IFERROR(IF(H1724&gt;0,H1724*IF(OR(C1724="Alpha",B1724="Alpha"),$C$9,$C$8),""),"")</f>
        <v/>
      </c>
      <c r="L1724" s="139">
        <f>IFERROR(IF(ISNUMBER(F1724),F1724-IF(ISNUMBER(K1724),K1724,0),""),"")</f>
        <v/>
      </c>
    </row>
    <row r="1725" ht="24" customHeight="1" s="63">
      <c r="E1725" s="139" t="n"/>
      <c r="F1725" s="139" t="n"/>
      <c r="G1725" s="140">
        <f>IFERROR(IF(E1725&gt;0,(F1725/E1725)*1000,""),"")</f>
        <v/>
      </c>
      <c r="H1725" s="139">
        <f>IFERROR(IF(E1725&gt;0,E1725*IF(ISNUMBER(J1725),J1725,IF(OR(C1725="Alpha",B1725="Alpha"),$C$7,IF(C1725="Futures",$C$6,$C$5))),""),"")</f>
        <v/>
      </c>
      <c r="I1725" s="139">
        <f>IFERROR(IF(AND(ISNUMBER(F1725),ISNUMBER(H1725)),F1725-H1725,""),"")</f>
        <v/>
      </c>
      <c r="J1725" s="114" t="n"/>
      <c r="K1725" s="139">
        <f>IFERROR(IF(H1725&gt;0,H1725*IF(OR(C1725="Alpha",B1725="Alpha"),$C$9,$C$8),""),"")</f>
        <v/>
      </c>
      <c r="L1725" s="139">
        <f>IFERROR(IF(ISNUMBER(F1725),F1725-IF(ISNUMBER(K1725),K1725,0),""),"")</f>
        <v/>
      </c>
    </row>
    <row r="1726" ht="24" customHeight="1" s="63">
      <c r="E1726" s="139" t="n"/>
      <c r="F1726" s="139" t="n"/>
      <c r="G1726" s="140">
        <f>IFERROR(IF(E1726&gt;0,(F1726/E1726)*1000,""),"")</f>
        <v/>
      </c>
      <c r="H1726" s="139">
        <f>IFERROR(IF(E1726&gt;0,E1726*IF(ISNUMBER(J1726),J1726,IF(OR(C1726="Alpha",B1726="Alpha"),$C$7,IF(C1726="Futures",$C$6,$C$5))),""),"")</f>
        <v/>
      </c>
      <c r="I1726" s="139">
        <f>IFERROR(IF(AND(ISNUMBER(F1726),ISNUMBER(H1726)),F1726-H1726,""),"")</f>
        <v/>
      </c>
      <c r="J1726" s="114" t="n"/>
      <c r="K1726" s="139">
        <f>IFERROR(IF(H1726&gt;0,H1726*IF(OR(C1726="Alpha",B1726="Alpha"),$C$9,$C$8),""),"")</f>
        <v/>
      </c>
      <c r="L1726" s="139">
        <f>IFERROR(IF(ISNUMBER(F1726),F1726-IF(ISNUMBER(K1726),K1726,0),""),"")</f>
        <v/>
      </c>
    </row>
    <row r="1727" ht="24" customHeight="1" s="63">
      <c r="E1727" s="139" t="n"/>
      <c r="F1727" s="139" t="n"/>
      <c r="G1727" s="140">
        <f>IFERROR(IF(E1727&gt;0,(F1727/E1727)*1000,""),"")</f>
        <v/>
      </c>
      <c r="H1727" s="139">
        <f>IFERROR(IF(E1727&gt;0,E1727*IF(ISNUMBER(J1727),J1727,IF(OR(C1727="Alpha",B1727="Alpha"),$C$7,IF(C1727="Futures",$C$6,$C$5))),""),"")</f>
        <v/>
      </c>
      <c r="I1727" s="139">
        <f>IFERROR(IF(AND(ISNUMBER(F1727),ISNUMBER(H1727)),F1727-H1727,""),"")</f>
        <v/>
      </c>
      <c r="J1727" s="114" t="n"/>
      <c r="K1727" s="139">
        <f>IFERROR(IF(H1727&gt;0,H1727*IF(OR(C1727="Alpha",B1727="Alpha"),$C$9,$C$8),""),"")</f>
        <v/>
      </c>
      <c r="L1727" s="139">
        <f>IFERROR(IF(ISNUMBER(F1727),F1727-IF(ISNUMBER(K1727),K1727,0),""),"")</f>
        <v/>
      </c>
    </row>
    <row r="1728" ht="24" customHeight="1" s="63">
      <c r="E1728" s="139" t="n"/>
      <c r="F1728" s="139" t="n"/>
      <c r="G1728" s="140">
        <f>IFERROR(IF(E1728&gt;0,(F1728/E1728)*1000,""),"")</f>
        <v/>
      </c>
      <c r="H1728" s="139">
        <f>IFERROR(IF(E1728&gt;0,E1728*IF(ISNUMBER(J1728),J1728,IF(OR(C1728="Alpha",B1728="Alpha"),$C$7,IF(C1728="Futures",$C$6,$C$5))),""),"")</f>
        <v/>
      </c>
      <c r="I1728" s="139">
        <f>IFERROR(IF(AND(ISNUMBER(F1728),ISNUMBER(H1728)),F1728-H1728,""),"")</f>
        <v/>
      </c>
      <c r="J1728" s="114" t="n"/>
      <c r="K1728" s="139">
        <f>IFERROR(IF(H1728&gt;0,H1728*IF(OR(C1728="Alpha",B1728="Alpha"),$C$9,$C$8),""),"")</f>
        <v/>
      </c>
      <c r="L1728" s="139">
        <f>IFERROR(IF(ISNUMBER(F1728),F1728-IF(ISNUMBER(K1728),K1728,0),""),"")</f>
        <v/>
      </c>
    </row>
    <row r="1729" ht="24" customHeight="1" s="63">
      <c r="E1729" s="139" t="n"/>
      <c r="F1729" s="139" t="n"/>
      <c r="G1729" s="140">
        <f>IFERROR(IF(E1729&gt;0,(F1729/E1729)*1000,""),"")</f>
        <v/>
      </c>
      <c r="H1729" s="139">
        <f>IFERROR(IF(E1729&gt;0,E1729*IF(ISNUMBER(J1729),J1729,IF(OR(C1729="Alpha",B1729="Alpha"),$C$7,IF(C1729="Futures",$C$6,$C$5))),""),"")</f>
        <v/>
      </c>
      <c r="I1729" s="139">
        <f>IFERROR(IF(AND(ISNUMBER(F1729),ISNUMBER(H1729)),F1729-H1729,""),"")</f>
        <v/>
      </c>
      <c r="J1729" s="114" t="n"/>
      <c r="K1729" s="139">
        <f>IFERROR(IF(H1729&gt;0,H1729*IF(OR(C1729="Alpha",B1729="Alpha"),$C$9,$C$8),""),"")</f>
        <v/>
      </c>
      <c r="L1729" s="139">
        <f>IFERROR(IF(ISNUMBER(F1729),F1729-IF(ISNUMBER(K1729),K1729,0),""),"")</f>
        <v/>
      </c>
    </row>
    <row r="1730" ht="24" customHeight="1" s="63">
      <c r="E1730" s="139" t="n"/>
      <c r="F1730" s="139" t="n"/>
      <c r="G1730" s="140">
        <f>IFERROR(IF(E1730&gt;0,(F1730/E1730)*1000,""),"")</f>
        <v/>
      </c>
      <c r="H1730" s="139">
        <f>IFERROR(IF(E1730&gt;0,E1730*IF(ISNUMBER(J1730),J1730,IF(OR(C1730="Alpha",B1730="Alpha"),$C$7,IF(C1730="Futures",$C$6,$C$5))),""),"")</f>
        <v/>
      </c>
      <c r="I1730" s="139">
        <f>IFERROR(IF(AND(ISNUMBER(F1730),ISNUMBER(H1730)),F1730-H1730,""),"")</f>
        <v/>
      </c>
      <c r="J1730" s="114" t="n"/>
      <c r="K1730" s="139">
        <f>IFERROR(IF(H1730&gt;0,H1730*IF(OR(C1730="Alpha",B1730="Alpha"),$C$9,$C$8),""),"")</f>
        <v/>
      </c>
      <c r="L1730" s="139">
        <f>IFERROR(IF(ISNUMBER(F1730),F1730-IF(ISNUMBER(K1730),K1730,0),""),"")</f>
        <v/>
      </c>
    </row>
    <row r="1731" ht="24" customHeight="1" s="63">
      <c r="E1731" s="139" t="n"/>
      <c r="F1731" s="139" t="n"/>
      <c r="G1731" s="140">
        <f>IFERROR(IF(E1731&gt;0,(F1731/E1731)*1000,""),"")</f>
        <v/>
      </c>
      <c r="H1731" s="139">
        <f>IFERROR(IF(E1731&gt;0,E1731*IF(ISNUMBER(J1731),J1731,IF(OR(C1731="Alpha",B1731="Alpha"),$C$7,IF(C1731="Futures",$C$6,$C$5))),""),"")</f>
        <v/>
      </c>
      <c r="I1731" s="139">
        <f>IFERROR(IF(AND(ISNUMBER(F1731),ISNUMBER(H1731)),F1731-H1731,""),"")</f>
        <v/>
      </c>
      <c r="J1731" s="114" t="n"/>
      <c r="K1731" s="139">
        <f>IFERROR(IF(H1731&gt;0,H1731*IF(OR(C1731="Alpha",B1731="Alpha"),$C$9,$C$8),""),"")</f>
        <v/>
      </c>
      <c r="L1731" s="139">
        <f>IFERROR(IF(ISNUMBER(F1731),F1731-IF(ISNUMBER(K1731),K1731,0),""),"")</f>
        <v/>
      </c>
    </row>
    <row r="1732" ht="24" customHeight="1" s="63">
      <c r="E1732" s="139" t="n"/>
      <c r="F1732" s="139" t="n"/>
      <c r="G1732" s="140">
        <f>IFERROR(IF(E1732&gt;0,(F1732/E1732)*1000,""),"")</f>
        <v/>
      </c>
      <c r="H1732" s="139">
        <f>IFERROR(IF(E1732&gt;0,E1732*IF(ISNUMBER(J1732),J1732,IF(OR(C1732="Alpha",B1732="Alpha"),$C$7,IF(C1732="Futures",$C$6,$C$5))),""),"")</f>
        <v/>
      </c>
      <c r="I1732" s="139">
        <f>IFERROR(IF(AND(ISNUMBER(F1732),ISNUMBER(H1732)),F1732-H1732,""),"")</f>
        <v/>
      </c>
      <c r="J1732" s="114" t="n"/>
      <c r="K1732" s="139">
        <f>IFERROR(IF(H1732&gt;0,H1732*IF(OR(C1732="Alpha",B1732="Alpha"),$C$9,$C$8),""),"")</f>
        <v/>
      </c>
      <c r="L1732" s="139">
        <f>IFERROR(IF(ISNUMBER(F1732),F1732-IF(ISNUMBER(K1732),K1732,0),""),"")</f>
        <v/>
      </c>
    </row>
    <row r="1733" ht="24" customHeight="1" s="63">
      <c r="E1733" s="139" t="n"/>
      <c r="F1733" s="139" t="n"/>
      <c r="G1733" s="140">
        <f>IFERROR(IF(E1733&gt;0,(F1733/E1733)*1000,""),"")</f>
        <v/>
      </c>
      <c r="H1733" s="139">
        <f>IFERROR(IF(E1733&gt;0,E1733*IF(ISNUMBER(J1733),J1733,IF(OR(C1733="Alpha",B1733="Alpha"),$C$7,IF(C1733="Futures",$C$6,$C$5))),""),"")</f>
        <v/>
      </c>
      <c r="I1733" s="139">
        <f>IFERROR(IF(AND(ISNUMBER(F1733),ISNUMBER(H1733)),F1733-H1733,""),"")</f>
        <v/>
      </c>
      <c r="J1733" s="114" t="n"/>
      <c r="K1733" s="139">
        <f>IFERROR(IF(H1733&gt;0,H1733*IF(OR(C1733="Alpha",B1733="Alpha"),$C$9,$C$8),""),"")</f>
        <v/>
      </c>
      <c r="L1733" s="139">
        <f>IFERROR(IF(ISNUMBER(F1733),F1733-IF(ISNUMBER(K1733),K1733,0),""),"")</f>
        <v/>
      </c>
    </row>
    <row r="1734" ht="24" customHeight="1" s="63">
      <c r="E1734" s="139" t="n"/>
      <c r="F1734" s="139" t="n"/>
      <c r="G1734" s="140">
        <f>IFERROR(IF(E1734&gt;0,(F1734/E1734)*1000,""),"")</f>
        <v/>
      </c>
      <c r="H1734" s="139">
        <f>IFERROR(IF(E1734&gt;0,E1734*IF(ISNUMBER(J1734),J1734,IF(OR(C1734="Alpha",B1734="Alpha"),$C$7,IF(C1734="Futures",$C$6,$C$5))),""),"")</f>
        <v/>
      </c>
      <c r="I1734" s="139">
        <f>IFERROR(IF(AND(ISNUMBER(F1734),ISNUMBER(H1734)),F1734-H1734,""),"")</f>
        <v/>
      </c>
      <c r="J1734" s="114" t="n"/>
      <c r="K1734" s="139">
        <f>IFERROR(IF(H1734&gt;0,H1734*IF(OR(C1734="Alpha",B1734="Alpha"),$C$9,$C$8),""),"")</f>
        <v/>
      </c>
      <c r="L1734" s="139">
        <f>IFERROR(IF(ISNUMBER(F1734),F1734-IF(ISNUMBER(K1734),K1734,0),""),"")</f>
        <v/>
      </c>
    </row>
    <row r="1735" ht="24" customHeight="1" s="63">
      <c r="E1735" s="139" t="n"/>
      <c r="F1735" s="139" t="n"/>
      <c r="G1735" s="140">
        <f>IFERROR(IF(E1735&gt;0,(F1735/E1735)*1000,""),"")</f>
        <v/>
      </c>
      <c r="H1735" s="139">
        <f>IFERROR(IF(E1735&gt;0,E1735*IF(ISNUMBER(J1735),J1735,IF(OR(C1735="Alpha",B1735="Alpha"),$C$7,IF(C1735="Futures",$C$6,$C$5))),""),"")</f>
        <v/>
      </c>
      <c r="I1735" s="139">
        <f>IFERROR(IF(AND(ISNUMBER(F1735),ISNUMBER(H1735)),F1735-H1735,""),"")</f>
        <v/>
      </c>
      <c r="J1735" s="114" t="n"/>
      <c r="K1735" s="139">
        <f>IFERROR(IF(H1735&gt;0,H1735*IF(OR(C1735="Alpha",B1735="Alpha"),$C$9,$C$8),""),"")</f>
        <v/>
      </c>
      <c r="L1735" s="139">
        <f>IFERROR(IF(ISNUMBER(F1735),F1735-IF(ISNUMBER(K1735),K1735,0),""),"")</f>
        <v/>
      </c>
    </row>
    <row r="1736" ht="24" customHeight="1" s="63">
      <c r="E1736" s="139" t="n"/>
      <c r="F1736" s="139" t="n"/>
      <c r="G1736" s="140">
        <f>IFERROR(IF(E1736&gt;0,(F1736/E1736)*1000,""),"")</f>
        <v/>
      </c>
      <c r="H1736" s="139">
        <f>IFERROR(IF(E1736&gt;0,E1736*IF(ISNUMBER(J1736),J1736,IF(OR(C1736="Alpha",B1736="Alpha"),$C$7,IF(C1736="Futures",$C$6,$C$5))),""),"")</f>
        <v/>
      </c>
      <c r="I1736" s="139">
        <f>IFERROR(IF(AND(ISNUMBER(F1736),ISNUMBER(H1736)),F1736-H1736,""),"")</f>
        <v/>
      </c>
      <c r="J1736" s="114" t="n"/>
      <c r="K1736" s="139">
        <f>IFERROR(IF(H1736&gt;0,H1736*IF(OR(C1736="Alpha",B1736="Alpha"),$C$9,$C$8),""),"")</f>
        <v/>
      </c>
      <c r="L1736" s="139">
        <f>IFERROR(IF(ISNUMBER(F1736),F1736-IF(ISNUMBER(K1736),K1736,0),""),"")</f>
        <v/>
      </c>
    </row>
    <row r="1737" ht="24" customHeight="1" s="63">
      <c r="E1737" s="139" t="n"/>
      <c r="F1737" s="139" t="n"/>
      <c r="G1737" s="140">
        <f>IFERROR(IF(E1737&gt;0,(F1737/E1737)*1000,""),"")</f>
        <v/>
      </c>
      <c r="H1737" s="139">
        <f>IFERROR(IF(E1737&gt;0,E1737*IF(ISNUMBER(J1737),J1737,IF(OR(C1737="Alpha",B1737="Alpha"),$C$7,IF(C1737="Futures",$C$6,$C$5))),""),"")</f>
        <v/>
      </c>
      <c r="I1737" s="139">
        <f>IFERROR(IF(AND(ISNUMBER(F1737),ISNUMBER(H1737)),F1737-H1737,""),"")</f>
        <v/>
      </c>
      <c r="J1737" s="114" t="n"/>
      <c r="K1737" s="139">
        <f>IFERROR(IF(H1737&gt;0,H1737*IF(OR(C1737="Alpha",B1737="Alpha"),$C$9,$C$8),""),"")</f>
        <v/>
      </c>
      <c r="L1737" s="139">
        <f>IFERROR(IF(ISNUMBER(F1737),F1737-IF(ISNUMBER(K1737),K1737,0),""),"")</f>
        <v/>
      </c>
    </row>
    <row r="1738" ht="24" customHeight="1" s="63">
      <c r="E1738" s="139" t="n"/>
      <c r="F1738" s="139" t="n"/>
      <c r="G1738" s="140">
        <f>IFERROR(IF(E1738&gt;0,(F1738/E1738)*1000,""),"")</f>
        <v/>
      </c>
      <c r="H1738" s="139">
        <f>IFERROR(IF(E1738&gt;0,E1738*IF(ISNUMBER(J1738),J1738,IF(OR(C1738="Alpha",B1738="Alpha"),$C$7,IF(C1738="Futures",$C$6,$C$5))),""),"")</f>
        <v/>
      </c>
      <c r="I1738" s="139">
        <f>IFERROR(IF(AND(ISNUMBER(F1738),ISNUMBER(H1738)),F1738-H1738,""),"")</f>
        <v/>
      </c>
      <c r="J1738" s="114" t="n"/>
      <c r="K1738" s="139">
        <f>IFERROR(IF(H1738&gt;0,H1738*IF(OR(C1738="Alpha",B1738="Alpha"),$C$9,$C$8),""),"")</f>
        <v/>
      </c>
      <c r="L1738" s="139">
        <f>IFERROR(IF(ISNUMBER(F1738),F1738-IF(ISNUMBER(K1738),K1738,0),""),"")</f>
        <v/>
      </c>
    </row>
    <row r="1739" ht="24" customHeight="1" s="63">
      <c r="E1739" s="139" t="n"/>
      <c r="F1739" s="139" t="n"/>
      <c r="G1739" s="140">
        <f>IFERROR(IF(E1739&gt;0,(F1739/E1739)*1000,""),"")</f>
        <v/>
      </c>
      <c r="H1739" s="139">
        <f>IFERROR(IF(E1739&gt;0,E1739*IF(ISNUMBER(J1739),J1739,IF(OR(C1739="Alpha",B1739="Alpha"),$C$7,IF(C1739="Futures",$C$6,$C$5))),""),"")</f>
        <v/>
      </c>
      <c r="I1739" s="139">
        <f>IFERROR(IF(AND(ISNUMBER(F1739),ISNUMBER(H1739)),F1739-H1739,""),"")</f>
        <v/>
      </c>
      <c r="J1739" s="114" t="n"/>
      <c r="K1739" s="139">
        <f>IFERROR(IF(H1739&gt;0,H1739*IF(OR(C1739="Alpha",B1739="Alpha"),$C$9,$C$8),""),"")</f>
        <v/>
      </c>
      <c r="L1739" s="139">
        <f>IFERROR(IF(ISNUMBER(F1739),F1739-IF(ISNUMBER(K1739),K1739,0),""),"")</f>
        <v/>
      </c>
    </row>
    <row r="1740" ht="24" customHeight="1" s="63">
      <c r="E1740" s="139" t="n"/>
      <c r="F1740" s="139" t="n"/>
      <c r="G1740" s="140">
        <f>IFERROR(IF(E1740&gt;0,(F1740/E1740)*1000,""),"")</f>
        <v/>
      </c>
      <c r="H1740" s="139">
        <f>IFERROR(IF(E1740&gt;0,E1740*IF(ISNUMBER(J1740),J1740,IF(OR(C1740="Alpha",B1740="Alpha"),$C$7,IF(C1740="Futures",$C$6,$C$5))),""),"")</f>
        <v/>
      </c>
      <c r="I1740" s="139">
        <f>IFERROR(IF(AND(ISNUMBER(F1740),ISNUMBER(H1740)),F1740-H1740,""),"")</f>
        <v/>
      </c>
      <c r="J1740" s="114" t="n"/>
      <c r="K1740" s="139">
        <f>IFERROR(IF(H1740&gt;0,H1740*IF(OR(C1740="Alpha",B1740="Alpha"),$C$9,$C$8),""),"")</f>
        <v/>
      </c>
      <c r="L1740" s="139">
        <f>IFERROR(IF(ISNUMBER(F1740),F1740-IF(ISNUMBER(K1740),K1740,0),""),"")</f>
        <v/>
      </c>
    </row>
    <row r="1741" ht="24" customHeight="1" s="63">
      <c r="E1741" s="139" t="n"/>
      <c r="F1741" s="139" t="n"/>
      <c r="G1741" s="140">
        <f>IFERROR(IF(E1741&gt;0,(F1741/E1741)*1000,""),"")</f>
        <v/>
      </c>
      <c r="H1741" s="139">
        <f>IFERROR(IF(E1741&gt;0,E1741*IF(ISNUMBER(J1741),J1741,IF(OR(C1741="Alpha",B1741="Alpha"),$C$7,IF(C1741="Futures",$C$6,$C$5))),""),"")</f>
        <v/>
      </c>
      <c r="I1741" s="139">
        <f>IFERROR(IF(AND(ISNUMBER(F1741),ISNUMBER(H1741)),F1741-H1741,""),"")</f>
        <v/>
      </c>
      <c r="J1741" s="114" t="n"/>
      <c r="K1741" s="139">
        <f>IFERROR(IF(H1741&gt;0,H1741*IF(OR(C1741="Alpha",B1741="Alpha"),$C$9,$C$8),""),"")</f>
        <v/>
      </c>
      <c r="L1741" s="139">
        <f>IFERROR(IF(ISNUMBER(F1741),F1741-IF(ISNUMBER(K1741),K1741,0),""),"")</f>
        <v/>
      </c>
    </row>
    <row r="1742" ht="24" customHeight="1" s="63">
      <c r="E1742" s="139" t="n"/>
      <c r="F1742" s="139" t="n"/>
      <c r="G1742" s="140">
        <f>IFERROR(IF(E1742&gt;0,(F1742/E1742)*1000,""),"")</f>
        <v/>
      </c>
      <c r="H1742" s="139">
        <f>IFERROR(IF(E1742&gt;0,E1742*IF(ISNUMBER(J1742),J1742,IF(OR(C1742="Alpha",B1742="Alpha"),$C$7,IF(C1742="Futures",$C$6,$C$5))),""),"")</f>
        <v/>
      </c>
      <c r="I1742" s="139">
        <f>IFERROR(IF(AND(ISNUMBER(F1742),ISNUMBER(H1742)),F1742-H1742,""),"")</f>
        <v/>
      </c>
      <c r="J1742" s="114" t="n"/>
      <c r="K1742" s="139">
        <f>IFERROR(IF(H1742&gt;0,H1742*IF(OR(C1742="Alpha",B1742="Alpha"),$C$9,$C$8),""),"")</f>
        <v/>
      </c>
      <c r="L1742" s="139">
        <f>IFERROR(IF(ISNUMBER(F1742),F1742-IF(ISNUMBER(K1742),K1742,0),""),"")</f>
        <v/>
      </c>
    </row>
    <row r="1743" ht="24" customHeight="1" s="63">
      <c r="E1743" s="139" t="n"/>
      <c r="F1743" s="139" t="n"/>
      <c r="G1743" s="140">
        <f>IFERROR(IF(E1743&gt;0,(F1743/E1743)*1000,""),"")</f>
        <v/>
      </c>
      <c r="H1743" s="139">
        <f>IFERROR(IF(E1743&gt;0,E1743*IF(ISNUMBER(J1743),J1743,IF(OR(C1743="Alpha",B1743="Alpha"),$C$7,IF(C1743="Futures",$C$6,$C$5))),""),"")</f>
        <v/>
      </c>
      <c r="I1743" s="139">
        <f>IFERROR(IF(AND(ISNUMBER(F1743),ISNUMBER(H1743)),F1743-H1743,""),"")</f>
        <v/>
      </c>
      <c r="J1743" s="114" t="n"/>
      <c r="K1743" s="139">
        <f>IFERROR(IF(H1743&gt;0,H1743*IF(OR(C1743="Alpha",B1743="Alpha"),$C$9,$C$8),""),"")</f>
        <v/>
      </c>
      <c r="L1743" s="139">
        <f>IFERROR(IF(ISNUMBER(F1743),F1743-IF(ISNUMBER(K1743),K1743,0),""),"")</f>
        <v/>
      </c>
    </row>
    <row r="1744" ht="24" customHeight="1" s="63">
      <c r="E1744" s="139" t="n"/>
      <c r="F1744" s="139" t="n"/>
      <c r="G1744" s="140">
        <f>IFERROR(IF(E1744&gt;0,(F1744/E1744)*1000,""),"")</f>
        <v/>
      </c>
      <c r="H1744" s="139">
        <f>IFERROR(IF(E1744&gt;0,E1744*IF(ISNUMBER(J1744),J1744,IF(OR(C1744="Alpha",B1744="Alpha"),$C$7,IF(C1744="Futures",$C$6,$C$5))),""),"")</f>
        <v/>
      </c>
      <c r="I1744" s="139">
        <f>IFERROR(IF(AND(ISNUMBER(F1744),ISNUMBER(H1744)),F1744-H1744,""),"")</f>
        <v/>
      </c>
      <c r="J1744" s="114" t="n"/>
      <c r="K1744" s="139">
        <f>IFERROR(IF(H1744&gt;0,H1744*IF(OR(C1744="Alpha",B1744="Alpha"),$C$9,$C$8),""),"")</f>
        <v/>
      </c>
      <c r="L1744" s="139">
        <f>IFERROR(IF(ISNUMBER(F1744),F1744-IF(ISNUMBER(K1744),K1744,0),""),"")</f>
        <v/>
      </c>
    </row>
    <row r="1745" ht="24" customHeight="1" s="63">
      <c r="E1745" s="139" t="n"/>
      <c r="F1745" s="139" t="n"/>
      <c r="G1745" s="140">
        <f>IFERROR(IF(E1745&gt;0,(F1745/E1745)*1000,""),"")</f>
        <v/>
      </c>
      <c r="H1745" s="139">
        <f>IFERROR(IF(E1745&gt;0,E1745*IF(ISNUMBER(J1745),J1745,IF(OR(C1745="Alpha",B1745="Alpha"),$C$7,IF(C1745="Futures",$C$6,$C$5))),""),"")</f>
        <v/>
      </c>
      <c r="I1745" s="139">
        <f>IFERROR(IF(AND(ISNUMBER(F1745),ISNUMBER(H1745)),F1745-H1745,""),"")</f>
        <v/>
      </c>
      <c r="J1745" s="114" t="n"/>
      <c r="K1745" s="139">
        <f>IFERROR(IF(H1745&gt;0,H1745*IF(OR(C1745="Alpha",B1745="Alpha"),$C$9,$C$8),""),"")</f>
        <v/>
      </c>
      <c r="L1745" s="139">
        <f>IFERROR(IF(ISNUMBER(F1745),F1745-IF(ISNUMBER(K1745),K1745,0),""),"")</f>
        <v/>
      </c>
    </row>
    <row r="1746" ht="24" customHeight="1" s="63">
      <c r="E1746" s="139" t="n"/>
      <c r="F1746" s="139" t="n"/>
      <c r="G1746" s="140">
        <f>IFERROR(IF(E1746&gt;0,(F1746/E1746)*1000,""),"")</f>
        <v/>
      </c>
      <c r="H1746" s="139">
        <f>IFERROR(IF(E1746&gt;0,E1746*IF(ISNUMBER(J1746),J1746,IF(OR(C1746="Alpha",B1746="Alpha"),$C$7,IF(C1746="Futures",$C$6,$C$5))),""),"")</f>
        <v/>
      </c>
      <c r="I1746" s="139">
        <f>IFERROR(IF(AND(ISNUMBER(F1746),ISNUMBER(H1746)),F1746-H1746,""),"")</f>
        <v/>
      </c>
      <c r="J1746" s="114" t="n"/>
      <c r="K1746" s="139">
        <f>IFERROR(IF(H1746&gt;0,H1746*IF(OR(C1746="Alpha",B1746="Alpha"),$C$9,$C$8),""),"")</f>
        <v/>
      </c>
      <c r="L1746" s="139">
        <f>IFERROR(IF(ISNUMBER(F1746),F1746-IF(ISNUMBER(K1746),K1746,0),""),"")</f>
        <v/>
      </c>
    </row>
    <row r="1747" ht="24" customHeight="1" s="63">
      <c r="E1747" s="139" t="n"/>
      <c r="F1747" s="139" t="n"/>
      <c r="G1747" s="140">
        <f>IFERROR(IF(E1747&gt;0,(F1747/E1747)*1000,""),"")</f>
        <v/>
      </c>
      <c r="H1747" s="139">
        <f>IFERROR(IF(E1747&gt;0,E1747*IF(ISNUMBER(J1747),J1747,IF(OR(C1747="Alpha",B1747="Alpha"),$C$7,IF(C1747="Futures",$C$6,$C$5))),""),"")</f>
        <v/>
      </c>
      <c r="I1747" s="139">
        <f>IFERROR(IF(AND(ISNUMBER(F1747),ISNUMBER(H1747)),F1747-H1747,""),"")</f>
        <v/>
      </c>
      <c r="J1747" s="114" t="n"/>
      <c r="K1747" s="139">
        <f>IFERROR(IF(H1747&gt;0,H1747*IF(OR(C1747="Alpha",B1747="Alpha"),$C$9,$C$8),""),"")</f>
        <v/>
      </c>
      <c r="L1747" s="139">
        <f>IFERROR(IF(ISNUMBER(F1747),F1747-IF(ISNUMBER(K1747),K1747,0),""),"")</f>
        <v/>
      </c>
    </row>
    <row r="1748" ht="24" customHeight="1" s="63">
      <c r="E1748" s="139" t="n"/>
      <c r="F1748" s="139" t="n"/>
      <c r="G1748" s="140">
        <f>IFERROR(IF(E1748&gt;0,(F1748/E1748)*1000,""),"")</f>
        <v/>
      </c>
      <c r="H1748" s="139">
        <f>IFERROR(IF(E1748&gt;0,E1748*IF(ISNUMBER(J1748),J1748,IF(OR(C1748="Alpha",B1748="Alpha"),$C$7,IF(C1748="Futures",$C$6,$C$5))),""),"")</f>
        <v/>
      </c>
      <c r="I1748" s="139">
        <f>IFERROR(IF(AND(ISNUMBER(F1748),ISNUMBER(H1748)),F1748-H1748,""),"")</f>
        <v/>
      </c>
      <c r="J1748" s="114" t="n"/>
      <c r="K1748" s="139">
        <f>IFERROR(IF(H1748&gt;0,H1748*IF(OR(C1748="Alpha",B1748="Alpha"),$C$9,$C$8),""),"")</f>
        <v/>
      </c>
      <c r="L1748" s="139">
        <f>IFERROR(IF(ISNUMBER(F1748),F1748-IF(ISNUMBER(K1748),K1748,0),""),"")</f>
        <v/>
      </c>
    </row>
    <row r="1749" ht="24" customHeight="1" s="63">
      <c r="E1749" s="139" t="n"/>
      <c r="F1749" s="139" t="n"/>
      <c r="G1749" s="140">
        <f>IFERROR(IF(E1749&gt;0,(F1749/E1749)*1000,""),"")</f>
        <v/>
      </c>
      <c r="H1749" s="139">
        <f>IFERROR(IF(E1749&gt;0,E1749*IF(ISNUMBER(J1749),J1749,IF(OR(C1749="Alpha",B1749="Alpha"),$C$7,IF(C1749="Futures",$C$6,$C$5))),""),"")</f>
        <v/>
      </c>
      <c r="I1749" s="139">
        <f>IFERROR(IF(AND(ISNUMBER(F1749),ISNUMBER(H1749)),F1749-H1749,""),"")</f>
        <v/>
      </c>
      <c r="J1749" s="114" t="n"/>
      <c r="K1749" s="139">
        <f>IFERROR(IF(H1749&gt;0,H1749*IF(OR(C1749="Alpha",B1749="Alpha"),$C$9,$C$8),""),"")</f>
        <v/>
      </c>
      <c r="L1749" s="139">
        <f>IFERROR(IF(ISNUMBER(F1749),F1749-IF(ISNUMBER(K1749),K1749,0),""),"")</f>
        <v/>
      </c>
    </row>
    <row r="1750" ht="24" customHeight="1" s="63">
      <c r="E1750" s="139" t="n"/>
      <c r="F1750" s="139" t="n"/>
      <c r="G1750" s="140">
        <f>IFERROR(IF(E1750&gt;0,(F1750/E1750)*1000,""),"")</f>
        <v/>
      </c>
      <c r="H1750" s="139">
        <f>IFERROR(IF(E1750&gt;0,E1750*IF(ISNUMBER(J1750),J1750,IF(OR(C1750="Alpha",B1750="Alpha"),$C$7,IF(C1750="Futures",$C$6,$C$5))),""),"")</f>
        <v/>
      </c>
      <c r="I1750" s="139">
        <f>IFERROR(IF(AND(ISNUMBER(F1750),ISNUMBER(H1750)),F1750-H1750,""),"")</f>
        <v/>
      </c>
      <c r="J1750" s="114" t="n"/>
      <c r="K1750" s="139">
        <f>IFERROR(IF(H1750&gt;0,H1750*IF(OR(C1750="Alpha",B1750="Alpha"),$C$9,$C$8),""),"")</f>
        <v/>
      </c>
      <c r="L1750" s="139">
        <f>IFERROR(IF(ISNUMBER(F1750),F1750-IF(ISNUMBER(K1750),K1750,0),""),"")</f>
        <v/>
      </c>
    </row>
    <row r="1751" ht="24" customHeight="1" s="63">
      <c r="E1751" s="139" t="n"/>
      <c r="F1751" s="139" t="n"/>
      <c r="G1751" s="140">
        <f>IFERROR(IF(E1751&gt;0,(F1751/E1751)*1000,""),"")</f>
        <v/>
      </c>
      <c r="H1751" s="139">
        <f>IFERROR(IF(E1751&gt;0,E1751*IF(ISNUMBER(J1751),J1751,IF(OR(C1751="Alpha",B1751="Alpha"),$C$7,IF(C1751="Futures",$C$6,$C$5))),""),"")</f>
        <v/>
      </c>
      <c r="I1751" s="139">
        <f>IFERROR(IF(AND(ISNUMBER(F1751),ISNUMBER(H1751)),F1751-H1751,""),"")</f>
        <v/>
      </c>
      <c r="J1751" s="114" t="n"/>
      <c r="K1751" s="139">
        <f>IFERROR(IF(H1751&gt;0,H1751*IF(OR(C1751="Alpha",B1751="Alpha"),$C$9,$C$8),""),"")</f>
        <v/>
      </c>
      <c r="L1751" s="139">
        <f>IFERROR(IF(ISNUMBER(F1751),F1751-IF(ISNUMBER(K1751),K1751,0),""),"")</f>
        <v/>
      </c>
    </row>
    <row r="1752" ht="24" customHeight="1" s="63">
      <c r="E1752" s="139" t="n"/>
      <c r="F1752" s="139" t="n"/>
      <c r="G1752" s="140">
        <f>IFERROR(IF(E1752&gt;0,(F1752/E1752)*1000,""),"")</f>
        <v/>
      </c>
      <c r="H1752" s="139">
        <f>IFERROR(IF(E1752&gt;0,E1752*IF(ISNUMBER(J1752),J1752,IF(OR(C1752="Alpha",B1752="Alpha"),$C$7,IF(C1752="Futures",$C$6,$C$5))),""),"")</f>
        <v/>
      </c>
      <c r="I1752" s="139">
        <f>IFERROR(IF(AND(ISNUMBER(F1752),ISNUMBER(H1752)),F1752-H1752,""),"")</f>
        <v/>
      </c>
      <c r="J1752" s="114" t="n"/>
      <c r="K1752" s="139">
        <f>IFERROR(IF(H1752&gt;0,H1752*IF(OR(C1752="Alpha",B1752="Alpha"),$C$9,$C$8),""),"")</f>
        <v/>
      </c>
      <c r="L1752" s="139">
        <f>IFERROR(IF(ISNUMBER(F1752),F1752-IF(ISNUMBER(K1752),K1752,0),""),"")</f>
        <v/>
      </c>
    </row>
    <row r="1753" ht="24" customHeight="1" s="63">
      <c r="E1753" s="139" t="n"/>
      <c r="F1753" s="139" t="n"/>
      <c r="G1753" s="140">
        <f>IFERROR(IF(E1753&gt;0,(F1753/E1753)*1000,""),"")</f>
        <v/>
      </c>
      <c r="H1753" s="139">
        <f>IFERROR(IF(E1753&gt;0,E1753*IF(ISNUMBER(J1753),J1753,IF(OR(C1753="Alpha",B1753="Alpha"),$C$7,IF(C1753="Futures",$C$6,$C$5))),""),"")</f>
        <v/>
      </c>
      <c r="I1753" s="139">
        <f>IFERROR(IF(AND(ISNUMBER(F1753),ISNUMBER(H1753)),F1753-H1753,""),"")</f>
        <v/>
      </c>
      <c r="J1753" s="114" t="n"/>
      <c r="K1753" s="139">
        <f>IFERROR(IF(H1753&gt;0,H1753*IF(OR(C1753="Alpha",B1753="Alpha"),$C$9,$C$8),""),"")</f>
        <v/>
      </c>
      <c r="L1753" s="139">
        <f>IFERROR(IF(ISNUMBER(F1753),F1753-IF(ISNUMBER(K1753),K1753,0),""),"")</f>
        <v/>
      </c>
    </row>
    <row r="1754" ht="24" customHeight="1" s="63">
      <c r="E1754" s="139" t="n"/>
      <c r="F1754" s="139" t="n"/>
      <c r="G1754" s="140">
        <f>IFERROR(IF(E1754&gt;0,(F1754/E1754)*1000,""),"")</f>
        <v/>
      </c>
      <c r="H1754" s="139">
        <f>IFERROR(IF(E1754&gt;0,E1754*IF(ISNUMBER(J1754),J1754,IF(OR(C1754="Alpha",B1754="Alpha"),$C$7,IF(C1754="Futures",$C$6,$C$5))),""),"")</f>
        <v/>
      </c>
      <c r="I1754" s="139">
        <f>IFERROR(IF(AND(ISNUMBER(F1754),ISNUMBER(H1754)),F1754-H1754,""),"")</f>
        <v/>
      </c>
      <c r="J1754" s="114" t="n"/>
      <c r="K1754" s="139">
        <f>IFERROR(IF(H1754&gt;0,H1754*IF(OR(C1754="Alpha",B1754="Alpha"),$C$9,$C$8),""),"")</f>
        <v/>
      </c>
      <c r="L1754" s="139">
        <f>IFERROR(IF(ISNUMBER(F1754),F1754-IF(ISNUMBER(K1754),K1754,0),""),"")</f>
        <v/>
      </c>
    </row>
    <row r="1755" ht="24" customHeight="1" s="63">
      <c r="E1755" s="139" t="n"/>
      <c r="F1755" s="139" t="n"/>
      <c r="G1755" s="140">
        <f>IFERROR(IF(E1755&gt;0,(F1755/E1755)*1000,""),"")</f>
        <v/>
      </c>
      <c r="H1755" s="139">
        <f>IFERROR(IF(E1755&gt;0,E1755*IF(ISNUMBER(J1755),J1755,IF(OR(C1755="Alpha",B1755="Alpha"),$C$7,IF(C1755="Futures",$C$6,$C$5))),""),"")</f>
        <v/>
      </c>
      <c r="I1755" s="139">
        <f>IFERROR(IF(AND(ISNUMBER(F1755),ISNUMBER(H1755)),F1755-H1755,""),"")</f>
        <v/>
      </c>
      <c r="J1755" s="114" t="n"/>
      <c r="K1755" s="139">
        <f>IFERROR(IF(H1755&gt;0,H1755*IF(OR(C1755="Alpha",B1755="Alpha"),$C$9,$C$8),""),"")</f>
        <v/>
      </c>
      <c r="L1755" s="139">
        <f>IFERROR(IF(ISNUMBER(F1755),F1755-IF(ISNUMBER(K1755),K1755,0),""),"")</f>
        <v/>
      </c>
    </row>
    <row r="1756" ht="24" customHeight="1" s="63">
      <c r="E1756" s="139" t="n"/>
      <c r="F1756" s="139" t="n"/>
      <c r="G1756" s="140">
        <f>IFERROR(IF(E1756&gt;0,(F1756/E1756)*1000,""),"")</f>
        <v/>
      </c>
      <c r="H1756" s="139">
        <f>IFERROR(IF(E1756&gt;0,E1756*IF(ISNUMBER(J1756),J1756,IF(OR(C1756="Alpha",B1756="Alpha"),$C$7,IF(C1756="Futures",$C$6,$C$5))),""),"")</f>
        <v/>
      </c>
      <c r="I1756" s="139">
        <f>IFERROR(IF(AND(ISNUMBER(F1756),ISNUMBER(H1756)),F1756-H1756,""),"")</f>
        <v/>
      </c>
      <c r="J1756" s="114" t="n"/>
      <c r="K1756" s="139">
        <f>IFERROR(IF(H1756&gt;0,H1756*IF(OR(C1756="Alpha",B1756="Alpha"),$C$9,$C$8),""),"")</f>
        <v/>
      </c>
      <c r="L1756" s="139">
        <f>IFERROR(IF(ISNUMBER(F1756),F1756-IF(ISNUMBER(K1756),K1756,0),""),"")</f>
        <v/>
      </c>
    </row>
    <row r="1757" ht="24" customHeight="1" s="63">
      <c r="E1757" s="139" t="n"/>
      <c r="F1757" s="139" t="n"/>
      <c r="G1757" s="140">
        <f>IFERROR(IF(E1757&gt;0,(F1757/E1757)*1000,""),"")</f>
        <v/>
      </c>
      <c r="H1757" s="139">
        <f>IFERROR(IF(E1757&gt;0,E1757*IF(ISNUMBER(J1757),J1757,IF(OR(C1757="Alpha",B1757="Alpha"),$C$7,IF(C1757="Futures",$C$6,$C$5))),""),"")</f>
        <v/>
      </c>
      <c r="I1757" s="139">
        <f>IFERROR(IF(AND(ISNUMBER(F1757),ISNUMBER(H1757)),F1757-H1757,""),"")</f>
        <v/>
      </c>
      <c r="J1757" s="114" t="n"/>
      <c r="K1757" s="139">
        <f>IFERROR(IF(H1757&gt;0,H1757*IF(OR(C1757="Alpha",B1757="Alpha"),$C$9,$C$8),""),"")</f>
        <v/>
      </c>
      <c r="L1757" s="139">
        <f>IFERROR(IF(ISNUMBER(F1757),F1757-IF(ISNUMBER(K1757),K1757,0),""),"")</f>
        <v/>
      </c>
    </row>
    <row r="1758" ht="24" customHeight="1" s="63">
      <c r="E1758" s="139" t="n"/>
      <c r="F1758" s="139" t="n"/>
      <c r="G1758" s="140">
        <f>IFERROR(IF(E1758&gt;0,(F1758/E1758)*1000,""),"")</f>
        <v/>
      </c>
      <c r="H1758" s="139">
        <f>IFERROR(IF(E1758&gt;0,E1758*IF(ISNUMBER(J1758),J1758,IF(OR(C1758="Alpha",B1758="Alpha"),$C$7,IF(C1758="Futures",$C$6,$C$5))),""),"")</f>
        <v/>
      </c>
      <c r="I1758" s="139">
        <f>IFERROR(IF(AND(ISNUMBER(F1758),ISNUMBER(H1758)),F1758-H1758,""),"")</f>
        <v/>
      </c>
      <c r="J1758" s="114" t="n"/>
      <c r="K1758" s="139">
        <f>IFERROR(IF(H1758&gt;0,H1758*IF(OR(C1758="Alpha",B1758="Alpha"),$C$9,$C$8),""),"")</f>
        <v/>
      </c>
      <c r="L1758" s="139">
        <f>IFERROR(IF(ISNUMBER(F1758),F1758-IF(ISNUMBER(K1758),K1758,0),""),"")</f>
        <v/>
      </c>
    </row>
    <row r="1759" ht="24" customHeight="1" s="63">
      <c r="E1759" s="139" t="n"/>
      <c r="F1759" s="139" t="n"/>
      <c r="G1759" s="140">
        <f>IFERROR(IF(E1759&gt;0,(F1759/E1759)*1000,""),"")</f>
        <v/>
      </c>
      <c r="H1759" s="139">
        <f>IFERROR(IF(E1759&gt;0,E1759*IF(ISNUMBER(J1759),J1759,IF(OR(C1759="Alpha",B1759="Alpha"),$C$7,IF(C1759="Futures",$C$6,$C$5))),""),"")</f>
        <v/>
      </c>
      <c r="I1759" s="139">
        <f>IFERROR(IF(AND(ISNUMBER(F1759),ISNUMBER(H1759)),F1759-H1759,""),"")</f>
        <v/>
      </c>
      <c r="J1759" s="114" t="n"/>
      <c r="K1759" s="139">
        <f>IFERROR(IF(H1759&gt;0,H1759*IF(OR(C1759="Alpha",B1759="Alpha"),$C$9,$C$8),""),"")</f>
        <v/>
      </c>
      <c r="L1759" s="139">
        <f>IFERROR(IF(ISNUMBER(F1759),F1759-IF(ISNUMBER(K1759),K1759,0),""),"")</f>
        <v/>
      </c>
    </row>
    <row r="1760" ht="24" customHeight="1" s="63">
      <c r="E1760" s="139" t="n"/>
      <c r="F1760" s="139" t="n"/>
      <c r="G1760" s="140">
        <f>IFERROR(IF(E1760&gt;0,(F1760/E1760)*1000,""),"")</f>
        <v/>
      </c>
      <c r="H1760" s="139">
        <f>IFERROR(IF(E1760&gt;0,E1760*IF(ISNUMBER(J1760),J1760,IF(OR(C1760="Alpha",B1760="Alpha"),$C$7,IF(C1760="Futures",$C$6,$C$5))),""),"")</f>
        <v/>
      </c>
      <c r="I1760" s="139">
        <f>IFERROR(IF(AND(ISNUMBER(F1760),ISNUMBER(H1760)),F1760-H1760,""),"")</f>
        <v/>
      </c>
      <c r="J1760" s="114" t="n"/>
      <c r="K1760" s="139">
        <f>IFERROR(IF(H1760&gt;0,H1760*IF(OR(C1760="Alpha",B1760="Alpha"),$C$9,$C$8),""),"")</f>
        <v/>
      </c>
      <c r="L1760" s="139">
        <f>IFERROR(IF(ISNUMBER(F1760),F1760-IF(ISNUMBER(K1760),K1760,0),""),"")</f>
        <v/>
      </c>
    </row>
    <row r="1761" ht="24" customHeight="1" s="63">
      <c r="E1761" s="139" t="n"/>
      <c r="F1761" s="139" t="n"/>
      <c r="G1761" s="140">
        <f>IFERROR(IF(E1761&gt;0,(F1761/E1761)*1000,""),"")</f>
        <v/>
      </c>
      <c r="H1761" s="139">
        <f>IFERROR(IF(E1761&gt;0,E1761*IF(ISNUMBER(J1761),J1761,IF(OR(C1761="Alpha",B1761="Alpha"),$C$7,IF(C1761="Futures",$C$6,$C$5))),""),"")</f>
        <v/>
      </c>
      <c r="I1761" s="139">
        <f>IFERROR(IF(AND(ISNUMBER(F1761),ISNUMBER(H1761)),F1761-H1761,""),"")</f>
        <v/>
      </c>
      <c r="J1761" s="114" t="n"/>
      <c r="K1761" s="139">
        <f>IFERROR(IF(H1761&gt;0,H1761*IF(OR(C1761="Alpha",B1761="Alpha"),$C$9,$C$8),""),"")</f>
        <v/>
      </c>
      <c r="L1761" s="139">
        <f>IFERROR(IF(ISNUMBER(F1761),F1761-IF(ISNUMBER(K1761),K1761,0),""),"")</f>
        <v/>
      </c>
    </row>
    <row r="1762" ht="24" customHeight="1" s="63">
      <c r="E1762" s="139" t="n"/>
      <c r="F1762" s="139" t="n"/>
      <c r="G1762" s="140">
        <f>IFERROR(IF(E1762&gt;0,(F1762/E1762)*1000,""),"")</f>
        <v/>
      </c>
      <c r="H1762" s="139">
        <f>IFERROR(IF(E1762&gt;0,E1762*IF(ISNUMBER(J1762),J1762,IF(OR(C1762="Alpha",B1762="Alpha"),$C$7,IF(C1762="Futures",$C$6,$C$5))),""),"")</f>
        <v/>
      </c>
      <c r="I1762" s="139">
        <f>IFERROR(IF(AND(ISNUMBER(F1762),ISNUMBER(H1762)),F1762-H1762,""),"")</f>
        <v/>
      </c>
      <c r="J1762" s="114" t="n"/>
      <c r="K1762" s="139">
        <f>IFERROR(IF(H1762&gt;0,H1762*IF(OR(C1762="Alpha",B1762="Alpha"),$C$9,$C$8),""),"")</f>
        <v/>
      </c>
      <c r="L1762" s="139">
        <f>IFERROR(IF(ISNUMBER(F1762),F1762-IF(ISNUMBER(K1762),K1762,0),""),"")</f>
        <v/>
      </c>
    </row>
    <row r="1763" ht="24" customHeight="1" s="63">
      <c r="E1763" s="139" t="n"/>
      <c r="F1763" s="139" t="n"/>
      <c r="G1763" s="140">
        <f>IFERROR(IF(E1763&gt;0,(F1763/E1763)*1000,""),"")</f>
        <v/>
      </c>
      <c r="H1763" s="139">
        <f>IFERROR(IF(E1763&gt;0,E1763*IF(ISNUMBER(J1763),J1763,IF(OR(C1763="Alpha",B1763="Alpha"),$C$7,IF(C1763="Futures",$C$6,$C$5))),""),"")</f>
        <v/>
      </c>
      <c r="I1763" s="139">
        <f>IFERROR(IF(AND(ISNUMBER(F1763),ISNUMBER(H1763)),F1763-H1763,""),"")</f>
        <v/>
      </c>
      <c r="J1763" s="114" t="n"/>
      <c r="K1763" s="139">
        <f>IFERROR(IF(H1763&gt;0,H1763*IF(OR(C1763="Alpha",B1763="Alpha"),$C$9,$C$8),""),"")</f>
        <v/>
      </c>
      <c r="L1763" s="139">
        <f>IFERROR(IF(ISNUMBER(F1763),F1763-IF(ISNUMBER(K1763),K1763,0),""),"")</f>
        <v/>
      </c>
    </row>
    <row r="1764" ht="24" customHeight="1" s="63">
      <c r="E1764" s="139" t="n"/>
      <c r="F1764" s="139" t="n"/>
      <c r="G1764" s="140">
        <f>IFERROR(IF(E1764&gt;0,(F1764/E1764)*1000,""),"")</f>
        <v/>
      </c>
      <c r="H1764" s="139">
        <f>IFERROR(IF(E1764&gt;0,E1764*IF(ISNUMBER(J1764),J1764,IF(OR(C1764="Alpha",B1764="Alpha"),$C$7,IF(C1764="Futures",$C$6,$C$5))),""),"")</f>
        <v/>
      </c>
      <c r="I1764" s="139">
        <f>IFERROR(IF(AND(ISNUMBER(F1764),ISNUMBER(H1764)),F1764-H1764,""),"")</f>
        <v/>
      </c>
      <c r="J1764" s="114" t="n"/>
      <c r="K1764" s="139">
        <f>IFERROR(IF(H1764&gt;0,H1764*IF(OR(C1764="Alpha",B1764="Alpha"),$C$9,$C$8),""),"")</f>
        <v/>
      </c>
      <c r="L1764" s="139">
        <f>IFERROR(IF(ISNUMBER(F1764),F1764-IF(ISNUMBER(K1764),K1764,0),""),"")</f>
        <v/>
      </c>
    </row>
    <row r="1765" ht="24" customHeight="1" s="63">
      <c r="E1765" s="139" t="n"/>
      <c r="F1765" s="139" t="n"/>
      <c r="G1765" s="140">
        <f>IFERROR(IF(E1765&gt;0,(F1765/E1765)*1000,""),"")</f>
        <v/>
      </c>
      <c r="H1765" s="139">
        <f>IFERROR(IF(E1765&gt;0,E1765*IF(ISNUMBER(J1765),J1765,IF(OR(C1765="Alpha",B1765="Alpha"),$C$7,IF(C1765="Futures",$C$6,$C$5))),""),"")</f>
        <v/>
      </c>
      <c r="I1765" s="139">
        <f>IFERROR(IF(AND(ISNUMBER(F1765),ISNUMBER(H1765)),F1765-H1765,""),"")</f>
        <v/>
      </c>
      <c r="J1765" s="114" t="n"/>
      <c r="K1765" s="139">
        <f>IFERROR(IF(H1765&gt;0,H1765*IF(OR(C1765="Alpha",B1765="Alpha"),$C$9,$C$8),""),"")</f>
        <v/>
      </c>
      <c r="L1765" s="139">
        <f>IFERROR(IF(ISNUMBER(F1765),F1765-IF(ISNUMBER(K1765),K1765,0),""),"")</f>
        <v/>
      </c>
    </row>
    <row r="1766" ht="24" customHeight="1" s="63">
      <c r="E1766" s="139" t="n"/>
      <c r="F1766" s="139" t="n"/>
      <c r="G1766" s="140">
        <f>IFERROR(IF(E1766&gt;0,(F1766/E1766)*1000,""),"")</f>
        <v/>
      </c>
      <c r="H1766" s="139">
        <f>IFERROR(IF(E1766&gt;0,E1766*IF(ISNUMBER(J1766),J1766,IF(OR(C1766="Alpha",B1766="Alpha"),$C$7,IF(C1766="Futures",$C$6,$C$5))),""),"")</f>
        <v/>
      </c>
      <c r="I1766" s="139">
        <f>IFERROR(IF(AND(ISNUMBER(F1766),ISNUMBER(H1766)),F1766-H1766,""),"")</f>
        <v/>
      </c>
      <c r="J1766" s="114" t="n"/>
      <c r="K1766" s="139">
        <f>IFERROR(IF(H1766&gt;0,H1766*IF(OR(C1766="Alpha",B1766="Alpha"),$C$9,$C$8),""),"")</f>
        <v/>
      </c>
      <c r="L1766" s="139">
        <f>IFERROR(IF(ISNUMBER(F1766),F1766-IF(ISNUMBER(K1766),K1766,0),""),"")</f>
        <v/>
      </c>
    </row>
    <row r="1767" ht="24" customHeight="1" s="63">
      <c r="E1767" s="139" t="n"/>
      <c r="F1767" s="139" t="n"/>
      <c r="G1767" s="140">
        <f>IFERROR(IF(E1767&gt;0,(F1767/E1767)*1000,""),"")</f>
        <v/>
      </c>
      <c r="H1767" s="139">
        <f>IFERROR(IF(E1767&gt;0,E1767*IF(ISNUMBER(J1767),J1767,IF(OR(C1767="Alpha",B1767="Alpha"),$C$7,IF(C1767="Futures",$C$6,$C$5))),""),"")</f>
        <v/>
      </c>
      <c r="I1767" s="139">
        <f>IFERROR(IF(AND(ISNUMBER(F1767),ISNUMBER(H1767)),F1767-H1767,""),"")</f>
        <v/>
      </c>
      <c r="J1767" s="114" t="n"/>
      <c r="K1767" s="139">
        <f>IFERROR(IF(H1767&gt;0,H1767*IF(OR(C1767="Alpha",B1767="Alpha"),$C$9,$C$8),""),"")</f>
        <v/>
      </c>
      <c r="L1767" s="139">
        <f>IFERROR(IF(ISNUMBER(F1767),F1767-IF(ISNUMBER(K1767),K1767,0),""),"")</f>
        <v/>
      </c>
    </row>
    <row r="1768" ht="24" customHeight="1" s="63">
      <c r="E1768" s="139" t="n"/>
      <c r="F1768" s="139" t="n"/>
      <c r="G1768" s="140">
        <f>IFERROR(IF(E1768&gt;0,(F1768/E1768)*1000,""),"")</f>
        <v/>
      </c>
      <c r="H1768" s="139">
        <f>IFERROR(IF(E1768&gt;0,E1768*IF(ISNUMBER(J1768),J1768,IF(OR(C1768="Alpha",B1768="Alpha"),$C$7,IF(C1768="Futures",$C$6,$C$5))),""),"")</f>
        <v/>
      </c>
      <c r="I1768" s="139">
        <f>IFERROR(IF(AND(ISNUMBER(F1768),ISNUMBER(H1768)),F1768-H1768,""),"")</f>
        <v/>
      </c>
      <c r="J1768" s="114" t="n"/>
      <c r="K1768" s="139">
        <f>IFERROR(IF(H1768&gt;0,H1768*IF(OR(C1768="Alpha",B1768="Alpha"),$C$9,$C$8),""),"")</f>
        <v/>
      </c>
      <c r="L1768" s="139">
        <f>IFERROR(IF(ISNUMBER(F1768),F1768-IF(ISNUMBER(K1768),K1768,0),""),"")</f>
        <v/>
      </c>
    </row>
    <row r="1769" ht="24" customHeight="1" s="63">
      <c r="E1769" s="139" t="n"/>
      <c r="F1769" s="139" t="n"/>
      <c r="G1769" s="140">
        <f>IFERROR(IF(E1769&gt;0,(F1769/E1769)*1000,""),"")</f>
        <v/>
      </c>
      <c r="H1769" s="139">
        <f>IFERROR(IF(E1769&gt;0,E1769*IF(ISNUMBER(J1769),J1769,IF(OR(C1769="Alpha",B1769="Alpha"),$C$7,IF(C1769="Futures",$C$6,$C$5))),""),"")</f>
        <v/>
      </c>
      <c r="I1769" s="139">
        <f>IFERROR(IF(AND(ISNUMBER(F1769),ISNUMBER(H1769)),F1769-H1769,""),"")</f>
        <v/>
      </c>
      <c r="J1769" s="114" t="n"/>
      <c r="K1769" s="139">
        <f>IFERROR(IF(H1769&gt;0,H1769*IF(OR(C1769="Alpha",B1769="Alpha"),$C$9,$C$8),""),"")</f>
        <v/>
      </c>
      <c r="L1769" s="139">
        <f>IFERROR(IF(ISNUMBER(F1769),F1769-IF(ISNUMBER(K1769),K1769,0),""),"")</f>
        <v/>
      </c>
    </row>
    <row r="1770" ht="24" customHeight="1" s="63">
      <c r="E1770" s="139" t="n"/>
      <c r="F1770" s="139" t="n"/>
      <c r="G1770" s="140">
        <f>IFERROR(IF(E1770&gt;0,(F1770/E1770)*1000,""),"")</f>
        <v/>
      </c>
      <c r="H1770" s="139">
        <f>IFERROR(IF(E1770&gt;0,E1770*IF(ISNUMBER(J1770),J1770,IF(OR(C1770="Alpha",B1770="Alpha"),$C$7,IF(C1770="Futures",$C$6,$C$5))),""),"")</f>
        <v/>
      </c>
      <c r="I1770" s="139">
        <f>IFERROR(IF(AND(ISNUMBER(F1770),ISNUMBER(H1770)),F1770-H1770,""),"")</f>
        <v/>
      </c>
      <c r="J1770" s="114" t="n"/>
      <c r="K1770" s="139">
        <f>IFERROR(IF(H1770&gt;0,H1770*IF(OR(C1770="Alpha",B1770="Alpha"),$C$9,$C$8),""),"")</f>
        <v/>
      </c>
      <c r="L1770" s="139">
        <f>IFERROR(IF(ISNUMBER(F1770),F1770-IF(ISNUMBER(K1770),K1770,0),""),"")</f>
        <v/>
      </c>
    </row>
    <row r="1771" ht="24" customHeight="1" s="63">
      <c r="E1771" s="139" t="n"/>
      <c r="F1771" s="139" t="n"/>
      <c r="G1771" s="140">
        <f>IFERROR(IF(E1771&gt;0,(F1771/E1771)*1000,""),"")</f>
        <v/>
      </c>
      <c r="H1771" s="139">
        <f>IFERROR(IF(E1771&gt;0,E1771*IF(ISNUMBER(J1771),J1771,IF(OR(C1771="Alpha",B1771="Alpha"),$C$7,IF(C1771="Futures",$C$6,$C$5))),""),"")</f>
        <v/>
      </c>
      <c r="I1771" s="139">
        <f>IFERROR(IF(AND(ISNUMBER(F1771),ISNUMBER(H1771)),F1771-H1771,""),"")</f>
        <v/>
      </c>
      <c r="J1771" s="114" t="n"/>
      <c r="K1771" s="139">
        <f>IFERROR(IF(H1771&gt;0,H1771*IF(OR(C1771="Alpha",B1771="Alpha"),$C$9,$C$8),""),"")</f>
        <v/>
      </c>
      <c r="L1771" s="139">
        <f>IFERROR(IF(ISNUMBER(F1771),F1771-IF(ISNUMBER(K1771),K1771,0),""),"")</f>
        <v/>
      </c>
    </row>
    <row r="1772" ht="24" customHeight="1" s="63">
      <c r="E1772" s="139" t="n"/>
      <c r="F1772" s="139" t="n"/>
      <c r="G1772" s="140">
        <f>IFERROR(IF(E1772&gt;0,(F1772/E1772)*1000,""),"")</f>
        <v/>
      </c>
      <c r="H1772" s="139">
        <f>IFERROR(IF(E1772&gt;0,E1772*IF(ISNUMBER(J1772),J1772,IF(OR(C1772="Alpha",B1772="Alpha"),$C$7,IF(C1772="Futures",$C$6,$C$5))),""),"")</f>
        <v/>
      </c>
      <c r="I1772" s="139">
        <f>IFERROR(IF(AND(ISNUMBER(F1772),ISNUMBER(H1772)),F1772-H1772,""),"")</f>
        <v/>
      </c>
      <c r="J1772" s="114" t="n"/>
      <c r="K1772" s="139">
        <f>IFERROR(IF(H1772&gt;0,H1772*IF(OR(C1772="Alpha",B1772="Alpha"),$C$9,$C$8),""),"")</f>
        <v/>
      </c>
      <c r="L1772" s="139">
        <f>IFERROR(IF(ISNUMBER(F1772),F1772-IF(ISNUMBER(K1772),K1772,0),""),"")</f>
        <v/>
      </c>
    </row>
    <row r="1773" ht="24" customHeight="1" s="63">
      <c r="E1773" s="139" t="n"/>
      <c r="F1773" s="139" t="n"/>
      <c r="G1773" s="140">
        <f>IFERROR(IF(E1773&gt;0,(F1773/E1773)*1000,""),"")</f>
        <v/>
      </c>
      <c r="H1773" s="139">
        <f>IFERROR(IF(E1773&gt;0,E1773*IF(ISNUMBER(J1773),J1773,IF(OR(C1773="Alpha",B1773="Alpha"),$C$7,IF(C1773="Futures",$C$6,$C$5))),""),"")</f>
        <v/>
      </c>
      <c r="I1773" s="139">
        <f>IFERROR(IF(AND(ISNUMBER(F1773),ISNUMBER(H1773)),F1773-H1773,""),"")</f>
        <v/>
      </c>
      <c r="J1773" s="114" t="n"/>
      <c r="K1773" s="139">
        <f>IFERROR(IF(H1773&gt;0,H1773*IF(OR(C1773="Alpha",B1773="Alpha"),$C$9,$C$8),""),"")</f>
        <v/>
      </c>
      <c r="L1773" s="139">
        <f>IFERROR(IF(ISNUMBER(F1773),F1773-IF(ISNUMBER(K1773),K1773,0),""),"")</f>
        <v/>
      </c>
    </row>
    <row r="1774" ht="24" customHeight="1" s="63">
      <c r="E1774" s="139" t="n"/>
      <c r="F1774" s="139" t="n"/>
      <c r="G1774" s="140">
        <f>IFERROR(IF(E1774&gt;0,(F1774/E1774)*1000,""),"")</f>
        <v/>
      </c>
      <c r="H1774" s="139">
        <f>IFERROR(IF(E1774&gt;0,E1774*IF(ISNUMBER(J1774),J1774,IF(OR(C1774="Alpha",B1774="Alpha"),$C$7,IF(C1774="Futures",$C$6,$C$5))),""),"")</f>
        <v/>
      </c>
      <c r="I1774" s="139">
        <f>IFERROR(IF(AND(ISNUMBER(F1774),ISNUMBER(H1774)),F1774-H1774,""),"")</f>
        <v/>
      </c>
      <c r="J1774" s="114" t="n"/>
      <c r="K1774" s="139">
        <f>IFERROR(IF(H1774&gt;0,H1774*IF(OR(C1774="Alpha",B1774="Alpha"),$C$9,$C$8),""),"")</f>
        <v/>
      </c>
      <c r="L1774" s="139">
        <f>IFERROR(IF(ISNUMBER(F1774),F1774-IF(ISNUMBER(K1774),K1774,0),""),"")</f>
        <v/>
      </c>
    </row>
    <row r="1775" ht="24" customHeight="1" s="63">
      <c r="E1775" s="139" t="n"/>
      <c r="F1775" s="139" t="n"/>
      <c r="G1775" s="140">
        <f>IFERROR(IF(E1775&gt;0,(F1775/E1775)*1000,""),"")</f>
        <v/>
      </c>
      <c r="H1775" s="139">
        <f>IFERROR(IF(E1775&gt;0,E1775*IF(ISNUMBER(J1775),J1775,IF(OR(C1775="Alpha",B1775="Alpha"),$C$7,IF(C1775="Futures",$C$6,$C$5))),""),"")</f>
        <v/>
      </c>
      <c r="I1775" s="139">
        <f>IFERROR(IF(AND(ISNUMBER(F1775),ISNUMBER(H1775)),F1775-H1775,""),"")</f>
        <v/>
      </c>
      <c r="J1775" s="114" t="n"/>
      <c r="K1775" s="139">
        <f>IFERROR(IF(H1775&gt;0,H1775*IF(OR(C1775="Alpha",B1775="Alpha"),$C$9,$C$8),""),"")</f>
        <v/>
      </c>
      <c r="L1775" s="139">
        <f>IFERROR(IF(ISNUMBER(F1775),F1775-IF(ISNUMBER(K1775),K1775,0),""),"")</f>
        <v/>
      </c>
    </row>
    <row r="1776" ht="24" customHeight="1" s="63">
      <c r="E1776" s="139" t="n"/>
      <c r="F1776" s="139" t="n"/>
      <c r="G1776" s="140">
        <f>IFERROR(IF(E1776&gt;0,(F1776/E1776)*1000,""),"")</f>
        <v/>
      </c>
      <c r="H1776" s="139">
        <f>IFERROR(IF(E1776&gt;0,E1776*IF(ISNUMBER(J1776),J1776,IF(OR(C1776="Alpha",B1776="Alpha"),$C$7,IF(C1776="Futures",$C$6,$C$5))),""),"")</f>
        <v/>
      </c>
      <c r="I1776" s="139">
        <f>IFERROR(IF(AND(ISNUMBER(F1776),ISNUMBER(H1776)),F1776-H1776,""),"")</f>
        <v/>
      </c>
      <c r="J1776" s="114" t="n"/>
      <c r="K1776" s="139">
        <f>IFERROR(IF(H1776&gt;0,H1776*IF(OR(C1776="Alpha",B1776="Alpha"),$C$9,$C$8),""),"")</f>
        <v/>
      </c>
      <c r="L1776" s="139">
        <f>IFERROR(IF(ISNUMBER(F1776),F1776-IF(ISNUMBER(K1776),K1776,0),""),"")</f>
        <v/>
      </c>
    </row>
    <row r="1777" ht="24" customHeight="1" s="63">
      <c r="E1777" s="139" t="n"/>
      <c r="F1777" s="139" t="n"/>
      <c r="G1777" s="140">
        <f>IFERROR(IF(E1777&gt;0,(F1777/E1777)*1000,""),"")</f>
        <v/>
      </c>
      <c r="H1777" s="139">
        <f>IFERROR(IF(E1777&gt;0,E1777*IF(ISNUMBER(J1777),J1777,IF(OR(C1777="Alpha",B1777="Alpha"),$C$7,IF(C1777="Futures",$C$6,$C$5))),""),"")</f>
        <v/>
      </c>
      <c r="I1777" s="139">
        <f>IFERROR(IF(AND(ISNUMBER(F1777),ISNUMBER(H1777)),F1777-H1777,""),"")</f>
        <v/>
      </c>
      <c r="J1777" s="114" t="n"/>
      <c r="K1777" s="139">
        <f>IFERROR(IF(H1777&gt;0,H1777*IF(OR(C1777="Alpha",B1777="Alpha"),$C$9,$C$8),""),"")</f>
        <v/>
      </c>
      <c r="L1777" s="139">
        <f>IFERROR(IF(ISNUMBER(F1777),F1777-IF(ISNUMBER(K1777),K1777,0),""),"")</f>
        <v/>
      </c>
    </row>
    <row r="1778" ht="24" customHeight="1" s="63">
      <c r="E1778" s="139" t="n"/>
      <c r="F1778" s="139" t="n"/>
      <c r="G1778" s="140">
        <f>IFERROR(IF(E1778&gt;0,(F1778/E1778)*1000,""),"")</f>
        <v/>
      </c>
      <c r="H1778" s="139">
        <f>IFERROR(IF(E1778&gt;0,E1778*IF(ISNUMBER(J1778),J1778,IF(OR(C1778="Alpha",B1778="Alpha"),$C$7,IF(C1778="Futures",$C$6,$C$5))),""),"")</f>
        <v/>
      </c>
      <c r="I1778" s="139">
        <f>IFERROR(IF(AND(ISNUMBER(F1778),ISNUMBER(H1778)),F1778-H1778,""),"")</f>
        <v/>
      </c>
      <c r="J1778" s="114" t="n"/>
      <c r="K1778" s="139">
        <f>IFERROR(IF(H1778&gt;0,H1778*IF(OR(C1778="Alpha",B1778="Alpha"),$C$9,$C$8),""),"")</f>
        <v/>
      </c>
      <c r="L1778" s="139">
        <f>IFERROR(IF(ISNUMBER(F1778),F1778-IF(ISNUMBER(K1778),K1778,0),""),"")</f>
        <v/>
      </c>
    </row>
    <row r="1779" ht="24" customHeight="1" s="63">
      <c r="E1779" s="139" t="n"/>
      <c r="F1779" s="139" t="n"/>
      <c r="G1779" s="140">
        <f>IFERROR(IF(E1779&gt;0,(F1779/E1779)*1000,""),"")</f>
        <v/>
      </c>
      <c r="H1779" s="139">
        <f>IFERROR(IF(E1779&gt;0,E1779*IF(ISNUMBER(J1779),J1779,IF(OR(C1779="Alpha",B1779="Alpha"),$C$7,IF(C1779="Futures",$C$6,$C$5))),""),"")</f>
        <v/>
      </c>
      <c r="I1779" s="139">
        <f>IFERROR(IF(AND(ISNUMBER(F1779),ISNUMBER(H1779)),F1779-H1779,""),"")</f>
        <v/>
      </c>
      <c r="J1779" s="114" t="n"/>
      <c r="K1779" s="139">
        <f>IFERROR(IF(H1779&gt;0,H1779*IF(OR(C1779="Alpha",B1779="Alpha"),$C$9,$C$8),""),"")</f>
        <v/>
      </c>
      <c r="L1779" s="139">
        <f>IFERROR(IF(ISNUMBER(F1779),F1779-IF(ISNUMBER(K1779),K1779,0),""),"")</f>
        <v/>
      </c>
    </row>
    <row r="1780" ht="24" customHeight="1" s="63">
      <c r="E1780" s="139" t="n"/>
      <c r="F1780" s="139" t="n"/>
      <c r="G1780" s="140">
        <f>IFERROR(IF(E1780&gt;0,(F1780/E1780)*1000,""),"")</f>
        <v/>
      </c>
      <c r="H1780" s="139">
        <f>IFERROR(IF(E1780&gt;0,E1780*IF(ISNUMBER(J1780),J1780,IF(OR(C1780="Alpha",B1780="Alpha"),$C$7,IF(C1780="Futures",$C$6,$C$5))),""),"")</f>
        <v/>
      </c>
      <c r="I1780" s="139">
        <f>IFERROR(IF(AND(ISNUMBER(F1780),ISNUMBER(H1780)),F1780-H1780,""),"")</f>
        <v/>
      </c>
      <c r="J1780" s="114" t="n"/>
      <c r="K1780" s="139">
        <f>IFERROR(IF(H1780&gt;0,H1780*IF(OR(C1780="Alpha",B1780="Alpha"),$C$9,$C$8),""),"")</f>
        <v/>
      </c>
      <c r="L1780" s="139">
        <f>IFERROR(IF(ISNUMBER(F1780),F1780-IF(ISNUMBER(K1780),K1780,0),""),"")</f>
        <v/>
      </c>
    </row>
    <row r="1781" ht="24" customHeight="1" s="63">
      <c r="E1781" s="139" t="n"/>
      <c r="F1781" s="139" t="n"/>
      <c r="G1781" s="140">
        <f>IFERROR(IF(E1781&gt;0,(F1781/E1781)*1000,""),"")</f>
        <v/>
      </c>
      <c r="H1781" s="139">
        <f>IFERROR(IF(E1781&gt;0,E1781*IF(ISNUMBER(J1781),J1781,IF(OR(C1781="Alpha",B1781="Alpha"),$C$7,IF(C1781="Futures",$C$6,$C$5))),""),"")</f>
        <v/>
      </c>
      <c r="I1781" s="139">
        <f>IFERROR(IF(AND(ISNUMBER(F1781),ISNUMBER(H1781)),F1781-H1781,""),"")</f>
        <v/>
      </c>
      <c r="J1781" s="114" t="n"/>
      <c r="K1781" s="139">
        <f>IFERROR(IF(H1781&gt;0,H1781*IF(OR(C1781="Alpha",B1781="Alpha"),$C$9,$C$8),""),"")</f>
        <v/>
      </c>
      <c r="L1781" s="139">
        <f>IFERROR(IF(ISNUMBER(F1781),F1781-IF(ISNUMBER(K1781),K1781,0),""),"")</f>
        <v/>
      </c>
    </row>
    <row r="1782" ht="24" customHeight="1" s="63">
      <c r="E1782" s="139" t="n"/>
      <c r="F1782" s="139" t="n"/>
      <c r="G1782" s="140">
        <f>IFERROR(IF(E1782&gt;0,(F1782/E1782)*1000,""),"")</f>
        <v/>
      </c>
      <c r="H1782" s="139">
        <f>IFERROR(IF(E1782&gt;0,E1782*IF(ISNUMBER(J1782),J1782,IF(OR(C1782="Alpha",B1782="Alpha"),$C$7,IF(C1782="Futures",$C$6,$C$5))),""),"")</f>
        <v/>
      </c>
      <c r="I1782" s="139">
        <f>IFERROR(IF(AND(ISNUMBER(F1782),ISNUMBER(H1782)),F1782-H1782,""),"")</f>
        <v/>
      </c>
      <c r="J1782" s="114" t="n"/>
      <c r="K1782" s="139">
        <f>IFERROR(IF(H1782&gt;0,H1782*IF(OR(C1782="Alpha",B1782="Alpha"),$C$9,$C$8),""),"")</f>
        <v/>
      </c>
      <c r="L1782" s="139">
        <f>IFERROR(IF(ISNUMBER(F1782),F1782-IF(ISNUMBER(K1782),K1782,0),""),"")</f>
        <v/>
      </c>
    </row>
    <row r="1783" ht="24" customHeight="1" s="63">
      <c r="E1783" s="139" t="n"/>
      <c r="F1783" s="139" t="n"/>
      <c r="G1783" s="140">
        <f>IFERROR(IF(E1783&gt;0,(F1783/E1783)*1000,""),"")</f>
        <v/>
      </c>
      <c r="H1783" s="139">
        <f>IFERROR(IF(E1783&gt;0,E1783*IF(ISNUMBER(J1783),J1783,IF(OR(C1783="Alpha",B1783="Alpha"),$C$7,IF(C1783="Futures",$C$6,$C$5))),""),"")</f>
        <v/>
      </c>
      <c r="I1783" s="139">
        <f>IFERROR(IF(AND(ISNUMBER(F1783),ISNUMBER(H1783)),F1783-H1783,""),"")</f>
        <v/>
      </c>
      <c r="J1783" s="114" t="n"/>
      <c r="K1783" s="139">
        <f>IFERROR(IF(H1783&gt;0,H1783*IF(OR(C1783="Alpha",B1783="Alpha"),$C$9,$C$8),""),"")</f>
        <v/>
      </c>
      <c r="L1783" s="139">
        <f>IFERROR(IF(ISNUMBER(F1783),F1783-IF(ISNUMBER(K1783),K1783,0),""),"")</f>
        <v/>
      </c>
    </row>
    <row r="1784" ht="24" customHeight="1" s="63">
      <c r="E1784" s="139" t="n"/>
      <c r="F1784" s="139" t="n"/>
      <c r="G1784" s="140">
        <f>IFERROR(IF(E1784&gt;0,(F1784/E1784)*1000,""),"")</f>
        <v/>
      </c>
      <c r="H1784" s="139">
        <f>IFERROR(IF(E1784&gt;0,E1784*IF(ISNUMBER(J1784),J1784,IF(OR(C1784="Alpha",B1784="Alpha"),$C$7,IF(C1784="Futures",$C$6,$C$5))),""),"")</f>
        <v/>
      </c>
      <c r="I1784" s="139">
        <f>IFERROR(IF(AND(ISNUMBER(F1784),ISNUMBER(H1784)),F1784-H1784,""),"")</f>
        <v/>
      </c>
      <c r="J1784" s="114" t="n"/>
      <c r="K1784" s="139">
        <f>IFERROR(IF(H1784&gt;0,H1784*IF(OR(C1784="Alpha",B1784="Alpha"),$C$9,$C$8),""),"")</f>
        <v/>
      </c>
      <c r="L1784" s="139">
        <f>IFERROR(IF(ISNUMBER(F1784),F1784-IF(ISNUMBER(K1784),K1784,0),""),"")</f>
        <v/>
      </c>
    </row>
    <row r="1785" ht="24" customHeight="1" s="63">
      <c r="E1785" s="139" t="n"/>
      <c r="F1785" s="139" t="n"/>
      <c r="G1785" s="140">
        <f>IFERROR(IF(E1785&gt;0,(F1785/E1785)*1000,""),"")</f>
        <v/>
      </c>
      <c r="H1785" s="139">
        <f>IFERROR(IF(E1785&gt;0,E1785*IF(ISNUMBER(J1785),J1785,IF(OR(C1785="Alpha",B1785="Alpha"),$C$7,IF(C1785="Futures",$C$6,$C$5))),""),"")</f>
        <v/>
      </c>
      <c r="I1785" s="139">
        <f>IFERROR(IF(AND(ISNUMBER(F1785),ISNUMBER(H1785)),F1785-H1785,""),"")</f>
        <v/>
      </c>
      <c r="J1785" s="114" t="n"/>
      <c r="K1785" s="139">
        <f>IFERROR(IF(H1785&gt;0,H1785*IF(OR(C1785="Alpha",B1785="Alpha"),$C$9,$C$8),""),"")</f>
        <v/>
      </c>
      <c r="L1785" s="139">
        <f>IFERROR(IF(ISNUMBER(F1785),F1785-IF(ISNUMBER(K1785),K1785,0),""),"")</f>
        <v/>
      </c>
    </row>
    <row r="1786" ht="24" customHeight="1" s="63">
      <c r="E1786" s="139" t="n"/>
      <c r="F1786" s="139" t="n"/>
      <c r="G1786" s="140">
        <f>IFERROR(IF(E1786&gt;0,(F1786/E1786)*1000,""),"")</f>
        <v/>
      </c>
      <c r="H1786" s="139">
        <f>IFERROR(IF(E1786&gt;0,E1786*IF(ISNUMBER(J1786),J1786,IF(OR(C1786="Alpha",B1786="Alpha"),$C$7,IF(C1786="Futures",$C$6,$C$5))),""),"")</f>
        <v/>
      </c>
      <c r="I1786" s="139">
        <f>IFERROR(IF(AND(ISNUMBER(F1786),ISNUMBER(H1786)),F1786-H1786,""),"")</f>
        <v/>
      </c>
      <c r="J1786" s="114" t="n"/>
      <c r="K1786" s="139">
        <f>IFERROR(IF(H1786&gt;0,H1786*IF(OR(C1786="Alpha",B1786="Alpha"),$C$9,$C$8),""),"")</f>
        <v/>
      </c>
      <c r="L1786" s="139">
        <f>IFERROR(IF(ISNUMBER(F1786),F1786-IF(ISNUMBER(K1786),K1786,0),""),"")</f>
        <v/>
      </c>
    </row>
    <row r="1787" ht="24" customHeight="1" s="63">
      <c r="E1787" s="139" t="n"/>
      <c r="F1787" s="139" t="n"/>
      <c r="G1787" s="140">
        <f>IFERROR(IF(E1787&gt;0,(F1787/E1787)*1000,""),"")</f>
        <v/>
      </c>
      <c r="H1787" s="139">
        <f>IFERROR(IF(E1787&gt;0,E1787*IF(ISNUMBER(J1787),J1787,IF(OR(C1787="Alpha",B1787="Alpha"),$C$7,IF(C1787="Futures",$C$6,$C$5))),""),"")</f>
        <v/>
      </c>
      <c r="I1787" s="139">
        <f>IFERROR(IF(AND(ISNUMBER(F1787),ISNUMBER(H1787)),F1787-H1787,""),"")</f>
        <v/>
      </c>
      <c r="J1787" s="114" t="n"/>
      <c r="K1787" s="139">
        <f>IFERROR(IF(H1787&gt;0,H1787*IF(OR(C1787="Alpha",B1787="Alpha"),$C$9,$C$8),""),"")</f>
        <v/>
      </c>
      <c r="L1787" s="139">
        <f>IFERROR(IF(ISNUMBER(F1787),F1787-IF(ISNUMBER(K1787),K1787,0),""),"")</f>
        <v/>
      </c>
    </row>
    <row r="1788" ht="24" customHeight="1" s="63">
      <c r="E1788" s="139" t="n"/>
      <c r="F1788" s="139" t="n"/>
      <c r="G1788" s="140">
        <f>IFERROR(IF(E1788&gt;0,(F1788/E1788)*1000,""),"")</f>
        <v/>
      </c>
      <c r="H1788" s="139">
        <f>IFERROR(IF(E1788&gt;0,E1788*IF(ISNUMBER(J1788),J1788,IF(OR(C1788="Alpha",B1788="Alpha"),$C$7,IF(C1788="Futures",$C$6,$C$5))),""),"")</f>
        <v/>
      </c>
      <c r="I1788" s="139">
        <f>IFERROR(IF(AND(ISNUMBER(F1788),ISNUMBER(H1788)),F1788-H1788,""),"")</f>
        <v/>
      </c>
      <c r="J1788" s="114" t="n"/>
      <c r="K1788" s="139">
        <f>IFERROR(IF(H1788&gt;0,H1788*IF(OR(C1788="Alpha",B1788="Alpha"),$C$9,$C$8),""),"")</f>
        <v/>
      </c>
      <c r="L1788" s="139">
        <f>IFERROR(IF(ISNUMBER(F1788),F1788-IF(ISNUMBER(K1788),K1788,0),""),"")</f>
        <v/>
      </c>
    </row>
    <row r="1789" ht="24" customHeight="1" s="63">
      <c r="E1789" s="139" t="n"/>
      <c r="F1789" s="139" t="n"/>
      <c r="G1789" s="140">
        <f>IFERROR(IF(E1789&gt;0,(F1789/E1789)*1000,""),"")</f>
        <v/>
      </c>
      <c r="H1789" s="139">
        <f>IFERROR(IF(E1789&gt;0,E1789*IF(ISNUMBER(J1789),J1789,IF(OR(C1789="Alpha",B1789="Alpha"),$C$7,IF(C1789="Futures",$C$6,$C$5))),""),"")</f>
        <v/>
      </c>
      <c r="I1789" s="139">
        <f>IFERROR(IF(AND(ISNUMBER(F1789),ISNUMBER(H1789)),F1789-H1789,""),"")</f>
        <v/>
      </c>
      <c r="J1789" s="114" t="n"/>
      <c r="K1789" s="139">
        <f>IFERROR(IF(H1789&gt;0,H1789*IF(OR(C1789="Alpha",B1789="Alpha"),$C$9,$C$8),""),"")</f>
        <v/>
      </c>
      <c r="L1789" s="139">
        <f>IFERROR(IF(ISNUMBER(F1789),F1789-IF(ISNUMBER(K1789),K1789,0),""),"")</f>
        <v/>
      </c>
    </row>
    <row r="1790" ht="24" customHeight="1" s="63">
      <c r="E1790" s="139" t="n"/>
      <c r="F1790" s="139" t="n"/>
      <c r="G1790" s="140">
        <f>IFERROR(IF(E1790&gt;0,(F1790/E1790)*1000,""),"")</f>
        <v/>
      </c>
      <c r="H1790" s="139">
        <f>IFERROR(IF(E1790&gt;0,E1790*IF(ISNUMBER(J1790),J1790,IF(OR(C1790="Alpha",B1790="Alpha"),$C$7,IF(C1790="Futures",$C$6,$C$5))),""),"")</f>
        <v/>
      </c>
      <c r="I1790" s="139">
        <f>IFERROR(IF(AND(ISNUMBER(F1790),ISNUMBER(H1790)),F1790-H1790,""),"")</f>
        <v/>
      </c>
      <c r="J1790" s="114" t="n"/>
      <c r="K1790" s="139">
        <f>IFERROR(IF(H1790&gt;0,H1790*IF(OR(C1790="Alpha",B1790="Alpha"),$C$9,$C$8),""),"")</f>
        <v/>
      </c>
      <c r="L1790" s="139">
        <f>IFERROR(IF(ISNUMBER(F1790),F1790-IF(ISNUMBER(K1790),K1790,0),""),"")</f>
        <v/>
      </c>
    </row>
    <row r="1791" ht="24" customHeight="1" s="63">
      <c r="E1791" s="139" t="n"/>
      <c r="F1791" s="139" t="n"/>
      <c r="G1791" s="140">
        <f>IFERROR(IF(E1791&gt;0,(F1791/E1791)*1000,""),"")</f>
        <v/>
      </c>
      <c r="H1791" s="139">
        <f>IFERROR(IF(E1791&gt;0,E1791*IF(ISNUMBER(J1791),J1791,IF(OR(C1791="Alpha",B1791="Alpha"),$C$7,IF(C1791="Futures",$C$6,$C$5))),""),"")</f>
        <v/>
      </c>
      <c r="I1791" s="139">
        <f>IFERROR(IF(AND(ISNUMBER(F1791),ISNUMBER(H1791)),F1791-H1791,""),"")</f>
        <v/>
      </c>
      <c r="J1791" s="114" t="n"/>
      <c r="K1791" s="139">
        <f>IFERROR(IF(H1791&gt;0,H1791*IF(OR(C1791="Alpha",B1791="Alpha"),$C$9,$C$8),""),"")</f>
        <v/>
      </c>
      <c r="L1791" s="139">
        <f>IFERROR(IF(ISNUMBER(F1791),F1791-IF(ISNUMBER(K1791),K1791,0),""),"")</f>
        <v/>
      </c>
    </row>
    <row r="1792" ht="24" customHeight="1" s="63">
      <c r="E1792" s="139" t="n"/>
      <c r="F1792" s="139" t="n"/>
      <c r="G1792" s="140">
        <f>IFERROR(IF(E1792&gt;0,(F1792/E1792)*1000,""),"")</f>
        <v/>
      </c>
      <c r="H1792" s="139">
        <f>IFERROR(IF(E1792&gt;0,E1792*IF(ISNUMBER(J1792),J1792,IF(OR(C1792="Alpha",B1792="Alpha"),$C$7,IF(C1792="Futures",$C$6,$C$5))),""),"")</f>
        <v/>
      </c>
      <c r="I1792" s="139">
        <f>IFERROR(IF(AND(ISNUMBER(F1792),ISNUMBER(H1792)),F1792-H1792,""),"")</f>
        <v/>
      </c>
      <c r="J1792" s="114" t="n"/>
      <c r="K1792" s="139">
        <f>IFERROR(IF(H1792&gt;0,H1792*IF(OR(C1792="Alpha",B1792="Alpha"),$C$9,$C$8),""),"")</f>
        <v/>
      </c>
      <c r="L1792" s="139">
        <f>IFERROR(IF(ISNUMBER(F1792),F1792-IF(ISNUMBER(K1792),K1792,0),""),"")</f>
        <v/>
      </c>
    </row>
    <row r="1793" ht="24" customHeight="1" s="63">
      <c r="E1793" s="139" t="n"/>
      <c r="F1793" s="139" t="n"/>
      <c r="G1793" s="140">
        <f>IFERROR(IF(E1793&gt;0,(F1793/E1793)*1000,""),"")</f>
        <v/>
      </c>
      <c r="H1793" s="139">
        <f>IFERROR(IF(E1793&gt;0,E1793*IF(ISNUMBER(J1793),J1793,IF(OR(C1793="Alpha",B1793="Alpha"),$C$7,IF(C1793="Futures",$C$6,$C$5))),""),"")</f>
        <v/>
      </c>
      <c r="I1793" s="139">
        <f>IFERROR(IF(AND(ISNUMBER(F1793),ISNUMBER(H1793)),F1793-H1793,""),"")</f>
        <v/>
      </c>
      <c r="J1793" s="114" t="n"/>
      <c r="K1793" s="139">
        <f>IFERROR(IF(H1793&gt;0,H1793*IF(OR(C1793="Alpha",B1793="Alpha"),$C$9,$C$8),""),"")</f>
        <v/>
      </c>
      <c r="L1793" s="139">
        <f>IFERROR(IF(ISNUMBER(F1793),F1793-IF(ISNUMBER(K1793),K1793,0),""),"")</f>
        <v/>
      </c>
    </row>
    <row r="1794" ht="24" customHeight="1" s="63">
      <c r="E1794" s="139" t="n"/>
      <c r="F1794" s="139" t="n"/>
      <c r="G1794" s="140">
        <f>IFERROR(IF(E1794&gt;0,(F1794/E1794)*1000,""),"")</f>
        <v/>
      </c>
      <c r="H1794" s="139">
        <f>IFERROR(IF(E1794&gt;0,E1794*IF(ISNUMBER(J1794),J1794,IF(OR(C1794="Alpha",B1794="Alpha"),$C$7,IF(C1794="Futures",$C$6,$C$5))),""),"")</f>
        <v/>
      </c>
      <c r="I1794" s="139">
        <f>IFERROR(IF(AND(ISNUMBER(F1794),ISNUMBER(H1794)),F1794-H1794,""),"")</f>
        <v/>
      </c>
      <c r="J1794" s="114" t="n"/>
      <c r="K1794" s="139">
        <f>IFERROR(IF(H1794&gt;0,H1794*IF(OR(C1794="Alpha",B1794="Alpha"),$C$9,$C$8),""),"")</f>
        <v/>
      </c>
      <c r="L1794" s="139">
        <f>IFERROR(IF(ISNUMBER(F1794),F1794-IF(ISNUMBER(K1794),K1794,0),""),"")</f>
        <v/>
      </c>
    </row>
    <row r="1795" ht="24" customHeight="1" s="63">
      <c r="E1795" s="139" t="n"/>
      <c r="F1795" s="139" t="n"/>
      <c r="G1795" s="140">
        <f>IFERROR(IF(E1795&gt;0,(F1795/E1795)*1000,""),"")</f>
        <v/>
      </c>
      <c r="H1795" s="139">
        <f>IFERROR(IF(E1795&gt;0,E1795*IF(ISNUMBER(J1795),J1795,IF(OR(C1795="Alpha",B1795="Alpha"),$C$7,IF(C1795="Futures",$C$6,$C$5))),""),"")</f>
        <v/>
      </c>
      <c r="I1795" s="139">
        <f>IFERROR(IF(AND(ISNUMBER(F1795),ISNUMBER(H1795)),F1795-H1795,""),"")</f>
        <v/>
      </c>
      <c r="J1795" s="114" t="n"/>
      <c r="K1795" s="139">
        <f>IFERROR(IF(H1795&gt;0,H1795*IF(OR(C1795="Alpha",B1795="Alpha"),$C$9,$C$8),""),"")</f>
        <v/>
      </c>
      <c r="L1795" s="139">
        <f>IFERROR(IF(ISNUMBER(F1795),F1795-IF(ISNUMBER(K1795),K1795,0),""),"")</f>
        <v/>
      </c>
    </row>
    <row r="1796" ht="24" customHeight="1" s="63">
      <c r="E1796" s="139" t="n"/>
      <c r="F1796" s="139" t="n"/>
      <c r="G1796" s="140">
        <f>IFERROR(IF(E1796&gt;0,(F1796/E1796)*1000,""),"")</f>
        <v/>
      </c>
      <c r="H1796" s="139">
        <f>IFERROR(IF(E1796&gt;0,E1796*IF(ISNUMBER(J1796),J1796,IF(OR(C1796="Alpha",B1796="Alpha"),$C$7,IF(C1796="Futures",$C$6,$C$5))),""),"")</f>
        <v/>
      </c>
      <c r="I1796" s="139">
        <f>IFERROR(IF(AND(ISNUMBER(F1796),ISNUMBER(H1796)),F1796-H1796,""),"")</f>
        <v/>
      </c>
      <c r="J1796" s="114" t="n"/>
      <c r="K1796" s="139">
        <f>IFERROR(IF(H1796&gt;0,H1796*IF(OR(C1796="Alpha",B1796="Alpha"),$C$9,$C$8),""),"")</f>
        <v/>
      </c>
      <c r="L1796" s="139">
        <f>IFERROR(IF(ISNUMBER(F1796),F1796-IF(ISNUMBER(K1796),K1796,0),""),"")</f>
        <v/>
      </c>
    </row>
    <row r="1797" ht="24" customHeight="1" s="63">
      <c r="E1797" s="139" t="n"/>
      <c r="F1797" s="139" t="n"/>
      <c r="G1797" s="140">
        <f>IFERROR(IF(E1797&gt;0,(F1797/E1797)*1000,""),"")</f>
        <v/>
      </c>
      <c r="H1797" s="139">
        <f>IFERROR(IF(E1797&gt;0,E1797*IF(ISNUMBER(J1797),J1797,IF(OR(C1797="Alpha",B1797="Alpha"),$C$7,IF(C1797="Futures",$C$6,$C$5))),""),"")</f>
        <v/>
      </c>
      <c r="I1797" s="139">
        <f>IFERROR(IF(AND(ISNUMBER(F1797),ISNUMBER(H1797)),F1797-H1797,""),"")</f>
        <v/>
      </c>
      <c r="J1797" s="114" t="n"/>
      <c r="K1797" s="139">
        <f>IFERROR(IF(H1797&gt;0,H1797*IF(OR(C1797="Alpha",B1797="Alpha"),$C$9,$C$8),""),"")</f>
        <v/>
      </c>
      <c r="L1797" s="139">
        <f>IFERROR(IF(ISNUMBER(F1797),F1797-IF(ISNUMBER(K1797),K1797,0),""),"")</f>
        <v/>
      </c>
    </row>
    <row r="1798" ht="24" customHeight="1" s="63">
      <c r="E1798" s="139" t="n"/>
      <c r="F1798" s="139" t="n"/>
      <c r="G1798" s="140">
        <f>IFERROR(IF(E1798&gt;0,(F1798/E1798)*1000,""),"")</f>
        <v/>
      </c>
      <c r="H1798" s="139">
        <f>IFERROR(IF(E1798&gt;0,E1798*IF(ISNUMBER(J1798),J1798,IF(OR(C1798="Alpha",B1798="Alpha"),$C$7,IF(C1798="Futures",$C$6,$C$5))),""),"")</f>
        <v/>
      </c>
      <c r="I1798" s="139">
        <f>IFERROR(IF(AND(ISNUMBER(F1798),ISNUMBER(H1798)),F1798-H1798,""),"")</f>
        <v/>
      </c>
      <c r="J1798" s="114" t="n"/>
      <c r="K1798" s="139">
        <f>IFERROR(IF(H1798&gt;0,H1798*IF(OR(C1798="Alpha",B1798="Alpha"),$C$9,$C$8),""),"")</f>
        <v/>
      </c>
      <c r="L1798" s="139">
        <f>IFERROR(IF(ISNUMBER(F1798),F1798-IF(ISNUMBER(K1798),K1798,0),""),"")</f>
        <v/>
      </c>
    </row>
    <row r="1799" ht="24" customHeight="1" s="63">
      <c r="E1799" s="139" t="n"/>
      <c r="F1799" s="139" t="n"/>
      <c r="G1799" s="140">
        <f>IFERROR(IF(E1799&gt;0,(F1799/E1799)*1000,""),"")</f>
        <v/>
      </c>
      <c r="H1799" s="139">
        <f>IFERROR(IF(E1799&gt;0,E1799*IF(ISNUMBER(J1799),J1799,IF(OR(C1799="Alpha",B1799="Alpha"),$C$7,IF(C1799="Futures",$C$6,$C$5))),""),"")</f>
        <v/>
      </c>
      <c r="I1799" s="139">
        <f>IFERROR(IF(AND(ISNUMBER(F1799),ISNUMBER(H1799)),F1799-H1799,""),"")</f>
        <v/>
      </c>
      <c r="J1799" s="114" t="n"/>
      <c r="K1799" s="139">
        <f>IFERROR(IF(H1799&gt;0,H1799*IF(OR(C1799="Alpha",B1799="Alpha"),$C$9,$C$8),""),"")</f>
        <v/>
      </c>
      <c r="L1799" s="139">
        <f>IFERROR(IF(ISNUMBER(F1799),F1799-IF(ISNUMBER(K1799),K1799,0),""),"")</f>
        <v/>
      </c>
    </row>
    <row r="1800" ht="24" customHeight="1" s="63">
      <c r="E1800" s="139" t="n"/>
      <c r="F1800" s="139" t="n"/>
      <c r="G1800" s="140">
        <f>IFERROR(IF(E1800&gt;0,(F1800/E1800)*1000,""),"")</f>
        <v/>
      </c>
      <c r="H1800" s="139">
        <f>IFERROR(IF(E1800&gt;0,E1800*IF(ISNUMBER(J1800),J1800,IF(OR(C1800="Alpha",B1800="Alpha"),$C$7,IF(C1800="Futures",$C$6,$C$5))),""),"")</f>
        <v/>
      </c>
      <c r="I1800" s="139">
        <f>IFERROR(IF(AND(ISNUMBER(F1800),ISNUMBER(H1800)),F1800-H1800,""),"")</f>
        <v/>
      </c>
      <c r="J1800" s="114" t="n"/>
      <c r="K1800" s="139">
        <f>IFERROR(IF(H1800&gt;0,H1800*IF(OR(C1800="Alpha",B1800="Alpha"),$C$9,$C$8),""),"")</f>
        <v/>
      </c>
      <c r="L1800" s="139">
        <f>IFERROR(IF(ISNUMBER(F1800),F1800-IF(ISNUMBER(K1800),K1800,0),""),"")</f>
        <v/>
      </c>
    </row>
    <row r="1801" ht="24" customHeight="1" s="63">
      <c r="E1801" s="139" t="n"/>
      <c r="F1801" s="139" t="n"/>
      <c r="G1801" s="140">
        <f>IFERROR(IF(E1801&gt;0,(F1801/E1801)*1000,""),"")</f>
        <v/>
      </c>
      <c r="H1801" s="139">
        <f>IFERROR(IF(E1801&gt;0,E1801*IF(ISNUMBER(J1801),J1801,IF(OR(C1801="Alpha",B1801="Alpha"),$C$7,IF(C1801="Futures",$C$6,$C$5))),""),"")</f>
        <v/>
      </c>
      <c r="I1801" s="139">
        <f>IFERROR(IF(AND(ISNUMBER(F1801),ISNUMBER(H1801)),F1801-H1801,""),"")</f>
        <v/>
      </c>
      <c r="J1801" s="114" t="n"/>
      <c r="K1801" s="139">
        <f>IFERROR(IF(H1801&gt;0,H1801*IF(OR(C1801="Alpha",B1801="Alpha"),$C$9,$C$8),""),"")</f>
        <v/>
      </c>
      <c r="L1801" s="139">
        <f>IFERROR(IF(ISNUMBER(F1801),F1801-IF(ISNUMBER(K1801),K1801,0),""),"")</f>
        <v/>
      </c>
    </row>
    <row r="1802" ht="24" customHeight="1" s="63">
      <c r="E1802" s="139" t="n"/>
      <c r="F1802" s="139" t="n"/>
      <c r="G1802" s="140">
        <f>IFERROR(IF(E1802&gt;0,(F1802/E1802)*1000,""),"")</f>
        <v/>
      </c>
      <c r="H1802" s="139">
        <f>IFERROR(IF(E1802&gt;0,E1802*IF(ISNUMBER(J1802),J1802,IF(OR(C1802="Alpha",B1802="Alpha"),$C$7,IF(C1802="Futures",$C$6,$C$5))),""),"")</f>
        <v/>
      </c>
      <c r="I1802" s="139">
        <f>IFERROR(IF(AND(ISNUMBER(F1802),ISNUMBER(H1802)),F1802-H1802,""),"")</f>
        <v/>
      </c>
      <c r="J1802" s="114" t="n"/>
      <c r="K1802" s="139">
        <f>IFERROR(IF(H1802&gt;0,H1802*IF(OR(C1802="Alpha",B1802="Alpha"),$C$9,$C$8),""),"")</f>
        <v/>
      </c>
      <c r="L1802" s="139">
        <f>IFERROR(IF(ISNUMBER(F1802),F1802-IF(ISNUMBER(K1802),K1802,0),""),"")</f>
        <v/>
      </c>
    </row>
    <row r="1803" ht="24" customHeight="1" s="63">
      <c r="E1803" s="139" t="n"/>
      <c r="F1803" s="139" t="n"/>
      <c r="G1803" s="140">
        <f>IFERROR(IF(E1803&gt;0,(F1803/E1803)*1000,""),"")</f>
        <v/>
      </c>
      <c r="H1803" s="139">
        <f>IFERROR(IF(E1803&gt;0,E1803*IF(ISNUMBER(J1803),J1803,IF(OR(C1803="Alpha",B1803="Alpha"),$C$7,IF(C1803="Futures",$C$6,$C$5))),""),"")</f>
        <v/>
      </c>
      <c r="I1803" s="139">
        <f>IFERROR(IF(AND(ISNUMBER(F1803),ISNUMBER(H1803)),F1803-H1803,""),"")</f>
        <v/>
      </c>
      <c r="J1803" s="114" t="n"/>
      <c r="K1803" s="139">
        <f>IFERROR(IF(H1803&gt;0,H1803*IF(OR(C1803="Alpha",B1803="Alpha"),$C$9,$C$8),""),"")</f>
        <v/>
      </c>
      <c r="L1803" s="139">
        <f>IFERROR(IF(ISNUMBER(F1803),F1803-IF(ISNUMBER(K1803),K1803,0),""),"")</f>
        <v/>
      </c>
    </row>
    <row r="1804" ht="24" customHeight="1" s="63">
      <c r="E1804" s="139" t="n"/>
      <c r="F1804" s="139" t="n"/>
      <c r="G1804" s="140">
        <f>IFERROR(IF(E1804&gt;0,(F1804/E1804)*1000,""),"")</f>
        <v/>
      </c>
      <c r="H1804" s="139">
        <f>IFERROR(IF(E1804&gt;0,E1804*IF(ISNUMBER(J1804),J1804,IF(OR(C1804="Alpha",B1804="Alpha"),$C$7,IF(C1804="Futures",$C$6,$C$5))),""),"")</f>
        <v/>
      </c>
      <c r="I1804" s="139">
        <f>IFERROR(IF(AND(ISNUMBER(F1804),ISNUMBER(H1804)),F1804-H1804,""),"")</f>
        <v/>
      </c>
      <c r="J1804" s="114" t="n"/>
      <c r="K1804" s="139">
        <f>IFERROR(IF(H1804&gt;0,H1804*IF(OR(C1804="Alpha",B1804="Alpha"),$C$9,$C$8),""),"")</f>
        <v/>
      </c>
      <c r="L1804" s="139">
        <f>IFERROR(IF(ISNUMBER(F1804),F1804-IF(ISNUMBER(K1804),K1804,0),""),"")</f>
        <v/>
      </c>
    </row>
    <row r="1805" ht="24" customHeight="1" s="63">
      <c r="E1805" s="139" t="n"/>
      <c r="F1805" s="139" t="n"/>
      <c r="G1805" s="140">
        <f>IFERROR(IF(E1805&gt;0,(F1805/E1805)*1000,""),"")</f>
        <v/>
      </c>
      <c r="H1805" s="139">
        <f>IFERROR(IF(E1805&gt;0,E1805*IF(ISNUMBER(J1805),J1805,IF(OR(C1805="Alpha",B1805="Alpha"),$C$7,IF(C1805="Futures",$C$6,$C$5))),""),"")</f>
        <v/>
      </c>
      <c r="I1805" s="139">
        <f>IFERROR(IF(AND(ISNUMBER(F1805),ISNUMBER(H1805)),F1805-H1805,""),"")</f>
        <v/>
      </c>
      <c r="J1805" s="114" t="n"/>
      <c r="K1805" s="139">
        <f>IFERROR(IF(H1805&gt;0,H1805*IF(OR(C1805="Alpha",B1805="Alpha"),$C$9,$C$8),""),"")</f>
        <v/>
      </c>
      <c r="L1805" s="139">
        <f>IFERROR(IF(ISNUMBER(F1805),F1805-IF(ISNUMBER(K1805),K1805,0),""),"")</f>
        <v/>
      </c>
    </row>
    <row r="1806" ht="24" customHeight="1" s="63">
      <c r="E1806" s="139" t="n"/>
      <c r="F1806" s="139" t="n"/>
      <c r="G1806" s="140">
        <f>IFERROR(IF(E1806&gt;0,(F1806/E1806)*1000,""),"")</f>
        <v/>
      </c>
      <c r="H1806" s="139">
        <f>IFERROR(IF(E1806&gt;0,E1806*IF(ISNUMBER(J1806),J1806,IF(OR(C1806="Alpha",B1806="Alpha"),$C$7,IF(C1806="Futures",$C$6,$C$5))),""),"")</f>
        <v/>
      </c>
      <c r="I1806" s="139">
        <f>IFERROR(IF(AND(ISNUMBER(F1806),ISNUMBER(H1806)),F1806-H1806,""),"")</f>
        <v/>
      </c>
      <c r="J1806" s="114" t="n"/>
      <c r="K1806" s="139">
        <f>IFERROR(IF(H1806&gt;0,H1806*IF(OR(C1806="Alpha",B1806="Alpha"),$C$9,$C$8),""),"")</f>
        <v/>
      </c>
      <c r="L1806" s="139">
        <f>IFERROR(IF(ISNUMBER(F1806),F1806-IF(ISNUMBER(K1806),K1806,0),""),"")</f>
        <v/>
      </c>
    </row>
    <row r="1807" ht="24" customHeight="1" s="63">
      <c r="E1807" s="139" t="n"/>
      <c r="F1807" s="139" t="n"/>
      <c r="G1807" s="140">
        <f>IFERROR(IF(E1807&gt;0,(F1807/E1807)*1000,""),"")</f>
        <v/>
      </c>
      <c r="H1807" s="139">
        <f>IFERROR(IF(E1807&gt;0,E1807*IF(ISNUMBER(J1807),J1807,IF(OR(C1807="Alpha",B1807="Alpha"),$C$7,IF(C1807="Futures",$C$6,$C$5))),""),"")</f>
        <v/>
      </c>
      <c r="I1807" s="139">
        <f>IFERROR(IF(AND(ISNUMBER(F1807),ISNUMBER(H1807)),F1807-H1807,""),"")</f>
        <v/>
      </c>
      <c r="J1807" s="114" t="n"/>
      <c r="K1807" s="139">
        <f>IFERROR(IF(H1807&gt;0,H1807*IF(OR(C1807="Alpha",B1807="Alpha"),$C$9,$C$8),""),"")</f>
        <v/>
      </c>
      <c r="L1807" s="139">
        <f>IFERROR(IF(ISNUMBER(F1807),F1807-IF(ISNUMBER(K1807),K1807,0),""),"")</f>
        <v/>
      </c>
    </row>
    <row r="1808" ht="24" customHeight="1" s="63">
      <c r="E1808" s="139" t="n"/>
      <c r="F1808" s="139" t="n"/>
      <c r="G1808" s="140">
        <f>IFERROR(IF(E1808&gt;0,(F1808/E1808)*1000,""),"")</f>
        <v/>
      </c>
      <c r="H1808" s="139">
        <f>IFERROR(IF(E1808&gt;0,E1808*IF(ISNUMBER(J1808),J1808,IF(OR(C1808="Alpha",B1808="Alpha"),$C$7,IF(C1808="Futures",$C$6,$C$5))),""),"")</f>
        <v/>
      </c>
      <c r="I1808" s="139">
        <f>IFERROR(IF(AND(ISNUMBER(F1808),ISNUMBER(H1808)),F1808-H1808,""),"")</f>
        <v/>
      </c>
      <c r="J1808" s="114" t="n"/>
      <c r="K1808" s="139">
        <f>IFERROR(IF(H1808&gt;0,H1808*IF(OR(C1808="Alpha",B1808="Alpha"),$C$9,$C$8),""),"")</f>
        <v/>
      </c>
      <c r="L1808" s="139">
        <f>IFERROR(IF(ISNUMBER(F1808),F1808-IF(ISNUMBER(K1808),K1808,0),""),"")</f>
        <v/>
      </c>
    </row>
    <row r="1809" ht="24" customHeight="1" s="63">
      <c r="E1809" s="139" t="n"/>
      <c r="F1809" s="139" t="n"/>
      <c r="G1809" s="140">
        <f>IFERROR(IF(E1809&gt;0,(F1809/E1809)*1000,""),"")</f>
        <v/>
      </c>
      <c r="H1809" s="139">
        <f>IFERROR(IF(E1809&gt;0,E1809*IF(ISNUMBER(J1809),J1809,IF(OR(C1809="Alpha",B1809="Alpha"),$C$7,IF(C1809="Futures",$C$6,$C$5))),""),"")</f>
        <v/>
      </c>
      <c r="I1809" s="139">
        <f>IFERROR(IF(AND(ISNUMBER(F1809),ISNUMBER(H1809)),F1809-H1809,""),"")</f>
        <v/>
      </c>
      <c r="J1809" s="114" t="n"/>
      <c r="K1809" s="139">
        <f>IFERROR(IF(H1809&gt;0,H1809*IF(OR(C1809="Alpha",B1809="Alpha"),$C$9,$C$8),""),"")</f>
        <v/>
      </c>
      <c r="L1809" s="139">
        <f>IFERROR(IF(ISNUMBER(F1809),F1809-IF(ISNUMBER(K1809),K1809,0),""),"")</f>
        <v/>
      </c>
    </row>
    <row r="1810" ht="24" customHeight="1" s="63">
      <c r="E1810" s="139" t="n"/>
      <c r="F1810" s="139" t="n"/>
      <c r="G1810" s="140">
        <f>IFERROR(IF(E1810&gt;0,(F1810/E1810)*1000,""),"")</f>
        <v/>
      </c>
      <c r="H1810" s="139">
        <f>IFERROR(IF(E1810&gt;0,E1810*IF(ISNUMBER(J1810),J1810,IF(OR(C1810="Alpha",B1810="Alpha"),$C$7,IF(C1810="Futures",$C$6,$C$5))),""),"")</f>
        <v/>
      </c>
      <c r="I1810" s="139">
        <f>IFERROR(IF(AND(ISNUMBER(F1810),ISNUMBER(H1810)),F1810-H1810,""),"")</f>
        <v/>
      </c>
      <c r="J1810" s="114" t="n"/>
      <c r="K1810" s="139">
        <f>IFERROR(IF(H1810&gt;0,H1810*IF(OR(C1810="Alpha",B1810="Alpha"),$C$9,$C$8),""),"")</f>
        <v/>
      </c>
      <c r="L1810" s="139">
        <f>IFERROR(IF(ISNUMBER(F1810),F1810-IF(ISNUMBER(K1810),K1810,0),""),"")</f>
        <v/>
      </c>
    </row>
    <row r="1811" ht="24" customHeight="1" s="63">
      <c r="E1811" s="139" t="n"/>
      <c r="F1811" s="139" t="n"/>
      <c r="G1811" s="140">
        <f>IFERROR(IF(E1811&gt;0,(F1811/E1811)*1000,""),"")</f>
        <v/>
      </c>
      <c r="H1811" s="139">
        <f>IFERROR(IF(E1811&gt;0,E1811*IF(ISNUMBER(J1811),J1811,IF(OR(C1811="Alpha",B1811="Alpha"),$C$7,IF(C1811="Futures",$C$6,$C$5))),""),"")</f>
        <v/>
      </c>
      <c r="I1811" s="139">
        <f>IFERROR(IF(AND(ISNUMBER(F1811),ISNUMBER(H1811)),F1811-H1811,""),"")</f>
        <v/>
      </c>
      <c r="J1811" s="114" t="n"/>
      <c r="K1811" s="139">
        <f>IFERROR(IF(H1811&gt;0,H1811*IF(OR(C1811="Alpha",B1811="Alpha"),$C$9,$C$8),""),"")</f>
        <v/>
      </c>
      <c r="L1811" s="139">
        <f>IFERROR(IF(ISNUMBER(F1811),F1811-IF(ISNUMBER(K1811),K1811,0),""),"")</f>
        <v/>
      </c>
    </row>
    <row r="1812" ht="24" customHeight="1" s="63">
      <c r="E1812" s="139" t="n"/>
      <c r="F1812" s="139" t="n"/>
      <c r="G1812" s="140">
        <f>IFERROR(IF(E1812&gt;0,(F1812/E1812)*1000,""),"")</f>
        <v/>
      </c>
      <c r="H1812" s="139">
        <f>IFERROR(IF(E1812&gt;0,E1812*IF(ISNUMBER(J1812),J1812,IF(OR(C1812="Alpha",B1812="Alpha"),$C$7,IF(C1812="Futures",$C$6,$C$5))),""),"")</f>
        <v/>
      </c>
      <c r="I1812" s="139">
        <f>IFERROR(IF(AND(ISNUMBER(F1812),ISNUMBER(H1812)),F1812-H1812,""),"")</f>
        <v/>
      </c>
      <c r="J1812" s="114" t="n"/>
      <c r="K1812" s="139">
        <f>IFERROR(IF(H1812&gt;0,H1812*IF(OR(C1812="Alpha",B1812="Alpha"),$C$9,$C$8),""),"")</f>
        <v/>
      </c>
      <c r="L1812" s="139">
        <f>IFERROR(IF(ISNUMBER(F1812),F1812-IF(ISNUMBER(K1812),K1812,0),""),"")</f>
        <v/>
      </c>
    </row>
    <row r="1813" ht="24" customHeight="1" s="63">
      <c r="E1813" s="139" t="n"/>
      <c r="F1813" s="139" t="n"/>
      <c r="G1813" s="140">
        <f>IFERROR(IF(E1813&gt;0,(F1813/E1813)*1000,""),"")</f>
        <v/>
      </c>
      <c r="H1813" s="139">
        <f>IFERROR(IF(E1813&gt;0,E1813*IF(ISNUMBER(J1813),J1813,IF(OR(C1813="Alpha",B1813="Alpha"),$C$7,IF(C1813="Futures",$C$6,$C$5))),""),"")</f>
        <v/>
      </c>
      <c r="I1813" s="139">
        <f>IFERROR(IF(AND(ISNUMBER(F1813),ISNUMBER(H1813)),F1813-H1813,""),"")</f>
        <v/>
      </c>
      <c r="J1813" s="114" t="n"/>
      <c r="K1813" s="139">
        <f>IFERROR(IF(H1813&gt;0,H1813*IF(OR(C1813="Alpha",B1813="Alpha"),$C$9,$C$8),""),"")</f>
        <v/>
      </c>
      <c r="L1813" s="139">
        <f>IFERROR(IF(ISNUMBER(F1813),F1813-IF(ISNUMBER(K1813),K1813,0),""),"")</f>
        <v/>
      </c>
    </row>
    <row r="1814" ht="24" customHeight="1" s="63">
      <c r="E1814" s="139" t="n"/>
      <c r="F1814" s="139" t="n"/>
      <c r="G1814" s="140">
        <f>IFERROR(IF(E1814&gt;0,(F1814/E1814)*1000,""),"")</f>
        <v/>
      </c>
      <c r="H1814" s="139">
        <f>IFERROR(IF(E1814&gt;0,E1814*IF(ISNUMBER(J1814),J1814,IF(OR(C1814="Alpha",B1814="Alpha"),$C$7,IF(C1814="Futures",$C$6,$C$5))),""),"")</f>
        <v/>
      </c>
      <c r="I1814" s="139">
        <f>IFERROR(IF(AND(ISNUMBER(F1814),ISNUMBER(H1814)),F1814-H1814,""),"")</f>
        <v/>
      </c>
      <c r="J1814" s="114" t="n"/>
      <c r="K1814" s="139">
        <f>IFERROR(IF(H1814&gt;0,H1814*IF(OR(C1814="Alpha",B1814="Alpha"),$C$9,$C$8),""),"")</f>
        <v/>
      </c>
      <c r="L1814" s="139">
        <f>IFERROR(IF(ISNUMBER(F1814),F1814-IF(ISNUMBER(K1814),K1814,0),""),"")</f>
        <v/>
      </c>
    </row>
    <row r="1815" ht="24" customHeight="1" s="63">
      <c r="E1815" s="139" t="n"/>
      <c r="F1815" s="139" t="n"/>
      <c r="G1815" s="140">
        <f>IFERROR(IF(E1815&gt;0,(F1815/E1815)*1000,""),"")</f>
        <v/>
      </c>
      <c r="H1815" s="139">
        <f>IFERROR(IF(E1815&gt;0,E1815*IF(ISNUMBER(J1815),J1815,IF(OR(C1815="Alpha",B1815="Alpha"),$C$7,IF(C1815="Futures",$C$6,$C$5))),""),"")</f>
        <v/>
      </c>
      <c r="I1815" s="139">
        <f>IFERROR(IF(AND(ISNUMBER(F1815),ISNUMBER(H1815)),F1815-H1815,""),"")</f>
        <v/>
      </c>
      <c r="J1815" s="114" t="n"/>
      <c r="K1815" s="139">
        <f>IFERROR(IF(H1815&gt;0,H1815*IF(OR(C1815="Alpha",B1815="Alpha"),$C$9,$C$8),""),"")</f>
        <v/>
      </c>
      <c r="L1815" s="139">
        <f>IFERROR(IF(ISNUMBER(F1815),F1815-IF(ISNUMBER(K1815),K1815,0),""),"")</f>
        <v/>
      </c>
    </row>
    <row r="1816" ht="24" customHeight="1" s="63">
      <c r="E1816" s="139" t="n"/>
      <c r="F1816" s="139" t="n"/>
      <c r="G1816" s="140">
        <f>IFERROR(IF(E1816&gt;0,(F1816/E1816)*1000,""),"")</f>
        <v/>
      </c>
      <c r="H1816" s="139">
        <f>IFERROR(IF(E1816&gt;0,E1816*IF(ISNUMBER(J1816),J1816,IF(OR(C1816="Alpha",B1816="Alpha"),$C$7,IF(C1816="Futures",$C$6,$C$5))),""),"")</f>
        <v/>
      </c>
      <c r="I1816" s="139">
        <f>IFERROR(IF(AND(ISNUMBER(F1816),ISNUMBER(H1816)),F1816-H1816,""),"")</f>
        <v/>
      </c>
      <c r="J1816" s="114" t="n"/>
      <c r="K1816" s="139">
        <f>IFERROR(IF(H1816&gt;0,H1816*IF(OR(C1816="Alpha",B1816="Alpha"),$C$9,$C$8),""),"")</f>
        <v/>
      </c>
      <c r="L1816" s="139">
        <f>IFERROR(IF(ISNUMBER(F1816),F1816-IF(ISNUMBER(K1816),K1816,0),""),"")</f>
        <v/>
      </c>
    </row>
    <row r="1817" ht="24" customHeight="1" s="63">
      <c r="E1817" s="139" t="n"/>
      <c r="F1817" s="139" t="n"/>
      <c r="G1817" s="140">
        <f>IFERROR(IF(E1817&gt;0,(F1817/E1817)*1000,""),"")</f>
        <v/>
      </c>
      <c r="H1817" s="139">
        <f>IFERROR(IF(E1817&gt;0,E1817*IF(ISNUMBER(J1817),J1817,IF(OR(C1817="Alpha",B1817="Alpha"),$C$7,IF(C1817="Futures",$C$6,$C$5))),""),"")</f>
        <v/>
      </c>
      <c r="I1817" s="139">
        <f>IFERROR(IF(AND(ISNUMBER(F1817),ISNUMBER(H1817)),F1817-H1817,""),"")</f>
        <v/>
      </c>
      <c r="J1817" s="114" t="n"/>
      <c r="K1817" s="139">
        <f>IFERROR(IF(H1817&gt;0,H1817*IF(OR(C1817="Alpha",B1817="Alpha"),$C$9,$C$8),""),"")</f>
        <v/>
      </c>
      <c r="L1817" s="139">
        <f>IFERROR(IF(ISNUMBER(F1817),F1817-IF(ISNUMBER(K1817),K1817,0),""),"")</f>
        <v/>
      </c>
    </row>
    <row r="1818" ht="24" customHeight="1" s="63">
      <c r="E1818" s="139" t="n"/>
      <c r="F1818" s="139" t="n"/>
      <c r="G1818" s="140">
        <f>IFERROR(IF(E1818&gt;0,(F1818/E1818)*1000,""),"")</f>
        <v/>
      </c>
      <c r="H1818" s="139">
        <f>IFERROR(IF(E1818&gt;0,E1818*IF(ISNUMBER(J1818),J1818,IF(OR(C1818="Alpha",B1818="Alpha"),$C$7,IF(C1818="Futures",$C$6,$C$5))),""),"")</f>
        <v/>
      </c>
      <c r="I1818" s="139">
        <f>IFERROR(IF(AND(ISNUMBER(F1818),ISNUMBER(H1818)),F1818-H1818,""),"")</f>
        <v/>
      </c>
      <c r="J1818" s="114" t="n"/>
      <c r="K1818" s="139">
        <f>IFERROR(IF(H1818&gt;0,H1818*IF(OR(C1818="Alpha",B1818="Alpha"),$C$9,$C$8),""),"")</f>
        <v/>
      </c>
      <c r="L1818" s="139">
        <f>IFERROR(IF(ISNUMBER(F1818),F1818-IF(ISNUMBER(K1818),K1818,0),""),"")</f>
        <v/>
      </c>
    </row>
    <row r="1819" ht="24" customHeight="1" s="63">
      <c r="E1819" s="139" t="n"/>
      <c r="F1819" s="139" t="n"/>
      <c r="G1819" s="140">
        <f>IFERROR(IF(E1819&gt;0,(F1819/E1819)*1000,""),"")</f>
        <v/>
      </c>
      <c r="H1819" s="139">
        <f>IFERROR(IF(E1819&gt;0,E1819*IF(ISNUMBER(J1819),J1819,IF(OR(C1819="Alpha",B1819="Alpha"),$C$7,IF(C1819="Futures",$C$6,$C$5))),""),"")</f>
        <v/>
      </c>
      <c r="I1819" s="139">
        <f>IFERROR(IF(AND(ISNUMBER(F1819),ISNUMBER(H1819)),F1819-H1819,""),"")</f>
        <v/>
      </c>
      <c r="J1819" s="114" t="n"/>
      <c r="K1819" s="139">
        <f>IFERROR(IF(H1819&gt;0,H1819*IF(OR(C1819="Alpha",B1819="Alpha"),$C$9,$C$8),""),"")</f>
        <v/>
      </c>
      <c r="L1819" s="139">
        <f>IFERROR(IF(ISNUMBER(F1819),F1819-IF(ISNUMBER(K1819),K1819,0),""),"")</f>
        <v/>
      </c>
    </row>
    <row r="1820" ht="24" customHeight="1" s="63">
      <c r="E1820" s="139" t="n"/>
      <c r="F1820" s="139" t="n"/>
      <c r="G1820" s="140">
        <f>IFERROR(IF(E1820&gt;0,(F1820/E1820)*1000,""),"")</f>
        <v/>
      </c>
      <c r="H1820" s="139">
        <f>IFERROR(IF(E1820&gt;0,E1820*IF(ISNUMBER(J1820),J1820,IF(OR(C1820="Alpha",B1820="Alpha"),$C$7,IF(C1820="Futures",$C$6,$C$5))),""),"")</f>
        <v/>
      </c>
      <c r="I1820" s="139">
        <f>IFERROR(IF(AND(ISNUMBER(F1820),ISNUMBER(H1820)),F1820-H1820,""),"")</f>
        <v/>
      </c>
      <c r="J1820" s="114" t="n"/>
      <c r="K1820" s="139">
        <f>IFERROR(IF(H1820&gt;0,H1820*IF(OR(C1820="Alpha",B1820="Alpha"),$C$9,$C$8),""),"")</f>
        <v/>
      </c>
      <c r="L1820" s="139">
        <f>IFERROR(IF(ISNUMBER(F1820),F1820-IF(ISNUMBER(K1820),K1820,0),""),"")</f>
        <v/>
      </c>
    </row>
    <row r="1821" ht="24" customHeight="1" s="63">
      <c r="E1821" s="139" t="n"/>
      <c r="F1821" s="139" t="n"/>
      <c r="G1821" s="140">
        <f>IFERROR(IF(E1821&gt;0,(F1821/E1821)*1000,""),"")</f>
        <v/>
      </c>
      <c r="H1821" s="139">
        <f>IFERROR(IF(E1821&gt;0,E1821*IF(ISNUMBER(J1821),J1821,IF(OR(C1821="Alpha",B1821="Alpha"),$C$7,IF(C1821="Futures",$C$6,$C$5))),""),"")</f>
        <v/>
      </c>
      <c r="I1821" s="139">
        <f>IFERROR(IF(AND(ISNUMBER(F1821),ISNUMBER(H1821)),F1821-H1821,""),"")</f>
        <v/>
      </c>
      <c r="J1821" s="114" t="n"/>
      <c r="K1821" s="139">
        <f>IFERROR(IF(H1821&gt;0,H1821*IF(OR(C1821="Alpha",B1821="Alpha"),$C$9,$C$8),""),"")</f>
        <v/>
      </c>
      <c r="L1821" s="139">
        <f>IFERROR(IF(ISNUMBER(F1821),F1821-IF(ISNUMBER(K1821),K1821,0),""),"")</f>
        <v/>
      </c>
    </row>
    <row r="1822" ht="24" customHeight="1" s="63">
      <c r="E1822" s="139" t="n"/>
      <c r="F1822" s="139" t="n"/>
      <c r="G1822" s="140">
        <f>IFERROR(IF(E1822&gt;0,(F1822/E1822)*1000,""),"")</f>
        <v/>
      </c>
      <c r="H1822" s="139">
        <f>IFERROR(IF(E1822&gt;0,E1822*IF(ISNUMBER(J1822),J1822,IF(OR(C1822="Alpha",B1822="Alpha"),$C$7,IF(C1822="Futures",$C$6,$C$5))),""),"")</f>
        <v/>
      </c>
      <c r="I1822" s="139">
        <f>IFERROR(IF(AND(ISNUMBER(F1822),ISNUMBER(H1822)),F1822-H1822,""),"")</f>
        <v/>
      </c>
      <c r="J1822" s="114" t="n"/>
      <c r="K1822" s="139">
        <f>IFERROR(IF(H1822&gt;0,H1822*IF(OR(C1822="Alpha",B1822="Alpha"),$C$9,$C$8),""),"")</f>
        <v/>
      </c>
      <c r="L1822" s="139">
        <f>IFERROR(IF(ISNUMBER(F1822),F1822-IF(ISNUMBER(K1822),K1822,0),""),"")</f>
        <v/>
      </c>
    </row>
    <row r="1823" ht="24" customHeight="1" s="63">
      <c r="E1823" s="139" t="n"/>
      <c r="F1823" s="139" t="n"/>
      <c r="G1823" s="140">
        <f>IFERROR(IF(E1823&gt;0,(F1823/E1823)*1000,""),"")</f>
        <v/>
      </c>
      <c r="H1823" s="139">
        <f>IFERROR(IF(E1823&gt;0,E1823*IF(ISNUMBER(J1823),J1823,IF(OR(C1823="Alpha",B1823="Alpha"),$C$7,IF(C1823="Futures",$C$6,$C$5))),""),"")</f>
        <v/>
      </c>
      <c r="I1823" s="139">
        <f>IFERROR(IF(AND(ISNUMBER(F1823),ISNUMBER(H1823)),F1823-H1823,""),"")</f>
        <v/>
      </c>
      <c r="J1823" s="114" t="n"/>
      <c r="K1823" s="139">
        <f>IFERROR(IF(H1823&gt;0,H1823*IF(OR(C1823="Alpha",B1823="Alpha"),$C$9,$C$8),""),"")</f>
        <v/>
      </c>
      <c r="L1823" s="139">
        <f>IFERROR(IF(ISNUMBER(F1823),F1823-IF(ISNUMBER(K1823),K1823,0),""),"")</f>
        <v/>
      </c>
    </row>
    <row r="1824" ht="24" customHeight="1" s="63">
      <c r="E1824" s="139" t="n"/>
      <c r="F1824" s="139" t="n"/>
      <c r="G1824" s="140">
        <f>IFERROR(IF(E1824&gt;0,(F1824/E1824)*1000,""),"")</f>
        <v/>
      </c>
      <c r="H1824" s="139">
        <f>IFERROR(IF(E1824&gt;0,E1824*IF(ISNUMBER(J1824),J1824,IF(OR(C1824="Alpha",B1824="Alpha"),$C$7,IF(C1824="Futures",$C$6,$C$5))),""),"")</f>
        <v/>
      </c>
      <c r="I1824" s="139">
        <f>IFERROR(IF(AND(ISNUMBER(F1824),ISNUMBER(H1824)),F1824-H1824,""),"")</f>
        <v/>
      </c>
      <c r="J1824" s="114" t="n"/>
      <c r="K1824" s="139">
        <f>IFERROR(IF(H1824&gt;0,H1824*IF(OR(C1824="Alpha",B1824="Alpha"),$C$9,$C$8),""),"")</f>
        <v/>
      </c>
      <c r="L1824" s="139">
        <f>IFERROR(IF(ISNUMBER(F1824),F1824-IF(ISNUMBER(K1824),K1824,0),""),"")</f>
        <v/>
      </c>
    </row>
    <row r="1825" ht="24" customHeight="1" s="63">
      <c r="E1825" s="139" t="n"/>
      <c r="F1825" s="139" t="n"/>
      <c r="G1825" s="140">
        <f>IFERROR(IF(E1825&gt;0,(F1825/E1825)*1000,""),"")</f>
        <v/>
      </c>
      <c r="H1825" s="139">
        <f>IFERROR(IF(E1825&gt;0,E1825*IF(ISNUMBER(J1825),J1825,IF(OR(C1825="Alpha",B1825="Alpha"),$C$7,IF(C1825="Futures",$C$6,$C$5))),""),"")</f>
        <v/>
      </c>
      <c r="I1825" s="139">
        <f>IFERROR(IF(AND(ISNUMBER(F1825),ISNUMBER(H1825)),F1825-H1825,""),"")</f>
        <v/>
      </c>
      <c r="J1825" s="114" t="n"/>
      <c r="K1825" s="139">
        <f>IFERROR(IF(H1825&gt;0,H1825*IF(OR(C1825="Alpha",B1825="Alpha"),$C$9,$C$8),""),"")</f>
        <v/>
      </c>
      <c r="L1825" s="139">
        <f>IFERROR(IF(ISNUMBER(F1825),F1825-IF(ISNUMBER(K1825),K1825,0),""),"")</f>
        <v/>
      </c>
    </row>
    <row r="1826" ht="24" customHeight="1" s="63">
      <c r="E1826" s="139" t="n"/>
      <c r="F1826" s="139" t="n"/>
      <c r="G1826" s="140">
        <f>IFERROR(IF(E1826&gt;0,(F1826/E1826)*1000,""),"")</f>
        <v/>
      </c>
      <c r="H1826" s="139">
        <f>IFERROR(IF(E1826&gt;0,E1826*IF(ISNUMBER(J1826),J1826,IF(OR(C1826="Alpha",B1826="Alpha"),$C$7,IF(C1826="Futures",$C$6,$C$5))),""),"")</f>
        <v/>
      </c>
      <c r="I1826" s="139">
        <f>IFERROR(IF(AND(ISNUMBER(F1826),ISNUMBER(H1826)),F1826-H1826,""),"")</f>
        <v/>
      </c>
      <c r="J1826" s="114" t="n"/>
      <c r="K1826" s="139">
        <f>IFERROR(IF(H1826&gt;0,H1826*IF(OR(C1826="Alpha",B1826="Alpha"),$C$9,$C$8),""),"")</f>
        <v/>
      </c>
      <c r="L1826" s="139">
        <f>IFERROR(IF(ISNUMBER(F1826),F1826-IF(ISNUMBER(K1826),K1826,0),""),"")</f>
        <v/>
      </c>
    </row>
    <row r="1827" ht="24" customHeight="1" s="63">
      <c r="E1827" s="139" t="n"/>
      <c r="F1827" s="139" t="n"/>
      <c r="G1827" s="140">
        <f>IFERROR(IF(E1827&gt;0,(F1827/E1827)*1000,""),"")</f>
        <v/>
      </c>
      <c r="H1827" s="139">
        <f>IFERROR(IF(E1827&gt;0,E1827*IF(ISNUMBER(J1827),J1827,IF(OR(C1827="Alpha",B1827="Alpha"),$C$7,IF(C1827="Futures",$C$6,$C$5))),""),"")</f>
        <v/>
      </c>
      <c r="I1827" s="139">
        <f>IFERROR(IF(AND(ISNUMBER(F1827),ISNUMBER(H1827)),F1827-H1827,""),"")</f>
        <v/>
      </c>
      <c r="J1827" s="114" t="n"/>
      <c r="K1827" s="139">
        <f>IFERROR(IF(H1827&gt;0,H1827*IF(OR(C1827="Alpha",B1827="Alpha"),$C$9,$C$8),""),"")</f>
        <v/>
      </c>
      <c r="L1827" s="139">
        <f>IFERROR(IF(ISNUMBER(F1827),F1827-IF(ISNUMBER(K1827),K1827,0),""),"")</f>
        <v/>
      </c>
    </row>
    <row r="1828" ht="24" customHeight="1" s="63">
      <c r="E1828" s="139" t="n"/>
      <c r="F1828" s="139" t="n"/>
      <c r="G1828" s="140">
        <f>IFERROR(IF(E1828&gt;0,(F1828/E1828)*1000,""),"")</f>
        <v/>
      </c>
      <c r="H1828" s="139">
        <f>IFERROR(IF(E1828&gt;0,E1828*IF(ISNUMBER(J1828),J1828,IF(OR(C1828="Alpha",B1828="Alpha"),$C$7,IF(C1828="Futures",$C$6,$C$5))),""),"")</f>
        <v/>
      </c>
      <c r="I1828" s="139">
        <f>IFERROR(IF(AND(ISNUMBER(F1828),ISNUMBER(H1828)),F1828-H1828,""),"")</f>
        <v/>
      </c>
      <c r="J1828" s="114" t="n"/>
      <c r="K1828" s="139">
        <f>IFERROR(IF(H1828&gt;0,H1828*IF(OR(C1828="Alpha",B1828="Alpha"),$C$9,$C$8),""),"")</f>
        <v/>
      </c>
      <c r="L1828" s="139">
        <f>IFERROR(IF(ISNUMBER(F1828),F1828-IF(ISNUMBER(K1828),K1828,0),""),"")</f>
        <v/>
      </c>
    </row>
    <row r="1829" ht="24" customHeight="1" s="63">
      <c r="E1829" s="139" t="n"/>
      <c r="F1829" s="139" t="n"/>
      <c r="G1829" s="140">
        <f>IFERROR(IF(E1829&gt;0,(F1829/E1829)*1000,""),"")</f>
        <v/>
      </c>
      <c r="H1829" s="139">
        <f>IFERROR(IF(E1829&gt;0,E1829*IF(ISNUMBER(J1829),J1829,IF(OR(C1829="Alpha",B1829="Alpha"),$C$7,IF(C1829="Futures",$C$6,$C$5))),""),"")</f>
        <v/>
      </c>
      <c r="I1829" s="139">
        <f>IFERROR(IF(AND(ISNUMBER(F1829),ISNUMBER(H1829)),F1829-H1829,""),"")</f>
        <v/>
      </c>
      <c r="J1829" s="114" t="n"/>
      <c r="K1829" s="139">
        <f>IFERROR(IF(H1829&gt;0,H1829*IF(OR(C1829="Alpha",B1829="Alpha"),$C$9,$C$8),""),"")</f>
        <v/>
      </c>
      <c r="L1829" s="139">
        <f>IFERROR(IF(ISNUMBER(F1829),F1829-IF(ISNUMBER(K1829),K1829,0),""),"")</f>
        <v/>
      </c>
    </row>
    <row r="1830" ht="24" customHeight="1" s="63">
      <c r="E1830" s="139" t="n"/>
      <c r="F1830" s="139" t="n"/>
      <c r="G1830" s="140">
        <f>IFERROR(IF(E1830&gt;0,(F1830/E1830)*1000,""),"")</f>
        <v/>
      </c>
      <c r="H1830" s="139">
        <f>IFERROR(IF(E1830&gt;0,E1830*IF(ISNUMBER(J1830),J1830,IF(OR(C1830="Alpha",B1830="Alpha"),$C$7,IF(C1830="Futures",$C$6,$C$5))),""),"")</f>
        <v/>
      </c>
      <c r="I1830" s="139">
        <f>IFERROR(IF(AND(ISNUMBER(F1830),ISNUMBER(H1830)),F1830-H1830,""),"")</f>
        <v/>
      </c>
      <c r="J1830" s="114" t="n"/>
      <c r="K1830" s="139">
        <f>IFERROR(IF(H1830&gt;0,H1830*IF(OR(C1830="Alpha",B1830="Alpha"),$C$9,$C$8),""),"")</f>
        <v/>
      </c>
      <c r="L1830" s="139">
        <f>IFERROR(IF(ISNUMBER(F1830),F1830-IF(ISNUMBER(K1830),K1830,0),""),"")</f>
        <v/>
      </c>
    </row>
    <row r="1831" ht="24" customHeight="1" s="63">
      <c r="E1831" s="139" t="n"/>
      <c r="F1831" s="139" t="n"/>
      <c r="G1831" s="140">
        <f>IFERROR(IF(E1831&gt;0,(F1831/E1831)*1000,""),"")</f>
        <v/>
      </c>
      <c r="H1831" s="139">
        <f>IFERROR(IF(E1831&gt;0,E1831*IF(ISNUMBER(J1831),J1831,IF(OR(C1831="Alpha",B1831="Alpha"),$C$7,IF(C1831="Futures",$C$6,$C$5))),""),"")</f>
        <v/>
      </c>
      <c r="I1831" s="139">
        <f>IFERROR(IF(AND(ISNUMBER(F1831),ISNUMBER(H1831)),F1831-H1831,""),"")</f>
        <v/>
      </c>
      <c r="J1831" s="114" t="n"/>
      <c r="K1831" s="139">
        <f>IFERROR(IF(H1831&gt;0,H1831*IF(OR(C1831="Alpha",B1831="Alpha"),$C$9,$C$8),""),"")</f>
        <v/>
      </c>
      <c r="L1831" s="139">
        <f>IFERROR(IF(ISNUMBER(F1831),F1831-IF(ISNUMBER(K1831),K1831,0),""),"")</f>
        <v/>
      </c>
    </row>
    <row r="1832" ht="24" customHeight="1" s="63">
      <c r="E1832" s="139" t="n"/>
      <c r="F1832" s="139" t="n"/>
      <c r="G1832" s="140">
        <f>IFERROR(IF(E1832&gt;0,(F1832/E1832)*1000,""),"")</f>
        <v/>
      </c>
      <c r="H1832" s="139">
        <f>IFERROR(IF(E1832&gt;0,E1832*IF(ISNUMBER(J1832),J1832,IF(OR(C1832="Alpha",B1832="Alpha"),$C$7,IF(C1832="Futures",$C$6,$C$5))),""),"")</f>
        <v/>
      </c>
      <c r="I1832" s="139">
        <f>IFERROR(IF(AND(ISNUMBER(F1832),ISNUMBER(H1832)),F1832-H1832,""),"")</f>
        <v/>
      </c>
      <c r="J1832" s="114" t="n"/>
      <c r="K1832" s="139">
        <f>IFERROR(IF(H1832&gt;0,H1832*IF(OR(C1832="Alpha",B1832="Alpha"),$C$9,$C$8),""),"")</f>
        <v/>
      </c>
      <c r="L1832" s="139">
        <f>IFERROR(IF(ISNUMBER(F1832),F1832-IF(ISNUMBER(K1832),K1832,0),""),"")</f>
        <v/>
      </c>
    </row>
    <row r="1833" ht="24" customHeight="1" s="63">
      <c r="E1833" s="139" t="n"/>
      <c r="F1833" s="139" t="n"/>
      <c r="G1833" s="140">
        <f>IFERROR(IF(E1833&gt;0,(F1833/E1833)*1000,""),"")</f>
        <v/>
      </c>
      <c r="H1833" s="139">
        <f>IFERROR(IF(E1833&gt;0,E1833*IF(ISNUMBER(J1833),J1833,IF(OR(C1833="Alpha",B1833="Alpha"),$C$7,IF(C1833="Futures",$C$6,$C$5))),""),"")</f>
        <v/>
      </c>
      <c r="I1833" s="139">
        <f>IFERROR(IF(AND(ISNUMBER(F1833),ISNUMBER(H1833)),F1833-H1833,""),"")</f>
        <v/>
      </c>
      <c r="J1833" s="114" t="n"/>
      <c r="K1833" s="139">
        <f>IFERROR(IF(H1833&gt;0,H1833*IF(OR(C1833="Alpha",B1833="Alpha"),$C$9,$C$8),""),"")</f>
        <v/>
      </c>
      <c r="L1833" s="139">
        <f>IFERROR(IF(ISNUMBER(F1833),F1833-IF(ISNUMBER(K1833),K1833,0),""),"")</f>
        <v/>
      </c>
    </row>
    <row r="1834" ht="24" customHeight="1" s="63">
      <c r="E1834" s="139" t="n"/>
      <c r="F1834" s="139" t="n"/>
      <c r="G1834" s="140">
        <f>IFERROR(IF(E1834&gt;0,(F1834/E1834)*1000,""),"")</f>
        <v/>
      </c>
      <c r="H1834" s="139">
        <f>IFERROR(IF(E1834&gt;0,E1834*IF(ISNUMBER(J1834),J1834,IF(OR(C1834="Alpha",B1834="Alpha"),$C$7,IF(C1834="Futures",$C$6,$C$5))),""),"")</f>
        <v/>
      </c>
      <c r="I1834" s="139">
        <f>IFERROR(IF(AND(ISNUMBER(F1834),ISNUMBER(H1834)),F1834-H1834,""),"")</f>
        <v/>
      </c>
      <c r="J1834" s="114" t="n"/>
      <c r="K1834" s="139">
        <f>IFERROR(IF(H1834&gt;0,H1834*IF(OR(C1834="Alpha",B1834="Alpha"),$C$9,$C$8),""),"")</f>
        <v/>
      </c>
      <c r="L1834" s="139">
        <f>IFERROR(IF(ISNUMBER(F1834),F1834-IF(ISNUMBER(K1834),K1834,0),""),"")</f>
        <v/>
      </c>
    </row>
    <row r="1835" ht="24" customHeight="1" s="63">
      <c r="E1835" s="139" t="n"/>
      <c r="F1835" s="139" t="n"/>
      <c r="G1835" s="140">
        <f>IFERROR(IF(E1835&gt;0,(F1835/E1835)*1000,""),"")</f>
        <v/>
      </c>
      <c r="H1835" s="139">
        <f>IFERROR(IF(E1835&gt;0,E1835*IF(ISNUMBER(J1835),J1835,IF(OR(C1835="Alpha",B1835="Alpha"),$C$7,IF(C1835="Futures",$C$6,$C$5))),""),"")</f>
        <v/>
      </c>
      <c r="I1835" s="139">
        <f>IFERROR(IF(AND(ISNUMBER(F1835),ISNUMBER(H1835)),F1835-H1835,""),"")</f>
        <v/>
      </c>
      <c r="J1835" s="114" t="n"/>
      <c r="K1835" s="139">
        <f>IFERROR(IF(H1835&gt;0,H1835*IF(OR(C1835="Alpha",B1835="Alpha"),$C$9,$C$8),""),"")</f>
        <v/>
      </c>
      <c r="L1835" s="139">
        <f>IFERROR(IF(ISNUMBER(F1835),F1835-IF(ISNUMBER(K1835),K1835,0),""),"")</f>
        <v/>
      </c>
    </row>
    <row r="1836" ht="24" customHeight="1" s="63">
      <c r="E1836" s="139" t="n"/>
      <c r="F1836" s="139" t="n"/>
      <c r="G1836" s="140">
        <f>IFERROR(IF(E1836&gt;0,(F1836/E1836)*1000,""),"")</f>
        <v/>
      </c>
      <c r="H1836" s="139">
        <f>IFERROR(IF(E1836&gt;0,E1836*IF(ISNUMBER(J1836),J1836,IF(OR(C1836="Alpha",B1836="Alpha"),$C$7,IF(C1836="Futures",$C$6,$C$5))),""),"")</f>
        <v/>
      </c>
      <c r="I1836" s="139">
        <f>IFERROR(IF(AND(ISNUMBER(F1836),ISNUMBER(H1836)),F1836-H1836,""),"")</f>
        <v/>
      </c>
      <c r="J1836" s="114" t="n"/>
      <c r="K1836" s="139">
        <f>IFERROR(IF(H1836&gt;0,H1836*IF(OR(C1836="Alpha",B1836="Alpha"),$C$9,$C$8),""),"")</f>
        <v/>
      </c>
      <c r="L1836" s="139">
        <f>IFERROR(IF(ISNUMBER(F1836),F1836-IF(ISNUMBER(K1836),K1836,0),""),"")</f>
        <v/>
      </c>
    </row>
    <row r="1837" ht="24" customHeight="1" s="63">
      <c r="E1837" s="139" t="n"/>
      <c r="F1837" s="139" t="n"/>
      <c r="G1837" s="140">
        <f>IFERROR(IF(E1837&gt;0,(F1837/E1837)*1000,""),"")</f>
        <v/>
      </c>
      <c r="H1837" s="139">
        <f>IFERROR(IF(E1837&gt;0,E1837*IF(ISNUMBER(J1837),J1837,IF(OR(C1837="Alpha",B1837="Alpha"),$C$7,IF(C1837="Futures",$C$6,$C$5))),""),"")</f>
        <v/>
      </c>
      <c r="I1837" s="139">
        <f>IFERROR(IF(AND(ISNUMBER(F1837),ISNUMBER(H1837)),F1837-H1837,""),"")</f>
        <v/>
      </c>
      <c r="J1837" s="114" t="n"/>
      <c r="K1837" s="139">
        <f>IFERROR(IF(H1837&gt;0,H1837*IF(OR(C1837="Alpha",B1837="Alpha"),$C$9,$C$8),""),"")</f>
        <v/>
      </c>
      <c r="L1837" s="139">
        <f>IFERROR(IF(ISNUMBER(F1837),F1837-IF(ISNUMBER(K1837),K1837,0),""),"")</f>
        <v/>
      </c>
    </row>
    <row r="1838" ht="24" customHeight="1" s="63">
      <c r="E1838" s="139" t="n"/>
      <c r="F1838" s="139" t="n"/>
      <c r="G1838" s="140">
        <f>IFERROR(IF(E1838&gt;0,(F1838/E1838)*1000,""),"")</f>
        <v/>
      </c>
      <c r="H1838" s="139">
        <f>IFERROR(IF(E1838&gt;0,E1838*IF(ISNUMBER(J1838),J1838,IF(OR(C1838="Alpha",B1838="Alpha"),$C$7,IF(C1838="Futures",$C$6,$C$5))),""),"")</f>
        <v/>
      </c>
      <c r="I1838" s="139">
        <f>IFERROR(IF(AND(ISNUMBER(F1838),ISNUMBER(H1838)),F1838-H1838,""),"")</f>
        <v/>
      </c>
      <c r="J1838" s="114" t="n"/>
      <c r="K1838" s="139">
        <f>IFERROR(IF(H1838&gt;0,H1838*IF(OR(C1838="Alpha",B1838="Alpha"),$C$9,$C$8),""),"")</f>
        <v/>
      </c>
      <c r="L1838" s="139">
        <f>IFERROR(IF(ISNUMBER(F1838),F1838-IF(ISNUMBER(K1838),K1838,0),""),"")</f>
        <v/>
      </c>
    </row>
    <row r="1839" ht="24" customHeight="1" s="63">
      <c r="E1839" s="139" t="n"/>
      <c r="F1839" s="139" t="n"/>
      <c r="G1839" s="140">
        <f>IFERROR(IF(E1839&gt;0,(F1839/E1839)*1000,""),"")</f>
        <v/>
      </c>
      <c r="H1839" s="139">
        <f>IFERROR(IF(E1839&gt;0,E1839*IF(ISNUMBER(J1839),J1839,IF(OR(C1839="Alpha",B1839="Alpha"),$C$7,IF(C1839="Futures",$C$6,$C$5))),""),"")</f>
        <v/>
      </c>
      <c r="I1839" s="139">
        <f>IFERROR(IF(AND(ISNUMBER(F1839),ISNUMBER(H1839)),F1839-H1839,""),"")</f>
        <v/>
      </c>
      <c r="J1839" s="114" t="n"/>
      <c r="K1839" s="139">
        <f>IFERROR(IF(H1839&gt;0,H1839*IF(OR(C1839="Alpha",B1839="Alpha"),$C$9,$C$8),""),"")</f>
        <v/>
      </c>
      <c r="L1839" s="139">
        <f>IFERROR(IF(ISNUMBER(F1839),F1839-IF(ISNUMBER(K1839),K1839,0),""),"")</f>
        <v/>
      </c>
    </row>
    <row r="1840" ht="24" customHeight="1" s="63">
      <c r="E1840" s="139" t="n"/>
      <c r="F1840" s="139" t="n"/>
      <c r="G1840" s="140">
        <f>IFERROR(IF(E1840&gt;0,(F1840/E1840)*1000,""),"")</f>
        <v/>
      </c>
      <c r="H1840" s="139">
        <f>IFERROR(IF(E1840&gt;0,E1840*IF(ISNUMBER(J1840),J1840,IF(OR(C1840="Alpha",B1840="Alpha"),$C$7,IF(C1840="Futures",$C$6,$C$5))),""),"")</f>
        <v/>
      </c>
      <c r="I1840" s="139">
        <f>IFERROR(IF(AND(ISNUMBER(F1840),ISNUMBER(H1840)),F1840-H1840,""),"")</f>
        <v/>
      </c>
      <c r="J1840" s="114" t="n"/>
      <c r="K1840" s="139">
        <f>IFERROR(IF(H1840&gt;0,H1840*IF(OR(C1840="Alpha",B1840="Alpha"),$C$9,$C$8),""),"")</f>
        <v/>
      </c>
      <c r="L1840" s="139">
        <f>IFERROR(IF(ISNUMBER(F1840),F1840-IF(ISNUMBER(K1840),K1840,0),""),"")</f>
        <v/>
      </c>
    </row>
    <row r="1841" ht="24" customHeight="1" s="63">
      <c r="E1841" s="139" t="n"/>
      <c r="F1841" s="139" t="n"/>
      <c r="G1841" s="140">
        <f>IFERROR(IF(E1841&gt;0,(F1841/E1841)*1000,""),"")</f>
        <v/>
      </c>
      <c r="H1841" s="139">
        <f>IFERROR(IF(E1841&gt;0,E1841*IF(ISNUMBER(J1841),J1841,IF(OR(C1841="Alpha",B1841="Alpha"),$C$7,IF(C1841="Futures",$C$6,$C$5))),""),"")</f>
        <v/>
      </c>
      <c r="I1841" s="139">
        <f>IFERROR(IF(AND(ISNUMBER(F1841),ISNUMBER(H1841)),F1841-H1841,""),"")</f>
        <v/>
      </c>
      <c r="J1841" s="114" t="n"/>
      <c r="K1841" s="139">
        <f>IFERROR(IF(H1841&gt;0,H1841*IF(OR(C1841="Alpha",B1841="Alpha"),$C$9,$C$8),""),"")</f>
        <v/>
      </c>
      <c r="L1841" s="139">
        <f>IFERROR(IF(ISNUMBER(F1841),F1841-IF(ISNUMBER(K1841),K1841,0),""),"")</f>
        <v/>
      </c>
    </row>
    <row r="1842" ht="24" customHeight="1" s="63">
      <c r="E1842" s="139" t="n"/>
      <c r="F1842" s="139" t="n"/>
      <c r="G1842" s="140">
        <f>IFERROR(IF(E1842&gt;0,(F1842/E1842)*1000,""),"")</f>
        <v/>
      </c>
      <c r="H1842" s="139">
        <f>IFERROR(IF(E1842&gt;0,E1842*IF(ISNUMBER(J1842),J1842,IF(OR(C1842="Alpha",B1842="Alpha"),$C$7,IF(C1842="Futures",$C$6,$C$5))),""),"")</f>
        <v/>
      </c>
      <c r="I1842" s="139">
        <f>IFERROR(IF(AND(ISNUMBER(F1842),ISNUMBER(H1842)),F1842-H1842,""),"")</f>
        <v/>
      </c>
      <c r="J1842" s="114" t="n"/>
      <c r="K1842" s="139">
        <f>IFERROR(IF(H1842&gt;0,H1842*IF(OR(C1842="Alpha",B1842="Alpha"),$C$9,$C$8),""),"")</f>
        <v/>
      </c>
      <c r="L1842" s="139">
        <f>IFERROR(IF(ISNUMBER(F1842),F1842-IF(ISNUMBER(K1842),K1842,0),""),"")</f>
        <v/>
      </c>
    </row>
    <row r="1843" ht="24" customHeight="1" s="63">
      <c r="E1843" s="139" t="n"/>
      <c r="F1843" s="139" t="n"/>
      <c r="G1843" s="140">
        <f>IFERROR(IF(E1843&gt;0,(F1843/E1843)*1000,""),"")</f>
        <v/>
      </c>
      <c r="H1843" s="139">
        <f>IFERROR(IF(E1843&gt;0,E1843*IF(ISNUMBER(J1843),J1843,IF(OR(C1843="Alpha",B1843="Alpha"),$C$7,IF(C1843="Futures",$C$6,$C$5))),""),"")</f>
        <v/>
      </c>
      <c r="I1843" s="139">
        <f>IFERROR(IF(AND(ISNUMBER(F1843),ISNUMBER(H1843)),F1843-H1843,""),"")</f>
        <v/>
      </c>
      <c r="J1843" s="114" t="n"/>
      <c r="K1843" s="139">
        <f>IFERROR(IF(H1843&gt;0,H1843*IF(OR(C1843="Alpha",B1843="Alpha"),$C$9,$C$8),""),"")</f>
        <v/>
      </c>
      <c r="L1843" s="139">
        <f>IFERROR(IF(ISNUMBER(F1843),F1843-IF(ISNUMBER(K1843),K1843,0),""),"")</f>
        <v/>
      </c>
    </row>
    <row r="1844" ht="24" customHeight="1" s="63">
      <c r="E1844" s="139" t="n"/>
      <c r="F1844" s="139" t="n"/>
      <c r="G1844" s="140">
        <f>IFERROR(IF(E1844&gt;0,(F1844/E1844)*1000,""),"")</f>
        <v/>
      </c>
      <c r="H1844" s="139">
        <f>IFERROR(IF(E1844&gt;0,E1844*IF(ISNUMBER(J1844),J1844,IF(OR(C1844="Alpha",B1844="Alpha"),$C$7,IF(C1844="Futures",$C$6,$C$5))),""),"")</f>
        <v/>
      </c>
      <c r="I1844" s="139">
        <f>IFERROR(IF(AND(ISNUMBER(F1844),ISNUMBER(H1844)),F1844-H1844,""),"")</f>
        <v/>
      </c>
      <c r="J1844" s="114" t="n"/>
      <c r="K1844" s="139">
        <f>IFERROR(IF(H1844&gt;0,H1844*IF(OR(C1844="Alpha",B1844="Alpha"),$C$9,$C$8),""),"")</f>
        <v/>
      </c>
      <c r="L1844" s="139">
        <f>IFERROR(IF(ISNUMBER(F1844),F1844-IF(ISNUMBER(K1844),K1844,0),""),"")</f>
        <v/>
      </c>
    </row>
    <row r="1845" ht="24" customHeight="1" s="63">
      <c r="E1845" s="139" t="n"/>
      <c r="F1845" s="139" t="n"/>
      <c r="G1845" s="140">
        <f>IFERROR(IF(E1845&gt;0,(F1845/E1845)*1000,""),"")</f>
        <v/>
      </c>
      <c r="H1845" s="139">
        <f>IFERROR(IF(E1845&gt;0,E1845*IF(ISNUMBER(J1845),J1845,IF(OR(C1845="Alpha",B1845="Alpha"),$C$7,IF(C1845="Futures",$C$6,$C$5))),""),"")</f>
        <v/>
      </c>
      <c r="I1845" s="139">
        <f>IFERROR(IF(AND(ISNUMBER(F1845),ISNUMBER(H1845)),F1845-H1845,""),"")</f>
        <v/>
      </c>
      <c r="J1845" s="114" t="n"/>
      <c r="K1845" s="139">
        <f>IFERROR(IF(H1845&gt;0,H1845*IF(OR(C1845="Alpha",B1845="Alpha"),$C$9,$C$8),""),"")</f>
        <v/>
      </c>
      <c r="L1845" s="139">
        <f>IFERROR(IF(ISNUMBER(F1845),F1845-IF(ISNUMBER(K1845),K1845,0),""),"")</f>
        <v/>
      </c>
    </row>
    <row r="1846" ht="24" customHeight="1" s="63">
      <c r="E1846" s="139" t="n"/>
      <c r="F1846" s="139" t="n"/>
      <c r="G1846" s="140">
        <f>IFERROR(IF(E1846&gt;0,(F1846/E1846)*1000,""),"")</f>
        <v/>
      </c>
      <c r="H1846" s="139">
        <f>IFERROR(IF(E1846&gt;0,E1846*IF(ISNUMBER(J1846),J1846,IF(OR(C1846="Alpha",B1846="Alpha"),$C$7,IF(C1846="Futures",$C$6,$C$5))),""),"")</f>
        <v/>
      </c>
      <c r="I1846" s="139">
        <f>IFERROR(IF(AND(ISNUMBER(F1846),ISNUMBER(H1846)),F1846-H1846,""),"")</f>
        <v/>
      </c>
      <c r="J1846" s="114" t="n"/>
      <c r="K1846" s="139">
        <f>IFERROR(IF(H1846&gt;0,H1846*IF(OR(C1846="Alpha",B1846="Alpha"),$C$9,$C$8),""),"")</f>
        <v/>
      </c>
      <c r="L1846" s="139">
        <f>IFERROR(IF(ISNUMBER(F1846),F1846-IF(ISNUMBER(K1846),K1846,0),""),"")</f>
        <v/>
      </c>
    </row>
    <row r="1847" ht="24" customHeight="1" s="63">
      <c r="E1847" s="139" t="n"/>
      <c r="F1847" s="139" t="n"/>
      <c r="G1847" s="140">
        <f>IFERROR(IF(E1847&gt;0,(F1847/E1847)*1000,""),"")</f>
        <v/>
      </c>
      <c r="H1847" s="139">
        <f>IFERROR(IF(E1847&gt;0,E1847*IF(ISNUMBER(J1847),J1847,IF(OR(C1847="Alpha",B1847="Alpha"),$C$7,IF(C1847="Futures",$C$6,$C$5))),""),"")</f>
        <v/>
      </c>
      <c r="I1847" s="139">
        <f>IFERROR(IF(AND(ISNUMBER(F1847),ISNUMBER(H1847)),F1847-H1847,""),"")</f>
        <v/>
      </c>
      <c r="J1847" s="114" t="n"/>
      <c r="K1847" s="139">
        <f>IFERROR(IF(H1847&gt;0,H1847*IF(OR(C1847="Alpha",B1847="Alpha"),$C$9,$C$8),""),"")</f>
        <v/>
      </c>
      <c r="L1847" s="139">
        <f>IFERROR(IF(ISNUMBER(F1847),F1847-IF(ISNUMBER(K1847),K1847,0),""),"")</f>
        <v/>
      </c>
    </row>
    <row r="1848" ht="24" customHeight="1" s="63">
      <c r="E1848" s="139" t="n"/>
      <c r="F1848" s="139" t="n"/>
      <c r="G1848" s="140">
        <f>IFERROR(IF(E1848&gt;0,(F1848/E1848)*1000,""),"")</f>
        <v/>
      </c>
      <c r="H1848" s="139">
        <f>IFERROR(IF(E1848&gt;0,E1848*IF(ISNUMBER(J1848),J1848,IF(OR(C1848="Alpha",B1848="Alpha"),$C$7,IF(C1848="Futures",$C$6,$C$5))),""),"")</f>
        <v/>
      </c>
      <c r="I1848" s="139">
        <f>IFERROR(IF(AND(ISNUMBER(F1848),ISNUMBER(H1848)),F1848-H1848,""),"")</f>
        <v/>
      </c>
      <c r="J1848" s="114" t="n"/>
      <c r="K1848" s="139">
        <f>IFERROR(IF(H1848&gt;0,H1848*IF(OR(C1848="Alpha",B1848="Alpha"),$C$9,$C$8),""),"")</f>
        <v/>
      </c>
      <c r="L1848" s="139">
        <f>IFERROR(IF(ISNUMBER(F1848),F1848-IF(ISNUMBER(K1848),K1848,0),""),"")</f>
        <v/>
      </c>
    </row>
    <row r="1849" ht="24" customHeight="1" s="63">
      <c r="E1849" s="139" t="n"/>
      <c r="F1849" s="139" t="n"/>
      <c r="G1849" s="140">
        <f>IFERROR(IF(E1849&gt;0,(F1849/E1849)*1000,""),"")</f>
        <v/>
      </c>
      <c r="H1849" s="139">
        <f>IFERROR(IF(E1849&gt;0,E1849*IF(ISNUMBER(J1849),J1849,IF(OR(C1849="Alpha",B1849="Alpha"),$C$7,IF(C1849="Futures",$C$6,$C$5))),""),"")</f>
        <v/>
      </c>
      <c r="I1849" s="139">
        <f>IFERROR(IF(AND(ISNUMBER(F1849),ISNUMBER(H1849)),F1849-H1849,""),"")</f>
        <v/>
      </c>
      <c r="J1849" s="114" t="n"/>
      <c r="K1849" s="139">
        <f>IFERROR(IF(H1849&gt;0,H1849*IF(OR(C1849="Alpha",B1849="Alpha"),$C$9,$C$8),""),"")</f>
        <v/>
      </c>
      <c r="L1849" s="139">
        <f>IFERROR(IF(ISNUMBER(F1849),F1849-IF(ISNUMBER(K1849),K1849,0),""),"")</f>
        <v/>
      </c>
    </row>
    <row r="1850" ht="24" customHeight="1" s="63">
      <c r="E1850" s="139" t="n"/>
      <c r="F1850" s="139" t="n"/>
      <c r="G1850" s="140">
        <f>IFERROR(IF(E1850&gt;0,(F1850/E1850)*1000,""),"")</f>
        <v/>
      </c>
      <c r="H1850" s="139">
        <f>IFERROR(IF(E1850&gt;0,E1850*IF(ISNUMBER(J1850),J1850,IF(OR(C1850="Alpha",B1850="Alpha"),$C$7,IF(C1850="Futures",$C$6,$C$5))),""),"")</f>
        <v/>
      </c>
      <c r="I1850" s="139">
        <f>IFERROR(IF(AND(ISNUMBER(F1850),ISNUMBER(H1850)),F1850-H1850,""),"")</f>
        <v/>
      </c>
      <c r="J1850" s="114" t="n"/>
      <c r="K1850" s="139">
        <f>IFERROR(IF(H1850&gt;0,H1850*IF(OR(C1850="Alpha",B1850="Alpha"),$C$9,$C$8),""),"")</f>
        <v/>
      </c>
      <c r="L1850" s="139">
        <f>IFERROR(IF(ISNUMBER(F1850),F1850-IF(ISNUMBER(K1850),K1850,0),""),"")</f>
        <v/>
      </c>
    </row>
    <row r="1851" ht="24" customHeight="1" s="63">
      <c r="E1851" s="139" t="n"/>
      <c r="F1851" s="139" t="n"/>
      <c r="G1851" s="140">
        <f>IFERROR(IF(E1851&gt;0,(F1851/E1851)*1000,""),"")</f>
        <v/>
      </c>
      <c r="H1851" s="139">
        <f>IFERROR(IF(E1851&gt;0,E1851*IF(ISNUMBER(J1851),J1851,IF(OR(C1851="Alpha",B1851="Alpha"),$C$7,IF(C1851="Futures",$C$6,$C$5))),""),"")</f>
        <v/>
      </c>
      <c r="I1851" s="139">
        <f>IFERROR(IF(AND(ISNUMBER(F1851),ISNUMBER(H1851)),F1851-H1851,""),"")</f>
        <v/>
      </c>
      <c r="J1851" s="114" t="n"/>
      <c r="K1851" s="139">
        <f>IFERROR(IF(H1851&gt;0,H1851*IF(OR(C1851="Alpha",B1851="Alpha"),$C$9,$C$8),""),"")</f>
        <v/>
      </c>
      <c r="L1851" s="139">
        <f>IFERROR(IF(ISNUMBER(F1851),F1851-IF(ISNUMBER(K1851),K1851,0),""),"")</f>
        <v/>
      </c>
    </row>
    <row r="1852" ht="24" customHeight="1" s="63">
      <c r="E1852" s="139" t="n"/>
      <c r="F1852" s="139" t="n"/>
      <c r="G1852" s="140">
        <f>IFERROR(IF(E1852&gt;0,(F1852/E1852)*1000,""),"")</f>
        <v/>
      </c>
      <c r="H1852" s="139">
        <f>IFERROR(IF(E1852&gt;0,E1852*IF(ISNUMBER(J1852),J1852,IF(OR(C1852="Alpha",B1852="Alpha"),$C$7,IF(C1852="Futures",$C$6,$C$5))),""),"")</f>
        <v/>
      </c>
      <c r="I1852" s="139">
        <f>IFERROR(IF(AND(ISNUMBER(F1852),ISNUMBER(H1852)),F1852-H1852,""),"")</f>
        <v/>
      </c>
      <c r="J1852" s="114" t="n"/>
      <c r="K1852" s="139">
        <f>IFERROR(IF(H1852&gt;0,H1852*IF(OR(C1852="Alpha",B1852="Alpha"),$C$9,$C$8),""),"")</f>
        <v/>
      </c>
      <c r="L1852" s="139">
        <f>IFERROR(IF(ISNUMBER(F1852),F1852-IF(ISNUMBER(K1852),K1852,0),""),"")</f>
        <v/>
      </c>
    </row>
    <row r="1853" ht="24" customHeight="1" s="63">
      <c r="E1853" s="139" t="n"/>
      <c r="F1853" s="139" t="n"/>
      <c r="G1853" s="140">
        <f>IFERROR(IF(E1853&gt;0,(F1853/E1853)*1000,""),"")</f>
        <v/>
      </c>
      <c r="H1853" s="139">
        <f>IFERROR(IF(E1853&gt;0,E1853*IF(ISNUMBER(J1853),J1853,IF(OR(C1853="Alpha",B1853="Alpha"),$C$7,IF(C1853="Futures",$C$6,$C$5))),""),"")</f>
        <v/>
      </c>
      <c r="I1853" s="139">
        <f>IFERROR(IF(AND(ISNUMBER(F1853),ISNUMBER(H1853)),F1853-H1853,""),"")</f>
        <v/>
      </c>
      <c r="J1853" s="114" t="n"/>
      <c r="K1853" s="139">
        <f>IFERROR(IF(H1853&gt;0,H1853*IF(OR(C1853="Alpha",B1853="Alpha"),$C$9,$C$8),""),"")</f>
        <v/>
      </c>
      <c r="L1853" s="139">
        <f>IFERROR(IF(ISNUMBER(F1853),F1853-IF(ISNUMBER(K1853),K1853,0),""),"")</f>
        <v/>
      </c>
    </row>
    <row r="1854" ht="24" customHeight="1" s="63">
      <c r="E1854" s="139" t="n"/>
      <c r="F1854" s="139" t="n"/>
      <c r="G1854" s="140">
        <f>IFERROR(IF(E1854&gt;0,(F1854/E1854)*1000,""),"")</f>
        <v/>
      </c>
      <c r="H1854" s="139">
        <f>IFERROR(IF(E1854&gt;0,E1854*IF(ISNUMBER(J1854),J1854,IF(OR(C1854="Alpha",B1854="Alpha"),$C$7,IF(C1854="Futures",$C$6,$C$5))),""),"")</f>
        <v/>
      </c>
      <c r="I1854" s="139">
        <f>IFERROR(IF(AND(ISNUMBER(F1854),ISNUMBER(H1854)),F1854-H1854,""),"")</f>
        <v/>
      </c>
      <c r="J1854" s="114" t="n"/>
      <c r="K1854" s="139">
        <f>IFERROR(IF(H1854&gt;0,H1854*IF(OR(C1854="Alpha",B1854="Alpha"),$C$9,$C$8),""),"")</f>
        <v/>
      </c>
      <c r="L1854" s="139">
        <f>IFERROR(IF(ISNUMBER(F1854),F1854-IF(ISNUMBER(K1854),K1854,0),""),"")</f>
        <v/>
      </c>
    </row>
    <row r="1855" ht="24" customHeight="1" s="63">
      <c r="E1855" s="139" t="n"/>
      <c r="F1855" s="139" t="n"/>
      <c r="G1855" s="140">
        <f>IFERROR(IF(E1855&gt;0,(F1855/E1855)*1000,""),"")</f>
        <v/>
      </c>
      <c r="H1855" s="139">
        <f>IFERROR(IF(E1855&gt;0,E1855*IF(ISNUMBER(J1855),J1855,IF(OR(C1855="Alpha",B1855="Alpha"),$C$7,IF(C1855="Futures",$C$6,$C$5))),""),"")</f>
        <v/>
      </c>
      <c r="I1855" s="139">
        <f>IFERROR(IF(AND(ISNUMBER(F1855),ISNUMBER(H1855)),F1855-H1855,""),"")</f>
        <v/>
      </c>
      <c r="J1855" s="114" t="n"/>
      <c r="K1855" s="139">
        <f>IFERROR(IF(H1855&gt;0,H1855*IF(OR(C1855="Alpha",B1855="Alpha"),$C$9,$C$8),""),"")</f>
        <v/>
      </c>
      <c r="L1855" s="139">
        <f>IFERROR(IF(ISNUMBER(F1855),F1855-IF(ISNUMBER(K1855),K1855,0),""),"")</f>
        <v/>
      </c>
    </row>
    <row r="1856" ht="24" customHeight="1" s="63">
      <c r="E1856" s="139" t="n"/>
      <c r="F1856" s="139" t="n"/>
      <c r="G1856" s="140">
        <f>IFERROR(IF(E1856&gt;0,(F1856/E1856)*1000,""),"")</f>
        <v/>
      </c>
      <c r="H1856" s="139">
        <f>IFERROR(IF(E1856&gt;0,E1856*IF(ISNUMBER(J1856),J1856,IF(OR(C1856="Alpha",B1856="Alpha"),$C$7,IF(C1856="Futures",$C$6,$C$5))),""),"")</f>
        <v/>
      </c>
      <c r="I1856" s="139">
        <f>IFERROR(IF(AND(ISNUMBER(F1856),ISNUMBER(H1856)),F1856-H1856,""),"")</f>
        <v/>
      </c>
      <c r="J1856" s="114" t="n"/>
      <c r="K1856" s="139">
        <f>IFERROR(IF(H1856&gt;0,H1856*IF(OR(C1856="Alpha",B1856="Alpha"),$C$9,$C$8),""),"")</f>
        <v/>
      </c>
      <c r="L1856" s="139">
        <f>IFERROR(IF(ISNUMBER(F1856),F1856-IF(ISNUMBER(K1856),K1856,0),""),"")</f>
        <v/>
      </c>
    </row>
    <row r="1857" ht="24" customHeight="1" s="63">
      <c r="E1857" s="139" t="n"/>
      <c r="F1857" s="139" t="n"/>
      <c r="G1857" s="140">
        <f>IFERROR(IF(E1857&gt;0,(F1857/E1857)*1000,""),"")</f>
        <v/>
      </c>
      <c r="H1857" s="139">
        <f>IFERROR(IF(E1857&gt;0,E1857*IF(ISNUMBER(J1857),J1857,IF(OR(C1857="Alpha",B1857="Alpha"),$C$7,IF(C1857="Futures",$C$6,$C$5))),""),"")</f>
        <v/>
      </c>
      <c r="I1857" s="139">
        <f>IFERROR(IF(AND(ISNUMBER(F1857),ISNUMBER(H1857)),F1857-H1857,""),"")</f>
        <v/>
      </c>
      <c r="J1857" s="114" t="n"/>
      <c r="K1857" s="139">
        <f>IFERROR(IF(H1857&gt;0,H1857*IF(OR(C1857="Alpha",B1857="Alpha"),$C$9,$C$8),""),"")</f>
        <v/>
      </c>
      <c r="L1857" s="139">
        <f>IFERROR(IF(ISNUMBER(F1857),F1857-IF(ISNUMBER(K1857),K1857,0),""),"")</f>
        <v/>
      </c>
    </row>
    <row r="1858" ht="24" customHeight="1" s="63">
      <c r="E1858" s="139" t="n"/>
      <c r="F1858" s="139" t="n"/>
      <c r="G1858" s="140">
        <f>IFERROR(IF(E1858&gt;0,(F1858/E1858)*1000,""),"")</f>
        <v/>
      </c>
      <c r="H1858" s="139">
        <f>IFERROR(IF(E1858&gt;0,E1858*IF(ISNUMBER(J1858),J1858,IF(OR(C1858="Alpha",B1858="Alpha"),$C$7,IF(C1858="Futures",$C$6,$C$5))),""),"")</f>
        <v/>
      </c>
      <c r="I1858" s="139">
        <f>IFERROR(IF(AND(ISNUMBER(F1858),ISNUMBER(H1858)),F1858-H1858,""),"")</f>
        <v/>
      </c>
      <c r="J1858" s="114" t="n"/>
      <c r="K1858" s="139">
        <f>IFERROR(IF(H1858&gt;0,H1858*IF(OR(C1858="Alpha",B1858="Alpha"),$C$9,$C$8),""),"")</f>
        <v/>
      </c>
      <c r="L1858" s="139">
        <f>IFERROR(IF(ISNUMBER(F1858),F1858-IF(ISNUMBER(K1858),K1858,0),""),"")</f>
        <v/>
      </c>
    </row>
    <row r="1859" ht="24" customHeight="1" s="63">
      <c r="E1859" s="139" t="n"/>
      <c r="F1859" s="139" t="n"/>
      <c r="G1859" s="140">
        <f>IFERROR(IF(E1859&gt;0,(F1859/E1859)*1000,""),"")</f>
        <v/>
      </c>
      <c r="H1859" s="139">
        <f>IFERROR(IF(E1859&gt;0,E1859*IF(ISNUMBER(J1859),J1859,IF(OR(C1859="Alpha",B1859="Alpha"),$C$7,IF(C1859="Futures",$C$6,$C$5))),""),"")</f>
        <v/>
      </c>
      <c r="I1859" s="139">
        <f>IFERROR(IF(AND(ISNUMBER(F1859),ISNUMBER(H1859)),F1859-H1859,""),"")</f>
        <v/>
      </c>
      <c r="J1859" s="114" t="n"/>
      <c r="K1859" s="139">
        <f>IFERROR(IF(H1859&gt;0,H1859*IF(OR(C1859="Alpha",B1859="Alpha"),$C$9,$C$8),""),"")</f>
        <v/>
      </c>
      <c r="L1859" s="139">
        <f>IFERROR(IF(ISNUMBER(F1859),F1859-IF(ISNUMBER(K1859),K1859,0),""),"")</f>
        <v/>
      </c>
    </row>
    <row r="1860" ht="24" customHeight="1" s="63">
      <c r="E1860" s="139" t="n"/>
      <c r="F1860" s="139" t="n"/>
      <c r="G1860" s="140">
        <f>IFERROR(IF(E1860&gt;0,(F1860/E1860)*1000,""),"")</f>
        <v/>
      </c>
      <c r="H1860" s="139">
        <f>IFERROR(IF(E1860&gt;0,E1860*IF(ISNUMBER(J1860),J1860,IF(OR(C1860="Alpha",B1860="Alpha"),$C$7,IF(C1860="Futures",$C$6,$C$5))),""),"")</f>
        <v/>
      </c>
      <c r="I1860" s="139">
        <f>IFERROR(IF(AND(ISNUMBER(F1860),ISNUMBER(H1860)),F1860-H1860,""),"")</f>
        <v/>
      </c>
      <c r="J1860" s="114" t="n"/>
      <c r="K1860" s="139">
        <f>IFERROR(IF(H1860&gt;0,H1860*IF(OR(C1860="Alpha",B1860="Alpha"),$C$9,$C$8),""),"")</f>
        <v/>
      </c>
      <c r="L1860" s="139">
        <f>IFERROR(IF(ISNUMBER(F1860),F1860-IF(ISNUMBER(K1860),K1860,0),""),"")</f>
        <v/>
      </c>
    </row>
    <row r="1861" ht="24" customHeight="1" s="63">
      <c r="E1861" s="139" t="n"/>
      <c r="F1861" s="139" t="n"/>
      <c r="G1861" s="140">
        <f>IFERROR(IF(E1861&gt;0,(F1861/E1861)*1000,""),"")</f>
        <v/>
      </c>
      <c r="H1861" s="139">
        <f>IFERROR(IF(E1861&gt;0,E1861*IF(ISNUMBER(J1861),J1861,IF(OR(C1861="Alpha",B1861="Alpha"),$C$7,IF(C1861="Futures",$C$6,$C$5))),""),"")</f>
        <v/>
      </c>
      <c r="I1861" s="139">
        <f>IFERROR(IF(AND(ISNUMBER(F1861),ISNUMBER(H1861)),F1861-H1861,""),"")</f>
        <v/>
      </c>
      <c r="J1861" s="114" t="n"/>
      <c r="K1861" s="139">
        <f>IFERROR(IF(H1861&gt;0,H1861*IF(OR(C1861="Alpha",B1861="Alpha"),$C$9,$C$8),""),"")</f>
        <v/>
      </c>
      <c r="L1861" s="139">
        <f>IFERROR(IF(ISNUMBER(F1861),F1861-IF(ISNUMBER(K1861),K1861,0),""),"")</f>
        <v/>
      </c>
    </row>
    <row r="1862" ht="24" customHeight="1" s="63">
      <c r="E1862" s="139" t="n"/>
      <c r="F1862" s="139" t="n"/>
      <c r="G1862" s="140">
        <f>IFERROR(IF(E1862&gt;0,(F1862/E1862)*1000,""),"")</f>
        <v/>
      </c>
      <c r="H1862" s="139">
        <f>IFERROR(IF(E1862&gt;0,E1862*IF(ISNUMBER(J1862),J1862,IF(OR(C1862="Alpha",B1862="Alpha"),$C$7,IF(C1862="Futures",$C$6,$C$5))),""),"")</f>
        <v/>
      </c>
      <c r="I1862" s="139">
        <f>IFERROR(IF(AND(ISNUMBER(F1862),ISNUMBER(H1862)),F1862-H1862,""),"")</f>
        <v/>
      </c>
      <c r="J1862" s="114" t="n"/>
      <c r="K1862" s="139">
        <f>IFERROR(IF(H1862&gt;0,H1862*IF(OR(C1862="Alpha",B1862="Alpha"),$C$9,$C$8),""),"")</f>
        <v/>
      </c>
      <c r="L1862" s="139">
        <f>IFERROR(IF(ISNUMBER(F1862),F1862-IF(ISNUMBER(K1862),K1862,0),""),"")</f>
        <v/>
      </c>
    </row>
    <row r="1863" ht="24" customHeight="1" s="63">
      <c r="E1863" s="139" t="n"/>
      <c r="F1863" s="139" t="n"/>
      <c r="G1863" s="140">
        <f>IFERROR(IF(E1863&gt;0,(F1863/E1863)*1000,""),"")</f>
        <v/>
      </c>
      <c r="H1863" s="139">
        <f>IFERROR(IF(E1863&gt;0,E1863*IF(ISNUMBER(J1863),J1863,IF(OR(C1863="Alpha",B1863="Alpha"),$C$7,IF(C1863="Futures",$C$6,$C$5))),""),"")</f>
        <v/>
      </c>
      <c r="I1863" s="139">
        <f>IFERROR(IF(AND(ISNUMBER(F1863),ISNUMBER(H1863)),F1863-H1863,""),"")</f>
        <v/>
      </c>
      <c r="J1863" s="114" t="n"/>
      <c r="K1863" s="139">
        <f>IFERROR(IF(H1863&gt;0,H1863*IF(OR(C1863="Alpha",B1863="Alpha"),$C$9,$C$8),""),"")</f>
        <v/>
      </c>
      <c r="L1863" s="139">
        <f>IFERROR(IF(ISNUMBER(F1863),F1863-IF(ISNUMBER(K1863),K1863,0),""),"")</f>
        <v/>
      </c>
    </row>
    <row r="1864" ht="24" customHeight="1" s="63">
      <c r="E1864" s="139" t="n"/>
      <c r="F1864" s="139" t="n"/>
      <c r="G1864" s="140">
        <f>IFERROR(IF(E1864&gt;0,(F1864/E1864)*1000,""),"")</f>
        <v/>
      </c>
      <c r="H1864" s="139">
        <f>IFERROR(IF(E1864&gt;0,E1864*IF(ISNUMBER(J1864),J1864,IF(OR(C1864="Alpha",B1864="Alpha"),$C$7,IF(C1864="Futures",$C$6,$C$5))),""),"")</f>
        <v/>
      </c>
      <c r="I1864" s="139">
        <f>IFERROR(IF(AND(ISNUMBER(F1864),ISNUMBER(H1864)),F1864-H1864,""),"")</f>
        <v/>
      </c>
      <c r="J1864" s="114" t="n"/>
      <c r="K1864" s="139">
        <f>IFERROR(IF(H1864&gt;0,H1864*IF(OR(C1864="Alpha",B1864="Alpha"),$C$9,$C$8),""),"")</f>
        <v/>
      </c>
      <c r="L1864" s="139">
        <f>IFERROR(IF(ISNUMBER(F1864),F1864-IF(ISNUMBER(K1864),K1864,0),""),"")</f>
        <v/>
      </c>
    </row>
    <row r="1865" ht="24" customHeight="1" s="63">
      <c r="E1865" s="139" t="n"/>
      <c r="F1865" s="139" t="n"/>
      <c r="G1865" s="140">
        <f>IFERROR(IF(E1865&gt;0,(F1865/E1865)*1000,""),"")</f>
        <v/>
      </c>
      <c r="H1865" s="139">
        <f>IFERROR(IF(E1865&gt;0,E1865*IF(ISNUMBER(J1865),J1865,IF(OR(C1865="Alpha",B1865="Alpha"),$C$7,IF(C1865="Futures",$C$6,$C$5))),""),"")</f>
        <v/>
      </c>
      <c r="I1865" s="139">
        <f>IFERROR(IF(AND(ISNUMBER(F1865),ISNUMBER(H1865)),F1865-H1865,""),"")</f>
        <v/>
      </c>
      <c r="J1865" s="114" t="n"/>
      <c r="K1865" s="139">
        <f>IFERROR(IF(H1865&gt;0,H1865*IF(OR(C1865="Alpha",B1865="Alpha"),$C$9,$C$8),""),"")</f>
        <v/>
      </c>
      <c r="L1865" s="139">
        <f>IFERROR(IF(ISNUMBER(F1865),F1865-IF(ISNUMBER(K1865),K1865,0),""),"")</f>
        <v/>
      </c>
    </row>
    <row r="1866" ht="24" customHeight="1" s="63">
      <c r="E1866" s="139" t="n"/>
      <c r="F1866" s="139" t="n"/>
      <c r="G1866" s="140">
        <f>IFERROR(IF(E1866&gt;0,(F1866/E1866)*1000,""),"")</f>
        <v/>
      </c>
      <c r="H1866" s="139">
        <f>IFERROR(IF(E1866&gt;0,E1866*IF(ISNUMBER(J1866),J1866,IF(OR(C1866="Alpha",B1866="Alpha"),$C$7,IF(C1866="Futures",$C$6,$C$5))),""),"")</f>
        <v/>
      </c>
      <c r="I1866" s="139">
        <f>IFERROR(IF(AND(ISNUMBER(F1866),ISNUMBER(H1866)),F1866-H1866,""),"")</f>
        <v/>
      </c>
      <c r="J1866" s="114" t="n"/>
      <c r="K1866" s="139">
        <f>IFERROR(IF(H1866&gt;0,H1866*IF(OR(C1866="Alpha",B1866="Alpha"),$C$9,$C$8),""),"")</f>
        <v/>
      </c>
      <c r="L1866" s="139">
        <f>IFERROR(IF(ISNUMBER(F1866),F1866-IF(ISNUMBER(K1866),K1866,0),""),"")</f>
        <v/>
      </c>
    </row>
    <row r="1867" ht="24" customHeight="1" s="63">
      <c r="E1867" s="139" t="n"/>
      <c r="F1867" s="139" t="n"/>
      <c r="G1867" s="140">
        <f>IFERROR(IF(E1867&gt;0,(F1867/E1867)*1000,""),"")</f>
        <v/>
      </c>
      <c r="H1867" s="139">
        <f>IFERROR(IF(E1867&gt;0,E1867*IF(ISNUMBER(J1867),J1867,IF(OR(C1867="Alpha",B1867="Alpha"),$C$7,IF(C1867="Futures",$C$6,$C$5))),""),"")</f>
        <v/>
      </c>
      <c r="I1867" s="139">
        <f>IFERROR(IF(AND(ISNUMBER(F1867),ISNUMBER(H1867)),F1867-H1867,""),"")</f>
        <v/>
      </c>
      <c r="J1867" s="114" t="n"/>
      <c r="K1867" s="139">
        <f>IFERROR(IF(H1867&gt;0,H1867*IF(OR(C1867="Alpha",B1867="Alpha"),$C$9,$C$8),""),"")</f>
        <v/>
      </c>
      <c r="L1867" s="139">
        <f>IFERROR(IF(ISNUMBER(F1867),F1867-IF(ISNUMBER(K1867),K1867,0),""),"")</f>
        <v/>
      </c>
    </row>
    <row r="1868" ht="24" customHeight="1" s="63">
      <c r="E1868" s="139" t="n"/>
      <c r="F1868" s="139" t="n"/>
      <c r="G1868" s="140">
        <f>IFERROR(IF(E1868&gt;0,(F1868/E1868)*1000,""),"")</f>
        <v/>
      </c>
      <c r="H1868" s="139">
        <f>IFERROR(IF(E1868&gt;0,E1868*IF(ISNUMBER(J1868),J1868,IF(OR(C1868="Alpha",B1868="Alpha"),$C$7,IF(C1868="Futures",$C$6,$C$5))),""),"")</f>
        <v/>
      </c>
      <c r="I1868" s="139">
        <f>IFERROR(IF(AND(ISNUMBER(F1868),ISNUMBER(H1868)),F1868-H1868,""),"")</f>
        <v/>
      </c>
      <c r="J1868" s="114" t="n"/>
      <c r="K1868" s="139">
        <f>IFERROR(IF(H1868&gt;0,H1868*IF(OR(C1868="Alpha",B1868="Alpha"),$C$9,$C$8),""),"")</f>
        <v/>
      </c>
      <c r="L1868" s="139">
        <f>IFERROR(IF(ISNUMBER(F1868),F1868-IF(ISNUMBER(K1868),K1868,0),""),"")</f>
        <v/>
      </c>
    </row>
    <row r="1869" ht="24" customHeight="1" s="63">
      <c r="E1869" s="139" t="n"/>
      <c r="F1869" s="139" t="n"/>
      <c r="G1869" s="140">
        <f>IFERROR(IF(E1869&gt;0,(F1869/E1869)*1000,""),"")</f>
        <v/>
      </c>
      <c r="H1869" s="139">
        <f>IFERROR(IF(E1869&gt;0,E1869*IF(ISNUMBER(J1869),J1869,IF(OR(C1869="Alpha",B1869="Alpha"),$C$7,IF(C1869="Futures",$C$6,$C$5))),""),"")</f>
        <v/>
      </c>
      <c r="I1869" s="139">
        <f>IFERROR(IF(AND(ISNUMBER(F1869),ISNUMBER(H1869)),F1869-H1869,""),"")</f>
        <v/>
      </c>
      <c r="J1869" s="114" t="n"/>
      <c r="K1869" s="139">
        <f>IFERROR(IF(H1869&gt;0,H1869*IF(OR(C1869="Alpha",B1869="Alpha"),$C$9,$C$8),""),"")</f>
        <v/>
      </c>
      <c r="L1869" s="139">
        <f>IFERROR(IF(ISNUMBER(F1869),F1869-IF(ISNUMBER(K1869),K1869,0),""),"")</f>
        <v/>
      </c>
    </row>
    <row r="1870" ht="24" customHeight="1" s="63">
      <c r="E1870" s="139" t="n"/>
      <c r="F1870" s="139" t="n"/>
      <c r="G1870" s="140">
        <f>IFERROR(IF(E1870&gt;0,(F1870/E1870)*1000,""),"")</f>
        <v/>
      </c>
      <c r="H1870" s="139">
        <f>IFERROR(IF(E1870&gt;0,E1870*IF(ISNUMBER(J1870),J1870,IF(OR(C1870="Alpha",B1870="Alpha"),$C$7,IF(C1870="Futures",$C$6,$C$5))),""),"")</f>
        <v/>
      </c>
      <c r="I1870" s="139">
        <f>IFERROR(IF(AND(ISNUMBER(F1870),ISNUMBER(H1870)),F1870-H1870,""),"")</f>
        <v/>
      </c>
      <c r="J1870" s="114" t="n"/>
      <c r="K1870" s="139">
        <f>IFERROR(IF(H1870&gt;0,H1870*IF(OR(C1870="Alpha",B1870="Alpha"),$C$9,$C$8),""),"")</f>
        <v/>
      </c>
      <c r="L1870" s="139">
        <f>IFERROR(IF(ISNUMBER(F1870),F1870-IF(ISNUMBER(K1870),K1870,0),""),"")</f>
        <v/>
      </c>
    </row>
    <row r="1871" ht="24" customHeight="1" s="63">
      <c r="E1871" s="139" t="n"/>
      <c r="F1871" s="139" t="n"/>
      <c r="G1871" s="140">
        <f>IFERROR(IF(E1871&gt;0,(F1871/E1871)*1000,""),"")</f>
        <v/>
      </c>
      <c r="H1871" s="139">
        <f>IFERROR(IF(E1871&gt;0,E1871*IF(ISNUMBER(J1871),J1871,IF(OR(C1871="Alpha",B1871="Alpha"),$C$7,IF(C1871="Futures",$C$6,$C$5))),""),"")</f>
        <v/>
      </c>
      <c r="I1871" s="139">
        <f>IFERROR(IF(AND(ISNUMBER(F1871),ISNUMBER(H1871)),F1871-H1871,""),"")</f>
        <v/>
      </c>
      <c r="J1871" s="114" t="n"/>
      <c r="K1871" s="139">
        <f>IFERROR(IF(H1871&gt;0,H1871*IF(OR(C1871="Alpha",B1871="Alpha"),$C$9,$C$8),""),"")</f>
        <v/>
      </c>
      <c r="L1871" s="139">
        <f>IFERROR(IF(ISNUMBER(F1871),F1871-IF(ISNUMBER(K1871),K1871,0),""),"")</f>
        <v/>
      </c>
    </row>
    <row r="1872" ht="24" customHeight="1" s="63">
      <c r="E1872" s="139" t="n"/>
      <c r="F1872" s="139" t="n"/>
      <c r="G1872" s="140">
        <f>IFERROR(IF(E1872&gt;0,(F1872/E1872)*1000,""),"")</f>
        <v/>
      </c>
      <c r="H1872" s="139">
        <f>IFERROR(IF(E1872&gt;0,E1872*IF(ISNUMBER(J1872),J1872,IF(OR(C1872="Alpha",B1872="Alpha"),$C$7,IF(C1872="Futures",$C$6,$C$5))),""),"")</f>
        <v/>
      </c>
      <c r="I1872" s="139">
        <f>IFERROR(IF(AND(ISNUMBER(F1872),ISNUMBER(H1872)),F1872-H1872,""),"")</f>
        <v/>
      </c>
      <c r="J1872" s="114" t="n"/>
      <c r="K1872" s="139">
        <f>IFERROR(IF(H1872&gt;0,H1872*IF(OR(C1872="Alpha",B1872="Alpha"),$C$9,$C$8),""),"")</f>
        <v/>
      </c>
      <c r="L1872" s="139">
        <f>IFERROR(IF(ISNUMBER(F1872),F1872-IF(ISNUMBER(K1872),K1872,0),""),"")</f>
        <v/>
      </c>
    </row>
    <row r="1873" ht="24" customHeight="1" s="63">
      <c r="E1873" s="139" t="n"/>
      <c r="F1873" s="139" t="n"/>
      <c r="G1873" s="140">
        <f>IFERROR(IF(E1873&gt;0,(F1873/E1873)*1000,""),"")</f>
        <v/>
      </c>
      <c r="H1873" s="139">
        <f>IFERROR(IF(E1873&gt;0,E1873*IF(ISNUMBER(J1873),J1873,IF(OR(C1873="Alpha",B1873="Alpha"),$C$7,IF(C1873="Futures",$C$6,$C$5))),""),"")</f>
        <v/>
      </c>
      <c r="I1873" s="139">
        <f>IFERROR(IF(AND(ISNUMBER(F1873),ISNUMBER(H1873)),F1873-H1873,""),"")</f>
        <v/>
      </c>
      <c r="J1873" s="114" t="n"/>
      <c r="K1873" s="139">
        <f>IFERROR(IF(H1873&gt;0,H1873*IF(OR(C1873="Alpha",B1873="Alpha"),$C$9,$C$8),""),"")</f>
        <v/>
      </c>
      <c r="L1873" s="139">
        <f>IFERROR(IF(ISNUMBER(F1873),F1873-IF(ISNUMBER(K1873),K1873,0),""),"")</f>
        <v/>
      </c>
    </row>
    <row r="1874" ht="24" customHeight="1" s="63">
      <c r="E1874" s="139" t="n"/>
      <c r="F1874" s="139" t="n"/>
      <c r="G1874" s="140">
        <f>IFERROR(IF(E1874&gt;0,(F1874/E1874)*1000,""),"")</f>
        <v/>
      </c>
      <c r="H1874" s="139">
        <f>IFERROR(IF(E1874&gt;0,E1874*IF(ISNUMBER(J1874),J1874,IF(OR(C1874="Alpha",B1874="Alpha"),$C$7,IF(C1874="Futures",$C$6,$C$5))),""),"")</f>
        <v/>
      </c>
      <c r="I1874" s="139">
        <f>IFERROR(IF(AND(ISNUMBER(F1874),ISNUMBER(H1874)),F1874-H1874,""),"")</f>
        <v/>
      </c>
      <c r="J1874" s="114" t="n"/>
      <c r="K1874" s="139">
        <f>IFERROR(IF(H1874&gt;0,H1874*IF(OR(C1874="Alpha",B1874="Alpha"),$C$9,$C$8),""),"")</f>
        <v/>
      </c>
      <c r="L1874" s="139">
        <f>IFERROR(IF(ISNUMBER(F1874),F1874-IF(ISNUMBER(K1874),K1874,0),""),"")</f>
        <v/>
      </c>
    </row>
    <row r="1875" ht="24" customHeight="1" s="63">
      <c r="E1875" s="139" t="n"/>
      <c r="F1875" s="139" t="n"/>
      <c r="G1875" s="140">
        <f>IFERROR(IF(E1875&gt;0,(F1875/E1875)*1000,""),"")</f>
        <v/>
      </c>
      <c r="H1875" s="139">
        <f>IFERROR(IF(E1875&gt;0,E1875*IF(ISNUMBER(J1875),J1875,IF(OR(C1875="Alpha",B1875="Alpha"),$C$7,IF(C1875="Futures",$C$6,$C$5))),""),"")</f>
        <v/>
      </c>
      <c r="I1875" s="139">
        <f>IFERROR(IF(AND(ISNUMBER(F1875),ISNUMBER(H1875)),F1875-H1875,""),"")</f>
        <v/>
      </c>
      <c r="J1875" s="114" t="n"/>
      <c r="K1875" s="139">
        <f>IFERROR(IF(H1875&gt;0,H1875*IF(OR(C1875="Alpha",B1875="Alpha"),$C$9,$C$8),""),"")</f>
        <v/>
      </c>
      <c r="L1875" s="139">
        <f>IFERROR(IF(ISNUMBER(F1875),F1875-IF(ISNUMBER(K1875),K1875,0),""),"")</f>
        <v/>
      </c>
    </row>
    <row r="1876" ht="24" customHeight="1" s="63">
      <c r="E1876" s="139" t="n"/>
      <c r="F1876" s="139" t="n"/>
      <c r="G1876" s="140">
        <f>IFERROR(IF(E1876&gt;0,(F1876/E1876)*1000,""),"")</f>
        <v/>
      </c>
      <c r="H1876" s="139">
        <f>IFERROR(IF(E1876&gt;0,E1876*IF(ISNUMBER(J1876),J1876,IF(OR(C1876="Alpha",B1876="Alpha"),$C$7,IF(C1876="Futures",$C$6,$C$5))),""),"")</f>
        <v/>
      </c>
      <c r="I1876" s="139">
        <f>IFERROR(IF(AND(ISNUMBER(F1876),ISNUMBER(H1876)),F1876-H1876,""),"")</f>
        <v/>
      </c>
      <c r="J1876" s="114" t="n"/>
      <c r="K1876" s="139">
        <f>IFERROR(IF(H1876&gt;0,H1876*IF(OR(C1876="Alpha",B1876="Alpha"),$C$9,$C$8),""),"")</f>
        <v/>
      </c>
      <c r="L1876" s="139">
        <f>IFERROR(IF(ISNUMBER(F1876),F1876-IF(ISNUMBER(K1876),K1876,0),""),"")</f>
        <v/>
      </c>
    </row>
    <row r="1877" ht="24" customHeight="1" s="63">
      <c r="E1877" s="139" t="n"/>
      <c r="F1877" s="139" t="n"/>
      <c r="G1877" s="140">
        <f>IFERROR(IF(E1877&gt;0,(F1877/E1877)*1000,""),"")</f>
        <v/>
      </c>
      <c r="H1877" s="139">
        <f>IFERROR(IF(E1877&gt;0,E1877*IF(ISNUMBER(J1877),J1877,IF(OR(C1877="Alpha",B1877="Alpha"),$C$7,IF(C1877="Futures",$C$6,$C$5))),""),"")</f>
        <v/>
      </c>
      <c r="I1877" s="139">
        <f>IFERROR(IF(AND(ISNUMBER(F1877),ISNUMBER(H1877)),F1877-H1877,""),"")</f>
        <v/>
      </c>
      <c r="J1877" s="114" t="n"/>
      <c r="K1877" s="139">
        <f>IFERROR(IF(H1877&gt;0,H1877*IF(OR(C1877="Alpha",B1877="Alpha"),$C$9,$C$8),""),"")</f>
        <v/>
      </c>
      <c r="L1877" s="139">
        <f>IFERROR(IF(ISNUMBER(F1877),F1877-IF(ISNUMBER(K1877),K1877,0),""),"")</f>
        <v/>
      </c>
    </row>
    <row r="1878" ht="24" customHeight="1" s="63">
      <c r="E1878" s="139" t="n"/>
      <c r="F1878" s="139" t="n"/>
      <c r="G1878" s="140">
        <f>IFERROR(IF(E1878&gt;0,(F1878/E1878)*1000,""),"")</f>
        <v/>
      </c>
      <c r="H1878" s="139">
        <f>IFERROR(IF(E1878&gt;0,E1878*IF(ISNUMBER(J1878),J1878,IF(OR(C1878="Alpha",B1878="Alpha"),$C$7,IF(C1878="Futures",$C$6,$C$5))),""),"")</f>
        <v/>
      </c>
      <c r="I1878" s="139">
        <f>IFERROR(IF(AND(ISNUMBER(F1878),ISNUMBER(H1878)),F1878-H1878,""),"")</f>
        <v/>
      </c>
      <c r="J1878" s="114" t="n"/>
      <c r="K1878" s="139">
        <f>IFERROR(IF(H1878&gt;0,H1878*IF(OR(C1878="Alpha",B1878="Alpha"),$C$9,$C$8),""),"")</f>
        <v/>
      </c>
      <c r="L1878" s="139">
        <f>IFERROR(IF(ISNUMBER(F1878),F1878-IF(ISNUMBER(K1878),K1878,0),""),"")</f>
        <v/>
      </c>
    </row>
    <row r="1879" ht="24" customHeight="1" s="63">
      <c r="E1879" s="139" t="n"/>
      <c r="F1879" s="139" t="n"/>
      <c r="G1879" s="140">
        <f>IFERROR(IF(E1879&gt;0,(F1879/E1879)*1000,""),"")</f>
        <v/>
      </c>
      <c r="H1879" s="139">
        <f>IFERROR(IF(E1879&gt;0,E1879*IF(ISNUMBER(J1879),J1879,IF(OR(C1879="Alpha",B1879="Alpha"),$C$7,IF(C1879="Futures",$C$6,$C$5))),""),"")</f>
        <v/>
      </c>
      <c r="I1879" s="139">
        <f>IFERROR(IF(AND(ISNUMBER(F1879),ISNUMBER(H1879)),F1879-H1879,""),"")</f>
        <v/>
      </c>
      <c r="J1879" s="114" t="n"/>
      <c r="K1879" s="139">
        <f>IFERROR(IF(H1879&gt;0,H1879*IF(OR(C1879="Alpha",B1879="Alpha"),$C$9,$C$8),""),"")</f>
        <v/>
      </c>
      <c r="L1879" s="139">
        <f>IFERROR(IF(ISNUMBER(F1879),F1879-IF(ISNUMBER(K1879),K1879,0),""),"")</f>
        <v/>
      </c>
    </row>
    <row r="1880" ht="24" customHeight="1" s="63">
      <c r="E1880" s="139" t="n"/>
      <c r="F1880" s="139" t="n"/>
      <c r="G1880" s="140">
        <f>IFERROR(IF(E1880&gt;0,(F1880/E1880)*1000,""),"")</f>
        <v/>
      </c>
      <c r="H1880" s="139">
        <f>IFERROR(IF(E1880&gt;0,E1880*IF(ISNUMBER(J1880),J1880,IF(OR(C1880="Alpha",B1880="Alpha"),$C$7,IF(C1880="Futures",$C$6,$C$5))),""),"")</f>
        <v/>
      </c>
      <c r="I1880" s="139">
        <f>IFERROR(IF(AND(ISNUMBER(F1880),ISNUMBER(H1880)),F1880-H1880,""),"")</f>
        <v/>
      </c>
      <c r="J1880" s="114" t="n"/>
      <c r="K1880" s="139">
        <f>IFERROR(IF(H1880&gt;0,H1880*IF(OR(C1880="Alpha",B1880="Alpha"),$C$9,$C$8),""),"")</f>
        <v/>
      </c>
      <c r="L1880" s="139">
        <f>IFERROR(IF(ISNUMBER(F1880),F1880-IF(ISNUMBER(K1880),K1880,0),""),"")</f>
        <v/>
      </c>
    </row>
    <row r="1881" ht="24" customHeight="1" s="63">
      <c r="E1881" s="139" t="n"/>
      <c r="F1881" s="139" t="n"/>
      <c r="G1881" s="140">
        <f>IFERROR(IF(E1881&gt;0,(F1881/E1881)*1000,""),"")</f>
        <v/>
      </c>
      <c r="H1881" s="139">
        <f>IFERROR(IF(E1881&gt;0,E1881*IF(ISNUMBER(J1881),J1881,IF(OR(C1881="Alpha",B1881="Alpha"),$C$7,IF(C1881="Futures",$C$6,$C$5))),""),"")</f>
        <v/>
      </c>
      <c r="I1881" s="139">
        <f>IFERROR(IF(AND(ISNUMBER(F1881),ISNUMBER(H1881)),F1881-H1881,""),"")</f>
        <v/>
      </c>
      <c r="J1881" s="114" t="n"/>
      <c r="K1881" s="139">
        <f>IFERROR(IF(H1881&gt;0,H1881*IF(OR(C1881="Alpha",B1881="Alpha"),$C$9,$C$8),""),"")</f>
        <v/>
      </c>
      <c r="L1881" s="139">
        <f>IFERROR(IF(ISNUMBER(F1881),F1881-IF(ISNUMBER(K1881),K1881,0),""),"")</f>
        <v/>
      </c>
    </row>
    <row r="1882" ht="24" customHeight="1" s="63">
      <c r="E1882" s="139" t="n"/>
      <c r="F1882" s="139" t="n"/>
      <c r="G1882" s="140">
        <f>IFERROR(IF(E1882&gt;0,(F1882/E1882)*1000,""),"")</f>
        <v/>
      </c>
      <c r="H1882" s="139">
        <f>IFERROR(IF(E1882&gt;0,E1882*IF(ISNUMBER(J1882),J1882,IF(OR(C1882="Alpha",B1882="Alpha"),$C$7,IF(C1882="Futures",$C$6,$C$5))),""),"")</f>
        <v/>
      </c>
      <c r="I1882" s="139">
        <f>IFERROR(IF(AND(ISNUMBER(F1882),ISNUMBER(H1882)),F1882-H1882,""),"")</f>
        <v/>
      </c>
      <c r="J1882" s="114" t="n"/>
      <c r="K1882" s="139">
        <f>IFERROR(IF(H1882&gt;0,H1882*IF(OR(C1882="Alpha",B1882="Alpha"),$C$9,$C$8),""),"")</f>
        <v/>
      </c>
      <c r="L1882" s="139">
        <f>IFERROR(IF(ISNUMBER(F1882),F1882-IF(ISNUMBER(K1882),K1882,0),""),"")</f>
        <v/>
      </c>
    </row>
    <row r="1883" ht="24" customHeight="1" s="63">
      <c r="E1883" s="139" t="n"/>
      <c r="F1883" s="139" t="n"/>
      <c r="G1883" s="140">
        <f>IFERROR(IF(E1883&gt;0,(F1883/E1883)*1000,""),"")</f>
        <v/>
      </c>
      <c r="H1883" s="139">
        <f>IFERROR(IF(E1883&gt;0,E1883*IF(ISNUMBER(J1883),J1883,IF(OR(C1883="Alpha",B1883="Alpha"),$C$7,IF(C1883="Futures",$C$6,$C$5))),""),"")</f>
        <v/>
      </c>
      <c r="I1883" s="139">
        <f>IFERROR(IF(AND(ISNUMBER(F1883),ISNUMBER(H1883)),F1883-H1883,""),"")</f>
        <v/>
      </c>
      <c r="J1883" s="114" t="n"/>
      <c r="K1883" s="139">
        <f>IFERROR(IF(H1883&gt;0,H1883*IF(OR(C1883="Alpha",B1883="Alpha"),$C$9,$C$8),""),"")</f>
        <v/>
      </c>
      <c r="L1883" s="139">
        <f>IFERROR(IF(ISNUMBER(F1883),F1883-IF(ISNUMBER(K1883),K1883,0),""),"")</f>
        <v/>
      </c>
    </row>
    <row r="1884" ht="24" customHeight="1" s="63">
      <c r="E1884" s="139" t="n"/>
      <c r="F1884" s="139" t="n"/>
      <c r="G1884" s="140">
        <f>IFERROR(IF(E1884&gt;0,(F1884/E1884)*1000,""),"")</f>
        <v/>
      </c>
      <c r="H1884" s="139">
        <f>IFERROR(IF(E1884&gt;0,E1884*IF(ISNUMBER(J1884),J1884,IF(OR(C1884="Alpha",B1884="Alpha"),$C$7,IF(C1884="Futures",$C$6,$C$5))),""),"")</f>
        <v/>
      </c>
      <c r="I1884" s="139">
        <f>IFERROR(IF(AND(ISNUMBER(F1884),ISNUMBER(H1884)),F1884-H1884,""),"")</f>
        <v/>
      </c>
      <c r="J1884" s="114" t="n"/>
      <c r="K1884" s="139">
        <f>IFERROR(IF(H1884&gt;0,H1884*IF(OR(C1884="Alpha",B1884="Alpha"),$C$9,$C$8),""),"")</f>
        <v/>
      </c>
      <c r="L1884" s="139">
        <f>IFERROR(IF(ISNUMBER(F1884),F1884-IF(ISNUMBER(K1884),K1884,0),""),"")</f>
        <v/>
      </c>
    </row>
    <row r="1885" ht="24" customHeight="1" s="63">
      <c r="E1885" s="139" t="n"/>
      <c r="F1885" s="139" t="n"/>
      <c r="G1885" s="140">
        <f>IFERROR(IF(E1885&gt;0,(F1885/E1885)*1000,""),"")</f>
        <v/>
      </c>
      <c r="H1885" s="139">
        <f>IFERROR(IF(E1885&gt;0,E1885*IF(ISNUMBER(J1885),J1885,IF(OR(C1885="Alpha",B1885="Alpha"),$C$7,IF(C1885="Futures",$C$6,$C$5))),""),"")</f>
        <v/>
      </c>
      <c r="I1885" s="139">
        <f>IFERROR(IF(AND(ISNUMBER(F1885),ISNUMBER(H1885)),F1885-H1885,""),"")</f>
        <v/>
      </c>
      <c r="J1885" s="114" t="n"/>
      <c r="K1885" s="139">
        <f>IFERROR(IF(H1885&gt;0,H1885*IF(OR(C1885="Alpha",B1885="Alpha"),$C$9,$C$8),""),"")</f>
        <v/>
      </c>
      <c r="L1885" s="139">
        <f>IFERROR(IF(ISNUMBER(F1885),F1885-IF(ISNUMBER(K1885),K1885,0),""),"")</f>
        <v/>
      </c>
    </row>
    <row r="1886" ht="24" customHeight="1" s="63">
      <c r="E1886" s="139" t="n"/>
      <c r="F1886" s="139" t="n"/>
      <c r="G1886" s="140">
        <f>IFERROR(IF(E1886&gt;0,(F1886/E1886)*1000,""),"")</f>
        <v/>
      </c>
      <c r="H1886" s="139">
        <f>IFERROR(IF(E1886&gt;0,E1886*IF(ISNUMBER(J1886),J1886,IF(OR(C1886="Alpha",B1886="Alpha"),$C$7,IF(C1886="Futures",$C$6,$C$5))),""),"")</f>
        <v/>
      </c>
      <c r="I1886" s="139">
        <f>IFERROR(IF(AND(ISNUMBER(F1886),ISNUMBER(H1886)),F1886-H1886,""),"")</f>
        <v/>
      </c>
      <c r="J1886" s="114" t="n"/>
      <c r="K1886" s="139">
        <f>IFERROR(IF(H1886&gt;0,H1886*IF(OR(C1886="Alpha",B1886="Alpha"),$C$9,$C$8),""),"")</f>
        <v/>
      </c>
      <c r="L1886" s="139">
        <f>IFERROR(IF(ISNUMBER(F1886),F1886-IF(ISNUMBER(K1886),K1886,0),""),"")</f>
        <v/>
      </c>
    </row>
    <row r="1887" ht="24" customHeight="1" s="63">
      <c r="E1887" s="139" t="n"/>
      <c r="F1887" s="139" t="n"/>
      <c r="G1887" s="140">
        <f>IFERROR(IF(E1887&gt;0,(F1887/E1887)*1000,""),"")</f>
        <v/>
      </c>
      <c r="H1887" s="139">
        <f>IFERROR(IF(E1887&gt;0,E1887*IF(ISNUMBER(J1887),J1887,IF(OR(C1887="Alpha",B1887="Alpha"),$C$7,IF(C1887="Futures",$C$6,$C$5))),""),"")</f>
        <v/>
      </c>
      <c r="I1887" s="139">
        <f>IFERROR(IF(AND(ISNUMBER(F1887),ISNUMBER(H1887)),F1887-H1887,""),"")</f>
        <v/>
      </c>
      <c r="J1887" s="114" t="n"/>
      <c r="K1887" s="139">
        <f>IFERROR(IF(H1887&gt;0,H1887*IF(OR(C1887="Alpha",B1887="Alpha"),$C$9,$C$8),""),"")</f>
        <v/>
      </c>
      <c r="L1887" s="139">
        <f>IFERROR(IF(ISNUMBER(F1887),F1887-IF(ISNUMBER(K1887),K1887,0),""),"")</f>
        <v/>
      </c>
    </row>
    <row r="1888" ht="24" customHeight="1" s="63">
      <c r="E1888" s="139" t="n"/>
      <c r="F1888" s="139" t="n"/>
      <c r="G1888" s="140">
        <f>IFERROR(IF(E1888&gt;0,(F1888/E1888)*1000,""),"")</f>
        <v/>
      </c>
      <c r="H1888" s="139">
        <f>IFERROR(IF(E1888&gt;0,E1888*IF(ISNUMBER(J1888),J1888,IF(OR(C1888="Alpha",B1888="Alpha"),$C$7,IF(C1888="Futures",$C$6,$C$5))),""),"")</f>
        <v/>
      </c>
      <c r="I1888" s="139">
        <f>IFERROR(IF(AND(ISNUMBER(F1888),ISNUMBER(H1888)),F1888-H1888,""),"")</f>
        <v/>
      </c>
      <c r="J1888" s="114" t="n"/>
      <c r="K1888" s="139">
        <f>IFERROR(IF(H1888&gt;0,H1888*IF(OR(C1888="Alpha",B1888="Alpha"),$C$9,$C$8),""),"")</f>
        <v/>
      </c>
      <c r="L1888" s="139">
        <f>IFERROR(IF(ISNUMBER(F1888),F1888-IF(ISNUMBER(K1888),K1888,0),""),"")</f>
        <v/>
      </c>
    </row>
    <row r="1889" ht="24" customHeight="1" s="63">
      <c r="E1889" s="139" t="n"/>
      <c r="F1889" s="139" t="n"/>
      <c r="G1889" s="140">
        <f>IFERROR(IF(E1889&gt;0,(F1889/E1889)*1000,""),"")</f>
        <v/>
      </c>
      <c r="H1889" s="139">
        <f>IFERROR(IF(E1889&gt;0,E1889*IF(ISNUMBER(J1889),J1889,IF(OR(C1889="Alpha",B1889="Alpha"),$C$7,IF(C1889="Futures",$C$6,$C$5))),""),"")</f>
        <v/>
      </c>
      <c r="I1889" s="139">
        <f>IFERROR(IF(AND(ISNUMBER(F1889),ISNUMBER(H1889)),F1889-H1889,""),"")</f>
        <v/>
      </c>
      <c r="J1889" s="114" t="n"/>
      <c r="K1889" s="139">
        <f>IFERROR(IF(H1889&gt;0,H1889*IF(OR(C1889="Alpha",B1889="Alpha"),$C$9,$C$8),""),"")</f>
        <v/>
      </c>
      <c r="L1889" s="139">
        <f>IFERROR(IF(ISNUMBER(F1889),F1889-IF(ISNUMBER(K1889),K1889,0),""),"")</f>
        <v/>
      </c>
    </row>
    <row r="1890" ht="24" customHeight="1" s="63">
      <c r="E1890" s="139" t="n"/>
      <c r="F1890" s="139" t="n"/>
      <c r="G1890" s="140">
        <f>IFERROR(IF(E1890&gt;0,(F1890/E1890)*1000,""),"")</f>
        <v/>
      </c>
      <c r="H1890" s="139">
        <f>IFERROR(IF(E1890&gt;0,E1890*IF(ISNUMBER(J1890),J1890,IF(OR(C1890="Alpha",B1890="Alpha"),$C$7,IF(C1890="Futures",$C$6,$C$5))),""),"")</f>
        <v/>
      </c>
      <c r="I1890" s="139">
        <f>IFERROR(IF(AND(ISNUMBER(F1890),ISNUMBER(H1890)),F1890-H1890,""),"")</f>
        <v/>
      </c>
      <c r="J1890" s="114" t="n"/>
      <c r="K1890" s="139">
        <f>IFERROR(IF(H1890&gt;0,H1890*IF(OR(C1890="Alpha",B1890="Alpha"),$C$9,$C$8),""),"")</f>
        <v/>
      </c>
      <c r="L1890" s="139">
        <f>IFERROR(IF(ISNUMBER(F1890),F1890-IF(ISNUMBER(K1890),K1890,0),""),"")</f>
        <v/>
      </c>
    </row>
    <row r="1891" ht="24" customHeight="1" s="63">
      <c r="E1891" s="139" t="n"/>
      <c r="F1891" s="139" t="n"/>
      <c r="G1891" s="140">
        <f>IFERROR(IF(E1891&gt;0,(F1891/E1891)*1000,""),"")</f>
        <v/>
      </c>
      <c r="H1891" s="139">
        <f>IFERROR(IF(E1891&gt;0,E1891*IF(ISNUMBER(J1891),J1891,IF(OR(C1891="Alpha",B1891="Alpha"),$C$7,IF(C1891="Futures",$C$6,$C$5))),""),"")</f>
        <v/>
      </c>
      <c r="I1891" s="139">
        <f>IFERROR(IF(AND(ISNUMBER(F1891),ISNUMBER(H1891)),F1891-H1891,""),"")</f>
        <v/>
      </c>
      <c r="J1891" s="114" t="n"/>
      <c r="K1891" s="139">
        <f>IFERROR(IF(H1891&gt;0,H1891*IF(OR(C1891="Alpha",B1891="Alpha"),$C$9,$C$8),""),"")</f>
        <v/>
      </c>
      <c r="L1891" s="139">
        <f>IFERROR(IF(ISNUMBER(F1891),F1891-IF(ISNUMBER(K1891),K1891,0),""),"")</f>
        <v/>
      </c>
    </row>
    <row r="1892" ht="24" customHeight="1" s="63">
      <c r="E1892" s="139" t="n"/>
      <c r="F1892" s="139" t="n"/>
      <c r="G1892" s="140">
        <f>IFERROR(IF(E1892&gt;0,(F1892/E1892)*1000,""),"")</f>
        <v/>
      </c>
      <c r="H1892" s="139">
        <f>IFERROR(IF(E1892&gt;0,E1892*IF(ISNUMBER(J1892),J1892,IF(OR(C1892="Alpha",B1892="Alpha"),$C$7,IF(C1892="Futures",$C$6,$C$5))),""),"")</f>
        <v/>
      </c>
      <c r="I1892" s="139">
        <f>IFERROR(IF(AND(ISNUMBER(F1892),ISNUMBER(H1892)),F1892-H1892,""),"")</f>
        <v/>
      </c>
      <c r="J1892" s="114" t="n"/>
      <c r="K1892" s="139">
        <f>IFERROR(IF(H1892&gt;0,H1892*IF(OR(C1892="Alpha",B1892="Alpha"),$C$9,$C$8),""),"")</f>
        <v/>
      </c>
      <c r="L1892" s="139">
        <f>IFERROR(IF(ISNUMBER(F1892),F1892-IF(ISNUMBER(K1892),K1892,0),""),"")</f>
        <v/>
      </c>
    </row>
    <row r="1893" ht="24" customHeight="1" s="63">
      <c r="E1893" s="139" t="n"/>
      <c r="F1893" s="139" t="n"/>
      <c r="G1893" s="140">
        <f>IFERROR(IF(E1893&gt;0,(F1893/E1893)*1000,""),"")</f>
        <v/>
      </c>
      <c r="H1893" s="139">
        <f>IFERROR(IF(E1893&gt;0,E1893*IF(ISNUMBER(J1893),J1893,IF(OR(C1893="Alpha",B1893="Alpha"),$C$7,IF(C1893="Futures",$C$6,$C$5))),""),"")</f>
        <v/>
      </c>
      <c r="I1893" s="139">
        <f>IFERROR(IF(AND(ISNUMBER(F1893),ISNUMBER(H1893)),F1893-H1893,""),"")</f>
        <v/>
      </c>
      <c r="J1893" s="114" t="n"/>
      <c r="K1893" s="139">
        <f>IFERROR(IF(H1893&gt;0,H1893*IF(OR(C1893="Alpha",B1893="Alpha"),$C$9,$C$8),""),"")</f>
        <v/>
      </c>
      <c r="L1893" s="139">
        <f>IFERROR(IF(ISNUMBER(F1893),F1893-IF(ISNUMBER(K1893),K1893,0),""),"")</f>
        <v/>
      </c>
    </row>
    <row r="1894" ht="24" customHeight="1" s="63">
      <c r="E1894" s="139" t="n"/>
      <c r="F1894" s="139" t="n"/>
      <c r="G1894" s="140">
        <f>IFERROR(IF(E1894&gt;0,(F1894/E1894)*1000,""),"")</f>
        <v/>
      </c>
      <c r="H1894" s="139">
        <f>IFERROR(IF(E1894&gt;0,E1894*IF(ISNUMBER(J1894),J1894,IF(OR(C1894="Alpha",B1894="Alpha"),$C$7,IF(C1894="Futures",$C$6,$C$5))),""),"")</f>
        <v/>
      </c>
      <c r="I1894" s="139">
        <f>IFERROR(IF(AND(ISNUMBER(F1894),ISNUMBER(H1894)),F1894-H1894,""),"")</f>
        <v/>
      </c>
      <c r="J1894" s="114" t="n"/>
      <c r="K1894" s="139">
        <f>IFERROR(IF(H1894&gt;0,H1894*IF(OR(C1894="Alpha",B1894="Alpha"),$C$9,$C$8),""),"")</f>
        <v/>
      </c>
      <c r="L1894" s="139">
        <f>IFERROR(IF(ISNUMBER(F1894),F1894-IF(ISNUMBER(K1894),K1894,0),""),"")</f>
        <v/>
      </c>
    </row>
    <row r="1895" ht="24" customHeight="1" s="63">
      <c r="E1895" s="139" t="n"/>
      <c r="F1895" s="139" t="n"/>
      <c r="G1895" s="140">
        <f>IFERROR(IF(E1895&gt;0,(F1895/E1895)*1000,""),"")</f>
        <v/>
      </c>
      <c r="H1895" s="139">
        <f>IFERROR(IF(E1895&gt;0,E1895*IF(ISNUMBER(J1895),J1895,IF(OR(C1895="Alpha",B1895="Alpha"),$C$7,IF(C1895="Futures",$C$6,$C$5))),""),"")</f>
        <v/>
      </c>
      <c r="I1895" s="139">
        <f>IFERROR(IF(AND(ISNUMBER(F1895),ISNUMBER(H1895)),F1895-H1895,""),"")</f>
        <v/>
      </c>
      <c r="J1895" s="114" t="n"/>
      <c r="K1895" s="139">
        <f>IFERROR(IF(H1895&gt;0,H1895*IF(OR(C1895="Alpha",B1895="Alpha"),$C$9,$C$8),""),"")</f>
        <v/>
      </c>
      <c r="L1895" s="139">
        <f>IFERROR(IF(ISNUMBER(F1895),F1895-IF(ISNUMBER(K1895),K1895,0),""),"")</f>
        <v/>
      </c>
    </row>
    <row r="1896" ht="24" customHeight="1" s="63">
      <c r="E1896" s="139" t="n"/>
      <c r="F1896" s="139" t="n"/>
      <c r="G1896" s="140">
        <f>IFERROR(IF(E1896&gt;0,(F1896/E1896)*1000,""),"")</f>
        <v/>
      </c>
      <c r="H1896" s="139">
        <f>IFERROR(IF(E1896&gt;0,E1896*IF(ISNUMBER(J1896),J1896,IF(OR(C1896="Alpha",B1896="Alpha"),$C$7,IF(C1896="Futures",$C$6,$C$5))),""),"")</f>
        <v/>
      </c>
      <c r="I1896" s="139">
        <f>IFERROR(IF(AND(ISNUMBER(F1896),ISNUMBER(H1896)),F1896-H1896,""),"")</f>
        <v/>
      </c>
      <c r="J1896" s="114" t="n"/>
      <c r="K1896" s="139">
        <f>IFERROR(IF(H1896&gt;0,H1896*IF(OR(C1896="Alpha",B1896="Alpha"),$C$9,$C$8),""),"")</f>
        <v/>
      </c>
      <c r="L1896" s="139">
        <f>IFERROR(IF(ISNUMBER(F1896),F1896-IF(ISNUMBER(K1896),K1896,0),""),"")</f>
        <v/>
      </c>
    </row>
    <row r="1897" ht="24" customHeight="1" s="63">
      <c r="E1897" s="139" t="n"/>
      <c r="F1897" s="139" t="n"/>
      <c r="G1897" s="140">
        <f>IFERROR(IF(E1897&gt;0,(F1897/E1897)*1000,""),"")</f>
        <v/>
      </c>
      <c r="H1897" s="139">
        <f>IFERROR(IF(E1897&gt;0,E1897*IF(ISNUMBER(J1897),J1897,IF(OR(C1897="Alpha",B1897="Alpha"),$C$7,IF(C1897="Futures",$C$6,$C$5))),""),"")</f>
        <v/>
      </c>
      <c r="I1897" s="139">
        <f>IFERROR(IF(AND(ISNUMBER(F1897),ISNUMBER(H1897)),F1897-H1897,""),"")</f>
        <v/>
      </c>
      <c r="J1897" s="114" t="n"/>
      <c r="K1897" s="139">
        <f>IFERROR(IF(H1897&gt;0,H1897*IF(OR(C1897="Alpha",B1897="Alpha"),$C$9,$C$8),""),"")</f>
        <v/>
      </c>
      <c r="L1897" s="139">
        <f>IFERROR(IF(ISNUMBER(F1897),F1897-IF(ISNUMBER(K1897),K1897,0),""),"")</f>
        <v/>
      </c>
    </row>
    <row r="1898" ht="24" customHeight="1" s="63">
      <c r="E1898" s="139" t="n"/>
      <c r="F1898" s="139" t="n"/>
      <c r="G1898" s="140">
        <f>IFERROR(IF(E1898&gt;0,(F1898/E1898)*1000,""),"")</f>
        <v/>
      </c>
      <c r="H1898" s="139">
        <f>IFERROR(IF(E1898&gt;0,E1898*IF(ISNUMBER(J1898),J1898,IF(OR(C1898="Alpha",B1898="Alpha"),$C$7,IF(C1898="Futures",$C$6,$C$5))),""),"")</f>
        <v/>
      </c>
      <c r="I1898" s="139">
        <f>IFERROR(IF(AND(ISNUMBER(F1898),ISNUMBER(H1898)),F1898-H1898,""),"")</f>
        <v/>
      </c>
      <c r="J1898" s="114" t="n"/>
      <c r="K1898" s="139">
        <f>IFERROR(IF(H1898&gt;0,H1898*IF(OR(C1898="Alpha",B1898="Alpha"),$C$9,$C$8),""),"")</f>
        <v/>
      </c>
      <c r="L1898" s="139">
        <f>IFERROR(IF(ISNUMBER(F1898),F1898-IF(ISNUMBER(K1898),K1898,0),""),"")</f>
        <v/>
      </c>
    </row>
    <row r="1899" ht="24" customHeight="1" s="63">
      <c r="E1899" s="139" t="n"/>
      <c r="F1899" s="139" t="n"/>
      <c r="G1899" s="140">
        <f>IFERROR(IF(E1899&gt;0,(F1899/E1899)*1000,""),"")</f>
        <v/>
      </c>
      <c r="H1899" s="139">
        <f>IFERROR(IF(E1899&gt;0,E1899*IF(ISNUMBER(J1899),J1899,IF(OR(C1899="Alpha",B1899="Alpha"),$C$7,IF(C1899="Futures",$C$6,$C$5))),""),"")</f>
        <v/>
      </c>
      <c r="I1899" s="139">
        <f>IFERROR(IF(AND(ISNUMBER(F1899),ISNUMBER(H1899)),F1899-H1899,""),"")</f>
        <v/>
      </c>
      <c r="J1899" s="114" t="n"/>
      <c r="K1899" s="139">
        <f>IFERROR(IF(H1899&gt;0,H1899*IF(OR(C1899="Alpha",B1899="Alpha"),$C$9,$C$8),""),"")</f>
        <v/>
      </c>
      <c r="L1899" s="139">
        <f>IFERROR(IF(ISNUMBER(F1899),F1899-IF(ISNUMBER(K1899),K1899,0),""),"")</f>
        <v/>
      </c>
    </row>
    <row r="1900" ht="24" customHeight="1" s="63">
      <c r="E1900" s="139" t="n"/>
      <c r="F1900" s="139" t="n"/>
      <c r="G1900" s="140">
        <f>IFERROR(IF(E1900&gt;0,(F1900/E1900)*1000,""),"")</f>
        <v/>
      </c>
      <c r="H1900" s="139">
        <f>IFERROR(IF(E1900&gt;0,E1900*IF(ISNUMBER(J1900),J1900,IF(OR(C1900="Alpha",B1900="Alpha"),$C$7,IF(C1900="Futures",$C$6,$C$5))),""),"")</f>
        <v/>
      </c>
      <c r="I1900" s="139">
        <f>IFERROR(IF(AND(ISNUMBER(F1900),ISNUMBER(H1900)),F1900-H1900,""),"")</f>
        <v/>
      </c>
      <c r="J1900" s="114" t="n"/>
      <c r="K1900" s="139">
        <f>IFERROR(IF(H1900&gt;0,H1900*IF(OR(C1900="Alpha",B1900="Alpha"),$C$9,$C$8),""),"")</f>
        <v/>
      </c>
      <c r="L1900" s="139">
        <f>IFERROR(IF(ISNUMBER(F1900),F1900-IF(ISNUMBER(K1900),K1900,0),""),"")</f>
        <v/>
      </c>
    </row>
    <row r="1901" ht="24" customHeight="1" s="63">
      <c r="E1901" s="139" t="n"/>
      <c r="F1901" s="139" t="n"/>
      <c r="G1901" s="140">
        <f>IFERROR(IF(E1901&gt;0,(F1901/E1901)*1000,""),"")</f>
        <v/>
      </c>
      <c r="H1901" s="139">
        <f>IFERROR(IF(E1901&gt;0,E1901*IF(ISNUMBER(J1901),J1901,IF(OR(C1901="Alpha",B1901="Alpha"),$C$7,IF(C1901="Futures",$C$6,$C$5))),""),"")</f>
        <v/>
      </c>
      <c r="I1901" s="139">
        <f>IFERROR(IF(AND(ISNUMBER(F1901),ISNUMBER(H1901)),F1901-H1901,""),"")</f>
        <v/>
      </c>
      <c r="J1901" s="114" t="n"/>
      <c r="K1901" s="139">
        <f>IFERROR(IF(H1901&gt;0,H1901*IF(OR(C1901="Alpha",B1901="Alpha"),$C$9,$C$8),""),"")</f>
        <v/>
      </c>
      <c r="L1901" s="139">
        <f>IFERROR(IF(ISNUMBER(F1901),F1901-IF(ISNUMBER(K1901),K1901,0),""),"")</f>
        <v/>
      </c>
    </row>
    <row r="1902" ht="24" customHeight="1" s="63">
      <c r="E1902" s="139" t="n"/>
      <c r="F1902" s="139" t="n"/>
      <c r="G1902" s="140">
        <f>IFERROR(IF(E1902&gt;0,(F1902/E1902)*1000,""),"")</f>
        <v/>
      </c>
      <c r="H1902" s="139">
        <f>IFERROR(IF(E1902&gt;0,E1902*IF(ISNUMBER(J1902),J1902,IF(OR(C1902="Alpha",B1902="Alpha"),$C$7,IF(C1902="Futures",$C$6,$C$5))),""),"")</f>
        <v/>
      </c>
      <c r="I1902" s="139">
        <f>IFERROR(IF(AND(ISNUMBER(F1902),ISNUMBER(H1902)),F1902-H1902,""),"")</f>
        <v/>
      </c>
      <c r="J1902" s="114" t="n"/>
      <c r="K1902" s="139">
        <f>IFERROR(IF(H1902&gt;0,H1902*IF(OR(C1902="Alpha",B1902="Alpha"),$C$9,$C$8),""),"")</f>
        <v/>
      </c>
      <c r="L1902" s="139">
        <f>IFERROR(IF(ISNUMBER(F1902),F1902-IF(ISNUMBER(K1902),K1902,0),""),"")</f>
        <v/>
      </c>
    </row>
    <row r="1903" ht="24" customHeight="1" s="63">
      <c r="E1903" s="139" t="n"/>
      <c r="F1903" s="139" t="n"/>
      <c r="G1903" s="140">
        <f>IFERROR(IF(E1903&gt;0,(F1903/E1903)*1000,""),"")</f>
        <v/>
      </c>
      <c r="H1903" s="139">
        <f>IFERROR(IF(E1903&gt;0,E1903*IF(ISNUMBER(J1903),J1903,IF(OR(C1903="Alpha",B1903="Alpha"),$C$7,IF(C1903="Futures",$C$6,$C$5))),""),"")</f>
        <v/>
      </c>
      <c r="I1903" s="139">
        <f>IFERROR(IF(AND(ISNUMBER(F1903),ISNUMBER(H1903)),F1903-H1903,""),"")</f>
        <v/>
      </c>
      <c r="J1903" s="114" t="n"/>
      <c r="K1903" s="139">
        <f>IFERROR(IF(H1903&gt;0,H1903*IF(OR(C1903="Alpha",B1903="Alpha"),$C$9,$C$8),""),"")</f>
        <v/>
      </c>
      <c r="L1903" s="139">
        <f>IFERROR(IF(ISNUMBER(F1903),F1903-IF(ISNUMBER(K1903),K1903,0),""),"")</f>
        <v/>
      </c>
    </row>
    <row r="1904" ht="24" customHeight="1" s="63">
      <c r="E1904" s="139" t="n"/>
      <c r="F1904" s="139" t="n"/>
      <c r="G1904" s="140">
        <f>IFERROR(IF(E1904&gt;0,(F1904/E1904)*1000,""),"")</f>
        <v/>
      </c>
      <c r="H1904" s="139">
        <f>IFERROR(IF(E1904&gt;0,E1904*IF(ISNUMBER(J1904),J1904,IF(OR(C1904="Alpha",B1904="Alpha"),$C$7,IF(C1904="Futures",$C$6,$C$5))),""),"")</f>
        <v/>
      </c>
      <c r="I1904" s="139">
        <f>IFERROR(IF(AND(ISNUMBER(F1904),ISNUMBER(H1904)),F1904-H1904,""),"")</f>
        <v/>
      </c>
      <c r="J1904" s="114" t="n"/>
      <c r="K1904" s="139">
        <f>IFERROR(IF(H1904&gt;0,H1904*IF(OR(C1904="Alpha",B1904="Alpha"),$C$9,$C$8),""),"")</f>
        <v/>
      </c>
      <c r="L1904" s="139">
        <f>IFERROR(IF(ISNUMBER(F1904),F1904-IF(ISNUMBER(K1904),K1904,0),""),"")</f>
        <v/>
      </c>
    </row>
    <row r="1905" ht="24" customHeight="1" s="63">
      <c r="E1905" s="139" t="n"/>
      <c r="F1905" s="139" t="n"/>
      <c r="G1905" s="140">
        <f>IFERROR(IF(E1905&gt;0,(F1905/E1905)*1000,""),"")</f>
        <v/>
      </c>
      <c r="H1905" s="139">
        <f>IFERROR(IF(E1905&gt;0,E1905*IF(ISNUMBER(J1905),J1905,IF(OR(C1905="Alpha",B1905="Alpha"),$C$7,IF(C1905="Futures",$C$6,$C$5))),""),"")</f>
        <v/>
      </c>
      <c r="I1905" s="139">
        <f>IFERROR(IF(AND(ISNUMBER(F1905),ISNUMBER(H1905)),F1905-H1905,""),"")</f>
        <v/>
      </c>
      <c r="J1905" s="114" t="n"/>
      <c r="K1905" s="139">
        <f>IFERROR(IF(H1905&gt;0,H1905*IF(OR(C1905="Alpha",B1905="Alpha"),$C$9,$C$8),""),"")</f>
        <v/>
      </c>
      <c r="L1905" s="139">
        <f>IFERROR(IF(ISNUMBER(F1905),F1905-IF(ISNUMBER(K1905),K1905,0),""),"")</f>
        <v/>
      </c>
    </row>
    <row r="1906" ht="24" customHeight="1" s="63">
      <c r="E1906" s="139" t="n"/>
      <c r="F1906" s="139" t="n"/>
      <c r="G1906" s="140">
        <f>IFERROR(IF(E1906&gt;0,(F1906/E1906)*1000,""),"")</f>
        <v/>
      </c>
      <c r="H1906" s="139">
        <f>IFERROR(IF(E1906&gt;0,E1906*IF(ISNUMBER(J1906),J1906,IF(OR(C1906="Alpha",B1906="Alpha"),$C$7,IF(C1906="Futures",$C$6,$C$5))),""),"")</f>
        <v/>
      </c>
      <c r="I1906" s="139">
        <f>IFERROR(IF(AND(ISNUMBER(F1906),ISNUMBER(H1906)),F1906-H1906,""),"")</f>
        <v/>
      </c>
      <c r="J1906" s="114" t="n"/>
      <c r="K1906" s="139">
        <f>IFERROR(IF(H1906&gt;0,H1906*IF(OR(C1906="Alpha",B1906="Alpha"),$C$9,$C$8),""),"")</f>
        <v/>
      </c>
      <c r="L1906" s="139">
        <f>IFERROR(IF(ISNUMBER(F1906),F1906-IF(ISNUMBER(K1906),K1906,0),""),"")</f>
        <v/>
      </c>
    </row>
    <row r="1907" ht="24" customHeight="1" s="63">
      <c r="E1907" s="139" t="n"/>
      <c r="F1907" s="139" t="n"/>
      <c r="G1907" s="140">
        <f>IFERROR(IF(E1907&gt;0,(F1907/E1907)*1000,""),"")</f>
        <v/>
      </c>
      <c r="H1907" s="139">
        <f>IFERROR(IF(E1907&gt;0,E1907*IF(ISNUMBER(J1907),J1907,IF(OR(C1907="Alpha",B1907="Alpha"),$C$7,IF(C1907="Futures",$C$6,$C$5))),""),"")</f>
        <v/>
      </c>
      <c r="I1907" s="139">
        <f>IFERROR(IF(AND(ISNUMBER(F1907),ISNUMBER(H1907)),F1907-H1907,""),"")</f>
        <v/>
      </c>
      <c r="J1907" s="114" t="n"/>
      <c r="K1907" s="139">
        <f>IFERROR(IF(H1907&gt;0,H1907*IF(OR(C1907="Alpha",B1907="Alpha"),$C$9,$C$8),""),"")</f>
        <v/>
      </c>
      <c r="L1907" s="139">
        <f>IFERROR(IF(ISNUMBER(F1907),F1907-IF(ISNUMBER(K1907),K1907,0),""),"")</f>
        <v/>
      </c>
    </row>
    <row r="1908" ht="24" customHeight="1" s="63">
      <c r="E1908" s="139" t="n"/>
      <c r="F1908" s="139" t="n"/>
      <c r="G1908" s="140">
        <f>IFERROR(IF(E1908&gt;0,(F1908/E1908)*1000,""),"")</f>
        <v/>
      </c>
      <c r="H1908" s="139">
        <f>IFERROR(IF(E1908&gt;0,E1908*IF(ISNUMBER(J1908),J1908,IF(OR(C1908="Alpha",B1908="Alpha"),$C$7,IF(C1908="Futures",$C$6,$C$5))),""),"")</f>
        <v/>
      </c>
      <c r="I1908" s="139">
        <f>IFERROR(IF(AND(ISNUMBER(F1908),ISNUMBER(H1908)),F1908-H1908,""),"")</f>
        <v/>
      </c>
      <c r="J1908" s="114" t="n"/>
      <c r="K1908" s="139">
        <f>IFERROR(IF(H1908&gt;0,H1908*IF(OR(C1908="Alpha",B1908="Alpha"),$C$9,$C$8),""),"")</f>
        <v/>
      </c>
      <c r="L1908" s="139">
        <f>IFERROR(IF(ISNUMBER(F1908),F1908-IF(ISNUMBER(K1908),K1908,0),""),"")</f>
        <v/>
      </c>
    </row>
    <row r="1909" ht="24" customHeight="1" s="63">
      <c r="E1909" s="139" t="n"/>
      <c r="F1909" s="139" t="n"/>
      <c r="G1909" s="140">
        <f>IFERROR(IF(E1909&gt;0,(F1909/E1909)*1000,""),"")</f>
        <v/>
      </c>
      <c r="H1909" s="139">
        <f>IFERROR(IF(E1909&gt;0,E1909*IF(ISNUMBER(J1909),J1909,IF(OR(C1909="Alpha",B1909="Alpha"),$C$7,IF(C1909="Futures",$C$6,$C$5))),""),"")</f>
        <v/>
      </c>
      <c r="I1909" s="139">
        <f>IFERROR(IF(AND(ISNUMBER(F1909),ISNUMBER(H1909)),F1909-H1909,""),"")</f>
        <v/>
      </c>
      <c r="J1909" s="114" t="n"/>
      <c r="K1909" s="139">
        <f>IFERROR(IF(H1909&gt;0,H1909*IF(OR(C1909="Alpha",B1909="Alpha"),$C$9,$C$8),""),"")</f>
        <v/>
      </c>
      <c r="L1909" s="139">
        <f>IFERROR(IF(ISNUMBER(F1909),F1909-IF(ISNUMBER(K1909),K1909,0),""),"")</f>
        <v/>
      </c>
    </row>
    <row r="1910" ht="24" customHeight="1" s="63">
      <c r="E1910" s="139" t="n"/>
      <c r="F1910" s="139" t="n"/>
      <c r="G1910" s="140">
        <f>IFERROR(IF(E1910&gt;0,(F1910/E1910)*1000,""),"")</f>
        <v/>
      </c>
      <c r="H1910" s="139">
        <f>IFERROR(IF(E1910&gt;0,E1910*IF(ISNUMBER(J1910),J1910,IF(OR(C1910="Alpha",B1910="Alpha"),$C$7,IF(C1910="Futures",$C$6,$C$5))),""),"")</f>
        <v/>
      </c>
      <c r="I1910" s="139">
        <f>IFERROR(IF(AND(ISNUMBER(F1910),ISNUMBER(H1910)),F1910-H1910,""),"")</f>
        <v/>
      </c>
      <c r="J1910" s="114" t="n"/>
      <c r="K1910" s="139">
        <f>IFERROR(IF(H1910&gt;0,H1910*IF(OR(C1910="Alpha",B1910="Alpha"),$C$9,$C$8),""),"")</f>
        <v/>
      </c>
      <c r="L1910" s="139">
        <f>IFERROR(IF(ISNUMBER(F1910),F1910-IF(ISNUMBER(K1910),K1910,0),""),"")</f>
        <v/>
      </c>
    </row>
    <row r="1911" ht="24" customHeight="1" s="63">
      <c r="E1911" s="139" t="n"/>
      <c r="F1911" s="139" t="n"/>
      <c r="G1911" s="140">
        <f>IFERROR(IF(E1911&gt;0,(F1911/E1911)*1000,""),"")</f>
        <v/>
      </c>
      <c r="H1911" s="139">
        <f>IFERROR(IF(E1911&gt;0,E1911*IF(ISNUMBER(J1911),J1911,IF(OR(C1911="Alpha",B1911="Alpha"),$C$7,IF(C1911="Futures",$C$6,$C$5))),""),"")</f>
        <v/>
      </c>
      <c r="I1911" s="139">
        <f>IFERROR(IF(AND(ISNUMBER(F1911),ISNUMBER(H1911)),F1911-H1911,""),"")</f>
        <v/>
      </c>
      <c r="J1911" s="114" t="n"/>
      <c r="K1911" s="139">
        <f>IFERROR(IF(H1911&gt;0,H1911*IF(OR(C1911="Alpha",B1911="Alpha"),$C$9,$C$8),""),"")</f>
        <v/>
      </c>
      <c r="L1911" s="139">
        <f>IFERROR(IF(ISNUMBER(F1911),F1911-IF(ISNUMBER(K1911),K1911,0),""),"")</f>
        <v/>
      </c>
    </row>
    <row r="1912" ht="24" customHeight="1" s="63">
      <c r="E1912" s="139" t="n"/>
      <c r="F1912" s="139" t="n"/>
      <c r="G1912" s="140">
        <f>IFERROR(IF(E1912&gt;0,(F1912/E1912)*1000,""),"")</f>
        <v/>
      </c>
      <c r="H1912" s="139">
        <f>IFERROR(IF(E1912&gt;0,E1912*IF(ISNUMBER(J1912),J1912,IF(OR(C1912="Alpha",B1912="Alpha"),$C$7,IF(C1912="Futures",$C$6,$C$5))),""),"")</f>
        <v/>
      </c>
      <c r="I1912" s="139">
        <f>IFERROR(IF(AND(ISNUMBER(F1912),ISNUMBER(H1912)),F1912-H1912,""),"")</f>
        <v/>
      </c>
      <c r="J1912" s="114" t="n"/>
      <c r="K1912" s="139">
        <f>IFERROR(IF(H1912&gt;0,H1912*IF(OR(C1912="Alpha",B1912="Alpha"),$C$9,$C$8),""),"")</f>
        <v/>
      </c>
      <c r="L1912" s="139">
        <f>IFERROR(IF(ISNUMBER(F1912),F1912-IF(ISNUMBER(K1912),K1912,0),""),"")</f>
        <v/>
      </c>
    </row>
    <row r="1913" ht="24" customHeight="1" s="63">
      <c r="E1913" s="139" t="n"/>
      <c r="F1913" s="139" t="n"/>
      <c r="G1913" s="140">
        <f>IFERROR(IF(E1913&gt;0,(F1913/E1913)*1000,""),"")</f>
        <v/>
      </c>
      <c r="H1913" s="139">
        <f>IFERROR(IF(E1913&gt;0,E1913*IF(ISNUMBER(J1913),J1913,IF(OR(C1913="Alpha",B1913="Alpha"),$C$7,IF(C1913="Futures",$C$6,$C$5))),""),"")</f>
        <v/>
      </c>
      <c r="I1913" s="139">
        <f>IFERROR(IF(AND(ISNUMBER(F1913),ISNUMBER(H1913)),F1913-H1913,""),"")</f>
        <v/>
      </c>
      <c r="J1913" s="114" t="n"/>
      <c r="K1913" s="139">
        <f>IFERROR(IF(H1913&gt;0,H1913*IF(OR(C1913="Alpha",B1913="Alpha"),$C$9,$C$8),""),"")</f>
        <v/>
      </c>
      <c r="L1913" s="139">
        <f>IFERROR(IF(ISNUMBER(F1913),F1913-IF(ISNUMBER(K1913),K1913,0),""),"")</f>
        <v/>
      </c>
    </row>
    <row r="1914" ht="24" customHeight="1" s="63">
      <c r="E1914" s="139" t="n"/>
      <c r="F1914" s="139" t="n"/>
      <c r="G1914" s="140">
        <f>IFERROR(IF(E1914&gt;0,(F1914/E1914)*1000,""),"")</f>
        <v/>
      </c>
      <c r="H1914" s="139">
        <f>IFERROR(IF(E1914&gt;0,E1914*IF(ISNUMBER(J1914),J1914,IF(OR(C1914="Alpha",B1914="Alpha"),$C$7,IF(C1914="Futures",$C$6,$C$5))),""),"")</f>
        <v/>
      </c>
      <c r="I1914" s="139">
        <f>IFERROR(IF(AND(ISNUMBER(F1914),ISNUMBER(H1914)),F1914-H1914,""),"")</f>
        <v/>
      </c>
      <c r="J1914" s="114" t="n"/>
      <c r="K1914" s="139">
        <f>IFERROR(IF(H1914&gt;0,H1914*IF(OR(C1914="Alpha",B1914="Alpha"),$C$9,$C$8),""),"")</f>
        <v/>
      </c>
      <c r="L1914" s="139">
        <f>IFERROR(IF(ISNUMBER(F1914),F1914-IF(ISNUMBER(K1914),K1914,0),""),"")</f>
        <v/>
      </c>
    </row>
    <row r="1915" ht="24" customHeight="1" s="63">
      <c r="E1915" s="139" t="n"/>
      <c r="F1915" s="139" t="n"/>
      <c r="G1915" s="140">
        <f>IFERROR(IF(E1915&gt;0,(F1915/E1915)*1000,""),"")</f>
        <v/>
      </c>
      <c r="H1915" s="139">
        <f>IFERROR(IF(E1915&gt;0,E1915*IF(ISNUMBER(J1915),J1915,IF(OR(C1915="Alpha",B1915="Alpha"),$C$7,IF(C1915="Futures",$C$6,$C$5))),""),"")</f>
        <v/>
      </c>
      <c r="I1915" s="139">
        <f>IFERROR(IF(AND(ISNUMBER(F1915),ISNUMBER(H1915)),F1915-H1915,""),"")</f>
        <v/>
      </c>
      <c r="J1915" s="114" t="n"/>
      <c r="K1915" s="139">
        <f>IFERROR(IF(H1915&gt;0,H1915*IF(OR(C1915="Alpha",B1915="Alpha"),$C$9,$C$8),""),"")</f>
        <v/>
      </c>
      <c r="L1915" s="139">
        <f>IFERROR(IF(ISNUMBER(F1915),F1915-IF(ISNUMBER(K1915),K1915,0),""),"")</f>
        <v/>
      </c>
    </row>
    <row r="1916" ht="24" customHeight="1" s="63">
      <c r="E1916" s="139" t="n"/>
      <c r="F1916" s="139" t="n"/>
      <c r="G1916" s="140">
        <f>IFERROR(IF(E1916&gt;0,(F1916/E1916)*1000,""),"")</f>
        <v/>
      </c>
      <c r="H1916" s="139">
        <f>IFERROR(IF(E1916&gt;0,E1916*IF(ISNUMBER(J1916),J1916,IF(OR(C1916="Alpha",B1916="Alpha"),$C$7,IF(C1916="Futures",$C$6,$C$5))),""),"")</f>
        <v/>
      </c>
      <c r="I1916" s="139">
        <f>IFERROR(IF(AND(ISNUMBER(F1916),ISNUMBER(H1916)),F1916-H1916,""),"")</f>
        <v/>
      </c>
      <c r="J1916" s="114" t="n"/>
      <c r="K1916" s="139">
        <f>IFERROR(IF(H1916&gt;0,H1916*IF(OR(C1916="Alpha",B1916="Alpha"),$C$9,$C$8),""),"")</f>
        <v/>
      </c>
      <c r="L1916" s="139">
        <f>IFERROR(IF(ISNUMBER(F1916),F1916-IF(ISNUMBER(K1916),K1916,0),""),"")</f>
        <v/>
      </c>
    </row>
    <row r="1917" ht="24" customHeight="1" s="63">
      <c r="E1917" s="139" t="n"/>
      <c r="F1917" s="139" t="n"/>
      <c r="G1917" s="140">
        <f>IFERROR(IF(E1917&gt;0,(F1917/E1917)*1000,""),"")</f>
        <v/>
      </c>
      <c r="H1917" s="139">
        <f>IFERROR(IF(E1917&gt;0,E1917*IF(ISNUMBER(J1917),J1917,IF(OR(C1917="Alpha",B1917="Alpha"),$C$7,IF(C1917="Futures",$C$6,$C$5))),""),"")</f>
        <v/>
      </c>
      <c r="I1917" s="139">
        <f>IFERROR(IF(AND(ISNUMBER(F1917),ISNUMBER(H1917)),F1917-H1917,""),"")</f>
        <v/>
      </c>
      <c r="J1917" s="114" t="n"/>
      <c r="K1917" s="139">
        <f>IFERROR(IF(H1917&gt;0,H1917*IF(OR(C1917="Alpha",B1917="Alpha"),$C$9,$C$8),""),"")</f>
        <v/>
      </c>
      <c r="L1917" s="139">
        <f>IFERROR(IF(ISNUMBER(F1917),F1917-IF(ISNUMBER(K1917),K1917,0),""),"")</f>
        <v/>
      </c>
    </row>
    <row r="1918" ht="24" customHeight="1" s="63">
      <c r="E1918" s="139" t="n"/>
      <c r="F1918" s="139" t="n"/>
      <c r="G1918" s="140">
        <f>IFERROR(IF(E1918&gt;0,(F1918/E1918)*1000,""),"")</f>
        <v/>
      </c>
      <c r="H1918" s="139">
        <f>IFERROR(IF(E1918&gt;0,E1918*IF(ISNUMBER(J1918),J1918,IF(OR(C1918="Alpha",B1918="Alpha"),$C$7,IF(C1918="Futures",$C$6,$C$5))),""),"")</f>
        <v/>
      </c>
      <c r="I1918" s="139">
        <f>IFERROR(IF(AND(ISNUMBER(F1918),ISNUMBER(H1918)),F1918-H1918,""),"")</f>
        <v/>
      </c>
      <c r="J1918" s="114" t="n"/>
      <c r="K1918" s="139">
        <f>IFERROR(IF(H1918&gt;0,H1918*IF(OR(C1918="Alpha",B1918="Alpha"),$C$9,$C$8),""),"")</f>
        <v/>
      </c>
      <c r="L1918" s="139">
        <f>IFERROR(IF(ISNUMBER(F1918),F1918-IF(ISNUMBER(K1918),K1918,0),""),"")</f>
        <v/>
      </c>
    </row>
    <row r="1919" ht="24" customHeight="1" s="63">
      <c r="E1919" s="139" t="n"/>
      <c r="F1919" s="139" t="n"/>
      <c r="G1919" s="140">
        <f>IFERROR(IF(E1919&gt;0,(F1919/E1919)*1000,""),"")</f>
        <v/>
      </c>
      <c r="H1919" s="139">
        <f>IFERROR(IF(E1919&gt;0,E1919*IF(ISNUMBER(J1919),J1919,IF(OR(C1919="Alpha",B1919="Alpha"),$C$7,IF(C1919="Futures",$C$6,$C$5))),""),"")</f>
        <v/>
      </c>
      <c r="I1919" s="139">
        <f>IFERROR(IF(AND(ISNUMBER(F1919),ISNUMBER(H1919)),F1919-H1919,""),"")</f>
        <v/>
      </c>
      <c r="J1919" s="114" t="n"/>
      <c r="K1919" s="139">
        <f>IFERROR(IF(H1919&gt;0,H1919*IF(OR(C1919="Alpha",B1919="Alpha"),$C$9,$C$8),""),"")</f>
        <v/>
      </c>
      <c r="L1919" s="139">
        <f>IFERROR(IF(ISNUMBER(F1919),F1919-IF(ISNUMBER(K1919),K1919,0),""),"")</f>
        <v/>
      </c>
    </row>
    <row r="1920" ht="24" customHeight="1" s="63">
      <c r="E1920" s="139" t="n"/>
      <c r="F1920" s="139" t="n"/>
      <c r="G1920" s="140">
        <f>IFERROR(IF(E1920&gt;0,(F1920/E1920)*1000,""),"")</f>
        <v/>
      </c>
      <c r="H1920" s="139">
        <f>IFERROR(IF(E1920&gt;0,E1920*IF(ISNUMBER(J1920),J1920,IF(OR(C1920="Alpha",B1920="Alpha"),$C$7,IF(C1920="Futures",$C$6,$C$5))),""),"")</f>
        <v/>
      </c>
      <c r="I1920" s="139">
        <f>IFERROR(IF(AND(ISNUMBER(F1920),ISNUMBER(H1920)),F1920-H1920,""),"")</f>
        <v/>
      </c>
      <c r="J1920" s="114" t="n"/>
      <c r="K1920" s="139">
        <f>IFERROR(IF(H1920&gt;0,H1920*IF(OR(C1920="Alpha",B1920="Alpha"),$C$9,$C$8),""),"")</f>
        <v/>
      </c>
      <c r="L1920" s="139">
        <f>IFERROR(IF(ISNUMBER(F1920),F1920-IF(ISNUMBER(K1920),K1920,0),""),"")</f>
        <v/>
      </c>
    </row>
    <row r="1921" ht="24" customHeight="1" s="63">
      <c r="E1921" s="139" t="n"/>
      <c r="F1921" s="139" t="n"/>
      <c r="G1921" s="140">
        <f>IFERROR(IF(E1921&gt;0,(F1921/E1921)*1000,""),"")</f>
        <v/>
      </c>
      <c r="H1921" s="139">
        <f>IFERROR(IF(E1921&gt;0,E1921*IF(ISNUMBER(J1921),J1921,IF(OR(C1921="Alpha",B1921="Alpha"),$C$7,IF(C1921="Futures",$C$6,$C$5))),""),"")</f>
        <v/>
      </c>
      <c r="I1921" s="139">
        <f>IFERROR(IF(AND(ISNUMBER(F1921),ISNUMBER(H1921)),F1921-H1921,""),"")</f>
        <v/>
      </c>
      <c r="J1921" s="114" t="n"/>
      <c r="K1921" s="139">
        <f>IFERROR(IF(H1921&gt;0,H1921*IF(OR(C1921="Alpha",B1921="Alpha"),$C$9,$C$8),""),"")</f>
        <v/>
      </c>
      <c r="L1921" s="139">
        <f>IFERROR(IF(ISNUMBER(F1921),F1921-IF(ISNUMBER(K1921),K1921,0),""),"")</f>
        <v/>
      </c>
    </row>
    <row r="1922" ht="24" customHeight="1" s="63">
      <c r="E1922" s="139" t="n"/>
      <c r="F1922" s="139" t="n"/>
      <c r="G1922" s="140">
        <f>IFERROR(IF(E1922&gt;0,(F1922/E1922)*1000,""),"")</f>
        <v/>
      </c>
      <c r="H1922" s="139">
        <f>IFERROR(IF(E1922&gt;0,E1922*IF(ISNUMBER(J1922),J1922,IF(OR(C1922="Alpha",B1922="Alpha"),$C$7,IF(C1922="Futures",$C$6,$C$5))),""),"")</f>
        <v/>
      </c>
      <c r="I1922" s="139">
        <f>IFERROR(IF(AND(ISNUMBER(F1922),ISNUMBER(H1922)),F1922-H1922,""),"")</f>
        <v/>
      </c>
      <c r="J1922" s="114" t="n"/>
      <c r="K1922" s="139">
        <f>IFERROR(IF(H1922&gt;0,H1922*IF(OR(C1922="Alpha",B1922="Alpha"),$C$9,$C$8),""),"")</f>
        <v/>
      </c>
      <c r="L1922" s="139">
        <f>IFERROR(IF(ISNUMBER(F1922),F1922-IF(ISNUMBER(K1922),K1922,0),""),"")</f>
        <v/>
      </c>
    </row>
    <row r="1923" ht="24" customHeight="1" s="63">
      <c r="E1923" s="139" t="n"/>
      <c r="F1923" s="139" t="n"/>
      <c r="G1923" s="140">
        <f>IFERROR(IF(E1923&gt;0,(F1923/E1923)*1000,""),"")</f>
        <v/>
      </c>
      <c r="H1923" s="139">
        <f>IFERROR(IF(E1923&gt;0,E1923*IF(ISNUMBER(J1923),J1923,IF(OR(C1923="Alpha",B1923="Alpha"),$C$7,IF(C1923="Futures",$C$6,$C$5))),""),"")</f>
        <v/>
      </c>
      <c r="I1923" s="139">
        <f>IFERROR(IF(AND(ISNUMBER(F1923),ISNUMBER(H1923)),F1923-H1923,""),"")</f>
        <v/>
      </c>
      <c r="J1923" s="114" t="n"/>
      <c r="K1923" s="139">
        <f>IFERROR(IF(H1923&gt;0,H1923*IF(OR(C1923="Alpha",B1923="Alpha"),$C$9,$C$8),""),"")</f>
        <v/>
      </c>
      <c r="L1923" s="139">
        <f>IFERROR(IF(ISNUMBER(F1923),F1923-IF(ISNUMBER(K1923),K1923,0),""),"")</f>
        <v/>
      </c>
    </row>
    <row r="1924" ht="24" customHeight="1" s="63">
      <c r="E1924" s="139" t="n"/>
      <c r="F1924" s="139" t="n"/>
      <c r="G1924" s="140">
        <f>IFERROR(IF(E1924&gt;0,(F1924/E1924)*1000,""),"")</f>
        <v/>
      </c>
      <c r="H1924" s="139">
        <f>IFERROR(IF(E1924&gt;0,E1924*IF(ISNUMBER(J1924),J1924,IF(OR(C1924="Alpha",B1924="Alpha"),$C$7,IF(C1924="Futures",$C$6,$C$5))),""),"")</f>
        <v/>
      </c>
      <c r="I1924" s="139">
        <f>IFERROR(IF(AND(ISNUMBER(F1924),ISNUMBER(H1924)),F1924-H1924,""),"")</f>
        <v/>
      </c>
      <c r="J1924" s="114" t="n"/>
      <c r="K1924" s="139">
        <f>IFERROR(IF(H1924&gt;0,H1924*IF(OR(C1924="Alpha",B1924="Alpha"),$C$9,$C$8),""),"")</f>
        <v/>
      </c>
      <c r="L1924" s="139">
        <f>IFERROR(IF(ISNUMBER(F1924),F1924-IF(ISNUMBER(K1924),K1924,0),""),"")</f>
        <v/>
      </c>
    </row>
    <row r="1925" ht="24" customHeight="1" s="63">
      <c r="E1925" s="139" t="n"/>
      <c r="F1925" s="139" t="n"/>
      <c r="G1925" s="140">
        <f>IFERROR(IF(E1925&gt;0,(F1925/E1925)*1000,""),"")</f>
        <v/>
      </c>
      <c r="H1925" s="139">
        <f>IFERROR(IF(E1925&gt;0,E1925*IF(ISNUMBER(J1925),J1925,IF(OR(C1925="Alpha",B1925="Alpha"),$C$7,IF(C1925="Futures",$C$6,$C$5))),""),"")</f>
        <v/>
      </c>
      <c r="I1925" s="139">
        <f>IFERROR(IF(AND(ISNUMBER(F1925),ISNUMBER(H1925)),F1925-H1925,""),"")</f>
        <v/>
      </c>
      <c r="J1925" s="114" t="n"/>
      <c r="K1925" s="139">
        <f>IFERROR(IF(H1925&gt;0,H1925*IF(OR(C1925="Alpha",B1925="Alpha"),$C$9,$C$8),""),"")</f>
        <v/>
      </c>
      <c r="L1925" s="139">
        <f>IFERROR(IF(ISNUMBER(F1925),F1925-IF(ISNUMBER(K1925),K1925,0),""),"")</f>
        <v/>
      </c>
    </row>
    <row r="1926" ht="24" customHeight="1" s="63">
      <c r="E1926" s="139" t="n"/>
      <c r="F1926" s="139" t="n"/>
      <c r="G1926" s="140">
        <f>IFERROR(IF(E1926&gt;0,(F1926/E1926)*1000,""),"")</f>
        <v/>
      </c>
      <c r="H1926" s="139">
        <f>IFERROR(IF(E1926&gt;0,E1926*IF(ISNUMBER(J1926),J1926,IF(OR(C1926="Alpha",B1926="Alpha"),$C$7,IF(C1926="Futures",$C$6,$C$5))),""),"")</f>
        <v/>
      </c>
      <c r="I1926" s="139">
        <f>IFERROR(IF(AND(ISNUMBER(F1926),ISNUMBER(H1926)),F1926-H1926,""),"")</f>
        <v/>
      </c>
      <c r="J1926" s="114" t="n"/>
      <c r="K1926" s="139">
        <f>IFERROR(IF(H1926&gt;0,H1926*IF(OR(C1926="Alpha",B1926="Alpha"),$C$9,$C$8),""),"")</f>
        <v/>
      </c>
      <c r="L1926" s="139">
        <f>IFERROR(IF(ISNUMBER(F1926),F1926-IF(ISNUMBER(K1926),K1926,0),""),"")</f>
        <v/>
      </c>
    </row>
    <row r="1927" ht="24" customHeight="1" s="63">
      <c r="E1927" s="139" t="n"/>
      <c r="F1927" s="139" t="n"/>
      <c r="G1927" s="140">
        <f>IFERROR(IF(E1927&gt;0,(F1927/E1927)*1000,""),"")</f>
        <v/>
      </c>
      <c r="H1927" s="139">
        <f>IFERROR(IF(E1927&gt;0,E1927*IF(ISNUMBER(J1927),J1927,IF(OR(C1927="Alpha",B1927="Alpha"),$C$7,IF(C1927="Futures",$C$6,$C$5))),""),"")</f>
        <v/>
      </c>
      <c r="I1927" s="139">
        <f>IFERROR(IF(AND(ISNUMBER(F1927),ISNUMBER(H1927)),F1927-H1927,""),"")</f>
        <v/>
      </c>
      <c r="J1927" s="114" t="n"/>
      <c r="K1927" s="139">
        <f>IFERROR(IF(H1927&gt;0,H1927*IF(OR(C1927="Alpha",B1927="Alpha"),$C$9,$C$8),""),"")</f>
        <v/>
      </c>
      <c r="L1927" s="139">
        <f>IFERROR(IF(ISNUMBER(F1927),F1927-IF(ISNUMBER(K1927),K1927,0),""),"")</f>
        <v/>
      </c>
    </row>
    <row r="1928" ht="24" customHeight="1" s="63">
      <c r="E1928" s="139" t="n"/>
      <c r="F1928" s="139" t="n"/>
      <c r="G1928" s="140">
        <f>IFERROR(IF(E1928&gt;0,(F1928/E1928)*1000,""),"")</f>
        <v/>
      </c>
      <c r="H1928" s="139">
        <f>IFERROR(IF(E1928&gt;0,E1928*IF(ISNUMBER(J1928),J1928,IF(OR(C1928="Alpha",B1928="Alpha"),$C$7,IF(C1928="Futures",$C$6,$C$5))),""),"")</f>
        <v/>
      </c>
      <c r="I1928" s="139">
        <f>IFERROR(IF(AND(ISNUMBER(F1928),ISNUMBER(H1928)),F1928-H1928,""),"")</f>
        <v/>
      </c>
      <c r="J1928" s="114" t="n"/>
      <c r="K1928" s="139">
        <f>IFERROR(IF(H1928&gt;0,H1928*IF(OR(C1928="Alpha",B1928="Alpha"),$C$9,$C$8),""),"")</f>
        <v/>
      </c>
      <c r="L1928" s="139">
        <f>IFERROR(IF(ISNUMBER(F1928),F1928-IF(ISNUMBER(K1928),K1928,0),""),"")</f>
        <v/>
      </c>
    </row>
    <row r="1929" ht="24" customHeight="1" s="63">
      <c r="E1929" s="139" t="n"/>
      <c r="F1929" s="139" t="n"/>
      <c r="G1929" s="140">
        <f>IFERROR(IF(E1929&gt;0,(F1929/E1929)*1000,""),"")</f>
        <v/>
      </c>
      <c r="H1929" s="139">
        <f>IFERROR(IF(E1929&gt;0,E1929*IF(ISNUMBER(J1929),J1929,IF(OR(C1929="Alpha",B1929="Alpha"),$C$7,IF(C1929="Futures",$C$6,$C$5))),""),"")</f>
        <v/>
      </c>
      <c r="I1929" s="139">
        <f>IFERROR(IF(AND(ISNUMBER(F1929),ISNUMBER(H1929)),F1929-H1929,""),"")</f>
        <v/>
      </c>
      <c r="J1929" s="114" t="n"/>
      <c r="K1929" s="139">
        <f>IFERROR(IF(H1929&gt;0,H1929*IF(OR(C1929="Alpha",B1929="Alpha"),$C$9,$C$8),""),"")</f>
        <v/>
      </c>
      <c r="L1929" s="139">
        <f>IFERROR(IF(ISNUMBER(F1929),F1929-IF(ISNUMBER(K1929),K1929,0),""),"")</f>
        <v/>
      </c>
    </row>
    <row r="1930" ht="24" customHeight="1" s="63">
      <c r="E1930" s="139" t="n"/>
      <c r="F1930" s="139" t="n"/>
      <c r="G1930" s="140">
        <f>IFERROR(IF(E1930&gt;0,(F1930/E1930)*1000,""),"")</f>
        <v/>
      </c>
      <c r="H1930" s="139">
        <f>IFERROR(IF(E1930&gt;0,E1930*IF(ISNUMBER(J1930),J1930,IF(OR(C1930="Alpha",B1930="Alpha"),$C$7,IF(C1930="Futures",$C$6,$C$5))),""),"")</f>
        <v/>
      </c>
      <c r="I1930" s="139">
        <f>IFERROR(IF(AND(ISNUMBER(F1930),ISNUMBER(H1930)),F1930-H1930,""),"")</f>
        <v/>
      </c>
      <c r="J1930" s="114" t="n"/>
      <c r="K1930" s="139">
        <f>IFERROR(IF(H1930&gt;0,H1930*IF(OR(C1930="Alpha",B1930="Alpha"),$C$9,$C$8),""),"")</f>
        <v/>
      </c>
      <c r="L1930" s="139">
        <f>IFERROR(IF(ISNUMBER(F1930),F1930-IF(ISNUMBER(K1930),K1930,0),""),"")</f>
        <v/>
      </c>
    </row>
    <row r="1931" ht="24" customHeight="1" s="63">
      <c r="E1931" s="139" t="n"/>
      <c r="F1931" s="139" t="n"/>
      <c r="G1931" s="140">
        <f>IFERROR(IF(E1931&gt;0,(F1931/E1931)*1000,""),"")</f>
        <v/>
      </c>
      <c r="H1931" s="139">
        <f>IFERROR(IF(E1931&gt;0,E1931*IF(ISNUMBER(J1931),J1931,IF(OR(C1931="Alpha",B1931="Alpha"),$C$7,IF(C1931="Futures",$C$6,$C$5))),""),"")</f>
        <v/>
      </c>
      <c r="I1931" s="139">
        <f>IFERROR(IF(AND(ISNUMBER(F1931),ISNUMBER(H1931)),F1931-H1931,""),"")</f>
        <v/>
      </c>
      <c r="J1931" s="114" t="n"/>
      <c r="K1931" s="139">
        <f>IFERROR(IF(H1931&gt;0,H1931*IF(OR(C1931="Alpha",B1931="Alpha"),$C$9,$C$8),""),"")</f>
        <v/>
      </c>
      <c r="L1931" s="139">
        <f>IFERROR(IF(ISNUMBER(F1931),F1931-IF(ISNUMBER(K1931),K1931,0),""),"")</f>
        <v/>
      </c>
    </row>
    <row r="1932" ht="24" customHeight="1" s="63">
      <c r="E1932" s="139" t="n"/>
      <c r="F1932" s="139" t="n"/>
      <c r="G1932" s="140">
        <f>IFERROR(IF(E1932&gt;0,(F1932/E1932)*1000,""),"")</f>
        <v/>
      </c>
      <c r="H1932" s="139">
        <f>IFERROR(IF(E1932&gt;0,E1932*IF(ISNUMBER(J1932),J1932,IF(OR(C1932="Alpha",B1932="Alpha"),$C$7,IF(C1932="Futures",$C$6,$C$5))),""),"")</f>
        <v/>
      </c>
      <c r="I1932" s="139">
        <f>IFERROR(IF(AND(ISNUMBER(F1932),ISNUMBER(H1932)),F1932-H1932,""),"")</f>
        <v/>
      </c>
      <c r="J1932" s="114" t="n"/>
      <c r="K1932" s="139">
        <f>IFERROR(IF(H1932&gt;0,H1932*IF(OR(C1932="Alpha",B1932="Alpha"),$C$9,$C$8),""),"")</f>
        <v/>
      </c>
      <c r="L1932" s="139">
        <f>IFERROR(IF(ISNUMBER(F1932),F1932-IF(ISNUMBER(K1932),K1932,0),""),"")</f>
        <v/>
      </c>
    </row>
    <row r="1933" ht="24" customHeight="1" s="63">
      <c r="E1933" s="139" t="n"/>
      <c r="F1933" s="139" t="n"/>
      <c r="G1933" s="140">
        <f>IFERROR(IF(E1933&gt;0,(F1933/E1933)*1000,""),"")</f>
        <v/>
      </c>
      <c r="H1933" s="139">
        <f>IFERROR(IF(E1933&gt;0,E1933*IF(ISNUMBER(J1933),J1933,IF(OR(C1933="Alpha",B1933="Alpha"),$C$7,IF(C1933="Futures",$C$6,$C$5))),""),"")</f>
        <v/>
      </c>
      <c r="I1933" s="139">
        <f>IFERROR(IF(AND(ISNUMBER(F1933),ISNUMBER(H1933)),F1933-H1933,""),"")</f>
        <v/>
      </c>
      <c r="J1933" s="114" t="n"/>
      <c r="K1933" s="139">
        <f>IFERROR(IF(H1933&gt;0,H1933*IF(OR(C1933="Alpha",B1933="Alpha"),$C$9,$C$8),""),"")</f>
        <v/>
      </c>
      <c r="L1933" s="139">
        <f>IFERROR(IF(ISNUMBER(F1933),F1933-IF(ISNUMBER(K1933),K1933,0),""),"")</f>
        <v/>
      </c>
    </row>
    <row r="1934" ht="24" customHeight="1" s="63">
      <c r="E1934" s="139" t="n"/>
      <c r="F1934" s="139" t="n"/>
      <c r="G1934" s="140">
        <f>IFERROR(IF(E1934&gt;0,(F1934/E1934)*1000,""),"")</f>
        <v/>
      </c>
      <c r="H1934" s="139">
        <f>IFERROR(IF(E1934&gt;0,E1934*IF(ISNUMBER(J1934),J1934,IF(OR(C1934="Alpha",B1934="Alpha"),$C$7,IF(C1934="Futures",$C$6,$C$5))),""),"")</f>
        <v/>
      </c>
      <c r="I1934" s="139">
        <f>IFERROR(IF(AND(ISNUMBER(F1934),ISNUMBER(H1934)),F1934-H1934,""),"")</f>
        <v/>
      </c>
      <c r="J1934" s="114" t="n"/>
      <c r="K1934" s="139">
        <f>IFERROR(IF(H1934&gt;0,H1934*IF(OR(C1934="Alpha",B1934="Alpha"),$C$9,$C$8),""),"")</f>
        <v/>
      </c>
      <c r="L1934" s="139">
        <f>IFERROR(IF(ISNUMBER(F1934),F1934-IF(ISNUMBER(K1934),K1934,0),""),"")</f>
        <v/>
      </c>
    </row>
    <row r="1935" ht="24" customHeight="1" s="63">
      <c r="E1935" s="139" t="n"/>
      <c r="F1935" s="139" t="n"/>
      <c r="G1935" s="140">
        <f>IFERROR(IF(E1935&gt;0,(F1935/E1935)*1000,""),"")</f>
        <v/>
      </c>
      <c r="H1935" s="139">
        <f>IFERROR(IF(E1935&gt;0,E1935*IF(ISNUMBER(J1935),J1935,IF(OR(C1935="Alpha",B1935="Alpha"),$C$7,IF(C1935="Futures",$C$6,$C$5))),""),"")</f>
        <v/>
      </c>
      <c r="I1935" s="139">
        <f>IFERROR(IF(AND(ISNUMBER(F1935),ISNUMBER(H1935)),F1935-H1935,""),"")</f>
        <v/>
      </c>
      <c r="J1935" s="114" t="n"/>
      <c r="K1935" s="139">
        <f>IFERROR(IF(H1935&gt;0,H1935*IF(OR(C1935="Alpha",B1935="Alpha"),$C$9,$C$8),""),"")</f>
        <v/>
      </c>
      <c r="L1935" s="139">
        <f>IFERROR(IF(ISNUMBER(F1935),F1935-IF(ISNUMBER(K1935),K1935,0),""),"")</f>
        <v/>
      </c>
    </row>
    <row r="1936" ht="24" customHeight="1" s="63">
      <c r="E1936" s="139" t="n"/>
      <c r="F1936" s="139" t="n"/>
      <c r="G1936" s="140">
        <f>IFERROR(IF(E1936&gt;0,(F1936/E1936)*1000,""),"")</f>
        <v/>
      </c>
      <c r="H1936" s="139">
        <f>IFERROR(IF(E1936&gt;0,E1936*IF(ISNUMBER(J1936),J1936,IF(OR(C1936="Alpha",B1936="Alpha"),$C$7,IF(C1936="Futures",$C$6,$C$5))),""),"")</f>
        <v/>
      </c>
      <c r="I1936" s="139">
        <f>IFERROR(IF(AND(ISNUMBER(F1936),ISNUMBER(H1936)),F1936-H1936,""),"")</f>
        <v/>
      </c>
      <c r="J1936" s="114" t="n"/>
      <c r="K1936" s="139">
        <f>IFERROR(IF(H1936&gt;0,H1936*IF(OR(C1936="Alpha",B1936="Alpha"),$C$9,$C$8),""),"")</f>
        <v/>
      </c>
      <c r="L1936" s="139">
        <f>IFERROR(IF(ISNUMBER(F1936),F1936-IF(ISNUMBER(K1936),K1936,0),""),"")</f>
        <v/>
      </c>
    </row>
    <row r="1937" ht="24" customHeight="1" s="63">
      <c r="E1937" s="139" t="n"/>
      <c r="F1937" s="139" t="n"/>
      <c r="G1937" s="140">
        <f>IFERROR(IF(E1937&gt;0,(F1937/E1937)*1000,""),"")</f>
        <v/>
      </c>
      <c r="H1937" s="139">
        <f>IFERROR(IF(E1937&gt;0,E1937*IF(ISNUMBER(J1937),J1937,IF(OR(C1937="Alpha",B1937="Alpha"),$C$7,IF(C1937="Futures",$C$6,$C$5))),""),"")</f>
        <v/>
      </c>
      <c r="I1937" s="139">
        <f>IFERROR(IF(AND(ISNUMBER(F1937),ISNUMBER(H1937)),F1937-H1937,""),"")</f>
        <v/>
      </c>
      <c r="J1937" s="114" t="n"/>
      <c r="K1937" s="139">
        <f>IFERROR(IF(H1937&gt;0,H1937*IF(OR(C1937="Alpha",B1937="Alpha"),$C$9,$C$8),""),"")</f>
        <v/>
      </c>
      <c r="L1937" s="139">
        <f>IFERROR(IF(ISNUMBER(F1937),F1937-IF(ISNUMBER(K1937),K1937,0),""),"")</f>
        <v/>
      </c>
    </row>
    <row r="1938" ht="24" customHeight="1" s="63">
      <c r="E1938" s="139" t="n"/>
      <c r="F1938" s="139" t="n"/>
      <c r="G1938" s="140">
        <f>IFERROR(IF(E1938&gt;0,(F1938/E1938)*1000,""),"")</f>
        <v/>
      </c>
      <c r="H1938" s="139">
        <f>IFERROR(IF(E1938&gt;0,E1938*IF(ISNUMBER(J1938),J1938,IF(OR(C1938="Alpha",B1938="Alpha"),$C$7,IF(C1938="Futures",$C$6,$C$5))),""),"")</f>
        <v/>
      </c>
      <c r="I1938" s="139">
        <f>IFERROR(IF(AND(ISNUMBER(F1938),ISNUMBER(H1938)),F1938-H1938,""),"")</f>
        <v/>
      </c>
      <c r="J1938" s="114" t="n"/>
      <c r="K1938" s="139">
        <f>IFERROR(IF(H1938&gt;0,H1938*IF(OR(C1938="Alpha",B1938="Alpha"),$C$9,$C$8),""),"")</f>
        <v/>
      </c>
      <c r="L1938" s="139">
        <f>IFERROR(IF(ISNUMBER(F1938),F1938-IF(ISNUMBER(K1938),K1938,0),""),"")</f>
        <v/>
      </c>
    </row>
    <row r="1939" ht="24" customHeight="1" s="63">
      <c r="E1939" s="139" t="n"/>
      <c r="F1939" s="139" t="n"/>
      <c r="G1939" s="140">
        <f>IFERROR(IF(E1939&gt;0,(F1939/E1939)*1000,""),"")</f>
        <v/>
      </c>
      <c r="H1939" s="139">
        <f>IFERROR(IF(E1939&gt;0,E1939*IF(ISNUMBER(J1939),J1939,IF(OR(C1939="Alpha",B1939="Alpha"),$C$7,IF(C1939="Futures",$C$6,$C$5))),""),"")</f>
        <v/>
      </c>
      <c r="I1939" s="139">
        <f>IFERROR(IF(AND(ISNUMBER(F1939),ISNUMBER(H1939)),F1939-H1939,""),"")</f>
        <v/>
      </c>
      <c r="J1939" s="114" t="n"/>
      <c r="K1939" s="139">
        <f>IFERROR(IF(H1939&gt;0,H1939*IF(OR(C1939="Alpha",B1939="Alpha"),$C$9,$C$8),""),"")</f>
        <v/>
      </c>
      <c r="L1939" s="139">
        <f>IFERROR(IF(ISNUMBER(F1939),F1939-IF(ISNUMBER(K1939),K1939,0),""),"")</f>
        <v/>
      </c>
    </row>
    <row r="1940" ht="24" customHeight="1" s="63">
      <c r="E1940" s="139" t="n"/>
      <c r="F1940" s="139" t="n"/>
      <c r="G1940" s="140">
        <f>IFERROR(IF(E1940&gt;0,(F1940/E1940)*1000,""),"")</f>
        <v/>
      </c>
      <c r="H1940" s="139">
        <f>IFERROR(IF(E1940&gt;0,E1940*IF(ISNUMBER(J1940),J1940,IF(OR(C1940="Alpha",B1940="Alpha"),$C$7,IF(C1940="Futures",$C$6,$C$5))),""),"")</f>
        <v/>
      </c>
      <c r="I1940" s="139">
        <f>IFERROR(IF(AND(ISNUMBER(F1940),ISNUMBER(H1940)),F1940-H1940,""),"")</f>
        <v/>
      </c>
      <c r="J1940" s="114" t="n"/>
      <c r="K1940" s="139">
        <f>IFERROR(IF(H1940&gt;0,H1940*IF(OR(C1940="Alpha",B1940="Alpha"),$C$9,$C$8),""),"")</f>
        <v/>
      </c>
      <c r="L1940" s="139">
        <f>IFERROR(IF(ISNUMBER(F1940),F1940-IF(ISNUMBER(K1940),K1940,0),""),"")</f>
        <v/>
      </c>
    </row>
    <row r="1941" ht="24" customHeight="1" s="63">
      <c r="E1941" s="139" t="n"/>
      <c r="F1941" s="139" t="n"/>
      <c r="G1941" s="140">
        <f>IFERROR(IF(E1941&gt;0,(F1941/E1941)*1000,""),"")</f>
        <v/>
      </c>
      <c r="H1941" s="139">
        <f>IFERROR(IF(E1941&gt;0,E1941*IF(ISNUMBER(J1941),J1941,IF(OR(C1941="Alpha",B1941="Alpha"),$C$7,IF(C1941="Futures",$C$6,$C$5))),""),"")</f>
        <v/>
      </c>
      <c r="I1941" s="139">
        <f>IFERROR(IF(AND(ISNUMBER(F1941),ISNUMBER(H1941)),F1941-H1941,""),"")</f>
        <v/>
      </c>
      <c r="J1941" s="114" t="n"/>
      <c r="K1941" s="139">
        <f>IFERROR(IF(H1941&gt;0,H1941*IF(OR(C1941="Alpha",B1941="Alpha"),$C$9,$C$8),""),"")</f>
        <v/>
      </c>
      <c r="L1941" s="139">
        <f>IFERROR(IF(ISNUMBER(F1941),F1941-IF(ISNUMBER(K1941),K1941,0),""),"")</f>
        <v/>
      </c>
    </row>
    <row r="1942" ht="24" customHeight="1" s="63">
      <c r="E1942" s="139" t="n"/>
      <c r="F1942" s="139" t="n"/>
      <c r="G1942" s="140">
        <f>IFERROR(IF(E1942&gt;0,(F1942/E1942)*1000,""),"")</f>
        <v/>
      </c>
      <c r="H1942" s="139">
        <f>IFERROR(IF(E1942&gt;0,E1942*IF(ISNUMBER(J1942),J1942,IF(OR(C1942="Alpha",B1942="Alpha"),$C$7,IF(C1942="Futures",$C$6,$C$5))),""),"")</f>
        <v/>
      </c>
      <c r="I1942" s="139">
        <f>IFERROR(IF(AND(ISNUMBER(F1942),ISNUMBER(H1942)),F1942-H1942,""),"")</f>
        <v/>
      </c>
      <c r="J1942" s="114" t="n"/>
      <c r="K1942" s="139">
        <f>IFERROR(IF(H1942&gt;0,H1942*IF(OR(C1942="Alpha",B1942="Alpha"),$C$9,$C$8),""),"")</f>
        <v/>
      </c>
      <c r="L1942" s="139">
        <f>IFERROR(IF(ISNUMBER(F1942),F1942-IF(ISNUMBER(K1942),K1942,0),""),"")</f>
        <v/>
      </c>
    </row>
    <row r="1943" ht="24" customHeight="1" s="63">
      <c r="E1943" s="139" t="n"/>
      <c r="F1943" s="139" t="n"/>
      <c r="G1943" s="140">
        <f>IFERROR(IF(E1943&gt;0,(F1943/E1943)*1000,""),"")</f>
        <v/>
      </c>
      <c r="H1943" s="139">
        <f>IFERROR(IF(E1943&gt;0,E1943*IF(ISNUMBER(J1943),J1943,IF(OR(C1943="Alpha",B1943="Alpha"),$C$7,IF(C1943="Futures",$C$6,$C$5))),""),"")</f>
        <v/>
      </c>
      <c r="I1943" s="139">
        <f>IFERROR(IF(AND(ISNUMBER(F1943),ISNUMBER(H1943)),F1943-H1943,""),"")</f>
        <v/>
      </c>
      <c r="J1943" s="114" t="n"/>
      <c r="K1943" s="139">
        <f>IFERROR(IF(H1943&gt;0,H1943*IF(OR(C1943="Alpha",B1943="Alpha"),$C$9,$C$8),""),"")</f>
        <v/>
      </c>
      <c r="L1943" s="139">
        <f>IFERROR(IF(ISNUMBER(F1943),F1943-IF(ISNUMBER(K1943),K1943,0),""),"")</f>
        <v/>
      </c>
    </row>
    <row r="1944" ht="24" customHeight="1" s="63">
      <c r="E1944" s="139" t="n"/>
      <c r="F1944" s="139" t="n"/>
      <c r="G1944" s="140">
        <f>IFERROR(IF(E1944&gt;0,(F1944/E1944)*1000,""),"")</f>
        <v/>
      </c>
      <c r="H1944" s="139">
        <f>IFERROR(IF(E1944&gt;0,E1944*IF(ISNUMBER(J1944),J1944,IF(OR(C1944="Alpha",B1944="Alpha"),$C$7,IF(C1944="Futures",$C$6,$C$5))),""),"")</f>
        <v/>
      </c>
      <c r="I1944" s="139">
        <f>IFERROR(IF(AND(ISNUMBER(F1944),ISNUMBER(H1944)),F1944-H1944,""),"")</f>
        <v/>
      </c>
      <c r="J1944" s="114" t="n"/>
      <c r="K1944" s="139">
        <f>IFERROR(IF(H1944&gt;0,H1944*IF(OR(C1944="Alpha",B1944="Alpha"),$C$9,$C$8),""),"")</f>
        <v/>
      </c>
      <c r="L1944" s="139">
        <f>IFERROR(IF(ISNUMBER(F1944),F1944-IF(ISNUMBER(K1944),K1944,0),""),"")</f>
        <v/>
      </c>
    </row>
    <row r="1945" ht="24" customHeight="1" s="63">
      <c r="E1945" s="139" t="n"/>
      <c r="F1945" s="139" t="n"/>
      <c r="G1945" s="140">
        <f>IFERROR(IF(E1945&gt;0,(F1945/E1945)*1000,""),"")</f>
        <v/>
      </c>
      <c r="H1945" s="139">
        <f>IFERROR(IF(E1945&gt;0,E1945*IF(ISNUMBER(J1945),J1945,IF(OR(C1945="Alpha",B1945="Alpha"),$C$7,IF(C1945="Futures",$C$6,$C$5))),""),"")</f>
        <v/>
      </c>
      <c r="I1945" s="139">
        <f>IFERROR(IF(AND(ISNUMBER(F1945),ISNUMBER(H1945)),F1945-H1945,""),"")</f>
        <v/>
      </c>
      <c r="J1945" s="114" t="n"/>
      <c r="K1945" s="139">
        <f>IFERROR(IF(H1945&gt;0,H1945*IF(OR(C1945="Alpha",B1945="Alpha"),$C$9,$C$8),""),"")</f>
        <v/>
      </c>
      <c r="L1945" s="139">
        <f>IFERROR(IF(ISNUMBER(F1945),F1945-IF(ISNUMBER(K1945),K1945,0),""),"")</f>
        <v/>
      </c>
    </row>
    <row r="1946" ht="24" customHeight="1" s="63">
      <c r="E1946" s="139" t="n"/>
      <c r="F1946" s="139" t="n"/>
      <c r="G1946" s="140">
        <f>IFERROR(IF(E1946&gt;0,(F1946/E1946)*1000,""),"")</f>
        <v/>
      </c>
      <c r="H1946" s="139">
        <f>IFERROR(IF(E1946&gt;0,E1946*IF(ISNUMBER(J1946),J1946,IF(OR(C1946="Alpha",B1946="Alpha"),$C$7,IF(C1946="Futures",$C$6,$C$5))),""),"")</f>
        <v/>
      </c>
      <c r="I1946" s="139">
        <f>IFERROR(IF(AND(ISNUMBER(F1946),ISNUMBER(H1946)),F1946-H1946,""),"")</f>
        <v/>
      </c>
      <c r="J1946" s="114" t="n"/>
      <c r="K1946" s="139">
        <f>IFERROR(IF(H1946&gt;0,H1946*IF(OR(C1946="Alpha",B1946="Alpha"),$C$9,$C$8),""),"")</f>
        <v/>
      </c>
      <c r="L1946" s="139">
        <f>IFERROR(IF(ISNUMBER(F1946),F1946-IF(ISNUMBER(K1946),K1946,0),""),"")</f>
        <v/>
      </c>
    </row>
    <row r="1947" ht="24" customHeight="1" s="63">
      <c r="E1947" s="139" t="n"/>
      <c r="F1947" s="139" t="n"/>
      <c r="G1947" s="140">
        <f>IFERROR(IF(E1947&gt;0,(F1947/E1947)*1000,""),"")</f>
        <v/>
      </c>
      <c r="H1947" s="139">
        <f>IFERROR(IF(E1947&gt;0,E1947*IF(ISNUMBER(J1947),J1947,IF(OR(C1947="Alpha",B1947="Alpha"),$C$7,IF(C1947="Futures",$C$6,$C$5))),""),"")</f>
        <v/>
      </c>
      <c r="I1947" s="139">
        <f>IFERROR(IF(AND(ISNUMBER(F1947),ISNUMBER(H1947)),F1947-H1947,""),"")</f>
        <v/>
      </c>
      <c r="J1947" s="114" t="n"/>
      <c r="K1947" s="139">
        <f>IFERROR(IF(H1947&gt;0,H1947*IF(OR(C1947="Alpha",B1947="Alpha"),$C$9,$C$8),""),"")</f>
        <v/>
      </c>
      <c r="L1947" s="139">
        <f>IFERROR(IF(ISNUMBER(F1947),F1947-IF(ISNUMBER(K1947),K1947,0),""),"")</f>
        <v/>
      </c>
    </row>
    <row r="1948" ht="24" customHeight="1" s="63">
      <c r="E1948" s="139" t="n"/>
      <c r="F1948" s="139" t="n"/>
      <c r="G1948" s="140">
        <f>IFERROR(IF(E1948&gt;0,(F1948/E1948)*1000,""),"")</f>
        <v/>
      </c>
      <c r="H1948" s="139">
        <f>IFERROR(IF(E1948&gt;0,E1948*IF(ISNUMBER(J1948),J1948,IF(OR(C1948="Alpha",B1948="Alpha"),$C$7,IF(C1948="Futures",$C$6,$C$5))),""),"")</f>
        <v/>
      </c>
      <c r="I1948" s="139">
        <f>IFERROR(IF(AND(ISNUMBER(F1948),ISNUMBER(H1948)),F1948-H1948,""),"")</f>
        <v/>
      </c>
      <c r="J1948" s="114" t="n"/>
      <c r="K1948" s="139">
        <f>IFERROR(IF(H1948&gt;0,H1948*IF(OR(C1948="Alpha",B1948="Alpha"),$C$9,$C$8),""),"")</f>
        <v/>
      </c>
      <c r="L1948" s="139">
        <f>IFERROR(IF(ISNUMBER(F1948),F1948-IF(ISNUMBER(K1948),K1948,0),""),"")</f>
        <v/>
      </c>
    </row>
    <row r="1949" ht="24" customHeight="1" s="63">
      <c r="E1949" s="139" t="n"/>
      <c r="F1949" s="139" t="n"/>
      <c r="G1949" s="140">
        <f>IFERROR(IF(E1949&gt;0,(F1949/E1949)*1000,""),"")</f>
        <v/>
      </c>
      <c r="H1949" s="139">
        <f>IFERROR(IF(E1949&gt;0,E1949*IF(ISNUMBER(J1949),J1949,IF(OR(C1949="Alpha",B1949="Alpha"),$C$7,IF(C1949="Futures",$C$6,$C$5))),""),"")</f>
        <v/>
      </c>
      <c r="I1949" s="139">
        <f>IFERROR(IF(AND(ISNUMBER(F1949),ISNUMBER(H1949)),F1949-H1949,""),"")</f>
        <v/>
      </c>
      <c r="J1949" s="114" t="n"/>
      <c r="K1949" s="139">
        <f>IFERROR(IF(H1949&gt;0,H1949*IF(OR(C1949="Alpha",B1949="Alpha"),$C$9,$C$8),""),"")</f>
        <v/>
      </c>
      <c r="L1949" s="139">
        <f>IFERROR(IF(ISNUMBER(F1949),F1949-IF(ISNUMBER(K1949),K1949,0),""),"")</f>
        <v/>
      </c>
    </row>
    <row r="1950" ht="24" customHeight="1" s="63">
      <c r="E1950" s="139" t="n"/>
      <c r="F1950" s="139" t="n"/>
      <c r="G1950" s="140">
        <f>IFERROR(IF(E1950&gt;0,(F1950/E1950)*1000,""),"")</f>
        <v/>
      </c>
      <c r="H1950" s="139">
        <f>IFERROR(IF(E1950&gt;0,E1950*IF(ISNUMBER(J1950),J1950,IF(OR(C1950="Alpha",B1950="Alpha"),$C$7,IF(C1950="Futures",$C$6,$C$5))),""),"")</f>
        <v/>
      </c>
      <c r="I1950" s="139">
        <f>IFERROR(IF(AND(ISNUMBER(F1950),ISNUMBER(H1950)),F1950-H1950,""),"")</f>
        <v/>
      </c>
      <c r="J1950" s="114" t="n"/>
      <c r="K1950" s="139">
        <f>IFERROR(IF(H1950&gt;0,H1950*IF(OR(C1950="Alpha",B1950="Alpha"),$C$9,$C$8),""),"")</f>
        <v/>
      </c>
      <c r="L1950" s="139">
        <f>IFERROR(IF(ISNUMBER(F1950),F1950-IF(ISNUMBER(K1950),K1950,0),""),"")</f>
        <v/>
      </c>
    </row>
    <row r="1951" ht="24" customHeight="1" s="63">
      <c r="E1951" s="139" t="n"/>
      <c r="F1951" s="139" t="n"/>
      <c r="G1951" s="140">
        <f>IFERROR(IF(E1951&gt;0,(F1951/E1951)*1000,""),"")</f>
        <v/>
      </c>
      <c r="H1951" s="139">
        <f>IFERROR(IF(E1951&gt;0,E1951*IF(ISNUMBER(J1951),J1951,IF(OR(C1951="Alpha",B1951="Alpha"),$C$7,IF(C1951="Futures",$C$6,$C$5))),""),"")</f>
        <v/>
      </c>
      <c r="I1951" s="139">
        <f>IFERROR(IF(AND(ISNUMBER(F1951),ISNUMBER(H1951)),F1951-H1951,""),"")</f>
        <v/>
      </c>
      <c r="J1951" s="114" t="n"/>
      <c r="K1951" s="139">
        <f>IFERROR(IF(H1951&gt;0,H1951*IF(OR(C1951="Alpha",B1951="Alpha"),$C$9,$C$8),""),"")</f>
        <v/>
      </c>
      <c r="L1951" s="139">
        <f>IFERROR(IF(ISNUMBER(F1951),F1951-IF(ISNUMBER(K1951),K1951,0),""),"")</f>
        <v/>
      </c>
    </row>
    <row r="1952" ht="24" customHeight="1" s="63">
      <c r="E1952" s="139" t="n"/>
      <c r="F1952" s="139" t="n"/>
      <c r="G1952" s="140">
        <f>IFERROR(IF(E1952&gt;0,(F1952/E1952)*1000,""),"")</f>
        <v/>
      </c>
      <c r="H1952" s="139">
        <f>IFERROR(IF(E1952&gt;0,E1952*IF(ISNUMBER(J1952),J1952,IF(OR(C1952="Alpha",B1952="Alpha"),$C$7,IF(C1952="Futures",$C$6,$C$5))),""),"")</f>
        <v/>
      </c>
      <c r="I1952" s="139">
        <f>IFERROR(IF(AND(ISNUMBER(F1952),ISNUMBER(H1952)),F1952-H1952,""),"")</f>
        <v/>
      </c>
      <c r="J1952" s="114" t="n"/>
      <c r="K1952" s="139">
        <f>IFERROR(IF(H1952&gt;0,H1952*IF(OR(C1952="Alpha",B1952="Alpha"),$C$9,$C$8),""),"")</f>
        <v/>
      </c>
      <c r="L1952" s="139">
        <f>IFERROR(IF(ISNUMBER(F1952),F1952-IF(ISNUMBER(K1952),K1952,0),""),"")</f>
        <v/>
      </c>
    </row>
    <row r="1953" ht="24" customHeight="1" s="63">
      <c r="E1953" s="139" t="n"/>
      <c r="F1953" s="139" t="n"/>
      <c r="G1953" s="140">
        <f>IFERROR(IF(E1953&gt;0,(F1953/E1953)*1000,""),"")</f>
        <v/>
      </c>
      <c r="H1953" s="139">
        <f>IFERROR(IF(E1953&gt;0,E1953*IF(ISNUMBER(J1953),J1953,IF(OR(C1953="Alpha",B1953="Alpha"),$C$7,IF(C1953="Futures",$C$6,$C$5))),""),"")</f>
        <v/>
      </c>
      <c r="I1953" s="139">
        <f>IFERROR(IF(AND(ISNUMBER(F1953),ISNUMBER(H1953)),F1953-H1953,""),"")</f>
        <v/>
      </c>
      <c r="J1953" s="114" t="n"/>
      <c r="K1953" s="139">
        <f>IFERROR(IF(H1953&gt;0,H1953*IF(OR(C1953="Alpha",B1953="Alpha"),$C$9,$C$8),""),"")</f>
        <v/>
      </c>
      <c r="L1953" s="139">
        <f>IFERROR(IF(ISNUMBER(F1953),F1953-IF(ISNUMBER(K1953),K1953,0),""),"")</f>
        <v/>
      </c>
    </row>
    <row r="1954" ht="24" customHeight="1" s="63">
      <c r="E1954" s="139" t="n"/>
      <c r="F1954" s="139" t="n"/>
      <c r="G1954" s="140">
        <f>IFERROR(IF(E1954&gt;0,(F1954/E1954)*1000,""),"")</f>
        <v/>
      </c>
      <c r="H1954" s="139">
        <f>IFERROR(IF(E1954&gt;0,E1954*IF(ISNUMBER(J1954),J1954,IF(OR(C1954="Alpha",B1954="Alpha"),$C$7,IF(C1954="Futures",$C$6,$C$5))),""),"")</f>
        <v/>
      </c>
      <c r="I1954" s="139">
        <f>IFERROR(IF(AND(ISNUMBER(F1954),ISNUMBER(H1954)),F1954-H1954,""),"")</f>
        <v/>
      </c>
      <c r="J1954" s="114" t="n"/>
      <c r="K1954" s="139">
        <f>IFERROR(IF(H1954&gt;0,H1954*IF(OR(C1954="Alpha",B1954="Alpha"),$C$9,$C$8),""),"")</f>
        <v/>
      </c>
      <c r="L1954" s="139">
        <f>IFERROR(IF(ISNUMBER(F1954),F1954-IF(ISNUMBER(K1954),K1954,0),""),"")</f>
        <v/>
      </c>
    </row>
    <row r="1955" ht="24" customHeight="1" s="63">
      <c r="E1955" s="139" t="n"/>
      <c r="F1955" s="139" t="n"/>
      <c r="G1955" s="140">
        <f>IFERROR(IF(E1955&gt;0,(F1955/E1955)*1000,""),"")</f>
        <v/>
      </c>
      <c r="H1955" s="139">
        <f>IFERROR(IF(E1955&gt;0,E1955*IF(ISNUMBER(J1955),J1955,IF(OR(C1955="Alpha",B1955="Alpha"),$C$7,IF(C1955="Futures",$C$6,$C$5))),""),"")</f>
        <v/>
      </c>
      <c r="I1955" s="139">
        <f>IFERROR(IF(AND(ISNUMBER(F1955),ISNUMBER(H1955)),F1955-H1955,""),"")</f>
        <v/>
      </c>
      <c r="J1955" s="114" t="n"/>
      <c r="K1955" s="139">
        <f>IFERROR(IF(H1955&gt;0,H1955*IF(OR(C1955="Alpha",B1955="Alpha"),$C$9,$C$8),""),"")</f>
        <v/>
      </c>
      <c r="L1955" s="139">
        <f>IFERROR(IF(ISNUMBER(F1955),F1955-IF(ISNUMBER(K1955),K1955,0),""),"")</f>
        <v/>
      </c>
    </row>
    <row r="1956" ht="24" customHeight="1" s="63">
      <c r="E1956" s="139" t="n"/>
      <c r="F1956" s="139" t="n"/>
      <c r="G1956" s="140">
        <f>IFERROR(IF(E1956&gt;0,(F1956/E1956)*1000,""),"")</f>
        <v/>
      </c>
      <c r="H1956" s="139">
        <f>IFERROR(IF(E1956&gt;0,E1956*IF(ISNUMBER(J1956),J1956,IF(OR(C1956="Alpha",B1956="Alpha"),$C$7,IF(C1956="Futures",$C$6,$C$5))),""),"")</f>
        <v/>
      </c>
      <c r="I1956" s="139">
        <f>IFERROR(IF(AND(ISNUMBER(F1956),ISNUMBER(H1956)),F1956-H1956,""),"")</f>
        <v/>
      </c>
      <c r="J1956" s="114" t="n"/>
      <c r="K1956" s="139">
        <f>IFERROR(IF(H1956&gt;0,H1956*IF(OR(C1956="Alpha",B1956="Alpha"),$C$9,$C$8),""),"")</f>
        <v/>
      </c>
      <c r="L1956" s="139">
        <f>IFERROR(IF(ISNUMBER(F1956),F1956-IF(ISNUMBER(K1956),K1956,0),""),"")</f>
        <v/>
      </c>
    </row>
    <row r="1957" ht="24" customHeight="1" s="63">
      <c r="E1957" s="139" t="n"/>
      <c r="F1957" s="139" t="n"/>
      <c r="G1957" s="140">
        <f>IFERROR(IF(E1957&gt;0,(F1957/E1957)*1000,""),"")</f>
        <v/>
      </c>
      <c r="H1957" s="139">
        <f>IFERROR(IF(E1957&gt;0,E1957*IF(ISNUMBER(J1957),J1957,IF(OR(C1957="Alpha",B1957="Alpha"),$C$7,IF(C1957="Futures",$C$6,$C$5))),""),"")</f>
        <v/>
      </c>
      <c r="I1957" s="139">
        <f>IFERROR(IF(AND(ISNUMBER(F1957),ISNUMBER(H1957)),F1957-H1957,""),"")</f>
        <v/>
      </c>
      <c r="J1957" s="114" t="n"/>
      <c r="K1957" s="139">
        <f>IFERROR(IF(H1957&gt;0,H1957*IF(OR(C1957="Alpha",B1957="Alpha"),$C$9,$C$8),""),"")</f>
        <v/>
      </c>
      <c r="L1957" s="139">
        <f>IFERROR(IF(ISNUMBER(F1957),F1957-IF(ISNUMBER(K1957),K1957,0),""),"")</f>
        <v/>
      </c>
    </row>
    <row r="1958" ht="24" customHeight="1" s="63">
      <c r="E1958" s="139" t="n"/>
      <c r="F1958" s="139" t="n"/>
      <c r="G1958" s="140">
        <f>IFERROR(IF(E1958&gt;0,(F1958/E1958)*1000,""),"")</f>
        <v/>
      </c>
      <c r="H1958" s="139">
        <f>IFERROR(IF(E1958&gt;0,E1958*IF(ISNUMBER(J1958),J1958,IF(OR(C1958="Alpha",B1958="Alpha"),$C$7,IF(C1958="Futures",$C$6,$C$5))),""),"")</f>
        <v/>
      </c>
      <c r="I1958" s="139">
        <f>IFERROR(IF(AND(ISNUMBER(F1958),ISNUMBER(H1958)),F1958-H1958,""),"")</f>
        <v/>
      </c>
      <c r="J1958" s="114" t="n"/>
      <c r="K1958" s="139">
        <f>IFERROR(IF(H1958&gt;0,H1958*IF(OR(C1958="Alpha",B1958="Alpha"),$C$9,$C$8),""),"")</f>
        <v/>
      </c>
      <c r="L1958" s="139">
        <f>IFERROR(IF(ISNUMBER(F1958),F1958-IF(ISNUMBER(K1958),K1958,0),""),"")</f>
        <v/>
      </c>
    </row>
    <row r="1959" ht="24" customHeight="1" s="63">
      <c r="E1959" s="139" t="n"/>
      <c r="F1959" s="139" t="n"/>
      <c r="G1959" s="140">
        <f>IFERROR(IF(E1959&gt;0,(F1959/E1959)*1000,""),"")</f>
        <v/>
      </c>
      <c r="H1959" s="139">
        <f>IFERROR(IF(E1959&gt;0,E1959*IF(ISNUMBER(J1959),J1959,IF(OR(C1959="Alpha",B1959="Alpha"),$C$7,IF(C1959="Futures",$C$6,$C$5))),""),"")</f>
        <v/>
      </c>
      <c r="I1959" s="139">
        <f>IFERROR(IF(AND(ISNUMBER(F1959),ISNUMBER(H1959)),F1959-H1959,""),"")</f>
        <v/>
      </c>
      <c r="J1959" s="114" t="n"/>
      <c r="K1959" s="139">
        <f>IFERROR(IF(H1959&gt;0,H1959*IF(OR(C1959="Alpha",B1959="Alpha"),$C$9,$C$8),""),"")</f>
        <v/>
      </c>
      <c r="L1959" s="139">
        <f>IFERROR(IF(ISNUMBER(F1959),F1959-IF(ISNUMBER(K1959),K1959,0),""),"")</f>
        <v/>
      </c>
    </row>
    <row r="1960" ht="24" customHeight="1" s="63">
      <c r="E1960" s="139" t="n"/>
      <c r="F1960" s="139" t="n"/>
      <c r="G1960" s="140">
        <f>IFERROR(IF(E1960&gt;0,(F1960/E1960)*1000,""),"")</f>
        <v/>
      </c>
      <c r="H1960" s="139">
        <f>IFERROR(IF(E1960&gt;0,E1960*IF(ISNUMBER(J1960),J1960,IF(OR(C1960="Alpha",B1960="Alpha"),$C$7,IF(C1960="Futures",$C$6,$C$5))),""),"")</f>
        <v/>
      </c>
      <c r="I1960" s="139">
        <f>IFERROR(IF(AND(ISNUMBER(F1960),ISNUMBER(H1960)),F1960-H1960,""),"")</f>
        <v/>
      </c>
      <c r="J1960" s="114" t="n"/>
      <c r="K1960" s="139">
        <f>IFERROR(IF(H1960&gt;0,H1960*IF(OR(C1960="Alpha",B1960="Alpha"),$C$9,$C$8),""),"")</f>
        <v/>
      </c>
      <c r="L1960" s="139">
        <f>IFERROR(IF(ISNUMBER(F1960),F1960-IF(ISNUMBER(K1960),K1960,0),""),"")</f>
        <v/>
      </c>
    </row>
    <row r="1961" ht="24" customHeight="1" s="63">
      <c r="E1961" s="139" t="n"/>
      <c r="F1961" s="139" t="n"/>
      <c r="G1961" s="140">
        <f>IFERROR(IF(E1961&gt;0,(F1961/E1961)*1000,""),"")</f>
        <v/>
      </c>
      <c r="H1961" s="139">
        <f>IFERROR(IF(E1961&gt;0,E1961*IF(ISNUMBER(J1961),J1961,IF(OR(C1961="Alpha",B1961="Alpha"),$C$7,IF(C1961="Futures",$C$6,$C$5))),""),"")</f>
        <v/>
      </c>
      <c r="I1961" s="139">
        <f>IFERROR(IF(AND(ISNUMBER(F1961),ISNUMBER(H1961)),F1961-H1961,""),"")</f>
        <v/>
      </c>
      <c r="J1961" s="114" t="n"/>
      <c r="K1961" s="139">
        <f>IFERROR(IF(H1961&gt;0,H1961*IF(OR(C1961="Alpha",B1961="Alpha"),$C$9,$C$8),""),"")</f>
        <v/>
      </c>
      <c r="L1961" s="139">
        <f>IFERROR(IF(ISNUMBER(F1961),F1961-IF(ISNUMBER(K1961),K1961,0),""),"")</f>
        <v/>
      </c>
    </row>
    <row r="1962" ht="24" customHeight="1" s="63">
      <c r="E1962" s="139" t="n"/>
      <c r="F1962" s="139" t="n"/>
      <c r="G1962" s="140">
        <f>IFERROR(IF(E1962&gt;0,(F1962/E1962)*1000,""),"")</f>
        <v/>
      </c>
      <c r="H1962" s="139">
        <f>IFERROR(IF(E1962&gt;0,E1962*IF(ISNUMBER(J1962),J1962,IF(OR(C1962="Alpha",B1962="Alpha"),$C$7,IF(C1962="Futures",$C$6,$C$5))),""),"")</f>
        <v/>
      </c>
      <c r="I1962" s="139">
        <f>IFERROR(IF(AND(ISNUMBER(F1962),ISNUMBER(H1962)),F1962-H1962,""),"")</f>
        <v/>
      </c>
      <c r="J1962" s="114" t="n"/>
      <c r="K1962" s="139">
        <f>IFERROR(IF(H1962&gt;0,H1962*IF(OR(C1962="Alpha",B1962="Alpha"),$C$9,$C$8),""),"")</f>
        <v/>
      </c>
      <c r="L1962" s="139">
        <f>IFERROR(IF(ISNUMBER(F1962),F1962-IF(ISNUMBER(K1962),K1962,0),""),"")</f>
        <v/>
      </c>
    </row>
    <row r="1963" ht="24" customHeight="1" s="63">
      <c r="E1963" s="139" t="n"/>
      <c r="F1963" s="139" t="n"/>
      <c r="G1963" s="140">
        <f>IFERROR(IF(E1963&gt;0,(F1963/E1963)*1000,""),"")</f>
        <v/>
      </c>
      <c r="H1963" s="139">
        <f>IFERROR(IF(E1963&gt;0,E1963*IF(ISNUMBER(J1963),J1963,IF(OR(C1963="Alpha",B1963="Alpha"),$C$7,IF(C1963="Futures",$C$6,$C$5))),""),"")</f>
        <v/>
      </c>
      <c r="I1963" s="139">
        <f>IFERROR(IF(AND(ISNUMBER(F1963),ISNUMBER(H1963)),F1963-H1963,""),"")</f>
        <v/>
      </c>
      <c r="J1963" s="114" t="n"/>
      <c r="K1963" s="139">
        <f>IFERROR(IF(H1963&gt;0,H1963*IF(OR(C1963="Alpha",B1963="Alpha"),$C$9,$C$8),""),"")</f>
        <v/>
      </c>
      <c r="L1963" s="139">
        <f>IFERROR(IF(ISNUMBER(F1963),F1963-IF(ISNUMBER(K1963),K1963,0),""),"")</f>
        <v/>
      </c>
    </row>
    <row r="1964" ht="24" customHeight="1" s="63">
      <c r="E1964" s="139" t="n"/>
      <c r="F1964" s="139" t="n"/>
      <c r="G1964" s="140">
        <f>IFERROR(IF(E1964&gt;0,(F1964/E1964)*1000,""),"")</f>
        <v/>
      </c>
      <c r="H1964" s="139">
        <f>IFERROR(IF(E1964&gt;0,E1964*IF(ISNUMBER(J1964),J1964,IF(OR(C1964="Alpha",B1964="Alpha"),$C$7,IF(C1964="Futures",$C$6,$C$5))),""),"")</f>
        <v/>
      </c>
      <c r="I1964" s="139">
        <f>IFERROR(IF(AND(ISNUMBER(F1964),ISNUMBER(H1964)),F1964-H1964,""),"")</f>
        <v/>
      </c>
      <c r="J1964" s="114" t="n"/>
      <c r="K1964" s="139">
        <f>IFERROR(IF(H1964&gt;0,H1964*IF(OR(C1964="Alpha",B1964="Alpha"),$C$9,$C$8),""),"")</f>
        <v/>
      </c>
      <c r="L1964" s="139">
        <f>IFERROR(IF(ISNUMBER(F1964),F1964-IF(ISNUMBER(K1964),K1964,0),""),"")</f>
        <v/>
      </c>
    </row>
    <row r="1965" ht="24" customHeight="1" s="63">
      <c r="E1965" s="139" t="n"/>
      <c r="F1965" s="139" t="n"/>
      <c r="G1965" s="140">
        <f>IFERROR(IF(E1965&gt;0,(F1965/E1965)*1000,""),"")</f>
        <v/>
      </c>
      <c r="H1965" s="139">
        <f>IFERROR(IF(E1965&gt;0,E1965*IF(ISNUMBER(J1965),J1965,IF(OR(C1965="Alpha",B1965="Alpha"),$C$7,IF(C1965="Futures",$C$6,$C$5))),""),"")</f>
        <v/>
      </c>
      <c r="I1965" s="139">
        <f>IFERROR(IF(AND(ISNUMBER(F1965),ISNUMBER(H1965)),F1965-H1965,""),"")</f>
        <v/>
      </c>
      <c r="J1965" s="114" t="n"/>
      <c r="K1965" s="139">
        <f>IFERROR(IF(H1965&gt;0,H1965*IF(OR(C1965="Alpha",B1965="Alpha"),$C$9,$C$8),""),"")</f>
        <v/>
      </c>
      <c r="L1965" s="139">
        <f>IFERROR(IF(ISNUMBER(F1965),F1965-IF(ISNUMBER(K1965),K1965,0),""),"")</f>
        <v/>
      </c>
    </row>
    <row r="1966" ht="24" customHeight="1" s="63">
      <c r="E1966" s="139" t="n"/>
      <c r="F1966" s="139" t="n"/>
      <c r="G1966" s="140">
        <f>IFERROR(IF(E1966&gt;0,(F1966/E1966)*1000,""),"")</f>
        <v/>
      </c>
      <c r="H1966" s="139">
        <f>IFERROR(IF(E1966&gt;0,E1966*IF(ISNUMBER(J1966),J1966,IF(OR(C1966="Alpha",B1966="Alpha"),$C$7,IF(C1966="Futures",$C$6,$C$5))),""),"")</f>
        <v/>
      </c>
      <c r="I1966" s="139">
        <f>IFERROR(IF(AND(ISNUMBER(F1966),ISNUMBER(H1966)),F1966-H1966,""),"")</f>
        <v/>
      </c>
      <c r="J1966" s="114" t="n"/>
      <c r="K1966" s="139">
        <f>IFERROR(IF(H1966&gt;0,H1966*IF(OR(C1966="Alpha",B1966="Alpha"),$C$9,$C$8),""),"")</f>
        <v/>
      </c>
      <c r="L1966" s="139">
        <f>IFERROR(IF(ISNUMBER(F1966),F1966-IF(ISNUMBER(K1966),K1966,0),""),"")</f>
        <v/>
      </c>
    </row>
    <row r="1967" ht="24" customHeight="1" s="63">
      <c r="E1967" s="139" t="n"/>
      <c r="F1967" s="139" t="n"/>
      <c r="G1967" s="140">
        <f>IFERROR(IF(E1967&gt;0,(F1967/E1967)*1000,""),"")</f>
        <v/>
      </c>
      <c r="H1967" s="139">
        <f>IFERROR(IF(E1967&gt;0,E1967*IF(ISNUMBER(J1967),J1967,IF(OR(C1967="Alpha",B1967="Alpha"),$C$7,IF(C1967="Futures",$C$6,$C$5))),""),"")</f>
        <v/>
      </c>
      <c r="I1967" s="139">
        <f>IFERROR(IF(AND(ISNUMBER(F1967),ISNUMBER(H1967)),F1967-H1967,""),"")</f>
        <v/>
      </c>
      <c r="J1967" s="114" t="n"/>
      <c r="K1967" s="139">
        <f>IFERROR(IF(H1967&gt;0,H1967*IF(OR(C1967="Alpha",B1967="Alpha"),$C$9,$C$8),""),"")</f>
        <v/>
      </c>
      <c r="L1967" s="139">
        <f>IFERROR(IF(ISNUMBER(F1967),F1967-IF(ISNUMBER(K1967),K1967,0),""),"")</f>
        <v/>
      </c>
    </row>
    <row r="1968" ht="24" customHeight="1" s="63">
      <c r="E1968" s="139" t="n"/>
      <c r="F1968" s="139" t="n"/>
      <c r="G1968" s="140">
        <f>IFERROR(IF(E1968&gt;0,(F1968/E1968)*1000,""),"")</f>
        <v/>
      </c>
      <c r="H1968" s="139">
        <f>IFERROR(IF(E1968&gt;0,E1968*IF(ISNUMBER(J1968),J1968,IF(OR(C1968="Alpha",B1968="Alpha"),$C$7,IF(C1968="Futures",$C$6,$C$5))),""),"")</f>
        <v/>
      </c>
      <c r="I1968" s="139">
        <f>IFERROR(IF(AND(ISNUMBER(F1968),ISNUMBER(H1968)),F1968-H1968,""),"")</f>
        <v/>
      </c>
      <c r="J1968" s="114" t="n"/>
      <c r="K1968" s="139">
        <f>IFERROR(IF(H1968&gt;0,H1968*IF(OR(C1968="Alpha",B1968="Alpha"),$C$9,$C$8),""),"")</f>
        <v/>
      </c>
      <c r="L1968" s="139">
        <f>IFERROR(IF(ISNUMBER(F1968),F1968-IF(ISNUMBER(K1968),K1968,0),""),"")</f>
        <v/>
      </c>
    </row>
    <row r="1969" ht="24" customHeight="1" s="63">
      <c r="E1969" s="139" t="n"/>
      <c r="F1969" s="139" t="n"/>
      <c r="G1969" s="140">
        <f>IFERROR(IF(E1969&gt;0,(F1969/E1969)*1000,""),"")</f>
        <v/>
      </c>
      <c r="H1969" s="139">
        <f>IFERROR(IF(E1969&gt;0,E1969*IF(ISNUMBER(J1969),J1969,IF(OR(C1969="Alpha",B1969="Alpha"),$C$7,IF(C1969="Futures",$C$6,$C$5))),""),"")</f>
        <v/>
      </c>
      <c r="I1969" s="139">
        <f>IFERROR(IF(AND(ISNUMBER(F1969),ISNUMBER(H1969)),F1969-H1969,""),"")</f>
        <v/>
      </c>
      <c r="J1969" s="114" t="n"/>
      <c r="K1969" s="139">
        <f>IFERROR(IF(H1969&gt;0,H1969*IF(OR(C1969="Alpha",B1969="Alpha"),$C$9,$C$8),""),"")</f>
        <v/>
      </c>
      <c r="L1969" s="139">
        <f>IFERROR(IF(ISNUMBER(F1969),F1969-IF(ISNUMBER(K1969),K1969,0),""),"")</f>
        <v/>
      </c>
    </row>
    <row r="1970" ht="24" customHeight="1" s="63">
      <c r="E1970" s="139" t="n"/>
      <c r="F1970" s="139" t="n"/>
      <c r="G1970" s="140">
        <f>IFERROR(IF(E1970&gt;0,(F1970/E1970)*1000,""),"")</f>
        <v/>
      </c>
      <c r="H1970" s="139">
        <f>IFERROR(IF(E1970&gt;0,E1970*IF(ISNUMBER(J1970),J1970,IF(OR(C1970="Alpha",B1970="Alpha"),$C$7,IF(C1970="Futures",$C$6,$C$5))),""),"")</f>
        <v/>
      </c>
      <c r="I1970" s="139">
        <f>IFERROR(IF(AND(ISNUMBER(F1970),ISNUMBER(H1970)),F1970-H1970,""),"")</f>
        <v/>
      </c>
      <c r="J1970" s="114" t="n"/>
      <c r="K1970" s="139">
        <f>IFERROR(IF(H1970&gt;0,H1970*IF(OR(C1970="Alpha",B1970="Alpha"),$C$9,$C$8),""),"")</f>
        <v/>
      </c>
      <c r="L1970" s="139">
        <f>IFERROR(IF(ISNUMBER(F1970),F1970-IF(ISNUMBER(K1970),K1970,0),""),"")</f>
        <v/>
      </c>
    </row>
    <row r="1971" ht="24" customHeight="1" s="63">
      <c r="E1971" s="139" t="n"/>
      <c r="F1971" s="139" t="n"/>
      <c r="G1971" s="140">
        <f>IFERROR(IF(E1971&gt;0,(F1971/E1971)*1000,""),"")</f>
        <v/>
      </c>
      <c r="H1971" s="139">
        <f>IFERROR(IF(E1971&gt;0,E1971*IF(ISNUMBER(J1971),J1971,IF(OR(C1971="Alpha",B1971="Alpha"),$C$7,IF(C1971="Futures",$C$6,$C$5))),""),"")</f>
        <v/>
      </c>
      <c r="I1971" s="139">
        <f>IFERROR(IF(AND(ISNUMBER(F1971),ISNUMBER(H1971)),F1971-H1971,""),"")</f>
        <v/>
      </c>
      <c r="J1971" s="114" t="n"/>
      <c r="K1971" s="139">
        <f>IFERROR(IF(H1971&gt;0,H1971*IF(OR(C1971="Alpha",B1971="Alpha"),$C$9,$C$8),""),"")</f>
        <v/>
      </c>
      <c r="L1971" s="139">
        <f>IFERROR(IF(ISNUMBER(F1971),F1971-IF(ISNUMBER(K1971),K1971,0),""),"")</f>
        <v/>
      </c>
    </row>
    <row r="1972" ht="24" customHeight="1" s="63">
      <c r="E1972" s="139" t="n"/>
      <c r="F1972" s="139" t="n"/>
      <c r="G1972" s="140">
        <f>IFERROR(IF(E1972&gt;0,(F1972/E1972)*1000,""),"")</f>
        <v/>
      </c>
      <c r="H1972" s="139">
        <f>IFERROR(IF(E1972&gt;0,E1972*IF(ISNUMBER(J1972),J1972,IF(OR(C1972="Alpha",B1972="Alpha"),$C$7,IF(C1972="Futures",$C$6,$C$5))),""),"")</f>
        <v/>
      </c>
      <c r="I1972" s="139">
        <f>IFERROR(IF(AND(ISNUMBER(F1972),ISNUMBER(H1972)),F1972-H1972,""),"")</f>
        <v/>
      </c>
      <c r="J1972" s="114" t="n"/>
      <c r="K1972" s="139">
        <f>IFERROR(IF(H1972&gt;0,H1972*IF(OR(C1972="Alpha",B1972="Alpha"),$C$9,$C$8),""),"")</f>
        <v/>
      </c>
      <c r="L1972" s="139">
        <f>IFERROR(IF(ISNUMBER(F1972),F1972-IF(ISNUMBER(K1972),K1972,0),""),"")</f>
        <v/>
      </c>
    </row>
    <row r="1973" ht="24" customHeight="1" s="63">
      <c r="E1973" s="139" t="n"/>
      <c r="F1973" s="139" t="n"/>
      <c r="G1973" s="140">
        <f>IFERROR(IF(E1973&gt;0,(F1973/E1973)*1000,""),"")</f>
        <v/>
      </c>
      <c r="H1973" s="139">
        <f>IFERROR(IF(E1973&gt;0,E1973*IF(ISNUMBER(J1973),J1973,IF(OR(C1973="Alpha",B1973="Alpha"),$C$7,IF(C1973="Futures",$C$6,$C$5))),""),"")</f>
        <v/>
      </c>
      <c r="I1973" s="139">
        <f>IFERROR(IF(AND(ISNUMBER(F1973),ISNUMBER(H1973)),F1973-H1973,""),"")</f>
        <v/>
      </c>
      <c r="J1973" s="114" t="n"/>
      <c r="K1973" s="139">
        <f>IFERROR(IF(H1973&gt;0,H1973*IF(OR(C1973="Alpha",B1973="Alpha"),$C$9,$C$8),""),"")</f>
        <v/>
      </c>
      <c r="L1973" s="139">
        <f>IFERROR(IF(ISNUMBER(F1973),F1973-IF(ISNUMBER(K1973),K1973,0),""),"")</f>
        <v/>
      </c>
    </row>
    <row r="1974" ht="24" customHeight="1" s="63">
      <c r="E1974" s="139" t="n"/>
      <c r="F1974" s="139" t="n"/>
      <c r="G1974" s="140">
        <f>IFERROR(IF(E1974&gt;0,(F1974/E1974)*1000,""),"")</f>
        <v/>
      </c>
      <c r="H1974" s="139">
        <f>IFERROR(IF(E1974&gt;0,E1974*IF(ISNUMBER(J1974),J1974,IF(OR(C1974="Alpha",B1974="Alpha"),$C$7,IF(C1974="Futures",$C$6,$C$5))),""),"")</f>
        <v/>
      </c>
      <c r="I1974" s="139">
        <f>IFERROR(IF(AND(ISNUMBER(F1974),ISNUMBER(H1974)),F1974-H1974,""),"")</f>
        <v/>
      </c>
      <c r="J1974" s="114" t="n"/>
      <c r="K1974" s="139">
        <f>IFERROR(IF(H1974&gt;0,H1974*IF(OR(C1974="Alpha",B1974="Alpha"),$C$9,$C$8),""),"")</f>
        <v/>
      </c>
      <c r="L1974" s="139">
        <f>IFERROR(IF(ISNUMBER(F1974),F1974-IF(ISNUMBER(K1974),K1974,0),""),"")</f>
        <v/>
      </c>
    </row>
    <row r="1975" ht="24" customHeight="1" s="63">
      <c r="E1975" s="139" t="n"/>
      <c r="F1975" s="139" t="n"/>
      <c r="G1975" s="140">
        <f>IFERROR(IF(E1975&gt;0,(F1975/E1975)*1000,""),"")</f>
        <v/>
      </c>
      <c r="H1975" s="139">
        <f>IFERROR(IF(E1975&gt;0,E1975*IF(ISNUMBER(J1975),J1975,IF(OR(C1975="Alpha",B1975="Alpha"),$C$7,IF(C1975="Futures",$C$6,$C$5))),""),"")</f>
        <v/>
      </c>
      <c r="I1975" s="139">
        <f>IFERROR(IF(AND(ISNUMBER(F1975),ISNUMBER(H1975)),F1975-H1975,""),"")</f>
        <v/>
      </c>
      <c r="J1975" s="114" t="n"/>
      <c r="K1975" s="139">
        <f>IFERROR(IF(H1975&gt;0,H1975*IF(OR(C1975="Alpha",B1975="Alpha"),$C$9,$C$8),""),"")</f>
        <v/>
      </c>
      <c r="L1975" s="139">
        <f>IFERROR(IF(ISNUMBER(F1975),F1975-IF(ISNUMBER(K1975),K1975,0),""),"")</f>
        <v/>
      </c>
    </row>
    <row r="1976" ht="24" customHeight="1" s="63">
      <c r="E1976" s="139" t="n"/>
      <c r="F1976" s="139" t="n"/>
      <c r="G1976" s="140">
        <f>IFERROR(IF(E1976&gt;0,(F1976/E1976)*1000,""),"")</f>
        <v/>
      </c>
      <c r="H1976" s="139">
        <f>IFERROR(IF(E1976&gt;0,E1976*IF(ISNUMBER(J1976),J1976,IF(OR(C1976="Alpha",B1976="Alpha"),$C$7,IF(C1976="Futures",$C$6,$C$5))),""),"")</f>
        <v/>
      </c>
      <c r="I1976" s="139">
        <f>IFERROR(IF(AND(ISNUMBER(F1976),ISNUMBER(H1976)),F1976-H1976,""),"")</f>
        <v/>
      </c>
      <c r="J1976" s="114" t="n"/>
      <c r="K1976" s="139">
        <f>IFERROR(IF(H1976&gt;0,H1976*IF(OR(C1976="Alpha",B1976="Alpha"),$C$9,$C$8),""),"")</f>
        <v/>
      </c>
      <c r="L1976" s="139">
        <f>IFERROR(IF(ISNUMBER(F1976),F1976-IF(ISNUMBER(K1976),K1976,0),""),"")</f>
        <v/>
      </c>
    </row>
    <row r="1977" ht="24" customHeight="1" s="63">
      <c r="E1977" s="139" t="n"/>
      <c r="F1977" s="139" t="n"/>
      <c r="G1977" s="140">
        <f>IFERROR(IF(E1977&gt;0,(F1977/E1977)*1000,""),"")</f>
        <v/>
      </c>
      <c r="H1977" s="139">
        <f>IFERROR(IF(E1977&gt;0,E1977*IF(ISNUMBER(J1977),J1977,IF(OR(C1977="Alpha",B1977="Alpha"),$C$7,IF(C1977="Futures",$C$6,$C$5))),""),"")</f>
        <v/>
      </c>
      <c r="I1977" s="139">
        <f>IFERROR(IF(AND(ISNUMBER(F1977),ISNUMBER(H1977)),F1977-H1977,""),"")</f>
        <v/>
      </c>
      <c r="J1977" s="114" t="n"/>
      <c r="K1977" s="139">
        <f>IFERROR(IF(H1977&gt;0,H1977*IF(OR(C1977="Alpha",B1977="Alpha"),$C$9,$C$8),""),"")</f>
        <v/>
      </c>
      <c r="L1977" s="139">
        <f>IFERROR(IF(ISNUMBER(F1977),F1977-IF(ISNUMBER(K1977),K1977,0),""),"")</f>
        <v/>
      </c>
    </row>
    <row r="1978" ht="24" customHeight="1" s="63">
      <c r="E1978" s="139" t="n"/>
      <c r="F1978" s="139" t="n"/>
      <c r="G1978" s="140">
        <f>IFERROR(IF(E1978&gt;0,(F1978/E1978)*1000,""),"")</f>
        <v/>
      </c>
      <c r="H1978" s="139">
        <f>IFERROR(IF(E1978&gt;0,E1978*IF(ISNUMBER(J1978),J1978,IF(OR(C1978="Alpha",B1978="Alpha"),$C$7,IF(C1978="Futures",$C$6,$C$5))),""),"")</f>
        <v/>
      </c>
      <c r="I1978" s="139">
        <f>IFERROR(IF(AND(ISNUMBER(F1978),ISNUMBER(H1978)),F1978-H1978,""),"")</f>
        <v/>
      </c>
      <c r="J1978" s="114" t="n"/>
      <c r="K1978" s="139">
        <f>IFERROR(IF(H1978&gt;0,H1978*IF(OR(C1978="Alpha",B1978="Alpha"),$C$9,$C$8),""),"")</f>
        <v/>
      </c>
      <c r="L1978" s="139">
        <f>IFERROR(IF(ISNUMBER(F1978),F1978-IF(ISNUMBER(K1978),K1978,0),""),"")</f>
        <v/>
      </c>
    </row>
    <row r="1979" ht="24" customHeight="1" s="63">
      <c r="E1979" s="139" t="n"/>
      <c r="F1979" s="139" t="n"/>
      <c r="G1979" s="140">
        <f>IFERROR(IF(E1979&gt;0,(F1979/E1979)*1000,""),"")</f>
        <v/>
      </c>
      <c r="H1979" s="139">
        <f>IFERROR(IF(E1979&gt;0,E1979*IF(ISNUMBER(J1979),J1979,IF(OR(C1979="Alpha",B1979="Alpha"),$C$7,IF(C1979="Futures",$C$6,$C$5))),""),"")</f>
        <v/>
      </c>
      <c r="I1979" s="139">
        <f>IFERROR(IF(AND(ISNUMBER(F1979),ISNUMBER(H1979)),F1979-H1979,""),"")</f>
        <v/>
      </c>
      <c r="J1979" s="114" t="n"/>
      <c r="K1979" s="139">
        <f>IFERROR(IF(H1979&gt;0,H1979*IF(OR(C1979="Alpha",B1979="Alpha"),$C$9,$C$8),""),"")</f>
        <v/>
      </c>
      <c r="L1979" s="139">
        <f>IFERROR(IF(ISNUMBER(F1979),F1979-IF(ISNUMBER(K1979),K1979,0),""),"")</f>
        <v/>
      </c>
    </row>
    <row r="1980" ht="24" customHeight="1" s="63">
      <c r="E1980" s="139" t="n"/>
      <c r="F1980" s="139" t="n"/>
      <c r="G1980" s="140">
        <f>IFERROR(IF(E1980&gt;0,(F1980/E1980)*1000,""),"")</f>
        <v/>
      </c>
      <c r="H1980" s="139">
        <f>IFERROR(IF(E1980&gt;0,E1980*IF(ISNUMBER(J1980),J1980,IF(OR(C1980="Alpha",B1980="Alpha"),$C$7,IF(C1980="Futures",$C$6,$C$5))),""),"")</f>
        <v/>
      </c>
      <c r="I1980" s="139">
        <f>IFERROR(IF(AND(ISNUMBER(F1980),ISNUMBER(H1980)),F1980-H1980,""),"")</f>
        <v/>
      </c>
      <c r="J1980" s="114" t="n"/>
      <c r="K1980" s="139">
        <f>IFERROR(IF(H1980&gt;0,H1980*IF(OR(C1980="Alpha",B1980="Alpha"),$C$9,$C$8),""),"")</f>
        <v/>
      </c>
      <c r="L1980" s="139">
        <f>IFERROR(IF(ISNUMBER(F1980),F1980-IF(ISNUMBER(K1980),K1980,0),""),"")</f>
        <v/>
      </c>
    </row>
    <row r="1981" ht="24" customHeight="1" s="63">
      <c r="E1981" s="139" t="n"/>
      <c r="F1981" s="139" t="n"/>
      <c r="G1981" s="140">
        <f>IFERROR(IF(E1981&gt;0,(F1981/E1981)*1000,""),"")</f>
        <v/>
      </c>
      <c r="H1981" s="139">
        <f>IFERROR(IF(E1981&gt;0,E1981*IF(ISNUMBER(J1981),J1981,IF(OR(C1981="Alpha",B1981="Alpha"),$C$7,IF(C1981="Futures",$C$6,$C$5))),""),"")</f>
        <v/>
      </c>
      <c r="I1981" s="139">
        <f>IFERROR(IF(AND(ISNUMBER(F1981),ISNUMBER(H1981)),F1981-H1981,""),"")</f>
        <v/>
      </c>
      <c r="J1981" s="114" t="n"/>
      <c r="K1981" s="139">
        <f>IFERROR(IF(H1981&gt;0,H1981*IF(OR(C1981="Alpha",B1981="Alpha"),$C$9,$C$8),""),"")</f>
        <v/>
      </c>
      <c r="L1981" s="139">
        <f>IFERROR(IF(ISNUMBER(F1981),F1981-IF(ISNUMBER(K1981),K1981,0),""),"")</f>
        <v/>
      </c>
    </row>
    <row r="1982" ht="24" customHeight="1" s="63">
      <c r="E1982" s="139" t="n"/>
      <c r="F1982" s="139" t="n"/>
      <c r="G1982" s="140">
        <f>IFERROR(IF(E1982&gt;0,(F1982/E1982)*1000,""),"")</f>
        <v/>
      </c>
      <c r="H1982" s="139">
        <f>IFERROR(IF(E1982&gt;0,E1982*IF(ISNUMBER(J1982),J1982,IF(OR(C1982="Alpha",B1982="Alpha"),$C$7,IF(C1982="Futures",$C$6,$C$5))),""),"")</f>
        <v/>
      </c>
      <c r="I1982" s="139">
        <f>IFERROR(IF(AND(ISNUMBER(F1982),ISNUMBER(H1982)),F1982-H1982,""),"")</f>
        <v/>
      </c>
      <c r="J1982" s="114" t="n"/>
      <c r="K1982" s="139">
        <f>IFERROR(IF(H1982&gt;0,H1982*IF(OR(C1982="Alpha",B1982="Alpha"),$C$9,$C$8),""),"")</f>
        <v/>
      </c>
      <c r="L1982" s="139">
        <f>IFERROR(IF(ISNUMBER(F1982),F1982-IF(ISNUMBER(K1982),K1982,0),""),"")</f>
        <v/>
      </c>
    </row>
    <row r="1983" ht="24" customHeight="1" s="63">
      <c r="E1983" s="139" t="n"/>
      <c r="F1983" s="139" t="n"/>
      <c r="G1983" s="140">
        <f>IFERROR(IF(E1983&gt;0,(F1983/E1983)*1000,""),"")</f>
        <v/>
      </c>
      <c r="H1983" s="139">
        <f>IFERROR(IF(E1983&gt;0,E1983*IF(ISNUMBER(J1983),J1983,IF(OR(C1983="Alpha",B1983="Alpha"),$C$7,IF(C1983="Futures",$C$6,$C$5))),""),"")</f>
        <v/>
      </c>
      <c r="I1983" s="139">
        <f>IFERROR(IF(AND(ISNUMBER(F1983),ISNUMBER(H1983)),F1983-H1983,""),"")</f>
        <v/>
      </c>
      <c r="J1983" s="114" t="n"/>
      <c r="K1983" s="139">
        <f>IFERROR(IF(H1983&gt;0,H1983*IF(OR(C1983="Alpha",B1983="Alpha"),$C$9,$C$8),""),"")</f>
        <v/>
      </c>
      <c r="L1983" s="139">
        <f>IFERROR(IF(ISNUMBER(F1983),F1983-IF(ISNUMBER(K1983),K1983,0),""),"")</f>
        <v/>
      </c>
    </row>
    <row r="1984" ht="24" customHeight="1" s="63">
      <c r="E1984" s="139" t="n"/>
      <c r="F1984" s="139" t="n"/>
      <c r="G1984" s="140">
        <f>IFERROR(IF(E1984&gt;0,(F1984/E1984)*1000,""),"")</f>
        <v/>
      </c>
      <c r="H1984" s="139">
        <f>IFERROR(IF(E1984&gt;0,E1984*IF(ISNUMBER(J1984),J1984,IF(OR(C1984="Alpha",B1984="Alpha"),$C$7,IF(C1984="Futures",$C$6,$C$5))),""),"")</f>
        <v/>
      </c>
      <c r="I1984" s="139">
        <f>IFERROR(IF(AND(ISNUMBER(F1984),ISNUMBER(H1984)),F1984-H1984,""),"")</f>
        <v/>
      </c>
      <c r="J1984" s="114" t="n"/>
      <c r="K1984" s="139">
        <f>IFERROR(IF(H1984&gt;0,H1984*IF(OR(C1984="Alpha",B1984="Alpha"),$C$9,$C$8),""),"")</f>
        <v/>
      </c>
      <c r="L1984" s="139">
        <f>IFERROR(IF(ISNUMBER(F1984),F1984-IF(ISNUMBER(K1984),K1984,0),""),"")</f>
        <v/>
      </c>
    </row>
    <row r="1985" ht="24" customHeight="1" s="63">
      <c r="E1985" s="139" t="n"/>
      <c r="F1985" s="139" t="n"/>
      <c r="G1985" s="140">
        <f>IFERROR(IF(E1985&gt;0,(F1985/E1985)*1000,""),"")</f>
        <v/>
      </c>
      <c r="H1985" s="139">
        <f>IFERROR(IF(E1985&gt;0,E1985*IF(ISNUMBER(J1985),J1985,IF(OR(C1985="Alpha",B1985="Alpha"),$C$7,IF(C1985="Futures",$C$6,$C$5))),""),"")</f>
        <v/>
      </c>
      <c r="I1985" s="139">
        <f>IFERROR(IF(AND(ISNUMBER(F1985),ISNUMBER(H1985)),F1985-H1985,""),"")</f>
        <v/>
      </c>
      <c r="J1985" s="114" t="n"/>
      <c r="K1985" s="139">
        <f>IFERROR(IF(H1985&gt;0,H1985*IF(OR(C1985="Alpha",B1985="Alpha"),$C$9,$C$8),""),"")</f>
        <v/>
      </c>
      <c r="L1985" s="139">
        <f>IFERROR(IF(ISNUMBER(F1985),F1985-IF(ISNUMBER(K1985),K1985,0),""),"")</f>
        <v/>
      </c>
    </row>
    <row r="1986" ht="24" customHeight="1" s="63">
      <c r="E1986" s="139" t="n"/>
      <c r="F1986" s="139" t="n"/>
      <c r="G1986" s="140">
        <f>IFERROR(IF(E1986&gt;0,(F1986/E1986)*1000,""),"")</f>
        <v/>
      </c>
      <c r="H1986" s="139">
        <f>IFERROR(IF(E1986&gt;0,E1986*IF(ISNUMBER(J1986),J1986,IF(OR(C1986="Alpha",B1986="Alpha"),$C$7,IF(C1986="Futures",$C$6,$C$5))),""),"")</f>
        <v/>
      </c>
      <c r="I1986" s="139">
        <f>IFERROR(IF(AND(ISNUMBER(F1986),ISNUMBER(H1986)),F1986-H1986,""),"")</f>
        <v/>
      </c>
      <c r="J1986" s="114" t="n"/>
      <c r="K1986" s="139">
        <f>IFERROR(IF(H1986&gt;0,H1986*IF(OR(C1986="Alpha",B1986="Alpha"),$C$9,$C$8),""),"")</f>
        <v/>
      </c>
      <c r="L1986" s="139">
        <f>IFERROR(IF(ISNUMBER(F1986),F1986-IF(ISNUMBER(K1986),K1986,0),""),"")</f>
        <v/>
      </c>
    </row>
    <row r="1987" ht="24" customHeight="1" s="63">
      <c r="E1987" s="139" t="n"/>
      <c r="F1987" s="139" t="n"/>
      <c r="G1987" s="140">
        <f>IFERROR(IF(E1987&gt;0,(F1987/E1987)*1000,""),"")</f>
        <v/>
      </c>
      <c r="H1987" s="139">
        <f>IFERROR(IF(E1987&gt;0,E1987*IF(ISNUMBER(J1987),J1987,IF(OR(C1987="Alpha",B1987="Alpha"),$C$7,IF(C1987="Futures",$C$6,$C$5))),""),"")</f>
        <v/>
      </c>
      <c r="I1987" s="139">
        <f>IFERROR(IF(AND(ISNUMBER(F1987),ISNUMBER(H1987)),F1987-H1987,""),"")</f>
        <v/>
      </c>
      <c r="J1987" s="114" t="n"/>
      <c r="K1987" s="139">
        <f>IFERROR(IF(H1987&gt;0,H1987*IF(OR(C1987="Alpha",B1987="Alpha"),$C$9,$C$8),""),"")</f>
        <v/>
      </c>
      <c r="L1987" s="139">
        <f>IFERROR(IF(ISNUMBER(F1987),F1987-IF(ISNUMBER(K1987),K1987,0),""),"")</f>
        <v/>
      </c>
    </row>
    <row r="1988" ht="24" customHeight="1" s="63">
      <c r="E1988" s="139" t="n"/>
      <c r="F1988" s="139" t="n"/>
      <c r="G1988" s="140">
        <f>IFERROR(IF(E1988&gt;0,(F1988/E1988)*1000,""),"")</f>
        <v/>
      </c>
      <c r="H1988" s="139">
        <f>IFERROR(IF(E1988&gt;0,E1988*IF(ISNUMBER(J1988),J1988,IF(OR(C1988="Alpha",B1988="Alpha"),$C$7,IF(C1988="Futures",$C$6,$C$5))),""),"")</f>
        <v/>
      </c>
      <c r="I1988" s="139">
        <f>IFERROR(IF(AND(ISNUMBER(F1988),ISNUMBER(H1988)),F1988-H1988,""),"")</f>
        <v/>
      </c>
      <c r="J1988" s="114" t="n"/>
      <c r="K1988" s="139">
        <f>IFERROR(IF(H1988&gt;0,H1988*IF(OR(C1988="Alpha",B1988="Alpha"),$C$9,$C$8),""),"")</f>
        <v/>
      </c>
      <c r="L1988" s="139">
        <f>IFERROR(IF(ISNUMBER(F1988),F1988-IF(ISNUMBER(K1988),K1988,0),""),"")</f>
        <v/>
      </c>
    </row>
    <row r="1989" ht="24" customHeight="1" s="63">
      <c r="E1989" s="139" t="n"/>
      <c r="F1989" s="139" t="n"/>
      <c r="G1989" s="140">
        <f>IFERROR(IF(E1989&gt;0,(F1989/E1989)*1000,""),"")</f>
        <v/>
      </c>
      <c r="H1989" s="139">
        <f>IFERROR(IF(E1989&gt;0,E1989*IF(ISNUMBER(J1989),J1989,IF(OR(C1989="Alpha",B1989="Alpha"),$C$7,IF(C1989="Futures",$C$6,$C$5))),""),"")</f>
        <v/>
      </c>
      <c r="I1989" s="139">
        <f>IFERROR(IF(AND(ISNUMBER(F1989),ISNUMBER(H1989)),F1989-H1989,""),"")</f>
        <v/>
      </c>
      <c r="J1989" s="114" t="n"/>
      <c r="K1989" s="139">
        <f>IFERROR(IF(H1989&gt;0,H1989*IF(OR(C1989="Alpha",B1989="Alpha"),$C$9,$C$8),""),"")</f>
        <v/>
      </c>
      <c r="L1989" s="139">
        <f>IFERROR(IF(ISNUMBER(F1989),F1989-IF(ISNUMBER(K1989),K1989,0),""),"")</f>
        <v/>
      </c>
    </row>
    <row r="1990" ht="24" customHeight="1" s="63">
      <c r="E1990" s="139" t="n"/>
      <c r="F1990" s="139" t="n"/>
      <c r="G1990" s="140">
        <f>IFERROR(IF(E1990&gt;0,(F1990/E1990)*1000,""),"")</f>
        <v/>
      </c>
      <c r="H1990" s="139">
        <f>IFERROR(IF(E1990&gt;0,E1990*IF(ISNUMBER(J1990),J1990,IF(OR(C1990="Alpha",B1990="Alpha"),$C$7,IF(C1990="Futures",$C$6,$C$5))),""),"")</f>
        <v/>
      </c>
      <c r="I1990" s="139">
        <f>IFERROR(IF(AND(ISNUMBER(F1990),ISNUMBER(H1990)),F1990-H1990,""),"")</f>
        <v/>
      </c>
      <c r="J1990" s="114" t="n"/>
      <c r="K1990" s="139">
        <f>IFERROR(IF(H1990&gt;0,H1990*IF(OR(C1990="Alpha",B1990="Alpha"),$C$9,$C$8),""),"")</f>
        <v/>
      </c>
      <c r="L1990" s="139">
        <f>IFERROR(IF(ISNUMBER(F1990),F1990-IF(ISNUMBER(K1990),K1990,0),""),"")</f>
        <v/>
      </c>
    </row>
    <row r="1991" ht="24" customHeight="1" s="63">
      <c r="E1991" s="139" t="n"/>
      <c r="F1991" s="139" t="n"/>
      <c r="G1991" s="140">
        <f>IFERROR(IF(E1991&gt;0,(F1991/E1991)*1000,""),"")</f>
        <v/>
      </c>
      <c r="H1991" s="139">
        <f>IFERROR(IF(E1991&gt;0,E1991*IF(ISNUMBER(J1991),J1991,IF(OR(C1991="Alpha",B1991="Alpha"),$C$7,IF(C1991="Futures",$C$6,$C$5))),""),"")</f>
        <v/>
      </c>
      <c r="I1991" s="139">
        <f>IFERROR(IF(AND(ISNUMBER(F1991),ISNUMBER(H1991)),F1991-H1991,""),"")</f>
        <v/>
      </c>
      <c r="J1991" s="114" t="n"/>
      <c r="K1991" s="139">
        <f>IFERROR(IF(H1991&gt;0,H1991*IF(OR(C1991="Alpha",B1991="Alpha"),$C$9,$C$8),""),"")</f>
        <v/>
      </c>
      <c r="L1991" s="139">
        <f>IFERROR(IF(ISNUMBER(F1991),F1991-IF(ISNUMBER(K1991),K1991,0),""),"")</f>
        <v/>
      </c>
    </row>
    <row r="1992" ht="24" customHeight="1" s="63">
      <c r="E1992" s="139" t="n"/>
      <c r="F1992" s="139" t="n"/>
      <c r="G1992" s="140">
        <f>IFERROR(IF(E1992&gt;0,(F1992/E1992)*1000,""),"")</f>
        <v/>
      </c>
      <c r="H1992" s="139">
        <f>IFERROR(IF(E1992&gt;0,E1992*IF(ISNUMBER(J1992),J1992,IF(OR(C1992="Alpha",B1992="Alpha"),$C$7,IF(C1992="Futures",$C$6,$C$5))),""),"")</f>
        <v/>
      </c>
      <c r="I1992" s="139">
        <f>IFERROR(IF(AND(ISNUMBER(F1992),ISNUMBER(H1992)),F1992-H1992,""),"")</f>
        <v/>
      </c>
      <c r="J1992" s="114" t="n"/>
      <c r="K1992" s="139">
        <f>IFERROR(IF(H1992&gt;0,H1992*IF(OR(C1992="Alpha",B1992="Alpha"),$C$9,$C$8),""),"")</f>
        <v/>
      </c>
      <c r="L1992" s="139">
        <f>IFERROR(IF(ISNUMBER(F1992),F1992-IF(ISNUMBER(K1992),K1992,0),""),"")</f>
        <v/>
      </c>
    </row>
    <row r="1993" ht="24" customHeight="1" s="63">
      <c r="E1993" s="139" t="n"/>
      <c r="F1993" s="139" t="n"/>
      <c r="G1993" s="140">
        <f>IFERROR(IF(E1993&gt;0,(F1993/E1993)*1000,""),"")</f>
        <v/>
      </c>
      <c r="H1993" s="139">
        <f>IFERROR(IF(E1993&gt;0,E1993*IF(ISNUMBER(J1993),J1993,IF(OR(C1993="Alpha",B1993="Alpha"),$C$7,IF(C1993="Futures",$C$6,$C$5))),""),"")</f>
        <v/>
      </c>
      <c r="I1993" s="139">
        <f>IFERROR(IF(AND(ISNUMBER(F1993),ISNUMBER(H1993)),F1993-H1993,""),"")</f>
        <v/>
      </c>
      <c r="J1993" s="114" t="n"/>
      <c r="K1993" s="139">
        <f>IFERROR(IF(H1993&gt;0,H1993*IF(OR(C1993="Alpha",B1993="Alpha"),$C$9,$C$8),""),"")</f>
        <v/>
      </c>
      <c r="L1993" s="139">
        <f>IFERROR(IF(ISNUMBER(F1993),F1993-IF(ISNUMBER(K1993),K1993,0),""),"")</f>
        <v/>
      </c>
    </row>
    <row r="1994" ht="24" customHeight="1" s="63">
      <c r="E1994" s="139" t="n"/>
      <c r="F1994" s="139" t="n"/>
      <c r="G1994" s="140">
        <f>IFERROR(IF(E1994&gt;0,(F1994/E1994)*1000,""),"")</f>
        <v/>
      </c>
      <c r="H1994" s="139">
        <f>IFERROR(IF(E1994&gt;0,E1994*IF(ISNUMBER(J1994),J1994,IF(OR(C1994="Alpha",B1994="Alpha"),$C$7,IF(C1994="Futures",$C$6,$C$5))),""),"")</f>
        <v/>
      </c>
      <c r="I1994" s="139">
        <f>IFERROR(IF(AND(ISNUMBER(F1994),ISNUMBER(H1994)),F1994-H1994,""),"")</f>
        <v/>
      </c>
      <c r="J1994" s="114" t="n"/>
      <c r="K1994" s="139">
        <f>IFERROR(IF(H1994&gt;0,H1994*IF(OR(C1994="Alpha",B1994="Alpha"),$C$9,$C$8),""),"")</f>
        <v/>
      </c>
      <c r="L1994" s="139">
        <f>IFERROR(IF(ISNUMBER(F1994),F1994-IF(ISNUMBER(K1994),K1994,0),""),"")</f>
        <v/>
      </c>
    </row>
    <row r="1995" ht="24" customHeight="1" s="63">
      <c r="E1995" s="139" t="n"/>
      <c r="F1995" s="139" t="n"/>
      <c r="G1995" s="140">
        <f>IFERROR(IF(E1995&gt;0,(F1995/E1995)*1000,""),"")</f>
        <v/>
      </c>
      <c r="H1995" s="139">
        <f>IFERROR(IF(E1995&gt;0,E1995*IF(ISNUMBER(J1995),J1995,IF(OR(C1995="Alpha",B1995="Alpha"),$C$7,IF(C1995="Futures",$C$6,$C$5))),""),"")</f>
        <v/>
      </c>
      <c r="I1995" s="139">
        <f>IFERROR(IF(AND(ISNUMBER(F1995),ISNUMBER(H1995)),F1995-H1995,""),"")</f>
        <v/>
      </c>
      <c r="J1995" s="114" t="n"/>
      <c r="K1995" s="139">
        <f>IFERROR(IF(H1995&gt;0,H1995*IF(OR(C1995="Alpha",B1995="Alpha"),$C$9,$C$8),""),"")</f>
        <v/>
      </c>
      <c r="L1995" s="139">
        <f>IFERROR(IF(ISNUMBER(F1995),F1995-IF(ISNUMBER(K1995),K1995,0),""),"")</f>
        <v/>
      </c>
    </row>
    <row r="1996" ht="24" customHeight="1" s="63">
      <c r="E1996" s="139" t="n"/>
      <c r="F1996" s="139" t="n"/>
      <c r="G1996" s="140">
        <f>IFERROR(IF(E1996&gt;0,(F1996/E1996)*1000,""),"")</f>
        <v/>
      </c>
      <c r="H1996" s="139">
        <f>IFERROR(IF(E1996&gt;0,E1996*IF(ISNUMBER(J1996),J1996,IF(OR(C1996="Alpha",B1996="Alpha"),$C$7,IF(C1996="Futures",$C$6,$C$5))),""),"")</f>
        <v/>
      </c>
      <c r="I1996" s="139">
        <f>IFERROR(IF(AND(ISNUMBER(F1996),ISNUMBER(H1996)),F1996-H1996,""),"")</f>
        <v/>
      </c>
      <c r="J1996" s="114" t="n"/>
      <c r="K1996" s="139">
        <f>IFERROR(IF(H1996&gt;0,H1996*IF(OR(C1996="Alpha",B1996="Alpha"),$C$9,$C$8),""),"")</f>
        <v/>
      </c>
      <c r="L1996" s="139">
        <f>IFERROR(IF(ISNUMBER(F1996),F1996-IF(ISNUMBER(K1996),K1996,0),""),"")</f>
        <v/>
      </c>
    </row>
    <row r="1997" ht="24" customHeight="1" s="63">
      <c r="E1997" s="139" t="n"/>
      <c r="F1997" s="139" t="n"/>
      <c r="G1997" s="140">
        <f>IFERROR(IF(E1997&gt;0,(F1997/E1997)*1000,""),"")</f>
        <v/>
      </c>
      <c r="H1997" s="139">
        <f>IFERROR(IF(E1997&gt;0,E1997*IF(ISNUMBER(J1997),J1997,IF(OR(C1997="Alpha",B1997="Alpha"),$C$7,IF(C1997="Futures",$C$6,$C$5))),""),"")</f>
        <v/>
      </c>
      <c r="I1997" s="139">
        <f>IFERROR(IF(AND(ISNUMBER(F1997),ISNUMBER(H1997)),F1997-H1997,""),"")</f>
        <v/>
      </c>
      <c r="J1997" s="114" t="n"/>
      <c r="K1997" s="139">
        <f>IFERROR(IF(H1997&gt;0,H1997*IF(OR(C1997="Alpha",B1997="Alpha"),$C$9,$C$8),""),"")</f>
        <v/>
      </c>
      <c r="L1997" s="139">
        <f>IFERROR(IF(ISNUMBER(F1997),F1997-IF(ISNUMBER(K1997),K1997,0),""),"")</f>
        <v/>
      </c>
    </row>
    <row r="1998" ht="24" customHeight="1" s="63">
      <c r="E1998" s="139" t="n"/>
      <c r="F1998" s="139" t="n"/>
      <c r="G1998" s="140">
        <f>IFERROR(IF(E1998&gt;0,(F1998/E1998)*1000,""),"")</f>
        <v/>
      </c>
      <c r="H1998" s="139">
        <f>IFERROR(IF(E1998&gt;0,E1998*IF(ISNUMBER(J1998),J1998,IF(OR(C1998="Alpha",B1998="Alpha"),$C$7,IF(C1998="Futures",$C$6,$C$5))),""),"")</f>
        <v/>
      </c>
      <c r="I1998" s="139">
        <f>IFERROR(IF(AND(ISNUMBER(F1998),ISNUMBER(H1998)),F1998-H1998,""),"")</f>
        <v/>
      </c>
      <c r="J1998" s="114" t="n"/>
      <c r="K1998" s="139">
        <f>IFERROR(IF(H1998&gt;0,H1998*IF(OR(C1998="Alpha",B1998="Alpha"),$C$9,$C$8),""),"")</f>
        <v/>
      </c>
      <c r="L1998" s="139">
        <f>IFERROR(IF(ISNUMBER(F1998),F1998-IF(ISNUMBER(K1998),K1998,0),""),"")</f>
        <v/>
      </c>
    </row>
    <row r="1999" ht="24" customHeight="1" s="63">
      <c r="E1999" s="139" t="n"/>
      <c r="F1999" s="139" t="n"/>
      <c r="G1999" s="140">
        <f>IFERROR(IF(E1999&gt;0,(F1999/E1999)*1000,""),"")</f>
        <v/>
      </c>
      <c r="H1999" s="139">
        <f>IFERROR(IF(E1999&gt;0,E1999*IF(ISNUMBER(J1999),J1999,IF(OR(C1999="Alpha",B1999="Alpha"),$C$7,IF(C1999="Futures",$C$6,$C$5))),""),"")</f>
        <v/>
      </c>
      <c r="I1999" s="139">
        <f>IFERROR(IF(AND(ISNUMBER(F1999),ISNUMBER(H1999)),F1999-H1999,""),"")</f>
        <v/>
      </c>
      <c r="J1999" s="114" t="n"/>
      <c r="K1999" s="139">
        <f>IFERROR(IF(H1999&gt;0,H1999*IF(OR(C1999="Alpha",B1999="Alpha"),$C$9,$C$8),""),"")</f>
        <v/>
      </c>
      <c r="L1999" s="139">
        <f>IFERROR(IF(ISNUMBER(F1999),F1999-IF(ISNUMBER(K1999),K1999,0),""),"")</f>
        <v/>
      </c>
    </row>
    <row r="2000" ht="24" customHeight="1" s="63">
      <c r="E2000" s="139" t="n"/>
      <c r="F2000" s="139" t="n"/>
      <c r="G2000" s="140">
        <f>IFERROR(IF(E2000&gt;0,(F2000/E2000)*1000,""),"")</f>
        <v/>
      </c>
      <c r="H2000" s="139">
        <f>IFERROR(IF(E2000&gt;0,E2000*IF(ISNUMBER(J2000),J2000,IF(OR(C2000="Alpha",B2000="Alpha"),$C$7,IF(C2000="Futures",$C$6,$C$5))),""),"")</f>
        <v/>
      </c>
      <c r="I2000" s="139">
        <f>IFERROR(IF(AND(ISNUMBER(F2000),ISNUMBER(H2000)),F2000-H2000,""),"")</f>
        <v/>
      </c>
      <c r="J2000" s="114" t="n"/>
      <c r="K2000" s="139">
        <f>IFERROR(IF(H2000&gt;0,H2000*IF(OR(C2000="Alpha",B2000="Alpha"),$C$9,$C$8),""),"")</f>
        <v/>
      </c>
      <c r="L2000" s="139">
        <f>IFERROR(IF(ISNUMBER(F2000),F2000-IF(ISNUMBER(K2000),K2000,0),""),"")</f>
        <v/>
      </c>
    </row>
    <row r="2001" ht="24" customHeight="1" s="63">
      <c r="E2001" s="139" t="n"/>
      <c r="F2001" s="139" t="n"/>
      <c r="G2001" s="140">
        <f>IFERROR(IF(E2001&gt;0,(F2001/E2001)*1000,""),"")</f>
        <v/>
      </c>
      <c r="H2001" s="139">
        <f>IFERROR(IF(E2001&gt;0,E2001*IF(ISNUMBER(J2001),J2001,IF(OR(C2001="Alpha",B2001="Alpha"),$C$7,IF(C2001="Futures",$C$6,$C$5))),""),"")</f>
        <v/>
      </c>
      <c r="I2001" s="139">
        <f>IFERROR(IF(AND(ISNUMBER(F2001),ISNUMBER(H2001)),F2001-H2001,""),"")</f>
        <v/>
      </c>
      <c r="J2001" s="114" t="n"/>
      <c r="K2001" s="139">
        <f>IFERROR(IF(H2001&gt;0,H2001*IF(OR(C2001="Alpha",B2001="Alpha"),$C$9,$C$8),""),"")</f>
        <v/>
      </c>
      <c r="L2001" s="139">
        <f>IFERROR(IF(ISNUMBER(F2001),F2001-IF(ISNUMBER(K2001),K2001,0),""),"")</f>
        <v/>
      </c>
    </row>
    <row r="2002" ht="24" customHeight="1" s="63">
      <c r="E2002" s="139" t="n"/>
      <c r="F2002" s="139" t="n"/>
      <c r="G2002" s="140">
        <f>IFERROR(IF(E2002&gt;0,(F2002/E2002)*1000,""),"")</f>
        <v/>
      </c>
      <c r="H2002" s="139">
        <f>IFERROR(IF(E2002&gt;0,E2002*IF(ISNUMBER(J2002),J2002,IF(OR(C2002="Alpha",B2002="Alpha"),$C$7,IF(C2002="Futures",$C$6,$C$5))),""),"")</f>
        <v/>
      </c>
      <c r="I2002" s="139">
        <f>IFERROR(IF(AND(ISNUMBER(F2002),ISNUMBER(H2002)),F2002-H2002,""),"")</f>
        <v/>
      </c>
      <c r="J2002" s="114" t="n"/>
      <c r="K2002" s="139">
        <f>IFERROR(IF(H2002&gt;0,H2002*IF(OR(C2002="Alpha",B2002="Alpha"),$C$9,$C$8),""),"")</f>
        <v/>
      </c>
      <c r="L2002" s="139">
        <f>IFERROR(IF(ISNUMBER(F2002),F2002-IF(ISNUMBER(K2002),K2002,0),""),"")</f>
        <v/>
      </c>
    </row>
    <row r="2003" ht="24" customHeight="1" s="63">
      <c r="E2003" s="139" t="n"/>
      <c r="F2003" s="139" t="n"/>
      <c r="G2003" s="140">
        <f>IFERROR(IF(E2003&gt;0,(F2003/E2003)*1000,""),"")</f>
        <v/>
      </c>
      <c r="H2003" s="139">
        <f>IFERROR(IF(E2003&gt;0,E2003*IF(ISNUMBER(J2003),J2003,IF(OR(C2003="Alpha",B2003="Alpha"),$C$7,IF(C2003="Futures",$C$6,$C$5))),""),"")</f>
        <v/>
      </c>
      <c r="I2003" s="139">
        <f>IFERROR(IF(AND(ISNUMBER(F2003),ISNUMBER(H2003)),F2003-H2003,""),"")</f>
        <v/>
      </c>
      <c r="J2003" s="114" t="n"/>
      <c r="K2003" s="139">
        <f>IFERROR(IF(H2003&gt;0,H2003*IF(OR(C2003="Alpha",B2003="Alpha"),$C$9,$C$8),""),"")</f>
        <v/>
      </c>
      <c r="L2003" s="139">
        <f>IFERROR(IF(ISNUMBER(F2003),F2003-IF(ISNUMBER(K2003),K2003,0),""),"")</f>
        <v/>
      </c>
    </row>
    <row r="2004" ht="24" customHeight="1" s="63">
      <c r="E2004" s="139" t="n"/>
      <c r="F2004" s="139" t="n"/>
      <c r="G2004" s="140">
        <f>IFERROR(IF(E2004&gt;0,(F2004/E2004)*1000,""),"")</f>
        <v/>
      </c>
      <c r="H2004" s="139">
        <f>IFERROR(IF(E2004&gt;0,E2004*IF(ISNUMBER(J2004),J2004,IF(OR(C2004="Alpha",B2004="Alpha"),$C$7,IF(C2004="Futures",$C$6,$C$5))),""),"")</f>
        <v/>
      </c>
      <c r="I2004" s="139">
        <f>IFERROR(IF(AND(ISNUMBER(F2004),ISNUMBER(H2004)),F2004-H2004,""),"")</f>
        <v/>
      </c>
      <c r="J2004" s="114" t="n"/>
      <c r="K2004" s="139">
        <f>IFERROR(IF(H2004&gt;0,H2004*IF(OR(C2004="Alpha",B2004="Alpha"),$C$9,$C$8),""),"")</f>
        <v/>
      </c>
      <c r="L2004" s="139">
        <f>IFERROR(IF(ISNUMBER(F2004),F2004-IF(ISNUMBER(K2004),K2004,0),""),"")</f>
        <v/>
      </c>
    </row>
    <row r="2005" ht="24" customHeight="1" s="63">
      <c r="E2005" s="139" t="n"/>
      <c r="F2005" s="139" t="n"/>
      <c r="G2005" s="140">
        <f>IFERROR(IF(E2005&gt;0,(F2005/E2005)*1000,""),"")</f>
        <v/>
      </c>
      <c r="H2005" s="139">
        <f>IFERROR(IF(E2005&gt;0,E2005*IF(ISNUMBER(J2005),J2005,IF(OR(C2005="Alpha",B2005="Alpha"),$C$7,IF(C2005="Futures",$C$6,$C$5))),""),"")</f>
        <v/>
      </c>
      <c r="I2005" s="139">
        <f>IFERROR(IF(AND(ISNUMBER(F2005),ISNUMBER(H2005)),F2005-H2005,""),"")</f>
        <v/>
      </c>
      <c r="J2005" s="114" t="n"/>
      <c r="K2005" s="139">
        <f>IFERROR(IF(H2005&gt;0,H2005*IF(OR(C2005="Alpha",B2005="Alpha"),$C$9,$C$8),""),"")</f>
        <v/>
      </c>
      <c r="L2005" s="139">
        <f>IFERROR(IF(ISNUMBER(F2005),F2005-IF(ISNUMBER(K2005),K2005,0),""),"")</f>
        <v/>
      </c>
    </row>
    <row r="2006" ht="24" customHeight="1" s="63">
      <c r="E2006" s="139" t="n"/>
      <c r="F2006" s="139" t="n"/>
      <c r="G2006" s="140">
        <f>IFERROR(IF(E2006&gt;0,(F2006/E2006)*1000,""),"")</f>
        <v/>
      </c>
      <c r="H2006" s="139">
        <f>IFERROR(IF(E2006&gt;0,E2006*IF(ISNUMBER(J2006),J2006,IF(OR(C2006="Alpha",B2006="Alpha"),$C$7,IF(C2006="Futures",$C$6,$C$5))),""),"")</f>
        <v/>
      </c>
      <c r="I2006" s="139">
        <f>IFERROR(IF(AND(ISNUMBER(F2006),ISNUMBER(H2006)),F2006-H2006,""),"")</f>
        <v/>
      </c>
      <c r="J2006" s="114" t="n"/>
      <c r="K2006" s="139">
        <f>IFERROR(IF(H2006&gt;0,H2006*IF(OR(C2006="Alpha",B2006="Alpha"),$C$9,$C$8),""),"")</f>
        <v/>
      </c>
      <c r="L2006" s="139">
        <f>IFERROR(IF(ISNUMBER(F2006),F2006-IF(ISNUMBER(K2006),K2006,0),""),"")</f>
        <v/>
      </c>
    </row>
    <row r="2007" ht="24" customHeight="1" s="63">
      <c r="E2007" s="139" t="n"/>
      <c r="F2007" s="139" t="n"/>
      <c r="G2007" s="140">
        <f>IFERROR(IF(E2007&gt;0,(F2007/E2007)*1000,""),"")</f>
        <v/>
      </c>
      <c r="H2007" s="139">
        <f>IFERROR(IF(E2007&gt;0,E2007*IF(ISNUMBER(J2007),J2007,IF(OR(C2007="Alpha",B2007="Alpha"),$C$7,IF(C2007="Futures",$C$6,$C$5))),""),"")</f>
        <v/>
      </c>
      <c r="I2007" s="139">
        <f>IFERROR(IF(AND(ISNUMBER(F2007),ISNUMBER(H2007)),F2007-H2007,""),"")</f>
        <v/>
      </c>
      <c r="J2007" s="114" t="n"/>
      <c r="K2007" s="139">
        <f>IFERROR(IF(H2007&gt;0,H2007*IF(OR(C2007="Alpha",B2007="Alpha"),$C$9,$C$8),""),"")</f>
        <v/>
      </c>
      <c r="L2007" s="139">
        <f>IFERROR(IF(ISNUMBER(F2007),F2007-IF(ISNUMBER(K2007),K2007,0),""),"")</f>
        <v/>
      </c>
    </row>
    <row r="2008" ht="24" customHeight="1" s="63">
      <c r="E2008" s="139" t="n"/>
      <c r="F2008" s="139" t="n"/>
      <c r="G2008" s="140">
        <f>IFERROR(IF(E2008&gt;0,(F2008/E2008)*1000,""),"")</f>
        <v/>
      </c>
      <c r="H2008" s="139">
        <f>IFERROR(IF(E2008&gt;0,E2008*IF(ISNUMBER(J2008),J2008,IF(OR(C2008="Alpha",B2008="Alpha"),$C$7,IF(C2008="Futures",$C$6,$C$5))),""),"")</f>
        <v/>
      </c>
      <c r="I2008" s="139">
        <f>IFERROR(IF(AND(ISNUMBER(F2008),ISNUMBER(H2008)),F2008-H2008,""),"")</f>
        <v/>
      </c>
      <c r="J2008" s="114" t="n"/>
      <c r="K2008" s="139">
        <f>IFERROR(IF(H2008&gt;0,H2008*IF(OR(C2008="Alpha",B2008="Alpha"),$C$9,$C$8),""),"")</f>
        <v/>
      </c>
      <c r="L2008" s="139">
        <f>IFERROR(IF(ISNUMBER(F2008),F2008-IF(ISNUMBER(K2008),K2008,0),""),"")</f>
        <v/>
      </c>
    </row>
    <row r="2009" ht="24" customHeight="1" s="63">
      <c r="E2009" s="139" t="n"/>
      <c r="F2009" s="139" t="n"/>
      <c r="G2009" s="140">
        <f>IFERROR(IF(E2009&gt;0,(F2009/E2009)*1000,""),"")</f>
        <v/>
      </c>
      <c r="H2009" s="139">
        <f>IFERROR(IF(E2009&gt;0,E2009*IF(ISNUMBER(J2009),J2009,IF(OR(C2009="Alpha",B2009="Alpha"),$C$7,IF(C2009="Futures",$C$6,$C$5))),""),"")</f>
        <v/>
      </c>
      <c r="I2009" s="139">
        <f>IFERROR(IF(AND(ISNUMBER(F2009),ISNUMBER(H2009)),F2009-H2009,""),"")</f>
        <v/>
      </c>
      <c r="J2009" s="114" t="n"/>
      <c r="K2009" s="139">
        <f>IFERROR(IF(H2009&gt;0,H2009*IF(OR(C2009="Alpha",B2009="Alpha"),$C$9,$C$8),""),"")</f>
        <v/>
      </c>
      <c r="L2009" s="139">
        <f>IFERROR(IF(ISNUMBER(F2009),F2009-IF(ISNUMBER(K2009),K2009,0),""),"")</f>
        <v/>
      </c>
    </row>
    <row r="2010" ht="24" customHeight="1" s="63">
      <c r="E2010" s="139" t="n"/>
      <c r="F2010" s="139" t="n"/>
      <c r="G2010" s="140">
        <f>IFERROR(IF(E2010&gt;0,(F2010/E2010)*1000,""),"")</f>
        <v/>
      </c>
      <c r="H2010" s="139">
        <f>IFERROR(IF(E2010&gt;0,E2010*IF(ISNUMBER(J2010),J2010,IF(OR(C2010="Alpha",B2010="Alpha"),$C$7,IF(C2010="Futures",$C$6,$C$5))),""),"")</f>
        <v/>
      </c>
      <c r="I2010" s="139">
        <f>IFERROR(IF(AND(ISNUMBER(F2010),ISNUMBER(H2010)),F2010-H2010,""),"")</f>
        <v/>
      </c>
      <c r="J2010" s="114" t="n"/>
      <c r="K2010" s="139">
        <f>IFERROR(IF(H2010&gt;0,H2010*IF(OR(C2010="Alpha",B2010="Alpha"),$C$9,$C$8),""),"")</f>
        <v/>
      </c>
      <c r="L2010" s="139">
        <f>IFERROR(IF(ISNUMBER(F2010),F2010-IF(ISNUMBER(K2010),K2010,0),""),"")</f>
        <v/>
      </c>
    </row>
    <row r="2011" ht="24" customHeight="1" s="63">
      <c r="E2011" s="139" t="n"/>
      <c r="F2011" s="139" t="n"/>
      <c r="G2011" s="140">
        <f>IFERROR(IF(E2011&gt;0,(F2011/E2011)*1000,""),"")</f>
        <v/>
      </c>
      <c r="H2011" s="139">
        <f>IFERROR(IF(E2011&gt;0,E2011*IF(ISNUMBER(J2011),J2011,IF(OR(C2011="Alpha",B2011="Alpha"),$C$7,IF(C2011="Futures",$C$6,$C$5))),""),"")</f>
        <v/>
      </c>
      <c r="I2011" s="139">
        <f>IFERROR(IF(AND(ISNUMBER(F2011),ISNUMBER(H2011)),F2011-H2011,""),"")</f>
        <v/>
      </c>
      <c r="J2011" s="114" t="n"/>
      <c r="K2011" s="139">
        <f>IFERROR(IF(H2011&gt;0,H2011*IF(OR(C2011="Alpha",B2011="Alpha"),$C$9,$C$8),""),"")</f>
        <v/>
      </c>
      <c r="L2011" s="139">
        <f>IFERROR(IF(ISNUMBER(F2011),F2011-IF(ISNUMBER(K2011),K2011,0),""),"")</f>
        <v/>
      </c>
    </row>
    <row r="2012" ht="24" customHeight="1" s="63">
      <c r="E2012" s="139" t="n"/>
      <c r="F2012" s="139" t="n"/>
      <c r="G2012" s="140">
        <f>IFERROR(IF(E2012&gt;0,(F2012/E2012)*1000,""),"")</f>
        <v/>
      </c>
      <c r="H2012" s="139">
        <f>IFERROR(IF(E2012&gt;0,E2012*IF(ISNUMBER(J2012),J2012,IF(OR(C2012="Alpha",B2012="Alpha"),$C$7,IF(C2012="Futures",$C$6,$C$5))),""),"")</f>
        <v/>
      </c>
      <c r="I2012" s="139">
        <f>IFERROR(IF(AND(ISNUMBER(F2012),ISNUMBER(H2012)),F2012-H2012,""),"")</f>
        <v/>
      </c>
      <c r="J2012" s="114" t="n"/>
      <c r="K2012" s="139">
        <f>IFERROR(IF(H2012&gt;0,H2012*IF(OR(C2012="Alpha",B2012="Alpha"),$C$9,$C$8),""),"")</f>
        <v/>
      </c>
      <c r="L2012" s="139">
        <f>IFERROR(IF(ISNUMBER(F2012),F2012-IF(ISNUMBER(K2012),K2012,0),""),"")</f>
        <v/>
      </c>
    </row>
    <row r="2013" ht="24" customHeight="1" s="63">
      <c r="E2013" s="139" t="n"/>
      <c r="F2013" s="139" t="n"/>
      <c r="G2013" s="140">
        <f>IFERROR(IF(E2013&gt;0,(F2013/E2013)*1000,""),"")</f>
        <v/>
      </c>
      <c r="H2013" s="139">
        <f>IFERROR(IF(E2013&gt;0,E2013*IF(ISNUMBER(J2013),J2013,IF(OR(C2013="Alpha",B2013="Alpha"),$C$7,IF(C2013="Futures",$C$6,$C$5))),""),"")</f>
        <v/>
      </c>
      <c r="I2013" s="139">
        <f>IFERROR(IF(AND(ISNUMBER(F2013),ISNUMBER(H2013)),F2013-H2013,""),"")</f>
        <v/>
      </c>
      <c r="J2013" s="114" t="n"/>
      <c r="K2013" s="139">
        <f>IFERROR(IF(H2013&gt;0,H2013*IF(OR(C2013="Alpha",B2013="Alpha"),$C$9,$C$8),""),"")</f>
        <v/>
      </c>
      <c r="L2013" s="139">
        <f>IFERROR(IF(ISNUMBER(F2013),F2013-IF(ISNUMBER(K2013),K2013,0),""),"")</f>
        <v/>
      </c>
    </row>
    <row r="2014" ht="24" customHeight="1" s="63">
      <c r="E2014" s="139" t="n"/>
      <c r="F2014" s="139" t="n"/>
      <c r="G2014" s="140">
        <f>IFERROR(IF(E2014&gt;0,(F2014/E2014)*1000,""),"")</f>
        <v/>
      </c>
      <c r="H2014" s="139">
        <f>IFERROR(IF(E2014&gt;0,E2014*IF(ISNUMBER(J2014),J2014,IF(OR(C2014="Alpha",B2014="Alpha"),$C$7,IF(C2014="Futures",$C$6,$C$5))),""),"")</f>
        <v/>
      </c>
      <c r="I2014" s="139">
        <f>IFERROR(IF(AND(ISNUMBER(F2014),ISNUMBER(H2014)),F2014-H2014,""),"")</f>
        <v/>
      </c>
      <c r="J2014" s="114" t="n"/>
      <c r="K2014" s="139">
        <f>IFERROR(IF(H2014&gt;0,H2014*IF(OR(C2014="Alpha",B2014="Alpha"),$C$9,$C$8),""),"")</f>
        <v/>
      </c>
      <c r="L2014" s="139">
        <f>IFERROR(IF(ISNUMBER(F2014),F2014-IF(ISNUMBER(K2014),K2014,0),""),"")</f>
        <v/>
      </c>
    </row>
    <row r="2015" ht="24" customHeight="1" s="63">
      <c r="E2015" s="139" t="n"/>
      <c r="F2015" s="139" t="n"/>
      <c r="G2015" s="140">
        <f>IFERROR(IF(E2015&gt;0,(F2015/E2015)*1000,""),"")</f>
        <v/>
      </c>
      <c r="H2015" s="139">
        <f>IFERROR(IF(E2015&gt;0,E2015*IF(ISNUMBER(J2015),J2015,IF(OR(C2015="Alpha",B2015="Alpha"),$C$7,IF(C2015="Futures",$C$6,$C$5))),""),"")</f>
        <v/>
      </c>
      <c r="I2015" s="139">
        <f>IFERROR(IF(AND(ISNUMBER(F2015),ISNUMBER(H2015)),F2015-H2015,""),"")</f>
        <v/>
      </c>
      <c r="J2015" s="114" t="n"/>
      <c r="K2015" s="139">
        <f>IFERROR(IF(H2015&gt;0,H2015*IF(OR(C2015="Alpha",B2015="Alpha"),$C$9,$C$8),""),"")</f>
        <v/>
      </c>
      <c r="L2015" s="139">
        <f>IFERROR(IF(ISNUMBER(F2015),F2015-IF(ISNUMBER(K2015),K2015,0),""),"")</f>
        <v/>
      </c>
    </row>
    <row r="2016" ht="24" customHeight="1" s="63">
      <c r="E2016" s="139" t="n"/>
      <c r="F2016" s="139" t="n"/>
      <c r="G2016" s="140">
        <f>IFERROR(IF(E2016&gt;0,(F2016/E2016)*1000,""),"")</f>
        <v/>
      </c>
      <c r="H2016" s="139">
        <f>IFERROR(IF(E2016&gt;0,E2016*IF(ISNUMBER(J2016),J2016,IF(OR(C2016="Alpha",B2016="Alpha"),$C$7,IF(C2016="Futures",$C$6,$C$5))),""),"")</f>
        <v/>
      </c>
      <c r="I2016" s="139">
        <f>IFERROR(IF(AND(ISNUMBER(F2016),ISNUMBER(H2016)),F2016-H2016,""),"")</f>
        <v/>
      </c>
      <c r="J2016" s="114" t="n"/>
      <c r="K2016" s="139">
        <f>IFERROR(IF(H2016&gt;0,H2016*IF(OR(C2016="Alpha",B2016="Alpha"),$C$9,$C$8),""),"")</f>
        <v/>
      </c>
      <c r="L2016" s="139">
        <f>IFERROR(IF(ISNUMBER(F2016),F2016-IF(ISNUMBER(K2016),K2016,0),""),"")</f>
        <v/>
      </c>
    </row>
    <row r="2017" ht="24" customHeight="1" s="63">
      <c r="E2017" s="139" t="n"/>
      <c r="F2017" s="139" t="n"/>
      <c r="G2017" s="140">
        <f>IFERROR(IF(E2017&gt;0,(F2017/E2017)*1000,""),"")</f>
        <v/>
      </c>
      <c r="H2017" s="139">
        <f>IFERROR(IF(E2017&gt;0,E2017*IF(ISNUMBER(J2017),J2017,IF(OR(C2017="Alpha",B2017="Alpha"),$C$7,IF(C2017="Futures",$C$6,$C$5))),""),"")</f>
        <v/>
      </c>
      <c r="I2017" s="139">
        <f>IFERROR(IF(AND(ISNUMBER(F2017),ISNUMBER(H2017)),F2017-H2017,""),"")</f>
        <v/>
      </c>
      <c r="J2017" s="114" t="n"/>
      <c r="K2017" s="139">
        <f>IFERROR(IF(H2017&gt;0,H2017*IF(OR(C2017="Alpha",B2017="Alpha"),$C$9,$C$8),""),"")</f>
        <v/>
      </c>
      <c r="L2017" s="139">
        <f>IFERROR(IF(ISNUMBER(F2017),F2017-IF(ISNUMBER(K2017),K2017,0),""),"")</f>
        <v/>
      </c>
    </row>
    <row r="2018" ht="24" customHeight="1" s="63">
      <c r="E2018" s="139" t="n"/>
      <c r="F2018" s="139" t="n"/>
      <c r="G2018" s="140">
        <f>IFERROR(IF(E2018&gt;0,(F2018/E2018)*1000,""),"")</f>
        <v/>
      </c>
      <c r="H2018" s="139">
        <f>IFERROR(IF(E2018&gt;0,E2018*IF(ISNUMBER(J2018),J2018,IF(OR(C2018="Alpha",B2018="Alpha"),$C$7,IF(C2018="Futures",$C$6,$C$5))),""),"")</f>
        <v/>
      </c>
      <c r="I2018" s="139">
        <f>IFERROR(IF(AND(ISNUMBER(F2018),ISNUMBER(H2018)),F2018-H2018,""),"")</f>
        <v/>
      </c>
      <c r="J2018" s="114" t="n"/>
      <c r="K2018" s="139">
        <f>IFERROR(IF(H2018&gt;0,H2018*IF(OR(C2018="Alpha",B2018="Alpha"),$C$9,$C$8),""),"")</f>
        <v/>
      </c>
      <c r="L2018" s="139">
        <f>IFERROR(IF(ISNUMBER(F2018),F2018-IF(ISNUMBER(K2018),K2018,0),""),"")</f>
        <v/>
      </c>
    </row>
    <row r="2019" ht="24" customHeight="1" s="63">
      <c r="E2019" s="139" t="n"/>
      <c r="F2019" s="139" t="n"/>
      <c r="G2019" s="140">
        <f>IFERROR(IF(E2019&gt;0,(F2019/E2019)*1000,""),"")</f>
        <v/>
      </c>
      <c r="H2019" s="139">
        <f>IFERROR(IF(E2019&gt;0,E2019*IF(ISNUMBER(J2019),J2019,IF(OR(C2019="Alpha",B2019="Alpha"),$C$7,IF(C2019="Futures",$C$6,$C$5))),""),"")</f>
        <v/>
      </c>
      <c r="I2019" s="139">
        <f>IFERROR(IF(AND(ISNUMBER(F2019),ISNUMBER(H2019)),F2019-H2019,""),"")</f>
        <v/>
      </c>
      <c r="J2019" s="114" t="n"/>
      <c r="K2019" s="139">
        <f>IFERROR(IF(H2019&gt;0,H2019*IF(OR(C2019="Alpha",B2019="Alpha"),$C$9,$C$8),""),"")</f>
        <v/>
      </c>
      <c r="L2019" s="139">
        <f>IFERROR(IF(ISNUMBER(F2019),F2019-IF(ISNUMBER(K2019),K2019,0),""),"")</f>
        <v/>
      </c>
    </row>
    <row r="2020" ht="24" customHeight="1" s="63">
      <c r="E2020" s="139" t="n"/>
      <c r="F2020" s="139" t="n"/>
      <c r="G2020" s="140">
        <f>IFERROR(IF(E2020&gt;0,(F2020/E2020)*1000,""),"")</f>
        <v/>
      </c>
      <c r="H2020" s="139">
        <f>IFERROR(IF(E2020&gt;0,E2020*IF(ISNUMBER(J2020),J2020,IF(OR(C2020="Alpha",B2020="Alpha"),$C$7,IF(C2020="Futures",$C$6,$C$5))),""),"")</f>
        <v/>
      </c>
      <c r="I2020" s="139">
        <f>IFERROR(IF(AND(ISNUMBER(F2020),ISNUMBER(H2020)),F2020-H2020,""),"")</f>
        <v/>
      </c>
      <c r="J2020" s="114" t="n"/>
      <c r="K2020" s="139">
        <f>IFERROR(IF(H2020&gt;0,H2020*IF(OR(C2020="Alpha",B2020="Alpha"),$C$9,$C$8),""),"")</f>
        <v/>
      </c>
      <c r="L2020" s="139">
        <f>IFERROR(IF(ISNUMBER(F2020),F2020-IF(ISNUMBER(K2020),K2020,0),""),"")</f>
        <v/>
      </c>
    </row>
    <row r="2021" ht="24" customHeight="1" s="63">
      <c r="E2021" s="139" t="n"/>
      <c r="F2021" s="139" t="n"/>
      <c r="G2021" s="140">
        <f>IFERROR(IF(E2021&gt;0,(F2021/E2021)*1000,""),"")</f>
        <v/>
      </c>
      <c r="H2021" s="139">
        <f>IFERROR(IF(E2021&gt;0,E2021*IF(ISNUMBER(J2021),J2021,IF(OR(C2021="Alpha",B2021="Alpha"),$C$7,IF(C2021="Futures",$C$6,$C$5))),""),"")</f>
        <v/>
      </c>
      <c r="I2021" s="139">
        <f>IFERROR(IF(AND(ISNUMBER(F2021),ISNUMBER(H2021)),F2021-H2021,""),"")</f>
        <v/>
      </c>
      <c r="J2021" s="114" t="n"/>
      <c r="K2021" s="139">
        <f>IFERROR(IF(H2021&gt;0,H2021*IF(OR(C2021="Alpha",B2021="Alpha"),$C$9,$C$8),""),"")</f>
        <v/>
      </c>
      <c r="L2021" s="139">
        <f>IFERROR(IF(ISNUMBER(F2021),F2021-IF(ISNUMBER(K2021),K2021,0),""),"")</f>
        <v/>
      </c>
    </row>
    <row r="2022" ht="24" customHeight="1" s="63">
      <c r="E2022" s="139" t="n"/>
      <c r="F2022" s="139" t="n"/>
      <c r="G2022" s="140">
        <f>IFERROR(IF(E2022&gt;0,(F2022/E2022)*1000,""),"")</f>
        <v/>
      </c>
      <c r="H2022" s="139">
        <f>IFERROR(IF(E2022&gt;0,E2022*IF(ISNUMBER(J2022),J2022,IF(OR(C2022="Alpha",B2022="Alpha"),$C$7,IF(C2022="Futures",$C$6,$C$5))),""),"")</f>
        <v/>
      </c>
      <c r="I2022" s="139">
        <f>IFERROR(IF(AND(ISNUMBER(F2022),ISNUMBER(H2022)),F2022-H2022,""),"")</f>
        <v/>
      </c>
      <c r="J2022" s="114" t="n"/>
      <c r="K2022" s="139">
        <f>IFERROR(IF(H2022&gt;0,H2022*IF(OR(C2022="Alpha",B2022="Alpha"),$C$9,$C$8),""),"")</f>
        <v/>
      </c>
      <c r="L2022" s="139">
        <f>IFERROR(IF(ISNUMBER(F2022),F2022-IF(ISNUMBER(K2022),K2022,0),""),"")</f>
        <v/>
      </c>
    </row>
    <row r="2023" ht="24" customHeight="1" s="63">
      <c r="E2023" s="139" t="n"/>
      <c r="F2023" s="139" t="n"/>
      <c r="G2023" s="140">
        <f>IFERROR(IF(E2023&gt;0,(F2023/E2023)*1000,""),"")</f>
        <v/>
      </c>
      <c r="H2023" s="139">
        <f>IFERROR(IF(E2023&gt;0,E2023*IF(ISNUMBER(J2023),J2023,IF(OR(C2023="Alpha",B2023="Alpha"),$C$7,IF(C2023="Futures",$C$6,$C$5))),""),"")</f>
        <v/>
      </c>
      <c r="I2023" s="139">
        <f>IFERROR(IF(AND(ISNUMBER(F2023),ISNUMBER(H2023)),F2023-H2023,""),"")</f>
        <v/>
      </c>
      <c r="J2023" s="114" t="n"/>
      <c r="K2023" s="139">
        <f>IFERROR(IF(H2023&gt;0,H2023*IF(OR(C2023="Alpha",B2023="Alpha"),$C$9,$C$8),""),"")</f>
        <v/>
      </c>
      <c r="L2023" s="139">
        <f>IFERROR(IF(ISNUMBER(F2023),F2023-IF(ISNUMBER(K2023),K2023,0),""),"")</f>
        <v/>
      </c>
    </row>
    <row r="2024" ht="24" customHeight="1" s="63">
      <c r="E2024" s="139" t="n"/>
      <c r="F2024" s="139" t="n"/>
      <c r="G2024" s="140">
        <f>IFERROR(IF(E2024&gt;0,(F2024/E2024)*1000,""),"")</f>
        <v/>
      </c>
      <c r="H2024" s="139">
        <f>IFERROR(IF(E2024&gt;0,E2024*IF(ISNUMBER(J2024),J2024,IF(OR(C2024="Alpha",B2024="Alpha"),$C$7,IF(C2024="Futures",$C$6,$C$5))),""),"")</f>
        <v/>
      </c>
      <c r="I2024" s="139">
        <f>IFERROR(IF(AND(ISNUMBER(F2024),ISNUMBER(H2024)),F2024-H2024,""),"")</f>
        <v/>
      </c>
      <c r="J2024" s="114" t="n"/>
      <c r="K2024" s="139">
        <f>IFERROR(IF(H2024&gt;0,H2024*IF(OR(C2024="Alpha",B2024="Alpha"),$C$9,$C$8),""),"")</f>
        <v/>
      </c>
      <c r="L2024" s="139">
        <f>IFERROR(IF(ISNUMBER(F2024),F2024-IF(ISNUMBER(K2024),K2024,0),""),"")</f>
        <v/>
      </c>
    </row>
    <row r="2025" ht="24" customHeight="1" s="63">
      <c r="E2025" s="139" t="n"/>
      <c r="F2025" s="139" t="n"/>
      <c r="G2025" s="140">
        <f>IFERROR(IF(E2025&gt;0,(F2025/E2025)*1000,""),"")</f>
        <v/>
      </c>
      <c r="H2025" s="139">
        <f>IFERROR(IF(E2025&gt;0,E2025*IF(ISNUMBER(J2025),J2025,IF(OR(C2025="Alpha",B2025="Alpha"),$C$7,IF(C2025="Futures",$C$6,$C$5))),""),"")</f>
        <v/>
      </c>
      <c r="I2025" s="139">
        <f>IFERROR(IF(AND(ISNUMBER(F2025),ISNUMBER(H2025)),F2025-H2025,""),"")</f>
        <v/>
      </c>
      <c r="J2025" s="114" t="n"/>
      <c r="K2025" s="139">
        <f>IFERROR(IF(H2025&gt;0,H2025*IF(OR(C2025="Alpha",B2025="Alpha"),$C$9,$C$8),""),"")</f>
        <v/>
      </c>
      <c r="L2025" s="139">
        <f>IFERROR(IF(ISNUMBER(F2025),F2025-IF(ISNUMBER(K2025),K2025,0),""),"")</f>
        <v/>
      </c>
    </row>
    <row r="2026" ht="24" customHeight="1" s="63">
      <c r="E2026" s="139" t="n"/>
      <c r="F2026" s="139" t="n"/>
      <c r="G2026" s="140">
        <f>IFERROR(IF(E2026&gt;0,(F2026/E2026)*1000,""),"")</f>
        <v/>
      </c>
      <c r="H2026" s="139">
        <f>IFERROR(IF(E2026&gt;0,E2026*IF(ISNUMBER(J2026),J2026,IF(OR(C2026="Alpha",B2026="Alpha"),$C$7,IF(C2026="Futures",$C$6,$C$5))),""),"")</f>
        <v/>
      </c>
      <c r="I2026" s="139">
        <f>IFERROR(IF(AND(ISNUMBER(F2026),ISNUMBER(H2026)),F2026-H2026,""),"")</f>
        <v/>
      </c>
      <c r="J2026" s="114" t="n"/>
      <c r="K2026" s="139">
        <f>IFERROR(IF(H2026&gt;0,H2026*IF(OR(C2026="Alpha",B2026="Alpha"),$C$9,$C$8),""),"")</f>
        <v/>
      </c>
      <c r="L2026" s="139">
        <f>IFERROR(IF(ISNUMBER(F2026),F2026-IF(ISNUMBER(K2026),K2026,0),""),"")</f>
        <v/>
      </c>
    </row>
    <row r="2027" ht="24" customHeight="1" s="63">
      <c r="E2027" s="139" t="n"/>
      <c r="F2027" s="139" t="n"/>
      <c r="G2027" s="140">
        <f>IFERROR(IF(E2027&gt;0,(F2027/E2027)*1000,""),"")</f>
        <v/>
      </c>
      <c r="H2027" s="139">
        <f>IFERROR(IF(E2027&gt;0,E2027*IF(ISNUMBER(J2027),J2027,IF(OR(C2027="Alpha",B2027="Alpha"),$C$7,IF(C2027="Futures",$C$6,$C$5))),""),"")</f>
        <v/>
      </c>
      <c r="I2027" s="139">
        <f>IFERROR(IF(AND(ISNUMBER(F2027),ISNUMBER(H2027)),F2027-H2027,""),"")</f>
        <v/>
      </c>
      <c r="J2027" s="114" t="n"/>
      <c r="K2027" s="139">
        <f>IFERROR(IF(H2027&gt;0,H2027*IF(OR(C2027="Alpha",B2027="Alpha"),$C$9,$C$8),""),"")</f>
        <v/>
      </c>
      <c r="L2027" s="139">
        <f>IFERROR(IF(ISNUMBER(F2027),F2027-IF(ISNUMBER(K2027),K2027,0),""),"")</f>
        <v/>
      </c>
    </row>
    <row r="2028" ht="24" customHeight="1" s="63">
      <c r="E2028" s="139" t="n"/>
      <c r="F2028" s="139" t="n"/>
      <c r="G2028" s="140">
        <f>IFERROR(IF(E2028&gt;0,(F2028/E2028)*1000,""),"")</f>
        <v/>
      </c>
      <c r="H2028" s="139">
        <f>IFERROR(IF(E2028&gt;0,E2028*IF(ISNUMBER(J2028),J2028,IF(OR(C2028="Alpha",B2028="Alpha"),$C$7,IF(C2028="Futures",$C$6,$C$5))),""),"")</f>
        <v/>
      </c>
      <c r="I2028" s="139">
        <f>IFERROR(IF(AND(ISNUMBER(F2028),ISNUMBER(H2028)),F2028-H2028,""),"")</f>
        <v/>
      </c>
      <c r="J2028" s="114" t="n"/>
      <c r="K2028" s="139">
        <f>IFERROR(IF(H2028&gt;0,H2028*IF(OR(C2028="Alpha",B2028="Alpha"),$C$9,$C$8),""),"")</f>
        <v/>
      </c>
      <c r="L2028" s="139">
        <f>IFERROR(IF(ISNUMBER(F2028),F2028-IF(ISNUMBER(K2028),K2028,0),""),"")</f>
        <v/>
      </c>
    </row>
    <row r="2029" ht="24" customHeight="1" s="63">
      <c r="E2029" s="139" t="n"/>
      <c r="F2029" s="139" t="n"/>
      <c r="G2029" s="140">
        <f>IFERROR(IF(E2029&gt;0,(F2029/E2029)*1000,""),"")</f>
        <v/>
      </c>
      <c r="H2029" s="139">
        <f>IFERROR(IF(E2029&gt;0,E2029*IF(ISNUMBER(J2029),J2029,IF(OR(C2029="Alpha",B2029="Alpha"),$C$7,IF(C2029="Futures",$C$6,$C$5))),""),"")</f>
        <v/>
      </c>
      <c r="I2029" s="139">
        <f>IFERROR(IF(AND(ISNUMBER(F2029),ISNUMBER(H2029)),F2029-H2029,""),"")</f>
        <v/>
      </c>
      <c r="J2029" s="114" t="n"/>
      <c r="K2029" s="139">
        <f>IFERROR(IF(H2029&gt;0,H2029*IF(OR(C2029="Alpha",B2029="Alpha"),$C$9,$C$8),""),"")</f>
        <v/>
      </c>
      <c r="L2029" s="139">
        <f>IFERROR(IF(ISNUMBER(F2029),F2029-IF(ISNUMBER(K2029),K2029,0),""),"")</f>
        <v/>
      </c>
    </row>
    <row r="2030" ht="24" customHeight="1" s="63">
      <c r="E2030" s="139" t="n"/>
      <c r="F2030" s="139" t="n"/>
      <c r="G2030" s="140">
        <f>IFERROR(IF(E2030&gt;0,(F2030/E2030)*1000,""),"")</f>
        <v/>
      </c>
      <c r="H2030" s="139">
        <f>IFERROR(IF(E2030&gt;0,E2030*IF(ISNUMBER(J2030),J2030,IF(OR(C2030="Alpha",B2030="Alpha"),$C$7,IF(C2030="Futures",$C$6,$C$5))),""),"")</f>
        <v/>
      </c>
      <c r="I2030" s="139">
        <f>IFERROR(IF(AND(ISNUMBER(F2030),ISNUMBER(H2030)),F2030-H2030,""),"")</f>
        <v/>
      </c>
      <c r="J2030" s="114" t="n"/>
      <c r="K2030" s="139">
        <f>IFERROR(IF(H2030&gt;0,H2030*IF(OR(C2030="Alpha",B2030="Alpha"),$C$9,$C$8),""),"")</f>
        <v/>
      </c>
      <c r="L2030" s="139">
        <f>IFERROR(IF(ISNUMBER(F2030),F2030-IF(ISNUMBER(K2030),K2030,0),""),"")</f>
        <v/>
      </c>
    </row>
    <row r="2031" ht="24" customHeight="1" s="63">
      <c r="E2031" s="139" t="n"/>
      <c r="F2031" s="139" t="n"/>
      <c r="G2031" s="140">
        <f>IFERROR(IF(E2031&gt;0,(F2031/E2031)*1000,""),"")</f>
        <v/>
      </c>
      <c r="H2031" s="139">
        <f>IFERROR(IF(E2031&gt;0,E2031*IF(ISNUMBER(J2031),J2031,IF(OR(C2031="Alpha",B2031="Alpha"),$C$7,IF(C2031="Futures",$C$6,$C$5))),""),"")</f>
        <v/>
      </c>
      <c r="I2031" s="139">
        <f>IFERROR(IF(AND(ISNUMBER(F2031),ISNUMBER(H2031)),F2031-H2031,""),"")</f>
        <v/>
      </c>
      <c r="J2031" s="114" t="n"/>
      <c r="K2031" s="139">
        <f>IFERROR(IF(H2031&gt;0,H2031*IF(OR(C2031="Alpha",B2031="Alpha"),$C$9,$C$8),""),"")</f>
        <v/>
      </c>
      <c r="L2031" s="139">
        <f>IFERROR(IF(ISNUMBER(F2031),F2031-IF(ISNUMBER(K2031),K2031,0),""),"")</f>
        <v/>
      </c>
    </row>
    <row r="2032" ht="24" customHeight="1" s="63">
      <c r="E2032" s="139" t="n"/>
      <c r="F2032" s="139" t="n"/>
      <c r="G2032" s="140">
        <f>IFERROR(IF(E2032&gt;0,(F2032/E2032)*1000,""),"")</f>
        <v/>
      </c>
      <c r="H2032" s="139">
        <f>IFERROR(IF(E2032&gt;0,E2032*IF(ISNUMBER(J2032),J2032,IF(OR(C2032="Alpha",B2032="Alpha"),$C$7,IF(C2032="Futures",$C$6,$C$5))),""),"")</f>
        <v/>
      </c>
      <c r="I2032" s="139">
        <f>IFERROR(IF(AND(ISNUMBER(F2032),ISNUMBER(H2032)),F2032-H2032,""),"")</f>
        <v/>
      </c>
      <c r="J2032" s="114" t="n"/>
      <c r="K2032" s="139">
        <f>IFERROR(IF(H2032&gt;0,H2032*IF(OR(C2032="Alpha",B2032="Alpha"),$C$9,$C$8),""),"")</f>
        <v/>
      </c>
      <c r="L2032" s="139">
        <f>IFERROR(IF(ISNUMBER(F2032),F2032-IF(ISNUMBER(K2032),K2032,0),""),"")</f>
        <v/>
      </c>
    </row>
    <row r="2033" ht="24" customHeight="1" s="63">
      <c r="E2033" s="139" t="n"/>
      <c r="F2033" s="139" t="n"/>
      <c r="G2033" s="140">
        <f>IFERROR(IF(E2033&gt;0,(F2033/E2033)*1000,""),"")</f>
        <v/>
      </c>
      <c r="H2033" s="139">
        <f>IFERROR(IF(E2033&gt;0,E2033*IF(ISNUMBER(J2033),J2033,IF(OR(C2033="Alpha",B2033="Alpha"),$C$7,IF(C2033="Futures",$C$6,$C$5))),""),"")</f>
        <v/>
      </c>
      <c r="I2033" s="139">
        <f>IFERROR(IF(AND(ISNUMBER(F2033),ISNUMBER(H2033)),F2033-H2033,""),"")</f>
        <v/>
      </c>
      <c r="J2033" s="114" t="n"/>
      <c r="K2033" s="139">
        <f>IFERROR(IF(H2033&gt;0,H2033*IF(OR(C2033="Alpha",B2033="Alpha"),$C$9,$C$8),""),"")</f>
        <v/>
      </c>
      <c r="L2033" s="139">
        <f>IFERROR(IF(ISNUMBER(F2033),F2033-IF(ISNUMBER(K2033),K2033,0),""),"")</f>
        <v/>
      </c>
    </row>
    <row r="2034" ht="24" customHeight="1" s="63">
      <c r="E2034" s="139" t="n"/>
      <c r="F2034" s="139" t="n"/>
      <c r="G2034" s="140">
        <f>IFERROR(IF(E2034&gt;0,(F2034/E2034)*1000,""),"")</f>
        <v/>
      </c>
      <c r="H2034" s="139">
        <f>IFERROR(IF(E2034&gt;0,E2034*IF(ISNUMBER(J2034),J2034,IF(OR(C2034="Alpha",B2034="Alpha"),$C$7,IF(C2034="Futures",$C$6,$C$5))),""),"")</f>
        <v/>
      </c>
      <c r="I2034" s="139">
        <f>IFERROR(IF(AND(ISNUMBER(F2034),ISNUMBER(H2034)),F2034-H2034,""),"")</f>
        <v/>
      </c>
      <c r="J2034" s="114" t="n"/>
      <c r="K2034" s="139">
        <f>IFERROR(IF(H2034&gt;0,H2034*IF(OR(C2034="Alpha",B2034="Alpha"),$C$9,$C$8),""),"")</f>
        <v/>
      </c>
      <c r="L2034" s="139">
        <f>IFERROR(IF(ISNUMBER(F2034),F2034-IF(ISNUMBER(K2034),K2034,0),""),"")</f>
        <v/>
      </c>
    </row>
    <row r="2035" ht="24" customHeight="1" s="63">
      <c r="E2035" s="139" t="n"/>
      <c r="F2035" s="139" t="n"/>
      <c r="G2035" s="140">
        <f>IFERROR(IF(E2035&gt;0,(F2035/E2035)*1000,""),"")</f>
        <v/>
      </c>
      <c r="H2035" s="139">
        <f>IFERROR(IF(E2035&gt;0,E2035*IF(ISNUMBER(J2035),J2035,IF(OR(C2035="Alpha",B2035="Alpha"),$C$7,IF(C2035="Futures",$C$6,$C$5))),""),"")</f>
        <v/>
      </c>
      <c r="I2035" s="139">
        <f>IFERROR(IF(AND(ISNUMBER(F2035),ISNUMBER(H2035)),F2035-H2035,""),"")</f>
        <v/>
      </c>
      <c r="J2035" s="114" t="n"/>
      <c r="K2035" s="139">
        <f>IFERROR(IF(H2035&gt;0,H2035*IF(OR(C2035="Alpha",B2035="Alpha"),$C$9,$C$8),""),"")</f>
        <v/>
      </c>
      <c r="L2035" s="139">
        <f>IFERROR(IF(ISNUMBER(F2035),F2035-IF(ISNUMBER(K2035),K2035,0),""),"")</f>
        <v/>
      </c>
    </row>
    <row r="2036" ht="24" customHeight="1" s="63">
      <c r="E2036" s="139" t="n"/>
      <c r="F2036" s="139" t="n"/>
      <c r="G2036" s="140">
        <f>IFERROR(IF(E2036&gt;0,(F2036/E2036)*1000,""),"")</f>
        <v/>
      </c>
      <c r="H2036" s="139">
        <f>IFERROR(IF(E2036&gt;0,E2036*IF(ISNUMBER(J2036),J2036,IF(OR(C2036="Alpha",B2036="Alpha"),$C$7,IF(C2036="Futures",$C$6,$C$5))),""),"")</f>
        <v/>
      </c>
      <c r="I2036" s="139">
        <f>IFERROR(IF(AND(ISNUMBER(F2036),ISNUMBER(H2036)),F2036-H2036,""),"")</f>
        <v/>
      </c>
      <c r="J2036" s="114" t="n"/>
      <c r="K2036" s="139">
        <f>IFERROR(IF(H2036&gt;0,H2036*IF(OR(C2036="Alpha",B2036="Alpha"),$C$9,$C$8),""),"")</f>
        <v/>
      </c>
      <c r="L2036" s="139">
        <f>IFERROR(IF(ISNUMBER(F2036),F2036-IF(ISNUMBER(K2036),K2036,0),""),"")</f>
        <v/>
      </c>
    </row>
    <row r="2037" ht="24" customHeight="1" s="63">
      <c r="E2037" s="139" t="n"/>
      <c r="F2037" s="139" t="n"/>
      <c r="G2037" s="140">
        <f>IFERROR(IF(E2037&gt;0,(F2037/E2037)*1000,""),"")</f>
        <v/>
      </c>
      <c r="H2037" s="139">
        <f>IFERROR(IF(E2037&gt;0,E2037*IF(ISNUMBER(J2037),J2037,IF(OR(C2037="Alpha",B2037="Alpha"),$C$7,IF(C2037="Futures",$C$6,$C$5))),""),"")</f>
        <v/>
      </c>
      <c r="I2037" s="139">
        <f>IFERROR(IF(AND(ISNUMBER(F2037),ISNUMBER(H2037)),F2037-H2037,""),"")</f>
        <v/>
      </c>
      <c r="J2037" s="114" t="n"/>
      <c r="K2037" s="139">
        <f>IFERROR(IF(H2037&gt;0,H2037*IF(OR(C2037="Alpha",B2037="Alpha"),$C$9,$C$8),""),"")</f>
        <v/>
      </c>
      <c r="L2037" s="139">
        <f>IFERROR(IF(ISNUMBER(F2037),F2037-IF(ISNUMBER(K2037),K2037,0),""),"")</f>
        <v/>
      </c>
    </row>
    <row r="2038" ht="24" customHeight="1" s="63">
      <c r="E2038" s="139" t="n"/>
      <c r="F2038" s="139" t="n"/>
      <c r="G2038" s="140">
        <f>IFERROR(IF(E2038&gt;0,(F2038/E2038)*1000,""),"")</f>
        <v/>
      </c>
      <c r="H2038" s="139">
        <f>IFERROR(IF(E2038&gt;0,E2038*IF(ISNUMBER(J2038),J2038,IF(OR(C2038="Alpha",B2038="Alpha"),$C$7,IF(C2038="Futures",$C$6,$C$5))),""),"")</f>
        <v/>
      </c>
      <c r="I2038" s="139">
        <f>IFERROR(IF(AND(ISNUMBER(F2038),ISNUMBER(H2038)),F2038-H2038,""),"")</f>
        <v/>
      </c>
      <c r="J2038" s="114" t="n"/>
      <c r="K2038" s="139">
        <f>IFERROR(IF(H2038&gt;0,H2038*IF(OR(C2038="Alpha",B2038="Alpha"),$C$9,$C$8),""),"")</f>
        <v/>
      </c>
      <c r="L2038" s="139">
        <f>IFERROR(IF(ISNUMBER(F2038),F2038-IF(ISNUMBER(K2038),K2038,0),""),"")</f>
        <v/>
      </c>
    </row>
    <row r="2039" ht="24" customHeight="1" s="63">
      <c r="E2039" s="139" t="n"/>
      <c r="F2039" s="139" t="n"/>
      <c r="G2039" s="140">
        <f>IFERROR(IF(E2039&gt;0,(F2039/E2039)*1000,""),"")</f>
        <v/>
      </c>
      <c r="H2039" s="139">
        <f>IFERROR(IF(E2039&gt;0,E2039*IF(ISNUMBER(J2039),J2039,IF(OR(C2039="Alpha",B2039="Alpha"),$C$7,IF(C2039="Futures",$C$6,$C$5))),""),"")</f>
        <v/>
      </c>
      <c r="I2039" s="139">
        <f>IFERROR(IF(AND(ISNUMBER(F2039),ISNUMBER(H2039)),F2039-H2039,""),"")</f>
        <v/>
      </c>
      <c r="J2039" s="114" t="n"/>
      <c r="K2039" s="139">
        <f>IFERROR(IF(H2039&gt;0,H2039*IF(OR(C2039="Alpha",B2039="Alpha"),$C$9,$C$8),""),"")</f>
        <v/>
      </c>
      <c r="L2039" s="139">
        <f>IFERROR(IF(ISNUMBER(F2039),F2039-IF(ISNUMBER(K2039),K2039,0),""),"")</f>
        <v/>
      </c>
    </row>
    <row r="2040" ht="24" customHeight="1" s="63">
      <c r="E2040" s="139" t="n"/>
      <c r="F2040" s="139" t="n"/>
      <c r="G2040" s="140">
        <f>IFERROR(IF(E2040&gt;0,(F2040/E2040)*1000,""),"")</f>
        <v/>
      </c>
      <c r="H2040" s="139">
        <f>IFERROR(IF(E2040&gt;0,E2040*IF(ISNUMBER(J2040),J2040,IF(OR(C2040="Alpha",B2040="Alpha"),$C$7,IF(C2040="Futures",$C$6,$C$5))),""),"")</f>
        <v/>
      </c>
      <c r="I2040" s="139">
        <f>IFERROR(IF(AND(ISNUMBER(F2040),ISNUMBER(H2040)),F2040-H2040,""),"")</f>
        <v/>
      </c>
      <c r="J2040" s="114" t="n"/>
      <c r="K2040" s="139">
        <f>IFERROR(IF(H2040&gt;0,H2040*IF(OR(C2040="Alpha",B2040="Alpha"),$C$9,$C$8),""),"")</f>
        <v/>
      </c>
      <c r="L2040" s="139">
        <f>IFERROR(IF(ISNUMBER(F2040),F2040-IF(ISNUMBER(K2040),K2040,0),""),"")</f>
        <v/>
      </c>
    </row>
    <row r="2041" ht="24" customHeight="1" s="63">
      <c r="E2041" s="139" t="n"/>
      <c r="F2041" s="139" t="n"/>
      <c r="G2041" s="140">
        <f>IFERROR(IF(E2041&gt;0,(F2041/E2041)*1000,""),"")</f>
        <v/>
      </c>
      <c r="H2041" s="139">
        <f>IFERROR(IF(E2041&gt;0,E2041*IF(ISNUMBER(J2041),J2041,IF(OR(C2041="Alpha",B2041="Alpha"),$C$7,IF(C2041="Futures",$C$6,$C$5))),""),"")</f>
        <v/>
      </c>
      <c r="I2041" s="139">
        <f>IFERROR(IF(AND(ISNUMBER(F2041),ISNUMBER(H2041)),F2041-H2041,""),"")</f>
        <v/>
      </c>
      <c r="J2041" s="114" t="n"/>
      <c r="K2041" s="139">
        <f>IFERROR(IF(H2041&gt;0,H2041*IF(OR(C2041="Alpha",B2041="Alpha"),$C$9,$C$8),""),"")</f>
        <v/>
      </c>
      <c r="L2041" s="139">
        <f>IFERROR(IF(ISNUMBER(F2041),F2041-IF(ISNUMBER(K2041),K2041,0),""),"")</f>
        <v/>
      </c>
    </row>
    <row r="2042" ht="24" customHeight="1" s="63">
      <c r="E2042" s="139" t="n"/>
      <c r="F2042" s="139" t="n"/>
      <c r="G2042" s="140">
        <f>IFERROR(IF(E2042&gt;0,(F2042/E2042)*1000,""),"")</f>
        <v/>
      </c>
      <c r="H2042" s="139">
        <f>IFERROR(IF(E2042&gt;0,E2042*IF(ISNUMBER(J2042),J2042,IF(OR(C2042="Alpha",B2042="Alpha"),$C$7,IF(C2042="Futures",$C$6,$C$5))),""),"")</f>
        <v/>
      </c>
      <c r="I2042" s="139">
        <f>IFERROR(IF(AND(ISNUMBER(F2042),ISNUMBER(H2042)),F2042-H2042,""),"")</f>
        <v/>
      </c>
      <c r="J2042" s="114" t="n"/>
      <c r="K2042" s="139">
        <f>IFERROR(IF(H2042&gt;0,H2042*IF(OR(C2042="Alpha",B2042="Alpha"),$C$9,$C$8),""),"")</f>
        <v/>
      </c>
      <c r="L2042" s="139">
        <f>IFERROR(IF(ISNUMBER(F2042),F2042-IF(ISNUMBER(K2042),K2042,0),""),"")</f>
        <v/>
      </c>
    </row>
    <row r="2043" ht="24" customHeight="1" s="63">
      <c r="E2043" s="139" t="n"/>
      <c r="F2043" s="139" t="n"/>
      <c r="G2043" s="140">
        <f>IFERROR(IF(E2043&gt;0,(F2043/E2043)*1000,""),"")</f>
        <v/>
      </c>
      <c r="H2043" s="139">
        <f>IFERROR(IF(E2043&gt;0,E2043*IF(ISNUMBER(J2043),J2043,IF(OR(C2043="Alpha",B2043="Alpha"),$C$7,IF(C2043="Futures",$C$6,$C$5))),""),"")</f>
        <v/>
      </c>
      <c r="I2043" s="139">
        <f>IFERROR(IF(AND(ISNUMBER(F2043),ISNUMBER(H2043)),F2043-H2043,""),"")</f>
        <v/>
      </c>
      <c r="J2043" s="114" t="n"/>
      <c r="K2043" s="139">
        <f>IFERROR(IF(H2043&gt;0,H2043*IF(OR(C2043="Alpha",B2043="Alpha"),$C$9,$C$8),""),"")</f>
        <v/>
      </c>
      <c r="L2043" s="139">
        <f>IFERROR(IF(ISNUMBER(F2043),F2043-IF(ISNUMBER(K2043),K2043,0),""),"")</f>
        <v/>
      </c>
    </row>
    <row r="2044" ht="24" customHeight="1" s="63">
      <c r="E2044" s="139" t="n"/>
      <c r="F2044" s="139" t="n"/>
      <c r="G2044" s="140">
        <f>IFERROR(IF(E2044&gt;0,(F2044/E2044)*1000,""),"")</f>
        <v/>
      </c>
      <c r="H2044" s="139">
        <f>IFERROR(IF(E2044&gt;0,E2044*IF(ISNUMBER(J2044),J2044,IF(OR(C2044="Alpha",B2044="Alpha"),$C$7,IF(C2044="Futures",$C$6,$C$5))),""),"")</f>
        <v/>
      </c>
      <c r="I2044" s="139">
        <f>IFERROR(IF(AND(ISNUMBER(F2044),ISNUMBER(H2044)),F2044-H2044,""),"")</f>
        <v/>
      </c>
      <c r="J2044" s="114" t="n"/>
      <c r="K2044" s="139">
        <f>IFERROR(IF(H2044&gt;0,H2044*IF(OR(C2044="Alpha",B2044="Alpha"),$C$9,$C$8),""),"")</f>
        <v/>
      </c>
      <c r="L2044" s="139">
        <f>IFERROR(IF(ISNUMBER(F2044),F2044-IF(ISNUMBER(K2044),K2044,0),""),"")</f>
        <v/>
      </c>
    </row>
    <row r="2045" ht="24" customHeight="1" s="63">
      <c r="E2045" s="139" t="n"/>
      <c r="F2045" s="139" t="n"/>
      <c r="G2045" s="140">
        <f>IFERROR(IF(E2045&gt;0,(F2045/E2045)*1000,""),"")</f>
        <v/>
      </c>
      <c r="H2045" s="139">
        <f>IFERROR(IF(E2045&gt;0,E2045*IF(ISNUMBER(J2045),J2045,IF(OR(C2045="Alpha",B2045="Alpha"),$C$7,IF(C2045="Futures",$C$6,$C$5))),""),"")</f>
        <v/>
      </c>
      <c r="I2045" s="139">
        <f>IFERROR(IF(AND(ISNUMBER(F2045),ISNUMBER(H2045)),F2045-H2045,""),"")</f>
        <v/>
      </c>
      <c r="J2045" s="114" t="n"/>
      <c r="K2045" s="139">
        <f>IFERROR(IF(H2045&gt;0,H2045*IF(OR(C2045="Alpha",B2045="Alpha"),$C$9,$C$8),""),"")</f>
        <v/>
      </c>
      <c r="L2045" s="139">
        <f>IFERROR(IF(ISNUMBER(F2045),F2045-IF(ISNUMBER(K2045),K2045,0),""),"")</f>
        <v/>
      </c>
    </row>
    <row r="2046" ht="24" customHeight="1" s="63">
      <c r="E2046" s="139" t="n"/>
      <c r="F2046" s="139" t="n"/>
      <c r="G2046" s="140">
        <f>IFERROR(IF(E2046&gt;0,(F2046/E2046)*1000,""),"")</f>
        <v/>
      </c>
      <c r="H2046" s="139">
        <f>IFERROR(IF(E2046&gt;0,E2046*IF(ISNUMBER(J2046),J2046,IF(OR(C2046="Alpha",B2046="Alpha"),$C$7,IF(C2046="Futures",$C$6,$C$5))),""),"")</f>
        <v/>
      </c>
      <c r="I2046" s="139">
        <f>IFERROR(IF(AND(ISNUMBER(F2046),ISNUMBER(H2046)),F2046-H2046,""),"")</f>
        <v/>
      </c>
      <c r="J2046" s="114" t="n"/>
      <c r="K2046" s="139">
        <f>IFERROR(IF(H2046&gt;0,H2046*IF(OR(C2046="Alpha",B2046="Alpha"),$C$9,$C$8),""),"")</f>
        <v/>
      </c>
      <c r="L2046" s="139">
        <f>IFERROR(IF(ISNUMBER(F2046),F2046-IF(ISNUMBER(K2046),K2046,0),""),"")</f>
        <v/>
      </c>
    </row>
    <row r="2047" ht="24" customHeight="1" s="63">
      <c r="E2047" s="139" t="n"/>
      <c r="F2047" s="139" t="n"/>
      <c r="G2047" s="140">
        <f>IFERROR(IF(E2047&gt;0,(F2047/E2047)*1000,""),"")</f>
        <v/>
      </c>
      <c r="H2047" s="139">
        <f>IFERROR(IF(E2047&gt;0,E2047*IF(ISNUMBER(J2047),J2047,IF(OR(C2047="Alpha",B2047="Alpha"),$C$7,IF(C2047="Futures",$C$6,$C$5))),""),"")</f>
        <v/>
      </c>
      <c r="I2047" s="139">
        <f>IFERROR(IF(AND(ISNUMBER(F2047),ISNUMBER(H2047)),F2047-H2047,""),"")</f>
        <v/>
      </c>
      <c r="J2047" s="114" t="n"/>
      <c r="K2047" s="139">
        <f>IFERROR(IF(H2047&gt;0,H2047*IF(OR(C2047="Alpha",B2047="Alpha"),$C$9,$C$8),""),"")</f>
        <v/>
      </c>
      <c r="L2047" s="139">
        <f>IFERROR(IF(ISNUMBER(F2047),F2047-IF(ISNUMBER(K2047),K2047,0),""),"")</f>
        <v/>
      </c>
    </row>
    <row r="2048" ht="24" customHeight="1" s="63">
      <c r="E2048" s="139" t="n"/>
      <c r="F2048" s="139" t="n"/>
      <c r="G2048" s="140">
        <f>IFERROR(IF(E2048&gt;0,(F2048/E2048)*1000,""),"")</f>
        <v/>
      </c>
      <c r="H2048" s="139">
        <f>IFERROR(IF(E2048&gt;0,E2048*IF(ISNUMBER(J2048),J2048,IF(OR(C2048="Alpha",B2048="Alpha"),$C$7,IF(C2048="Futures",$C$6,$C$5))),""),"")</f>
        <v/>
      </c>
      <c r="I2048" s="139">
        <f>IFERROR(IF(AND(ISNUMBER(F2048),ISNUMBER(H2048)),F2048-H2048,""),"")</f>
        <v/>
      </c>
      <c r="J2048" s="114" t="n"/>
      <c r="K2048" s="139">
        <f>IFERROR(IF(H2048&gt;0,H2048*IF(OR(C2048="Alpha",B2048="Alpha"),$C$9,$C$8),""),"")</f>
        <v/>
      </c>
      <c r="L2048" s="139">
        <f>IFERROR(IF(ISNUMBER(F2048),F2048-IF(ISNUMBER(K2048),K2048,0),""),"")</f>
        <v/>
      </c>
    </row>
    <row r="2049" ht="24" customHeight="1" s="63">
      <c r="E2049" s="139" t="n"/>
      <c r="F2049" s="139" t="n"/>
      <c r="G2049" s="140">
        <f>IFERROR(IF(E2049&gt;0,(F2049/E2049)*1000,""),"")</f>
        <v/>
      </c>
      <c r="H2049" s="139">
        <f>IFERROR(IF(E2049&gt;0,E2049*IF(ISNUMBER(J2049),J2049,IF(OR(C2049="Alpha",B2049="Alpha"),$C$7,IF(C2049="Futures",$C$6,$C$5))),""),"")</f>
        <v/>
      </c>
      <c r="I2049" s="139">
        <f>IFERROR(IF(AND(ISNUMBER(F2049),ISNUMBER(H2049)),F2049-H2049,""),"")</f>
        <v/>
      </c>
      <c r="J2049" s="114" t="n"/>
      <c r="K2049" s="139">
        <f>IFERROR(IF(H2049&gt;0,H2049*IF(OR(C2049="Alpha",B2049="Alpha"),$C$9,$C$8),""),"")</f>
        <v/>
      </c>
      <c r="L2049" s="139">
        <f>IFERROR(IF(ISNUMBER(F2049),F2049-IF(ISNUMBER(K2049),K2049,0),""),"")</f>
        <v/>
      </c>
    </row>
    <row r="2050" ht="24" customHeight="1" s="63">
      <c r="E2050" s="139" t="n"/>
      <c r="F2050" s="139" t="n"/>
      <c r="G2050" s="140">
        <f>IFERROR(IF(E2050&gt;0,(F2050/E2050)*1000,""),"")</f>
        <v/>
      </c>
      <c r="H2050" s="139">
        <f>IFERROR(IF(E2050&gt;0,E2050*IF(ISNUMBER(J2050),J2050,IF(OR(C2050="Alpha",B2050="Alpha"),$C$7,IF(C2050="Futures",$C$6,$C$5))),""),"")</f>
        <v/>
      </c>
      <c r="I2050" s="139">
        <f>IFERROR(IF(AND(ISNUMBER(F2050),ISNUMBER(H2050)),F2050-H2050,""),"")</f>
        <v/>
      </c>
      <c r="J2050" s="114" t="n"/>
      <c r="K2050" s="139">
        <f>IFERROR(IF(H2050&gt;0,H2050*IF(OR(C2050="Alpha",B2050="Alpha"),$C$9,$C$8),""),"")</f>
        <v/>
      </c>
      <c r="L2050" s="139">
        <f>IFERROR(IF(ISNUMBER(F2050),F2050-IF(ISNUMBER(K2050),K2050,0),""),"")</f>
        <v/>
      </c>
    </row>
    <row r="2051" ht="24" customHeight="1" s="63">
      <c r="E2051" s="139" t="n"/>
      <c r="F2051" s="139" t="n"/>
      <c r="G2051" s="140">
        <f>IFERROR(IF(E2051&gt;0,(F2051/E2051)*1000,""),"")</f>
        <v/>
      </c>
      <c r="H2051" s="139">
        <f>IFERROR(IF(E2051&gt;0,E2051*IF(ISNUMBER(J2051),J2051,IF(OR(C2051="Alpha",B2051="Alpha"),$C$7,IF(C2051="Futures",$C$6,$C$5))),""),"")</f>
        <v/>
      </c>
      <c r="I2051" s="139">
        <f>IFERROR(IF(AND(ISNUMBER(F2051),ISNUMBER(H2051)),F2051-H2051,""),"")</f>
        <v/>
      </c>
      <c r="J2051" s="114" t="n"/>
      <c r="K2051" s="139">
        <f>IFERROR(IF(H2051&gt;0,H2051*IF(OR(C2051="Alpha",B2051="Alpha"),$C$9,$C$8),""),"")</f>
        <v/>
      </c>
      <c r="L2051" s="139">
        <f>IFERROR(IF(ISNUMBER(F2051),F2051-IF(ISNUMBER(K2051),K2051,0),""),"")</f>
        <v/>
      </c>
    </row>
    <row r="2052" ht="24" customHeight="1" s="63">
      <c r="E2052" s="139" t="n"/>
      <c r="F2052" s="139" t="n"/>
      <c r="G2052" s="140">
        <f>IFERROR(IF(E2052&gt;0,(F2052/E2052)*1000,""),"")</f>
        <v/>
      </c>
      <c r="H2052" s="139">
        <f>IFERROR(IF(E2052&gt;0,E2052*IF(ISNUMBER(J2052),J2052,IF(OR(C2052="Alpha",B2052="Alpha"),$C$7,IF(C2052="Futures",$C$6,$C$5))),""),"")</f>
        <v/>
      </c>
      <c r="I2052" s="139">
        <f>IFERROR(IF(AND(ISNUMBER(F2052),ISNUMBER(H2052)),F2052-H2052,""),"")</f>
        <v/>
      </c>
      <c r="J2052" s="114" t="n"/>
      <c r="K2052" s="139">
        <f>IFERROR(IF(H2052&gt;0,H2052*IF(OR(C2052="Alpha",B2052="Alpha"),$C$9,$C$8),""),"")</f>
        <v/>
      </c>
      <c r="L2052" s="139">
        <f>IFERROR(IF(ISNUMBER(F2052),F2052-IF(ISNUMBER(K2052),K2052,0),""),"")</f>
        <v/>
      </c>
    </row>
    <row r="2053" ht="24" customHeight="1" s="63">
      <c r="E2053" s="139" t="n"/>
      <c r="F2053" s="139" t="n"/>
      <c r="G2053" s="140">
        <f>IFERROR(IF(E2053&gt;0,(F2053/E2053)*1000,""),"")</f>
        <v/>
      </c>
      <c r="H2053" s="139">
        <f>IFERROR(IF(E2053&gt;0,E2053*IF(ISNUMBER(J2053),J2053,IF(OR(C2053="Alpha",B2053="Alpha"),$C$7,IF(C2053="Futures",$C$6,$C$5))),""),"")</f>
        <v/>
      </c>
      <c r="I2053" s="139">
        <f>IFERROR(IF(AND(ISNUMBER(F2053),ISNUMBER(H2053)),F2053-H2053,""),"")</f>
        <v/>
      </c>
      <c r="J2053" s="114" t="n"/>
      <c r="K2053" s="139">
        <f>IFERROR(IF(H2053&gt;0,H2053*IF(OR(C2053="Alpha",B2053="Alpha"),$C$9,$C$8),""),"")</f>
        <v/>
      </c>
      <c r="L2053" s="139">
        <f>IFERROR(IF(ISNUMBER(F2053),F2053-IF(ISNUMBER(K2053),K2053,0),""),"")</f>
        <v/>
      </c>
    </row>
    <row r="2054" ht="24" customHeight="1" s="63">
      <c r="E2054" s="139" t="n"/>
      <c r="F2054" s="139" t="n"/>
      <c r="G2054" s="140">
        <f>IFERROR(IF(E2054&gt;0,(F2054/E2054)*1000,""),"")</f>
        <v/>
      </c>
      <c r="H2054" s="139">
        <f>IFERROR(IF(E2054&gt;0,E2054*IF(ISNUMBER(J2054),J2054,IF(OR(C2054="Alpha",B2054="Alpha"),$C$7,IF(C2054="Futures",$C$6,$C$5))),""),"")</f>
        <v/>
      </c>
      <c r="I2054" s="139">
        <f>IFERROR(IF(AND(ISNUMBER(F2054),ISNUMBER(H2054)),F2054-H2054,""),"")</f>
        <v/>
      </c>
      <c r="J2054" s="114" t="n"/>
      <c r="K2054" s="139">
        <f>IFERROR(IF(H2054&gt;0,H2054*IF(OR(C2054="Alpha",B2054="Alpha"),$C$9,$C$8),""),"")</f>
        <v/>
      </c>
      <c r="L2054" s="139">
        <f>IFERROR(IF(ISNUMBER(F2054),F2054-IF(ISNUMBER(K2054),K2054,0),""),"")</f>
        <v/>
      </c>
    </row>
    <row r="2055" ht="24" customHeight="1" s="63">
      <c r="E2055" s="139" t="n"/>
      <c r="F2055" s="139" t="n"/>
      <c r="G2055" s="140">
        <f>IFERROR(IF(E2055&gt;0,(F2055/E2055)*1000,""),"")</f>
        <v/>
      </c>
      <c r="H2055" s="139">
        <f>IFERROR(IF(E2055&gt;0,E2055*IF(ISNUMBER(J2055),J2055,IF(OR(C2055="Alpha",B2055="Alpha"),$C$7,IF(C2055="Futures",$C$6,$C$5))),""),"")</f>
        <v/>
      </c>
      <c r="I2055" s="139">
        <f>IFERROR(IF(AND(ISNUMBER(F2055),ISNUMBER(H2055)),F2055-H2055,""),"")</f>
        <v/>
      </c>
      <c r="J2055" s="114" t="n"/>
      <c r="K2055" s="139">
        <f>IFERROR(IF(H2055&gt;0,H2055*IF(OR(C2055="Alpha",B2055="Alpha"),$C$9,$C$8),""),"")</f>
        <v/>
      </c>
      <c r="L2055" s="139">
        <f>IFERROR(IF(ISNUMBER(F2055),F2055-IF(ISNUMBER(K2055),K2055,0),""),"")</f>
        <v/>
      </c>
    </row>
    <row r="2056" ht="24" customHeight="1" s="63">
      <c r="E2056" s="139" t="n"/>
      <c r="F2056" s="139" t="n"/>
      <c r="G2056" s="140">
        <f>IFERROR(IF(E2056&gt;0,(F2056/E2056)*1000,""),"")</f>
        <v/>
      </c>
      <c r="H2056" s="139">
        <f>IFERROR(IF(E2056&gt;0,E2056*IF(ISNUMBER(J2056),J2056,IF(OR(C2056="Alpha",B2056="Alpha"),$C$7,IF(C2056="Futures",$C$6,$C$5))),""),"")</f>
        <v/>
      </c>
      <c r="I2056" s="139">
        <f>IFERROR(IF(AND(ISNUMBER(F2056),ISNUMBER(H2056)),F2056-H2056,""),"")</f>
        <v/>
      </c>
      <c r="J2056" s="114" t="n"/>
      <c r="K2056" s="139">
        <f>IFERROR(IF(H2056&gt;0,H2056*IF(OR(C2056="Alpha",B2056="Alpha"),$C$9,$C$8),""),"")</f>
        <v/>
      </c>
      <c r="L2056" s="139">
        <f>IFERROR(IF(ISNUMBER(F2056),F2056-IF(ISNUMBER(K2056),K2056,0),""),"")</f>
        <v/>
      </c>
    </row>
    <row r="2057" ht="24" customHeight="1" s="63">
      <c r="E2057" s="139" t="n"/>
      <c r="F2057" s="139" t="n"/>
      <c r="G2057" s="140">
        <f>IFERROR(IF(E2057&gt;0,(F2057/E2057)*1000,""),"")</f>
        <v/>
      </c>
      <c r="H2057" s="139">
        <f>IFERROR(IF(E2057&gt;0,E2057*IF(ISNUMBER(J2057),J2057,IF(OR(C2057="Alpha",B2057="Alpha"),$C$7,IF(C2057="Futures",$C$6,$C$5))),""),"")</f>
        <v/>
      </c>
      <c r="I2057" s="139">
        <f>IFERROR(IF(AND(ISNUMBER(F2057),ISNUMBER(H2057)),F2057-H2057,""),"")</f>
        <v/>
      </c>
      <c r="J2057" s="114" t="n"/>
      <c r="K2057" s="139">
        <f>IFERROR(IF(H2057&gt;0,H2057*IF(OR(C2057="Alpha",B2057="Alpha"),$C$9,$C$8),""),"")</f>
        <v/>
      </c>
      <c r="L2057" s="139">
        <f>IFERROR(IF(ISNUMBER(F2057),F2057-IF(ISNUMBER(K2057),K2057,0),""),"")</f>
        <v/>
      </c>
    </row>
    <row r="2058" ht="24" customHeight="1" s="63">
      <c r="E2058" s="139" t="n"/>
      <c r="F2058" s="139" t="n"/>
      <c r="G2058" s="140">
        <f>IFERROR(IF(E2058&gt;0,(F2058/E2058)*1000,""),"")</f>
        <v/>
      </c>
      <c r="H2058" s="139">
        <f>IFERROR(IF(E2058&gt;0,E2058*IF(ISNUMBER(J2058),J2058,IF(OR(C2058="Alpha",B2058="Alpha"),$C$7,IF(C2058="Futures",$C$6,$C$5))),""),"")</f>
        <v/>
      </c>
      <c r="I2058" s="139">
        <f>IFERROR(IF(AND(ISNUMBER(F2058),ISNUMBER(H2058)),F2058-H2058,""),"")</f>
        <v/>
      </c>
      <c r="J2058" s="114" t="n"/>
      <c r="K2058" s="139">
        <f>IFERROR(IF(H2058&gt;0,H2058*IF(OR(C2058="Alpha",B2058="Alpha"),$C$9,$C$8),""),"")</f>
        <v/>
      </c>
      <c r="L2058" s="139">
        <f>IFERROR(IF(ISNUMBER(F2058),F2058-IF(ISNUMBER(K2058),K2058,0),""),"")</f>
        <v/>
      </c>
    </row>
    <row r="2059" ht="24" customHeight="1" s="63">
      <c r="E2059" s="139" t="n"/>
      <c r="F2059" s="139" t="n"/>
      <c r="G2059" s="140">
        <f>IFERROR(IF(E2059&gt;0,(F2059/E2059)*1000,""),"")</f>
        <v/>
      </c>
      <c r="H2059" s="139">
        <f>IFERROR(IF(E2059&gt;0,E2059*IF(ISNUMBER(J2059),J2059,IF(OR(C2059="Alpha",B2059="Alpha"),$C$7,IF(C2059="Futures",$C$6,$C$5))),""),"")</f>
        <v/>
      </c>
      <c r="I2059" s="139">
        <f>IFERROR(IF(AND(ISNUMBER(F2059),ISNUMBER(H2059)),F2059-H2059,""),"")</f>
        <v/>
      </c>
      <c r="J2059" s="114" t="n"/>
      <c r="K2059" s="139">
        <f>IFERROR(IF(H2059&gt;0,H2059*IF(OR(C2059="Alpha",B2059="Alpha"),$C$9,$C$8),""),"")</f>
        <v/>
      </c>
      <c r="L2059" s="139">
        <f>IFERROR(IF(ISNUMBER(F2059),F2059-IF(ISNUMBER(K2059),K2059,0),""),"")</f>
        <v/>
      </c>
    </row>
    <row r="2060" ht="24" customHeight="1" s="63">
      <c r="E2060" s="139" t="n"/>
      <c r="F2060" s="139" t="n"/>
      <c r="G2060" s="140">
        <f>IFERROR(IF(E2060&gt;0,(F2060/E2060)*1000,""),"")</f>
        <v/>
      </c>
      <c r="H2060" s="139">
        <f>IFERROR(IF(E2060&gt;0,E2060*IF(ISNUMBER(J2060),J2060,IF(OR(C2060="Alpha",B2060="Alpha"),$C$7,IF(C2060="Futures",$C$6,$C$5))),""),"")</f>
        <v/>
      </c>
      <c r="I2060" s="139">
        <f>IFERROR(IF(AND(ISNUMBER(F2060),ISNUMBER(H2060)),F2060-H2060,""),"")</f>
        <v/>
      </c>
      <c r="J2060" s="114" t="n"/>
      <c r="K2060" s="139">
        <f>IFERROR(IF(H2060&gt;0,H2060*IF(OR(C2060="Alpha",B2060="Alpha"),$C$9,$C$8),""),"")</f>
        <v/>
      </c>
      <c r="L2060" s="139">
        <f>IFERROR(IF(ISNUMBER(F2060),F2060-IF(ISNUMBER(K2060),K2060,0),""),"")</f>
        <v/>
      </c>
    </row>
    <row r="2061" ht="24" customHeight="1" s="63">
      <c r="E2061" s="139" t="n"/>
      <c r="F2061" s="139" t="n"/>
      <c r="G2061" s="140">
        <f>IFERROR(IF(E2061&gt;0,(F2061/E2061)*1000,""),"")</f>
        <v/>
      </c>
      <c r="H2061" s="139">
        <f>IFERROR(IF(E2061&gt;0,E2061*IF(ISNUMBER(J2061),J2061,IF(OR(C2061="Alpha",B2061="Alpha"),$C$7,IF(C2061="Futures",$C$6,$C$5))),""),"")</f>
        <v/>
      </c>
      <c r="I2061" s="139">
        <f>IFERROR(IF(AND(ISNUMBER(F2061),ISNUMBER(H2061)),F2061-H2061,""),"")</f>
        <v/>
      </c>
      <c r="J2061" s="114" t="n"/>
      <c r="K2061" s="139">
        <f>IFERROR(IF(H2061&gt;0,H2061*IF(OR(C2061="Alpha",B2061="Alpha"),$C$9,$C$8),""),"")</f>
        <v/>
      </c>
      <c r="L2061" s="139">
        <f>IFERROR(IF(ISNUMBER(F2061),F2061-IF(ISNUMBER(K2061),K2061,0),""),"")</f>
        <v/>
      </c>
    </row>
    <row r="2062" ht="24" customHeight="1" s="63">
      <c r="E2062" s="139" t="n"/>
      <c r="F2062" s="139" t="n"/>
      <c r="G2062" s="140">
        <f>IFERROR(IF(E2062&gt;0,(F2062/E2062)*1000,""),"")</f>
        <v/>
      </c>
      <c r="H2062" s="139">
        <f>IFERROR(IF(E2062&gt;0,E2062*IF(ISNUMBER(J2062),J2062,IF(OR(C2062="Alpha",B2062="Alpha"),$C$7,IF(C2062="Futures",$C$6,$C$5))),""),"")</f>
        <v/>
      </c>
      <c r="I2062" s="139">
        <f>IFERROR(IF(AND(ISNUMBER(F2062),ISNUMBER(H2062)),F2062-H2062,""),"")</f>
        <v/>
      </c>
      <c r="J2062" s="114" t="n"/>
      <c r="K2062" s="139">
        <f>IFERROR(IF(H2062&gt;0,H2062*IF(OR(C2062="Alpha",B2062="Alpha"),$C$9,$C$8),""),"")</f>
        <v/>
      </c>
      <c r="L2062" s="139">
        <f>IFERROR(IF(ISNUMBER(F2062),F2062-IF(ISNUMBER(K2062),K2062,0),""),"")</f>
        <v/>
      </c>
    </row>
    <row r="2063" ht="24" customHeight="1" s="63">
      <c r="E2063" s="139" t="n"/>
      <c r="F2063" s="139" t="n"/>
      <c r="G2063" s="140">
        <f>IFERROR(IF(E2063&gt;0,(F2063/E2063)*1000,""),"")</f>
        <v/>
      </c>
      <c r="H2063" s="139">
        <f>IFERROR(IF(E2063&gt;0,E2063*IF(ISNUMBER(J2063),J2063,IF(OR(C2063="Alpha",B2063="Alpha"),$C$7,IF(C2063="Futures",$C$6,$C$5))),""),"")</f>
        <v/>
      </c>
      <c r="I2063" s="139">
        <f>IFERROR(IF(AND(ISNUMBER(F2063),ISNUMBER(H2063)),F2063-H2063,""),"")</f>
        <v/>
      </c>
      <c r="J2063" s="114" t="n"/>
      <c r="K2063" s="139">
        <f>IFERROR(IF(H2063&gt;0,H2063*IF(OR(C2063="Alpha",B2063="Alpha"),$C$9,$C$8),""),"")</f>
        <v/>
      </c>
      <c r="L2063" s="139">
        <f>IFERROR(IF(ISNUMBER(F2063),F2063-IF(ISNUMBER(K2063),K2063,0),""),"")</f>
        <v/>
      </c>
    </row>
    <row r="2064" ht="24" customHeight="1" s="63">
      <c r="E2064" s="139" t="n"/>
      <c r="F2064" s="139" t="n"/>
      <c r="G2064" s="140">
        <f>IFERROR(IF(E2064&gt;0,(F2064/E2064)*1000,""),"")</f>
        <v/>
      </c>
      <c r="H2064" s="139">
        <f>IFERROR(IF(E2064&gt;0,E2064*IF(ISNUMBER(J2064),J2064,IF(OR(C2064="Alpha",B2064="Alpha"),$C$7,IF(C2064="Futures",$C$6,$C$5))),""),"")</f>
        <v/>
      </c>
      <c r="I2064" s="139">
        <f>IFERROR(IF(AND(ISNUMBER(F2064),ISNUMBER(H2064)),F2064-H2064,""),"")</f>
        <v/>
      </c>
      <c r="J2064" s="114" t="n"/>
      <c r="K2064" s="139">
        <f>IFERROR(IF(H2064&gt;0,H2064*IF(OR(C2064="Alpha",B2064="Alpha"),$C$9,$C$8),""),"")</f>
        <v/>
      </c>
      <c r="L2064" s="139">
        <f>IFERROR(IF(ISNUMBER(F2064),F2064-IF(ISNUMBER(K2064),K2064,0),""),"")</f>
        <v/>
      </c>
    </row>
    <row r="2065" ht="24" customHeight="1" s="63">
      <c r="E2065" s="139" t="n"/>
      <c r="F2065" s="139" t="n"/>
      <c r="G2065" s="140">
        <f>IFERROR(IF(E2065&gt;0,(F2065/E2065)*1000,""),"")</f>
        <v/>
      </c>
      <c r="H2065" s="139">
        <f>IFERROR(IF(E2065&gt;0,E2065*IF(ISNUMBER(J2065),J2065,IF(OR(C2065="Alpha",B2065="Alpha"),$C$7,IF(C2065="Futures",$C$6,$C$5))),""),"")</f>
        <v/>
      </c>
      <c r="I2065" s="139">
        <f>IFERROR(IF(AND(ISNUMBER(F2065),ISNUMBER(H2065)),F2065-H2065,""),"")</f>
        <v/>
      </c>
      <c r="J2065" s="114" t="n"/>
      <c r="K2065" s="139">
        <f>IFERROR(IF(H2065&gt;0,H2065*IF(OR(C2065="Alpha",B2065="Alpha"),$C$9,$C$8),""),"")</f>
        <v/>
      </c>
      <c r="L2065" s="139">
        <f>IFERROR(IF(ISNUMBER(F2065),F2065-IF(ISNUMBER(K2065),K2065,0),""),"")</f>
        <v/>
      </c>
    </row>
    <row r="2066" ht="24" customHeight="1" s="63">
      <c r="E2066" s="139" t="n"/>
      <c r="F2066" s="139" t="n"/>
      <c r="G2066" s="140">
        <f>IFERROR(IF(E2066&gt;0,(F2066/E2066)*1000,""),"")</f>
        <v/>
      </c>
      <c r="H2066" s="139">
        <f>IFERROR(IF(E2066&gt;0,E2066*IF(ISNUMBER(J2066),J2066,IF(OR(C2066="Alpha",B2066="Alpha"),$C$7,IF(C2066="Futures",$C$6,$C$5))),""),"")</f>
        <v/>
      </c>
      <c r="I2066" s="139">
        <f>IFERROR(IF(AND(ISNUMBER(F2066),ISNUMBER(H2066)),F2066-H2066,""),"")</f>
        <v/>
      </c>
      <c r="J2066" s="114" t="n"/>
      <c r="K2066" s="139">
        <f>IFERROR(IF(H2066&gt;0,H2066*IF(OR(C2066="Alpha",B2066="Alpha"),$C$9,$C$8),""),"")</f>
        <v/>
      </c>
      <c r="L2066" s="139">
        <f>IFERROR(IF(ISNUMBER(F2066),F2066-IF(ISNUMBER(K2066),K2066,0),""),"")</f>
        <v/>
      </c>
    </row>
    <row r="2067" ht="24" customHeight="1" s="63">
      <c r="E2067" s="139" t="n"/>
      <c r="F2067" s="139" t="n"/>
      <c r="G2067" s="140">
        <f>IFERROR(IF(E2067&gt;0,(F2067/E2067)*1000,""),"")</f>
        <v/>
      </c>
      <c r="H2067" s="139">
        <f>IFERROR(IF(E2067&gt;0,E2067*IF(ISNUMBER(J2067),J2067,IF(OR(C2067="Alpha",B2067="Alpha"),$C$7,IF(C2067="Futures",$C$6,$C$5))),""),"")</f>
        <v/>
      </c>
      <c r="I2067" s="139">
        <f>IFERROR(IF(AND(ISNUMBER(F2067),ISNUMBER(H2067)),F2067-H2067,""),"")</f>
        <v/>
      </c>
      <c r="J2067" s="114" t="n"/>
      <c r="K2067" s="139">
        <f>IFERROR(IF(H2067&gt;0,H2067*IF(OR(C2067="Alpha",B2067="Alpha"),$C$9,$C$8),""),"")</f>
        <v/>
      </c>
      <c r="L2067" s="139">
        <f>IFERROR(IF(ISNUMBER(F2067),F2067-IF(ISNUMBER(K2067),K2067,0),""),"")</f>
        <v/>
      </c>
    </row>
    <row r="2068" ht="24" customHeight="1" s="63">
      <c r="E2068" s="139" t="n"/>
      <c r="F2068" s="139" t="n"/>
      <c r="G2068" s="140">
        <f>IFERROR(IF(E2068&gt;0,(F2068/E2068)*1000,""),"")</f>
        <v/>
      </c>
      <c r="H2068" s="139">
        <f>IFERROR(IF(E2068&gt;0,E2068*IF(ISNUMBER(J2068),J2068,IF(OR(C2068="Alpha",B2068="Alpha"),$C$7,IF(C2068="Futures",$C$6,$C$5))),""),"")</f>
        <v/>
      </c>
      <c r="I2068" s="139">
        <f>IFERROR(IF(AND(ISNUMBER(F2068),ISNUMBER(H2068)),F2068-H2068,""),"")</f>
        <v/>
      </c>
      <c r="J2068" s="114" t="n"/>
      <c r="K2068" s="139">
        <f>IFERROR(IF(H2068&gt;0,H2068*IF(OR(C2068="Alpha",B2068="Alpha"),$C$9,$C$8),""),"")</f>
        <v/>
      </c>
      <c r="L2068" s="139">
        <f>IFERROR(IF(ISNUMBER(F2068),F2068-IF(ISNUMBER(K2068),K2068,0),""),"")</f>
        <v/>
      </c>
    </row>
    <row r="2069" ht="24" customHeight="1" s="63">
      <c r="E2069" s="139" t="n"/>
      <c r="F2069" s="139" t="n"/>
      <c r="G2069" s="140">
        <f>IFERROR(IF(E2069&gt;0,(F2069/E2069)*1000,""),"")</f>
        <v/>
      </c>
      <c r="H2069" s="139">
        <f>IFERROR(IF(E2069&gt;0,E2069*IF(ISNUMBER(J2069),J2069,IF(OR(C2069="Alpha",B2069="Alpha"),$C$7,IF(C2069="Futures",$C$6,$C$5))),""),"")</f>
        <v/>
      </c>
      <c r="I2069" s="139">
        <f>IFERROR(IF(AND(ISNUMBER(F2069),ISNUMBER(H2069)),F2069-H2069,""),"")</f>
        <v/>
      </c>
      <c r="J2069" s="114" t="n"/>
      <c r="K2069" s="139">
        <f>IFERROR(IF(H2069&gt;0,H2069*IF(OR(C2069="Alpha",B2069="Alpha"),$C$9,$C$8),""),"")</f>
        <v/>
      </c>
      <c r="L2069" s="139">
        <f>IFERROR(IF(ISNUMBER(F2069),F2069-IF(ISNUMBER(K2069),K2069,0),""),"")</f>
        <v/>
      </c>
    </row>
    <row r="2070" ht="24" customHeight="1" s="63">
      <c r="E2070" s="139" t="n"/>
      <c r="F2070" s="139" t="n"/>
      <c r="G2070" s="140">
        <f>IFERROR(IF(E2070&gt;0,(F2070/E2070)*1000,""),"")</f>
        <v/>
      </c>
      <c r="H2070" s="139">
        <f>IFERROR(IF(E2070&gt;0,E2070*IF(ISNUMBER(J2070),J2070,IF(OR(C2070="Alpha",B2070="Alpha"),$C$7,IF(C2070="Futures",$C$6,$C$5))),""),"")</f>
        <v/>
      </c>
      <c r="I2070" s="139">
        <f>IFERROR(IF(AND(ISNUMBER(F2070),ISNUMBER(H2070)),F2070-H2070,""),"")</f>
        <v/>
      </c>
      <c r="J2070" s="114" t="n"/>
      <c r="K2070" s="139">
        <f>IFERROR(IF(H2070&gt;0,H2070*IF(OR(C2070="Alpha",B2070="Alpha"),$C$9,$C$8),""),"")</f>
        <v/>
      </c>
      <c r="L2070" s="139">
        <f>IFERROR(IF(ISNUMBER(F2070),F2070-IF(ISNUMBER(K2070),K2070,0),""),"")</f>
        <v/>
      </c>
    </row>
    <row r="2071" ht="24" customHeight="1" s="63">
      <c r="E2071" s="139" t="n"/>
      <c r="F2071" s="139" t="n"/>
      <c r="G2071" s="140">
        <f>IFERROR(IF(E2071&gt;0,(F2071/E2071)*1000,""),"")</f>
        <v/>
      </c>
      <c r="H2071" s="139">
        <f>IFERROR(IF(E2071&gt;0,E2071*IF(ISNUMBER(J2071),J2071,IF(OR(C2071="Alpha",B2071="Alpha"),$C$7,IF(C2071="Futures",$C$6,$C$5))),""),"")</f>
        <v/>
      </c>
      <c r="I2071" s="139">
        <f>IFERROR(IF(AND(ISNUMBER(F2071),ISNUMBER(H2071)),F2071-H2071,""),"")</f>
        <v/>
      </c>
      <c r="J2071" s="114" t="n"/>
      <c r="K2071" s="139">
        <f>IFERROR(IF(H2071&gt;0,H2071*IF(OR(C2071="Alpha",B2071="Alpha"),$C$9,$C$8),""),"")</f>
        <v/>
      </c>
      <c r="L2071" s="139">
        <f>IFERROR(IF(ISNUMBER(F2071),F2071-IF(ISNUMBER(K2071),K2071,0),""),"")</f>
        <v/>
      </c>
    </row>
    <row r="2072" ht="24" customHeight="1" s="63">
      <c r="E2072" s="139" t="n"/>
      <c r="F2072" s="139" t="n"/>
      <c r="G2072" s="140">
        <f>IFERROR(IF(E2072&gt;0,(F2072/E2072)*1000,""),"")</f>
        <v/>
      </c>
      <c r="H2072" s="139">
        <f>IFERROR(IF(E2072&gt;0,E2072*IF(ISNUMBER(J2072),J2072,IF(OR(C2072="Alpha",B2072="Alpha"),$C$7,IF(C2072="Futures",$C$6,$C$5))),""),"")</f>
        <v/>
      </c>
      <c r="I2072" s="139">
        <f>IFERROR(IF(AND(ISNUMBER(F2072),ISNUMBER(H2072)),F2072-H2072,""),"")</f>
        <v/>
      </c>
      <c r="J2072" s="114" t="n"/>
      <c r="K2072" s="139">
        <f>IFERROR(IF(H2072&gt;0,H2072*IF(OR(C2072="Alpha",B2072="Alpha"),$C$9,$C$8),""),"")</f>
        <v/>
      </c>
      <c r="L2072" s="139">
        <f>IFERROR(IF(ISNUMBER(F2072),F2072-IF(ISNUMBER(K2072),K2072,0),""),"")</f>
        <v/>
      </c>
    </row>
    <row r="2073" ht="24" customHeight="1" s="63">
      <c r="E2073" s="139" t="n"/>
      <c r="F2073" s="139" t="n"/>
      <c r="G2073" s="140">
        <f>IFERROR(IF(E2073&gt;0,(F2073/E2073)*1000,""),"")</f>
        <v/>
      </c>
      <c r="H2073" s="139">
        <f>IFERROR(IF(E2073&gt;0,E2073*IF(ISNUMBER(J2073),J2073,IF(OR(C2073="Alpha",B2073="Alpha"),$C$7,IF(C2073="Futures",$C$6,$C$5))),""),"")</f>
        <v/>
      </c>
      <c r="I2073" s="139">
        <f>IFERROR(IF(AND(ISNUMBER(F2073),ISNUMBER(H2073)),F2073-H2073,""),"")</f>
        <v/>
      </c>
      <c r="J2073" s="114" t="n"/>
      <c r="K2073" s="139">
        <f>IFERROR(IF(H2073&gt;0,H2073*IF(OR(C2073="Alpha",B2073="Alpha"),$C$9,$C$8),""),"")</f>
        <v/>
      </c>
      <c r="L2073" s="139">
        <f>IFERROR(IF(ISNUMBER(F2073),F2073-IF(ISNUMBER(K2073),K2073,0),""),"")</f>
        <v/>
      </c>
    </row>
    <row r="2074" ht="24" customHeight="1" s="63">
      <c r="E2074" s="139" t="n"/>
      <c r="F2074" s="139" t="n"/>
      <c r="G2074" s="140">
        <f>IFERROR(IF(E2074&gt;0,(F2074/E2074)*1000,""),"")</f>
        <v/>
      </c>
      <c r="H2074" s="139">
        <f>IFERROR(IF(E2074&gt;0,E2074*IF(ISNUMBER(J2074),J2074,IF(OR(C2074="Alpha",B2074="Alpha"),$C$7,IF(C2074="Futures",$C$6,$C$5))),""),"")</f>
        <v/>
      </c>
      <c r="I2074" s="139">
        <f>IFERROR(IF(AND(ISNUMBER(F2074),ISNUMBER(H2074)),F2074-H2074,""),"")</f>
        <v/>
      </c>
      <c r="J2074" s="114" t="n"/>
      <c r="K2074" s="139">
        <f>IFERROR(IF(H2074&gt;0,H2074*IF(OR(C2074="Alpha",B2074="Alpha"),$C$9,$C$8),""),"")</f>
        <v/>
      </c>
      <c r="L2074" s="139">
        <f>IFERROR(IF(ISNUMBER(F2074),F2074-IF(ISNUMBER(K2074),K2074,0),""),"")</f>
        <v/>
      </c>
    </row>
    <row r="2075" ht="24" customHeight="1" s="63">
      <c r="E2075" s="139" t="n"/>
      <c r="F2075" s="139" t="n"/>
      <c r="G2075" s="140">
        <f>IFERROR(IF(E2075&gt;0,(F2075/E2075)*1000,""),"")</f>
        <v/>
      </c>
      <c r="H2075" s="139">
        <f>IFERROR(IF(E2075&gt;0,E2075*IF(ISNUMBER(J2075),J2075,IF(OR(C2075="Alpha",B2075="Alpha"),$C$7,IF(C2075="Futures",$C$6,$C$5))),""),"")</f>
        <v/>
      </c>
      <c r="I2075" s="139">
        <f>IFERROR(IF(AND(ISNUMBER(F2075),ISNUMBER(H2075)),F2075-H2075,""),"")</f>
        <v/>
      </c>
      <c r="J2075" s="114" t="n"/>
      <c r="K2075" s="139">
        <f>IFERROR(IF(H2075&gt;0,H2075*IF(OR(C2075="Alpha",B2075="Alpha"),$C$9,$C$8),""),"")</f>
        <v/>
      </c>
      <c r="L2075" s="139">
        <f>IFERROR(IF(ISNUMBER(F2075),F2075-IF(ISNUMBER(K2075),K2075,0),""),"")</f>
        <v/>
      </c>
    </row>
    <row r="2076" ht="24" customHeight="1" s="63">
      <c r="E2076" s="139" t="n"/>
      <c r="F2076" s="139" t="n"/>
      <c r="G2076" s="140">
        <f>IFERROR(IF(E2076&gt;0,(F2076/E2076)*1000,""),"")</f>
        <v/>
      </c>
      <c r="H2076" s="139">
        <f>IFERROR(IF(E2076&gt;0,E2076*IF(ISNUMBER(J2076),J2076,IF(OR(C2076="Alpha",B2076="Alpha"),$C$7,IF(C2076="Futures",$C$6,$C$5))),""),"")</f>
        <v/>
      </c>
      <c r="I2076" s="139">
        <f>IFERROR(IF(AND(ISNUMBER(F2076),ISNUMBER(H2076)),F2076-H2076,""),"")</f>
        <v/>
      </c>
      <c r="J2076" s="114" t="n"/>
      <c r="K2076" s="139">
        <f>IFERROR(IF(H2076&gt;0,H2076*IF(OR(C2076="Alpha",B2076="Alpha"),$C$9,$C$8),""),"")</f>
        <v/>
      </c>
      <c r="L2076" s="139">
        <f>IFERROR(IF(ISNUMBER(F2076),F2076-IF(ISNUMBER(K2076),K2076,0),""),"")</f>
        <v/>
      </c>
    </row>
    <row r="2077" ht="24" customHeight="1" s="63">
      <c r="E2077" s="139" t="n"/>
      <c r="F2077" s="139" t="n"/>
      <c r="G2077" s="140">
        <f>IFERROR(IF(E2077&gt;0,(F2077/E2077)*1000,""),"")</f>
        <v/>
      </c>
      <c r="H2077" s="139">
        <f>IFERROR(IF(E2077&gt;0,E2077*IF(ISNUMBER(J2077),J2077,IF(OR(C2077="Alpha",B2077="Alpha"),$C$7,IF(C2077="Futures",$C$6,$C$5))),""),"")</f>
        <v/>
      </c>
      <c r="I2077" s="139">
        <f>IFERROR(IF(AND(ISNUMBER(F2077),ISNUMBER(H2077)),F2077-H2077,""),"")</f>
        <v/>
      </c>
      <c r="J2077" s="114" t="n"/>
      <c r="K2077" s="139">
        <f>IFERROR(IF(H2077&gt;0,H2077*IF(OR(C2077="Alpha",B2077="Alpha"),$C$9,$C$8),""),"")</f>
        <v/>
      </c>
      <c r="L2077" s="139">
        <f>IFERROR(IF(ISNUMBER(F2077),F2077-IF(ISNUMBER(K2077),K2077,0),""),"")</f>
        <v/>
      </c>
    </row>
    <row r="2078" ht="24" customHeight="1" s="63">
      <c r="E2078" s="139" t="n"/>
      <c r="F2078" s="139" t="n"/>
      <c r="G2078" s="140">
        <f>IFERROR(IF(E2078&gt;0,(F2078/E2078)*1000,""),"")</f>
        <v/>
      </c>
      <c r="H2078" s="139">
        <f>IFERROR(IF(E2078&gt;0,E2078*IF(ISNUMBER(J2078),J2078,IF(OR(C2078="Alpha",B2078="Alpha"),$C$7,IF(C2078="Futures",$C$6,$C$5))),""),"")</f>
        <v/>
      </c>
      <c r="I2078" s="139">
        <f>IFERROR(IF(AND(ISNUMBER(F2078),ISNUMBER(H2078)),F2078-H2078,""),"")</f>
        <v/>
      </c>
      <c r="J2078" s="114" t="n"/>
      <c r="K2078" s="139">
        <f>IFERROR(IF(H2078&gt;0,H2078*IF(OR(C2078="Alpha",B2078="Alpha"),$C$9,$C$8),""),"")</f>
        <v/>
      </c>
      <c r="L2078" s="139">
        <f>IFERROR(IF(ISNUMBER(F2078),F2078-IF(ISNUMBER(K2078),K2078,0),""),"")</f>
        <v/>
      </c>
    </row>
    <row r="2079" ht="24" customHeight="1" s="63">
      <c r="E2079" s="139" t="n"/>
      <c r="F2079" s="139" t="n"/>
      <c r="G2079" s="140">
        <f>IFERROR(IF(E2079&gt;0,(F2079/E2079)*1000,""),"")</f>
        <v/>
      </c>
      <c r="H2079" s="139">
        <f>IFERROR(IF(E2079&gt;0,E2079*IF(ISNUMBER(J2079),J2079,IF(OR(C2079="Alpha",B2079="Alpha"),$C$7,IF(C2079="Futures",$C$6,$C$5))),""),"")</f>
        <v/>
      </c>
      <c r="I2079" s="139">
        <f>IFERROR(IF(AND(ISNUMBER(F2079),ISNUMBER(H2079)),F2079-H2079,""),"")</f>
        <v/>
      </c>
      <c r="J2079" s="114" t="n"/>
      <c r="K2079" s="139">
        <f>IFERROR(IF(H2079&gt;0,H2079*IF(OR(C2079="Alpha",B2079="Alpha"),$C$9,$C$8),""),"")</f>
        <v/>
      </c>
      <c r="L2079" s="139">
        <f>IFERROR(IF(ISNUMBER(F2079),F2079-IF(ISNUMBER(K2079),K2079,0),""),"")</f>
        <v/>
      </c>
    </row>
    <row r="2080" ht="24" customHeight="1" s="63">
      <c r="E2080" s="139" t="n"/>
      <c r="F2080" s="139" t="n"/>
      <c r="G2080" s="140">
        <f>IFERROR(IF(E2080&gt;0,(F2080/E2080)*1000,""),"")</f>
        <v/>
      </c>
      <c r="H2080" s="139">
        <f>IFERROR(IF(E2080&gt;0,E2080*IF(ISNUMBER(J2080),J2080,IF(OR(C2080="Alpha",B2080="Alpha"),$C$7,IF(C2080="Futures",$C$6,$C$5))),""),"")</f>
        <v/>
      </c>
      <c r="I2080" s="139">
        <f>IFERROR(IF(AND(ISNUMBER(F2080),ISNUMBER(H2080)),F2080-H2080,""),"")</f>
        <v/>
      </c>
      <c r="J2080" s="114" t="n"/>
      <c r="K2080" s="139">
        <f>IFERROR(IF(H2080&gt;0,H2080*IF(OR(C2080="Alpha",B2080="Alpha"),$C$9,$C$8),""),"")</f>
        <v/>
      </c>
      <c r="L2080" s="139">
        <f>IFERROR(IF(ISNUMBER(F2080),F2080-IF(ISNUMBER(K2080),K2080,0),""),"")</f>
        <v/>
      </c>
    </row>
    <row r="2081" ht="24" customHeight="1" s="63">
      <c r="E2081" s="139" t="n"/>
      <c r="F2081" s="139" t="n"/>
      <c r="G2081" s="140">
        <f>IFERROR(IF(E2081&gt;0,(F2081/E2081)*1000,""),"")</f>
        <v/>
      </c>
      <c r="H2081" s="139">
        <f>IFERROR(IF(E2081&gt;0,E2081*IF(ISNUMBER(J2081),J2081,IF(OR(C2081="Alpha",B2081="Alpha"),$C$7,IF(C2081="Futures",$C$6,$C$5))),""),"")</f>
        <v/>
      </c>
      <c r="I2081" s="139">
        <f>IFERROR(IF(AND(ISNUMBER(F2081),ISNUMBER(H2081)),F2081-H2081,""),"")</f>
        <v/>
      </c>
      <c r="J2081" s="114" t="n"/>
      <c r="K2081" s="139">
        <f>IFERROR(IF(H2081&gt;0,H2081*IF(OR(C2081="Alpha",B2081="Alpha"),$C$9,$C$8),""),"")</f>
        <v/>
      </c>
      <c r="L2081" s="139">
        <f>IFERROR(IF(ISNUMBER(F2081),F2081-IF(ISNUMBER(K2081),K2081,0),""),"")</f>
        <v/>
      </c>
    </row>
    <row r="2082" ht="24" customHeight="1" s="63">
      <c r="E2082" s="139" t="n"/>
      <c r="F2082" s="139" t="n"/>
      <c r="G2082" s="140">
        <f>IFERROR(IF(E2082&gt;0,(F2082/E2082)*1000,""),"")</f>
        <v/>
      </c>
      <c r="H2082" s="139">
        <f>IFERROR(IF(E2082&gt;0,E2082*IF(ISNUMBER(J2082),J2082,IF(OR(C2082="Alpha",B2082="Alpha"),$C$7,IF(C2082="Futures",$C$6,$C$5))),""),"")</f>
        <v/>
      </c>
      <c r="I2082" s="139">
        <f>IFERROR(IF(AND(ISNUMBER(F2082),ISNUMBER(H2082)),F2082-H2082,""),"")</f>
        <v/>
      </c>
      <c r="J2082" s="114" t="n"/>
      <c r="K2082" s="139">
        <f>IFERROR(IF(H2082&gt;0,H2082*IF(OR(C2082="Alpha",B2082="Alpha"),$C$9,$C$8),""),"")</f>
        <v/>
      </c>
      <c r="L2082" s="139">
        <f>IFERROR(IF(ISNUMBER(F2082),F2082-IF(ISNUMBER(K2082),K2082,0),""),"")</f>
        <v/>
      </c>
    </row>
    <row r="2083" ht="24" customHeight="1" s="63">
      <c r="E2083" s="139" t="n"/>
      <c r="F2083" s="139" t="n"/>
      <c r="G2083" s="140">
        <f>IFERROR(IF(E2083&gt;0,(F2083/E2083)*1000,""),"")</f>
        <v/>
      </c>
      <c r="H2083" s="139">
        <f>IFERROR(IF(E2083&gt;0,E2083*IF(ISNUMBER(J2083),J2083,IF(OR(C2083="Alpha",B2083="Alpha"),$C$7,IF(C2083="Futures",$C$6,$C$5))),""),"")</f>
        <v/>
      </c>
      <c r="I2083" s="139">
        <f>IFERROR(IF(AND(ISNUMBER(F2083),ISNUMBER(H2083)),F2083-H2083,""),"")</f>
        <v/>
      </c>
      <c r="J2083" s="114" t="n"/>
      <c r="K2083" s="139">
        <f>IFERROR(IF(H2083&gt;0,H2083*IF(OR(C2083="Alpha",B2083="Alpha"),$C$9,$C$8),""),"")</f>
        <v/>
      </c>
      <c r="L2083" s="139">
        <f>IFERROR(IF(ISNUMBER(F2083),F2083-IF(ISNUMBER(K2083),K2083,0),""),"")</f>
        <v/>
      </c>
    </row>
    <row r="2084" ht="24" customHeight="1" s="63">
      <c r="E2084" s="139" t="n"/>
      <c r="F2084" s="139" t="n"/>
      <c r="G2084" s="140">
        <f>IFERROR(IF(E2084&gt;0,(F2084/E2084)*1000,""),"")</f>
        <v/>
      </c>
      <c r="H2084" s="139">
        <f>IFERROR(IF(E2084&gt;0,E2084*IF(ISNUMBER(J2084),J2084,IF(OR(C2084="Alpha",B2084="Alpha"),$C$7,IF(C2084="Futures",$C$6,$C$5))),""),"")</f>
        <v/>
      </c>
      <c r="I2084" s="139">
        <f>IFERROR(IF(AND(ISNUMBER(F2084),ISNUMBER(H2084)),F2084-H2084,""),"")</f>
        <v/>
      </c>
      <c r="J2084" s="114" t="n"/>
      <c r="K2084" s="139">
        <f>IFERROR(IF(H2084&gt;0,H2084*IF(OR(C2084="Alpha",B2084="Alpha"),$C$9,$C$8),""),"")</f>
        <v/>
      </c>
      <c r="L2084" s="139">
        <f>IFERROR(IF(ISNUMBER(F2084),F2084-IF(ISNUMBER(K2084),K2084,0),""),"")</f>
        <v/>
      </c>
    </row>
    <row r="2085" ht="24" customHeight="1" s="63">
      <c r="E2085" s="139" t="n"/>
      <c r="F2085" s="139" t="n"/>
      <c r="G2085" s="140">
        <f>IFERROR(IF(E2085&gt;0,(F2085/E2085)*1000,""),"")</f>
        <v/>
      </c>
      <c r="H2085" s="139">
        <f>IFERROR(IF(E2085&gt;0,E2085*IF(ISNUMBER(J2085),J2085,IF(OR(C2085="Alpha",B2085="Alpha"),$C$7,IF(C2085="Futures",$C$6,$C$5))),""),"")</f>
        <v/>
      </c>
      <c r="I2085" s="139">
        <f>IFERROR(IF(AND(ISNUMBER(F2085),ISNUMBER(H2085)),F2085-H2085,""),"")</f>
        <v/>
      </c>
      <c r="J2085" s="114" t="n"/>
      <c r="K2085" s="139">
        <f>IFERROR(IF(H2085&gt;0,H2085*IF(OR(C2085="Alpha",B2085="Alpha"),$C$9,$C$8),""),"")</f>
        <v/>
      </c>
      <c r="L2085" s="139">
        <f>IFERROR(IF(ISNUMBER(F2085),F2085-IF(ISNUMBER(K2085),K2085,0),""),"")</f>
        <v/>
      </c>
    </row>
    <row r="2086" ht="24" customHeight="1" s="63">
      <c r="E2086" s="139" t="n"/>
      <c r="F2086" s="139" t="n"/>
      <c r="G2086" s="140">
        <f>IFERROR(IF(E2086&gt;0,(F2086/E2086)*1000,""),"")</f>
        <v/>
      </c>
      <c r="H2086" s="139">
        <f>IFERROR(IF(E2086&gt;0,E2086*IF(ISNUMBER(J2086),J2086,IF(OR(C2086="Alpha",B2086="Alpha"),$C$7,IF(C2086="Futures",$C$6,$C$5))),""),"")</f>
        <v/>
      </c>
      <c r="I2086" s="139">
        <f>IFERROR(IF(AND(ISNUMBER(F2086),ISNUMBER(H2086)),F2086-H2086,""),"")</f>
        <v/>
      </c>
      <c r="J2086" s="114" t="n"/>
      <c r="K2086" s="139">
        <f>IFERROR(IF(H2086&gt;0,H2086*IF(OR(C2086="Alpha",B2086="Alpha"),$C$9,$C$8),""),"")</f>
        <v/>
      </c>
      <c r="L2086" s="139">
        <f>IFERROR(IF(ISNUMBER(F2086),F2086-IF(ISNUMBER(K2086),K2086,0),""),"")</f>
        <v/>
      </c>
    </row>
    <row r="2087" ht="24" customHeight="1" s="63">
      <c r="E2087" s="139" t="n"/>
      <c r="F2087" s="139" t="n"/>
      <c r="G2087" s="140">
        <f>IFERROR(IF(E2087&gt;0,(F2087/E2087)*1000,""),"")</f>
        <v/>
      </c>
      <c r="H2087" s="139">
        <f>IFERROR(IF(E2087&gt;0,E2087*IF(ISNUMBER(J2087),J2087,IF(OR(C2087="Alpha",B2087="Alpha"),$C$7,IF(C2087="Futures",$C$6,$C$5))),""),"")</f>
        <v/>
      </c>
      <c r="I2087" s="139">
        <f>IFERROR(IF(AND(ISNUMBER(F2087),ISNUMBER(H2087)),F2087-H2087,""),"")</f>
        <v/>
      </c>
      <c r="J2087" s="114" t="n"/>
      <c r="K2087" s="139">
        <f>IFERROR(IF(H2087&gt;0,H2087*IF(OR(C2087="Alpha",B2087="Alpha"),$C$9,$C$8),""),"")</f>
        <v/>
      </c>
      <c r="L2087" s="139">
        <f>IFERROR(IF(ISNUMBER(F2087),F2087-IF(ISNUMBER(K2087),K2087,0),""),"")</f>
        <v/>
      </c>
    </row>
    <row r="2088" ht="24" customHeight="1" s="63">
      <c r="E2088" s="139" t="n"/>
      <c r="F2088" s="139" t="n"/>
      <c r="G2088" s="140">
        <f>IFERROR(IF(E2088&gt;0,(F2088/E2088)*1000,""),"")</f>
        <v/>
      </c>
      <c r="H2088" s="139">
        <f>IFERROR(IF(E2088&gt;0,E2088*IF(ISNUMBER(J2088),J2088,IF(OR(C2088="Alpha",B2088="Alpha"),$C$7,IF(C2088="Futures",$C$6,$C$5))),""),"")</f>
        <v/>
      </c>
      <c r="I2088" s="139">
        <f>IFERROR(IF(AND(ISNUMBER(F2088),ISNUMBER(H2088)),F2088-H2088,""),"")</f>
        <v/>
      </c>
      <c r="J2088" s="114" t="n"/>
      <c r="K2088" s="139">
        <f>IFERROR(IF(H2088&gt;0,H2088*IF(OR(C2088="Alpha",B2088="Alpha"),$C$9,$C$8),""),"")</f>
        <v/>
      </c>
      <c r="L2088" s="139">
        <f>IFERROR(IF(ISNUMBER(F2088),F2088-IF(ISNUMBER(K2088),K2088,0),""),"")</f>
        <v/>
      </c>
    </row>
    <row r="2089" ht="24" customHeight="1" s="63">
      <c r="E2089" s="139" t="n"/>
      <c r="F2089" s="139" t="n"/>
      <c r="G2089" s="140">
        <f>IFERROR(IF(E2089&gt;0,(F2089/E2089)*1000,""),"")</f>
        <v/>
      </c>
      <c r="H2089" s="139">
        <f>IFERROR(IF(E2089&gt;0,E2089*IF(ISNUMBER(J2089),J2089,IF(OR(C2089="Alpha",B2089="Alpha"),$C$7,IF(C2089="Futures",$C$6,$C$5))),""),"")</f>
        <v/>
      </c>
      <c r="I2089" s="139">
        <f>IFERROR(IF(AND(ISNUMBER(F2089),ISNUMBER(H2089)),F2089-H2089,""),"")</f>
        <v/>
      </c>
      <c r="J2089" s="114" t="n"/>
      <c r="K2089" s="139">
        <f>IFERROR(IF(H2089&gt;0,H2089*IF(OR(C2089="Alpha",B2089="Alpha"),$C$9,$C$8),""),"")</f>
        <v/>
      </c>
      <c r="L2089" s="139">
        <f>IFERROR(IF(ISNUMBER(F2089),F2089-IF(ISNUMBER(K2089),K2089,0),""),"")</f>
        <v/>
      </c>
    </row>
    <row r="2090" ht="24" customHeight="1" s="63">
      <c r="E2090" s="139" t="n"/>
      <c r="F2090" s="139" t="n"/>
      <c r="G2090" s="140">
        <f>IFERROR(IF(E2090&gt;0,(F2090/E2090)*1000,""),"")</f>
        <v/>
      </c>
      <c r="H2090" s="139">
        <f>IFERROR(IF(E2090&gt;0,E2090*IF(ISNUMBER(J2090),J2090,IF(OR(C2090="Alpha",B2090="Alpha"),$C$7,IF(C2090="Futures",$C$6,$C$5))),""),"")</f>
        <v/>
      </c>
      <c r="I2090" s="139">
        <f>IFERROR(IF(AND(ISNUMBER(F2090),ISNUMBER(H2090)),F2090-H2090,""),"")</f>
        <v/>
      </c>
      <c r="J2090" s="114" t="n"/>
      <c r="K2090" s="139">
        <f>IFERROR(IF(H2090&gt;0,H2090*IF(OR(C2090="Alpha",B2090="Alpha"),$C$9,$C$8),""),"")</f>
        <v/>
      </c>
      <c r="L2090" s="139">
        <f>IFERROR(IF(ISNUMBER(F2090),F2090-IF(ISNUMBER(K2090),K2090,0),""),"")</f>
        <v/>
      </c>
    </row>
    <row r="2091" ht="24" customHeight="1" s="63">
      <c r="E2091" s="139" t="n"/>
      <c r="F2091" s="139" t="n"/>
      <c r="G2091" s="140">
        <f>IFERROR(IF(E2091&gt;0,(F2091/E2091)*1000,""),"")</f>
        <v/>
      </c>
      <c r="H2091" s="139">
        <f>IFERROR(IF(E2091&gt;0,E2091*IF(ISNUMBER(J2091),J2091,IF(OR(C2091="Alpha",B2091="Alpha"),$C$7,IF(C2091="Futures",$C$6,$C$5))),""),"")</f>
        <v/>
      </c>
      <c r="I2091" s="139">
        <f>IFERROR(IF(AND(ISNUMBER(F2091),ISNUMBER(H2091)),F2091-H2091,""),"")</f>
        <v/>
      </c>
      <c r="J2091" s="114" t="n"/>
      <c r="K2091" s="139">
        <f>IFERROR(IF(H2091&gt;0,H2091*IF(OR(C2091="Alpha",B2091="Alpha"),$C$9,$C$8),""),"")</f>
        <v/>
      </c>
      <c r="L2091" s="139">
        <f>IFERROR(IF(ISNUMBER(F2091),F2091-IF(ISNUMBER(K2091),K2091,0),""),"")</f>
        <v/>
      </c>
    </row>
    <row r="2092" ht="24" customHeight="1" s="63">
      <c r="E2092" s="139" t="n"/>
      <c r="F2092" s="139" t="n"/>
      <c r="G2092" s="140">
        <f>IFERROR(IF(E2092&gt;0,(F2092/E2092)*1000,""),"")</f>
        <v/>
      </c>
      <c r="H2092" s="139">
        <f>IFERROR(IF(E2092&gt;0,E2092*IF(ISNUMBER(J2092),J2092,IF(OR(C2092="Alpha",B2092="Alpha"),$C$7,IF(C2092="Futures",$C$6,$C$5))),""),"")</f>
        <v/>
      </c>
      <c r="I2092" s="139">
        <f>IFERROR(IF(AND(ISNUMBER(F2092),ISNUMBER(H2092)),F2092-H2092,""),"")</f>
        <v/>
      </c>
      <c r="J2092" s="114" t="n"/>
      <c r="K2092" s="139">
        <f>IFERROR(IF(H2092&gt;0,H2092*IF(OR(C2092="Alpha",B2092="Alpha"),$C$9,$C$8),""),"")</f>
        <v/>
      </c>
      <c r="L2092" s="139">
        <f>IFERROR(IF(ISNUMBER(F2092),F2092-IF(ISNUMBER(K2092),K2092,0),""),"")</f>
        <v/>
      </c>
    </row>
    <row r="2093" ht="24" customHeight="1" s="63">
      <c r="E2093" s="139" t="n"/>
      <c r="F2093" s="139" t="n"/>
      <c r="G2093" s="140">
        <f>IFERROR(IF(E2093&gt;0,(F2093/E2093)*1000,""),"")</f>
        <v/>
      </c>
      <c r="H2093" s="139">
        <f>IFERROR(IF(E2093&gt;0,E2093*IF(ISNUMBER(J2093),J2093,IF(OR(C2093="Alpha",B2093="Alpha"),$C$7,IF(C2093="Futures",$C$6,$C$5))),""),"")</f>
        <v/>
      </c>
      <c r="I2093" s="139">
        <f>IFERROR(IF(AND(ISNUMBER(F2093),ISNUMBER(H2093)),F2093-H2093,""),"")</f>
        <v/>
      </c>
      <c r="J2093" s="114" t="n"/>
      <c r="K2093" s="139">
        <f>IFERROR(IF(H2093&gt;0,H2093*IF(OR(C2093="Alpha",B2093="Alpha"),$C$9,$C$8),""),"")</f>
        <v/>
      </c>
      <c r="L2093" s="139">
        <f>IFERROR(IF(ISNUMBER(F2093),F2093-IF(ISNUMBER(K2093),K2093,0),""),"")</f>
        <v/>
      </c>
    </row>
    <row r="2094" ht="24" customHeight="1" s="63">
      <c r="E2094" s="139" t="n"/>
      <c r="F2094" s="139" t="n"/>
      <c r="G2094" s="140">
        <f>IFERROR(IF(E2094&gt;0,(F2094/E2094)*1000,""),"")</f>
        <v/>
      </c>
      <c r="H2094" s="139">
        <f>IFERROR(IF(E2094&gt;0,E2094*IF(ISNUMBER(J2094),J2094,IF(OR(C2094="Alpha",B2094="Alpha"),$C$7,IF(C2094="Futures",$C$6,$C$5))),""),"")</f>
        <v/>
      </c>
      <c r="I2094" s="139">
        <f>IFERROR(IF(AND(ISNUMBER(F2094),ISNUMBER(H2094)),F2094-H2094,""),"")</f>
        <v/>
      </c>
      <c r="J2094" s="114" t="n"/>
      <c r="K2094" s="139">
        <f>IFERROR(IF(H2094&gt;0,H2094*IF(OR(C2094="Alpha",B2094="Alpha"),$C$9,$C$8),""),"")</f>
        <v/>
      </c>
      <c r="L2094" s="139">
        <f>IFERROR(IF(ISNUMBER(F2094),F2094-IF(ISNUMBER(K2094),K2094,0),""),"")</f>
        <v/>
      </c>
    </row>
    <row r="2095" ht="24" customHeight="1" s="63">
      <c r="E2095" s="139" t="n"/>
      <c r="F2095" s="139" t="n"/>
      <c r="G2095" s="140">
        <f>IFERROR(IF(E2095&gt;0,(F2095/E2095)*1000,""),"")</f>
        <v/>
      </c>
      <c r="H2095" s="139">
        <f>IFERROR(IF(E2095&gt;0,E2095*IF(ISNUMBER(J2095),J2095,IF(OR(C2095="Alpha",B2095="Alpha"),$C$7,IF(C2095="Futures",$C$6,$C$5))),""),"")</f>
        <v/>
      </c>
      <c r="I2095" s="139">
        <f>IFERROR(IF(AND(ISNUMBER(F2095),ISNUMBER(H2095)),F2095-H2095,""),"")</f>
        <v/>
      </c>
      <c r="J2095" s="114" t="n"/>
      <c r="K2095" s="139">
        <f>IFERROR(IF(H2095&gt;0,H2095*IF(OR(C2095="Alpha",B2095="Alpha"),$C$9,$C$8),""),"")</f>
        <v/>
      </c>
      <c r="L2095" s="139">
        <f>IFERROR(IF(ISNUMBER(F2095),F2095-IF(ISNUMBER(K2095),K2095,0),""),"")</f>
        <v/>
      </c>
    </row>
    <row r="2096" ht="24" customHeight="1" s="63">
      <c r="E2096" s="139" t="n"/>
      <c r="F2096" s="139" t="n"/>
      <c r="G2096" s="140">
        <f>IFERROR(IF(E2096&gt;0,(F2096/E2096)*1000,""),"")</f>
        <v/>
      </c>
      <c r="H2096" s="139">
        <f>IFERROR(IF(E2096&gt;0,E2096*IF(ISNUMBER(J2096),J2096,IF(OR(C2096="Alpha",B2096="Alpha"),$C$7,IF(C2096="Futures",$C$6,$C$5))),""),"")</f>
        <v/>
      </c>
      <c r="I2096" s="139">
        <f>IFERROR(IF(AND(ISNUMBER(F2096),ISNUMBER(H2096)),F2096-H2096,""),"")</f>
        <v/>
      </c>
      <c r="J2096" s="114" t="n"/>
      <c r="K2096" s="139">
        <f>IFERROR(IF(H2096&gt;0,H2096*IF(OR(C2096="Alpha",B2096="Alpha"),$C$9,$C$8),""),"")</f>
        <v/>
      </c>
      <c r="L2096" s="139">
        <f>IFERROR(IF(ISNUMBER(F2096),F2096-IF(ISNUMBER(K2096),K2096,0),""),"")</f>
        <v/>
      </c>
    </row>
    <row r="2097" ht="24" customHeight="1" s="63">
      <c r="E2097" s="139" t="n"/>
      <c r="F2097" s="139" t="n"/>
      <c r="G2097" s="140">
        <f>IFERROR(IF(E2097&gt;0,(F2097/E2097)*1000,""),"")</f>
        <v/>
      </c>
      <c r="H2097" s="139">
        <f>IFERROR(IF(E2097&gt;0,E2097*IF(ISNUMBER(J2097),J2097,IF(OR(C2097="Alpha",B2097="Alpha"),$C$7,IF(C2097="Futures",$C$6,$C$5))),""),"")</f>
        <v/>
      </c>
      <c r="I2097" s="139">
        <f>IFERROR(IF(AND(ISNUMBER(F2097),ISNUMBER(H2097)),F2097-H2097,""),"")</f>
        <v/>
      </c>
      <c r="J2097" s="114" t="n"/>
      <c r="K2097" s="139">
        <f>IFERROR(IF(H2097&gt;0,H2097*IF(OR(C2097="Alpha",B2097="Alpha"),$C$9,$C$8),""),"")</f>
        <v/>
      </c>
      <c r="L2097" s="139">
        <f>IFERROR(IF(ISNUMBER(F2097),F2097-IF(ISNUMBER(K2097),K2097,0),""),"")</f>
        <v/>
      </c>
    </row>
    <row r="2098" ht="24" customHeight="1" s="63">
      <c r="E2098" s="139" t="n"/>
      <c r="F2098" s="139" t="n"/>
      <c r="G2098" s="140">
        <f>IFERROR(IF(E2098&gt;0,(F2098/E2098)*1000,""),"")</f>
        <v/>
      </c>
      <c r="H2098" s="139">
        <f>IFERROR(IF(E2098&gt;0,E2098*IF(ISNUMBER(J2098),J2098,IF(OR(C2098="Alpha",B2098="Alpha"),$C$7,IF(C2098="Futures",$C$6,$C$5))),""),"")</f>
        <v/>
      </c>
      <c r="I2098" s="139">
        <f>IFERROR(IF(AND(ISNUMBER(F2098),ISNUMBER(H2098)),F2098-H2098,""),"")</f>
        <v/>
      </c>
      <c r="J2098" s="114" t="n"/>
      <c r="K2098" s="139">
        <f>IFERROR(IF(H2098&gt;0,H2098*IF(OR(C2098="Alpha",B2098="Alpha"),$C$9,$C$8),""),"")</f>
        <v/>
      </c>
      <c r="L2098" s="139">
        <f>IFERROR(IF(ISNUMBER(F2098),F2098-IF(ISNUMBER(K2098),K2098,0),""),"")</f>
        <v/>
      </c>
    </row>
    <row r="2099" ht="24" customHeight="1" s="63">
      <c r="E2099" s="139" t="n"/>
      <c r="F2099" s="139" t="n"/>
      <c r="G2099" s="140">
        <f>IFERROR(IF(E2099&gt;0,(F2099/E2099)*1000,""),"")</f>
        <v/>
      </c>
      <c r="H2099" s="139">
        <f>IFERROR(IF(E2099&gt;0,E2099*IF(ISNUMBER(J2099),J2099,IF(OR(C2099="Alpha",B2099="Alpha"),$C$7,IF(C2099="Futures",$C$6,$C$5))),""),"")</f>
        <v/>
      </c>
      <c r="I2099" s="139">
        <f>IFERROR(IF(AND(ISNUMBER(F2099),ISNUMBER(H2099)),F2099-H2099,""),"")</f>
        <v/>
      </c>
      <c r="J2099" s="114" t="n"/>
      <c r="K2099" s="139">
        <f>IFERROR(IF(H2099&gt;0,H2099*IF(OR(C2099="Alpha",B2099="Alpha"),$C$9,$C$8),""),"")</f>
        <v/>
      </c>
      <c r="L2099" s="139">
        <f>IFERROR(IF(ISNUMBER(F2099),F2099-IF(ISNUMBER(K2099),K2099,0),""),"")</f>
        <v/>
      </c>
    </row>
    <row r="2100" ht="24" customHeight="1" s="63">
      <c r="E2100" s="139" t="n"/>
      <c r="F2100" s="139" t="n"/>
      <c r="G2100" s="140">
        <f>IFERROR(IF(E2100&gt;0,(F2100/E2100)*1000,""),"")</f>
        <v/>
      </c>
      <c r="H2100" s="139">
        <f>IFERROR(IF(E2100&gt;0,E2100*IF(ISNUMBER(J2100),J2100,IF(OR(C2100="Alpha",B2100="Alpha"),$C$7,IF(C2100="Futures",$C$6,$C$5))),""),"")</f>
        <v/>
      </c>
      <c r="I2100" s="139">
        <f>IFERROR(IF(AND(ISNUMBER(F2100),ISNUMBER(H2100)),F2100-H2100,""),"")</f>
        <v/>
      </c>
      <c r="J2100" s="114" t="n"/>
      <c r="K2100" s="139">
        <f>IFERROR(IF(H2100&gt;0,H2100*IF(OR(C2100="Alpha",B2100="Alpha"),$C$9,$C$8),""),"")</f>
        <v/>
      </c>
      <c r="L2100" s="139">
        <f>IFERROR(IF(ISNUMBER(F2100),F2100-IF(ISNUMBER(K2100),K2100,0),""),"")</f>
        <v/>
      </c>
    </row>
    <row r="2101" ht="24" customHeight="1" s="63">
      <c r="E2101" s="139" t="n"/>
      <c r="F2101" s="139" t="n"/>
      <c r="G2101" s="140">
        <f>IFERROR(IF(E2101&gt;0,(F2101/E2101)*1000,""),"")</f>
        <v/>
      </c>
      <c r="H2101" s="139">
        <f>IFERROR(IF(E2101&gt;0,E2101*IF(ISNUMBER(J2101),J2101,IF(OR(C2101="Alpha",B2101="Alpha"),$C$7,IF(C2101="Futures",$C$6,$C$5))),""),"")</f>
        <v/>
      </c>
      <c r="I2101" s="139">
        <f>IFERROR(IF(AND(ISNUMBER(F2101),ISNUMBER(H2101)),F2101-H2101,""),"")</f>
        <v/>
      </c>
      <c r="J2101" s="114" t="n"/>
      <c r="K2101" s="139">
        <f>IFERROR(IF(H2101&gt;0,H2101*IF(OR(C2101="Alpha",B2101="Alpha"),$C$9,$C$8),""),"")</f>
        <v/>
      </c>
      <c r="L2101" s="139">
        <f>IFERROR(IF(ISNUMBER(F2101),F2101-IF(ISNUMBER(K2101),K2101,0),""),"")</f>
        <v/>
      </c>
    </row>
    <row r="2102" ht="24" customHeight="1" s="63">
      <c r="E2102" s="139" t="n"/>
      <c r="F2102" s="139" t="n"/>
      <c r="G2102" s="140">
        <f>IFERROR(IF(E2102&gt;0,(F2102/E2102)*1000,""),"")</f>
        <v/>
      </c>
      <c r="H2102" s="139">
        <f>IFERROR(IF(E2102&gt;0,E2102*IF(ISNUMBER(J2102),J2102,IF(OR(C2102="Alpha",B2102="Alpha"),$C$7,IF(C2102="Futures",$C$6,$C$5))),""),"")</f>
        <v/>
      </c>
      <c r="I2102" s="139">
        <f>IFERROR(IF(AND(ISNUMBER(F2102),ISNUMBER(H2102)),F2102-H2102,""),"")</f>
        <v/>
      </c>
      <c r="J2102" s="114" t="n"/>
      <c r="K2102" s="139">
        <f>IFERROR(IF(H2102&gt;0,H2102*IF(OR(C2102="Alpha",B2102="Alpha"),$C$9,$C$8),""),"")</f>
        <v/>
      </c>
      <c r="L2102" s="139">
        <f>IFERROR(IF(ISNUMBER(F2102),F2102-IF(ISNUMBER(K2102),K2102,0),""),"")</f>
        <v/>
      </c>
    </row>
    <row r="2103" ht="24" customHeight="1" s="63">
      <c r="E2103" s="139" t="n"/>
      <c r="F2103" s="139" t="n"/>
      <c r="G2103" s="140">
        <f>IFERROR(IF(E2103&gt;0,(F2103/E2103)*1000,""),"")</f>
        <v/>
      </c>
      <c r="H2103" s="139">
        <f>IFERROR(IF(E2103&gt;0,E2103*IF(ISNUMBER(J2103),J2103,IF(OR(C2103="Alpha",B2103="Alpha"),$C$7,IF(C2103="Futures",$C$6,$C$5))),""),"")</f>
        <v/>
      </c>
      <c r="I2103" s="139">
        <f>IFERROR(IF(AND(ISNUMBER(F2103),ISNUMBER(H2103)),F2103-H2103,""),"")</f>
        <v/>
      </c>
      <c r="J2103" s="114" t="n"/>
      <c r="K2103" s="139">
        <f>IFERROR(IF(H2103&gt;0,H2103*IF(OR(C2103="Alpha",B2103="Alpha"),$C$9,$C$8),""),"")</f>
        <v/>
      </c>
      <c r="L2103" s="139">
        <f>IFERROR(IF(ISNUMBER(F2103),F2103-IF(ISNUMBER(K2103),K2103,0),""),"")</f>
        <v/>
      </c>
    </row>
    <row r="2104" ht="24" customHeight="1" s="63">
      <c r="E2104" s="139" t="n"/>
      <c r="F2104" s="139" t="n"/>
      <c r="G2104" s="140">
        <f>IFERROR(IF(E2104&gt;0,(F2104/E2104)*1000,""),"")</f>
        <v/>
      </c>
      <c r="H2104" s="139">
        <f>IFERROR(IF(E2104&gt;0,E2104*IF(ISNUMBER(J2104),J2104,IF(OR(C2104="Alpha",B2104="Alpha"),$C$7,IF(C2104="Futures",$C$6,$C$5))),""),"")</f>
        <v/>
      </c>
      <c r="I2104" s="139">
        <f>IFERROR(IF(AND(ISNUMBER(F2104),ISNUMBER(H2104)),F2104-H2104,""),"")</f>
        <v/>
      </c>
      <c r="J2104" s="114" t="n"/>
      <c r="K2104" s="139">
        <f>IFERROR(IF(H2104&gt;0,H2104*IF(OR(C2104="Alpha",B2104="Alpha"),$C$9,$C$8),""),"")</f>
        <v/>
      </c>
      <c r="L2104" s="139">
        <f>IFERROR(IF(ISNUMBER(F2104),F2104-IF(ISNUMBER(K2104),K2104,0),""),"")</f>
        <v/>
      </c>
    </row>
    <row r="2105" ht="24" customHeight="1" s="63">
      <c r="E2105" s="139" t="n"/>
      <c r="F2105" s="139" t="n"/>
      <c r="G2105" s="140">
        <f>IFERROR(IF(E2105&gt;0,(F2105/E2105)*1000,""),"")</f>
        <v/>
      </c>
      <c r="H2105" s="139">
        <f>IFERROR(IF(E2105&gt;0,E2105*IF(ISNUMBER(J2105),J2105,IF(OR(C2105="Alpha",B2105="Alpha"),$C$7,IF(C2105="Futures",$C$6,$C$5))),""),"")</f>
        <v/>
      </c>
      <c r="I2105" s="139">
        <f>IFERROR(IF(AND(ISNUMBER(F2105),ISNUMBER(H2105)),F2105-H2105,""),"")</f>
        <v/>
      </c>
      <c r="J2105" s="114" t="n"/>
      <c r="K2105" s="139">
        <f>IFERROR(IF(H2105&gt;0,H2105*IF(OR(C2105="Alpha",B2105="Alpha"),$C$9,$C$8),""),"")</f>
        <v/>
      </c>
      <c r="L2105" s="139">
        <f>IFERROR(IF(ISNUMBER(F2105),F2105-IF(ISNUMBER(K2105),K2105,0),""),"")</f>
        <v/>
      </c>
    </row>
    <row r="2106" ht="24" customHeight="1" s="63">
      <c r="E2106" s="139" t="n"/>
      <c r="F2106" s="139" t="n"/>
      <c r="G2106" s="140">
        <f>IFERROR(IF(E2106&gt;0,(F2106/E2106)*1000,""),"")</f>
        <v/>
      </c>
      <c r="H2106" s="139">
        <f>IFERROR(IF(E2106&gt;0,E2106*IF(ISNUMBER(J2106),J2106,IF(OR(C2106="Alpha",B2106="Alpha"),$C$7,IF(C2106="Futures",$C$6,$C$5))),""),"")</f>
        <v/>
      </c>
      <c r="I2106" s="139">
        <f>IFERROR(IF(AND(ISNUMBER(F2106),ISNUMBER(H2106)),F2106-H2106,""),"")</f>
        <v/>
      </c>
      <c r="J2106" s="114" t="n"/>
      <c r="K2106" s="139">
        <f>IFERROR(IF(H2106&gt;0,H2106*IF(OR(C2106="Alpha",B2106="Alpha"),$C$9,$C$8),""),"")</f>
        <v/>
      </c>
      <c r="L2106" s="139">
        <f>IFERROR(IF(ISNUMBER(F2106),F2106-IF(ISNUMBER(K2106),K2106,0),""),"")</f>
        <v/>
      </c>
    </row>
    <row r="2107" ht="24" customHeight="1" s="63">
      <c r="E2107" s="139" t="n"/>
      <c r="F2107" s="139" t="n"/>
      <c r="G2107" s="140">
        <f>IFERROR(IF(E2107&gt;0,(F2107/E2107)*1000,""),"")</f>
        <v/>
      </c>
      <c r="H2107" s="139">
        <f>IFERROR(IF(E2107&gt;0,E2107*IF(ISNUMBER(J2107),J2107,IF(OR(C2107="Alpha",B2107="Alpha"),$C$7,IF(C2107="Futures",$C$6,$C$5))),""),"")</f>
        <v/>
      </c>
      <c r="I2107" s="139">
        <f>IFERROR(IF(AND(ISNUMBER(F2107),ISNUMBER(H2107)),F2107-H2107,""),"")</f>
        <v/>
      </c>
      <c r="J2107" s="114" t="n"/>
      <c r="K2107" s="139">
        <f>IFERROR(IF(H2107&gt;0,H2107*IF(OR(C2107="Alpha",B2107="Alpha"),$C$9,$C$8),""),"")</f>
        <v/>
      </c>
      <c r="L2107" s="139">
        <f>IFERROR(IF(ISNUMBER(F2107),F2107-IF(ISNUMBER(K2107),K2107,0),""),"")</f>
        <v/>
      </c>
    </row>
    <row r="2108" ht="24" customHeight="1" s="63">
      <c r="E2108" s="139" t="n"/>
      <c r="F2108" s="139" t="n"/>
      <c r="G2108" s="140">
        <f>IFERROR(IF(E2108&gt;0,(F2108/E2108)*1000,""),"")</f>
        <v/>
      </c>
      <c r="H2108" s="139">
        <f>IFERROR(IF(E2108&gt;0,E2108*IF(ISNUMBER(J2108),J2108,IF(OR(C2108="Alpha",B2108="Alpha"),$C$7,IF(C2108="Futures",$C$6,$C$5))),""),"")</f>
        <v/>
      </c>
      <c r="I2108" s="139">
        <f>IFERROR(IF(AND(ISNUMBER(F2108),ISNUMBER(H2108)),F2108-H2108,""),"")</f>
        <v/>
      </c>
      <c r="J2108" s="114" t="n"/>
      <c r="K2108" s="139">
        <f>IFERROR(IF(H2108&gt;0,H2108*IF(OR(C2108="Alpha",B2108="Alpha"),$C$9,$C$8),""),"")</f>
        <v/>
      </c>
      <c r="L2108" s="139">
        <f>IFERROR(IF(ISNUMBER(F2108),F2108-IF(ISNUMBER(K2108),K2108,0),""),"")</f>
        <v/>
      </c>
    </row>
    <row r="2109" ht="24" customHeight="1" s="63">
      <c r="E2109" s="139" t="n"/>
      <c r="F2109" s="139" t="n"/>
      <c r="G2109" s="140">
        <f>IFERROR(IF(E2109&gt;0,(F2109/E2109)*1000,""),"")</f>
        <v/>
      </c>
      <c r="H2109" s="139">
        <f>IFERROR(IF(E2109&gt;0,E2109*IF(ISNUMBER(J2109),J2109,IF(OR(C2109="Alpha",B2109="Alpha"),$C$7,IF(C2109="Futures",$C$6,$C$5))),""),"")</f>
        <v/>
      </c>
      <c r="I2109" s="139">
        <f>IFERROR(IF(AND(ISNUMBER(F2109),ISNUMBER(H2109)),F2109-H2109,""),"")</f>
        <v/>
      </c>
      <c r="J2109" s="114" t="n"/>
      <c r="K2109" s="139">
        <f>IFERROR(IF(H2109&gt;0,H2109*IF(OR(C2109="Alpha",B2109="Alpha"),$C$9,$C$8),""),"")</f>
        <v/>
      </c>
      <c r="L2109" s="139">
        <f>IFERROR(IF(ISNUMBER(F2109),F2109-IF(ISNUMBER(K2109),K2109,0),""),"")</f>
        <v/>
      </c>
    </row>
    <row r="2110" ht="24" customHeight="1" s="63">
      <c r="E2110" s="139" t="n"/>
      <c r="F2110" s="139" t="n"/>
      <c r="G2110" s="140">
        <f>IFERROR(IF(E2110&gt;0,(F2110/E2110)*1000,""),"")</f>
        <v/>
      </c>
      <c r="H2110" s="139">
        <f>IFERROR(IF(E2110&gt;0,E2110*IF(ISNUMBER(J2110),J2110,IF(OR(C2110="Alpha",B2110="Alpha"),$C$7,IF(C2110="Futures",$C$6,$C$5))),""),"")</f>
        <v/>
      </c>
      <c r="I2110" s="139">
        <f>IFERROR(IF(AND(ISNUMBER(F2110),ISNUMBER(H2110)),F2110-H2110,""),"")</f>
        <v/>
      </c>
      <c r="J2110" s="114" t="n"/>
      <c r="K2110" s="139">
        <f>IFERROR(IF(H2110&gt;0,H2110*IF(OR(C2110="Alpha",B2110="Alpha"),$C$9,$C$8),""),"")</f>
        <v/>
      </c>
      <c r="L2110" s="139">
        <f>IFERROR(IF(ISNUMBER(F2110),F2110-IF(ISNUMBER(K2110),K2110,0),""),"")</f>
        <v/>
      </c>
    </row>
    <row r="2111" ht="24" customHeight="1" s="63">
      <c r="E2111" s="139" t="n"/>
      <c r="F2111" s="139" t="n"/>
      <c r="G2111" s="140">
        <f>IFERROR(IF(E2111&gt;0,(F2111/E2111)*1000,""),"")</f>
        <v/>
      </c>
      <c r="H2111" s="139">
        <f>IFERROR(IF(E2111&gt;0,E2111*IF(ISNUMBER(J2111),J2111,IF(OR(C2111="Alpha",B2111="Alpha"),$C$7,IF(C2111="Futures",$C$6,$C$5))),""),"")</f>
        <v/>
      </c>
      <c r="I2111" s="139">
        <f>IFERROR(IF(AND(ISNUMBER(F2111),ISNUMBER(H2111)),F2111-H2111,""),"")</f>
        <v/>
      </c>
      <c r="J2111" s="114" t="n"/>
      <c r="K2111" s="139">
        <f>IFERROR(IF(H2111&gt;0,H2111*IF(OR(C2111="Alpha",B2111="Alpha"),$C$9,$C$8),""),"")</f>
        <v/>
      </c>
      <c r="L2111" s="139">
        <f>IFERROR(IF(ISNUMBER(F2111),F2111-IF(ISNUMBER(K2111),K2111,0),""),"")</f>
        <v/>
      </c>
    </row>
    <row r="2112" ht="24" customHeight="1" s="63">
      <c r="E2112" s="139" t="n"/>
      <c r="F2112" s="139" t="n"/>
      <c r="G2112" s="140">
        <f>IFERROR(IF(E2112&gt;0,(F2112/E2112)*1000,""),"")</f>
        <v/>
      </c>
      <c r="H2112" s="139">
        <f>IFERROR(IF(E2112&gt;0,E2112*IF(ISNUMBER(J2112),J2112,IF(OR(C2112="Alpha",B2112="Alpha"),$C$7,IF(C2112="Futures",$C$6,$C$5))),""),"")</f>
        <v/>
      </c>
      <c r="I2112" s="139">
        <f>IFERROR(IF(AND(ISNUMBER(F2112),ISNUMBER(H2112)),F2112-H2112,""),"")</f>
        <v/>
      </c>
      <c r="J2112" s="114" t="n"/>
      <c r="K2112" s="139">
        <f>IFERROR(IF(H2112&gt;0,H2112*IF(OR(C2112="Alpha",B2112="Alpha"),$C$9,$C$8),""),"")</f>
        <v/>
      </c>
      <c r="L2112" s="139">
        <f>IFERROR(IF(ISNUMBER(F2112),F2112-IF(ISNUMBER(K2112),K2112,0),""),"")</f>
        <v/>
      </c>
    </row>
    <row r="2113" ht="24" customHeight="1" s="63">
      <c r="E2113" s="139" t="n"/>
      <c r="F2113" s="139" t="n"/>
      <c r="G2113" s="140">
        <f>IFERROR(IF(E2113&gt;0,(F2113/E2113)*1000,""),"")</f>
        <v/>
      </c>
      <c r="H2113" s="139">
        <f>IFERROR(IF(E2113&gt;0,E2113*IF(ISNUMBER(J2113),J2113,IF(OR(C2113="Alpha",B2113="Alpha"),$C$7,IF(C2113="Futures",$C$6,$C$5))),""),"")</f>
        <v/>
      </c>
      <c r="I2113" s="139">
        <f>IFERROR(IF(AND(ISNUMBER(F2113),ISNUMBER(H2113)),F2113-H2113,""),"")</f>
        <v/>
      </c>
      <c r="J2113" s="114" t="n"/>
      <c r="K2113" s="139">
        <f>IFERROR(IF(H2113&gt;0,H2113*IF(OR(C2113="Alpha",B2113="Alpha"),$C$9,$C$8),""),"")</f>
        <v/>
      </c>
      <c r="L2113" s="139">
        <f>IFERROR(IF(ISNUMBER(F2113),F2113-IF(ISNUMBER(K2113),K2113,0),""),"")</f>
        <v/>
      </c>
    </row>
    <row r="2114" ht="24" customHeight="1" s="63">
      <c r="E2114" s="139" t="n"/>
      <c r="F2114" s="139" t="n"/>
      <c r="G2114" s="140">
        <f>IFERROR(IF(E2114&gt;0,(F2114/E2114)*1000,""),"")</f>
        <v/>
      </c>
      <c r="H2114" s="139">
        <f>IFERROR(IF(E2114&gt;0,E2114*IF(ISNUMBER(J2114),J2114,IF(OR(C2114="Alpha",B2114="Alpha"),$C$7,IF(C2114="Futures",$C$6,$C$5))),""),"")</f>
        <v/>
      </c>
      <c r="I2114" s="139">
        <f>IFERROR(IF(AND(ISNUMBER(F2114),ISNUMBER(H2114)),F2114-H2114,""),"")</f>
        <v/>
      </c>
      <c r="J2114" s="114" t="n"/>
      <c r="K2114" s="139">
        <f>IFERROR(IF(H2114&gt;0,H2114*IF(OR(C2114="Alpha",B2114="Alpha"),$C$9,$C$8),""),"")</f>
        <v/>
      </c>
      <c r="L2114" s="139">
        <f>IFERROR(IF(ISNUMBER(F2114),F2114-IF(ISNUMBER(K2114),K2114,0),""),"")</f>
        <v/>
      </c>
    </row>
    <row r="2115" ht="24" customHeight="1" s="63">
      <c r="E2115" s="139" t="n"/>
      <c r="F2115" s="139" t="n"/>
      <c r="G2115" s="140">
        <f>IFERROR(IF(E2115&gt;0,(F2115/E2115)*1000,""),"")</f>
        <v/>
      </c>
      <c r="H2115" s="139">
        <f>IFERROR(IF(E2115&gt;0,E2115*IF(ISNUMBER(J2115),J2115,IF(OR(C2115="Alpha",B2115="Alpha"),$C$7,IF(C2115="Futures",$C$6,$C$5))),""),"")</f>
        <v/>
      </c>
      <c r="I2115" s="139">
        <f>IFERROR(IF(AND(ISNUMBER(F2115),ISNUMBER(H2115)),F2115-H2115,""),"")</f>
        <v/>
      </c>
      <c r="J2115" s="114" t="n"/>
      <c r="K2115" s="139">
        <f>IFERROR(IF(H2115&gt;0,H2115*IF(OR(C2115="Alpha",B2115="Alpha"),$C$9,$C$8),""),"")</f>
        <v/>
      </c>
      <c r="L2115" s="139">
        <f>IFERROR(IF(ISNUMBER(F2115),F2115-IF(ISNUMBER(K2115),K2115,0),""),"")</f>
        <v/>
      </c>
    </row>
    <row r="2116" ht="24" customHeight="1" s="63">
      <c r="E2116" s="139" t="n"/>
      <c r="F2116" s="139" t="n"/>
      <c r="G2116" s="140">
        <f>IFERROR(IF(E2116&gt;0,(F2116/E2116)*1000,""),"")</f>
        <v/>
      </c>
      <c r="H2116" s="139">
        <f>IFERROR(IF(E2116&gt;0,E2116*IF(ISNUMBER(J2116),J2116,IF(OR(C2116="Alpha",B2116="Alpha"),$C$7,IF(C2116="Futures",$C$6,$C$5))),""),"")</f>
        <v/>
      </c>
      <c r="I2116" s="139">
        <f>IFERROR(IF(AND(ISNUMBER(F2116),ISNUMBER(H2116)),F2116-H2116,""),"")</f>
        <v/>
      </c>
      <c r="J2116" s="114" t="n"/>
      <c r="K2116" s="139">
        <f>IFERROR(IF(H2116&gt;0,H2116*IF(OR(C2116="Alpha",B2116="Alpha"),$C$9,$C$8),""),"")</f>
        <v/>
      </c>
      <c r="L2116" s="139">
        <f>IFERROR(IF(ISNUMBER(F2116),F2116-IF(ISNUMBER(K2116),K2116,0),""),"")</f>
        <v/>
      </c>
    </row>
    <row r="2117" ht="24" customHeight="1" s="63">
      <c r="E2117" s="139" t="n"/>
      <c r="F2117" s="139" t="n"/>
      <c r="G2117" s="140">
        <f>IFERROR(IF(E2117&gt;0,(F2117/E2117)*1000,""),"")</f>
        <v/>
      </c>
      <c r="H2117" s="139">
        <f>IFERROR(IF(E2117&gt;0,E2117*IF(ISNUMBER(J2117),J2117,IF(OR(C2117="Alpha",B2117="Alpha"),$C$7,IF(C2117="Futures",$C$6,$C$5))),""),"")</f>
        <v/>
      </c>
      <c r="I2117" s="139">
        <f>IFERROR(IF(AND(ISNUMBER(F2117),ISNUMBER(H2117)),F2117-H2117,""),"")</f>
        <v/>
      </c>
      <c r="J2117" s="114" t="n"/>
      <c r="K2117" s="139">
        <f>IFERROR(IF(H2117&gt;0,H2117*IF(OR(C2117="Alpha",B2117="Alpha"),$C$9,$C$8),""),"")</f>
        <v/>
      </c>
      <c r="L2117" s="139">
        <f>IFERROR(IF(ISNUMBER(F2117),F2117-IF(ISNUMBER(K2117),K2117,0),""),"")</f>
        <v/>
      </c>
    </row>
    <row r="2118" ht="24" customHeight="1" s="63">
      <c r="E2118" s="139" t="n"/>
      <c r="F2118" s="139" t="n"/>
      <c r="G2118" s="140">
        <f>IFERROR(IF(E2118&gt;0,(F2118/E2118)*1000,""),"")</f>
        <v/>
      </c>
      <c r="H2118" s="139">
        <f>IFERROR(IF(E2118&gt;0,E2118*IF(ISNUMBER(J2118),J2118,IF(OR(C2118="Alpha",B2118="Alpha"),$C$7,IF(C2118="Futures",$C$6,$C$5))),""),"")</f>
        <v/>
      </c>
      <c r="I2118" s="139">
        <f>IFERROR(IF(AND(ISNUMBER(F2118),ISNUMBER(H2118)),F2118-H2118,""),"")</f>
        <v/>
      </c>
      <c r="J2118" s="114" t="n"/>
      <c r="K2118" s="139">
        <f>IFERROR(IF(H2118&gt;0,H2118*IF(OR(C2118="Alpha",B2118="Alpha"),$C$9,$C$8),""),"")</f>
        <v/>
      </c>
      <c r="L2118" s="139">
        <f>IFERROR(IF(ISNUMBER(F2118),F2118-IF(ISNUMBER(K2118),K2118,0),""),"")</f>
        <v/>
      </c>
    </row>
    <row r="2119" ht="24" customHeight="1" s="63">
      <c r="E2119" s="139" t="n"/>
      <c r="F2119" s="139" t="n"/>
      <c r="G2119" s="140">
        <f>IFERROR(IF(E2119&gt;0,(F2119/E2119)*1000,""),"")</f>
        <v/>
      </c>
      <c r="H2119" s="139">
        <f>IFERROR(IF(E2119&gt;0,E2119*IF(ISNUMBER(J2119),J2119,IF(OR(C2119="Alpha",B2119="Alpha"),$C$7,IF(C2119="Futures",$C$6,$C$5))),""),"")</f>
        <v/>
      </c>
      <c r="I2119" s="139">
        <f>IFERROR(IF(AND(ISNUMBER(F2119),ISNUMBER(H2119)),F2119-H2119,""),"")</f>
        <v/>
      </c>
      <c r="J2119" s="114" t="n"/>
      <c r="K2119" s="139">
        <f>IFERROR(IF(H2119&gt;0,H2119*IF(OR(C2119="Alpha",B2119="Alpha"),$C$9,$C$8),""),"")</f>
        <v/>
      </c>
      <c r="L2119" s="139">
        <f>IFERROR(IF(ISNUMBER(F2119),F2119-IF(ISNUMBER(K2119),K2119,0),""),"")</f>
        <v/>
      </c>
    </row>
    <row r="2120" ht="24" customHeight="1" s="63">
      <c r="E2120" s="139" t="n"/>
      <c r="F2120" s="139" t="n"/>
      <c r="G2120" s="140">
        <f>IFERROR(IF(E2120&gt;0,(F2120/E2120)*1000,""),"")</f>
        <v/>
      </c>
      <c r="H2120" s="139">
        <f>IFERROR(IF(E2120&gt;0,E2120*IF(ISNUMBER(J2120),J2120,IF(OR(C2120="Alpha",B2120="Alpha"),$C$7,IF(C2120="Futures",$C$6,$C$5))),""),"")</f>
        <v/>
      </c>
      <c r="I2120" s="139">
        <f>IFERROR(IF(AND(ISNUMBER(F2120),ISNUMBER(H2120)),F2120-H2120,""),"")</f>
        <v/>
      </c>
      <c r="J2120" s="114" t="n"/>
      <c r="K2120" s="139">
        <f>IFERROR(IF(H2120&gt;0,H2120*IF(OR(C2120="Alpha",B2120="Alpha"),$C$9,$C$8),""),"")</f>
        <v/>
      </c>
      <c r="L2120" s="139">
        <f>IFERROR(IF(ISNUMBER(F2120),F2120-IF(ISNUMBER(K2120),K2120,0),""),"")</f>
        <v/>
      </c>
    </row>
    <row r="2121" ht="24" customHeight="1" s="63">
      <c r="E2121" s="139" t="n"/>
      <c r="F2121" s="139" t="n"/>
      <c r="G2121" s="140">
        <f>IFERROR(IF(E2121&gt;0,(F2121/E2121)*1000,""),"")</f>
        <v/>
      </c>
      <c r="H2121" s="139">
        <f>IFERROR(IF(E2121&gt;0,E2121*IF(ISNUMBER(J2121),J2121,IF(OR(C2121="Alpha",B2121="Alpha"),$C$7,IF(C2121="Futures",$C$6,$C$5))),""),"")</f>
        <v/>
      </c>
      <c r="I2121" s="139">
        <f>IFERROR(IF(AND(ISNUMBER(F2121),ISNUMBER(H2121)),F2121-H2121,""),"")</f>
        <v/>
      </c>
      <c r="J2121" s="114" t="n"/>
      <c r="K2121" s="139">
        <f>IFERROR(IF(H2121&gt;0,H2121*IF(OR(C2121="Alpha",B2121="Alpha"),$C$9,$C$8),""),"")</f>
        <v/>
      </c>
      <c r="L2121" s="139">
        <f>IFERROR(IF(ISNUMBER(F2121),F2121-IF(ISNUMBER(K2121),K2121,0),""),"")</f>
        <v/>
      </c>
    </row>
    <row r="2122" ht="24" customHeight="1" s="63">
      <c r="E2122" s="139" t="n"/>
      <c r="F2122" s="139" t="n"/>
      <c r="G2122" s="140">
        <f>IFERROR(IF(E2122&gt;0,(F2122/E2122)*1000,""),"")</f>
        <v/>
      </c>
      <c r="H2122" s="139">
        <f>IFERROR(IF(E2122&gt;0,E2122*IF(ISNUMBER(J2122),J2122,IF(OR(C2122="Alpha",B2122="Alpha"),$C$7,IF(C2122="Futures",$C$6,$C$5))),""),"")</f>
        <v/>
      </c>
      <c r="I2122" s="139">
        <f>IFERROR(IF(AND(ISNUMBER(F2122),ISNUMBER(H2122)),F2122-H2122,""),"")</f>
        <v/>
      </c>
      <c r="J2122" s="114" t="n"/>
      <c r="K2122" s="139">
        <f>IFERROR(IF(H2122&gt;0,H2122*IF(OR(C2122="Alpha",B2122="Alpha"),$C$9,$C$8),""),"")</f>
        <v/>
      </c>
      <c r="L2122" s="139">
        <f>IFERROR(IF(ISNUMBER(F2122),F2122-IF(ISNUMBER(K2122),K2122,0),""),"")</f>
        <v/>
      </c>
    </row>
    <row r="2123" ht="24" customHeight="1" s="63">
      <c r="E2123" s="139" t="n"/>
      <c r="F2123" s="139" t="n"/>
      <c r="G2123" s="140">
        <f>IFERROR(IF(E2123&gt;0,(F2123/E2123)*1000,""),"")</f>
        <v/>
      </c>
      <c r="H2123" s="139">
        <f>IFERROR(IF(E2123&gt;0,E2123*IF(ISNUMBER(J2123),J2123,IF(OR(C2123="Alpha",B2123="Alpha"),$C$7,IF(C2123="Futures",$C$6,$C$5))),""),"")</f>
        <v/>
      </c>
      <c r="I2123" s="139">
        <f>IFERROR(IF(AND(ISNUMBER(F2123),ISNUMBER(H2123)),F2123-H2123,""),"")</f>
        <v/>
      </c>
      <c r="J2123" s="114" t="n"/>
      <c r="K2123" s="139">
        <f>IFERROR(IF(H2123&gt;0,H2123*IF(OR(C2123="Alpha",B2123="Alpha"),$C$9,$C$8),""),"")</f>
        <v/>
      </c>
      <c r="L2123" s="139">
        <f>IFERROR(IF(ISNUMBER(F2123),F2123-IF(ISNUMBER(K2123),K2123,0),""),"")</f>
        <v/>
      </c>
    </row>
    <row r="2124" ht="24" customHeight="1" s="63">
      <c r="E2124" s="139" t="n"/>
      <c r="F2124" s="139" t="n"/>
      <c r="G2124" s="140">
        <f>IFERROR(IF(E2124&gt;0,(F2124/E2124)*1000,""),"")</f>
        <v/>
      </c>
      <c r="H2124" s="139">
        <f>IFERROR(IF(E2124&gt;0,E2124*IF(ISNUMBER(J2124),J2124,IF(OR(C2124="Alpha",B2124="Alpha"),$C$7,IF(C2124="Futures",$C$6,$C$5))),""),"")</f>
        <v/>
      </c>
      <c r="I2124" s="139">
        <f>IFERROR(IF(AND(ISNUMBER(F2124),ISNUMBER(H2124)),F2124-H2124,""),"")</f>
        <v/>
      </c>
      <c r="J2124" s="114" t="n"/>
      <c r="K2124" s="139">
        <f>IFERROR(IF(H2124&gt;0,H2124*IF(OR(C2124="Alpha",B2124="Alpha"),$C$9,$C$8),""),"")</f>
        <v/>
      </c>
      <c r="L2124" s="139">
        <f>IFERROR(IF(ISNUMBER(F2124),F2124-IF(ISNUMBER(K2124),K2124,0),""),"")</f>
        <v/>
      </c>
    </row>
    <row r="2125" ht="24" customHeight="1" s="63">
      <c r="E2125" s="139" t="n"/>
      <c r="F2125" s="139" t="n"/>
      <c r="G2125" s="140">
        <f>IFERROR(IF(E2125&gt;0,(F2125/E2125)*1000,""),"")</f>
        <v/>
      </c>
      <c r="H2125" s="139">
        <f>IFERROR(IF(E2125&gt;0,E2125*IF(ISNUMBER(J2125),J2125,IF(OR(C2125="Alpha",B2125="Alpha"),$C$7,IF(C2125="Futures",$C$6,$C$5))),""),"")</f>
        <v/>
      </c>
      <c r="I2125" s="139">
        <f>IFERROR(IF(AND(ISNUMBER(F2125),ISNUMBER(H2125)),F2125-H2125,""),"")</f>
        <v/>
      </c>
      <c r="J2125" s="114" t="n"/>
      <c r="K2125" s="139">
        <f>IFERROR(IF(H2125&gt;0,H2125*IF(OR(C2125="Alpha",B2125="Alpha"),$C$9,$C$8),""),"")</f>
        <v/>
      </c>
      <c r="L2125" s="139">
        <f>IFERROR(IF(ISNUMBER(F2125),F2125-IF(ISNUMBER(K2125),K2125,0),""),"")</f>
        <v/>
      </c>
    </row>
    <row r="2126" ht="24" customHeight="1" s="63">
      <c r="E2126" s="139" t="n"/>
      <c r="F2126" s="139" t="n"/>
      <c r="G2126" s="140">
        <f>IFERROR(IF(E2126&gt;0,(F2126/E2126)*1000,""),"")</f>
        <v/>
      </c>
      <c r="H2126" s="139">
        <f>IFERROR(IF(E2126&gt;0,E2126*IF(ISNUMBER(J2126),J2126,IF(OR(C2126="Alpha",B2126="Alpha"),$C$7,IF(C2126="Futures",$C$6,$C$5))),""),"")</f>
        <v/>
      </c>
      <c r="I2126" s="139">
        <f>IFERROR(IF(AND(ISNUMBER(F2126),ISNUMBER(H2126)),F2126-H2126,""),"")</f>
        <v/>
      </c>
      <c r="J2126" s="114" t="n"/>
      <c r="K2126" s="139">
        <f>IFERROR(IF(H2126&gt;0,H2126*IF(OR(C2126="Alpha",B2126="Alpha"),$C$9,$C$8),""),"")</f>
        <v/>
      </c>
      <c r="L2126" s="139">
        <f>IFERROR(IF(ISNUMBER(F2126),F2126-IF(ISNUMBER(K2126),K2126,0),""),"")</f>
        <v/>
      </c>
    </row>
    <row r="2127" ht="24" customHeight="1" s="63">
      <c r="E2127" s="139" t="n"/>
      <c r="F2127" s="139" t="n"/>
      <c r="G2127" s="140">
        <f>IFERROR(IF(E2127&gt;0,(F2127/E2127)*1000,""),"")</f>
        <v/>
      </c>
      <c r="H2127" s="139">
        <f>IFERROR(IF(E2127&gt;0,E2127*IF(ISNUMBER(J2127),J2127,IF(OR(C2127="Alpha",B2127="Alpha"),$C$7,IF(C2127="Futures",$C$6,$C$5))),""),"")</f>
        <v/>
      </c>
      <c r="I2127" s="139">
        <f>IFERROR(IF(AND(ISNUMBER(F2127),ISNUMBER(H2127)),F2127-H2127,""),"")</f>
        <v/>
      </c>
      <c r="J2127" s="114" t="n"/>
      <c r="K2127" s="139">
        <f>IFERROR(IF(H2127&gt;0,H2127*IF(OR(C2127="Alpha",B2127="Alpha"),$C$9,$C$8),""),"")</f>
        <v/>
      </c>
      <c r="L2127" s="139">
        <f>IFERROR(IF(ISNUMBER(F2127),F2127-IF(ISNUMBER(K2127),K2127,0),""),"")</f>
        <v/>
      </c>
    </row>
    <row r="2128" ht="24" customHeight="1" s="63">
      <c r="E2128" s="139" t="n"/>
      <c r="F2128" s="139" t="n"/>
      <c r="G2128" s="140">
        <f>IFERROR(IF(E2128&gt;0,(F2128/E2128)*1000,""),"")</f>
        <v/>
      </c>
      <c r="H2128" s="139">
        <f>IFERROR(IF(E2128&gt;0,E2128*IF(ISNUMBER(J2128),J2128,IF(OR(C2128="Alpha",B2128="Alpha"),$C$7,IF(C2128="Futures",$C$6,$C$5))),""),"")</f>
        <v/>
      </c>
      <c r="I2128" s="139">
        <f>IFERROR(IF(AND(ISNUMBER(F2128),ISNUMBER(H2128)),F2128-H2128,""),"")</f>
        <v/>
      </c>
      <c r="J2128" s="114" t="n"/>
      <c r="K2128" s="139">
        <f>IFERROR(IF(H2128&gt;0,H2128*IF(OR(C2128="Alpha",B2128="Alpha"),$C$9,$C$8),""),"")</f>
        <v/>
      </c>
      <c r="L2128" s="139">
        <f>IFERROR(IF(ISNUMBER(F2128),F2128-IF(ISNUMBER(K2128),K2128,0),""),"")</f>
        <v/>
      </c>
    </row>
    <row r="2129" ht="24" customHeight="1" s="63">
      <c r="E2129" s="139" t="n"/>
      <c r="F2129" s="139" t="n"/>
      <c r="G2129" s="140">
        <f>IFERROR(IF(E2129&gt;0,(F2129/E2129)*1000,""),"")</f>
        <v/>
      </c>
      <c r="H2129" s="139">
        <f>IFERROR(IF(E2129&gt;0,E2129*IF(ISNUMBER(J2129),J2129,IF(OR(C2129="Alpha",B2129="Alpha"),$C$7,IF(C2129="Futures",$C$6,$C$5))),""),"")</f>
        <v/>
      </c>
      <c r="I2129" s="139">
        <f>IFERROR(IF(AND(ISNUMBER(F2129),ISNUMBER(H2129)),F2129-H2129,""),"")</f>
        <v/>
      </c>
      <c r="J2129" s="114" t="n"/>
      <c r="K2129" s="139">
        <f>IFERROR(IF(H2129&gt;0,H2129*IF(OR(C2129="Alpha",B2129="Alpha"),$C$9,$C$8),""),"")</f>
        <v/>
      </c>
      <c r="L2129" s="139">
        <f>IFERROR(IF(ISNUMBER(F2129),F2129-IF(ISNUMBER(K2129),K2129,0),""),"")</f>
        <v/>
      </c>
    </row>
    <row r="2130" ht="24" customHeight="1" s="63">
      <c r="E2130" s="139" t="n"/>
      <c r="F2130" s="139" t="n"/>
      <c r="G2130" s="140">
        <f>IFERROR(IF(E2130&gt;0,(F2130/E2130)*1000,""),"")</f>
        <v/>
      </c>
      <c r="H2130" s="139">
        <f>IFERROR(IF(E2130&gt;0,E2130*IF(ISNUMBER(J2130),J2130,IF(OR(C2130="Alpha",B2130="Alpha"),$C$7,IF(C2130="Futures",$C$6,$C$5))),""),"")</f>
        <v/>
      </c>
      <c r="I2130" s="139">
        <f>IFERROR(IF(AND(ISNUMBER(F2130),ISNUMBER(H2130)),F2130-H2130,""),"")</f>
        <v/>
      </c>
      <c r="J2130" s="114" t="n"/>
      <c r="K2130" s="139">
        <f>IFERROR(IF(H2130&gt;0,H2130*IF(OR(C2130="Alpha",B2130="Alpha"),$C$9,$C$8),""),"")</f>
        <v/>
      </c>
      <c r="L2130" s="139">
        <f>IFERROR(IF(ISNUMBER(F2130),F2130-IF(ISNUMBER(K2130),K2130,0),""),"")</f>
        <v/>
      </c>
    </row>
    <row r="2131" ht="24" customHeight="1" s="63">
      <c r="E2131" s="139" t="n"/>
      <c r="F2131" s="139" t="n"/>
      <c r="G2131" s="140">
        <f>IFERROR(IF(E2131&gt;0,(F2131/E2131)*1000,""),"")</f>
        <v/>
      </c>
      <c r="H2131" s="139">
        <f>IFERROR(IF(E2131&gt;0,E2131*IF(ISNUMBER(J2131),J2131,IF(OR(C2131="Alpha",B2131="Alpha"),$C$7,IF(C2131="Futures",$C$6,$C$5))),""),"")</f>
        <v/>
      </c>
      <c r="I2131" s="139">
        <f>IFERROR(IF(AND(ISNUMBER(F2131),ISNUMBER(H2131)),F2131-H2131,""),"")</f>
        <v/>
      </c>
      <c r="J2131" s="114" t="n"/>
      <c r="K2131" s="139">
        <f>IFERROR(IF(H2131&gt;0,H2131*IF(OR(C2131="Alpha",B2131="Alpha"),$C$9,$C$8),""),"")</f>
        <v/>
      </c>
      <c r="L2131" s="139">
        <f>IFERROR(IF(ISNUMBER(F2131),F2131-IF(ISNUMBER(K2131),K2131,0),""),"")</f>
        <v/>
      </c>
    </row>
    <row r="2132" ht="24" customHeight="1" s="63">
      <c r="E2132" s="139" t="n"/>
      <c r="F2132" s="139" t="n"/>
      <c r="G2132" s="140">
        <f>IFERROR(IF(E2132&gt;0,(F2132/E2132)*1000,""),"")</f>
        <v/>
      </c>
      <c r="H2132" s="139">
        <f>IFERROR(IF(E2132&gt;0,E2132*IF(ISNUMBER(J2132),J2132,IF(OR(C2132="Alpha",B2132="Alpha"),$C$7,IF(C2132="Futures",$C$6,$C$5))),""),"")</f>
        <v/>
      </c>
      <c r="I2132" s="139">
        <f>IFERROR(IF(AND(ISNUMBER(F2132),ISNUMBER(H2132)),F2132-H2132,""),"")</f>
        <v/>
      </c>
      <c r="J2132" s="114" t="n"/>
      <c r="K2132" s="139">
        <f>IFERROR(IF(H2132&gt;0,H2132*IF(OR(C2132="Alpha",B2132="Alpha"),$C$9,$C$8),""),"")</f>
        <v/>
      </c>
      <c r="L2132" s="139">
        <f>IFERROR(IF(ISNUMBER(F2132),F2132-IF(ISNUMBER(K2132),K2132,0),""),"")</f>
        <v/>
      </c>
    </row>
    <row r="2133" ht="24" customHeight="1" s="63">
      <c r="E2133" s="139" t="n"/>
      <c r="F2133" s="139" t="n"/>
      <c r="G2133" s="140">
        <f>IFERROR(IF(E2133&gt;0,(F2133/E2133)*1000,""),"")</f>
        <v/>
      </c>
      <c r="H2133" s="139">
        <f>IFERROR(IF(E2133&gt;0,E2133*IF(ISNUMBER(J2133),J2133,IF(OR(C2133="Alpha",B2133="Alpha"),$C$7,IF(C2133="Futures",$C$6,$C$5))),""),"")</f>
        <v/>
      </c>
      <c r="I2133" s="139">
        <f>IFERROR(IF(AND(ISNUMBER(F2133),ISNUMBER(H2133)),F2133-H2133,""),"")</f>
        <v/>
      </c>
      <c r="J2133" s="114" t="n"/>
      <c r="K2133" s="139">
        <f>IFERROR(IF(H2133&gt;0,H2133*IF(OR(C2133="Alpha",B2133="Alpha"),$C$9,$C$8),""),"")</f>
        <v/>
      </c>
      <c r="L2133" s="139">
        <f>IFERROR(IF(ISNUMBER(F2133),F2133-IF(ISNUMBER(K2133),K2133,0),""),"")</f>
        <v/>
      </c>
    </row>
    <row r="2134" ht="24" customHeight="1" s="63">
      <c r="E2134" s="139" t="n"/>
      <c r="F2134" s="139" t="n"/>
      <c r="G2134" s="140">
        <f>IFERROR(IF(E2134&gt;0,(F2134/E2134)*1000,""),"")</f>
        <v/>
      </c>
      <c r="H2134" s="139">
        <f>IFERROR(IF(E2134&gt;0,E2134*IF(ISNUMBER(J2134),J2134,IF(OR(C2134="Alpha",B2134="Alpha"),$C$7,IF(C2134="Futures",$C$6,$C$5))),""),"")</f>
        <v/>
      </c>
      <c r="I2134" s="139">
        <f>IFERROR(IF(AND(ISNUMBER(F2134),ISNUMBER(H2134)),F2134-H2134,""),"")</f>
        <v/>
      </c>
      <c r="J2134" s="114" t="n"/>
      <c r="K2134" s="139">
        <f>IFERROR(IF(H2134&gt;0,H2134*IF(OR(C2134="Alpha",B2134="Alpha"),$C$9,$C$8),""),"")</f>
        <v/>
      </c>
      <c r="L2134" s="139">
        <f>IFERROR(IF(ISNUMBER(F2134),F2134-IF(ISNUMBER(K2134),K2134,0),""),"")</f>
        <v/>
      </c>
    </row>
    <row r="2135" ht="24" customHeight="1" s="63">
      <c r="E2135" s="139" t="n"/>
      <c r="F2135" s="139" t="n"/>
      <c r="G2135" s="140">
        <f>IFERROR(IF(E2135&gt;0,(F2135/E2135)*1000,""),"")</f>
        <v/>
      </c>
      <c r="H2135" s="139">
        <f>IFERROR(IF(E2135&gt;0,E2135*IF(ISNUMBER(J2135),J2135,IF(OR(C2135="Alpha",B2135="Alpha"),$C$7,IF(C2135="Futures",$C$6,$C$5))),""),"")</f>
        <v/>
      </c>
      <c r="I2135" s="139">
        <f>IFERROR(IF(AND(ISNUMBER(F2135),ISNUMBER(H2135)),F2135-H2135,""),"")</f>
        <v/>
      </c>
      <c r="J2135" s="114" t="n"/>
      <c r="K2135" s="139">
        <f>IFERROR(IF(H2135&gt;0,H2135*IF(OR(C2135="Alpha",B2135="Alpha"),$C$9,$C$8),""),"")</f>
        <v/>
      </c>
      <c r="L2135" s="139">
        <f>IFERROR(IF(ISNUMBER(F2135),F2135-IF(ISNUMBER(K2135),K2135,0),""),"")</f>
        <v/>
      </c>
    </row>
    <row r="2136" ht="24" customHeight="1" s="63">
      <c r="E2136" s="139" t="n"/>
      <c r="F2136" s="139" t="n"/>
      <c r="G2136" s="140">
        <f>IFERROR(IF(E2136&gt;0,(F2136/E2136)*1000,""),"")</f>
        <v/>
      </c>
      <c r="H2136" s="139">
        <f>IFERROR(IF(E2136&gt;0,E2136*IF(ISNUMBER(J2136),J2136,IF(OR(C2136="Alpha",B2136="Alpha"),$C$7,IF(C2136="Futures",$C$6,$C$5))),""),"")</f>
        <v/>
      </c>
      <c r="I2136" s="139">
        <f>IFERROR(IF(AND(ISNUMBER(F2136),ISNUMBER(H2136)),F2136-H2136,""),"")</f>
        <v/>
      </c>
      <c r="J2136" s="114" t="n"/>
      <c r="K2136" s="139">
        <f>IFERROR(IF(H2136&gt;0,H2136*IF(OR(C2136="Alpha",B2136="Alpha"),$C$9,$C$8),""),"")</f>
        <v/>
      </c>
      <c r="L2136" s="139">
        <f>IFERROR(IF(ISNUMBER(F2136),F2136-IF(ISNUMBER(K2136),K2136,0),""),"")</f>
        <v/>
      </c>
    </row>
    <row r="2137" ht="24" customHeight="1" s="63">
      <c r="E2137" s="139" t="n"/>
      <c r="F2137" s="139" t="n"/>
      <c r="G2137" s="140">
        <f>IFERROR(IF(E2137&gt;0,(F2137/E2137)*1000,""),"")</f>
        <v/>
      </c>
      <c r="H2137" s="139">
        <f>IFERROR(IF(E2137&gt;0,E2137*IF(ISNUMBER(J2137),J2137,IF(OR(C2137="Alpha",B2137="Alpha"),$C$7,IF(C2137="Futures",$C$6,$C$5))),""),"")</f>
        <v/>
      </c>
      <c r="I2137" s="139">
        <f>IFERROR(IF(AND(ISNUMBER(F2137),ISNUMBER(H2137)),F2137-H2137,""),"")</f>
        <v/>
      </c>
      <c r="J2137" s="114" t="n"/>
      <c r="K2137" s="139">
        <f>IFERROR(IF(H2137&gt;0,H2137*IF(OR(C2137="Alpha",B2137="Alpha"),$C$9,$C$8),""),"")</f>
        <v/>
      </c>
      <c r="L2137" s="139">
        <f>IFERROR(IF(ISNUMBER(F2137),F2137-IF(ISNUMBER(K2137),K2137,0),""),"")</f>
        <v/>
      </c>
    </row>
    <row r="2138" ht="24" customHeight="1" s="63">
      <c r="E2138" s="139" t="n"/>
      <c r="F2138" s="139" t="n"/>
      <c r="G2138" s="140">
        <f>IFERROR(IF(E2138&gt;0,(F2138/E2138)*1000,""),"")</f>
        <v/>
      </c>
      <c r="H2138" s="139">
        <f>IFERROR(IF(E2138&gt;0,E2138*IF(ISNUMBER(J2138),J2138,IF(OR(C2138="Alpha",B2138="Alpha"),$C$7,IF(C2138="Futures",$C$6,$C$5))),""),"")</f>
        <v/>
      </c>
      <c r="I2138" s="139">
        <f>IFERROR(IF(AND(ISNUMBER(F2138),ISNUMBER(H2138)),F2138-H2138,""),"")</f>
        <v/>
      </c>
      <c r="J2138" s="114" t="n"/>
      <c r="K2138" s="139">
        <f>IFERROR(IF(H2138&gt;0,H2138*IF(OR(C2138="Alpha",B2138="Alpha"),$C$9,$C$8),""),"")</f>
        <v/>
      </c>
      <c r="L2138" s="139">
        <f>IFERROR(IF(ISNUMBER(F2138),F2138-IF(ISNUMBER(K2138),K2138,0),""),"")</f>
        <v/>
      </c>
    </row>
    <row r="2139" ht="24" customHeight="1" s="63">
      <c r="E2139" s="139" t="n"/>
      <c r="F2139" s="139" t="n"/>
      <c r="G2139" s="140">
        <f>IFERROR(IF(E2139&gt;0,(F2139/E2139)*1000,""),"")</f>
        <v/>
      </c>
      <c r="H2139" s="139">
        <f>IFERROR(IF(E2139&gt;0,E2139*IF(ISNUMBER(J2139),J2139,IF(OR(C2139="Alpha",B2139="Alpha"),$C$7,IF(C2139="Futures",$C$6,$C$5))),""),"")</f>
        <v/>
      </c>
      <c r="I2139" s="139">
        <f>IFERROR(IF(AND(ISNUMBER(F2139),ISNUMBER(H2139)),F2139-H2139,""),"")</f>
        <v/>
      </c>
      <c r="J2139" s="114" t="n"/>
      <c r="K2139" s="139">
        <f>IFERROR(IF(H2139&gt;0,H2139*IF(OR(C2139="Alpha",B2139="Alpha"),$C$9,$C$8),""),"")</f>
        <v/>
      </c>
      <c r="L2139" s="139">
        <f>IFERROR(IF(ISNUMBER(F2139),F2139-IF(ISNUMBER(K2139),K2139,0),""),"")</f>
        <v/>
      </c>
    </row>
    <row r="2140" ht="24" customHeight="1" s="63">
      <c r="E2140" s="139" t="n"/>
      <c r="F2140" s="139" t="n"/>
      <c r="G2140" s="140">
        <f>IFERROR(IF(E2140&gt;0,(F2140/E2140)*1000,""),"")</f>
        <v/>
      </c>
      <c r="H2140" s="139">
        <f>IFERROR(IF(E2140&gt;0,E2140*IF(ISNUMBER(J2140),J2140,IF(OR(C2140="Alpha",B2140="Alpha"),$C$7,IF(C2140="Futures",$C$6,$C$5))),""),"")</f>
        <v/>
      </c>
      <c r="I2140" s="139">
        <f>IFERROR(IF(AND(ISNUMBER(F2140),ISNUMBER(H2140)),F2140-H2140,""),"")</f>
        <v/>
      </c>
      <c r="J2140" s="114" t="n"/>
      <c r="K2140" s="139">
        <f>IFERROR(IF(H2140&gt;0,H2140*IF(OR(C2140="Alpha",B2140="Alpha"),$C$9,$C$8),""),"")</f>
        <v/>
      </c>
      <c r="L2140" s="139">
        <f>IFERROR(IF(ISNUMBER(F2140),F2140-IF(ISNUMBER(K2140),K2140,0),""),"")</f>
        <v/>
      </c>
    </row>
    <row r="2141" ht="24" customHeight="1" s="63">
      <c r="E2141" s="139" t="n"/>
      <c r="F2141" s="139" t="n"/>
      <c r="G2141" s="140">
        <f>IFERROR(IF(E2141&gt;0,(F2141/E2141)*1000,""),"")</f>
        <v/>
      </c>
      <c r="H2141" s="139">
        <f>IFERROR(IF(E2141&gt;0,E2141*IF(ISNUMBER(J2141),J2141,IF(OR(C2141="Alpha",B2141="Alpha"),$C$7,IF(C2141="Futures",$C$6,$C$5))),""),"")</f>
        <v/>
      </c>
      <c r="I2141" s="139">
        <f>IFERROR(IF(AND(ISNUMBER(F2141),ISNUMBER(H2141)),F2141-H2141,""),"")</f>
        <v/>
      </c>
      <c r="J2141" s="114" t="n"/>
      <c r="K2141" s="139">
        <f>IFERROR(IF(H2141&gt;0,H2141*IF(OR(C2141="Alpha",B2141="Alpha"),$C$9,$C$8),""),"")</f>
        <v/>
      </c>
      <c r="L2141" s="139">
        <f>IFERROR(IF(ISNUMBER(F2141),F2141-IF(ISNUMBER(K2141),K2141,0),""),"")</f>
        <v/>
      </c>
    </row>
    <row r="2142" ht="24" customHeight="1" s="63">
      <c r="E2142" s="139" t="n"/>
      <c r="F2142" s="139" t="n"/>
      <c r="G2142" s="140">
        <f>IFERROR(IF(E2142&gt;0,(F2142/E2142)*1000,""),"")</f>
        <v/>
      </c>
      <c r="H2142" s="139">
        <f>IFERROR(IF(E2142&gt;0,E2142*IF(ISNUMBER(J2142),J2142,IF(OR(C2142="Alpha",B2142="Alpha"),$C$7,IF(C2142="Futures",$C$6,$C$5))),""),"")</f>
        <v/>
      </c>
      <c r="I2142" s="139">
        <f>IFERROR(IF(AND(ISNUMBER(F2142),ISNUMBER(H2142)),F2142-H2142,""),"")</f>
        <v/>
      </c>
      <c r="J2142" s="114" t="n"/>
      <c r="K2142" s="139">
        <f>IFERROR(IF(H2142&gt;0,H2142*IF(OR(C2142="Alpha",B2142="Alpha"),$C$9,$C$8),""),"")</f>
        <v/>
      </c>
      <c r="L2142" s="139">
        <f>IFERROR(IF(ISNUMBER(F2142),F2142-IF(ISNUMBER(K2142),K2142,0),""),"")</f>
        <v/>
      </c>
    </row>
    <row r="2143" ht="24" customHeight="1" s="63">
      <c r="E2143" s="139" t="n"/>
      <c r="F2143" s="139" t="n"/>
      <c r="G2143" s="140">
        <f>IFERROR(IF(E2143&gt;0,(F2143/E2143)*1000,""),"")</f>
        <v/>
      </c>
      <c r="H2143" s="139">
        <f>IFERROR(IF(E2143&gt;0,E2143*IF(ISNUMBER(J2143),J2143,IF(OR(C2143="Alpha",B2143="Alpha"),$C$7,IF(C2143="Futures",$C$6,$C$5))),""),"")</f>
        <v/>
      </c>
      <c r="I2143" s="139">
        <f>IFERROR(IF(AND(ISNUMBER(F2143),ISNUMBER(H2143)),F2143-H2143,""),"")</f>
        <v/>
      </c>
      <c r="J2143" s="114" t="n"/>
      <c r="K2143" s="139">
        <f>IFERROR(IF(H2143&gt;0,H2143*IF(OR(C2143="Alpha",B2143="Alpha"),$C$9,$C$8),""),"")</f>
        <v/>
      </c>
      <c r="L2143" s="139">
        <f>IFERROR(IF(ISNUMBER(F2143),F2143-IF(ISNUMBER(K2143),K2143,0),""),"")</f>
        <v/>
      </c>
    </row>
    <row r="2144" ht="24" customHeight="1" s="63">
      <c r="E2144" s="139" t="n"/>
      <c r="F2144" s="139" t="n"/>
      <c r="G2144" s="140">
        <f>IFERROR(IF(E2144&gt;0,(F2144/E2144)*1000,""),"")</f>
        <v/>
      </c>
      <c r="H2144" s="139">
        <f>IFERROR(IF(E2144&gt;0,E2144*IF(ISNUMBER(J2144),J2144,IF(OR(C2144="Alpha",B2144="Alpha"),$C$7,IF(C2144="Futures",$C$6,$C$5))),""),"")</f>
        <v/>
      </c>
      <c r="I2144" s="139">
        <f>IFERROR(IF(AND(ISNUMBER(F2144),ISNUMBER(H2144)),F2144-H2144,""),"")</f>
        <v/>
      </c>
      <c r="J2144" s="114" t="n"/>
      <c r="K2144" s="139">
        <f>IFERROR(IF(H2144&gt;0,H2144*IF(OR(C2144="Alpha",B2144="Alpha"),$C$9,$C$8),""),"")</f>
        <v/>
      </c>
      <c r="L2144" s="139">
        <f>IFERROR(IF(ISNUMBER(F2144),F2144-IF(ISNUMBER(K2144),K2144,0),""),"")</f>
        <v/>
      </c>
    </row>
    <row r="2145" ht="24" customHeight="1" s="63">
      <c r="E2145" s="139" t="n"/>
      <c r="F2145" s="139" t="n"/>
      <c r="G2145" s="140">
        <f>IFERROR(IF(E2145&gt;0,(F2145/E2145)*1000,""),"")</f>
        <v/>
      </c>
      <c r="H2145" s="139">
        <f>IFERROR(IF(E2145&gt;0,E2145*IF(ISNUMBER(J2145),J2145,IF(OR(C2145="Alpha",B2145="Alpha"),$C$7,IF(C2145="Futures",$C$6,$C$5))),""),"")</f>
        <v/>
      </c>
      <c r="I2145" s="139">
        <f>IFERROR(IF(AND(ISNUMBER(F2145),ISNUMBER(H2145)),F2145-H2145,""),"")</f>
        <v/>
      </c>
      <c r="J2145" s="114" t="n"/>
      <c r="K2145" s="139">
        <f>IFERROR(IF(H2145&gt;0,H2145*IF(OR(C2145="Alpha",B2145="Alpha"),$C$9,$C$8),""),"")</f>
        <v/>
      </c>
      <c r="L2145" s="139">
        <f>IFERROR(IF(ISNUMBER(F2145),F2145-IF(ISNUMBER(K2145),K2145,0),""),"")</f>
        <v/>
      </c>
    </row>
    <row r="2146" ht="24" customHeight="1" s="63">
      <c r="E2146" s="139" t="n"/>
      <c r="F2146" s="139" t="n"/>
      <c r="G2146" s="140">
        <f>IFERROR(IF(E2146&gt;0,(F2146/E2146)*1000,""),"")</f>
        <v/>
      </c>
      <c r="H2146" s="139">
        <f>IFERROR(IF(E2146&gt;0,E2146*IF(ISNUMBER(J2146),J2146,IF(OR(C2146="Alpha",B2146="Alpha"),$C$7,IF(C2146="Futures",$C$6,$C$5))),""),"")</f>
        <v/>
      </c>
      <c r="I2146" s="139">
        <f>IFERROR(IF(AND(ISNUMBER(F2146),ISNUMBER(H2146)),F2146-H2146,""),"")</f>
        <v/>
      </c>
      <c r="J2146" s="114" t="n"/>
      <c r="K2146" s="139">
        <f>IFERROR(IF(H2146&gt;0,H2146*IF(OR(C2146="Alpha",B2146="Alpha"),$C$9,$C$8),""),"")</f>
        <v/>
      </c>
      <c r="L2146" s="139">
        <f>IFERROR(IF(ISNUMBER(F2146),F2146-IF(ISNUMBER(K2146),K2146,0),""),"")</f>
        <v/>
      </c>
    </row>
    <row r="2147" ht="24" customHeight="1" s="63">
      <c r="E2147" s="139" t="n"/>
      <c r="F2147" s="139" t="n"/>
      <c r="G2147" s="140">
        <f>IFERROR(IF(E2147&gt;0,(F2147/E2147)*1000,""),"")</f>
        <v/>
      </c>
      <c r="H2147" s="139">
        <f>IFERROR(IF(E2147&gt;0,E2147*IF(ISNUMBER(J2147),J2147,IF(OR(C2147="Alpha",B2147="Alpha"),$C$7,IF(C2147="Futures",$C$6,$C$5))),""),"")</f>
        <v/>
      </c>
      <c r="I2147" s="139">
        <f>IFERROR(IF(AND(ISNUMBER(F2147),ISNUMBER(H2147)),F2147-H2147,""),"")</f>
        <v/>
      </c>
      <c r="J2147" s="114" t="n"/>
      <c r="K2147" s="139">
        <f>IFERROR(IF(H2147&gt;0,H2147*IF(OR(C2147="Alpha",B2147="Alpha"),$C$9,$C$8),""),"")</f>
        <v/>
      </c>
      <c r="L2147" s="139">
        <f>IFERROR(IF(ISNUMBER(F2147),F2147-IF(ISNUMBER(K2147),K2147,0),""),"")</f>
        <v/>
      </c>
    </row>
    <row r="2148" ht="24" customHeight="1" s="63">
      <c r="E2148" s="139" t="n"/>
      <c r="F2148" s="139" t="n"/>
      <c r="G2148" s="140">
        <f>IFERROR(IF(E2148&gt;0,(F2148/E2148)*1000,""),"")</f>
        <v/>
      </c>
      <c r="H2148" s="139">
        <f>IFERROR(IF(E2148&gt;0,E2148*IF(ISNUMBER(J2148),J2148,IF(OR(C2148="Alpha",B2148="Alpha"),$C$7,IF(C2148="Futures",$C$6,$C$5))),""),"")</f>
        <v/>
      </c>
      <c r="I2148" s="139">
        <f>IFERROR(IF(AND(ISNUMBER(F2148),ISNUMBER(H2148)),F2148-H2148,""),"")</f>
        <v/>
      </c>
      <c r="J2148" s="114" t="n"/>
      <c r="K2148" s="139">
        <f>IFERROR(IF(H2148&gt;0,H2148*IF(OR(C2148="Alpha",B2148="Alpha"),$C$9,$C$8),""),"")</f>
        <v/>
      </c>
      <c r="L2148" s="139">
        <f>IFERROR(IF(ISNUMBER(F2148),F2148-IF(ISNUMBER(K2148),K2148,0),""),"")</f>
        <v/>
      </c>
    </row>
    <row r="2149" ht="24" customHeight="1" s="63">
      <c r="E2149" s="139" t="n"/>
      <c r="F2149" s="139" t="n"/>
      <c r="G2149" s="140">
        <f>IFERROR(IF(E2149&gt;0,(F2149/E2149)*1000,""),"")</f>
        <v/>
      </c>
      <c r="H2149" s="139">
        <f>IFERROR(IF(E2149&gt;0,E2149*IF(ISNUMBER(J2149),J2149,IF(OR(C2149="Alpha",B2149="Alpha"),$C$7,IF(C2149="Futures",$C$6,$C$5))),""),"")</f>
        <v/>
      </c>
      <c r="I2149" s="139">
        <f>IFERROR(IF(AND(ISNUMBER(F2149),ISNUMBER(H2149)),F2149-H2149,""),"")</f>
        <v/>
      </c>
      <c r="J2149" s="114" t="n"/>
      <c r="K2149" s="139">
        <f>IFERROR(IF(H2149&gt;0,H2149*IF(OR(C2149="Alpha",B2149="Alpha"),$C$9,$C$8),""),"")</f>
        <v/>
      </c>
      <c r="L2149" s="139">
        <f>IFERROR(IF(ISNUMBER(F2149),F2149-IF(ISNUMBER(K2149),K2149,0),""),"")</f>
        <v/>
      </c>
    </row>
    <row r="2150" ht="24" customHeight="1" s="63">
      <c r="E2150" s="139" t="n"/>
      <c r="F2150" s="139" t="n"/>
      <c r="G2150" s="140">
        <f>IFERROR(IF(E2150&gt;0,(F2150/E2150)*1000,""),"")</f>
        <v/>
      </c>
      <c r="H2150" s="139">
        <f>IFERROR(IF(E2150&gt;0,E2150*IF(ISNUMBER(J2150),J2150,IF(OR(C2150="Alpha",B2150="Alpha"),$C$7,IF(C2150="Futures",$C$6,$C$5))),""),"")</f>
        <v/>
      </c>
      <c r="I2150" s="139">
        <f>IFERROR(IF(AND(ISNUMBER(F2150),ISNUMBER(H2150)),F2150-H2150,""),"")</f>
        <v/>
      </c>
      <c r="J2150" s="114" t="n"/>
      <c r="K2150" s="139">
        <f>IFERROR(IF(H2150&gt;0,H2150*IF(OR(C2150="Alpha",B2150="Alpha"),$C$9,$C$8),""),"")</f>
        <v/>
      </c>
      <c r="L2150" s="139">
        <f>IFERROR(IF(ISNUMBER(F2150),F2150-IF(ISNUMBER(K2150),K2150,0),""),"")</f>
        <v/>
      </c>
    </row>
    <row r="2151" ht="24" customHeight="1" s="63">
      <c r="E2151" s="139" t="n"/>
      <c r="F2151" s="139" t="n"/>
      <c r="G2151" s="140">
        <f>IFERROR(IF(E2151&gt;0,(F2151/E2151)*1000,""),"")</f>
        <v/>
      </c>
      <c r="H2151" s="139">
        <f>IFERROR(IF(E2151&gt;0,E2151*IF(ISNUMBER(J2151),J2151,IF(OR(C2151="Alpha",B2151="Alpha"),$C$7,IF(C2151="Futures",$C$6,$C$5))),""),"")</f>
        <v/>
      </c>
      <c r="I2151" s="139">
        <f>IFERROR(IF(AND(ISNUMBER(F2151),ISNUMBER(H2151)),F2151-H2151,""),"")</f>
        <v/>
      </c>
      <c r="J2151" s="114" t="n"/>
      <c r="K2151" s="139">
        <f>IFERROR(IF(H2151&gt;0,H2151*IF(OR(C2151="Alpha",B2151="Alpha"),$C$9,$C$8),""),"")</f>
        <v/>
      </c>
      <c r="L2151" s="139">
        <f>IFERROR(IF(ISNUMBER(F2151),F2151-IF(ISNUMBER(K2151),K2151,0),""),"")</f>
        <v/>
      </c>
    </row>
    <row r="2152" ht="24" customHeight="1" s="63">
      <c r="E2152" s="139" t="n"/>
      <c r="F2152" s="139" t="n"/>
      <c r="G2152" s="140">
        <f>IFERROR(IF(E2152&gt;0,(F2152/E2152)*1000,""),"")</f>
        <v/>
      </c>
      <c r="H2152" s="139">
        <f>IFERROR(IF(E2152&gt;0,E2152*IF(ISNUMBER(J2152),J2152,IF(OR(C2152="Alpha",B2152="Alpha"),$C$7,IF(C2152="Futures",$C$6,$C$5))),""),"")</f>
        <v/>
      </c>
      <c r="I2152" s="139">
        <f>IFERROR(IF(AND(ISNUMBER(F2152),ISNUMBER(H2152)),F2152-H2152,""),"")</f>
        <v/>
      </c>
      <c r="J2152" s="114" t="n"/>
      <c r="K2152" s="139">
        <f>IFERROR(IF(H2152&gt;0,H2152*IF(OR(C2152="Alpha",B2152="Alpha"),$C$9,$C$8),""),"")</f>
        <v/>
      </c>
      <c r="L2152" s="139">
        <f>IFERROR(IF(ISNUMBER(F2152),F2152-IF(ISNUMBER(K2152),K2152,0),""),"")</f>
        <v/>
      </c>
    </row>
    <row r="2153" ht="24" customHeight="1" s="63">
      <c r="E2153" s="139" t="n"/>
      <c r="F2153" s="139" t="n"/>
      <c r="G2153" s="140">
        <f>IFERROR(IF(E2153&gt;0,(F2153/E2153)*1000,""),"")</f>
        <v/>
      </c>
      <c r="H2153" s="139">
        <f>IFERROR(IF(E2153&gt;0,E2153*IF(ISNUMBER(J2153),J2153,IF(OR(C2153="Alpha",B2153="Alpha"),$C$7,IF(C2153="Futures",$C$6,$C$5))),""),"")</f>
        <v/>
      </c>
      <c r="I2153" s="139">
        <f>IFERROR(IF(AND(ISNUMBER(F2153),ISNUMBER(H2153)),F2153-H2153,""),"")</f>
        <v/>
      </c>
      <c r="J2153" s="114" t="n"/>
      <c r="K2153" s="139">
        <f>IFERROR(IF(H2153&gt;0,H2153*IF(OR(C2153="Alpha",B2153="Alpha"),$C$9,$C$8),""),"")</f>
        <v/>
      </c>
      <c r="L2153" s="139">
        <f>IFERROR(IF(ISNUMBER(F2153),F2153-IF(ISNUMBER(K2153),K2153,0),""),"")</f>
        <v/>
      </c>
    </row>
    <row r="2154" ht="24" customHeight="1" s="63">
      <c r="E2154" s="139" t="n"/>
      <c r="F2154" s="139" t="n"/>
      <c r="G2154" s="140">
        <f>IFERROR(IF(E2154&gt;0,(F2154/E2154)*1000,""),"")</f>
        <v/>
      </c>
      <c r="H2154" s="139">
        <f>IFERROR(IF(E2154&gt;0,E2154*IF(ISNUMBER(J2154),J2154,IF(OR(C2154="Alpha",B2154="Alpha"),$C$7,IF(C2154="Futures",$C$6,$C$5))),""),"")</f>
        <v/>
      </c>
      <c r="I2154" s="139">
        <f>IFERROR(IF(AND(ISNUMBER(F2154),ISNUMBER(H2154)),F2154-H2154,""),"")</f>
        <v/>
      </c>
      <c r="J2154" s="114" t="n"/>
      <c r="K2154" s="139">
        <f>IFERROR(IF(H2154&gt;0,H2154*IF(OR(C2154="Alpha",B2154="Alpha"),$C$9,$C$8),""),"")</f>
        <v/>
      </c>
      <c r="L2154" s="139">
        <f>IFERROR(IF(ISNUMBER(F2154),F2154-IF(ISNUMBER(K2154),K2154,0),""),"")</f>
        <v/>
      </c>
    </row>
    <row r="2155" ht="24" customHeight="1" s="63">
      <c r="E2155" s="139" t="n"/>
      <c r="F2155" s="139" t="n"/>
      <c r="G2155" s="140">
        <f>IFERROR(IF(E2155&gt;0,(F2155/E2155)*1000,""),"")</f>
        <v/>
      </c>
      <c r="H2155" s="139">
        <f>IFERROR(IF(E2155&gt;0,E2155*IF(ISNUMBER(J2155),J2155,IF(OR(C2155="Alpha",B2155="Alpha"),$C$7,IF(C2155="Futures",$C$6,$C$5))),""),"")</f>
        <v/>
      </c>
      <c r="I2155" s="139">
        <f>IFERROR(IF(AND(ISNUMBER(F2155),ISNUMBER(H2155)),F2155-H2155,""),"")</f>
        <v/>
      </c>
      <c r="J2155" s="114" t="n"/>
      <c r="K2155" s="139">
        <f>IFERROR(IF(H2155&gt;0,H2155*IF(OR(C2155="Alpha",B2155="Alpha"),$C$9,$C$8),""),"")</f>
        <v/>
      </c>
      <c r="L2155" s="139">
        <f>IFERROR(IF(ISNUMBER(F2155),F2155-IF(ISNUMBER(K2155),K2155,0),""),"")</f>
        <v/>
      </c>
    </row>
    <row r="2156" ht="24" customHeight="1" s="63">
      <c r="E2156" s="139" t="n"/>
      <c r="F2156" s="139" t="n"/>
      <c r="G2156" s="140">
        <f>IFERROR(IF(E2156&gt;0,(F2156/E2156)*1000,""),"")</f>
        <v/>
      </c>
      <c r="H2156" s="139">
        <f>IFERROR(IF(E2156&gt;0,E2156*IF(ISNUMBER(J2156),J2156,IF(OR(C2156="Alpha",B2156="Alpha"),$C$7,IF(C2156="Futures",$C$6,$C$5))),""),"")</f>
        <v/>
      </c>
      <c r="I2156" s="139">
        <f>IFERROR(IF(AND(ISNUMBER(F2156),ISNUMBER(H2156)),F2156-H2156,""),"")</f>
        <v/>
      </c>
      <c r="J2156" s="114" t="n"/>
      <c r="K2156" s="139">
        <f>IFERROR(IF(H2156&gt;0,H2156*IF(OR(C2156="Alpha",B2156="Alpha"),$C$9,$C$8),""),"")</f>
        <v/>
      </c>
      <c r="L2156" s="139">
        <f>IFERROR(IF(ISNUMBER(F2156),F2156-IF(ISNUMBER(K2156),K2156,0),""),"")</f>
        <v/>
      </c>
    </row>
    <row r="2157" ht="24" customHeight="1" s="63">
      <c r="E2157" s="139" t="n"/>
      <c r="F2157" s="139" t="n"/>
      <c r="G2157" s="140">
        <f>IFERROR(IF(E2157&gt;0,(F2157/E2157)*1000,""),"")</f>
        <v/>
      </c>
      <c r="H2157" s="139">
        <f>IFERROR(IF(E2157&gt;0,E2157*IF(ISNUMBER(J2157),J2157,IF(OR(C2157="Alpha",B2157="Alpha"),$C$7,IF(C2157="Futures",$C$6,$C$5))),""),"")</f>
        <v/>
      </c>
      <c r="I2157" s="139">
        <f>IFERROR(IF(AND(ISNUMBER(F2157),ISNUMBER(H2157)),F2157-H2157,""),"")</f>
        <v/>
      </c>
      <c r="J2157" s="114" t="n"/>
      <c r="K2157" s="139">
        <f>IFERROR(IF(H2157&gt;0,H2157*IF(OR(C2157="Alpha",B2157="Alpha"),$C$9,$C$8),""),"")</f>
        <v/>
      </c>
      <c r="L2157" s="139">
        <f>IFERROR(IF(ISNUMBER(F2157),F2157-IF(ISNUMBER(K2157),K2157,0),""),"")</f>
        <v/>
      </c>
    </row>
    <row r="2158" ht="24" customHeight="1" s="63">
      <c r="E2158" s="139" t="n"/>
      <c r="F2158" s="139" t="n"/>
      <c r="G2158" s="140">
        <f>IFERROR(IF(E2158&gt;0,(F2158/E2158)*1000,""),"")</f>
        <v/>
      </c>
      <c r="H2158" s="139">
        <f>IFERROR(IF(E2158&gt;0,E2158*IF(ISNUMBER(J2158),J2158,IF(OR(C2158="Alpha",B2158="Alpha"),$C$7,IF(C2158="Futures",$C$6,$C$5))),""),"")</f>
        <v/>
      </c>
      <c r="I2158" s="139">
        <f>IFERROR(IF(AND(ISNUMBER(F2158),ISNUMBER(H2158)),F2158-H2158,""),"")</f>
        <v/>
      </c>
      <c r="J2158" s="114" t="n"/>
      <c r="K2158" s="139">
        <f>IFERROR(IF(H2158&gt;0,H2158*IF(OR(C2158="Alpha",B2158="Alpha"),$C$9,$C$8),""),"")</f>
        <v/>
      </c>
      <c r="L2158" s="139">
        <f>IFERROR(IF(ISNUMBER(F2158),F2158-IF(ISNUMBER(K2158),K2158,0),""),"")</f>
        <v/>
      </c>
    </row>
    <row r="2159" ht="24" customHeight="1" s="63">
      <c r="E2159" s="139" t="n"/>
      <c r="F2159" s="139" t="n"/>
      <c r="G2159" s="140">
        <f>IFERROR(IF(E2159&gt;0,(F2159/E2159)*1000,""),"")</f>
        <v/>
      </c>
      <c r="H2159" s="139">
        <f>IFERROR(IF(E2159&gt;0,E2159*IF(ISNUMBER(J2159),J2159,IF(OR(C2159="Alpha",B2159="Alpha"),$C$7,IF(C2159="Futures",$C$6,$C$5))),""),"")</f>
        <v/>
      </c>
      <c r="I2159" s="139">
        <f>IFERROR(IF(AND(ISNUMBER(F2159),ISNUMBER(H2159)),F2159-H2159,""),"")</f>
        <v/>
      </c>
      <c r="J2159" s="114" t="n"/>
      <c r="K2159" s="139">
        <f>IFERROR(IF(H2159&gt;0,H2159*IF(OR(C2159="Alpha",B2159="Alpha"),$C$9,$C$8),""),"")</f>
        <v/>
      </c>
      <c r="L2159" s="139">
        <f>IFERROR(IF(ISNUMBER(F2159),F2159-IF(ISNUMBER(K2159),K2159,0),""),"")</f>
        <v/>
      </c>
    </row>
    <row r="2160" ht="24" customHeight="1" s="63">
      <c r="E2160" s="139" t="n"/>
      <c r="F2160" s="139" t="n"/>
      <c r="G2160" s="140">
        <f>IFERROR(IF(E2160&gt;0,(F2160/E2160)*1000,""),"")</f>
        <v/>
      </c>
      <c r="H2160" s="139">
        <f>IFERROR(IF(E2160&gt;0,E2160*IF(ISNUMBER(J2160),J2160,IF(OR(C2160="Alpha",B2160="Alpha"),$C$7,IF(C2160="Futures",$C$6,$C$5))),""),"")</f>
        <v/>
      </c>
      <c r="I2160" s="139">
        <f>IFERROR(IF(AND(ISNUMBER(F2160),ISNUMBER(H2160)),F2160-H2160,""),"")</f>
        <v/>
      </c>
      <c r="J2160" s="114" t="n"/>
      <c r="K2160" s="139">
        <f>IFERROR(IF(H2160&gt;0,H2160*IF(OR(C2160="Alpha",B2160="Alpha"),$C$9,$C$8),""),"")</f>
        <v/>
      </c>
      <c r="L2160" s="139">
        <f>IFERROR(IF(ISNUMBER(F2160),F2160-IF(ISNUMBER(K2160),K2160,0),""),"")</f>
        <v/>
      </c>
    </row>
    <row r="2161" ht="24" customHeight="1" s="63">
      <c r="E2161" s="139" t="n"/>
      <c r="F2161" s="139" t="n"/>
      <c r="G2161" s="140">
        <f>IFERROR(IF(E2161&gt;0,(F2161/E2161)*1000,""),"")</f>
        <v/>
      </c>
      <c r="H2161" s="139">
        <f>IFERROR(IF(E2161&gt;0,E2161*IF(ISNUMBER(J2161),J2161,IF(OR(C2161="Alpha",B2161="Alpha"),$C$7,IF(C2161="Futures",$C$6,$C$5))),""),"")</f>
        <v/>
      </c>
      <c r="I2161" s="139">
        <f>IFERROR(IF(AND(ISNUMBER(F2161),ISNUMBER(H2161)),F2161-H2161,""),"")</f>
        <v/>
      </c>
      <c r="J2161" s="114" t="n"/>
      <c r="K2161" s="139">
        <f>IFERROR(IF(H2161&gt;0,H2161*IF(OR(C2161="Alpha",B2161="Alpha"),$C$9,$C$8),""),"")</f>
        <v/>
      </c>
      <c r="L2161" s="139">
        <f>IFERROR(IF(ISNUMBER(F2161),F2161-IF(ISNUMBER(K2161),K2161,0),""),"")</f>
        <v/>
      </c>
    </row>
    <row r="2162" ht="24" customHeight="1" s="63">
      <c r="E2162" s="139" t="n"/>
      <c r="F2162" s="139" t="n"/>
      <c r="G2162" s="140">
        <f>IFERROR(IF(E2162&gt;0,(F2162/E2162)*1000,""),"")</f>
        <v/>
      </c>
      <c r="H2162" s="139">
        <f>IFERROR(IF(E2162&gt;0,E2162*IF(ISNUMBER(J2162),J2162,IF(OR(C2162="Alpha",B2162="Alpha"),$C$7,IF(C2162="Futures",$C$6,$C$5))),""),"")</f>
        <v/>
      </c>
      <c r="I2162" s="139">
        <f>IFERROR(IF(AND(ISNUMBER(F2162),ISNUMBER(H2162)),F2162-H2162,""),"")</f>
        <v/>
      </c>
      <c r="J2162" s="114" t="n"/>
      <c r="K2162" s="139">
        <f>IFERROR(IF(H2162&gt;0,H2162*IF(OR(C2162="Alpha",B2162="Alpha"),$C$9,$C$8),""),"")</f>
        <v/>
      </c>
      <c r="L2162" s="139">
        <f>IFERROR(IF(ISNUMBER(F2162),F2162-IF(ISNUMBER(K2162),K2162,0),""),"")</f>
        <v/>
      </c>
    </row>
    <row r="2163" ht="24" customHeight="1" s="63">
      <c r="E2163" s="139" t="n"/>
      <c r="F2163" s="139" t="n"/>
      <c r="G2163" s="140">
        <f>IFERROR(IF(E2163&gt;0,(F2163/E2163)*1000,""),"")</f>
        <v/>
      </c>
      <c r="H2163" s="139">
        <f>IFERROR(IF(E2163&gt;0,E2163*IF(ISNUMBER(J2163),J2163,IF(OR(C2163="Alpha",B2163="Alpha"),$C$7,IF(C2163="Futures",$C$6,$C$5))),""),"")</f>
        <v/>
      </c>
      <c r="I2163" s="139">
        <f>IFERROR(IF(AND(ISNUMBER(F2163),ISNUMBER(H2163)),F2163-H2163,""),"")</f>
        <v/>
      </c>
      <c r="J2163" s="114" t="n"/>
      <c r="K2163" s="139">
        <f>IFERROR(IF(H2163&gt;0,H2163*IF(OR(C2163="Alpha",B2163="Alpha"),$C$9,$C$8),""),"")</f>
        <v/>
      </c>
      <c r="L2163" s="139">
        <f>IFERROR(IF(ISNUMBER(F2163),F2163-IF(ISNUMBER(K2163),K2163,0),""),"")</f>
        <v/>
      </c>
    </row>
    <row r="2164" ht="24" customHeight="1" s="63">
      <c r="E2164" s="139" t="n"/>
      <c r="F2164" s="139" t="n"/>
      <c r="G2164" s="140">
        <f>IFERROR(IF(E2164&gt;0,(F2164/E2164)*1000,""),"")</f>
        <v/>
      </c>
      <c r="H2164" s="139">
        <f>IFERROR(IF(E2164&gt;0,E2164*IF(ISNUMBER(J2164),J2164,IF(OR(C2164="Alpha",B2164="Alpha"),$C$7,IF(C2164="Futures",$C$6,$C$5))),""),"")</f>
        <v/>
      </c>
      <c r="I2164" s="139">
        <f>IFERROR(IF(AND(ISNUMBER(F2164),ISNUMBER(H2164)),F2164-H2164,""),"")</f>
        <v/>
      </c>
      <c r="J2164" s="114" t="n"/>
      <c r="K2164" s="139">
        <f>IFERROR(IF(H2164&gt;0,H2164*IF(OR(C2164="Alpha",B2164="Alpha"),$C$9,$C$8),""),"")</f>
        <v/>
      </c>
      <c r="L2164" s="139">
        <f>IFERROR(IF(ISNUMBER(F2164),F2164-IF(ISNUMBER(K2164),K2164,0),""),"")</f>
        <v/>
      </c>
    </row>
    <row r="2165" ht="24" customHeight="1" s="63">
      <c r="E2165" s="139" t="n"/>
      <c r="F2165" s="139" t="n"/>
      <c r="G2165" s="140">
        <f>IFERROR(IF(E2165&gt;0,(F2165/E2165)*1000,""),"")</f>
        <v/>
      </c>
      <c r="H2165" s="139">
        <f>IFERROR(IF(E2165&gt;0,E2165*IF(ISNUMBER(J2165),J2165,IF(OR(C2165="Alpha",B2165="Alpha"),$C$7,IF(C2165="Futures",$C$6,$C$5))),""),"")</f>
        <v/>
      </c>
      <c r="I2165" s="139">
        <f>IFERROR(IF(AND(ISNUMBER(F2165),ISNUMBER(H2165)),F2165-H2165,""),"")</f>
        <v/>
      </c>
      <c r="J2165" s="114" t="n"/>
      <c r="K2165" s="139">
        <f>IFERROR(IF(H2165&gt;0,H2165*IF(OR(C2165="Alpha",B2165="Alpha"),$C$9,$C$8),""),"")</f>
        <v/>
      </c>
      <c r="L2165" s="139">
        <f>IFERROR(IF(ISNUMBER(F2165),F2165-IF(ISNUMBER(K2165),K2165,0),""),"")</f>
        <v/>
      </c>
    </row>
    <row r="2166" ht="24" customHeight="1" s="63">
      <c r="E2166" s="139" t="n"/>
      <c r="F2166" s="139" t="n"/>
      <c r="G2166" s="140">
        <f>IFERROR(IF(E2166&gt;0,(F2166/E2166)*1000,""),"")</f>
        <v/>
      </c>
      <c r="H2166" s="139">
        <f>IFERROR(IF(E2166&gt;0,E2166*IF(ISNUMBER(J2166),J2166,IF(OR(C2166="Alpha",B2166="Alpha"),$C$7,IF(C2166="Futures",$C$6,$C$5))),""),"")</f>
        <v/>
      </c>
      <c r="I2166" s="139">
        <f>IFERROR(IF(AND(ISNUMBER(F2166),ISNUMBER(H2166)),F2166-H2166,""),"")</f>
        <v/>
      </c>
      <c r="J2166" s="114" t="n"/>
      <c r="K2166" s="139">
        <f>IFERROR(IF(H2166&gt;0,H2166*IF(OR(C2166="Alpha",B2166="Alpha"),$C$9,$C$8),""),"")</f>
        <v/>
      </c>
      <c r="L2166" s="139">
        <f>IFERROR(IF(ISNUMBER(F2166),F2166-IF(ISNUMBER(K2166),K2166,0),""),"")</f>
        <v/>
      </c>
    </row>
    <row r="2167" ht="24" customHeight="1" s="63">
      <c r="E2167" s="139" t="n"/>
      <c r="F2167" s="139" t="n"/>
      <c r="G2167" s="140">
        <f>IFERROR(IF(E2167&gt;0,(F2167/E2167)*1000,""),"")</f>
        <v/>
      </c>
      <c r="H2167" s="139">
        <f>IFERROR(IF(E2167&gt;0,E2167*IF(ISNUMBER(J2167),J2167,IF(OR(C2167="Alpha",B2167="Alpha"),$C$7,IF(C2167="Futures",$C$6,$C$5))),""),"")</f>
        <v/>
      </c>
      <c r="I2167" s="139">
        <f>IFERROR(IF(AND(ISNUMBER(F2167),ISNUMBER(H2167)),F2167-H2167,""),"")</f>
        <v/>
      </c>
      <c r="J2167" s="114" t="n"/>
      <c r="K2167" s="139">
        <f>IFERROR(IF(H2167&gt;0,H2167*IF(OR(C2167="Alpha",B2167="Alpha"),$C$9,$C$8),""),"")</f>
        <v/>
      </c>
      <c r="L2167" s="139">
        <f>IFERROR(IF(ISNUMBER(F2167),F2167-IF(ISNUMBER(K2167),K2167,0),""),"")</f>
        <v/>
      </c>
    </row>
    <row r="2168" ht="24" customHeight="1" s="63">
      <c r="E2168" s="139" t="n"/>
      <c r="F2168" s="139" t="n"/>
      <c r="G2168" s="140">
        <f>IFERROR(IF(E2168&gt;0,(F2168/E2168)*1000,""),"")</f>
        <v/>
      </c>
      <c r="H2168" s="139">
        <f>IFERROR(IF(E2168&gt;0,E2168*IF(ISNUMBER(J2168),J2168,IF(OR(C2168="Alpha",B2168="Alpha"),$C$7,IF(C2168="Futures",$C$6,$C$5))),""),"")</f>
        <v/>
      </c>
      <c r="I2168" s="139">
        <f>IFERROR(IF(AND(ISNUMBER(F2168),ISNUMBER(H2168)),F2168-H2168,""),"")</f>
        <v/>
      </c>
      <c r="J2168" s="114" t="n"/>
      <c r="K2168" s="139">
        <f>IFERROR(IF(H2168&gt;0,H2168*IF(OR(C2168="Alpha",B2168="Alpha"),$C$9,$C$8),""),"")</f>
        <v/>
      </c>
      <c r="L2168" s="139">
        <f>IFERROR(IF(ISNUMBER(F2168),F2168-IF(ISNUMBER(K2168),K2168,0),""),"")</f>
        <v/>
      </c>
    </row>
    <row r="2169" ht="24" customHeight="1" s="63">
      <c r="E2169" s="139" t="n"/>
      <c r="F2169" s="139" t="n"/>
      <c r="G2169" s="140">
        <f>IFERROR(IF(E2169&gt;0,(F2169/E2169)*1000,""),"")</f>
        <v/>
      </c>
      <c r="H2169" s="139">
        <f>IFERROR(IF(E2169&gt;0,E2169*IF(ISNUMBER(J2169),J2169,IF(OR(C2169="Alpha",B2169="Alpha"),$C$7,IF(C2169="Futures",$C$6,$C$5))),""),"")</f>
        <v/>
      </c>
      <c r="I2169" s="139">
        <f>IFERROR(IF(AND(ISNUMBER(F2169),ISNUMBER(H2169)),F2169-H2169,""),"")</f>
        <v/>
      </c>
      <c r="J2169" s="114" t="n"/>
      <c r="K2169" s="139">
        <f>IFERROR(IF(H2169&gt;0,H2169*IF(OR(C2169="Alpha",B2169="Alpha"),$C$9,$C$8),""),"")</f>
        <v/>
      </c>
      <c r="L2169" s="139">
        <f>IFERROR(IF(ISNUMBER(F2169),F2169-IF(ISNUMBER(K2169),K2169,0),""),"")</f>
        <v/>
      </c>
    </row>
    <row r="2170" ht="24" customHeight="1" s="63">
      <c r="E2170" s="139" t="n"/>
      <c r="F2170" s="139" t="n"/>
      <c r="G2170" s="140">
        <f>IFERROR(IF(E2170&gt;0,(F2170/E2170)*1000,""),"")</f>
        <v/>
      </c>
      <c r="H2170" s="139">
        <f>IFERROR(IF(E2170&gt;0,E2170*IF(ISNUMBER(J2170),J2170,IF(OR(C2170="Alpha",B2170="Alpha"),$C$7,IF(C2170="Futures",$C$6,$C$5))),""),"")</f>
        <v/>
      </c>
      <c r="I2170" s="139">
        <f>IFERROR(IF(AND(ISNUMBER(F2170),ISNUMBER(H2170)),F2170-H2170,""),"")</f>
        <v/>
      </c>
      <c r="J2170" s="114" t="n"/>
      <c r="K2170" s="139">
        <f>IFERROR(IF(H2170&gt;0,H2170*IF(OR(C2170="Alpha",B2170="Alpha"),$C$9,$C$8),""),"")</f>
        <v/>
      </c>
      <c r="L2170" s="139">
        <f>IFERROR(IF(ISNUMBER(F2170),F2170-IF(ISNUMBER(K2170),K2170,0),""),"")</f>
        <v/>
      </c>
    </row>
    <row r="2171" ht="24" customHeight="1" s="63">
      <c r="E2171" s="139" t="n"/>
      <c r="F2171" s="139" t="n"/>
      <c r="G2171" s="140">
        <f>IFERROR(IF(E2171&gt;0,(F2171/E2171)*1000,""),"")</f>
        <v/>
      </c>
      <c r="H2171" s="139">
        <f>IFERROR(IF(E2171&gt;0,E2171*IF(ISNUMBER(J2171),J2171,IF(OR(C2171="Alpha",B2171="Alpha"),$C$7,IF(C2171="Futures",$C$6,$C$5))),""),"")</f>
        <v/>
      </c>
      <c r="I2171" s="139">
        <f>IFERROR(IF(AND(ISNUMBER(F2171),ISNUMBER(H2171)),F2171-H2171,""),"")</f>
        <v/>
      </c>
      <c r="J2171" s="114" t="n"/>
      <c r="K2171" s="139">
        <f>IFERROR(IF(H2171&gt;0,H2171*IF(OR(C2171="Alpha",B2171="Alpha"),$C$9,$C$8),""),"")</f>
        <v/>
      </c>
      <c r="L2171" s="139">
        <f>IFERROR(IF(ISNUMBER(F2171),F2171-IF(ISNUMBER(K2171),K2171,0),""),"")</f>
        <v/>
      </c>
    </row>
    <row r="2172" ht="24" customHeight="1" s="63">
      <c r="E2172" s="139" t="n"/>
      <c r="F2172" s="139" t="n"/>
      <c r="G2172" s="140">
        <f>IFERROR(IF(E2172&gt;0,(F2172/E2172)*1000,""),"")</f>
        <v/>
      </c>
      <c r="H2172" s="139">
        <f>IFERROR(IF(E2172&gt;0,E2172*IF(ISNUMBER(J2172),J2172,IF(OR(C2172="Alpha",B2172="Alpha"),$C$7,IF(C2172="Futures",$C$6,$C$5))),""),"")</f>
        <v/>
      </c>
      <c r="I2172" s="139">
        <f>IFERROR(IF(AND(ISNUMBER(F2172),ISNUMBER(H2172)),F2172-H2172,""),"")</f>
        <v/>
      </c>
      <c r="J2172" s="114" t="n"/>
      <c r="K2172" s="139">
        <f>IFERROR(IF(H2172&gt;0,H2172*IF(OR(C2172="Alpha",B2172="Alpha"),$C$9,$C$8),""),"")</f>
        <v/>
      </c>
      <c r="L2172" s="139">
        <f>IFERROR(IF(ISNUMBER(F2172),F2172-IF(ISNUMBER(K2172),K2172,0),""),"")</f>
        <v/>
      </c>
    </row>
    <row r="2173" ht="24" customHeight="1" s="63">
      <c r="E2173" s="139" t="n"/>
      <c r="F2173" s="139" t="n"/>
      <c r="G2173" s="140">
        <f>IFERROR(IF(E2173&gt;0,(F2173/E2173)*1000,""),"")</f>
        <v/>
      </c>
      <c r="H2173" s="139">
        <f>IFERROR(IF(E2173&gt;0,E2173*IF(ISNUMBER(J2173),J2173,IF(OR(C2173="Alpha",B2173="Alpha"),$C$7,IF(C2173="Futures",$C$6,$C$5))),""),"")</f>
        <v/>
      </c>
      <c r="I2173" s="139">
        <f>IFERROR(IF(AND(ISNUMBER(F2173),ISNUMBER(H2173)),F2173-H2173,""),"")</f>
        <v/>
      </c>
      <c r="J2173" s="114" t="n"/>
      <c r="K2173" s="139">
        <f>IFERROR(IF(H2173&gt;0,H2173*IF(OR(C2173="Alpha",B2173="Alpha"),$C$9,$C$8),""),"")</f>
        <v/>
      </c>
      <c r="L2173" s="139">
        <f>IFERROR(IF(ISNUMBER(F2173),F2173-IF(ISNUMBER(K2173),K2173,0),""),"")</f>
        <v/>
      </c>
    </row>
    <row r="2174" ht="24" customHeight="1" s="63">
      <c r="E2174" s="139" t="n"/>
      <c r="F2174" s="139" t="n"/>
      <c r="G2174" s="140">
        <f>IFERROR(IF(E2174&gt;0,(F2174/E2174)*1000,""),"")</f>
        <v/>
      </c>
      <c r="H2174" s="139">
        <f>IFERROR(IF(E2174&gt;0,E2174*IF(ISNUMBER(J2174),J2174,IF(OR(C2174="Alpha",B2174="Alpha"),$C$7,IF(C2174="Futures",$C$6,$C$5))),""),"")</f>
        <v/>
      </c>
      <c r="I2174" s="139">
        <f>IFERROR(IF(AND(ISNUMBER(F2174),ISNUMBER(H2174)),F2174-H2174,""),"")</f>
        <v/>
      </c>
      <c r="J2174" s="114" t="n"/>
      <c r="K2174" s="139">
        <f>IFERROR(IF(H2174&gt;0,H2174*IF(OR(C2174="Alpha",B2174="Alpha"),$C$9,$C$8),""),"")</f>
        <v/>
      </c>
      <c r="L2174" s="139">
        <f>IFERROR(IF(ISNUMBER(F2174),F2174-IF(ISNUMBER(K2174),K2174,0),""),"")</f>
        <v/>
      </c>
    </row>
    <row r="2175" ht="24" customHeight="1" s="63">
      <c r="E2175" s="139" t="n"/>
      <c r="F2175" s="139" t="n"/>
      <c r="G2175" s="140">
        <f>IFERROR(IF(E2175&gt;0,(F2175/E2175)*1000,""),"")</f>
        <v/>
      </c>
      <c r="H2175" s="139">
        <f>IFERROR(IF(E2175&gt;0,E2175*IF(ISNUMBER(J2175),J2175,IF(OR(C2175="Alpha",B2175="Alpha"),$C$7,IF(C2175="Futures",$C$6,$C$5))),""),"")</f>
        <v/>
      </c>
      <c r="I2175" s="139">
        <f>IFERROR(IF(AND(ISNUMBER(F2175),ISNUMBER(H2175)),F2175-H2175,""),"")</f>
        <v/>
      </c>
      <c r="J2175" s="114" t="n"/>
      <c r="K2175" s="139">
        <f>IFERROR(IF(H2175&gt;0,H2175*IF(OR(C2175="Alpha",B2175="Alpha"),$C$9,$C$8),""),"")</f>
        <v/>
      </c>
      <c r="L2175" s="139">
        <f>IFERROR(IF(ISNUMBER(F2175),F2175-IF(ISNUMBER(K2175),K2175,0),""),"")</f>
        <v/>
      </c>
    </row>
    <row r="2176" ht="24" customHeight="1" s="63">
      <c r="E2176" s="139" t="n"/>
      <c r="F2176" s="139" t="n"/>
      <c r="G2176" s="140">
        <f>IFERROR(IF(E2176&gt;0,(F2176/E2176)*1000,""),"")</f>
        <v/>
      </c>
      <c r="H2176" s="139">
        <f>IFERROR(IF(E2176&gt;0,E2176*IF(ISNUMBER(J2176),J2176,IF(OR(C2176="Alpha",B2176="Alpha"),$C$7,IF(C2176="Futures",$C$6,$C$5))),""),"")</f>
        <v/>
      </c>
      <c r="I2176" s="139">
        <f>IFERROR(IF(AND(ISNUMBER(F2176),ISNUMBER(H2176)),F2176-H2176,""),"")</f>
        <v/>
      </c>
      <c r="J2176" s="114" t="n"/>
      <c r="K2176" s="139">
        <f>IFERROR(IF(H2176&gt;0,H2176*IF(OR(C2176="Alpha",B2176="Alpha"),$C$9,$C$8),""),"")</f>
        <v/>
      </c>
      <c r="L2176" s="139">
        <f>IFERROR(IF(ISNUMBER(F2176),F2176-IF(ISNUMBER(K2176),K2176,0),""),"")</f>
        <v/>
      </c>
    </row>
    <row r="2177" ht="24" customHeight="1" s="63">
      <c r="E2177" s="139" t="n"/>
      <c r="F2177" s="139" t="n"/>
      <c r="G2177" s="140">
        <f>IFERROR(IF(E2177&gt;0,(F2177/E2177)*1000,""),"")</f>
        <v/>
      </c>
      <c r="H2177" s="139">
        <f>IFERROR(IF(E2177&gt;0,E2177*IF(ISNUMBER(J2177),J2177,IF(OR(C2177="Alpha",B2177="Alpha"),$C$7,IF(C2177="Futures",$C$6,$C$5))),""),"")</f>
        <v/>
      </c>
      <c r="I2177" s="139">
        <f>IFERROR(IF(AND(ISNUMBER(F2177),ISNUMBER(H2177)),F2177-H2177,""),"")</f>
        <v/>
      </c>
      <c r="J2177" s="114" t="n"/>
      <c r="K2177" s="139">
        <f>IFERROR(IF(H2177&gt;0,H2177*IF(OR(C2177="Alpha",B2177="Alpha"),$C$9,$C$8),""),"")</f>
        <v/>
      </c>
      <c r="L2177" s="139">
        <f>IFERROR(IF(ISNUMBER(F2177),F2177-IF(ISNUMBER(K2177),K2177,0),""),"")</f>
        <v/>
      </c>
    </row>
    <row r="2178" ht="24" customHeight="1" s="63">
      <c r="E2178" s="139" t="n"/>
      <c r="F2178" s="139" t="n"/>
      <c r="G2178" s="140">
        <f>IFERROR(IF(E2178&gt;0,(F2178/E2178)*1000,""),"")</f>
        <v/>
      </c>
      <c r="H2178" s="139">
        <f>IFERROR(IF(E2178&gt;0,E2178*IF(ISNUMBER(J2178),J2178,IF(OR(C2178="Alpha",B2178="Alpha"),$C$7,IF(C2178="Futures",$C$6,$C$5))),""),"")</f>
        <v/>
      </c>
      <c r="I2178" s="139">
        <f>IFERROR(IF(AND(ISNUMBER(F2178),ISNUMBER(H2178)),F2178-H2178,""),"")</f>
        <v/>
      </c>
      <c r="J2178" s="114" t="n"/>
      <c r="K2178" s="139">
        <f>IFERROR(IF(H2178&gt;0,H2178*IF(OR(C2178="Alpha",B2178="Alpha"),$C$9,$C$8),""),"")</f>
        <v/>
      </c>
      <c r="L2178" s="139">
        <f>IFERROR(IF(ISNUMBER(F2178),F2178-IF(ISNUMBER(K2178),K2178,0),""),"")</f>
        <v/>
      </c>
    </row>
    <row r="2179" ht="24" customHeight="1" s="63">
      <c r="E2179" s="139" t="n"/>
      <c r="F2179" s="139" t="n"/>
      <c r="G2179" s="140">
        <f>IFERROR(IF(E2179&gt;0,(F2179/E2179)*1000,""),"")</f>
        <v/>
      </c>
      <c r="H2179" s="139">
        <f>IFERROR(IF(E2179&gt;0,E2179*IF(ISNUMBER(J2179),J2179,IF(OR(C2179="Alpha",B2179="Alpha"),$C$7,IF(C2179="Futures",$C$6,$C$5))),""),"")</f>
        <v/>
      </c>
      <c r="I2179" s="139">
        <f>IFERROR(IF(AND(ISNUMBER(F2179),ISNUMBER(H2179)),F2179-H2179,""),"")</f>
        <v/>
      </c>
      <c r="J2179" s="114" t="n"/>
      <c r="K2179" s="139">
        <f>IFERROR(IF(H2179&gt;0,H2179*IF(OR(C2179="Alpha",B2179="Alpha"),$C$9,$C$8),""),"")</f>
        <v/>
      </c>
      <c r="L2179" s="139">
        <f>IFERROR(IF(ISNUMBER(F2179),F2179-IF(ISNUMBER(K2179),K2179,0),""),"")</f>
        <v/>
      </c>
    </row>
    <row r="2180" ht="24" customHeight="1" s="63">
      <c r="E2180" s="139" t="n"/>
      <c r="F2180" s="139" t="n"/>
      <c r="G2180" s="140">
        <f>IFERROR(IF(E2180&gt;0,(F2180/E2180)*1000,""),"")</f>
        <v/>
      </c>
      <c r="H2180" s="139">
        <f>IFERROR(IF(E2180&gt;0,E2180*IF(ISNUMBER(J2180),J2180,IF(OR(C2180="Alpha",B2180="Alpha"),$C$7,IF(C2180="Futures",$C$6,$C$5))),""),"")</f>
        <v/>
      </c>
      <c r="I2180" s="139">
        <f>IFERROR(IF(AND(ISNUMBER(F2180),ISNUMBER(H2180)),F2180-H2180,""),"")</f>
        <v/>
      </c>
      <c r="J2180" s="114" t="n"/>
      <c r="K2180" s="139">
        <f>IFERROR(IF(H2180&gt;0,H2180*IF(OR(C2180="Alpha",B2180="Alpha"),$C$9,$C$8),""),"")</f>
        <v/>
      </c>
      <c r="L2180" s="139">
        <f>IFERROR(IF(ISNUMBER(F2180),F2180-IF(ISNUMBER(K2180),K2180,0),""),"")</f>
        <v/>
      </c>
    </row>
    <row r="2181" ht="24" customHeight="1" s="63">
      <c r="E2181" s="139" t="n"/>
      <c r="F2181" s="139" t="n"/>
      <c r="G2181" s="140">
        <f>IFERROR(IF(E2181&gt;0,(F2181/E2181)*1000,""),"")</f>
        <v/>
      </c>
      <c r="H2181" s="139">
        <f>IFERROR(IF(E2181&gt;0,E2181*IF(ISNUMBER(J2181),J2181,IF(OR(C2181="Alpha",B2181="Alpha"),$C$7,IF(C2181="Futures",$C$6,$C$5))),""),"")</f>
        <v/>
      </c>
      <c r="I2181" s="139">
        <f>IFERROR(IF(AND(ISNUMBER(F2181),ISNUMBER(H2181)),F2181-H2181,""),"")</f>
        <v/>
      </c>
      <c r="J2181" s="114" t="n"/>
      <c r="K2181" s="139">
        <f>IFERROR(IF(H2181&gt;0,H2181*IF(OR(C2181="Alpha",B2181="Alpha"),$C$9,$C$8),""),"")</f>
        <v/>
      </c>
      <c r="L2181" s="139">
        <f>IFERROR(IF(ISNUMBER(F2181),F2181-IF(ISNUMBER(K2181),K2181,0),""),"")</f>
        <v/>
      </c>
    </row>
    <row r="2182" ht="24" customHeight="1" s="63">
      <c r="E2182" s="139" t="n"/>
      <c r="F2182" s="139" t="n"/>
      <c r="G2182" s="140">
        <f>IFERROR(IF(E2182&gt;0,(F2182/E2182)*1000,""),"")</f>
        <v/>
      </c>
      <c r="H2182" s="139">
        <f>IFERROR(IF(E2182&gt;0,E2182*IF(ISNUMBER(J2182),J2182,IF(OR(C2182="Alpha",B2182="Alpha"),$C$7,IF(C2182="Futures",$C$6,$C$5))),""),"")</f>
        <v/>
      </c>
      <c r="I2182" s="139">
        <f>IFERROR(IF(AND(ISNUMBER(F2182),ISNUMBER(H2182)),F2182-H2182,""),"")</f>
        <v/>
      </c>
      <c r="J2182" s="114" t="n"/>
      <c r="K2182" s="139">
        <f>IFERROR(IF(H2182&gt;0,H2182*IF(OR(C2182="Alpha",B2182="Alpha"),$C$9,$C$8),""),"")</f>
        <v/>
      </c>
      <c r="L2182" s="139">
        <f>IFERROR(IF(ISNUMBER(F2182),F2182-IF(ISNUMBER(K2182),K2182,0),""),"")</f>
        <v/>
      </c>
    </row>
    <row r="2183" ht="24" customHeight="1" s="63">
      <c r="E2183" s="139" t="n"/>
      <c r="F2183" s="139" t="n"/>
      <c r="G2183" s="140">
        <f>IFERROR(IF(E2183&gt;0,(F2183/E2183)*1000,""),"")</f>
        <v/>
      </c>
      <c r="H2183" s="139">
        <f>IFERROR(IF(E2183&gt;0,E2183*IF(ISNUMBER(J2183),J2183,IF(OR(C2183="Alpha",B2183="Alpha"),$C$7,IF(C2183="Futures",$C$6,$C$5))),""),"")</f>
        <v/>
      </c>
      <c r="I2183" s="139">
        <f>IFERROR(IF(AND(ISNUMBER(F2183),ISNUMBER(H2183)),F2183-H2183,""),"")</f>
        <v/>
      </c>
      <c r="J2183" s="114" t="n"/>
      <c r="K2183" s="139">
        <f>IFERROR(IF(H2183&gt;0,H2183*IF(OR(C2183="Alpha",B2183="Alpha"),$C$9,$C$8),""),"")</f>
        <v/>
      </c>
      <c r="L2183" s="139">
        <f>IFERROR(IF(ISNUMBER(F2183),F2183-IF(ISNUMBER(K2183),K2183,0),""),"")</f>
        <v/>
      </c>
    </row>
    <row r="2184" ht="24" customHeight="1" s="63">
      <c r="E2184" s="139" t="n"/>
      <c r="F2184" s="139" t="n"/>
      <c r="G2184" s="140">
        <f>IFERROR(IF(E2184&gt;0,(F2184/E2184)*1000,""),"")</f>
        <v/>
      </c>
      <c r="H2184" s="139">
        <f>IFERROR(IF(E2184&gt;0,E2184*IF(ISNUMBER(J2184),J2184,IF(OR(C2184="Alpha",B2184="Alpha"),$C$7,IF(C2184="Futures",$C$6,$C$5))),""),"")</f>
        <v/>
      </c>
      <c r="I2184" s="139">
        <f>IFERROR(IF(AND(ISNUMBER(F2184),ISNUMBER(H2184)),F2184-H2184,""),"")</f>
        <v/>
      </c>
      <c r="J2184" s="114" t="n"/>
      <c r="K2184" s="139">
        <f>IFERROR(IF(H2184&gt;0,H2184*IF(OR(C2184="Alpha",B2184="Alpha"),$C$9,$C$8),""),"")</f>
        <v/>
      </c>
      <c r="L2184" s="139">
        <f>IFERROR(IF(ISNUMBER(F2184),F2184-IF(ISNUMBER(K2184),K2184,0),""),"")</f>
        <v/>
      </c>
    </row>
    <row r="2185" ht="24" customHeight="1" s="63">
      <c r="E2185" s="139" t="n"/>
      <c r="F2185" s="139" t="n"/>
      <c r="G2185" s="140">
        <f>IFERROR(IF(E2185&gt;0,(F2185/E2185)*1000,""),"")</f>
        <v/>
      </c>
      <c r="H2185" s="139">
        <f>IFERROR(IF(E2185&gt;0,E2185*IF(ISNUMBER(J2185),J2185,IF(OR(C2185="Alpha",B2185="Alpha"),$C$7,IF(C2185="Futures",$C$6,$C$5))),""),"")</f>
        <v/>
      </c>
      <c r="I2185" s="139">
        <f>IFERROR(IF(AND(ISNUMBER(F2185),ISNUMBER(H2185)),F2185-H2185,""),"")</f>
        <v/>
      </c>
      <c r="J2185" s="114" t="n"/>
      <c r="K2185" s="139">
        <f>IFERROR(IF(H2185&gt;0,H2185*IF(OR(C2185="Alpha",B2185="Alpha"),$C$9,$C$8),""),"")</f>
        <v/>
      </c>
      <c r="L2185" s="139">
        <f>IFERROR(IF(ISNUMBER(F2185),F2185-IF(ISNUMBER(K2185),K2185,0),""),"")</f>
        <v/>
      </c>
    </row>
    <row r="2186" ht="24" customHeight="1" s="63">
      <c r="E2186" s="139" t="n"/>
      <c r="F2186" s="139" t="n"/>
      <c r="G2186" s="140">
        <f>IFERROR(IF(E2186&gt;0,(F2186/E2186)*1000,""),"")</f>
        <v/>
      </c>
      <c r="H2186" s="139">
        <f>IFERROR(IF(E2186&gt;0,E2186*IF(ISNUMBER(J2186),J2186,IF(OR(C2186="Alpha",B2186="Alpha"),$C$7,IF(C2186="Futures",$C$6,$C$5))),""),"")</f>
        <v/>
      </c>
      <c r="I2186" s="139">
        <f>IFERROR(IF(AND(ISNUMBER(F2186),ISNUMBER(H2186)),F2186-H2186,""),"")</f>
        <v/>
      </c>
      <c r="J2186" s="114" t="n"/>
      <c r="K2186" s="139">
        <f>IFERROR(IF(H2186&gt;0,H2186*IF(OR(C2186="Alpha",B2186="Alpha"),$C$9,$C$8),""),"")</f>
        <v/>
      </c>
      <c r="L2186" s="139">
        <f>IFERROR(IF(ISNUMBER(F2186),F2186-IF(ISNUMBER(K2186),K2186,0),""),"")</f>
        <v/>
      </c>
    </row>
    <row r="2187" ht="24" customHeight="1" s="63">
      <c r="E2187" s="139" t="n"/>
      <c r="F2187" s="139" t="n"/>
      <c r="G2187" s="140">
        <f>IFERROR(IF(E2187&gt;0,(F2187/E2187)*1000,""),"")</f>
        <v/>
      </c>
      <c r="H2187" s="139">
        <f>IFERROR(IF(E2187&gt;0,E2187*IF(ISNUMBER(J2187),J2187,IF(OR(C2187="Alpha",B2187="Alpha"),$C$7,IF(C2187="Futures",$C$6,$C$5))),""),"")</f>
        <v/>
      </c>
      <c r="I2187" s="139">
        <f>IFERROR(IF(AND(ISNUMBER(F2187),ISNUMBER(H2187)),F2187-H2187,""),"")</f>
        <v/>
      </c>
      <c r="J2187" s="114" t="n"/>
      <c r="K2187" s="139">
        <f>IFERROR(IF(H2187&gt;0,H2187*IF(OR(C2187="Alpha",B2187="Alpha"),$C$9,$C$8),""),"")</f>
        <v/>
      </c>
      <c r="L2187" s="139">
        <f>IFERROR(IF(ISNUMBER(F2187),F2187-IF(ISNUMBER(K2187),K2187,0),""),"")</f>
        <v/>
      </c>
    </row>
    <row r="2188" ht="24" customHeight="1" s="63">
      <c r="E2188" s="139" t="n"/>
      <c r="F2188" s="139" t="n"/>
      <c r="G2188" s="140">
        <f>IFERROR(IF(E2188&gt;0,(F2188/E2188)*1000,""),"")</f>
        <v/>
      </c>
      <c r="H2188" s="139">
        <f>IFERROR(IF(E2188&gt;0,E2188*IF(ISNUMBER(J2188),J2188,IF(OR(C2188="Alpha",B2188="Alpha"),$C$7,IF(C2188="Futures",$C$6,$C$5))),""),"")</f>
        <v/>
      </c>
      <c r="I2188" s="139">
        <f>IFERROR(IF(AND(ISNUMBER(F2188),ISNUMBER(H2188)),F2188-H2188,""),"")</f>
        <v/>
      </c>
      <c r="J2188" s="114" t="n"/>
      <c r="K2188" s="139">
        <f>IFERROR(IF(H2188&gt;0,H2188*IF(OR(C2188="Alpha",B2188="Alpha"),$C$9,$C$8),""),"")</f>
        <v/>
      </c>
      <c r="L2188" s="139">
        <f>IFERROR(IF(ISNUMBER(F2188),F2188-IF(ISNUMBER(K2188),K2188,0),""),"")</f>
        <v/>
      </c>
    </row>
    <row r="2189" ht="24" customHeight="1" s="63">
      <c r="E2189" s="139" t="n"/>
      <c r="F2189" s="139" t="n"/>
      <c r="G2189" s="140">
        <f>IFERROR(IF(E2189&gt;0,(F2189/E2189)*1000,""),"")</f>
        <v/>
      </c>
      <c r="H2189" s="139">
        <f>IFERROR(IF(E2189&gt;0,E2189*IF(ISNUMBER(J2189),J2189,IF(OR(C2189="Alpha",B2189="Alpha"),$C$7,IF(C2189="Futures",$C$6,$C$5))),""),"")</f>
        <v/>
      </c>
      <c r="I2189" s="139">
        <f>IFERROR(IF(AND(ISNUMBER(F2189),ISNUMBER(H2189)),F2189-H2189,""),"")</f>
        <v/>
      </c>
      <c r="J2189" s="114" t="n"/>
      <c r="K2189" s="139">
        <f>IFERROR(IF(H2189&gt;0,H2189*IF(OR(C2189="Alpha",B2189="Alpha"),$C$9,$C$8),""),"")</f>
        <v/>
      </c>
      <c r="L2189" s="139">
        <f>IFERROR(IF(ISNUMBER(F2189),F2189-IF(ISNUMBER(K2189),K2189,0),""),"")</f>
        <v/>
      </c>
    </row>
    <row r="2190" ht="24" customHeight="1" s="63">
      <c r="E2190" s="139" t="n"/>
      <c r="F2190" s="139" t="n"/>
      <c r="G2190" s="140">
        <f>IFERROR(IF(E2190&gt;0,(F2190/E2190)*1000,""),"")</f>
        <v/>
      </c>
      <c r="H2190" s="139">
        <f>IFERROR(IF(E2190&gt;0,E2190*IF(ISNUMBER(J2190),J2190,IF(OR(C2190="Alpha",B2190="Alpha"),$C$7,IF(C2190="Futures",$C$6,$C$5))),""),"")</f>
        <v/>
      </c>
      <c r="I2190" s="139">
        <f>IFERROR(IF(AND(ISNUMBER(F2190),ISNUMBER(H2190)),F2190-H2190,""),"")</f>
        <v/>
      </c>
      <c r="J2190" s="114" t="n"/>
      <c r="K2190" s="139">
        <f>IFERROR(IF(H2190&gt;0,H2190*IF(OR(C2190="Alpha",B2190="Alpha"),$C$9,$C$8),""),"")</f>
        <v/>
      </c>
      <c r="L2190" s="139">
        <f>IFERROR(IF(ISNUMBER(F2190),F2190-IF(ISNUMBER(K2190),K2190,0),""),"")</f>
        <v/>
      </c>
    </row>
    <row r="2191" ht="24" customHeight="1" s="63">
      <c r="E2191" s="139" t="n"/>
      <c r="F2191" s="139" t="n"/>
      <c r="G2191" s="140">
        <f>IFERROR(IF(E2191&gt;0,(F2191/E2191)*1000,""),"")</f>
        <v/>
      </c>
      <c r="H2191" s="139">
        <f>IFERROR(IF(E2191&gt;0,E2191*IF(ISNUMBER(J2191),J2191,IF(OR(C2191="Alpha",B2191="Alpha"),$C$7,IF(C2191="Futures",$C$6,$C$5))),""),"")</f>
        <v/>
      </c>
      <c r="I2191" s="139">
        <f>IFERROR(IF(AND(ISNUMBER(F2191),ISNUMBER(H2191)),F2191-H2191,""),"")</f>
        <v/>
      </c>
      <c r="J2191" s="114" t="n"/>
      <c r="K2191" s="139">
        <f>IFERROR(IF(H2191&gt;0,H2191*IF(OR(C2191="Alpha",B2191="Alpha"),$C$9,$C$8),""),"")</f>
        <v/>
      </c>
      <c r="L2191" s="139">
        <f>IFERROR(IF(ISNUMBER(F2191),F2191-IF(ISNUMBER(K2191),K2191,0),""),"")</f>
        <v/>
      </c>
    </row>
    <row r="2192" ht="24" customHeight="1" s="63">
      <c r="E2192" s="139" t="n"/>
      <c r="F2192" s="139" t="n"/>
      <c r="G2192" s="140">
        <f>IFERROR(IF(E2192&gt;0,(F2192/E2192)*1000,""),"")</f>
        <v/>
      </c>
      <c r="H2192" s="139">
        <f>IFERROR(IF(E2192&gt;0,E2192*IF(ISNUMBER(J2192),J2192,IF(OR(C2192="Alpha",B2192="Alpha"),$C$7,IF(C2192="Futures",$C$6,$C$5))),""),"")</f>
        <v/>
      </c>
      <c r="I2192" s="139">
        <f>IFERROR(IF(AND(ISNUMBER(F2192),ISNUMBER(H2192)),F2192-H2192,""),"")</f>
        <v/>
      </c>
      <c r="J2192" s="114" t="n"/>
      <c r="K2192" s="139">
        <f>IFERROR(IF(H2192&gt;0,H2192*IF(OR(C2192="Alpha",B2192="Alpha"),$C$9,$C$8),""),"")</f>
        <v/>
      </c>
      <c r="L2192" s="139">
        <f>IFERROR(IF(ISNUMBER(F2192),F2192-IF(ISNUMBER(K2192),K2192,0),""),"")</f>
        <v/>
      </c>
    </row>
    <row r="2193" ht="24" customHeight="1" s="63">
      <c r="E2193" s="139" t="n"/>
      <c r="F2193" s="139" t="n"/>
      <c r="G2193" s="140">
        <f>IFERROR(IF(E2193&gt;0,(F2193/E2193)*1000,""),"")</f>
        <v/>
      </c>
      <c r="H2193" s="139">
        <f>IFERROR(IF(E2193&gt;0,E2193*IF(ISNUMBER(J2193),J2193,IF(OR(C2193="Alpha",B2193="Alpha"),$C$7,IF(C2193="Futures",$C$6,$C$5))),""),"")</f>
        <v/>
      </c>
      <c r="I2193" s="139">
        <f>IFERROR(IF(AND(ISNUMBER(F2193),ISNUMBER(H2193)),F2193-H2193,""),"")</f>
        <v/>
      </c>
      <c r="J2193" s="114" t="n"/>
      <c r="K2193" s="139">
        <f>IFERROR(IF(H2193&gt;0,H2193*IF(OR(C2193="Alpha",B2193="Alpha"),$C$9,$C$8),""),"")</f>
        <v/>
      </c>
      <c r="L2193" s="139">
        <f>IFERROR(IF(ISNUMBER(F2193),F2193-IF(ISNUMBER(K2193),K2193,0),""),"")</f>
        <v/>
      </c>
    </row>
    <row r="2194" ht="24" customHeight="1" s="63">
      <c r="E2194" s="139" t="n"/>
      <c r="F2194" s="139" t="n"/>
      <c r="G2194" s="140">
        <f>IFERROR(IF(E2194&gt;0,(F2194/E2194)*1000,""),"")</f>
        <v/>
      </c>
      <c r="H2194" s="139">
        <f>IFERROR(IF(E2194&gt;0,E2194*IF(ISNUMBER(J2194),J2194,IF(OR(C2194="Alpha",B2194="Alpha"),$C$7,IF(C2194="Futures",$C$6,$C$5))),""),"")</f>
        <v/>
      </c>
      <c r="I2194" s="139">
        <f>IFERROR(IF(AND(ISNUMBER(F2194),ISNUMBER(H2194)),F2194-H2194,""),"")</f>
        <v/>
      </c>
      <c r="J2194" s="114" t="n"/>
      <c r="K2194" s="139">
        <f>IFERROR(IF(H2194&gt;0,H2194*IF(OR(C2194="Alpha",B2194="Alpha"),$C$9,$C$8),""),"")</f>
        <v/>
      </c>
      <c r="L2194" s="139">
        <f>IFERROR(IF(ISNUMBER(F2194),F2194-IF(ISNUMBER(K2194),K2194,0),""),"")</f>
        <v/>
      </c>
    </row>
    <row r="2195" ht="24" customHeight="1" s="63">
      <c r="E2195" s="139" t="n"/>
      <c r="F2195" s="139" t="n"/>
      <c r="G2195" s="140">
        <f>IFERROR(IF(E2195&gt;0,(F2195/E2195)*1000,""),"")</f>
        <v/>
      </c>
      <c r="H2195" s="139">
        <f>IFERROR(IF(E2195&gt;0,E2195*IF(ISNUMBER(J2195),J2195,IF(OR(C2195="Alpha",B2195="Alpha"),$C$7,IF(C2195="Futures",$C$6,$C$5))),""),"")</f>
        <v/>
      </c>
      <c r="I2195" s="139">
        <f>IFERROR(IF(AND(ISNUMBER(F2195),ISNUMBER(H2195)),F2195-H2195,""),"")</f>
        <v/>
      </c>
      <c r="J2195" s="114" t="n"/>
      <c r="K2195" s="139">
        <f>IFERROR(IF(H2195&gt;0,H2195*IF(OR(C2195="Alpha",B2195="Alpha"),$C$9,$C$8),""),"")</f>
        <v/>
      </c>
      <c r="L2195" s="139">
        <f>IFERROR(IF(ISNUMBER(F2195),F2195-IF(ISNUMBER(K2195),K2195,0),""),"")</f>
        <v/>
      </c>
    </row>
    <row r="2196" ht="24" customHeight="1" s="63">
      <c r="E2196" s="139" t="n"/>
      <c r="F2196" s="139" t="n"/>
      <c r="G2196" s="140">
        <f>IFERROR(IF(E2196&gt;0,(F2196/E2196)*1000,""),"")</f>
        <v/>
      </c>
      <c r="H2196" s="139">
        <f>IFERROR(IF(E2196&gt;0,E2196*IF(ISNUMBER(J2196),J2196,IF(OR(C2196="Alpha",B2196="Alpha"),$C$7,IF(C2196="Futures",$C$6,$C$5))),""),"")</f>
        <v/>
      </c>
      <c r="I2196" s="139">
        <f>IFERROR(IF(AND(ISNUMBER(F2196),ISNUMBER(H2196)),F2196-H2196,""),"")</f>
        <v/>
      </c>
      <c r="J2196" s="114" t="n"/>
      <c r="K2196" s="139">
        <f>IFERROR(IF(H2196&gt;0,H2196*IF(OR(C2196="Alpha",B2196="Alpha"),$C$9,$C$8),""),"")</f>
        <v/>
      </c>
      <c r="L2196" s="139">
        <f>IFERROR(IF(ISNUMBER(F2196),F2196-IF(ISNUMBER(K2196),K2196,0),""),"")</f>
        <v/>
      </c>
    </row>
    <row r="2197" ht="24" customHeight="1" s="63">
      <c r="E2197" s="139" t="n"/>
      <c r="F2197" s="139" t="n"/>
      <c r="G2197" s="140">
        <f>IFERROR(IF(E2197&gt;0,(F2197/E2197)*1000,""),"")</f>
        <v/>
      </c>
      <c r="H2197" s="139">
        <f>IFERROR(IF(E2197&gt;0,E2197*IF(ISNUMBER(J2197),J2197,IF(OR(C2197="Alpha",B2197="Alpha"),$C$7,IF(C2197="Futures",$C$6,$C$5))),""),"")</f>
        <v/>
      </c>
      <c r="I2197" s="139">
        <f>IFERROR(IF(AND(ISNUMBER(F2197),ISNUMBER(H2197)),F2197-H2197,""),"")</f>
        <v/>
      </c>
      <c r="J2197" s="114" t="n"/>
      <c r="K2197" s="139">
        <f>IFERROR(IF(H2197&gt;0,H2197*IF(OR(C2197="Alpha",B2197="Alpha"),$C$9,$C$8),""),"")</f>
        <v/>
      </c>
      <c r="L2197" s="139">
        <f>IFERROR(IF(ISNUMBER(F2197),F2197-IF(ISNUMBER(K2197),K2197,0),""),"")</f>
        <v/>
      </c>
    </row>
    <row r="2198" ht="24" customHeight="1" s="63">
      <c r="E2198" s="139" t="n"/>
      <c r="F2198" s="139" t="n"/>
      <c r="G2198" s="140">
        <f>IFERROR(IF(E2198&gt;0,(F2198/E2198)*1000,""),"")</f>
        <v/>
      </c>
      <c r="H2198" s="139">
        <f>IFERROR(IF(E2198&gt;0,E2198*IF(ISNUMBER(J2198),J2198,IF(OR(C2198="Alpha",B2198="Alpha"),$C$7,IF(C2198="Futures",$C$6,$C$5))),""),"")</f>
        <v/>
      </c>
      <c r="I2198" s="139">
        <f>IFERROR(IF(AND(ISNUMBER(F2198),ISNUMBER(H2198)),F2198-H2198,""),"")</f>
        <v/>
      </c>
      <c r="J2198" s="114" t="n"/>
      <c r="K2198" s="139">
        <f>IFERROR(IF(H2198&gt;0,H2198*IF(OR(C2198="Alpha",B2198="Alpha"),$C$9,$C$8),""),"")</f>
        <v/>
      </c>
      <c r="L2198" s="139">
        <f>IFERROR(IF(ISNUMBER(F2198),F2198-IF(ISNUMBER(K2198),K2198,0),""),"")</f>
        <v/>
      </c>
    </row>
    <row r="2199" ht="24" customHeight="1" s="63">
      <c r="E2199" s="139" t="n"/>
      <c r="F2199" s="139" t="n"/>
      <c r="G2199" s="140">
        <f>IFERROR(IF(E2199&gt;0,(F2199/E2199)*1000,""),"")</f>
        <v/>
      </c>
      <c r="H2199" s="139">
        <f>IFERROR(IF(E2199&gt;0,E2199*IF(ISNUMBER(J2199),J2199,IF(OR(C2199="Alpha",B2199="Alpha"),$C$7,IF(C2199="Futures",$C$6,$C$5))),""),"")</f>
        <v/>
      </c>
      <c r="I2199" s="139">
        <f>IFERROR(IF(AND(ISNUMBER(F2199),ISNUMBER(H2199)),F2199-H2199,""),"")</f>
        <v/>
      </c>
      <c r="J2199" s="114" t="n"/>
      <c r="K2199" s="139">
        <f>IFERROR(IF(H2199&gt;0,H2199*IF(OR(C2199="Alpha",B2199="Alpha"),$C$9,$C$8),""),"")</f>
        <v/>
      </c>
      <c r="L2199" s="139">
        <f>IFERROR(IF(ISNUMBER(F2199),F2199-IF(ISNUMBER(K2199),K2199,0),""),"")</f>
        <v/>
      </c>
    </row>
    <row r="2200" ht="24" customHeight="1" s="63">
      <c r="E2200" s="139" t="n"/>
      <c r="F2200" s="139" t="n"/>
      <c r="G2200" s="140">
        <f>IFERROR(IF(E2200&gt;0,(F2200/E2200)*1000,""),"")</f>
        <v/>
      </c>
      <c r="H2200" s="139">
        <f>IFERROR(IF(E2200&gt;0,E2200*IF(ISNUMBER(J2200),J2200,IF(OR(C2200="Alpha",B2200="Alpha"),$C$7,IF(C2200="Futures",$C$6,$C$5))),""),"")</f>
        <v/>
      </c>
      <c r="I2200" s="139">
        <f>IFERROR(IF(AND(ISNUMBER(F2200),ISNUMBER(H2200)),F2200-H2200,""),"")</f>
        <v/>
      </c>
      <c r="J2200" s="114" t="n"/>
      <c r="K2200" s="139">
        <f>IFERROR(IF(H2200&gt;0,H2200*IF(OR(C2200="Alpha",B2200="Alpha"),$C$9,$C$8),""),"")</f>
        <v/>
      </c>
      <c r="L2200" s="139">
        <f>IFERROR(IF(ISNUMBER(F2200),F2200-IF(ISNUMBER(K2200),K2200,0),""),"")</f>
        <v/>
      </c>
    </row>
    <row r="2201" ht="24" customHeight="1" s="63">
      <c r="E2201" s="139" t="n"/>
      <c r="F2201" s="139" t="n"/>
      <c r="G2201" s="140">
        <f>IFERROR(IF(E2201&gt;0,(F2201/E2201)*1000,""),"")</f>
        <v/>
      </c>
      <c r="H2201" s="139">
        <f>IFERROR(IF(E2201&gt;0,E2201*IF(ISNUMBER(J2201),J2201,IF(OR(C2201="Alpha",B2201="Alpha"),$C$7,IF(C2201="Futures",$C$6,$C$5))),""),"")</f>
        <v/>
      </c>
      <c r="I2201" s="139">
        <f>IFERROR(IF(AND(ISNUMBER(F2201),ISNUMBER(H2201)),F2201-H2201,""),"")</f>
        <v/>
      </c>
      <c r="J2201" s="114" t="n"/>
      <c r="K2201" s="139">
        <f>IFERROR(IF(H2201&gt;0,H2201*IF(OR(C2201="Alpha",B2201="Alpha"),$C$9,$C$8),""),"")</f>
        <v/>
      </c>
      <c r="L2201" s="139">
        <f>IFERROR(IF(ISNUMBER(F2201),F2201-IF(ISNUMBER(K2201),K2201,0),""),"")</f>
        <v/>
      </c>
    </row>
    <row r="2202" ht="24" customHeight="1" s="63">
      <c r="E2202" s="139" t="n"/>
      <c r="F2202" s="139" t="n"/>
      <c r="G2202" s="140">
        <f>IFERROR(IF(E2202&gt;0,(F2202/E2202)*1000,""),"")</f>
        <v/>
      </c>
      <c r="H2202" s="139">
        <f>IFERROR(IF(E2202&gt;0,E2202*IF(ISNUMBER(J2202),J2202,IF(OR(C2202="Alpha",B2202="Alpha"),$C$7,IF(C2202="Futures",$C$6,$C$5))),""),"")</f>
        <v/>
      </c>
      <c r="I2202" s="139">
        <f>IFERROR(IF(AND(ISNUMBER(F2202),ISNUMBER(H2202)),F2202-H2202,""),"")</f>
        <v/>
      </c>
      <c r="J2202" s="114" t="n"/>
      <c r="K2202" s="139">
        <f>IFERROR(IF(H2202&gt;0,H2202*IF(OR(C2202="Alpha",B2202="Alpha"),$C$9,$C$8),""),"")</f>
        <v/>
      </c>
      <c r="L2202" s="139">
        <f>IFERROR(IF(ISNUMBER(F2202),F2202-IF(ISNUMBER(K2202),K2202,0),""),"")</f>
        <v/>
      </c>
    </row>
    <row r="2203" ht="24" customHeight="1" s="63">
      <c r="E2203" s="139" t="n"/>
      <c r="F2203" s="139" t="n"/>
      <c r="G2203" s="140">
        <f>IFERROR(IF(E2203&gt;0,(F2203/E2203)*1000,""),"")</f>
        <v/>
      </c>
      <c r="H2203" s="139">
        <f>IFERROR(IF(E2203&gt;0,E2203*IF(ISNUMBER(J2203),J2203,IF(OR(C2203="Alpha",B2203="Alpha"),$C$7,IF(C2203="Futures",$C$6,$C$5))),""),"")</f>
        <v/>
      </c>
      <c r="I2203" s="139">
        <f>IFERROR(IF(AND(ISNUMBER(F2203),ISNUMBER(H2203)),F2203-H2203,""),"")</f>
        <v/>
      </c>
      <c r="J2203" s="114" t="n"/>
      <c r="K2203" s="139">
        <f>IFERROR(IF(H2203&gt;0,H2203*IF(OR(C2203="Alpha",B2203="Alpha"),$C$9,$C$8),""),"")</f>
        <v/>
      </c>
      <c r="L2203" s="139">
        <f>IFERROR(IF(ISNUMBER(F2203),F2203-IF(ISNUMBER(K2203),K2203,0),""),"")</f>
        <v/>
      </c>
    </row>
    <row r="2204" ht="24" customHeight="1" s="63">
      <c r="E2204" s="139" t="n"/>
      <c r="F2204" s="139" t="n"/>
      <c r="G2204" s="140">
        <f>IFERROR(IF(E2204&gt;0,(F2204/E2204)*1000,""),"")</f>
        <v/>
      </c>
      <c r="H2204" s="139">
        <f>IFERROR(IF(E2204&gt;0,E2204*IF(ISNUMBER(J2204),J2204,IF(OR(C2204="Alpha",B2204="Alpha"),$C$7,IF(C2204="Futures",$C$6,$C$5))),""),"")</f>
        <v/>
      </c>
      <c r="I2204" s="139">
        <f>IFERROR(IF(AND(ISNUMBER(F2204),ISNUMBER(H2204)),F2204-H2204,""),"")</f>
        <v/>
      </c>
      <c r="J2204" s="114" t="n"/>
      <c r="K2204" s="139">
        <f>IFERROR(IF(H2204&gt;0,H2204*IF(OR(C2204="Alpha",B2204="Alpha"),$C$9,$C$8),""),"")</f>
        <v/>
      </c>
      <c r="L2204" s="139">
        <f>IFERROR(IF(ISNUMBER(F2204),F2204-IF(ISNUMBER(K2204),K2204,0),""),"")</f>
        <v/>
      </c>
    </row>
    <row r="2205" ht="24" customHeight="1" s="63">
      <c r="E2205" s="139" t="n"/>
      <c r="F2205" s="139" t="n"/>
      <c r="G2205" s="140">
        <f>IFERROR(IF(E2205&gt;0,(F2205/E2205)*1000,""),"")</f>
        <v/>
      </c>
      <c r="H2205" s="139">
        <f>IFERROR(IF(E2205&gt;0,E2205*IF(ISNUMBER(J2205),J2205,IF(OR(C2205="Alpha",B2205="Alpha"),$C$7,IF(C2205="Futures",$C$6,$C$5))),""),"")</f>
        <v/>
      </c>
      <c r="I2205" s="139">
        <f>IFERROR(IF(AND(ISNUMBER(F2205),ISNUMBER(H2205)),F2205-H2205,""),"")</f>
        <v/>
      </c>
      <c r="J2205" s="114" t="n"/>
      <c r="K2205" s="139">
        <f>IFERROR(IF(H2205&gt;0,H2205*IF(OR(C2205="Alpha",B2205="Alpha"),$C$9,$C$8),""),"")</f>
        <v/>
      </c>
      <c r="L2205" s="139">
        <f>IFERROR(IF(ISNUMBER(F2205),F2205-IF(ISNUMBER(K2205),K2205,0),""),"")</f>
        <v/>
      </c>
    </row>
    <row r="2206" ht="24" customHeight="1" s="63">
      <c r="E2206" s="139" t="n"/>
      <c r="F2206" s="139" t="n"/>
      <c r="G2206" s="140">
        <f>IFERROR(IF(E2206&gt;0,(F2206/E2206)*1000,""),"")</f>
        <v/>
      </c>
      <c r="H2206" s="139">
        <f>IFERROR(IF(E2206&gt;0,E2206*IF(ISNUMBER(J2206),J2206,IF(OR(C2206="Alpha",B2206="Alpha"),$C$7,IF(C2206="Futures",$C$6,$C$5))),""),"")</f>
        <v/>
      </c>
      <c r="I2206" s="139">
        <f>IFERROR(IF(AND(ISNUMBER(F2206),ISNUMBER(H2206)),F2206-H2206,""),"")</f>
        <v/>
      </c>
      <c r="J2206" s="114" t="n"/>
      <c r="K2206" s="139">
        <f>IFERROR(IF(H2206&gt;0,H2206*IF(OR(C2206="Alpha",B2206="Alpha"),$C$9,$C$8),""),"")</f>
        <v/>
      </c>
      <c r="L2206" s="139">
        <f>IFERROR(IF(ISNUMBER(F2206),F2206-IF(ISNUMBER(K2206),K2206,0),""),"")</f>
        <v/>
      </c>
    </row>
    <row r="2207" ht="24" customHeight="1" s="63">
      <c r="E2207" s="139" t="n"/>
      <c r="F2207" s="139" t="n"/>
      <c r="G2207" s="140">
        <f>IFERROR(IF(E2207&gt;0,(F2207/E2207)*1000,""),"")</f>
        <v/>
      </c>
      <c r="H2207" s="139">
        <f>IFERROR(IF(E2207&gt;0,E2207*IF(ISNUMBER(J2207),J2207,IF(OR(C2207="Alpha",B2207="Alpha"),$C$7,IF(C2207="Futures",$C$6,$C$5))),""),"")</f>
        <v/>
      </c>
      <c r="I2207" s="139">
        <f>IFERROR(IF(AND(ISNUMBER(F2207),ISNUMBER(H2207)),F2207-H2207,""),"")</f>
        <v/>
      </c>
      <c r="J2207" s="114" t="n"/>
      <c r="K2207" s="139">
        <f>IFERROR(IF(H2207&gt;0,H2207*IF(OR(C2207="Alpha",B2207="Alpha"),$C$9,$C$8),""),"")</f>
        <v/>
      </c>
      <c r="L2207" s="139">
        <f>IFERROR(IF(ISNUMBER(F2207),F2207-IF(ISNUMBER(K2207),K2207,0),""),"")</f>
        <v/>
      </c>
    </row>
    <row r="2208" ht="24" customHeight="1" s="63">
      <c r="E2208" s="139" t="n"/>
      <c r="F2208" s="139" t="n"/>
      <c r="G2208" s="140">
        <f>IFERROR(IF(E2208&gt;0,(F2208/E2208)*1000,""),"")</f>
        <v/>
      </c>
      <c r="H2208" s="139">
        <f>IFERROR(IF(E2208&gt;0,E2208*IF(ISNUMBER(J2208),J2208,IF(OR(C2208="Alpha",B2208="Alpha"),$C$7,IF(C2208="Futures",$C$6,$C$5))),""),"")</f>
        <v/>
      </c>
      <c r="I2208" s="139">
        <f>IFERROR(IF(AND(ISNUMBER(F2208),ISNUMBER(H2208)),F2208-H2208,""),"")</f>
        <v/>
      </c>
      <c r="J2208" s="114" t="n"/>
      <c r="K2208" s="139">
        <f>IFERROR(IF(H2208&gt;0,H2208*IF(OR(C2208="Alpha",B2208="Alpha"),$C$9,$C$8),""),"")</f>
        <v/>
      </c>
      <c r="L2208" s="139">
        <f>IFERROR(IF(ISNUMBER(F2208),F2208-IF(ISNUMBER(K2208),K2208,0),""),"")</f>
        <v/>
      </c>
    </row>
    <row r="2209" ht="24" customHeight="1" s="63">
      <c r="E2209" s="139" t="n"/>
      <c r="F2209" s="139" t="n"/>
      <c r="G2209" s="140">
        <f>IFERROR(IF(E2209&gt;0,(F2209/E2209)*1000,""),"")</f>
        <v/>
      </c>
      <c r="H2209" s="139">
        <f>IFERROR(IF(E2209&gt;0,E2209*IF(ISNUMBER(J2209),J2209,IF(OR(C2209="Alpha",B2209="Alpha"),$C$7,IF(C2209="Futures",$C$6,$C$5))),""),"")</f>
        <v/>
      </c>
      <c r="I2209" s="139">
        <f>IFERROR(IF(AND(ISNUMBER(F2209),ISNUMBER(H2209)),F2209-H2209,""),"")</f>
        <v/>
      </c>
      <c r="J2209" s="114" t="n"/>
      <c r="K2209" s="139">
        <f>IFERROR(IF(H2209&gt;0,H2209*IF(OR(C2209="Alpha",B2209="Alpha"),$C$9,$C$8),""),"")</f>
        <v/>
      </c>
      <c r="L2209" s="139">
        <f>IFERROR(IF(ISNUMBER(F2209),F2209-IF(ISNUMBER(K2209),K2209,0),""),"")</f>
        <v/>
      </c>
    </row>
    <row r="2210" ht="24" customHeight="1" s="63">
      <c r="E2210" s="139" t="n"/>
      <c r="F2210" s="139" t="n"/>
      <c r="G2210" s="140">
        <f>IFERROR(IF(E2210&gt;0,(F2210/E2210)*1000,""),"")</f>
        <v/>
      </c>
      <c r="H2210" s="139">
        <f>IFERROR(IF(E2210&gt;0,E2210*IF(ISNUMBER(J2210),J2210,IF(OR(C2210="Alpha",B2210="Alpha"),$C$7,IF(C2210="Futures",$C$6,$C$5))),""),"")</f>
        <v/>
      </c>
      <c r="I2210" s="139">
        <f>IFERROR(IF(AND(ISNUMBER(F2210),ISNUMBER(H2210)),F2210-H2210,""),"")</f>
        <v/>
      </c>
      <c r="J2210" s="114" t="n"/>
      <c r="K2210" s="139">
        <f>IFERROR(IF(H2210&gt;0,H2210*IF(OR(C2210="Alpha",B2210="Alpha"),$C$9,$C$8),""),"")</f>
        <v/>
      </c>
      <c r="L2210" s="139">
        <f>IFERROR(IF(ISNUMBER(F2210),F2210-IF(ISNUMBER(K2210),K2210,0),""),"")</f>
        <v/>
      </c>
    </row>
    <row r="2211" ht="24" customHeight="1" s="63">
      <c r="E2211" s="139" t="n"/>
      <c r="F2211" s="139" t="n"/>
      <c r="G2211" s="140">
        <f>IFERROR(IF(E2211&gt;0,(F2211/E2211)*1000,""),"")</f>
        <v/>
      </c>
      <c r="H2211" s="139">
        <f>IFERROR(IF(E2211&gt;0,E2211*IF(ISNUMBER(J2211),J2211,IF(OR(C2211="Alpha",B2211="Alpha"),$C$7,IF(C2211="Futures",$C$6,$C$5))),""),"")</f>
        <v/>
      </c>
      <c r="I2211" s="139">
        <f>IFERROR(IF(AND(ISNUMBER(F2211),ISNUMBER(H2211)),F2211-H2211,""),"")</f>
        <v/>
      </c>
      <c r="J2211" s="114" t="n"/>
      <c r="K2211" s="139">
        <f>IFERROR(IF(H2211&gt;0,H2211*IF(OR(C2211="Alpha",B2211="Alpha"),$C$9,$C$8),""),"")</f>
        <v/>
      </c>
      <c r="L2211" s="139">
        <f>IFERROR(IF(ISNUMBER(F2211),F2211-IF(ISNUMBER(K2211),K2211,0),""),"")</f>
        <v/>
      </c>
    </row>
    <row r="2212" ht="24" customHeight="1" s="63">
      <c r="E2212" s="139" t="n"/>
      <c r="F2212" s="139" t="n"/>
      <c r="G2212" s="140">
        <f>IFERROR(IF(E2212&gt;0,(F2212/E2212)*1000,""),"")</f>
        <v/>
      </c>
      <c r="H2212" s="139">
        <f>IFERROR(IF(E2212&gt;0,E2212*IF(ISNUMBER(J2212),J2212,IF(OR(C2212="Alpha",B2212="Alpha"),$C$7,IF(C2212="Futures",$C$6,$C$5))),""),"")</f>
        <v/>
      </c>
      <c r="I2212" s="139">
        <f>IFERROR(IF(AND(ISNUMBER(F2212),ISNUMBER(H2212)),F2212-H2212,""),"")</f>
        <v/>
      </c>
      <c r="J2212" s="114" t="n"/>
      <c r="K2212" s="139">
        <f>IFERROR(IF(H2212&gt;0,H2212*IF(OR(C2212="Alpha",B2212="Alpha"),$C$9,$C$8),""),"")</f>
        <v/>
      </c>
      <c r="L2212" s="139">
        <f>IFERROR(IF(ISNUMBER(F2212),F2212-IF(ISNUMBER(K2212),K2212,0),""),"")</f>
        <v/>
      </c>
    </row>
    <row r="2213" ht="24" customHeight="1" s="63">
      <c r="E2213" s="139" t="n"/>
      <c r="F2213" s="139" t="n"/>
      <c r="G2213" s="140">
        <f>IFERROR(IF(E2213&gt;0,(F2213/E2213)*1000,""),"")</f>
        <v/>
      </c>
      <c r="H2213" s="139">
        <f>IFERROR(IF(E2213&gt;0,E2213*IF(ISNUMBER(J2213),J2213,IF(OR(C2213="Alpha",B2213="Alpha"),$C$7,IF(C2213="Futures",$C$6,$C$5))),""),"")</f>
        <v/>
      </c>
      <c r="I2213" s="139">
        <f>IFERROR(IF(AND(ISNUMBER(F2213),ISNUMBER(H2213)),F2213-H2213,""),"")</f>
        <v/>
      </c>
      <c r="J2213" s="114" t="n"/>
      <c r="K2213" s="139">
        <f>IFERROR(IF(H2213&gt;0,H2213*IF(OR(C2213="Alpha",B2213="Alpha"),$C$9,$C$8),""),"")</f>
        <v/>
      </c>
      <c r="L2213" s="139">
        <f>IFERROR(IF(ISNUMBER(F2213),F2213-IF(ISNUMBER(K2213),K2213,0),""),"")</f>
        <v/>
      </c>
    </row>
    <row r="2214" ht="24" customHeight="1" s="63">
      <c r="E2214" s="139" t="n"/>
      <c r="F2214" s="139" t="n"/>
      <c r="G2214" s="140">
        <f>IFERROR(IF(E2214&gt;0,(F2214/E2214)*1000,""),"")</f>
        <v/>
      </c>
      <c r="H2214" s="139">
        <f>IFERROR(IF(E2214&gt;0,E2214*IF(ISNUMBER(J2214),J2214,IF(OR(C2214="Alpha",B2214="Alpha"),$C$7,IF(C2214="Futures",$C$6,$C$5))),""),"")</f>
        <v/>
      </c>
      <c r="I2214" s="139">
        <f>IFERROR(IF(AND(ISNUMBER(F2214),ISNUMBER(H2214)),F2214-H2214,""),"")</f>
        <v/>
      </c>
      <c r="J2214" s="114" t="n"/>
      <c r="K2214" s="139">
        <f>IFERROR(IF(H2214&gt;0,H2214*IF(OR(C2214="Alpha",B2214="Alpha"),$C$9,$C$8),""),"")</f>
        <v/>
      </c>
      <c r="L2214" s="139">
        <f>IFERROR(IF(ISNUMBER(F2214),F2214-IF(ISNUMBER(K2214),K2214,0),""),"")</f>
        <v/>
      </c>
    </row>
    <row r="2215" ht="24" customHeight="1" s="63">
      <c r="E2215" s="139" t="n"/>
      <c r="F2215" s="139" t="n"/>
      <c r="G2215" s="140">
        <f>IFERROR(IF(E2215&gt;0,(F2215/E2215)*1000,""),"")</f>
        <v/>
      </c>
      <c r="H2215" s="139">
        <f>IFERROR(IF(E2215&gt;0,E2215*IF(ISNUMBER(J2215),J2215,IF(OR(C2215="Alpha",B2215="Alpha"),$C$7,IF(C2215="Futures",$C$6,$C$5))),""),"")</f>
        <v/>
      </c>
      <c r="I2215" s="139">
        <f>IFERROR(IF(AND(ISNUMBER(F2215),ISNUMBER(H2215)),F2215-H2215,""),"")</f>
        <v/>
      </c>
      <c r="J2215" s="114" t="n"/>
      <c r="K2215" s="139">
        <f>IFERROR(IF(H2215&gt;0,H2215*IF(OR(C2215="Alpha",B2215="Alpha"),$C$9,$C$8),""),"")</f>
        <v/>
      </c>
      <c r="L2215" s="139">
        <f>IFERROR(IF(ISNUMBER(F2215),F2215-IF(ISNUMBER(K2215),K2215,0),""),"")</f>
        <v/>
      </c>
    </row>
    <row r="2216" ht="24" customHeight="1" s="63">
      <c r="E2216" s="139" t="n"/>
      <c r="F2216" s="139" t="n"/>
      <c r="G2216" s="140">
        <f>IFERROR(IF(E2216&gt;0,(F2216/E2216)*1000,""),"")</f>
        <v/>
      </c>
      <c r="H2216" s="139">
        <f>IFERROR(IF(E2216&gt;0,E2216*IF(ISNUMBER(J2216),J2216,IF(OR(C2216="Alpha",B2216="Alpha"),$C$7,IF(C2216="Futures",$C$6,$C$5))),""),"")</f>
        <v/>
      </c>
      <c r="I2216" s="139">
        <f>IFERROR(IF(AND(ISNUMBER(F2216),ISNUMBER(H2216)),F2216-H2216,""),"")</f>
        <v/>
      </c>
      <c r="J2216" s="114" t="n"/>
      <c r="K2216" s="139">
        <f>IFERROR(IF(H2216&gt;0,H2216*IF(OR(C2216="Alpha",B2216="Alpha"),$C$9,$C$8),""),"")</f>
        <v/>
      </c>
      <c r="L2216" s="139">
        <f>IFERROR(IF(ISNUMBER(F2216),F2216-IF(ISNUMBER(K2216),K2216,0),""),"")</f>
        <v/>
      </c>
    </row>
    <row r="2217" ht="24" customHeight="1" s="63">
      <c r="E2217" s="139" t="n"/>
      <c r="F2217" s="139" t="n"/>
      <c r="G2217" s="140">
        <f>IFERROR(IF(E2217&gt;0,(F2217/E2217)*1000,""),"")</f>
        <v/>
      </c>
      <c r="H2217" s="139">
        <f>IFERROR(IF(E2217&gt;0,E2217*IF(ISNUMBER(J2217),J2217,IF(OR(C2217="Alpha",B2217="Alpha"),$C$7,IF(C2217="Futures",$C$6,$C$5))),""),"")</f>
        <v/>
      </c>
      <c r="I2217" s="139">
        <f>IFERROR(IF(AND(ISNUMBER(F2217),ISNUMBER(H2217)),F2217-H2217,""),"")</f>
        <v/>
      </c>
      <c r="J2217" s="114" t="n"/>
      <c r="K2217" s="139">
        <f>IFERROR(IF(H2217&gt;0,H2217*IF(OR(C2217="Alpha",B2217="Alpha"),$C$9,$C$8),""),"")</f>
        <v/>
      </c>
      <c r="L2217" s="139">
        <f>IFERROR(IF(ISNUMBER(F2217),F2217-IF(ISNUMBER(K2217),K2217,0),""),"")</f>
        <v/>
      </c>
    </row>
    <row r="2218" ht="24" customHeight="1" s="63">
      <c r="E2218" s="139" t="n"/>
      <c r="F2218" s="139" t="n"/>
      <c r="G2218" s="140">
        <f>IFERROR(IF(E2218&gt;0,(F2218/E2218)*1000,""),"")</f>
        <v/>
      </c>
      <c r="H2218" s="139">
        <f>IFERROR(IF(E2218&gt;0,E2218*IF(ISNUMBER(J2218),J2218,IF(OR(C2218="Alpha",B2218="Alpha"),$C$7,IF(C2218="Futures",$C$6,$C$5))),""),"")</f>
        <v/>
      </c>
      <c r="I2218" s="139">
        <f>IFERROR(IF(AND(ISNUMBER(F2218),ISNUMBER(H2218)),F2218-H2218,""),"")</f>
        <v/>
      </c>
      <c r="J2218" s="114" t="n"/>
      <c r="K2218" s="139">
        <f>IFERROR(IF(H2218&gt;0,H2218*IF(OR(C2218="Alpha",B2218="Alpha"),$C$9,$C$8),""),"")</f>
        <v/>
      </c>
      <c r="L2218" s="139">
        <f>IFERROR(IF(ISNUMBER(F2218),F2218-IF(ISNUMBER(K2218),K2218,0),""),"")</f>
        <v/>
      </c>
    </row>
    <row r="2219" ht="24" customHeight="1" s="63">
      <c r="E2219" s="139" t="n"/>
      <c r="F2219" s="139" t="n"/>
      <c r="G2219" s="140">
        <f>IFERROR(IF(E2219&gt;0,(F2219/E2219)*1000,""),"")</f>
        <v/>
      </c>
      <c r="H2219" s="139">
        <f>IFERROR(IF(E2219&gt;0,E2219*IF(ISNUMBER(J2219),J2219,IF(OR(C2219="Alpha",B2219="Alpha"),$C$7,IF(C2219="Futures",$C$6,$C$5))),""),"")</f>
        <v/>
      </c>
      <c r="I2219" s="139">
        <f>IFERROR(IF(AND(ISNUMBER(F2219),ISNUMBER(H2219)),F2219-H2219,""),"")</f>
        <v/>
      </c>
      <c r="J2219" s="114" t="n"/>
      <c r="K2219" s="139">
        <f>IFERROR(IF(H2219&gt;0,H2219*IF(OR(C2219="Alpha",B2219="Alpha"),$C$9,$C$8),""),"")</f>
        <v/>
      </c>
      <c r="L2219" s="139">
        <f>IFERROR(IF(ISNUMBER(F2219),F2219-IF(ISNUMBER(K2219),K2219,0),""),"")</f>
        <v/>
      </c>
    </row>
    <row r="2220" ht="24" customHeight="1" s="63">
      <c r="E2220" s="139" t="n"/>
      <c r="F2220" s="139" t="n"/>
      <c r="G2220" s="140">
        <f>IFERROR(IF(E2220&gt;0,(F2220/E2220)*1000,""),"")</f>
        <v/>
      </c>
      <c r="H2220" s="139">
        <f>IFERROR(IF(E2220&gt;0,E2220*IF(ISNUMBER(J2220),J2220,IF(OR(C2220="Alpha",B2220="Alpha"),$C$7,IF(C2220="Futures",$C$6,$C$5))),""),"")</f>
        <v/>
      </c>
      <c r="I2220" s="139">
        <f>IFERROR(IF(AND(ISNUMBER(F2220),ISNUMBER(H2220)),F2220-H2220,""),"")</f>
        <v/>
      </c>
      <c r="J2220" s="114" t="n"/>
      <c r="K2220" s="139">
        <f>IFERROR(IF(H2220&gt;0,H2220*IF(OR(C2220="Alpha",B2220="Alpha"),$C$9,$C$8),""),"")</f>
        <v/>
      </c>
      <c r="L2220" s="139">
        <f>IFERROR(IF(ISNUMBER(F2220),F2220-IF(ISNUMBER(K2220),K2220,0),""),"")</f>
        <v/>
      </c>
    </row>
    <row r="2221" ht="24" customHeight="1" s="63">
      <c r="E2221" s="139" t="n"/>
      <c r="F2221" s="139" t="n"/>
      <c r="G2221" s="140">
        <f>IFERROR(IF(E2221&gt;0,(F2221/E2221)*1000,""),"")</f>
        <v/>
      </c>
      <c r="H2221" s="139">
        <f>IFERROR(IF(E2221&gt;0,E2221*IF(ISNUMBER(J2221),J2221,IF(OR(C2221="Alpha",B2221="Alpha"),$C$7,IF(C2221="Futures",$C$6,$C$5))),""),"")</f>
        <v/>
      </c>
      <c r="I2221" s="139">
        <f>IFERROR(IF(AND(ISNUMBER(F2221),ISNUMBER(H2221)),F2221-H2221,""),"")</f>
        <v/>
      </c>
      <c r="J2221" s="114" t="n"/>
      <c r="K2221" s="139">
        <f>IFERROR(IF(H2221&gt;0,H2221*IF(OR(C2221="Alpha",B2221="Alpha"),$C$9,$C$8),""),"")</f>
        <v/>
      </c>
      <c r="L2221" s="139">
        <f>IFERROR(IF(ISNUMBER(F2221),F2221-IF(ISNUMBER(K2221),K2221,0),""),"")</f>
        <v/>
      </c>
    </row>
    <row r="2222" ht="24" customHeight="1" s="63">
      <c r="E2222" s="139" t="n"/>
      <c r="F2222" s="139" t="n"/>
      <c r="G2222" s="140">
        <f>IFERROR(IF(E2222&gt;0,(F2222/E2222)*1000,""),"")</f>
        <v/>
      </c>
      <c r="H2222" s="139">
        <f>IFERROR(IF(E2222&gt;0,E2222*IF(ISNUMBER(J2222),J2222,IF(OR(C2222="Alpha",B2222="Alpha"),$C$7,IF(C2222="Futures",$C$6,$C$5))),""),"")</f>
        <v/>
      </c>
      <c r="I2222" s="139">
        <f>IFERROR(IF(AND(ISNUMBER(F2222),ISNUMBER(H2222)),F2222-H2222,""),"")</f>
        <v/>
      </c>
      <c r="J2222" s="114" t="n"/>
      <c r="K2222" s="139">
        <f>IFERROR(IF(H2222&gt;0,H2222*IF(OR(C2222="Alpha",B2222="Alpha"),$C$9,$C$8),""),"")</f>
        <v/>
      </c>
      <c r="L2222" s="139">
        <f>IFERROR(IF(ISNUMBER(F2222),F2222-IF(ISNUMBER(K2222),K2222,0),""),"")</f>
        <v/>
      </c>
    </row>
    <row r="2223" ht="24" customHeight="1" s="63">
      <c r="E2223" s="139" t="n"/>
      <c r="F2223" s="139" t="n"/>
      <c r="G2223" s="140">
        <f>IFERROR(IF(E2223&gt;0,(F2223/E2223)*1000,""),"")</f>
        <v/>
      </c>
      <c r="H2223" s="139">
        <f>IFERROR(IF(E2223&gt;0,E2223*IF(ISNUMBER(J2223),J2223,IF(OR(C2223="Alpha",B2223="Alpha"),$C$7,IF(C2223="Futures",$C$6,$C$5))),""),"")</f>
        <v/>
      </c>
      <c r="I2223" s="139">
        <f>IFERROR(IF(AND(ISNUMBER(F2223),ISNUMBER(H2223)),F2223-H2223,""),"")</f>
        <v/>
      </c>
      <c r="J2223" s="114" t="n"/>
      <c r="K2223" s="139">
        <f>IFERROR(IF(H2223&gt;0,H2223*IF(OR(C2223="Alpha",B2223="Alpha"),$C$9,$C$8),""),"")</f>
        <v/>
      </c>
      <c r="L2223" s="139">
        <f>IFERROR(IF(ISNUMBER(F2223),F2223-IF(ISNUMBER(K2223),K2223,0),""),"")</f>
        <v/>
      </c>
    </row>
    <row r="2224" ht="24" customHeight="1" s="63">
      <c r="E2224" s="139" t="n"/>
      <c r="F2224" s="139" t="n"/>
      <c r="G2224" s="140">
        <f>IFERROR(IF(E2224&gt;0,(F2224/E2224)*1000,""),"")</f>
        <v/>
      </c>
      <c r="H2224" s="139">
        <f>IFERROR(IF(E2224&gt;0,E2224*IF(ISNUMBER(J2224),J2224,IF(OR(C2224="Alpha",B2224="Alpha"),$C$7,IF(C2224="Futures",$C$6,$C$5))),""),"")</f>
        <v/>
      </c>
      <c r="I2224" s="139">
        <f>IFERROR(IF(AND(ISNUMBER(F2224),ISNUMBER(H2224)),F2224-H2224,""),"")</f>
        <v/>
      </c>
      <c r="J2224" s="114" t="n"/>
      <c r="K2224" s="139">
        <f>IFERROR(IF(H2224&gt;0,H2224*IF(OR(C2224="Alpha",B2224="Alpha"),$C$9,$C$8),""),"")</f>
        <v/>
      </c>
      <c r="L2224" s="139">
        <f>IFERROR(IF(ISNUMBER(F2224),F2224-IF(ISNUMBER(K2224),K2224,0),""),"")</f>
        <v/>
      </c>
    </row>
    <row r="2225" ht="24" customHeight="1" s="63">
      <c r="E2225" s="139" t="n"/>
      <c r="F2225" s="139" t="n"/>
      <c r="G2225" s="140">
        <f>IFERROR(IF(E2225&gt;0,(F2225/E2225)*1000,""),"")</f>
        <v/>
      </c>
      <c r="H2225" s="139">
        <f>IFERROR(IF(E2225&gt;0,E2225*IF(ISNUMBER(J2225),J2225,IF(OR(C2225="Alpha",B2225="Alpha"),$C$7,IF(C2225="Futures",$C$6,$C$5))),""),"")</f>
        <v/>
      </c>
      <c r="I2225" s="139">
        <f>IFERROR(IF(AND(ISNUMBER(F2225),ISNUMBER(H2225)),F2225-H2225,""),"")</f>
        <v/>
      </c>
      <c r="J2225" s="114" t="n"/>
      <c r="K2225" s="139">
        <f>IFERROR(IF(H2225&gt;0,H2225*IF(OR(C2225="Alpha",B2225="Alpha"),$C$9,$C$8),""),"")</f>
        <v/>
      </c>
      <c r="L2225" s="139">
        <f>IFERROR(IF(ISNUMBER(F2225),F2225-IF(ISNUMBER(K2225),K2225,0),""),"")</f>
        <v/>
      </c>
    </row>
    <row r="2226" ht="24" customHeight="1" s="63">
      <c r="E2226" s="139" t="n"/>
      <c r="F2226" s="139" t="n"/>
      <c r="G2226" s="140">
        <f>IFERROR(IF(E2226&gt;0,(F2226/E2226)*1000,""),"")</f>
        <v/>
      </c>
      <c r="H2226" s="139">
        <f>IFERROR(IF(E2226&gt;0,E2226*IF(ISNUMBER(J2226),J2226,IF(OR(C2226="Alpha",B2226="Alpha"),$C$7,IF(C2226="Futures",$C$6,$C$5))),""),"")</f>
        <v/>
      </c>
      <c r="I2226" s="139">
        <f>IFERROR(IF(AND(ISNUMBER(F2226),ISNUMBER(H2226)),F2226-H2226,""),"")</f>
        <v/>
      </c>
      <c r="J2226" s="114" t="n"/>
      <c r="K2226" s="139">
        <f>IFERROR(IF(H2226&gt;0,H2226*IF(OR(C2226="Alpha",B2226="Alpha"),$C$9,$C$8),""),"")</f>
        <v/>
      </c>
      <c r="L2226" s="139">
        <f>IFERROR(IF(ISNUMBER(F2226),F2226-IF(ISNUMBER(K2226),K2226,0),""),"")</f>
        <v/>
      </c>
    </row>
    <row r="2227" ht="24" customHeight="1" s="63">
      <c r="E2227" s="139" t="n"/>
      <c r="F2227" s="139" t="n"/>
      <c r="G2227" s="140">
        <f>IFERROR(IF(E2227&gt;0,(F2227/E2227)*1000,""),"")</f>
        <v/>
      </c>
      <c r="H2227" s="139">
        <f>IFERROR(IF(E2227&gt;0,E2227*IF(ISNUMBER(J2227),J2227,IF(OR(C2227="Alpha",B2227="Alpha"),$C$7,IF(C2227="Futures",$C$6,$C$5))),""),"")</f>
        <v/>
      </c>
      <c r="I2227" s="139">
        <f>IFERROR(IF(AND(ISNUMBER(F2227),ISNUMBER(H2227)),F2227-H2227,""),"")</f>
        <v/>
      </c>
      <c r="J2227" s="114" t="n"/>
      <c r="K2227" s="139">
        <f>IFERROR(IF(H2227&gt;0,H2227*IF(OR(C2227="Alpha",B2227="Alpha"),$C$9,$C$8),""),"")</f>
        <v/>
      </c>
      <c r="L2227" s="139">
        <f>IFERROR(IF(ISNUMBER(F2227),F2227-IF(ISNUMBER(K2227),K2227,0),""),"")</f>
        <v/>
      </c>
    </row>
    <row r="2228" ht="24" customHeight="1" s="63">
      <c r="E2228" s="139" t="n"/>
      <c r="F2228" s="139" t="n"/>
      <c r="G2228" s="140">
        <f>IFERROR(IF(E2228&gt;0,(F2228/E2228)*1000,""),"")</f>
        <v/>
      </c>
      <c r="H2228" s="139">
        <f>IFERROR(IF(E2228&gt;0,E2228*IF(ISNUMBER(J2228),J2228,IF(OR(C2228="Alpha",B2228="Alpha"),$C$7,IF(C2228="Futures",$C$6,$C$5))),""),"")</f>
        <v/>
      </c>
      <c r="I2228" s="139">
        <f>IFERROR(IF(AND(ISNUMBER(F2228),ISNUMBER(H2228)),F2228-H2228,""),"")</f>
        <v/>
      </c>
      <c r="J2228" s="114" t="n"/>
      <c r="K2228" s="139">
        <f>IFERROR(IF(H2228&gt;0,H2228*IF(OR(C2228="Alpha",B2228="Alpha"),$C$9,$C$8),""),"")</f>
        <v/>
      </c>
      <c r="L2228" s="139">
        <f>IFERROR(IF(ISNUMBER(F2228),F2228-IF(ISNUMBER(K2228),K2228,0),""),"")</f>
        <v/>
      </c>
    </row>
    <row r="2229" ht="24" customHeight="1" s="63">
      <c r="E2229" s="139" t="n"/>
      <c r="F2229" s="139" t="n"/>
      <c r="G2229" s="140">
        <f>IFERROR(IF(E2229&gt;0,(F2229/E2229)*1000,""),"")</f>
        <v/>
      </c>
      <c r="H2229" s="139">
        <f>IFERROR(IF(E2229&gt;0,E2229*IF(ISNUMBER(J2229),J2229,IF(OR(C2229="Alpha",B2229="Alpha"),$C$7,IF(C2229="Futures",$C$6,$C$5))),""),"")</f>
        <v/>
      </c>
      <c r="I2229" s="139">
        <f>IFERROR(IF(AND(ISNUMBER(F2229),ISNUMBER(H2229)),F2229-H2229,""),"")</f>
        <v/>
      </c>
      <c r="J2229" s="114" t="n"/>
      <c r="K2229" s="139">
        <f>IFERROR(IF(H2229&gt;0,H2229*IF(OR(C2229="Alpha",B2229="Alpha"),$C$9,$C$8),""),"")</f>
        <v/>
      </c>
      <c r="L2229" s="139">
        <f>IFERROR(IF(ISNUMBER(F2229),F2229-IF(ISNUMBER(K2229),K2229,0),""),"")</f>
        <v/>
      </c>
    </row>
    <row r="2230" ht="24" customHeight="1" s="63">
      <c r="E2230" s="139" t="n"/>
      <c r="F2230" s="139" t="n"/>
      <c r="G2230" s="140">
        <f>IFERROR(IF(E2230&gt;0,(F2230/E2230)*1000,""),"")</f>
        <v/>
      </c>
      <c r="H2230" s="139">
        <f>IFERROR(IF(E2230&gt;0,E2230*IF(ISNUMBER(J2230),J2230,IF(OR(C2230="Alpha",B2230="Alpha"),$C$7,IF(C2230="Futures",$C$6,$C$5))),""),"")</f>
        <v/>
      </c>
      <c r="I2230" s="139">
        <f>IFERROR(IF(AND(ISNUMBER(F2230),ISNUMBER(H2230)),F2230-H2230,""),"")</f>
        <v/>
      </c>
      <c r="J2230" s="114" t="n"/>
      <c r="K2230" s="139">
        <f>IFERROR(IF(H2230&gt;0,H2230*IF(OR(C2230="Alpha",B2230="Alpha"),$C$9,$C$8),""),"")</f>
        <v/>
      </c>
      <c r="L2230" s="139">
        <f>IFERROR(IF(ISNUMBER(F2230),F2230-IF(ISNUMBER(K2230),K2230,0),""),"")</f>
        <v/>
      </c>
    </row>
    <row r="2231" ht="24" customHeight="1" s="63">
      <c r="E2231" s="139" t="n"/>
      <c r="F2231" s="139" t="n"/>
      <c r="G2231" s="140">
        <f>IFERROR(IF(E2231&gt;0,(F2231/E2231)*1000,""),"")</f>
        <v/>
      </c>
      <c r="H2231" s="139">
        <f>IFERROR(IF(E2231&gt;0,E2231*IF(ISNUMBER(J2231),J2231,IF(OR(C2231="Alpha",B2231="Alpha"),$C$7,IF(C2231="Futures",$C$6,$C$5))),""),"")</f>
        <v/>
      </c>
      <c r="I2231" s="139">
        <f>IFERROR(IF(AND(ISNUMBER(F2231),ISNUMBER(H2231)),F2231-H2231,""),"")</f>
        <v/>
      </c>
      <c r="J2231" s="114" t="n"/>
      <c r="K2231" s="139">
        <f>IFERROR(IF(H2231&gt;0,H2231*IF(OR(C2231="Alpha",B2231="Alpha"),$C$9,$C$8),""),"")</f>
        <v/>
      </c>
      <c r="L2231" s="139">
        <f>IFERROR(IF(ISNUMBER(F2231),F2231-IF(ISNUMBER(K2231),K2231,0),""),"")</f>
        <v/>
      </c>
    </row>
    <row r="2232" ht="24" customHeight="1" s="63">
      <c r="E2232" s="139" t="n"/>
      <c r="F2232" s="139" t="n"/>
      <c r="G2232" s="140">
        <f>IFERROR(IF(E2232&gt;0,(F2232/E2232)*1000,""),"")</f>
        <v/>
      </c>
      <c r="H2232" s="139">
        <f>IFERROR(IF(E2232&gt;0,E2232*IF(ISNUMBER(J2232),J2232,IF(OR(C2232="Alpha",B2232="Alpha"),$C$7,IF(C2232="Futures",$C$6,$C$5))),""),"")</f>
        <v/>
      </c>
      <c r="I2232" s="139">
        <f>IFERROR(IF(AND(ISNUMBER(F2232),ISNUMBER(H2232)),F2232-H2232,""),"")</f>
        <v/>
      </c>
      <c r="J2232" s="114" t="n"/>
      <c r="K2232" s="139">
        <f>IFERROR(IF(H2232&gt;0,H2232*IF(OR(C2232="Alpha",B2232="Alpha"),$C$9,$C$8),""),"")</f>
        <v/>
      </c>
      <c r="L2232" s="139">
        <f>IFERROR(IF(ISNUMBER(F2232),F2232-IF(ISNUMBER(K2232),K2232,0),""),"")</f>
        <v/>
      </c>
    </row>
    <row r="2233" ht="24" customHeight="1" s="63">
      <c r="E2233" s="139" t="n"/>
      <c r="F2233" s="139" t="n"/>
      <c r="G2233" s="140">
        <f>IFERROR(IF(E2233&gt;0,(F2233/E2233)*1000,""),"")</f>
        <v/>
      </c>
      <c r="H2233" s="139">
        <f>IFERROR(IF(E2233&gt;0,E2233*IF(ISNUMBER(J2233),J2233,IF(OR(C2233="Alpha",B2233="Alpha"),$C$7,IF(C2233="Futures",$C$6,$C$5))),""),"")</f>
        <v/>
      </c>
      <c r="I2233" s="139">
        <f>IFERROR(IF(AND(ISNUMBER(F2233),ISNUMBER(H2233)),F2233-H2233,""),"")</f>
        <v/>
      </c>
      <c r="J2233" s="114" t="n"/>
      <c r="K2233" s="139">
        <f>IFERROR(IF(H2233&gt;0,H2233*IF(OR(C2233="Alpha",B2233="Alpha"),$C$9,$C$8),""),"")</f>
        <v/>
      </c>
      <c r="L2233" s="139">
        <f>IFERROR(IF(ISNUMBER(F2233),F2233-IF(ISNUMBER(K2233),K2233,0),""),"")</f>
        <v/>
      </c>
    </row>
    <row r="2234" ht="24" customHeight="1" s="63">
      <c r="E2234" s="139" t="n"/>
      <c r="F2234" s="139" t="n"/>
      <c r="G2234" s="140">
        <f>IFERROR(IF(E2234&gt;0,(F2234/E2234)*1000,""),"")</f>
        <v/>
      </c>
      <c r="H2234" s="139">
        <f>IFERROR(IF(E2234&gt;0,E2234*IF(ISNUMBER(J2234),J2234,IF(OR(C2234="Alpha",B2234="Alpha"),$C$7,IF(C2234="Futures",$C$6,$C$5))),""),"")</f>
        <v/>
      </c>
      <c r="I2234" s="139">
        <f>IFERROR(IF(AND(ISNUMBER(F2234),ISNUMBER(H2234)),F2234-H2234,""),"")</f>
        <v/>
      </c>
      <c r="J2234" s="114" t="n"/>
      <c r="K2234" s="139">
        <f>IFERROR(IF(H2234&gt;0,H2234*IF(OR(C2234="Alpha",B2234="Alpha"),$C$9,$C$8),""),"")</f>
        <v/>
      </c>
      <c r="L2234" s="139">
        <f>IFERROR(IF(ISNUMBER(F2234),F2234-IF(ISNUMBER(K2234),K2234,0),""),"")</f>
        <v/>
      </c>
    </row>
    <row r="2235" ht="24" customHeight="1" s="63">
      <c r="E2235" s="139" t="n"/>
      <c r="F2235" s="139" t="n"/>
      <c r="G2235" s="140">
        <f>IFERROR(IF(E2235&gt;0,(F2235/E2235)*1000,""),"")</f>
        <v/>
      </c>
      <c r="H2235" s="139">
        <f>IFERROR(IF(E2235&gt;0,E2235*IF(ISNUMBER(J2235),J2235,IF(OR(C2235="Alpha",B2235="Alpha"),$C$7,IF(C2235="Futures",$C$6,$C$5))),""),"")</f>
        <v/>
      </c>
      <c r="I2235" s="139">
        <f>IFERROR(IF(AND(ISNUMBER(F2235),ISNUMBER(H2235)),F2235-H2235,""),"")</f>
        <v/>
      </c>
      <c r="J2235" s="114" t="n"/>
      <c r="K2235" s="139">
        <f>IFERROR(IF(H2235&gt;0,H2235*IF(OR(C2235="Alpha",B2235="Alpha"),$C$9,$C$8),""),"")</f>
        <v/>
      </c>
      <c r="L2235" s="139">
        <f>IFERROR(IF(ISNUMBER(F2235),F2235-IF(ISNUMBER(K2235),K2235,0),""),"")</f>
        <v/>
      </c>
    </row>
    <row r="2236" ht="24" customHeight="1" s="63">
      <c r="E2236" s="139" t="n"/>
      <c r="F2236" s="139" t="n"/>
      <c r="G2236" s="140">
        <f>IFERROR(IF(E2236&gt;0,(F2236/E2236)*1000,""),"")</f>
        <v/>
      </c>
      <c r="H2236" s="139">
        <f>IFERROR(IF(E2236&gt;0,E2236*IF(ISNUMBER(J2236),J2236,IF(OR(C2236="Alpha",B2236="Alpha"),$C$7,IF(C2236="Futures",$C$6,$C$5))),""),"")</f>
        <v/>
      </c>
      <c r="I2236" s="139">
        <f>IFERROR(IF(AND(ISNUMBER(F2236),ISNUMBER(H2236)),F2236-H2236,""),"")</f>
        <v/>
      </c>
      <c r="J2236" s="114" t="n"/>
      <c r="K2236" s="139">
        <f>IFERROR(IF(H2236&gt;0,H2236*IF(OR(C2236="Alpha",B2236="Alpha"),$C$9,$C$8),""),"")</f>
        <v/>
      </c>
      <c r="L2236" s="139">
        <f>IFERROR(IF(ISNUMBER(F2236),F2236-IF(ISNUMBER(K2236),K2236,0),""),"")</f>
        <v/>
      </c>
    </row>
    <row r="2237" ht="24" customHeight="1" s="63">
      <c r="E2237" s="139" t="n"/>
      <c r="F2237" s="139" t="n"/>
      <c r="G2237" s="140">
        <f>IFERROR(IF(E2237&gt;0,(F2237/E2237)*1000,""),"")</f>
        <v/>
      </c>
      <c r="H2237" s="139">
        <f>IFERROR(IF(E2237&gt;0,E2237*IF(ISNUMBER(J2237),J2237,IF(OR(C2237="Alpha",B2237="Alpha"),$C$7,IF(C2237="Futures",$C$6,$C$5))),""),"")</f>
        <v/>
      </c>
      <c r="I2237" s="139">
        <f>IFERROR(IF(AND(ISNUMBER(F2237),ISNUMBER(H2237)),F2237-H2237,""),"")</f>
        <v/>
      </c>
      <c r="J2237" s="114" t="n"/>
      <c r="K2237" s="139">
        <f>IFERROR(IF(H2237&gt;0,H2237*IF(OR(C2237="Alpha",B2237="Alpha"),$C$9,$C$8),""),"")</f>
        <v/>
      </c>
      <c r="L2237" s="139">
        <f>IFERROR(IF(ISNUMBER(F2237),F2237-IF(ISNUMBER(K2237),K2237,0),""),"")</f>
        <v/>
      </c>
    </row>
    <row r="2238" ht="24" customHeight="1" s="63">
      <c r="E2238" s="139" t="n"/>
      <c r="F2238" s="139" t="n"/>
      <c r="G2238" s="140">
        <f>IFERROR(IF(E2238&gt;0,(F2238/E2238)*1000,""),"")</f>
        <v/>
      </c>
      <c r="H2238" s="139">
        <f>IFERROR(IF(E2238&gt;0,E2238*IF(ISNUMBER(J2238),J2238,IF(OR(C2238="Alpha",B2238="Alpha"),$C$7,IF(C2238="Futures",$C$6,$C$5))),""),"")</f>
        <v/>
      </c>
      <c r="I2238" s="139">
        <f>IFERROR(IF(AND(ISNUMBER(F2238),ISNUMBER(H2238)),F2238-H2238,""),"")</f>
        <v/>
      </c>
      <c r="J2238" s="114" t="n"/>
      <c r="K2238" s="139">
        <f>IFERROR(IF(H2238&gt;0,H2238*IF(OR(C2238="Alpha",B2238="Alpha"),$C$9,$C$8),""),"")</f>
        <v/>
      </c>
      <c r="L2238" s="139">
        <f>IFERROR(IF(ISNUMBER(F2238),F2238-IF(ISNUMBER(K2238),K2238,0),""),"")</f>
        <v/>
      </c>
    </row>
    <row r="2239" ht="24" customHeight="1" s="63">
      <c r="E2239" s="139" t="n"/>
      <c r="F2239" s="139" t="n"/>
      <c r="G2239" s="140">
        <f>IFERROR(IF(E2239&gt;0,(F2239/E2239)*1000,""),"")</f>
        <v/>
      </c>
      <c r="H2239" s="139">
        <f>IFERROR(IF(E2239&gt;0,E2239*IF(ISNUMBER(J2239),J2239,IF(OR(C2239="Alpha",B2239="Alpha"),$C$7,IF(C2239="Futures",$C$6,$C$5))),""),"")</f>
        <v/>
      </c>
      <c r="I2239" s="139">
        <f>IFERROR(IF(AND(ISNUMBER(F2239),ISNUMBER(H2239)),F2239-H2239,""),"")</f>
        <v/>
      </c>
      <c r="J2239" s="114" t="n"/>
      <c r="K2239" s="139">
        <f>IFERROR(IF(H2239&gt;0,H2239*IF(OR(C2239="Alpha",B2239="Alpha"),$C$9,$C$8),""),"")</f>
        <v/>
      </c>
      <c r="L2239" s="139">
        <f>IFERROR(IF(ISNUMBER(F2239),F2239-IF(ISNUMBER(K2239),K2239,0),""),"")</f>
        <v/>
      </c>
    </row>
    <row r="2240" ht="24" customHeight="1" s="63">
      <c r="E2240" s="139" t="n"/>
      <c r="F2240" s="139" t="n"/>
      <c r="G2240" s="140">
        <f>IFERROR(IF(E2240&gt;0,(F2240/E2240)*1000,""),"")</f>
        <v/>
      </c>
      <c r="H2240" s="139">
        <f>IFERROR(IF(E2240&gt;0,E2240*IF(ISNUMBER(J2240),J2240,IF(OR(C2240="Alpha",B2240="Alpha"),$C$7,IF(C2240="Futures",$C$6,$C$5))),""),"")</f>
        <v/>
      </c>
      <c r="I2240" s="139">
        <f>IFERROR(IF(AND(ISNUMBER(F2240),ISNUMBER(H2240)),F2240-H2240,""),"")</f>
        <v/>
      </c>
      <c r="J2240" s="114" t="n"/>
      <c r="K2240" s="139">
        <f>IFERROR(IF(H2240&gt;0,H2240*IF(OR(C2240="Alpha",B2240="Alpha"),$C$9,$C$8),""),"")</f>
        <v/>
      </c>
      <c r="L2240" s="139">
        <f>IFERROR(IF(ISNUMBER(F2240),F2240-IF(ISNUMBER(K2240),K2240,0),""),"")</f>
        <v/>
      </c>
    </row>
    <row r="2241" ht="24" customHeight="1" s="63">
      <c r="E2241" s="139" t="n"/>
      <c r="F2241" s="139" t="n"/>
      <c r="G2241" s="140">
        <f>IFERROR(IF(E2241&gt;0,(F2241/E2241)*1000,""),"")</f>
        <v/>
      </c>
      <c r="H2241" s="139">
        <f>IFERROR(IF(E2241&gt;0,E2241*IF(ISNUMBER(J2241),J2241,IF(OR(C2241="Alpha",B2241="Alpha"),$C$7,IF(C2241="Futures",$C$6,$C$5))),""),"")</f>
        <v/>
      </c>
      <c r="I2241" s="139">
        <f>IFERROR(IF(AND(ISNUMBER(F2241),ISNUMBER(H2241)),F2241-H2241,""),"")</f>
        <v/>
      </c>
      <c r="J2241" s="114" t="n"/>
      <c r="K2241" s="139">
        <f>IFERROR(IF(H2241&gt;0,H2241*IF(OR(C2241="Alpha",B2241="Alpha"),$C$9,$C$8),""),"")</f>
        <v/>
      </c>
      <c r="L2241" s="139">
        <f>IFERROR(IF(ISNUMBER(F2241),F2241-IF(ISNUMBER(K2241),K2241,0),""),"")</f>
        <v/>
      </c>
    </row>
    <row r="2242" ht="24" customHeight="1" s="63">
      <c r="E2242" s="139" t="n"/>
      <c r="F2242" s="139" t="n"/>
      <c r="G2242" s="140">
        <f>IFERROR(IF(E2242&gt;0,(F2242/E2242)*1000,""),"")</f>
        <v/>
      </c>
      <c r="H2242" s="139">
        <f>IFERROR(IF(E2242&gt;0,E2242*IF(ISNUMBER(J2242),J2242,IF(OR(C2242="Alpha",B2242="Alpha"),$C$7,IF(C2242="Futures",$C$6,$C$5))),""),"")</f>
        <v/>
      </c>
      <c r="I2242" s="139">
        <f>IFERROR(IF(AND(ISNUMBER(F2242),ISNUMBER(H2242)),F2242-H2242,""),"")</f>
        <v/>
      </c>
      <c r="J2242" s="114" t="n"/>
      <c r="K2242" s="139">
        <f>IFERROR(IF(H2242&gt;0,H2242*IF(OR(C2242="Alpha",B2242="Alpha"),$C$9,$C$8),""),"")</f>
        <v/>
      </c>
      <c r="L2242" s="139">
        <f>IFERROR(IF(ISNUMBER(F2242),F2242-IF(ISNUMBER(K2242),K2242,0),""),"")</f>
        <v/>
      </c>
    </row>
    <row r="2243" ht="24" customHeight="1" s="63">
      <c r="E2243" s="139" t="n"/>
      <c r="F2243" s="139" t="n"/>
      <c r="G2243" s="140">
        <f>IFERROR(IF(E2243&gt;0,(F2243/E2243)*1000,""),"")</f>
        <v/>
      </c>
      <c r="H2243" s="139">
        <f>IFERROR(IF(E2243&gt;0,E2243*IF(ISNUMBER(J2243),J2243,IF(OR(C2243="Alpha",B2243="Alpha"),$C$7,IF(C2243="Futures",$C$6,$C$5))),""),"")</f>
        <v/>
      </c>
      <c r="I2243" s="139">
        <f>IFERROR(IF(AND(ISNUMBER(F2243),ISNUMBER(H2243)),F2243-H2243,""),"")</f>
        <v/>
      </c>
      <c r="J2243" s="114" t="n"/>
      <c r="K2243" s="139">
        <f>IFERROR(IF(H2243&gt;0,H2243*IF(OR(C2243="Alpha",B2243="Alpha"),$C$9,$C$8),""),"")</f>
        <v/>
      </c>
      <c r="L2243" s="139">
        <f>IFERROR(IF(ISNUMBER(F2243),F2243-IF(ISNUMBER(K2243),K2243,0),""),"")</f>
        <v/>
      </c>
    </row>
    <row r="2244" ht="24" customHeight="1" s="63">
      <c r="E2244" s="139" t="n"/>
      <c r="F2244" s="139" t="n"/>
      <c r="G2244" s="140">
        <f>IFERROR(IF(E2244&gt;0,(F2244/E2244)*1000,""),"")</f>
        <v/>
      </c>
      <c r="H2244" s="139">
        <f>IFERROR(IF(E2244&gt;0,E2244*IF(ISNUMBER(J2244),J2244,IF(OR(C2244="Alpha",B2244="Alpha"),$C$7,IF(C2244="Futures",$C$6,$C$5))),""),"")</f>
        <v/>
      </c>
      <c r="I2244" s="139">
        <f>IFERROR(IF(AND(ISNUMBER(F2244),ISNUMBER(H2244)),F2244-H2244,""),"")</f>
        <v/>
      </c>
      <c r="J2244" s="114" t="n"/>
      <c r="K2244" s="139">
        <f>IFERROR(IF(H2244&gt;0,H2244*IF(OR(C2244="Alpha",B2244="Alpha"),$C$9,$C$8),""),"")</f>
        <v/>
      </c>
      <c r="L2244" s="139">
        <f>IFERROR(IF(ISNUMBER(F2244),F2244-IF(ISNUMBER(K2244),K2244,0),""),"")</f>
        <v/>
      </c>
    </row>
    <row r="2245" ht="24" customHeight="1" s="63">
      <c r="E2245" s="139" t="n"/>
      <c r="F2245" s="139" t="n"/>
      <c r="G2245" s="140">
        <f>IFERROR(IF(E2245&gt;0,(F2245/E2245)*1000,""),"")</f>
        <v/>
      </c>
      <c r="H2245" s="139">
        <f>IFERROR(IF(E2245&gt;0,E2245*IF(ISNUMBER(J2245),J2245,IF(OR(C2245="Alpha",B2245="Alpha"),$C$7,IF(C2245="Futures",$C$6,$C$5))),""),"")</f>
        <v/>
      </c>
      <c r="I2245" s="139">
        <f>IFERROR(IF(AND(ISNUMBER(F2245),ISNUMBER(H2245)),F2245-H2245,""),"")</f>
        <v/>
      </c>
      <c r="J2245" s="114" t="n"/>
      <c r="K2245" s="139">
        <f>IFERROR(IF(H2245&gt;0,H2245*IF(OR(C2245="Alpha",B2245="Alpha"),$C$9,$C$8),""),"")</f>
        <v/>
      </c>
      <c r="L2245" s="139">
        <f>IFERROR(IF(ISNUMBER(F2245),F2245-IF(ISNUMBER(K2245),K2245,0),""),"")</f>
        <v/>
      </c>
    </row>
    <row r="2246" ht="24" customHeight="1" s="63">
      <c r="E2246" s="139" t="n"/>
      <c r="F2246" s="139" t="n"/>
      <c r="G2246" s="140">
        <f>IFERROR(IF(E2246&gt;0,(F2246/E2246)*1000,""),"")</f>
        <v/>
      </c>
      <c r="H2246" s="139">
        <f>IFERROR(IF(E2246&gt;0,E2246*IF(ISNUMBER(J2246),J2246,IF(OR(C2246="Alpha",B2246="Alpha"),$C$7,IF(C2246="Futures",$C$6,$C$5))),""),"")</f>
        <v/>
      </c>
      <c r="I2246" s="139">
        <f>IFERROR(IF(AND(ISNUMBER(F2246),ISNUMBER(H2246)),F2246-H2246,""),"")</f>
        <v/>
      </c>
      <c r="J2246" s="114" t="n"/>
      <c r="K2246" s="139">
        <f>IFERROR(IF(H2246&gt;0,H2246*IF(OR(C2246="Alpha",B2246="Alpha"),$C$9,$C$8),""),"")</f>
        <v/>
      </c>
      <c r="L2246" s="139">
        <f>IFERROR(IF(ISNUMBER(F2246),F2246-IF(ISNUMBER(K2246),K2246,0),""),"")</f>
        <v/>
      </c>
    </row>
    <row r="2247" ht="24" customHeight="1" s="63">
      <c r="E2247" s="139" t="n"/>
      <c r="F2247" s="139" t="n"/>
      <c r="G2247" s="140">
        <f>IFERROR(IF(E2247&gt;0,(F2247/E2247)*1000,""),"")</f>
        <v/>
      </c>
      <c r="H2247" s="139">
        <f>IFERROR(IF(E2247&gt;0,E2247*IF(ISNUMBER(J2247),J2247,IF(OR(C2247="Alpha",B2247="Alpha"),$C$7,IF(C2247="Futures",$C$6,$C$5))),""),"")</f>
        <v/>
      </c>
      <c r="I2247" s="139">
        <f>IFERROR(IF(AND(ISNUMBER(F2247),ISNUMBER(H2247)),F2247-H2247,""),"")</f>
        <v/>
      </c>
      <c r="J2247" s="114" t="n"/>
      <c r="K2247" s="139">
        <f>IFERROR(IF(H2247&gt;0,H2247*IF(OR(C2247="Alpha",B2247="Alpha"),$C$9,$C$8),""),"")</f>
        <v/>
      </c>
      <c r="L2247" s="139">
        <f>IFERROR(IF(ISNUMBER(F2247),F2247-IF(ISNUMBER(K2247),K2247,0),""),"")</f>
        <v/>
      </c>
    </row>
    <row r="2248" ht="24" customHeight="1" s="63">
      <c r="E2248" s="139" t="n"/>
      <c r="F2248" s="139" t="n"/>
      <c r="G2248" s="140">
        <f>IFERROR(IF(E2248&gt;0,(F2248/E2248)*1000,""),"")</f>
        <v/>
      </c>
      <c r="H2248" s="139">
        <f>IFERROR(IF(E2248&gt;0,E2248*IF(ISNUMBER(J2248),J2248,IF(OR(C2248="Alpha",B2248="Alpha"),$C$7,IF(C2248="Futures",$C$6,$C$5))),""),"")</f>
        <v/>
      </c>
      <c r="I2248" s="139">
        <f>IFERROR(IF(AND(ISNUMBER(F2248),ISNUMBER(H2248)),F2248-H2248,""),"")</f>
        <v/>
      </c>
      <c r="J2248" s="114" t="n"/>
      <c r="K2248" s="139">
        <f>IFERROR(IF(H2248&gt;0,H2248*IF(OR(C2248="Alpha",B2248="Alpha"),$C$9,$C$8),""),"")</f>
        <v/>
      </c>
      <c r="L2248" s="139">
        <f>IFERROR(IF(ISNUMBER(F2248),F2248-IF(ISNUMBER(K2248),K2248,0),""),"")</f>
        <v/>
      </c>
    </row>
    <row r="2249" ht="24" customHeight="1" s="63">
      <c r="E2249" s="139" t="n"/>
      <c r="F2249" s="139" t="n"/>
      <c r="G2249" s="140">
        <f>IFERROR(IF(E2249&gt;0,(F2249/E2249)*1000,""),"")</f>
        <v/>
      </c>
      <c r="H2249" s="139">
        <f>IFERROR(IF(E2249&gt;0,E2249*IF(ISNUMBER(J2249),J2249,IF(OR(C2249="Alpha",B2249="Alpha"),$C$7,IF(C2249="Futures",$C$6,$C$5))),""),"")</f>
        <v/>
      </c>
      <c r="I2249" s="139">
        <f>IFERROR(IF(AND(ISNUMBER(F2249),ISNUMBER(H2249)),F2249-H2249,""),"")</f>
        <v/>
      </c>
      <c r="J2249" s="114" t="n"/>
      <c r="K2249" s="139">
        <f>IFERROR(IF(H2249&gt;0,H2249*IF(OR(C2249="Alpha",B2249="Alpha"),$C$9,$C$8),""),"")</f>
        <v/>
      </c>
      <c r="L2249" s="139">
        <f>IFERROR(IF(ISNUMBER(F2249),F2249-IF(ISNUMBER(K2249),K2249,0),""),"")</f>
        <v/>
      </c>
    </row>
    <row r="2250" ht="24" customHeight="1" s="63">
      <c r="E2250" s="139" t="n"/>
      <c r="F2250" s="139" t="n"/>
      <c r="G2250" s="140">
        <f>IFERROR(IF(E2250&gt;0,(F2250/E2250)*1000,""),"")</f>
        <v/>
      </c>
      <c r="H2250" s="139">
        <f>IFERROR(IF(E2250&gt;0,E2250*IF(ISNUMBER(J2250),J2250,IF(OR(C2250="Alpha",B2250="Alpha"),$C$7,IF(C2250="Futures",$C$6,$C$5))),""),"")</f>
        <v/>
      </c>
      <c r="I2250" s="139">
        <f>IFERROR(IF(AND(ISNUMBER(F2250),ISNUMBER(H2250)),F2250-H2250,""),"")</f>
        <v/>
      </c>
      <c r="J2250" s="114" t="n"/>
      <c r="K2250" s="139">
        <f>IFERROR(IF(H2250&gt;0,H2250*IF(OR(C2250="Alpha",B2250="Alpha"),$C$9,$C$8),""),"")</f>
        <v/>
      </c>
      <c r="L2250" s="139">
        <f>IFERROR(IF(ISNUMBER(F2250),F2250-IF(ISNUMBER(K2250),K2250,0),""),"")</f>
        <v/>
      </c>
    </row>
    <row r="2251" ht="24" customHeight="1" s="63">
      <c r="E2251" s="139" t="n"/>
      <c r="F2251" s="139" t="n"/>
      <c r="G2251" s="140">
        <f>IFERROR(IF(E2251&gt;0,(F2251/E2251)*1000,""),"")</f>
        <v/>
      </c>
      <c r="H2251" s="139">
        <f>IFERROR(IF(E2251&gt;0,E2251*IF(ISNUMBER(J2251),J2251,IF(OR(C2251="Alpha",B2251="Alpha"),$C$7,IF(C2251="Futures",$C$6,$C$5))),""),"")</f>
        <v/>
      </c>
      <c r="I2251" s="139">
        <f>IFERROR(IF(AND(ISNUMBER(F2251),ISNUMBER(H2251)),F2251-H2251,""),"")</f>
        <v/>
      </c>
      <c r="J2251" s="114" t="n"/>
      <c r="K2251" s="139">
        <f>IFERROR(IF(H2251&gt;0,H2251*IF(OR(C2251="Alpha",B2251="Alpha"),$C$9,$C$8),""),"")</f>
        <v/>
      </c>
      <c r="L2251" s="139">
        <f>IFERROR(IF(ISNUMBER(F2251),F2251-IF(ISNUMBER(K2251),K2251,0),""),"")</f>
        <v/>
      </c>
    </row>
    <row r="2252" ht="24" customHeight="1" s="63">
      <c r="E2252" s="139" t="n"/>
      <c r="F2252" s="139" t="n"/>
      <c r="G2252" s="140">
        <f>IFERROR(IF(E2252&gt;0,(F2252/E2252)*1000,""),"")</f>
        <v/>
      </c>
      <c r="H2252" s="139">
        <f>IFERROR(IF(E2252&gt;0,E2252*IF(ISNUMBER(J2252),J2252,IF(OR(C2252="Alpha",B2252="Alpha"),$C$7,IF(C2252="Futures",$C$6,$C$5))),""),"")</f>
        <v/>
      </c>
      <c r="I2252" s="139">
        <f>IFERROR(IF(AND(ISNUMBER(F2252),ISNUMBER(H2252)),F2252-H2252,""),"")</f>
        <v/>
      </c>
      <c r="J2252" s="114" t="n"/>
      <c r="K2252" s="139">
        <f>IFERROR(IF(H2252&gt;0,H2252*IF(OR(C2252="Alpha",B2252="Alpha"),$C$9,$C$8),""),"")</f>
        <v/>
      </c>
      <c r="L2252" s="139">
        <f>IFERROR(IF(ISNUMBER(F2252),F2252-IF(ISNUMBER(K2252),K2252,0),""),"")</f>
        <v/>
      </c>
    </row>
    <row r="2253" ht="24" customHeight="1" s="63">
      <c r="E2253" s="139" t="n"/>
      <c r="F2253" s="139" t="n"/>
      <c r="G2253" s="140">
        <f>IFERROR(IF(E2253&gt;0,(F2253/E2253)*1000,""),"")</f>
        <v/>
      </c>
      <c r="H2253" s="139">
        <f>IFERROR(IF(E2253&gt;0,E2253*IF(ISNUMBER(J2253),J2253,IF(OR(C2253="Alpha",B2253="Alpha"),$C$7,IF(C2253="Futures",$C$6,$C$5))),""),"")</f>
        <v/>
      </c>
      <c r="I2253" s="139">
        <f>IFERROR(IF(AND(ISNUMBER(F2253),ISNUMBER(H2253)),F2253-H2253,""),"")</f>
        <v/>
      </c>
      <c r="J2253" s="114" t="n"/>
      <c r="K2253" s="139">
        <f>IFERROR(IF(H2253&gt;0,H2253*IF(OR(C2253="Alpha",B2253="Alpha"),$C$9,$C$8),""),"")</f>
        <v/>
      </c>
      <c r="L2253" s="139">
        <f>IFERROR(IF(ISNUMBER(F2253),F2253-IF(ISNUMBER(K2253),K2253,0),""),"")</f>
        <v/>
      </c>
    </row>
    <row r="2254" ht="24" customHeight="1" s="63">
      <c r="E2254" s="139" t="n"/>
      <c r="F2254" s="139" t="n"/>
      <c r="G2254" s="140">
        <f>IFERROR(IF(E2254&gt;0,(F2254/E2254)*1000,""),"")</f>
        <v/>
      </c>
      <c r="H2254" s="139">
        <f>IFERROR(IF(E2254&gt;0,E2254*IF(ISNUMBER(J2254),J2254,IF(OR(C2254="Alpha",B2254="Alpha"),$C$7,IF(C2254="Futures",$C$6,$C$5))),""),"")</f>
        <v/>
      </c>
      <c r="I2254" s="139">
        <f>IFERROR(IF(AND(ISNUMBER(F2254),ISNUMBER(H2254)),F2254-H2254,""),"")</f>
        <v/>
      </c>
      <c r="J2254" s="114" t="n"/>
      <c r="K2254" s="139">
        <f>IFERROR(IF(H2254&gt;0,H2254*IF(OR(C2254="Alpha",B2254="Alpha"),$C$9,$C$8),""),"")</f>
        <v/>
      </c>
      <c r="L2254" s="139">
        <f>IFERROR(IF(ISNUMBER(F2254),F2254-IF(ISNUMBER(K2254),K2254,0),""),"")</f>
        <v/>
      </c>
    </row>
    <row r="2255" ht="24" customHeight="1" s="63">
      <c r="E2255" s="139" t="n"/>
      <c r="F2255" s="139" t="n"/>
      <c r="G2255" s="140">
        <f>IFERROR(IF(E2255&gt;0,(F2255/E2255)*1000,""),"")</f>
        <v/>
      </c>
      <c r="H2255" s="139">
        <f>IFERROR(IF(E2255&gt;0,E2255*IF(ISNUMBER(J2255),J2255,IF(OR(C2255="Alpha",B2255="Alpha"),$C$7,IF(C2255="Futures",$C$6,$C$5))),""),"")</f>
        <v/>
      </c>
      <c r="I2255" s="139">
        <f>IFERROR(IF(AND(ISNUMBER(F2255),ISNUMBER(H2255)),F2255-H2255,""),"")</f>
        <v/>
      </c>
      <c r="J2255" s="114" t="n"/>
      <c r="K2255" s="139">
        <f>IFERROR(IF(H2255&gt;0,H2255*IF(OR(C2255="Alpha",B2255="Alpha"),$C$9,$C$8),""),"")</f>
        <v/>
      </c>
      <c r="L2255" s="139">
        <f>IFERROR(IF(ISNUMBER(F2255),F2255-IF(ISNUMBER(K2255),K2255,0),""),"")</f>
        <v/>
      </c>
    </row>
    <row r="2256" ht="24" customHeight="1" s="63">
      <c r="E2256" s="139" t="n"/>
      <c r="F2256" s="139" t="n"/>
      <c r="G2256" s="140">
        <f>IFERROR(IF(E2256&gt;0,(F2256/E2256)*1000,""),"")</f>
        <v/>
      </c>
      <c r="H2256" s="139">
        <f>IFERROR(IF(E2256&gt;0,E2256*IF(ISNUMBER(J2256),J2256,IF(OR(C2256="Alpha",B2256="Alpha"),$C$7,IF(C2256="Futures",$C$6,$C$5))),""),"")</f>
        <v/>
      </c>
      <c r="I2256" s="139">
        <f>IFERROR(IF(AND(ISNUMBER(F2256),ISNUMBER(H2256)),F2256-H2256,""),"")</f>
        <v/>
      </c>
      <c r="J2256" s="114" t="n"/>
      <c r="K2256" s="139">
        <f>IFERROR(IF(H2256&gt;0,H2256*IF(OR(C2256="Alpha",B2256="Alpha"),$C$9,$C$8),""),"")</f>
        <v/>
      </c>
      <c r="L2256" s="139">
        <f>IFERROR(IF(ISNUMBER(F2256),F2256-IF(ISNUMBER(K2256),K2256,0),""),"")</f>
        <v/>
      </c>
    </row>
    <row r="2257" ht="24" customHeight="1" s="63">
      <c r="E2257" s="139" t="n"/>
      <c r="F2257" s="139" t="n"/>
      <c r="G2257" s="140">
        <f>IFERROR(IF(E2257&gt;0,(F2257/E2257)*1000,""),"")</f>
        <v/>
      </c>
      <c r="H2257" s="139">
        <f>IFERROR(IF(E2257&gt;0,E2257*IF(ISNUMBER(J2257),J2257,IF(OR(C2257="Alpha",B2257="Alpha"),$C$7,IF(C2257="Futures",$C$6,$C$5))),""),"")</f>
        <v/>
      </c>
      <c r="I2257" s="139">
        <f>IFERROR(IF(AND(ISNUMBER(F2257),ISNUMBER(H2257)),F2257-H2257,""),"")</f>
        <v/>
      </c>
      <c r="J2257" s="114" t="n"/>
      <c r="K2257" s="139">
        <f>IFERROR(IF(H2257&gt;0,H2257*IF(OR(C2257="Alpha",B2257="Alpha"),$C$9,$C$8),""),"")</f>
        <v/>
      </c>
      <c r="L2257" s="139">
        <f>IFERROR(IF(ISNUMBER(F2257),F2257-IF(ISNUMBER(K2257),K2257,0),""),"")</f>
        <v/>
      </c>
    </row>
    <row r="2258" ht="24" customHeight="1" s="63">
      <c r="E2258" s="139" t="n"/>
      <c r="F2258" s="139" t="n"/>
      <c r="G2258" s="140">
        <f>IFERROR(IF(E2258&gt;0,(F2258/E2258)*1000,""),"")</f>
        <v/>
      </c>
      <c r="H2258" s="139">
        <f>IFERROR(IF(E2258&gt;0,E2258*IF(ISNUMBER(J2258),J2258,IF(OR(C2258="Alpha",B2258="Alpha"),$C$7,IF(C2258="Futures",$C$6,$C$5))),""),"")</f>
        <v/>
      </c>
      <c r="I2258" s="139">
        <f>IFERROR(IF(AND(ISNUMBER(F2258),ISNUMBER(H2258)),F2258-H2258,""),"")</f>
        <v/>
      </c>
      <c r="J2258" s="114" t="n"/>
      <c r="K2258" s="139">
        <f>IFERROR(IF(H2258&gt;0,H2258*IF(OR(C2258="Alpha",B2258="Alpha"),$C$9,$C$8),""),"")</f>
        <v/>
      </c>
      <c r="L2258" s="139">
        <f>IFERROR(IF(ISNUMBER(F2258),F2258-IF(ISNUMBER(K2258),K2258,0),""),"")</f>
        <v/>
      </c>
    </row>
    <row r="2259" ht="24" customHeight="1" s="63">
      <c r="E2259" s="139" t="n"/>
      <c r="F2259" s="139" t="n"/>
      <c r="G2259" s="140">
        <f>IFERROR(IF(E2259&gt;0,(F2259/E2259)*1000,""),"")</f>
        <v/>
      </c>
      <c r="H2259" s="139">
        <f>IFERROR(IF(E2259&gt;0,E2259*IF(ISNUMBER(J2259),J2259,IF(OR(C2259="Alpha",B2259="Alpha"),$C$7,IF(C2259="Futures",$C$6,$C$5))),""),"")</f>
        <v/>
      </c>
      <c r="I2259" s="139">
        <f>IFERROR(IF(AND(ISNUMBER(F2259),ISNUMBER(H2259)),F2259-H2259,""),"")</f>
        <v/>
      </c>
      <c r="J2259" s="114" t="n"/>
      <c r="K2259" s="139">
        <f>IFERROR(IF(H2259&gt;0,H2259*IF(OR(C2259="Alpha",B2259="Alpha"),$C$9,$C$8),""),"")</f>
        <v/>
      </c>
      <c r="L2259" s="139">
        <f>IFERROR(IF(ISNUMBER(F2259),F2259-IF(ISNUMBER(K2259),K2259,0),""),"")</f>
        <v/>
      </c>
    </row>
    <row r="2260" ht="24" customHeight="1" s="63">
      <c r="E2260" s="139" t="n"/>
      <c r="F2260" s="139" t="n"/>
      <c r="G2260" s="140">
        <f>IFERROR(IF(E2260&gt;0,(F2260/E2260)*1000,""),"")</f>
        <v/>
      </c>
      <c r="H2260" s="139">
        <f>IFERROR(IF(E2260&gt;0,E2260*IF(ISNUMBER(J2260),J2260,IF(OR(C2260="Alpha",B2260="Alpha"),$C$7,IF(C2260="Futures",$C$6,$C$5))),""),"")</f>
        <v/>
      </c>
      <c r="I2260" s="139">
        <f>IFERROR(IF(AND(ISNUMBER(F2260),ISNUMBER(H2260)),F2260-H2260,""),"")</f>
        <v/>
      </c>
      <c r="J2260" s="114" t="n"/>
      <c r="K2260" s="139">
        <f>IFERROR(IF(H2260&gt;0,H2260*IF(OR(C2260="Alpha",B2260="Alpha"),$C$9,$C$8),""),"")</f>
        <v/>
      </c>
      <c r="L2260" s="139">
        <f>IFERROR(IF(ISNUMBER(F2260),F2260-IF(ISNUMBER(K2260),K2260,0),""),"")</f>
        <v/>
      </c>
    </row>
    <row r="2261" ht="24" customHeight="1" s="63">
      <c r="E2261" s="139" t="n"/>
      <c r="F2261" s="139" t="n"/>
      <c r="G2261" s="140">
        <f>IFERROR(IF(E2261&gt;0,(F2261/E2261)*1000,""),"")</f>
        <v/>
      </c>
      <c r="H2261" s="139">
        <f>IFERROR(IF(E2261&gt;0,E2261*IF(ISNUMBER(J2261),J2261,IF(OR(C2261="Alpha",B2261="Alpha"),$C$7,IF(C2261="Futures",$C$6,$C$5))),""),"")</f>
        <v/>
      </c>
      <c r="I2261" s="139">
        <f>IFERROR(IF(AND(ISNUMBER(F2261),ISNUMBER(H2261)),F2261-H2261,""),"")</f>
        <v/>
      </c>
      <c r="J2261" s="114" t="n"/>
      <c r="K2261" s="139">
        <f>IFERROR(IF(H2261&gt;0,H2261*IF(OR(C2261="Alpha",B2261="Alpha"),$C$9,$C$8),""),"")</f>
        <v/>
      </c>
      <c r="L2261" s="139">
        <f>IFERROR(IF(ISNUMBER(F2261),F2261-IF(ISNUMBER(K2261),K2261,0),""),"")</f>
        <v/>
      </c>
    </row>
    <row r="2262" ht="24" customHeight="1" s="63">
      <c r="E2262" s="139" t="n"/>
      <c r="F2262" s="139" t="n"/>
      <c r="G2262" s="140">
        <f>IFERROR(IF(E2262&gt;0,(F2262/E2262)*1000,""),"")</f>
        <v/>
      </c>
      <c r="H2262" s="139">
        <f>IFERROR(IF(E2262&gt;0,E2262*IF(ISNUMBER(J2262),J2262,IF(OR(C2262="Alpha",B2262="Alpha"),$C$7,IF(C2262="Futures",$C$6,$C$5))),""),"")</f>
        <v/>
      </c>
      <c r="I2262" s="139">
        <f>IFERROR(IF(AND(ISNUMBER(F2262),ISNUMBER(H2262)),F2262-H2262,""),"")</f>
        <v/>
      </c>
      <c r="J2262" s="114" t="n"/>
      <c r="K2262" s="139">
        <f>IFERROR(IF(H2262&gt;0,H2262*IF(OR(C2262="Alpha",B2262="Alpha"),$C$9,$C$8),""),"")</f>
        <v/>
      </c>
      <c r="L2262" s="139">
        <f>IFERROR(IF(ISNUMBER(F2262),F2262-IF(ISNUMBER(K2262),K2262,0),""),"")</f>
        <v/>
      </c>
    </row>
    <row r="2263" ht="24" customHeight="1" s="63">
      <c r="E2263" s="139" t="n"/>
      <c r="F2263" s="139" t="n"/>
      <c r="G2263" s="140">
        <f>IFERROR(IF(E2263&gt;0,(F2263/E2263)*1000,""),"")</f>
        <v/>
      </c>
      <c r="H2263" s="139">
        <f>IFERROR(IF(E2263&gt;0,E2263*IF(ISNUMBER(J2263),J2263,IF(OR(C2263="Alpha",B2263="Alpha"),$C$7,IF(C2263="Futures",$C$6,$C$5))),""),"")</f>
        <v/>
      </c>
      <c r="I2263" s="139">
        <f>IFERROR(IF(AND(ISNUMBER(F2263),ISNUMBER(H2263)),F2263-H2263,""),"")</f>
        <v/>
      </c>
      <c r="J2263" s="114" t="n"/>
      <c r="K2263" s="139">
        <f>IFERROR(IF(H2263&gt;0,H2263*IF(OR(C2263="Alpha",B2263="Alpha"),$C$9,$C$8),""),"")</f>
        <v/>
      </c>
      <c r="L2263" s="139">
        <f>IFERROR(IF(ISNUMBER(F2263),F2263-IF(ISNUMBER(K2263),K2263,0),""),"")</f>
        <v/>
      </c>
    </row>
    <row r="2264" ht="24" customHeight="1" s="63">
      <c r="E2264" s="139" t="n"/>
      <c r="F2264" s="139" t="n"/>
      <c r="G2264" s="140">
        <f>IFERROR(IF(E2264&gt;0,(F2264/E2264)*1000,""),"")</f>
        <v/>
      </c>
      <c r="H2264" s="139">
        <f>IFERROR(IF(E2264&gt;0,E2264*IF(ISNUMBER(J2264),J2264,IF(OR(C2264="Alpha",B2264="Alpha"),$C$7,IF(C2264="Futures",$C$6,$C$5))),""),"")</f>
        <v/>
      </c>
      <c r="I2264" s="139">
        <f>IFERROR(IF(AND(ISNUMBER(F2264),ISNUMBER(H2264)),F2264-H2264,""),"")</f>
        <v/>
      </c>
      <c r="J2264" s="114" t="n"/>
      <c r="K2264" s="139">
        <f>IFERROR(IF(H2264&gt;0,H2264*IF(OR(C2264="Alpha",B2264="Alpha"),$C$9,$C$8),""),"")</f>
        <v/>
      </c>
      <c r="L2264" s="139">
        <f>IFERROR(IF(ISNUMBER(F2264),F2264-IF(ISNUMBER(K2264),K2264,0),""),"")</f>
        <v/>
      </c>
    </row>
    <row r="2265" ht="24" customHeight="1" s="63">
      <c r="E2265" s="139" t="n"/>
      <c r="F2265" s="139" t="n"/>
      <c r="G2265" s="140">
        <f>IFERROR(IF(E2265&gt;0,(F2265/E2265)*1000,""),"")</f>
        <v/>
      </c>
      <c r="H2265" s="139">
        <f>IFERROR(IF(E2265&gt;0,E2265*IF(ISNUMBER(J2265),J2265,IF(OR(C2265="Alpha",B2265="Alpha"),$C$7,IF(C2265="Futures",$C$6,$C$5))),""),"")</f>
        <v/>
      </c>
      <c r="I2265" s="139">
        <f>IFERROR(IF(AND(ISNUMBER(F2265),ISNUMBER(H2265)),F2265-H2265,""),"")</f>
        <v/>
      </c>
      <c r="J2265" s="114" t="n"/>
      <c r="K2265" s="139">
        <f>IFERROR(IF(H2265&gt;0,H2265*IF(OR(C2265="Alpha",B2265="Alpha"),$C$9,$C$8),""),"")</f>
        <v/>
      </c>
      <c r="L2265" s="139">
        <f>IFERROR(IF(ISNUMBER(F2265),F2265-IF(ISNUMBER(K2265),K2265,0),""),"")</f>
        <v/>
      </c>
    </row>
    <row r="2266" ht="24" customHeight="1" s="63">
      <c r="E2266" s="139" t="n"/>
      <c r="F2266" s="139" t="n"/>
      <c r="G2266" s="140">
        <f>IFERROR(IF(E2266&gt;0,(F2266/E2266)*1000,""),"")</f>
        <v/>
      </c>
      <c r="H2266" s="139">
        <f>IFERROR(IF(E2266&gt;0,E2266*IF(ISNUMBER(J2266),J2266,IF(OR(C2266="Alpha",B2266="Alpha"),$C$7,IF(C2266="Futures",$C$6,$C$5))),""),"")</f>
        <v/>
      </c>
      <c r="I2266" s="139">
        <f>IFERROR(IF(AND(ISNUMBER(F2266),ISNUMBER(H2266)),F2266-H2266,""),"")</f>
        <v/>
      </c>
      <c r="J2266" s="114" t="n"/>
      <c r="K2266" s="139">
        <f>IFERROR(IF(H2266&gt;0,H2266*IF(OR(C2266="Alpha",B2266="Alpha"),$C$9,$C$8),""),"")</f>
        <v/>
      </c>
      <c r="L2266" s="139">
        <f>IFERROR(IF(ISNUMBER(F2266),F2266-IF(ISNUMBER(K2266),K2266,0),""),"")</f>
        <v/>
      </c>
    </row>
    <row r="2267" ht="24" customHeight="1" s="63">
      <c r="E2267" s="139" t="n"/>
      <c r="F2267" s="139" t="n"/>
      <c r="G2267" s="140">
        <f>IFERROR(IF(E2267&gt;0,(F2267/E2267)*1000,""),"")</f>
        <v/>
      </c>
      <c r="H2267" s="139">
        <f>IFERROR(IF(E2267&gt;0,E2267*IF(ISNUMBER(J2267),J2267,IF(OR(C2267="Alpha",B2267="Alpha"),$C$7,IF(C2267="Futures",$C$6,$C$5))),""),"")</f>
        <v/>
      </c>
      <c r="I2267" s="139">
        <f>IFERROR(IF(AND(ISNUMBER(F2267),ISNUMBER(H2267)),F2267-H2267,""),"")</f>
        <v/>
      </c>
      <c r="J2267" s="114" t="n"/>
      <c r="K2267" s="139">
        <f>IFERROR(IF(H2267&gt;0,H2267*IF(OR(C2267="Alpha",B2267="Alpha"),$C$9,$C$8),""),"")</f>
        <v/>
      </c>
      <c r="L2267" s="139">
        <f>IFERROR(IF(ISNUMBER(F2267),F2267-IF(ISNUMBER(K2267),K2267,0),""),"")</f>
        <v/>
      </c>
    </row>
    <row r="2268" ht="24" customHeight="1" s="63">
      <c r="E2268" s="139" t="n"/>
      <c r="F2268" s="139" t="n"/>
      <c r="G2268" s="140">
        <f>IFERROR(IF(E2268&gt;0,(F2268/E2268)*1000,""),"")</f>
        <v/>
      </c>
      <c r="H2268" s="139">
        <f>IFERROR(IF(E2268&gt;0,E2268*IF(ISNUMBER(J2268),J2268,IF(OR(C2268="Alpha",B2268="Alpha"),$C$7,IF(C2268="Futures",$C$6,$C$5))),""),"")</f>
        <v/>
      </c>
      <c r="I2268" s="139">
        <f>IFERROR(IF(AND(ISNUMBER(F2268),ISNUMBER(H2268)),F2268-H2268,""),"")</f>
        <v/>
      </c>
      <c r="J2268" s="114" t="n"/>
      <c r="K2268" s="139">
        <f>IFERROR(IF(H2268&gt;0,H2268*IF(OR(C2268="Alpha",B2268="Alpha"),$C$9,$C$8),""),"")</f>
        <v/>
      </c>
      <c r="L2268" s="139">
        <f>IFERROR(IF(ISNUMBER(F2268),F2268-IF(ISNUMBER(K2268),K2268,0),""),"")</f>
        <v/>
      </c>
    </row>
    <row r="2269" ht="24" customHeight="1" s="63">
      <c r="E2269" s="139" t="n"/>
      <c r="F2269" s="139" t="n"/>
      <c r="G2269" s="140">
        <f>IFERROR(IF(E2269&gt;0,(F2269/E2269)*1000,""),"")</f>
        <v/>
      </c>
      <c r="H2269" s="139">
        <f>IFERROR(IF(E2269&gt;0,E2269*IF(ISNUMBER(J2269),J2269,IF(OR(C2269="Alpha",B2269="Alpha"),$C$7,IF(C2269="Futures",$C$6,$C$5))),""),"")</f>
        <v/>
      </c>
      <c r="I2269" s="139">
        <f>IFERROR(IF(AND(ISNUMBER(F2269),ISNUMBER(H2269)),F2269-H2269,""),"")</f>
        <v/>
      </c>
      <c r="J2269" s="114" t="n"/>
      <c r="K2269" s="139">
        <f>IFERROR(IF(H2269&gt;0,H2269*IF(OR(C2269="Alpha",B2269="Alpha"),$C$9,$C$8),""),"")</f>
        <v/>
      </c>
      <c r="L2269" s="139">
        <f>IFERROR(IF(ISNUMBER(F2269),F2269-IF(ISNUMBER(K2269),K2269,0),""),"")</f>
        <v/>
      </c>
    </row>
    <row r="2270" ht="24" customHeight="1" s="63">
      <c r="E2270" s="139" t="n"/>
      <c r="F2270" s="139" t="n"/>
      <c r="G2270" s="140">
        <f>IFERROR(IF(E2270&gt;0,(F2270/E2270)*1000,""),"")</f>
        <v/>
      </c>
      <c r="H2270" s="139">
        <f>IFERROR(IF(E2270&gt;0,E2270*IF(ISNUMBER(J2270),J2270,IF(OR(C2270="Alpha",B2270="Alpha"),$C$7,IF(C2270="Futures",$C$6,$C$5))),""),"")</f>
        <v/>
      </c>
      <c r="I2270" s="139">
        <f>IFERROR(IF(AND(ISNUMBER(F2270),ISNUMBER(H2270)),F2270-H2270,""),"")</f>
        <v/>
      </c>
      <c r="J2270" s="114" t="n"/>
      <c r="K2270" s="139">
        <f>IFERROR(IF(H2270&gt;0,H2270*IF(OR(C2270="Alpha",B2270="Alpha"),$C$9,$C$8),""),"")</f>
        <v/>
      </c>
      <c r="L2270" s="139">
        <f>IFERROR(IF(ISNUMBER(F2270),F2270-IF(ISNUMBER(K2270),K2270,0),""),"")</f>
        <v/>
      </c>
    </row>
    <row r="2271" ht="24" customHeight="1" s="63">
      <c r="E2271" s="139" t="n"/>
      <c r="F2271" s="139" t="n"/>
      <c r="G2271" s="140">
        <f>IFERROR(IF(E2271&gt;0,(F2271/E2271)*1000,""),"")</f>
        <v/>
      </c>
      <c r="H2271" s="139">
        <f>IFERROR(IF(E2271&gt;0,E2271*IF(ISNUMBER(J2271),J2271,IF(OR(C2271="Alpha",B2271="Alpha"),$C$7,IF(C2271="Futures",$C$6,$C$5))),""),"")</f>
        <v/>
      </c>
      <c r="I2271" s="139">
        <f>IFERROR(IF(AND(ISNUMBER(F2271),ISNUMBER(H2271)),F2271-H2271,""),"")</f>
        <v/>
      </c>
      <c r="J2271" s="114" t="n"/>
      <c r="K2271" s="139">
        <f>IFERROR(IF(H2271&gt;0,H2271*IF(OR(C2271="Alpha",B2271="Alpha"),$C$9,$C$8),""),"")</f>
        <v/>
      </c>
      <c r="L2271" s="139">
        <f>IFERROR(IF(ISNUMBER(F2271),F2271-IF(ISNUMBER(K2271),K2271,0),""),"")</f>
        <v/>
      </c>
    </row>
    <row r="2272" ht="24" customHeight="1" s="63">
      <c r="E2272" s="139" t="n"/>
      <c r="F2272" s="139" t="n"/>
      <c r="G2272" s="140">
        <f>IFERROR(IF(E2272&gt;0,(F2272/E2272)*1000,""),"")</f>
        <v/>
      </c>
      <c r="H2272" s="139">
        <f>IFERROR(IF(E2272&gt;0,E2272*IF(ISNUMBER(J2272),J2272,IF(OR(C2272="Alpha",B2272="Alpha"),$C$7,IF(C2272="Futures",$C$6,$C$5))),""),"")</f>
        <v/>
      </c>
      <c r="I2272" s="139">
        <f>IFERROR(IF(AND(ISNUMBER(F2272),ISNUMBER(H2272)),F2272-H2272,""),"")</f>
        <v/>
      </c>
      <c r="J2272" s="114" t="n"/>
      <c r="K2272" s="139">
        <f>IFERROR(IF(H2272&gt;0,H2272*IF(OR(C2272="Alpha",B2272="Alpha"),$C$9,$C$8),""),"")</f>
        <v/>
      </c>
      <c r="L2272" s="139">
        <f>IFERROR(IF(ISNUMBER(F2272),F2272-IF(ISNUMBER(K2272),K2272,0),""),"")</f>
        <v/>
      </c>
    </row>
    <row r="2273" ht="24" customHeight="1" s="63">
      <c r="E2273" s="139" t="n"/>
      <c r="F2273" s="139" t="n"/>
      <c r="G2273" s="140">
        <f>IFERROR(IF(E2273&gt;0,(F2273/E2273)*1000,""),"")</f>
        <v/>
      </c>
      <c r="H2273" s="139">
        <f>IFERROR(IF(E2273&gt;0,E2273*IF(ISNUMBER(J2273),J2273,IF(OR(C2273="Alpha",B2273="Alpha"),$C$7,IF(C2273="Futures",$C$6,$C$5))),""),"")</f>
        <v/>
      </c>
      <c r="I2273" s="139">
        <f>IFERROR(IF(AND(ISNUMBER(F2273),ISNUMBER(H2273)),F2273-H2273,""),"")</f>
        <v/>
      </c>
      <c r="J2273" s="114" t="n"/>
      <c r="K2273" s="139">
        <f>IFERROR(IF(H2273&gt;0,H2273*IF(OR(C2273="Alpha",B2273="Alpha"),$C$9,$C$8),""),"")</f>
        <v/>
      </c>
      <c r="L2273" s="139">
        <f>IFERROR(IF(ISNUMBER(F2273),F2273-IF(ISNUMBER(K2273),K2273,0),""),"")</f>
        <v/>
      </c>
    </row>
    <row r="2274" ht="24" customHeight="1" s="63">
      <c r="E2274" s="139" t="n"/>
      <c r="F2274" s="139" t="n"/>
      <c r="G2274" s="140">
        <f>IFERROR(IF(E2274&gt;0,(F2274/E2274)*1000,""),"")</f>
        <v/>
      </c>
      <c r="H2274" s="139">
        <f>IFERROR(IF(E2274&gt;0,E2274*IF(ISNUMBER(J2274),J2274,IF(OR(C2274="Alpha",B2274="Alpha"),$C$7,IF(C2274="Futures",$C$6,$C$5))),""),"")</f>
        <v/>
      </c>
      <c r="I2274" s="139">
        <f>IFERROR(IF(AND(ISNUMBER(F2274),ISNUMBER(H2274)),F2274-H2274,""),"")</f>
        <v/>
      </c>
      <c r="J2274" s="114" t="n"/>
      <c r="K2274" s="139">
        <f>IFERROR(IF(H2274&gt;0,H2274*IF(OR(C2274="Alpha",B2274="Alpha"),$C$9,$C$8),""),"")</f>
        <v/>
      </c>
      <c r="L2274" s="139">
        <f>IFERROR(IF(ISNUMBER(F2274),F2274-IF(ISNUMBER(K2274),K2274,0),""),"")</f>
        <v/>
      </c>
    </row>
    <row r="2275" ht="24" customHeight="1" s="63">
      <c r="E2275" s="139" t="n"/>
      <c r="F2275" s="139" t="n"/>
      <c r="G2275" s="140">
        <f>IFERROR(IF(E2275&gt;0,(F2275/E2275)*1000,""),"")</f>
        <v/>
      </c>
      <c r="H2275" s="139">
        <f>IFERROR(IF(E2275&gt;0,E2275*IF(ISNUMBER(J2275),J2275,IF(OR(C2275="Alpha",B2275="Alpha"),$C$7,IF(C2275="Futures",$C$6,$C$5))),""),"")</f>
        <v/>
      </c>
      <c r="I2275" s="139">
        <f>IFERROR(IF(AND(ISNUMBER(F2275),ISNUMBER(H2275)),F2275-H2275,""),"")</f>
        <v/>
      </c>
      <c r="J2275" s="114" t="n"/>
      <c r="K2275" s="139">
        <f>IFERROR(IF(H2275&gt;0,H2275*IF(OR(C2275="Alpha",B2275="Alpha"),$C$9,$C$8),""),"")</f>
        <v/>
      </c>
      <c r="L2275" s="139">
        <f>IFERROR(IF(ISNUMBER(F2275),F2275-IF(ISNUMBER(K2275),K2275,0),""),"")</f>
        <v/>
      </c>
    </row>
    <row r="2276" ht="24" customHeight="1" s="63">
      <c r="E2276" s="139" t="n"/>
      <c r="F2276" s="139" t="n"/>
      <c r="G2276" s="140">
        <f>IFERROR(IF(E2276&gt;0,(F2276/E2276)*1000,""),"")</f>
        <v/>
      </c>
      <c r="H2276" s="139">
        <f>IFERROR(IF(E2276&gt;0,E2276*IF(ISNUMBER(J2276),J2276,IF(OR(C2276="Alpha",B2276="Alpha"),$C$7,IF(C2276="Futures",$C$6,$C$5))),""),"")</f>
        <v/>
      </c>
      <c r="I2276" s="139">
        <f>IFERROR(IF(AND(ISNUMBER(F2276),ISNUMBER(H2276)),F2276-H2276,""),"")</f>
        <v/>
      </c>
      <c r="J2276" s="114" t="n"/>
      <c r="K2276" s="139">
        <f>IFERROR(IF(H2276&gt;0,H2276*IF(OR(C2276="Alpha",B2276="Alpha"),$C$9,$C$8),""),"")</f>
        <v/>
      </c>
      <c r="L2276" s="139">
        <f>IFERROR(IF(ISNUMBER(F2276),F2276-IF(ISNUMBER(K2276),K2276,0),""),"")</f>
        <v/>
      </c>
    </row>
    <row r="2277" ht="24" customHeight="1" s="63">
      <c r="E2277" s="139" t="n"/>
      <c r="F2277" s="139" t="n"/>
      <c r="G2277" s="140">
        <f>IFERROR(IF(E2277&gt;0,(F2277/E2277)*1000,""),"")</f>
        <v/>
      </c>
      <c r="H2277" s="139">
        <f>IFERROR(IF(E2277&gt;0,E2277*IF(ISNUMBER(J2277),J2277,IF(OR(C2277="Alpha",B2277="Alpha"),$C$7,IF(C2277="Futures",$C$6,$C$5))),""),"")</f>
        <v/>
      </c>
      <c r="I2277" s="139">
        <f>IFERROR(IF(AND(ISNUMBER(F2277),ISNUMBER(H2277)),F2277-H2277,""),"")</f>
        <v/>
      </c>
      <c r="J2277" s="114" t="n"/>
      <c r="K2277" s="139">
        <f>IFERROR(IF(H2277&gt;0,H2277*IF(OR(C2277="Alpha",B2277="Alpha"),$C$9,$C$8),""),"")</f>
        <v/>
      </c>
      <c r="L2277" s="139">
        <f>IFERROR(IF(ISNUMBER(F2277),F2277-IF(ISNUMBER(K2277),K2277,0),""),"")</f>
        <v/>
      </c>
    </row>
    <row r="2278" ht="24" customHeight="1" s="63">
      <c r="E2278" s="139" t="n"/>
      <c r="F2278" s="139" t="n"/>
      <c r="G2278" s="140">
        <f>IFERROR(IF(E2278&gt;0,(F2278/E2278)*1000,""),"")</f>
        <v/>
      </c>
      <c r="H2278" s="139">
        <f>IFERROR(IF(E2278&gt;0,E2278*IF(ISNUMBER(J2278),J2278,IF(OR(C2278="Alpha",B2278="Alpha"),$C$7,IF(C2278="Futures",$C$6,$C$5))),""),"")</f>
        <v/>
      </c>
      <c r="I2278" s="139">
        <f>IFERROR(IF(AND(ISNUMBER(F2278),ISNUMBER(H2278)),F2278-H2278,""),"")</f>
        <v/>
      </c>
      <c r="J2278" s="114" t="n"/>
      <c r="K2278" s="139">
        <f>IFERROR(IF(H2278&gt;0,H2278*IF(OR(C2278="Alpha",B2278="Alpha"),$C$9,$C$8),""),"")</f>
        <v/>
      </c>
      <c r="L2278" s="139">
        <f>IFERROR(IF(ISNUMBER(F2278),F2278-IF(ISNUMBER(K2278),K2278,0),""),"")</f>
        <v/>
      </c>
    </row>
    <row r="2279" ht="24" customHeight="1" s="63">
      <c r="E2279" s="139" t="n"/>
      <c r="F2279" s="139" t="n"/>
      <c r="G2279" s="140">
        <f>IFERROR(IF(E2279&gt;0,(F2279/E2279)*1000,""),"")</f>
        <v/>
      </c>
      <c r="H2279" s="139">
        <f>IFERROR(IF(E2279&gt;0,E2279*IF(ISNUMBER(J2279),J2279,IF(OR(C2279="Alpha",B2279="Alpha"),$C$7,IF(C2279="Futures",$C$6,$C$5))),""),"")</f>
        <v/>
      </c>
      <c r="I2279" s="139">
        <f>IFERROR(IF(AND(ISNUMBER(F2279),ISNUMBER(H2279)),F2279-H2279,""),"")</f>
        <v/>
      </c>
      <c r="J2279" s="114" t="n"/>
      <c r="K2279" s="139">
        <f>IFERROR(IF(H2279&gt;0,H2279*IF(OR(C2279="Alpha",B2279="Alpha"),$C$9,$C$8),""),"")</f>
        <v/>
      </c>
      <c r="L2279" s="139">
        <f>IFERROR(IF(ISNUMBER(F2279),F2279-IF(ISNUMBER(K2279),K2279,0),""),"")</f>
        <v/>
      </c>
    </row>
    <row r="2280" ht="24" customHeight="1" s="63">
      <c r="E2280" s="139" t="n"/>
      <c r="F2280" s="139" t="n"/>
      <c r="G2280" s="140">
        <f>IFERROR(IF(E2280&gt;0,(F2280/E2280)*1000,""),"")</f>
        <v/>
      </c>
      <c r="H2280" s="139">
        <f>IFERROR(IF(E2280&gt;0,E2280*IF(ISNUMBER(J2280),J2280,IF(OR(C2280="Alpha",B2280="Alpha"),$C$7,IF(C2280="Futures",$C$6,$C$5))),""),"")</f>
        <v/>
      </c>
      <c r="I2280" s="139">
        <f>IFERROR(IF(AND(ISNUMBER(F2280),ISNUMBER(H2280)),F2280-H2280,""),"")</f>
        <v/>
      </c>
      <c r="J2280" s="114" t="n"/>
      <c r="K2280" s="139">
        <f>IFERROR(IF(H2280&gt;0,H2280*IF(OR(C2280="Alpha",B2280="Alpha"),$C$9,$C$8),""),"")</f>
        <v/>
      </c>
      <c r="L2280" s="139">
        <f>IFERROR(IF(ISNUMBER(F2280),F2280-IF(ISNUMBER(K2280),K2280,0),""),"")</f>
        <v/>
      </c>
    </row>
    <row r="2281" ht="24" customHeight="1" s="63">
      <c r="E2281" s="139" t="n"/>
      <c r="F2281" s="139" t="n"/>
      <c r="G2281" s="140">
        <f>IFERROR(IF(E2281&gt;0,(F2281/E2281)*1000,""),"")</f>
        <v/>
      </c>
      <c r="H2281" s="139">
        <f>IFERROR(IF(E2281&gt;0,E2281*IF(ISNUMBER(J2281),J2281,IF(OR(C2281="Alpha",B2281="Alpha"),$C$7,IF(C2281="Futures",$C$6,$C$5))),""),"")</f>
        <v/>
      </c>
      <c r="I2281" s="139">
        <f>IFERROR(IF(AND(ISNUMBER(F2281),ISNUMBER(H2281)),F2281-H2281,""),"")</f>
        <v/>
      </c>
      <c r="J2281" s="114" t="n"/>
      <c r="K2281" s="139">
        <f>IFERROR(IF(H2281&gt;0,H2281*IF(OR(C2281="Alpha",B2281="Alpha"),$C$9,$C$8),""),"")</f>
        <v/>
      </c>
      <c r="L2281" s="139">
        <f>IFERROR(IF(ISNUMBER(F2281),F2281-IF(ISNUMBER(K2281),K2281,0),""),"")</f>
        <v/>
      </c>
    </row>
    <row r="2282" ht="24" customHeight="1" s="63">
      <c r="E2282" s="139" t="n"/>
      <c r="F2282" s="139" t="n"/>
      <c r="G2282" s="140">
        <f>IFERROR(IF(E2282&gt;0,(F2282/E2282)*1000,""),"")</f>
        <v/>
      </c>
      <c r="H2282" s="139">
        <f>IFERROR(IF(E2282&gt;0,E2282*IF(ISNUMBER(J2282),J2282,IF(OR(C2282="Alpha",B2282="Alpha"),$C$7,IF(C2282="Futures",$C$6,$C$5))),""),"")</f>
        <v/>
      </c>
      <c r="I2282" s="139">
        <f>IFERROR(IF(AND(ISNUMBER(F2282),ISNUMBER(H2282)),F2282-H2282,""),"")</f>
        <v/>
      </c>
      <c r="J2282" s="114" t="n"/>
      <c r="K2282" s="139">
        <f>IFERROR(IF(H2282&gt;0,H2282*IF(OR(C2282="Alpha",B2282="Alpha"),$C$9,$C$8),""),"")</f>
        <v/>
      </c>
      <c r="L2282" s="139">
        <f>IFERROR(IF(ISNUMBER(F2282),F2282-IF(ISNUMBER(K2282),K2282,0),""),"")</f>
        <v/>
      </c>
    </row>
    <row r="2283" ht="24" customHeight="1" s="63">
      <c r="E2283" s="139" t="n"/>
      <c r="F2283" s="139" t="n"/>
      <c r="G2283" s="140">
        <f>IFERROR(IF(E2283&gt;0,(F2283/E2283)*1000,""),"")</f>
        <v/>
      </c>
      <c r="H2283" s="139">
        <f>IFERROR(IF(E2283&gt;0,E2283*IF(ISNUMBER(J2283),J2283,IF(OR(C2283="Alpha",B2283="Alpha"),$C$7,IF(C2283="Futures",$C$6,$C$5))),""),"")</f>
        <v/>
      </c>
      <c r="I2283" s="139">
        <f>IFERROR(IF(AND(ISNUMBER(F2283),ISNUMBER(H2283)),F2283-H2283,""),"")</f>
        <v/>
      </c>
      <c r="J2283" s="114" t="n"/>
      <c r="K2283" s="139">
        <f>IFERROR(IF(H2283&gt;0,H2283*IF(OR(C2283="Alpha",B2283="Alpha"),$C$9,$C$8),""),"")</f>
        <v/>
      </c>
      <c r="L2283" s="139">
        <f>IFERROR(IF(ISNUMBER(F2283),F2283-IF(ISNUMBER(K2283),K2283,0),""),"")</f>
        <v/>
      </c>
    </row>
    <row r="2284" ht="24" customHeight="1" s="63">
      <c r="E2284" s="139" t="n"/>
      <c r="F2284" s="139" t="n"/>
      <c r="G2284" s="140">
        <f>IFERROR(IF(E2284&gt;0,(F2284/E2284)*1000,""),"")</f>
        <v/>
      </c>
      <c r="H2284" s="139">
        <f>IFERROR(IF(E2284&gt;0,E2284*IF(ISNUMBER(J2284),J2284,IF(OR(C2284="Alpha",B2284="Alpha"),$C$7,IF(C2284="Futures",$C$6,$C$5))),""),"")</f>
        <v/>
      </c>
      <c r="I2284" s="139">
        <f>IFERROR(IF(AND(ISNUMBER(F2284),ISNUMBER(H2284)),F2284-H2284,""),"")</f>
        <v/>
      </c>
      <c r="J2284" s="114" t="n"/>
      <c r="K2284" s="139">
        <f>IFERROR(IF(H2284&gt;0,H2284*IF(OR(C2284="Alpha",B2284="Alpha"),$C$9,$C$8),""),"")</f>
        <v/>
      </c>
      <c r="L2284" s="139">
        <f>IFERROR(IF(ISNUMBER(F2284),F2284-IF(ISNUMBER(K2284),K2284,0),""),"")</f>
        <v/>
      </c>
    </row>
    <row r="2285" ht="24" customHeight="1" s="63">
      <c r="E2285" s="139" t="n"/>
      <c r="F2285" s="139" t="n"/>
      <c r="G2285" s="140">
        <f>IFERROR(IF(E2285&gt;0,(F2285/E2285)*1000,""),"")</f>
        <v/>
      </c>
      <c r="H2285" s="139">
        <f>IFERROR(IF(E2285&gt;0,E2285*IF(ISNUMBER(J2285),J2285,IF(OR(C2285="Alpha",B2285="Alpha"),$C$7,IF(C2285="Futures",$C$6,$C$5))),""),"")</f>
        <v/>
      </c>
      <c r="I2285" s="139">
        <f>IFERROR(IF(AND(ISNUMBER(F2285),ISNUMBER(H2285)),F2285-H2285,""),"")</f>
        <v/>
      </c>
      <c r="J2285" s="114" t="n"/>
      <c r="K2285" s="139">
        <f>IFERROR(IF(H2285&gt;0,H2285*IF(OR(C2285="Alpha",B2285="Alpha"),$C$9,$C$8),""),"")</f>
        <v/>
      </c>
      <c r="L2285" s="139">
        <f>IFERROR(IF(ISNUMBER(F2285),F2285-IF(ISNUMBER(K2285),K2285,0),""),"")</f>
        <v/>
      </c>
    </row>
    <row r="2286" ht="24" customHeight="1" s="63">
      <c r="E2286" s="139" t="n"/>
      <c r="F2286" s="139" t="n"/>
      <c r="G2286" s="140">
        <f>IFERROR(IF(E2286&gt;0,(F2286/E2286)*1000,""),"")</f>
        <v/>
      </c>
      <c r="H2286" s="139">
        <f>IFERROR(IF(E2286&gt;0,E2286*IF(ISNUMBER(J2286),J2286,IF(OR(C2286="Alpha",B2286="Alpha"),$C$7,IF(C2286="Futures",$C$6,$C$5))),""),"")</f>
        <v/>
      </c>
      <c r="I2286" s="139">
        <f>IFERROR(IF(AND(ISNUMBER(F2286),ISNUMBER(H2286)),F2286-H2286,""),"")</f>
        <v/>
      </c>
      <c r="J2286" s="114" t="n"/>
      <c r="K2286" s="139">
        <f>IFERROR(IF(H2286&gt;0,H2286*IF(OR(C2286="Alpha",B2286="Alpha"),$C$9,$C$8),""),"")</f>
        <v/>
      </c>
      <c r="L2286" s="139">
        <f>IFERROR(IF(ISNUMBER(F2286),F2286-IF(ISNUMBER(K2286),K2286,0),""),"")</f>
        <v/>
      </c>
    </row>
    <row r="2287" ht="24" customHeight="1" s="63">
      <c r="E2287" s="139" t="n"/>
      <c r="F2287" s="139" t="n"/>
      <c r="G2287" s="140">
        <f>IFERROR(IF(E2287&gt;0,(F2287/E2287)*1000,""),"")</f>
        <v/>
      </c>
      <c r="H2287" s="139">
        <f>IFERROR(IF(E2287&gt;0,E2287*IF(ISNUMBER(J2287),J2287,IF(OR(C2287="Alpha",B2287="Alpha"),$C$7,IF(C2287="Futures",$C$6,$C$5))),""),"")</f>
        <v/>
      </c>
      <c r="I2287" s="139">
        <f>IFERROR(IF(AND(ISNUMBER(F2287),ISNUMBER(H2287)),F2287-H2287,""),"")</f>
        <v/>
      </c>
      <c r="J2287" s="114" t="n"/>
      <c r="K2287" s="139">
        <f>IFERROR(IF(H2287&gt;0,H2287*IF(OR(C2287="Alpha",B2287="Alpha"),$C$9,$C$8),""),"")</f>
        <v/>
      </c>
      <c r="L2287" s="139">
        <f>IFERROR(IF(ISNUMBER(F2287),F2287-IF(ISNUMBER(K2287),K2287,0),""),"")</f>
        <v/>
      </c>
    </row>
    <row r="2288" ht="24" customHeight="1" s="63">
      <c r="E2288" s="139" t="n"/>
      <c r="F2288" s="139" t="n"/>
      <c r="G2288" s="140">
        <f>IFERROR(IF(E2288&gt;0,(F2288/E2288)*1000,""),"")</f>
        <v/>
      </c>
      <c r="H2288" s="139">
        <f>IFERROR(IF(E2288&gt;0,E2288*IF(ISNUMBER(J2288),J2288,IF(OR(C2288="Alpha",B2288="Alpha"),$C$7,IF(C2288="Futures",$C$6,$C$5))),""),"")</f>
        <v/>
      </c>
      <c r="I2288" s="139">
        <f>IFERROR(IF(AND(ISNUMBER(F2288),ISNUMBER(H2288)),F2288-H2288,""),"")</f>
        <v/>
      </c>
      <c r="J2288" s="114" t="n"/>
      <c r="K2288" s="139">
        <f>IFERROR(IF(H2288&gt;0,H2288*IF(OR(C2288="Alpha",B2288="Alpha"),$C$9,$C$8),""),"")</f>
        <v/>
      </c>
      <c r="L2288" s="139">
        <f>IFERROR(IF(ISNUMBER(F2288),F2288-IF(ISNUMBER(K2288),K2288,0),""),"")</f>
        <v/>
      </c>
    </row>
    <row r="2289" ht="24" customHeight="1" s="63">
      <c r="E2289" s="139" t="n"/>
      <c r="F2289" s="139" t="n"/>
      <c r="G2289" s="140">
        <f>IFERROR(IF(E2289&gt;0,(F2289/E2289)*1000,""),"")</f>
        <v/>
      </c>
      <c r="H2289" s="139">
        <f>IFERROR(IF(E2289&gt;0,E2289*IF(ISNUMBER(J2289),J2289,IF(OR(C2289="Alpha",B2289="Alpha"),$C$7,IF(C2289="Futures",$C$6,$C$5))),""),"")</f>
        <v/>
      </c>
      <c r="I2289" s="139">
        <f>IFERROR(IF(AND(ISNUMBER(F2289),ISNUMBER(H2289)),F2289-H2289,""),"")</f>
        <v/>
      </c>
      <c r="J2289" s="114" t="n"/>
      <c r="K2289" s="139">
        <f>IFERROR(IF(H2289&gt;0,H2289*IF(OR(C2289="Alpha",B2289="Alpha"),$C$9,$C$8),""),"")</f>
        <v/>
      </c>
      <c r="L2289" s="139">
        <f>IFERROR(IF(ISNUMBER(F2289),F2289-IF(ISNUMBER(K2289),K2289,0),""),"")</f>
        <v/>
      </c>
    </row>
    <row r="2290" ht="24" customHeight="1" s="63">
      <c r="E2290" s="139" t="n"/>
      <c r="F2290" s="139" t="n"/>
      <c r="G2290" s="140">
        <f>IFERROR(IF(E2290&gt;0,(F2290/E2290)*1000,""),"")</f>
        <v/>
      </c>
      <c r="H2290" s="139">
        <f>IFERROR(IF(E2290&gt;0,E2290*IF(ISNUMBER(J2290),J2290,IF(OR(C2290="Alpha",B2290="Alpha"),$C$7,IF(C2290="Futures",$C$6,$C$5))),""),"")</f>
        <v/>
      </c>
      <c r="I2290" s="139">
        <f>IFERROR(IF(AND(ISNUMBER(F2290),ISNUMBER(H2290)),F2290-H2290,""),"")</f>
        <v/>
      </c>
      <c r="J2290" s="114" t="n"/>
      <c r="K2290" s="139">
        <f>IFERROR(IF(H2290&gt;0,H2290*IF(OR(C2290="Alpha",B2290="Alpha"),$C$9,$C$8),""),"")</f>
        <v/>
      </c>
      <c r="L2290" s="139">
        <f>IFERROR(IF(ISNUMBER(F2290),F2290-IF(ISNUMBER(K2290),K2290,0),""),"")</f>
        <v/>
      </c>
    </row>
    <row r="2291" ht="24" customHeight="1" s="63">
      <c r="E2291" s="139" t="n"/>
      <c r="F2291" s="139" t="n"/>
      <c r="G2291" s="140">
        <f>IFERROR(IF(E2291&gt;0,(F2291/E2291)*1000,""),"")</f>
        <v/>
      </c>
      <c r="H2291" s="139">
        <f>IFERROR(IF(E2291&gt;0,E2291*IF(ISNUMBER(J2291),J2291,IF(OR(C2291="Alpha",B2291="Alpha"),$C$7,IF(C2291="Futures",$C$6,$C$5))),""),"")</f>
        <v/>
      </c>
      <c r="I2291" s="139">
        <f>IFERROR(IF(AND(ISNUMBER(F2291),ISNUMBER(H2291)),F2291-H2291,""),"")</f>
        <v/>
      </c>
      <c r="J2291" s="114" t="n"/>
      <c r="K2291" s="139">
        <f>IFERROR(IF(H2291&gt;0,H2291*IF(OR(C2291="Alpha",B2291="Alpha"),$C$9,$C$8),""),"")</f>
        <v/>
      </c>
      <c r="L2291" s="139">
        <f>IFERROR(IF(ISNUMBER(F2291),F2291-IF(ISNUMBER(K2291),K2291,0),""),"")</f>
        <v/>
      </c>
    </row>
    <row r="2292" ht="24" customHeight="1" s="63">
      <c r="E2292" s="139" t="n"/>
      <c r="F2292" s="139" t="n"/>
      <c r="G2292" s="140">
        <f>IFERROR(IF(E2292&gt;0,(F2292/E2292)*1000,""),"")</f>
        <v/>
      </c>
      <c r="H2292" s="139">
        <f>IFERROR(IF(E2292&gt;0,E2292*IF(ISNUMBER(J2292),J2292,IF(OR(C2292="Alpha",B2292="Alpha"),$C$7,IF(C2292="Futures",$C$6,$C$5))),""),"")</f>
        <v/>
      </c>
      <c r="I2292" s="139">
        <f>IFERROR(IF(AND(ISNUMBER(F2292),ISNUMBER(H2292)),F2292-H2292,""),"")</f>
        <v/>
      </c>
      <c r="J2292" s="114" t="n"/>
      <c r="K2292" s="139">
        <f>IFERROR(IF(H2292&gt;0,H2292*IF(OR(C2292="Alpha",B2292="Alpha"),$C$9,$C$8),""),"")</f>
        <v/>
      </c>
      <c r="L2292" s="139">
        <f>IFERROR(IF(ISNUMBER(F2292),F2292-IF(ISNUMBER(K2292),K2292,0),""),"")</f>
        <v/>
      </c>
    </row>
    <row r="2293" ht="24" customHeight="1" s="63">
      <c r="E2293" s="139" t="n"/>
      <c r="F2293" s="139" t="n"/>
      <c r="G2293" s="140">
        <f>IFERROR(IF(E2293&gt;0,(F2293/E2293)*1000,""),"")</f>
        <v/>
      </c>
      <c r="H2293" s="139">
        <f>IFERROR(IF(E2293&gt;0,E2293*IF(ISNUMBER(J2293),J2293,IF(OR(C2293="Alpha",B2293="Alpha"),$C$7,IF(C2293="Futures",$C$6,$C$5))),""),"")</f>
        <v/>
      </c>
      <c r="I2293" s="139">
        <f>IFERROR(IF(AND(ISNUMBER(F2293),ISNUMBER(H2293)),F2293-H2293,""),"")</f>
        <v/>
      </c>
      <c r="J2293" s="114" t="n"/>
      <c r="K2293" s="139">
        <f>IFERROR(IF(H2293&gt;0,H2293*IF(OR(C2293="Alpha",B2293="Alpha"),$C$9,$C$8),""),"")</f>
        <v/>
      </c>
      <c r="L2293" s="139">
        <f>IFERROR(IF(ISNUMBER(F2293),F2293-IF(ISNUMBER(K2293),K2293,0),""),"")</f>
        <v/>
      </c>
    </row>
    <row r="2294" ht="24" customHeight="1" s="63">
      <c r="E2294" s="139" t="n"/>
      <c r="F2294" s="139" t="n"/>
      <c r="G2294" s="140">
        <f>IFERROR(IF(E2294&gt;0,(F2294/E2294)*1000,""),"")</f>
        <v/>
      </c>
      <c r="H2294" s="139">
        <f>IFERROR(IF(E2294&gt;0,E2294*IF(ISNUMBER(J2294),J2294,IF(OR(C2294="Alpha",B2294="Alpha"),$C$7,IF(C2294="Futures",$C$6,$C$5))),""),"")</f>
        <v/>
      </c>
      <c r="I2294" s="139">
        <f>IFERROR(IF(AND(ISNUMBER(F2294),ISNUMBER(H2294)),F2294-H2294,""),"")</f>
        <v/>
      </c>
      <c r="J2294" s="114" t="n"/>
      <c r="K2294" s="139">
        <f>IFERROR(IF(H2294&gt;0,H2294*IF(OR(C2294="Alpha",B2294="Alpha"),$C$9,$C$8),""),"")</f>
        <v/>
      </c>
      <c r="L2294" s="139">
        <f>IFERROR(IF(ISNUMBER(F2294),F2294-IF(ISNUMBER(K2294),K2294,0),""),"")</f>
        <v/>
      </c>
    </row>
    <row r="2295" ht="24" customHeight="1" s="63">
      <c r="E2295" s="139" t="n"/>
      <c r="F2295" s="139" t="n"/>
      <c r="G2295" s="140">
        <f>IFERROR(IF(E2295&gt;0,(F2295/E2295)*1000,""),"")</f>
        <v/>
      </c>
      <c r="H2295" s="139">
        <f>IFERROR(IF(E2295&gt;0,E2295*IF(ISNUMBER(J2295),J2295,IF(OR(C2295="Alpha",B2295="Alpha"),$C$7,IF(C2295="Futures",$C$6,$C$5))),""),"")</f>
        <v/>
      </c>
      <c r="I2295" s="139">
        <f>IFERROR(IF(AND(ISNUMBER(F2295),ISNUMBER(H2295)),F2295-H2295,""),"")</f>
        <v/>
      </c>
      <c r="J2295" s="114" t="n"/>
      <c r="K2295" s="139">
        <f>IFERROR(IF(H2295&gt;0,H2295*IF(OR(C2295="Alpha",B2295="Alpha"),$C$9,$C$8),""),"")</f>
        <v/>
      </c>
      <c r="L2295" s="139">
        <f>IFERROR(IF(ISNUMBER(F2295),F2295-IF(ISNUMBER(K2295),K2295,0),""),"")</f>
        <v/>
      </c>
    </row>
    <row r="2296" ht="24" customHeight="1" s="63">
      <c r="E2296" s="139" t="n"/>
      <c r="F2296" s="139" t="n"/>
      <c r="G2296" s="140">
        <f>IFERROR(IF(E2296&gt;0,(F2296/E2296)*1000,""),"")</f>
        <v/>
      </c>
      <c r="H2296" s="139">
        <f>IFERROR(IF(E2296&gt;0,E2296*IF(ISNUMBER(J2296),J2296,IF(OR(C2296="Alpha",B2296="Alpha"),$C$7,IF(C2296="Futures",$C$6,$C$5))),""),"")</f>
        <v/>
      </c>
      <c r="I2296" s="139">
        <f>IFERROR(IF(AND(ISNUMBER(F2296),ISNUMBER(H2296)),F2296-H2296,""),"")</f>
        <v/>
      </c>
      <c r="J2296" s="114" t="n"/>
      <c r="K2296" s="139">
        <f>IFERROR(IF(H2296&gt;0,H2296*IF(OR(C2296="Alpha",B2296="Alpha"),$C$9,$C$8),""),"")</f>
        <v/>
      </c>
      <c r="L2296" s="139">
        <f>IFERROR(IF(ISNUMBER(F2296),F2296-IF(ISNUMBER(K2296),K2296,0),""),"")</f>
        <v/>
      </c>
    </row>
    <row r="2297" ht="24" customHeight="1" s="63">
      <c r="E2297" s="139" t="n"/>
      <c r="F2297" s="139" t="n"/>
      <c r="G2297" s="140">
        <f>IFERROR(IF(E2297&gt;0,(F2297/E2297)*1000,""),"")</f>
        <v/>
      </c>
      <c r="H2297" s="139">
        <f>IFERROR(IF(E2297&gt;0,E2297*IF(ISNUMBER(J2297),J2297,IF(OR(C2297="Alpha",B2297="Alpha"),$C$7,IF(C2297="Futures",$C$6,$C$5))),""),"")</f>
        <v/>
      </c>
      <c r="I2297" s="139">
        <f>IFERROR(IF(AND(ISNUMBER(F2297),ISNUMBER(H2297)),F2297-H2297,""),"")</f>
        <v/>
      </c>
      <c r="J2297" s="114" t="n"/>
      <c r="K2297" s="139">
        <f>IFERROR(IF(H2297&gt;0,H2297*IF(OR(C2297="Alpha",B2297="Alpha"),$C$9,$C$8),""),"")</f>
        <v/>
      </c>
      <c r="L2297" s="139">
        <f>IFERROR(IF(ISNUMBER(F2297),F2297-IF(ISNUMBER(K2297),K2297,0),""),"")</f>
        <v/>
      </c>
    </row>
    <row r="2298" ht="24" customHeight="1" s="63">
      <c r="E2298" s="139" t="n"/>
      <c r="F2298" s="139" t="n"/>
      <c r="G2298" s="140">
        <f>IFERROR(IF(E2298&gt;0,(F2298/E2298)*1000,""),"")</f>
        <v/>
      </c>
      <c r="H2298" s="139">
        <f>IFERROR(IF(E2298&gt;0,E2298*IF(ISNUMBER(J2298),J2298,IF(OR(C2298="Alpha",B2298="Alpha"),$C$7,IF(C2298="Futures",$C$6,$C$5))),""),"")</f>
        <v/>
      </c>
      <c r="I2298" s="139">
        <f>IFERROR(IF(AND(ISNUMBER(F2298),ISNUMBER(H2298)),F2298-H2298,""),"")</f>
        <v/>
      </c>
      <c r="J2298" s="114" t="n"/>
      <c r="K2298" s="139">
        <f>IFERROR(IF(H2298&gt;0,H2298*IF(OR(C2298="Alpha",B2298="Alpha"),$C$9,$C$8),""),"")</f>
        <v/>
      </c>
      <c r="L2298" s="139">
        <f>IFERROR(IF(ISNUMBER(F2298),F2298-IF(ISNUMBER(K2298),K2298,0),""),"")</f>
        <v/>
      </c>
    </row>
    <row r="2299" ht="24" customHeight="1" s="63">
      <c r="E2299" s="139" t="n"/>
      <c r="F2299" s="139" t="n"/>
      <c r="G2299" s="140">
        <f>IFERROR(IF(E2299&gt;0,(F2299/E2299)*1000,""),"")</f>
        <v/>
      </c>
      <c r="H2299" s="139">
        <f>IFERROR(IF(E2299&gt;0,E2299*IF(ISNUMBER(J2299),J2299,IF(OR(C2299="Alpha",B2299="Alpha"),$C$7,IF(C2299="Futures",$C$6,$C$5))),""),"")</f>
        <v/>
      </c>
      <c r="I2299" s="139">
        <f>IFERROR(IF(AND(ISNUMBER(F2299),ISNUMBER(H2299)),F2299-H2299,""),"")</f>
        <v/>
      </c>
      <c r="J2299" s="114" t="n"/>
      <c r="K2299" s="139">
        <f>IFERROR(IF(H2299&gt;0,H2299*IF(OR(C2299="Alpha",B2299="Alpha"),$C$9,$C$8),""),"")</f>
        <v/>
      </c>
      <c r="L2299" s="139">
        <f>IFERROR(IF(ISNUMBER(F2299),F2299-IF(ISNUMBER(K2299),K2299,0),""),"")</f>
        <v/>
      </c>
    </row>
    <row r="2300" ht="24" customHeight="1" s="63">
      <c r="E2300" s="139" t="n"/>
      <c r="F2300" s="139" t="n"/>
      <c r="G2300" s="140">
        <f>IFERROR(IF(E2300&gt;0,(F2300/E2300)*1000,""),"")</f>
        <v/>
      </c>
      <c r="H2300" s="139">
        <f>IFERROR(IF(E2300&gt;0,E2300*IF(ISNUMBER(J2300),J2300,IF(OR(C2300="Alpha",B2300="Alpha"),$C$7,IF(C2300="Futures",$C$6,$C$5))),""),"")</f>
        <v/>
      </c>
      <c r="I2300" s="139">
        <f>IFERROR(IF(AND(ISNUMBER(F2300),ISNUMBER(H2300)),F2300-H2300,""),"")</f>
        <v/>
      </c>
      <c r="J2300" s="114" t="n"/>
      <c r="K2300" s="139">
        <f>IFERROR(IF(H2300&gt;0,H2300*IF(OR(C2300="Alpha",B2300="Alpha"),$C$9,$C$8),""),"")</f>
        <v/>
      </c>
      <c r="L2300" s="139">
        <f>IFERROR(IF(ISNUMBER(F2300),F2300-IF(ISNUMBER(K2300),K2300,0),""),"")</f>
        <v/>
      </c>
    </row>
    <row r="2301" ht="24" customHeight="1" s="63">
      <c r="E2301" s="139" t="n"/>
      <c r="F2301" s="139" t="n"/>
      <c r="G2301" s="140">
        <f>IFERROR(IF(E2301&gt;0,(F2301/E2301)*1000,""),"")</f>
        <v/>
      </c>
      <c r="H2301" s="139">
        <f>IFERROR(IF(E2301&gt;0,E2301*IF(ISNUMBER(J2301),J2301,IF(OR(C2301="Alpha",B2301="Alpha"),$C$7,IF(C2301="Futures",$C$6,$C$5))),""),"")</f>
        <v/>
      </c>
      <c r="I2301" s="139">
        <f>IFERROR(IF(AND(ISNUMBER(F2301),ISNUMBER(H2301)),F2301-H2301,""),"")</f>
        <v/>
      </c>
      <c r="J2301" s="114" t="n"/>
      <c r="K2301" s="139">
        <f>IFERROR(IF(H2301&gt;0,H2301*IF(OR(C2301="Alpha",B2301="Alpha"),$C$9,$C$8),""),"")</f>
        <v/>
      </c>
      <c r="L2301" s="139">
        <f>IFERROR(IF(ISNUMBER(F2301),F2301-IF(ISNUMBER(K2301),K2301,0),""),"")</f>
        <v/>
      </c>
    </row>
    <row r="2302" ht="24" customHeight="1" s="63">
      <c r="E2302" s="139" t="n"/>
      <c r="F2302" s="139" t="n"/>
      <c r="G2302" s="140">
        <f>IFERROR(IF(E2302&gt;0,(F2302/E2302)*1000,""),"")</f>
        <v/>
      </c>
      <c r="H2302" s="139">
        <f>IFERROR(IF(E2302&gt;0,E2302*IF(ISNUMBER(J2302),J2302,IF(OR(C2302="Alpha",B2302="Alpha"),$C$7,IF(C2302="Futures",$C$6,$C$5))),""),"")</f>
        <v/>
      </c>
      <c r="I2302" s="139">
        <f>IFERROR(IF(AND(ISNUMBER(F2302),ISNUMBER(H2302)),F2302-H2302,""),"")</f>
        <v/>
      </c>
      <c r="J2302" s="114" t="n"/>
      <c r="K2302" s="139">
        <f>IFERROR(IF(H2302&gt;0,H2302*IF(OR(C2302="Alpha",B2302="Alpha"),$C$9,$C$8),""),"")</f>
        <v/>
      </c>
      <c r="L2302" s="139">
        <f>IFERROR(IF(ISNUMBER(F2302),F2302-IF(ISNUMBER(K2302),K2302,0),""),"")</f>
        <v/>
      </c>
    </row>
    <row r="2303" ht="24" customHeight="1" s="63">
      <c r="E2303" s="139" t="n"/>
      <c r="F2303" s="139" t="n"/>
      <c r="G2303" s="140">
        <f>IFERROR(IF(E2303&gt;0,(F2303/E2303)*1000,""),"")</f>
        <v/>
      </c>
      <c r="H2303" s="139">
        <f>IFERROR(IF(E2303&gt;0,E2303*IF(ISNUMBER(J2303),J2303,IF(OR(C2303="Alpha",B2303="Alpha"),$C$7,IF(C2303="Futures",$C$6,$C$5))),""),"")</f>
        <v/>
      </c>
      <c r="I2303" s="139">
        <f>IFERROR(IF(AND(ISNUMBER(F2303),ISNUMBER(H2303)),F2303-H2303,""),"")</f>
        <v/>
      </c>
      <c r="J2303" s="114" t="n"/>
      <c r="K2303" s="139">
        <f>IFERROR(IF(H2303&gt;0,H2303*IF(OR(C2303="Alpha",B2303="Alpha"),$C$9,$C$8),""),"")</f>
        <v/>
      </c>
      <c r="L2303" s="139">
        <f>IFERROR(IF(ISNUMBER(F2303),F2303-IF(ISNUMBER(K2303),K2303,0),""),"")</f>
        <v/>
      </c>
    </row>
    <row r="2304" ht="24" customHeight="1" s="63">
      <c r="E2304" s="139" t="n"/>
      <c r="F2304" s="139" t="n"/>
      <c r="G2304" s="140">
        <f>IFERROR(IF(E2304&gt;0,(F2304/E2304)*1000,""),"")</f>
        <v/>
      </c>
      <c r="H2304" s="139">
        <f>IFERROR(IF(E2304&gt;0,E2304*IF(ISNUMBER(J2304),J2304,IF(OR(C2304="Alpha",B2304="Alpha"),$C$7,IF(C2304="Futures",$C$6,$C$5))),""),"")</f>
        <v/>
      </c>
      <c r="I2304" s="139">
        <f>IFERROR(IF(AND(ISNUMBER(F2304),ISNUMBER(H2304)),F2304-H2304,""),"")</f>
        <v/>
      </c>
      <c r="J2304" s="114" t="n"/>
      <c r="K2304" s="139">
        <f>IFERROR(IF(H2304&gt;0,H2304*IF(OR(C2304="Alpha",B2304="Alpha"),$C$9,$C$8),""),"")</f>
        <v/>
      </c>
      <c r="L2304" s="139">
        <f>IFERROR(IF(ISNUMBER(F2304),F2304-IF(ISNUMBER(K2304),K2304,0),""),"")</f>
        <v/>
      </c>
    </row>
    <row r="2305" ht="24" customHeight="1" s="63">
      <c r="E2305" s="139" t="n"/>
      <c r="F2305" s="139" t="n"/>
      <c r="G2305" s="140">
        <f>IFERROR(IF(E2305&gt;0,(F2305/E2305)*1000,""),"")</f>
        <v/>
      </c>
      <c r="H2305" s="139">
        <f>IFERROR(IF(E2305&gt;0,E2305*IF(ISNUMBER(J2305),J2305,IF(OR(C2305="Alpha",B2305="Alpha"),$C$7,IF(C2305="Futures",$C$6,$C$5))),""),"")</f>
        <v/>
      </c>
      <c r="I2305" s="139">
        <f>IFERROR(IF(AND(ISNUMBER(F2305),ISNUMBER(H2305)),F2305-H2305,""),"")</f>
        <v/>
      </c>
      <c r="J2305" s="114" t="n"/>
      <c r="K2305" s="139">
        <f>IFERROR(IF(H2305&gt;0,H2305*IF(OR(C2305="Alpha",B2305="Alpha"),$C$9,$C$8),""),"")</f>
        <v/>
      </c>
      <c r="L2305" s="139">
        <f>IFERROR(IF(ISNUMBER(F2305),F2305-IF(ISNUMBER(K2305),K2305,0),""),"")</f>
        <v/>
      </c>
    </row>
    <row r="2306" ht="24" customHeight="1" s="63">
      <c r="E2306" s="139" t="n"/>
      <c r="F2306" s="139" t="n"/>
      <c r="G2306" s="140">
        <f>IFERROR(IF(E2306&gt;0,(F2306/E2306)*1000,""),"")</f>
        <v/>
      </c>
      <c r="H2306" s="139">
        <f>IFERROR(IF(E2306&gt;0,E2306*IF(ISNUMBER(J2306),J2306,IF(OR(C2306="Alpha",B2306="Alpha"),$C$7,IF(C2306="Futures",$C$6,$C$5))),""),"")</f>
        <v/>
      </c>
      <c r="I2306" s="139">
        <f>IFERROR(IF(AND(ISNUMBER(F2306),ISNUMBER(H2306)),F2306-H2306,""),"")</f>
        <v/>
      </c>
      <c r="J2306" s="114" t="n"/>
      <c r="K2306" s="139">
        <f>IFERROR(IF(H2306&gt;0,H2306*IF(OR(C2306="Alpha",B2306="Alpha"),$C$9,$C$8),""),"")</f>
        <v/>
      </c>
      <c r="L2306" s="139">
        <f>IFERROR(IF(ISNUMBER(F2306),F2306-IF(ISNUMBER(K2306),K2306,0),""),"")</f>
        <v/>
      </c>
    </row>
    <row r="2307" ht="24" customHeight="1" s="63">
      <c r="E2307" s="139" t="n"/>
      <c r="F2307" s="139" t="n"/>
      <c r="G2307" s="140">
        <f>IFERROR(IF(E2307&gt;0,(F2307/E2307)*1000,""),"")</f>
        <v/>
      </c>
      <c r="H2307" s="139">
        <f>IFERROR(IF(E2307&gt;0,E2307*IF(ISNUMBER(J2307),J2307,IF(OR(C2307="Alpha",B2307="Alpha"),$C$7,IF(C2307="Futures",$C$6,$C$5))),""),"")</f>
        <v/>
      </c>
      <c r="I2307" s="139">
        <f>IFERROR(IF(AND(ISNUMBER(F2307),ISNUMBER(H2307)),F2307-H2307,""),"")</f>
        <v/>
      </c>
      <c r="J2307" s="114" t="n"/>
      <c r="K2307" s="139">
        <f>IFERROR(IF(H2307&gt;0,H2307*IF(OR(C2307="Alpha",B2307="Alpha"),$C$9,$C$8),""),"")</f>
        <v/>
      </c>
      <c r="L2307" s="139">
        <f>IFERROR(IF(ISNUMBER(F2307),F2307-IF(ISNUMBER(K2307),K2307,0),""),"")</f>
        <v/>
      </c>
    </row>
    <row r="2308" ht="24" customHeight="1" s="63">
      <c r="E2308" s="139" t="n"/>
      <c r="F2308" s="139" t="n"/>
      <c r="G2308" s="140">
        <f>IFERROR(IF(E2308&gt;0,(F2308/E2308)*1000,""),"")</f>
        <v/>
      </c>
      <c r="H2308" s="139">
        <f>IFERROR(IF(E2308&gt;0,E2308*IF(ISNUMBER(J2308),J2308,IF(OR(C2308="Alpha",B2308="Alpha"),$C$7,IF(C2308="Futures",$C$6,$C$5))),""),"")</f>
        <v/>
      </c>
      <c r="I2308" s="139">
        <f>IFERROR(IF(AND(ISNUMBER(F2308),ISNUMBER(H2308)),F2308-H2308,""),"")</f>
        <v/>
      </c>
      <c r="J2308" s="114" t="n"/>
      <c r="K2308" s="139">
        <f>IFERROR(IF(H2308&gt;0,H2308*IF(OR(C2308="Alpha",B2308="Alpha"),$C$9,$C$8),""),"")</f>
        <v/>
      </c>
      <c r="L2308" s="139">
        <f>IFERROR(IF(ISNUMBER(F2308),F2308-IF(ISNUMBER(K2308),K2308,0),""),"")</f>
        <v/>
      </c>
    </row>
    <row r="2309" ht="24" customHeight="1" s="63">
      <c r="E2309" s="139" t="n"/>
      <c r="F2309" s="139" t="n"/>
      <c r="G2309" s="140">
        <f>IFERROR(IF(E2309&gt;0,(F2309/E2309)*1000,""),"")</f>
        <v/>
      </c>
      <c r="H2309" s="139">
        <f>IFERROR(IF(E2309&gt;0,E2309*IF(ISNUMBER(J2309),J2309,IF(OR(C2309="Alpha",B2309="Alpha"),$C$7,IF(C2309="Futures",$C$6,$C$5))),""),"")</f>
        <v/>
      </c>
      <c r="I2309" s="139">
        <f>IFERROR(IF(AND(ISNUMBER(F2309),ISNUMBER(H2309)),F2309-H2309,""),"")</f>
        <v/>
      </c>
      <c r="J2309" s="114" t="n"/>
      <c r="K2309" s="139">
        <f>IFERROR(IF(H2309&gt;0,H2309*IF(OR(C2309="Alpha",B2309="Alpha"),$C$9,$C$8),""),"")</f>
        <v/>
      </c>
      <c r="L2309" s="139">
        <f>IFERROR(IF(ISNUMBER(F2309),F2309-IF(ISNUMBER(K2309),K2309,0),""),"")</f>
        <v/>
      </c>
    </row>
    <row r="2310" ht="24" customHeight="1" s="63">
      <c r="E2310" s="139" t="n"/>
      <c r="F2310" s="139" t="n"/>
      <c r="G2310" s="140">
        <f>IFERROR(IF(E2310&gt;0,(F2310/E2310)*1000,""),"")</f>
        <v/>
      </c>
      <c r="H2310" s="139">
        <f>IFERROR(IF(E2310&gt;0,E2310*IF(ISNUMBER(J2310),J2310,IF(OR(C2310="Alpha",B2310="Alpha"),$C$7,IF(C2310="Futures",$C$6,$C$5))),""),"")</f>
        <v/>
      </c>
      <c r="I2310" s="139">
        <f>IFERROR(IF(AND(ISNUMBER(F2310),ISNUMBER(H2310)),F2310-H2310,""),"")</f>
        <v/>
      </c>
      <c r="J2310" s="114" t="n"/>
      <c r="K2310" s="139">
        <f>IFERROR(IF(H2310&gt;0,H2310*IF(OR(C2310="Alpha",B2310="Alpha"),$C$9,$C$8),""),"")</f>
        <v/>
      </c>
      <c r="L2310" s="139">
        <f>IFERROR(IF(ISNUMBER(F2310),F2310-IF(ISNUMBER(K2310),K2310,0),""),"")</f>
        <v/>
      </c>
    </row>
    <row r="2311" ht="24" customHeight="1" s="63">
      <c r="E2311" s="139" t="n"/>
      <c r="F2311" s="139" t="n"/>
      <c r="G2311" s="140">
        <f>IFERROR(IF(E2311&gt;0,(F2311/E2311)*1000,""),"")</f>
        <v/>
      </c>
      <c r="H2311" s="139">
        <f>IFERROR(IF(E2311&gt;0,E2311*IF(ISNUMBER(J2311),J2311,IF(OR(C2311="Alpha",B2311="Alpha"),$C$7,IF(C2311="Futures",$C$6,$C$5))),""),"")</f>
        <v/>
      </c>
      <c r="I2311" s="139">
        <f>IFERROR(IF(AND(ISNUMBER(F2311),ISNUMBER(H2311)),F2311-H2311,""),"")</f>
        <v/>
      </c>
      <c r="J2311" s="114" t="n"/>
      <c r="K2311" s="139">
        <f>IFERROR(IF(H2311&gt;0,H2311*IF(OR(C2311="Alpha",B2311="Alpha"),$C$9,$C$8),""),"")</f>
        <v/>
      </c>
      <c r="L2311" s="139">
        <f>IFERROR(IF(ISNUMBER(F2311),F2311-IF(ISNUMBER(K2311),K2311,0),""),"")</f>
        <v/>
      </c>
    </row>
    <row r="2312" ht="24" customHeight="1" s="63">
      <c r="E2312" s="139" t="n"/>
      <c r="F2312" s="139" t="n"/>
      <c r="G2312" s="140">
        <f>IFERROR(IF(E2312&gt;0,(F2312/E2312)*1000,""),"")</f>
        <v/>
      </c>
      <c r="H2312" s="139">
        <f>IFERROR(IF(E2312&gt;0,E2312*IF(ISNUMBER(J2312),J2312,IF(OR(C2312="Alpha",B2312="Alpha"),$C$7,IF(C2312="Futures",$C$6,$C$5))),""),"")</f>
        <v/>
      </c>
      <c r="I2312" s="139">
        <f>IFERROR(IF(AND(ISNUMBER(F2312),ISNUMBER(H2312)),F2312-H2312,""),"")</f>
        <v/>
      </c>
      <c r="J2312" s="114" t="n"/>
      <c r="K2312" s="139">
        <f>IFERROR(IF(H2312&gt;0,H2312*IF(OR(C2312="Alpha",B2312="Alpha"),$C$9,$C$8),""),"")</f>
        <v/>
      </c>
      <c r="L2312" s="139">
        <f>IFERROR(IF(ISNUMBER(F2312),F2312-IF(ISNUMBER(K2312),K2312,0),""),"")</f>
        <v/>
      </c>
    </row>
    <row r="2313" ht="24" customHeight="1" s="63">
      <c r="E2313" s="139" t="n"/>
      <c r="F2313" s="139" t="n"/>
      <c r="G2313" s="140">
        <f>IFERROR(IF(E2313&gt;0,(F2313/E2313)*1000,""),"")</f>
        <v/>
      </c>
      <c r="H2313" s="139">
        <f>IFERROR(IF(E2313&gt;0,E2313*IF(ISNUMBER(J2313),J2313,IF(OR(C2313="Alpha",B2313="Alpha"),$C$7,IF(C2313="Futures",$C$6,$C$5))),""),"")</f>
        <v/>
      </c>
      <c r="I2313" s="139">
        <f>IFERROR(IF(AND(ISNUMBER(F2313),ISNUMBER(H2313)),F2313-H2313,""),"")</f>
        <v/>
      </c>
      <c r="J2313" s="114" t="n"/>
      <c r="K2313" s="139">
        <f>IFERROR(IF(H2313&gt;0,H2313*IF(OR(C2313="Alpha",B2313="Alpha"),$C$9,$C$8),""),"")</f>
        <v/>
      </c>
      <c r="L2313" s="139">
        <f>IFERROR(IF(ISNUMBER(F2313),F2313-IF(ISNUMBER(K2313),K2313,0),""),"")</f>
        <v/>
      </c>
    </row>
    <row r="2314" ht="24" customHeight="1" s="63">
      <c r="E2314" s="139" t="n"/>
      <c r="F2314" s="139" t="n"/>
      <c r="G2314" s="140">
        <f>IFERROR(IF(E2314&gt;0,(F2314/E2314)*1000,""),"")</f>
        <v/>
      </c>
      <c r="H2314" s="139">
        <f>IFERROR(IF(E2314&gt;0,E2314*IF(ISNUMBER(J2314),J2314,IF(OR(C2314="Alpha",B2314="Alpha"),$C$7,IF(C2314="Futures",$C$6,$C$5))),""),"")</f>
        <v/>
      </c>
      <c r="I2314" s="139">
        <f>IFERROR(IF(AND(ISNUMBER(F2314),ISNUMBER(H2314)),F2314-H2314,""),"")</f>
        <v/>
      </c>
      <c r="J2314" s="114" t="n"/>
      <c r="K2314" s="139">
        <f>IFERROR(IF(H2314&gt;0,H2314*IF(OR(C2314="Alpha",B2314="Alpha"),$C$9,$C$8),""),"")</f>
        <v/>
      </c>
      <c r="L2314" s="139">
        <f>IFERROR(IF(ISNUMBER(F2314),F2314-IF(ISNUMBER(K2314),K2314,0),""),"")</f>
        <v/>
      </c>
    </row>
    <row r="2315" ht="24" customHeight="1" s="63">
      <c r="E2315" s="139" t="n"/>
      <c r="F2315" s="139" t="n"/>
      <c r="G2315" s="140">
        <f>IFERROR(IF(E2315&gt;0,(F2315/E2315)*1000,""),"")</f>
        <v/>
      </c>
      <c r="H2315" s="139">
        <f>IFERROR(IF(E2315&gt;0,E2315*IF(ISNUMBER(J2315),J2315,IF(OR(C2315="Alpha",B2315="Alpha"),$C$7,IF(C2315="Futures",$C$6,$C$5))),""),"")</f>
        <v/>
      </c>
      <c r="I2315" s="139">
        <f>IFERROR(IF(AND(ISNUMBER(F2315),ISNUMBER(H2315)),F2315-H2315,""),"")</f>
        <v/>
      </c>
      <c r="J2315" s="114" t="n"/>
      <c r="K2315" s="139">
        <f>IFERROR(IF(H2315&gt;0,H2315*IF(OR(C2315="Alpha",B2315="Alpha"),$C$9,$C$8),""),"")</f>
        <v/>
      </c>
      <c r="L2315" s="139">
        <f>IFERROR(IF(ISNUMBER(F2315),F2315-IF(ISNUMBER(K2315),K2315,0),""),"")</f>
        <v/>
      </c>
    </row>
    <row r="2316" ht="24" customHeight="1" s="63">
      <c r="E2316" s="139" t="n"/>
      <c r="F2316" s="139" t="n"/>
      <c r="G2316" s="140">
        <f>IFERROR(IF(E2316&gt;0,(F2316/E2316)*1000,""),"")</f>
        <v/>
      </c>
      <c r="H2316" s="139">
        <f>IFERROR(IF(E2316&gt;0,E2316*IF(ISNUMBER(J2316),J2316,IF(OR(C2316="Alpha",B2316="Alpha"),$C$7,IF(C2316="Futures",$C$6,$C$5))),""),"")</f>
        <v/>
      </c>
      <c r="I2316" s="139">
        <f>IFERROR(IF(AND(ISNUMBER(F2316),ISNUMBER(H2316)),F2316-H2316,""),"")</f>
        <v/>
      </c>
      <c r="J2316" s="114" t="n"/>
      <c r="K2316" s="139">
        <f>IFERROR(IF(H2316&gt;0,H2316*IF(OR(C2316="Alpha",B2316="Alpha"),$C$9,$C$8),""),"")</f>
        <v/>
      </c>
      <c r="L2316" s="139">
        <f>IFERROR(IF(ISNUMBER(F2316),F2316-IF(ISNUMBER(K2316),K2316,0),""),"")</f>
        <v/>
      </c>
    </row>
    <row r="2317" ht="24" customHeight="1" s="63">
      <c r="E2317" s="139" t="n"/>
      <c r="F2317" s="139" t="n"/>
      <c r="G2317" s="140">
        <f>IFERROR(IF(E2317&gt;0,(F2317/E2317)*1000,""),"")</f>
        <v/>
      </c>
      <c r="H2317" s="139">
        <f>IFERROR(IF(E2317&gt;0,E2317*IF(ISNUMBER(J2317),J2317,IF(OR(C2317="Alpha",B2317="Alpha"),$C$7,IF(C2317="Futures",$C$6,$C$5))),""),"")</f>
        <v/>
      </c>
      <c r="I2317" s="139">
        <f>IFERROR(IF(AND(ISNUMBER(F2317),ISNUMBER(H2317)),F2317-H2317,""),"")</f>
        <v/>
      </c>
      <c r="J2317" s="114" t="n"/>
      <c r="K2317" s="139">
        <f>IFERROR(IF(H2317&gt;0,H2317*IF(OR(C2317="Alpha",B2317="Alpha"),$C$9,$C$8),""),"")</f>
        <v/>
      </c>
      <c r="L2317" s="139">
        <f>IFERROR(IF(ISNUMBER(F2317),F2317-IF(ISNUMBER(K2317),K2317,0),""),"")</f>
        <v/>
      </c>
    </row>
    <row r="2318" ht="24" customHeight="1" s="63">
      <c r="E2318" s="139" t="n"/>
      <c r="F2318" s="139" t="n"/>
      <c r="G2318" s="140">
        <f>IFERROR(IF(E2318&gt;0,(F2318/E2318)*1000,""),"")</f>
        <v/>
      </c>
      <c r="H2318" s="139">
        <f>IFERROR(IF(E2318&gt;0,E2318*IF(ISNUMBER(J2318),J2318,IF(OR(C2318="Alpha",B2318="Alpha"),$C$7,IF(C2318="Futures",$C$6,$C$5))),""),"")</f>
        <v/>
      </c>
      <c r="I2318" s="139">
        <f>IFERROR(IF(AND(ISNUMBER(F2318),ISNUMBER(H2318)),F2318-H2318,""),"")</f>
        <v/>
      </c>
      <c r="J2318" s="114" t="n"/>
      <c r="K2318" s="139">
        <f>IFERROR(IF(H2318&gt;0,H2318*IF(OR(C2318="Alpha",B2318="Alpha"),$C$9,$C$8),""),"")</f>
        <v/>
      </c>
      <c r="L2318" s="139">
        <f>IFERROR(IF(ISNUMBER(F2318),F2318-IF(ISNUMBER(K2318),K2318,0),""),"")</f>
        <v/>
      </c>
    </row>
    <row r="2319" ht="24" customHeight="1" s="63">
      <c r="E2319" s="139" t="n"/>
      <c r="F2319" s="139" t="n"/>
      <c r="G2319" s="140">
        <f>IFERROR(IF(E2319&gt;0,(F2319/E2319)*1000,""),"")</f>
        <v/>
      </c>
      <c r="H2319" s="139">
        <f>IFERROR(IF(E2319&gt;0,E2319*IF(ISNUMBER(J2319),J2319,IF(OR(C2319="Alpha",B2319="Alpha"),$C$7,IF(C2319="Futures",$C$6,$C$5))),""),"")</f>
        <v/>
      </c>
      <c r="I2319" s="139">
        <f>IFERROR(IF(AND(ISNUMBER(F2319),ISNUMBER(H2319)),F2319-H2319,""),"")</f>
        <v/>
      </c>
      <c r="J2319" s="114" t="n"/>
      <c r="K2319" s="139">
        <f>IFERROR(IF(H2319&gt;0,H2319*IF(OR(C2319="Alpha",B2319="Alpha"),$C$9,$C$8),""),"")</f>
        <v/>
      </c>
      <c r="L2319" s="139">
        <f>IFERROR(IF(ISNUMBER(F2319),F2319-IF(ISNUMBER(K2319),K2319,0),""),"")</f>
        <v/>
      </c>
    </row>
    <row r="2320" ht="24" customHeight="1" s="63">
      <c r="E2320" s="139" t="n"/>
      <c r="F2320" s="139" t="n"/>
      <c r="G2320" s="140">
        <f>IFERROR(IF(E2320&gt;0,(F2320/E2320)*1000,""),"")</f>
        <v/>
      </c>
      <c r="H2320" s="139">
        <f>IFERROR(IF(E2320&gt;0,E2320*IF(ISNUMBER(J2320),J2320,IF(OR(C2320="Alpha",B2320="Alpha"),$C$7,IF(C2320="Futures",$C$6,$C$5))),""),"")</f>
        <v/>
      </c>
      <c r="I2320" s="139">
        <f>IFERROR(IF(AND(ISNUMBER(F2320),ISNUMBER(H2320)),F2320-H2320,""),"")</f>
        <v/>
      </c>
      <c r="J2320" s="114" t="n"/>
      <c r="K2320" s="139">
        <f>IFERROR(IF(H2320&gt;0,H2320*IF(OR(C2320="Alpha",B2320="Alpha"),$C$9,$C$8),""),"")</f>
        <v/>
      </c>
      <c r="L2320" s="139">
        <f>IFERROR(IF(ISNUMBER(F2320),F2320-IF(ISNUMBER(K2320),K2320,0),""),"")</f>
        <v/>
      </c>
    </row>
    <row r="2321" ht="24" customHeight="1" s="63">
      <c r="E2321" s="139" t="n"/>
      <c r="F2321" s="139" t="n"/>
      <c r="G2321" s="140">
        <f>IFERROR(IF(E2321&gt;0,(F2321/E2321)*1000,""),"")</f>
        <v/>
      </c>
      <c r="H2321" s="139">
        <f>IFERROR(IF(E2321&gt;0,E2321*IF(ISNUMBER(J2321),J2321,IF(OR(C2321="Alpha",B2321="Alpha"),$C$7,IF(C2321="Futures",$C$6,$C$5))),""),"")</f>
        <v/>
      </c>
      <c r="I2321" s="139">
        <f>IFERROR(IF(AND(ISNUMBER(F2321),ISNUMBER(H2321)),F2321-H2321,""),"")</f>
        <v/>
      </c>
      <c r="J2321" s="114" t="n"/>
      <c r="K2321" s="139">
        <f>IFERROR(IF(H2321&gt;0,H2321*IF(OR(C2321="Alpha",B2321="Alpha"),$C$9,$C$8),""),"")</f>
        <v/>
      </c>
      <c r="L2321" s="139">
        <f>IFERROR(IF(ISNUMBER(F2321),F2321-IF(ISNUMBER(K2321),K2321,0),""),"")</f>
        <v/>
      </c>
    </row>
    <row r="2322" ht="24" customHeight="1" s="63">
      <c r="E2322" s="139" t="n"/>
      <c r="F2322" s="139" t="n"/>
      <c r="G2322" s="140">
        <f>IFERROR(IF(E2322&gt;0,(F2322/E2322)*1000,""),"")</f>
        <v/>
      </c>
      <c r="H2322" s="139">
        <f>IFERROR(IF(E2322&gt;0,E2322*IF(ISNUMBER(J2322),J2322,IF(OR(C2322="Alpha",B2322="Alpha"),$C$7,IF(C2322="Futures",$C$6,$C$5))),""),"")</f>
        <v/>
      </c>
      <c r="I2322" s="139">
        <f>IFERROR(IF(AND(ISNUMBER(F2322),ISNUMBER(H2322)),F2322-H2322,""),"")</f>
        <v/>
      </c>
      <c r="J2322" s="114" t="n"/>
      <c r="K2322" s="139">
        <f>IFERROR(IF(H2322&gt;0,H2322*IF(OR(C2322="Alpha",B2322="Alpha"),$C$9,$C$8),""),"")</f>
        <v/>
      </c>
      <c r="L2322" s="139">
        <f>IFERROR(IF(ISNUMBER(F2322),F2322-IF(ISNUMBER(K2322),K2322,0),""),"")</f>
        <v/>
      </c>
    </row>
    <row r="2323" ht="24" customHeight="1" s="63">
      <c r="E2323" s="139" t="n"/>
      <c r="F2323" s="139" t="n"/>
      <c r="G2323" s="140">
        <f>IFERROR(IF(E2323&gt;0,(F2323/E2323)*1000,""),"")</f>
        <v/>
      </c>
      <c r="H2323" s="139">
        <f>IFERROR(IF(E2323&gt;0,E2323*IF(ISNUMBER(J2323),J2323,IF(OR(C2323="Alpha",B2323="Alpha"),$C$7,IF(C2323="Futures",$C$6,$C$5))),""),"")</f>
        <v/>
      </c>
      <c r="I2323" s="139">
        <f>IFERROR(IF(AND(ISNUMBER(F2323),ISNUMBER(H2323)),F2323-H2323,""),"")</f>
        <v/>
      </c>
      <c r="J2323" s="114" t="n"/>
      <c r="K2323" s="139">
        <f>IFERROR(IF(H2323&gt;0,H2323*IF(OR(C2323="Alpha",B2323="Alpha"),$C$9,$C$8),""),"")</f>
        <v/>
      </c>
      <c r="L2323" s="139">
        <f>IFERROR(IF(ISNUMBER(F2323),F2323-IF(ISNUMBER(K2323),K2323,0),""),"")</f>
        <v/>
      </c>
    </row>
    <row r="2324" ht="24" customHeight="1" s="63">
      <c r="E2324" s="139" t="n"/>
      <c r="F2324" s="139" t="n"/>
      <c r="G2324" s="140">
        <f>IFERROR(IF(E2324&gt;0,(F2324/E2324)*1000,""),"")</f>
        <v/>
      </c>
      <c r="H2324" s="139">
        <f>IFERROR(IF(E2324&gt;0,E2324*IF(ISNUMBER(J2324),J2324,IF(OR(C2324="Alpha",B2324="Alpha"),$C$7,IF(C2324="Futures",$C$6,$C$5))),""),"")</f>
        <v/>
      </c>
      <c r="I2324" s="139">
        <f>IFERROR(IF(AND(ISNUMBER(F2324),ISNUMBER(H2324)),F2324-H2324,""),"")</f>
        <v/>
      </c>
      <c r="J2324" s="114" t="n"/>
      <c r="K2324" s="139">
        <f>IFERROR(IF(H2324&gt;0,H2324*IF(OR(C2324="Alpha",B2324="Alpha"),$C$9,$C$8),""),"")</f>
        <v/>
      </c>
      <c r="L2324" s="139">
        <f>IFERROR(IF(ISNUMBER(F2324),F2324-IF(ISNUMBER(K2324),K2324,0),""),"")</f>
        <v/>
      </c>
    </row>
    <row r="2325" ht="24" customHeight="1" s="63">
      <c r="E2325" s="139" t="n"/>
      <c r="F2325" s="139" t="n"/>
      <c r="G2325" s="140">
        <f>IFERROR(IF(E2325&gt;0,(F2325/E2325)*1000,""),"")</f>
        <v/>
      </c>
      <c r="H2325" s="139">
        <f>IFERROR(IF(E2325&gt;0,E2325*IF(ISNUMBER(J2325),J2325,IF(OR(C2325="Alpha",B2325="Alpha"),$C$7,IF(C2325="Futures",$C$6,$C$5))),""),"")</f>
        <v/>
      </c>
      <c r="I2325" s="139">
        <f>IFERROR(IF(AND(ISNUMBER(F2325),ISNUMBER(H2325)),F2325-H2325,""),"")</f>
        <v/>
      </c>
      <c r="J2325" s="114" t="n"/>
      <c r="K2325" s="139">
        <f>IFERROR(IF(H2325&gt;0,H2325*IF(OR(C2325="Alpha",B2325="Alpha"),$C$9,$C$8),""),"")</f>
        <v/>
      </c>
      <c r="L2325" s="139">
        <f>IFERROR(IF(ISNUMBER(F2325),F2325-IF(ISNUMBER(K2325),K2325,0),""),"")</f>
        <v/>
      </c>
    </row>
    <row r="2326" ht="24" customHeight="1" s="63">
      <c r="E2326" s="139" t="n"/>
      <c r="F2326" s="139" t="n"/>
      <c r="G2326" s="140">
        <f>IFERROR(IF(E2326&gt;0,(F2326/E2326)*1000,""),"")</f>
        <v/>
      </c>
      <c r="H2326" s="139">
        <f>IFERROR(IF(E2326&gt;0,E2326*IF(ISNUMBER(J2326),J2326,IF(OR(C2326="Alpha",B2326="Alpha"),$C$7,IF(C2326="Futures",$C$6,$C$5))),""),"")</f>
        <v/>
      </c>
      <c r="I2326" s="139">
        <f>IFERROR(IF(AND(ISNUMBER(F2326),ISNUMBER(H2326)),F2326-H2326,""),"")</f>
        <v/>
      </c>
      <c r="J2326" s="114" t="n"/>
      <c r="K2326" s="139">
        <f>IFERROR(IF(H2326&gt;0,H2326*IF(OR(C2326="Alpha",B2326="Alpha"),$C$9,$C$8),""),"")</f>
        <v/>
      </c>
      <c r="L2326" s="139">
        <f>IFERROR(IF(ISNUMBER(F2326),F2326-IF(ISNUMBER(K2326),K2326,0),""),"")</f>
        <v/>
      </c>
    </row>
    <row r="2327" ht="24" customHeight="1" s="63">
      <c r="E2327" s="139" t="n"/>
      <c r="F2327" s="139" t="n"/>
      <c r="G2327" s="140">
        <f>IFERROR(IF(E2327&gt;0,(F2327/E2327)*1000,""),"")</f>
        <v/>
      </c>
      <c r="H2327" s="139">
        <f>IFERROR(IF(E2327&gt;0,E2327*IF(ISNUMBER(J2327),J2327,IF(OR(C2327="Alpha",B2327="Alpha"),$C$7,IF(C2327="Futures",$C$6,$C$5))),""),"")</f>
        <v/>
      </c>
      <c r="I2327" s="139">
        <f>IFERROR(IF(AND(ISNUMBER(F2327),ISNUMBER(H2327)),F2327-H2327,""),"")</f>
        <v/>
      </c>
      <c r="J2327" s="114" t="n"/>
      <c r="K2327" s="139">
        <f>IFERROR(IF(H2327&gt;0,H2327*IF(OR(C2327="Alpha",B2327="Alpha"),$C$9,$C$8),""),"")</f>
        <v/>
      </c>
      <c r="L2327" s="139">
        <f>IFERROR(IF(ISNUMBER(F2327),F2327-IF(ISNUMBER(K2327),K2327,0),""),"")</f>
        <v/>
      </c>
    </row>
    <row r="2328" ht="24" customHeight="1" s="63">
      <c r="E2328" s="139" t="n"/>
      <c r="F2328" s="139" t="n"/>
      <c r="G2328" s="140">
        <f>IFERROR(IF(E2328&gt;0,(F2328/E2328)*1000,""),"")</f>
        <v/>
      </c>
      <c r="H2328" s="139">
        <f>IFERROR(IF(E2328&gt;0,E2328*IF(ISNUMBER(J2328),J2328,IF(OR(C2328="Alpha",B2328="Alpha"),$C$7,IF(C2328="Futures",$C$6,$C$5))),""),"")</f>
        <v/>
      </c>
      <c r="I2328" s="139">
        <f>IFERROR(IF(AND(ISNUMBER(F2328),ISNUMBER(H2328)),F2328-H2328,""),"")</f>
        <v/>
      </c>
      <c r="J2328" s="114" t="n"/>
      <c r="K2328" s="139">
        <f>IFERROR(IF(H2328&gt;0,H2328*IF(OR(C2328="Alpha",B2328="Alpha"),$C$9,$C$8),""),"")</f>
        <v/>
      </c>
      <c r="L2328" s="139">
        <f>IFERROR(IF(ISNUMBER(F2328),F2328-IF(ISNUMBER(K2328),K2328,0),""),"")</f>
        <v/>
      </c>
    </row>
    <row r="2329" ht="24" customHeight="1" s="63">
      <c r="E2329" s="139" t="n"/>
      <c r="F2329" s="139" t="n"/>
      <c r="G2329" s="140">
        <f>IFERROR(IF(E2329&gt;0,(F2329/E2329)*1000,""),"")</f>
        <v/>
      </c>
      <c r="H2329" s="139">
        <f>IFERROR(IF(E2329&gt;0,E2329*IF(ISNUMBER(J2329),J2329,IF(OR(C2329="Alpha",B2329="Alpha"),$C$7,IF(C2329="Futures",$C$6,$C$5))),""),"")</f>
        <v/>
      </c>
      <c r="I2329" s="139">
        <f>IFERROR(IF(AND(ISNUMBER(F2329),ISNUMBER(H2329)),F2329-H2329,""),"")</f>
        <v/>
      </c>
      <c r="J2329" s="114" t="n"/>
      <c r="K2329" s="139">
        <f>IFERROR(IF(H2329&gt;0,H2329*IF(OR(C2329="Alpha",B2329="Alpha"),$C$9,$C$8),""),"")</f>
        <v/>
      </c>
      <c r="L2329" s="139">
        <f>IFERROR(IF(ISNUMBER(F2329),F2329-IF(ISNUMBER(K2329),K2329,0),""),"")</f>
        <v/>
      </c>
    </row>
    <row r="2330" ht="24" customHeight="1" s="63">
      <c r="E2330" s="139" t="n"/>
      <c r="F2330" s="139" t="n"/>
      <c r="G2330" s="140">
        <f>IFERROR(IF(E2330&gt;0,(F2330/E2330)*1000,""),"")</f>
        <v/>
      </c>
      <c r="H2330" s="139">
        <f>IFERROR(IF(E2330&gt;0,E2330*IF(ISNUMBER(J2330),J2330,IF(OR(C2330="Alpha",B2330="Alpha"),$C$7,IF(C2330="Futures",$C$6,$C$5))),""),"")</f>
        <v/>
      </c>
      <c r="I2330" s="139">
        <f>IFERROR(IF(AND(ISNUMBER(F2330),ISNUMBER(H2330)),F2330-H2330,""),"")</f>
        <v/>
      </c>
      <c r="J2330" s="114" t="n"/>
      <c r="K2330" s="139">
        <f>IFERROR(IF(H2330&gt;0,H2330*IF(OR(C2330="Alpha",B2330="Alpha"),$C$9,$C$8),""),"")</f>
        <v/>
      </c>
      <c r="L2330" s="139">
        <f>IFERROR(IF(ISNUMBER(F2330),F2330-IF(ISNUMBER(K2330),K2330,0),""),"")</f>
        <v/>
      </c>
    </row>
    <row r="2331" ht="24" customHeight="1" s="63">
      <c r="E2331" s="139" t="n"/>
      <c r="F2331" s="139" t="n"/>
      <c r="G2331" s="140">
        <f>IFERROR(IF(E2331&gt;0,(F2331/E2331)*1000,""),"")</f>
        <v/>
      </c>
      <c r="H2331" s="139">
        <f>IFERROR(IF(E2331&gt;0,E2331*IF(ISNUMBER(J2331),J2331,IF(OR(C2331="Alpha",B2331="Alpha"),$C$7,IF(C2331="Futures",$C$6,$C$5))),""),"")</f>
        <v/>
      </c>
      <c r="I2331" s="139">
        <f>IFERROR(IF(AND(ISNUMBER(F2331),ISNUMBER(H2331)),F2331-H2331,""),"")</f>
        <v/>
      </c>
      <c r="J2331" s="114" t="n"/>
      <c r="K2331" s="139">
        <f>IFERROR(IF(H2331&gt;0,H2331*IF(OR(C2331="Alpha",B2331="Alpha"),$C$9,$C$8),""),"")</f>
        <v/>
      </c>
      <c r="L2331" s="139">
        <f>IFERROR(IF(ISNUMBER(F2331),F2331-IF(ISNUMBER(K2331),K2331,0),""),"")</f>
        <v/>
      </c>
    </row>
    <row r="2332" ht="24" customHeight="1" s="63">
      <c r="E2332" s="139" t="n"/>
      <c r="F2332" s="139" t="n"/>
      <c r="G2332" s="140">
        <f>IFERROR(IF(E2332&gt;0,(F2332/E2332)*1000,""),"")</f>
        <v/>
      </c>
      <c r="H2332" s="139">
        <f>IFERROR(IF(E2332&gt;0,E2332*IF(ISNUMBER(J2332),J2332,IF(OR(C2332="Alpha",B2332="Alpha"),$C$7,IF(C2332="Futures",$C$6,$C$5))),""),"")</f>
        <v/>
      </c>
      <c r="I2332" s="139">
        <f>IFERROR(IF(AND(ISNUMBER(F2332),ISNUMBER(H2332)),F2332-H2332,""),"")</f>
        <v/>
      </c>
      <c r="J2332" s="114" t="n"/>
      <c r="K2332" s="139">
        <f>IFERROR(IF(H2332&gt;0,H2332*IF(OR(C2332="Alpha",B2332="Alpha"),$C$9,$C$8),""),"")</f>
        <v/>
      </c>
      <c r="L2332" s="139">
        <f>IFERROR(IF(ISNUMBER(F2332),F2332-IF(ISNUMBER(K2332),K2332,0),""),"")</f>
        <v/>
      </c>
    </row>
    <row r="2333" ht="24" customHeight="1" s="63">
      <c r="E2333" s="139" t="n"/>
      <c r="F2333" s="139" t="n"/>
      <c r="G2333" s="140">
        <f>IFERROR(IF(E2333&gt;0,(F2333/E2333)*1000,""),"")</f>
        <v/>
      </c>
      <c r="H2333" s="139">
        <f>IFERROR(IF(E2333&gt;0,E2333*IF(ISNUMBER(J2333),J2333,IF(OR(C2333="Alpha",B2333="Alpha"),$C$7,IF(C2333="Futures",$C$6,$C$5))),""),"")</f>
        <v/>
      </c>
      <c r="I2333" s="139">
        <f>IFERROR(IF(AND(ISNUMBER(F2333),ISNUMBER(H2333)),F2333-H2333,""),"")</f>
        <v/>
      </c>
      <c r="J2333" s="114" t="n"/>
      <c r="K2333" s="139">
        <f>IFERROR(IF(H2333&gt;0,H2333*IF(OR(C2333="Alpha",B2333="Alpha"),$C$9,$C$8),""),"")</f>
        <v/>
      </c>
      <c r="L2333" s="139">
        <f>IFERROR(IF(ISNUMBER(F2333),F2333-IF(ISNUMBER(K2333),K2333,0),""),"")</f>
        <v/>
      </c>
    </row>
    <row r="2334" ht="24" customHeight="1" s="63">
      <c r="E2334" s="139" t="n"/>
      <c r="F2334" s="139" t="n"/>
      <c r="G2334" s="140">
        <f>IFERROR(IF(E2334&gt;0,(F2334/E2334)*1000,""),"")</f>
        <v/>
      </c>
      <c r="H2334" s="139">
        <f>IFERROR(IF(E2334&gt;0,E2334*IF(ISNUMBER(J2334),J2334,IF(OR(C2334="Alpha",B2334="Alpha"),$C$7,IF(C2334="Futures",$C$6,$C$5))),""),"")</f>
        <v/>
      </c>
      <c r="I2334" s="139">
        <f>IFERROR(IF(AND(ISNUMBER(F2334),ISNUMBER(H2334)),F2334-H2334,""),"")</f>
        <v/>
      </c>
      <c r="J2334" s="114" t="n"/>
      <c r="K2334" s="139">
        <f>IFERROR(IF(H2334&gt;0,H2334*IF(OR(C2334="Alpha",B2334="Alpha"),$C$9,$C$8),""),"")</f>
        <v/>
      </c>
      <c r="L2334" s="139">
        <f>IFERROR(IF(ISNUMBER(F2334),F2334-IF(ISNUMBER(K2334),K2334,0),""),"")</f>
        <v/>
      </c>
    </row>
    <row r="2335" ht="24" customHeight="1" s="63">
      <c r="E2335" s="139" t="n"/>
      <c r="F2335" s="139" t="n"/>
      <c r="G2335" s="140">
        <f>IFERROR(IF(E2335&gt;0,(F2335/E2335)*1000,""),"")</f>
        <v/>
      </c>
      <c r="H2335" s="139">
        <f>IFERROR(IF(E2335&gt;0,E2335*IF(ISNUMBER(J2335),J2335,IF(OR(C2335="Alpha",B2335="Alpha"),$C$7,IF(C2335="Futures",$C$6,$C$5))),""),"")</f>
        <v/>
      </c>
      <c r="I2335" s="139">
        <f>IFERROR(IF(AND(ISNUMBER(F2335),ISNUMBER(H2335)),F2335-H2335,""),"")</f>
        <v/>
      </c>
      <c r="J2335" s="114" t="n"/>
      <c r="K2335" s="139">
        <f>IFERROR(IF(H2335&gt;0,H2335*IF(OR(C2335="Alpha",B2335="Alpha"),$C$9,$C$8),""),"")</f>
        <v/>
      </c>
      <c r="L2335" s="139">
        <f>IFERROR(IF(ISNUMBER(F2335),F2335-IF(ISNUMBER(K2335),K2335,0),""),"")</f>
        <v/>
      </c>
    </row>
    <row r="2336" ht="24" customHeight="1" s="63">
      <c r="E2336" s="139" t="n"/>
      <c r="F2336" s="139" t="n"/>
      <c r="G2336" s="140">
        <f>IFERROR(IF(E2336&gt;0,(F2336/E2336)*1000,""),"")</f>
        <v/>
      </c>
      <c r="H2336" s="139">
        <f>IFERROR(IF(E2336&gt;0,E2336*IF(ISNUMBER(J2336),J2336,IF(OR(C2336="Alpha",B2336="Alpha"),$C$7,IF(C2336="Futures",$C$6,$C$5))),""),"")</f>
        <v/>
      </c>
      <c r="I2336" s="139">
        <f>IFERROR(IF(AND(ISNUMBER(F2336),ISNUMBER(H2336)),F2336-H2336,""),"")</f>
        <v/>
      </c>
      <c r="J2336" s="114" t="n"/>
      <c r="K2336" s="139">
        <f>IFERROR(IF(H2336&gt;0,H2336*IF(OR(C2336="Alpha",B2336="Alpha"),$C$9,$C$8),""),"")</f>
        <v/>
      </c>
      <c r="L2336" s="139">
        <f>IFERROR(IF(ISNUMBER(F2336),F2336-IF(ISNUMBER(K2336),K2336,0),""),"")</f>
        <v/>
      </c>
    </row>
    <row r="2337" ht="24" customHeight="1" s="63">
      <c r="E2337" s="139" t="n"/>
      <c r="F2337" s="139" t="n"/>
      <c r="G2337" s="140">
        <f>IFERROR(IF(E2337&gt;0,(F2337/E2337)*1000,""),"")</f>
        <v/>
      </c>
      <c r="H2337" s="139">
        <f>IFERROR(IF(E2337&gt;0,E2337*IF(ISNUMBER(J2337),J2337,IF(OR(C2337="Alpha",B2337="Alpha"),$C$7,IF(C2337="Futures",$C$6,$C$5))),""),"")</f>
        <v/>
      </c>
      <c r="I2337" s="139">
        <f>IFERROR(IF(AND(ISNUMBER(F2337),ISNUMBER(H2337)),F2337-H2337,""),"")</f>
        <v/>
      </c>
      <c r="J2337" s="114" t="n"/>
      <c r="K2337" s="139">
        <f>IFERROR(IF(H2337&gt;0,H2337*IF(OR(C2337="Alpha",B2337="Alpha"),$C$9,$C$8),""),"")</f>
        <v/>
      </c>
      <c r="L2337" s="139">
        <f>IFERROR(IF(ISNUMBER(F2337),F2337-IF(ISNUMBER(K2337),K2337,0),""),"")</f>
        <v/>
      </c>
    </row>
    <row r="2338" ht="24" customHeight="1" s="63">
      <c r="E2338" s="139" t="n"/>
      <c r="F2338" s="139" t="n"/>
      <c r="G2338" s="140">
        <f>IFERROR(IF(E2338&gt;0,(F2338/E2338)*1000,""),"")</f>
        <v/>
      </c>
      <c r="H2338" s="139">
        <f>IFERROR(IF(E2338&gt;0,E2338*IF(ISNUMBER(J2338),J2338,IF(OR(C2338="Alpha",B2338="Alpha"),$C$7,IF(C2338="Futures",$C$6,$C$5))),""),"")</f>
        <v/>
      </c>
      <c r="I2338" s="139">
        <f>IFERROR(IF(AND(ISNUMBER(F2338),ISNUMBER(H2338)),F2338-H2338,""),"")</f>
        <v/>
      </c>
      <c r="J2338" s="114" t="n"/>
      <c r="K2338" s="139">
        <f>IFERROR(IF(H2338&gt;0,H2338*IF(OR(C2338="Alpha",B2338="Alpha"),$C$9,$C$8),""),"")</f>
        <v/>
      </c>
      <c r="L2338" s="139">
        <f>IFERROR(IF(ISNUMBER(F2338),F2338-IF(ISNUMBER(K2338),K2338,0),""),"")</f>
        <v/>
      </c>
    </row>
    <row r="2339" ht="24" customHeight="1" s="63">
      <c r="E2339" s="139" t="n"/>
      <c r="F2339" s="139" t="n"/>
      <c r="G2339" s="140">
        <f>IFERROR(IF(E2339&gt;0,(F2339/E2339)*1000,""),"")</f>
        <v/>
      </c>
      <c r="H2339" s="139">
        <f>IFERROR(IF(E2339&gt;0,E2339*IF(ISNUMBER(J2339),J2339,IF(OR(C2339="Alpha",B2339="Alpha"),$C$7,IF(C2339="Futures",$C$6,$C$5))),""),"")</f>
        <v/>
      </c>
      <c r="I2339" s="139">
        <f>IFERROR(IF(AND(ISNUMBER(F2339),ISNUMBER(H2339)),F2339-H2339,""),"")</f>
        <v/>
      </c>
      <c r="J2339" s="114" t="n"/>
      <c r="K2339" s="139">
        <f>IFERROR(IF(H2339&gt;0,H2339*IF(OR(C2339="Alpha",B2339="Alpha"),$C$9,$C$8),""),"")</f>
        <v/>
      </c>
      <c r="L2339" s="139">
        <f>IFERROR(IF(ISNUMBER(F2339),F2339-IF(ISNUMBER(K2339),K2339,0),""),"")</f>
        <v/>
      </c>
    </row>
    <row r="2340" ht="24" customHeight="1" s="63">
      <c r="E2340" s="139" t="n"/>
      <c r="F2340" s="139" t="n"/>
      <c r="G2340" s="140">
        <f>IFERROR(IF(E2340&gt;0,(F2340/E2340)*1000,""),"")</f>
        <v/>
      </c>
      <c r="H2340" s="139">
        <f>IFERROR(IF(E2340&gt;0,E2340*IF(ISNUMBER(J2340),J2340,IF(OR(C2340="Alpha",B2340="Alpha"),$C$7,IF(C2340="Futures",$C$6,$C$5))),""),"")</f>
        <v/>
      </c>
      <c r="I2340" s="139">
        <f>IFERROR(IF(AND(ISNUMBER(F2340),ISNUMBER(H2340)),F2340-H2340,""),"")</f>
        <v/>
      </c>
      <c r="J2340" s="114" t="n"/>
      <c r="K2340" s="139">
        <f>IFERROR(IF(H2340&gt;0,H2340*IF(OR(C2340="Alpha",B2340="Alpha"),$C$9,$C$8),""),"")</f>
        <v/>
      </c>
      <c r="L2340" s="139">
        <f>IFERROR(IF(ISNUMBER(F2340),F2340-IF(ISNUMBER(K2340),K2340,0),""),"")</f>
        <v/>
      </c>
    </row>
    <row r="2341" ht="24" customHeight="1" s="63">
      <c r="E2341" s="139" t="n"/>
      <c r="F2341" s="139" t="n"/>
      <c r="G2341" s="140">
        <f>IFERROR(IF(E2341&gt;0,(F2341/E2341)*1000,""),"")</f>
        <v/>
      </c>
      <c r="H2341" s="139">
        <f>IFERROR(IF(E2341&gt;0,E2341*IF(ISNUMBER(J2341),J2341,IF(OR(C2341="Alpha",B2341="Alpha"),$C$7,IF(C2341="Futures",$C$6,$C$5))),""),"")</f>
        <v/>
      </c>
      <c r="I2341" s="139">
        <f>IFERROR(IF(AND(ISNUMBER(F2341),ISNUMBER(H2341)),F2341-H2341,""),"")</f>
        <v/>
      </c>
      <c r="J2341" s="114" t="n"/>
      <c r="K2341" s="139">
        <f>IFERROR(IF(H2341&gt;0,H2341*IF(OR(C2341="Alpha",B2341="Alpha"),$C$9,$C$8),""),"")</f>
        <v/>
      </c>
      <c r="L2341" s="139">
        <f>IFERROR(IF(ISNUMBER(F2341),F2341-IF(ISNUMBER(K2341),K2341,0),""),"")</f>
        <v/>
      </c>
    </row>
    <row r="2342" ht="24" customHeight="1" s="63">
      <c r="E2342" s="139" t="n"/>
      <c r="F2342" s="139" t="n"/>
      <c r="G2342" s="140">
        <f>IFERROR(IF(E2342&gt;0,(F2342/E2342)*1000,""),"")</f>
        <v/>
      </c>
      <c r="H2342" s="139">
        <f>IFERROR(IF(E2342&gt;0,E2342*IF(ISNUMBER(J2342),J2342,IF(OR(C2342="Alpha",B2342="Alpha"),$C$7,IF(C2342="Futures",$C$6,$C$5))),""),"")</f>
        <v/>
      </c>
      <c r="I2342" s="139">
        <f>IFERROR(IF(AND(ISNUMBER(F2342),ISNUMBER(H2342)),F2342-H2342,""),"")</f>
        <v/>
      </c>
      <c r="J2342" s="114" t="n"/>
      <c r="K2342" s="139">
        <f>IFERROR(IF(H2342&gt;0,H2342*IF(OR(C2342="Alpha",B2342="Alpha"),$C$9,$C$8),""),"")</f>
        <v/>
      </c>
      <c r="L2342" s="139">
        <f>IFERROR(IF(ISNUMBER(F2342),F2342-IF(ISNUMBER(K2342),K2342,0),""),"")</f>
        <v/>
      </c>
    </row>
    <row r="2343" ht="24" customHeight="1" s="63">
      <c r="E2343" s="139" t="n"/>
      <c r="F2343" s="139" t="n"/>
      <c r="G2343" s="140">
        <f>IFERROR(IF(E2343&gt;0,(F2343/E2343)*1000,""),"")</f>
        <v/>
      </c>
      <c r="H2343" s="139">
        <f>IFERROR(IF(E2343&gt;0,E2343*IF(ISNUMBER(J2343),J2343,IF(OR(C2343="Alpha",B2343="Alpha"),$C$7,IF(C2343="Futures",$C$6,$C$5))),""),"")</f>
        <v/>
      </c>
      <c r="I2343" s="139">
        <f>IFERROR(IF(AND(ISNUMBER(F2343),ISNUMBER(H2343)),F2343-H2343,""),"")</f>
        <v/>
      </c>
      <c r="J2343" s="114" t="n"/>
      <c r="K2343" s="139">
        <f>IFERROR(IF(H2343&gt;0,H2343*IF(OR(C2343="Alpha",B2343="Alpha"),$C$9,$C$8),""),"")</f>
        <v/>
      </c>
      <c r="L2343" s="139">
        <f>IFERROR(IF(ISNUMBER(F2343),F2343-IF(ISNUMBER(K2343),K2343,0),""),"")</f>
        <v/>
      </c>
    </row>
    <row r="2344" ht="24" customHeight="1" s="63">
      <c r="E2344" s="139" t="n"/>
      <c r="F2344" s="139" t="n"/>
      <c r="G2344" s="140">
        <f>IFERROR(IF(E2344&gt;0,(F2344/E2344)*1000,""),"")</f>
        <v/>
      </c>
      <c r="H2344" s="139">
        <f>IFERROR(IF(E2344&gt;0,E2344*IF(ISNUMBER(J2344),J2344,IF(OR(C2344="Alpha",B2344="Alpha"),$C$7,IF(C2344="Futures",$C$6,$C$5))),""),"")</f>
        <v/>
      </c>
      <c r="I2344" s="139">
        <f>IFERROR(IF(AND(ISNUMBER(F2344),ISNUMBER(H2344)),F2344-H2344,""),"")</f>
        <v/>
      </c>
      <c r="J2344" s="114" t="n"/>
      <c r="K2344" s="139">
        <f>IFERROR(IF(H2344&gt;0,H2344*IF(OR(C2344="Alpha",B2344="Alpha"),$C$9,$C$8),""),"")</f>
        <v/>
      </c>
      <c r="L2344" s="139">
        <f>IFERROR(IF(ISNUMBER(F2344),F2344-IF(ISNUMBER(K2344),K2344,0),""),"")</f>
        <v/>
      </c>
    </row>
    <row r="2345" ht="24" customHeight="1" s="63">
      <c r="E2345" s="139" t="n"/>
      <c r="F2345" s="139" t="n"/>
      <c r="G2345" s="140">
        <f>IFERROR(IF(E2345&gt;0,(F2345/E2345)*1000,""),"")</f>
        <v/>
      </c>
      <c r="H2345" s="139">
        <f>IFERROR(IF(E2345&gt;0,E2345*IF(ISNUMBER(J2345),J2345,IF(OR(C2345="Alpha",B2345="Alpha"),$C$7,IF(C2345="Futures",$C$6,$C$5))),""),"")</f>
        <v/>
      </c>
      <c r="I2345" s="139">
        <f>IFERROR(IF(AND(ISNUMBER(F2345),ISNUMBER(H2345)),F2345-H2345,""),"")</f>
        <v/>
      </c>
      <c r="J2345" s="114" t="n"/>
      <c r="K2345" s="139">
        <f>IFERROR(IF(H2345&gt;0,H2345*IF(OR(C2345="Alpha",B2345="Alpha"),$C$9,$C$8),""),"")</f>
        <v/>
      </c>
      <c r="L2345" s="139">
        <f>IFERROR(IF(ISNUMBER(F2345),F2345-IF(ISNUMBER(K2345),K2345,0),""),"")</f>
        <v/>
      </c>
    </row>
    <row r="2346" ht="24" customHeight="1" s="63">
      <c r="E2346" s="139" t="n"/>
      <c r="F2346" s="139" t="n"/>
      <c r="G2346" s="140">
        <f>IFERROR(IF(E2346&gt;0,(F2346/E2346)*1000,""),"")</f>
        <v/>
      </c>
      <c r="H2346" s="139">
        <f>IFERROR(IF(E2346&gt;0,E2346*IF(ISNUMBER(J2346),J2346,IF(OR(C2346="Alpha",B2346="Alpha"),$C$7,IF(C2346="Futures",$C$6,$C$5))),""),"")</f>
        <v/>
      </c>
      <c r="I2346" s="139">
        <f>IFERROR(IF(AND(ISNUMBER(F2346),ISNUMBER(H2346)),F2346-H2346,""),"")</f>
        <v/>
      </c>
      <c r="J2346" s="114" t="n"/>
      <c r="K2346" s="139">
        <f>IFERROR(IF(H2346&gt;0,H2346*IF(OR(C2346="Alpha",B2346="Alpha"),$C$9,$C$8),""),"")</f>
        <v/>
      </c>
      <c r="L2346" s="139">
        <f>IFERROR(IF(ISNUMBER(F2346),F2346-IF(ISNUMBER(K2346),K2346,0),""),"")</f>
        <v/>
      </c>
    </row>
    <row r="2347" ht="24" customHeight="1" s="63">
      <c r="E2347" s="139" t="n"/>
      <c r="F2347" s="139" t="n"/>
      <c r="G2347" s="140">
        <f>IFERROR(IF(E2347&gt;0,(F2347/E2347)*1000,""),"")</f>
        <v/>
      </c>
      <c r="H2347" s="139">
        <f>IFERROR(IF(E2347&gt;0,E2347*IF(ISNUMBER(J2347),J2347,IF(OR(C2347="Alpha",B2347="Alpha"),$C$7,IF(C2347="Futures",$C$6,$C$5))),""),"")</f>
        <v/>
      </c>
      <c r="I2347" s="139">
        <f>IFERROR(IF(AND(ISNUMBER(F2347),ISNUMBER(H2347)),F2347-H2347,""),"")</f>
        <v/>
      </c>
      <c r="J2347" s="114" t="n"/>
      <c r="K2347" s="139">
        <f>IFERROR(IF(H2347&gt;0,H2347*IF(OR(C2347="Alpha",B2347="Alpha"),$C$9,$C$8),""),"")</f>
        <v/>
      </c>
      <c r="L2347" s="139">
        <f>IFERROR(IF(ISNUMBER(F2347),F2347-IF(ISNUMBER(K2347),K2347,0),""),"")</f>
        <v/>
      </c>
    </row>
    <row r="2348" ht="24" customHeight="1" s="63">
      <c r="E2348" s="139" t="n"/>
      <c r="F2348" s="139" t="n"/>
      <c r="G2348" s="140">
        <f>IFERROR(IF(E2348&gt;0,(F2348/E2348)*1000,""),"")</f>
        <v/>
      </c>
      <c r="H2348" s="139">
        <f>IFERROR(IF(E2348&gt;0,E2348*IF(ISNUMBER(J2348),J2348,IF(OR(C2348="Alpha",B2348="Alpha"),$C$7,IF(C2348="Futures",$C$6,$C$5))),""),"")</f>
        <v/>
      </c>
      <c r="I2348" s="139">
        <f>IFERROR(IF(AND(ISNUMBER(F2348),ISNUMBER(H2348)),F2348-H2348,""),"")</f>
        <v/>
      </c>
      <c r="J2348" s="114" t="n"/>
      <c r="K2348" s="139">
        <f>IFERROR(IF(H2348&gt;0,H2348*IF(OR(C2348="Alpha",B2348="Alpha"),$C$9,$C$8),""),"")</f>
        <v/>
      </c>
      <c r="L2348" s="139">
        <f>IFERROR(IF(ISNUMBER(F2348),F2348-IF(ISNUMBER(K2348),K2348,0),""),"")</f>
        <v/>
      </c>
    </row>
    <row r="2349" ht="24" customHeight="1" s="63">
      <c r="E2349" s="139" t="n"/>
      <c r="F2349" s="139" t="n"/>
      <c r="G2349" s="140">
        <f>IFERROR(IF(E2349&gt;0,(F2349/E2349)*1000,""),"")</f>
        <v/>
      </c>
      <c r="H2349" s="139">
        <f>IFERROR(IF(E2349&gt;0,E2349*IF(ISNUMBER(J2349),J2349,IF(OR(C2349="Alpha",B2349="Alpha"),$C$7,IF(C2349="Futures",$C$6,$C$5))),""),"")</f>
        <v/>
      </c>
      <c r="I2349" s="139">
        <f>IFERROR(IF(AND(ISNUMBER(F2349),ISNUMBER(H2349)),F2349-H2349,""),"")</f>
        <v/>
      </c>
      <c r="J2349" s="114" t="n"/>
      <c r="K2349" s="139">
        <f>IFERROR(IF(H2349&gt;0,H2349*IF(OR(C2349="Alpha",B2349="Alpha"),$C$9,$C$8),""),"")</f>
        <v/>
      </c>
      <c r="L2349" s="139">
        <f>IFERROR(IF(ISNUMBER(F2349),F2349-IF(ISNUMBER(K2349),K2349,0),""),"")</f>
        <v/>
      </c>
    </row>
    <row r="2350" ht="24" customHeight="1" s="63">
      <c r="E2350" s="139" t="n"/>
      <c r="F2350" s="139" t="n"/>
      <c r="G2350" s="140">
        <f>IFERROR(IF(E2350&gt;0,(F2350/E2350)*1000,""),"")</f>
        <v/>
      </c>
      <c r="H2350" s="139">
        <f>IFERROR(IF(E2350&gt;0,E2350*IF(ISNUMBER(J2350),J2350,IF(OR(C2350="Alpha",B2350="Alpha"),$C$7,IF(C2350="Futures",$C$6,$C$5))),""),"")</f>
        <v/>
      </c>
      <c r="I2350" s="139">
        <f>IFERROR(IF(AND(ISNUMBER(F2350),ISNUMBER(H2350)),F2350-H2350,""),"")</f>
        <v/>
      </c>
      <c r="J2350" s="114" t="n"/>
      <c r="K2350" s="139">
        <f>IFERROR(IF(H2350&gt;0,H2350*IF(OR(C2350="Alpha",B2350="Alpha"),$C$9,$C$8),""),"")</f>
        <v/>
      </c>
      <c r="L2350" s="139">
        <f>IFERROR(IF(ISNUMBER(F2350),F2350-IF(ISNUMBER(K2350),K2350,0),""),"")</f>
        <v/>
      </c>
    </row>
    <row r="2351" ht="24" customHeight="1" s="63">
      <c r="E2351" s="139" t="n"/>
      <c r="F2351" s="139" t="n"/>
      <c r="G2351" s="140">
        <f>IFERROR(IF(E2351&gt;0,(F2351/E2351)*1000,""),"")</f>
        <v/>
      </c>
      <c r="H2351" s="139">
        <f>IFERROR(IF(E2351&gt;0,E2351*IF(ISNUMBER(J2351),J2351,IF(OR(C2351="Alpha",B2351="Alpha"),$C$7,IF(C2351="Futures",$C$6,$C$5))),""),"")</f>
        <v/>
      </c>
      <c r="I2351" s="139">
        <f>IFERROR(IF(AND(ISNUMBER(F2351),ISNUMBER(H2351)),F2351-H2351,""),"")</f>
        <v/>
      </c>
      <c r="J2351" s="114" t="n"/>
      <c r="K2351" s="139">
        <f>IFERROR(IF(H2351&gt;0,H2351*IF(OR(C2351="Alpha",B2351="Alpha"),$C$9,$C$8),""),"")</f>
        <v/>
      </c>
      <c r="L2351" s="139">
        <f>IFERROR(IF(ISNUMBER(F2351),F2351-IF(ISNUMBER(K2351),K2351,0),""),"")</f>
        <v/>
      </c>
    </row>
    <row r="2352" ht="24" customHeight="1" s="63">
      <c r="E2352" s="139" t="n"/>
      <c r="F2352" s="139" t="n"/>
      <c r="G2352" s="140">
        <f>IFERROR(IF(E2352&gt;0,(F2352/E2352)*1000,""),"")</f>
        <v/>
      </c>
      <c r="H2352" s="139">
        <f>IFERROR(IF(E2352&gt;0,E2352*IF(ISNUMBER(J2352),J2352,IF(OR(C2352="Alpha",B2352="Alpha"),$C$7,IF(C2352="Futures",$C$6,$C$5))),""),"")</f>
        <v/>
      </c>
      <c r="I2352" s="139">
        <f>IFERROR(IF(AND(ISNUMBER(F2352),ISNUMBER(H2352)),F2352-H2352,""),"")</f>
        <v/>
      </c>
      <c r="J2352" s="114" t="n"/>
      <c r="K2352" s="139">
        <f>IFERROR(IF(H2352&gt;0,H2352*IF(OR(C2352="Alpha",B2352="Alpha"),$C$9,$C$8),""),"")</f>
        <v/>
      </c>
      <c r="L2352" s="139">
        <f>IFERROR(IF(ISNUMBER(F2352),F2352-IF(ISNUMBER(K2352),K2352,0),""),"")</f>
        <v/>
      </c>
    </row>
    <row r="2353" ht="24" customHeight="1" s="63">
      <c r="E2353" s="139" t="n"/>
      <c r="F2353" s="139" t="n"/>
      <c r="G2353" s="140">
        <f>IFERROR(IF(E2353&gt;0,(F2353/E2353)*1000,""),"")</f>
        <v/>
      </c>
      <c r="H2353" s="139">
        <f>IFERROR(IF(E2353&gt;0,E2353*IF(ISNUMBER(J2353),J2353,IF(OR(C2353="Alpha",B2353="Alpha"),$C$7,IF(C2353="Futures",$C$6,$C$5))),""),"")</f>
        <v/>
      </c>
      <c r="I2353" s="139">
        <f>IFERROR(IF(AND(ISNUMBER(F2353),ISNUMBER(H2353)),F2353-H2353,""),"")</f>
        <v/>
      </c>
      <c r="J2353" s="114" t="n"/>
      <c r="K2353" s="139">
        <f>IFERROR(IF(H2353&gt;0,H2353*IF(OR(C2353="Alpha",B2353="Alpha"),$C$9,$C$8),""),"")</f>
        <v/>
      </c>
      <c r="L2353" s="139">
        <f>IFERROR(IF(ISNUMBER(F2353),F2353-IF(ISNUMBER(K2353),K2353,0),""),"")</f>
        <v/>
      </c>
    </row>
    <row r="2354" ht="24" customHeight="1" s="63">
      <c r="E2354" s="139" t="n"/>
      <c r="F2354" s="139" t="n"/>
      <c r="G2354" s="140">
        <f>IFERROR(IF(E2354&gt;0,(F2354/E2354)*1000,""),"")</f>
        <v/>
      </c>
      <c r="H2354" s="139">
        <f>IFERROR(IF(E2354&gt;0,E2354*IF(ISNUMBER(J2354),J2354,IF(OR(C2354="Alpha",B2354="Alpha"),$C$7,IF(C2354="Futures",$C$6,$C$5))),""),"")</f>
        <v/>
      </c>
      <c r="I2354" s="139">
        <f>IFERROR(IF(AND(ISNUMBER(F2354),ISNUMBER(H2354)),F2354-H2354,""),"")</f>
        <v/>
      </c>
      <c r="J2354" s="114" t="n"/>
      <c r="K2354" s="139">
        <f>IFERROR(IF(H2354&gt;0,H2354*IF(OR(C2354="Alpha",B2354="Alpha"),$C$9,$C$8),""),"")</f>
        <v/>
      </c>
      <c r="L2354" s="139">
        <f>IFERROR(IF(ISNUMBER(F2354),F2354-IF(ISNUMBER(K2354),K2354,0),""),"")</f>
        <v/>
      </c>
    </row>
    <row r="2355" ht="24" customHeight="1" s="63">
      <c r="E2355" s="139" t="n"/>
      <c r="F2355" s="139" t="n"/>
      <c r="G2355" s="140">
        <f>IFERROR(IF(E2355&gt;0,(F2355/E2355)*1000,""),"")</f>
        <v/>
      </c>
      <c r="H2355" s="139">
        <f>IFERROR(IF(E2355&gt;0,E2355*IF(ISNUMBER(J2355),J2355,IF(OR(C2355="Alpha",B2355="Alpha"),$C$7,IF(C2355="Futures",$C$6,$C$5))),""),"")</f>
        <v/>
      </c>
      <c r="I2355" s="139">
        <f>IFERROR(IF(AND(ISNUMBER(F2355),ISNUMBER(H2355)),F2355-H2355,""),"")</f>
        <v/>
      </c>
      <c r="J2355" s="114" t="n"/>
      <c r="K2355" s="139">
        <f>IFERROR(IF(H2355&gt;0,H2355*IF(OR(C2355="Alpha",B2355="Alpha"),$C$9,$C$8),""),"")</f>
        <v/>
      </c>
      <c r="L2355" s="139">
        <f>IFERROR(IF(ISNUMBER(F2355),F2355-IF(ISNUMBER(K2355),K2355,0),""),"")</f>
        <v/>
      </c>
    </row>
    <row r="2356" ht="24" customHeight="1" s="63">
      <c r="E2356" s="139" t="n"/>
      <c r="F2356" s="139" t="n"/>
      <c r="G2356" s="140">
        <f>IFERROR(IF(E2356&gt;0,(F2356/E2356)*1000,""),"")</f>
        <v/>
      </c>
      <c r="H2356" s="139">
        <f>IFERROR(IF(E2356&gt;0,E2356*IF(ISNUMBER(J2356),J2356,IF(OR(C2356="Alpha",B2356="Alpha"),$C$7,IF(C2356="Futures",$C$6,$C$5))),""),"")</f>
        <v/>
      </c>
      <c r="I2356" s="139">
        <f>IFERROR(IF(AND(ISNUMBER(F2356),ISNUMBER(H2356)),F2356-H2356,""),"")</f>
        <v/>
      </c>
      <c r="J2356" s="114" t="n"/>
      <c r="K2356" s="139">
        <f>IFERROR(IF(H2356&gt;0,H2356*IF(OR(C2356="Alpha",B2356="Alpha"),$C$9,$C$8),""),"")</f>
        <v/>
      </c>
      <c r="L2356" s="139">
        <f>IFERROR(IF(ISNUMBER(F2356),F2356-IF(ISNUMBER(K2356),K2356,0),""),"")</f>
        <v/>
      </c>
    </row>
    <row r="2357" ht="24" customHeight="1" s="63">
      <c r="E2357" s="139" t="n"/>
      <c r="F2357" s="139" t="n"/>
      <c r="G2357" s="140">
        <f>IFERROR(IF(E2357&gt;0,(F2357/E2357)*1000,""),"")</f>
        <v/>
      </c>
      <c r="H2357" s="139">
        <f>IFERROR(IF(E2357&gt;0,E2357*IF(ISNUMBER(J2357),J2357,IF(OR(C2357="Alpha",B2357="Alpha"),$C$7,IF(C2357="Futures",$C$6,$C$5))),""),"")</f>
        <v/>
      </c>
      <c r="I2357" s="139">
        <f>IFERROR(IF(AND(ISNUMBER(F2357),ISNUMBER(H2357)),F2357-H2357,""),"")</f>
        <v/>
      </c>
      <c r="J2357" s="114" t="n"/>
      <c r="K2357" s="139">
        <f>IFERROR(IF(H2357&gt;0,H2357*IF(OR(C2357="Alpha",B2357="Alpha"),$C$9,$C$8),""),"")</f>
        <v/>
      </c>
      <c r="L2357" s="139">
        <f>IFERROR(IF(ISNUMBER(F2357),F2357-IF(ISNUMBER(K2357),K2357,0),""),"")</f>
        <v/>
      </c>
    </row>
    <row r="2358" ht="24" customHeight="1" s="63">
      <c r="E2358" s="139" t="n"/>
      <c r="F2358" s="139" t="n"/>
      <c r="G2358" s="140">
        <f>IFERROR(IF(E2358&gt;0,(F2358/E2358)*1000,""),"")</f>
        <v/>
      </c>
      <c r="H2358" s="139">
        <f>IFERROR(IF(E2358&gt;0,E2358*IF(ISNUMBER(J2358),J2358,IF(OR(C2358="Alpha",B2358="Alpha"),$C$7,IF(C2358="Futures",$C$6,$C$5))),""),"")</f>
        <v/>
      </c>
      <c r="I2358" s="139">
        <f>IFERROR(IF(AND(ISNUMBER(F2358),ISNUMBER(H2358)),F2358-H2358,""),"")</f>
        <v/>
      </c>
      <c r="J2358" s="114" t="n"/>
      <c r="K2358" s="139">
        <f>IFERROR(IF(H2358&gt;0,H2358*IF(OR(C2358="Alpha",B2358="Alpha"),$C$9,$C$8),""),"")</f>
        <v/>
      </c>
      <c r="L2358" s="139">
        <f>IFERROR(IF(ISNUMBER(F2358),F2358-IF(ISNUMBER(K2358),K2358,0),""),"")</f>
        <v/>
      </c>
    </row>
    <row r="2359" ht="24" customHeight="1" s="63">
      <c r="E2359" s="139" t="n"/>
      <c r="F2359" s="139" t="n"/>
      <c r="G2359" s="140">
        <f>IFERROR(IF(E2359&gt;0,(F2359/E2359)*1000,""),"")</f>
        <v/>
      </c>
      <c r="H2359" s="139">
        <f>IFERROR(IF(E2359&gt;0,E2359*IF(ISNUMBER(J2359),J2359,IF(OR(C2359="Alpha",B2359="Alpha"),$C$7,IF(C2359="Futures",$C$6,$C$5))),""),"")</f>
        <v/>
      </c>
      <c r="I2359" s="139">
        <f>IFERROR(IF(AND(ISNUMBER(F2359),ISNUMBER(H2359)),F2359-H2359,""),"")</f>
        <v/>
      </c>
      <c r="J2359" s="114" t="n"/>
      <c r="K2359" s="139">
        <f>IFERROR(IF(H2359&gt;0,H2359*IF(OR(C2359="Alpha",B2359="Alpha"),$C$9,$C$8),""),"")</f>
        <v/>
      </c>
      <c r="L2359" s="139">
        <f>IFERROR(IF(ISNUMBER(F2359),F2359-IF(ISNUMBER(K2359),K2359,0),""),"")</f>
        <v/>
      </c>
    </row>
    <row r="2360" ht="24" customHeight="1" s="63">
      <c r="E2360" s="139" t="n"/>
      <c r="F2360" s="139" t="n"/>
      <c r="G2360" s="140">
        <f>IFERROR(IF(E2360&gt;0,(F2360/E2360)*1000,""),"")</f>
        <v/>
      </c>
      <c r="H2360" s="139">
        <f>IFERROR(IF(E2360&gt;0,E2360*IF(ISNUMBER(J2360),J2360,IF(OR(C2360="Alpha",B2360="Alpha"),$C$7,IF(C2360="Futures",$C$6,$C$5))),""),"")</f>
        <v/>
      </c>
      <c r="I2360" s="139">
        <f>IFERROR(IF(AND(ISNUMBER(F2360),ISNUMBER(H2360)),F2360-H2360,""),"")</f>
        <v/>
      </c>
      <c r="J2360" s="114" t="n"/>
      <c r="K2360" s="139">
        <f>IFERROR(IF(H2360&gt;0,H2360*IF(OR(C2360="Alpha",B2360="Alpha"),$C$9,$C$8),""),"")</f>
        <v/>
      </c>
      <c r="L2360" s="139">
        <f>IFERROR(IF(ISNUMBER(F2360),F2360-IF(ISNUMBER(K2360),K2360,0),""),"")</f>
        <v/>
      </c>
    </row>
    <row r="2361" ht="24" customHeight="1" s="63">
      <c r="E2361" s="139" t="n"/>
      <c r="F2361" s="139" t="n"/>
      <c r="G2361" s="140">
        <f>IFERROR(IF(E2361&gt;0,(F2361/E2361)*1000,""),"")</f>
        <v/>
      </c>
      <c r="H2361" s="139">
        <f>IFERROR(IF(E2361&gt;0,E2361*IF(ISNUMBER(J2361),J2361,IF(OR(C2361="Alpha",B2361="Alpha"),$C$7,IF(C2361="Futures",$C$6,$C$5))),""),"")</f>
        <v/>
      </c>
      <c r="I2361" s="139">
        <f>IFERROR(IF(AND(ISNUMBER(F2361),ISNUMBER(H2361)),F2361-H2361,""),"")</f>
        <v/>
      </c>
      <c r="J2361" s="114" t="n"/>
      <c r="K2361" s="139">
        <f>IFERROR(IF(H2361&gt;0,H2361*IF(OR(C2361="Alpha",B2361="Alpha"),$C$9,$C$8),""),"")</f>
        <v/>
      </c>
      <c r="L2361" s="139">
        <f>IFERROR(IF(ISNUMBER(F2361),F2361-IF(ISNUMBER(K2361),K2361,0),""),"")</f>
        <v/>
      </c>
    </row>
    <row r="2362" ht="24" customHeight="1" s="63">
      <c r="E2362" s="139" t="n"/>
      <c r="F2362" s="139" t="n"/>
      <c r="G2362" s="140">
        <f>IFERROR(IF(E2362&gt;0,(F2362/E2362)*1000,""),"")</f>
        <v/>
      </c>
      <c r="H2362" s="139">
        <f>IFERROR(IF(E2362&gt;0,E2362*IF(ISNUMBER(J2362),J2362,IF(OR(C2362="Alpha",B2362="Alpha"),$C$7,IF(C2362="Futures",$C$6,$C$5))),""),"")</f>
        <v/>
      </c>
      <c r="I2362" s="139">
        <f>IFERROR(IF(AND(ISNUMBER(F2362),ISNUMBER(H2362)),F2362-H2362,""),"")</f>
        <v/>
      </c>
      <c r="J2362" s="114" t="n"/>
      <c r="K2362" s="139">
        <f>IFERROR(IF(H2362&gt;0,H2362*IF(OR(C2362="Alpha",B2362="Alpha"),$C$9,$C$8),""),"")</f>
        <v/>
      </c>
      <c r="L2362" s="139">
        <f>IFERROR(IF(ISNUMBER(F2362),F2362-IF(ISNUMBER(K2362),K2362,0),""),"")</f>
        <v/>
      </c>
    </row>
    <row r="2363" ht="24" customHeight="1" s="63">
      <c r="E2363" s="139" t="n"/>
      <c r="F2363" s="139" t="n"/>
      <c r="G2363" s="140">
        <f>IFERROR(IF(E2363&gt;0,(F2363/E2363)*1000,""),"")</f>
        <v/>
      </c>
      <c r="H2363" s="139">
        <f>IFERROR(IF(E2363&gt;0,E2363*IF(ISNUMBER(J2363),J2363,IF(OR(C2363="Alpha",B2363="Alpha"),$C$7,IF(C2363="Futures",$C$6,$C$5))),""),"")</f>
        <v/>
      </c>
      <c r="I2363" s="139">
        <f>IFERROR(IF(AND(ISNUMBER(F2363),ISNUMBER(H2363)),F2363-H2363,""),"")</f>
        <v/>
      </c>
      <c r="J2363" s="114" t="n"/>
      <c r="K2363" s="139">
        <f>IFERROR(IF(H2363&gt;0,H2363*IF(OR(C2363="Alpha",B2363="Alpha"),$C$9,$C$8),""),"")</f>
        <v/>
      </c>
      <c r="L2363" s="139">
        <f>IFERROR(IF(ISNUMBER(F2363),F2363-IF(ISNUMBER(K2363),K2363,0),""),"")</f>
        <v/>
      </c>
    </row>
    <row r="2364" ht="24" customHeight="1" s="63">
      <c r="E2364" s="139" t="n"/>
      <c r="F2364" s="139" t="n"/>
      <c r="G2364" s="140">
        <f>IFERROR(IF(E2364&gt;0,(F2364/E2364)*1000,""),"")</f>
        <v/>
      </c>
      <c r="H2364" s="139">
        <f>IFERROR(IF(E2364&gt;0,E2364*IF(ISNUMBER(J2364),J2364,IF(OR(C2364="Alpha",B2364="Alpha"),$C$7,IF(C2364="Futures",$C$6,$C$5))),""),"")</f>
        <v/>
      </c>
      <c r="I2364" s="139">
        <f>IFERROR(IF(AND(ISNUMBER(F2364),ISNUMBER(H2364)),F2364-H2364,""),"")</f>
        <v/>
      </c>
      <c r="J2364" s="114" t="n"/>
      <c r="K2364" s="139">
        <f>IFERROR(IF(H2364&gt;0,H2364*IF(OR(C2364="Alpha",B2364="Alpha"),$C$9,$C$8),""),"")</f>
        <v/>
      </c>
      <c r="L2364" s="139">
        <f>IFERROR(IF(ISNUMBER(F2364),F2364-IF(ISNUMBER(K2364),K2364,0),""),"")</f>
        <v/>
      </c>
    </row>
    <row r="2365" ht="24" customHeight="1" s="63">
      <c r="E2365" s="139" t="n"/>
      <c r="F2365" s="139" t="n"/>
      <c r="G2365" s="140">
        <f>IFERROR(IF(E2365&gt;0,(F2365/E2365)*1000,""),"")</f>
        <v/>
      </c>
      <c r="H2365" s="139">
        <f>IFERROR(IF(E2365&gt;0,E2365*IF(ISNUMBER(J2365),J2365,IF(OR(C2365="Alpha",B2365="Alpha"),$C$7,IF(C2365="Futures",$C$6,$C$5))),""),"")</f>
        <v/>
      </c>
      <c r="I2365" s="139">
        <f>IFERROR(IF(AND(ISNUMBER(F2365),ISNUMBER(H2365)),F2365-H2365,""),"")</f>
        <v/>
      </c>
      <c r="J2365" s="114" t="n"/>
      <c r="K2365" s="139">
        <f>IFERROR(IF(H2365&gt;0,H2365*IF(OR(C2365="Alpha",B2365="Alpha"),$C$9,$C$8),""),"")</f>
        <v/>
      </c>
      <c r="L2365" s="139">
        <f>IFERROR(IF(ISNUMBER(F2365),F2365-IF(ISNUMBER(K2365),K2365,0),""),"")</f>
        <v/>
      </c>
    </row>
    <row r="2366" ht="24" customHeight="1" s="63">
      <c r="E2366" s="139" t="n"/>
      <c r="F2366" s="139" t="n"/>
      <c r="G2366" s="140">
        <f>IFERROR(IF(E2366&gt;0,(F2366/E2366)*1000,""),"")</f>
        <v/>
      </c>
      <c r="H2366" s="139">
        <f>IFERROR(IF(E2366&gt;0,E2366*IF(ISNUMBER(J2366),J2366,IF(OR(C2366="Alpha",B2366="Alpha"),$C$7,IF(C2366="Futures",$C$6,$C$5))),""),"")</f>
        <v/>
      </c>
      <c r="I2366" s="139">
        <f>IFERROR(IF(AND(ISNUMBER(F2366),ISNUMBER(H2366)),F2366-H2366,""),"")</f>
        <v/>
      </c>
      <c r="J2366" s="114" t="n"/>
      <c r="K2366" s="139">
        <f>IFERROR(IF(H2366&gt;0,H2366*IF(OR(C2366="Alpha",B2366="Alpha"),$C$9,$C$8),""),"")</f>
        <v/>
      </c>
      <c r="L2366" s="139">
        <f>IFERROR(IF(ISNUMBER(F2366),F2366-IF(ISNUMBER(K2366),K2366,0),""),"")</f>
        <v/>
      </c>
    </row>
    <row r="2367" ht="24" customHeight="1" s="63">
      <c r="E2367" s="139" t="n"/>
      <c r="F2367" s="139" t="n"/>
      <c r="G2367" s="140">
        <f>IFERROR(IF(E2367&gt;0,(F2367/E2367)*1000,""),"")</f>
        <v/>
      </c>
      <c r="H2367" s="139">
        <f>IFERROR(IF(E2367&gt;0,E2367*IF(ISNUMBER(J2367),J2367,IF(OR(C2367="Alpha",B2367="Alpha"),$C$7,IF(C2367="Futures",$C$6,$C$5))),""),"")</f>
        <v/>
      </c>
      <c r="I2367" s="139">
        <f>IFERROR(IF(AND(ISNUMBER(F2367),ISNUMBER(H2367)),F2367-H2367,""),"")</f>
        <v/>
      </c>
      <c r="J2367" s="114" t="n"/>
      <c r="K2367" s="139">
        <f>IFERROR(IF(H2367&gt;0,H2367*IF(OR(C2367="Alpha",B2367="Alpha"),$C$9,$C$8),""),"")</f>
        <v/>
      </c>
      <c r="L2367" s="139">
        <f>IFERROR(IF(ISNUMBER(F2367),F2367-IF(ISNUMBER(K2367),K2367,0),""),"")</f>
        <v/>
      </c>
    </row>
    <row r="2368" ht="24" customHeight="1" s="63">
      <c r="E2368" s="139" t="n"/>
      <c r="F2368" s="139" t="n"/>
      <c r="G2368" s="140">
        <f>IFERROR(IF(E2368&gt;0,(F2368/E2368)*1000,""),"")</f>
        <v/>
      </c>
      <c r="H2368" s="139">
        <f>IFERROR(IF(E2368&gt;0,E2368*IF(ISNUMBER(J2368),J2368,IF(OR(C2368="Alpha",B2368="Alpha"),$C$7,IF(C2368="Futures",$C$6,$C$5))),""),"")</f>
        <v/>
      </c>
      <c r="I2368" s="139">
        <f>IFERROR(IF(AND(ISNUMBER(F2368),ISNUMBER(H2368)),F2368-H2368,""),"")</f>
        <v/>
      </c>
      <c r="J2368" s="114" t="n"/>
      <c r="K2368" s="139">
        <f>IFERROR(IF(H2368&gt;0,H2368*IF(OR(C2368="Alpha",B2368="Alpha"),$C$9,$C$8),""),"")</f>
        <v/>
      </c>
      <c r="L2368" s="139">
        <f>IFERROR(IF(ISNUMBER(F2368),F2368-IF(ISNUMBER(K2368),K2368,0),""),"")</f>
        <v/>
      </c>
    </row>
    <row r="2369" ht="24" customHeight="1" s="63">
      <c r="E2369" s="139" t="n"/>
      <c r="F2369" s="139" t="n"/>
      <c r="G2369" s="140">
        <f>IFERROR(IF(E2369&gt;0,(F2369/E2369)*1000,""),"")</f>
        <v/>
      </c>
      <c r="H2369" s="139">
        <f>IFERROR(IF(E2369&gt;0,E2369*IF(ISNUMBER(J2369),J2369,IF(OR(C2369="Alpha",B2369="Alpha"),$C$7,IF(C2369="Futures",$C$6,$C$5))),""),"")</f>
        <v/>
      </c>
      <c r="I2369" s="139">
        <f>IFERROR(IF(AND(ISNUMBER(F2369),ISNUMBER(H2369)),F2369-H2369,""),"")</f>
        <v/>
      </c>
      <c r="J2369" s="114" t="n"/>
      <c r="K2369" s="139">
        <f>IFERROR(IF(H2369&gt;0,H2369*IF(OR(C2369="Alpha",B2369="Alpha"),$C$9,$C$8),""),"")</f>
        <v/>
      </c>
      <c r="L2369" s="139">
        <f>IFERROR(IF(ISNUMBER(F2369),F2369-IF(ISNUMBER(K2369),K2369,0),""),"")</f>
        <v/>
      </c>
    </row>
    <row r="2370" ht="24" customHeight="1" s="63">
      <c r="E2370" s="139" t="n"/>
      <c r="F2370" s="139" t="n"/>
      <c r="G2370" s="140">
        <f>IFERROR(IF(E2370&gt;0,(F2370/E2370)*1000,""),"")</f>
        <v/>
      </c>
      <c r="H2370" s="139">
        <f>IFERROR(IF(E2370&gt;0,E2370*IF(ISNUMBER(J2370),J2370,IF(OR(C2370="Alpha",B2370="Alpha"),$C$7,IF(C2370="Futures",$C$6,$C$5))),""),"")</f>
        <v/>
      </c>
      <c r="I2370" s="139">
        <f>IFERROR(IF(AND(ISNUMBER(F2370),ISNUMBER(H2370)),F2370-H2370,""),"")</f>
        <v/>
      </c>
      <c r="J2370" s="114" t="n"/>
      <c r="K2370" s="139">
        <f>IFERROR(IF(H2370&gt;0,H2370*IF(OR(C2370="Alpha",B2370="Alpha"),$C$9,$C$8),""),"")</f>
        <v/>
      </c>
      <c r="L2370" s="139">
        <f>IFERROR(IF(ISNUMBER(F2370),F2370-IF(ISNUMBER(K2370),K2370,0),""),"")</f>
        <v/>
      </c>
    </row>
    <row r="2371" ht="24" customHeight="1" s="63">
      <c r="E2371" s="139" t="n"/>
      <c r="F2371" s="139" t="n"/>
      <c r="G2371" s="140">
        <f>IFERROR(IF(E2371&gt;0,(F2371/E2371)*1000,""),"")</f>
        <v/>
      </c>
      <c r="H2371" s="139">
        <f>IFERROR(IF(E2371&gt;0,E2371*IF(ISNUMBER(J2371),J2371,IF(OR(C2371="Alpha",B2371="Alpha"),$C$7,IF(C2371="Futures",$C$6,$C$5))),""),"")</f>
        <v/>
      </c>
      <c r="I2371" s="139">
        <f>IFERROR(IF(AND(ISNUMBER(F2371),ISNUMBER(H2371)),F2371-H2371,""),"")</f>
        <v/>
      </c>
      <c r="J2371" s="114" t="n"/>
      <c r="K2371" s="139">
        <f>IFERROR(IF(H2371&gt;0,H2371*IF(OR(C2371="Alpha",B2371="Alpha"),$C$9,$C$8),""),"")</f>
        <v/>
      </c>
      <c r="L2371" s="139">
        <f>IFERROR(IF(ISNUMBER(F2371),F2371-IF(ISNUMBER(K2371),K2371,0),""),"")</f>
        <v/>
      </c>
    </row>
    <row r="2372" ht="24" customHeight="1" s="63">
      <c r="E2372" s="139" t="n"/>
      <c r="F2372" s="139" t="n"/>
      <c r="G2372" s="140">
        <f>IFERROR(IF(E2372&gt;0,(F2372/E2372)*1000,""),"")</f>
        <v/>
      </c>
      <c r="H2372" s="139">
        <f>IFERROR(IF(E2372&gt;0,E2372*IF(ISNUMBER(J2372),J2372,IF(OR(C2372="Alpha",B2372="Alpha"),$C$7,IF(C2372="Futures",$C$6,$C$5))),""),"")</f>
        <v/>
      </c>
      <c r="I2372" s="139">
        <f>IFERROR(IF(AND(ISNUMBER(F2372),ISNUMBER(H2372)),F2372-H2372,""),"")</f>
        <v/>
      </c>
      <c r="J2372" s="114" t="n"/>
      <c r="K2372" s="139">
        <f>IFERROR(IF(H2372&gt;0,H2372*IF(OR(C2372="Alpha",B2372="Alpha"),$C$9,$C$8),""),"")</f>
        <v/>
      </c>
      <c r="L2372" s="139">
        <f>IFERROR(IF(ISNUMBER(F2372),F2372-IF(ISNUMBER(K2372),K2372,0),""),"")</f>
        <v/>
      </c>
    </row>
    <row r="2373" ht="24" customHeight="1" s="63">
      <c r="E2373" s="139" t="n"/>
      <c r="F2373" s="139" t="n"/>
      <c r="G2373" s="140">
        <f>IFERROR(IF(E2373&gt;0,(F2373/E2373)*1000,""),"")</f>
        <v/>
      </c>
      <c r="H2373" s="139">
        <f>IFERROR(IF(E2373&gt;0,E2373*IF(ISNUMBER(J2373),J2373,IF(OR(C2373="Alpha",B2373="Alpha"),$C$7,IF(C2373="Futures",$C$6,$C$5))),""),"")</f>
        <v/>
      </c>
      <c r="I2373" s="139">
        <f>IFERROR(IF(AND(ISNUMBER(F2373),ISNUMBER(H2373)),F2373-H2373,""),"")</f>
        <v/>
      </c>
      <c r="J2373" s="114" t="n"/>
      <c r="K2373" s="139">
        <f>IFERROR(IF(H2373&gt;0,H2373*IF(OR(C2373="Alpha",B2373="Alpha"),$C$9,$C$8),""),"")</f>
        <v/>
      </c>
      <c r="L2373" s="139">
        <f>IFERROR(IF(ISNUMBER(F2373),F2373-IF(ISNUMBER(K2373),K2373,0),""),"")</f>
        <v/>
      </c>
    </row>
    <row r="2374" ht="24" customHeight="1" s="63">
      <c r="E2374" s="139" t="n"/>
      <c r="F2374" s="139" t="n"/>
      <c r="G2374" s="140">
        <f>IFERROR(IF(E2374&gt;0,(F2374/E2374)*1000,""),"")</f>
        <v/>
      </c>
      <c r="H2374" s="139">
        <f>IFERROR(IF(E2374&gt;0,E2374*IF(ISNUMBER(J2374),J2374,IF(OR(C2374="Alpha",B2374="Alpha"),$C$7,IF(C2374="Futures",$C$6,$C$5))),""),"")</f>
        <v/>
      </c>
      <c r="I2374" s="139">
        <f>IFERROR(IF(AND(ISNUMBER(F2374),ISNUMBER(H2374)),F2374-H2374,""),"")</f>
        <v/>
      </c>
      <c r="J2374" s="114" t="n"/>
      <c r="K2374" s="139">
        <f>IFERROR(IF(H2374&gt;0,H2374*IF(OR(C2374="Alpha",B2374="Alpha"),$C$9,$C$8),""),"")</f>
        <v/>
      </c>
      <c r="L2374" s="139">
        <f>IFERROR(IF(ISNUMBER(F2374),F2374-IF(ISNUMBER(K2374),K2374,0),""),"")</f>
        <v/>
      </c>
    </row>
    <row r="2375" ht="24" customHeight="1" s="63">
      <c r="E2375" s="139" t="n"/>
      <c r="F2375" s="139" t="n"/>
      <c r="G2375" s="140">
        <f>IFERROR(IF(E2375&gt;0,(F2375/E2375)*1000,""),"")</f>
        <v/>
      </c>
      <c r="H2375" s="139">
        <f>IFERROR(IF(E2375&gt;0,E2375*IF(ISNUMBER(J2375),J2375,IF(OR(C2375="Alpha",B2375="Alpha"),$C$7,IF(C2375="Futures",$C$6,$C$5))),""),"")</f>
        <v/>
      </c>
      <c r="I2375" s="139">
        <f>IFERROR(IF(AND(ISNUMBER(F2375),ISNUMBER(H2375)),F2375-H2375,""),"")</f>
        <v/>
      </c>
      <c r="J2375" s="114" t="n"/>
      <c r="K2375" s="139">
        <f>IFERROR(IF(H2375&gt;0,H2375*IF(OR(C2375="Alpha",B2375="Alpha"),$C$9,$C$8),""),"")</f>
        <v/>
      </c>
      <c r="L2375" s="139">
        <f>IFERROR(IF(ISNUMBER(F2375),F2375-IF(ISNUMBER(K2375),K2375,0),""),"")</f>
        <v/>
      </c>
    </row>
    <row r="2376" ht="24" customHeight="1" s="63">
      <c r="E2376" s="139" t="n"/>
      <c r="F2376" s="139" t="n"/>
      <c r="G2376" s="140">
        <f>IFERROR(IF(E2376&gt;0,(F2376/E2376)*1000,""),"")</f>
        <v/>
      </c>
      <c r="H2376" s="139">
        <f>IFERROR(IF(E2376&gt;0,E2376*IF(ISNUMBER(J2376),J2376,IF(OR(C2376="Alpha",B2376="Alpha"),$C$7,IF(C2376="Futures",$C$6,$C$5))),""),"")</f>
        <v/>
      </c>
      <c r="I2376" s="139">
        <f>IFERROR(IF(AND(ISNUMBER(F2376),ISNUMBER(H2376)),F2376-H2376,""),"")</f>
        <v/>
      </c>
      <c r="J2376" s="114" t="n"/>
      <c r="K2376" s="139">
        <f>IFERROR(IF(H2376&gt;0,H2376*IF(OR(C2376="Alpha",B2376="Alpha"),$C$9,$C$8),""),"")</f>
        <v/>
      </c>
      <c r="L2376" s="139">
        <f>IFERROR(IF(ISNUMBER(F2376),F2376-IF(ISNUMBER(K2376),K2376,0),""),"")</f>
        <v/>
      </c>
    </row>
    <row r="2377" ht="24" customHeight="1" s="63">
      <c r="E2377" s="139" t="n"/>
      <c r="F2377" s="139" t="n"/>
      <c r="G2377" s="140">
        <f>IFERROR(IF(E2377&gt;0,(F2377/E2377)*1000,""),"")</f>
        <v/>
      </c>
      <c r="H2377" s="139">
        <f>IFERROR(IF(E2377&gt;0,E2377*IF(ISNUMBER(J2377),J2377,IF(OR(C2377="Alpha",B2377="Alpha"),$C$7,IF(C2377="Futures",$C$6,$C$5))),""),"")</f>
        <v/>
      </c>
      <c r="I2377" s="139">
        <f>IFERROR(IF(AND(ISNUMBER(F2377),ISNUMBER(H2377)),F2377-H2377,""),"")</f>
        <v/>
      </c>
      <c r="J2377" s="114" t="n"/>
      <c r="K2377" s="139">
        <f>IFERROR(IF(H2377&gt;0,H2377*IF(OR(C2377="Alpha",B2377="Alpha"),$C$9,$C$8),""),"")</f>
        <v/>
      </c>
      <c r="L2377" s="139">
        <f>IFERROR(IF(ISNUMBER(F2377),F2377-IF(ISNUMBER(K2377),K2377,0),""),"")</f>
        <v/>
      </c>
    </row>
    <row r="2378" ht="24" customHeight="1" s="63">
      <c r="E2378" s="139" t="n"/>
      <c r="F2378" s="139" t="n"/>
      <c r="G2378" s="140">
        <f>IFERROR(IF(E2378&gt;0,(F2378/E2378)*1000,""),"")</f>
        <v/>
      </c>
      <c r="H2378" s="139">
        <f>IFERROR(IF(E2378&gt;0,E2378*IF(ISNUMBER(J2378),J2378,IF(OR(C2378="Alpha",B2378="Alpha"),$C$7,IF(C2378="Futures",$C$6,$C$5))),""),"")</f>
        <v/>
      </c>
      <c r="I2378" s="139">
        <f>IFERROR(IF(AND(ISNUMBER(F2378),ISNUMBER(H2378)),F2378-H2378,""),"")</f>
        <v/>
      </c>
      <c r="J2378" s="114" t="n"/>
      <c r="K2378" s="139">
        <f>IFERROR(IF(H2378&gt;0,H2378*IF(OR(C2378="Alpha",B2378="Alpha"),$C$9,$C$8),""),"")</f>
        <v/>
      </c>
      <c r="L2378" s="139">
        <f>IFERROR(IF(ISNUMBER(F2378),F2378-IF(ISNUMBER(K2378),K2378,0),""),"")</f>
        <v/>
      </c>
    </row>
    <row r="2379" ht="24" customHeight="1" s="63">
      <c r="E2379" s="139" t="n"/>
      <c r="F2379" s="139" t="n"/>
      <c r="G2379" s="140">
        <f>IFERROR(IF(E2379&gt;0,(F2379/E2379)*1000,""),"")</f>
        <v/>
      </c>
      <c r="H2379" s="139">
        <f>IFERROR(IF(E2379&gt;0,E2379*IF(ISNUMBER(J2379),J2379,IF(OR(C2379="Alpha",B2379="Alpha"),$C$7,IF(C2379="Futures",$C$6,$C$5))),""),"")</f>
        <v/>
      </c>
      <c r="I2379" s="139">
        <f>IFERROR(IF(AND(ISNUMBER(F2379),ISNUMBER(H2379)),F2379-H2379,""),"")</f>
        <v/>
      </c>
      <c r="J2379" s="114" t="n"/>
      <c r="K2379" s="139">
        <f>IFERROR(IF(H2379&gt;0,H2379*IF(OR(C2379="Alpha",B2379="Alpha"),$C$9,$C$8),""),"")</f>
        <v/>
      </c>
      <c r="L2379" s="139">
        <f>IFERROR(IF(ISNUMBER(F2379),F2379-IF(ISNUMBER(K2379),K2379,0),""),"")</f>
        <v/>
      </c>
    </row>
    <row r="2380" ht="24" customHeight="1" s="63">
      <c r="E2380" s="139" t="n"/>
      <c r="F2380" s="139" t="n"/>
      <c r="G2380" s="140">
        <f>IFERROR(IF(E2380&gt;0,(F2380/E2380)*1000,""),"")</f>
        <v/>
      </c>
      <c r="H2380" s="139">
        <f>IFERROR(IF(E2380&gt;0,E2380*IF(ISNUMBER(J2380),J2380,IF(OR(C2380="Alpha",B2380="Alpha"),$C$7,IF(C2380="Futures",$C$6,$C$5))),""),"")</f>
        <v/>
      </c>
      <c r="I2380" s="139">
        <f>IFERROR(IF(AND(ISNUMBER(F2380),ISNUMBER(H2380)),F2380-H2380,""),"")</f>
        <v/>
      </c>
      <c r="J2380" s="114" t="n"/>
      <c r="K2380" s="139">
        <f>IFERROR(IF(H2380&gt;0,H2380*IF(OR(C2380="Alpha",B2380="Alpha"),$C$9,$C$8),""),"")</f>
        <v/>
      </c>
      <c r="L2380" s="139">
        <f>IFERROR(IF(ISNUMBER(F2380),F2380-IF(ISNUMBER(K2380),K2380,0),""),"")</f>
        <v/>
      </c>
    </row>
    <row r="2381" ht="24" customHeight="1" s="63">
      <c r="E2381" s="139" t="n"/>
      <c r="F2381" s="139" t="n"/>
      <c r="G2381" s="140">
        <f>IFERROR(IF(E2381&gt;0,(F2381/E2381)*1000,""),"")</f>
        <v/>
      </c>
      <c r="H2381" s="139">
        <f>IFERROR(IF(E2381&gt;0,E2381*IF(ISNUMBER(J2381),J2381,IF(OR(C2381="Alpha",B2381="Alpha"),$C$7,IF(C2381="Futures",$C$6,$C$5))),""),"")</f>
        <v/>
      </c>
      <c r="I2381" s="139">
        <f>IFERROR(IF(AND(ISNUMBER(F2381),ISNUMBER(H2381)),F2381-H2381,""),"")</f>
        <v/>
      </c>
      <c r="J2381" s="114" t="n"/>
      <c r="K2381" s="139">
        <f>IFERROR(IF(H2381&gt;0,H2381*IF(OR(C2381="Alpha",B2381="Alpha"),$C$9,$C$8),""),"")</f>
        <v/>
      </c>
      <c r="L2381" s="139">
        <f>IFERROR(IF(ISNUMBER(F2381),F2381-IF(ISNUMBER(K2381),K2381,0),""),"")</f>
        <v/>
      </c>
    </row>
    <row r="2382" ht="24" customHeight="1" s="63">
      <c r="E2382" s="139" t="n"/>
      <c r="F2382" s="139" t="n"/>
      <c r="G2382" s="140">
        <f>IFERROR(IF(E2382&gt;0,(F2382/E2382)*1000,""),"")</f>
        <v/>
      </c>
      <c r="H2382" s="139">
        <f>IFERROR(IF(E2382&gt;0,E2382*IF(ISNUMBER(J2382),J2382,IF(OR(C2382="Alpha",B2382="Alpha"),$C$7,IF(C2382="Futures",$C$6,$C$5))),""),"")</f>
        <v/>
      </c>
      <c r="I2382" s="139">
        <f>IFERROR(IF(AND(ISNUMBER(F2382),ISNUMBER(H2382)),F2382-H2382,""),"")</f>
        <v/>
      </c>
      <c r="J2382" s="114" t="n"/>
      <c r="K2382" s="139">
        <f>IFERROR(IF(H2382&gt;0,H2382*IF(OR(C2382="Alpha",B2382="Alpha"),$C$9,$C$8),""),"")</f>
        <v/>
      </c>
      <c r="L2382" s="139">
        <f>IFERROR(IF(ISNUMBER(F2382),F2382-IF(ISNUMBER(K2382),K2382,0),""),"")</f>
        <v/>
      </c>
    </row>
    <row r="2383" ht="24" customHeight="1" s="63">
      <c r="E2383" s="139" t="n"/>
      <c r="F2383" s="139" t="n"/>
      <c r="G2383" s="140">
        <f>IFERROR(IF(E2383&gt;0,(F2383/E2383)*1000,""),"")</f>
        <v/>
      </c>
      <c r="H2383" s="139">
        <f>IFERROR(IF(E2383&gt;0,E2383*IF(ISNUMBER(J2383),J2383,IF(OR(C2383="Alpha",B2383="Alpha"),$C$7,IF(C2383="Futures",$C$6,$C$5))),""),"")</f>
        <v/>
      </c>
      <c r="I2383" s="139">
        <f>IFERROR(IF(AND(ISNUMBER(F2383),ISNUMBER(H2383)),F2383-H2383,""),"")</f>
        <v/>
      </c>
      <c r="J2383" s="114" t="n"/>
      <c r="K2383" s="139">
        <f>IFERROR(IF(H2383&gt;0,H2383*IF(OR(C2383="Alpha",B2383="Alpha"),$C$9,$C$8),""),"")</f>
        <v/>
      </c>
      <c r="L2383" s="139">
        <f>IFERROR(IF(ISNUMBER(F2383),F2383-IF(ISNUMBER(K2383),K2383,0),""),"")</f>
        <v/>
      </c>
    </row>
    <row r="2384" ht="24" customHeight="1" s="63">
      <c r="E2384" s="139" t="n"/>
      <c r="F2384" s="139" t="n"/>
      <c r="G2384" s="140">
        <f>IFERROR(IF(E2384&gt;0,(F2384/E2384)*1000,""),"")</f>
        <v/>
      </c>
      <c r="H2384" s="139">
        <f>IFERROR(IF(E2384&gt;0,E2384*IF(ISNUMBER(J2384),J2384,IF(OR(C2384="Alpha",B2384="Alpha"),$C$7,IF(C2384="Futures",$C$6,$C$5))),""),"")</f>
        <v/>
      </c>
      <c r="I2384" s="139">
        <f>IFERROR(IF(AND(ISNUMBER(F2384),ISNUMBER(H2384)),F2384-H2384,""),"")</f>
        <v/>
      </c>
      <c r="J2384" s="114" t="n"/>
      <c r="K2384" s="139">
        <f>IFERROR(IF(H2384&gt;0,H2384*IF(OR(C2384="Alpha",B2384="Alpha"),$C$9,$C$8),""),"")</f>
        <v/>
      </c>
      <c r="L2384" s="139">
        <f>IFERROR(IF(ISNUMBER(F2384),F2384-IF(ISNUMBER(K2384),K2384,0),""),"")</f>
        <v/>
      </c>
    </row>
    <row r="2385" ht="24" customHeight="1" s="63">
      <c r="E2385" s="139" t="n"/>
      <c r="F2385" s="139" t="n"/>
      <c r="G2385" s="140">
        <f>IFERROR(IF(E2385&gt;0,(F2385/E2385)*1000,""),"")</f>
        <v/>
      </c>
      <c r="H2385" s="139">
        <f>IFERROR(IF(E2385&gt;0,E2385*IF(ISNUMBER(J2385),J2385,IF(OR(C2385="Alpha",B2385="Alpha"),$C$7,IF(C2385="Futures",$C$6,$C$5))),""),"")</f>
        <v/>
      </c>
      <c r="I2385" s="139">
        <f>IFERROR(IF(AND(ISNUMBER(F2385),ISNUMBER(H2385)),F2385-H2385,""),"")</f>
        <v/>
      </c>
      <c r="J2385" s="114" t="n"/>
      <c r="K2385" s="139">
        <f>IFERROR(IF(H2385&gt;0,H2385*IF(OR(C2385="Alpha",B2385="Alpha"),$C$9,$C$8),""),"")</f>
        <v/>
      </c>
      <c r="L2385" s="139">
        <f>IFERROR(IF(ISNUMBER(F2385),F2385-IF(ISNUMBER(K2385),K2385,0),""),"")</f>
        <v/>
      </c>
    </row>
    <row r="2386" ht="24" customHeight="1" s="63">
      <c r="E2386" s="139" t="n"/>
      <c r="F2386" s="139" t="n"/>
      <c r="G2386" s="140">
        <f>IFERROR(IF(E2386&gt;0,(F2386/E2386)*1000,""),"")</f>
        <v/>
      </c>
      <c r="H2386" s="139">
        <f>IFERROR(IF(E2386&gt;0,E2386*IF(ISNUMBER(J2386),J2386,IF(OR(C2386="Alpha",B2386="Alpha"),$C$7,IF(C2386="Futures",$C$6,$C$5))),""),"")</f>
        <v/>
      </c>
      <c r="I2386" s="139">
        <f>IFERROR(IF(AND(ISNUMBER(F2386),ISNUMBER(H2386)),F2386-H2386,""),"")</f>
        <v/>
      </c>
      <c r="J2386" s="114" t="n"/>
      <c r="K2386" s="139">
        <f>IFERROR(IF(H2386&gt;0,H2386*IF(OR(C2386="Alpha",B2386="Alpha"),$C$9,$C$8),""),"")</f>
        <v/>
      </c>
      <c r="L2386" s="139">
        <f>IFERROR(IF(ISNUMBER(F2386),F2386-IF(ISNUMBER(K2386),K2386,0),""),"")</f>
        <v/>
      </c>
    </row>
    <row r="2387" ht="24" customHeight="1" s="63">
      <c r="E2387" s="139" t="n"/>
      <c r="F2387" s="139" t="n"/>
      <c r="G2387" s="140">
        <f>IFERROR(IF(E2387&gt;0,(F2387/E2387)*1000,""),"")</f>
        <v/>
      </c>
      <c r="H2387" s="139">
        <f>IFERROR(IF(E2387&gt;0,E2387*IF(ISNUMBER(J2387),J2387,IF(OR(C2387="Alpha",B2387="Alpha"),$C$7,IF(C2387="Futures",$C$6,$C$5))),""),"")</f>
        <v/>
      </c>
      <c r="I2387" s="139">
        <f>IFERROR(IF(AND(ISNUMBER(F2387),ISNUMBER(H2387)),F2387-H2387,""),"")</f>
        <v/>
      </c>
      <c r="J2387" s="114" t="n"/>
      <c r="K2387" s="139">
        <f>IFERROR(IF(H2387&gt;0,H2387*IF(OR(C2387="Alpha",B2387="Alpha"),$C$9,$C$8),""),"")</f>
        <v/>
      </c>
      <c r="L2387" s="139">
        <f>IFERROR(IF(ISNUMBER(F2387),F2387-IF(ISNUMBER(K2387),K2387,0),""),"")</f>
        <v/>
      </c>
    </row>
    <row r="2388" ht="24" customHeight="1" s="63">
      <c r="E2388" s="139" t="n"/>
      <c r="F2388" s="139" t="n"/>
      <c r="G2388" s="140">
        <f>IFERROR(IF(E2388&gt;0,(F2388/E2388)*1000,""),"")</f>
        <v/>
      </c>
      <c r="H2388" s="139">
        <f>IFERROR(IF(E2388&gt;0,E2388*IF(ISNUMBER(J2388),J2388,IF(OR(C2388="Alpha",B2388="Alpha"),$C$7,IF(C2388="Futures",$C$6,$C$5))),""),"")</f>
        <v/>
      </c>
      <c r="I2388" s="139">
        <f>IFERROR(IF(AND(ISNUMBER(F2388),ISNUMBER(H2388)),F2388-H2388,""),"")</f>
        <v/>
      </c>
      <c r="J2388" s="114" t="n"/>
      <c r="K2388" s="139">
        <f>IFERROR(IF(H2388&gt;0,H2388*IF(OR(C2388="Alpha",B2388="Alpha"),$C$9,$C$8),""),"")</f>
        <v/>
      </c>
      <c r="L2388" s="139">
        <f>IFERROR(IF(ISNUMBER(F2388),F2388-IF(ISNUMBER(K2388),K2388,0),""),"")</f>
        <v/>
      </c>
    </row>
    <row r="2389" ht="24" customHeight="1" s="63">
      <c r="E2389" s="139" t="n"/>
      <c r="F2389" s="139" t="n"/>
      <c r="G2389" s="140">
        <f>IFERROR(IF(E2389&gt;0,(F2389/E2389)*1000,""),"")</f>
        <v/>
      </c>
      <c r="H2389" s="139">
        <f>IFERROR(IF(E2389&gt;0,E2389*IF(ISNUMBER(J2389),J2389,IF(OR(C2389="Alpha",B2389="Alpha"),$C$7,IF(C2389="Futures",$C$6,$C$5))),""),"")</f>
        <v/>
      </c>
      <c r="I2389" s="139">
        <f>IFERROR(IF(AND(ISNUMBER(F2389),ISNUMBER(H2389)),F2389-H2389,""),"")</f>
        <v/>
      </c>
      <c r="J2389" s="114" t="n"/>
      <c r="K2389" s="139">
        <f>IFERROR(IF(H2389&gt;0,H2389*IF(OR(C2389="Alpha",B2389="Alpha"),$C$9,$C$8),""),"")</f>
        <v/>
      </c>
      <c r="L2389" s="139">
        <f>IFERROR(IF(ISNUMBER(F2389),F2389-IF(ISNUMBER(K2389),K2389,0),""),"")</f>
        <v/>
      </c>
    </row>
    <row r="2390" ht="24" customHeight="1" s="63">
      <c r="E2390" s="139" t="n"/>
      <c r="F2390" s="139" t="n"/>
      <c r="G2390" s="140">
        <f>IFERROR(IF(E2390&gt;0,(F2390/E2390)*1000,""),"")</f>
        <v/>
      </c>
      <c r="H2390" s="139">
        <f>IFERROR(IF(E2390&gt;0,E2390*IF(ISNUMBER(J2390),J2390,IF(OR(C2390="Alpha",B2390="Alpha"),$C$7,IF(C2390="Futures",$C$6,$C$5))),""),"")</f>
        <v/>
      </c>
      <c r="I2390" s="139">
        <f>IFERROR(IF(AND(ISNUMBER(F2390),ISNUMBER(H2390)),F2390-H2390,""),"")</f>
        <v/>
      </c>
      <c r="J2390" s="114" t="n"/>
      <c r="K2390" s="139">
        <f>IFERROR(IF(H2390&gt;0,H2390*IF(OR(C2390="Alpha",B2390="Alpha"),$C$9,$C$8),""),"")</f>
        <v/>
      </c>
      <c r="L2390" s="139">
        <f>IFERROR(IF(ISNUMBER(F2390),F2390-IF(ISNUMBER(K2390),K2390,0),""),"")</f>
        <v/>
      </c>
    </row>
    <row r="2391" ht="24" customHeight="1" s="63">
      <c r="E2391" s="139" t="n"/>
      <c r="F2391" s="139" t="n"/>
      <c r="G2391" s="140">
        <f>IFERROR(IF(E2391&gt;0,(F2391/E2391)*1000,""),"")</f>
        <v/>
      </c>
      <c r="H2391" s="139">
        <f>IFERROR(IF(E2391&gt;0,E2391*IF(ISNUMBER(J2391),J2391,IF(OR(C2391="Alpha",B2391="Alpha"),$C$7,IF(C2391="Futures",$C$6,$C$5))),""),"")</f>
        <v/>
      </c>
      <c r="I2391" s="139">
        <f>IFERROR(IF(AND(ISNUMBER(F2391),ISNUMBER(H2391)),F2391-H2391,""),"")</f>
        <v/>
      </c>
      <c r="J2391" s="114" t="n"/>
      <c r="K2391" s="139">
        <f>IFERROR(IF(H2391&gt;0,H2391*IF(OR(C2391="Alpha",B2391="Alpha"),$C$9,$C$8),""),"")</f>
        <v/>
      </c>
      <c r="L2391" s="139">
        <f>IFERROR(IF(ISNUMBER(F2391),F2391-IF(ISNUMBER(K2391),K2391,0),""),"")</f>
        <v/>
      </c>
    </row>
    <row r="2392" ht="24" customHeight="1" s="63">
      <c r="E2392" s="139" t="n"/>
      <c r="F2392" s="139" t="n"/>
      <c r="G2392" s="140">
        <f>IFERROR(IF(E2392&gt;0,(F2392/E2392)*1000,""),"")</f>
        <v/>
      </c>
      <c r="H2392" s="139">
        <f>IFERROR(IF(E2392&gt;0,E2392*IF(ISNUMBER(J2392),J2392,IF(OR(C2392="Alpha",B2392="Alpha"),$C$7,IF(C2392="Futures",$C$6,$C$5))),""),"")</f>
        <v/>
      </c>
      <c r="I2392" s="139">
        <f>IFERROR(IF(AND(ISNUMBER(F2392),ISNUMBER(H2392)),F2392-H2392,""),"")</f>
        <v/>
      </c>
      <c r="J2392" s="114" t="n"/>
      <c r="K2392" s="139">
        <f>IFERROR(IF(H2392&gt;0,H2392*IF(OR(C2392="Alpha",B2392="Alpha"),$C$9,$C$8),""),"")</f>
        <v/>
      </c>
      <c r="L2392" s="139">
        <f>IFERROR(IF(ISNUMBER(F2392),F2392-IF(ISNUMBER(K2392),K2392,0),""),"")</f>
        <v/>
      </c>
    </row>
    <row r="2393" ht="24" customHeight="1" s="63">
      <c r="E2393" s="139" t="n"/>
      <c r="F2393" s="139" t="n"/>
      <c r="G2393" s="140">
        <f>IFERROR(IF(E2393&gt;0,(F2393/E2393)*1000,""),"")</f>
        <v/>
      </c>
      <c r="H2393" s="139">
        <f>IFERROR(IF(E2393&gt;0,E2393*IF(ISNUMBER(J2393),J2393,IF(OR(C2393="Alpha",B2393="Alpha"),$C$7,IF(C2393="Futures",$C$6,$C$5))),""),"")</f>
        <v/>
      </c>
      <c r="I2393" s="139">
        <f>IFERROR(IF(AND(ISNUMBER(F2393),ISNUMBER(H2393)),F2393-H2393,""),"")</f>
        <v/>
      </c>
      <c r="J2393" s="114" t="n"/>
      <c r="K2393" s="139">
        <f>IFERROR(IF(H2393&gt;0,H2393*IF(OR(C2393="Alpha",B2393="Alpha"),$C$9,$C$8),""),"")</f>
        <v/>
      </c>
      <c r="L2393" s="139">
        <f>IFERROR(IF(ISNUMBER(F2393),F2393-IF(ISNUMBER(K2393),K2393,0),""),"")</f>
        <v/>
      </c>
    </row>
    <row r="2394" ht="24" customHeight="1" s="63">
      <c r="E2394" s="139" t="n"/>
      <c r="F2394" s="139" t="n"/>
      <c r="G2394" s="140">
        <f>IFERROR(IF(E2394&gt;0,(F2394/E2394)*1000,""),"")</f>
        <v/>
      </c>
      <c r="H2394" s="139">
        <f>IFERROR(IF(E2394&gt;0,E2394*IF(ISNUMBER(J2394),J2394,IF(OR(C2394="Alpha",B2394="Alpha"),$C$7,IF(C2394="Futures",$C$6,$C$5))),""),"")</f>
        <v/>
      </c>
      <c r="I2394" s="139">
        <f>IFERROR(IF(AND(ISNUMBER(F2394),ISNUMBER(H2394)),F2394-H2394,""),"")</f>
        <v/>
      </c>
      <c r="J2394" s="114" t="n"/>
      <c r="K2394" s="139">
        <f>IFERROR(IF(H2394&gt;0,H2394*IF(OR(C2394="Alpha",B2394="Alpha"),$C$9,$C$8),""),"")</f>
        <v/>
      </c>
      <c r="L2394" s="139">
        <f>IFERROR(IF(ISNUMBER(F2394),F2394-IF(ISNUMBER(K2394),K2394,0),""),"")</f>
        <v/>
      </c>
    </row>
    <row r="2395" ht="24" customHeight="1" s="63">
      <c r="E2395" s="139" t="n"/>
      <c r="F2395" s="139" t="n"/>
      <c r="G2395" s="140">
        <f>IFERROR(IF(E2395&gt;0,(F2395/E2395)*1000,""),"")</f>
        <v/>
      </c>
      <c r="H2395" s="139">
        <f>IFERROR(IF(E2395&gt;0,E2395*IF(ISNUMBER(J2395),J2395,IF(OR(C2395="Alpha",B2395="Alpha"),$C$7,IF(C2395="Futures",$C$6,$C$5))),""),"")</f>
        <v/>
      </c>
      <c r="I2395" s="139">
        <f>IFERROR(IF(AND(ISNUMBER(F2395),ISNUMBER(H2395)),F2395-H2395,""),"")</f>
        <v/>
      </c>
      <c r="J2395" s="114" t="n"/>
      <c r="K2395" s="139">
        <f>IFERROR(IF(H2395&gt;0,H2395*IF(OR(C2395="Alpha",B2395="Alpha"),$C$9,$C$8),""),"")</f>
        <v/>
      </c>
      <c r="L2395" s="139">
        <f>IFERROR(IF(ISNUMBER(F2395),F2395-IF(ISNUMBER(K2395),K2395,0),""),"")</f>
        <v/>
      </c>
    </row>
    <row r="2396" ht="24" customHeight="1" s="63">
      <c r="E2396" s="139" t="n"/>
      <c r="F2396" s="139" t="n"/>
      <c r="G2396" s="140">
        <f>IFERROR(IF(E2396&gt;0,(F2396/E2396)*1000,""),"")</f>
        <v/>
      </c>
      <c r="H2396" s="139">
        <f>IFERROR(IF(E2396&gt;0,E2396*IF(ISNUMBER(J2396),J2396,IF(OR(C2396="Alpha",B2396="Alpha"),$C$7,IF(C2396="Futures",$C$6,$C$5))),""),"")</f>
        <v/>
      </c>
      <c r="I2396" s="139">
        <f>IFERROR(IF(AND(ISNUMBER(F2396),ISNUMBER(H2396)),F2396-H2396,""),"")</f>
        <v/>
      </c>
      <c r="J2396" s="114" t="n"/>
      <c r="K2396" s="139">
        <f>IFERROR(IF(H2396&gt;0,H2396*IF(OR(C2396="Alpha",B2396="Alpha"),$C$9,$C$8),""),"")</f>
        <v/>
      </c>
      <c r="L2396" s="139">
        <f>IFERROR(IF(ISNUMBER(F2396),F2396-IF(ISNUMBER(K2396),K2396,0),""),"")</f>
        <v/>
      </c>
    </row>
    <row r="2397" ht="24" customHeight="1" s="63">
      <c r="E2397" s="139" t="n"/>
      <c r="F2397" s="139" t="n"/>
      <c r="G2397" s="140">
        <f>IFERROR(IF(E2397&gt;0,(F2397/E2397)*1000,""),"")</f>
        <v/>
      </c>
      <c r="H2397" s="139">
        <f>IFERROR(IF(E2397&gt;0,E2397*IF(ISNUMBER(J2397),J2397,IF(OR(C2397="Alpha",B2397="Alpha"),$C$7,IF(C2397="Futures",$C$6,$C$5))),""),"")</f>
        <v/>
      </c>
      <c r="I2397" s="139">
        <f>IFERROR(IF(AND(ISNUMBER(F2397),ISNUMBER(H2397)),F2397-H2397,""),"")</f>
        <v/>
      </c>
      <c r="J2397" s="114" t="n"/>
      <c r="K2397" s="139">
        <f>IFERROR(IF(H2397&gt;0,H2397*IF(OR(C2397="Alpha",B2397="Alpha"),$C$9,$C$8),""),"")</f>
        <v/>
      </c>
      <c r="L2397" s="139">
        <f>IFERROR(IF(ISNUMBER(F2397),F2397-IF(ISNUMBER(K2397),K2397,0),""),"")</f>
        <v/>
      </c>
    </row>
    <row r="2398" ht="24" customHeight="1" s="63">
      <c r="E2398" s="139" t="n"/>
      <c r="F2398" s="139" t="n"/>
      <c r="G2398" s="140">
        <f>IFERROR(IF(E2398&gt;0,(F2398/E2398)*1000,""),"")</f>
        <v/>
      </c>
      <c r="H2398" s="139">
        <f>IFERROR(IF(E2398&gt;0,E2398*IF(ISNUMBER(J2398),J2398,IF(OR(C2398="Alpha",B2398="Alpha"),$C$7,IF(C2398="Futures",$C$6,$C$5))),""),"")</f>
        <v/>
      </c>
      <c r="I2398" s="139">
        <f>IFERROR(IF(AND(ISNUMBER(F2398),ISNUMBER(H2398)),F2398-H2398,""),"")</f>
        <v/>
      </c>
      <c r="J2398" s="114" t="n"/>
      <c r="K2398" s="139">
        <f>IFERROR(IF(H2398&gt;0,H2398*IF(OR(C2398="Alpha",B2398="Alpha"),$C$9,$C$8),""),"")</f>
        <v/>
      </c>
      <c r="L2398" s="139">
        <f>IFERROR(IF(ISNUMBER(F2398),F2398-IF(ISNUMBER(K2398),K2398,0),""),"")</f>
        <v/>
      </c>
    </row>
    <row r="2399" ht="24" customHeight="1" s="63">
      <c r="E2399" s="139" t="n"/>
      <c r="F2399" s="139" t="n"/>
      <c r="G2399" s="140">
        <f>IFERROR(IF(E2399&gt;0,(F2399/E2399)*1000,""),"")</f>
        <v/>
      </c>
      <c r="H2399" s="139">
        <f>IFERROR(IF(E2399&gt;0,E2399*IF(ISNUMBER(J2399),J2399,IF(OR(C2399="Alpha",B2399="Alpha"),$C$7,IF(C2399="Futures",$C$6,$C$5))),""),"")</f>
        <v/>
      </c>
      <c r="I2399" s="139">
        <f>IFERROR(IF(AND(ISNUMBER(F2399),ISNUMBER(H2399)),F2399-H2399,""),"")</f>
        <v/>
      </c>
      <c r="J2399" s="114" t="n"/>
      <c r="K2399" s="139">
        <f>IFERROR(IF(H2399&gt;0,H2399*IF(OR(C2399="Alpha",B2399="Alpha"),$C$9,$C$8),""),"")</f>
        <v/>
      </c>
      <c r="L2399" s="139">
        <f>IFERROR(IF(ISNUMBER(F2399),F2399-IF(ISNUMBER(K2399),K2399,0),""),"")</f>
        <v/>
      </c>
    </row>
    <row r="2400" ht="24" customHeight="1" s="63">
      <c r="E2400" s="139" t="n"/>
      <c r="F2400" s="139" t="n"/>
      <c r="G2400" s="140">
        <f>IFERROR(IF(E2400&gt;0,(F2400/E2400)*1000,""),"")</f>
        <v/>
      </c>
      <c r="H2400" s="139">
        <f>IFERROR(IF(E2400&gt;0,E2400*IF(ISNUMBER(J2400),J2400,IF(OR(C2400="Alpha",B2400="Alpha"),$C$7,IF(C2400="Futures",$C$6,$C$5))),""),"")</f>
        <v/>
      </c>
      <c r="I2400" s="139">
        <f>IFERROR(IF(AND(ISNUMBER(F2400),ISNUMBER(H2400)),F2400-H2400,""),"")</f>
        <v/>
      </c>
      <c r="J2400" s="114" t="n"/>
      <c r="K2400" s="139">
        <f>IFERROR(IF(H2400&gt;0,H2400*IF(OR(C2400="Alpha",B2400="Alpha"),$C$9,$C$8),""),"")</f>
        <v/>
      </c>
      <c r="L2400" s="139">
        <f>IFERROR(IF(ISNUMBER(F2400),F2400-IF(ISNUMBER(K2400),K2400,0),""),"")</f>
        <v/>
      </c>
    </row>
    <row r="2401" ht="24" customHeight="1" s="63">
      <c r="E2401" s="139" t="n"/>
      <c r="F2401" s="139" t="n"/>
      <c r="G2401" s="140">
        <f>IFERROR(IF(E2401&gt;0,(F2401/E2401)*1000,""),"")</f>
        <v/>
      </c>
      <c r="H2401" s="139">
        <f>IFERROR(IF(E2401&gt;0,E2401*IF(ISNUMBER(J2401),J2401,IF(OR(C2401="Alpha",B2401="Alpha"),$C$7,IF(C2401="Futures",$C$6,$C$5))),""),"")</f>
        <v/>
      </c>
      <c r="I2401" s="139">
        <f>IFERROR(IF(AND(ISNUMBER(F2401),ISNUMBER(H2401)),F2401-H2401,""),"")</f>
        <v/>
      </c>
      <c r="J2401" s="114" t="n"/>
      <c r="K2401" s="139">
        <f>IFERROR(IF(H2401&gt;0,H2401*IF(OR(C2401="Alpha",B2401="Alpha"),$C$9,$C$8),""),"")</f>
        <v/>
      </c>
      <c r="L2401" s="139">
        <f>IFERROR(IF(ISNUMBER(F2401),F2401-IF(ISNUMBER(K2401),K2401,0),""),"")</f>
        <v/>
      </c>
    </row>
    <row r="2402" ht="24" customHeight="1" s="63">
      <c r="E2402" s="139" t="n"/>
      <c r="F2402" s="139" t="n"/>
      <c r="G2402" s="140">
        <f>IFERROR(IF(E2402&gt;0,(F2402/E2402)*1000,""),"")</f>
        <v/>
      </c>
      <c r="H2402" s="139">
        <f>IFERROR(IF(E2402&gt;0,E2402*IF(ISNUMBER(J2402),J2402,IF(OR(C2402="Alpha",B2402="Alpha"),$C$7,IF(C2402="Futures",$C$6,$C$5))),""),"")</f>
        <v/>
      </c>
      <c r="I2402" s="139">
        <f>IFERROR(IF(AND(ISNUMBER(F2402),ISNUMBER(H2402)),F2402-H2402,""),"")</f>
        <v/>
      </c>
      <c r="J2402" s="114" t="n"/>
      <c r="K2402" s="139">
        <f>IFERROR(IF(H2402&gt;0,H2402*IF(OR(C2402="Alpha",B2402="Alpha"),$C$9,$C$8),""),"")</f>
        <v/>
      </c>
      <c r="L2402" s="139">
        <f>IFERROR(IF(ISNUMBER(F2402),F2402-IF(ISNUMBER(K2402),K2402,0),""),"")</f>
        <v/>
      </c>
    </row>
    <row r="2403" ht="24" customHeight="1" s="63">
      <c r="E2403" s="139" t="n"/>
      <c r="F2403" s="139" t="n"/>
      <c r="G2403" s="140">
        <f>IFERROR(IF(E2403&gt;0,(F2403/E2403)*1000,""),"")</f>
        <v/>
      </c>
      <c r="H2403" s="139">
        <f>IFERROR(IF(E2403&gt;0,E2403*IF(ISNUMBER(J2403),J2403,IF(OR(C2403="Alpha",B2403="Alpha"),$C$7,IF(C2403="Futures",$C$6,$C$5))),""),"")</f>
        <v/>
      </c>
      <c r="I2403" s="139">
        <f>IFERROR(IF(AND(ISNUMBER(F2403),ISNUMBER(H2403)),F2403-H2403,""),"")</f>
        <v/>
      </c>
      <c r="J2403" s="114" t="n"/>
      <c r="K2403" s="139">
        <f>IFERROR(IF(H2403&gt;0,H2403*IF(OR(C2403="Alpha",B2403="Alpha"),$C$9,$C$8),""),"")</f>
        <v/>
      </c>
      <c r="L2403" s="139">
        <f>IFERROR(IF(ISNUMBER(F2403),F2403-IF(ISNUMBER(K2403),K2403,0),""),"")</f>
        <v/>
      </c>
    </row>
    <row r="2404" ht="24" customHeight="1" s="63">
      <c r="E2404" s="139" t="n"/>
      <c r="F2404" s="139" t="n"/>
      <c r="G2404" s="140">
        <f>IFERROR(IF(E2404&gt;0,(F2404/E2404)*1000,""),"")</f>
        <v/>
      </c>
      <c r="H2404" s="139">
        <f>IFERROR(IF(E2404&gt;0,E2404*IF(ISNUMBER(J2404),J2404,IF(OR(C2404="Alpha",B2404="Alpha"),$C$7,IF(C2404="Futures",$C$6,$C$5))),""),"")</f>
        <v/>
      </c>
      <c r="I2404" s="139">
        <f>IFERROR(IF(AND(ISNUMBER(F2404),ISNUMBER(H2404)),F2404-H2404,""),"")</f>
        <v/>
      </c>
      <c r="J2404" s="114" t="n"/>
      <c r="K2404" s="139">
        <f>IFERROR(IF(H2404&gt;0,H2404*IF(OR(C2404="Alpha",B2404="Alpha"),$C$9,$C$8),""),"")</f>
        <v/>
      </c>
      <c r="L2404" s="139">
        <f>IFERROR(IF(ISNUMBER(F2404),F2404-IF(ISNUMBER(K2404),K2404,0),""),"")</f>
        <v/>
      </c>
    </row>
    <row r="2405" ht="24" customHeight="1" s="63">
      <c r="E2405" s="139" t="n"/>
      <c r="F2405" s="139" t="n"/>
      <c r="G2405" s="140">
        <f>IFERROR(IF(E2405&gt;0,(F2405/E2405)*1000,""),"")</f>
        <v/>
      </c>
      <c r="H2405" s="139">
        <f>IFERROR(IF(E2405&gt;0,E2405*IF(ISNUMBER(J2405),J2405,IF(OR(C2405="Alpha",B2405="Alpha"),$C$7,IF(C2405="Futures",$C$6,$C$5))),""),"")</f>
        <v/>
      </c>
      <c r="I2405" s="139">
        <f>IFERROR(IF(AND(ISNUMBER(F2405),ISNUMBER(H2405)),F2405-H2405,""),"")</f>
        <v/>
      </c>
      <c r="J2405" s="114" t="n"/>
      <c r="K2405" s="139">
        <f>IFERROR(IF(H2405&gt;0,H2405*IF(OR(C2405="Alpha",B2405="Alpha"),$C$9,$C$8),""),"")</f>
        <v/>
      </c>
      <c r="L2405" s="139">
        <f>IFERROR(IF(ISNUMBER(F2405),F2405-IF(ISNUMBER(K2405),K2405,0),""),"")</f>
        <v/>
      </c>
    </row>
    <row r="2406" ht="24" customHeight="1" s="63">
      <c r="E2406" s="139" t="n"/>
      <c r="F2406" s="139" t="n"/>
      <c r="G2406" s="140">
        <f>IFERROR(IF(E2406&gt;0,(F2406/E2406)*1000,""),"")</f>
        <v/>
      </c>
      <c r="H2406" s="139">
        <f>IFERROR(IF(E2406&gt;0,E2406*IF(ISNUMBER(J2406),J2406,IF(OR(C2406="Alpha",B2406="Alpha"),$C$7,IF(C2406="Futures",$C$6,$C$5))),""),"")</f>
        <v/>
      </c>
      <c r="I2406" s="139">
        <f>IFERROR(IF(AND(ISNUMBER(F2406),ISNUMBER(H2406)),F2406-H2406,""),"")</f>
        <v/>
      </c>
      <c r="J2406" s="114" t="n"/>
      <c r="K2406" s="139">
        <f>IFERROR(IF(H2406&gt;0,H2406*IF(OR(C2406="Alpha",B2406="Alpha"),$C$9,$C$8),""),"")</f>
        <v/>
      </c>
      <c r="L2406" s="139">
        <f>IFERROR(IF(ISNUMBER(F2406),F2406-IF(ISNUMBER(K2406),K2406,0),""),"")</f>
        <v/>
      </c>
    </row>
    <row r="2407" ht="24" customHeight="1" s="63">
      <c r="E2407" s="139" t="n"/>
      <c r="F2407" s="139" t="n"/>
      <c r="G2407" s="140">
        <f>IFERROR(IF(E2407&gt;0,(F2407/E2407)*1000,""),"")</f>
        <v/>
      </c>
      <c r="H2407" s="139">
        <f>IFERROR(IF(E2407&gt;0,E2407*IF(ISNUMBER(J2407),J2407,IF(OR(C2407="Alpha",B2407="Alpha"),$C$7,IF(C2407="Futures",$C$6,$C$5))),""),"")</f>
        <v/>
      </c>
      <c r="I2407" s="139">
        <f>IFERROR(IF(AND(ISNUMBER(F2407),ISNUMBER(H2407)),F2407-H2407,""),"")</f>
        <v/>
      </c>
      <c r="J2407" s="114" t="n"/>
      <c r="K2407" s="139">
        <f>IFERROR(IF(H2407&gt;0,H2407*IF(OR(C2407="Alpha",B2407="Alpha"),$C$9,$C$8),""),"")</f>
        <v/>
      </c>
      <c r="L2407" s="139">
        <f>IFERROR(IF(ISNUMBER(F2407),F2407-IF(ISNUMBER(K2407),K2407,0),""),"")</f>
        <v/>
      </c>
    </row>
    <row r="2408" ht="24" customHeight="1" s="63">
      <c r="E2408" s="139" t="n"/>
      <c r="F2408" s="139" t="n"/>
      <c r="G2408" s="140">
        <f>IFERROR(IF(E2408&gt;0,(F2408/E2408)*1000,""),"")</f>
        <v/>
      </c>
      <c r="H2408" s="139">
        <f>IFERROR(IF(E2408&gt;0,E2408*IF(ISNUMBER(J2408),J2408,IF(OR(C2408="Alpha",B2408="Alpha"),$C$7,IF(C2408="Futures",$C$6,$C$5))),""),"")</f>
        <v/>
      </c>
      <c r="I2408" s="139">
        <f>IFERROR(IF(AND(ISNUMBER(F2408),ISNUMBER(H2408)),F2408-H2408,""),"")</f>
        <v/>
      </c>
      <c r="J2408" s="114" t="n"/>
      <c r="K2408" s="139">
        <f>IFERROR(IF(H2408&gt;0,H2408*IF(OR(C2408="Alpha",B2408="Alpha"),$C$9,$C$8),""),"")</f>
        <v/>
      </c>
      <c r="L2408" s="139">
        <f>IFERROR(IF(ISNUMBER(F2408),F2408-IF(ISNUMBER(K2408),K2408,0),""),"")</f>
        <v/>
      </c>
    </row>
    <row r="2409" ht="24" customHeight="1" s="63">
      <c r="E2409" s="139" t="n"/>
      <c r="F2409" s="139" t="n"/>
      <c r="G2409" s="140">
        <f>IFERROR(IF(E2409&gt;0,(F2409/E2409)*1000,""),"")</f>
        <v/>
      </c>
      <c r="H2409" s="139">
        <f>IFERROR(IF(E2409&gt;0,E2409*IF(ISNUMBER(J2409),J2409,IF(OR(C2409="Alpha",B2409="Alpha"),$C$7,IF(C2409="Futures",$C$6,$C$5))),""),"")</f>
        <v/>
      </c>
      <c r="I2409" s="139">
        <f>IFERROR(IF(AND(ISNUMBER(F2409),ISNUMBER(H2409)),F2409-H2409,""),"")</f>
        <v/>
      </c>
      <c r="J2409" s="114" t="n"/>
      <c r="K2409" s="139">
        <f>IFERROR(IF(H2409&gt;0,H2409*IF(OR(C2409="Alpha",B2409="Alpha"),$C$9,$C$8),""),"")</f>
        <v/>
      </c>
      <c r="L2409" s="139">
        <f>IFERROR(IF(ISNUMBER(F2409),F2409-IF(ISNUMBER(K2409),K2409,0),""),"")</f>
        <v/>
      </c>
    </row>
    <row r="2410" ht="24" customHeight="1" s="63">
      <c r="E2410" s="139" t="n"/>
      <c r="F2410" s="139" t="n"/>
      <c r="G2410" s="140">
        <f>IFERROR(IF(E2410&gt;0,(F2410/E2410)*1000,""),"")</f>
        <v/>
      </c>
      <c r="H2410" s="139">
        <f>IFERROR(IF(E2410&gt;0,E2410*IF(ISNUMBER(J2410),J2410,IF(OR(C2410="Alpha",B2410="Alpha"),$C$7,IF(C2410="Futures",$C$6,$C$5))),""),"")</f>
        <v/>
      </c>
      <c r="I2410" s="139">
        <f>IFERROR(IF(AND(ISNUMBER(F2410),ISNUMBER(H2410)),F2410-H2410,""),"")</f>
        <v/>
      </c>
      <c r="J2410" s="114" t="n"/>
      <c r="K2410" s="139">
        <f>IFERROR(IF(H2410&gt;0,H2410*IF(OR(C2410="Alpha",B2410="Alpha"),$C$9,$C$8),""),"")</f>
        <v/>
      </c>
      <c r="L2410" s="139">
        <f>IFERROR(IF(ISNUMBER(F2410),F2410-IF(ISNUMBER(K2410),K2410,0),""),"")</f>
        <v/>
      </c>
    </row>
    <row r="2411" ht="24" customHeight="1" s="63">
      <c r="E2411" s="139" t="n"/>
      <c r="F2411" s="139" t="n"/>
      <c r="G2411" s="140">
        <f>IFERROR(IF(E2411&gt;0,(F2411/E2411)*1000,""),"")</f>
        <v/>
      </c>
      <c r="H2411" s="139">
        <f>IFERROR(IF(E2411&gt;0,E2411*IF(ISNUMBER(J2411),J2411,IF(OR(C2411="Alpha",B2411="Alpha"),$C$7,IF(C2411="Futures",$C$6,$C$5))),""),"")</f>
        <v/>
      </c>
      <c r="I2411" s="139">
        <f>IFERROR(IF(AND(ISNUMBER(F2411),ISNUMBER(H2411)),F2411-H2411,""),"")</f>
        <v/>
      </c>
      <c r="J2411" s="114" t="n"/>
      <c r="K2411" s="139">
        <f>IFERROR(IF(H2411&gt;0,H2411*IF(OR(C2411="Alpha",B2411="Alpha"),$C$9,$C$8),""),"")</f>
        <v/>
      </c>
      <c r="L2411" s="139">
        <f>IFERROR(IF(ISNUMBER(F2411),F2411-IF(ISNUMBER(K2411),K2411,0),""),"")</f>
        <v/>
      </c>
    </row>
    <row r="2412" ht="24" customHeight="1" s="63">
      <c r="E2412" s="139" t="n"/>
      <c r="F2412" s="139" t="n"/>
      <c r="G2412" s="140">
        <f>IFERROR(IF(E2412&gt;0,(F2412/E2412)*1000,""),"")</f>
        <v/>
      </c>
      <c r="H2412" s="139">
        <f>IFERROR(IF(E2412&gt;0,E2412*IF(ISNUMBER(J2412),J2412,IF(OR(C2412="Alpha",B2412="Alpha"),$C$7,IF(C2412="Futures",$C$6,$C$5))),""),"")</f>
        <v/>
      </c>
      <c r="I2412" s="139">
        <f>IFERROR(IF(AND(ISNUMBER(F2412),ISNUMBER(H2412)),F2412-H2412,""),"")</f>
        <v/>
      </c>
      <c r="J2412" s="114" t="n"/>
      <c r="K2412" s="139">
        <f>IFERROR(IF(H2412&gt;0,H2412*IF(OR(C2412="Alpha",B2412="Alpha"),$C$9,$C$8),""),"")</f>
        <v/>
      </c>
      <c r="L2412" s="139">
        <f>IFERROR(IF(ISNUMBER(F2412),F2412-IF(ISNUMBER(K2412),K2412,0),""),"")</f>
        <v/>
      </c>
    </row>
    <row r="2413" ht="24" customHeight="1" s="63">
      <c r="E2413" s="139" t="n"/>
      <c r="F2413" s="139" t="n"/>
      <c r="G2413" s="140">
        <f>IFERROR(IF(E2413&gt;0,(F2413/E2413)*1000,""),"")</f>
        <v/>
      </c>
      <c r="H2413" s="139">
        <f>IFERROR(IF(E2413&gt;0,E2413*IF(ISNUMBER(J2413),J2413,IF(OR(C2413="Alpha",B2413="Alpha"),$C$7,IF(C2413="Futures",$C$6,$C$5))),""),"")</f>
        <v/>
      </c>
      <c r="I2413" s="139">
        <f>IFERROR(IF(AND(ISNUMBER(F2413),ISNUMBER(H2413)),F2413-H2413,""),"")</f>
        <v/>
      </c>
      <c r="J2413" s="114" t="n"/>
      <c r="K2413" s="139">
        <f>IFERROR(IF(H2413&gt;0,H2413*IF(OR(C2413="Alpha",B2413="Alpha"),$C$9,$C$8),""),"")</f>
        <v/>
      </c>
      <c r="L2413" s="139">
        <f>IFERROR(IF(ISNUMBER(F2413),F2413-IF(ISNUMBER(K2413),K2413,0),""),"")</f>
        <v/>
      </c>
    </row>
    <row r="2414" ht="24" customHeight="1" s="63">
      <c r="E2414" s="139" t="n"/>
      <c r="F2414" s="139" t="n"/>
      <c r="G2414" s="140">
        <f>IFERROR(IF(E2414&gt;0,(F2414/E2414)*1000,""),"")</f>
        <v/>
      </c>
      <c r="H2414" s="139">
        <f>IFERROR(IF(E2414&gt;0,E2414*IF(ISNUMBER(J2414),J2414,IF(OR(C2414="Alpha",B2414="Alpha"),$C$7,IF(C2414="Futures",$C$6,$C$5))),""),"")</f>
        <v/>
      </c>
      <c r="I2414" s="139">
        <f>IFERROR(IF(AND(ISNUMBER(F2414),ISNUMBER(H2414)),F2414-H2414,""),"")</f>
        <v/>
      </c>
      <c r="J2414" s="114" t="n"/>
      <c r="K2414" s="139">
        <f>IFERROR(IF(H2414&gt;0,H2414*IF(OR(C2414="Alpha",B2414="Alpha"),$C$9,$C$8),""),"")</f>
        <v/>
      </c>
      <c r="L2414" s="139">
        <f>IFERROR(IF(ISNUMBER(F2414),F2414-IF(ISNUMBER(K2414),K2414,0),""),"")</f>
        <v/>
      </c>
    </row>
    <row r="2415" ht="24" customHeight="1" s="63">
      <c r="E2415" s="139" t="n"/>
      <c r="F2415" s="139" t="n"/>
      <c r="G2415" s="140">
        <f>IFERROR(IF(E2415&gt;0,(F2415/E2415)*1000,""),"")</f>
        <v/>
      </c>
      <c r="H2415" s="139">
        <f>IFERROR(IF(E2415&gt;0,E2415*IF(ISNUMBER(J2415),J2415,IF(OR(C2415="Alpha",B2415="Alpha"),$C$7,IF(C2415="Futures",$C$6,$C$5))),""),"")</f>
        <v/>
      </c>
      <c r="I2415" s="139">
        <f>IFERROR(IF(AND(ISNUMBER(F2415),ISNUMBER(H2415)),F2415-H2415,""),"")</f>
        <v/>
      </c>
      <c r="J2415" s="114" t="n"/>
      <c r="K2415" s="139">
        <f>IFERROR(IF(H2415&gt;0,H2415*IF(OR(C2415="Alpha",B2415="Alpha"),$C$9,$C$8),""),"")</f>
        <v/>
      </c>
      <c r="L2415" s="139">
        <f>IFERROR(IF(ISNUMBER(F2415),F2415-IF(ISNUMBER(K2415),K2415,0),""),"")</f>
        <v/>
      </c>
    </row>
    <row r="2416" ht="24" customHeight="1" s="63">
      <c r="E2416" s="139" t="n"/>
      <c r="F2416" s="139" t="n"/>
      <c r="G2416" s="140">
        <f>IFERROR(IF(E2416&gt;0,(F2416/E2416)*1000,""),"")</f>
        <v/>
      </c>
      <c r="H2416" s="139">
        <f>IFERROR(IF(E2416&gt;0,E2416*IF(ISNUMBER(J2416),J2416,IF(OR(C2416="Alpha",B2416="Alpha"),$C$7,IF(C2416="Futures",$C$6,$C$5))),""),"")</f>
        <v/>
      </c>
      <c r="I2416" s="139">
        <f>IFERROR(IF(AND(ISNUMBER(F2416),ISNUMBER(H2416)),F2416-H2416,""),"")</f>
        <v/>
      </c>
      <c r="J2416" s="114" t="n"/>
      <c r="K2416" s="139">
        <f>IFERROR(IF(H2416&gt;0,H2416*IF(OR(C2416="Alpha",B2416="Alpha"),$C$9,$C$8),""),"")</f>
        <v/>
      </c>
      <c r="L2416" s="139">
        <f>IFERROR(IF(ISNUMBER(F2416),F2416-IF(ISNUMBER(K2416),K2416,0),""),"")</f>
        <v/>
      </c>
    </row>
    <row r="2417" ht="24" customHeight="1" s="63">
      <c r="E2417" s="139" t="n"/>
      <c r="F2417" s="139" t="n"/>
      <c r="G2417" s="140">
        <f>IFERROR(IF(E2417&gt;0,(F2417/E2417)*1000,""),"")</f>
        <v/>
      </c>
      <c r="H2417" s="139">
        <f>IFERROR(IF(E2417&gt;0,E2417*IF(ISNUMBER(J2417),J2417,IF(OR(C2417="Alpha",B2417="Alpha"),$C$7,IF(C2417="Futures",$C$6,$C$5))),""),"")</f>
        <v/>
      </c>
      <c r="I2417" s="139">
        <f>IFERROR(IF(AND(ISNUMBER(F2417),ISNUMBER(H2417)),F2417-H2417,""),"")</f>
        <v/>
      </c>
      <c r="J2417" s="114" t="n"/>
      <c r="K2417" s="139">
        <f>IFERROR(IF(H2417&gt;0,H2417*IF(OR(C2417="Alpha",B2417="Alpha"),$C$9,$C$8),""),"")</f>
        <v/>
      </c>
      <c r="L2417" s="139">
        <f>IFERROR(IF(ISNUMBER(F2417),F2417-IF(ISNUMBER(K2417),K2417,0),""),"")</f>
        <v/>
      </c>
    </row>
    <row r="2418" ht="24" customHeight="1" s="63">
      <c r="E2418" s="139" t="n"/>
      <c r="F2418" s="139" t="n"/>
      <c r="G2418" s="140">
        <f>IFERROR(IF(E2418&gt;0,(F2418/E2418)*1000,""),"")</f>
        <v/>
      </c>
      <c r="H2418" s="139">
        <f>IFERROR(IF(E2418&gt;0,E2418*IF(ISNUMBER(J2418),J2418,IF(OR(C2418="Alpha",B2418="Alpha"),$C$7,IF(C2418="Futures",$C$6,$C$5))),""),"")</f>
        <v/>
      </c>
      <c r="I2418" s="139">
        <f>IFERROR(IF(AND(ISNUMBER(F2418),ISNUMBER(H2418)),F2418-H2418,""),"")</f>
        <v/>
      </c>
      <c r="J2418" s="114" t="n"/>
      <c r="K2418" s="139">
        <f>IFERROR(IF(H2418&gt;0,H2418*IF(OR(C2418="Alpha",B2418="Alpha"),$C$9,$C$8),""),"")</f>
        <v/>
      </c>
      <c r="L2418" s="139">
        <f>IFERROR(IF(ISNUMBER(F2418),F2418-IF(ISNUMBER(K2418),K2418,0),""),"")</f>
        <v/>
      </c>
    </row>
    <row r="2419" ht="24" customHeight="1" s="63">
      <c r="E2419" s="139" t="n"/>
      <c r="F2419" s="139" t="n"/>
      <c r="G2419" s="140">
        <f>IFERROR(IF(E2419&gt;0,(F2419/E2419)*1000,""),"")</f>
        <v/>
      </c>
      <c r="H2419" s="139">
        <f>IFERROR(IF(E2419&gt;0,E2419*IF(ISNUMBER(J2419),J2419,IF(OR(C2419="Alpha",B2419="Alpha"),$C$7,IF(C2419="Futures",$C$6,$C$5))),""),"")</f>
        <v/>
      </c>
      <c r="I2419" s="139">
        <f>IFERROR(IF(AND(ISNUMBER(F2419),ISNUMBER(H2419)),F2419-H2419,""),"")</f>
        <v/>
      </c>
      <c r="J2419" s="114" t="n"/>
      <c r="K2419" s="139">
        <f>IFERROR(IF(H2419&gt;0,H2419*IF(OR(C2419="Alpha",B2419="Alpha"),$C$9,$C$8),""),"")</f>
        <v/>
      </c>
      <c r="L2419" s="139">
        <f>IFERROR(IF(ISNUMBER(F2419),F2419-IF(ISNUMBER(K2419),K2419,0),""),"")</f>
        <v/>
      </c>
    </row>
    <row r="2420" ht="24" customHeight="1" s="63">
      <c r="E2420" s="139" t="n"/>
      <c r="F2420" s="139" t="n"/>
      <c r="G2420" s="140">
        <f>IFERROR(IF(E2420&gt;0,(F2420/E2420)*1000,""),"")</f>
        <v/>
      </c>
      <c r="H2420" s="139">
        <f>IFERROR(IF(E2420&gt;0,E2420*IF(ISNUMBER(J2420),J2420,IF(OR(C2420="Alpha",B2420="Alpha"),$C$7,IF(C2420="Futures",$C$6,$C$5))),""),"")</f>
        <v/>
      </c>
      <c r="I2420" s="139">
        <f>IFERROR(IF(AND(ISNUMBER(F2420),ISNUMBER(H2420)),F2420-H2420,""),"")</f>
        <v/>
      </c>
      <c r="J2420" s="114" t="n"/>
      <c r="K2420" s="139">
        <f>IFERROR(IF(H2420&gt;0,H2420*IF(OR(C2420="Alpha",B2420="Alpha"),$C$9,$C$8),""),"")</f>
        <v/>
      </c>
      <c r="L2420" s="139">
        <f>IFERROR(IF(ISNUMBER(F2420),F2420-IF(ISNUMBER(K2420),K2420,0),""),"")</f>
        <v/>
      </c>
    </row>
    <row r="2421" ht="24" customHeight="1" s="63">
      <c r="E2421" s="139" t="n"/>
      <c r="F2421" s="139" t="n"/>
      <c r="G2421" s="140">
        <f>IFERROR(IF(E2421&gt;0,(F2421/E2421)*1000,""),"")</f>
        <v/>
      </c>
      <c r="H2421" s="139">
        <f>IFERROR(IF(E2421&gt;0,E2421*IF(ISNUMBER(J2421),J2421,IF(OR(C2421="Alpha",B2421="Alpha"),$C$7,IF(C2421="Futures",$C$6,$C$5))),""),"")</f>
        <v/>
      </c>
      <c r="I2421" s="139">
        <f>IFERROR(IF(AND(ISNUMBER(F2421),ISNUMBER(H2421)),F2421-H2421,""),"")</f>
        <v/>
      </c>
      <c r="J2421" s="114" t="n"/>
      <c r="K2421" s="139">
        <f>IFERROR(IF(H2421&gt;0,H2421*IF(OR(C2421="Alpha",B2421="Alpha"),$C$9,$C$8),""),"")</f>
        <v/>
      </c>
      <c r="L2421" s="139">
        <f>IFERROR(IF(ISNUMBER(F2421),F2421-IF(ISNUMBER(K2421),K2421,0),""),"")</f>
        <v/>
      </c>
    </row>
    <row r="2422" ht="24" customHeight="1" s="63">
      <c r="E2422" s="139" t="n"/>
      <c r="F2422" s="139" t="n"/>
      <c r="G2422" s="140">
        <f>IFERROR(IF(E2422&gt;0,(F2422/E2422)*1000,""),"")</f>
        <v/>
      </c>
      <c r="H2422" s="139">
        <f>IFERROR(IF(E2422&gt;0,E2422*IF(ISNUMBER(J2422),J2422,IF(OR(C2422="Alpha",B2422="Alpha"),$C$7,IF(C2422="Futures",$C$6,$C$5))),""),"")</f>
        <v/>
      </c>
      <c r="I2422" s="139">
        <f>IFERROR(IF(AND(ISNUMBER(F2422),ISNUMBER(H2422)),F2422-H2422,""),"")</f>
        <v/>
      </c>
      <c r="J2422" s="114" t="n"/>
      <c r="K2422" s="139">
        <f>IFERROR(IF(H2422&gt;0,H2422*IF(OR(C2422="Alpha",B2422="Alpha"),$C$9,$C$8),""),"")</f>
        <v/>
      </c>
      <c r="L2422" s="139">
        <f>IFERROR(IF(ISNUMBER(F2422),F2422-IF(ISNUMBER(K2422),K2422,0),""),"")</f>
        <v/>
      </c>
    </row>
    <row r="2423" ht="24" customHeight="1" s="63">
      <c r="E2423" s="139" t="n"/>
      <c r="F2423" s="139" t="n"/>
      <c r="G2423" s="140">
        <f>IFERROR(IF(E2423&gt;0,(F2423/E2423)*1000,""),"")</f>
        <v/>
      </c>
      <c r="H2423" s="139">
        <f>IFERROR(IF(E2423&gt;0,E2423*IF(ISNUMBER(J2423),J2423,IF(OR(C2423="Alpha",B2423="Alpha"),$C$7,IF(C2423="Futures",$C$6,$C$5))),""),"")</f>
        <v/>
      </c>
      <c r="I2423" s="139">
        <f>IFERROR(IF(AND(ISNUMBER(F2423),ISNUMBER(H2423)),F2423-H2423,""),"")</f>
        <v/>
      </c>
      <c r="J2423" s="114" t="n"/>
      <c r="K2423" s="139">
        <f>IFERROR(IF(H2423&gt;0,H2423*IF(OR(C2423="Alpha",B2423="Alpha"),$C$9,$C$8),""),"")</f>
        <v/>
      </c>
      <c r="L2423" s="139">
        <f>IFERROR(IF(ISNUMBER(F2423),F2423-IF(ISNUMBER(K2423),K2423,0),""),"")</f>
        <v/>
      </c>
    </row>
    <row r="2424" ht="24" customHeight="1" s="63">
      <c r="E2424" s="139" t="n"/>
      <c r="F2424" s="139" t="n"/>
      <c r="G2424" s="140">
        <f>IFERROR(IF(E2424&gt;0,(F2424/E2424)*1000,""),"")</f>
        <v/>
      </c>
      <c r="H2424" s="139">
        <f>IFERROR(IF(E2424&gt;0,E2424*IF(ISNUMBER(J2424),J2424,IF(OR(C2424="Alpha",B2424="Alpha"),$C$7,IF(C2424="Futures",$C$6,$C$5))),""),"")</f>
        <v/>
      </c>
      <c r="I2424" s="139">
        <f>IFERROR(IF(AND(ISNUMBER(F2424),ISNUMBER(H2424)),F2424-H2424,""),"")</f>
        <v/>
      </c>
      <c r="J2424" s="114" t="n"/>
      <c r="K2424" s="139">
        <f>IFERROR(IF(H2424&gt;0,H2424*IF(OR(C2424="Alpha",B2424="Alpha"),$C$9,$C$8),""),"")</f>
        <v/>
      </c>
      <c r="L2424" s="139">
        <f>IFERROR(IF(ISNUMBER(F2424),F2424-IF(ISNUMBER(K2424),K2424,0),""),"")</f>
        <v/>
      </c>
    </row>
    <row r="2425" ht="24" customHeight="1" s="63">
      <c r="E2425" s="139" t="n"/>
      <c r="F2425" s="139" t="n"/>
      <c r="G2425" s="140">
        <f>IFERROR(IF(E2425&gt;0,(F2425/E2425)*1000,""),"")</f>
        <v/>
      </c>
      <c r="H2425" s="139">
        <f>IFERROR(IF(E2425&gt;0,E2425*IF(ISNUMBER(J2425),J2425,IF(OR(C2425="Alpha",B2425="Alpha"),$C$7,IF(C2425="Futures",$C$6,$C$5))),""),"")</f>
        <v/>
      </c>
      <c r="I2425" s="139">
        <f>IFERROR(IF(AND(ISNUMBER(F2425),ISNUMBER(H2425)),F2425-H2425,""),"")</f>
        <v/>
      </c>
      <c r="J2425" s="114" t="n"/>
      <c r="K2425" s="139">
        <f>IFERROR(IF(H2425&gt;0,H2425*IF(OR(C2425="Alpha",B2425="Alpha"),$C$9,$C$8),""),"")</f>
        <v/>
      </c>
      <c r="L2425" s="139">
        <f>IFERROR(IF(ISNUMBER(F2425),F2425-IF(ISNUMBER(K2425),K2425,0),""),"")</f>
        <v/>
      </c>
    </row>
    <row r="2426" ht="24" customHeight="1" s="63">
      <c r="E2426" s="139" t="n"/>
      <c r="F2426" s="139" t="n"/>
      <c r="G2426" s="140">
        <f>IFERROR(IF(E2426&gt;0,(F2426/E2426)*1000,""),"")</f>
        <v/>
      </c>
      <c r="H2426" s="139">
        <f>IFERROR(IF(E2426&gt;0,E2426*IF(ISNUMBER(J2426),J2426,IF(OR(C2426="Alpha",B2426="Alpha"),$C$7,IF(C2426="Futures",$C$6,$C$5))),""),"")</f>
        <v/>
      </c>
      <c r="I2426" s="139">
        <f>IFERROR(IF(AND(ISNUMBER(F2426),ISNUMBER(H2426)),F2426-H2426,""),"")</f>
        <v/>
      </c>
      <c r="J2426" s="114" t="n"/>
      <c r="K2426" s="139">
        <f>IFERROR(IF(H2426&gt;0,H2426*IF(OR(C2426="Alpha",B2426="Alpha"),$C$9,$C$8),""),"")</f>
        <v/>
      </c>
      <c r="L2426" s="139">
        <f>IFERROR(IF(ISNUMBER(F2426),F2426-IF(ISNUMBER(K2426),K2426,0),""),"")</f>
        <v/>
      </c>
    </row>
    <row r="2427" ht="24" customHeight="1" s="63">
      <c r="E2427" s="139" t="n"/>
      <c r="F2427" s="139" t="n"/>
      <c r="G2427" s="140">
        <f>IFERROR(IF(E2427&gt;0,(F2427/E2427)*1000,""),"")</f>
        <v/>
      </c>
      <c r="H2427" s="139">
        <f>IFERROR(IF(E2427&gt;0,E2427*IF(ISNUMBER(J2427),J2427,IF(OR(C2427="Alpha",B2427="Alpha"),$C$7,IF(C2427="Futures",$C$6,$C$5))),""),"")</f>
        <v/>
      </c>
      <c r="I2427" s="139">
        <f>IFERROR(IF(AND(ISNUMBER(F2427),ISNUMBER(H2427)),F2427-H2427,""),"")</f>
        <v/>
      </c>
      <c r="J2427" s="114" t="n"/>
      <c r="K2427" s="139">
        <f>IFERROR(IF(H2427&gt;0,H2427*IF(OR(C2427="Alpha",B2427="Alpha"),$C$9,$C$8),""),"")</f>
        <v/>
      </c>
      <c r="L2427" s="139">
        <f>IFERROR(IF(ISNUMBER(F2427),F2427-IF(ISNUMBER(K2427),K2427,0),""),"")</f>
        <v/>
      </c>
    </row>
    <row r="2428" ht="24" customHeight="1" s="63">
      <c r="E2428" s="139" t="n"/>
      <c r="F2428" s="139" t="n"/>
      <c r="G2428" s="140">
        <f>IFERROR(IF(E2428&gt;0,(F2428/E2428)*1000,""),"")</f>
        <v/>
      </c>
      <c r="H2428" s="139">
        <f>IFERROR(IF(E2428&gt;0,E2428*IF(ISNUMBER(J2428),J2428,IF(OR(C2428="Alpha",B2428="Alpha"),$C$7,IF(C2428="Futures",$C$6,$C$5))),""),"")</f>
        <v/>
      </c>
      <c r="I2428" s="139">
        <f>IFERROR(IF(AND(ISNUMBER(F2428),ISNUMBER(H2428)),F2428-H2428,""),"")</f>
        <v/>
      </c>
      <c r="J2428" s="114" t="n"/>
      <c r="K2428" s="139">
        <f>IFERROR(IF(H2428&gt;0,H2428*IF(OR(C2428="Alpha",B2428="Alpha"),$C$9,$C$8),""),"")</f>
        <v/>
      </c>
      <c r="L2428" s="139">
        <f>IFERROR(IF(ISNUMBER(F2428),F2428-IF(ISNUMBER(K2428),K2428,0),""),"")</f>
        <v/>
      </c>
    </row>
    <row r="2429" ht="24" customHeight="1" s="63">
      <c r="E2429" s="139" t="n"/>
      <c r="F2429" s="139" t="n"/>
      <c r="G2429" s="140">
        <f>IFERROR(IF(E2429&gt;0,(F2429/E2429)*1000,""),"")</f>
        <v/>
      </c>
      <c r="H2429" s="139">
        <f>IFERROR(IF(E2429&gt;0,E2429*IF(ISNUMBER(J2429),J2429,IF(OR(C2429="Alpha",B2429="Alpha"),$C$7,IF(C2429="Futures",$C$6,$C$5))),""),"")</f>
        <v/>
      </c>
      <c r="I2429" s="139">
        <f>IFERROR(IF(AND(ISNUMBER(F2429),ISNUMBER(H2429)),F2429-H2429,""),"")</f>
        <v/>
      </c>
      <c r="J2429" s="114" t="n"/>
      <c r="K2429" s="139">
        <f>IFERROR(IF(H2429&gt;0,H2429*IF(OR(C2429="Alpha",B2429="Alpha"),$C$9,$C$8),""),"")</f>
        <v/>
      </c>
      <c r="L2429" s="139">
        <f>IFERROR(IF(ISNUMBER(F2429),F2429-IF(ISNUMBER(K2429),K2429,0),""),"")</f>
        <v/>
      </c>
    </row>
    <row r="2430" ht="24" customHeight="1" s="63">
      <c r="E2430" s="139" t="n"/>
      <c r="F2430" s="139" t="n"/>
      <c r="G2430" s="140">
        <f>IFERROR(IF(E2430&gt;0,(F2430/E2430)*1000,""),"")</f>
        <v/>
      </c>
      <c r="H2430" s="139">
        <f>IFERROR(IF(E2430&gt;0,E2430*IF(ISNUMBER(J2430),J2430,IF(OR(C2430="Alpha",B2430="Alpha"),$C$7,IF(C2430="Futures",$C$6,$C$5))),""),"")</f>
        <v/>
      </c>
      <c r="I2430" s="139">
        <f>IFERROR(IF(AND(ISNUMBER(F2430),ISNUMBER(H2430)),F2430-H2430,""),"")</f>
        <v/>
      </c>
      <c r="J2430" s="114" t="n"/>
      <c r="K2430" s="139">
        <f>IFERROR(IF(H2430&gt;0,H2430*IF(OR(C2430="Alpha",B2430="Alpha"),$C$9,$C$8),""),"")</f>
        <v/>
      </c>
      <c r="L2430" s="139">
        <f>IFERROR(IF(ISNUMBER(F2430),F2430-IF(ISNUMBER(K2430),K2430,0),""),"")</f>
        <v/>
      </c>
    </row>
    <row r="2431" ht="24" customHeight="1" s="63">
      <c r="E2431" s="139" t="n"/>
      <c r="F2431" s="139" t="n"/>
      <c r="G2431" s="140">
        <f>IFERROR(IF(E2431&gt;0,(F2431/E2431)*1000,""),"")</f>
        <v/>
      </c>
      <c r="H2431" s="139">
        <f>IFERROR(IF(E2431&gt;0,E2431*IF(ISNUMBER(J2431),J2431,IF(OR(C2431="Alpha",B2431="Alpha"),$C$7,IF(C2431="Futures",$C$6,$C$5))),""),"")</f>
        <v/>
      </c>
      <c r="I2431" s="139">
        <f>IFERROR(IF(AND(ISNUMBER(F2431),ISNUMBER(H2431)),F2431-H2431,""),"")</f>
        <v/>
      </c>
      <c r="J2431" s="114" t="n"/>
      <c r="K2431" s="139">
        <f>IFERROR(IF(H2431&gt;0,H2431*IF(OR(C2431="Alpha",B2431="Alpha"),$C$9,$C$8),""),"")</f>
        <v/>
      </c>
      <c r="L2431" s="139">
        <f>IFERROR(IF(ISNUMBER(F2431),F2431-IF(ISNUMBER(K2431),K2431,0),""),"")</f>
        <v/>
      </c>
    </row>
    <row r="2432" ht="24" customHeight="1" s="63">
      <c r="E2432" s="139" t="n"/>
      <c r="F2432" s="139" t="n"/>
      <c r="G2432" s="140">
        <f>IFERROR(IF(E2432&gt;0,(F2432/E2432)*1000,""),"")</f>
        <v/>
      </c>
      <c r="H2432" s="139">
        <f>IFERROR(IF(E2432&gt;0,E2432*IF(ISNUMBER(J2432),J2432,IF(OR(C2432="Alpha",B2432="Alpha"),$C$7,IF(C2432="Futures",$C$6,$C$5))),""),"")</f>
        <v/>
      </c>
      <c r="I2432" s="139">
        <f>IFERROR(IF(AND(ISNUMBER(F2432),ISNUMBER(H2432)),F2432-H2432,""),"")</f>
        <v/>
      </c>
      <c r="J2432" s="114" t="n"/>
      <c r="K2432" s="139">
        <f>IFERROR(IF(H2432&gt;0,H2432*IF(OR(C2432="Alpha",B2432="Alpha"),$C$9,$C$8),""),"")</f>
        <v/>
      </c>
      <c r="L2432" s="139">
        <f>IFERROR(IF(ISNUMBER(F2432),F2432-IF(ISNUMBER(K2432),K2432,0),""),"")</f>
        <v/>
      </c>
    </row>
    <row r="2433" ht="24" customHeight="1" s="63">
      <c r="E2433" s="139" t="n"/>
      <c r="F2433" s="139" t="n"/>
      <c r="G2433" s="140">
        <f>IFERROR(IF(E2433&gt;0,(F2433/E2433)*1000,""),"")</f>
        <v/>
      </c>
      <c r="H2433" s="139">
        <f>IFERROR(IF(E2433&gt;0,E2433*IF(ISNUMBER(J2433),J2433,IF(OR(C2433="Alpha",B2433="Alpha"),$C$7,IF(C2433="Futures",$C$6,$C$5))),""),"")</f>
        <v/>
      </c>
      <c r="I2433" s="139">
        <f>IFERROR(IF(AND(ISNUMBER(F2433),ISNUMBER(H2433)),F2433-H2433,""),"")</f>
        <v/>
      </c>
      <c r="J2433" s="114" t="n"/>
      <c r="K2433" s="139">
        <f>IFERROR(IF(H2433&gt;0,H2433*IF(OR(C2433="Alpha",B2433="Alpha"),$C$9,$C$8),""),"")</f>
        <v/>
      </c>
      <c r="L2433" s="139">
        <f>IFERROR(IF(ISNUMBER(F2433),F2433-IF(ISNUMBER(K2433),K2433,0),""),"")</f>
        <v/>
      </c>
    </row>
    <row r="2434" ht="24" customHeight="1" s="63">
      <c r="E2434" s="139" t="n"/>
      <c r="F2434" s="139" t="n"/>
      <c r="G2434" s="140">
        <f>IFERROR(IF(E2434&gt;0,(F2434/E2434)*1000,""),"")</f>
        <v/>
      </c>
      <c r="H2434" s="139">
        <f>IFERROR(IF(E2434&gt;0,E2434*IF(ISNUMBER(J2434),J2434,IF(OR(C2434="Alpha",B2434="Alpha"),$C$7,IF(C2434="Futures",$C$6,$C$5))),""),"")</f>
        <v/>
      </c>
      <c r="I2434" s="139">
        <f>IFERROR(IF(AND(ISNUMBER(F2434),ISNUMBER(H2434)),F2434-H2434,""),"")</f>
        <v/>
      </c>
      <c r="J2434" s="114" t="n"/>
      <c r="K2434" s="139">
        <f>IFERROR(IF(H2434&gt;0,H2434*IF(OR(C2434="Alpha",B2434="Alpha"),$C$9,$C$8),""),"")</f>
        <v/>
      </c>
      <c r="L2434" s="139">
        <f>IFERROR(IF(ISNUMBER(F2434),F2434-IF(ISNUMBER(K2434),K2434,0),""),"")</f>
        <v/>
      </c>
    </row>
    <row r="2435" ht="24" customHeight="1" s="63">
      <c r="E2435" s="139" t="n"/>
      <c r="F2435" s="139" t="n"/>
      <c r="G2435" s="140">
        <f>IFERROR(IF(E2435&gt;0,(F2435/E2435)*1000,""),"")</f>
        <v/>
      </c>
      <c r="H2435" s="139">
        <f>IFERROR(IF(E2435&gt;0,E2435*IF(ISNUMBER(J2435),J2435,IF(OR(C2435="Alpha",B2435="Alpha"),$C$7,IF(C2435="Futures",$C$6,$C$5))),""),"")</f>
        <v/>
      </c>
      <c r="I2435" s="139">
        <f>IFERROR(IF(AND(ISNUMBER(F2435),ISNUMBER(H2435)),F2435-H2435,""),"")</f>
        <v/>
      </c>
      <c r="J2435" s="114" t="n"/>
      <c r="K2435" s="139">
        <f>IFERROR(IF(H2435&gt;0,H2435*IF(OR(C2435="Alpha",B2435="Alpha"),$C$9,$C$8),""),"")</f>
        <v/>
      </c>
      <c r="L2435" s="139">
        <f>IFERROR(IF(ISNUMBER(F2435),F2435-IF(ISNUMBER(K2435),K2435,0),""),"")</f>
        <v/>
      </c>
    </row>
    <row r="2436" ht="24" customHeight="1" s="63">
      <c r="E2436" s="139" t="n"/>
      <c r="F2436" s="139" t="n"/>
      <c r="G2436" s="140">
        <f>IFERROR(IF(E2436&gt;0,(F2436/E2436)*1000,""),"")</f>
        <v/>
      </c>
      <c r="H2436" s="139">
        <f>IFERROR(IF(E2436&gt;0,E2436*IF(ISNUMBER(J2436),J2436,IF(OR(C2436="Alpha",B2436="Alpha"),$C$7,IF(C2436="Futures",$C$6,$C$5))),""),"")</f>
        <v/>
      </c>
      <c r="I2436" s="139">
        <f>IFERROR(IF(AND(ISNUMBER(F2436),ISNUMBER(H2436)),F2436-H2436,""),"")</f>
        <v/>
      </c>
      <c r="J2436" s="114" t="n"/>
      <c r="K2436" s="139">
        <f>IFERROR(IF(H2436&gt;0,H2436*IF(OR(C2436="Alpha",B2436="Alpha"),$C$9,$C$8),""),"")</f>
        <v/>
      </c>
      <c r="L2436" s="139">
        <f>IFERROR(IF(ISNUMBER(F2436),F2436-IF(ISNUMBER(K2436),K2436,0),""),"")</f>
        <v/>
      </c>
    </row>
    <row r="2437" ht="24" customHeight="1" s="63">
      <c r="E2437" s="139" t="n"/>
      <c r="F2437" s="139" t="n"/>
      <c r="G2437" s="140">
        <f>IFERROR(IF(E2437&gt;0,(F2437/E2437)*1000,""),"")</f>
        <v/>
      </c>
      <c r="H2437" s="139">
        <f>IFERROR(IF(E2437&gt;0,E2437*IF(ISNUMBER(J2437),J2437,IF(OR(C2437="Alpha",B2437="Alpha"),$C$7,IF(C2437="Futures",$C$6,$C$5))),""),"")</f>
        <v/>
      </c>
      <c r="I2437" s="139">
        <f>IFERROR(IF(AND(ISNUMBER(F2437),ISNUMBER(H2437)),F2437-H2437,""),"")</f>
        <v/>
      </c>
      <c r="J2437" s="114" t="n"/>
      <c r="K2437" s="139">
        <f>IFERROR(IF(H2437&gt;0,H2437*IF(OR(C2437="Alpha",B2437="Alpha"),$C$9,$C$8),""),"")</f>
        <v/>
      </c>
      <c r="L2437" s="139">
        <f>IFERROR(IF(ISNUMBER(F2437),F2437-IF(ISNUMBER(K2437),K2437,0),""),"")</f>
        <v/>
      </c>
    </row>
    <row r="2438" ht="24" customHeight="1" s="63">
      <c r="E2438" s="139" t="n"/>
      <c r="F2438" s="139" t="n"/>
      <c r="G2438" s="140">
        <f>IFERROR(IF(E2438&gt;0,(F2438/E2438)*1000,""),"")</f>
        <v/>
      </c>
      <c r="H2438" s="139">
        <f>IFERROR(IF(E2438&gt;0,E2438*IF(ISNUMBER(J2438),J2438,IF(OR(C2438="Alpha",B2438="Alpha"),$C$7,IF(C2438="Futures",$C$6,$C$5))),""),"")</f>
        <v/>
      </c>
      <c r="I2438" s="139">
        <f>IFERROR(IF(AND(ISNUMBER(F2438),ISNUMBER(H2438)),F2438-H2438,""),"")</f>
        <v/>
      </c>
      <c r="J2438" s="114" t="n"/>
      <c r="K2438" s="139">
        <f>IFERROR(IF(H2438&gt;0,H2438*IF(OR(C2438="Alpha",B2438="Alpha"),$C$9,$C$8),""),"")</f>
        <v/>
      </c>
      <c r="L2438" s="139">
        <f>IFERROR(IF(ISNUMBER(F2438),F2438-IF(ISNUMBER(K2438),K2438,0),""),"")</f>
        <v/>
      </c>
    </row>
    <row r="2439" ht="24" customHeight="1" s="63">
      <c r="E2439" s="139" t="n"/>
      <c r="F2439" s="139" t="n"/>
      <c r="G2439" s="140">
        <f>IFERROR(IF(E2439&gt;0,(F2439/E2439)*1000,""),"")</f>
        <v/>
      </c>
      <c r="H2439" s="139">
        <f>IFERROR(IF(E2439&gt;0,E2439*IF(ISNUMBER(J2439),J2439,IF(OR(C2439="Alpha",B2439="Alpha"),$C$7,IF(C2439="Futures",$C$6,$C$5))),""),"")</f>
        <v/>
      </c>
      <c r="I2439" s="139">
        <f>IFERROR(IF(AND(ISNUMBER(F2439),ISNUMBER(H2439)),F2439-H2439,""),"")</f>
        <v/>
      </c>
      <c r="J2439" s="114" t="n"/>
      <c r="K2439" s="139">
        <f>IFERROR(IF(H2439&gt;0,H2439*IF(OR(C2439="Alpha",B2439="Alpha"),$C$9,$C$8),""),"")</f>
        <v/>
      </c>
      <c r="L2439" s="139">
        <f>IFERROR(IF(ISNUMBER(F2439),F2439-IF(ISNUMBER(K2439),K2439,0),""),"")</f>
        <v/>
      </c>
    </row>
    <row r="2440" ht="24" customHeight="1" s="63">
      <c r="E2440" s="139" t="n"/>
      <c r="F2440" s="139" t="n"/>
      <c r="G2440" s="140">
        <f>IFERROR(IF(E2440&gt;0,(F2440/E2440)*1000,""),"")</f>
        <v/>
      </c>
      <c r="H2440" s="139">
        <f>IFERROR(IF(E2440&gt;0,E2440*IF(ISNUMBER(J2440),J2440,IF(OR(C2440="Alpha",B2440="Alpha"),$C$7,IF(C2440="Futures",$C$6,$C$5))),""),"")</f>
        <v/>
      </c>
      <c r="I2440" s="139">
        <f>IFERROR(IF(AND(ISNUMBER(F2440),ISNUMBER(H2440)),F2440-H2440,""),"")</f>
        <v/>
      </c>
      <c r="J2440" s="114" t="n"/>
      <c r="K2440" s="139">
        <f>IFERROR(IF(H2440&gt;0,H2440*IF(OR(C2440="Alpha",B2440="Alpha"),$C$9,$C$8),""),"")</f>
        <v/>
      </c>
      <c r="L2440" s="139">
        <f>IFERROR(IF(ISNUMBER(F2440),F2440-IF(ISNUMBER(K2440),K2440,0),""),"")</f>
        <v/>
      </c>
    </row>
    <row r="2441" ht="24" customHeight="1" s="63">
      <c r="E2441" s="139" t="n"/>
      <c r="F2441" s="139" t="n"/>
      <c r="G2441" s="140">
        <f>IFERROR(IF(E2441&gt;0,(F2441/E2441)*1000,""),"")</f>
        <v/>
      </c>
      <c r="H2441" s="139">
        <f>IFERROR(IF(E2441&gt;0,E2441*IF(ISNUMBER(J2441),J2441,IF(OR(C2441="Alpha",B2441="Alpha"),$C$7,IF(C2441="Futures",$C$6,$C$5))),""),"")</f>
        <v/>
      </c>
      <c r="I2441" s="139">
        <f>IFERROR(IF(AND(ISNUMBER(F2441),ISNUMBER(H2441)),F2441-H2441,""),"")</f>
        <v/>
      </c>
      <c r="J2441" s="114" t="n"/>
      <c r="K2441" s="139">
        <f>IFERROR(IF(H2441&gt;0,H2441*IF(OR(C2441="Alpha",B2441="Alpha"),$C$9,$C$8),""),"")</f>
        <v/>
      </c>
      <c r="L2441" s="139">
        <f>IFERROR(IF(ISNUMBER(F2441),F2441-IF(ISNUMBER(K2441),K2441,0),""),"")</f>
        <v/>
      </c>
    </row>
    <row r="2442" ht="24" customHeight="1" s="63">
      <c r="E2442" s="139" t="n"/>
      <c r="F2442" s="139" t="n"/>
      <c r="G2442" s="140">
        <f>IFERROR(IF(E2442&gt;0,(F2442/E2442)*1000,""),"")</f>
        <v/>
      </c>
      <c r="H2442" s="139">
        <f>IFERROR(IF(E2442&gt;0,E2442*IF(ISNUMBER(J2442),J2442,IF(OR(C2442="Alpha",B2442="Alpha"),$C$7,IF(C2442="Futures",$C$6,$C$5))),""),"")</f>
        <v/>
      </c>
      <c r="I2442" s="139">
        <f>IFERROR(IF(AND(ISNUMBER(F2442),ISNUMBER(H2442)),F2442-H2442,""),"")</f>
        <v/>
      </c>
      <c r="J2442" s="114" t="n"/>
      <c r="K2442" s="139">
        <f>IFERROR(IF(H2442&gt;0,H2442*IF(OR(C2442="Alpha",B2442="Alpha"),$C$9,$C$8),""),"")</f>
        <v/>
      </c>
      <c r="L2442" s="139">
        <f>IFERROR(IF(ISNUMBER(F2442),F2442-IF(ISNUMBER(K2442),K2442,0),""),"")</f>
        <v/>
      </c>
    </row>
    <row r="2443" ht="24" customHeight="1" s="63">
      <c r="E2443" s="139" t="n"/>
      <c r="F2443" s="139" t="n"/>
      <c r="G2443" s="140">
        <f>IFERROR(IF(E2443&gt;0,(F2443/E2443)*1000,""),"")</f>
        <v/>
      </c>
      <c r="H2443" s="139">
        <f>IFERROR(IF(E2443&gt;0,E2443*IF(ISNUMBER(J2443),J2443,IF(OR(C2443="Alpha",B2443="Alpha"),$C$7,IF(C2443="Futures",$C$6,$C$5))),""),"")</f>
        <v/>
      </c>
      <c r="I2443" s="139">
        <f>IFERROR(IF(AND(ISNUMBER(F2443),ISNUMBER(H2443)),F2443-H2443,""),"")</f>
        <v/>
      </c>
      <c r="J2443" s="114" t="n"/>
      <c r="K2443" s="139">
        <f>IFERROR(IF(H2443&gt;0,H2443*IF(OR(C2443="Alpha",B2443="Alpha"),$C$9,$C$8),""),"")</f>
        <v/>
      </c>
      <c r="L2443" s="139">
        <f>IFERROR(IF(ISNUMBER(F2443),F2443-IF(ISNUMBER(K2443),K2443,0),""),"")</f>
        <v/>
      </c>
    </row>
    <row r="2444" ht="24" customHeight="1" s="63">
      <c r="E2444" s="139" t="n"/>
      <c r="F2444" s="139" t="n"/>
      <c r="G2444" s="140">
        <f>IFERROR(IF(E2444&gt;0,(F2444/E2444)*1000,""),"")</f>
        <v/>
      </c>
      <c r="H2444" s="139">
        <f>IFERROR(IF(E2444&gt;0,E2444*IF(ISNUMBER(J2444),J2444,IF(OR(C2444="Alpha",B2444="Alpha"),$C$7,IF(C2444="Futures",$C$6,$C$5))),""),"")</f>
        <v/>
      </c>
      <c r="I2444" s="139">
        <f>IFERROR(IF(AND(ISNUMBER(F2444),ISNUMBER(H2444)),F2444-H2444,""),"")</f>
        <v/>
      </c>
      <c r="J2444" s="114" t="n"/>
      <c r="K2444" s="139">
        <f>IFERROR(IF(H2444&gt;0,H2444*IF(OR(C2444="Alpha",B2444="Alpha"),$C$9,$C$8),""),"")</f>
        <v/>
      </c>
      <c r="L2444" s="139">
        <f>IFERROR(IF(ISNUMBER(F2444),F2444-IF(ISNUMBER(K2444),K2444,0),""),"")</f>
        <v/>
      </c>
    </row>
    <row r="2445" ht="24" customHeight="1" s="63">
      <c r="E2445" s="139" t="n"/>
      <c r="F2445" s="139" t="n"/>
      <c r="G2445" s="140">
        <f>IFERROR(IF(E2445&gt;0,(F2445/E2445)*1000,""),"")</f>
        <v/>
      </c>
      <c r="H2445" s="139">
        <f>IFERROR(IF(E2445&gt;0,E2445*IF(ISNUMBER(J2445),J2445,IF(OR(C2445="Alpha",B2445="Alpha"),$C$7,IF(C2445="Futures",$C$6,$C$5))),""),"")</f>
        <v/>
      </c>
      <c r="I2445" s="139">
        <f>IFERROR(IF(AND(ISNUMBER(F2445),ISNUMBER(H2445)),F2445-H2445,""),"")</f>
        <v/>
      </c>
      <c r="J2445" s="114" t="n"/>
      <c r="K2445" s="139">
        <f>IFERROR(IF(H2445&gt;0,H2445*IF(OR(C2445="Alpha",B2445="Alpha"),$C$9,$C$8),""),"")</f>
        <v/>
      </c>
      <c r="L2445" s="139">
        <f>IFERROR(IF(ISNUMBER(F2445),F2445-IF(ISNUMBER(K2445),K2445,0),""),"")</f>
        <v/>
      </c>
    </row>
    <row r="2446" ht="24" customHeight="1" s="63">
      <c r="E2446" s="139" t="n"/>
      <c r="F2446" s="139" t="n"/>
      <c r="G2446" s="140">
        <f>IFERROR(IF(E2446&gt;0,(F2446/E2446)*1000,""),"")</f>
        <v/>
      </c>
      <c r="H2446" s="139">
        <f>IFERROR(IF(E2446&gt;0,E2446*IF(ISNUMBER(J2446),J2446,IF(OR(C2446="Alpha",B2446="Alpha"),$C$7,IF(C2446="Futures",$C$6,$C$5))),""),"")</f>
        <v/>
      </c>
      <c r="I2446" s="139">
        <f>IFERROR(IF(AND(ISNUMBER(F2446),ISNUMBER(H2446)),F2446-H2446,""),"")</f>
        <v/>
      </c>
      <c r="J2446" s="114" t="n"/>
      <c r="K2446" s="139">
        <f>IFERROR(IF(H2446&gt;0,H2446*IF(OR(C2446="Alpha",B2446="Alpha"),$C$9,$C$8),""),"")</f>
        <v/>
      </c>
      <c r="L2446" s="139">
        <f>IFERROR(IF(ISNUMBER(F2446),F2446-IF(ISNUMBER(K2446),K2446,0),""),"")</f>
        <v/>
      </c>
    </row>
    <row r="2447" ht="24" customHeight="1" s="63">
      <c r="E2447" s="139" t="n"/>
      <c r="F2447" s="139" t="n"/>
      <c r="G2447" s="140">
        <f>IFERROR(IF(E2447&gt;0,(F2447/E2447)*1000,""),"")</f>
        <v/>
      </c>
      <c r="H2447" s="139">
        <f>IFERROR(IF(E2447&gt;0,E2447*IF(ISNUMBER(J2447),J2447,IF(OR(C2447="Alpha",B2447="Alpha"),$C$7,IF(C2447="Futures",$C$6,$C$5))),""),"")</f>
        <v/>
      </c>
      <c r="I2447" s="139">
        <f>IFERROR(IF(AND(ISNUMBER(F2447),ISNUMBER(H2447)),F2447-H2447,""),"")</f>
        <v/>
      </c>
      <c r="J2447" s="114" t="n"/>
      <c r="K2447" s="139">
        <f>IFERROR(IF(H2447&gt;0,H2447*IF(OR(C2447="Alpha",B2447="Alpha"),$C$9,$C$8),""),"")</f>
        <v/>
      </c>
      <c r="L2447" s="139">
        <f>IFERROR(IF(ISNUMBER(F2447),F2447-IF(ISNUMBER(K2447),K2447,0),""),"")</f>
        <v/>
      </c>
    </row>
    <row r="2448" ht="24" customHeight="1" s="63">
      <c r="E2448" s="139" t="n"/>
      <c r="F2448" s="139" t="n"/>
      <c r="G2448" s="140">
        <f>IFERROR(IF(E2448&gt;0,(F2448/E2448)*1000,""),"")</f>
        <v/>
      </c>
      <c r="H2448" s="139">
        <f>IFERROR(IF(E2448&gt;0,E2448*IF(ISNUMBER(J2448),J2448,IF(OR(C2448="Alpha",B2448="Alpha"),$C$7,IF(C2448="Futures",$C$6,$C$5))),""),"")</f>
        <v/>
      </c>
      <c r="I2448" s="139">
        <f>IFERROR(IF(AND(ISNUMBER(F2448),ISNUMBER(H2448)),F2448-H2448,""),"")</f>
        <v/>
      </c>
      <c r="J2448" s="114" t="n"/>
      <c r="K2448" s="139">
        <f>IFERROR(IF(H2448&gt;0,H2448*IF(OR(C2448="Alpha",B2448="Alpha"),$C$9,$C$8),""),"")</f>
        <v/>
      </c>
      <c r="L2448" s="139">
        <f>IFERROR(IF(ISNUMBER(F2448),F2448-IF(ISNUMBER(K2448),K2448,0),""),"")</f>
        <v/>
      </c>
    </row>
    <row r="2449" ht="24" customHeight="1" s="63">
      <c r="E2449" s="139" t="n"/>
      <c r="F2449" s="139" t="n"/>
      <c r="G2449" s="140">
        <f>IFERROR(IF(E2449&gt;0,(F2449/E2449)*1000,""),"")</f>
        <v/>
      </c>
      <c r="H2449" s="139">
        <f>IFERROR(IF(E2449&gt;0,E2449*IF(ISNUMBER(J2449),J2449,IF(OR(C2449="Alpha",B2449="Alpha"),$C$7,IF(C2449="Futures",$C$6,$C$5))),""),"")</f>
        <v/>
      </c>
      <c r="I2449" s="139">
        <f>IFERROR(IF(AND(ISNUMBER(F2449),ISNUMBER(H2449)),F2449-H2449,""),"")</f>
        <v/>
      </c>
      <c r="J2449" s="114" t="n"/>
      <c r="K2449" s="139">
        <f>IFERROR(IF(H2449&gt;0,H2449*IF(OR(C2449="Alpha",B2449="Alpha"),$C$9,$C$8),""),"")</f>
        <v/>
      </c>
      <c r="L2449" s="139">
        <f>IFERROR(IF(ISNUMBER(F2449),F2449-IF(ISNUMBER(K2449),K2449,0),""),"")</f>
        <v/>
      </c>
    </row>
    <row r="2450" ht="24" customHeight="1" s="63">
      <c r="E2450" s="139" t="n"/>
      <c r="F2450" s="139" t="n"/>
      <c r="G2450" s="140">
        <f>IFERROR(IF(E2450&gt;0,(F2450/E2450)*1000,""),"")</f>
        <v/>
      </c>
      <c r="H2450" s="139">
        <f>IFERROR(IF(E2450&gt;0,E2450*IF(ISNUMBER(J2450),J2450,IF(OR(C2450="Alpha",B2450="Alpha"),$C$7,IF(C2450="Futures",$C$6,$C$5))),""),"")</f>
        <v/>
      </c>
      <c r="I2450" s="139">
        <f>IFERROR(IF(AND(ISNUMBER(F2450),ISNUMBER(H2450)),F2450-H2450,""),"")</f>
        <v/>
      </c>
      <c r="J2450" s="114" t="n"/>
      <c r="K2450" s="139">
        <f>IFERROR(IF(H2450&gt;0,H2450*IF(OR(C2450="Alpha",B2450="Alpha"),$C$9,$C$8),""),"")</f>
        <v/>
      </c>
      <c r="L2450" s="139">
        <f>IFERROR(IF(ISNUMBER(F2450),F2450-IF(ISNUMBER(K2450),K2450,0),""),"")</f>
        <v/>
      </c>
    </row>
    <row r="2451" ht="24" customHeight="1" s="63">
      <c r="E2451" s="139" t="n"/>
      <c r="F2451" s="139" t="n"/>
      <c r="G2451" s="140">
        <f>IFERROR(IF(E2451&gt;0,(F2451/E2451)*1000,""),"")</f>
        <v/>
      </c>
      <c r="H2451" s="139">
        <f>IFERROR(IF(E2451&gt;0,E2451*IF(ISNUMBER(J2451),J2451,IF(OR(C2451="Alpha",B2451="Alpha"),$C$7,IF(C2451="Futures",$C$6,$C$5))),""),"")</f>
        <v/>
      </c>
      <c r="I2451" s="139">
        <f>IFERROR(IF(AND(ISNUMBER(F2451),ISNUMBER(H2451)),F2451-H2451,""),"")</f>
        <v/>
      </c>
      <c r="J2451" s="114" t="n"/>
      <c r="K2451" s="139">
        <f>IFERROR(IF(H2451&gt;0,H2451*IF(OR(C2451="Alpha",B2451="Alpha"),$C$9,$C$8),""),"")</f>
        <v/>
      </c>
      <c r="L2451" s="139">
        <f>IFERROR(IF(ISNUMBER(F2451),F2451-IF(ISNUMBER(K2451),K2451,0),""),"")</f>
        <v/>
      </c>
    </row>
    <row r="2452" ht="24" customHeight="1" s="63">
      <c r="E2452" s="139" t="n"/>
      <c r="F2452" s="139" t="n"/>
      <c r="G2452" s="140">
        <f>IFERROR(IF(E2452&gt;0,(F2452/E2452)*1000,""),"")</f>
        <v/>
      </c>
      <c r="H2452" s="139">
        <f>IFERROR(IF(E2452&gt;0,E2452*IF(ISNUMBER(J2452),J2452,IF(OR(C2452="Alpha",B2452="Alpha"),$C$7,IF(C2452="Futures",$C$6,$C$5))),""),"")</f>
        <v/>
      </c>
      <c r="I2452" s="139">
        <f>IFERROR(IF(AND(ISNUMBER(F2452),ISNUMBER(H2452)),F2452-H2452,""),"")</f>
        <v/>
      </c>
      <c r="J2452" s="114" t="n"/>
      <c r="K2452" s="139">
        <f>IFERROR(IF(H2452&gt;0,H2452*IF(OR(C2452="Alpha",B2452="Alpha"),$C$9,$C$8),""),"")</f>
        <v/>
      </c>
      <c r="L2452" s="139">
        <f>IFERROR(IF(ISNUMBER(F2452),F2452-IF(ISNUMBER(K2452),K2452,0),""),"")</f>
        <v/>
      </c>
    </row>
    <row r="2453" ht="24" customHeight="1" s="63">
      <c r="E2453" s="139" t="n"/>
      <c r="F2453" s="139" t="n"/>
      <c r="G2453" s="140">
        <f>IFERROR(IF(E2453&gt;0,(F2453/E2453)*1000,""),"")</f>
        <v/>
      </c>
      <c r="H2453" s="139">
        <f>IFERROR(IF(E2453&gt;0,E2453*IF(ISNUMBER(J2453),J2453,IF(OR(C2453="Alpha",B2453="Alpha"),$C$7,IF(C2453="Futures",$C$6,$C$5))),""),"")</f>
        <v/>
      </c>
      <c r="I2453" s="139">
        <f>IFERROR(IF(AND(ISNUMBER(F2453),ISNUMBER(H2453)),F2453-H2453,""),"")</f>
        <v/>
      </c>
      <c r="J2453" s="114" t="n"/>
      <c r="K2453" s="139">
        <f>IFERROR(IF(H2453&gt;0,H2453*IF(OR(C2453="Alpha",B2453="Alpha"),$C$9,$C$8),""),"")</f>
        <v/>
      </c>
      <c r="L2453" s="139">
        <f>IFERROR(IF(ISNUMBER(F2453),F2453-IF(ISNUMBER(K2453),K2453,0),""),"")</f>
        <v/>
      </c>
    </row>
    <row r="2454" ht="24" customHeight="1" s="63">
      <c r="E2454" s="139" t="n"/>
      <c r="F2454" s="139" t="n"/>
      <c r="G2454" s="140">
        <f>IFERROR(IF(E2454&gt;0,(F2454/E2454)*1000,""),"")</f>
        <v/>
      </c>
      <c r="H2454" s="139">
        <f>IFERROR(IF(E2454&gt;0,E2454*IF(ISNUMBER(J2454),J2454,IF(OR(C2454="Alpha",B2454="Alpha"),$C$7,IF(C2454="Futures",$C$6,$C$5))),""),"")</f>
        <v/>
      </c>
      <c r="I2454" s="139">
        <f>IFERROR(IF(AND(ISNUMBER(F2454),ISNUMBER(H2454)),F2454-H2454,""),"")</f>
        <v/>
      </c>
      <c r="J2454" s="114" t="n"/>
      <c r="K2454" s="139">
        <f>IFERROR(IF(H2454&gt;0,H2454*IF(OR(C2454="Alpha",B2454="Alpha"),$C$9,$C$8),""),"")</f>
        <v/>
      </c>
      <c r="L2454" s="139">
        <f>IFERROR(IF(ISNUMBER(F2454),F2454-IF(ISNUMBER(K2454),K2454,0),""),"")</f>
        <v/>
      </c>
    </row>
    <row r="2455" ht="24" customHeight="1" s="63">
      <c r="E2455" s="139" t="n"/>
      <c r="F2455" s="139" t="n"/>
      <c r="G2455" s="140">
        <f>IFERROR(IF(E2455&gt;0,(F2455/E2455)*1000,""),"")</f>
        <v/>
      </c>
      <c r="H2455" s="139">
        <f>IFERROR(IF(E2455&gt;0,E2455*IF(ISNUMBER(J2455),J2455,IF(OR(C2455="Alpha",B2455="Alpha"),$C$7,IF(C2455="Futures",$C$6,$C$5))),""),"")</f>
        <v/>
      </c>
      <c r="I2455" s="139">
        <f>IFERROR(IF(AND(ISNUMBER(F2455),ISNUMBER(H2455)),F2455-H2455,""),"")</f>
        <v/>
      </c>
      <c r="J2455" s="114" t="n"/>
      <c r="K2455" s="139">
        <f>IFERROR(IF(H2455&gt;0,H2455*IF(OR(C2455="Alpha",B2455="Alpha"),$C$9,$C$8),""),"")</f>
        <v/>
      </c>
      <c r="L2455" s="139">
        <f>IFERROR(IF(ISNUMBER(F2455),F2455-IF(ISNUMBER(K2455),K2455,0),""),"")</f>
        <v/>
      </c>
    </row>
    <row r="2456" ht="24" customHeight="1" s="63">
      <c r="E2456" s="139" t="n"/>
      <c r="F2456" s="139" t="n"/>
      <c r="G2456" s="140">
        <f>IFERROR(IF(E2456&gt;0,(F2456/E2456)*1000,""),"")</f>
        <v/>
      </c>
      <c r="H2456" s="139">
        <f>IFERROR(IF(E2456&gt;0,E2456*IF(ISNUMBER(J2456),J2456,IF(OR(C2456="Alpha",B2456="Alpha"),$C$7,IF(C2456="Futures",$C$6,$C$5))),""),"")</f>
        <v/>
      </c>
      <c r="I2456" s="139">
        <f>IFERROR(IF(AND(ISNUMBER(F2456),ISNUMBER(H2456)),F2456-H2456,""),"")</f>
        <v/>
      </c>
      <c r="J2456" s="114" t="n"/>
      <c r="K2456" s="139">
        <f>IFERROR(IF(H2456&gt;0,H2456*IF(OR(C2456="Alpha",B2456="Alpha"),$C$9,$C$8),""),"")</f>
        <v/>
      </c>
      <c r="L2456" s="139">
        <f>IFERROR(IF(ISNUMBER(F2456),F2456-IF(ISNUMBER(K2456),K2456,0),""),"")</f>
        <v/>
      </c>
    </row>
    <row r="2457" ht="24" customHeight="1" s="63">
      <c r="E2457" s="139" t="n"/>
      <c r="F2457" s="139" t="n"/>
      <c r="G2457" s="140">
        <f>IFERROR(IF(E2457&gt;0,(F2457/E2457)*1000,""),"")</f>
        <v/>
      </c>
      <c r="H2457" s="139">
        <f>IFERROR(IF(E2457&gt;0,E2457*IF(ISNUMBER(J2457),J2457,IF(OR(C2457="Alpha",B2457="Alpha"),$C$7,IF(C2457="Futures",$C$6,$C$5))),""),"")</f>
        <v/>
      </c>
      <c r="I2457" s="139">
        <f>IFERROR(IF(AND(ISNUMBER(F2457),ISNUMBER(H2457)),F2457-H2457,""),"")</f>
        <v/>
      </c>
      <c r="J2457" s="114" t="n"/>
      <c r="K2457" s="139">
        <f>IFERROR(IF(H2457&gt;0,H2457*IF(OR(C2457="Alpha",B2457="Alpha"),$C$9,$C$8),""),"")</f>
        <v/>
      </c>
      <c r="L2457" s="139">
        <f>IFERROR(IF(ISNUMBER(F2457),F2457-IF(ISNUMBER(K2457),K2457,0),""),"")</f>
        <v/>
      </c>
    </row>
    <row r="2458" ht="24" customHeight="1" s="63">
      <c r="E2458" s="139" t="n"/>
      <c r="F2458" s="139" t="n"/>
      <c r="G2458" s="140">
        <f>IFERROR(IF(E2458&gt;0,(F2458/E2458)*1000,""),"")</f>
        <v/>
      </c>
      <c r="H2458" s="139">
        <f>IFERROR(IF(E2458&gt;0,E2458*IF(ISNUMBER(J2458),J2458,IF(OR(C2458="Alpha",B2458="Alpha"),$C$7,IF(C2458="Futures",$C$6,$C$5))),""),"")</f>
        <v/>
      </c>
      <c r="I2458" s="139">
        <f>IFERROR(IF(AND(ISNUMBER(F2458),ISNUMBER(H2458)),F2458-H2458,""),"")</f>
        <v/>
      </c>
      <c r="J2458" s="114" t="n"/>
      <c r="K2458" s="139">
        <f>IFERROR(IF(H2458&gt;0,H2458*IF(OR(C2458="Alpha",B2458="Alpha"),$C$9,$C$8),""),"")</f>
        <v/>
      </c>
      <c r="L2458" s="139">
        <f>IFERROR(IF(ISNUMBER(F2458),F2458-IF(ISNUMBER(K2458),K2458,0),""),"")</f>
        <v/>
      </c>
    </row>
    <row r="2459" ht="24" customHeight="1" s="63">
      <c r="E2459" s="139" t="n"/>
      <c r="F2459" s="139" t="n"/>
      <c r="G2459" s="140">
        <f>IFERROR(IF(E2459&gt;0,(F2459/E2459)*1000,""),"")</f>
        <v/>
      </c>
      <c r="H2459" s="139">
        <f>IFERROR(IF(E2459&gt;0,E2459*IF(ISNUMBER(J2459),J2459,IF(OR(C2459="Alpha",B2459="Alpha"),$C$7,IF(C2459="Futures",$C$6,$C$5))),""),"")</f>
        <v/>
      </c>
      <c r="I2459" s="139">
        <f>IFERROR(IF(AND(ISNUMBER(F2459),ISNUMBER(H2459)),F2459-H2459,""),"")</f>
        <v/>
      </c>
      <c r="J2459" s="114" t="n"/>
      <c r="K2459" s="139">
        <f>IFERROR(IF(H2459&gt;0,H2459*IF(OR(C2459="Alpha",B2459="Alpha"),$C$9,$C$8),""),"")</f>
        <v/>
      </c>
      <c r="L2459" s="139">
        <f>IFERROR(IF(ISNUMBER(F2459),F2459-IF(ISNUMBER(K2459),K2459,0),""),"")</f>
        <v/>
      </c>
    </row>
    <row r="2460" ht="24" customHeight="1" s="63">
      <c r="E2460" s="139" t="n"/>
      <c r="F2460" s="139" t="n"/>
      <c r="G2460" s="140">
        <f>IFERROR(IF(E2460&gt;0,(F2460/E2460)*1000,""),"")</f>
        <v/>
      </c>
      <c r="H2460" s="139">
        <f>IFERROR(IF(E2460&gt;0,E2460*IF(ISNUMBER(J2460),J2460,IF(OR(C2460="Alpha",B2460="Alpha"),$C$7,IF(C2460="Futures",$C$6,$C$5))),""),"")</f>
        <v/>
      </c>
      <c r="I2460" s="139">
        <f>IFERROR(IF(AND(ISNUMBER(F2460),ISNUMBER(H2460)),F2460-H2460,""),"")</f>
        <v/>
      </c>
      <c r="J2460" s="114" t="n"/>
      <c r="K2460" s="139">
        <f>IFERROR(IF(H2460&gt;0,H2460*IF(OR(C2460="Alpha",B2460="Alpha"),$C$9,$C$8),""),"")</f>
        <v/>
      </c>
      <c r="L2460" s="139">
        <f>IFERROR(IF(ISNUMBER(F2460),F2460-IF(ISNUMBER(K2460),K2460,0),""),"")</f>
        <v/>
      </c>
    </row>
    <row r="2461" ht="24" customHeight="1" s="63">
      <c r="E2461" s="139" t="n"/>
      <c r="F2461" s="139" t="n"/>
      <c r="G2461" s="140">
        <f>IFERROR(IF(E2461&gt;0,(F2461/E2461)*1000,""),"")</f>
        <v/>
      </c>
      <c r="H2461" s="139">
        <f>IFERROR(IF(E2461&gt;0,E2461*IF(ISNUMBER(J2461),J2461,IF(OR(C2461="Alpha",B2461="Alpha"),$C$7,IF(C2461="Futures",$C$6,$C$5))),""),"")</f>
        <v/>
      </c>
      <c r="I2461" s="139">
        <f>IFERROR(IF(AND(ISNUMBER(F2461),ISNUMBER(H2461)),F2461-H2461,""),"")</f>
        <v/>
      </c>
      <c r="J2461" s="114" t="n"/>
      <c r="K2461" s="139">
        <f>IFERROR(IF(H2461&gt;0,H2461*IF(OR(C2461="Alpha",B2461="Alpha"),$C$9,$C$8),""),"")</f>
        <v/>
      </c>
      <c r="L2461" s="139">
        <f>IFERROR(IF(ISNUMBER(F2461),F2461-IF(ISNUMBER(K2461),K2461,0),""),"")</f>
        <v/>
      </c>
    </row>
    <row r="2462" ht="24" customHeight="1" s="63">
      <c r="E2462" s="139" t="n"/>
      <c r="F2462" s="139" t="n"/>
      <c r="G2462" s="140">
        <f>IFERROR(IF(E2462&gt;0,(F2462/E2462)*1000,""),"")</f>
        <v/>
      </c>
      <c r="H2462" s="139">
        <f>IFERROR(IF(E2462&gt;0,E2462*IF(ISNUMBER(J2462),J2462,IF(OR(C2462="Alpha",B2462="Alpha"),$C$7,IF(C2462="Futures",$C$6,$C$5))),""),"")</f>
        <v/>
      </c>
      <c r="I2462" s="139">
        <f>IFERROR(IF(AND(ISNUMBER(F2462),ISNUMBER(H2462)),F2462-H2462,""),"")</f>
        <v/>
      </c>
      <c r="J2462" s="114" t="n"/>
      <c r="K2462" s="139">
        <f>IFERROR(IF(H2462&gt;0,H2462*IF(OR(C2462="Alpha",B2462="Alpha"),$C$9,$C$8),""),"")</f>
        <v/>
      </c>
      <c r="L2462" s="139">
        <f>IFERROR(IF(ISNUMBER(F2462),F2462-IF(ISNUMBER(K2462),K2462,0),""),"")</f>
        <v/>
      </c>
    </row>
    <row r="2463" ht="24" customHeight="1" s="63">
      <c r="E2463" s="139" t="n"/>
      <c r="F2463" s="139" t="n"/>
      <c r="G2463" s="140">
        <f>IFERROR(IF(E2463&gt;0,(F2463/E2463)*1000,""),"")</f>
        <v/>
      </c>
      <c r="H2463" s="139">
        <f>IFERROR(IF(E2463&gt;0,E2463*IF(ISNUMBER(J2463),J2463,IF(OR(C2463="Alpha",B2463="Alpha"),$C$7,IF(C2463="Futures",$C$6,$C$5))),""),"")</f>
        <v/>
      </c>
      <c r="I2463" s="139">
        <f>IFERROR(IF(AND(ISNUMBER(F2463),ISNUMBER(H2463)),F2463-H2463,""),"")</f>
        <v/>
      </c>
      <c r="J2463" s="114" t="n"/>
      <c r="K2463" s="139">
        <f>IFERROR(IF(H2463&gt;0,H2463*IF(OR(C2463="Alpha",B2463="Alpha"),$C$9,$C$8),""),"")</f>
        <v/>
      </c>
      <c r="L2463" s="139">
        <f>IFERROR(IF(ISNUMBER(F2463),F2463-IF(ISNUMBER(K2463),K2463,0),""),"")</f>
        <v/>
      </c>
    </row>
    <row r="2464" ht="24" customHeight="1" s="63">
      <c r="E2464" s="139" t="n"/>
      <c r="F2464" s="139" t="n"/>
      <c r="G2464" s="140">
        <f>IFERROR(IF(E2464&gt;0,(F2464/E2464)*1000,""),"")</f>
        <v/>
      </c>
      <c r="H2464" s="139">
        <f>IFERROR(IF(E2464&gt;0,E2464*IF(ISNUMBER(J2464),J2464,IF(OR(C2464="Alpha",B2464="Alpha"),$C$7,IF(C2464="Futures",$C$6,$C$5))),""),"")</f>
        <v/>
      </c>
      <c r="I2464" s="139">
        <f>IFERROR(IF(AND(ISNUMBER(F2464),ISNUMBER(H2464)),F2464-H2464,""),"")</f>
        <v/>
      </c>
      <c r="J2464" s="114" t="n"/>
      <c r="K2464" s="139">
        <f>IFERROR(IF(H2464&gt;0,H2464*IF(OR(C2464="Alpha",B2464="Alpha"),$C$9,$C$8),""),"")</f>
        <v/>
      </c>
      <c r="L2464" s="139">
        <f>IFERROR(IF(ISNUMBER(F2464),F2464-IF(ISNUMBER(K2464),K2464,0),""),"")</f>
        <v/>
      </c>
    </row>
    <row r="2465" ht="24" customHeight="1" s="63">
      <c r="E2465" s="139" t="n"/>
      <c r="F2465" s="139" t="n"/>
      <c r="G2465" s="140">
        <f>IFERROR(IF(E2465&gt;0,(F2465/E2465)*1000,""),"")</f>
        <v/>
      </c>
      <c r="H2465" s="139">
        <f>IFERROR(IF(E2465&gt;0,E2465*IF(ISNUMBER(J2465),J2465,IF(OR(C2465="Alpha",B2465="Alpha"),$C$7,IF(C2465="Futures",$C$6,$C$5))),""),"")</f>
        <v/>
      </c>
      <c r="I2465" s="139">
        <f>IFERROR(IF(AND(ISNUMBER(F2465),ISNUMBER(H2465)),F2465-H2465,""),"")</f>
        <v/>
      </c>
      <c r="J2465" s="114" t="n"/>
      <c r="K2465" s="139">
        <f>IFERROR(IF(H2465&gt;0,H2465*IF(OR(C2465="Alpha",B2465="Alpha"),$C$9,$C$8),""),"")</f>
        <v/>
      </c>
      <c r="L2465" s="139">
        <f>IFERROR(IF(ISNUMBER(F2465),F2465-IF(ISNUMBER(K2465),K2465,0),""),"")</f>
        <v/>
      </c>
    </row>
    <row r="2466" ht="24" customHeight="1" s="63">
      <c r="E2466" s="139" t="n"/>
      <c r="F2466" s="139" t="n"/>
      <c r="G2466" s="140">
        <f>IFERROR(IF(E2466&gt;0,(F2466/E2466)*1000,""),"")</f>
        <v/>
      </c>
      <c r="H2466" s="139">
        <f>IFERROR(IF(E2466&gt;0,E2466*IF(ISNUMBER(J2466),J2466,IF(OR(C2466="Alpha",B2466="Alpha"),$C$7,IF(C2466="Futures",$C$6,$C$5))),""),"")</f>
        <v/>
      </c>
      <c r="I2466" s="139">
        <f>IFERROR(IF(AND(ISNUMBER(F2466),ISNUMBER(H2466)),F2466-H2466,""),"")</f>
        <v/>
      </c>
      <c r="J2466" s="114" t="n"/>
      <c r="K2466" s="139">
        <f>IFERROR(IF(H2466&gt;0,H2466*IF(OR(C2466="Alpha",B2466="Alpha"),$C$9,$C$8),""),"")</f>
        <v/>
      </c>
      <c r="L2466" s="139">
        <f>IFERROR(IF(ISNUMBER(F2466),F2466-IF(ISNUMBER(K2466),K2466,0),""),"")</f>
        <v/>
      </c>
    </row>
    <row r="2467" ht="24" customHeight="1" s="63">
      <c r="E2467" s="139" t="n"/>
      <c r="F2467" s="139" t="n"/>
      <c r="G2467" s="140">
        <f>IFERROR(IF(E2467&gt;0,(F2467/E2467)*1000,""),"")</f>
        <v/>
      </c>
      <c r="H2467" s="139">
        <f>IFERROR(IF(E2467&gt;0,E2467*IF(ISNUMBER(J2467),J2467,IF(OR(C2467="Alpha",B2467="Alpha"),$C$7,IF(C2467="Futures",$C$6,$C$5))),""),"")</f>
        <v/>
      </c>
      <c r="I2467" s="139">
        <f>IFERROR(IF(AND(ISNUMBER(F2467),ISNUMBER(H2467)),F2467-H2467,""),"")</f>
        <v/>
      </c>
      <c r="J2467" s="114" t="n"/>
      <c r="K2467" s="139">
        <f>IFERROR(IF(H2467&gt;0,H2467*IF(OR(C2467="Alpha",B2467="Alpha"),$C$9,$C$8),""),"")</f>
        <v/>
      </c>
      <c r="L2467" s="139">
        <f>IFERROR(IF(ISNUMBER(F2467),F2467-IF(ISNUMBER(K2467),K2467,0),""),"")</f>
        <v/>
      </c>
    </row>
    <row r="2468" ht="24" customHeight="1" s="63">
      <c r="E2468" s="139" t="n"/>
      <c r="F2468" s="139" t="n"/>
      <c r="G2468" s="140">
        <f>IFERROR(IF(E2468&gt;0,(F2468/E2468)*1000,""),"")</f>
        <v/>
      </c>
      <c r="H2468" s="139">
        <f>IFERROR(IF(E2468&gt;0,E2468*IF(ISNUMBER(J2468),J2468,IF(OR(C2468="Alpha",B2468="Alpha"),$C$7,IF(C2468="Futures",$C$6,$C$5))),""),"")</f>
        <v/>
      </c>
      <c r="I2468" s="139">
        <f>IFERROR(IF(AND(ISNUMBER(F2468),ISNUMBER(H2468)),F2468-H2468,""),"")</f>
        <v/>
      </c>
      <c r="J2468" s="114" t="n"/>
      <c r="K2468" s="139">
        <f>IFERROR(IF(H2468&gt;0,H2468*IF(OR(C2468="Alpha",B2468="Alpha"),$C$9,$C$8),""),"")</f>
        <v/>
      </c>
      <c r="L2468" s="139">
        <f>IFERROR(IF(ISNUMBER(F2468),F2468-IF(ISNUMBER(K2468),K2468,0),""),"")</f>
        <v/>
      </c>
    </row>
    <row r="2469" ht="24" customHeight="1" s="63">
      <c r="E2469" s="139" t="n"/>
      <c r="F2469" s="139" t="n"/>
      <c r="G2469" s="140">
        <f>IFERROR(IF(E2469&gt;0,(F2469/E2469)*1000,""),"")</f>
        <v/>
      </c>
      <c r="H2469" s="139">
        <f>IFERROR(IF(E2469&gt;0,E2469*IF(ISNUMBER(J2469),J2469,IF(OR(C2469="Alpha",B2469="Alpha"),$C$7,IF(C2469="Futures",$C$6,$C$5))),""),"")</f>
        <v/>
      </c>
      <c r="I2469" s="139">
        <f>IFERROR(IF(AND(ISNUMBER(F2469),ISNUMBER(H2469)),F2469-H2469,""),"")</f>
        <v/>
      </c>
      <c r="J2469" s="114" t="n"/>
      <c r="K2469" s="139">
        <f>IFERROR(IF(H2469&gt;0,H2469*IF(OR(C2469="Alpha",B2469="Alpha"),$C$9,$C$8),""),"")</f>
        <v/>
      </c>
      <c r="L2469" s="139">
        <f>IFERROR(IF(ISNUMBER(F2469),F2469-IF(ISNUMBER(K2469),K2469,0),""),"")</f>
        <v/>
      </c>
    </row>
    <row r="2470" ht="24" customHeight="1" s="63">
      <c r="E2470" s="139" t="n"/>
      <c r="F2470" s="139" t="n"/>
      <c r="G2470" s="140">
        <f>IFERROR(IF(E2470&gt;0,(F2470/E2470)*1000,""),"")</f>
        <v/>
      </c>
      <c r="H2470" s="139">
        <f>IFERROR(IF(E2470&gt;0,E2470*IF(ISNUMBER(J2470),J2470,IF(OR(C2470="Alpha",B2470="Alpha"),$C$7,IF(C2470="Futures",$C$6,$C$5))),""),"")</f>
        <v/>
      </c>
      <c r="I2470" s="139">
        <f>IFERROR(IF(AND(ISNUMBER(F2470),ISNUMBER(H2470)),F2470-H2470,""),"")</f>
        <v/>
      </c>
      <c r="J2470" s="114" t="n"/>
      <c r="K2470" s="139">
        <f>IFERROR(IF(H2470&gt;0,H2470*IF(OR(C2470="Alpha",B2470="Alpha"),$C$9,$C$8),""),"")</f>
        <v/>
      </c>
      <c r="L2470" s="139">
        <f>IFERROR(IF(ISNUMBER(F2470),F2470-IF(ISNUMBER(K2470),K2470,0),""),"")</f>
        <v/>
      </c>
    </row>
    <row r="2471" ht="24" customHeight="1" s="63">
      <c r="E2471" s="139" t="n"/>
      <c r="F2471" s="139" t="n"/>
      <c r="G2471" s="140">
        <f>IFERROR(IF(E2471&gt;0,(F2471/E2471)*1000,""),"")</f>
        <v/>
      </c>
      <c r="H2471" s="139">
        <f>IFERROR(IF(E2471&gt;0,E2471*IF(ISNUMBER(J2471),J2471,IF(OR(C2471="Alpha",B2471="Alpha"),$C$7,IF(C2471="Futures",$C$6,$C$5))),""),"")</f>
        <v/>
      </c>
      <c r="I2471" s="139">
        <f>IFERROR(IF(AND(ISNUMBER(F2471),ISNUMBER(H2471)),F2471-H2471,""),"")</f>
        <v/>
      </c>
      <c r="J2471" s="114" t="n"/>
      <c r="K2471" s="139">
        <f>IFERROR(IF(H2471&gt;0,H2471*IF(OR(C2471="Alpha",B2471="Alpha"),$C$9,$C$8),""),"")</f>
        <v/>
      </c>
      <c r="L2471" s="139">
        <f>IFERROR(IF(ISNUMBER(F2471),F2471-IF(ISNUMBER(K2471),K2471,0),""),"")</f>
        <v/>
      </c>
    </row>
    <row r="2472" ht="24" customHeight="1" s="63">
      <c r="E2472" s="139" t="n"/>
      <c r="F2472" s="139" t="n"/>
      <c r="G2472" s="140">
        <f>IFERROR(IF(E2472&gt;0,(F2472/E2472)*1000,""),"")</f>
        <v/>
      </c>
      <c r="H2472" s="139">
        <f>IFERROR(IF(E2472&gt;0,E2472*IF(ISNUMBER(J2472),J2472,IF(OR(C2472="Alpha",B2472="Alpha"),$C$7,IF(C2472="Futures",$C$6,$C$5))),""),"")</f>
        <v/>
      </c>
      <c r="I2472" s="139">
        <f>IFERROR(IF(AND(ISNUMBER(F2472),ISNUMBER(H2472)),F2472-H2472,""),"")</f>
        <v/>
      </c>
      <c r="J2472" s="114" t="n"/>
      <c r="K2472" s="139">
        <f>IFERROR(IF(H2472&gt;0,H2472*IF(OR(C2472="Alpha",B2472="Alpha"),$C$9,$C$8),""),"")</f>
        <v/>
      </c>
      <c r="L2472" s="139">
        <f>IFERROR(IF(ISNUMBER(F2472),F2472-IF(ISNUMBER(K2472),K2472,0),""),"")</f>
        <v/>
      </c>
    </row>
    <row r="2473" ht="24" customHeight="1" s="63">
      <c r="E2473" s="139" t="n"/>
      <c r="F2473" s="139" t="n"/>
      <c r="G2473" s="140">
        <f>IFERROR(IF(E2473&gt;0,(F2473/E2473)*1000,""),"")</f>
        <v/>
      </c>
      <c r="H2473" s="139">
        <f>IFERROR(IF(E2473&gt;0,E2473*IF(ISNUMBER(J2473),J2473,IF(OR(C2473="Alpha",B2473="Alpha"),$C$7,IF(C2473="Futures",$C$6,$C$5))),""),"")</f>
        <v/>
      </c>
      <c r="I2473" s="139">
        <f>IFERROR(IF(AND(ISNUMBER(F2473),ISNUMBER(H2473)),F2473-H2473,""),"")</f>
        <v/>
      </c>
      <c r="J2473" s="114" t="n"/>
      <c r="K2473" s="139">
        <f>IFERROR(IF(H2473&gt;0,H2473*IF(OR(C2473="Alpha",B2473="Alpha"),$C$9,$C$8),""),"")</f>
        <v/>
      </c>
      <c r="L2473" s="139">
        <f>IFERROR(IF(ISNUMBER(F2473),F2473-IF(ISNUMBER(K2473),K2473,0),""),"")</f>
        <v/>
      </c>
    </row>
    <row r="2474" ht="24" customHeight="1" s="63">
      <c r="E2474" s="139" t="n"/>
      <c r="F2474" s="139" t="n"/>
      <c r="G2474" s="140">
        <f>IFERROR(IF(E2474&gt;0,(F2474/E2474)*1000,""),"")</f>
        <v/>
      </c>
      <c r="H2474" s="139">
        <f>IFERROR(IF(E2474&gt;0,E2474*IF(ISNUMBER(J2474),J2474,IF(OR(C2474="Alpha",B2474="Alpha"),$C$7,IF(C2474="Futures",$C$6,$C$5))),""),"")</f>
        <v/>
      </c>
      <c r="I2474" s="139">
        <f>IFERROR(IF(AND(ISNUMBER(F2474),ISNUMBER(H2474)),F2474-H2474,""),"")</f>
        <v/>
      </c>
      <c r="J2474" s="114" t="n"/>
      <c r="K2474" s="139">
        <f>IFERROR(IF(H2474&gt;0,H2474*IF(OR(C2474="Alpha",B2474="Alpha"),$C$9,$C$8),""),"")</f>
        <v/>
      </c>
      <c r="L2474" s="139">
        <f>IFERROR(IF(ISNUMBER(F2474),F2474-IF(ISNUMBER(K2474),K2474,0),""),"")</f>
        <v/>
      </c>
    </row>
    <row r="2475" ht="24" customHeight="1" s="63">
      <c r="E2475" s="139" t="n"/>
      <c r="F2475" s="139" t="n"/>
      <c r="G2475" s="140">
        <f>IFERROR(IF(E2475&gt;0,(F2475/E2475)*1000,""),"")</f>
        <v/>
      </c>
      <c r="H2475" s="139">
        <f>IFERROR(IF(E2475&gt;0,E2475*IF(ISNUMBER(J2475),J2475,IF(OR(C2475="Alpha",B2475="Alpha"),$C$7,IF(C2475="Futures",$C$6,$C$5))),""),"")</f>
        <v/>
      </c>
      <c r="I2475" s="139">
        <f>IFERROR(IF(AND(ISNUMBER(F2475),ISNUMBER(H2475)),F2475-H2475,""),"")</f>
        <v/>
      </c>
      <c r="J2475" s="114" t="n"/>
      <c r="K2475" s="139">
        <f>IFERROR(IF(H2475&gt;0,H2475*IF(OR(C2475="Alpha",B2475="Alpha"),$C$9,$C$8),""),"")</f>
        <v/>
      </c>
      <c r="L2475" s="139">
        <f>IFERROR(IF(ISNUMBER(F2475),F2475-IF(ISNUMBER(K2475),K2475,0),""),"")</f>
        <v/>
      </c>
    </row>
    <row r="2476" ht="24" customHeight="1" s="63">
      <c r="E2476" s="139" t="n"/>
      <c r="F2476" s="139" t="n"/>
      <c r="G2476" s="140">
        <f>IFERROR(IF(E2476&gt;0,(F2476/E2476)*1000,""),"")</f>
        <v/>
      </c>
      <c r="H2476" s="139">
        <f>IFERROR(IF(E2476&gt;0,E2476*IF(ISNUMBER(J2476),J2476,IF(OR(C2476="Alpha",B2476="Alpha"),$C$7,IF(C2476="Futures",$C$6,$C$5))),""),"")</f>
        <v/>
      </c>
      <c r="I2476" s="139">
        <f>IFERROR(IF(AND(ISNUMBER(F2476),ISNUMBER(H2476)),F2476-H2476,""),"")</f>
        <v/>
      </c>
      <c r="J2476" s="114" t="n"/>
      <c r="K2476" s="139">
        <f>IFERROR(IF(H2476&gt;0,H2476*IF(OR(C2476="Alpha",B2476="Alpha"),$C$9,$C$8),""),"")</f>
        <v/>
      </c>
      <c r="L2476" s="139">
        <f>IFERROR(IF(ISNUMBER(F2476),F2476-IF(ISNUMBER(K2476),K2476,0),""),"")</f>
        <v/>
      </c>
    </row>
    <row r="2477" ht="24" customHeight="1" s="63">
      <c r="E2477" s="139" t="n"/>
      <c r="F2477" s="139" t="n"/>
      <c r="G2477" s="140">
        <f>IFERROR(IF(E2477&gt;0,(F2477/E2477)*1000,""),"")</f>
        <v/>
      </c>
      <c r="H2477" s="139">
        <f>IFERROR(IF(E2477&gt;0,E2477*IF(ISNUMBER(J2477),J2477,IF(OR(C2477="Alpha",B2477="Alpha"),$C$7,IF(C2477="Futures",$C$6,$C$5))),""),"")</f>
        <v/>
      </c>
      <c r="I2477" s="139">
        <f>IFERROR(IF(AND(ISNUMBER(F2477),ISNUMBER(H2477)),F2477-H2477,""),"")</f>
        <v/>
      </c>
      <c r="J2477" s="114" t="n"/>
      <c r="K2477" s="139">
        <f>IFERROR(IF(H2477&gt;0,H2477*IF(OR(C2477="Alpha",B2477="Alpha"),$C$9,$C$8),""),"")</f>
        <v/>
      </c>
      <c r="L2477" s="139">
        <f>IFERROR(IF(ISNUMBER(F2477),F2477-IF(ISNUMBER(K2477),K2477,0),""),"")</f>
        <v/>
      </c>
    </row>
    <row r="2478" ht="24" customHeight="1" s="63">
      <c r="E2478" s="139" t="n"/>
      <c r="F2478" s="139" t="n"/>
      <c r="G2478" s="140">
        <f>IFERROR(IF(E2478&gt;0,(F2478/E2478)*1000,""),"")</f>
        <v/>
      </c>
      <c r="H2478" s="139">
        <f>IFERROR(IF(E2478&gt;0,E2478*IF(ISNUMBER(J2478),J2478,IF(OR(C2478="Alpha",B2478="Alpha"),$C$7,IF(C2478="Futures",$C$6,$C$5))),""),"")</f>
        <v/>
      </c>
      <c r="I2478" s="139">
        <f>IFERROR(IF(AND(ISNUMBER(F2478),ISNUMBER(H2478)),F2478-H2478,""),"")</f>
        <v/>
      </c>
      <c r="J2478" s="114" t="n"/>
      <c r="K2478" s="139">
        <f>IFERROR(IF(H2478&gt;0,H2478*IF(OR(C2478="Alpha",B2478="Alpha"),$C$9,$C$8),""),"")</f>
        <v/>
      </c>
      <c r="L2478" s="139">
        <f>IFERROR(IF(ISNUMBER(F2478),F2478-IF(ISNUMBER(K2478),K2478,0),""),"")</f>
        <v/>
      </c>
    </row>
    <row r="2479" ht="24" customHeight="1" s="63">
      <c r="E2479" s="139" t="n"/>
      <c r="F2479" s="139" t="n"/>
      <c r="G2479" s="140">
        <f>IFERROR(IF(E2479&gt;0,(F2479/E2479)*1000,""),"")</f>
        <v/>
      </c>
      <c r="H2479" s="139">
        <f>IFERROR(IF(E2479&gt;0,E2479*IF(ISNUMBER(J2479),J2479,IF(OR(C2479="Alpha",B2479="Alpha"),$C$7,IF(C2479="Futures",$C$6,$C$5))),""),"")</f>
        <v/>
      </c>
      <c r="I2479" s="139">
        <f>IFERROR(IF(AND(ISNUMBER(F2479),ISNUMBER(H2479)),F2479-H2479,""),"")</f>
        <v/>
      </c>
      <c r="J2479" s="114" t="n"/>
      <c r="K2479" s="139">
        <f>IFERROR(IF(H2479&gt;0,H2479*IF(OR(C2479="Alpha",B2479="Alpha"),$C$9,$C$8),""),"")</f>
        <v/>
      </c>
      <c r="L2479" s="139">
        <f>IFERROR(IF(ISNUMBER(F2479),F2479-IF(ISNUMBER(K2479),K2479,0),""),"")</f>
        <v/>
      </c>
    </row>
    <row r="2480" ht="24" customHeight="1" s="63">
      <c r="E2480" s="139" t="n"/>
      <c r="F2480" s="139" t="n"/>
      <c r="G2480" s="140">
        <f>IFERROR(IF(E2480&gt;0,(F2480/E2480)*1000,""),"")</f>
        <v/>
      </c>
      <c r="H2480" s="139">
        <f>IFERROR(IF(E2480&gt;0,E2480*IF(ISNUMBER(J2480),J2480,IF(OR(C2480="Alpha",B2480="Alpha"),$C$7,IF(C2480="Futures",$C$6,$C$5))),""),"")</f>
        <v/>
      </c>
      <c r="I2480" s="139">
        <f>IFERROR(IF(AND(ISNUMBER(F2480),ISNUMBER(H2480)),F2480-H2480,""),"")</f>
        <v/>
      </c>
      <c r="J2480" s="114" t="n"/>
      <c r="K2480" s="139">
        <f>IFERROR(IF(H2480&gt;0,H2480*IF(OR(C2480="Alpha",B2480="Alpha"),$C$9,$C$8),""),"")</f>
        <v/>
      </c>
      <c r="L2480" s="139">
        <f>IFERROR(IF(ISNUMBER(F2480),F2480-IF(ISNUMBER(K2480),K2480,0),""),"")</f>
        <v/>
      </c>
    </row>
    <row r="2481" ht="24" customHeight="1" s="63">
      <c r="E2481" s="139" t="n"/>
      <c r="F2481" s="139" t="n"/>
      <c r="G2481" s="140">
        <f>IFERROR(IF(E2481&gt;0,(F2481/E2481)*1000,""),"")</f>
        <v/>
      </c>
      <c r="H2481" s="139">
        <f>IFERROR(IF(E2481&gt;0,E2481*IF(ISNUMBER(J2481),J2481,IF(OR(C2481="Alpha",B2481="Alpha"),$C$7,IF(C2481="Futures",$C$6,$C$5))),""),"")</f>
        <v/>
      </c>
      <c r="I2481" s="139">
        <f>IFERROR(IF(AND(ISNUMBER(F2481),ISNUMBER(H2481)),F2481-H2481,""),"")</f>
        <v/>
      </c>
      <c r="J2481" s="114" t="n"/>
      <c r="K2481" s="139">
        <f>IFERROR(IF(H2481&gt;0,H2481*IF(OR(C2481="Alpha",B2481="Alpha"),$C$9,$C$8),""),"")</f>
        <v/>
      </c>
      <c r="L2481" s="139">
        <f>IFERROR(IF(ISNUMBER(F2481),F2481-IF(ISNUMBER(K2481),K2481,0),""),"")</f>
        <v/>
      </c>
    </row>
    <row r="2482" ht="24" customHeight="1" s="63">
      <c r="E2482" s="139" t="n"/>
      <c r="F2482" s="139" t="n"/>
      <c r="G2482" s="140">
        <f>IFERROR(IF(E2482&gt;0,(F2482/E2482)*1000,""),"")</f>
        <v/>
      </c>
      <c r="H2482" s="139">
        <f>IFERROR(IF(E2482&gt;0,E2482*IF(ISNUMBER(J2482),J2482,IF(OR(C2482="Alpha",B2482="Alpha"),$C$7,IF(C2482="Futures",$C$6,$C$5))),""),"")</f>
        <v/>
      </c>
      <c r="I2482" s="139">
        <f>IFERROR(IF(AND(ISNUMBER(F2482),ISNUMBER(H2482)),F2482-H2482,""),"")</f>
        <v/>
      </c>
      <c r="J2482" s="114" t="n"/>
      <c r="K2482" s="139">
        <f>IFERROR(IF(H2482&gt;0,H2482*IF(OR(C2482="Alpha",B2482="Alpha"),$C$9,$C$8),""),"")</f>
        <v/>
      </c>
      <c r="L2482" s="139">
        <f>IFERROR(IF(ISNUMBER(F2482),F2482-IF(ISNUMBER(K2482),K2482,0),""),"")</f>
        <v/>
      </c>
    </row>
    <row r="2483" ht="24" customHeight="1" s="63">
      <c r="E2483" s="139" t="n"/>
      <c r="F2483" s="139" t="n"/>
      <c r="G2483" s="140">
        <f>IFERROR(IF(E2483&gt;0,(F2483/E2483)*1000,""),"")</f>
        <v/>
      </c>
      <c r="H2483" s="139">
        <f>IFERROR(IF(E2483&gt;0,E2483*IF(ISNUMBER(J2483),J2483,IF(OR(C2483="Alpha",B2483="Alpha"),$C$7,IF(C2483="Futures",$C$6,$C$5))),""),"")</f>
        <v/>
      </c>
      <c r="I2483" s="139">
        <f>IFERROR(IF(AND(ISNUMBER(F2483),ISNUMBER(H2483)),F2483-H2483,""),"")</f>
        <v/>
      </c>
      <c r="J2483" s="114" t="n"/>
      <c r="K2483" s="139">
        <f>IFERROR(IF(H2483&gt;0,H2483*IF(OR(C2483="Alpha",B2483="Alpha"),$C$9,$C$8),""),"")</f>
        <v/>
      </c>
      <c r="L2483" s="139">
        <f>IFERROR(IF(ISNUMBER(F2483),F2483-IF(ISNUMBER(K2483),K2483,0),""),"")</f>
        <v/>
      </c>
    </row>
    <row r="2484" ht="24" customHeight="1" s="63">
      <c r="E2484" s="139" t="n"/>
      <c r="F2484" s="139" t="n"/>
      <c r="G2484" s="140">
        <f>IFERROR(IF(E2484&gt;0,(F2484/E2484)*1000,""),"")</f>
        <v/>
      </c>
      <c r="H2484" s="139">
        <f>IFERROR(IF(E2484&gt;0,E2484*IF(ISNUMBER(J2484),J2484,IF(OR(C2484="Alpha",B2484="Alpha"),$C$7,IF(C2484="Futures",$C$6,$C$5))),""),"")</f>
        <v/>
      </c>
      <c r="I2484" s="139">
        <f>IFERROR(IF(AND(ISNUMBER(F2484),ISNUMBER(H2484)),F2484-H2484,""),"")</f>
        <v/>
      </c>
      <c r="J2484" s="114" t="n"/>
      <c r="K2484" s="139">
        <f>IFERROR(IF(H2484&gt;0,H2484*IF(OR(C2484="Alpha",B2484="Alpha"),$C$9,$C$8),""),"")</f>
        <v/>
      </c>
      <c r="L2484" s="139">
        <f>IFERROR(IF(ISNUMBER(F2484),F2484-IF(ISNUMBER(K2484),K2484,0),""),"")</f>
        <v/>
      </c>
    </row>
    <row r="2485" ht="24" customHeight="1" s="63">
      <c r="E2485" s="139" t="n"/>
      <c r="F2485" s="139" t="n"/>
      <c r="G2485" s="140">
        <f>IFERROR(IF(E2485&gt;0,(F2485/E2485)*1000,""),"")</f>
        <v/>
      </c>
      <c r="H2485" s="139">
        <f>IFERROR(IF(E2485&gt;0,E2485*IF(ISNUMBER(J2485),J2485,IF(OR(C2485="Alpha",B2485="Alpha"),$C$7,IF(C2485="Futures",$C$6,$C$5))),""),"")</f>
        <v/>
      </c>
      <c r="I2485" s="139">
        <f>IFERROR(IF(AND(ISNUMBER(F2485),ISNUMBER(H2485)),F2485-H2485,""),"")</f>
        <v/>
      </c>
      <c r="J2485" s="114" t="n"/>
      <c r="K2485" s="139">
        <f>IFERROR(IF(H2485&gt;0,H2485*IF(OR(C2485="Alpha",B2485="Alpha"),$C$9,$C$8),""),"")</f>
        <v/>
      </c>
      <c r="L2485" s="139">
        <f>IFERROR(IF(ISNUMBER(F2485),F2485-IF(ISNUMBER(K2485),K2485,0),""),"")</f>
        <v/>
      </c>
    </row>
    <row r="2486" ht="24" customHeight="1" s="63">
      <c r="E2486" s="139" t="n"/>
      <c r="F2486" s="139" t="n"/>
      <c r="G2486" s="140">
        <f>IFERROR(IF(E2486&gt;0,(F2486/E2486)*1000,""),"")</f>
        <v/>
      </c>
      <c r="H2486" s="139">
        <f>IFERROR(IF(E2486&gt;0,E2486*IF(ISNUMBER(J2486),J2486,IF(OR(C2486="Alpha",B2486="Alpha"),$C$7,IF(C2486="Futures",$C$6,$C$5))),""),"")</f>
        <v/>
      </c>
      <c r="I2486" s="139">
        <f>IFERROR(IF(AND(ISNUMBER(F2486),ISNUMBER(H2486)),F2486-H2486,""),"")</f>
        <v/>
      </c>
      <c r="J2486" s="114" t="n"/>
      <c r="K2486" s="139">
        <f>IFERROR(IF(H2486&gt;0,H2486*IF(OR(C2486="Alpha",B2486="Alpha"),$C$9,$C$8),""),"")</f>
        <v/>
      </c>
      <c r="L2486" s="139">
        <f>IFERROR(IF(ISNUMBER(F2486),F2486-IF(ISNUMBER(K2486),K2486,0),""),"")</f>
        <v/>
      </c>
    </row>
    <row r="2487" ht="24" customHeight="1" s="63">
      <c r="E2487" s="139" t="n"/>
      <c r="F2487" s="139" t="n"/>
      <c r="G2487" s="140">
        <f>IFERROR(IF(E2487&gt;0,(F2487/E2487)*1000,""),"")</f>
        <v/>
      </c>
      <c r="H2487" s="139">
        <f>IFERROR(IF(E2487&gt;0,E2487*IF(ISNUMBER(J2487),J2487,IF(OR(C2487="Alpha",B2487="Alpha"),$C$7,IF(C2487="Futures",$C$6,$C$5))),""),"")</f>
        <v/>
      </c>
      <c r="I2487" s="139">
        <f>IFERROR(IF(AND(ISNUMBER(F2487),ISNUMBER(H2487)),F2487-H2487,""),"")</f>
        <v/>
      </c>
      <c r="J2487" s="114" t="n"/>
      <c r="K2487" s="139">
        <f>IFERROR(IF(H2487&gt;0,H2487*IF(OR(C2487="Alpha",B2487="Alpha"),$C$9,$C$8),""),"")</f>
        <v/>
      </c>
      <c r="L2487" s="139">
        <f>IFERROR(IF(ISNUMBER(F2487),F2487-IF(ISNUMBER(K2487),K2487,0),""),"")</f>
        <v/>
      </c>
    </row>
    <row r="2488" ht="24" customHeight="1" s="63">
      <c r="E2488" s="139" t="n"/>
      <c r="F2488" s="139" t="n"/>
      <c r="G2488" s="140">
        <f>IFERROR(IF(E2488&gt;0,(F2488/E2488)*1000,""),"")</f>
        <v/>
      </c>
      <c r="H2488" s="139">
        <f>IFERROR(IF(E2488&gt;0,E2488*IF(ISNUMBER(J2488),J2488,IF(OR(C2488="Alpha",B2488="Alpha"),$C$7,IF(C2488="Futures",$C$6,$C$5))),""),"")</f>
        <v/>
      </c>
      <c r="I2488" s="139">
        <f>IFERROR(IF(AND(ISNUMBER(F2488),ISNUMBER(H2488)),F2488-H2488,""),"")</f>
        <v/>
      </c>
      <c r="J2488" s="114" t="n"/>
      <c r="K2488" s="139">
        <f>IFERROR(IF(H2488&gt;0,H2488*IF(OR(C2488="Alpha",B2488="Alpha"),$C$9,$C$8),""),"")</f>
        <v/>
      </c>
      <c r="L2488" s="139">
        <f>IFERROR(IF(ISNUMBER(F2488),F2488-IF(ISNUMBER(K2488),K2488,0),""),"")</f>
        <v/>
      </c>
    </row>
    <row r="2489" ht="24" customHeight="1" s="63">
      <c r="E2489" s="139" t="n"/>
      <c r="F2489" s="139" t="n"/>
      <c r="G2489" s="140">
        <f>IFERROR(IF(E2489&gt;0,(F2489/E2489)*1000,""),"")</f>
        <v/>
      </c>
      <c r="H2489" s="139">
        <f>IFERROR(IF(E2489&gt;0,E2489*IF(ISNUMBER(J2489),J2489,IF(OR(C2489="Alpha",B2489="Alpha"),$C$7,IF(C2489="Futures",$C$6,$C$5))),""),"")</f>
        <v/>
      </c>
      <c r="I2489" s="139">
        <f>IFERROR(IF(AND(ISNUMBER(F2489),ISNUMBER(H2489)),F2489-H2489,""),"")</f>
        <v/>
      </c>
      <c r="J2489" s="114" t="n"/>
      <c r="K2489" s="139">
        <f>IFERROR(IF(H2489&gt;0,H2489*IF(OR(C2489="Alpha",B2489="Alpha"),$C$9,$C$8),""),"")</f>
        <v/>
      </c>
      <c r="L2489" s="139">
        <f>IFERROR(IF(ISNUMBER(F2489),F2489-IF(ISNUMBER(K2489),K2489,0),""),"")</f>
        <v/>
      </c>
    </row>
    <row r="2490" ht="24" customHeight="1" s="63">
      <c r="E2490" s="139" t="n"/>
      <c r="F2490" s="139" t="n"/>
      <c r="G2490" s="140">
        <f>IFERROR(IF(E2490&gt;0,(F2490/E2490)*1000,""),"")</f>
        <v/>
      </c>
      <c r="H2490" s="139">
        <f>IFERROR(IF(E2490&gt;0,E2490*IF(ISNUMBER(J2490),J2490,IF(OR(C2490="Alpha",B2490="Alpha"),$C$7,IF(C2490="Futures",$C$6,$C$5))),""),"")</f>
        <v/>
      </c>
      <c r="I2490" s="139">
        <f>IFERROR(IF(AND(ISNUMBER(F2490),ISNUMBER(H2490)),F2490-H2490,""),"")</f>
        <v/>
      </c>
      <c r="J2490" s="114" t="n"/>
      <c r="K2490" s="139">
        <f>IFERROR(IF(H2490&gt;0,H2490*IF(OR(C2490="Alpha",B2490="Alpha"),$C$9,$C$8),""),"")</f>
        <v/>
      </c>
      <c r="L2490" s="139">
        <f>IFERROR(IF(ISNUMBER(F2490),F2490-IF(ISNUMBER(K2490),K2490,0),""),"")</f>
        <v/>
      </c>
    </row>
    <row r="2491" ht="24" customHeight="1" s="63">
      <c r="E2491" s="139" t="n"/>
      <c r="F2491" s="139" t="n"/>
      <c r="G2491" s="140">
        <f>IFERROR(IF(E2491&gt;0,(F2491/E2491)*1000,""),"")</f>
        <v/>
      </c>
      <c r="H2491" s="139">
        <f>IFERROR(IF(E2491&gt;0,E2491*IF(ISNUMBER(J2491),J2491,IF(OR(C2491="Alpha",B2491="Alpha"),$C$7,IF(C2491="Futures",$C$6,$C$5))),""),"")</f>
        <v/>
      </c>
      <c r="I2491" s="139">
        <f>IFERROR(IF(AND(ISNUMBER(F2491),ISNUMBER(H2491)),F2491-H2491,""),"")</f>
        <v/>
      </c>
      <c r="J2491" s="114" t="n"/>
      <c r="K2491" s="139">
        <f>IFERROR(IF(H2491&gt;0,H2491*IF(OR(C2491="Alpha",B2491="Alpha"),$C$9,$C$8),""),"")</f>
        <v/>
      </c>
      <c r="L2491" s="139">
        <f>IFERROR(IF(ISNUMBER(F2491),F2491-IF(ISNUMBER(K2491),K2491,0),""),"")</f>
        <v/>
      </c>
    </row>
    <row r="2492" ht="24" customHeight="1" s="63">
      <c r="E2492" s="139" t="n"/>
      <c r="F2492" s="139" t="n"/>
      <c r="G2492" s="140">
        <f>IFERROR(IF(E2492&gt;0,(F2492/E2492)*1000,""),"")</f>
        <v/>
      </c>
      <c r="H2492" s="139">
        <f>IFERROR(IF(E2492&gt;0,E2492*IF(ISNUMBER(J2492),J2492,IF(OR(C2492="Alpha",B2492="Alpha"),$C$7,IF(C2492="Futures",$C$6,$C$5))),""),"")</f>
        <v/>
      </c>
      <c r="I2492" s="139">
        <f>IFERROR(IF(AND(ISNUMBER(F2492),ISNUMBER(H2492)),F2492-H2492,""),"")</f>
        <v/>
      </c>
      <c r="J2492" s="114" t="n"/>
      <c r="K2492" s="139">
        <f>IFERROR(IF(H2492&gt;0,H2492*IF(OR(C2492="Alpha",B2492="Alpha"),$C$9,$C$8),""),"")</f>
        <v/>
      </c>
      <c r="L2492" s="139">
        <f>IFERROR(IF(ISNUMBER(F2492),F2492-IF(ISNUMBER(K2492),K2492,0),""),"")</f>
        <v/>
      </c>
    </row>
    <row r="2493" ht="24" customHeight="1" s="63">
      <c r="E2493" s="139" t="n"/>
      <c r="F2493" s="139" t="n"/>
      <c r="G2493" s="140">
        <f>IFERROR(IF(E2493&gt;0,(F2493/E2493)*1000,""),"")</f>
        <v/>
      </c>
      <c r="H2493" s="139">
        <f>IFERROR(IF(E2493&gt;0,E2493*IF(ISNUMBER(J2493),J2493,IF(OR(C2493="Alpha",B2493="Alpha"),$C$7,IF(C2493="Futures",$C$6,$C$5))),""),"")</f>
        <v/>
      </c>
      <c r="I2493" s="139">
        <f>IFERROR(IF(AND(ISNUMBER(F2493),ISNUMBER(H2493)),F2493-H2493,""),"")</f>
        <v/>
      </c>
      <c r="J2493" s="114" t="n"/>
      <c r="K2493" s="139">
        <f>IFERROR(IF(H2493&gt;0,H2493*IF(OR(C2493="Alpha",B2493="Alpha"),$C$9,$C$8),""),"")</f>
        <v/>
      </c>
      <c r="L2493" s="139">
        <f>IFERROR(IF(ISNUMBER(F2493),F2493-IF(ISNUMBER(K2493),K2493,0),""),"")</f>
        <v/>
      </c>
    </row>
    <row r="2494" ht="24" customHeight="1" s="63">
      <c r="E2494" s="139" t="n"/>
      <c r="F2494" s="139" t="n"/>
      <c r="G2494" s="140">
        <f>IFERROR(IF(E2494&gt;0,(F2494/E2494)*1000,""),"")</f>
        <v/>
      </c>
      <c r="H2494" s="139">
        <f>IFERROR(IF(E2494&gt;0,E2494*IF(ISNUMBER(J2494),J2494,IF(OR(C2494="Alpha",B2494="Alpha"),$C$7,IF(C2494="Futures",$C$6,$C$5))),""),"")</f>
        <v/>
      </c>
      <c r="I2494" s="139">
        <f>IFERROR(IF(AND(ISNUMBER(F2494),ISNUMBER(H2494)),F2494-H2494,""),"")</f>
        <v/>
      </c>
      <c r="J2494" s="114" t="n"/>
      <c r="K2494" s="139">
        <f>IFERROR(IF(H2494&gt;0,H2494*IF(OR(C2494="Alpha",B2494="Alpha"),$C$9,$C$8),""),"")</f>
        <v/>
      </c>
      <c r="L2494" s="139">
        <f>IFERROR(IF(ISNUMBER(F2494),F2494-IF(ISNUMBER(K2494),K2494,0),""),"")</f>
        <v/>
      </c>
    </row>
    <row r="2495" ht="24" customHeight="1" s="63">
      <c r="E2495" s="139" t="n"/>
      <c r="F2495" s="139" t="n"/>
      <c r="G2495" s="140">
        <f>IFERROR(IF(E2495&gt;0,(F2495/E2495)*1000,""),"")</f>
        <v/>
      </c>
      <c r="H2495" s="139">
        <f>IFERROR(IF(E2495&gt;0,E2495*IF(ISNUMBER(J2495),J2495,IF(OR(C2495="Alpha",B2495="Alpha"),$C$7,IF(C2495="Futures",$C$6,$C$5))),""),"")</f>
        <v/>
      </c>
      <c r="I2495" s="139">
        <f>IFERROR(IF(AND(ISNUMBER(F2495),ISNUMBER(H2495)),F2495-H2495,""),"")</f>
        <v/>
      </c>
      <c r="J2495" s="114" t="n"/>
      <c r="K2495" s="139">
        <f>IFERROR(IF(H2495&gt;0,H2495*IF(OR(C2495="Alpha",B2495="Alpha"),$C$9,$C$8),""),"")</f>
        <v/>
      </c>
      <c r="L2495" s="139">
        <f>IFERROR(IF(ISNUMBER(F2495),F2495-IF(ISNUMBER(K2495),K2495,0),""),"")</f>
        <v/>
      </c>
    </row>
    <row r="2496" ht="24" customHeight="1" s="63">
      <c r="E2496" s="139" t="n"/>
      <c r="F2496" s="139" t="n"/>
      <c r="G2496" s="140">
        <f>IFERROR(IF(E2496&gt;0,(F2496/E2496)*1000,""),"")</f>
        <v/>
      </c>
      <c r="H2496" s="139">
        <f>IFERROR(IF(E2496&gt;0,E2496*IF(ISNUMBER(J2496),J2496,IF(OR(C2496="Alpha",B2496="Alpha"),$C$7,IF(C2496="Futures",$C$6,$C$5))),""),"")</f>
        <v/>
      </c>
      <c r="I2496" s="139">
        <f>IFERROR(IF(AND(ISNUMBER(F2496),ISNUMBER(H2496)),F2496-H2496,""),"")</f>
        <v/>
      </c>
      <c r="J2496" s="114" t="n"/>
      <c r="K2496" s="139">
        <f>IFERROR(IF(H2496&gt;0,H2496*IF(OR(C2496="Alpha",B2496="Alpha"),$C$9,$C$8),""),"")</f>
        <v/>
      </c>
      <c r="L2496" s="139">
        <f>IFERROR(IF(ISNUMBER(F2496),F2496-IF(ISNUMBER(K2496),K2496,0),""),"")</f>
        <v/>
      </c>
    </row>
    <row r="2497" ht="24" customHeight="1" s="63">
      <c r="E2497" s="139" t="n"/>
      <c r="F2497" s="139" t="n"/>
      <c r="G2497" s="140">
        <f>IFERROR(IF(E2497&gt;0,(F2497/E2497)*1000,""),"")</f>
        <v/>
      </c>
      <c r="H2497" s="139">
        <f>IFERROR(IF(E2497&gt;0,E2497*IF(ISNUMBER(J2497),J2497,IF(OR(C2497="Alpha",B2497="Alpha"),$C$7,IF(C2497="Futures",$C$6,$C$5))),""),"")</f>
        <v/>
      </c>
      <c r="I2497" s="139">
        <f>IFERROR(IF(AND(ISNUMBER(F2497),ISNUMBER(H2497)),F2497-H2497,""),"")</f>
        <v/>
      </c>
      <c r="J2497" s="114" t="n"/>
      <c r="K2497" s="139">
        <f>IFERROR(IF(H2497&gt;0,H2497*IF(OR(C2497="Alpha",B2497="Alpha"),$C$9,$C$8),""),"")</f>
        <v/>
      </c>
      <c r="L2497" s="139">
        <f>IFERROR(IF(ISNUMBER(F2497),F2497-IF(ISNUMBER(K2497),K2497,0),""),"")</f>
        <v/>
      </c>
    </row>
    <row r="2498" ht="24" customHeight="1" s="63">
      <c r="E2498" s="139" t="n"/>
      <c r="F2498" s="139" t="n"/>
      <c r="G2498" s="140">
        <f>IFERROR(IF(E2498&gt;0,(F2498/E2498)*1000,""),"")</f>
        <v/>
      </c>
      <c r="H2498" s="139">
        <f>IFERROR(IF(E2498&gt;0,E2498*IF(ISNUMBER(J2498),J2498,IF(OR(C2498="Alpha",B2498="Alpha"),$C$7,IF(C2498="Futures",$C$6,$C$5))),""),"")</f>
        <v/>
      </c>
      <c r="I2498" s="139">
        <f>IFERROR(IF(AND(ISNUMBER(F2498),ISNUMBER(H2498)),F2498-H2498,""),"")</f>
        <v/>
      </c>
      <c r="J2498" s="114" t="n"/>
      <c r="K2498" s="139">
        <f>IFERROR(IF(H2498&gt;0,H2498*IF(OR(C2498="Alpha",B2498="Alpha"),$C$9,$C$8),""),"")</f>
        <v/>
      </c>
      <c r="L2498" s="139">
        <f>IFERROR(IF(ISNUMBER(F2498),F2498-IF(ISNUMBER(K2498),K2498,0),""),"")</f>
        <v/>
      </c>
    </row>
    <row r="2499" ht="24" customHeight="1" s="63">
      <c r="E2499" s="139" t="n"/>
      <c r="F2499" s="139" t="n"/>
      <c r="G2499" s="140">
        <f>IFERROR(IF(E2499&gt;0,(F2499/E2499)*1000,""),"")</f>
        <v/>
      </c>
      <c r="H2499" s="139">
        <f>IFERROR(IF(E2499&gt;0,E2499*IF(ISNUMBER(J2499),J2499,IF(OR(C2499="Alpha",B2499="Alpha"),$C$7,IF(C2499="Futures",$C$6,$C$5))),""),"")</f>
        <v/>
      </c>
      <c r="I2499" s="139">
        <f>IFERROR(IF(AND(ISNUMBER(F2499),ISNUMBER(H2499)),F2499-H2499,""),"")</f>
        <v/>
      </c>
      <c r="J2499" s="114" t="n"/>
      <c r="K2499" s="139">
        <f>IFERROR(IF(H2499&gt;0,H2499*IF(OR(C2499="Alpha",B2499="Alpha"),$C$9,$C$8),""),"")</f>
        <v/>
      </c>
      <c r="L2499" s="139">
        <f>IFERROR(IF(ISNUMBER(F2499),F2499-IF(ISNUMBER(K2499),K2499,0),""),"")</f>
        <v/>
      </c>
    </row>
    <row r="2500" ht="24" customHeight="1" s="63">
      <c r="E2500" s="139" t="n"/>
      <c r="F2500" s="139" t="n"/>
      <c r="G2500" s="140">
        <f>IFERROR(IF(E2500&gt;0,(F2500/E2500)*1000,""),"")</f>
        <v/>
      </c>
      <c r="H2500" s="139">
        <f>IFERROR(IF(E2500&gt;0,E2500*IF(ISNUMBER(J2500),J2500,IF(OR(C2500="Alpha",B2500="Alpha"),$C$7,IF(C2500="Futures",$C$6,$C$5))),""),"")</f>
        <v/>
      </c>
      <c r="I2500" s="139">
        <f>IFERROR(IF(AND(ISNUMBER(F2500),ISNUMBER(H2500)),F2500-H2500,""),"")</f>
        <v/>
      </c>
      <c r="J2500" s="114" t="n"/>
      <c r="K2500" s="139">
        <f>IFERROR(IF(H2500&gt;0,H2500*IF(OR(C2500="Alpha",B2500="Alpha"),$C$9,$C$8),""),"")</f>
        <v/>
      </c>
      <c r="L2500" s="139">
        <f>IFERROR(IF(ISNUMBER(F2500),F2500-IF(ISNUMBER(K2500),K2500,0),""),"")</f>
        <v/>
      </c>
    </row>
    <row r="2501" ht="24" customHeight="1" s="63">
      <c r="E2501" s="139" t="n"/>
      <c r="F2501" s="139" t="n"/>
      <c r="G2501" s="140">
        <f>IFERROR(IF(E2501&gt;0,(F2501/E2501)*1000,""),"")</f>
        <v/>
      </c>
      <c r="H2501" s="139">
        <f>IFERROR(IF(E2501&gt;0,E2501*IF(ISNUMBER(J2501),J2501,IF(OR(C2501="Alpha",B2501="Alpha"),$C$7,IF(C2501="Futures",$C$6,$C$5))),""),"")</f>
        <v/>
      </c>
      <c r="I2501" s="139">
        <f>IFERROR(IF(AND(ISNUMBER(F2501),ISNUMBER(H2501)),F2501-H2501,""),"")</f>
        <v/>
      </c>
      <c r="J2501" s="114" t="n"/>
      <c r="K2501" s="139">
        <f>IFERROR(IF(H2501&gt;0,H2501*IF(OR(C2501="Alpha",B2501="Alpha"),$C$9,$C$8),""),"")</f>
        <v/>
      </c>
      <c r="L2501" s="139">
        <f>IFERROR(IF(ISNUMBER(F2501),F2501-IF(ISNUMBER(K2501),K2501,0),""),"")</f>
        <v/>
      </c>
    </row>
    <row r="2502" ht="24" customHeight="1" s="63">
      <c r="E2502" s="139" t="n"/>
      <c r="F2502" s="139" t="n"/>
      <c r="G2502" s="140">
        <f>IFERROR(IF(E2502&gt;0,(F2502/E2502)*1000,""),"")</f>
        <v/>
      </c>
      <c r="H2502" s="139">
        <f>IFERROR(IF(E2502&gt;0,E2502*IF(ISNUMBER(J2502),J2502,IF(OR(C2502="Alpha",B2502="Alpha"),$C$7,IF(C2502="Futures",$C$6,$C$5))),""),"")</f>
        <v/>
      </c>
      <c r="I2502" s="139">
        <f>IFERROR(IF(AND(ISNUMBER(F2502),ISNUMBER(H2502)),F2502-H2502,""),"")</f>
        <v/>
      </c>
      <c r="J2502" s="114" t="n"/>
      <c r="K2502" s="139">
        <f>IFERROR(IF(H2502&gt;0,H2502*IF(OR(C2502="Alpha",B2502="Alpha"),$C$9,$C$8),""),"")</f>
        <v/>
      </c>
      <c r="L2502" s="139">
        <f>IFERROR(IF(ISNUMBER(F2502),F2502-IF(ISNUMBER(K2502),K2502,0),""),"")</f>
        <v/>
      </c>
    </row>
    <row r="2503" ht="24" customHeight="1" s="63">
      <c r="E2503" s="139" t="n"/>
      <c r="F2503" s="139" t="n"/>
      <c r="G2503" s="140">
        <f>IFERROR(IF(E2503&gt;0,(F2503/E2503)*1000,""),"")</f>
        <v/>
      </c>
      <c r="H2503" s="139">
        <f>IFERROR(IF(E2503&gt;0,E2503*IF(ISNUMBER(J2503),J2503,IF(OR(C2503="Alpha",B2503="Alpha"),$C$7,IF(C2503="Futures",$C$6,$C$5))),""),"")</f>
        <v/>
      </c>
      <c r="I2503" s="139">
        <f>IFERROR(IF(AND(ISNUMBER(F2503),ISNUMBER(H2503)),F2503-H2503,""),"")</f>
        <v/>
      </c>
      <c r="J2503" s="114" t="n"/>
      <c r="K2503" s="139">
        <f>IFERROR(IF(H2503&gt;0,H2503*IF(OR(C2503="Alpha",B2503="Alpha"),$C$9,$C$8),""),"")</f>
        <v/>
      </c>
      <c r="L2503" s="139">
        <f>IFERROR(IF(ISNUMBER(F2503),F2503-IF(ISNUMBER(K2503),K2503,0),""),"")</f>
        <v/>
      </c>
    </row>
    <row r="2504" ht="24" customHeight="1" s="63">
      <c r="E2504" s="139" t="n"/>
      <c r="F2504" s="139" t="n"/>
      <c r="G2504" s="140">
        <f>IFERROR(IF(E2504&gt;0,(F2504/E2504)*1000,""),"")</f>
        <v/>
      </c>
      <c r="H2504" s="139">
        <f>IFERROR(IF(E2504&gt;0,E2504*IF(ISNUMBER(J2504),J2504,IF(OR(C2504="Alpha",B2504="Alpha"),$C$7,IF(C2504="Futures",$C$6,$C$5))),""),"")</f>
        <v/>
      </c>
      <c r="I2504" s="139">
        <f>IFERROR(IF(AND(ISNUMBER(F2504),ISNUMBER(H2504)),F2504-H2504,""),"")</f>
        <v/>
      </c>
      <c r="J2504" s="114" t="n"/>
      <c r="K2504" s="139">
        <f>IFERROR(IF(H2504&gt;0,H2504*IF(OR(C2504="Alpha",B2504="Alpha"),$C$9,$C$8),""),"")</f>
        <v/>
      </c>
      <c r="L2504" s="139">
        <f>IFERROR(IF(ISNUMBER(F2504),F2504-IF(ISNUMBER(K2504),K2504,0),""),"")</f>
        <v/>
      </c>
    </row>
    <row r="2505" ht="24" customHeight="1" s="63">
      <c r="E2505" s="139" t="n"/>
      <c r="F2505" s="139" t="n"/>
      <c r="G2505" s="140">
        <f>IFERROR(IF(E2505&gt;0,(F2505/E2505)*1000,""),"")</f>
        <v/>
      </c>
      <c r="H2505" s="139">
        <f>IFERROR(IF(E2505&gt;0,E2505*IF(ISNUMBER(J2505),J2505,IF(OR(C2505="Alpha",B2505="Alpha"),$C$7,IF(C2505="Futures",$C$6,$C$5))),""),"")</f>
        <v/>
      </c>
      <c r="I2505" s="139">
        <f>IFERROR(IF(AND(ISNUMBER(F2505),ISNUMBER(H2505)),F2505-H2505,""),"")</f>
        <v/>
      </c>
      <c r="J2505" s="114" t="n"/>
      <c r="K2505" s="139">
        <f>IFERROR(IF(H2505&gt;0,H2505*IF(OR(C2505="Alpha",B2505="Alpha"),$C$9,$C$8),""),"")</f>
        <v/>
      </c>
      <c r="L2505" s="139">
        <f>IFERROR(IF(ISNUMBER(F2505),F2505-IF(ISNUMBER(K2505),K2505,0),""),"")</f>
        <v/>
      </c>
    </row>
    <row r="2506" ht="24" customHeight="1" s="63">
      <c r="E2506" s="139" t="n"/>
      <c r="F2506" s="139" t="n"/>
      <c r="G2506" s="140">
        <f>IFERROR(IF(E2506&gt;0,(F2506/E2506)*1000,""),"")</f>
        <v/>
      </c>
      <c r="H2506" s="139">
        <f>IFERROR(IF(E2506&gt;0,E2506*IF(ISNUMBER(J2506),J2506,IF(OR(C2506="Alpha",B2506="Alpha"),$C$7,IF(C2506="Futures",$C$6,$C$5))),""),"")</f>
        <v/>
      </c>
      <c r="I2506" s="139">
        <f>IFERROR(IF(AND(ISNUMBER(F2506),ISNUMBER(H2506)),F2506-H2506,""),"")</f>
        <v/>
      </c>
      <c r="J2506" s="114" t="n"/>
      <c r="K2506" s="139">
        <f>IFERROR(IF(H2506&gt;0,H2506*IF(OR(C2506="Alpha",B2506="Alpha"),$C$9,$C$8),""),"")</f>
        <v/>
      </c>
      <c r="L2506" s="139">
        <f>IFERROR(IF(ISNUMBER(F2506),F2506-IF(ISNUMBER(K2506),K2506,0),""),"")</f>
        <v/>
      </c>
    </row>
    <row r="2507" ht="24" customHeight="1" s="63">
      <c r="E2507" s="139" t="n"/>
      <c r="F2507" s="139" t="n"/>
      <c r="G2507" s="140">
        <f>IFERROR(IF(E2507&gt;0,(F2507/E2507)*1000,""),"")</f>
        <v/>
      </c>
      <c r="H2507" s="139">
        <f>IFERROR(IF(E2507&gt;0,E2507*IF(ISNUMBER(J2507),J2507,IF(OR(C2507="Alpha",B2507="Alpha"),$C$7,IF(C2507="Futures",$C$6,$C$5))),""),"")</f>
        <v/>
      </c>
      <c r="I2507" s="139">
        <f>IFERROR(IF(AND(ISNUMBER(F2507),ISNUMBER(H2507)),F2507-H2507,""),"")</f>
        <v/>
      </c>
      <c r="J2507" s="114" t="n"/>
      <c r="K2507" s="139">
        <f>IFERROR(IF(H2507&gt;0,H2507*IF(OR(C2507="Alpha",B2507="Alpha"),$C$9,$C$8),""),"")</f>
        <v/>
      </c>
      <c r="L2507" s="139">
        <f>IFERROR(IF(ISNUMBER(F2507),F2507-IF(ISNUMBER(K2507),K2507,0),""),"")</f>
        <v/>
      </c>
    </row>
    <row r="2508" ht="24" customHeight="1" s="63">
      <c r="E2508" s="139" t="n"/>
      <c r="F2508" s="139" t="n"/>
      <c r="G2508" s="140">
        <f>IFERROR(IF(E2508&gt;0,(F2508/E2508)*1000,""),"")</f>
        <v/>
      </c>
      <c r="H2508" s="139">
        <f>IFERROR(IF(E2508&gt;0,E2508*IF(ISNUMBER(J2508),J2508,IF(OR(C2508="Alpha",B2508="Alpha"),$C$7,IF(C2508="Futures",$C$6,$C$5))),""),"")</f>
        <v/>
      </c>
      <c r="I2508" s="139">
        <f>IFERROR(IF(AND(ISNUMBER(F2508),ISNUMBER(H2508)),F2508-H2508,""),"")</f>
        <v/>
      </c>
      <c r="J2508" s="114" t="n"/>
      <c r="K2508" s="139">
        <f>IFERROR(IF(H2508&gt;0,H2508*IF(OR(C2508="Alpha",B2508="Alpha"),$C$9,$C$8),""),"")</f>
        <v/>
      </c>
      <c r="L2508" s="139">
        <f>IFERROR(IF(ISNUMBER(F2508),F2508-IF(ISNUMBER(K2508),K2508,0),""),"")</f>
        <v/>
      </c>
    </row>
    <row r="2509" ht="24" customHeight="1" s="63">
      <c r="E2509" s="139" t="n"/>
      <c r="F2509" s="139" t="n"/>
      <c r="G2509" s="140">
        <f>IFERROR(IF(E2509&gt;0,(F2509/E2509)*1000,""),"")</f>
        <v/>
      </c>
      <c r="H2509" s="139">
        <f>IFERROR(IF(E2509&gt;0,E2509*IF(ISNUMBER(J2509),J2509,IF(OR(C2509="Alpha",B2509="Alpha"),$C$7,IF(C2509="Futures",$C$6,$C$5))),""),"")</f>
        <v/>
      </c>
      <c r="I2509" s="139">
        <f>IFERROR(IF(AND(ISNUMBER(F2509),ISNUMBER(H2509)),F2509-H2509,""),"")</f>
        <v/>
      </c>
      <c r="J2509" s="114" t="n"/>
      <c r="K2509" s="139">
        <f>IFERROR(IF(H2509&gt;0,H2509*IF(OR(C2509="Alpha",B2509="Alpha"),$C$9,$C$8),""),"")</f>
        <v/>
      </c>
      <c r="L2509" s="139">
        <f>IFERROR(IF(ISNUMBER(F2509),F2509-IF(ISNUMBER(K2509),K2509,0),""),"")</f>
        <v/>
      </c>
    </row>
    <row r="2510" ht="24" customHeight="1" s="63">
      <c r="E2510" s="139" t="n"/>
      <c r="F2510" s="139" t="n"/>
      <c r="G2510" s="140">
        <f>IFERROR(IF(E2510&gt;0,(F2510/E2510)*1000,""),"")</f>
        <v/>
      </c>
      <c r="H2510" s="139">
        <f>IFERROR(IF(E2510&gt;0,E2510*IF(ISNUMBER(J2510),J2510,IF(OR(C2510="Alpha",B2510="Alpha"),$C$7,IF(C2510="Futures",$C$6,$C$5))),""),"")</f>
        <v/>
      </c>
      <c r="I2510" s="139">
        <f>IFERROR(IF(AND(ISNUMBER(F2510),ISNUMBER(H2510)),F2510-H2510,""),"")</f>
        <v/>
      </c>
      <c r="J2510" s="114" t="n"/>
      <c r="K2510" s="139">
        <f>IFERROR(IF(H2510&gt;0,H2510*IF(OR(C2510="Alpha",B2510="Alpha"),$C$9,$C$8),""),"")</f>
        <v/>
      </c>
      <c r="L2510" s="139">
        <f>IFERROR(IF(ISNUMBER(F2510),F2510-IF(ISNUMBER(K2510),K2510,0),""),"")</f>
        <v/>
      </c>
    </row>
    <row r="2511" ht="24" customHeight="1" s="63">
      <c r="E2511" s="139" t="n"/>
      <c r="F2511" s="139" t="n"/>
      <c r="G2511" s="140">
        <f>IFERROR(IF(E2511&gt;0,(F2511/E2511)*1000,""),"")</f>
        <v/>
      </c>
      <c r="H2511" s="139">
        <f>IFERROR(IF(E2511&gt;0,E2511*IF(ISNUMBER(J2511),J2511,IF(OR(C2511="Alpha",B2511="Alpha"),$C$7,IF(C2511="Futures",$C$6,$C$5))),""),"")</f>
        <v/>
      </c>
      <c r="I2511" s="139">
        <f>IFERROR(IF(AND(ISNUMBER(F2511),ISNUMBER(H2511)),F2511-H2511,""),"")</f>
        <v/>
      </c>
      <c r="J2511" s="114" t="n"/>
      <c r="K2511" s="139">
        <f>IFERROR(IF(H2511&gt;0,H2511*IF(OR(C2511="Alpha",B2511="Alpha"),$C$9,$C$8),""),"")</f>
        <v/>
      </c>
      <c r="L2511" s="139">
        <f>IFERROR(IF(ISNUMBER(F2511),F2511-IF(ISNUMBER(K2511),K2511,0),""),"")</f>
        <v/>
      </c>
    </row>
    <row r="2512" ht="24" customHeight="1" s="63">
      <c r="E2512" s="139" t="n"/>
      <c r="F2512" s="139" t="n"/>
      <c r="G2512" s="140">
        <f>IFERROR(IF(E2512&gt;0,(F2512/E2512)*1000,""),"")</f>
        <v/>
      </c>
      <c r="H2512" s="139">
        <f>IFERROR(IF(E2512&gt;0,E2512*IF(ISNUMBER(J2512),J2512,IF(OR(C2512="Alpha",B2512="Alpha"),$C$7,IF(C2512="Futures",$C$6,$C$5))),""),"")</f>
        <v/>
      </c>
      <c r="I2512" s="139">
        <f>IFERROR(IF(AND(ISNUMBER(F2512),ISNUMBER(H2512)),F2512-H2512,""),"")</f>
        <v/>
      </c>
      <c r="J2512" s="114" t="n"/>
      <c r="K2512" s="139">
        <f>IFERROR(IF(H2512&gt;0,H2512*IF(OR(C2512="Alpha",B2512="Alpha"),$C$9,$C$8),""),"")</f>
        <v/>
      </c>
      <c r="L2512" s="139">
        <f>IFERROR(IF(ISNUMBER(F2512),F2512-IF(ISNUMBER(K2512),K2512,0),""),"")</f>
        <v/>
      </c>
    </row>
    <row r="2513" ht="24" customHeight="1" s="63">
      <c r="E2513" s="139" t="n"/>
      <c r="F2513" s="139" t="n"/>
      <c r="G2513" s="140">
        <f>IFERROR(IF(E2513&gt;0,(F2513/E2513)*1000,""),"")</f>
        <v/>
      </c>
      <c r="H2513" s="139">
        <f>IFERROR(IF(E2513&gt;0,E2513*IF(ISNUMBER(J2513),J2513,IF(OR(C2513="Alpha",B2513="Alpha"),$C$7,IF(C2513="Futures",$C$6,$C$5))),""),"")</f>
        <v/>
      </c>
      <c r="I2513" s="139">
        <f>IFERROR(IF(AND(ISNUMBER(F2513),ISNUMBER(H2513)),F2513-H2513,""),"")</f>
        <v/>
      </c>
      <c r="J2513" s="114" t="n"/>
      <c r="K2513" s="139">
        <f>IFERROR(IF(H2513&gt;0,H2513*IF(OR(C2513="Alpha",B2513="Alpha"),$C$9,$C$8),""),"")</f>
        <v/>
      </c>
      <c r="L2513" s="139">
        <f>IFERROR(IF(ISNUMBER(F2513),F2513-IF(ISNUMBER(K2513),K2513,0),""),"")</f>
        <v/>
      </c>
    </row>
    <row r="2514" ht="24" customHeight="1" s="63">
      <c r="E2514" s="139" t="n"/>
      <c r="F2514" s="139" t="n"/>
      <c r="G2514" s="140">
        <f>IFERROR(IF(E2514&gt;0,(F2514/E2514)*1000,""),"")</f>
        <v/>
      </c>
      <c r="H2514" s="139">
        <f>IFERROR(IF(E2514&gt;0,E2514*IF(ISNUMBER(J2514),J2514,IF(OR(C2514="Alpha",B2514="Alpha"),$C$7,IF(C2514="Futures",$C$6,$C$5))),""),"")</f>
        <v/>
      </c>
      <c r="I2514" s="139">
        <f>IFERROR(IF(AND(ISNUMBER(F2514),ISNUMBER(H2514)),F2514-H2514,""),"")</f>
        <v/>
      </c>
      <c r="J2514" s="114" t="n"/>
      <c r="K2514" s="139">
        <f>IFERROR(IF(H2514&gt;0,H2514*IF(OR(C2514="Alpha",B2514="Alpha"),$C$9,$C$8),""),"")</f>
        <v/>
      </c>
      <c r="L2514" s="139">
        <f>IFERROR(IF(ISNUMBER(F2514),F2514-IF(ISNUMBER(K2514),K2514,0),""),"")</f>
        <v/>
      </c>
    </row>
    <row r="2515" ht="24" customHeight="1" s="63">
      <c r="E2515" s="139" t="n"/>
      <c r="F2515" s="139" t="n"/>
      <c r="G2515" s="140">
        <f>IFERROR(IF(E2515&gt;0,(F2515/E2515)*1000,""),"")</f>
        <v/>
      </c>
      <c r="H2515" s="139">
        <f>IFERROR(IF(E2515&gt;0,E2515*IF(ISNUMBER(J2515),J2515,IF(OR(C2515="Alpha",B2515="Alpha"),$C$7,IF(C2515="Futures",$C$6,$C$5))),""),"")</f>
        <v/>
      </c>
      <c r="I2515" s="139">
        <f>IFERROR(IF(AND(ISNUMBER(F2515),ISNUMBER(H2515)),F2515-H2515,""),"")</f>
        <v/>
      </c>
      <c r="J2515" s="114" t="n"/>
      <c r="K2515" s="139">
        <f>IFERROR(IF(H2515&gt;0,H2515*IF(OR(C2515="Alpha",B2515="Alpha"),$C$9,$C$8),""),"")</f>
        <v/>
      </c>
      <c r="L2515" s="139">
        <f>IFERROR(IF(ISNUMBER(F2515),F2515-IF(ISNUMBER(K2515),K2515,0),""),"")</f>
        <v/>
      </c>
    </row>
    <row r="2516" ht="24" customHeight="1" s="63">
      <c r="E2516" s="139" t="n"/>
      <c r="F2516" s="139" t="n"/>
      <c r="G2516" s="140">
        <f>IFERROR(IF(E2516&gt;0,(F2516/E2516)*1000,""),"")</f>
        <v/>
      </c>
      <c r="H2516" s="139">
        <f>IFERROR(IF(E2516&gt;0,E2516*IF(ISNUMBER(J2516),J2516,IF(OR(C2516="Alpha",B2516="Alpha"),$C$7,IF(C2516="Futures",$C$6,$C$5))),""),"")</f>
        <v/>
      </c>
      <c r="I2516" s="139">
        <f>IFERROR(IF(AND(ISNUMBER(F2516),ISNUMBER(H2516)),F2516-H2516,""),"")</f>
        <v/>
      </c>
      <c r="J2516" s="114" t="n"/>
      <c r="K2516" s="139">
        <f>IFERROR(IF(H2516&gt;0,H2516*IF(OR(C2516="Alpha",B2516="Alpha"),$C$9,$C$8),""),"")</f>
        <v/>
      </c>
      <c r="L2516" s="139">
        <f>IFERROR(IF(ISNUMBER(F2516),F2516-IF(ISNUMBER(K2516),K2516,0),""),"")</f>
        <v/>
      </c>
    </row>
    <row r="2517" ht="24" customHeight="1" s="63">
      <c r="E2517" s="139" t="n"/>
      <c r="F2517" s="139" t="n"/>
      <c r="G2517" s="140">
        <f>IFERROR(IF(E2517&gt;0,(F2517/E2517)*1000,""),"")</f>
        <v/>
      </c>
      <c r="H2517" s="139">
        <f>IFERROR(IF(E2517&gt;0,E2517*IF(ISNUMBER(J2517),J2517,IF(OR(C2517="Alpha",B2517="Alpha"),$C$7,IF(C2517="Futures",$C$6,$C$5))),""),"")</f>
        <v/>
      </c>
      <c r="I2517" s="139">
        <f>IFERROR(IF(AND(ISNUMBER(F2517),ISNUMBER(H2517)),F2517-H2517,""),"")</f>
        <v/>
      </c>
      <c r="J2517" s="114" t="n"/>
      <c r="K2517" s="139">
        <f>IFERROR(IF(H2517&gt;0,H2517*IF(OR(C2517="Alpha",B2517="Alpha"),$C$9,$C$8),""),"")</f>
        <v/>
      </c>
      <c r="L2517" s="139">
        <f>IFERROR(IF(ISNUMBER(F2517),F2517-IF(ISNUMBER(K2517),K2517,0),""),"")</f>
        <v/>
      </c>
    </row>
    <row r="2518" ht="24" customHeight="1" s="63">
      <c r="E2518" s="139" t="n"/>
      <c r="F2518" s="139" t="n"/>
      <c r="G2518" s="140">
        <f>IFERROR(IF(E2518&gt;0,(F2518/E2518)*1000,""),"")</f>
        <v/>
      </c>
      <c r="H2518" s="139">
        <f>IFERROR(IF(E2518&gt;0,E2518*IF(ISNUMBER(J2518),J2518,IF(OR(C2518="Alpha",B2518="Alpha"),$C$7,IF(C2518="Futures",$C$6,$C$5))),""),"")</f>
        <v/>
      </c>
      <c r="I2518" s="139">
        <f>IFERROR(IF(AND(ISNUMBER(F2518),ISNUMBER(H2518)),F2518-H2518,""),"")</f>
        <v/>
      </c>
      <c r="J2518" s="114" t="n"/>
      <c r="K2518" s="139">
        <f>IFERROR(IF(H2518&gt;0,H2518*IF(OR(C2518="Alpha",B2518="Alpha"),$C$9,$C$8),""),"")</f>
        <v/>
      </c>
      <c r="L2518" s="139">
        <f>IFERROR(IF(ISNUMBER(F2518),F2518-IF(ISNUMBER(K2518),K2518,0),""),"")</f>
        <v/>
      </c>
    </row>
    <row r="2519" ht="24" customHeight="1" s="63">
      <c r="E2519" s="139" t="n"/>
      <c r="F2519" s="139" t="n"/>
      <c r="G2519" s="140">
        <f>IFERROR(IF(E2519&gt;0,(F2519/E2519)*1000,""),"")</f>
        <v/>
      </c>
      <c r="H2519" s="139">
        <f>IFERROR(IF(E2519&gt;0,E2519*IF(ISNUMBER(J2519),J2519,IF(OR(C2519="Alpha",B2519="Alpha"),$C$7,IF(C2519="Futures",$C$6,$C$5))),""),"")</f>
        <v/>
      </c>
      <c r="I2519" s="139">
        <f>IFERROR(IF(AND(ISNUMBER(F2519),ISNUMBER(H2519)),F2519-H2519,""),"")</f>
        <v/>
      </c>
      <c r="J2519" s="114" t="n"/>
      <c r="K2519" s="139">
        <f>IFERROR(IF(H2519&gt;0,H2519*IF(OR(C2519="Alpha",B2519="Alpha"),$C$9,$C$8),""),"")</f>
        <v/>
      </c>
      <c r="L2519" s="139">
        <f>IFERROR(IF(ISNUMBER(F2519),F2519-IF(ISNUMBER(K2519),K2519,0),""),"")</f>
        <v/>
      </c>
    </row>
    <row r="2520" ht="24" customHeight="1" s="63">
      <c r="E2520" s="139" t="n"/>
      <c r="F2520" s="139" t="n"/>
      <c r="G2520" s="140">
        <f>IFERROR(IF(E2520&gt;0,(F2520/E2520)*1000,""),"")</f>
        <v/>
      </c>
      <c r="H2520" s="139">
        <f>IFERROR(IF(E2520&gt;0,E2520*IF(ISNUMBER(J2520),J2520,IF(OR(C2520="Alpha",B2520="Alpha"),$C$7,IF(C2520="Futures",$C$6,$C$5))),""),"")</f>
        <v/>
      </c>
      <c r="I2520" s="139">
        <f>IFERROR(IF(AND(ISNUMBER(F2520),ISNUMBER(H2520)),F2520-H2520,""),"")</f>
        <v/>
      </c>
      <c r="J2520" s="114" t="n"/>
      <c r="K2520" s="139">
        <f>IFERROR(IF(H2520&gt;0,H2520*IF(OR(C2520="Alpha",B2520="Alpha"),$C$9,$C$8),""),"")</f>
        <v/>
      </c>
      <c r="L2520" s="139">
        <f>IFERROR(IF(ISNUMBER(F2520),F2520-IF(ISNUMBER(K2520),K2520,0),""),"")</f>
        <v/>
      </c>
    </row>
    <row r="2521" ht="24" customHeight="1" s="63">
      <c r="E2521" s="139" t="n"/>
      <c r="F2521" s="139" t="n"/>
      <c r="G2521" s="140">
        <f>IFERROR(IF(E2521&gt;0,(F2521/E2521)*1000,""),"")</f>
        <v/>
      </c>
      <c r="H2521" s="139">
        <f>IFERROR(IF(E2521&gt;0,E2521*IF(ISNUMBER(J2521),J2521,IF(OR(C2521="Alpha",B2521="Alpha"),$C$7,IF(C2521="Futures",$C$6,$C$5))),""),"")</f>
        <v/>
      </c>
      <c r="I2521" s="139">
        <f>IFERROR(IF(AND(ISNUMBER(F2521),ISNUMBER(H2521)),F2521-H2521,""),"")</f>
        <v/>
      </c>
      <c r="J2521" s="114" t="n"/>
      <c r="K2521" s="139">
        <f>IFERROR(IF(H2521&gt;0,H2521*IF(OR(C2521="Alpha",B2521="Alpha"),$C$9,$C$8),""),"")</f>
        <v/>
      </c>
      <c r="L2521" s="139">
        <f>IFERROR(IF(ISNUMBER(F2521),F2521-IF(ISNUMBER(K2521),K2521,0),""),"")</f>
        <v/>
      </c>
    </row>
    <row r="2522" ht="24" customHeight="1" s="63">
      <c r="E2522" s="139" t="n"/>
      <c r="F2522" s="139" t="n"/>
      <c r="G2522" s="140">
        <f>IFERROR(IF(E2522&gt;0,(F2522/E2522)*1000,""),"")</f>
        <v/>
      </c>
      <c r="H2522" s="139">
        <f>IFERROR(IF(E2522&gt;0,E2522*IF(ISNUMBER(J2522),J2522,IF(OR(C2522="Alpha",B2522="Alpha"),$C$7,IF(C2522="Futures",$C$6,$C$5))),""),"")</f>
        <v/>
      </c>
      <c r="I2522" s="139">
        <f>IFERROR(IF(AND(ISNUMBER(F2522),ISNUMBER(H2522)),F2522-H2522,""),"")</f>
        <v/>
      </c>
      <c r="J2522" s="114" t="n"/>
      <c r="K2522" s="139">
        <f>IFERROR(IF(H2522&gt;0,H2522*IF(OR(C2522="Alpha",B2522="Alpha"),$C$9,$C$8),""),"")</f>
        <v/>
      </c>
      <c r="L2522" s="139">
        <f>IFERROR(IF(ISNUMBER(F2522),F2522-IF(ISNUMBER(K2522),K2522,0),""),"")</f>
        <v/>
      </c>
    </row>
    <row r="2523" ht="24" customHeight="1" s="63">
      <c r="E2523" s="139" t="n"/>
      <c r="F2523" s="139" t="n"/>
      <c r="G2523" s="140">
        <f>IFERROR(IF(E2523&gt;0,(F2523/E2523)*1000,""),"")</f>
        <v/>
      </c>
      <c r="H2523" s="139">
        <f>IFERROR(IF(E2523&gt;0,E2523*IF(ISNUMBER(J2523),J2523,IF(OR(C2523="Alpha",B2523="Alpha"),$C$7,IF(C2523="Futures",$C$6,$C$5))),""),"")</f>
        <v/>
      </c>
      <c r="I2523" s="139">
        <f>IFERROR(IF(AND(ISNUMBER(F2523),ISNUMBER(H2523)),F2523-H2523,""),"")</f>
        <v/>
      </c>
      <c r="J2523" s="114" t="n"/>
      <c r="K2523" s="139">
        <f>IFERROR(IF(H2523&gt;0,H2523*IF(OR(C2523="Alpha",B2523="Alpha"),$C$9,$C$8),""),"")</f>
        <v/>
      </c>
      <c r="L2523" s="139">
        <f>IFERROR(IF(ISNUMBER(F2523),F2523-IF(ISNUMBER(K2523),K2523,0),""),"")</f>
        <v/>
      </c>
    </row>
    <row r="2524" ht="24" customHeight="1" s="63">
      <c r="E2524" s="139" t="n"/>
      <c r="F2524" s="139" t="n"/>
      <c r="G2524" s="140">
        <f>IFERROR(IF(E2524&gt;0,(F2524/E2524)*1000,""),"")</f>
        <v/>
      </c>
      <c r="H2524" s="139">
        <f>IFERROR(IF(E2524&gt;0,E2524*IF(ISNUMBER(J2524),J2524,IF(OR(C2524="Alpha",B2524="Alpha"),$C$7,IF(C2524="Futures",$C$6,$C$5))),""),"")</f>
        <v/>
      </c>
      <c r="I2524" s="139">
        <f>IFERROR(IF(AND(ISNUMBER(F2524),ISNUMBER(H2524)),F2524-H2524,""),"")</f>
        <v/>
      </c>
      <c r="J2524" s="114" t="n"/>
      <c r="K2524" s="139">
        <f>IFERROR(IF(H2524&gt;0,H2524*IF(OR(C2524="Alpha",B2524="Alpha"),$C$9,$C$8),""),"")</f>
        <v/>
      </c>
      <c r="L2524" s="139">
        <f>IFERROR(IF(ISNUMBER(F2524),F2524-IF(ISNUMBER(K2524),K2524,0),""),"")</f>
        <v/>
      </c>
    </row>
    <row r="2525" ht="24" customHeight="1" s="63">
      <c r="E2525" s="139" t="n"/>
      <c r="F2525" s="139" t="n"/>
      <c r="G2525" s="140">
        <f>IFERROR(IF(E2525&gt;0,(F2525/E2525)*1000,""),"")</f>
        <v/>
      </c>
      <c r="H2525" s="139">
        <f>IFERROR(IF(E2525&gt;0,E2525*IF(ISNUMBER(J2525),J2525,IF(OR(C2525="Alpha",B2525="Alpha"),$C$7,IF(C2525="Futures",$C$6,$C$5))),""),"")</f>
        <v/>
      </c>
      <c r="I2525" s="139">
        <f>IFERROR(IF(AND(ISNUMBER(F2525),ISNUMBER(H2525)),F2525-H2525,""),"")</f>
        <v/>
      </c>
      <c r="J2525" s="114" t="n"/>
      <c r="K2525" s="139">
        <f>IFERROR(IF(H2525&gt;0,H2525*IF(OR(C2525="Alpha",B2525="Alpha"),$C$9,$C$8),""),"")</f>
        <v/>
      </c>
      <c r="L2525" s="139">
        <f>IFERROR(IF(ISNUMBER(F2525),F2525-IF(ISNUMBER(K2525),K2525,0),""),"")</f>
        <v/>
      </c>
    </row>
    <row r="2526" ht="24" customHeight="1" s="63">
      <c r="E2526" s="139" t="n"/>
      <c r="F2526" s="139" t="n"/>
      <c r="G2526" s="140">
        <f>IFERROR(IF(E2526&gt;0,(F2526/E2526)*1000,""),"")</f>
        <v/>
      </c>
      <c r="H2526" s="139">
        <f>IFERROR(IF(E2526&gt;0,E2526*IF(ISNUMBER(J2526),J2526,IF(OR(C2526="Alpha",B2526="Alpha"),$C$7,IF(C2526="Futures",$C$6,$C$5))),""),"")</f>
        <v/>
      </c>
      <c r="I2526" s="139">
        <f>IFERROR(IF(AND(ISNUMBER(F2526),ISNUMBER(H2526)),F2526-H2526,""),"")</f>
        <v/>
      </c>
      <c r="J2526" s="114" t="n"/>
      <c r="K2526" s="139">
        <f>IFERROR(IF(H2526&gt;0,H2526*IF(OR(C2526="Alpha",B2526="Alpha"),$C$9,$C$8),""),"")</f>
        <v/>
      </c>
      <c r="L2526" s="139">
        <f>IFERROR(IF(ISNUMBER(F2526),F2526-IF(ISNUMBER(K2526),K2526,0),""),"")</f>
        <v/>
      </c>
    </row>
    <row r="2527" ht="24" customHeight="1" s="63">
      <c r="E2527" s="139" t="n"/>
      <c r="F2527" s="139" t="n"/>
      <c r="G2527" s="140">
        <f>IFERROR(IF(E2527&gt;0,(F2527/E2527)*1000,""),"")</f>
        <v/>
      </c>
      <c r="H2527" s="139">
        <f>IFERROR(IF(E2527&gt;0,E2527*IF(ISNUMBER(J2527),J2527,IF(OR(C2527="Alpha",B2527="Alpha"),$C$7,IF(C2527="Futures",$C$6,$C$5))),""),"")</f>
        <v/>
      </c>
      <c r="I2527" s="139">
        <f>IFERROR(IF(AND(ISNUMBER(F2527),ISNUMBER(H2527)),F2527-H2527,""),"")</f>
        <v/>
      </c>
      <c r="J2527" s="114" t="n"/>
      <c r="K2527" s="139">
        <f>IFERROR(IF(H2527&gt;0,H2527*IF(OR(C2527="Alpha",B2527="Alpha"),$C$9,$C$8),""),"")</f>
        <v/>
      </c>
      <c r="L2527" s="139">
        <f>IFERROR(IF(ISNUMBER(F2527),F2527-IF(ISNUMBER(K2527),K2527,0),""),"")</f>
        <v/>
      </c>
    </row>
    <row r="2528" ht="24" customHeight="1" s="63">
      <c r="E2528" s="139" t="n"/>
      <c r="F2528" s="139" t="n"/>
      <c r="G2528" s="140">
        <f>IFERROR(IF(E2528&gt;0,(F2528/E2528)*1000,""),"")</f>
        <v/>
      </c>
      <c r="H2528" s="139">
        <f>IFERROR(IF(E2528&gt;0,E2528*IF(ISNUMBER(J2528),J2528,IF(OR(C2528="Alpha",B2528="Alpha"),$C$7,IF(C2528="Futures",$C$6,$C$5))),""),"")</f>
        <v/>
      </c>
      <c r="I2528" s="139">
        <f>IFERROR(IF(AND(ISNUMBER(F2528),ISNUMBER(H2528)),F2528-H2528,""),"")</f>
        <v/>
      </c>
      <c r="J2528" s="114" t="n"/>
      <c r="K2528" s="139">
        <f>IFERROR(IF(H2528&gt;0,H2528*IF(OR(C2528="Alpha",B2528="Alpha"),$C$9,$C$8),""),"")</f>
        <v/>
      </c>
      <c r="L2528" s="139">
        <f>IFERROR(IF(ISNUMBER(F2528),F2528-IF(ISNUMBER(K2528),K2528,0),""),"")</f>
        <v/>
      </c>
    </row>
    <row r="2529" ht="24" customHeight="1" s="63">
      <c r="E2529" s="139" t="n"/>
      <c r="F2529" s="139" t="n"/>
      <c r="G2529" s="140">
        <f>IFERROR(IF(E2529&gt;0,(F2529/E2529)*1000,""),"")</f>
        <v/>
      </c>
      <c r="H2529" s="139">
        <f>IFERROR(IF(E2529&gt;0,E2529*IF(ISNUMBER(J2529),J2529,IF(OR(C2529="Alpha",B2529="Alpha"),$C$7,IF(C2529="Futures",$C$6,$C$5))),""),"")</f>
        <v/>
      </c>
      <c r="I2529" s="139">
        <f>IFERROR(IF(AND(ISNUMBER(F2529),ISNUMBER(H2529)),F2529-H2529,""),"")</f>
        <v/>
      </c>
      <c r="J2529" s="114" t="n"/>
      <c r="K2529" s="139">
        <f>IFERROR(IF(H2529&gt;0,H2529*IF(OR(C2529="Alpha",B2529="Alpha"),$C$9,$C$8),""),"")</f>
        <v/>
      </c>
      <c r="L2529" s="139">
        <f>IFERROR(IF(ISNUMBER(F2529),F2529-IF(ISNUMBER(K2529),K2529,0),""),"")</f>
        <v/>
      </c>
    </row>
    <row r="2530" ht="24" customHeight="1" s="63">
      <c r="E2530" s="139" t="n"/>
      <c r="F2530" s="139" t="n"/>
      <c r="G2530" s="140">
        <f>IFERROR(IF(E2530&gt;0,(F2530/E2530)*1000,""),"")</f>
        <v/>
      </c>
      <c r="H2530" s="139">
        <f>IFERROR(IF(E2530&gt;0,E2530*IF(ISNUMBER(J2530),J2530,IF(OR(C2530="Alpha",B2530="Alpha"),$C$7,IF(C2530="Futures",$C$6,$C$5))),""),"")</f>
        <v/>
      </c>
      <c r="I2530" s="139">
        <f>IFERROR(IF(AND(ISNUMBER(F2530),ISNUMBER(H2530)),F2530-H2530,""),"")</f>
        <v/>
      </c>
      <c r="J2530" s="114" t="n"/>
      <c r="K2530" s="139">
        <f>IFERROR(IF(H2530&gt;0,H2530*IF(OR(C2530="Alpha",B2530="Alpha"),$C$9,$C$8),""),"")</f>
        <v/>
      </c>
      <c r="L2530" s="139">
        <f>IFERROR(IF(ISNUMBER(F2530),F2530-IF(ISNUMBER(K2530),K2530,0),""),"")</f>
        <v/>
      </c>
    </row>
    <row r="2531" ht="24" customHeight="1" s="63">
      <c r="E2531" s="139" t="n"/>
      <c r="F2531" s="139" t="n"/>
      <c r="G2531" s="140">
        <f>IFERROR(IF(E2531&gt;0,(F2531/E2531)*1000,""),"")</f>
        <v/>
      </c>
      <c r="H2531" s="139">
        <f>IFERROR(IF(E2531&gt;0,E2531*IF(ISNUMBER(J2531),J2531,IF(OR(C2531="Alpha",B2531="Alpha"),$C$7,IF(C2531="Futures",$C$6,$C$5))),""),"")</f>
        <v/>
      </c>
      <c r="I2531" s="139">
        <f>IFERROR(IF(AND(ISNUMBER(F2531),ISNUMBER(H2531)),F2531-H2531,""),"")</f>
        <v/>
      </c>
      <c r="J2531" s="114" t="n"/>
      <c r="K2531" s="139">
        <f>IFERROR(IF(H2531&gt;0,H2531*IF(OR(C2531="Alpha",B2531="Alpha"),$C$9,$C$8),""),"")</f>
        <v/>
      </c>
      <c r="L2531" s="139">
        <f>IFERROR(IF(ISNUMBER(F2531),F2531-IF(ISNUMBER(K2531),K2531,0),""),"")</f>
        <v/>
      </c>
    </row>
    <row r="2532" ht="24" customHeight="1" s="63">
      <c r="E2532" s="139" t="n"/>
      <c r="F2532" s="139" t="n"/>
      <c r="G2532" s="140">
        <f>IFERROR(IF(E2532&gt;0,(F2532/E2532)*1000,""),"")</f>
        <v/>
      </c>
      <c r="H2532" s="139">
        <f>IFERROR(IF(E2532&gt;0,E2532*IF(ISNUMBER(J2532),J2532,IF(OR(C2532="Alpha",B2532="Alpha"),$C$7,IF(C2532="Futures",$C$6,$C$5))),""),"")</f>
        <v/>
      </c>
      <c r="I2532" s="139">
        <f>IFERROR(IF(AND(ISNUMBER(F2532),ISNUMBER(H2532)),F2532-H2532,""),"")</f>
        <v/>
      </c>
      <c r="J2532" s="114" t="n"/>
      <c r="K2532" s="139">
        <f>IFERROR(IF(H2532&gt;0,H2532*IF(OR(C2532="Alpha",B2532="Alpha"),$C$9,$C$8),""),"")</f>
        <v/>
      </c>
      <c r="L2532" s="139">
        <f>IFERROR(IF(ISNUMBER(F2532),F2532-IF(ISNUMBER(K2532),K2532,0),""),"")</f>
        <v/>
      </c>
    </row>
    <row r="2533" ht="24" customHeight="1" s="63">
      <c r="E2533" s="139" t="n"/>
      <c r="F2533" s="139" t="n"/>
      <c r="G2533" s="140">
        <f>IFERROR(IF(E2533&gt;0,(F2533/E2533)*1000,""),"")</f>
        <v/>
      </c>
      <c r="H2533" s="139">
        <f>IFERROR(IF(E2533&gt;0,E2533*IF(ISNUMBER(J2533),J2533,IF(OR(C2533="Alpha",B2533="Alpha"),$C$7,IF(C2533="Futures",$C$6,$C$5))),""),"")</f>
        <v/>
      </c>
      <c r="I2533" s="139">
        <f>IFERROR(IF(AND(ISNUMBER(F2533),ISNUMBER(H2533)),F2533-H2533,""),"")</f>
        <v/>
      </c>
      <c r="J2533" s="114" t="n"/>
      <c r="K2533" s="139">
        <f>IFERROR(IF(H2533&gt;0,H2533*IF(OR(C2533="Alpha",B2533="Alpha"),$C$9,$C$8),""),"")</f>
        <v/>
      </c>
      <c r="L2533" s="139">
        <f>IFERROR(IF(ISNUMBER(F2533),F2533-IF(ISNUMBER(K2533),K2533,0),""),"")</f>
        <v/>
      </c>
    </row>
    <row r="2534" ht="24" customHeight="1" s="63">
      <c r="E2534" s="139" t="n"/>
      <c r="F2534" s="139" t="n"/>
      <c r="G2534" s="140">
        <f>IFERROR(IF(E2534&gt;0,(F2534/E2534)*1000,""),"")</f>
        <v/>
      </c>
      <c r="H2534" s="139">
        <f>IFERROR(IF(E2534&gt;0,E2534*IF(ISNUMBER(J2534),J2534,IF(OR(C2534="Alpha",B2534="Alpha"),$C$7,IF(C2534="Futures",$C$6,$C$5))),""),"")</f>
        <v/>
      </c>
      <c r="I2534" s="139">
        <f>IFERROR(IF(AND(ISNUMBER(F2534),ISNUMBER(H2534)),F2534-H2534,""),"")</f>
        <v/>
      </c>
      <c r="J2534" s="114" t="n"/>
      <c r="K2534" s="139">
        <f>IFERROR(IF(H2534&gt;0,H2534*IF(OR(C2534="Alpha",B2534="Alpha"),$C$9,$C$8),""),"")</f>
        <v/>
      </c>
      <c r="L2534" s="139">
        <f>IFERROR(IF(ISNUMBER(F2534),F2534-IF(ISNUMBER(K2534),K2534,0),""),"")</f>
        <v/>
      </c>
    </row>
    <row r="2535" ht="24" customHeight="1" s="63">
      <c r="E2535" s="139" t="n"/>
      <c r="F2535" s="139" t="n"/>
      <c r="G2535" s="140">
        <f>IFERROR(IF(E2535&gt;0,(F2535/E2535)*1000,""),"")</f>
        <v/>
      </c>
      <c r="H2535" s="139">
        <f>IFERROR(IF(E2535&gt;0,E2535*IF(ISNUMBER(J2535),J2535,IF(OR(C2535="Alpha",B2535="Alpha"),$C$7,IF(C2535="Futures",$C$6,$C$5))),""),"")</f>
        <v/>
      </c>
      <c r="I2535" s="139">
        <f>IFERROR(IF(AND(ISNUMBER(F2535),ISNUMBER(H2535)),F2535-H2535,""),"")</f>
        <v/>
      </c>
      <c r="J2535" s="114" t="n"/>
      <c r="K2535" s="139">
        <f>IFERROR(IF(H2535&gt;0,H2535*IF(OR(C2535="Alpha",B2535="Alpha"),$C$9,$C$8),""),"")</f>
        <v/>
      </c>
      <c r="L2535" s="139">
        <f>IFERROR(IF(ISNUMBER(F2535),F2535-IF(ISNUMBER(K2535),K2535,0),""),"")</f>
        <v/>
      </c>
    </row>
    <row r="2536" ht="24" customHeight="1" s="63">
      <c r="E2536" s="139" t="n"/>
      <c r="F2536" s="139" t="n"/>
      <c r="G2536" s="140">
        <f>IFERROR(IF(E2536&gt;0,(F2536/E2536)*1000,""),"")</f>
        <v/>
      </c>
      <c r="H2536" s="139">
        <f>IFERROR(IF(E2536&gt;0,E2536*IF(ISNUMBER(J2536),J2536,IF(OR(C2536="Alpha",B2536="Alpha"),$C$7,IF(C2536="Futures",$C$6,$C$5))),""),"")</f>
        <v/>
      </c>
      <c r="I2536" s="139">
        <f>IFERROR(IF(AND(ISNUMBER(F2536),ISNUMBER(H2536)),F2536-H2536,""),"")</f>
        <v/>
      </c>
      <c r="J2536" s="114" t="n"/>
      <c r="K2536" s="139">
        <f>IFERROR(IF(H2536&gt;0,H2536*IF(OR(C2536="Alpha",B2536="Alpha"),$C$9,$C$8),""),"")</f>
        <v/>
      </c>
      <c r="L2536" s="139">
        <f>IFERROR(IF(ISNUMBER(F2536),F2536-IF(ISNUMBER(K2536),K2536,0),""),"")</f>
        <v/>
      </c>
    </row>
    <row r="2537" ht="24" customHeight="1" s="63">
      <c r="E2537" s="139" t="n"/>
      <c r="F2537" s="139" t="n"/>
      <c r="G2537" s="140">
        <f>IFERROR(IF(E2537&gt;0,(F2537/E2537)*1000,""),"")</f>
        <v/>
      </c>
      <c r="H2537" s="139">
        <f>IFERROR(IF(E2537&gt;0,E2537*IF(ISNUMBER(J2537),J2537,IF(OR(C2537="Alpha",B2537="Alpha"),$C$7,IF(C2537="Futures",$C$6,$C$5))),""),"")</f>
        <v/>
      </c>
      <c r="I2537" s="139">
        <f>IFERROR(IF(AND(ISNUMBER(F2537),ISNUMBER(H2537)),F2537-H2537,""),"")</f>
        <v/>
      </c>
      <c r="J2537" s="114" t="n"/>
      <c r="K2537" s="139">
        <f>IFERROR(IF(H2537&gt;0,H2537*IF(OR(C2537="Alpha",B2537="Alpha"),$C$9,$C$8),""),"")</f>
        <v/>
      </c>
      <c r="L2537" s="139">
        <f>IFERROR(IF(ISNUMBER(F2537),F2537-IF(ISNUMBER(K2537),K2537,0),""),"")</f>
        <v/>
      </c>
    </row>
    <row r="2538" ht="24" customHeight="1" s="63">
      <c r="E2538" s="139" t="n"/>
      <c r="F2538" s="139" t="n"/>
      <c r="G2538" s="140">
        <f>IFERROR(IF(E2538&gt;0,(F2538/E2538)*1000,""),"")</f>
        <v/>
      </c>
      <c r="H2538" s="139">
        <f>IFERROR(IF(E2538&gt;0,E2538*IF(ISNUMBER(J2538),J2538,IF(OR(C2538="Alpha",B2538="Alpha"),$C$7,IF(C2538="Futures",$C$6,$C$5))),""),"")</f>
        <v/>
      </c>
      <c r="I2538" s="139">
        <f>IFERROR(IF(AND(ISNUMBER(F2538),ISNUMBER(H2538)),F2538-H2538,""),"")</f>
        <v/>
      </c>
      <c r="J2538" s="114" t="n"/>
      <c r="K2538" s="139">
        <f>IFERROR(IF(H2538&gt;0,H2538*IF(OR(C2538="Alpha",B2538="Alpha"),$C$9,$C$8),""),"")</f>
        <v/>
      </c>
      <c r="L2538" s="139">
        <f>IFERROR(IF(ISNUMBER(F2538),F2538-IF(ISNUMBER(K2538),K2538,0),""),"")</f>
        <v/>
      </c>
    </row>
    <row r="2539" ht="24" customHeight="1" s="63">
      <c r="E2539" s="139" t="n"/>
      <c r="F2539" s="139" t="n"/>
      <c r="G2539" s="140">
        <f>IFERROR(IF(E2539&gt;0,(F2539/E2539)*1000,""),"")</f>
        <v/>
      </c>
      <c r="H2539" s="139">
        <f>IFERROR(IF(E2539&gt;0,E2539*IF(ISNUMBER(J2539),J2539,IF(OR(C2539="Alpha",B2539="Alpha"),$C$7,IF(C2539="Futures",$C$6,$C$5))),""),"")</f>
        <v/>
      </c>
      <c r="I2539" s="139">
        <f>IFERROR(IF(AND(ISNUMBER(F2539),ISNUMBER(H2539)),F2539-H2539,""),"")</f>
        <v/>
      </c>
      <c r="J2539" s="114" t="n"/>
      <c r="K2539" s="139">
        <f>IFERROR(IF(H2539&gt;0,H2539*IF(OR(C2539="Alpha",B2539="Alpha"),$C$9,$C$8),""),"")</f>
        <v/>
      </c>
      <c r="L2539" s="139">
        <f>IFERROR(IF(ISNUMBER(F2539),F2539-IF(ISNUMBER(K2539),K2539,0),""),"")</f>
        <v/>
      </c>
    </row>
    <row r="2540" ht="24" customHeight="1" s="63">
      <c r="E2540" s="139" t="n"/>
      <c r="F2540" s="139" t="n"/>
      <c r="G2540" s="140">
        <f>IFERROR(IF(E2540&gt;0,(F2540/E2540)*1000,""),"")</f>
        <v/>
      </c>
      <c r="H2540" s="139">
        <f>IFERROR(IF(E2540&gt;0,E2540*IF(ISNUMBER(J2540),J2540,IF(OR(C2540="Alpha",B2540="Alpha"),$C$7,IF(C2540="Futures",$C$6,$C$5))),""),"")</f>
        <v/>
      </c>
      <c r="I2540" s="139">
        <f>IFERROR(IF(AND(ISNUMBER(F2540),ISNUMBER(H2540)),F2540-H2540,""),"")</f>
        <v/>
      </c>
      <c r="J2540" s="114" t="n"/>
      <c r="K2540" s="139">
        <f>IFERROR(IF(H2540&gt;0,H2540*IF(OR(C2540="Alpha",B2540="Alpha"),$C$9,$C$8),""),"")</f>
        <v/>
      </c>
      <c r="L2540" s="139">
        <f>IFERROR(IF(ISNUMBER(F2540),F2540-IF(ISNUMBER(K2540),K2540,0),""),"")</f>
        <v/>
      </c>
    </row>
    <row r="2541" ht="24" customHeight="1" s="63">
      <c r="E2541" s="139" t="n"/>
      <c r="F2541" s="139" t="n"/>
      <c r="G2541" s="140">
        <f>IFERROR(IF(E2541&gt;0,(F2541/E2541)*1000,""),"")</f>
        <v/>
      </c>
      <c r="H2541" s="139">
        <f>IFERROR(IF(E2541&gt;0,E2541*IF(ISNUMBER(J2541),J2541,IF(OR(C2541="Alpha",B2541="Alpha"),$C$7,IF(C2541="Futures",$C$6,$C$5))),""),"")</f>
        <v/>
      </c>
      <c r="I2541" s="139">
        <f>IFERROR(IF(AND(ISNUMBER(F2541),ISNUMBER(H2541)),F2541-H2541,""),"")</f>
        <v/>
      </c>
      <c r="J2541" s="114" t="n"/>
      <c r="K2541" s="139">
        <f>IFERROR(IF(H2541&gt;0,H2541*IF(OR(C2541="Alpha",B2541="Alpha"),$C$9,$C$8),""),"")</f>
        <v/>
      </c>
      <c r="L2541" s="139">
        <f>IFERROR(IF(ISNUMBER(F2541),F2541-IF(ISNUMBER(K2541),K2541,0),""),"")</f>
        <v/>
      </c>
    </row>
    <row r="2542" ht="24" customHeight="1" s="63">
      <c r="E2542" s="139" t="n"/>
      <c r="F2542" s="139" t="n"/>
      <c r="G2542" s="140">
        <f>IFERROR(IF(E2542&gt;0,(F2542/E2542)*1000,""),"")</f>
        <v/>
      </c>
      <c r="H2542" s="139">
        <f>IFERROR(IF(E2542&gt;0,E2542*IF(ISNUMBER(J2542),J2542,IF(OR(C2542="Alpha",B2542="Alpha"),$C$7,IF(C2542="Futures",$C$6,$C$5))),""),"")</f>
        <v/>
      </c>
      <c r="I2542" s="139">
        <f>IFERROR(IF(AND(ISNUMBER(F2542),ISNUMBER(H2542)),F2542-H2542,""),"")</f>
        <v/>
      </c>
      <c r="J2542" s="114" t="n"/>
      <c r="K2542" s="139">
        <f>IFERROR(IF(H2542&gt;0,H2542*IF(OR(C2542="Alpha",B2542="Alpha"),$C$9,$C$8),""),"")</f>
        <v/>
      </c>
      <c r="L2542" s="139">
        <f>IFERROR(IF(ISNUMBER(F2542),F2542-IF(ISNUMBER(K2542),K2542,0),""),"")</f>
        <v/>
      </c>
    </row>
    <row r="2543" ht="24" customHeight="1" s="63">
      <c r="E2543" s="139" t="n"/>
      <c r="F2543" s="139" t="n"/>
      <c r="G2543" s="140">
        <f>IFERROR(IF(E2543&gt;0,(F2543/E2543)*1000,""),"")</f>
        <v/>
      </c>
      <c r="H2543" s="139">
        <f>IFERROR(IF(E2543&gt;0,E2543*IF(ISNUMBER(J2543),J2543,IF(OR(C2543="Alpha",B2543="Alpha"),$C$7,IF(C2543="Futures",$C$6,$C$5))),""),"")</f>
        <v/>
      </c>
      <c r="I2543" s="139">
        <f>IFERROR(IF(AND(ISNUMBER(F2543),ISNUMBER(H2543)),F2543-H2543,""),"")</f>
        <v/>
      </c>
      <c r="J2543" s="114" t="n"/>
      <c r="K2543" s="139">
        <f>IFERROR(IF(H2543&gt;0,H2543*IF(OR(C2543="Alpha",B2543="Alpha"),$C$9,$C$8),""),"")</f>
        <v/>
      </c>
      <c r="L2543" s="139">
        <f>IFERROR(IF(ISNUMBER(F2543),F2543-IF(ISNUMBER(K2543),K2543,0),""),"")</f>
        <v/>
      </c>
    </row>
    <row r="2544" ht="24" customHeight="1" s="63">
      <c r="E2544" s="139" t="n"/>
      <c r="F2544" s="139" t="n"/>
      <c r="G2544" s="140">
        <f>IFERROR(IF(E2544&gt;0,(F2544/E2544)*1000,""),"")</f>
        <v/>
      </c>
      <c r="H2544" s="139">
        <f>IFERROR(IF(E2544&gt;0,E2544*IF(ISNUMBER(J2544),J2544,IF(OR(C2544="Alpha",B2544="Alpha"),$C$7,IF(C2544="Futures",$C$6,$C$5))),""),"")</f>
        <v/>
      </c>
      <c r="I2544" s="139">
        <f>IFERROR(IF(AND(ISNUMBER(F2544),ISNUMBER(H2544)),F2544-H2544,""),"")</f>
        <v/>
      </c>
      <c r="J2544" s="114" t="n"/>
      <c r="K2544" s="139">
        <f>IFERROR(IF(H2544&gt;0,H2544*IF(OR(C2544="Alpha",B2544="Alpha"),$C$9,$C$8),""),"")</f>
        <v/>
      </c>
      <c r="L2544" s="139">
        <f>IFERROR(IF(ISNUMBER(F2544),F2544-IF(ISNUMBER(K2544),K2544,0),""),"")</f>
        <v/>
      </c>
    </row>
    <row r="2545" ht="24" customHeight="1" s="63">
      <c r="E2545" s="139" t="n"/>
      <c r="F2545" s="139" t="n"/>
      <c r="G2545" s="140">
        <f>IFERROR(IF(E2545&gt;0,(F2545/E2545)*1000,""),"")</f>
        <v/>
      </c>
      <c r="H2545" s="139">
        <f>IFERROR(IF(E2545&gt;0,E2545*IF(ISNUMBER(J2545),J2545,IF(OR(C2545="Alpha",B2545="Alpha"),$C$7,IF(C2545="Futures",$C$6,$C$5))),""),"")</f>
        <v/>
      </c>
      <c r="I2545" s="139">
        <f>IFERROR(IF(AND(ISNUMBER(F2545),ISNUMBER(H2545)),F2545-H2545,""),"")</f>
        <v/>
      </c>
      <c r="J2545" s="114" t="n"/>
      <c r="K2545" s="139">
        <f>IFERROR(IF(H2545&gt;0,H2545*IF(OR(C2545="Alpha",B2545="Alpha"),$C$9,$C$8),""),"")</f>
        <v/>
      </c>
      <c r="L2545" s="139">
        <f>IFERROR(IF(ISNUMBER(F2545),F2545-IF(ISNUMBER(K2545),K2545,0),""),"")</f>
        <v/>
      </c>
    </row>
    <row r="2546" ht="24" customHeight="1" s="63">
      <c r="E2546" s="139" t="n"/>
      <c r="F2546" s="139" t="n"/>
      <c r="G2546" s="140">
        <f>IFERROR(IF(E2546&gt;0,(F2546/E2546)*1000,""),"")</f>
        <v/>
      </c>
      <c r="H2546" s="139">
        <f>IFERROR(IF(E2546&gt;0,E2546*IF(ISNUMBER(J2546),J2546,IF(OR(C2546="Alpha",B2546="Alpha"),$C$7,IF(C2546="Futures",$C$6,$C$5))),""),"")</f>
        <v/>
      </c>
      <c r="I2546" s="139">
        <f>IFERROR(IF(AND(ISNUMBER(F2546),ISNUMBER(H2546)),F2546-H2546,""),"")</f>
        <v/>
      </c>
      <c r="J2546" s="114" t="n"/>
      <c r="K2546" s="139">
        <f>IFERROR(IF(H2546&gt;0,H2546*IF(OR(C2546="Alpha",B2546="Alpha"),$C$9,$C$8),""),"")</f>
        <v/>
      </c>
      <c r="L2546" s="139">
        <f>IFERROR(IF(ISNUMBER(F2546),F2546-IF(ISNUMBER(K2546),K2546,0),""),"")</f>
        <v/>
      </c>
    </row>
    <row r="2547" ht="24" customHeight="1" s="63">
      <c r="E2547" s="139" t="n"/>
      <c r="F2547" s="139" t="n"/>
      <c r="G2547" s="140">
        <f>IFERROR(IF(E2547&gt;0,(F2547/E2547)*1000,""),"")</f>
        <v/>
      </c>
      <c r="H2547" s="139">
        <f>IFERROR(IF(E2547&gt;0,E2547*IF(ISNUMBER(J2547),J2547,IF(OR(C2547="Alpha",B2547="Alpha"),$C$7,IF(C2547="Futures",$C$6,$C$5))),""),"")</f>
        <v/>
      </c>
      <c r="I2547" s="139">
        <f>IFERROR(IF(AND(ISNUMBER(F2547),ISNUMBER(H2547)),F2547-H2547,""),"")</f>
        <v/>
      </c>
      <c r="J2547" s="114" t="n"/>
      <c r="K2547" s="139">
        <f>IFERROR(IF(H2547&gt;0,H2547*IF(OR(C2547="Alpha",B2547="Alpha"),$C$9,$C$8),""),"")</f>
        <v/>
      </c>
      <c r="L2547" s="139">
        <f>IFERROR(IF(ISNUMBER(F2547),F2547-IF(ISNUMBER(K2547),K2547,0),""),"")</f>
        <v/>
      </c>
    </row>
    <row r="2548" ht="24" customHeight="1" s="63">
      <c r="E2548" s="139" t="n"/>
      <c r="F2548" s="139" t="n"/>
      <c r="G2548" s="140">
        <f>IFERROR(IF(E2548&gt;0,(F2548/E2548)*1000,""),"")</f>
        <v/>
      </c>
      <c r="H2548" s="139">
        <f>IFERROR(IF(E2548&gt;0,E2548*IF(ISNUMBER(J2548),J2548,IF(OR(C2548="Alpha",B2548="Alpha"),$C$7,IF(C2548="Futures",$C$6,$C$5))),""),"")</f>
        <v/>
      </c>
      <c r="I2548" s="139">
        <f>IFERROR(IF(AND(ISNUMBER(F2548),ISNUMBER(H2548)),F2548-H2548,""),"")</f>
        <v/>
      </c>
      <c r="J2548" s="114" t="n"/>
      <c r="K2548" s="139">
        <f>IFERROR(IF(H2548&gt;0,H2548*IF(OR(C2548="Alpha",B2548="Alpha"),$C$9,$C$8),""),"")</f>
        <v/>
      </c>
      <c r="L2548" s="139">
        <f>IFERROR(IF(ISNUMBER(F2548),F2548-IF(ISNUMBER(K2548),K2548,0),""),"")</f>
        <v/>
      </c>
    </row>
    <row r="2549" ht="24" customHeight="1" s="63">
      <c r="E2549" s="139" t="n"/>
      <c r="F2549" s="139" t="n"/>
      <c r="G2549" s="140">
        <f>IFERROR(IF(E2549&gt;0,(F2549/E2549)*1000,""),"")</f>
        <v/>
      </c>
      <c r="H2549" s="139">
        <f>IFERROR(IF(E2549&gt;0,E2549*IF(ISNUMBER(J2549),J2549,IF(OR(C2549="Alpha",B2549="Alpha"),$C$7,IF(C2549="Futures",$C$6,$C$5))),""),"")</f>
        <v/>
      </c>
      <c r="I2549" s="139">
        <f>IFERROR(IF(AND(ISNUMBER(F2549),ISNUMBER(H2549)),F2549-H2549,""),"")</f>
        <v/>
      </c>
      <c r="J2549" s="114" t="n"/>
      <c r="K2549" s="139">
        <f>IFERROR(IF(H2549&gt;0,H2549*IF(OR(C2549="Alpha",B2549="Alpha"),$C$9,$C$8),""),"")</f>
        <v/>
      </c>
      <c r="L2549" s="139">
        <f>IFERROR(IF(ISNUMBER(F2549),F2549-IF(ISNUMBER(K2549),K2549,0),""),"")</f>
        <v/>
      </c>
    </row>
    <row r="2550" ht="24" customHeight="1" s="63">
      <c r="E2550" s="139" t="n"/>
      <c r="F2550" s="139" t="n"/>
      <c r="G2550" s="140">
        <f>IFERROR(IF(E2550&gt;0,(F2550/E2550)*1000,""),"")</f>
        <v/>
      </c>
      <c r="H2550" s="139">
        <f>IFERROR(IF(E2550&gt;0,E2550*IF(ISNUMBER(J2550),J2550,IF(OR(C2550="Alpha",B2550="Alpha"),$C$7,IF(C2550="Futures",$C$6,$C$5))),""),"")</f>
        <v/>
      </c>
      <c r="I2550" s="139">
        <f>IFERROR(IF(AND(ISNUMBER(F2550),ISNUMBER(H2550)),F2550-H2550,""),"")</f>
        <v/>
      </c>
      <c r="J2550" s="114" t="n"/>
      <c r="K2550" s="139">
        <f>IFERROR(IF(H2550&gt;0,H2550*IF(OR(C2550="Alpha",B2550="Alpha"),$C$9,$C$8),""),"")</f>
        <v/>
      </c>
      <c r="L2550" s="139">
        <f>IFERROR(IF(ISNUMBER(F2550),F2550-IF(ISNUMBER(K2550),K2550,0),""),"")</f>
        <v/>
      </c>
    </row>
    <row r="2551" ht="24" customHeight="1" s="63">
      <c r="E2551" s="139" t="n"/>
      <c r="F2551" s="139" t="n"/>
      <c r="G2551" s="140">
        <f>IFERROR(IF(E2551&gt;0,(F2551/E2551)*1000,""),"")</f>
        <v/>
      </c>
      <c r="H2551" s="139">
        <f>IFERROR(IF(E2551&gt;0,E2551*IF(ISNUMBER(J2551),J2551,IF(OR(C2551="Alpha",B2551="Alpha"),$C$7,IF(C2551="Futures",$C$6,$C$5))),""),"")</f>
        <v/>
      </c>
      <c r="I2551" s="139">
        <f>IFERROR(IF(AND(ISNUMBER(F2551),ISNUMBER(H2551)),F2551-H2551,""),"")</f>
        <v/>
      </c>
      <c r="J2551" s="114" t="n"/>
      <c r="K2551" s="139">
        <f>IFERROR(IF(H2551&gt;0,H2551*IF(OR(C2551="Alpha",B2551="Alpha"),$C$9,$C$8),""),"")</f>
        <v/>
      </c>
      <c r="L2551" s="139">
        <f>IFERROR(IF(ISNUMBER(F2551),F2551-IF(ISNUMBER(K2551),K2551,0),""),"")</f>
        <v/>
      </c>
    </row>
    <row r="2552" ht="24" customHeight="1" s="63">
      <c r="E2552" s="139" t="n"/>
      <c r="F2552" s="139" t="n"/>
      <c r="G2552" s="140">
        <f>IFERROR(IF(E2552&gt;0,(F2552/E2552)*1000,""),"")</f>
        <v/>
      </c>
      <c r="H2552" s="139">
        <f>IFERROR(IF(E2552&gt;0,E2552*IF(ISNUMBER(J2552),J2552,IF(OR(C2552="Alpha",B2552="Alpha"),$C$7,IF(C2552="Futures",$C$6,$C$5))),""),"")</f>
        <v/>
      </c>
      <c r="I2552" s="139">
        <f>IFERROR(IF(AND(ISNUMBER(F2552),ISNUMBER(H2552)),F2552-H2552,""),"")</f>
        <v/>
      </c>
      <c r="J2552" s="114" t="n"/>
      <c r="K2552" s="139">
        <f>IFERROR(IF(H2552&gt;0,H2552*IF(OR(C2552="Alpha",B2552="Alpha"),$C$9,$C$8),""),"")</f>
        <v/>
      </c>
      <c r="L2552" s="139">
        <f>IFERROR(IF(ISNUMBER(F2552),F2552-IF(ISNUMBER(K2552),K2552,0),""),"")</f>
        <v/>
      </c>
    </row>
    <row r="2553" ht="24" customHeight="1" s="63">
      <c r="E2553" s="139" t="n"/>
      <c r="F2553" s="139" t="n"/>
      <c r="G2553" s="140">
        <f>IFERROR(IF(E2553&gt;0,(F2553/E2553)*1000,""),"")</f>
        <v/>
      </c>
      <c r="H2553" s="139">
        <f>IFERROR(IF(E2553&gt;0,E2553*IF(ISNUMBER(J2553),J2553,IF(OR(C2553="Alpha",B2553="Alpha"),$C$7,IF(C2553="Futures",$C$6,$C$5))),""),"")</f>
        <v/>
      </c>
      <c r="I2553" s="139">
        <f>IFERROR(IF(AND(ISNUMBER(F2553),ISNUMBER(H2553)),F2553-H2553,""),"")</f>
        <v/>
      </c>
      <c r="J2553" s="114" t="n"/>
      <c r="K2553" s="139">
        <f>IFERROR(IF(H2553&gt;0,H2553*IF(OR(C2553="Alpha",B2553="Alpha"),$C$9,$C$8),""),"")</f>
        <v/>
      </c>
      <c r="L2553" s="139">
        <f>IFERROR(IF(ISNUMBER(F2553),F2553-IF(ISNUMBER(K2553),K2553,0),""),"")</f>
        <v/>
      </c>
    </row>
    <row r="2554" ht="24" customHeight="1" s="63">
      <c r="E2554" s="139" t="n"/>
      <c r="F2554" s="139" t="n"/>
      <c r="G2554" s="140">
        <f>IFERROR(IF(E2554&gt;0,(F2554/E2554)*1000,""),"")</f>
        <v/>
      </c>
      <c r="H2554" s="139">
        <f>IFERROR(IF(E2554&gt;0,E2554*IF(ISNUMBER(J2554),J2554,IF(OR(C2554="Alpha",B2554="Alpha"),$C$7,IF(C2554="Futures",$C$6,$C$5))),""),"")</f>
        <v/>
      </c>
      <c r="I2554" s="139">
        <f>IFERROR(IF(AND(ISNUMBER(F2554),ISNUMBER(H2554)),F2554-H2554,""),"")</f>
        <v/>
      </c>
      <c r="J2554" s="114" t="n"/>
      <c r="K2554" s="139">
        <f>IFERROR(IF(H2554&gt;0,H2554*IF(OR(C2554="Alpha",B2554="Alpha"),$C$9,$C$8),""),"")</f>
        <v/>
      </c>
      <c r="L2554" s="139">
        <f>IFERROR(IF(ISNUMBER(F2554),F2554-IF(ISNUMBER(K2554),K2554,0),""),"")</f>
        <v/>
      </c>
    </row>
    <row r="2555" ht="24" customHeight="1" s="63">
      <c r="E2555" s="139" t="n"/>
      <c r="F2555" s="139" t="n"/>
      <c r="G2555" s="140">
        <f>IFERROR(IF(E2555&gt;0,(F2555/E2555)*1000,""),"")</f>
        <v/>
      </c>
      <c r="H2555" s="139">
        <f>IFERROR(IF(E2555&gt;0,E2555*IF(ISNUMBER(J2555),J2555,IF(OR(C2555="Alpha",B2555="Alpha"),$C$7,IF(C2555="Futures",$C$6,$C$5))),""),"")</f>
        <v/>
      </c>
      <c r="I2555" s="139">
        <f>IFERROR(IF(AND(ISNUMBER(F2555),ISNUMBER(H2555)),F2555-H2555,""),"")</f>
        <v/>
      </c>
      <c r="J2555" s="114" t="n"/>
      <c r="K2555" s="139">
        <f>IFERROR(IF(H2555&gt;0,H2555*IF(OR(C2555="Alpha",B2555="Alpha"),$C$9,$C$8),""),"")</f>
        <v/>
      </c>
      <c r="L2555" s="139">
        <f>IFERROR(IF(ISNUMBER(F2555),F2555-IF(ISNUMBER(K2555),K2555,0),""),"")</f>
        <v/>
      </c>
    </row>
    <row r="2556" ht="24" customHeight="1" s="63">
      <c r="E2556" s="139" t="n"/>
      <c r="F2556" s="139" t="n"/>
      <c r="G2556" s="140">
        <f>IFERROR(IF(E2556&gt;0,(F2556/E2556)*1000,""),"")</f>
        <v/>
      </c>
      <c r="H2556" s="139">
        <f>IFERROR(IF(E2556&gt;0,E2556*IF(ISNUMBER(J2556),J2556,IF(OR(C2556="Alpha",B2556="Alpha"),$C$7,IF(C2556="Futures",$C$6,$C$5))),""),"")</f>
        <v/>
      </c>
      <c r="I2556" s="139">
        <f>IFERROR(IF(AND(ISNUMBER(F2556),ISNUMBER(H2556)),F2556-H2556,""),"")</f>
        <v/>
      </c>
      <c r="J2556" s="114" t="n"/>
      <c r="K2556" s="139">
        <f>IFERROR(IF(H2556&gt;0,H2556*IF(OR(C2556="Alpha",B2556="Alpha"),$C$9,$C$8),""),"")</f>
        <v/>
      </c>
      <c r="L2556" s="139">
        <f>IFERROR(IF(ISNUMBER(F2556),F2556-IF(ISNUMBER(K2556),K2556,0),""),"")</f>
        <v/>
      </c>
    </row>
    <row r="2557" ht="24" customHeight="1" s="63">
      <c r="E2557" s="139" t="n"/>
      <c r="F2557" s="139" t="n"/>
      <c r="G2557" s="140">
        <f>IFERROR(IF(E2557&gt;0,(F2557/E2557)*1000,""),"")</f>
        <v/>
      </c>
      <c r="H2557" s="139">
        <f>IFERROR(IF(E2557&gt;0,E2557*IF(ISNUMBER(J2557),J2557,IF(OR(C2557="Alpha",B2557="Alpha"),$C$7,IF(C2557="Futures",$C$6,$C$5))),""),"")</f>
        <v/>
      </c>
      <c r="I2557" s="139">
        <f>IFERROR(IF(AND(ISNUMBER(F2557),ISNUMBER(H2557)),F2557-H2557,""),"")</f>
        <v/>
      </c>
      <c r="J2557" s="114" t="n"/>
      <c r="K2557" s="139">
        <f>IFERROR(IF(H2557&gt;0,H2557*IF(OR(C2557="Alpha",B2557="Alpha"),$C$9,$C$8),""),"")</f>
        <v/>
      </c>
      <c r="L2557" s="139">
        <f>IFERROR(IF(ISNUMBER(F2557),F2557-IF(ISNUMBER(K2557),K2557,0),""),"")</f>
        <v/>
      </c>
    </row>
    <row r="2558" ht="24" customHeight="1" s="63">
      <c r="E2558" s="139" t="n"/>
      <c r="F2558" s="139" t="n"/>
      <c r="G2558" s="140">
        <f>IFERROR(IF(E2558&gt;0,(F2558/E2558)*1000,""),"")</f>
        <v/>
      </c>
      <c r="H2558" s="139">
        <f>IFERROR(IF(E2558&gt;0,E2558*IF(ISNUMBER(J2558),J2558,IF(OR(C2558="Alpha",B2558="Alpha"),$C$7,IF(C2558="Futures",$C$6,$C$5))),""),"")</f>
        <v/>
      </c>
      <c r="I2558" s="139">
        <f>IFERROR(IF(AND(ISNUMBER(F2558),ISNUMBER(H2558)),F2558-H2558,""),"")</f>
        <v/>
      </c>
      <c r="J2558" s="114" t="n"/>
      <c r="K2558" s="139">
        <f>IFERROR(IF(H2558&gt;0,H2558*IF(OR(C2558="Alpha",B2558="Alpha"),$C$9,$C$8),""),"")</f>
        <v/>
      </c>
      <c r="L2558" s="139">
        <f>IFERROR(IF(ISNUMBER(F2558),F2558-IF(ISNUMBER(K2558),K2558,0),""),"")</f>
        <v/>
      </c>
    </row>
    <row r="2559" ht="24" customHeight="1" s="63">
      <c r="E2559" s="139" t="n"/>
      <c r="F2559" s="139" t="n"/>
      <c r="G2559" s="140">
        <f>IFERROR(IF(E2559&gt;0,(F2559/E2559)*1000,""),"")</f>
        <v/>
      </c>
      <c r="H2559" s="139">
        <f>IFERROR(IF(E2559&gt;0,E2559*IF(ISNUMBER(J2559),J2559,IF(OR(C2559="Alpha",B2559="Alpha"),$C$7,IF(C2559="Futures",$C$6,$C$5))),""),"")</f>
        <v/>
      </c>
      <c r="I2559" s="139">
        <f>IFERROR(IF(AND(ISNUMBER(F2559),ISNUMBER(H2559)),F2559-H2559,""),"")</f>
        <v/>
      </c>
      <c r="J2559" s="114" t="n"/>
      <c r="K2559" s="139">
        <f>IFERROR(IF(H2559&gt;0,H2559*IF(OR(C2559="Alpha",B2559="Alpha"),$C$9,$C$8),""),"")</f>
        <v/>
      </c>
      <c r="L2559" s="139">
        <f>IFERROR(IF(ISNUMBER(F2559),F2559-IF(ISNUMBER(K2559),K2559,0),""),"")</f>
        <v/>
      </c>
    </row>
    <row r="2560" ht="24" customHeight="1" s="63">
      <c r="E2560" s="139" t="n"/>
      <c r="F2560" s="139" t="n"/>
      <c r="G2560" s="140">
        <f>IFERROR(IF(E2560&gt;0,(F2560/E2560)*1000,""),"")</f>
        <v/>
      </c>
      <c r="H2560" s="139">
        <f>IFERROR(IF(E2560&gt;0,E2560*IF(ISNUMBER(J2560),J2560,IF(OR(C2560="Alpha",B2560="Alpha"),$C$7,IF(C2560="Futures",$C$6,$C$5))),""),"")</f>
        <v/>
      </c>
      <c r="I2560" s="139">
        <f>IFERROR(IF(AND(ISNUMBER(F2560),ISNUMBER(H2560)),F2560-H2560,""),"")</f>
        <v/>
      </c>
      <c r="J2560" s="114" t="n"/>
      <c r="K2560" s="139">
        <f>IFERROR(IF(H2560&gt;0,H2560*IF(OR(C2560="Alpha",B2560="Alpha"),$C$9,$C$8),""),"")</f>
        <v/>
      </c>
      <c r="L2560" s="139">
        <f>IFERROR(IF(ISNUMBER(F2560),F2560-IF(ISNUMBER(K2560),K2560,0),""),"")</f>
        <v/>
      </c>
    </row>
    <row r="2561" ht="24" customHeight="1" s="63">
      <c r="E2561" s="139" t="n"/>
      <c r="F2561" s="139" t="n"/>
      <c r="G2561" s="140">
        <f>IFERROR(IF(E2561&gt;0,(F2561/E2561)*1000,""),"")</f>
        <v/>
      </c>
      <c r="H2561" s="139">
        <f>IFERROR(IF(E2561&gt;0,E2561*IF(ISNUMBER(J2561),J2561,IF(OR(C2561="Alpha",B2561="Alpha"),$C$7,IF(C2561="Futures",$C$6,$C$5))),""),"")</f>
        <v/>
      </c>
      <c r="I2561" s="139">
        <f>IFERROR(IF(AND(ISNUMBER(F2561),ISNUMBER(H2561)),F2561-H2561,""),"")</f>
        <v/>
      </c>
      <c r="J2561" s="114" t="n"/>
      <c r="K2561" s="139">
        <f>IFERROR(IF(H2561&gt;0,H2561*IF(OR(C2561="Alpha",B2561="Alpha"),$C$9,$C$8),""),"")</f>
        <v/>
      </c>
      <c r="L2561" s="139">
        <f>IFERROR(IF(ISNUMBER(F2561),F2561-IF(ISNUMBER(K2561),K2561,0),""),"")</f>
        <v/>
      </c>
    </row>
    <row r="2562" ht="24" customHeight="1" s="63">
      <c r="E2562" s="139" t="n"/>
      <c r="F2562" s="139" t="n"/>
      <c r="G2562" s="140">
        <f>IFERROR(IF(E2562&gt;0,(F2562/E2562)*1000,""),"")</f>
        <v/>
      </c>
      <c r="H2562" s="139">
        <f>IFERROR(IF(E2562&gt;0,E2562*IF(ISNUMBER(J2562),J2562,IF(OR(C2562="Alpha",B2562="Alpha"),$C$7,IF(C2562="Futures",$C$6,$C$5))),""),"")</f>
        <v/>
      </c>
      <c r="I2562" s="139">
        <f>IFERROR(IF(AND(ISNUMBER(F2562),ISNUMBER(H2562)),F2562-H2562,""),"")</f>
        <v/>
      </c>
      <c r="J2562" s="114" t="n"/>
      <c r="K2562" s="139">
        <f>IFERROR(IF(H2562&gt;0,H2562*IF(OR(C2562="Alpha",B2562="Alpha"),$C$9,$C$8),""),"")</f>
        <v/>
      </c>
      <c r="L2562" s="139">
        <f>IFERROR(IF(ISNUMBER(F2562),F2562-IF(ISNUMBER(K2562),K2562,0),""),"")</f>
        <v/>
      </c>
    </row>
    <row r="2563" ht="24" customHeight="1" s="63">
      <c r="E2563" s="139" t="n"/>
      <c r="F2563" s="139" t="n"/>
      <c r="G2563" s="140">
        <f>IFERROR(IF(E2563&gt;0,(F2563/E2563)*1000,""),"")</f>
        <v/>
      </c>
      <c r="H2563" s="139">
        <f>IFERROR(IF(E2563&gt;0,E2563*IF(ISNUMBER(J2563),J2563,IF(OR(C2563="Alpha",B2563="Alpha"),$C$7,IF(C2563="Futures",$C$6,$C$5))),""),"")</f>
        <v/>
      </c>
      <c r="I2563" s="139">
        <f>IFERROR(IF(AND(ISNUMBER(F2563),ISNUMBER(H2563)),F2563-H2563,""),"")</f>
        <v/>
      </c>
      <c r="J2563" s="114" t="n"/>
      <c r="K2563" s="139">
        <f>IFERROR(IF(H2563&gt;0,H2563*IF(OR(C2563="Alpha",B2563="Alpha"),$C$9,$C$8),""),"")</f>
        <v/>
      </c>
      <c r="L2563" s="139">
        <f>IFERROR(IF(ISNUMBER(F2563),F2563-IF(ISNUMBER(K2563),K2563,0),""),"")</f>
        <v/>
      </c>
    </row>
    <row r="2564" ht="24" customHeight="1" s="63">
      <c r="E2564" s="139" t="n"/>
      <c r="F2564" s="139" t="n"/>
      <c r="G2564" s="140">
        <f>IFERROR(IF(E2564&gt;0,(F2564/E2564)*1000,""),"")</f>
        <v/>
      </c>
      <c r="H2564" s="139">
        <f>IFERROR(IF(E2564&gt;0,E2564*IF(ISNUMBER(J2564),J2564,IF(OR(C2564="Alpha",B2564="Alpha"),$C$7,IF(C2564="Futures",$C$6,$C$5))),""),"")</f>
        <v/>
      </c>
      <c r="I2564" s="139">
        <f>IFERROR(IF(AND(ISNUMBER(F2564),ISNUMBER(H2564)),F2564-H2564,""),"")</f>
        <v/>
      </c>
      <c r="J2564" s="114" t="n"/>
      <c r="K2564" s="139">
        <f>IFERROR(IF(H2564&gt;0,H2564*IF(OR(C2564="Alpha",B2564="Alpha"),$C$9,$C$8),""),"")</f>
        <v/>
      </c>
      <c r="L2564" s="139">
        <f>IFERROR(IF(ISNUMBER(F2564),F2564-IF(ISNUMBER(K2564),K2564,0),""),"")</f>
        <v/>
      </c>
    </row>
    <row r="2565" ht="24" customHeight="1" s="63">
      <c r="E2565" s="139" t="n"/>
      <c r="F2565" s="139" t="n"/>
      <c r="G2565" s="140">
        <f>IFERROR(IF(E2565&gt;0,(F2565/E2565)*1000,""),"")</f>
        <v/>
      </c>
      <c r="H2565" s="139">
        <f>IFERROR(IF(E2565&gt;0,E2565*IF(ISNUMBER(J2565),J2565,IF(OR(C2565="Alpha",B2565="Alpha"),$C$7,IF(C2565="Futures",$C$6,$C$5))),""),"")</f>
        <v/>
      </c>
      <c r="I2565" s="139">
        <f>IFERROR(IF(AND(ISNUMBER(F2565),ISNUMBER(H2565)),F2565-H2565,""),"")</f>
        <v/>
      </c>
      <c r="J2565" s="114" t="n"/>
      <c r="K2565" s="139">
        <f>IFERROR(IF(H2565&gt;0,H2565*IF(OR(C2565="Alpha",B2565="Alpha"),$C$9,$C$8),""),"")</f>
        <v/>
      </c>
      <c r="L2565" s="139">
        <f>IFERROR(IF(ISNUMBER(F2565),F2565-IF(ISNUMBER(K2565),K2565,0),""),"")</f>
        <v/>
      </c>
    </row>
    <row r="2566" ht="24" customHeight="1" s="63">
      <c r="E2566" s="139" t="n"/>
      <c r="F2566" s="139" t="n"/>
      <c r="G2566" s="140">
        <f>IFERROR(IF(E2566&gt;0,(F2566/E2566)*1000,""),"")</f>
        <v/>
      </c>
      <c r="H2566" s="139">
        <f>IFERROR(IF(E2566&gt;0,E2566*IF(ISNUMBER(J2566),J2566,IF(OR(C2566="Alpha",B2566="Alpha"),$C$7,IF(C2566="Futures",$C$6,$C$5))),""),"")</f>
        <v/>
      </c>
      <c r="I2566" s="139">
        <f>IFERROR(IF(AND(ISNUMBER(F2566),ISNUMBER(H2566)),F2566-H2566,""),"")</f>
        <v/>
      </c>
      <c r="J2566" s="114" t="n"/>
      <c r="K2566" s="139">
        <f>IFERROR(IF(H2566&gt;0,H2566*IF(OR(C2566="Alpha",B2566="Alpha"),$C$9,$C$8),""),"")</f>
        <v/>
      </c>
      <c r="L2566" s="139">
        <f>IFERROR(IF(ISNUMBER(F2566),F2566-IF(ISNUMBER(K2566),K2566,0),""),"")</f>
        <v/>
      </c>
    </row>
    <row r="2567" ht="24" customHeight="1" s="63">
      <c r="E2567" s="139" t="n"/>
      <c r="F2567" s="139" t="n"/>
      <c r="G2567" s="140">
        <f>IFERROR(IF(E2567&gt;0,(F2567/E2567)*1000,""),"")</f>
        <v/>
      </c>
      <c r="H2567" s="139">
        <f>IFERROR(IF(E2567&gt;0,E2567*IF(ISNUMBER(J2567),J2567,IF(OR(C2567="Alpha",B2567="Alpha"),$C$7,IF(C2567="Futures",$C$6,$C$5))),""),"")</f>
        <v/>
      </c>
      <c r="I2567" s="139">
        <f>IFERROR(IF(AND(ISNUMBER(F2567),ISNUMBER(H2567)),F2567-H2567,""),"")</f>
        <v/>
      </c>
      <c r="J2567" s="114" t="n"/>
      <c r="K2567" s="139">
        <f>IFERROR(IF(H2567&gt;0,H2567*IF(OR(C2567="Alpha",B2567="Alpha"),$C$9,$C$8),""),"")</f>
        <v/>
      </c>
      <c r="L2567" s="139">
        <f>IFERROR(IF(ISNUMBER(F2567),F2567-IF(ISNUMBER(K2567),K2567,0),""),"")</f>
        <v/>
      </c>
    </row>
    <row r="2568" ht="24" customHeight="1" s="63">
      <c r="E2568" s="139" t="n"/>
      <c r="F2568" s="139" t="n"/>
      <c r="G2568" s="140">
        <f>IFERROR(IF(E2568&gt;0,(F2568/E2568)*1000,""),"")</f>
        <v/>
      </c>
      <c r="H2568" s="139">
        <f>IFERROR(IF(E2568&gt;0,E2568*IF(ISNUMBER(J2568),J2568,IF(OR(C2568="Alpha",B2568="Alpha"),$C$7,IF(C2568="Futures",$C$6,$C$5))),""),"")</f>
        <v/>
      </c>
      <c r="I2568" s="139">
        <f>IFERROR(IF(AND(ISNUMBER(F2568),ISNUMBER(H2568)),F2568-H2568,""),"")</f>
        <v/>
      </c>
      <c r="J2568" s="114" t="n"/>
      <c r="K2568" s="139">
        <f>IFERROR(IF(H2568&gt;0,H2568*IF(OR(C2568="Alpha",B2568="Alpha"),$C$9,$C$8),""),"")</f>
        <v/>
      </c>
      <c r="L2568" s="139">
        <f>IFERROR(IF(ISNUMBER(F2568),F2568-IF(ISNUMBER(K2568),K2568,0),""),"")</f>
        <v/>
      </c>
    </row>
    <row r="2569" ht="24" customHeight="1" s="63">
      <c r="E2569" s="139" t="n"/>
      <c r="F2569" s="139" t="n"/>
      <c r="G2569" s="140">
        <f>IFERROR(IF(E2569&gt;0,(F2569/E2569)*1000,""),"")</f>
        <v/>
      </c>
      <c r="H2569" s="139">
        <f>IFERROR(IF(E2569&gt;0,E2569*IF(ISNUMBER(J2569),J2569,IF(OR(C2569="Alpha",B2569="Alpha"),$C$7,IF(C2569="Futures",$C$6,$C$5))),""),"")</f>
        <v/>
      </c>
      <c r="I2569" s="139">
        <f>IFERROR(IF(AND(ISNUMBER(F2569),ISNUMBER(H2569)),F2569-H2569,""),"")</f>
        <v/>
      </c>
      <c r="J2569" s="114" t="n"/>
      <c r="K2569" s="139">
        <f>IFERROR(IF(H2569&gt;0,H2569*IF(OR(C2569="Alpha",B2569="Alpha"),$C$9,$C$8),""),"")</f>
        <v/>
      </c>
      <c r="L2569" s="139">
        <f>IFERROR(IF(ISNUMBER(F2569),F2569-IF(ISNUMBER(K2569),K2569,0),""),"")</f>
        <v/>
      </c>
    </row>
    <row r="2570" ht="24" customHeight="1" s="63">
      <c r="E2570" s="139" t="n"/>
      <c r="F2570" s="139" t="n"/>
      <c r="G2570" s="140">
        <f>IFERROR(IF(E2570&gt;0,(F2570/E2570)*1000,""),"")</f>
        <v/>
      </c>
      <c r="H2570" s="139">
        <f>IFERROR(IF(E2570&gt;0,E2570*IF(ISNUMBER(J2570),J2570,IF(OR(C2570="Alpha",B2570="Alpha"),$C$7,IF(C2570="Futures",$C$6,$C$5))),""),"")</f>
        <v/>
      </c>
      <c r="I2570" s="139">
        <f>IFERROR(IF(AND(ISNUMBER(F2570),ISNUMBER(H2570)),F2570-H2570,""),"")</f>
        <v/>
      </c>
      <c r="J2570" s="114" t="n"/>
      <c r="K2570" s="139">
        <f>IFERROR(IF(H2570&gt;0,H2570*IF(OR(C2570="Alpha",B2570="Alpha"),$C$9,$C$8),""),"")</f>
        <v/>
      </c>
      <c r="L2570" s="139">
        <f>IFERROR(IF(ISNUMBER(F2570),F2570-IF(ISNUMBER(K2570),K2570,0),""),"")</f>
        <v/>
      </c>
    </row>
    <row r="2571" ht="24" customHeight="1" s="63">
      <c r="E2571" s="139" t="n"/>
      <c r="F2571" s="139" t="n"/>
      <c r="G2571" s="140">
        <f>IFERROR(IF(E2571&gt;0,(F2571/E2571)*1000,""),"")</f>
        <v/>
      </c>
      <c r="H2571" s="139">
        <f>IFERROR(IF(E2571&gt;0,E2571*IF(ISNUMBER(J2571),J2571,IF(OR(C2571="Alpha",B2571="Alpha"),$C$7,IF(C2571="Futures",$C$6,$C$5))),""),"")</f>
        <v/>
      </c>
      <c r="I2571" s="139">
        <f>IFERROR(IF(AND(ISNUMBER(F2571),ISNUMBER(H2571)),F2571-H2571,""),"")</f>
        <v/>
      </c>
      <c r="J2571" s="114" t="n"/>
      <c r="K2571" s="139">
        <f>IFERROR(IF(H2571&gt;0,H2571*IF(OR(C2571="Alpha",B2571="Alpha"),$C$9,$C$8),""),"")</f>
        <v/>
      </c>
      <c r="L2571" s="139">
        <f>IFERROR(IF(ISNUMBER(F2571),F2571-IF(ISNUMBER(K2571),K2571,0),""),"")</f>
        <v/>
      </c>
    </row>
    <row r="2572" ht="24" customHeight="1" s="63">
      <c r="E2572" s="139" t="n"/>
      <c r="F2572" s="139" t="n"/>
      <c r="G2572" s="140">
        <f>IFERROR(IF(E2572&gt;0,(F2572/E2572)*1000,""),"")</f>
        <v/>
      </c>
      <c r="H2572" s="139">
        <f>IFERROR(IF(E2572&gt;0,E2572*IF(ISNUMBER(J2572),J2572,IF(OR(C2572="Alpha",B2572="Alpha"),$C$7,IF(C2572="Futures",$C$6,$C$5))),""),"")</f>
        <v/>
      </c>
      <c r="I2572" s="139">
        <f>IFERROR(IF(AND(ISNUMBER(F2572),ISNUMBER(H2572)),F2572-H2572,""),"")</f>
        <v/>
      </c>
      <c r="J2572" s="114" t="n"/>
      <c r="K2572" s="139">
        <f>IFERROR(IF(H2572&gt;0,H2572*IF(OR(C2572="Alpha",B2572="Alpha"),$C$9,$C$8),""),"")</f>
        <v/>
      </c>
      <c r="L2572" s="139">
        <f>IFERROR(IF(ISNUMBER(F2572),F2572-IF(ISNUMBER(K2572),K2572,0),""),"")</f>
        <v/>
      </c>
    </row>
    <row r="2573" ht="24" customHeight="1" s="63">
      <c r="E2573" s="139" t="n"/>
      <c r="F2573" s="139" t="n"/>
      <c r="G2573" s="140">
        <f>IFERROR(IF(E2573&gt;0,(F2573/E2573)*1000,""),"")</f>
        <v/>
      </c>
      <c r="H2573" s="139">
        <f>IFERROR(IF(E2573&gt;0,E2573*IF(ISNUMBER(J2573),J2573,IF(OR(C2573="Alpha",B2573="Alpha"),$C$7,IF(C2573="Futures",$C$6,$C$5))),""),"")</f>
        <v/>
      </c>
      <c r="I2573" s="139">
        <f>IFERROR(IF(AND(ISNUMBER(F2573),ISNUMBER(H2573)),F2573-H2573,""),"")</f>
        <v/>
      </c>
      <c r="J2573" s="114" t="n"/>
      <c r="K2573" s="139">
        <f>IFERROR(IF(H2573&gt;0,H2573*IF(OR(C2573="Alpha",B2573="Alpha"),$C$9,$C$8),""),"")</f>
        <v/>
      </c>
      <c r="L2573" s="139">
        <f>IFERROR(IF(ISNUMBER(F2573),F2573-IF(ISNUMBER(K2573),K2573,0),""),"")</f>
        <v/>
      </c>
    </row>
    <row r="2574" ht="24" customHeight="1" s="63">
      <c r="E2574" s="139" t="n"/>
      <c r="F2574" s="139" t="n"/>
      <c r="G2574" s="140">
        <f>IFERROR(IF(E2574&gt;0,(F2574/E2574)*1000,""),"")</f>
        <v/>
      </c>
      <c r="H2574" s="139">
        <f>IFERROR(IF(E2574&gt;0,E2574*IF(ISNUMBER(J2574),J2574,IF(OR(C2574="Alpha",B2574="Alpha"),$C$7,IF(C2574="Futures",$C$6,$C$5))),""),"")</f>
        <v/>
      </c>
      <c r="I2574" s="139">
        <f>IFERROR(IF(AND(ISNUMBER(F2574),ISNUMBER(H2574)),F2574-H2574,""),"")</f>
        <v/>
      </c>
      <c r="J2574" s="114" t="n"/>
      <c r="K2574" s="139">
        <f>IFERROR(IF(H2574&gt;0,H2574*IF(OR(C2574="Alpha",B2574="Alpha"),$C$9,$C$8),""),"")</f>
        <v/>
      </c>
      <c r="L2574" s="139">
        <f>IFERROR(IF(ISNUMBER(F2574),F2574-IF(ISNUMBER(K2574),K2574,0),""),"")</f>
        <v/>
      </c>
    </row>
    <row r="2575" ht="24" customHeight="1" s="63">
      <c r="E2575" s="139" t="n"/>
      <c r="F2575" s="139" t="n"/>
      <c r="G2575" s="140">
        <f>IFERROR(IF(E2575&gt;0,(F2575/E2575)*1000,""),"")</f>
        <v/>
      </c>
      <c r="H2575" s="139">
        <f>IFERROR(IF(E2575&gt;0,E2575*IF(ISNUMBER(J2575),J2575,IF(OR(C2575="Alpha",B2575="Alpha"),$C$7,IF(C2575="Futures",$C$6,$C$5))),""),"")</f>
        <v/>
      </c>
      <c r="I2575" s="139">
        <f>IFERROR(IF(AND(ISNUMBER(F2575),ISNUMBER(H2575)),F2575-H2575,""),"")</f>
        <v/>
      </c>
      <c r="J2575" s="114" t="n"/>
      <c r="K2575" s="139">
        <f>IFERROR(IF(H2575&gt;0,H2575*IF(OR(C2575="Alpha",B2575="Alpha"),$C$9,$C$8),""),"")</f>
        <v/>
      </c>
      <c r="L2575" s="139">
        <f>IFERROR(IF(ISNUMBER(F2575),F2575-IF(ISNUMBER(K2575),K2575,0),""),"")</f>
        <v/>
      </c>
    </row>
    <row r="2576" ht="24" customHeight="1" s="63">
      <c r="E2576" s="139" t="n"/>
      <c r="F2576" s="139" t="n"/>
      <c r="G2576" s="140">
        <f>IFERROR(IF(E2576&gt;0,(F2576/E2576)*1000,""),"")</f>
        <v/>
      </c>
      <c r="H2576" s="139">
        <f>IFERROR(IF(E2576&gt;0,E2576*IF(ISNUMBER(J2576),J2576,IF(OR(C2576="Alpha",B2576="Alpha"),$C$7,IF(C2576="Futures",$C$6,$C$5))),""),"")</f>
        <v/>
      </c>
      <c r="I2576" s="139">
        <f>IFERROR(IF(AND(ISNUMBER(F2576),ISNUMBER(H2576)),F2576-H2576,""),"")</f>
        <v/>
      </c>
      <c r="J2576" s="114" t="n"/>
      <c r="K2576" s="139">
        <f>IFERROR(IF(H2576&gt;0,H2576*IF(OR(C2576="Alpha",B2576="Alpha"),$C$9,$C$8),""),"")</f>
        <v/>
      </c>
      <c r="L2576" s="139">
        <f>IFERROR(IF(ISNUMBER(F2576),F2576-IF(ISNUMBER(K2576),K2576,0),""),"")</f>
        <v/>
      </c>
    </row>
    <row r="2577" ht="24" customHeight="1" s="63">
      <c r="E2577" s="139" t="n"/>
      <c r="F2577" s="139" t="n"/>
      <c r="G2577" s="140">
        <f>IFERROR(IF(E2577&gt;0,(F2577/E2577)*1000,""),"")</f>
        <v/>
      </c>
      <c r="H2577" s="139">
        <f>IFERROR(IF(E2577&gt;0,E2577*IF(ISNUMBER(J2577),J2577,IF(OR(C2577="Alpha",B2577="Alpha"),$C$7,IF(C2577="Futures",$C$6,$C$5))),""),"")</f>
        <v/>
      </c>
      <c r="I2577" s="139">
        <f>IFERROR(IF(AND(ISNUMBER(F2577),ISNUMBER(H2577)),F2577-H2577,""),"")</f>
        <v/>
      </c>
      <c r="J2577" s="114" t="n"/>
      <c r="K2577" s="139">
        <f>IFERROR(IF(H2577&gt;0,H2577*IF(OR(C2577="Alpha",B2577="Alpha"),$C$9,$C$8),""),"")</f>
        <v/>
      </c>
      <c r="L2577" s="139">
        <f>IFERROR(IF(ISNUMBER(F2577),F2577-IF(ISNUMBER(K2577),K2577,0),""),"")</f>
        <v/>
      </c>
    </row>
    <row r="2578" ht="24" customHeight="1" s="63">
      <c r="E2578" s="139" t="n"/>
      <c r="F2578" s="139" t="n"/>
      <c r="G2578" s="140">
        <f>IFERROR(IF(E2578&gt;0,(F2578/E2578)*1000,""),"")</f>
        <v/>
      </c>
      <c r="H2578" s="139">
        <f>IFERROR(IF(E2578&gt;0,E2578*IF(ISNUMBER(J2578),J2578,IF(OR(C2578="Alpha",B2578="Alpha"),$C$7,IF(C2578="Futures",$C$6,$C$5))),""),"")</f>
        <v/>
      </c>
      <c r="I2578" s="139">
        <f>IFERROR(IF(AND(ISNUMBER(F2578),ISNUMBER(H2578)),F2578-H2578,""),"")</f>
        <v/>
      </c>
      <c r="J2578" s="114" t="n"/>
      <c r="K2578" s="139">
        <f>IFERROR(IF(H2578&gt;0,H2578*IF(OR(C2578="Alpha",B2578="Alpha"),$C$9,$C$8),""),"")</f>
        <v/>
      </c>
      <c r="L2578" s="139">
        <f>IFERROR(IF(ISNUMBER(F2578),F2578-IF(ISNUMBER(K2578),K2578,0),""),"")</f>
        <v/>
      </c>
    </row>
    <row r="2579" ht="24" customHeight="1" s="63">
      <c r="E2579" s="139" t="n"/>
      <c r="F2579" s="139" t="n"/>
      <c r="G2579" s="140">
        <f>IFERROR(IF(E2579&gt;0,(F2579/E2579)*1000,""),"")</f>
        <v/>
      </c>
      <c r="H2579" s="139">
        <f>IFERROR(IF(E2579&gt;0,E2579*IF(ISNUMBER(J2579),J2579,IF(OR(C2579="Alpha",B2579="Alpha"),$C$7,IF(C2579="Futures",$C$6,$C$5))),""),"")</f>
        <v/>
      </c>
      <c r="I2579" s="139">
        <f>IFERROR(IF(AND(ISNUMBER(F2579),ISNUMBER(H2579)),F2579-H2579,""),"")</f>
        <v/>
      </c>
      <c r="J2579" s="114" t="n"/>
      <c r="K2579" s="139">
        <f>IFERROR(IF(H2579&gt;0,H2579*IF(OR(C2579="Alpha",B2579="Alpha"),$C$9,$C$8),""),"")</f>
        <v/>
      </c>
      <c r="L2579" s="139">
        <f>IFERROR(IF(ISNUMBER(F2579),F2579-IF(ISNUMBER(K2579),K2579,0),""),"")</f>
        <v/>
      </c>
    </row>
    <row r="2580" ht="24" customHeight="1" s="63">
      <c r="E2580" s="139" t="n"/>
      <c r="F2580" s="139" t="n"/>
      <c r="G2580" s="140">
        <f>IFERROR(IF(E2580&gt;0,(F2580/E2580)*1000,""),"")</f>
        <v/>
      </c>
      <c r="H2580" s="139">
        <f>IFERROR(IF(E2580&gt;0,E2580*IF(ISNUMBER(J2580),J2580,IF(OR(C2580="Alpha",B2580="Alpha"),$C$7,IF(C2580="Futures",$C$6,$C$5))),""),"")</f>
        <v/>
      </c>
      <c r="I2580" s="139">
        <f>IFERROR(IF(AND(ISNUMBER(F2580),ISNUMBER(H2580)),F2580-H2580,""),"")</f>
        <v/>
      </c>
      <c r="J2580" s="114" t="n"/>
      <c r="K2580" s="139">
        <f>IFERROR(IF(H2580&gt;0,H2580*IF(OR(C2580="Alpha",B2580="Alpha"),$C$9,$C$8),""),"")</f>
        <v/>
      </c>
      <c r="L2580" s="139">
        <f>IFERROR(IF(ISNUMBER(F2580),F2580-IF(ISNUMBER(K2580),K2580,0),""),"")</f>
        <v/>
      </c>
    </row>
    <row r="2581" ht="24" customHeight="1" s="63">
      <c r="E2581" s="139" t="n"/>
      <c r="F2581" s="139" t="n"/>
      <c r="G2581" s="140">
        <f>IFERROR(IF(E2581&gt;0,(F2581/E2581)*1000,""),"")</f>
        <v/>
      </c>
      <c r="H2581" s="139">
        <f>IFERROR(IF(E2581&gt;0,E2581*IF(ISNUMBER(J2581),J2581,IF(OR(C2581="Alpha",B2581="Alpha"),$C$7,IF(C2581="Futures",$C$6,$C$5))),""),"")</f>
        <v/>
      </c>
      <c r="I2581" s="139">
        <f>IFERROR(IF(AND(ISNUMBER(F2581),ISNUMBER(H2581)),F2581-H2581,""),"")</f>
        <v/>
      </c>
      <c r="J2581" s="114" t="n"/>
      <c r="K2581" s="139">
        <f>IFERROR(IF(H2581&gt;0,H2581*IF(OR(C2581="Alpha",B2581="Alpha"),$C$9,$C$8),""),"")</f>
        <v/>
      </c>
      <c r="L2581" s="139">
        <f>IFERROR(IF(ISNUMBER(F2581),F2581-IF(ISNUMBER(K2581),K2581,0),""),"")</f>
        <v/>
      </c>
    </row>
    <row r="2582" ht="24" customHeight="1" s="63">
      <c r="E2582" s="139" t="n"/>
      <c r="F2582" s="139" t="n"/>
      <c r="G2582" s="140">
        <f>IFERROR(IF(E2582&gt;0,(F2582/E2582)*1000,""),"")</f>
        <v/>
      </c>
      <c r="H2582" s="139">
        <f>IFERROR(IF(E2582&gt;0,E2582*IF(ISNUMBER(J2582),J2582,IF(OR(C2582="Alpha",B2582="Alpha"),$C$7,IF(C2582="Futures",$C$6,$C$5))),""),"")</f>
        <v/>
      </c>
      <c r="I2582" s="139">
        <f>IFERROR(IF(AND(ISNUMBER(F2582),ISNUMBER(H2582)),F2582-H2582,""),"")</f>
        <v/>
      </c>
      <c r="J2582" s="114" t="n"/>
      <c r="K2582" s="139">
        <f>IFERROR(IF(H2582&gt;0,H2582*IF(OR(C2582="Alpha",B2582="Alpha"),$C$9,$C$8),""),"")</f>
        <v/>
      </c>
      <c r="L2582" s="139">
        <f>IFERROR(IF(ISNUMBER(F2582),F2582-IF(ISNUMBER(K2582),K2582,0),""),"")</f>
        <v/>
      </c>
    </row>
    <row r="2583" ht="24" customHeight="1" s="63">
      <c r="E2583" s="139" t="n"/>
      <c r="F2583" s="139" t="n"/>
      <c r="G2583" s="140">
        <f>IFERROR(IF(E2583&gt;0,(F2583/E2583)*1000,""),"")</f>
        <v/>
      </c>
      <c r="H2583" s="139">
        <f>IFERROR(IF(E2583&gt;0,E2583*IF(ISNUMBER(J2583),J2583,IF(OR(C2583="Alpha",B2583="Alpha"),$C$7,IF(C2583="Futures",$C$6,$C$5))),""),"")</f>
        <v/>
      </c>
      <c r="I2583" s="139">
        <f>IFERROR(IF(AND(ISNUMBER(F2583),ISNUMBER(H2583)),F2583-H2583,""),"")</f>
        <v/>
      </c>
      <c r="J2583" s="114" t="n"/>
      <c r="K2583" s="139">
        <f>IFERROR(IF(H2583&gt;0,H2583*IF(OR(C2583="Alpha",B2583="Alpha"),$C$9,$C$8),""),"")</f>
        <v/>
      </c>
      <c r="L2583" s="139">
        <f>IFERROR(IF(ISNUMBER(F2583),F2583-IF(ISNUMBER(K2583),K2583,0),""),"")</f>
        <v/>
      </c>
    </row>
    <row r="2584" ht="24" customHeight="1" s="63">
      <c r="E2584" s="139" t="n"/>
      <c r="F2584" s="139" t="n"/>
      <c r="G2584" s="140">
        <f>IFERROR(IF(E2584&gt;0,(F2584/E2584)*1000,""),"")</f>
        <v/>
      </c>
      <c r="H2584" s="139">
        <f>IFERROR(IF(E2584&gt;0,E2584*IF(ISNUMBER(J2584),J2584,IF(OR(C2584="Alpha",B2584="Alpha"),$C$7,IF(C2584="Futures",$C$6,$C$5))),""),"")</f>
        <v/>
      </c>
      <c r="I2584" s="139">
        <f>IFERROR(IF(AND(ISNUMBER(F2584),ISNUMBER(H2584)),F2584-H2584,""),"")</f>
        <v/>
      </c>
      <c r="J2584" s="114" t="n"/>
      <c r="K2584" s="139">
        <f>IFERROR(IF(H2584&gt;0,H2584*IF(OR(C2584="Alpha",B2584="Alpha"),$C$9,$C$8),""),"")</f>
        <v/>
      </c>
      <c r="L2584" s="139">
        <f>IFERROR(IF(ISNUMBER(F2584),F2584-IF(ISNUMBER(K2584),K2584,0),""),"")</f>
        <v/>
      </c>
    </row>
    <row r="2585" ht="24" customHeight="1" s="63">
      <c r="E2585" s="139" t="n"/>
      <c r="F2585" s="139" t="n"/>
      <c r="G2585" s="140">
        <f>IFERROR(IF(E2585&gt;0,(F2585/E2585)*1000,""),"")</f>
        <v/>
      </c>
      <c r="H2585" s="139">
        <f>IFERROR(IF(E2585&gt;0,E2585*IF(ISNUMBER(J2585),J2585,IF(OR(C2585="Alpha",B2585="Alpha"),$C$7,IF(C2585="Futures",$C$6,$C$5))),""),"")</f>
        <v/>
      </c>
      <c r="I2585" s="139">
        <f>IFERROR(IF(AND(ISNUMBER(F2585),ISNUMBER(H2585)),F2585-H2585,""),"")</f>
        <v/>
      </c>
      <c r="J2585" s="114" t="n"/>
      <c r="K2585" s="139">
        <f>IFERROR(IF(H2585&gt;0,H2585*IF(OR(C2585="Alpha",B2585="Alpha"),$C$9,$C$8),""),"")</f>
        <v/>
      </c>
      <c r="L2585" s="139">
        <f>IFERROR(IF(ISNUMBER(F2585),F2585-IF(ISNUMBER(K2585),K2585,0),""),"")</f>
        <v/>
      </c>
    </row>
    <row r="2586" ht="24" customHeight="1" s="63">
      <c r="E2586" s="139" t="n"/>
      <c r="F2586" s="139" t="n"/>
      <c r="G2586" s="140">
        <f>IFERROR(IF(E2586&gt;0,(F2586/E2586)*1000,""),"")</f>
        <v/>
      </c>
      <c r="H2586" s="139">
        <f>IFERROR(IF(E2586&gt;0,E2586*IF(ISNUMBER(J2586),J2586,IF(OR(C2586="Alpha",B2586="Alpha"),$C$7,IF(C2586="Futures",$C$6,$C$5))),""),"")</f>
        <v/>
      </c>
      <c r="I2586" s="139">
        <f>IFERROR(IF(AND(ISNUMBER(F2586),ISNUMBER(H2586)),F2586-H2586,""),"")</f>
        <v/>
      </c>
      <c r="J2586" s="114" t="n"/>
      <c r="K2586" s="139">
        <f>IFERROR(IF(H2586&gt;0,H2586*IF(OR(C2586="Alpha",B2586="Alpha"),$C$9,$C$8),""),"")</f>
        <v/>
      </c>
      <c r="L2586" s="139">
        <f>IFERROR(IF(ISNUMBER(F2586),F2586-IF(ISNUMBER(K2586),K2586,0),""),"")</f>
        <v/>
      </c>
    </row>
    <row r="2587" ht="24" customHeight="1" s="63">
      <c r="E2587" s="139" t="n"/>
      <c r="F2587" s="139" t="n"/>
      <c r="G2587" s="140">
        <f>IFERROR(IF(E2587&gt;0,(F2587/E2587)*1000,""),"")</f>
        <v/>
      </c>
      <c r="H2587" s="139">
        <f>IFERROR(IF(E2587&gt;0,E2587*IF(ISNUMBER(J2587),J2587,IF(OR(C2587="Alpha",B2587="Alpha"),$C$7,IF(C2587="Futures",$C$6,$C$5))),""),"")</f>
        <v/>
      </c>
      <c r="I2587" s="139">
        <f>IFERROR(IF(AND(ISNUMBER(F2587),ISNUMBER(H2587)),F2587-H2587,""),"")</f>
        <v/>
      </c>
      <c r="J2587" s="114" t="n"/>
      <c r="K2587" s="139">
        <f>IFERROR(IF(H2587&gt;0,H2587*IF(OR(C2587="Alpha",B2587="Alpha"),$C$9,$C$8),""),"")</f>
        <v/>
      </c>
      <c r="L2587" s="139">
        <f>IFERROR(IF(ISNUMBER(F2587),F2587-IF(ISNUMBER(K2587),K2587,0),""),"")</f>
        <v/>
      </c>
    </row>
    <row r="2588" ht="24" customHeight="1" s="63">
      <c r="E2588" s="139" t="n"/>
      <c r="F2588" s="139" t="n"/>
      <c r="G2588" s="140">
        <f>IFERROR(IF(E2588&gt;0,(F2588/E2588)*1000,""),"")</f>
        <v/>
      </c>
      <c r="H2588" s="139">
        <f>IFERROR(IF(E2588&gt;0,E2588*IF(ISNUMBER(J2588),J2588,IF(OR(C2588="Alpha",B2588="Alpha"),$C$7,IF(C2588="Futures",$C$6,$C$5))),""),"")</f>
        <v/>
      </c>
      <c r="I2588" s="139">
        <f>IFERROR(IF(AND(ISNUMBER(F2588),ISNUMBER(H2588)),F2588-H2588,""),"")</f>
        <v/>
      </c>
      <c r="J2588" s="114" t="n"/>
      <c r="K2588" s="139">
        <f>IFERROR(IF(H2588&gt;0,H2588*IF(OR(C2588="Alpha",B2588="Alpha"),$C$9,$C$8),""),"")</f>
        <v/>
      </c>
      <c r="L2588" s="139">
        <f>IFERROR(IF(ISNUMBER(F2588),F2588-IF(ISNUMBER(K2588),K2588,0),""),"")</f>
        <v/>
      </c>
    </row>
    <row r="2589" ht="24" customHeight="1" s="63">
      <c r="E2589" s="139" t="n"/>
      <c r="F2589" s="139" t="n"/>
      <c r="G2589" s="140">
        <f>IFERROR(IF(E2589&gt;0,(F2589/E2589)*1000,""),"")</f>
        <v/>
      </c>
      <c r="H2589" s="139">
        <f>IFERROR(IF(E2589&gt;0,E2589*IF(ISNUMBER(J2589),J2589,IF(OR(C2589="Alpha",B2589="Alpha"),$C$7,IF(C2589="Futures",$C$6,$C$5))),""),"")</f>
        <v/>
      </c>
      <c r="I2589" s="139">
        <f>IFERROR(IF(AND(ISNUMBER(F2589),ISNUMBER(H2589)),F2589-H2589,""),"")</f>
        <v/>
      </c>
      <c r="J2589" s="114" t="n"/>
      <c r="K2589" s="139">
        <f>IFERROR(IF(H2589&gt;0,H2589*IF(OR(C2589="Alpha",B2589="Alpha"),$C$9,$C$8),""),"")</f>
        <v/>
      </c>
      <c r="L2589" s="139">
        <f>IFERROR(IF(ISNUMBER(F2589),F2589-IF(ISNUMBER(K2589),K2589,0),""),"")</f>
        <v/>
      </c>
    </row>
    <row r="2590" ht="24" customHeight="1" s="63">
      <c r="E2590" s="139" t="n"/>
      <c r="F2590" s="139" t="n"/>
      <c r="G2590" s="140">
        <f>IFERROR(IF(E2590&gt;0,(F2590/E2590)*1000,""),"")</f>
        <v/>
      </c>
      <c r="H2590" s="139">
        <f>IFERROR(IF(E2590&gt;0,E2590*IF(ISNUMBER(J2590),J2590,IF(OR(C2590="Alpha",B2590="Alpha"),$C$7,IF(C2590="Futures",$C$6,$C$5))),""),"")</f>
        <v/>
      </c>
      <c r="I2590" s="139">
        <f>IFERROR(IF(AND(ISNUMBER(F2590),ISNUMBER(H2590)),F2590-H2590,""),"")</f>
        <v/>
      </c>
      <c r="J2590" s="114" t="n"/>
      <c r="K2590" s="139">
        <f>IFERROR(IF(H2590&gt;0,H2590*IF(OR(C2590="Alpha",B2590="Alpha"),$C$9,$C$8),""),"")</f>
        <v/>
      </c>
      <c r="L2590" s="139">
        <f>IFERROR(IF(ISNUMBER(F2590),F2590-IF(ISNUMBER(K2590),K2590,0),""),"")</f>
        <v/>
      </c>
    </row>
    <row r="2591" ht="24" customHeight="1" s="63">
      <c r="E2591" s="139" t="n"/>
      <c r="F2591" s="139" t="n"/>
      <c r="G2591" s="140">
        <f>IFERROR(IF(E2591&gt;0,(F2591/E2591)*1000,""),"")</f>
        <v/>
      </c>
      <c r="H2591" s="139">
        <f>IFERROR(IF(E2591&gt;0,E2591*IF(ISNUMBER(J2591),J2591,IF(OR(C2591="Alpha",B2591="Alpha"),$C$7,IF(C2591="Futures",$C$6,$C$5))),""),"")</f>
        <v/>
      </c>
      <c r="I2591" s="139">
        <f>IFERROR(IF(AND(ISNUMBER(F2591),ISNUMBER(H2591)),F2591-H2591,""),"")</f>
        <v/>
      </c>
      <c r="J2591" s="114" t="n"/>
      <c r="K2591" s="139">
        <f>IFERROR(IF(H2591&gt;0,H2591*IF(OR(C2591="Alpha",B2591="Alpha"),$C$9,$C$8),""),"")</f>
        <v/>
      </c>
      <c r="L2591" s="139">
        <f>IFERROR(IF(ISNUMBER(F2591),F2591-IF(ISNUMBER(K2591),K2591,0),""),"")</f>
        <v/>
      </c>
    </row>
    <row r="2592" ht="24" customHeight="1" s="63">
      <c r="E2592" s="139" t="n"/>
      <c r="F2592" s="139" t="n"/>
      <c r="G2592" s="140">
        <f>IFERROR(IF(E2592&gt;0,(F2592/E2592)*1000,""),"")</f>
        <v/>
      </c>
      <c r="H2592" s="139">
        <f>IFERROR(IF(E2592&gt;0,E2592*IF(ISNUMBER(J2592),J2592,IF(OR(C2592="Alpha",B2592="Alpha"),$C$7,IF(C2592="Futures",$C$6,$C$5))),""),"")</f>
        <v/>
      </c>
      <c r="I2592" s="139">
        <f>IFERROR(IF(AND(ISNUMBER(F2592),ISNUMBER(H2592)),F2592-H2592,""),"")</f>
        <v/>
      </c>
      <c r="J2592" s="114" t="n"/>
      <c r="K2592" s="139">
        <f>IFERROR(IF(H2592&gt;0,H2592*IF(OR(C2592="Alpha",B2592="Alpha"),$C$9,$C$8),""),"")</f>
        <v/>
      </c>
      <c r="L2592" s="139">
        <f>IFERROR(IF(ISNUMBER(F2592),F2592-IF(ISNUMBER(K2592),K2592,0),""),"")</f>
        <v/>
      </c>
    </row>
    <row r="2593" ht="24" customHeight="1" s="63">
      <c r="E2593" s="139" t="n"/>
      <c r="F2593" s="139" t="n"/>
      <c r="G2593" s="140">
        <f>IFERROR(IF(E2593&gt;0,(F2593/E2593)*1000,""),"")</f>
        <v/>
      </c>
      <c r="H2593" s="139">
        <f>IFERROR(IF(E2593&gt;0,E2593*IF(ISNUMBER(J2593),J2593,IF(OR(C2593="Alpha",B2593="Alpha"),$C$7,IF(C2593="Futures",$C$6,$C$5))),""),"")</f>
        <v/>
      </c>
      <c r="I2593" s="139">
        <f>IFERROR(IF(AND(ISNUMBER(F2593),ISNUMBER(H2593)),F2593-H2593,""),"")</f>
        <v/>
      </c>
      <c r="J2593" s="114" t="n"/>
      <c r="K2593" s="139">
        <f>IFERROR(IF(H2593&gt;0,H2593*IF(OR(C2593="Alpha",B2593="Alpha"),$C$9,$C$8),""),"")</f>
        <v/>
      </c>
      <c r="L2593" s="139">
        <f>IFERROR(IF(ISNUMBER(F2593),F2593-IF(ISNUMBER(K2593),K2593,0),""),"")</f>
        <v/>
      </c>
    </row>
    <row r="2594" ht="24" customHeight="1" s="63">
      <c r="E2594" s="139" t="n"/>
      <c r="F2594" s="139" t="n"/>
      <c r="G2594" s="140">
        <f>IFERROR(IF(E2594&gt;0,(F2594/E2594)*1000,""),"")</f>
        <v/>
      </c>
      <c r="H2594" s="139">
        <f>IFERROR(IF(E2594&gt;0,E2594*IF(ISNUMBER(J2594),J2594,IF(OR(C2594="Alpha",B2594="Alpha"),$C$7,IF(C2594="Futures",$C$6,$C$5))),""),"")</f>
        <v/>
      </c>
      <c r="I2594" s="139">
        <f>IFERROR(IF(AND(ISNUMBER(F2594),ISNUMBER(H2594)),F2594-H2594,""),"")</f>
        <v/>
      </c>
      <c r="J2594" s="114" t="n"/>
      <c r="K2594" s="139">
        <f>IFERROR(IF(H2594&gt;0,H2594*IF(OR(C2594="Alpha",B2594="Alpha"),$C$9,$C$8),""),"")</f>
        <v/>
      </c>
      <c r="L2594" s="139">
        <f>IFERROR(IF(ISNUMBER(F2594),F2594-IF(ISNUMBER(K2594),K2594,0),""),"")</f>
        <v/>
      </c>
    </row>
    <row r="2595" ht="24" customHeight="1" s="63">
      <c r="E2595" s="139" t="n"/>
      <c r="F2595" s="139" t="n"/>
      <c r="G2595" s="140">
        <f>IFERROR(IF(E2595&gt;0,(F2595/E2595)*1000,""),"")</f>
        <v/>
      </c>
      <c r="H2595" s="139">
        <f>IFERROR(IF(E2595&gt;0,E2595*IF(ISNUMBER(J2595),J2595,IF(OR(C2595="Alpha",B2595="Alpha"),$C$7,IF(C2595="Futures",$C$6,$C$5))),""),"")</f>
        <v/>
      </c>
      <c r="I2595" s="139">
        <f>IFERROR(IF(AND(ISNUMBER(F2595),ISNUMBER(H2595)),F2595-H2595,""),"")</f>
        <v/>
      </c>
      <c r="J2595" s="114" t="n"/>
      <c r="K2595" s="139">
        <f>IFERROR(IF(H2595&gt;0,H2595*IF(OR(C2595="Alpha",B2595="Alpha"),$C$9,$C$8),""),"")</f>
        <v/>
      </c>
      <c r="L2595" s="139">
        <f>IFERROR(IF(ISNUMBER(F2595),F2595-IF(ISNUMBER(K2595),K2595,0),""),"")</f>
        <v/>
      </c>
    </row>
    <row r="2596" ht="24" customHeight="1" s="63">
      <c r="E2596" s="139" t="n"/>
      <c r="F2596" s="139" t="n"/>
      <c r="G2596" s="140">
        <f>IFERROR(IF(E2596&gt;0,(F2596/E2596)*1000,""),"")</f>
        <v/>
      </c>
      <c r="H2596" s="139">
        <f>IFERROR(IF(E2596&gt;0,E2596*IF(ISNUMBER(J2596),J2596,IF(OR(C2596="Alpha",B2596="Alpha"),$C$7,IF(C2596="Futures",$C$6,$C$5))),""),"")</f>
        <v/>
      </c>
      <c r="I2596" s="139">
        <f>IFERROR(IF(AND(ISNUMBER(F2596),ISNUMBER(H2596)),F2596-H2596,""),"")</f>
        <v/>
      </c>
      <c r="J2596" s="114" t="n"/>
      <c r="K2596" s="139">
        <f>IFERROR(IF(H2596&gt;0,H2596*IF(OR(C2596="Alpha",B2596="Alpha"),$C$9,$C$8),""),"")</f>
        <v/>
      </c>
      <c r="L2596" s="139">
        <f>IFERROR(IF(ISNUMBER(F2596),F2596-IF(ISNUMBER(K2596),K2596,0),""),"")</f>
        <v/>
      </c>
    </row>
    <row r="2597" ht="24" customHeight="1" s="63">
      <c r="E2597" s="139" t="n"/>
      <c r="F2597" s="139" t="n"/>
      <c r="G2597" s="140">
        <f>IFERROR(IF(E2597&gt;0,(F2597/E2597)*1000,""),"")</f>
        <v/>
      </c>
      <c r="H2597" s="139">
        <f>IFERROR(IF(E2597&gt;0,E2597*IF(ISNUMBER(J2597),J2597,IF(OR(C2597="Alpha",B2597="Alpha"),$C$7,IF(C2597="Futures",$C$6,$C$5))),""),"")</f>
        <v/>
      </c>
      <c r="I2597" s="139">
        <f>IFERROR(IF(AND(ISNUMBER(F2597),ISNUMBER(H2597)),F2597-H2597,""),"")</f>
        <v/>
      </c>
      <c r="J2597" s="114" t="n"/>
      <c r="K2597" s="139">
        <f>IFERROR(IF(H2597&gt;0,H2597*IF(OR(C2597="Alpha",B2597="Alpha"),$C$9,$C$8),""),"")</f>
        <v/>
      </c>
      <c r="L2597" s="139">
        <f>IFERROR(IF(ISNUMBER(F2597),F2597-IF(ISNUMBER(K2597),K2597,0),""),"")</f>
        <v/>
      </c>
    </row>
    <row r="2598" ht="24" customHeight="1" s="63">
      <c r="E2598" s="139" t="n"/>
      <c r="F2598" s="139" t="n"/>
      <c r="G2598" s="140">
        <f>IFERROR(IF(E2598&gt;0,(F2598/E2598)*1000,""),"")</f>
        <v/>
      </c>
      <c r="H2598" s="139">
        <f>IFERROR(IF(E2598&gt;0,E2598*IF(ISNUMBER(J2598),J2598,IF(OR(C2598="Alpha",B2598="Alpha"),$C$7,IF(C2598="Futures",$C$6,$C$5))),""),"")</f>
        <v/>
      </c>
      <c r="I2598" s="139">
        <f>IFERROR(IF(AND(ISNUMBER(F2598),ISNUMBER(H2598)),F2598-H2598,""),"")</f>
        <v/>
      </c>
      <c r="J2598" s="114" t="n"/>
      <c r="K2598" s="139">
        <f>IFERROR(IF(H2598&gt;0,H2598*IF(OR(C2598="Alpha",B2598="Alpha"),$C$9,$C$8),""),"")</f>
        <v/>
      </c>
      <c r="L2598" s="139">
        <f>IFERROR(IF(ISNUMBER(F2598),F2598-IF(ISNUMBER(K2598),K2598,0),""),"")</f>
        <v/>
      </c>
    </row>
    <row r="2599" ht="24" customHeight="1" s="63">
      <c r="E2599" s="139" t="n"/>
      <c r="F2599" s="139" t="n"/>
      <c r="G2599" s="140">
        <f>IFERROR(IF(E2599&gt;0,(F2599/E2599)*1000,""),"")</f>
        <v/>
      </c>
      <c r="H2599" s="139">
        <f>IFERROR(IF(E2599&gt;0,E2599*IF(ISNUMBER(J2599),J2599,IF(OR(C2599="Alpha",B2599="Alpha"),$C$7,IF(C2599="Futures",$C$6,$C$5))),""),"")</f>
        <v/>
      </c>
      <c r="I2599" s="139">
        <f>IFERROR(IF(AND(ISNUMBER(F2599),ISNUMBER(H2599)),F2599-H2599,""),"")</f>
        <v/>
      </c>
      <c r="J2599" s="114" t="n"/>
      <c r="K2599" s="139">
        <f>IFERROR(IF(H2599&gt;0,H2599*IF(OR(C2599="Alpha",B2599="Alpha"),$C$9,$C$8),""),"")</f>
        <v/>
      </c>
      <c r="L2599" s="139">
        <f>IFERROR(IF(ISNUMBER(F2599),F2599-IF(ISNUMBER(K2599),K2599,0),""),"")</f>
        <v/>
      </c>
    </row>
    <row r="2600" ht="24" customHeight="1" s="63">
      <c r="E2600" s="139" t="n"/>
      <c r="F2600" s="139" t="n"/>
      <c r="G2600" s="140">
        <f>IFERROR(IF(E2600&gt;0,(F2600/E2600)*1000,""),"")</f>
        <v/>
      </c>
      <c r="H2600" s="139">
        <f>IFERROR(IF(E2600&gt;0,E2600*IF(ISNUMBER(J2600),J2600,IF(OR(C2600="Alpha",B2600="Alpha"),$C$7,IF(C2600="Futures",$C$6,$C$5))),""),"")</f>
        <v/>
      </c>
      <c r="I2600" s="139">
        <f>IFERROR(IF(AND(ISNUMBER(F2600),ISNUMBER(H2600)),F2600-H2600,""),"")</f>
        <v/>
      </c>
      <c r="J2600" s="114" t="n"/>
      <c r="K2600" s="139">
        <f>IFERROR(IF(H2600&gt;0,H2600*IF(OR(C2600="Alpha",B2600="Alpha"),$C$9,$C$8),""),"")</f>
        <v/>
      </c>
      <c r="L2600" s="139">
        <f>IFERROR(IF(ISNUMBER(F2600),F2600-IF(ISNUMBER(K2600),K2600,0),""),"")</f>
        <v/>
      </c>
    </row>
    <row r="2601" ht="24" customHeight="1" s="63">
      <c r="E2601" s="139" t="n"/>
      <c r="F2601" s="139" t="n"/>
      <c r="G2601" s="140">
        <f>IFERROR(IF(E2601&gt;0,(F2601/E2601)*1000,""),"")</f>
        <v/>
      </c>
      <c r="H2601" s="139">
        <f>IFERROR(IF(E2601&gt;0,E2601*IF(ISNUMBER(J2601),J2601,IF(OR(C2601="Alpha",B2601="Alpha"),$C$7,IF(C2601="Futures",$C$6,$C$5))),""),"")</f>
        <v/>
      </c>
      <c r="I2601" s="139">
        <f>IFERROR(IF(AND(ISNUMBER(F2601),ISNUMBER(H2601)),F2601-H2601,""),"")</f>
        <v/>
      </c>
      <c r="J2601" s="114" t="n"/>
      <c r="K2601" s="139">
        <f>IFERROR(IF(H2601&gt;0,H2601*IF(OR(C2601="Alpha",B2601="Alpha"),$C$9,$C$8),""),"")</f>
        <v/>
      </c>
      <c r="L2601" s="139">
        <f>IFERROR(IF(ISNUMBER(F2601),F2601-IF(ISNUMBER(K2601),K2601,0),""),"")</f>
        <v/>
      </c>
    </row>
    <row r="2602" ht="24" customHeight="1" s="63">
      <c r="E2602" s="139" t="n"/>
      <c r="F2602" s="139" t="n"/>
      <c r="G2602" s="140">
        <f>IFERROR(IF(E2602&gt;0,(F2602/E2602)*1000,""),"")</f>
        <v/>
      </c>
      <c r="H2602" s="139">
        <f>IFERROR(IF(E2602&gt;0,E2602*IF(ISNUMBER(J2602),J2602,IF(OR(C2602="Alpha",B2602="Alpha"),$C$7,IF(C2602="Futures",$C$6,$C$5))),""),"")</f>
        <v/>
      </c>
      <c r="I2602" s="139">
        <f>IFERROR(IF(AND(ISNUMBER(F2602),ISNUMBER(H2602)),F2602-H2602,""),"")</f>
        <v/>
      </c>
      <c r="J2602" s="114" t="n"/>
      <c r="K2602" s="139">
        <f>IFERROR(IF(H2602&gt;0,H2602*IF(OR(C2602="Alpha",B2602="Alpha"),$C$9,$C$8),""),"")</f>
        <v/>
      </c>
      <c r="L2602" s="139">
        <f>IFERROR(IF(ISNUMBER(F2602),F2602-IF(ISNUMBER(K2602),K2602,0),""),"")</f>
        <v/>
      </c>
    </row>
    <row r="2603" ht="24" customHeight="1" s="63">
      <c r="E2603" s="139" t="n"/>
      <c r="F2603" s="139" t="n"/>
      <c r="G2603" s="140">
        <f>IFERROR(IF(E2603&gt;0,(F2603/E2603)*1000,""),"")</f>
        <v/>
      </c>
      <c r="H2603" s="139">
        <f>IFERROR(IF(E2603&gt;0,E2603*IF(ISNUMBER(J2603),J2603,IF(OR(C2603="Alpha",B2603="Alpha"),$C$7,IF(C2603="Futures",$C$6,$C$5))),""),"")</f>
        <v/>
      </c>
      <c r="I2603" s="139">
        <f>IFERROR(IF(AND(ISNUMBER(F2603),ISNUMBER(H2603)),F2603-H2603,""),"")</f>
        <v/>
      </c>
      <c r="J2603" s="114" t="n"/>
      <c r="K2603" s="139">
        <f>IFERROR(IF(H2603&gt;0,H2603*IF(OR(C2603="Alpha",B2603="Alpha"),$C$9,$C$8),""),"")</f>
        <v/>
      </c>
      <c r="L2603" s="139">
        <f>IFERROR(IF(ISNUMBER(F2603),F2603-IF(ISNUMBER(K2603),K2603,0),""),"")</f>
        <v/>
      </c>
    </row>
    <row r="2604" ht="24" customHeight="1" s="63">
      <c r="E2604" s="139" t="n"/>
      <c r="F2604" s="139" t="n"/>
      <c r="G2604" s="140">
        <f>IFERROR(IF(E2604&gt;0,(F2604/E2604)*1000,""),"")</f>
        <v/>
      </c>
      <c r="H2604" s="139">
        <f>IFERROR(IF(E2604&gt;0,E2604*IF(ISNUMBER(J2604),J2604,IF(OR(C2604="Alpha",B2604="Alpha"),$C$7,IF(C2604="Futures",$C$6,$C$5))),""),"")</f>
        <v/>
      </c>
      <c r="I2604" s="139">
        <f>IFERROR(IF(AND(ISNUMBER(F2604),ISNUMBER(H2604)),F2604-H2604,""),"")</f>
        <v/>
      </c>
      <c r="J2604" s="114" t="n"/>
      <c r="K2604" s="139">
        <f>IFERROR(IF(H2604&gt;0,H2604*IF(OR(C2604="Alpha",B2604="Alpha"),$C$9,$C$8),""),"")</f>
        <v/>
      </c>
      <c r="L2604" s="139">
        <f>IFERROR(IF(ISNUMBER(F2604),F2604-IF(ISNUMBER(K2604),K2604,0),""),"")</f>
        <v/>
      </c>
    </row>
    <row r="2605" ht="24" customHeight="1" s="63">
      <c r="E2605" s="139" t="n"/>
      <c r="F2605" s="139" t="n"/>
      <c r="G2605" s="140">
        <f>IFERROR(IF(E2605&gt;0,(F2605/E2605)*1000,""),"")</f>
        <v/>
      </c>
      <c r="H2605" s="139">
        <f>IFERROR(IF(E2605&gt;0,E2605*IF(ISNUMBER(J2605),J2605,IF(OR(C2605="Alpha",B2605="Alpha"),$C$7,IF(C2605="Futures",$C$6,$C$5))),""),"")</f>
        <v/>
      </c>
      <c r="I2605" s="139">
        <f>IFERROR(IF(AND(ISNUMBER(F2605),ISNUMBER(H2605)),F2605-H2605,""),"")</f>
        <v/>
      </c>
      <c r="J2605" s="114" t="n"/>
      <c r="K2605" s="139">
        <f>IFERROR(IF(H2605&gt;0,H2605*IF(OR(C2605="Alpha",B2605="Alpha"),$C$9,$C$8),""),"")</f>
        <v/>
      </c>
      <c r="L2605" s="139">
        <f>IFERROR(IF(ISNUMBER(F2605),F2605-IF(ISNUMBER(K2605),K2605,0),""),"")</f>
        <v/>
      </c>
    </row>
    <row r="2606" ht="24" customHeight="1" s="63">
      <c r="E2606" s="139" t="n"/>
      <c r="F2606" s="139" t="n"/>
      <c r="G2606" s="140">
        <f>IFERROR(IF(E2606&gt;0,(F2606/E2606)*1000,""),"")</f>
        <v/>
      </c>
      <c r="H2606" s="139">
        <f>IFERROR(IF(E2606&gt;0,E2606*IF(ISNUMBER(J2606),J2606,IF(OR(C2606="Alpha",B2606="Alpha"),$C$7,IF(C2606="Futures",$C$6,$C$5))),""),"")</f>
        <v/>
      </c>
      <c r="I2606" s="139">
        <f>IFERROR(IF(AND(ISNUMBER(F2606),ISNUMBER(H2606)),F2606-H2606,""),"")</f>
        <v/>
      </c>
      <c r="J2606" s="114" t="n"/>
      <c r="K2606" s="139">
        <f>IFERROR(IF(H2606&gt;0,H2606*IF(OR(C2606="Alpha",B2606="Alpha"),$C$9,$C$8),""),"")</f>
        <v/>
      </c>
      <c r="L2606" s="139">
        <f>IFERROR(IF(ISNUMBER(F2606),F2606-IF(ISNUMBER(K2606),K2606,0),""),"")</f>
        <v/>
      </c>
    </row>
    <row r="2607" ht="24" customHeight="1" s="63">
      <c r="E2607" s="139" t="n"/>
      <c r="F2607" s="139" t="n"/>
      <c r="G2607" s="140">
        <f>IFERROR(IF(E2607&gt;0,(F2607/E2607)*1000,""),"")</f>
        <v/>
      </c>
      <c r="H2607" s="139">
        <f>IFERROR(IF(E2607&gt;0,E2607*IF(ISNUMBER(J2607),J2607,IF(OR(C2607="Alpha",B2607="Alpha"),$C$7,IF(C2607="Futures",$C$6,$C$5))),""),"")</f>
        <v/>
      </c>
      <c r="I2607" s="139">
        <f>IFERROR(IF(AND(ISNUMBER(F2607),ISNUMBER(H2607)),F2607-H2607,""),"")</f>
        <v/>
      </c>
      <c r="J2607" s="114" t="n"/>
      <c r="K2607" s="139">
        <f>IFERROR(IF(H2607&gt;0,H2607*IF(OR(C2607="Alpha",B2607="Alpha"),$C$9,$C$8),""),"")</f>
        <v/>
      </c>
      <c r="L2607" s="139">
        <f>IFERROR(IF(ISNUMBER(F2607),F2607-IF(ISNUMBER(K2607),K2607,0),""),"")</f>
        <v/>
      </c>
    </row>
    <row r="2608" ht="24" customHeight="1" s="63">
      <c r="E2608" s="139" t="n"/>
      <c r="F2608" s="139" t="n"/>
      <c r="G2608" s="140">
        <f>IFERROR(IF(E2608&gt;0,(F2608/E2608)*1000,""),"")</f>
        <v/>
      </c>
      <c r="H2608" s="139">
        <f>IFERROR(IF(E2608&gt;0,E2608*IF(ISNUMBER(J2608),J2608,IF(OR(C2608="Alpha",B2608="Alpha"),$C$7,IF(C2608="Futures",$C$6,$C$5))),""),"")</f>
        <v/>
      </c>
      <c r="I2608" s="139">
        <f>IFERROR(IF(AND(ISNUMBER(F2608),ISNUMBER(H2608)),F2608-H2608,""),"")</f>
        <v/>
      </c>
      <c r="J2608" s="114" t="n"/>
      <c r="K2608" s="139">
        <f>IFERROR(IF(H2608&gt;0,H2608*IF(OR(C2608="Alpha",B2608="Alpha"),$C$9,$C$8),""),"")</f>
        <v/>
      </c>
      <c r="L2608" s="139">
        <f>IFERROR(IF(ISNUMBER(F2608),F2608-IF(ISNUMBER(K2608),K2608,0),""),"")</f>
        <v/>
      </c>
    </row>
    <row r="2609" ht="24" customHeight="1" s="63">
      <c r="E2609" s="139" t="n"/>
      <c r="F2609" s="139" t="n"/>
      <c r="G2609" s="140">
        <f>IFERROR(IF(E2609&gt;0,(F2609/E2609)*1000,""),"")</f>
        <v/>
      </c>
      <c r="H2609" s="139">
        <f>IFERROR(IF(E2609&gt;0,E2609*IF(ISNUMBER(J2609),J2609,IF(OR(C2609="Alpha",B2609="Alpha"),$C$7,IF(C2609="Futures",$C$6,$C$5))),""),"")</f>
        <v/>
      </c>
      <c r="I2609" s="139">
        <f>IFERROR(IF(AND(ISNUMBER(F2609),ISNUMBER(H2609)),F2609-H2609,""),"")</f>
        <v/>
      </c>
      <c r="J2609" s="114" t="n"/>
      <c r="K2609" s="139">
        <f>IFERROR(IF(H2609&gt;0,H2609*IF(OR(C2609="Alpha",B2609="Alpha"),$C$9,$C$8),""),"")</f>
        <v/>
      </c>
      <c r="L2609" s="139">
        <f>IFERROR(IF(ISNUMBER(F2609),F2609-IF(ISNUMBER(K2609),K2609,0),""),"")</f>
        <v/>
      </c>
    </row>
    <row r="2610" ht="24" customHeight="1" s="63">
      <c r="E2610" s="139" t="n"/>
      <c r="F2610" s="139" t="n"/>
      <c r="G2610" s="140">
        <f>IFERROR(IF(E2610&gt;0,(F2610/E2610)*1000,""),"")</f>
        <v/>
      </c>
      <c r="H2610" s="139">
        <f>IFERROR(IF(E2610&gt;0,E2610*IF(ISNUMBER(J2610),J2610,IF(OR(C2610="Alpha",B2610="Alpha"),$C$7,IF(C2610="Futures",$C$6,$C$5))),""),"")</f>
        <v/>
      </c>
      <c r="I2610" s="139">
        <f>IFERROR(IF(AND(ISNUMBER(F2610),ISNUMBER(H2610)),F2610-H2610,""),"")</f>
        <v/>
      </c>
      <c r="J2610" s="114" t="n"/>
      <c r="K2610" s="139">
        <f>IFERROR(IF(H2610&gt;0,H2610*IF(OR(C2610="Alpha",B2610="Alpha"),$C$9,$C$8),""),"")</f>
        <v/>
      </c>
      <c r="L2610" s="139">
        <f>IFERROR(IF(ISNUMBER(F2610),F2610-IF(ISNUMBER(K2610),K2610,0),""),"")</f>
        <v/>
      </c>
    </row>
    <row r="2611" ht="24" customHeight="1" s="63">
      <c r="E2611" s="139" t="n"/>
      <c r="F2611" s="139" t="n"/>
      <c r="G2611" s="140">
        <f>IFERROR(IF(E2611&gt;0,(F2611/E2611)*1000,""),"")</f>
        <v/>
      </c>
      <c r="H2611" s="139">
        <f>IFERROR(IF(E2611&gt;0,E2611*IF(ISNUMBER(J2611),J2611,IF(OR(C2611="Alpha",B2611="Alpha"),$C$7,IF(C2611="Futures",$C$6,$C$5))),""),"")</f>
        <v/>
      </c>
      <c r="I2611" s="139">
        <f>IFERROR(IF(AND(ISNUMBER(F2611),ISNUMBER(H2611)),F2611-H2611,""),"")</f>
        <v/>
      </c>
      <c r="J2611" s="114" t="n"/>
      <c r="K2611" s="139">
        <f>IFERROR(IF(H2611&gt;0,H2611*IF(OR(C2611="Alpha",B2611="Alpha"),$C$9,$C$8),""),"")</f>
        <v/>
      </c>
      <c r="L2611" s="139">
        <f>IFERROR(IF(ISNUMBER(F2611),F2611-IF(ISNUMBER(K2611),K2611,0),""),"")</f>
        <v/>
      </c>
    </row>
    <row r="2612" ht="24" customHeight="1" s="63">
      <c r="E2612" s="139" t="n"/>
      <c r="F2612" s="139" t="n"/>
      <c r="G2612" s="140">
        <f>IFERROR(IF(E2612&gt;0,(F2612/E2612)*1000,""),"")</f>
        <v/>
      </c>
      <c r="H2612" s="139">
        <f>IFERROR(IF(E2612&gt;0,E2612*IF(ISNUMBER(J2612),J2612,IF(OR(C2612="Alpha",B2612="Alpha"),$C$7,IF(C2612="Futures",$C$6,$C$5))),""),"")</f>
        <v/>
      </c>
      <c r="I2612" s="139">
        <f>IFERROR(IF(AND(ISNUMBER(F2612),ISNUMBER(H2612)),F2612-H2612,""),"")</f>
        <v/>
      </c>
      <c r="J2612" s="114" t="n"/>
      <c r="K2612" s="139">
        <f>IFERROR(IF(H2612&gt;0,H2612*IF(OR(C2612="Alpha",B2612="Alpha"),$C$9,$C$8),""),"")</f>
        <v/>
      </c>
      <c r="L2612" s="139">
        <f>IFERROR(IF(ISNUMBER(F2612),F2612-IF(ISNUMBER(K2612),K2612,0),""),"")</f>
        <v/>
      </c>
    </row>
    <row r="2613" ht="24" customHeight="1" s="63">
      <c r="E2613" s="139" t="n"/>
      <c r="F2613" s="139" t="n"/>
      <c r="G2613" s="140">
        <f>IFERROR(IF(E2613&gt;0,(F2613/E2613)*1000,""),"")</f>
        <v/>
      </c>
      <c r="H2613" s="139">
        <f>IFERROR(IF(E2613&gt;0,E2613*IF(ISNUMBER(J2613),J2613,IF(OR(C2613="Alpha",B2613="Alpha"),$C$7,IF(C2613="Futures",$C$6,$C$5))),""),"")</f>
        <v/>
      </c>
      <c r="I2613" s="139">
        <f>IFERROR(IF(AND(ISNUMBER(F2613),ISNUMBER(H2613)),F2613-H2613,""),"")</f>
        <v/>
      </c>
      <c r="J2613" s="114" t="n"/>
      <c r="K2613" s="139">
        <f>IFERROR(IF(H2613&gt;0,H2613*IF(OR(C2613="Alpha",B2613="Alpha"),$C$9,$C$8),""),"")</f>
        <v/>
      </c>
      <c r="L2613" s="139">
        <f>IFERROR(IF(ISNUMBER(F2613),F2613-IF(ISNUMBER(K2613),K2613,0),""),"")</f>
        <v/>
      </c>
    </row>
    <row r="2614" ht="24" customHeight="1" s="63">
      <c r="E2614" s="139" t="n"/>
      <c r="F2614" s="139" t="n"/>
      <c r="G2614" s="140">
        <f>IFERROR(IF(E2614&gt;0,(F2614/E2614)*1000,""),"")</f>
        <v/>
      </c>
      <c r="H2614" s="139">
        <f>IFERROR(IF(E2614&gt;0,E2614*IF(ISNUMBER(J2614),J2614,IF(OR(C2614="Alpha",B2614="Alpha"),$C$7,IF(C2614="Futures",$C$6,$C$5))),""),"")</f>
        <v/>
      </c>
      <c r="I2614" s="139">
        <f>IFERROR(IF(AND(ISNUMBER(F2614),ISNUMBER(H2614)),F2614-H2614,""),"")</f>
        <v/>
      </c>
      <c r="J2614" s="114" t="n"/>
      <c r="K2614" s="139">
        <f>IFERROR(IF(H2614&gt;0,H2614*IF(OR(C2614="Alpha",B2614="Alpha"),$C$9,$C$8),""),"")</f>
        <v/>
      </c>
      <c r="L2614" s="139">
        <f>IFERROR(IF(ISNUMBER(F2614),F2614-IF(ISNUMBER(K2614),K2614,0),""),"")</f>
        <v/>
      </c>
    </row>
    <row r="2615" ht="24" customHeight="1" s="63">
      <c r="E2615" s="139" t="n"/>
      <c r="F2615" s="139" t="n"/>
      <c r="G2615" s="140">
        <f>IFERROR(IF(E2615&gt;0,(F2615/E2615)*1000,""),"")</f>
        <v/>
      </c>
      <c r="H2615" s="139">
        <f>IFERROR(IF(E2615&gt;0,E2615*IF(ISNUMBER(J2615),J2615,IF(OR(C2615="Alpha",B2615="Alpha"),$C$7,IF(C2615="Futures",$C$6,$C$5))),""),"")</f>
        <v/>
      </c>
      <c r="I2615" s="139">
        <f>IFERROR(IF(AND(ISNUMBER(F2615),ISNUMBER(H2615)),F2615-H2615,""),"")</f>
        <v/>
      </c>
      <c r="J2615" s="114" t="n"/>
      <c r="K2615" s="139">
        <f>IFERROR(IF(H2615&gt;0,H2615*IF(OR(C2615="Alpha",B2615="Alpha"),$C$9,$C$8),""),"")</f>
        <v/>
      </c>
      <c r="L2615" s="139">
        <f>IFERROR(IF(ISNUMBER(F2615),F2615-IF(ISNUMBER(K2615),K2615,0),""),"")</f>
        <v/>
      </c>
    </row>
    <row r="2616" ht="24" customHeight="1" s="63">
      <c r="E2616" s="139" t="n"/>
      <c r="F2616" s="139" t="n"/>
      <c r="G2616" s="140">
        <f>IFERROR(IF(E2616&gt;0,(F2616/E2616)*1000,""),"")</f>
        <v/>
      </c>
      <c r="H2616" s="139">
        <f>IFERROR(IF(E2616&gt;0,E2616*IF(ISNUMBER(J2616),J2616,IF(OR(C2616="Alpha",B2616="Alpha"),$C$7,IF(C2616="Futures",$C$6,$C$5))),""),"")</f>
        <v/>
      </c>
      <c r="I2616" s="139">
        <f>IFERROR(IF(AND(ISNUMBER(F2616),ISNUMBER(H2616)),F2616-H2616,""),"")</f>
        <v/>
      </c>
      <c r="J2616" s="114" t="n"/>
      <c r="K2616" s="139">
        <f>IFERROR(IF(H2616&gt;0,H2616*IF(OR(C2616="Alpha",B2616="Alpha"),$C$9,$C$8),""),"")</f>
        <v/>
      </c>
      <c r="L2616" s="139">
        <f>IFERROR(IF(ISNUMBER(F2616),F2616-IF(ISNUMBER(K2616),K2616,0),""),"")</f>
        <v/>
      </c>
    </row>
    <row r="2617" ht="24" customHeight="1" s="63">
      <c r="E2617" s="139" t="n"/>
      <c r="F2617" s="139" t="n"/>
      <c r="G2617" s="140">
        <f>IFERROR(IF(E2617&gt;0,(F2617/E2617)*1000,""),"")</f>
        <v/>
      </c>
      <c r="H2617" s="139">
        <f>IFERROR(IF(E2617&gt;0,E2617*IF(ISNUMBER(J2617),J2617,IF(OR(C2617="Alpha",B2617="Alpha"),$C$7,IF(C2617="Futures",$C$6,$C$5))),""),"")</f>
        <v/>
      </c>
      <c r="I2617" s="139">
        <f>IFERROR(IF(AND(ISNUMBER(F2617),ISNUMBER(H2617)),F2617-H2617,""),"")</f>
        <v/>
      </c>
      <c r="J2617" s="114" t="n"/>
      <c r="K2617" s="139">
        <f>IFERROR(IF(H2617&gt;0,H2617*IF(OR(C2617="Alpha",B2617="Alpha"),$C$9,$C$8),""),"")</f>
        <v/>
      </c>
      <c r="L2617" s="139">
        <f>IFERROR(IF(ISNUMBER(F2617),F2617-IF(ISNUMBER(K2617),K2617,0),""),"")</f>
        <v/>
      </c>
    </row>
    <row r="2618" ht="24" customHeight="1" s="63">
      <c r="E2618" s="139" t="n"/>
      <c r="F2618" s="139" t="n"/>
      <c r="G2618" s="140">
        <f>IFERROR(IF(E2618&gt;0,(F2618/E2618)*1000,""),"")</f>
        <v/>
      </c>
      <c r="H2618" s="139">
        <f>IFERROR(IF(E2618&gt;0,E2618*IF(ISNUMBER(J2618),J2618,IF(OR(C2618="Alpha",B2618="Alpha"),$C$7,IF(C2618="Futures",$C$6,$C$5))),""),"")</f>
        <v/>
      </c>
      <c r="I2618" s="139">
        <f>IFERROR(IF(AND(ISNUMBER(F2618),ISNUMBER(H2618)),F2618-H2618,""),"")</f>
        <v/>
      </c>
      <c r="J2618" s="114" t="n"/>
      <c r="K2618" s="139">
        <f>IFERROR(IF(H2618&gt;0,H2618*IF(OR(C2618="Alpha",B2618="Alpha"),$C$9,$C$8),""),"")</f>
        <v/>
      </c>
      <c r="L2618" s="139">
        <f>IFERROR(IF(ISNUMBER(F2618),F2618-IF(ISNUMBER(K2618),K2618,0),""),"")</f>
        <v/>
      </c>
    </row>
    <row r="2619" ht="24" customHeight="1" s="63">
      <c r="E2619" s="139" t="n"/>
      <c r="F2619" s="139" t="n"/>
      <c r="G2619" s="140">
        <f>IFERROR(IF(E2619&gt;0,(F2619/E2619)*1000,""),"")</f>
        <v/>
      </c>
      <c r="H2619" s="139">
        <f>IFERROR(IF(E2619&gt;0,E2619*IF(ISNUMBER(J2619),J2619,IF(OR(C2619="Alpha",B2619="Alpha"),$C$7,IF(C2619="Futures",$C$6,$C$5))),""),"")</f>
        <v/>
      </c>
      <c r="I2619" s="139">
        <f>IFERROR(IF(AND(ISNUMBER(F2619),ISNUMBER(H2619)),F2619-H2619,""),"")</f>
        <v/>
      </c>
      <c r="J2619" s="114" t="n"/>
      <c r="K2619" s="139">
        <f>IFERROR(IF(H2619&gt;0,H2619*IF(OR(C2619="Alpha",B2619="Alpha"),$C$9,$C$8),""),"")</f>
        <v/>
      </c>
      <c r="L2619" s="139">
        <f>IFERROR(IF(ISNUMBER(F2619),F2619-IF(ISNUMBER(K2619),K2619,0),""),"")</f>
        <v/>
      </c>
    </row>
    <row r="2620" ht="24" customHeight="1" s="63">
      <c r="E2620" s="139" t="n"/>
      <c r="F2620" s="139" t="n"/>
      <c r="G2620" s="140">
        <f>IFERROR(IF(E2620&gt;0,(F2620/E2620)*1000,""),"")</f>
        <v/>
      </c>
      <c r="H2620" s="139">
        <f>IFERROR(IF(E2620&gt;0,E2620*IF(ISNUMBER(J2620),J2620,IF(OR(C2620="Alpha",B2620="Alpha"),$C$7,IF(C2620="Futures",$C$6,$C$5))),""),"")</f>
        <v/>
      </c>
      <c r="I2620" s="139">
        <f>IFERROR(IF(AND(ISNUMBER(F2620),ISNUMBER(H2620)),F2620-H2620,""),"")</f>
        <v/>
      </c>
      <c r="J2620" s="114" t="n"/>
      <c r="K2620" s="139">
        <f>IFERROR(IF(H2620&gt;0,H2620*IF(OR(C2620="Alpha",B2620="Alpha"),$C$9,$C$8),""),"")</f>
        <v/>
      </c>
      <c r="L2620" s="139">
        <f>IFERROR(IF(ISNUMBER(F2620),F2620-IF(ISNUMBER(K2620),K2620,0),""),"")</f>
        <v/>
      </c>
    </row>
    <row r="2621" ht="24" customHeight="1" s="63">
      <c r="E2621" s="139" t="n"/>
      <c r="F2621" s="139" t="n"/>
      <c r="G2621" s="140">
        <f>IFERROR(IF(E2621&gt;0,(F2621/E2621)*1000,""),"")</f>
        <v/>
      </c>
      <c r="H2621" s="139">
        <f>IFERROR(IF(E2621&gt;0,E2621*IF(ISNUMBER(J2621),J2621,IF(OR(C2621="Alpha",B2621="Alpha"),$C$7,IF(C2621="Futures",$C$6,$C$5))),""),"")</f>
        <v/>
      </c>
      <c r="I2621" s="139">
        <f>IFERROR(IF(AND(ISNUMBER(F2621),ISNUMBER(H2621)),F2621-H2621,""),"")</f>
        <v/>
      </c>
      <c r="J2621" s="114" t="n"/>
      <c r="K2621" s="139">
        <f>IFERROR(IF(H2621&gt;0,H2621*IF(OR(C2621="Alpha",B2621="Alpha"),$C$9,$C$8),""),"")</f>
        <v/>
      </c>
      <c r="L2621" s="139">
        <f>IFERROR(IF(ISNUMBER(F2621),F2621-IF(ISNUMBER(K2621),K2621,0),""),"")</f>
        <v/>
      </c>
    </row>
    <row r="2622" ht="24" customHeight="1" s="63">
      <c r="E2622" s="139" t="n"/>
      <c r="F2622" s="139" t="n"/>
      <c r="G2622" s="140">
        <f>IFERROR(IF(E2622&gt;0,(F2622/E2622)*1000,""),"")</f>
        <v/>
      </c>
      <c r="H2622" s="139">
        <f>IFERROR(IF(E2622&gt;0,E2622*IF(ISNUMBER(J2622),J2622,IF(OR(C2622="Alpha",B2622="Alpha"),$C$7,IF(C2622="Futures",$C$6,$C$5))),""),"")</f>
        <v/>
      </c>
      <c r="I2622" s="139">
        <f>IFERROR(IF(AND(ISNUMBER(F2622),ISNUMBER(H2622)),F2622-H2622,""),"")</f>
        <v/>
      </c>
      <c r="J2622" s="114" t="n"/>
      <c r="K2622" s="139">
        <f>IFERROR(IF(H2622&gt;0,H2622*IF(OR(C2622="Alpha",B2622="Alpha"),$C$9,$C$8),""),"")</f>
        <v/>
      </c>
      <c r="L2622" s="139">
        <f>IFERROR(IF(ISNUMBER(F2622),F2622-IF(ISNUMBER(K2622),K2622,0),""),"")</f>
        <v/>
      </c>
    </row>
    <row r="2623" ht="24" customHeight="1" s="63">
      <c r="E2623" s="139" t="n"/>
      <c r="F2623" s="139" t="n"/>
      <c r="G2623" s="140">
        <f>IFERROR(IF(E2623&gt;0,(F2623/E2623)*1000,""),"")</f>
        <v/>
      </c>
      <c r="H2623" s="139">
        <f>IFERROR(IF(E2623&gt;0,E2623*IF(ISNUMBER(J2623),J2623,IF(OR(C2623="Alpha",B2623="Alpha"),$C$7,IF(C2623="Futures",$C$6,$C$5))),""),"")</f>
        <v/>
      </c>
      <c r="I2623" s="139">
        <f>IFERROR(IF(AND(ISNUMBER(F2623),ISNUMBER(H2623)),F2623-H2623,""),"")</f>
        <v/>
      </c>
      <c r="J2623" s="114" t="n"/>
      <c r="K2623" s="139">
        <f>IFERROR(IF(H2623&gt;0,H2623*IF(OR(C2623="Alpha",B2623="Alpha"),$C$9,$C$8),""),"")</f>
        <v/>
      </c>
      <c r="L2623" s="139">
        <f>IFERROR(IF(ISNUMBER(F2623),F2623-IF(ISNUMBER(K2623),K2623,0),""),"")</f>
        <v/>
      </c>
    </row>
    <row r="2624" ht="24" customHeight="1" s="63">
      <c r="E2624" s="139" t="n"/>
      <c r="F2624" s="139" t="n"/>
      <c r="G2624" s="140">
        <f>IFERROR(IF(E2624&gt;0,(F2624/E2624)*1000,""),"")</f>
        <v/>
      </c>
      <c r="H2624" s="139">
        <f>IFERROR(IF(E2624&gt;0,E2624*IF(ISNUMBER(J2624),J2624,IF(OR(C2624="Alpha",B2624="Alpha"),$C$7,IF(C2624="Futures",$C$6,$C$5))),""),"")</f>
        <v/>
      </c>
      <c r="I2624" s="139">
        <f>IFERROR(IF(AND(ISNUMBER(F2624),ISNUMBER(H2624)),F2624-H2624,""),"")</f>
        <v/>
      </c>
      <c r="J2624" s="114" t="n"/>
      <c r="K2624" s="139">
        <f>IFERROR(IF(H2624&gt;0,H2624*IF(OR(C2624="Alpha",B2624="Alpha"),$C$9,$C$8),""),"")</f>
        <v/>
      </c>
      <c r="L2624" s="139">
        <f>IFERROR(IF(ISNUMBER(F2624),F2624-IF(ISNUMBER(K2624),K2624,0),""),"")</f>
        <v/>
      </c>
    </row>
    <row r="2625" ht="24" customHeight="1" s="63">
      <c r="E2625" s="139" t="n"/>
      <c r="F2625" s="139" t="n"/>
      <c r="G2625" s="140">
        <f>IFERROR(IF(E2625&gt;0,(F2625/E2625)*1000,""),"")</f>
        <v/>
      </c>
      <c r="H2625" s="139">
        <f>IFERROR(IF(E2625&gt;0,E2625*IF(ISNUMBER(J2625),J2625,IF(OR(C2625="Alpha",B2625="Alpha"),$C$7,IF(C2625="Futures",$C$6,$C$5))),""),"")</f>
        <v/>
      </c>
      <c r="I2625" s="139">
        <f>IFERROR(IF(AND(ISNUMBER(F2625),ISNUMBER(H2625)),F2625-H2625,""),"")</f>
        <v/>
      </c>
      <c r="J2625" s="114" t="n"/>
      <c r="K2625" s="139">
        <f>IFERROR(IF(H2625&gt;0,H2625*IF(OR(C2625="Alpha",B2625="Alpha"),$C$9,$C$8),""),"")</f>
        <v/>
      </c>
      <c r="L2625" s="139">
        <f>IFERROR(IF(ISNUMBER(F2625),F2625-IF(ISNUMBER(K2625),K2625,0),""),"")</f>
        <v/>
      </c>
    </row>
    <row r="2626" ht="24" customHeight="1" s="63">
      <c r="E2626" s="139" t="n"/>
      <c r="F2626" s="139" t="n"/>
      <c r="G2626" s="140">
        <f>IFERROR(IF(E2626&gt;0,(F2626/E2626)*1000,""),"")</f>
        <v/>
      </c>
      <c r="H2626" s="139">
        <f>IFERROR(IF(E2626&gt;0,E2626*IF(ISNUMBER(J2626),J2626,IF(OR(C2626="Alpha",B2626="Alpha"),$C$7,IF(C2626="Futures",$C$6,$C$5))),""),"")</f>
        <v/>
      </c>
      <c r="I2626" s="139">
        <f>IFERROR(IF(AND(ISNUMBER(F2626),ISNUMBER(H2626)),F2626-H2626,""),"")</f>
        <v/>
      </c>
      <c r="J2626" s="114" t="n"/>
      <c r="K2626" s="139">
        <f>IFERROR(IF(H2626&gt;0,H2626*IF(OR(C2626="Alpha",B2626="Alpha"),$C$9,$C$8),""),"")</f>
        <v/>
      </c>
      <c r="L2626" s="139">
        <f>IFERROR(IF(ISNUMBER(F2626),F2626-IF(ISNUMBER(K2626),K2626,0),""),"")</f>
        <v/>
      </c>
    </row>
    <row r="2627" ht="24" customHeight="1" s="63">
      <c r="E2627" s="139" t="n"/>
      <c r="F2627" s="139" t="n"/>
      <c r="G2627" s="140">
        <f>IFERROR(IF(E2627&gt;0,(F2627/E2627)*1000,""),"")</f>
        <v/>
      </c>
      <c r="H2627" s="139">
        <f>IFERROR(IF(E2627&gt;0,E2627*IF(ISNUMBER(J2627),J2627,IF(OR(C2627="Alpha",B2627="Alpha"),$C$7,IF(C2627="Futures",$C$6,$C$5))),""),"")</f>
        <v/>
      </c>
      <c r="I2627" s="139">
        <f>IFERROR(IF(AND(ISNUMBER(F2627),ISNUMBER(H2627)),F2627-H2627,""),"")</f>
        <v/>
      </c>
      <c r="J2627" s="114" t="n"/>
      <c r="K2627" s="139">
        <f>IFERROR(IF(H2627&gt;0,H2627*IF(OR(C2627="Alpha",B2627="Alpha"),$C$9,$C$8),""),"")</f>
        <v/>
      </c>
      <c r="L2627" s="139">
        <f>IFERROR(IF(ISNUMBER(F2627),F2627-IF(ISNUMBER(K2627),K2627,0),""),"")</f>
        <v/>
      </c>
    </row>
    <row r="2628" ht="24" customHeight="1" s="63">
      <c r="E2628" s="139" t="n"/>
      <c r="F2628" s="139" t="n"/>
      <c r="G2628" s="140">
        <f>IFERROR(IF(E2628&gt;0,(F2628/E2628)*1000,""),"")</f>
        <v/>
      </c>
      <c r="H2628" s="139">
        <f>IFERROR(IF(E2628&gt;0,E2628*IF(ISNUMBER(J2628),J2628,IF(OR(C2628="Alpha",B2628="Alpha"),$C$7,IF(C2628="Futures",$C$6,$C$5))),""),"")</f>
        <v/>
      </c>
      <c r="I2628" s="139">
        <f>IFERROR(IF(AND(ISNUMBER(F2628),ISNUMBER(H2628)),F2628-H2628,""),"")</f>
        <v/>
      </c>
      <c r="J2628" s="114" t="n"/>
      <c r="K2628" s="139">
        <f>IFERROR(IF(H2628&gt;0,H2628*IF(OR(C2628="Alpha",B2628="Alpha"),$C$9,$C$8),""),"")</f>
        <v/>
      </c>
      <c r="L2628" s="139">
        <f>IFERROR(IF(ISNUMBER(F2628),F2628-IF(ISNUMBER(K2628),K2628,0),""),"")</f>
        <v/>
      </c>
    </row>
    <row r="2629" ht="24" customHeight="1" s="63">
      <c r="E2629" s="139" t="n"/>
      <c r="F2629" s="139" t="n"/>
      <c r="G2629" s="140">
        <f>IFERROR(IF(E2629&gt;0,(F2629/E2629)*1000,""),"")</f>
        <v/>
      </c>
      <c r="H2629" s="139">
        <f>IFERROR(IF(E2629&gt;0,E2629*IF(ISNUMBER(J2629),J2629,IF(OR(C2629="Alpha",B2629="Alpha"),$C$7,IF(C2629="Futures",$C$6,$C$5))),""),"")</f>
        <v/>
      </c>
      <c r="I2629" s="139">
        <f>IFERROR(IF(AND(ISNUMBER(F2629),ISNUMBER(H2629)),F2629-H2629,""),"")</f>
        <v/>
      </c>
      <c r="J2629" s="114" t="n"/>
      <c r="K2629" s="139">
        <f>IFERROR(IF(H2629&gt;0,H2629*IF(OR(C2629="Alpha",B2629="Alpha"),$C$9,$C$8),""),"")</f>
        <v/>
      </c>
      <c r="L2629" s="139">
        <f>IFERROR(IF(ISNUMBER(F2629),F2629-IF(ISNUMBER(K2629),K2629,0),""),"")</f>
        <v/>
      </c>
    </row>
    <row r="2630" ht="24" customHeight="1" s="63">
      <c r="E2630" s="139" t="n"/>
      <c r="F2630" s="139" t="n"/>
      <c r="G2630" s="140">
        <f>IFERROR(IF(E2630&gt;0,(F2630/E2630)*1000,""),"")</f>
        <v/>
      </c>
      <c r="H2630" s="139">
        <f>IFERROR(IF(E2630&gt;0,E2630*IF(ISNUMBER(J2630),J2630,IF(OR(C2630="Alpha",B2630="Alpha"),$C$7,IF(C2630="Futures",$C$6,$C$5))),""),"")</f>
        <v/>
      </c>
      <c r="I2630" s="139">
        <f>IFERROR(IF(AND(ISNUMBER(F2630),ISNUMBER(H2630)),F2630-H2630,""),"")</f>
        <v/>
      </c>
      <c r="J2630" s="114" t="n"/>
      <c r="K2630" s="139">
        <f>IFERROR(IF(H2630&gt;0,H2630*IF(OR(C2630="Alpha",B2630="Alpha"),$C$9,$C$8),""),"")</f>
        <v/>
      </c>
      <c r="L2630" s="139">
        <f>IFERROR(IF(ISNUMBER(F2630),F2630-IF(ISNUMBER(K2630),K2630,0),""),"")</f>
        <v/>
      </c>
    </row>
    <row r="2631" ht="24" customHeight="1" s="63">
      <c r="E2631" s="139" t="n"/>
      <c r="F2631" s="139" t="n"/>
      <c r="G2631" s="140">
        <f>IFERROR(IF(E2631&gt;0,(F2631/E2631)*1000,""),"")</f>
        <v/>
      </c>
      <c r="H2631" s="139">
        <f>IFERROR(IF(E2631&gt;0,E2631*IF(ISNUMBER(J2631),J2631,IF(OR(C2631="Alpha",B2631="Alpha"),$C$7,IF(C2631="Futures",$C$6,$C$5))),""),"")</f>
        <v/>
      </c>
      <c r="I2631" s="139">
        <f>IFERROR(IF(AND(ISNUMBER(F2631),ISNUMBER(H2631)),F2631-H2631,""),"")</f>
        <v/>
      </c>
      <c r="J2631" s="114" t="n"/>
      <c r="K2631" s="139">
        <f>IFERROR(IF(H2631&gt;0,H2631*IF(OR(C2631="Alpha",B2631="Alpha"),$C$9,$C$8),""),"")</f>
        <v/>
      </c>
      <c r="L2631" s="139">
        <f>IFERROR(IF(ISNUMBER(F2631),F2631-IF(ISNUMBER(K2631),K2631,0),""),"")</f>
        <v/>
      </c>
    </row>
    <row r="2632" ht="24" customHeight="1" s="63">
      <c r="E2632" s="139" t="n"/>
      <c r="F2632" s="139" t="n"/>
      <c r="G2632" s="140">
        <f>IFERROR(IF(E2632&gt;0,(F2632/E2632)*1000,""),"")</f>
        <v/>
      </c>
      <c r="H2632" s="139">
        <f>IFERROR(IF(E2632&gt;0,E2632*IF(ISNUMBER(J2632),J2632,IF(OR(C2632="Alpha",B2632="Alpha"),$C$7,IF(C2632="Futures",$C$6,$C$5))),""),"")</f>
        <v/>
      </c>
      <c r="I2632" s="139">
        <f>IFERROR(IF(AND(ISNUMBER(F2632),ISNUMBER(H2632)),F2632-H2632,""),"")</f>
        <v/>
      </c>
      <c r="J2632" s="114" t="n"/>
      <c r="K2632" s="139">
        <f>IFERROR(IF(H2632&gt;0,H2632*IF(OR(C2632="Alpha",B2632="Alpha"),$C$9,$C$8),""),"")</f>
        <v/>
      </c>
      <c r="L2632" s="139">
        <f>IFERROR(IF(ISNUMBER(F2632),F2632-IF(ISNUMBER(K2632),K2632,0),""),"")</f>
        <v/>
      </c>
    </row>
    <row r="2633" ht="24" customHeight="1" s="63">
      <c r="E2633" s="139" t="n"/>
      <c r="F2633" s="139" t="n"/>
      <c r="G2633" s="140">
        <f>IFERROR(IF(E2633&gt;0,(F2633/E2633)*1000,""),"")</f>
        <v/>
      </c>
      <c r="H2633" s="139">
        <f>IFERROR(IF(E2633&gt;0,E2633*IF(ISNUMBER(J2633),J2633,IF(OR(C2633="Alpha",B2633="Alpha"),$C$7,IF(C2633="Futures",$C$6,$C$5))),""),"")</f>
        <v/>
      </c>
      <c r="I2633" s="139">
        <f>IFERROR(IF(AND(ISNUMBER(F2633),ISNUMBER(H2633)),F2633-H2633,""),"")</f>
        <v/>
      </c>
      <c r="J2633" s="114" t="n"/>
      <c r="K2633" s="139">
        <f>IFERROR(IF(H2633&gt;0,H2633*IF(OR(C2633="Alpha",B2633="Alpha"),$C$9,$C$8),""),"")</f>
        <v/>
      </c>
      <c r="L2633" s="139">
        <f>IFERROR(IF(ISNUMBER(F2633),F2633-IF(ISNUMBER(K2633),K2633,0),""),"")</f>
        <v/>
      </c>
    </row>
    <row r="2634" ht="24" customHeight="1" s="63">
      <c r="E2634" s="139" t="n"/>
      <c r="F2634" s="139" t="n"/>
      <c r="G2634" s="140">
        <f>IFERROR(IF(E2634&gt;0,(F2634/E2634)*1000,""),"")</f>
        <v/>
      </c>
      <c r="H2634" s="139">
        <f>IFERROR(IF(E2634&gt;0,E2634*IF(ISNUMBER(J2634),J2634,IF(OR(C2634="Alpha",B2634="Alpha"),$C$7,IF(C2634="Futures",$C$6,$C$5))),""),"")</f>
        <v/>
      </c>
      <c r="I2634" s="139">
        <f>IFERROR(IF(AND(ISNUMBER(F2634),ISNUMBER(H2634)),F2634-H2634,""),"")</f>
        <v/>
      </c>
      <c r="J2634" s="114" t="n"/>
      <c r="K2634" s="139">
        <f>IFERROR(IF(H2634&gt;0,H2634*IF(OR(C2634="Alpha",B2634="Alpha"),$C$9,$C$8),""),"")</f>
        <v/>
      </c>
      <c r="L2634" s="139">
        <f>IFERROR(IF(ISNUMBER(F2634),F2634-IF(ISNUMBER(K2634),K2634,0),""),"")</f>
        <v/>
      </c>
    </row>
    <row r="2635" ht="24" customHeight="1" s="63">
      <c r="E2635" s="139" t="n"/>
      <c r="F2635" s="139" t="n"/>
      <c r="G2635" s="140">
        <f>IFERROR(IF(E2635&gt;0,(F2635/E2635)*1000,""),"")</f>
        <v/>
      </c>
      <c r="H2635" s="139">
        <f>IFERROR(IF(E2635&gt;0,E2635*IF(ISNUMBER(J2635),J2635,IF(OR(C2635="Alpha",B2635="Alpha"),$C$7,IF(C2635="Futures",$C$6,$C$5))),""),"")</f>
        <v/>
      </c>
      <c r="I2635" s="139">
        <f>IFERROR(IF(AND(ISNUMBER(F2635),ISNUMBER(H2635)),F2635-H2635,""),"")</f>
        <v/>
      </c>
      <c r="J2635" s="114" t="n"/>
      <c r="K2635" s="139">
        <f>IFERROR(IF(H2635&gt;0,H2635*IF(OR(C2635="Alpha",B2635="Alpha"),$C$9,$C$8),""),"")</f>
        <v/>
      </c>
      <c r="L2635" s="139">
        <f>IFERROR(IF(ISNUMBER(F2635),F2635-IF(ISNUMBER(K2635),K2635,0),""),"")</f>
        <v/>
      </c>
    </row>
    <row r="2636" ht="24" customHeight="1" s="63">
      <c r="E2636" s="139" t="n"/>
      <c r="F2636" s="139" t="n"/>
      <c r="G2636" s="140">
        <f>IFERROR(IF(E2636&gt;0,(F2636/E2636)*1000,""),"")</f>
        <v/>
      </c>
      <c r="H2636" s="139">
        <f>IFERROR(IF(E2636&gt;0,E2636*IF(ISNUMBER(J2636),J2636,IF(OR(C2636="Alpha",B2636="Alpha"),$C$7,IF(C2636="Futures",$C$6,$C$5))),""),"")</f>
        <v/>
      </c>
      <c r="I2636" s="139">
        <f>IFERROR(IF(AND(ISNUMBER(F2636),ISNUMBER(H2636)),F2636-H2636,""),"")</f>
        <v/>
      </c>
      <c r="J2636" s="114" t="n"/>
      <c r="K2636" s="139">
        <f>IFERROR(IF(H2636&gt;0,H2636*IF(OR(C2636="Alpha",B2636="Alpha"),$C$9,$C$8),""),"")</f>
        <v/>
      </c>
      <c r="L2636" s="139">
        <f>IFERROR(IF(ISNUMBER(F2636),F2636-IF(ISNUMBER(K2636),K2636,0),""),"")</f>
        <v/>
      </c>
    </row>
    <row r="2637" ht="24" customHeight="1" s="63">
      <c r="E2637" s="139" t="n"/>
      <c r="F2637" s="139" t="n"/>
      <c r="G2637" s="140">
        <f>IFERROR(IF(E2637&gt;0,(F2637/E2637)*1000,""),"")</f>
        <v/>
      </c>
      <c r="H2637" s="139">
        <f>IFERROR(IF(E2637&gt;0,E2637*IF(ISNUMBER(J2637),J2637,IF(OR(C2637="Alpha",B2637="Alpha"),$C$7,IF(C2637="Futures",$C$6,$C$5))),""),"")</f>
        <v/>
      </c>
      <c r="I2637" s="139">
        <f>IFERROR(IF(AND(ISNUMBER(F2637),ISNUMBER(H2637)),F2637-H2637,""),"")</f>
        <v/>
      </c>
      <c r="J2637" s="114" t="n"/>
      <c r="K2637" s="139">
        <f>IFERROR(IF(H2637&gt;0,H2637*IF(OR(C2637="Alpha",B2637="Alpha"),$C$9,$C$8),""),"")</f>
        <v/>
      </c>
      <c r="L2637" s="139">
        <f>IFERROR(IF(ISNUMBER(F2637),F2637-IF(ISNUMBER(K2637),K2637,0),""),"")</f>
        <v/>
      </c>
    </row>
    <row r="2638" ht="24" customHeight="1" s="63">
      <c r="E2638" s="139" t="n"/>
      <c r="F2638" s="139" t="n"/>
      <c r="G2638" s="140">
        <f>IFERROR(IF(E2638&gt;0,(F2638/E2638)*1000,""),"")</f>
        <v/>
      </c>
      <c r="H2638" s="139">
        <f>IFERROR(IF(E2638&gt;0,E2638*IF(ISNUMBER(J2638),J2638,IF(OR(C2638="Alpha",B2638="Alpha"),$C$7,IF(C2638="Futures",$C$6,$C$5))),""),"")</f>
        <v/>
      </c>
      <c r="I2638" s="139">
        <f>IFERROR(IF(AND(ISNUMBER(F2638),ISNUMBER(H2638)),F2638-H2638,""),"")</f>
        <v/>
      </c>
      <c r="J2638" s="114" t="n"/>
      <c r="K2638" s="139">
        <f>IFERROR(IF(H2638&gt;0,H2638*IF(OR(C2638="Alpha",B2638="Alpha"),$C$9,$C$8),""),"")</f>
        <v/>
      </c>
      <c r="L2638" s="139">
        <f>IFERROR(IF(ISNUMBER(F2638),F2638-IF(ISNUMBER(K2638),K2638,0),""),"")</f>
        <v/>
      </c>
    </row>
    <row r="2639" ht="24" customHeight="1" s="63">
      <c r="E2639" s="139" t="n"/>
      <c r="F2639" s="139" t="n"/>
      <c r="G2639" s="140">
        <f>IFERROR(IF(E2639&gt;0,(F2639/E2639)*1000,""),"")</f>
        <v/>
      </c>
      <c r="H2639" s="139">
        <f>IFERROR(IF(E2639&gt;0,E2639*IF(ISNUMBER(J2639),J2639,IF(OR(C2639="Alpha",B2639="Alpha"),$C$7,IF(C2639="Futures",$C$6,$C$5))),""),"")</f>
        <v/>
      </c>
      <c r="I2639" s="139">
        <f>IFERROR(IF(AND(ISNUMBER(F2639),ISNUMBER(H2639)),F2639-H2639,""),"")</f>
        <v/>
      </c>
      <c r="J2639" s="114" t="n"/>
      <c r="K2639" s="139">
        <f>IFERROR(IF(H2639&gt;0,H2639*IF(OR(C2639="Alpha",B2639="Alpha"),$C$9,$C$8),""),"")</f>
        <v/>
      </c>
      <c r="L2639" s="139">
        <f>IFERROR(IF(ISNUMBER(F2639),F2639-IF(ISNUMBER(K2639),K2639,0),""),"")</f>
        <v/>
      </c>
    </row>
    <row r="2640" ht="24" customHeight="1" s="63">
      <c r="E2640" s="139" t="n"/>
      <c r="F2640" s="139" t="n"/>
      <c r="G2640" s="140">
        <f>IFERROR(IF(E2640&gt;0,(F2640/E2640)*1000,""),"")</f>
        <v/>
      </c>
      <c r="H2640" s="139">
        <f>IFERROR(IF(E2640&gt;0,E2640*IF(ISNUMBER(J2640),J2640,IF(OR(C2640="Alpha",B2640="Alpha"),$C$7,IF(C2640="Futures",$C$6,$C$5))),""),"")</f>
        <v/>
      </c>
      <c r="I2640" s="139">
        <f>IFERROR(IF(AND(ISNUMBER(F2640),ISNUMBER(H2640)),F2640-H2640,""),"")</f>
        <v/>
      </c>
      <c r="J2640" s="114" t="n"/>
      <c r="K2640" s="139">
        <f>IFERROR(IF(H2640&gt;0,H2640*IF(OR(C2640="Alpha",B2640="Alpha"),$C$9,$C$8),""),"")</f>
        <v/>
      </c>
      <c r="L2640" s="139">
        <f>IFERROR(IF(ISNUMBER(F2640),F2640-IF(ISNUMBER(K2640),K2640,0),""),"")</f>
        <v/>
      </c>
    </row>
    <row r="2641" ht="24" customHeight="1" s="63">
      <c r="E2641" s="139" t="n"/>
      <c r="F2641" s="139" t="n"/>
      <c r="G2641" s="140">
        <f>IFERROR(IF(E2641&gt;0,(F2641/E2641)*1000,""),"")</f>
        <v/>
      </c>
      <c r="H2641" s="139">
        <f>IFERROR(IF(E2641&gt;0,E2641*IF(ISNUMBER(J2641),J2641,IF(OR(C2641="Alpha",B2641="Alpha"),$C$7,IF(C2641="Futures",$C$6,$C$5))),""),"")</f>
        <v/>
      </c>
      <c r="I2641" s="139">
        <f>IFERROR(IF(AND(ISNUMBER(F2641),ISNUMBER(H2641)),F2641-H2641,""),"")</f>
        <v/>
      </c>
      <c r="J2641" s="114" t="n"/>
      <c r="K2641" s="139">
        <f>IFERROR(IF(H2641&gt;0,H2641*IF(OR(C2641="Alpha",B2641="Alpha"),$C$9,$C$8),""),"")</f>
        <v/>
      </c>
      <c r="L2641" s="139">
        <f>IFERROR(IF(ISNUMBER(F2641),F2641-IF(ISNUMBER(K2641),K2641,0),""),"")</f>
        <v/>
      </c>
    </row>
    <row r="2642" ht="24" customHeight="1" s="63">
      <c r="E2642" s="139" t="n"/>
      <c r="F2642" s="139" t="n"/>
      <c r="G2642" s="140">
        <f>IFERROR(IF(E2642&gt;0,(F2642/E2642)*1000,""),"")</f>
        <v/>
      </c>
      <c r="H2642" s="139">
        <f>IFERROR(IF(E2642&gt;0,E2642*IF(ISNUMBER(J2642),J2642,IF(OR(C2642="Alpha",B2642="Alpha"),$C$7,IF(C2642="Futures",$C$6,$C$5))),""),"")</f>
        <v/>
      </c>
      <c r="I2642" s="139">
        <f>IFERROR(IF(AND(ISNUMBER(F2642),ISNUMBER(H2642)),F2642-H2642,""),"")</f>
        <v/>
      </c>
      <c r="J2642" s="114" t="n"/>
      <c r="K2642" s="139">
        <f>IFERROR(IF(H2642&gt;0,H2642*IF(OR(C2642="Alpha",B2642="Alpha"),$C$9,$C$8),""),"")</f>
        <v/>
      </c>
      <c r="L2642" s="139">
        <f>IFERROR(IF(ISNUMBER(F2642),F2642-IF(ISNUMBER(K2642),K2642,0),""),"")</f>
        <v/>
      </c>
    </row>
    <row r="2643" ht="24" customHeight="1" s="63">
      <c r="E2643" s="139" t="n"/>
      <c r="F2643" s="139" t="n"/>
      <c r="G2643" s="140">
        <f>IFERROR(IF(E2643&gt;0,(F2643/E2643)*1000,""),"")</f>
        <v/>
      </c>
      <c r="H2643" s="139">
        <f>IFERROR(IF(E2643&gt;0,E2643*IF(ISNUMBER(J2643),J2643,IF(OR(C2643="Alpha",B2643="Alpha"),$C$7,IF(C2643="Futures",$C$6,$C$5))),""),"")</f>
        <v/>
      </c>
      <c r="I2643" s="139">
        <f>IFERROR(IF(AND(ISNUMBER(F2643),ISNUMBER(H2643)),F2643-H2643,""),"")</f>
        <v/>
      </c>
      <c r="J2643" s="114" t="n"/>
      <c r="K2643" s="139">
        <f>IFERROR(IF(H2643&gt;0,H2643*IF(OR(C2643="Alpha",B2643="Alpha"),$C$9,$C$8),""),"")</f>
        <v/>
      </c>
      <c r="L2643" s="139">
        <f>IFERROR(IF(ISNUMBER(F2643),F2643-IF(ISNUMBER(K2643),K2643,0),""),"")</f>
        <v/>
      </c>
    </row>
    <row r="2644" ht="24" customHeight="1" s="63">
      <c r="E2644" s="139" t="n"/>
      <c r="F2644" s="139" t="n"/>
      <c r="G2644" s="140">
        <f>IFERROR(IF(E2644&gt;0,(F2644/E2644)*1000,""),"")</f>
        <v/>
      </c>
      <c r="H2644" s="139">
        <f>IFERROR(IF(E2644&gt;0,E2644*IF(ISNUMBER(J2644),J2644,IF(OR(C2644="Alpha",B2644="Alpha"),$C$7,IF(C2644="Futures",$C$6,$C$5))),""),"")</f>
        <v/>
      </c>
      <c r="I2644" s="139">
        <f>IFERROR(IF(AND(ISNUMBER(F2644),ISNUMBER(H2644)),F2644-H2644,""),"")</f>
        <v/>
      </c>
      <c r="J2644" s="114" t="n"/>
      <c r="K2644" s="139">
        <f>IFERROR(IF(H2644&gt;0,H2644*IF(OR(C2644="Alpha",B2644="Alpha"),$C$9,$C$8),""),"")</f>
        <v/>
      </c>
      <c r="L2644" s="139">
        <f>IFERROR(IF(ISNUMBER(F2644),F2644-IF(ISNUMBER(K2644),K2644,0),""),"")</f>
        <v/>
      </c>
    </row>
    <row r="2645" ht="24" customHeight="1" s="63">
      <c r="E2645" s="139" t="n"/>
      <c r="F2645" s="139" t="n"/>
      <c r="G2645" s="140">
        <f>IFERROR(IF(E2645&gt;0,(F2645/E2645)*1000,""),"")</f>
        <v/>
      </c>
      <c r="H2645" s="139">
        <f>IFERROR(IF(E2645&gt;0,E2645*IF(ISNUMBER(J2645),J2645,IF(OR(C2645="Alpha",B2645="Alpha"),$C$7,IF(C2645="Futures",$C$6,$C$5))),""),"")</f>
        <v/>
      </c>
      <c r="I2645" s="139">
        <f>IFERROR(IF(AND(ISNUMBER(F2645),ISNUMBER(H2645)),F2645-H2645,""),"")</f>
        <v/>
      </c>
      <c r="J2645" s="114" t="n"/>
      <c r="K2645" s="139">
        <f>IFERROR(IF(H2645&gt;0,H2645*IF(OR(C2645="Alpha",B2645="Alpha"),$C$9,$C$8),""),"")</f>
        <v/>
      </c>
      <c r="L2645" s="139">
        <f>IFERROR(IF(ISNUMBER(F2645),F2645-IF(ISNUMBER(K2645),K2645,0),""),"")</f>
        <v/>
      </c>
    </row>
    <row r="2646" ht="24" customHeight="1" s="63">
      <c r="E2646" s="139" t="n"/>
      <c r="F2646" s="139" t="n"/>
      <c r="G2646" s="140">
        <f>IFERROR(IF(E2646&gt;0,(F2646/E2646)*1000,""),"")</f>
        <v/>
      </c>
      <c r="H2646" s="139">
        <f>IFERROR(IF(E2646&gt;0,E2646*IF(ISNUMBER(J2646),J2646,IF(OR(C2646="Alpha",B2646="Alpha"),$C$7,IF(C2646="Futures",$C$6,$C$5))),""),"")</f>
        <v/>
      </c>
      <c r="I2646" s="139">
        <f>IFERROR(IF(AND(ISNUMBER(F2646),ISNUMBER(H2646)),F2646-H2646,""),"")</f>
        <v/>
      </c>
      <c r="J2646" s="114" t="n"/>
      <c r="K2646" s="139">
        <f>IFERROR(IF(H2646&gt;0,H2646*IF(OR(C2646="Alpha",B2646="Alpha"),$C$9,$C$8),""),"")</f>
        <v/>
      </c>
      <c r="L2646" s="139">
        <f>IFERROR(IF(ISNUMBER(F2646),F2646-IF(ISNUMBER(K2646),K2646,0),""),"")</f>
        <v/>
      </c>
    </row>
    <row r="2647" ht="24" customHeight="1" s="63">
      <c r="E2647" s="139" t="n"/>
      <c r="F2647" s="139" t="n"/>
      <c r="G2647" s="140">
        <f>IFERROR(IF(E2647&gt;0,(F2647/E2647)*1000,""),"")</f>
        <v/>
      </c>
      <c r="H2647" s="139">
        <f>IFERROR(IF(E2647&gt;0,E2647*IF(ISNUMBER(J2647),J2647,IF(OR(C2647="Alpha",B2647="Alpha"),$C$7,IF(C2647="Futures",$C$6,$C$5))),""),"")</f>
        <v/>
      </c>
      <c r="I2647" s="139">
        <f>IFERROR(IF(AND(ISNUMBER(F2647),ISNUMBER(H2647)),F2647-H2647,""),"")</f>
        <v/>
      </c>
      <c r="J2647" s="114" t="n"/>
      <c r="K2647" s="139">
        <f>IFERROR(IF(H2647&gt;0,H2647*IF(OR(C2647="Alpha",B2647="Alpha"),$C$9,$C$8),""),"")</f>
        <v/>
      </c>
      <c r="L2647" s="139">
        <f>IFERROR(IF(ISNUMBER(F2647),F2647-IF(ISNUMBER(K2647),K2647,0),""),"")</f>
        <v/>
      </c>
    </row>
    <row r="2648" ht="24" customHeight="1" s="63">
      <c r="E2648" s="139" t="n"/>
      <c r="F2648" s="139" t="n"/>
      <c r="G2648" s="140">
        <f>IFERROR(IF(E2648&gt;0,(F2648/E2648)*1000,""),"")</f>
        <v/>
      </c>
      <c r="H2648" s="139">
        <f>IFERROR(IF(E2648&gt;0,E2648*IF(ISNUMBER(J2648),J2648,IF(OR(C2648="Alpha",B2648="Alpha"),$C$7,IF(C2648="Futures",$C$6,$C$5))),""),"")</f>
        <v/>
      </c>
      <c r="I2648" s="139">
        <f>IFERROR(IF(AND(ISNUMBER(F2648),ISNUMBER(H2648)),F2648-H2648,""),"")</f>
        <v/>
      </c>
      <c r="J2648" s="114" t="n"/>
      <c r="K2648" s="139">
        <f>IFERROR(IF(H2648&gt;0,H2648*IF(OR(C2648="Alpha",B2648="Alpha"),$C$9,$C$8),""),"")</f>
        <v/>
      </c>
      <c r="L2648" s="139">
        <f>IFERROR(IF(ISNUMBER(F2648),F2648-IF(ISNUMBER(K2648),K2648,0),""),"")</f>
        <v/>
      </c>
    </row>
    <row r="2649" ht="24" customHeight="1" s="63">
      <c r="E2649" s="139" t="n"/>
      <c r="F2649" s="139" t="n"/>
      <c r="G2649" s="140">
        <f>IFERROR(IF(E2649&gt;0,(F2649/E2649)*1000,""),"")</f>
        <v/>
      </c>
      <c r="H2649" s="139">
        <f>IFERROR(IF(E2649&gt;0,E2649*IF(ISNUMBER(J2649),J2649,IF(OR(C2649="Alpha",B2649="Alpha"),$C$7,IF(C2649="Futures",$C$6,$C$5))),""),"")</f>
        <v/>
      </c>
      <c r="I2649" s="139">
        <f>IFERROR(IF(AND(ISNUMBER(F2649),ISNUMBER(H2649)),F2649-H2649,""),"")</f>
        <v/>
      </c>
      <c r="J2649" s="114" t="n"/>
      <c r="K2649" s="139">
        <f>IFERROR(IF(H2649&gt;0,H2649*IF(OR(C2649="Alpha",B2649="Alpha"),$C$9,$C$8),""),"")</f>
        <v/>
      </c>
      <c r="L2649" s="139">
        <f>IFERROR(IF(ISNUMBER(F2649),F2649-IF(ISNUMBER(K2649),K2649,0),""),"")</f>
        <v/>
      </c>
    </row>
    <row r="2650" ht="24" customHeight="1" s="63">
      <c r="E2650" s="139" t="n"/>
      <c r="F2650" s="139" t="n"/>
      <c r="G2650" s="140">
        <f>IFERROR(IF(E2650&gt;0,(F2650/E2650)*1000,""),"")</f>
        <v/>
      </c>
      <c r="H2650" s="139">
        <f>IFERROR(IF(E2650&gt;0,E2650*IF(ISNUMBER(J2650),J2650,IF(OR(C2650="Alpha",B2650="Alpha"),$C$7,IF(C2650="Futures",$C$6,$C$5))),""),"")</f>
        <v/>
      </c>
      <c r="I2650" s="139">
        <f>IFERROR(IF(AND(ISNUMBER(F2650),ISNUMBER(H2650)),F2650-H2650,""),"")</f>
        <v/>
      </c>
      <c r="J2650" s="114" t="n"/>
      <c r="K2650" s="139">
        <f>IFERROR(IF(H2650&gt;0,H2650*IF(OR(C2650="Alpha",B2650="Alpha"),$C$9,$C$8),""),"")</f>
        <v/>
      </c>
      <c r="L2650" s="139">
        <f>IFERROR(IF(ISNUMBER(F2650),F2650-IF(ISNUMBER(K2650),K2650,0),""),"")</f>
        <v/>
      </c>
    </row>
    <row r="2651" ht="24" customHeight="1" s="63">
      <c r="E2651" s="139" t="n"/>
      <c r="F2651" s="139" t="n"/>
      <c r="G2651" s="140">
        <f>IFERROR(IF(E2651&gt;0,(F2651/E2651)*1000,""),"")</f>
        <v/>
      </c>
      <c r="H2651" s="139">
        <f>IFERROR(IF(E2651&gt;0,E2651*IF(ISNUMBER(J2651),J2651,IF(OR(C2651="Alpha",B2651="Alpha"),$C$7,IF(C2651="Futures",$C$6,$C$5))),""),"")</f>
        <v/>
      </c>
      <c r="I2651" s="139">
        <f>IFERROR(IF(AND(ISNUMBER(F2651),ISNUMBER(H2651)),F2651-H2651,""),"")</f>
        <v/>
      </c>
      <c r="J2651" s="114" t="n"/>
      <c r="K2651" s="139">
        <f>IFERROR(IF(H2651&gt;0,H2651*IF(OR(C2651="Alpha",B2651="Alpha"),$C$9,$C$8),""),"")</f>
        <v/>
      </c>
      <c r="L2651" s="139">
        <f>IFERROR(IF(ISNUMBER(F2651),F2651-IF(ISNUMBER(K2651),K2651,0),""),"")</f>
        <v/>
      </c>
    </row>
    <row r="2652" ht="24" customHeight="1" s="63">
      <c r="E2652" s="139" t="n"/>
      <c r="F2652" s="139" t="n"/>
      <c r="G2652" s="140">
        <f>IFERROR(IF(E2652&gt;0,(F2652/E2652)*1000,""),"")</f>
        <v/>
      </c>
      <c r="H2652" s="139">
        <f>IFERROR(IF(E2652&gt;0,E2652*IF(ISNUMBER(J2652),J2652,IF(OR(C2652="Alpha",B2652="Alpha"),$C$7,IF(C2652="Futures",$C$6,$C$5))),""),"")</f>
        <v/>
      </c>
      <c r="I2652" s="139">
        <f>IFERROR(IF(AND(ISNUMBER(F2652),ISNUMBER(H2652)),F2652-H2652,""),"")</f>
        <v/>
      </c>
      <c r="J2652" s="114" t="n"/>
      <c r="K2652" s="139">
        <f>IFERROR(IF(H2652&gt;0,H2652*IF(OR(C2652="Alpha",B2652="Alpha"),$C$9,$C$8),""),"")</f>
        <v/>
      </c>
      <c r="L2652" s="139">
        <f>IFERROR(IF(ISNUMBER(F2652),F2652-IF(ISNUMBER(K2652),K2652,0),""),"")</f>
        <v/>
      </c>
    </row>
    <row r="2653" ht="24" customHeight="1" s="63">
      <c r="E2653" s="139" t="n"/>
      <c r="F2653" s="139" t="n"/>
      <c r="G2653" s="140">
        <f>IFERROR(IF(E2653&gt;0,(F2653/E2653)*1000,""),"")</f>
        <v/>
      </c>
      <c r="H2653" s="139">
        <f>IFERROR(IF(E2653&gt;0,E2653*IF(ISNUMBER(J2653),J2653,IF(OR(C2653="Alpha",B2653="Alpha"),$C$7,IF(C2653="Futures",$C$6,$C$5))),""),"")</f>
        <v/>
      </c>
      <c r="I2653" s="139">
        <f>IFERROR(IF(AND(ISNUMBER(F2653),ISNUMBER(H2653)),F2653-H2653,""),"")</f>
        <v/>
      </c>
      <c r="J2653" s="114" t="n"/>
      <c r="K2653" s="139">
        <f>IFERROR(IF(H2653&gt;0,H2653*IF(OR(C2653="Alpha",B2653="Alpha"),$C$9,$C$8),""),"")</f>
        <v/>
      </c>
      <c r="L2653" s="139">
        <f>IFERROR(IF(ISNUMBER(F2653),F2653-IF(ISNUMBER(K2653),K2653,0),""),"")</f>
        <v/>
      </c>
    </row>
    <row r="2654" ht="24" customHeight="1" s="63">
      <c r="E2654" s="139" t="n"/>
      <c r="F2654" s="139" t="n"/>
      <c r="G2654" s="140">
        <f>IFERROR(IF(E2654&gt;0,(F2654/E2654)*1000,""),"")</f>
        <v/>
      </c>
      <c r="H2654" s="139">
        <f>IFERROR(IF(E2654&gt;0,E2654*IF(ISNUMBER(J2654),J2654,IF(OR(C2654="Alpha",B2654="Alpha"),$C$7,IF(C2654="Futures",$C$6,$C$5))),""),"")</f>
        <v/>
      </c>
      <c r="I2654" s="139">
        <f>IFERROR(IF(AND(ISNUMBER(F2654),ISNUMBER(H2654)),F2654-H2654,""),"")</f>
        <v/>
      </c>
      <c r="J2654" s="114" t="n"/>
      <c r="K2654" s="139">
        <f>IFERROR(IF(H2654&gt;0,H2654*IF(OR(C2654="Alpha",B2654="Alpha"),$C$9,$C$8),""),"")</f>
        <v/>
      </c>
      <c r="L2654" s="139">
        <f>IFERROR(IF(ISNUMBER(F2654),F2654-IF(ISNUMBER(K2654),K2654,0),""),"")</f>
        <v/>
      </c>
    </row>
    <row r="2655" ht="24" customHeight="1" s="63">
      <c r="E2655" s="139" t="n"/>
      <c r="F2655" s="139" t="n"/>
      <c r="G2655" s="140">
        <f>IFERROR(IF(E2655&gt;0,(F2655/E2655)*1000,""),"")</f>
        <v/>
      </c>
      <c r="H2655" s="139">
        <f>IFERROR(IF(E2655&gt;0,E2655*IF(ISNUMBER(J2655),J2655,IF(OR(C2655="Alpha",B2655="Alpha"),$C$7,IF(C2655="Futures",$C$6,$C$5))),""),"")</f>
        <v/>
      </c>
      <c r="I2655" s="139">
        <f>IFERROR(IF(AND(ISNUMBER(F2655),ISNUMBER(H2655)),F2655-H2655,""),"")</f>
        <v/>
      </c>
      <c r="J2655" s="114" t="n"/>
      <c r="K2655" s="139">
        <f>IFERROR(IF(H2655&gt;0,H2655*IF(OR(C2655="Alpha",B2655="Alpha"),$C$9,$C$8),""),"")</f>
        <v/>
      </c>
      <c r="L2655" s="139">
        <f>IFERROR(IF(ISNUMBER(F2655),F2655-IF(ISNUMBER(K2655),K2655,0),""),"")</f>
        <v/>
      </c>
    </row>
    <row r="2656" ht="24" customHeight="1" s="63">
      <c r="E2656" s="139" t="n"/>
      <c r="F2656" s="139" t="n"/>
      <c r="G2656" s="140">
        <f>IFERROR(IF(E2656&gt;0,(F2656/E2656)*1000,""),"")</f>
        <v/>
      </c>
      <c r="H2656" s="139">
        <f>IFERROR(IF(E2656&gt;0,E2656*IF(ISNUMBER(J2656),J2656,IF(OR(C2656="Alpha",B2656="Alpha"),$C$7,IF(C2656="Futures",$C$6,$C$5))),""),"")</f>
        <v/>
      </c>
      <c r="I2656" s="139">
        <f>IFERROR(IF(AND(ISNUMBER(F2656),ISNUMBER(H2656)),F2656-H2656,""),"")</f>
        <v/>
      </c>
      <c r="J2656" s="114" t="n"/>
      <c r="K2656" s="139">
        <f>IFERROR(IF(H2656&gt;0,H2656*IF(OR(C2656="Alpha",B2656="Alpha"),$C$9,$C$8),""),"")</f>
        <v/>
      </c>
      <c r="L2656" s="139">
        <f>IFERROR(IF(ISNUMBER(F2656),F2656-IF(ISNUMBER(K2656),K2656,0),""),"")</f>
        <v/>
      </c>
    </row>
    <row r="2657" ht="24" customHeight="1" s="63">
      <c r="E2657" s="139" t="n"/>
      <c r="F2657" s="139" t="n"/>
      <c r="G2657" s="140">
        <f>IFERROR(IF(E2657&gt;0,(F2657/E2657)*1000,""),"")</f>
        <v/>
      </c>
      <c r="H2657" s="139">
        <f>IFERROR(IF(E2657&gt;0,E2657*IF(ISNUMBER(J2657),J2657,IF(OR(C2657="Alpha",B2657="Alpha"),$C$7,IF(C2657="Futures",$C$6,$C$5))),""),"")</f>
        <v/>
      </c>
      <c r="I2657" s="139">
        <f>IFERROR(IF(AND(ISNUMBER(F2657),ISNUMBER(H2657)),F2657-H2657,""),"")</f>
        <v/>
      </c>
      <c r="J2657" s="114" t="n"/>
      <c r="K2657" s="139">
        <f>IFERROR(IF(H2657&gt;0,H2657*IF(OR(C2657="Alpha",B2657="Alpha"),$C$9,$C$8),""),"")</f>
        <v/>
      </c>
      <c r="L2657" s="139">
        <f>IFERROR(IF(ISNUMBER(F2657),F2657-IF(ISNUMBER(K2657),K2657,0),""),"")</f>
        <v/>
      </c>
    </row>
    <row r="2658" ht="24" customHeight="1" s="63">
      <c r="E2658" s="139" t="n"/>
      <c r="F2658" s="139" t="n"/>
      <c r="G2658" s="140">
        <f>IFERROR(IF(E2658&gt;0,(F2658/E2658)*1000,""),"")</f>
        <v/>
      </c>
      <c r="H2658" s="139">
        <f>IFERROR(IF(E2658&gt;0,E2658*IF(ISNUMBER(J2658),J2658,IF(OR(C2658="Alpha",B2658="Alpha"),$C$7,IF(C2658="Futures",$C$6,$C$5))),""),"")</f>
        <v/>
      </c>
      <c r="I2658" s="139">
        <f>IFERROR(IF(AND(ISNUMBER(F2658),ISNUMBER(H2658)),F2658-H2658,""),"")</f>
        <v/>
      </c>
      <c r="J2658" s="114" t="n"/>
      <c r="K2658" s="139">
        <f>IFERROR(IF(H2658&gt;0,H2658*IF(OR(C2658="Alpha",B2658="Alpha"),$C$9,$C$8),""),"")</f>
        <v/>
      </c>
      <c r="L2658" s="139">
        <f>IFERROR(IF(ISNUMBER(F2658),F2658-IF(ISNUMBER(K2658),K2658,0),""),"")</f>
        <v/>
      </c>
    </row>
    <row r="2659" ht="24" customHeight="1" s="63">
      <c r="E2659" s="139" t="n"/>
      <c r="F2659" s="139" t="n"/>
      <c r="G2659" s="140">
        <f>IFERROR(IF(E2659&gt;0,(F2659/E2659)*1000,""),"")</f>
        <v/>
      </c>
      <c r="H2659" s="139">
        <f>IFERROR(IF(E2659&gt;0,E2659*IF(ISNUMBER(J2659),J2659,IF(OR(C2659="Alpha",B2659="Alpha"),$C$7,IF(C2659="Futures",$C$6,$C$5))),""),"")</f>
        <v/>
      </c>
      <c r="I2659" s="139">
        <f>IFERROR(IF(AND(ISNUMBER(F2659),ISNUMBER(H2659)),F2659-H2659,""),"")</f>
        <v/>
      </c>
      <c r="J2659" s="114" t="n"/>
      <c r="K2659" s="139">
        <f>IFERROR(IF(H2659&gt;0,H2659*IF(OR(C2659="Alpha",B2659="Alpha"),$C$9,$C$8),""),"")</f>
        <v/>
      </c>
      <c r="L2659" s="139">
        <f>IFERROR(IF(ISNUMBER(F2659),F2659-IF(ISNUMBER(K2659),K2659,0),""),"")</f>
        <v/>
      </c>
    </row>
    <row r="2660" ht="24" customHeight="1" s="63">
      <c r="E2660" s="139" t="n"/>
      <c r="F2660" s="139" t="n"/>
      <c r="G2660" s="140">
        <f>IFERROR(IF(E2660&gt;0,(F2660/E2660)*1000,""),"")</f>
        <v/>
      </c>
      <c r="H2660" s="139">
        <f>IFERROR(IF(E2660&gt;0,E2660*IF(ISNUMBER(J2660),J2660,IF(OR(C2660="Alpha",B2660="Alpha"),$C$7,IF(C2660="Futures",$C$6,$C$5))),""),"")</f>
        <v/>
      </c>
      <c r="I2660" s="139">
        <f>IFERROR(IF(AND(ISNUMBER(F2660),ISNUMBER(H2660)),F2660-H2660,""),"")</f>
        <v/>
      </c>
      <c r="J2660" s="114" t="n"/>
      <c r="K2660" s="139">
        <f>IFERROR(IF(H2660&gt;0,H2660*IF(OR(C2660="Alpha",B2660="Alpha"),$C$9,$C$8),""),"")</f>
        <v/>
      </c>
      <c r="L2660" s="139">
        <f>IFERROR(IF(ISNUMBER(F2660),F2660-IF(ISNUMBER(K2660),K2660,0),""),"")</f>
        <v/>
      </c>
    </row>
    <row r="2661" ht="24" customHeight="1" s="63">
      <c r="E2661" s="139" t="n"/>
      <c r="F2661" s="139" t="n"/>
      <c r="G2661" s="140">
        <f>IFERROR(IF(E2661&gt;0,(F2661/E2661)*1000,""),"")</f>
        <v/>
      </c>
      <c r="H2661" s="139">
        <f>IFERROR(IF(E2661&gt;0,E2661*IF(ISNUMBER(J2661),J2661,IF(OR(C2661="Alpha",B2661="Alpha"),$C$7,IF(C2661="Futures",$C$6,$C$5))),""),"")</f>
        <v/>
      </c>
      <c r="I2661" s="139">
        <f>IFERROR(IF(AND(ISNUMBER(F2661),ISNUMBER(H2661)),F2661-H2661,""),"")</f>
        <v/>
      </c>
      <c r="J2661" s="114" t="n"/>
      <c r="K2661" s="139">
        <f>IFERROR(IF(H2661&gt;0,H2661*IF(OR(C2661="Alpha",B2661="Alpha"),$C$9,$C$8),""),"")</f>
        <v/>
      </c>
      <c r="L2661" s="139">
        <f>IFERROR(IF(ISNUMBER(F2661),F2661-IF(ISNUMBER(K2661),K2661,0),""),"")</f>
        <v/>
      </c>
    </row>
    <row r="2662" ht="24" customHeight="1" s="63">
      <c r="E2662" s="139" t="n"/>
      <c r="F2662" s="139" t="n"/>
      <c r="G2662" s="140">
        <f>IFERROR(IF(E2662&gt;0,(F2662/E2662)*1000,""),"")</f>
        <v/>
      </c>
      <c r="H2662" s="139">
        <f>IFERROR(IF(E2662&gt;0,E2662*IF(ISNUMBER(J2662),J2662,IF(OR(C2662="Alpha",B2662="Alpha"),$C$7,IF(C2662="Futures",$C$6,$C$5))),""),"")</f>
        <v/>
      </c>
      <c r="I2662" s="139">
        <f>IFERROR(IF(AND(ISNUMBER(F2662),ISNUMBER(H2662)),F2662-H2662,""),"")</f>
        <v/>
      </c>
      <c r="J2662" s="114" t="n"/>
      <c r="K2662" s="139">
        <f>IFERROR(IF(H2662&gt;0,H2662*IF(OR(C2662="Alpha",B2662="Alpha"),$C$9,$C$8),""),"")</f>
        <v/>
      </c>
      <c r="L2662" s="139">
        <f>IFERROR(IF(ISNUMBER(F2662),F2662-IF(ISNUMBER(K2662),K2662,0),""),"")</f>
        <v/>
      </c>
    </row>
    <row r="2663" ht="24" customHeight="1" s="63">
      <c r="E2663" s="139" t="n"/>
      <c r="F2663" s="139" t="n"/>
      <c r="G2663" s="140">
        <f>IFERROR(IF(E2663&gt;0,(F2663/E2663)*1000,""),"")</f>
        <v/>
      </c>
      <c r="H2663" s="139">
        <f>IFERROR(IF(E2663&gt;0,E2663*IF(ISNUMBER(J2663),J2663,IF(OR(C2663="Alpha",B2663="Alpha"),$C$7,IF(C2663="Futures",$C$6,$C$5))),""),"")</f>
        <v/>
      </c>
      <c r="I2663" s="139">
        <f>IFERROR(IF(AND(ISNUMBER(F2663),ISNUMBER(H2663)),F2663-H2663,""),"")</f>
        <v/>
      </c>
      <c r="J2663" s="114" t="n"/>
      <c r="K2663" s="139">
        <f>IFERROR(IF(H2663&gt;0,H2663*IF(OR(C2663="Alpha",B2663="Alpha"),$C$9,$C$8),""),"")</f>
        <v/>
      </c>
      <c r="L2663" s="139">
        <f>IFERROR(IF(ISNUMBER(F2663),F2663-IF(ISNUMBER(K2663),K2663,0),""),"")</f>
        <v/>
      </c>
    </row>
    <row r="2664" ht="24" customHeight="1" s="63">
      <c r="E2664" s="139" t="n"/>
      <c r="F2664" s="139" t="n"/>
      <c r="G2664" s="140">
        <f>IFERROR(IF(E2664&gt;0,(F2664/E2664)*1000,""),"")</f>
        <v/>
      </c>
      <c r="H2664" s="139">
        <f>IFERROR(IF(E2664&gt;0,E2664*IF(ISNUMBER(J2664),J2664,IF(OR(C2664="Alpha",B2664="Alpha"),$C$7,IF(C2664="Futures",$C$6,$C$5))),""),"")</f>
        <v/>
      </c>
      <c r="I2664" s="139">
        <f>IFERROR(IF(AND(ISNUMBER(F2664),ISNUMBER(H2664)),F2664-H2664,""),"")</f>
        <v/>
      </c>
      <c r="J2664" s="114" t="n"/>
      <c r="K2664" s="139">
        <f>IFERROR(IF(H2664&gt;0,H2664*IF(OR(C2664="Alpha",B2664="Alpha"),$C$9,$C$8),""),"")</f>
        <v/>
      </c>
      <c r="L2664" s="139">
        <f>IFERROR(IF(ISNUMBER(F2664),F2664-IF(ISNUMBER(K2664),K2664,0),""),"")</f>
        <v/>
      </c>
    </row>
    <row r="2665" ht="24" customHeight="1" s="63">
      <c r="E2665" s="139" t="n"/>
      <c r="F2665" s="139" t="n"/>
      <c r="G2665" s="140">
        <f>IFERROR(IF(E2665&gt;0,(F2665/E2665)*1000,""),"")</f>
        <v/>
      </c>
      <c r="H2665" s="139">
        <f>IFERROR(IF(E2665&gt;0,E2665*IF(ISNUMBER(J2665),J2665,IF(OR(C2665="Alpha",B2665="Alpha"),$C$7,IF(C2665="Futures",$C$6,$C$5))),""),"")</f>
        <v/>
      </c>
      <c r="I2665" s="139">
        <f>IFERROR(IF(AND(ISNUMBER(F2665),ISNUMBER(H2665)),F2665-H2665,""),"")</f>
        <v/>
      </c>
      <c r="J2665" s="114" t="n"/>
      <c r="K2665" s="139">
        <f>IFERROR(IF(H2665&gt;0,H2665*IF(OR(C2665="Alpha",B2665="Alpha"),$C$9,$C$8),""),"")</f>
        <v/>
      </c>
      <c r="L2665" s="139">
        <f>IFERROR(IF(ISNUMBER(F2665),F2665-IF(ISNUMBER(K2665),K2665,0),""),"")</f>
        <v/>
      </c>
    </row>
    <row r="2666" ht="24" customHeight="1" s="63">
      <c r="E2666" s="139" t="n"/>
      <c r="F2666" s="139" t="n"/>
      <c r="G2666" s="140">
        <f>IFERROR(IF(E2666&gt;0,(F2666/E2666)*1000,""),"")</f>
        <v/>
      </c>
      <c r="H2666" s="139">
        <f>IFERROR(IF(E2666&gt;0,E2666*IF(ISNUMBER(J2666),J2666,IF(OR(C2666="Alpha",B2666="Alpha"),$C$7,IF(C2666="Futures",$C$6,$C$5))),""),"")</f>
        <v/>
      </c>
      <c r="I2666" s="139">
        <f>IFERROR(IF(AND(ISNUMBER(F2666),ISNUMBER(H2666)),F2666-H2666,""),"")</f>
        <v/>
      </c>
      <c r="J2666" s="114" t="n"/>
      <c r="K2666" s="139">
        <f>IFERROR(IF(H2666&gt;0,H2666*IF(OR(C2666="Alpha",B2666="Alpha"),$C$9,$C$8),""),"")</f>
        <v/>
      </c>
      <c r="L2666" s="139">
        <f>IFERROR(IF(ISNUMBER(F2666),F2666-IF(ISNUMBER(K2666),K2666,0),""),"")</f>
        <v/>
      </c>
    </row>
    <row r="2667" ht="24" customHeight="1" s="63">
      <c r="E2667" s="139" t="n"/>
      <c r="F2667" s="139" t="n"/>
      <c r="G2667" s="140">
        <f>IFERROR(IF(E2667&gt;0,(F2667/E2667)*1000,""),"")</f>
        <v/>
      </c>
      <c r="H2667" s="139">
        <f>IFERROR(IF(E2667&gt;0,E2667*IF(ISNUMBER(J2667),J2667,IF(OR(C2667="Alpha",B2667="Alpha"),$C$7,IF(C2667="Futures",$C$6,$C$5))),""),"")</f>
        <v/>
      </c>
      <c r="I2667" s="139">
        <f>IFERROR(IF(AND(ISNUMBER(F2667),ISNUMBER(H2667)),F2667-H2667,""),"")</f>
        <v/>
      </c>
      <c r="J2667" s="114" t="n"/>
      <c r="K2667" s="139">
        <f>IFERROR(IF(H2667&gt;0,H2667*IF(OR(C2667="Alpha",B2667="Alpha"),$C$9,$C$8),""),"")</f>
        <v/>
      </c>
      <c r="L2667" s="139">
        <f>IFERROR(IF(ISNUMBER(F2667),F2667-IF(ISNUMBER(K2667),K2667,0),""),"")</f>
        <v/>
      </c>
    </row>
    <row r="2668" ht="24" customHeight="1" s="63">
      <c r="E2668" s="139" t="n"/>
      <c r="F2668" s="139" t="n"/>
      <c r="G2668" s="140">
        <f>IFERROR(IF(E2668&gt;0,(F2668/E2668)*1000,""),"")</f>
        <v/>
      </c>
      <c r="H2668" s="139">
        <f>IFERROR(IF(E2668&gt;0,E2668*IF(ISNUMBER(J2668),J2668,IF(OR(C2668="Alpha",B2668="Alpha"),$C$7,IF(C2668="Futures",$C$6,$C$5))),""),"")</f>
        <v/>
      </c>
      <c r="I2668" s="139">
        <f>IFERROR(IF(AND(ISNUMBER(F2668),ISNUMBER(H2668)),F2668-H2668,""),"")</f>
        <v/>
      </c>
      <c r="J2668" s="114" t="n"/>
      <c r="K2668" s="139">
        <f>IFERROR(IF(H2668&gt;0,H2668*IF(OR(C2668="Alpha",B2668="Alpha"),$C$9,$C$8),""),"")</f>
        <v/>
      </c>
      <c r="L2668" s="139">
        <f>IFERROR(IF(ISNUMBER(F2668),F2668-IF(ISNUMBER(K2668),K2668,0),""),"")</f>
        <v/>
      </c>
    </row>
    <row r="2669" ht="24" customHeight="1" s="63">
      <c r="E2669" s="139" t="n"/>
      <c r="F2669" s="139" t="n"/>
      <c r="G2669" s="140">
        <f>IFERROR(IF(E2669&gt;0,(F2669/E2669)*1000,""),"")</f>
        <v/>
      </c>
      <c r="H2669" s="139">
        <f>IFERROR(IF(E2669&gt;0,E2669*IF(ISNUMBER(J2669),J2669,IF(OR(C2669="Alpha",B2669="Alpha"),$C$7,IF(C2669="Futures",$C$6,$C$5))),""),"")</f>
        <v/>
      </c>
      <c r="I2669" s="139">
        <f>IFERROR(IF(AND(ISNUMBER(F2669),ISNUMBER(H2669)),F2669-H2669,""),"")</f>
        <v/>
      </c>
      <c r="J2669" s="114" t="n"/>
      <c r="K2669" s="139">
        <f>IFERROR(IF(H2669&gt;0,H2669*IF(OR(C2669="Alpha",B2669="Alpha"),$C$9,$C$8),""),"")</f>
        <v/>
      </c>
      <c r="L2669" s="139">
        <f>IFERROR(IF(ISNUMBER(F2669),F2669-IF(ISNUMBER(K2669),K2669,0),""),"")</f>
        <v/>
      </c>
    </row>
    <row r="2670" ht="24" customHeight="1" s="63">
      <c r="E2670" s="139" t="n"/>
      <c r="F2670" s="139" t="n"/>
      <c r="G2670" s="140">
        <f>IFERROR(IF(E2670&gt;0,(F2670/E2670)*1000,""),"")</f>
        <v/>
      </c>
      <c r="H2670" s="139">
        <f>IFERROR(IF(E2670&gt;0,E2670*IF(ISNUMBER(J2670),J2670,IF(OR(C2670="Alpha",B2670="Alpha"),$C$7,IF(C2670="Futures",$C$6,$C$5))),""),"")</f>
        <v/>
      </c>
      <c r="I2670" s="139">
        <f>IFERROR(IF(AND(ISNUMBER(F2670),ISNUMBER(H2670)),F2670-H2670,""),"")</f>
        <v/>
      </c>
      <c r="J2670" s="114" t="n"/>
      <c r="K2670" s="139">
        <f>IFERROR(IF(H2670&gt;0,H2670*IF(OR(C2670="Alpha",B2670="Alpha"),$C$9,$C$8),""),"")</f>
        <v/>
      </c>
      <c r="L2670" s="139">
        <f>IFERROR(IF(ISNUMBER(F2670),F2670-IF(ISNUMBER(K2670),K2670,0),""),"")</f>
        <v/>
      </c>
    </row>
    <row r="2671" ht="24" customHeight="1" s="63">
      <c r="E2671" s="139" t="n"/>
      <c r="F2671" s="139" t="n"/>
      <c r="G2671" s="140">
        <f>IFERROR(IF(E2671&gt;0,(F2671/E2671)*1000,""),"")</f>
        <v/>
      </c>
      <c r="H2671" s="139">
        <f>IFERROR(IF(E2671&gt;0,E2671*IF(ISNUMBER(J2671),J2671,IF(OR(C2671="Alpha",B2671="Alpha"),$C$7,IF(C2671="Futures",$C$6,$C$5))),""),"")</f>
        <v/>
      </c>
      <c r="I2671" s="139">
        <f>IFERROR(IF(AND(ISNUMBER(F2671),ISNUMBER(H2671)),F2671-H2671,""),"")</f>
        <v/>
      </c>
      <c r="J2671" s="114" t="n"/>
      <c r="K2671" s="139">
        <f>IFERROR(IF(H2671&gt;0,H2671*IF(OR(C2671="Alpha",B2671="Alpha"),$C$9,$C$8),""),"")</f>
        <v/>
      </c>
      <c r="L2671" s="139">
        <f>IFERROR(IF(ISNUMBER(F2671),F2671-IF(ISNUMBER(K2671),K2671,0),""),"")</f>
        <v/>
      </c>
    </row>
    <row r="2672" ht="24" customHeight="1" s="63">
      <c r="E2672" s="139" t="n"/>
      <c r="F2672" s="139" t="n"/>
      <c r="G2672" s="140">
        <f>IFERROR(IF(E2672&gt;0,(F2672/E2672)*1000,""),"")</f>
        <v/>
      </c>
      <c r="H2672" s="139">
        <f>IFERROR(IF(E2672&gt;0,E2672*IF(ISNUMBER(J2672),J2672,IF(OR(C2672="Alpha",B2672="Alpha"),$C$7,IF(C2672="Futures",$C$6,$C$5))),""),"")</f>
        <v/>
      </c>
      <c r="I2672" s="139">
        <f>IFERROR(IF(AND(ISNUMBER(F2672),ISNUMBER(H2672)),F2672-H2672,""),"")</f>
        <v/>
      </c>
      <c r="J2672" s="114" t="n"/>
      <c r="K2672" s="139">
        <f>IFERROR(IF(H2672&gt;0,H2672*IF(OR(C2672="Alpha",B2672="Alpha"),$C$9,$C$8),""),"")</f>
        <v/>
      </c>
      <c r="L2672" s="139">
        <f>IFERROR(IF(ISNUMBER(F2672),F2672-IF(ISNUMBER(K2672),K2672,0),""),"")</f>
        <v/>
      </c>
    </row>
    <row r="2673" ht="24" customHeight="1" s="63">
      <c r="E2673" s="139" t="n"/>
      <c r="F2673" s="139" t="n"/>
      <c r="G2673" s="140">
        <f>IFERROR(IF(E2673&gt;0,(F2673/E2673)*1000,""),"")</f>
        <v/>
      </c>
      <c r="H2673" s="139">
        <f>IFERROR(IF(E2673&gt;0,E2673*IF(ISNUMBER(J2673),J2673,IF(OR(C2673="Alpha",B2673="Alpha"),$C$7,IF(C2673="Futures",$C$6,$C$5))),""),"")</f>
        <v/>
      </c>
      <c r="I2673" s="139">
        <f>IFERROR(IF(AND(ISNUMBER(F2673),ISNUMBER(H2673)),F2673-H2673,""),"")</f>
        <v/>
      </c>
      <c r="J2673" s="114" t="n"/>
      <c r="K2673" s="139">
        <f>IFERROR(IF(H2673&gt;0,H2673*IF(OR(C2673="Alpha",B2673="Alpha"),$C$9,$C$8),""),"")</f>
        <v/>
      </c>
      <c r="L2673" s="139">
        <f>IFERROR(IF(ISNUMBER(F2673),F2673-IF(ISNUMBER(K2673),K2673,0),""),"")</f>
        <v/>
      </c>
    </row>
    <row r="2674" ht="24" customHeight="1" s="63">
      <c r="E2674" s="139" t="n"/>
      <c r="F2674" s="139" t="n"/>
      <c r="G2674" s="140">
        <f>IFERROR(IF(E2674&gt;0,(F2674/E2674)*1000,""),"")</f>
        <v/>
      </c>
      <c r="H2674" s="139">
        <f>IFERROR(IF(E2674&gt;0,E2674*IF(ISNUMBER(J2674),J2674,IF(OR(C2674="Alpha",B2674="Alpha"),$C$7,IF(C2674="Futures",$C$6,$C$5))),""),"")</f>
        <v/>
      </c>
      <c r="I2674" s="139">
        <f>IFERROR(IF(AND(ISNUMBER(F2674),ISNUMBER(H2674)),F2674-H2674,""),"")</f>
        <v/>
      </c>
      <c r="J2674" s="114" t="n"/>
      <c r="K2674" s="139">
        <f>IFERROR(IF(H2674&gt;0,H2674*IF(OR(C2674="Alpha",B2674="Alpha"),$C$9,$C$8),""),"")</f>
        <v/>
      </c>
      <c r="L2674" s="139">
        <f>IFERROR(IF(ISNUMBER(F2674),F2674-IF(ISNUMBER(K2674),K2674,0),""),"")</f>
        <v/>
      </c>
    </row>
    <row r="2675" ht="24" customHeight="1" s="63">
      <c r="E2675" s="139" t="n"/>
      <c r="F2675" s="139" t="n"/>
      <c r="G2675" s="140">
        <f>IFERROR(IF(E2675&gt;0,(F2675/E2675)*1000,""),"")</f>
        <v/>
      </c>
      <c r="H2675" s="139">
        <f>IFERROR(IF(E2675&gt;0,E2675*IF(ISNUMBER(J2675),J2675,IF(OR(C2675="Alpha",B2675="Alpha"),$C$7,IF(C2675="Futures",$C$6,$C$5))),""),"")</f>
        <v/>
      </c>
      <c r="I2675" s="139">
        <f>IFERROR(IF(AND(ISNUMBER(F2675),ISNUMBER(H2675)),F2675-H2675,""),"")</f>
        <v/>
      </c>
      <c r="J2675" s="114" t="n"/>
      <c r="K2675" s="139">
        <f>IFERROR(IF(H2675&gt;0,H2675*IF(OR(C2675="Alpha",B2675="Alpha"),$C$9,$C$8),""),"")</f>
        <v/>
      </c>
      <c r="L2675" s="139">
        <f>IFERROR(IF(ISNUMBER(F2675),F2675-IF(ISNUMBER(K2675),K2675,0),""),"")</f>
        <v/>
      </c>
    </row>
    <row r="2676" ht="24" customHeight="1" s="63">
      <c r="E2676" s="139" t="n"/>
      <c r="F2676" s="139" t="n"/>
      <c r="G2676" s="140">
        <f>IFERROR(IF(E2676&gt;0,(F2676/E2676)*1000,""),"")</f>
        <v/>
      </c>
      <c r="H2676" s="139">
        <f>IFERROR(IF(E2676&gt;0,E2676*IF(ISNUMBER(J2676),J2676,IF(OR(C2676="Alpha",B2676="Alpha"),$C$7,IF(C2676="Futures",$C$6,$C$5))),""),"")</f>
        <v/>
      </c>
      <c r="I2676" s="139">
        <f>IFERROR(IF(AND(ISNUMBER(F2676),ISNUMBER(H2676)),F2676-H2676,""),"")</f>
        <v/>
      </c>
      <c r="J2676" s="114" t="n"/>
      <c r="K2676" s="139">
        <f>IFERROR(IF(H2676&gt;0,H2676*IF(OR(C2676="Alpha",B2676="Alpha"),$C$9,$C$8),""),"")</f>
        <v/>
      </c>
      <c r="L2676" s="139">
        <f>IFERROR(IF(ISNUMBER(F2676),F2676-IF(ISNUMBER(K2676),K2676,0),""),"")</f>
        <v/>
      </c>
    </row>
    <row r="2677" ht="24" customHeight="1" s="63">
      <c r="E2677" s="139" t="n"/>
      <c r="F2677" s="139" t="n"/>
      <c r="G2677" s="140">
        <f>IFERROR(IF(E2677&gt;0,(F2677/E2677)*1000,""),"")</f>
        <v/>
      </c>
      <c r="H2677" s="139">
        <f>IFERROR(IF(E2677&gt;0,E2677*IF(ISNUMBER(J2677),J2677,IF(OR(C2677="Alpha",B2677="Alpha"),$C$7,IF(C2677="Futures",$C$6,$C$5))),""),"")</f>
        <v/>
      </c>
      <c r="I2677" s="139">
        <f>IFERROR(IF(AND(ISNUMBER(F2677),ISNUMBER(H2677)),F2677-H2677,""),"")</f>
        <v/>
      </c>
      <c r="J2677" s="114" t="n"/>
      <c r="K2677" s="139">
        <f>IFERROR(IF(H2677&gt;0,H2677*IF(OR(C2677="Alpha",B2677="Alpha"),$C$9,$C$8),""),"")</f>
        <v/>
      </c>
      <c r="L2677" s="139">
        <f>IFERROR(IF(ISNUMBER(F2677),F2677-IF(ISNUMBER(K2677),K2677,0),""),"")</f>
        <v/>
      </c>
    </row>
    <row r="2678" ht="24" customHeight="1" s="63">
      <c r="E2678" s="139" t="n"/>
      <c r="F2678" s="139" t="n"/>
      <c r="G2678" s="140">
        <f>IFERROR(IF(E2678&gt;0,(F2678/E2678)*1000,""),"")</f>
        <v/>
      </c>
      <c r="H2678" s="139">
        <f>IFERROR(IF(E2678&gt;0,E2678*IF(ISNUMBER(J2678),J2678,IF(OR(C2678="Alpha",B2678="Alpha"),$C$7,IF(C2678="Futures",$C$6,$C$5))),""),"")</f>
        <v/>
      </c>
      <c r="I2678" s="139">
        <f>IFERROR(IF(AND(ISNUMBER(F2678),ISNUMBER(H2678)),F2678-H2678,""),"")</f>
        <v/>
      </c>
      <c r="J2678" s="114" t="n"/>
      <c r="K2678" s="139">
        <f>IFERROR(IF(H2678&gt;0,H2678*IF(OR(C2678="Alpha",B2678="Alpha"),$C$9,$C$8),""),"")</f>
        <v/>
      </c>
      <c r="L2678" s="139">
        <f>IFERROR(IF(ISNUMBER(F2678),F2678-IF(ISNUMBER(K2678),K2678,0),""),"")</f>
        <v/>
      </c>
    </row>
    <row r="2679" ht="24" customHeight="1" s="63">
      <c r="E2679" s="139" t="n"/>
      <c r="F2679" s="139" t="n"/>
      <c r="G2679" s="140">
        <f>IFERROR(IF(E2679&gt;0,(F2679/E2679)*1000,""),"")</f>
        <v/>
      </c>
      <c r="H2679" s="139">
        <f>IFERROR(IF(E2679&gt;0,E2679*IF(ISNUMBER(J2679),J2679,IF(OR(C2679="Alpha",B2679="Alpha"),$C$7,IF(C2679="Futures",$C$6,$C$5))),""),"")</f>
        <v/>
      </c>
      <c r="I2679" s="139">
        <f>IFERROR(IF(AND(ISNUMBER(F2679),ISNUMBER(H2679)),F2679-H2679,""),"")</f>
        <v/>
      </c>
      <c r="J2679" s="114" t="n"/>
      <c r="K2679" s="139">
        <f>IFERROR(IF(H2679&gt;0,H2679*IF(OR(C2679="Alpha",B2679="Alpha"),$C$9,$C$8),""),"")</f>
        <v/>
      </c>
      <c r="L2679" s="139">
        <f>IFERROR(IF(ISNUMBER(F2679),F2679-IF(ISNUMBER(K2679),K2679,0),""),"")</f>
        <v/>
      </c>
    </row>
    <row r="2680" ht="24" customHeight="1" s="63">
      <c r="E2680" s="139" t="n"/>
      <c r="F2680" s="139" t="n"/>
      <c r="G2680" s="140">
        <f>IFERROR(IF(E2680&gt;0,(F2680/E2680)*1000,""),"")</f>
        <v/>
      </c>
      <c r="H2680" s="139">
        <f>IFERROR(IF(E2680&gt;0,E2680*IF(ISNUMBER(J2680),J2680,IF(OR(C2680="Alpha",B2680="Alpha"),$C$7,IF(C2680="Futures",$C$6,$C$5))),""),"")</f>
        <v/>
      </c>
      <c r="I2680" s="139">
        <f>IFERROR(IF(AND(ISNUMBER(F2680),ISNUMBER(H2680)),F2680-H2680,""),"")</f>
        <v/>
      </c>
      <c r="J2680" s="114" t="n"/>
      <c r="K2680" s="139">
        <f>IFERROR(IF(H2680&gt;0,H2680*IF(OR(C2680="Alpha",B2680="Alpha"),$C$9,$C$8),""),"")</f>
        <v/>
      </c>
      <c r="L2680" s="139">
        <f>IFERROR(IF(ISNUMBER(F2680),F2680-IF(ISNUMBER(K2680),K2680,0),""),"")</f>
        <v/>
      </c>
    </row>
    <row r="2681" ht="24" customHeight="1" s="63">
      <c r="E2681" s="139" t="n"/>
      <c r="F2681" s="139" t="n"/>
      <c r="G2681" s="140">
        <f>IFERROR(IF(E2681&gt;0,(F2681/E2681)*1000,""),"")</f>
        <v/>
      </c>
      <c r="H2681" s="139">
        <f>IFERROR(IF(E2681&gt;0,E2681*IF(ISNUMBER(J2681),J2681,IF(OR(C2681="Alpha",B2681="Alpha"),$C$7,IF(C2681="Futures",$C$6,$C$5))),""),"")</f>
        <v/>
      </c>
      <c r="I2681" s="139">
        <f>IFERROR(IF(AND(ISNUMBER(F2681),ISNUMBER(H2681)),F2681-H2681,""),"")</f>
        <v/>
      </c>
      <c r="J2681" s="114" t="n"/>
      <c r="K2681" s="139">
        <f>IFERROR(IF(H2681&gt;0,H2681*IF(OR(C2681="Alpha",B2681="Alpha"),$C$9,$C$8),""),"")</f>
        <v/>
      </c>
      <c r="L2681" s="139">
        <f>IFERROR(IF(ISNUMBER(F2681),F2681-IF(ISNUMBER(K2681),K2681,0),""),"")</f>
        <v/>
      </c>
    </row>
    <row r="2682" ht="24" customHeight="1" s="63">
      <c r="E2682" s="139" t="n"/>
      <c r="F2682" s="139" t="n"/>
      <c r="G2682" s="140">
        <f>IFERROR(IF(E2682&gt;0,(F2682/E2682)*1000,""),"")</f>
        <v/>
      </c>
      <c r="H2682" s="139">
        <f>IFERROR(IF(E2682&gt;0,E2682*IF(ISNUMBER(J2682),J2682,IF(OR(C2682="Alpha",B2682="Alpha"),$C$7,IF(C2682="Futures",$C$6,$C$5))),""),"")</f>
        <v/>
      </c>
      <c r="I2682" s="139">
        <f>IFERROR(IF(AND(ISNUMBER(F2682),ISNUMBER(H2682)),F2682-H2682,""),"")</f>
        <v/>
      </c>
      <c r="J2682" s="114" t="n"/>
      <c r="K2682" s="139">
        <f>IFERROR(IF(H2682&gt;0,H2682*IF(OR(C2682="Alpha",B2682="Alpha"),$C$9,$C$8),""),"")</f>
        <v/>
      </c>
      <c r="L2682" s="139">
        <f>IFERROR(IF(ISNUMBER(F2682),F2682-IF(ISNUMBER(K2682),K2682,0),""),"")</f>
        <v/>
      </c>
    </row>
    <row r="2683" ht="24" customHeight="1" s="63">
      <c r="E2683" s="139" t="n"/>
      <c r="F2683" s="139" t="n"/>
      <c r="G2683" s="140">
        <f>IFERROR(IF(E2683&gt;0,(F2683/E2683)*1000,""),"")</f>
        <v/>
      </c>
      <c r="H2683" s="139">
        <f>IFERROR(IF(E2683&gt;0,E2683*IF(ISNUMBER(J2683),J2683,IF(OR(C2683="Alpha",B2683="Alpha"),$C$7,IF(C2683="Futures",$C$6,$C$5))),""),"")</f>
        <v/>
      </c>
      <c r="I2683" s="139">
        <f>IFERROR(IF(AND(ISNUMBER(F2683),ISNUMBER(H2683)),F2683-H2683,""),"")</f>
        <v/>
      </c>
      <c r="J2683" s="114" t="n"/>
      <c r="K2683" s="139">
        <f>IFERROR(IF(H2683&gt;0,H2683*IF(OR(C2683="Alpha",B2683="Alpha"),$C$9,$C$8),""),"")</f>
        <v/>
      </c>
      <c r="L2683" s="139">
        <f>IFERROR(IF(ISNUMBER(F2683),F2683-IF(ISNUMBER(K2683),K2683,0),""),"")</f>
        <v/>
      </c>
    </row>
    <row r="2684" ht="24" customHeight="1" s="63">
      <c r="E2684" s="139" t="n"/>
      <c r="F2684" s="139" t="n"/>
      <c r="G2684" s="140">
        <f>IFERROR(IF(E2684&gt;0,(F2684/E2684)*1000,""),"")</f>
        <v/>
      </c>
      <c r="H2684" s="139">
        <f>IFERROR(IF(E2684&gt;0,E2684*IF(ISNUMBER(J2684),J2684,IF(OR(C2684="Alpha",B2684="Alpha"),$C$7,IF(C2684="Futures",$C$6,$C$5))),""),"")</f>
        <v/>
      </c>
      <c r="I2684" s="139">
        <f>IFERROR(IF(AND(ISNUMBER(F2684),ISNUMBER(H2684)),F2684-H2684,""),"")</f>
        <v/>
      </c>
      <c r="J2684" s="114" t="n"/>
      <c r="K2684" s="139">
        <f>IFERROR(IF(H2684&gt;0,H2684*IF(OR(C2684="Alpha",B2684="Alpha"),$C$9,$C$8),""),"")</f>
        <v/>
      </c>
      <c r="L2684" s="139">
        <f>IFERROR(IF(ISNUMBER(F2684),F2684-IF(ISNUMBER(K2684),K2684,0),""),"")</f>
        <v/>
      </c>
    </row>
    <row r="2685" ht="24" customHeight="1" s="63">
      <c r="E2685" s="139" t="n"/>
      <c r="F2685" s="139" t="n"/>
      <c r="G2685" s="140">
        <f>IFERROR(IF(E2685&gt;0,(F2685/E2685)*1000,""),"")</f>
        <v/>
      </c>
      <c r="H2685" s="139">
        <f>IFERROR(IF(E2685&gt;0,E2685*IF(ISNUMBER(J2685),J2685,IF(OR(C2685="Alpha",B2685="Alpha"),$C$7,IF(C2685="Futures",$C$6,$C$5))),""),"")</f>
        <v/>
      </c>
      <c r="I2685" s="139">
        <f>IFERROR(IF(AND(ISNUMBER(F2685),ISNUMBER(H2685)),F2685-H2685,""),"")</f>
        <v/>
      </c>
      <c r="J2685" s="114" t="n"/>
      <c r="K2685" s="139">
        <f>IFERROR(IF(H2685&gt;0,H2685*IF(OR(C2685="Alpha",B2685="Alpha"),$C$9,$C$8),""),"")</f>
        <v/>
      </c>
      <c r="L2685" s="139">
        <f>IFERROR(IF(ISNUMBER(F2685),F2685-IF(ISNUMBER(K2685),K2685,0),""),"")</f>
        <v/>
      </c>
    </row>
    <row r="2686" ht="24" customHeight="1" s="63">
      <c r="E2686" s="139" t="n"/>
      <c r="F2686" s="139" t="n"/>
      <c r="G2686" s="140">
        <f>IFERROR(IF(E2686&gt;0,(F2686/E2686)*1000,""),"")</f>
        <v/>
      </c>
      <c r="H2686" s="139">
        <f>IFERROR(IF(E2686&gt;0,E2686*IF(ISNUMBER(J2686),J2686,IF(OR(C2686="Alpha",B2686="Alpha"),$C$7,IF(C2686="Futures",$C$6,$C$5))),""),"")</f>
        <v/>
      </c>
      <c r="I2686" s="139">
        <f>IFERROR(IF(AND(ISNUMBER(F2686),ISNUMBER(H2686)),F2686-H2686,""),"")</f>
        <v/>
      </c>
      <c r="J2686" s="114" t="n"/>
      <c r="K2686" s="139">
        <f>IFERROR(IF(H2686&gt;0,H2686*IF(OR(C2686="Alpha",B2686="Alpha"),$C$9,$C$8),""),"")</f>
        <v/>
      </c>
      <c r="L2686" s="139">
        <f>IFERROR(IF(ISNUMBER(F2686),F2686-IF(ISNUMBER(K2686),K2686,0),""),"")</f>
        <v/>
      </c>
    </row>
    <row r="2687" ht="24" customHeight="1" s="63">
      <c r="E2687" s="139" t="n"/>
      <c r="F2687" s="139" t="n"/>
      <c r="G2687" s="140">
        <f>IFERROR(IF(E2687&gt;0,(F2687/E2687)*1000,""),"")</f>
        <v/>
      </c>
      <c r="H2687" s="139">
        <f>IFERROR(IF(E2687&gt;0,E2687*IF(ISNUMBER(J2687),J2687,IF(OR(C2687="Alpha",B2687="Alpha"),$C$7,IF(C2687="Futures",$C$6,$C$5))),""),"")</f>
        <v/>
      </c>
      <c r="I2687" s="139">
        <f>IFERROR(IF(AND(ISNUMBER(F2687),ISNUMBER(H2687)),F2687-H2687,""),"")</f>
        <v/>
      </c>
      <c r="J2687" s="114" t="n"/>
      <c r="K2687" s="139">
        <f>IFERROR(IF(H2687&gt;0,H2687*IF(OR(C2687="Alpha",B2687="Alpha"),$C$9,$C$8),""),"")</f>
        <v/>
      </c>
      <c r="L2687" s="139">
        <f>IFERROR(IF(ISNUMBER(F2687),F2687-IF(ISNUMBER(K2687),K2687,0),""),"")</f>
        <v/>
      </c>
    </row>
    <row r="2688" ht="24" customHeight="1" s="63">
      <c r="E2688" s="139" t="n"/>
      <c r="F2688" s="139" t="n"/>
      <c r="G2688" s="140">
        <f>IFERROR(IF(E2688&gt;0,(F2688/E2688)*1000,""),"")</f>
        <v/>
      </c>
      <c r="H2688" s="139">
        <f>IFERROR(IF(E2688&gt;0,E2688*IF(ISNUMBER(J2688),J2688,IF(OR(C2688="Alpha",B2688="Alpha"),$C$7,IF(C2688="Futures",$C$6,$C$5))),""),"")</f>
        <v/>
      </c>
      <c r="I2688" s="139">
        <f>IFERROR(IF(AND(ISNUMBER(F2688),ISNUMBER(H2688)),F2688-H2688,""),"")</f>
        <v/>
      </c>
      <c r="J2688" s="114" t="n"/>
      <c r="K2688" s="139">
        <f>IFERROR(IF(H2688&gt;0,H2688*IF(OR(C2688="Alpha",B2688="Alpha"),$C$9,$C$8),""),"")</f>
        <v/>
      </c>
      <c r="L2688" s="139">
        <f>IFERROR(IF(ISNUMBER(F2688),F2688-IF(ISNUMBER(K2688),K2688,0),""),"")</f>
        <v/>
      </c>
    </row>
    <row r="2689" ht="24" customHeight="1" s="63">
      <c r="E2689" s="139" t="n"/>
      <c r="F2689" s="139" t="n"/>
      <c r="G2689" s="140">
        <f>IFERROR(IF(E2689&gt;0,(F2689/E2689)*1000,""),"")</f>
        <v/>
      </c>
      <c r="H2689" s="139">
        <f>IFERROR(IF(E2689&gt;0,E2689*IF(ISNUMBER(J2689),J2689,IF(OR(C2689="Alpha",B2689="Alpha"),$C$7,IF(C2689="Futures",$C$6,$C$5))),""),"")</f>
        <v/>
      </c>
      <c r="I2689" s="139">
        <f>IFERROR(IF(AND(ISNUMBER(F2689),ISNUMBER(H2689)),F2689-H2689,""),"")</f>
        <v/>
      </c>
      <c r="J2689" s="114" t="n"/>
      <c r="K2689" s="139">
        <f>IFERROR(IF(H2689&gt;0,H2689*IF(OR(C2689="Alpha",B2689="Alpha"),$C$9,$C$8),""),"")</f>
        <v/>
      </c>
      <c r="L2689" s="139">
        <f>IFERROR(IF(ISNUMBER(F2689),F2689-IF(ISNUMBER(K2689),K2689,0),""),"")</f>
        <v/>
      </c>
    </row>
    <row r="2690" ht="24" customHeight="1" s="63">
      <c r="E2690" s="139" t="n"/>
      <c r="F2690" s="139" t="n"/>
      <c r="G2690" s="140">
        <f>IFERROR(IF(E2690&gt;0,(F2690/E2690)*1000,""),"")</f>
        <v/>
      </c>
      <c r="H2690" s="139">
        <f>IFERROR(IF(E2690&gt;0,E2690*IF(ISNUMBER(J2690),J2690,IF(OR(C2690="Alpha",B2690="Alpha"),$C$7,IF(C2690="Futures",$C$6,$C$5))),""),"")</f>
        <v/>
      </c>
      <c r="I2690" s="139">
        <f>IFERROR(IF(AND(ISNUMBER(F2690),ISNUMBER(H2690)),F2690-H2690,""),"")</f>
        <v/>
      </c>
      <c r="J2690" s="114" t="n"/>
      <c r="K2690" s="139">
        <f>IFERROR(IF(H2690&gt;0,H2690*IF(OR(C2690="Alpha",B2690="Alpha"),$C$9,$C$8),""),"")</f>
        <v/>
      </c>
      <c r="L2690" s="139">
        <f>IFERROR(IF(ISNUMBER(F2690),F2690-IF(ISNUMBER(K2690),K2690,0),""),"")</f>
        <v/>
      </c>
    </row>
    <row r="2691" ht="24" customHeight="1" s="63">
      <c r="E2691" s="139" t="n"/>
      <c r="F2691" s="139" t="n"/>
      <c r="G2691" s="140">
        <f>IFERROR(IF(E2691&gt;0,(F2691/E2691)*1000,""),"")</f>
        <v/>
      </c>
      <c r="H2691" s="139">
        <f>IFERROR(IF(E2691&gt;0,E2691*IF(ISNUMBER(J2691),J2691,IF(OR(C2691="Alpha",B2691="Alpha"),$C$7,IF(C2691="Futures",$C$6,$C$5))),""),"")</f>
        <v/>
      </c>
      <c r="I2691" s="139">
        <f>IFERROR(IF(AND(ISNUMBER(F2691),ISNUMBER(H2691)),F2691-H2691,""),"")</f>
        <v/>
      </c>
      <c r="J2691" s="114" t="n"/>
      <c r="K2691" s="139">
        <f>IFERROR(IF(H2691&gt;0,H2691*IF(OR(C2691="Alpha",B2691="Alpha"),$C$9,$C$8),""),"")</f>
        <v/>
      </c>
      <c r="L2691" s="139">
        <f>IFERROR(IF(ISNUMBER(F2691),F2691-IF(ISNUMBER(K2691),K2691,0),""),"")</f>
        <v/>
      </c>
    </row>
    <row r="2692" ht="24" customHeight="1" s="63">
      <c r="E2692" s="139" t="n"/>
      <c r="F2692" s="139" t="n"/>
      <c r="G2692" s="140">
        <f>IFERROR(IF(E2692&gt;0,(F2692/E2692)*1000,""),"")</f>
        <v/>
      </c>
      <c r="H2692" s="139">
        <f>IFERROR(IF(E2692&gt;0,E2692*IF(ISNUMBER(J2692),J2692,IF(OR(C2692="Alpha",B2692="Alpha"),$C$7,IF(C2692="Futures",$C$6,$C$5))),""),"")</f>
        <v/>
      </c>
      <c r="I2692" s="139">
        <f>IFERROR(IF(AND(ISNUMBER(F2692),ISNUMBER(H2692)),F2692-H2692,""),"")</f>
        <v/>
      </c>
      <c r="J2692" s="114" t="n"/>
      <c r="K2692" s="139">
        <f>IFERROR(IF(H2692&gt;0,H2692*IF(OR(C2692="Alpha",B2692="Alpha"),$C$9,$C$8),""),"")</f>
        <v/>
      </c>
      <c r="L2692" s="139">
        <f>IFERROR(IF(ISNUMBER(F2692),F2692-IF(ISNUMBER(K2692),K2692,0),""),"")</f>
        <v/>
      </c>
    </row>
    <row r="2693" ht="24" customHeight="1" s="63">
      <c r="E2693" s="139" t="n"/>
      <c r="F2693" s="139" t="n"/>
      <c r="G2693" s="140">
        <f>IFERROR(IF(E2693&gt;0,(F2693/E2693)*1000,""),"")</f>
        <v/>
      </c>
      <c r="H2693" s="139">
        <f>IFERROR(IF(E2693&gt;0,E2693*IF(ISNUMBER(J2693),J2693,IF(OR(C2693="Alpha",B2693="Alpha"),$C$7,IF(C2693="Futures",$C$6,$C$5))),""),"")</f>
        <v/>
      </c>
      <c r="I2693" s="139">
        <f>IFERROR(IF(AND(ISNUMBER(F2693),ISNUMBER(H2693)),F2693-H2693,""),"")</f>
        <v/>
      </c>
      <c r="J2693" s="114" t="n"/>
      <c r="K2693" s="139">
        <f>IFERROR(IF(H2693&gt;0,H2693*IF(OR(C2693="Alpha",B2693="Alpha"),$C$9,$C$8),""),"")</f>
        <v/>
      </c>
      <c r="L2693" s="139">
        <f>IFERROR(IF(ISNUMBER(F2693),F2693-IF(ISNUMBER(K2693),K2693,0),""),"")</f>
        <v/>
      </c>
    </row>
    <row r="2694" ht="24" customHeight="1" s="63">
      <c r="E2694" s="139" t="n"/>
      <c r="F2694" s="139" t="n"/>
      <c r="G2694" s="140">
        <f>IFERROR(IF(E2694&gt;0,(F2694/E2694)*1000,""),"")</f>
        <v/>
      </c>
      <c r="H2694" s="139">
        <f>IFERROR(IF(E2694&gt;0,E2694*IF(ISNUMBER(J2694),J2694,IF(OR(C2694="Alpha",B2694="Alpha"),$C$7,IF(C2694="Futures",$C$6,$C$5))),""),"")</f>
        <v/>
      </c>
      <c r="I2694" s="139">
        <f>IFERROR(IF(AND(ISNUMBER(F2694),ISNUMBER(H2694)),F2694-H2694,""),"")</f>
        <v/>
      </c>
      <c r="J2694" s="114" t="n"/>
      <c r="K2694" s="139">
        <f>IFERROR(IF(H2694&gt;0,H2694*IF(OR(C2694="Alpha",B2694="Alpha"),$C$9,$C$8),""),"")</f>
        <v/>
      </c>
      <c r="L2694" s="139">
        <f>IFERROR(IF(ISNUMBER(F2694),F2694-IF(ISNUMBER(K2694),K2694,0),""),"")</f>
        <v/>
      </c>
    </row>
    <row r="2695" ht="24" customHeight="1" s="63">
      <c r="E2695" s="139" t="n"/>
      <c r="F2695" s="139" t="n"/>
      <c r="G2695" s="140">
        <f>IFERROR(IF(E2695&gt;0,(F2695/E2695)*1000,""),"")</f>
        <v/>
      </c>
      <c r="H2695" s="139">
        <f>IFERROR(IF(E2695&gt;0,E2695*IF(ISNUMBER(J2695),J2695,IF(OR(C2695="Alpha",B2695="Alpha"),$C$7,IF(C2695="Futures",$C$6,$C$5))),""),"")</f>
        <v/>
      </c>
      <c r="I2695" s="139">
        <f>IFERROR(IF(AND(ISNUMBER(F2695),ISNUMBER(H2695)),F2695-H2695,""),"")</f>
        <v/>
      </c>
      <c r="J2695" s="114" t="n"/>
      <c r="K2695" s="139">
        <f>IFERROR(IF(H2695&gt;0,H2695*IF(OR(C2695="Alpha",B2695="Alpha"),$C$9,$C$8),""),"")</f>
        <v/>
      </c>
      <c r="L2695" s="139">
        <f>IFERROR(IF(ISNUMBER(F2695),F2695-IF(ISNUMBER(K2695),K2695,0),""),"")</f>
        <v/>
      </c>
    </row>
    <row r="2696" ht="24" customHeight="1" s="63">
      <c r="E2696" s="139" t="n"/>
      <c r="F2696" s="139" t="n"/>
      <c r="G2696" s="140">
        <f>IFERROR(IF(E2696&gt;0,(F2696/E2696)*1000,""),"")</f>
        <v/>
      </c>
      <c r="H2696" s="139">
        <f>IFERROR(IF(E2696&gt;0,E2696*IF(ISNUMBER(J2696),J2696,IF(OR(C2696="Alpha",B2696="Alpha"),$C$7,IF(C2696="Futures",$C$6,$C$5))),""),"")</f>
        <v/>
      </c>
      <c r="I2696" s="139">
        <f>IFERROR(IF(AND(ISNUMBER(F2696),ISNUMBER(H2696)),F2696-H2696,""),"")</f>
        <v/>
      </c>
      <c r="J2696" s="114" t="n"/>
      <c r="K2696" s="139">
        <f>IFERROR(IF(H2696&gt;0,H2696*IF(OR(C2696="Alpha",B2696="Alpha"),$C$9,$C$8),""),"")</f>
        <v/>
      </c>
      <c r="L2696" s="139">
        <f>IFERROR(IF(ISNUMBER(F2696),F2696-IF(ISNUMBER(K2696),K2696,0),""),"")</f>
        <v/>
      </c>
    </row>
    <row r="2697" ht="24" customHeight="1" s="63">
      <c r="E2697" s="139" t="n"/>
      <c r="F2697" s="139" t="n"/>
      <c r="G2697" s="140">
        <f>IFERROR(IF(E2697&gt;0,(F2697/E2697)*1000,""),"")</f>
        <v/>
      </c>
      <c r="H2697" s="139">
        <f>IFERROR(IF(E2697&gt;0,E2697*IF(ISNUMBER(J2697),J2697,IF(OR(C2697="Alpha",B2697="Alpha"),$C$7,IF(C2697="Futures",$C$6,$C$5))),""),"")</f>
        <v/>
      </c>
      <c r="I2697" s="139">
        <f>IFERROR(IF(AND(ISNUMBER(F2697),ISNUMBER(H2697)),F2697-H2697,""),"")</f>
        <v/>
      </c>
      <c r="J2697" s="114" t="n"/>
      <c r="K2697" s="139">
        <f>IFERROR(IF(H2697&gt;0,H2697*IF(OR(C2697="Alpha",B2697="Alpha"),$C$9,$C$8),""),"")</f>
        <v/>
      </c>
      <c r="L2697" s="139">
        <f>IFERROR(IF(ISNUMBER(F2697),F2697-IF(ISNUMBER(K2697),K2697,0),""),"")</f>
        <v/>
      </c>
    </row>
    <row r="2698" ht="24" customHeight="1" s="63">
      <c r="E2698" s="139" t="n"/>
      <c r="F2698" s="139" t="n"/>
      <c r="G2698" s="140">
        <f>IFERROR(IF(E2698&gt;0,(F2698/E2698)*1000,""),"")</f>
        <v/>
      </c>
      <c r="H2698" s="139">
        <f>IFERROR(IF(E2698&gt;0,E2698*IF(ISNUMBER(J2698),J2698,IF(OR(C2698="Alpha",B2698="Alpha"),$C$7,IF(C2698="Futures",$C$6,$C$5))),""),"")</f>
        <v/>
      </c>
      <c r="I2698" s="139">
        <f>IFERROR(IF(AND(ISNUMBER(F2698),ISNUMBER(H2698)),F2698-H2698,""),"")</f>
        <v/>
      </c>
      <c r="J2698" s="114" t="n"/>
      <c r="K2698" s="139">
        <f>IFERROR(IF(H2698&gt;0,H2698*IF(OR(C2698="Alpha",B2698="Alpha"),$C$9,$C$8),""),"")</f>
        <v/>
      </c>
      <c r="L2698" s="139">
        <f>IFERROR(IF(ISNUMBER(F2698),F2698-IF(ISNUMBER(K2698),K2698,0),""),"")</f>
        <v/>
      </c>
    </row>
    <row r="2699" ht="24" customHeight="1" s="63">
      <c r="E2699" s="139" t="n"/>
      <c r="F2699" s="139" t="n"/>
      <c r="G2699" s="140">
        <f>IFERROR(IF(E2699&gt;0,(F2699/E2699)*1000,""),"")</f>
        <v/>
      </c>
      <c r="H2699" s="139">
        <f>IFERROR(IF(E2699&gt;0,E2699*IF(ISNUMBER(J2699),J2699,IF(OR(C2699="Alpha",B2699="Alpha"),$C$7,IF(C2699="Futures",$C$6,$C$5))),""),"")</f>
        <v/>
      </c>
      <c r="I2699" s="139">
        <f>IFERROR(IF(AND(ISNUMBER(F2699),ISNUMBER(H2699)),F2699-H2699,""),"")</f>
        <v/>
      </c>
      <c r="J2699" s="114" t="n"/>
      <c r="K2699" s="139">
        <f>IFERROR(IF(H2699&gt;0,H2699*IF(OR(C2699="Alpha",B2699="Alpha"),$C$9,$C$8),""),"")</f>
        <v/>
      </c>
      <c r="L2699" s="139">
        <f>IFERROR(IF(ISNUMBER(F2699),F2699-IF(ISNUMBER(K2699),K2699,0),""),"")</f>
        <v/>
      </c>
    </row>
    <row r="2700" ht="24" customHeight="1" s="63">
      <c r="E2700" s="139" t="n"/>
      <c r="F2700" s="139" t="n"/>
      <c r="G2700" s="140">
        <f>IFERROR(IF(E2700&gt;0,(F2700/E2700)*1000,""),"")</f>
        <v/>
      </c>
      <c r="H2700" s="139">
        <f>IFERROR(IF(E2700&gt;0,E2700*IF(ISNUMBER(J2700),J2700,IF(OR(C2700="Alpha",B2700="Alpha"),$C$7,IF(C2700="Futures",$C$6,$C$5))),""),"")</f>
        <v/>
      </c>
      <c r="I2700" s="139">
        <f>IFERROR(IF(AND(ISNUMBER(F2700),ISNUMBER(H2700)),F2700-H2700,""),"")</f>
        <v/>
      </c>
      <c r="J2700" s="114" t="n"/>
      <c r="K2700" s="139">
        <f>IFERROR(IF(H2700&gt;0,H2700*IF(OR(C2700="Alpha",B2700="Alpha"),$C$9,$C$8),""),"")</f>
        <v/>
      </c>
      <c r="L2700" s="139">
        <f>IFERROR(IF(ISNUMBER(F2700),F2700-IF(ISNUMBER(K2700),K2700,0),""),"")</f>
        <v/>
      </c>
    </row>
    <row r="2701" ht="24" customHeight="1" s="63">
      <c r="E2701" s="139" t="n"/>
      <c r="F2701" s="139" t="n"/>
      <c r="G2701" s="140">
        <f>IFERROR(IF(E2701&gt;0,(F2701/E2701)*1000,""),"")</f>
        <v/>
      </c>
      <c r="H2701" s="139">
        <f>IFERROR(IF(E2701&gt;0,E2701*IF(ISNUMBER(J2701),J2701,IF(OR(C2701="Alpha",B2701="Alpha"),$C$7,IF(C2701="Futures",$C$6,$C$5))),""),"")</f>
        <v/>
      </c>
      <c r="I2701" s="139">
        <f>IFERROR(IF(AND(ISNUMBER(F2701),ISNUMBER(H2701)),F2701-H2701,""),"")</f>
        <v/>
      </c>
      <c r="J2701" s="114" t="n"/>
      <c r="K2701" s="139">
        <f>IFERROR(IF(H2701&gt;0,H2701*IF(OR(C2701="Alpha",B2701="Alpha"),$C$9,$C$8),""),"")</f>
        <v/>
      </c>
      <c r="L2701" s="139">
        <f>IFERROR(IF(ISNUMBER(F2701),F2701-IF(ISNUMBER(K2701),K2701,0),""),"")</f>
        <v/>
      </c>
    </row>
    <row r="2702" ht="24" customHeight="1" s="63">
      <c r="E2702" s="139" t="n"/>
      <c r="F2702" s="139" t="n"/>
      <c r="G2702" s="140">
        <f>IFERROR(IF(E2702&gt;0,(F2702/E2702)*1000,""),"")</f>
        <v/>
      </c>
      <c r="H2702" s="139">
        <f>IFERROR(IF(E2702&gt;0,E2702*IF(ISNUMBER(J2702),J2702,IF(OR(C2702="Alpha",B2702="Alpha"),$C$7,IF(C2702="Futures",$C$6,$C$5))),""),"")</f>
        <v/>
      </c>
      <c r="I2702" s="139">
        <f>IFERROR(IF(AND(ISNUMBER(F2702),ISNUMBER(H2702)),F2702-H2702,""),"")</f>
        <v/>
      </c>
      <c r="J2702" s="114" t="n"/>
      <c r="K2702" s="139">
        <f>IFERROR(IF(H2702&gt;0,H2702*IF(OR(C2702="Alpha",B2702="Alpha"),$C$9,$C$8),""),"")</f>
        <v/>
      </c>
      <c r="L2702" s="139">
        <f>IFERROR(IF(ISNUMBER(F2702),F2702-IF(ISNUMBER(K2702),K2702,0),""),"")</f>
        <v/>
      </c>
    </row>
    <row r="2703" ht="24" customHeight="1" s="63">
      <c r="E2703" s="139" t="n"/>
      <c r="F2703" s="139" t="n"/>
      <c r="G2703" s="140">
        <f>IFERROR(IF(E2703&gt;0,(F2703/E2703)*1000,""),"")</f>
        <v/>
      </c>
      <c r="H2703" s="139">
        <f>IFERROR(IF(E2703&gt;0,E2703*IF(ISNUMBER(J2703),J2703,IF(OR(C2703="Alpha",B2703="Alpha"),$C$7,IF(C2703="Futures",$C$6,$C$5))),""),"")</f>
        <v/>
      </c>
      <c r="I2703" s="139">
        <f>IFERROR(IF(AND(ISNUMBER(F2703),ISNUMBER(H2703)),F2703-H2703,""),"")</f>
        <v/>
      </c>
      <c r="J2703" s="114" t="n"/>
      <c r="K2703" s="139">
        <f>IFERROR(IF(H2703&gt;0,H2703*IF(OR(C2703="Alpha",B2703="Alpha"),$C$9,$C$8),""),"")</f>
        <v/>
      </c>
      <c r="L2703" s="139">
        <f>IFERROR(IF(ISNUMBER(F2703),F2703-IF(ISNUMBER(K2703),K2703,0),""),"")</f>
        <v/>
      </c>
    </row>
    <row r="2704" ht="24" customHeight="1" s="63">
      <c r="E2704" s="139" t="n"/>
      <c r="F2704" s="139" t="n"/>
      <c r="G2704" s="140">
        <f>IFERROR(IF(E2704&gt;0,(F2704/E2704)*1000,""),"")</f>
        <v/>
      </c>
      <c r="H2704" s="139">
        <f>IFERROR(IF(E2704&gt;0,E2704*IF(ISNUMBER(J2704),J2704,IF(OR(C2704="Alpha",B2704="Alpha"),$C$7,IF(C2704="Futures",$C$6,$C$5))),""),"")</f>
        <v/>
      </c>
      <c r="I2704" s="139">
        <f>IFERROR(IF(AND(ISNUMBER(F2704),ISNUMBER(H2704)),F2704-H2704,""),"")</f>
        <v/>
      </c>
      <c r="J2704" s="114" t="n"/>
      <c r="K2704" s="139">
        <f>IFERROR(IF(H2704&gt;0,H2704*IF(OR(C2704="Alpha",B2704="Alpha"),$C$9,$C$8),""),"")</f>
        <v/>
      </c>
      <c r="L2704" s="139">
        <f>IFERROR(IF(ISNUMBER(F2704),F2704-IF(ISNUMBER(K2704),K2704,0),""),"")</f>
        <v/>
      </c>
    </row>
    <row r="2705" ht="24" customHeight="1" s="63">
      <c r="E2705" s="139" t="n"/>
      <c r="F2705" s="139" t="n"/>
      <c r="G2705" s="140">
        <f>IFERROR(IF(E2705&gt;0,(F2705/E2705)*1000,""),"")</f>
        <v/>
      </c>
      <c r="H2705" s="139">
        <f>IFERROR(IF(E2705&gt;0,E2705*IF(ISNUMBER(J2705),J2705,IF(OR(C2705="Alpha",B2705="Alpha"),$C$7,IF(C2705="Futures",$C$6,$C$5))),""),"")</f>
        <v/>
      </c>
      <c r="I2705" s="139">
        <f>IFERROR(IF(AND(ISNUMBER(F2705),ISNUMBER(H2705)),F2705-H2705,""),"")</f>
        <v/>
      </c>
      <c r="J2705" s="114" t="n"/>
      <c r="K2705" s="139">
        <f>IFERROR(IF(H2705&gt;0,H2705*IF(OR(C2705="Alpha",B2705="Alpha"),$C$9,$C$8),""),"")</f>
        <v/>
      </c>
      <c r="L2705" s="139">
        <f>IFERROR(IF(ISNUMBER(F2705),F2705-IF(ISNUMBER(K2705),K2705,0),""),"")</f>
        <v/>
      </c>
    </row>
    <row r="2706" ht="24" customHeight="1" s="63">
      <c r="E2706" s="139" t="n"/>
      <c r="F2706" s="139" t="n"/>
      <c r="G2706" s="140">
        <f>IFERROR(IF(E2706&gt;0,(F2706/E2706)*1000,""),"")</f>
        <v/>
      </c>
      <c r="H2706" s="139">
        <f>IFERROR(IF(E2706&gt;0,E2706*IF(ISNUMBER(J2706),J2706,IF(OR(C2706="Alpha",B2706="Alpha"),$C$7,IF(C2706="Futures",$C$6,$C$5))),""),"")</f>
        <v/>
      </c>
      <c r="I2706" s="139">
        <f>IFERROR(IF(AND(ISNUMBER(F2706),ISNUMBER(H2706)),F2706-H2706,""),"")</f>
        <v/>
      </c>
      <c r="J2706" s="114" t="n"/>
      <c r="K2706" s="139">
        <f>IFERROR(IF(H2706&gt;0,H2706*IF(OR(C2706="Alpha",B2706="Alpha"),$C$9,$C$8),""),"")</f>
        <v/>
      </c>
      <c r="L2706" s="139">
        <f>IFERROR(IF(ISNUMBER(F2706),F2706-IF(ISNUMBER(K2706),K2706,0),""),"")</f>
        <v/>
      </c>
    </row>
    <row r="2707" ht="24" customHeight="1" s="63">
      <c r="E2707" s="139" t="n"/>
      <c r="F2707" s="139" t="n"/>
      <c r="G2707" s="140">
        <f>IFERROR(IF(E2707&gt;0,(F2707/E2707)*1000,""),"")</f>
        <v/>
      </c>
      <c r="H2707" s="139">
        <f>IFERROR(IF(E2707&gt;0,E2707*IF(ISNUMBER(J2707),J2707,IF(OR(C2707="Alpha",B2707="Alpha"),$C$7,IF(C2707="Futures",$C$6,$C$5))),""),"")</f>
        <v/>
      </c>
      <c r="I2707" s="139">
        <f>IFERROR(IF(AND(ISNUMBER(F2707),ISNUMBER(H2707)),F2707-H2707,""),"")</f>
        <v/>
      </c>
      <c r="J2707" s="114" t="n"/>
      <c r="K2707" s="139">
        <f>IFERROR(IF(H2707&gt;0,H2707*IF(OR(C2707="Alpha",B2707="Alpha"),$C$9,$C$8),""),"")</f>
        <v/>
      </c>
      <c r="L2707" s="139">
        <f>IFERROR(IF(ISNUMBER(F2707),F2707-IF(ISNUMBER(K2707),K2707,0),""),"")</f>
        <v/>
      </c>
    </row>
    <row r="2708" ht="24" customHeight="1" s="63">
      <c r="E2708" s="139" t="n"/>
      <c r="F2708" s="139" t="n"/>
      <c r="G2708" s="140">
        <f>IFERROR(IF(E2708&gt;0,(F2708/E2708)*1000,""),"")</f>
        <v/>
      </c>
      <c r="H2708" s="139">
        <f>IFERROR(IF(E2708&gt;0,E2708*IF(ISNUMBER(J2708),J2708,IF(OR(C2708="Alpha",B2708="Alpha"),$C$7,IF(C2708="Futures",$C$6,$C$5))),""),"")</f>
        <v/>
      </c>
      <c r="I2708" s="139">
        <f>IFERROR(IF(AND(ISNUMBER(F2708),ISNUMBER(H2708)),F2708-H2708,""),"")</f>
        <v/>
      </c>
      <c r="J2708" s="114" t="n"/>
      <c r="K2708" s="139">
        <f>IFERROR(IF(H2708&gt;0,H2708*IF(OR(C2708="Alpha",B2708="Alpha"),$C$9,$C$8),""),"")</f>
        <v/>
      </c>
      <c r="L2708" s="139">
        <f>IFERROR(IF(ISNUMBER(F2708),F2708-IF(ISNUMBER(K2708),K2708,0),""),"")</f>
        <v/>
      </c>
    </row>
    <row r="2709" ht="24" customHeight="1" s="63">
      <c r="E2709" s="139" t="n"/>
      <c r="F2709" s="139" t="n"/>
      <c r="G2709" s="140">
        <f>IFERROR(IF(E2709&gt;0,(F2709/E2709)*1000,""),"")</f>
        <v/>
      </c>
      <c r="H2709" s="139">
        <f>IFERROR(IF(E2709&gt;0,E2709*IF(ISNUMBER(J2709),J2709,IF(OR(C2709="Alpha",B2709="Alpha"),$C$7,IF(C2709="Futures",$C$6,$C$5))),""),"")</f>
        <v/>
      </c>
      <c r="I2709" s="139">
        <f>IFERROR(IF(AND(ISNUMBER(F2709),ISNUMBER(H2709)),F2709-H2709,""),"")</f>
        <v/>
      </c>
      <c r="J2709" s="114" t="n"/>
      <c r="K2709" s="139">
        <f>IFERROR(IF(H2709&gt;0,H2709*IF(OR(C2709="Alpha",B2709="Alpha"),$C$9,$C$8),""),"")</f>
        <v/>
      </c>
      <c r="L2709" s="139">
        <f>IFERROR(IF(ISNUMBER(F2709),F2709-IF(ISNUMBER(K2709),K2709,0),""),"")</f>
        <v/>
      </c>
    </row>
    <row r="2710" ht="24" customHeight="1" s="63">
      <c r="E2710" s="139" t="n"/>
      <c r="F2710" s="139" t="n"/>
      <c r="G2710" s="140">
        <f>IFERROR(IF(E2710&gt;0,(F2710/E2710)*1000,""),"")</f>
        <v/>
      </c>
      <c r="H2710" s="139">
        <f>IFERROR(IF(E2710&gt;0,E2710*IF(ISNUMBER(J2710),J2710,IF(OR(C2710="Alpha",B2710="Alpha"),$C$7,IF(C2710="Futures",$C$6,$C$5))),""),"")</f>
        <v/>
      </c>
      <c r="I2710" s="139">
        <f>IFERROR(IF(AND(ISNUMBER(F2710),ISNUMBER(H2710)),F2710-H2710,""),"")</f>
        <v/>
      </c>
      <c r="J2710" s="114" t="n"/>
      <c r="K2710" s="139">
        <f>IFERROR(IF(H2710&gt;0,H2710*IF(OR(C2710="Alpha",B2710="Alpha"),$C$9,$C$8),""),"")</f>
        <v/>
      </c>
      <c r="L2710" s="139">
        <f>IFERROR(IF(ISNUMBER(F2710),F2710-IF(ISNUMBER(K2710),K2710,0),""),"")</f>
        <v/>
      </c>
    </row>
    <row r="2711" ht="24" customHeight="1" s="63">
      <c r="E2711" s="139" t="n"/>
      <c r="F2711" s="139" t="n"/>
      <c r="G2711" s="140">
        <f>IFERROR(IF(E2711&gt;0,(F2711/E2711)*1000,""),"")</f>
        <v/>
      </c>
      <c r="H2711" s="139">
        <f>IFERROR(IF(E2711&gt;0,E2711*IF(ISNUMBER(J2711),J2711,IF(OR(C2711="Alpha",B2711="Alpha"),$C$7,IF(C2711="Futures",$C$6,$C$5))),""),"")</f>
        <v/>
      </c>
      <c r="I2711" s="139">
        <f>IFERROR(IF(AND(ISNUMBER(F2711),ISNUMBER(H2711)),F2711-H2711,""),"")</f>
        <v/>
      </c>
      <c r="J2711" s="114" t="n"/>
      <c r="K2711" s="139">
        <f>IFERROR(IF(H2711&gt;0,H2711*IF(OR(C2711="Alpha",B2711="Alpha"),$C$9,$C$8),""),"")</f>
        <v/>
      </c>
      <c r="L2711" s="139">
        <f>IFERROR(IF(ISNUMBER(F2711),F2711-IF(ISNUMBER(K2711),K2711,0),""),"")</f>
        <v/>
      </c>
    </row>
    <row r="2712" ht="24" customHeight="1" s="63">
      <c r="E2712" s="139" t="n"/>
      <c r="F2712" s="139" t="n"/>
      <c r="G2712" s="140">
        <f>IFERROR(IF(E2712&gt;0,(F2712/E2712)*1000,""),"")</f>
        <v/>
      </c>
      <c r="H2712" s="139">
        <f>IFERROR(IF(E2712&gt;0,E2712*IF(ISNUMBER(J2712),J2712,IF(OR(C2712="Alpha",B2712="Alpha"),$C$7,IF(C2712="Futures",$C$6,$C$5))),""),"")</f>
        <v/>
      </c>
      <c r="I2712" s="139">
        <f>IFERROR(IF(AND(ISNUMBER(F2712),ISNUMBER(H2712)),F2712-H2712,""),"")</f>
        <v/>
      </c>
      <c r="J2712" s="114" t="n"/>
      <c r="K2712" s="139">
        <f>IFERROR(IF(H2712&gt;0,H2712*IF(OR(C2712="Alpha",B2712="Alpha"),$C$9,$C$8),""),"")</f>
        <v/>
      </c>
      <c r="L2712" s="139">
        <f>IFERROR(IF(ISNUMBER(F2712),F2712-IF(ISNUMBER(K2712),K2712,0),""),"")</f>
        <v/>
      </c>
    </row>
    <row r="2713" ht="24" customHeight="1" s="63">
      <c r="E2713" s="139" t="n"/>
      <c r="F2713" s="139" t="n"/>
      <c r="G2713" s="140">
        <f>IFERROR(IF(E2713&gt;0,(F2713/E2713)*1000,""),"")</f>
        <v/>
      </c>
      <c r="H2713" s="139">
        <f>IFERROR(IF(E2713&gt;0,E2713*IF(ISNUMBER(J2713),J2713,IF(OR(C2713="Alpha",B2713="Alpha"),$C$7,IF(C2713="Futures",$C$6,$C$5))),""),"")</f>
        <v/>
      </c>
      <c r="I2713" s="139">
        <f>IFERROR(IF(AND(ISNUMBER(F2713),ISNUMBER(H2713)),F2713-H2713,""),"")</f>
        <v/>
      </c>
      <c r="J2713" s="114" t="n"/>
      <c r="K2713" s="139">
        <f>IFERROR(IF(H2713&gt;0,H2713*IF(OR(C2713="Alpha",B2713="Alpha"),$C$9,$C$8),""),"")</f>
        <v/>
      </c>
      <c r="L2713" s="139">
        <f>IFERROR(IF(ISNUMBER(F2713),F2713-IF(ISNUMBER(K2713),K2713,0),""),"")</f>
        <v/>
      </c>
    </row>
    <row r="2714" ht="24" customHeight="1" s="63">
      <c r="E2714" s="139" t="n"/>
      <c r="F2714" s="139" t="n"/>
      <c r="G2714" s="140">
        <f>IFERROR(IF(E2714&gt;0,(F2714/E2714)*1000,""),"")</f>
        <v/>
      </c>
      <c r="H2714" s="139">
        <f>IFERROR(IF(E2714&gt;0,E2714*IF(ISNUMBER(J2714),J2714,IF(OR(C2714="Alpha",B2714="Alpha"),$C$7,IF(C2714="Futures",$C$6,$C$5))),""),"")</f>
        <v/>
      </c>
      <c r="I2714" s="139">
        <f>IFERROR(IF(AND(ISNUMBER(F2714),ISNUMBER(H2714)),F2714-H2714,""),"")</f>
        <v/>
      </c>
      <c r="J2714" s="114" t="n"/>
      <c r="K2714" s="139">
        <f>IFERROR(IF(H2714&gt;0,H2714*IF(OR(C2714="Alpha",B2714="Alpha"),$C$9,$C$8),""),"")</f>
        <v/>
      </c>
      <c r="L2714" s="139">
        <f>IFERROR(IF(ISNUMBER(F2714),F2714-IF(ISNUMBER(K2714),K2714,0),""),"")</f>
        <v/>
      </c>
    </row>
    <row r="2715" ht="24" customHeight="1" s="63">
      <c r="E2715" s="139" t="n"/>
      <c r="F2715" s="139" t="n"/>
      <c r="G2715" s="140">
        <f>IFERROR(IF(E2715&gt;0,(F2715/E2715)*1000,""),"")</f>
        <v/>
      </c>
      <c r="H2715" s="139">
        <f>IFERROR(IF(E2715&gt;0,E2715*IF(ISNUMBER(J2715),J2715,IF(OR(C2715="Alpha",B2715="Alpha"),$C$7,IF(C2715="Futures",$C$6,$C$5))),""),"")</f>
        <v/>
      </c>
      <c r="I2715" s="139">
        <f>IFERROR(IF(AND(ISNUMBER(F2715),ISNUMBER(H2715)),F2715-H2715,""),"")</f>
        <v/>
      </c>
      <c r="J2715" s="114" t="n"/>
      <c r="K2715" s="139">
        <f>IFERROR(IF(H2715&gt;0,H2715*IF(OR(C2715="Alpha",B2715="Alpha"),$C$9,$C$8),""),"")</f>
        <v/>
      </c>
      <c r="L2715" s="139">
        <f>IFERROR(IF(ISNUMBER(F2715),F2715-IF(ISNUMBER(K2715),K2715,0),""),"")</f>
        <v/>
      </c>
    </row>
    <row r="2716" ht="24" customHeight="1" s="63">
      <c r="E2716" s="139" t="n"/>
      <c r="F2716" s="139" t="n"/>
      <c r="G2716" s="140">
        <f>IFERROR(IF(E2716&gt;0,(F2716/E2716)*1000,""),"")</f>
        <v/>
      </c>
      <c r="H2716" s="139">
        <f>IFERROR(IF(E2716&gt;0,E2716*IF(ISNUMBER(J2716),J2716,IF(OR(C2716="Alpha",B2716="Alpha"),$C$7,IF(C2716="Futures",$C$6,$C$5))),""),"")</f>
        <v/>
      </c>
      <c r="I2716" s="139">
        <f>IFERROR(IF(AND(ISNUMBER(F2716),ISNUMBER(H2716)),F2716-H2716,""),"")</f>
        <v/>
      </c>
      <c r="J2716" s="114" t="n"/>
      <c r="K2716" s="139">
        <f>IFERROR(IF(H2716&gt;0,H2716*IF(OR(C2716="Alpha",B2716="Alpha"),$C$9,$C$8),""),"")</f>
        <v/>
      </c>
      <c r="L2716" s="139">
        <f>IFERROR(IF(ISNUMBER(F2716),F2716-IF(ISNUMBER(K2716),K2716,0),""),"")</f>
        <v/>
      </c>
    </row>
    <row r="2717" ht="24" customHeight="1" s="63">
      <c r="E2717" s="139" t="n"/>
      <c r="F2717" s="139" t="n"/>
      <c r="G2717" s="140">
        <f>IFERROR(IF(E2717&gt;0,(F2717/E2717)*1000,""),"")</f>
        <v/>
      </c>
      <c r="H2717" s="139">
        <f>IFERROR(IF(E2717&gt;0,E2717*IF(ISNUMBER(J2717),J2717,IF(OR(C2717="Alpha",B2717="Alpha"),$C$7,IF(C2717="Futures",$C$6,$C$5))),""),"")</f>
        <v/>
      </c>
      <c r="I2717" s="139">
        <f>IFERROR(IF(AND(ISNUMBER(F2717),ISNUMBER(H2717)),F2717-H2717,""),"")</f>
        <v/>
      </c>
      <c r="J2717" s="114" t="n"/>
      <c r="K2717" s="139">
        <f>IFERROR(IF(H2717&gt;0,H2717*IF(OR(C2717="Alpha",B2717="Alpha"),$C$9,$C$8),""),"")</f>
        <v/>
      </c>
      <c r="L2717" s="139">
        <f>IFERROR(IF(ISNUMBER(F2717),F2717-IF(ISNUMBER(K2717),K2717,0),""),"")</f>
        <v/>
      </c>
    </row>
    <row r="2718" ht="24" customHeight="1" s="63">
      <c r="E2718" s="139" t="n"/>
      <c r="F2718" s="139" t="n"/>
      <c r="G2718" s="140">
        <f>IFERROR(IF(E2718&gt;0,(F2718/E2718)*1000,""),"")</f>
        <v/>
      </c>
      <c r="H2718" s="139">
        <f>IFERROR(IF(E2718&gt;0,E2718*IF(ISNUMBER(J2718),J2718,IF(OR(C2718="Alpha",B2718="Alpha"),$C$7,IF(C2718="Futures",$C$6,$C$5))),""),"")</f>
        <v/>
      </c>
      <c r="I2718" s="139">
        <f>IFERROR(IF(AND(ISNUMBER(F2718),ISNUMBER(H2718)),F2718-H2718,""),"")</f>
        <v/>
      </c>
      <c r="J2718" s="114" t="n"/>
      <c r="K2718" s="139">
        <f>IFERROR(IF(H2718&gt;0,H2718*IF(OR(C2718="Alpha",B2718="Alpha"),$C$9,$C$8),""),"")</f>
        <v/>
      </c>
      <c r="L2718" s="139">
        <f>IFERROR(IF(ISNUMBER(F2718),F2718-IF(ISNUMBER(K2718),K2718,0),""),"")</f>
        <v/>
      </c>
    </row>
    <row r="2719" ht="24" customHeight="1" s="63">
      <c r="E2719" s="139" t="n"/>
      <c r="F2719" s="139" t="n"/>
      <c r="G2719" s="140">
        <f>IFERROR(IF(E2719&gt;0,(F2719/E2719)*1000,""),"")</f>
        <v/>
      </c>
      <c r="H2719" s="139">
        <f>IFERROR(IF(E2719&gt;0,E2719*IF(ISNUMBER(J2719),J2719,IF(OR(C2719="Alpha",B2719="Alpha"),$C$7,IF(C2719="Futures",$C$6,$C$5))),""),"")</f>
        <v/>
      </c>
      <c r="I2719" s="139">
        <f>IFERROR(IF(AND(ISNUMBER(F2719),ISNUMBER(H2719)),F2719-H2719,""),"")</f>
        <v/>
      </c>
      <c r="J2719" s="114" t="n"/>
      <c r="K2719" s="139">
        <f>IFERROR(IF(H2719&gt;0,H2719*IF(OR(C2719="Alpha",B2719="Alpha"),$C$9,$C$8),""),"")</f>
        <v/>
      </c>
      <c r="L2719" s="139">
        <f>IFERROR(IF(ISNUMBER(F2719),F2719-IF(ISNUMBER(K2719),K2719,0),""),"")</f>
        <v/>
      </c>
    </row>
    <row r="2720" ht="24" customHeight="1" s="63">
      <c r="E2720" s="139" t="n"/>
      <c r="F2720" s="139" t="n"/>
      <c r="G2720" s="140">
        <f>IFERROR(IF(E2720&gt;0,(F2720/E2720)*1000,""),"")</f>
        <v/>
      </c>
      <c r="H2720" s="139">
        <f>IFERROR(IF(E2720&gt;0,E2720*IF(ISNUMBER(J2720),J2720,IF(OR(C2720="Alpha",B2720="Alpha"),$C$7,IF(C2720="Futures",$C$6,$C$5))),""),"")</f>
        <v/>
      </c>
      <c r="I2720" s="139">
        <f>IFERROR(IF(AND(ISNUMBER(F2720),ISNUMBER(H2720)),F2720-H2720,""),"")</f>
        <v/>
      </c>
      <c r="J2720" s="114" t="n"/>
      <c r="K2720" s="139">
        <f>IFERROR(IF(H2720&gt;0,H2720*IF(OR(C2720="Alpha",B2720="Alpha"),$C$9,$C$8),""),"")</f>
        <v/>
      </c>
      <c r="L2720" s="139">
        <f>IFERROR(IF(ISNUMBER(F2720),F2720-IF(ISNUMBER(K2720),K2720,0),""),"")</f>
        <v/>
      </c>
    </row>
    <row r="2721" ht="24" customHeight="1" s="63">
      <c r="E2721" s="139" t="n"/>
      <c r="F2721" s="139" t="n"/>
      <c r="G2721" s="140">
        <f>IFERROR(IF(E2721&gt;0,(F2721/E2721)*1000,""),"")</f>
        <v/>
      </c>
      <c r="H2721" s="139">
        <f>IFERROR(IF(E2721&gt;0,E2721*IF(ISNUMBER(J2721),J2721,IF(OR(C2721="Alpha",B2721="Alpha"),$C$7,IF(C2721="Futures",$C$6,$C$5))),""),"")</f>
        <v/>
      </c>
      <c r="I2721" s="139">
        <f>IFERROR(IF(AND(ISNUMBER(F2721),ISNUMBER(H2721)),F2721-H2721,""),"")</f>
        <v/>
      </c>
      <c r="J2721" s="114" t="n"/>
      <c r="K2721" s="139">
        <f>IFERROR(IF(H2721&gt;0,H2721*IF(OR(C2721="Alpha",B2721="Alpha"),$C$9,$C$8),""),"")</f>
        <v/>
      </c>
      <c r="L2721" s="139">
        <f>IFERROR(IF(ISNUMBER(F2721),F2721-IF(ISNUMBER(K2721),K2721,0),""),"")</f>
        <v/>
      </c>
    </row>
    <row r="2722" ht="24" customHeight="1" s="63">
      <c r="E2722" s="139" t="n"/>
      <c r="F2722" s="139" t="n"/>
      <c r="G2722" s="140">
        <f>IFERROR(IF(E2722&gt;0,(F2722/E2722)*1000,""),"")</f>
        <v/>
      </c>
      <c r="H2722" s="139">
        <f>IFERROR(IF(E2722&gt;0,E2722*IF(ISNUMBER(J2722),J2722,IF(OR(C2722="Alpha",B2722="Alpha"),$C$7,IF(C2722="Futures",$C$6,$C$5))),""),"")</f>
        <v/>
      </c>
      <c r="I2722" s="139">
        <f>IFERROR(IF(AND(ISNUMBER(F2722),ISNUMBER(H2722)),F2722-H2722,""),"")</f>
        <v/>
      </c>
      <c r="J2722" s="114" t="n"/>
      <c r="K2722" s="139">
        <f>IFERROR(IF(H2722&gt;0,H2722*IF(OR(C2722="Alpha",B2722="Alpha"),$C$9,$C$8),""),"")</f>
        <v/>
      </c>
      <c r="L2722" s="139">
        <f>IFERROR(IF(ISNUMBER(F2722),F2722-IF(ISNUMBER(K2722),K2722,0),""),"")</f>
        <v/>
      </c>
    </row>
    <row r="2723" ht="24" customHeight="1" s="63">
      <c r="E2723" s="139" t="n"/>
      <c r="F2723" s="139" t="n"/>
      <c r="G2723" s="140">
        <f>IFERROR(IF(E2723&gt;0,(F2723/E2723)*1000,""),"")</f>
        <v/>
      </c>
      <c r="H2723" s="139">
        <f>IFERROR(IF(E2723&gt;0,E2723*IF(ISNUMBER(J2723),J2723,IF(OR(C2723="Alpha",B2723="Alpha"),$C$7,IF(C2723="Futures",$C$6,$C$5))),""),"")</f>
        <v/>
      </c>
      <c r="I2723" s="139">
        <f>IFERROR(IF(AND(ISNUMBER(F2723),ISNUMBER(H2723)),F2723-H2723,""),"")</f>
        <v/>
      </c>
      <c r="J2723" s="114" t="n"/>
      <c r="K2723" s="139">
        <f>IFERROR(IF(H2723&gt;0,H2723*IF(OR(C2723="Alpha",B2723="Alpha"),$C$9,$C$8),""),"")</f>
        <v/>
      </c>
      <c r="L2723" s="139">
        <f>IFERROR(IF(ISNUMBER(F2723),F2723-IF(ISNUMBER(K2723),K2723,0),""),"")</f>
        <v/>
      </c>
    </row>
    <row r="2724" ht="24" customHeight="1" s="63">
      <c r="E2724" s="139" t="n"/>
      <c r="F2724" s="139" t="n"/>
      <c r="G2724" s="140">
        <f>IFERROR(IF(E2724&gt;0,(F2724/E2724)*1000,""),"")</f>
        <v/>
      </c>
      <c r="H2724" s="139">
        <f>IFERROR(IF(E2724&gt;0,E2724*IF(ISNUMBER(J2724),J2724,IF(OR(C2724="Alpha",B2724="Alpha"),$C$7,IF(C2724="Futures",$C$6,$C$5))),""),"")</f>
        <v/>
      </c>
      <c r="I2724" s="139">
        <f>IFERROR(IF(AND(ISNUMBER(F2724),ISNUMBER(H2724)),F2724-H2724,""),"")</f>
        <v/>
      </c>
      <c r="J2724" s="114" t="n"/>
      <c r="K2724" s="139">
        <f>IFERROR(IF(H2724&gt;0,H2724*IF(OR(C2724="Alpha",B2724="Alpha"),$C$9,$C$8),""),"")</f>
        <v/>
      </c>
      <c r="L2724" s="139">
        <f>IFERROR(IF(ISNUMBER(F2724),F2724-IF(ISNUMBER(K2724),K2724,0),""),"")</f>
        <v/>
      </c>
    </row>
    <row r="2725" ht="24" customHeight="1" s="63">
      <c r="E2725" s="139" t="n"/>
      <c r="F2725" s="139" t="n"/>
      <c r="G2725" s="140">
        <f>IFERROR(IF(E2725&gt;0,(F2725/E2725)*1000,""),"")</f>
        <v/>
      </c>
      <c r="H2725" s="139">
        <f>IFERROR(IF(E2725&gt;0,E2725*IF(ISNUMBER(J2725),J2725,IF(OR(C2725="Alpha",B2725="Alpha"),$C$7,IF(C2725="Futures",$C$6,$C$5))),""),"")</f>
        <v/>
      </c>
      <c r="I2725" s="139">
        <f>IFERROR(IF(AND(ISNUMBER(F2725),ISNUMBER(H2725)),F2725-H2725,""),"")</f>
        <v/>
      </c>
      <c r="J2725" s="114" t="n"/>
      <c r="K2725" s="139">
        <f>IFERROR(IF(H2725&gt;0,H2725*IF(OR(C2725="Alpha",B2725="Alpha"),$C$9,$C$8),""),"")</f>
        <v/>
      </c>
      <c r="L2725" s="139">
        <f>IFERROR(IF(ISNUMBER(F2725),F2725-IF(ISNUMBER(K2725),K2725,0),""),"")</f>
        <v/>
      </c>
    </row>
    <row r="2726" ht="24" customHeight="1" s="63">
      <c r="E2726" s="139" t="n"/>
      <c r="F2726" s="139" t="n"/>
      <c r="G2726" s="140">
        <f>IFERROR(IF(E2726&gt;0,(F2726/E2726)*1000,""),"")</f>
        <v/>
      </c>
      <c r="H2726" s="139">
        <f>IFERROR(IF(E2726&gt;0,E2726*IF(ISNUMBER(J2726),J2726,IF(OR(C2726="Alpha",B2726="Alpha"),$C$7,IF(C2726="Futures",$C$6,$C$5))),""),"")</f>
        <v/>
      </c>
      <c r="I2726" s="139">
        <f>IFERROR(IF(AND(ISNUMBER(F2726),ISNUMBER(H2726)),F2726-H2726,""),"")</f>
        <v/>
      </c>
      <c r="J2726" s="114" t="n"/>
      <c r="K2726" s="139">
        <f>IFERROR(IF(H2726&gt;0,H2726*IF(OR(C2726="Alpha",B2726="Alpha"),$C$9,$C$8),""),"")</f>
        <v/>
      </c>
      <c r="L2726" s="139">
        <f>IFERROR(IF(ISNUMBER(F2726),F2726-IF(ISNUMBER(K2726),K2726,0),""),"")</f>
        <v/>
      </c>
    </row>
    <row r="2727" ht="24" customHeight="1" s="63">
      <c r="E2727" s="139" t="n"/>
      <c r="F2727" s="139" t="n"/>
      <c r="G2727" s="140">
        <f>IFERROR(IF(E2727&gt;0,(F2727/E2727)*1000,""),"")</f>
        <v/>
      </c>
      <c r="H2727" s="139">
        <f>IFERROR(IF(E2727&gt;0,E2727*IF(ISNUMBER(J2727),J2727,IF(OR(C2727="Alpha",B2727="Alpha"),$C$7,IF(C2727="Futures",$C$6,$C$5))),""),"")</f>
        <v/>
      </c>
      <c r="I2727" s="139">
        <f>IFERROR(IF(AND(ISNUMBER(F2727),ISNUMBER(H2727)),F2727-H2727,""),"")</f>
        <v/>
      </c>
      <c r="J2727" s="114" t="n"/>
      <c r="K2727" s="139">
        <f>IFERROR(IF(H2727&gt;0,H2727*IF(OR(C2727="Alpha",B2727="Alpha"),$C$9,$C$8),""),"")</f>
        <v/>
      </c>
      <c r="L2727" s="139">
        <f>IFERROR(IF(ISNUMBER(F2727),F2727-IF(ISNUMBER(K2727),K2727,0),""),"")</f>
        <v/>
      </c>
    </row>
    <row r="2728" ht="24" customHeight="1" s="63">
      <c r="E2728" s="139" t="n"/>
      <c r="F2728" s="139" t="n"/>
      <c r="G2728" s="140">
        <f>IFERROR(IF(E2728&gt;0,(F2728/E2728)*1000,""),"")</f>
        <v/>
      </c>
      <c r="H2728" s="139">
        <f>IFERROR(IF(E2728&gt;0,E2728*IF(ISNUMBER(J2728),J2728,IF(OR(C2728="Alpha",B2728="Alpha"),$C$7,IF(C2728="Futures",$C$6,$C$5))),""),"")</f>
        <v/>
      </c>
      <c r="I2728" s="139">
        <f>IFERROR(IF(AND(ISNUMBER(F2728),ISNUMBER(H2728)),F2728-H2728,""),"")</f>
        <v/>
      </c>
      <c r="J2728" s="114" t="n"/>
      <c r="K2728" s="139">
        <f>IFERROR(IF(H2728&gt;0,H2728*IF(OR(C2728="Alpha",B2728="Alpha"),$C$9,$C$8),""),"")</f>
        <v/>
      </c>
      <c r="L2728" s="139">
        <f>IFERROR(IF(ISNUMBER(F2728),F2728-IF(ISNUMBER(K2728),K2728,0),""),"")</f>
        <v/>
      </c>
    </row>
    <row r="2729" ht="24" customHeight="1" s="63">
      <c r="E2729" s="139" t="n"/>
      <c r="F2729" s="139" t="n"/>
      <c r="G2729" s="140">
        <f>IFERROR(IF(E2729&gt;0,(F2729/E2729)*1000,""),"")</f>
        <v/>
      </c>
      <c r="H2729" s="139">
        <f>IFERROR(IF(E2729&gt;0,E2729*IF(ISNUMBER(J2729),J2729,IF(OR(C2729="Alpha",B2729="Alpha"),$C$7,IF(C2729="Futures",$C$6,$C$5))),""),"")</f>
        <v/>
      </c>
      <c r="I2729" s="139">
        <f>IFERROR(IF(AND(ISNUMBER(F2729),ISNUMBER(H2729)),F2729-H2729,""),"")</f>
        <v/>
      </c>
      <c r="J2729" s="114" t="n"/>
      <c r="K2729" s="139">
        <f>IFERROR(IF(H2729&gt;0,H2729*IF(OR(C2729="Alpha",B2729="Alpha"),$C$9,$C$8),""),"")</f>
        <v/>
      </c>
      <c r="L2729" s="139">
        <f>IFERROR(IF(ISNUMBER(F2729),F2729-IF(ISNUMBER(K2729),K2729,0),""),"")</f>
        <v/>
      </c>
    </row>
    <row r="2730" ht="24" customHeight="1" s="63">
      <c r="E2730" s="139" t="n"/>
      <c r="F2730" s="139" t="n"/>
      <c r="G2730" s="140">
        <f>IFERROR(IF(E2730&gt;0,(F2730/E2730)*1000,""),"")</f>
        <v/>
      </c>
      <c r="H2730" s="139">
        <f>IFERROR(IF(E2730&gt;0,E2730*IF(ISNUMBER(J2730),J2730,IF(OR(C2730="Alpha",B2730="Alpha"),$C$7,IF(C2730="Futures",$C$6,$C$5))),""),"")</f>
        <v/>
      </c>
      <c r="I2730" s="139">
        <f>IFERROR(IF(AND(ISNUMBER(F2730),ISNUMBER(H2730)),F2730-H2730,""),"")</f>
        <v/>
      </c>
      <c r="J2730" s="114" t="n"/>
      <c r="K2730" s="139">
        <f>IFERROR(IF(H2730&gt;0,H2730*IF(OR(C2730="Alpha",B2730="Alpha"),$C$9,$C$8),""),"")</f>
        <v/>
      </c>
      <c r="L2730" s="139">
        <f>IFERROR(IF(ISNUMBER(F2730),F2730-IF(ISNUMBER(K2730),K2730,0),""),"")</f>
        <v/>
      </c>
    </row>
    <row r="2731" ht="24" customHeight="1" s="63">
      <c r="E2731" s="139" t="n"/>
      <c r="F2731" s="139" t="n"/>
      <c r="G2731" s="140">
        <f>IFERROR(IF(E2731&gt;0,(F2731/E2731)*1000,""),"")</f>
        <v/>
      </c>
      <c r="H2731" s="139">
        <f>IFERROR(IF(E2731&gt;0,E2731*IF(ISNUMBER(J2731),J2731,IF(OR(C2731="Alpha",B2731="Alpha"),$C$7,IF(C2731="Futures",$C$6,$C$5))),""),"")</f>
        <v/>
      </c>
      <c r="I2731" s="139">
        <f>IFERROR(IF(AND(ISNUMBER(F2731),ISNUMBER(H2731)),F2731-H2731,""),"")</f>
        <v/>
      </c>
      <c r="J2731" s="114" t="n"/>
      <c r="K2731" s="139">
        <f>IFERROR(IF(H2731&gt;0,H2731*IF(OR(C2731="Alpha",B2731="Alpha"),$C$9,$C$8),""),"")</f>
        <v/>
      </c>
      <c r="L2731" s="139">
        <f>IFERROR(IF(ISNUMBER(F2731),F2731-IF(ISNUMBER(K2731),K2731,0),""),"")</f>
        <v/>
      </c>
    </row>
    <row r="2732" ht="24" customHeight="1" s="63">
      <c r="E2732" s="139" t="n"/>
      <c r="F2732" s="139" t="n"/>
      <c r="G2732" s="140">
        <f>IFERROR(IF(E2732&gt;0,(F2732/E2732)*1000,""),"")</f>
        <v/>
      </c>
      <c r="H2732" s="139">
        <f>IFERROR(IF(E2732&gt;0,E2732*IF(ISNUMBER(J2732),J2732,IF(OR(C2732="Alpha",B2732="Alpha"),$C$7,IF(C2732="Futures",$C$6,$C$5))),""),"")</f>
        <v/>
      </c>
      <c r="I2732" s="139">
        <f>IFERROR(IF(AND(ISNUMBER(F2732),ISNUMBER(H2732)),F2732-H2732,""),"")</f>
        <v/>
      </c>
      <c r="J2732" s="114" t="n"/>
      <c r="K2732" s="139">
        <f>IFERROR(IF(H2732&gt;0,H2732*IF(OR(C2732="Alpha",B2732="Alpha"),$C$9,$C$8),""),"")</f>
        <v/>
      </c>
      <c r="L2732" s="139">
        <f>IFERROR(IF(ISNUMBER(F2732),F2732-IF(ISNUMBER(K2732),K2732,0),""),"")</f>
        <v/>
      </c>
    </row>
    <row r="2733" ht="24" customHeight="1" s="63">
      <c r="E2733" s="139" t="n"/>
      <c r="F2733" s="139" t="n"/>
      <c r="G2733" s="140">
        <f>IFERROR(IF(E2733&gt;0,(F2733/E2733)*1000,""),"")</f>
        <v/>
      </c>
      <c r="H2733" s="139">
        <f>IFERROR(IF(E2733&gt;0,E2733*IF(ISNUMBER(J2733),J2733,IF(OR(C2733="Alpha",B2733="Alpha"),$C$7,IF(C2733="Futures",$C$6,$C$5))),""),"")</f>
        <v/>
      </c>
      <c r="I2733" s="139">
        <f>IFERROR(IF(AND(ISNUMBER(F2733),ISNUMBER(H2733)),F2733-H2733,""),"")</f>
        <v/>
      </c>
      <c r="J2733" s="114" t="n"/>
      <c r="K2733" s="139">
        <f>IFERROR(IF(H2733&gt;0,H2733*IF(OR(C2733="Alpha",B2733="Alpha"),$C$9,$C$8),""),"")</f>
        <v/>
      </c>
      <c r="L2733" s="139">
        <f>IFERROR(IF(ISNUMBER(F2733),F2733-IF(ISNUMBER(K2733),K2733,0),""),"")</f>
        <v/>
      </c>
    </row>
    <row r="2734" ht="24" customHeight="1" s="63">
      <c r="E2734" s="139" t="n"/>
      <c r="F2734" s="139" t="n"/>
      <c r="G2734" s="140">
        <f>IFERROR(IF(E2734&gt;0,(F2734/E2734)*1000,""),"")</f>
        <v/>
      </c>
      <c r="H2734" s="139">
        <f>IFERROR(IF(E2734&gt;0,E2734*IF(ISNUMBER(J2734),J2734,IF(OR(C2734="Alpha",B2734="Alpha"),$C$7,IF(C2734="Futures",$C$6,$C$5))),""),"")</f>
        <v/>
      </c>
      <c r="I2734" s="139">
        <f>IFERROR(IF(AND(ISNUMBER(F2734),ISNUMBER(H2734)),F2734-H2734,""),"")</f>
        <v/>
      </c>
      <c r="J2734" s="114" t="n"/>
      <c r="K2734" s="139">
        <f>IFERROR(IF(H2734&gt;0,H2734*IF(OR(C2734="Alpha",B2734="Alpha"),$C$9,$C$8),""),"")</f>
        <v/>
      </c>
      <c r="L2734" s="139">
        <f>IFERROR(IF(ISNUMBER(F2734),F2734-IF(ISNUMBER(K2734),K2734,0),""),"")</f>
        <v/>
      </c>
    </row>
    <row r="2735" ht="24" customHeight="1" s="63">
      <c r="E2735" s="139" t="n"/>
      <c r="F2735" s="139" t="n"/>
      <c r="G2735" s="140">
        <f>IFERROR(IF(E2735&gt;0,(F2735/E2735)*1000,""),"")</f>
        <v/>
      </c>
      <c r="H2735" s="139">
        <f>IFERROR(IF(E2735&gt;0,E2735*IF(ISNUMBER(J2735),J2735,IF(OR(C2735="Alpha",B2735="Alpha"),$C$7,IF(C2735="Futures",$C$6,$C$5))),""),"")</f>
        <v/>
      </c>
      <c r="I2735" s="139">
        <f>IFERROR(IF(AND(ISNUMBER(F2735),ISNUMBER(H2735)),F2735-H2735,""),"")</f>
        <v/>
      </c>
      <c r="J2735" s="114" t="n"/>
      <c r="K2735" s="139">
        <f>IFERROR(IF(H2735&gt;0,H2735*IF(OR(C2735="Alpha",B2735="Alpha"),$C$9,$C$8),""),"")</f>
        <v/>
      </c>
      <c r="L2735" s="139">
        <f>IFERROR(IF(ISNUMBER(F2735),F2735-IF(ISNUMBER(K2735),K2735,0),""),"")</f>
        <v/>
      </c>
    </row>
    <row r="2736" ht="24" customHeight="1" s="63">
      <c r="E2736" s="139" t="n"/>
      <c r="F2736" s="139" t="n"/>
      <c r="G2736" s="140">
        <f>IFERROR(IF(E2736&gt;0,(F2736/E2736)*1000,""),"")</f>
        <v/>
      </c>
      <c r="H2736" s="139">
        <f>IFERROR(IF(E2736&gt;0,E2736*IF(ISNUMBER(J2736),J2736,IF(OR(C2736="Alpha",B2736="Alpha"),$C$7,IF(C2736="Futures",$C$6,$C$5))),""),"")</f>
        <v/>
      </c>
      <c r="I2736" s="139">
        <f>IFERROR(IF(AND(ISNUMBER(F2736),ISNUMBER(H2736)),F2736-H2736,""),"")</f>
        <v/>
      </c>
      <c r="J2736" s="114" t="n"/>
      <c r="K2736" s="139">
        <f>IFERROR(IF(H2736&gt;0,H2736*IF(OR(C2736="Alpha",B2736="Alpha"),$C$9,$C$8),""),"")</f>
        <v/>
      </c>
      <c r="L2736" s="139">
        <f>IFERROR(IF(ISNUMBER(F2736),F2736-IF(ISNUMBER(K2736),K2736,0),""),"")</f>
        <v/>
      </c>
    </row>
    <row r="2737" ht="24" customHeight="1" s="63">
      <c r="E2737" s="139" t="n"/>
      <c r="F2737" s="139" t="n"/>
      <c r="G2737" s="140">
        <f>IFERROR(IF(E2737&gt;0,(F2737/E2737)*1000,""),"")</f>
        <v/>
      </c>
      <c r="H2737" s="139">
        <f>IFERROR(IF(E2737&gt;0,E2737*IF(ISNUMBER(J2737),J2737,IF(OR(C2737="Alpha",B2737="Alpha"),$C$7,IF(C2737="Futures",$C$6,$C$5))),""),"")</f>
        <v/>
      </c>
      <c r="I2737" s="139">
        <f>IFERROR(IF(AND(ISNUMBER(F2737),ISNUMBER(H2737)),F2737-H2737,""),"")</f>
        <v/>
      </c>
      <c r="J2737" s="114" t="n"/>
      <c r="K2737" s="139">
        <f>IFERROR(IF(H2737&gt;0,H2737*IF(OR(C2737="Alpha",B2737="Alpha"),$C$9,$C$8),""),"")</f>
        <v/>
      </c>
      <c r="L2737" s="139">
        <f>IFERROR(IF(ISNUMBER(F2737),F2737-IF(ISNUMBER(K2737),K2737,0),""),"")</f>
        <v/>
      </c>
    </row>
    <row r="2738" ht="24" customHeight="1" s="63">
      <c r="E2738" s="139" t="n"/>
      <c r="F2738" s="139" t="n"/>
      <c r="G2738" s="140">
        <f>IFERROR(IF(E2738&gt;0,(F2738/E2738)*1000,""),"")</f>
        <v/>
      </c>
      <c r="H2738" s="139">
        <f>IFERROR(IF(E2738&gt;0,E2738*IF(ISNUMBER(J2738),J2738,IF(OR(C2738="Alpha",B2738="Alpha"),$C$7,IF(C2738="Futures",$C$6,$C$5))),""),"")</f>
        <v/>
      </c>
      <c r="I2738" s="139">
        <f>IFERROR(IF(AND(ISNUMBER(F2738),ISNUMBER(H2738)),F2738-H2738,""),"")</f>
        <v/>
      </c>
      <c r="J2738" s="114" t="n"/>
      <c r="K2738" s="139">
        <f>IFERROR(IF(H2738&gt;0,H2738*IF(OR(C2738="Alpha",B2738="Alpha"),$C$9,$C$8),""),"")</f>
        <v/>
      </c>
      <c r="L2738" s="139">
        <f>IFERROR(IF(ISNUMBER(F2738),F2738-IF(ISNUMBER(K2738),K2738,0),""),"")</f>
        <v/>
      </c>
    </row>
    <row r="2739" ht="24" customHeight="1" s="63">
      <c r="E2739" s="139" t="n"/>
      <c r="F2739" s="139" t="n"/>
      <c r="G2739" s="140">
        <f>IFERROR(IF(E2739&gt;0,(F2739/E2739)*1000,""),"")</f>
        <v/>
      </c>
      <c r="H2739" s="139">
        <f>IFERROR(IF(E2739&gt;0,E2739*IF(ISNUMBER(J2739),J2739,IF(OR(C2739="Alpha",B2739="Alpha"),$C$7,IF(C2739="Futures",$C$6,$C$5))),""),"")</f>
        <v/>
      </c>
      <c r="I2739" s="139">
        <f>IFERROR(IF(AND(ISNUMBER(F2739),ISNUMBER(H2739)),F2739-H2739,""),"")</f>
        <v/>
      </c>
      <c r="J2739" s="114" t="n"/>
      <c r="K2739" s="139">
        <f>IFERROR(IF(H2739&gt;0,H2739*IF(OR(C2739="Alpha",B2739="Alpha"),$C$9,$C$8),""),"")</f>
        <v/>
      </c>
      <c r="L2739" s="139">
        <f>IFERROR(IF(ISNUMBER(F2739),F2739-IF(ISNUMBER(K2739),K2739,0),""),"")</f>
        <v/>
      </c>
    </row>
    <row r="2740" ht="24" customHeight="1" s="63">
      <c r="E2740" s="139" t="n"/>
      <c r="F2740" s="139" t="n"/>
      <c r="G2740" s="140">
        <f>IFERROR(IF(E2740&gt;0,(F2740/E2740)*1000,""),"")</f>
        <v/>
      </c>
      <c r="H2740" s="139">
        <f>IFERROR(IF(E2740&gt;0,E2740*IF(ISNUMBER(J2740),J2740,IF(OR(C2740="Alpha",B2740="Alpha"),$C$7,IF(C2740="Futures",$C$6,$C$5))),""),"")</f>
        <v/>
      </c>
      <c r="I2740" s="139">
        <f>IFERROR(IF(AND(ISNUMBER(F2740),ISNUMBER(H2740)),F2740-H2740,""),"")</f>
        <v/>
      </c>
      <c r="J2740" s="114" t="n"/>
      <c r="K2740" s="139">
        <f>IFERROR(IF(H2740&gt;0,H2740*IF(OR(C2740="Alpha",B2740="Alpha"),$C$9,$C$8),""),"")</f>
        <v/>
      </c>
      <c r="L2740" s="139">
        <f>IFERROR(IF(ISNUMBER(F2740),F2740-IF(ISNUMBER(K2740),K2740,0),""),"")</f>
        <v/>
      </c>
    </row>
    <row r="2741" ht="24" customHeight="1" s="63">
      <c r="E2741" s="139" t="n"/>
      <c r="F2741" s="139" t="n"/>
      <c r="G2741" s="140">
        <f>IFERROR(IF(E2741&gt;0,(F2741/E2741)*1000,""),"")</f>
        <v/>
      </c>
      <c r="H2741" s="139">
        <f>IFERROR(IF(E2741&gt;0,E2741*IF(ISNUMBER(J2741),J2741,IF(OR(C2741="Alpha",B2741="Alpha"),$C$7,IF(C2741="Futures",$C$6,$C$5))),""),"")</f>
        <v/>
      </c>
      <c r="I2741" s="139">
        <f>IFERROR(IF(AND(ISNUMBER(F2741),ISNUMBER(H2741)),F2741-H2741,""),"")</f>
        <v/>
      </c>
      <c r="J2741" s="114" t="n"/>
      <c r="K2741" s="139">
        <f>IFERROR(IF(H2741&gt;0,H2741*IF(OR(C2741="Alpha",B2741="Alpha"),$C$9,$C$8),""),"")</f>
        <v/>
      </c>
      <c r="L2741" s="139">
        <f>IFERROR(IF(ISNUMBER(F2741),F2741-IF(ISNUMBER(K2741),K2741,0),""),"")</f>
        <v/>
      </c>
    </row>
    <row r="2742" ht="24" customHeight="1" s="63">
      <c r="E2742" s="139" t="n"/>
      <c r="F2742" s="139" t="n"/>
      <c r="G2742" s="140">
        <f>IFERROR(IF(E2742&gt;0,(F2742/E2742)*1000,""),"")</f>
        <v/>
      </c>
      <c r="H2742" s="139">
        <f>IFERROR(IF(E2742&gt;0,E2742*IF(ISNUMBER(J2742),J2742,IF(OR(C2742="Alpha",B2742="Alpha"),$C$7,IF(C2742="Futures",$C$6,$C$5))),""),"")</f>
        <v/>
      </c>
      <c r="I2742" s="139">
        <f>IFERROR(IF(AND(ISNUMBER(F2742),ISNUMBER(H2742)),F2742-H2742,""),"")</f>
        <v/>
      </c>
      <c r="J2742" s="114" t="n"/>
      <c r="K2742" s="139">
        <f>IFERROR(IF(H2742&gt;0,H2742*IF(OR(C2742="Alpha",B2742="Alpha"),$C$9,$C$8),""),"")</f>
        <v/>
      </c>
      <c r="L2742" s="139">
        <f>IFERROR(IF(ISNUMBER(F2742),F2742-IF(ISNUMBER(K2742),K2742,0),""),"")</f>
        <v/>
      </c>
    </row>
    <row r="2743" ht="24" customHeight="1" s="63">
      <c r="E2743" s="139" t="n"/>
      <c r="F2743" s="139" t="n"/>
      <c r="G2743" s="140">
        <f>IFERROR(IF(E2743&gt;0,(F2743/E2743)*1000,""),"")</f>
        <v/>
      </c>
      <c r="H2743" s="139">
        <f>IFERROR(IF(E2743&gt;0,E2743*IF(ISNUMBER(J2743),J2743,IF(OR(C2743="Alpha",B2743="Alpha"),$C$7,IF(C2743="Futures",$C$6,$C$5))),""),"")</f>
        <v/>
      </c>
      <c r="I2743" s="139">
        <f>IFERROR(IF(AND(ISNUMBER(F2743),ISNUMBER(H2743)),F2743-H2743,""),"")</f>
        <v/>
      </c>
      <c r="J2743" s="114" t="n"/>
      <c r="K2743" s="139">
        <f>IFERROR(IF(H2743&gt;0,H2743*IF(OR(C2743="Alpha",B2743="Alpha"),$C$9,$C$8),""),"")</f>
        <v/>
      </c>
      <c r="L2743" s="139">
        <f>IFERROR(IF(ISNUMBER(F2743),F2743-IF(ISNUMBER(K2743),K2743,0),""),"")</f>
        <v/>
      </c>
    </row>
    <row r="2744" ht="24" customHeight="1" s="63">
      <c r="E2744" s="139" t="n"/>
      <c r="F2744" s="139" t="n"/>
      <c r="G2744" s="140">
        <f>IFERROR(IF(E2744&gt;0,(F2744/E2744)*1000,""),"")</f>
        <v/>
      </c>
      <c r="H2744" s="139">
        <f>IFERROR(IF(E2744&gt;0,E2744*IF(ISNUMBER(J2744),J2744,IF(OR(C2744="Alpha",B2744="Alpha"),$C$7,IF(C2744="Futures",$C$6,$C$5))),""),"")</f>
        <v/>
      </c>
      <c r="I2744" s="139">
        <f>IFERROR(IF(AND(ISNUMBER(F2744),ISNUMBER(H2744)),F2744-H2744,""),"")</f>
        <v/>
      </c>
      <c r="J2744" s="114" t="n"/>
      <c r="K2744" s="139">
        <f>IFERROR(IF(H2744&gt;0,H2744*IF(OR(C2744="Alpha",B2744="Alpha"),$C$9,$C$8),""),"")</f>
        <v/>
      </c>
      <c r="L2744" s="139">
        <f>IFERROR(IF(ISNUMBER(F2744),F2744-IF(ISNUMBER(K2744),K2744,0),""),"")</f>
        <v/>
      </c>
    </row>
    <row r="2745" ht="24" customHeight="1" s="63">
      <c r="E2745" s="139" t="n"/>
      <c r="F2745" s="139" t="n"/>
      <c r="G2745" s="140">
        <f>IFERROR(IF(E2745&gt;0,(F2745/E2745)*1000,""),"")</f>
        <v/>
      </c>
      <c r="H2745" s="139">
        <f>IFERROR(IF(E2745&gt;0,E2745*IF(ISNUMBER(J2745),J2745,IF(OR(C2745="Alpha",B2745="Alpha"),$C$7,IF(C2745="Futures",$C$6,$C$5))),""),"")</f>
        <v/>
      </c>
      <c r="I2745" s="139">
        <f>IFERROR(IF(AND(ISNUMBER(F2745),ISNUMBER(H2745)),F2745-H2745,""),"")</f>
        <v/>
      </c>
      <c r="J2745" s="114" t="n"/>
      <c r="K2745" s="139">
        <f>IFERROR(IF(H2745&gt;0,H2745*IF(OR(C2745="Alpha",B2745="Alpha"),$C$9,$C$8),""),"")</f>
        <v/>
      </c>
      <c r="L2745" s="139">
        <f>IFERROR(IF(ISNUMBER(F2745),F2745-IF(ISNUMBER(K2745),K2745,0),""),"")</f>
        <v/>
      </c>
    </row>
    <row r="2746" ht="24" customHeight="1" s="63">
      <c r="E2746" s="139" t="n"/>
      <c r="F2746" s="139" t="n"/>
      <c r="G2746" s="140">
        <f>IFERROR(IF(E2746&gt;0,(F2746/E2746)*1000,""),"")</f>
        <v/>
      </c>
      <c r="H2746" s="139">
        <f>IFERROR(IF(E2746&gt;0,E2746*IF(ISNUMBER(J2746),J2746,IF(OR(C2746="Alpha",B2746="Alpha"),$C$7,IF(C2746="Futures",$C$6,$C$5))),""),"")</f>
        <v/>
      </c>
      <c r="I2746" s="139">
        <f>IFERROR(IF(AND(ISNUMBER(F2746),ISNUMBER(H2746)),F2746-H2746,""),"")</f>
        <v/>
      </c>
      <c r="J2746" s="114" t="n"/>
      <c r="K2746" s="139">
        <f>IFERROR(IF(H2746&gt;0,H2746*IF(OR(C2746="Alpha",B2746="Alpha"),$C$9,$C$8),""),"")</f>
        <v/>
      </c>
      <c r="L2746" s="139">
        <f>IFERROR(IF(ISNUMBER(F2746),F2746-IF(ISNUMBER(K2746),K2746,0),""),"")</f>
        <v/>
      </c>
    </row>
    <row r="2747" ht="24" customHeight="1" s="63">
      <c r="E2747" s="139" t="n"/>
      <c r="F2747" s="139" t="n"/>
      <c r="G2747" s="140">
        <f>IFERROR(IF(E2747&gt;0,(F2747/E2747)*1000,""),"")</f>
        <v/>
      </c>
      <c r="H2747" s="139">
        <f>IFERROR(IF(E2747&gt;0,E2747*IF(ISNUMBER(J2747),J2747,IF(OR(C2747="Alpha",B2747="Alpha"),$C$7,IF(C2747="Futures",$C$6,$C$5))),""),"")</f>
        <v/>
      </c>
      <c r="I2747" s="139">
        <f>IFERROR(IF(AND(ISNUMBER(F2747),ISNUMBER(H2747)),F2747-H2747,""),"")</f>
        <v/>
      </c>
      <c r="J2747" s="114" t="n"/>
      <c r="K2747" s="139">
        <f>IFERROR(IF(H2747&gt;0,H2747*IF(OR(C2747="Alpha",B2747="Alpha"),$C$9,$C$8),""),"")</f>
        <v/>
      </c>
      <c r="L2747" s="139">
        <f>IFERROR(IF(ISNUMBER(F2747),F2747-IF(ISNUMBER(K2747),K2747,0),""),"")</f>
        <v/>
      </c>
    </row>
    <row r="2748" ht="24" customHeight="1" s="63">
      <c r="E2748" s="139" t="n"/>
      <c r="F2748" s="139" t="n"/>
      <c r="G2748" s="140">
        <f>IFERROR(IF(E2748&gt;0,(F2748/E2748)*1000,""),"")</f>
        <v/>
      </c>
      <c r="H2748" s="139">
        <f>IFERROR(IF(E2748&gt;0,E2748*IF(ISNUMBER(J2748),J2748,IF(OR(C2748="Alpha",B2748="Alpha"),$C$7,IF(C2748="Futures",$C$6,$C$5))),""),"")</f>
        <v/>
      </c>
      <c r="I2748" s="139">
        <f>IFERROR(IF(AND(ISNUMBER(F2748),ISNUMBER(H2748)),F2748-H2748,""),"")</f>
        <v/>
      </c>
      <c r="J2748" s="114" t="n"/>
      <c r="K2748" s="139">
        <f>IFERROR(IF(H2748&gt;0,H2748*IF(OR(C2748="Alpha",B2748="Alpha"),$C$9,$C$8),""),"")</f>
        <v/>
      </c>
      <c r="L2748" s="139">
        <f>IFERROR(IF(ISNUMBER(F2748),F2748-IF(ISNUMBER(K2748),K2748,0),""),"")</f>
        <v/>
      </c>
    </row>
    <row r="2749" ht="24" customHeight="1" s="63">
      <c r="E2749" s="139" t="n"/>
      <c r="F2749" s="139" t="n"/>
      <c r="G2749" s="140">
        <f>IFERROR(IF(E2749&gt;0,(F2749/E2749)*1000,""),"")</f>
        <v/>
      </c>
      <c r="H2749" s="139">
        <f>IFERROR(IF(E2749&gt;0,E2749*IF(ISNUMBER(J2749),J2749,IF(OR(C2749="Alpha",B2749="Alpha"),$C$7,IF(C2749="Futures",$C$6,$C$5))),""),"")</f>
        <v/>
      </c>
      <c r="I2749" s="139">
        <f>IFERROR(IF(AND(ISNUMBER(F2749),ISNUMBER(H2749)),F2749-H2749,""),"")</f>
        <v/>
      </c>
      <c r="J2749" s="114" t="n"/>
      <c r="K2749" s="139">
        <f>IFERROR(IF(H2749&gt;0,H2749*IF(OR(C2749="Alpha",B2749="Alpha"),$C$9,$C$8),""),"")</f>
        <v/>
      </c>
      <c r="L2749" s="139">
        <f>IFERROR(IF(ISNUMBER(F2749),F2749-IF(ISNUMBER(K2749),K2749,0),""),"")</f>
        <v/>
      </c>
    </row>
    <row r="2750" ht="24" customHeight="1" s="63">
      <c r="E2750" s="139" t="n"/>
      <c r="F2750" s="139" t="n"/>
      <c r="G2750" s="140">
        <f>IFERROR(IF(E2750&gt;0,(F2750/E2750)*1000,""),"")</f>
        <v/>
      </c>
      <c r="H2750" s="139">
        <f>IFERROR(IF(E2750&gt;0,E2750*IF(ISNUMBER(J2750),J2750,IF(OR(C2750="Alpha",B2750="Alpha"),$C$7,IF(C2750="Futures",$C$6,$C$5))),""),"")</f>
        <v/>
      </c>
      <c r="I2750" s="139">
        <f>IFERROR(IF(AND(ISNUMBER(F2750),ISNUMBER(H2750)),F2750-H2750,""),"")</f>
        <v/>
      </c>
      <c r="J2750" s="114" t="n"/>
      <c r="K2750" s="139">
        <f>IFERROR(IF(H2750&gt;0,H2750*IF(OR(C2750="Alpha",B2750="Alpha"),$C$9,$C$8),""),"")</f>
        <v/>
      </c>
      <c r="L2750" s="139">
        <f>IFERROR(IF(ISNUMBER(F2750),F2750-IF(ISNUMBER(K2750),K2750,0),""),"")</f>
        <v/>
      </c>
    </row>
    <row r="2751" ht="24" customHeight="1" s="63">
      <c r="E2751" s="139" t="n"/>
      <c r="F2751" s="139" t="n"/>
      <c r="G2751" s="140">
        <f>IFERROR(IF(E2751&gt;0,(F2751/E2751)*1000,""),"")</f>
        <v/>
      </c>
      <c r="H2751" s="139">
        <f>IFERROR(IF(E2751&gt;0,E2751*IF(ISNUMBER(J2751),J2751,IF(OR(C2751="Alpha",B2751="Alpha"),$C$7,IF(C2751="Futures",$C$6,$C$5))),""),"")</f>
        <v/>
      </c>
      <c r="I2751" s="139">
        <f>IFERROR(IF(AND(ISNUMBER(F2751),ISNUMBER(H2751)),F2751-H2751,""),"")</f>
        <v/>
      </c>
      <c r="J2751" s="114" t="n"/>
      <c r="K2751" s="139">
        <f>IFERROR(IF(H2751&gt;0,H2751*IF(OR(C2751="Alpha",B2751="Alpha"),$C$9,$C$8),""),"")</f>
        <v/>
      </c>
      <c r="L2751" s="139">
        <f>IFERROR(IF(ISNUMBER(F2751),F2751-IF(ISNUMBER(K2751),K2751,0),""),"")</f>
        <v/>
      </c>
    </row>
    <row r="2752" ht="24" customHeight="1" s="63">
      <c r="E2752" s="139" t="n"/>
      <c r="F2752" s="139" t="n"/>
      <c r="G2752" s="140">
        <f>IFERROR(IF(E2752&gt;0,(F2752/E2752)*1000,""),"")</f>
        <v/>
      </c>
      <c r="H2752" s="139">
        <f>IFERROR(IF(E2752&gt;0,E2752*IF(ISNUMBER(J2752),J2752,IF(OR(C2752="Alpha",B2752="Alpha"),$C$7,IF(C2752="Futures",$C$6,$C$5))),""),"")</f>
        <v/>
      </c>
      <c r="I2752" s="139">
        <f>IFERROR(IF(AND(ISNUMBER(F2752),ISNUMBER(H2752)),F2752-H2752,""),"")</f>
        <v/>
      </c>
      <c r="J2752" s="114" t="n"/>
      <c r="K2752" s="139">
        <f>IFERROR(IF(H2752&gt;0,H2752*IF(OR(C2752="Alpha",B2752="Alpha"),$C$9,$C$8),""),"")</f>
        <v/>
      </c>
      <c r="L2752" s="139">
        <f>IFERROR(IF(ISNUMBER(F2752),F2752-IF(ISNUMBER(K2752),K2752,0),""),"")</f>
        <v/>
      </c>
    </row>
    <row r="2753" ht="24" customHeight="1" s="63">
      <c r="E2753" s="139" t="n"/>
      <c r="F2753" s="139" t="n"/>
      <c r="G2753" s="140">
        <f>IFERROR(IF(E2753&gt;0,(F2753/E2753)*1000,""),"")</f>
        <v/>
      </c>
      <c r="H2753" s="139">
        <f>IFERROR(IF(E2753&gt;0,E2753*IF(ISNUMBER(J2753),J2753,IF(OR(C2753="Alpha",B2753="Alpha"),$C$7,IF(C2753="Futures",$C$6,$C$5))),""),"")</f>
        <v/>
      </c>
      <c r="I2753" s="139">
        <f>IFERROR(IF(AND(ISNUMBER(F2753),ISNUMBER(H2753)),F2753-H2753,""),"")</f>
        <v/>
      </c>
      <c r="J2753" s="114" t="n"/>
      <c r="K2753" s="139">
        <f>IFERROR(IF(H2753&gt;0,H2753*IF(OR(C2753="Alpha",B2753="Alpha"),$C$9,$C$8),""),"")</f>
        <v/>
      </c>
      <c r="L2753" s="139">
        <f>IFERROR(IF(ISNUMBER(F2753),F2753-IF(ISNUMBER(K2753),K2753,0),""),"")</f>
        <v/>
      </c>
    </row>
    <row r="2754" ht="24" customHeight="1" s="63">
      <c r="E2754" s="139" t="n"/>
      <c r="F2754" s="139" t="n"/>
      <c r="G2754" s="140">
        <f>IFERROR(IF(E2754&gt;0,(F2754/E2754)*1000,""),"")</f>
        <v/>
      </c>
      <c r="H2754" s="139">
        <f>IFERROR(IF(E2754&gt;0,E2754*IF(ISNUMBER(J2754),J2754,IF(OR(C2754="Alpha",B2754="Alpha"),$C$7,IF(C2754="Futures",$C$6,$C$5))),""),"")</f>
        <v/>
      </c>
      <c r="I2754" s="139">
        <f>IFERROR(IF(AND(ISNUMBER(F2754),ISNUMBER(H2754)),F2754-H2754,""),"")</f>
        <v/>
      </c>
      <c r="J2754" s="114" t="n"/>
      <c r="K2754" s="139">
        <f>IFERROR(IF(H2754&gt;0,H2754*IF(OR(C2754="Alpha",B2754="Alpha"),$C$9,$C$8),""),"")</f>
        <v/>
      </c>
      <c r="L2754" s="139">
        <f>IFERROR(IF(ISNUMBER(F2754),F2754-IF(ISNUMBER(K2754),K2754,0),""),"")</f>
        <v/>
      </c>
    </row>
    <row r="2755" ht="24" customHeight="1" s="63">
      <c r="E2755" s="139" t="n"/>
      <c r="F2755" s="139" t="n"/>
      <c r="G2755" s="140">
        <f>IFERROR(IF(E2755&gt;0,(F2755/E2755)*1000,""),"")</f>
        <v/>
      </c>
      <c r="H2755" s="139">
        <f>IFERROR(IF(E2755&gt;0,E2755*IF(ISNUMBER(J2755),J2755,IF(OR(C2755="Alpha",B2755="Alpha"),$C$7,IF(C2755="Futures",$C$6,$C$5))),""),"")</f>
        <v/>
      </c>
      <c r="I2755" s="139">
        <f>IFERROR(IF(AND(ISNUMBER(F2755),ISNUMBER(H2755)),F2755-H2755,""),"")</f>
        <v/>
      </c>
      <c r="J2755" s="114" t="n"/>
      <c r="K2755" s="139">
        <f>IFERROR(IF(H2755&gt;0,H2755*IF(OR(C2755="Alpha",B2755="Alpha"),$C$9,$C$8),""),"")</f>
        <v/>
      </c>
      <c r="L2755" s="139">
        <f>IFERROR(IF(ISNUMBER(F2755),F2755-IF(ISNUMBER(K2755),K2755,0),""),"")</f>
        <v/>
      </c>
    </row>
    <row r="2756" ht="24" customHeight="1" s="63">
      <c r="E2756" s="139" t="n"/>
      <c r="F2756" s="139" t="n"/>
      <c r="G2756" s="140">
        <f>IFERROR(IF(E2756&gt;0,(F2756/E2756)*1000,""),"")</f>
        <v/>
      </c>
      <c r="H2756" s="139">
        <f>IFERROR(IF(E2756&gt;0,E2756*IF(ISNUMBER(J2756),J2756,IF(OR(C2756="Alpha",B2756="Alpha"),$C$7,IF(C2756="Futures",$C$6,$C$5))),""),"")</f>
        <v/>
      </c>
      <c r="I2756" s="139">
        <f>IFERROR(IF(AND(ISNUMBER(F2756),ISNUMBER(H2756)),F2756-H2756,""),"")</f>
        <v/>
      </c>
      <c r="J2756" s="114" t="n"/>
      <c r="K2756" s="139">
        <f>IFERROR(IF(H2756&gt;0,H2756*IF(OR(C2756="Alpha",B2756="Alpha"),$C$9,$C$8),""),"")</f>
        <v/>
      </c>
      <c r="L2756" s="139">
        <f>IFERROR(IF(ISNUMBER(F2756),F2756-IF(ISNUMBER(K2756),K2756,0),""),"")</f>
        <v/>
      </c>
    </row>
    <row r="2757" ht="24" customHeight="1" s="63">
      <c r="E2757" s="139" t="n"/>
      <c r="F2757" s="139" t="n"/>
      <c r="G2757" s="140">
        <f>IFERROR(IF(E2757&gt;0,(F2757/E2757)*1000,""),"")</f>
        <v/>
      </c>
      <c r="H2757" s="139">
        <f>IFERROR(IF(E2757&gt;0,E2757*IF(ISNUMBER(J2757),J2757,IF(OR(C2757="Alpha",B2757="Alpha"),$C$7,IF(C2757="Futures",$C$6,$C$5))),""),"")</f>
        <v/>
      </c>
      <c r="I2757" s="139">
        <f>IFERROR(IF(AND(ISNUMBER(F2757),ISNUMBER(H2757)),F2757-H2757,""),"")</f>
        <v/>
      </c>
      <c r="J2757" s="114" t="n"/>
      <c r="K2757" s="139">
        <f>IFERROR(IF(H2757&gt;0,H2757*IF(OR(C2757="Alpha",B2757="Alpha"),$C$9,$C$8),""),"")</f>
        <v/>
      </c>
      <c r="L2757" s="139">
        <f>IFERROR(IF(ISNUMBER(F2757),F2757-IF(ISNUMBER(K2757),K2757,0),""),"")</f>
        <v/>
      </c>
    </row>
    <row r="2758" ht="24" customHeight="1" s="63">
      <c r="E2758" s="139" t="n"/>
      <c r="F2758" s="139" t="n"/>
      <c r="G2758" s="140">
        <f>IFERROR(IF(E2758&gt;0,(F2758/E2758)*1000,""),"")</f>
        <v/>
      </c>
      <c r="H2758" s="139">
        <f>IFERROR(IF(E2758&gt;0,E2758*IF(ISNUMBER(J2758),J2758,IF(OR(C2758="Alpha",B2758="Alpha"),$C$7,IF(C2758="Futures",$C$6,$C$5))),""),"")</f>
        <v/>
      </c>
      <c r="I2758" s="139">
        <f>IFERROR(IF(AND(ISNUMBER(F2758),ISNUMBER(H2758)),F2758-H2758,""),"")</f>
        <v/>
      </c>
      <c r="J2758" s="114" t="n"/>
      <c r="K2758" s="139">
        <f>IFERROR(IF(H2758&gt;0,H2758*IF(OR(C2758="Alpha",B2758="Alpha"),$C$9,$C$8),""),"")</f>
        <v/>
      </c>
      <c r="L2758" s="139">
        <f>IFERROR(IF(ISNUMBER(F2758),F2758-IF(ISNUMBER(K2758),K2758,0),""),"")</f>
        <v/>
      </c>
    </row>
    <row r="2759" ht="24" customHeight="1" s="63">
      <c r="E2759" s="139" t="n"/>
      <c r="F2759" s="139" t="n"/>
      <c r="G2759" s="140">
        <f>IFERROR(IF(E2759&gt;0,(F2759/E2759)*1000,""),"")</f>
        <v/>
      </c>
      <c r="H2759" s="139">
        <f>IFERROR(IF(E2759&gt;0,E2759*IF(ISNUMBER(J2759),J2759,IF(OR(C2759="Alpha",B2759="Alpha"),$C$7,IF(C2759="Futures",$C$6,$C$5))),""),"")</f>
        <v/>
      </c>
      <c r="I2759" s="139">
        <f>IFERROR(IF(AND(ISNUMBER(F2759),ISNUMBER(H2759)),F2759-H2759,""),"")</f>
        <v/>
      </c>
      <c r="J2759" s="114" t="n"/>
      <c r="K2759" s="139">
        <f>IFERROR(IF(H2759&gt;0,H2759*IF(OR(C2759="Alpha",B2759="Alpha"),$C$9,$C$8),""),"")</f>
        <v/>
      </c>
      <c r="L2759" s="139">
        <f>IFERROR(IF(ISNUMBER(F2759),F2759-IF(ISNUMBER(K2759),K2759,0),""),"")</f>
        <v/>
      </c>
    </row>
    <row r="2760" ht="24" customHeight="1" s="63">
      <c r="E2760" s="139" t="n"/>
      <c r="F2760" s="139" t="n"/>
      <c r="G2760" s="140">
        <f>IFERROR(IF(E2760&gt;0,(F2760/E2760)*1000,""),"")</f>
        <v/>
      </c>
      <c r="H2760" s="139">
        <f>IFERROR(IF(E2760&gt;0,E2760*IF(ISNUMBER(J2760),J2760,IF(OR(C2760="Alpha",B2760="Alpha"),$C$7,IF(C2760="Futures",$C$6,$C$5))),""),"")</f>
        <v/>
      </c>
      <c r="I2760" s="139">
        <f>IFERROR(IF(AND(ISNUMBER(F2760),ISNUMBER(H2760)),F2760-H2760,""),"")</f>
        <v/>
      </c>
      <c r="J2760" s="114" t="n"/>
      <c r="K2760" s="139">
        <f>IFERROR(IF(H2760&gt;0,H2760*IF(OR(C2760="Alpha",B2760="Alpha"),$C$9,$C$8),""),"")</f>
        <v/>
      </c>
      <c r="L2760" s="139">
        <f>IFERROR(IF(ISNUMBER(F2760),F2760-IF(ISNUMBER(K2760),K2760,0),""),"")</f>
        <v/>
      </c>
    </row>
    <row r="2761" ht="24" customHeight="1" s="63">
      <c r="E2761" s="139" t="n"/>
      <c r="F2761" s="139" t="n"/>
      <c r="G2761" s="140">
        <f>IFERROR(IF(E2761&gt;0,(F2761/E2761)*1000,""),"")</f>
        <v/>
      </c>
      <c r="H2761" s="139">
        <f>IFERROR(IF(E2761&gt;0,E2761*IF(ISNUMBER(J2761),J2761,IF(OR(C2761="Alpha",B2761="Alpha"),$C$7,IF(C2761="Futures",$C$6,$C$5))),""),"")</f>
        <v/>
      </c>
      <c r="I2761" s="139">
        <f>IFERROR(IF(AND(ISNUMBER(F2761),ISNUMBER(H2761)),F2761-H2761,""),"")</f>
        <v/>
      </c>
      <c r="J2761" s="114" t="n"/>
      <c r="K2761" s="139">
        <f>IFERROR(IF(H2761&gt;0,H2761*IF(OR(C2761="Alpha",B2761="Alpha"),$C$9,$C$8),""),"")</f>
        <v/>
      </c>
      <c r="L2761" s="139">
        <f>IFERROR(IF(ISNUMBER(F2761),F2761-IF(ISNUMBER(K2761),K2761,0),""),"")</f>
        <v/>
      </c>
    </row>
    <row r="2762" ht="24" customHeight="1" s="63">
      <c r="E2762" s="139" t="n"/>
      <c r="F2762" s="139" t="n"/>
      <c r="G2762" s="140">
        <f>IFERROR(IF(E2762&gt;0,(F2762/E2762)*1000,""),"")</f>
        <v/>
      </c>
      <c r="H2762" s="139">
        <f>IFERROR(IF(E2762&gt;0,E2762*IF(ISNUMBER(J2762),J2762,IF(OR(C2762="Alpha",B2762="Alpha"),$C$7,IF(C2762="Futures",$C$6,$C$5))),""),"")</f>
        <v/>
      </c>
      <c r="I2762" s="139">
        <f>IFERROR(IF(AND(ISNUMBER(F2762),ISNUMBER(H2762)),F2762-H2762,""),"")</f>
        <v/>
      </c>
      <c r="J2762" s="114" t="n"/>
      <c r="K2762" s="139">
        <f>IFERROR(IF(H2762&gt;0,H2762*IF(OR(C2762="Alpha",B2762="Alpha"),$C$9,$C$8),""),"")</f>
        <v/>
      </c>
      <c r="L2762" s="139">
        <f>IFERROR(IF(ISNUMBER(F2762),F2762-IF(ISNUMBER(K2762),K2762,0),""),"")</f>
        <v/>
      </c>
    </row>
    <row r="2763" ht="24" customHeight="1" s="63">
      <c r="E2763" s="139" t="n"/>
      <c r="F2763" s="139" t="n"/>
      <c r="G2763" s="140">
        <f>IFERROR(IF(E2763&gt;0,(F2763/E2763)*1000,""),"")</f>
        <v/>
      </c>
      <c r="H2763" s="139">
        <f>IFERROR(IF(E2763&gt;0,E2763*IF(ISNUMBER(J2763),J2763,IF(OR(C2763="Alpha",B2763="Alpha"),$C$7,IF(C2763="Futures",$C$6,$C$5))),""),"")</f>
        <v/>
      </c>
      <c r="I2763" s="139">
        <f>IFERROR(IF(AND(ISNUMBER(F2763),ISNUMBER(H2763)),F2763-H2763,""),"")</f>
        <v/>
      </c>
      <c r="J2763" s="114" t="n"/>
      <c r="K2763" s="139">
        <f>IFERROR(IF(H2763&gt;0,H2763*IF(OR(C2763="Alpha",B2763="Alpha"),$C$9,$C$8),""),"")</f>
        <v/>
      </c>
      <c r="L2763" s="139">
        <f>IFERROR(IF(ISNUMBER(F2763),F2763-IF(ISNUMBER(K2763),K2763,0),""),"")</f>
        <v/>
      </c>
    </row>
    <row r="2764" ht="24" customHeight="1" s="63">
      <c r="E2764" s="139" t="n"/>
      <c r="F2764" s="139" t="n"/>
      <c r="G2764" s="140">
        <f>IFERROR(IF(E2764&gt;0,(F2764/E2764)*1000,""),"")</f>
        <v/>
      </c>
      <c r="H2764" s="139">
        <f>IFERROR(IF(E2764&gt;0,E2764*IF(ISNUMBER(J2764),J2764,IF(OR(C2764="Alpha",B2764="Alpha"),$C$7,IF(C2764="Futures",$C$6,$C$5))),""),"")</f>
        <v/>
      </c>
      <c r="I2764" s="139">
        <f>IFERROR(IF(AND(ISNUMBER(F2764),ISNUMBER(H2764)),F2764-H2764,""),"")</f>
        <v/>
      </c>
      <c r="J2764" s="114" t="n"/>
      <c r="K2764" s="139">
        <f>IFERROR(IF(H2764&gt;0,H2764*IF(OR(C2764="Alpha",B2764="Alpha"),$C$9,$C$8),""),"")</f>
        <v/>
      </c>
      <c r="L2764" s="139">
        <f>IFERROR(IF(ISNUMBER(F2764),F2764-IF(ISNUMBER(K2764),K2764,0),""),"")</f>
        <v/>
      </c>
    </row>
    <row r="2765" ht="24" customHeight="1" s="63">
      <c r="E2765" s="139" t="n"/>
      <c r="F2765" s="139" t="n"/>
      <c r="G2765" s="140">
        <f>IFERROR(IF(E2765&gt;0,(F2765/E2765)*1000,""),"")</f>
        <v/>
      </c>
      <c r="H2765" s="139">
        <f>IFERROR(IF(E2765&gt;0,E2765*IF(ISNUMBER(J2765),J2765,IF(OR(C2765="Alpha",B2765="Alpha"),$C$7,IF(C2765="Futures",$C$6,$C$5))),""),"")</f>
        <v/>
      </c>
      <c r="I2765" s="139">
        <f>IFERROR(IF(AND(ISNUMBER(F2765),ISNUMBER(H2765)),F2765-H2765,""),"")</f>
        <v/>
      </c>
      <c r="J2765" s="114" t="n"/>
      <c r="K2765" s="139">
        <f>IFERROR(IF(H2765&gt;0,H2765*IF(OR(C2765="Alpha",B2765="Alpha"),$C$9,$C$8),""),"")</f>
        <v/>
      </c>
      <c r="L2765" s="139">
        <f>IFERROR(IF(ISNUMBER(F2765),F2765-IF(ISNUMBER(K2765),K2765,0),""),"")</f>
        <v/>
      </c>
    </row>
    <row r="2766" ht="24" customHeight="1" s="63">
      <c r="E2766" s="139" t="n"/>
      <c r="F2766" s="139" t="n"/>
      <c r="G2766" s="140">
        <f>IFERROR(IF(E2766&gt;0,(F2766/E2766)*1000,""),"")</f>
        <v/>
      </c>
      <c r="H2766" s="139">
        <f>IFERROR(IF(E2766&gt;0,E2766*IF(ISNUMBER(J2766),J2766,IF(OR(C2766="Alpha",B2766="Alpha"),$C$7,IF(C2766="Futures",$C$6,$C$5))),""),"")</f>
        <v/>
      </c>
      <c r="I2766" s="139">
        <f>IFERROR(IF(AND(ISNUMBER(F2766),ISNUMBER(H2766)),F2766-H2766,""),"")</f>
        <v/>
      </c>
      <c r="J2766" s="114" t="n"/>
      <c r="K2766" s="139">
        <f>IFERROR(IF(H2766&gt;0,H2766*IF(OR(C2766="Alpha",B2766="Alpha"),$C$9,$C$8),""),"")</f>
        <v/>
      </c>
      <c r="L2766" s="139">
        <f>IFERROR(IF(ISNUMBER(F2766),F2766-IF(ISNUMBER(K2766),K2766,0),""),"")</f>
        <v/>
      </c>
    </row>
    <row r="2767" ht="24" customHeight="1" s="63">
      <c r="E2767" s="139" t="n"/>
      <c r="F2767" s="139" t="n"/>
      <c r="G2767" s="140">
        <f>IFERROR(IF(E2767&gt;0,(F2767/E2767)*1000,""),"")</f>
        <v/>
      </c>
      <c r="H2767" s="139">
        <f>IFERROR(IF(E2767&gt;0,E2767*IF(ISNUMBER(J2767),J2767,IF(OR(C2767="Alpha",B2767="Alpha"),$C$7,IF(C2767="Futures",$C$6,$C$5))),""),"")</f>
        <v/>
      </c>
      <c r="I2767" s="139">
        <f>IFERROR(IF(AND(ISNUMBER(F2767),ISNUMBER(H2767)),F2767-H2767,""),"")</f>
        <v/>
      </c>
      <c r="J2767" s="114" t="n"/>
      <c r="K2767" s="139">
        <f>IFERROR(IF(H2767&gt;0,H2767*IF(OR(C2767="Alpha",B2767="Alpha"),$C$9,$C$8),""),"")</f>
        <v/>
      </c>
      <c r="L2767" s="139">
        <f>IFERROR(IF(ISNUMBER(F2767),F2767-IF(ISNUMBER(K2767),K2767,0),""),"")</f>
        <v/>
      </c>
    </row>
    <row r="2768" ht="24" customHeight="1" s="63">
      <c r="E2768" s="139" t="n"/>
      <c r="F2768" s="139" t="n"/>
      <c r="G2768" s="140">
        <f>IFERROR(IF(E2768&gt;0,(F2768/E2768)*1000,""),"")</f>
        <v/>
      </c>
      <c r="H2768" s="139">
        <f>IFERROR(IF(E2768&gt;0,E2768*IF(ISNUMBER(J2768),J2768,IF(OR(C2768="Alpha",B2768="Alpha"),$C$7,IF(C2768="Futures",$C$6,$C$5))),""),"")</f>
        <v/>
      </c>
      <c r="I2768" s="139">
        <f>IFERROR(IF(AND(ISNUMBER(F2768),ISNUMBER(H2768)),F2768-H2768,""),"")</f>
        <v/>
      </c>
      <c r="J2768" s="114" t="n"/>
      <c r="K2768" s="139">
        <f>IFERROR(IF(H2768&gt;0,H2768*IF(OR(C2768="Alpha",B2768="Alpha"),$C$9,$C$8),""),"")</f>
        <v/>
      </c>
      <c r="L2768" s="139">
        <f>IFERROR(IF(ISNUMBER(F2768),F2768-IF(ISNUMBER(K2768),K2768,0),""),"")</f>
        <v/>
      </c>
    </row>
    <row r="2769" ht="24" customHeight="1" s="63">
      <c r="E2769" s="139" t="n"/>
      <c r="F2769" s="139" t="n"/>
      <c r="G2769" s="140">
        <f>IFERROR(IF(E2769&gt;0,(F2769/E2769)*1000,""),"")</f>
        <v/>
      </c>
      <c r="H2769" s="139">
        <f>IFERROR(IF(E2769&gt;0,E2769*IF(ISNUMBER(J2769),J2769,IF(OR(C2769="Alpha",B2769="Alpha"),$C$7,IF(C2769="Futures",$C$6,$C$5))),""),"")</f>
        <v/>
      </c>
      <c r="I2769" s="139">
        <f>IFERROR(IF(AND(ISNUMBER(F2769),ISNUMBER(H2769)),F2769-H2769,""),"")</f>
        <v/>
      </c>
      <c r="J2769" s="114" t="n"/>
      <c r="K2769" s="139">
        <f>IFERROR(IF(H2769&gt;0,H2769*IF(OR(C2769="Alpha",B2769="Alpha"),$C$9,$C$8),""),"")</f>
        <v/>
      </c>
      <c r="L2769" s="139">
        <f>IFERROR(IF(ISNUMBER(F2769),F2769-IF(ISNUMBER(K2769),K2769,0),""),"")</f>
        <v/>
      </c>
    </row>
    <row r="2770" ht="24" customHeight="1" s="63">
      <c r="E2770" s="139" t="n"/>
      <c r="F2770" s="139" t="n"/>
      <c r="G2770" s="140">
        <f>IFERROR(IF(E2770&gt;0,(F2770/E2770)*1000,""),"")</f>
        <v/>
      </c>
      <c r="H2770" s="139">
        <f>IFERROR(IF(E2770&gt;0,E2770*IF(ISNUMBER(J2770),J2770,IF(OR(C2770="Alpha",B2770="Alpha"),$C$7,IF(C2770="Futures",$C$6,$C$5))),""),"")</f>
        <v/>
      </c>
      <c r="I2770" s="139">
        <f>IFERROR(IF(AND(ISNUMBER(F2770),ISNUMBER(H2770)),F2770-H2770,""),"")</f>
        <v/>
      </c>
      <c r="J2770" s="114" t="n"/>
      <c r="K2770" s="139">
        <f>IFERROR(IF(H2770&gt;0,H2770*IF(OR(C2770="Alpha",B2770="Alpha"),$C$9,$C$8),""),"")</f>
        <v/>
      </c>
      <c r="L2770" s="139">
        <f>IFERROR(IF(ISNUMBER(F2770),F2770-IF(ISNUMBER(K2770),K2770,0),""),"")</f>
        <v/>
      </c>
    </row>
    <row r="2771" ht="24" customHeight="1" s="63">
      <c r="E2771" s="139" t="n"/>
      <c r="F2771" s="139" t="n"/>
      <c r="G2771" s="140">
        <f>IFERROR(IF(E2771&gt;0,(F2771/E2771)*1000,""),"")</f>
        <v/>
      </c>
      <c r="H2771" s="139">
        <f>IFERROR(IF(E2771&gt;0,E2771*IF(ISNUMBER(J2771),J2771,IF(OR(C2771="Alpha",B2771="Alpha"),$C$7,IF(C2771="Futures",$C$6,$C$5))),""),"")</f>
        <v/>
      </c>
      <c r="I2771" s="139">
        <f>IFERROR(IF(AND(ISNUMBER(F2771),ISNUMBER(H2771)),F2771-H2771,""),"")</f>
        <v/>
      </c>
      <c r="J2771" s="114" t="n"/>
      <c r="K2771" s="139">
        <f>IFERROR(IF(H2771&gt;0,H2771*IF(OR(C2771="Alpha",B2771="Alpha"),$C$9,$C$8),""),"")</f>
        <v/>
      </c>
      <c r="L2771" s="139">
        <f>IFERROR(IF(ISNUMBER(F2771),F2771-IF(ISNUMBER(K2771),K2771,0),""),"")</f>
        <v/>
      </c>
    </row>
    <row r="2772" ht="24" customHeight="1" s="63">
      <c r="E2772" s="139" t="n"/>
      <c r="F2772" s="139" t="n"/>
      <c r="G2772" s="140">
        <f>IFERROR(IF(E2772&gt;0,(F2772/E2772)*1000,""),"")</f>
        <v/>
      </c>
      <c r="H2772" s="139">
        <f>IFERROR(IF(E2772&gt;0,E2772*IF(ISNUMBER(J2772),J2772,IF(OR(C2772="Alpha",B2772="Alpha"),$C$7,IF(C2772="Futures",$C$6,$C$5))),""),"")</f>
        <v/>
      </c>
      <c r="I2772" s="139">
        <f>IFERROR(IF(AND(ISNUMBER(F2772),ISNUMBER(H2772)),F2772-H2772,""),"")</f>
        <v/>
      </c>
      <c r="J2772" s="114" t="n"/>
      <c r="K2772" s="139">
        <f>IFERROR(IF(H2772&gt;0,H2772*IF(OR(C2772="Alpha",B2772="Alpha"),$C$9,$C$8),""),"")</f>
        <v/>
      </c>
      <c r="L2772" s="139">
        <f>IFERROR(IF(ISNUMBER(F2772),F2772-IF(ISNUMBER(K2772),K2772,0),""),"")</f>
        <v/>
      </c>
    </row>
    <row r="2773" ht="24" customHeight="1" s="63">
      <c r="E2773" s="139" t="n"/>
      <c r="F2773" s="139" t="n"/>
      <c r="G2773" s="140">
        <f>IFERROR(IF(E2773&gt;0,(F2773/E2773)*1000,""),"")</f>
        <v/>
      </c>
      <c r="H2773" s="139">
        <f>IFERROR(IF(E2773&gt;0,E2773*IF(ISNUMBER(J2773),J2773,IF(OR(C2773="Alpha",B2773="Alpha"),$C$7,IF(C2773="Futures",$C$6,$C$5))),""),"")</f>
        <v/>
      </c>
      <c r="I2773" s="139">
        <f>IFERROR(IF(AND(ISNUMBER(F2773),ISNUMBER(H2773)),F2773-H2773,""),"")</f>
        <v/>
      </c>
      <c r="J2773" s="114" t="n"/>
      <c r="K2773" s="139">
        <f>IFERROR(IF(H2773&gt;0,H2773*IF(OR(C2773="Alpha",B2773="Alpha"),$C$9,$C$8),""),"")</f>
        <v/>
      </c>
      <c r="L2773" s="139">
        <f>IFERROR(IF(ISNUMBER(F2773),F2773-IF(ISNUMBER(K2773),K2773,0),""),"")</f>
        <v/>
      </c>
    </row>
    <row r="2774" ht="24" customHeight="1" s="63">
      <c r="E2774" s="139" t="n"/>
      <c r="F2774" s="139" t="n"/>
      <c r="G2774" s="140">
        <f>IFERROR(IF(E2774&gt;0,(F2774/E2774)*1000,""),"")</f>
        <v/>
      </c>
      <c r="H2774" s="139">
        <f>IFERROR(IF(E2774&gt;0,E2774*IF(ISNUMBER(J2774),J2774,IF(OR(C2774="Alpha",B2774="Alpha"),$C$7,IF(C2774="Futures",$C$6,$C$5))),""),"")</f>
        <v/>
      </c>
      <c r="I2774" s="139">
        <f>IFERROR(IF(AND(ISNUMBER(F2774),ISNUMBER(H2774)),F2774-H2774,""),"")</f>
        <v/>
      </c>
      <c r="J2774" s="114" t="n"/>
      <c r="K2774" s="139">
        <f>IFERROR(IF(H2774&gt;0,H2774*IF(OR(C2774="Alpha",B2774="Alpha"),$C$9,$C$8),""),"")</f>
        <v/>
      </c>
      <c r="L2774" s="139">
        <f>IFERROR(IF(ISNUMBER(F2774),F2774-IF(ISNUMBER(K2774),K2774,0),""),"")</f>
        <v/>
      </c>
    </row>
    <row r="2775" ht="24" customHeight="1" s="63">
      <c r="E2775" s="139" t="n"/>
      <c r="F2775" s="139" t="n"/>
      <c r="G2775" s="140">
        <f>IFERROR(IF(E2775&gt;0,(F2775/E2775)*1000,""),"")</f>
        <v/>
      </c>
      <c r="H2775" s="139">
        <f>IFERROR(IF(E2775&gt;0,E2775*IF(ISNUMBER(J2775),J2775,IF(OR(C2775="Alpha",B2775="Alpha"),$C$7,IF(C2775="Futures",$C$6,$C$5))),""),"")</f>
        <v/>
      </c>
      <c r="I2775" s="139">
        <f>IFERROR(IF(AND(ISNUMBER(F2775),ISNUMBER(H2775)),F2775-H2775,""),"")</f>
        <v/>
      </c>
      <c r="J2775" s="114" t="n"/>
      <c r="K2775" s="139">
        <f>IFERROR(IF(H2775&gt;0,H2775*IF(OR(C2775="Alpha",B2775="Alpha"),$C$9,$C$8),""),"")</f>
        <v/>
      </c>
      <c r="L2775" s="139">
        <f>IFERROR(IF(ISNUMBER(F2775),F2775-IF(ISNUMBER(K2775),K2775,0),""),"")</f>
        <v/>
      </c>
    </row>
    <row r="2776" ht="24" customHeight="1" s="63">
      <c r="E2776" s="139" t="n"/>
      <c r="F2776" s="139" t="n"/>
      <c r="G2776" s="140">
        <f>IFERROR(IF(E2776&gt;0,(F2776/E2776)*1000,""),"")</f>
        <v/>
      </c>
      <c r="H2776" s="139">
        <f>IFERROR(IF(E2776&gt;0,E2776*IF(ISNUMBER(J2776),J2776,IF(OR(C2776="Alpha",B2776="Alpha"),$C$7,IF(C2776="Futures",$C$6,$C$5))),""),"")</f>
        <v/>
      </c>
      <c r="I2776" s="139">
        <f>IFERROR(IF(AND(ISNUMBER(F2776),ISNUMBER(H2776)),F2776-H2776,""),"")</f>
        <v/>
      </c>
      <c r="J2776" s="114" t="n"/>
      <c r="K2776" s="139">
        <f>IFERROR(IF(H2776&gt;0,H2776*IF(OR(C2776="Alpha",B2776="Alpha"),$C$9,$C$8),""),"")</f>
        <v/>
      </c>
      <c r="L2776" s="139">
        <f>IFERROR(IF(ISNUMBER(F2776),F2776-IF(ISNUMBER(K2776),K2776,0),""),"")</f>
        <v/>
      </c>
    </row>
    <row r="2777" ht="24" customHeight="1" s="63">
      <c r="E2777" s="139" t="n"/>
      <c r="F2777" s="139" t="n"/>
      <c r="G2777" s="140">
        <f>IFERROR(IF(E2777&gt;0,(F2777/E2777)*1000,""),"")</f>
        <v/>
      </c>
      <c r="H2777" s="139">
        <f>IFERROR(IF(E2777&gt;0,E2777*IF(ISNUMBER(J2777),J2777,IF(OR(C2777="Alpha",B2777="Alpha"),$C$7,IF(C2777="Futures",$C$6,$C$5))),""),"")</f>
        <v/>
      </c>
      <c r="I2777" s="139">
        <f>IFERROR(IF(AND(ISNUMBER(F2777),ISNUMBER(H2777)),F2777-H2777,""),"")</f>
        <v/>
      </c>
      <c r="J2777" s="114" t="n"/>
      <c r="K2777" s="139">
        <f>IFERROR(IF(H2777&gt;0,H2777*IF(OR(C2777="Alpha",B2777="Alpha"),$C$9,$C$8),""),"")</f>
        <v/>
      </c>
      <c r="L2777" s="139">
        <f>IFERROR(IF(ISNUMBER(F2777),F2777-IF(ISNUMBER(K2777),K2777,0),""),"")</f>
        <v/>
      </c>
    </row>
    <row r="2778" ht="24" customHeight="1" s="63">
      <c r="E2778" s="139" t="n"/>
      <c r="F2778" s="139" t="n"/>
      <c r="G2778" s="140">
        <f>IFERROR(IF(E2778&gt;0,(F2778/E2778)*1000,""),"")</f>
        <v/>
      </c>
      <c r="H2778" s="139">
        <f>IFERROR(IF(E2778&gt;0,E2778*IF(ISNUMBER(J2778),J2778,IF(OR(C2778="Alpha",B2778="Alpha"),$C$7,IF(C2778="Futures",$C$6,$C$5))),""),"")</f>
        <v/>
      </c>
      <c r="I2778" s="139">
        <f>IFERROR(IF(AND(ISNUMBER(F2778),ISNUMBER(H2778)),F2778-H2778,""),"")</f>
        <v/>
      </c>
      <c r="J2778" s="114" t="n"/>
      <c r="K2778" s="139">
        <f>IFERROR(IF(H2778&gt;0,H2778*IF(OR(C2778="Alpha",B2778="Alpha"),$C$9,$C$8),""),"")</f>
        <v/>
      </c>
      <c r="L2778" s="139">
        <f>IFERROR(IF(ISNUMBER(F2778),F2778-IF(ISNUMBER(K2778),K2778,0),""),"")</f>
        <v/>
      </c>
    </row>
    <row r="2779" ht="24" customHeight="1" s="63">
      <c r="E2779" s="139" t="n"/>
      <c r="F2779" s="139" t="n"/>
      <c r="G2779" s="140">
        <f>IFERROR(IF(E2779&gt;0,(F2779/E2779)*1000,""),"")</f>
        <v/>
      </c>
      <c r="H2779" s="139">
        <f>IFERROR(IF(E2779&gt;0,E2779*IF(ISNUMBER(J2779),J2779,IF(OR(C2779="Alpha",B2779="Alpha"),$C$7,IF(C2779="Futures",$C$6,$C$5))),""),"")</f>
        <v/>
      </c>
      <c r="I2779" s="139">
        <f>IFERROR(IF(AND(ISNUMBER(F2779),ISNUMBER(H2779)),F2779-H2779,""),"")</f>
        <v/>
      </c>
      <c r="J2779" s="114" t="n"/>
      <c r="K2779" s="139">
        <f>IFERROR(IF(H2779&gt;0,H2779*IF(OR(C2779="Alpha",B2779="Alpha"),$C$9,$C$8),""),"")</f>
        <v/>
      </c>
      <c r="L2779" s="139">
        <f>IFERROR(IF(ISNUMBER(F2779),F2779-IF(ISNUMBER(K2779),K2779,0),""),"")</f>
        <v/>
      </c>
    </row>
    <row r="2780" ht="24" customHeight="1" s="63">
      <c r="E2780" s="139" t="n"/>
      <c r="F2780" s="139" t="n"/>
      <c r="G2780" s="140">
        <f>IFERROR(IF(E2780&gt;0,(F2780/E2780)*1000,""),"")</f>
        <v/>
      </c>
      <c r="H2780" s="139">
        <f>IFERROR(IF(E2780&gt;0,E2780*IF(ISNUMBER(J2780),J2780,IF(OR(C2780="Alpha",B2780="Alpha"),$C$7,IF(C2780="Futures",$C$6,$C$5))),""),"")</f>
        <v/>
      </c>
      <c r="I2780" s="139">
        <f>IFERROR(IF(AND(ISNUMBER(F2780),ISNUMBER(H2780)),F2780-H2780,""),"")</f>
        <v/>
      </c>
      <c r="J2780" s="114" t="n"/>
      <c r="K2780" s="139">
        <f>IFERROR(IF(H2780&gt;0,H2780*IF(OR(C2780="Alpha",B2780="Alpha"),$C$9,$C$8),""),"")</f>
        <v/>
      </c>
      <c r="L2780" s="139">
        <f>IFERROR(IF(ISNUMBER(F2780),F2780-IF(ISNUMBER(K2780),K2780,0),""),"")</f>
        <v/>
      </c>
    </row>
    <row r="2781" ht="24" customHeight="1" s="63">
      <c r="E2781" s="139" t="n"/>
      <c r="F2781" s="139" t="n"/>
      <c r="G2781" s="140">
        <f>IFERROR(IF(E2781&gt;0,(F2781/E2781)*1000,""),"")</f>
        <v/>
      </c>
      <c r="H2781" s="139">
        <f>IFERROR(IF(E2781&gt;0,E2781*IF(ISNUMBER(J2781),J2781,IF(OR(C2781="Alpha",B2781="Alpha"),$C$7,IF(C2781="Futures",$C$6,$C$5))),""),"")</f>
        <v/>
      </c>
      <c r="I2781" s="139">
        <f>IFERROR(IF(AND(ISNUMBER(F2781),ISNUMBER(H2781)),F2781-H2781,""),"")</f>
        <v/>
      </c>
      <c r="J2781" s="114" t="n"/>
      <c r="K2781" s="139">
        <f>IFERROR(IF(H2781&gt;0,H2781*IF(OR(C2781="Alpha",B2781="Alpha"),$C$9,$C$8),""),"")</f>
        <v/>
      </c>
      <c r="L2781" s="139">
        <f>IFERROR(IF(ISNUMBER(F2781),F2781-IF(ISNUMBER(K2781),K2781,0),""),"")</f>
        <v/>
      </c>
    </row>
    <row r="2782" ht="24" customHeight="1" s="63">
      <c r="E2782" s="139" t="n"/>
      <c r="F2782" s="139" t="n"/>
      <c r="G2782" s="140">
        <f>IFERROR(IF(E2782&gt;0,(F2782/E2782)*1000,""),"")</f>
        <v/>
      </c>
      <c r="H2782" s="139">
        <f>IFERROR(IF(E2782&gt;0,E2782*IF(ISNUMBER(J2782),J2782,IF(OR(C2782="Alpha",B2782="Alpha"),$C$7,IF(C2782="Futures",$C$6,$C$5))),""),"")</f>
        <v/>
      </c>
      <c r="I2782" s="139">
        <f>IFERROR(IF(AND(ISNUMBER(F2782),ISNUMBER(H2782)),F2782-H2782,""),"")</f>
        <v/>
      </c>
      <c r="J2782" s="114" t="n"/>
      <c r="K2782" s="139">
        <f>IFERROR(IF(H2782&gt;0,H2782*IF(OR(C2782="Alpha",B2782="Alpha"),$C$9,$C$8),""),"")</f>
        <v/>
      </c>
      <c r="L2782" s="139">
        <f>IFERROR(IF(ISNUMBER(F2782),F2782-IF(ISNUMBER(K2782),K2782,0),""),"")</f>
        <v/>
      </c>
    </row>
    <row r="2783" ht="24" customHeight="1" s="63">
      <c r="E2783" s="139" t="n"/>
      <c r="F2783" s="139" t="n"/>
      <c r="G2783" s="140">
        <f>IFERROR(IF(E2783&gt;0,(F2783/E2783)*1000,""),"")</f>
        <v/>
      </c>
      <c r="H2783" s="139">
        <f>IFERROR(IF(E2783&gt;0,E2783*IF(ISNUMBER(J2783),J2783,IF(OR(C2783="Alpha",B2783="Alpha"),$C$7,IF(C2783="Futures",$C$6,$C$5))),""),"")</f>
        <v/>
      </c>
      <c r="I2783" s="139">
        <f>IFERROR(IF(AND(ISNUMBER(F2783),ISNUMBER(H2783)),F2783-H2783,""),"")</f>
        <v/>
      </c>
      <c r="J2783" s="114" t="n"/>
      <c r="K2783" s="139">
        <f>IFERROR(IF(H2783&gt;0,H2783*IF(OR(C2783="Alpha",B2783="Alpha"),$C$9,$C$8),""),"")</f>
        <v/>
      </c>
      <c r="L2783" s="139">
        <f>IFERROR(IF(ISNUMBER(F2783),F2783-IF(ISNUMBER(K2783),K2783,0),""),"")</f>
        <v/>
      </c>
    </row>
    <row r="2784" ht="24" customHeight="1" s="63">
      <c r="E2784" s="139" t="n"/>
      <c r="F2784" s="139" t="n"/>
      <c r="G2784" s="140">
        <f>IFERROR(IF(E2784&gt;0,(F2784/E2784)*1000,""),"")</f>
        <v/>
      </c>
      <c r="H2784" s="139">
        <f>IFERROR(IF(E2784&gt;0,E2784*IF(ISNUMBER(J2784),J2784,IF(OR(C2784="Alpha",B2784="Alpha"),$C$7,IF(C2784="Futures",$C$6,$C$5))),""),"")</f>
        <v/>
      </c>
      <c r="I2784" s="139">
        <f>IFERROR(IF(AND(ISNUMBER(F2784),ISNUMBER(H2784)),F2784-H2784,""),"")</f>
        <v/>
      </c>
      <c r="J2784" s="114" t="n"/>
      <c r="K2784" s="139">
        <f>IFERROR(IF(H2784&gt;0,H2784*IF(OR(C2784="Alpha",B2784="Alpha"),$C$9,$C$8),""),"")</f>
        <v/>
      </c>
      <c r="L2784" s="139">
        <f>IFERROR(IF(ISNUMBER(F2784),F2784-IF(ISNUMBER(K2784),K2784,0),""),"")</f>
        <v/>
      </c>
    </row>
    <row r="2785" ht="24" customHeight="1" s="63">
      <c r="E2785" s="139" t="n"/>
      <c r="F2785" s="139" t="n"/>
      <c r="G2785" s="140">
        <f>IFERROR(IF(E2785&gt;0,(F2785/E2785)*1000,""),"")</f>
        <v/>
      </c>
      <c r="H2785" s="139">
        <f>IFERROR(IF(E2785&gt;0,E2785*IF(ISNUMBER(J2785),J2785,IF(OR(C2785="Alpha",B2785="Alpha"),$C$7,IF(C2785="Futures",$C$6,$C$5))),""),"")</f>
        <v/>
      </c>
      <c r="I2785" s="139">
        <f>IFERROR(IF(AND(ISNUMBER(F2785),ISNUMBER(H2785)),F2785-H2785,""),"")</f>
        <v/>
      </c>
      <c r="J2785" s="114" t="n"/>
      <c r="K2785" s="139">
        <f>IFERROR(IF(H2785&gt;0,H2785*IF(OR(C2785="Alpha",B2785="Alpha"),$C$9,$C$8),""),"")</f>
        <v/>
      </c>
      <c r="L2785" s="139">
        <f>IFERROR(IF(ISNUMBER(F2785),F2785-IF(ISNUMBER(K2785),K2785,0),""),"")</f>
        <v/>
      </c>
    </row>
    <row r="2786" ht="24" customHeight="1" s="63">
      <c r="E2786" s="139" t="n"/>
      <c r="F2786" s="139" t="n"/>
      <c r="G2786" s="140">
        <f>IFERROR(IF(E2786&gt;0,(F2786/E2786)*1000,""),"")</f>
        <v/>
      </c>
      <c r="H2786" s="139">
        <f>IFERROR(IF(E2786&gt;0,E2786*IF(ISNUMBER(J2786),J2786,IF(OR(C2786="Alpha",B2786="Alpha"),$C$7,IF(C2786="Futures",$C$6,$C$5))),""),"")</f>
        <v/>
      </c>
      <c r="I2786" s="139">
        <f>IFERROR(IF(AND(ISNUMBER(F2786),ISNUMBER(H2786)),F2786-H2786,""),"")</f>
        <v/>
      </c>
      <c r="J2786" s="114" t="n"/>
      <c r="K2786" s="139">
        <f>IFERROR(IF(H2786&gt;0,H2786*IF(OR(C2786="Alpha",B2786="Alpha"),$C$9,$C$8),""),"")</f>
        <v/>
      </c>
      <c r="L2786" s="139">
        <f>IFERROR(IF(ISNUMBER(F2786),F2786-IF(ISNUMBER(K2786),K2786,0),""),"")</f>
        <v/>
      </c>
    </row>
    <row r="2787" ht="24" customHeight="1" s="63">
      <c r="E2787" s="139" t="n"/>
      <c r="F2787" s="139" t="n"/>
      <c r="G2787" s="140">
        <f>IFERROR(IF(E2787&gt;0,(F2787/E2787)*1000,""),"")</f>
        <v/>
      </c>
      <c r="H2787" s="139">
        <f>IFERROR(IF(E2787&gt;0,E2787*IF(ISNUMBER(J2787),J2787,IF(OR(C2787="Alpha",B2787="Alpha"),$C$7,IF(C2787="Futures",$C$6,$C$5))),""),"")</f>
        <v/>
      </c>
      <c r="I2787" s="139">
        <f>IFERROR(IF(AND(ISNUMBER(F2787),ISNUMBER(H2787)),F2787-H2787,""),"")</f>
        <v/>
      </c>
      <c r="J2787" s="114" t="n"/>
      <c r="K2787" s="139">
        <f>IFERROR(IF(H2787&gt;0,H2787*IF(OR(C2787="Alpha",B2787="Alpha"),$C$9,$C$8),""),"")</f>
        <v/>
      </c>
      <c r="L2787" s="139">
        <f>IFERROR(IF(ISNUMBER(F2787),F2787-IF(ISNUMBER(K2787),K2787,0),""),"")</f>
        <v/>
      </c>
    </row>
    <row r="2788" ht="24" customHeight="1" s="63">
      <c r="E2788" s="139" t="n"/>
      <c r="F2788" s="139" t="n"/>
      <c r="G2788" s="140">
        <f>IFERROR(IF(E2788&gt;0,(F2788/E2788)*1000,""),"")</f>
        <v/>
      </c>
      <c r="H2788" s="139">
        <f>IFERROR(IF(E2788&gt;0,E2788*IF(ISNUMBER(J2788),J2788,IF(OR(C2788="Alpha",B2788="Alpha"),$C$7,IF(C2788="Futures",$C$6,$C$5))),""),"")</f>
        <v/>
      </c>
      <c r="I2788" s="139">
        <f>IFERROR(IF(AND(ISNUMBER(F2788),ISNUMBER(H2788)),F2788-H2788,""),"")</f>
        <v/>
      </c>
      <c r="J2788" s="114" t="n"/>
      <c r="K2788" s="139">
        <f>IFERROR(IF(H2788&gt;0,H2788*IF(OR(C2788="Alpha",B2788="Alpha"),$C$9,$C$8),""),"")</f>
        <v/>
      </c>
      <c r="L2788" s="139">
        <f>IFERROR(IF(ISNUMBER(F2788),F2788-IF(ISNUMBER(K2788),K2788,0),""),"")</f>
        <v/>
      </c>
    </row>
    <row r="2789" ht="24" customHeight="1" s="63">
      <c r="E2789" s="139" t="n"/>
      <c r="F2789" s="139" t="n"/>
      <c r="G2789" s="140">
        <f>IFERROR(IF(E2789&gt;0,(F2789/E2789)*1000,""),"")</f>
        <v/>
      </c>
      <c r="H2789" s="139">
        <f>IFERROR(IF(E2789&gt;0,E2789*IF(ISNUMBER(J2789),J2789,IF(OR(C2789="Alpha",B2789="Alpha"),$C$7,IF(C2789="Futures",$C$6,$C$5))),""),"")</f>
        <v/>
      </c>
      <c r="I2789" s="139">
        <f>IFERROR(IF(AND(ISNUMBER(F2789),ISNUMBER(H2789)),F2789-H2789,""),"")</f>
        <v/>
      </c>
      <c r="J2789" s="114" t="n"/>
      <c r="K2789" s="139">
        <f>IFERROR(IF(H2789&gt;0,H2789*IF(OR(C2789="Alpha",B2789="Alpha"),$C$9,$C$8),""),"")</f>
        <v/>
      </c>
      <c r="L2789" s="139">
        <f>IFERROR(IF(ISNUMBER(F2789),F2789-IF(ISNUMBER(K2789),K2789,0),""),"")</f>
        <v/>
      </c>
    </row>
    <row r="2790" ht="24" customHeight="1" s="63">
      <c r="E2790" s="139" t="n"/>
      <c r="F2790" s="139" t="n"/>
      <c r="G2790" s="140">
        <f>IFERROR(IF(E2790&gt;0,(F2790/E2790)*1000,""),"")</f>
        <v/>
      </c>
      <c r="H2790" s="139">
        <f>IFERROR(IF(E2790&gt;0,E2790*IF(ISNUMBER(J2790),J2790,IF(OR(C2790="Alpha",B2790="Alpha"),$C$7,IF(C2790="Futures",$C$6,$C$5))),""),"")</f>
        <v/>
      </c>
      <c r="I2790" s="139">
        <f>IFERROR(IF(AND(ISNUMBER(F2790),ISNUMBER(H2790)),F2790-H2790,""),"")</f>
        <v/>
      </c>
      <c r="J2790" s="114" t="n"/>
      <c r="K2790" s="139">
        <f>IFERROR(IF(H2790&gt;0,H2790*IF(OR(C2790="Alpha",B2790="Alpha"),$C$9,$C$8),""),"")</f>
        <v/>
      </c>
      <c r="L2790" s="139">
        <f>IFERROR(IF(ISNUMBER(F2790),F2790-IF(ISNUMBER(K2790),K2790,0),""),"")</f>
        <v/>
      </c>
    </row>
    <row r="2791" ht="24" customHeight="1" s="63">
      <c r="E2791" s="139" t="n"/>
      <c r="F2791" s="139" t="n"/>
      <c r="G2791" s="140">
        <f>IFERROR(IF(E2791&gt;0,(F2791/E2791)*1000,""),"")</f>
        <v/>
      </c>
      <c r="H2791" s="139">
        <f>IFERROR(IF(E2791&gt;0,E2791*IF(ISNUMBER(J2791),J2791,IF(OR(C2791="Alpha",B2791="Alpha"),$C$7,IF(C2791="Futures",$C$6,$C$5))),""),"")</f>
        <v/>
      </c>
      <c r="I2791" s="139">
        <f>IFERROR(IF(AND(ISNUMBER(F2791),ISNUMBER(H2791)),F2791-H2791,""),"")</f>
        <v/>
      </c>
      <c r="J2791" s="114" t="n"/>
      <c r="K2791" s="139">
        <f>IFERROR(IF(H2791&gt;0,H2791*IF(OR(C2791="Alpha",B2791="Alpha"),$C$9,$C$8),""),"")</f>
        <v/>
      </c>
      <c r="L2791" s="139">
        <f>IFERROR(IF(ISNUMBER(F2791),F2791-IF(ISNUMBER(K2791),K2791,0),""),"")</f>
        <v/>
      </c>
    </row>
    <row r="2792" ht="24" customHeight="1" s="63">
      <c r="E2792" s="139" t="n"/>
      <c r="F2792" s="139" t="n"/>
      <c r="G2792" s="140">
        <f>IFERROR(IF(E2792&gt;0,(F2792/E2792)*1000,""),"")</f>
        <v/>
      </c>
      <c r="H2792" s="139">
        <f>IFERROR(IF(E2792&gt;0,E2792*IF(ISNUMBER(J2792),J2792,IF(OR(C2792="Alpha",B2792="Alpha"),$C$7,IF(C2792="Futures",$C$6,$C$5))),""),"")</f>
        <v/>
      </c>
      <c r="I2792" s="139">
        <f>IFERROR(IF(AND(ISNUMBER(F2792),ISNUMBER(H2792)),F2792-H2792,""),"")</f>
        <v/>
      </c>
      <c r="J2792" s="114" t="n"/>
      <c r="K2792" s="139">
        <f>IFERROR(IF(H2792&gt;0,H2792*IF(OR(C2792="Alpha",B2792="Alpha"),$C$9,$C$8),""),"")</f>
        <v/>
      </c>
      <c r="L2792" s="139">
        <f>IFERROR(IF(ISNUMBER(F2792),F2792-IF(ISNUMBER(K2792),K2792,0),""),"")</f>
        <v/>
      </c>
    </row>
    <row r="2793" ht="24" customHeight="1" s="63">
      <c r="E2793" s="139" t="n"/>
      <c r="F2793" s="139" t="n"/>
      <c r="G2793" s="140">
        <f>IFERROR(IF(E2793&gt;0,(F2793/E2793)*1000,""),"")</f>
        <v/>
      </c>
      <c r="H2793" s="139">
        <f>IFERROR(IF(E2793&gt;0,E2793*IF(ISNUMBER(J2793),J2793,IF(OR(C2793="Alpha",B2793="Alpha"),$C$7,IF(C2793="Futures",$C$6,$C$5))),""),"")</f>
        <v/>
      </c>
      <c r="I2793" s="139">
        <f>IFERROR(IF(AND(ISNUMBER(F2793),ISNUMBER(H2793)),F2793-H2793,""),"")</f>
        <v/>
      </c>
      <c r="J2793" s="114" t="n"/>
      <c r="K2793" s="139">
        <f>IFERROR(IF(H2793&gt;0,H2793*IF(OR(C2793="Alpha",B2793="Alpha"),$C$9,$C$8),""),"")</f>
        <v/>
      </c>
      <c r="L2793" s="139">
        <f>IFERROR(IF(ISNUMBER(F2793),F2793-IF(ISNUMBER(K2793),K2793,0),""),"")</f>
        <v/>
      </c>
    </row>
    <row r="2794" ht="24" customHeight="1" s="63">
      <c r="E2794" s="139" t="n"/>
      <c r="F2794" s="139" t="n"/>
      <c r="G2794" s="140">
        <f>IFERROR(IF(E2794&gt;0,(F2794/E2794)*1000,""),"")</f>
        <v/>
      </c>
      <c r="H2794" s="139">
        <f>IFERROR(IF(E2794&gt;0,E2794*IF(ISNUMBER(J2794),J2794,IF(OR(C2794="Alpha",B2794="Alpha"),$C$7,IF(C2794="Futures",$C$6,$C$5))),""),"")</f>
        <v/>
      </c>
      <c r="I2794" s="139">
        <f>IFERROR(IF(AND(ISNUMBER(F2794),ISNUMBER(H2794)),F2794-H2794,""),"")</f>
        <v/>
      </c>
      <c r="J2794" s="114" t="n"/>
      <c r="K2794" s="139">
        <f>IFERROR(IF(H2794&gt;0,H2794*IF(OR(C2794="Alpha",B2794="Alpha"),$C$9,$C$8),""),"")</f>
        <v/>
      </c>
      <c r="L2794" s="139">
        <f>IFERROR(IF(ISNUMBER(F2794),F2794-IF(ISNUMBER(K2794),K2794,0),""),"")</f>
        <v/>
      </c>
    </row>
    <row r="2795" ht="24" customHeight="1" s="63">
      <c r="E2795" s="139" t="n"/>
      <c r="F2795" s="139" t="n"/>
      <c r="G2795" s="140">
        <f>IFERROR(IF(E2795&gt;0,(F2795/E2795)*1000,""),"")</f>
        <v/>
      </c>
      <c r="H2795" s="139">
        <f>IFERROR(IF(E2795&gt;0,E2795*IF(ISNUMBER(J2795),J2795,IF(OR(C2795="Alpha",B2795="Alpha"),$C$7,IF(C2795="Futures",$C$6,$C$5))),""),"")</f>
        <v/>
      </c>
      <c r="I2795" s="139">
        <f>IFERROR(IF(AND(ISNUMBER(F2795),ISNUMBER(H2795)),F2795-H2795,""),"")</f>
        <v/>
      </c>
      <c r="J2795" s="114" t="n"/>
      <c r="K2795" s="139">
        <f>IFERROR(IF(H2795&gt;0,H2795*IF(OR(C2795="Alpha",B2795="Alpha"),$C$9,$C$8),""),"")</f>
        <v/>
      </c>
      <c r="L2795" s="139">
        <f>IFERROR(IF(ISNUMBER(F2795),F2795-IF(ISNUMBER(K2795),K2795,0),""),"")</f>
        <v/>
      </c>
    </row>
    <row r="2796" ht="24" customHeight="1" s="63">
      <c r="E2796" s="139" t="n"/>
      <c r="F2796" s="139" t="n"/>
      <c r="G2796" s="140">
        <f>IFERROR(IF(E2796&gt;0,(F2796/E2796)*1000,""),"")</f>
        <v/>
      </c>
      <c r="H2796" s="139">
        <f>IFERROR(IF(E2796&gt;0,E2796*IF(ISNUMBER(J2796),J2796,IF(OR(C2796="Alpha",B2796="Alpha"),$C$7,IF(C2796="Futures",$C$6,$C$5))),""),"")</f>
        <v/>
      </c>
      <c r="I2796" s="139">
        <f>IFERROR(IF(AND(ISNUMBER(F2796),ISNUMBER(H2796)),F2796-H2796,""),"")</f>
        <v/>
      </c>
      <c r="J2796" s="114" t="n"/>
      <c r="K2796" s="139">
        <f>IFERROR(IF(H2796&gt;0,H2796*IF(OR(C2796="Alpha",B2796="Alpha"),$C$9,$C$8),""),"")</f>
        <v/>
      </c>
      <c r="L2796" s="139">
        <f>IFERROR(IF(ISNUMBER(F2796),F2796-IF(ISNUMBER(K2796),K2796,0),""),"")</f>
        <v/>
      </c>
    </row>
    <row r="2797" ht="24" customHeight="1" s="63">
      <c r="E2797" s="139" t="n"/>
      <c r="F2797" s="139" t="n"/>
      <c r="G2797" s="140">
        <f>IFERROR(IF(E2797&gt;0,(F2797/E2797)*1000,""),"")</f>
        <v/>
      </c>
      <c r="H2797" s="139">
        <f>IFERROR(IF(E2797&gt;0,E2797*IF(ISNUMBER(J2797),J2797,IF(OR(C2797="Alpha",B2797="Alpha"),$C$7,IF(C2797="Futures",$C$6,$C$5))),""),"")</f>
        <v/>
      </c>
      <c r="I2797" s="139">
        <f>IFERROR(IF(AND(ISNUMBER(F2797),ISNUMBER(H2797)),F2797-H2797,""),"")</f>
        <v/>
      </c>
      <c r="J2797" s="114" t="n"/>
      <c r="K2797" s="139">
        <f>IFERROR(IF(H2797&gt;0,H2797*IF(OR(C2797="Alpha",B2797="Alpha"),$C$9,$C$8),""),"")</f>
        <v/>
      </c>
      <c r="L2797" s="139">
        <f>IFERROR(IF(ISNUMBER(F2797),F2797-IF(ISNUMBER(K2797),K2797,0),""),"")</f>
        <v/>
      </c>
    </row>
    <row r="2798" ht="24" customHeight="1" s="63">
      <c r="E2798" s="139" t="n"/>
      <c r="F2798" s="139" t="n"/>
      <c r="G2798" s="140">
        <f>IFERROR(IF(E2798&gt;0,(F2798/E2798)*1000,""),"")</f>
        <v/>
      </c>
      <c r="H2798" s="139">
        <f>IFERROR(IF(E2798&gt;0,E2798*IF(ISNUMBER(J2798),J2798,IF(OR(C2798="Alpha",B2798="Alpha"),$C$7,IF(C2798="Futures",$C$6,$C$5))),""),"")</f>
        <v/>
      </c>
      <c r="I2798" s="139">
        <f>IFERROR(IF(AND(ISNUMBER(F2798),ISNUMBER(H2798)),F2798-H2798,""),"")</f>
        <v/>
      </c>
      <c r="J2798" s="114" t="n"/>
      <c r="K2798" s="139">
        <f>IFERROR(IF(H2798&gt;0,H2798*IF(OR(C2798="Alpha",B2798="Alpha"),$C$9,$C$8),""),"")</f>
        <v/>
      </c>
      <c r="L2798" s="139">
        <f>IFERROR(IF(ISNUMBER(F2798),F2798-IF(ISNUMBER(K2798),K2798,0),""),"")</f>
        <v/>
      </c>
    </row>
    <row r="2799" ht="24" customHeight="1" s="63">
      <c r="E2799" s="139" t="n"/>
      <c r="F2799" s="139" t="n"/>
      <c r="G2799" s="140">
        <f>IFERROR(IF(E2799&gt;0,(F2799/E2799)*1000,""),"")</f>
        <v/>
      </c>
      <c r="H2799" s="139">
        <f>IFERROR(IF(E2799&gt;0,E2799*IF(ISNUMBER(J2799),J2799,IF(OR(C2799="Alpha",B2799="Alpha"),$C$7,IF(C2799="Futures",$C$6,$C$5))),""),"")</f>
        <v/>
      </c>
      <c r="I2799" s="139">
        <f>IFERROR(IF(AND(ISNUMBER(F2799),ISNUMBER(H2799)),F2799-H2799,""),"")</f>
        <v/>
      </c>
      <c r="J2799" s="114" t="n"/>
      <c r="K2799" s="139">
        <f>IFERROR(IF(H2799&gt;0,H2799*IF(OR(C2799="Alpha",B2799="Alpha"),$C$9,$C$8),""),"")</f>
        <v/>
      </c>
      <c r="L2799" s="139">
        <f>IFERROR(IF(ISNUMBER(F2799),F2799-IF(ISNUMBER(K2799),K2799,0),""),"")</f>
        <v/>
      </c>
    </row>
    <row r="2800" ht="24" customHeight="1" s="63">
      <c r="E2800" s="139" t="n"/>
      <c r="F2800" s="139" t="n"/>
      <c r="G2800" s="140">
        <f>IFERROR(IF(E2800&gt;0,(F2800/E2800)*1000,""),"")</f>
        <v/>
      </c>
      <c r="H2800" s="139">
        <f>IFERROR(IF(E2800&gt;0,E2800*IF(ISNUMBER(J2800),J2800,IF(OR(C2800="Alpha",B2800="Alpha"),$C$7,IF(C2800="Futures",$C$6,$C$5))),""),"")</f>
        <v/>
      </c>
      <c r="I2800" s="139">
        <f>IFERROR(IF(AND(ISNUMBER(F2800),ISNUMBER(H2800)),F2800-H2800,""),"")</f>
        <v/>
      </c>
      <c r="J2800" s="114" t="n"/>
      <c r="K2800" s="139">
        <f>IFERROR(IF(H2800&gt;0,H2800*IF(OR(C2800="Alpha",B2800="Alpha"),$C$9,$C$8),""),"")</f>
        <v/>
      </c>
      <c r="L2800" s="139">
        <f>IFERROR(IF(ISNUMBER(F2800),F2800-IF(ISNUMBER(K2800),K2800,0),""),"")</f>
        <v/>
      </c>
    </row>
    <row r="2801" ht="24" customHeight="1" s="63">
      <c r="E2801" s="139" t="n"/>
      <c r="F2801" s="139" t="n"/>
      <c r="G2801" s="140">
        <f>IFERROR(IF(E2801&gt;0,(F2801/E2801)*1000,""),"")</f>
        <v/>
      </c>
      <c r="H2801" s="139">
        <f>IFERROR(IF(E2801&gt;0,E2801*IF(ISNUMBER(J2801),J2801,IF(OR(C2801="Alpha",B2801="Alpha"),$C$7,IF(C2801="Futures",$C$6,$C$5))),""),"")</f>
        <v/>
      </c>
      <c r="I2801" s="139">
        <f>IFERROR(IF(AND(ISNUMBER(F2801),ISNUMBER(H2801)),F2801-H2801,""),"")</f>
        <v/>
      </c>
      <c r="J2801" s="114" t="n"/>
      <c r="K2801" s="139">
        <f>IFERROR(IF(H2801&gt;0,H2801*IF(OR(C2801="Alpha",B2801="Alpha"),$C$9,$C$8),""),"")</f>
        <v/>
      </c>
      <c r="L2801" s="139">
        <f>IFERROR(IF(ISNUMBER(F2801),F2801-IF(ISNUMBER(K2801),K2801,0),""),"")</f>
        <v/>
      </c>
    </row>
    <row r="2802" ht="24" customHeight="1" s="63">
      <c r="E2802" s="139" t="n"/>
      <c r="F2802" s="139" t="n"/>
      <c r="G2802" s="140">
        <f>IFERROR(IF(E2802&gt;0,(F2802/E2802)*1000,""),"")</f>
        <v/>
      </c>
      <c r="H2802" s="139">
        <f>IFERROR(IF(E2802&gt;0,E2802*IF(ISNUMBER(J2802),J2802,IF(OR(C2802="Alpha",B2802="Alpha"),$C$7,IF(C2802="Futures",$C$6,$C$5))),""),"")</f>
        <v/>
      </c>
      <c r="I2802" s="139">
        <f>IFERROR(IF(AND(ISNUMBER(F2802),ISNUMBER(H2802)),F2802-H2802,""),"")</f>
        <v/>
      </c>
      <c r="J2802" s="114" t="n"/>
      <c r="K2802" s="139">
        <f>IFERROR(IF(H2802&gt;0,H2802*IF(OR(C2802="Alpha",B2802="Alpha"),$C$9,$C$8),""),"")</f>
        <v/>
      </c>
      <c r="L2802" s="139">
        <f>IFERROR(IF(ISNUMBER(F2802),F2802-IF(ISNUMBER(K2802),K2802,0),""),"")</f>
        <v/>
      </c>
    </row>
    <row r="2803" ht="24" customHeight="1" s="63">
      <c r="E2803" s="139" t="n"/>
      <c r="F2803" s="139" t="n"/>
      <c r="G2803" s="140">
        <f>IFERROR(IF(E2803&gt;0,(F2803/E2803)*1000,""),"")</f>
        <v/>
      </c>
      <c r="H2803" s="139">
        <f>IFERROR(IF(E2803&gt;0,E2803*IF(ISNUMBER(J2803),J2803,IF(OR(C2803="Alpha",B2803="Alpha"),$C$7,IF(C2803="Futures",$C$6,$C$5))),""),"")</f>
        <v/>
      </c>
      <c r="I2803" s="139">
        <f>IFERROR(IF(AND(ISNUMBER(F2803),ISNUMBER(H2803)),F2803-H2803,""),"")</f>
        <v/>
      </c>
      <c r="J2803" s="114" t="n"/>
      <c r="K2803" s="139">
        <f>IFERROR(IF(H2803&gt;0,H2803*IF(OR(C2803="Alpha",B2803="Alpha"),$C$9,$C$8),""),"")</f>
        <v/>
      </c>
      <c r="L2803" s="139">
        <f>IFERROR(IF(ISNUMBER(F2803),F2803-IF(ISNUMBER(K2803),K2803,0),""),"")</f>
        <v/>
      </c>
    </row>
    <row r="2804" ht="24" customHeight="1" s="63">
      <c r="E2804" s="139" t="n"/>
      <c r="F2804" s="139" t="n"/>
      <c r="G2804" s="140">
        <f>IFERROR(IF(E2804&gt;0,(F2804/E2804)*1000,""),"")</f>
        <v/>
      </c>
      <c r="H2804" s="139">
        <f>IFERROR(IF(E2804&gt;0,E2804*IF(ISNUMBER(J2804),J2804,IF(OR(C2804="Alpha",B2804="Alpha"),$C$7,IF(C2804="Futures",$C$6,$C$5))),""),"")</f>
        <v/>
      </c>
      <c r="I2804" s="139">
        <f>IFERROR(IF(AND(ISNUMBER(F2804),ISNUMBER(H2804)),F2804-H2804,""),"")</f>
        <v/>
      </c>
      <c r="J2804" s="114" t="n"/>
      <c r="K2804" s="139">
        <f>IFERROR(IF(H2804&gt;0,H2804*IF(OR(C2804="Alpha",B2804="Alpha"),$C$9,$C$8),""),"")</f>
        <v/>
      </c>
      <c r="L2804" s="139">
        <f>IFERROR(IF(ISNUMBER(F2804),F2804-IF(ISNUMBER(K2804),K2804,0),""),"")</f>
        <v/>
      </c>
    </row>
    <row r="2805" ht="24" customHeight="1" s="63">
      <c r="E2805" s="139" t="n"/>
      <c r="F2805" s="139" t="n"/>
      <c r="G2805" s="140">
        <f>IFERROR(IF(E2805&gt;0,(F2805/E2805)*1000,""),"")</f>
        <v/>
      </c>
      <c r="H2805" s="139">
        <f>IFERROR(IF(E2805&gt;0,E2805*IF(ISNUMBER(J2805),J2805,IF(OR(C2805="Alpha",B2805="Alpha"),$C$7,IF(C2805="Futures",$C$6,$C$5))),""),"")</f>
        <v/>
      </c>
      <c r="I2805" s="139">
        <f>IFERROR(IF(AND(ISNUMBER(F2805),ISNUMBER(H2805)),F2805-H2805,""),"")</f>
        <v/>
      </c>
      <c r="J2805" s="114" t="n"/>
      <c r="K2805" s="139">
        <f>IFERROR(IF(H2805&gt;0,H2805*IF(OR(C2805="Alpha",B2805="Alpha"),$C$9,$C$8),""),"")</f>
        <v/>
      </c>
      <c r="L2805" s="139">
        <f>IFERROR(IF(ISNUMBER(F2805),F2805-IF(ISNUMBER(K2805),K2805,0),""),"")</f>
        <v/>
      </c>
    </row>
    <row r="2806" ht="24" customHeight="1" s="63">
      <c r="E2806" s="139" t="n"/>
      <c r="F2806" s="139" t="n"/>
      <c r="G2806" s="140">
        <f>IFERROR(IF(E2806&gt;0,(F2806/E2806)*1000,""),"")</f>
        <v/>
      </c>
      <c r="H2806" s="139">
        <f>IFERROR(IF(E2806&gt;0,E2806*IF(ISNUMBER(J2806),J2806,IF(OR(C2806="Alpha",B2806="Alpha"),$C$7,IF(C2806="Futures",$C$6,$C$5))),""),"")</f>
        <v/>
      </c>
      <c r="I2806" s="139">
        <f>IFERROR(IF(AND(ISNUMBER(F2806),ISNUMBER(H2806)),F2806-H2806,""),"")</f>
        <v/>
      </c>
      <c r="J2806" s="114" t="n"/>
      <c r="K2806" s="139">
        <f>IFERROR(IF(H2806&gt;0,H2806*IF(OR(C2806="Alpha",B2806="Alpha"),$C$9,$C$8),""),"")</f>
        <v/>
      </c>
      <c r="L2806" s="139">
        <f>IFERROR(IF(ISNUMBER(F2806),F2806-IF(ISNUMBER(K2806),K2806,0),""),"")</f>
        <v/>
      </c>
    </row>
    <row r="2807" ht="24" customHeight="1" s="63">
      <c r="E2807" s="139" t="n"/>
      <c r="F2807" s="139" t="n"/>
      <c r="G2807" s="140">
        <f>IFERROR(IF(E2807&gt;0,(F2807/E2807)*1000,""),"")</f>
        <v/>
      </c>
      <c r="H2807" s="139">
        <f>IFERROR(IF(E2807&gt;0,E2807*IF(ISNUMBER(J2807),J2807,IF(OR(C2807="Alpha",B2807="Alpha"),$C$7,IF(C2807="Futures",$C$6,$C$5))),""),"")</f>
        <v/>
      </c>
      <c r="I2807" s="139">
        <f>IFERROR(IF(AND(ISNUMBER(F2807),ISNUMBER(H2807)),F2807-H2807,""),"")</f>
        <v/>
      </c>
      <c r="J2807" s="114" t="n"/>
      <c r="K2807" s="139">
        <f>IFERROR(IF(H2807&gt;0,H2807*IF(OR(C2807="Alpha",B2807="Alpha"),$C$9,$C$8),""),"")</f>
        <v/>
      </c>
      <c r="L2807" s="139">
        <f>IFERROR(IF(ISNUMBER(F2807),F2807-IF(ISNUMBER(K2807),K2807,0),""),"")</f>
        <v/>
      </c>
    </row>
    <row r="2808" ht="24" customHeight="1" s="63">
      <c r="E2808" s="139" t="n"/>
      <c r="F2808" s="139" t="n"/>
      <c r="G2808" s="140">
        <f>IFERROR(IF(E2808&gt;0,(F2808/E2808)*1000,""),"")</f>
        <v/>
      </c>
      <c r="H2808" s="139">
        <f>IFERROR(IF(E2808&gt;0,E2808*IF(ISNUMBER(J2808),J2808,IF(OR(C2808="Alpha",B2808="Alpha"),$C$7,IF(C2808="Futures",$C$6,$C$5))),""),"")</f>
        <v/>
      </c>
      <c r="I2808" s="139">
        <f>IFERROR(IF(AND(ISNUMBER(F2808),ISNUMBER(H2808)),F2808-H2808,""),"")</f>
        <v/>
      </c>
      <c r="J2808" s="114" t="n"/>
      <c r="K2808" s="139">
        <f>IFERROR(IF(H2808&gt;0,H2808*IF(OR(C2808="Alpha",B2808="Alpha"),$C$9,$C$8),""),"")</f>
        <v/>
      </c>
      <c r="L2808" s="139">
        <f>IFERROR(IF(ISNUMBER(F2808),F2808-IF(ISNUMBER(K2808),K2808,0),""),"")</f>
        <v/>
      </c>
    </row>
    <row r="2809" ht="24" customHeight="1" s="63">
      <c r="E2809" s="139" t="n"/>
      <c r="F2809" s="139" t="n"/>
      <c r="G2809" s="140">
        <f>IFERROR(IF(E2809&gt;0,(F2809/E2809)*1000,""),"")</f>
        <v/>
      </c>
      <c r="H2809" s="139">
        <f>IFERROR(IF(E2809&gt;0,E2809*IF(ISNUMBER(J2809),J2809,IF(OR(C2809="Alpha",B2809="Alpha"),$C$7,IF(C2809="Futures",$C$6,$C$5))),""),"")</f>
        <v/>
      </c>
      <c r="I2809" s="139">
        <f>IFERROR(IF(AND(ISNUMBER(F2809),ISNUMBER(H2809)),F2809-H2809,""),"")</f>
        <v/>
      </c>
      <c r="J2809" s="114" t="n"/>
      <c r="K2809" s="139">
        <f>IFERROR(IF(H2809&gt;0,H2809*IF(OR(C2809="Alpha",B2809="Alpha"),$C$9,$C$8),""),"")</f>
        <v/>
      </c>
      <c r="L2809" s="139">
        <f>IFERROR(IF(ISNUMBER(F2809),F2809-IF(ISNUMBER(K2809),K2809,0),""),"")</f>
        <v/>
      </c>
    </row>
    <row r="2810" ht="24" customHeight="1" s="63">
      <c r="E2810" s="139" t="n"/>
      <c r="F2810" s="139" t="n"/>
      <c r="G2810" s="140">
        <f>IFERROR(IF(E2810&gt;0,(F2810/E2810)*1000,""),"")</f>
        <v/>
      </c>
      <c r="H2810" s="139">
        <f>IFERROR(IF(E2810&gt;0,E2810*IF(ISNUMBER(J2810),J2810,IF(OR(C2810="Alpha",B2810="Alpha"),$C$7,IF(C2810="Futures",$C$6,$C$5))),""),"")</f>
        <v/>
      </c>
      <c r="I2810" s="139">
        <f>IFERROR(IF(AND(ISNUMBER(F2810),ISNUMBER(H2810)),F2810-H2810,""),"")</f>
        <v/>
      </c>
      <c r="J2810" s="114" t="n"/>
      <c r="K2810" s="139">
        <f>IFERROR(IF(H2810&gt;0,H2810*IF(OR(C2810="Alpha",B2810="Alpha"),$C$9,$C$8),""),"")</f>
        <v/>
      </c>
      <c r="L2810" s="139">
        <f>IFERROR(IF(ISNUMBER(F2810),F2810-IF(ISNUMBER(K2810),K2810,0),""),"")</f>
        <v/>
      </c>
    </row>
    <row r="2811" ht="24" customHeight="1" s="63">
      <c r="E2811" s="139" t="n"/>
      <c r="F2811" s="139" t="n"/>
      <c r="G2811" s="140">
        <f>IFERROR(IF(E2811&gt;0,(F2811/E2811)*1000,""),"")</f>
        <v/>
      </c>
      <c r="H2811" s="139">
        <f>IFERROR(IF(E2811&gt;0,E2811*IF(ISNUMBER(J2811),J2811,IF(OR(C2811="Alpha",B2811="Alpha"),$C$7,IF(C2811="Futures",$C$6,$C$5))),""),"")</f>
        <v/>
      </c>
      <c r="I2811" s="139">
        <f>IFERROR(IF(AND(ISNUMBER(F2811),ISNUMBER(H2811)),F2811-H2811,""),"")</f>
        <v/>
      </c>
      <c r="J2811" s="114" t="n"/>
      <c r="K2811" s="139">
        <f>IFERROR(IF(H2811&gt;0,H2811*IF(OR(C2811="Alpha",B2811="Alpha"),$C$9,$C$8),""),"")</f>
        <v/>
      </c>
      <c r="L2811" s="139">
        <f>IFERROR(IF(ISNUMBER(F2811),F2811-IF(ISNUMBER(K2811),K2811,0),""),"")</f>
        <v/>
      </c>
    </row>
    <row r="2812" ht="24" customHeight="1" s="63">
      <c r="E2812" s="139" t="n"/>
      <c r="F2812" s="139" t="n"/>
      <c r="G2812" s="140">
        <f>IFERROR(IF(E2812&gt;0,(F2812/E2812)*1000,""),"")</f>
        <v/>
      </c>
      <c r="H2812" s="139">
        <f>IFERROR(IF(E2812&gt;0,E2812*IF(ISNUMBER(J2812),J2812,IF(OR(C2812="Alpha",B2812="Alpha"),$C$7,IF(C2812="Futures",$C$6,$C$5))),""),"")</f>
        <v/>
      </c>
      <c r="I2812" s="139">
        <f>IFERROR(IF(AND(ISNUMBER(F2812),ISNUMBER(H2812)),F2812-H2812,""),"")</f>
        <v/>
      </c>
      <c r="J2812" s="114" t="n"/>
      <c r="K2812" s="139">
        <f>IFERROR(IF(H2812&gt;0,H2812*IF(OR(C2812="Alpha",B2812="Alpha"),$C$9,$C$8),""),"")</f>
        <v/>
      </c>
      <c r="L2812" s="139">
        <f>IFERROR(IF(ISNUMBER(F2812),F2812-IF(ISNUMBER(K2812),K2812,0),""),"")</f>
        <v/>
      </c>
    </row>
    <row r="2813" ht="24" customHeight="1" s="63">
      <c r="E2813" s="139" t="n"/>
      <c r="F2813" s="139" t="n"/>
      <c r="G2813" s="140">
        <f>IFERROR(IF(E2813&gt;0,(F2813/E2813)*1000,""),"")</f>
        <v/>
      </c>
      <c r="H2813" s="139">
        <f>IFERROR(IF(E2813&gt;0,E2813*IF(ISNUMBER(J2813),J2813,IF(OR(C2813="Alpha",B2813="Alpha"),$C$7,IF(C2813="Futures",$C$6,$C$5))),""),"")</f>
        <v/>
      </c>
      <c r="I2813" s="139">
        <f>IFERROR(IF(AND(ISNUMBER(F2813),ISNUMBER(H2813)),F2813-H2813,""),"")</f>
        <v/>
      </c>
      <c r="J2813" s="114" t="n"/>
      <c r="K2813" s="139">
        <f>IFERROR(IF(H2813&gt;0,H2813*IF(OR(C2813="Alpha",B2813="Alpha"),$C$9,$C$8),""),"")</f>
        <v/>
      </c>
      <c r="L2813" s="139">
        <f>IFERROR(IF(ISNUMBER(F2813),F2813-IF(ISNUMBER(K2813),K2813,0),""),"")</f>
        <v/>
      </c>
    </row>
    <row r="2814" ht="24" customHeight="1" s="63">
      <c r="E2814" s="139" t="n"/>
      <c r="F2814" s="139" t="n"/>
      <c r="G2814" s="140">
        <f>IFERROR(IF(E2814&gt;0,(F2814/E2814)*1000,""),"")</f>
        <v/>
      </c>
      <c r="H2814" s="139">
        <f>IFERROR(IF(E2814&gt;0,E2814*IF(ISNUMBER(J2814),J2814,IF(OR(C2814="Alpha",B2814="Alpha"),$C$7,IF(C2814="Futures",$C$6,$C$5))),""),"")</f>
        <v/>
      </c>
      <c r="I2814" s="139">
        <f>IFERROR(IF(AND(ISNUMBER(F2814),ISNUMBER(H2814)),F2814-H2814,""),"")</f>
        <v/>
      </c>
      <c r="J2814" s="114" t="n"/>
      <c r="K2814" s="139">
        <f>IFERROR(IF(H2814&gt;0,H2814*IF(OR(C2814="Alpha",B2814="Alpha"),$C$9,$C$8),""),"")</f>
        <v/>
      </c>
      <c r="L2814" s="139">
        <f>IFERROR(IF(ISNUMBER(F2814),F2814-IF(ISNUMBER(K2814),K2814,0),""),"")</f>
        <v/>
      </c>
    </row>
    <row r="2815" ht="24" customHeight="1" s="63">
      <c r="E2815" s="139" t="n"/>
      <c r="F2815" s="139" t="n"/>
      <c r="G2815" s="140">
        <f>IFERROR(IF(E2815&gt;0,(F2815/E2815)*1000,""),"")</f>
        <v/>
      </c>
      <c r="H2815" s="139">
        <f>IFERROR(IF(E2815&gt;0,E2815*IF(ISNUMBER(J2815),J2815,IF(OR(C2815="Alpha",B2815="Alpha"),$C$7,IF(C2815="Futures",$C$6,$C$5))),""),"")</f>
        <v/>
      </c>
      <c r="I2815" s="139">
        <f>IFERROR(IF(AND(ISNUMBER(F2815),ISNUMBER(H2815)),F2815-H2815,""),"")</f>
        <v/>
      </c>
      <c r="J2815" s="114" t="n"/>
      <c r="K2815" s="139">
        <f>IFERROR(IF(H2815&gt;0,H2815*IF(OR(C2815="Alpha",B2815="Alpha"),$C$9,$C$8),""),"")</f>
        <v/>
      </c>
      <c r="L2815" s="139">
        <f>IFERROR(IF(ISNUMBER(F2815),F2815-IF(ISNUMBER(K2815),K2815,0),""),"")</f>
        <v/>
      </c>
    </row>
    <row r="2816" ht="24" customHeight="1" s="63">
      <c r="E2816" s="139" t="n"/>
      <c r="F2816" s="139" t="n"/>
      <c r="G2816" s="140">
        <f>IFERROR(IF(E2816&gt;0,(F2816/E2816)*1000,""),"")</f>
        <v/>
      </c>
      <c r="H2816" s="139">
        <f>IFERROR(IF(E2816&gt;0,E2816*IF(ISNUMBER(J2816),J2816,IF(OR(C2816="Alpha",B2816="Alpha"),$C$7,IF(C2816="Futures",$C$6,$C$5))),""),"")</f>
        <v/>
      </c>
      <c r="I2816" s="139">
        <f>IFERROR(IF(AND(ISNUMBER(F2816),ISNUMBER(H2816)),F2816-H2816,""),"")</f>
        <v/>
      </c>
      <c r="J2816" s="114" t="n"/>
      <c r="K2816" s="139">
        <f>IFERROR(IF(H2816&gt;0,H2816*IF(OR(C2816="Alpha",B2816="Alpha"),$C$9,$C$8),""),"")</f>
        <v/>
      </c>
      <c r="L2816" s="139">
        <f>IFERROR(IF(ISNUMBER(F2816),F2816-IF(ISNUMBER(K2816),K2816,0),""),"")</f>
        <v/>
      </c>
    </row>
    <row r="2817" ht="24" customHeight="1" s="63">
      <c r="E2817" s="139" t="n"/>
      <c r="F2817" s="139" t="n"/>
      <c r="G2817" s="140">
        <f>IFERROR(IF(E2817&gt;0,(F2817/E2817)*1000,""),"")</f>
        <v/>
      </c>
      <c r="H2817" s="139">
        <f>IFERROR(IF(E2817&gt;0,E2817*IF(ISNUMBER(J2817),J2817,IF(OR(C2817="Alpha",B2817="Alpha"),$C$7,IF(C2817="Futures",$C$6,$C$5))),""),"")</f>
        <v/>
      </c>
      <c r="I2817" s="139">
        <f>IFERROR(IF(AND(ISNUMBER(F2817),ISNUMBER(H2817)),F2817-H2817,""),"")</f>
        <v/>
      </c>
      <c r="J2817" s="114" t="n"/>
      <c r="K2817" s="139">
        <f>IFERROR(IF(H2817&gt;0,H2817*IF(OR(C2817="Alpha",B2817="Alpha"),$C$9,$C$8),""),"")</f>
        <v/>
      </c>
      <c r="L2817" s="139">
        <f>IFERROR(IF(ISNUMBER(F2817),F2817-IF(ISNUMBER(K2817),K2817,0),""),"")</f>
        <v/>
      </c>
    </row>
    <row r="2818" ht="24" customHeight="1" s="63">
      <c r="E2818" s="139" t="n"/>
      <c r="F2818" s="139" t="n"/>
      <c r="G2818" s="140">
        <f>IFERROR(IF(E2818&gt;0,(F2818/E2818)*1000,""),"")</f>
        <v/>
      </c>
      <c r="H2818" s="139">
        <f>IFERROR(IF(E2818&gt;0,E2818*IF(ISNUMBER(J2818),J2818,IF(OR(C2818="Alpha",B2818="Alpha"),$C$7,IF(C2818="Futures",$C$6,$C$5))),""),"")</f>
        <v/>
      </c>
      <c r="I2818" s="139">
        <f>IFERROR(IF(AND(ISNUMBER(F2818),ISNUMBER(H2818)),F2818-H2818,""),"")</f>
        <v/>
      </c>
      <c r="J2818" s="114" t="n"/>
      <c r="K2818" s="139">
        <f>IFERROR(IF(H2818&gt;0,H2818*IF(OR(C2818="Alpha",B2818="Alpha"),$C$9,$C$8),""),"")</f>
        <v/>
      </c>
      <c r="L2818" s="139">
        <f>IFERROR(IF(ISNUMBER(F2818),F2818-IF(ISNUMBER(K2818),K2818,0),""),"")</f>
        <v/>
      </c>
    </row>
    <row r="2819" ht="24" customHeight="1" s="63">
      <c r="E2819" s="139" t="n"/>
      <c r="F2819" s="139" t="n"/>
      <c r="G2819" s="140">
        <f>IFERROR(IF(E2819&gt;0,(F2819/E2819)*1000,""),"")</f>
        <v/>
      </c>
      <c r="H2819" s="139">
        <f>IFERROR(IF(E2819&gt;0,E2819*IF(ISNUMBER(J2819),J2819,IF(OR(C2819="Alpha",B2819="Alpha"),$C$7,IF(C2819="Futures",$C$6,$C$5))),""),"")</f>
        <v/>
      </c>
      <c r="I2819" s="139">
        <f>IFERROR(IF(AND(ISNUMBER(F2819),ISNUMBER(H2819)),F2819-H2819,""),"")</f>
        <v/>
      </c>
      <c r="J2819" s="114" t="n"/>
      <c r="K2819" s="139">
        <f>IFERROR(IF(H2819&gt;0,H2819*IF(OR(C2819="Alpha",B2819="Alpha"),$C$9,$C$8),""),"")</f>
        <v/>
      </c>
      <c r="L2819" s="139">
        <f>IFERROR(IF(ISNUMBER(F2819),F2819-IF(ISNUMBER(K2819),K2819,0),""),"")</f>
        <v/>
      </c>
    </row>
    <row r="2820" ht="24" customHeight="1" s="63">
      <c r="E2820" s="139" t="n"/>
      <c r="F2820" s="139" t="n"/>
      <c r="G2820" s="140">
        <f>IFERROR(IF(E2820&gt;0,(F2820/E2820)*1000,""),"")</f>
        <v/>
      </c>
      <c r="H2820" s="139">
        <f>IFERROR(IF(E2820&gt;0,E2820*IF(ISNUMBER(J2820),J2820,IF(OR(C2820="Alpha",B2820="Alpha"),$C$7,IF(C2820="Futures",$C$6,$C$5))),""),"")</f>
        <v/>
      </c>
      <c r="I2820" s="139">
        <f>IFERROR(IF(AND(ISNUMBER(F2820),ISNUMBER(H2820)),F2820-H2820,""),"")</f>
        <v/>
      </c>
      <c r="J2820" s="114" t="n"/>
      <c r="K2820" s="139">
        <f>IFERROR(IF(H2820&gt;0,H2820*IF(OR(C2820="Alpha",B2820="Alpha"),$C$9,$C$8),""),"")</f>
        <v/>
      </c>
      <c r="L2820" s="139">
        <f>IFERROR(IF(ISNUMBER(F2820),F2820-IF(ISNUMBER(K2820),K2820,0),""),"")</f>
        <v/>
      </c>
    </row>
    <row r="2821" ht="24" customHeight="1" s="63">
      <c r="E2821" s="139" t="n"/>
      <c r="F2821" s="139" t="n"/>
      <c r="G2821" s="140">
        <f>IFERROR(IF(E2821&gt;0,(F2821/E2821)*1000,""),"")</f>
        <v/>
      </c>
      <c r="H2821" s="139">
        <f>IFERROR(IF(E2821&gt;0,E2821*IF(ISNUMBER(J2821),J2821,IF(OR(C2821="Alpha",B2821="Alpha"),$C$7,IF(C2821="Futures",$C$6,$C$5))),""),"")</f>
        <v/>
      </c>
      <c r="I2821" s="139">
        <f>IFERROR(IF(AND(ISNUMBER(F2821),ISNUMBER(H2821)),F2821-H2821,""),"")</f>
        <v/>
      </c>
      <c r="J2821" s="114" t="n"/>
      <c r="K2821" s="139">
        <f>IFERROR(IF(H2821&gt;0,H2821*IF(OR(C2821="Alpha",B2821="Alpha"),$C$9,$C$8),""),"")</f>
        <v/>
      </c>
      <c r="L2821" s="139">
        <f>IFERROR(IF(ISNUMBER(F2821),F2821-IF(ISNUMBER(K2821),K2821,0),""),"")</f>
        <v/>
      </c>
    </row>
    <row r="2822" ht="24" customHeight="1" s="63">
      <c r="E2822" s="139" t="n"/>
      <c r="F2822" s="139" t="n"/>
      <c r="G2822" s="140">
        <f>IFERROR(IF(E2822&gt;0,(F2822/E2822)*1000,""),"")</f>
        <v/>
      </c>
      <c r="H2822" s="139">
        <f>IFERROR(IF(E2822&gt;0,E2822*IF(ISNUMBER(J2822),J2822,IF(OR(C2822="Alpha",B2822="Alpha"),$C$7,IF(C2822="Futures",$C$6,$C$5))),""),"")</f>
        <v/>
      </c>
      <c r="I2822" s="139">
        <f>IFERROR(IF(AND(ISNUMBER(F2822),ISNUMBER(H2822)),F2822-H2822,""),"")</f>
        <v/>
      </c>
      <c r="J2822" s="114" t="n"/>
      <c r="K2822" s="139">
        <f>IFERROR(IF(H2822&gt;0,H2822*IF(OR(C2822="Alpha",B2822="Alpha"),$C$9,$C$8),""),"")</f>
        <v/>
      </c>
      <c r="L2822" s="139">
        <f>IFERROR(IF(ISNUMBER(F2822),F2822-IF(ISNUMBER(K2822),K2822,0),""),"")</f>
        <v/>
      </c>
    </row>
    <row r="2823" ht="24" customHeight="1" s="63">
      <c r="E2823" s="139" t="n"/>
      <c r="F2823" s="139" t="n"/>
      <c r="G2823" s="140">
        <f>IFERROR(IF(E2823&gt;0,(F2823/E2823)*1000,""),"")</f>
        <v/>
      </c>
      <c r="H2823" s="139">
        <f>IFERROR(IF(E2823&gt;0,E2823*IF(ISNUMBER(J2823),J2823,IF(OR(C2823="Alpha",B2823="Alpha"),$C$7,IF(C2823="Futures",$C$6,$C$5))),""),"")</f>
        <v/>
      </c>
      <c r="I2823" s="139">
        <f>IFERROR(IF(AND(ISNUMBER(F2823),ISNUMBER(H2823)),F2823-H2823,""),"")</f>
        <v/>
      </c>
      <c r="J2823" s="114" t="n"/>
      <c r="K2823" s="139">
        <f>IFERROR(IF(H2823&gt;0,H2823*IF(OR(C2823="Alpha",B2823="Alpha"),$C$9,$C$8),""),"")</f>
        <v/>
      </c>
      <c r="L2823" s="139">
        <f>IFERROR(IF(ISNUMBER(F2823),F2823-IF(ISNUMBER(K2823),K2823,0),""),"")</f>
        <v/>
      </c>
    </row>
    <row r="2824" ht="24" customHeight="1" s="63">
      <c r="E2824" s="139" t="n"/>
      <c r="F2824" s="139" t="n"/>
      <c r="G2824" s="140">
        <f>IFERROR(IF(E2824&gt;0,(F2824/E2824)*1000,""),"")</f>
        <v/>
      </c>
      <c r="H2824" s="139">
        <f>IFERROR(IF(E2824&gt;0,E2824*IF(ISNUMBER(J2824),J2824,IF(OR(C2824="Alpha",B2824="Alpha"),$C$7,IF(C2824="Futures",$C$6,$C$5))),""),"")</f>
        <v/>
      </c>
      <c r="I2824" s="139">
        <f>IFERROR(IF(AND(ISNUMBER(F2824),ISNUMBER(H2824)),F2824-H2824,""),"")</f>
        <v/>
      </c>
      <c r="J2824" s="114" t="n"/>
      <c r="K2824" s="139">
        <f>IFERROR(IF(H2824&gt;0,H2824*IF(OR(C2824="Alpha",B2824="Alpha"),$C$9,$C$8),""),"")</f>
        <v/>
      </c>
      <c r="L2824" s="139">
        <f>IFERROR(IF(ISNUMBER(F2824),F2824-IF(ISNUMBER(K2824),K2824,0),""),"")</f>
        <v/>
      </c>
    </row>
    <row r="2825" ht="24" customHeight="1" s="63">
      <c r="E2825" s="139" t="n"/>
      <c r="F2825" s="139" t="n"/>
      <c r="G2825" s="140">
        <f>IFERROR(IF(E2825&gt;0,(F2825/E2825)*1000,""),"")</f>
        <v/>
      </c>
      <c r="H2825" s="139">
        <f>IFERROR(IF(E2825&gt;0,E2825*IF(ISNUMBER(J2825),J2825,IF(OR(C2825="Alpha",B2825="Alpha"),$C$7,IF(C2825="Futures",$C$6,$C$5))),""),"")</f>
        <v/>
      </c>
      <c r="I2825" s="139">
        <f>IFERROR(IF(AND(ISNUMBER(F2825),ISNUMBER(H2825)),F2825-H2825,""),"")</f>
        <v/>
      </c>
      <c r="J2825" s="114" t="n"/>
      <c r="K2825" s="139">
        <f>IFERROR(IF(H2825&gt;0,H2825*IF(OR(C2825="Alpha",B2825="Alpha"),$C$9,$C$8),""),"")</f>
        <v/>
      </c>
      <c r="L2825" s="139">
        <f>IFERROR(IF(ISNUMBER(F2825),F2825-IF(ISNUMBER(K2825),K2825,0),""),"")</f>
        <v/>
      </c>
    </row>
    <row r="2826" ht="24" customHeight="1" s="63">
      <c r="E2826" s="139" t="n"/>
      <c r="F2826" s="139" t="n"/>
      <c r="G2826" s="140">
        <f>IFERROR(IF(E2826&gt;0,(F2826/E2826)*1000,""),"")</f>
        <v/>
      </c>
      <c r="H2826" s="139">
        <f>IFERROR(IF(E2826&gt;0,E2826*IF(ISNUMBER(J2826),J2826,IF(OR(C2826="Alpha",B2826="Alpha"),$C$7,IF(C2826="Futures",$C$6,$C$5))),""),"")</f>
        <v/>
      </c>
      <c r="I2826" s="139">
        <f>IFERROR(IF(AND(ISNUMBER(F2826),ISNUMBER(H2826)),F2826-H2826,""),"")</f>
        <v/>
      </c>
      <c r="J2826" s="114" t="n"/>
      <c r="K2826" s="139">
        <f>IFERROR(IF(H2826&gt;0,H2826*IF(OR(C2826="Alpha",B2826="Alpha"),$C$9,$C$8),""),"")</f>
        <v/>
      </c>
      <c r="L2826" s="139">
        <f>IFERROR(IF(ISNUMBER(F2826),F2826-IF(ISNUMBER(K2826),K2826,0),""),"")</f>
        <v/>
      </c>
    </row>
    <row r="2827" ht="24" customHeight="1" s="63">
      <c r="E2827" s="139" t="n"/>
      <c r="F2827" s="139" t="n"/>
      <c r="G2827" s="140">
        <f>IFERROR(IF(E2827&gt;0,(F2827/E2827)*1000,""),"")</f>
        <v/>
      </c>
      <c r="H2827" s="139">
        <f>IFERROR(IF(E2827&gt;0,E2827*IF(ISNUMBER(J2827),J2827,IF(OR(C2827="Alpha",B2827="Alpha"),$C$7,IF(C2827="Futures",$C$6,$C$5))),""),"")</f>
        <v/>
      </c>
      <c r="I2827" s="139">
        <f>IFERROR(IF(AND(ISNUMBER(F2827),ISNUMBER(H2827)),F2827-H2827,""),"")</f>
        <v/>
      </c>
      <c r="J2827" s="114" t="n"/>
      <c r="K2827" s="139">
        <f>IFERROR(IF(H2827&gt;0,H2827*IF(OR(C2827="Alpha",B2827="Alpha"),$C$9,$C$8),""),"")</f>
        <v/>
      </c>
      <c r="L2827" s="139">
        <f>IFERROR(IF(ISNUMBER(F2827),F2827-IF(ISNUMBER(K2827),K2827,0),""),"")</f>
        <v/>
      </c>
    </row>
    <row r="2828" ht="24" customHeight="1" s="63">
      <c r="E2828" s="139" t="n"/>
      <c r="F2828" s="139" t="n"/>
      <c r="G2828" s="140">
        <f>IFERROR(IF(E2828&gt;0,(F2828/E2828)*1000,""),"")</f>
        <v/>
      </c>
      <c r="H2828" s="139">
        <f>IFERROR(IF(E2828&gt;0,E2828*IF(ISNUMBER(J2828),J2828,IF(OR(C2828="Alpha",B2828="Alpha"),$C$7,IF(C2828="Futures",$C$6,$C$5))),""),"")</f>
        <v/>
      </c>
      <c r="I2828" s="139">
        <f>IFERROR(IF(AND(ISNUMBER(F2828),ISNUMBER(H2828)),F2828-H2828,""),"")</f>
        <v/>
      </c>
      <c r="J2828" s="114" t="n"/>
      <c r="K2828" s="139">
        <f>IFERROR(IF(H2828&gt;0,H2828*IF(OR(C2828="Alpha",B2828="Alpha"),$C$9,$C$8),""),"")</f>
        <v/>
      </c>
      <c r="L2828" s="139">
        <f>IFERROR(IF(ISNUMBER(F2828),F2828-IF(ISNUMBER(K2828),K2828,0),""),"")</f>
        <v/>
      </c>
    </row>
    <row r="2829" ht="24" customHeight="1" s="63">
      <c r="E2829" s="139" t="n"/>
      <c r="F2829" s="139" t="n"/>
      <c r="G2829" s="140">
        <f>IFERROR(IF(E2829&gt;0,(F2829/E2829)*1000,""),"")</f>
        <v/>
      </c>
      <c r="H2829" s="139">
        <f>IFERROR(IF(E2829&gt;0,E2829*IF(ISNUMBER(J2829),J2829,IF(OR(C2829="Alpha",B2829="Alpha"),$C$7,IF(C2829="Futures",$C$6,$C$5))),""),"")</f>
        <v/>
      </c>
      <c r="I2829" s="139">
        <f>IFERROR(IF(AND(ISNUMBER(F2829),ISNUMBER(H2829)),F2829-H2829,""),"")</f>
        <v/>
      </c>
      <c r="J2829" s="114" t="n"/>
      <c r="K2829" s="139">
        <f>IFERROR(IF(H2829&gt;0,H2829*IF(OR(C2829="Alpha",B2829="Alpha"),$C$9,$C$8),""),"")</f>
        <v/>
      </c>
      <c r="L2829" s="139">
        <f>IFERROR(IF(ISNUMBER(F2829),F2829-IF(ISNUMBER(K2829),K2829,0),""),"")</f>
        <v/>
      </c>
    </row>
    <row r="2830" ht="24" customHeight="1" s="63">
      <c r="E2830" s="139" t="n"/>
      <c r="F2830" s="139" t="n"/>
      <c r="G2830" s="140">
        <f>IFERROR(IF(E2830&gt;0,(F2830/E2830)*1000,""),"")</f>
        <v/>
      </c>
      <c r="H2830" s="139">
        <f>IFERROR(IF(E2830&gt;0,E2830*IF(ISNUMBER(J2830),J2830,IF(OR(C2830="Alpha",B2830="Alpha"),$C$7,IF(C2830="Futures",$C$6,$C$5))),""),"")</f>
        <v/>
      </c>
      <c r="I2830" s="139">
        <f>IFERROR(IF(AND(ISNUMBER(F2830),ISNUMBER(H2830)),F2830-H2830,""),"")</f>
        <v/>
      </c>
      <c r="J2830" s="114" t="n"/>
      <c r="K2830" s="139">
        <f>IFERROR(IF(H2830&gt;0,H2830*IF(OR(C2830="Alpha",B2830="Alpha"),$C$9,$C$8),""),"")</f>
        <v/>
      </c>
      <c r="L2830" s="139">
        <f>IFERROR(IF(ISNUMBER(F2830),F2830-IF(ISNUMBER(K2830),K2830,0),""),"")</f>
        <v/>
      </c>
    </row>
    <row r="2831" ht="24" customHeight="1" s="63">
      <c r="E2831" s="139" t="n"/>
      <c r="F2831" s="139" t="n"/>
      <c r="G2831" s="140">
        <f>IFERROR(IF(E2831&gt;0,(F2831/E2831)*1000,""),"")</f>
        <v/>
      </c>
      <c r="H2831" s="139">
        <f>IFERROR(IF(E2831&gt;0,E2831*IF(ISNUMBER(J2831),J2831,IF(OR(C2831="Alpha",B2831="Alpha"),$C$7,IF(C2831="Futures",$C$6,$C$5))),""),"")</f>
        <v/>
      </c>
      <c r="I2831" s="139">
        <f>IFERROR(IF(AND(ISNUMBER(F2831),ISNUMBER(H2831)),F2831-H2831,""),"")</f>
        <v/>
      </c>
      <c r="J2831" s="114" t="n"/>
      <c r="K2831" s="139">
        <f>IFERROR(IF(H2831&gt;0,H2831*IF(OR(C2831="Alpha",B2831="Alpha"),$C$9,$C$8),""),"")</f>
        <v/>
      </c>
      <c r="L2831" s="139">
        <f>IFERROR(IF(ISNUMBER(F2831),F2831-IF(ISNUMBER(K2831),K2831,0),""),"")</f>
        <v/>
      </c>
    </row>
    <row r="2832" ht="24" customHeight="1" s="63">
      <c r="E2832" s="139" t="n"/>
      <c r="F2832" s="139" t="n"/>
      <c r="G2832" s="140">
        <f>IFERROR(IF(E2832&gt;0,(F2832/E2832)*1000,""),"")</f>
        <v/>
      </c>
      <c r="H2832" s="139">
        <f>IFERROR(IF(E2832&gt;0,E2832*IF(ISNUMBER(J2832),J2832,IF(OR(C2832="Alpha",B2832="Alpha"),$C$7,IF(C2832="Futures",$C$6,$C$5))),""),"")</f>
        <v/>
      </c>
      <c r="I2832" s="139">
        <f>IFERROR(IF(AND(ISNUMBER(F2832),ISNUMBER(H2832)),F2832-H2832,""),"")</f>
        <v/>
      </c>
      <c r="J2832" s="114" t="n"/>
      <c r="K2832" s="139">
        <f>IFERROR(IF(H2832&gt;0,H2832*IF(OR(C2832="Alpha",B2832="Alpha"),$C$9,$C$8),""),"")</f>
        <v/>
      </c>
      <c r="L2832" s="139">
        <f>IFERROR(IF(ISNUMBER(F2832),F2832-IF(ISNUMBER(K2832),K2832,0),""),"")</f>
        <v/>
      </c>
    </row>
    <row r="2833" ht="24" customHeight="1" s="63">
      <c r="E2833" s="139" t="n"/>
      <c r="F2833" s="139" t="n"/>
      <c r="G2833" s="140">
        <f>IFERROR(IF(E2833&gt;0,(F2833/E2833)*1000,""),"")</f>
        <v/>
      </c>
      <c r="H2833" s="139">
        <f>IFERROR(IF(E2833&gt;0,E2833*IF(ISNUMBER(J2833),J2833,IF(OR(C2833="Alpha",B2833="Alpha"),$C$7,IF(C2833="Futures",$C$6,$C$5))),""),"")</f>
        <v/>
      </c>
      <c r="I2833" s="139">
        <f>IFERROR(IF(AND(ISNUMBER(F2833),ISNUMBER(H2833)),F2833-H2833,""),"")</f>
        <v/>
      </c>
      <c r="J2833" s="114" t="n"/>
      <c r="K2833" s="139">
        <f>IFERROR(IF(H2833&gt;0,H2833*IF(OR(C2833="Alpha",B2833="Alpha"),$C$9,$C$8),""),"")</f>
        <v/>
      </c>
      <c r="L2833" s="139">
        <f>IFERROR(IF(ISNUMBER(F2833),F2833-IF(ISNUMBER(K2833),K2833,0),""),"")</f>
        <v/>
      </c>
    </row>
    <row r="2834" ht="24" customHeight="1" s="63">
      <c r="E2834" s="139" t="n"/>
      <c r="F2834" s="139" t="n"/>
      <c r="G2834" s="140">
        <f>IFERROR(IF(E2834&gt;0,(F2834/E2834)*1000,""),"")</f>
        <v/>
      </c>
      <c r="H2834" s="139">
        <f>IFERROR(IF(E2834&gt;0,E2834*IF(ISNUMBER(J2834),J2834,IF(OR(C2834="Alpha",B2834="Alpha"),$C$7,IF(C2834="Futures",$C$6,$C$5))),""),"")</f>
        <v/>
      </c>
      <c r="I2834" s="139">
        <f>IFERROR(IF(AND(ISNUMBER(F2834),ISNUMBER(H2834)),F2834-H2834,""),"")</f>
        <v/>
      </c>
      <c r="J2834" s="114" t="n"/>
      <c r="K2834" s="139">
        <f>IFERROR(IF(H2834&gt;0,H2834*IF(OR(C2834="Alpha",B2834="Alpha"),$C$9,$C$8),""),"")</f>
        <v/>
      </c>
      <c r="L2834" s="139">
        <f>IFERROR(IF(ISNUMBER(F2834),F2834-IF(ISNUMBER(K2834),K2834,0),""),"")</f>
        <v/>
      </c>
    </row>
    <row r="2835" ht="24" customHeight="1" s="63">
      <c r="E2835" s="139" t="n"/>
      <c r="F2835" s="139" t="n"/>
      <c r="G2835" s="140">
        <f>IFERROR(IF(E2835&gt;0,(F2835/E2835)*1000,""),"")</f>
        <v/>
      </c>
      <c r="H2835" s="139">
        <f>IFERROR(IF(E2835&gt;0,E2835*IF(ISNUMBER(J2835),J2835,IF(OR(C2835="Alpha",B2835="Alpha"),$C$7,IF(C2835="Futures",$C$6,$C$5))),""),"")</f>
        <v/>
      </c>
      <c r="I2835" s="139">
        <f>IFERROR(IF(AND(ISNUMBER(F2835),ISNUMBER(H2835)),F2835-H2835,""),"")</f>
        <v/>
      </c>
      <c r="J2835" s="114" t="n"/>
      <c r="K2835" s="139">
        <f>IFERROR(IF(H2835&gt;0,H2835*IF(OR(C2835="Alpha",B2835="Alpha"),$C$9,$C$8),""),"")</f>
        <v/>
      </c>
      <c r="L2835" s="139">
        <f>IFERROR(IF(ISNUMBER(F2835),F2835-IF(ISNUMBER(K2835),K2835,0),""),"")</f>
        <v/>
      </c>
    </row>
    <row r="2836" ht="24" customHeight="1" s="63">
      <c r="E2836" s="139" t="n"/>
      <c r="F2836" s="139" t="n"/>
      <c r="G2836" s="140">
        <f>IFERROR(IF(E2836&gt;0,(F2836/E2836)*1000,""),"")</f>
        <v/>
      </c>
      <c r="H2836" s="139">
        <f>IFERROR(IF(E2836&gt;0,E2836*IF(ISNUMBER(J2836),J2836,IF(OR(C2836="Alpha",B2836="Alpha"),$C$7,IF(C2836="Futures",$C$6,$C$5))),""),"")</f>
        <v/>
      </c>
      <c r="I2836" s="139">
        <f>IFERROR(IF(AND(ISNUMBER(F2836),ISNUMBER(H2836)),F2836-H2836,""),"")</f>
        <v/>
      </c>
      <c r="J2836" s="114" t="n"/>
      <c r="K2836" s="139">
        <f>IFERROR(IF(H2836&gt;0,H2836*IF(OR(C2836="Alpha",B2836="Alpha"),$C$9,$C$8),""),"")</f>
        <v/>
      </c>
      <c r="L2836" s="139">
        <f>IFERROR(IF(ISNUMBER(F2836),F2836-IF(ISNUMBER(K2836),K2836,0),""),"")</f>
        <v/>
      </c>
    </row>
    <row r="2837" ht="24" customHeight="1" s="63">
      <c r="E2837" s="139" t="n"/>
      <c r="F2837" s="139" t="n"/>
      <c r="G2837" s="140">
        <f>IFERROR(IF(E2837&gt;0,(F2837/E2837)*1000,""),"")</f>
        <v/>
      </c>
      <c r="H2837" s="139">
        <f>IFERROR(IF(E2837&gt;0,E2837*IF(ISNUMBER(J2837),J2837,IF(OR(C2837="Alpha",B2837="Alpha"),$C$7,IF(C2837="Futures",$C$6,$C$5))),""),"")</f>
        <v/>
      </c>
      <c r="I2837" s="139">
        <f>IFERROR(IF(AND(ISNUMBER(F2837),ISNUMBER(H2837)),F2837-H2837,""),"")</f>
        <v/>
      </c>
      <c r="J2837" s="114" t="n"/>
      <c r="K2837" s="139">
        <f>IFERROR(IF(H2837&gt;0,H2837*IF(OR(C2837="Alpha",B2837="Alpha"),$C$9,$C$8),""),"")</f>
        <v/>
      </c>
      <c r="L2837" s="139">
        <f>IFERROR(IF(ISNUMBER(F2837),F2837-IF(ISNUMBER(K2837),K2837,0),""),"")</f>
        <v/>
      </c>
    </row>
    <row r="2838" ht="24" customHeight="1" s="63">
      <c r="E2838" s="139" t="n"/>
      <c r="F2838" s="139" t="n"/>
      <c r="G2838" s="140">
        <f>IFERROR(IF(E2838&gt;0,(F2838/E2838)*1000,""),"")</f>
        <v/>
      </c>
      <c r="H2838" s="139">
        <f>IFERROR(IF(E2838&gt;0,E2838*IF(ISNUMBER(J2838),J2838,IF(OR(C2838="Alpha",B2838="Alpha"),$C$7,IF(C2838="Futures",$C$6,$C$5))),""),"")</f>
        <v/>
      </c>
      <c r="I2838" s="139">
        <f>IFERROR(IF(AND(ISNUMBER(F2838),ISNUMBER(H2838)),F2838-H2838,""),"")</f>
        <v/>
      </c>
      <c r="J2838" s="114" t="n"/>
      <c r="K2838" s="139">
        <f>IFERROR(IF(H2838&gt;0,H2838*IF(OR(C2838="Alpha",B2838="Alpha"),$C$9,$C$8),""),"")</f>
        <v/>
      </c>
      <c r="L2838" s="139">
        <f>IFERROR(IF(ISNUMBER(F2838),F2838-IF(ISNUMBER(K2838),K2838,0),""),"")</f>
        <v/>
      </c>
    </row>
    <row r="2839" ht="24" customHeight="1" s="63">
      <c r="E2839" s="139" t="n"/>
      <c r="F2839" s="139" t="n"/>
      <c r="G2839" s="140">
        <f>IFERROR(IF(E2839&gt;0,(F2839/E2839)*1000,""),"")</f>
        <v/>
      </c>
      <c r="H2839" s="139">
        <f>IFERROR(IF(E2839&gt;0,E2839*IF(ISNUMBER(J2839),J2839,IF(OR(C2839="Alpha",B2839="Alpha"),$C$7,IF(C2839="Futures",$C$6,$C$5))),""),"")</f>
        <v/>
      </c>
      <c r="I2839" s="139">
        <f>IFERROR(IF(AND(ISNUMBER(F2839),ISNUMBER(H2839)),F2839-H2839,""),"")</f>
        <v/>
      </c>
      <c r="J2839" s="114" t="n"/>
      <c r="K2839" s="139">
        <f>IFERROR(IF(H2839&gt;0,H2839*IF(OR(C2839="Alpha",B2839="Alpha"),$C$9,$C$8),""),"")</f>
        <v/>
      </c>
      <c r="L2839" s="139">
        <f>IFERROR(IF(ISNUMBER(F2839),F2839-IF(ISNUMBER(K2839),K2839,0),""),"")</f>
        <v/>
      </c>
    </row>
    <row r="2840" ht="24" customHeight="1" s="63">
      <c r="E2840" s="139" t="n"/>
      <c r="F2840" s="139" t="n"/>
      <c r="G2840" s="140">
        <f>IFERROR(IF(E2840&gt;0,(F2840/E2840)*1000,""),"")</f>
        <v/>
      </c>
      <c r="H2840" s="139">
        <f>IFERROR(IF(E2840&gt;0,E2840*IF(ISNUMBER(J2840),J2840,IF(OR(C2840="Alpha",B2840="Alpha"),$C$7,IF(C2840="Futures",$C$6,$C$5))),""),"")</f>
        <v/>
      </c>
      <c r="I2840" s="139">
        <f>IFERROR(IF(AND(ISNUMBER(F2840),ISNUMBER(H2840)),F2840-H2840,""),"")</f>
        <v/>
      </c>
      <c r="J2840" s="114" t="n"/>
      <c r="K2840" s="139">
        <f>IFERROR(IF(H2840&gt;0,H2840*IF(OR(C2840="Alpha",B2840="Alpha"),$C$9,$C$8),""),"")</f>
        <v/>
      </c>
      <c r="L2840" s="139">
        <f>IFERROR(IF(ISNUMBER(F2840),F2840-IF(ISNUMBER(K2840),K2840,0),""),"")</f>
        <v/>
      </c>
    </row>
    <row r="2841" ht="24" customHeight="1" s="63">
      <c r="E2841" s="139" t="n"/>
      <c r="F2841" s="139" t="n"/>
      <c r="G2841" s="140">
        <f>IFERROR(IF(E2841&gt;0,(F2841/E2841)*1000,""),"")</f>
        <v/>
      </c>
      <c r="H2841" s="139">
        <f>IFERROR(IF(E2841&gt;0,E2841*IF(ISNUMBER(J2841),J2841,IF(OR(C2841="Alpha",B2841="Alpha"),$C$7,IF(C2841="Futures",$C$6,$C$5))),""),"")</f>
        <v/>
      </c>
      <c r="I2841" s="139">
        <f>IFERROR(IF(AND(ISNUMBER(F2841),ISNUMBER(H2841)),F2841-H2841,""),"")</f>
        <v/>
      </c>
      <c r="J2841" s="114" t="n"/>
      <c r="K2841" s="139">
        <f>IFERROR(IF(H2841&gt;0,H2841*IF(OR(C2841="Alpha",B2841="Alpha"),$C$9,$C$8),""),"")</f>
        <v/>
      </c>
      <c r="L2841" s="139">
        <f>IFERROR(IF(ISNUMBER(F2841),F2841-IF(ISNUMBER(K2841),K2841,0),""),"")</f>
        <v/>
      </c>
    </row>
    <row r="2842" ht="24" customHeight="1" s="63">
      <c r="E2842" s="139" t="n"/>
      <c r="F2842" s="139" t="n"/>
      <c r="G2842" s="140">
        <f>IFERROR(IF(E2842&gt;0,(F2842/E2842)*1000,""),"")</f>
        <v/>
      </c>
      <c r="H2842" s="139">
        <f>IFERROR(IF(E2842&gt;0,E2842*IF(ISNUMBER(J2842),J2842,IF(OR(C2842="Alpha",B2842="Alpha"),$C$7,IF(C2842="Futures",$C$6,$C$5))),""),"")</f>
        <v/>
      </c>
      <c r="I2842" s="139">
        <f>IFERROR(IF(AND(ISNUMBER(F2842),ISNUMBER(H2842)),F2842-H2842,""),"")</f>
        <v/>
      </c>
      <c r="J2842" s="114" t="n"/>
      <c r="K2842" s="139">
        <f>IFERROR(IF(H2842&gt;0,H2842*IF(OR(C2842="Alpha",B2842="Alpha"),$C$9,$C$8),""),"")</f>
        <v/>
      </c>
      <c r="L2842" s="139">
        <f>IFERROR(IF(ISNUMBER(F2842),F2842-IF(ISNUMBER(K2842),K2842,0),""),"")</f>
        <v/>
      </c>
    </row>
    <row r="2843" ht="24" customHeight="1" s="63">
      <c r="E2843" s="139" t="n"/>
      <c r="F2843" s="139" t="n"/>
      <c r="G2843" s="140">
        <f>IFERROR(IF(E2843&gt;0,(F2843/E2843)*1000,""),"")</f>
        <v/>
      </c>
      <c r="H2843" s="139">
        <f>IFERROR(IF(E2843&gt;0,E2843*IF(ISNUMBER(J2843),J2843,IF(OR(C2843="Alpha",B2843="Alpha"),$C$7,IF(C2843="Futures",$C$6,$C$5))),""),"")</f>
        <v/>
      </c>
      <c r="I2843" s="139">
        <f>IFERROR(IF(AND(ISNUMBER(F2843),ISNUMBER(H2843)),F2843-H2843,""),"")</f>
        <v/>
      </c>
      <c r="J2843" s="114" t="n"/>
      <c r="K2843" s="139">
        <f>IFERROR(IF(H2843&gt;0,H2843*IF(OR(C2843="Alpha",B2843="Alpha"),$C$9,$C$8),""),"")</f>
        <v/>
      </c>
      <c r="L2843" s="139">
        <f>IFERROR(IF(ISNUMBER(F2843),F2843-IF(ISNUMBER(K2843),K2843,0),""),"")</f>
        <v/>
      </c>
    </row>
    <row r="2844" ht="24" customHeight="1" s="63">
      <c r="E2844" s="139" t="n"/>
      <c r="F2844" s="139" t="n"/>
      <c r="G2844" s="140">
        <f>IFERROR(IF(E2844&gt;0,(F2844/E2844)*1000,""),"")</f>
        <v/>
      </c>
      <c r="H2844" s="139">
        <f>IFERROR(IF(E2844&gt;0,E2844*IF(ISNUMBER(J2844),J2844,IF(OR(C2844="Alpha",B2844="Alpha"),$C$7,IF(C2844="Futures",$C$6,$C$5))),""),"")</f>
        <v/>
      </c>
      <c r="I2844" s="139">
        <f>IFERROR(IF(AND(ISNUMBER(F2844),ISNUMBER(H2844)),F2844-H2844,""),"")</f>
        <v/>
      </c>
      <c r="J2844" s="114" t="n"/>
      <c r="K2844" s="139">
        <f>IFERROR(IF(H2844&gt;0,H2844*IF(OR(C2844="Alpha",B2844="Alpha"),$C$9,$C$8),""),"")</f>
        <v/>
      </c>
      <c r="L2844" s="139">
        <f>IFERROR(IF(ISNUMBER(F2844),F2844-IF(ISNUMBER(K2844),K2844,0),""),"")</f>
        <v/>
      </c>
    </row>
    <row r="2845" ht="24" customHeight="1" s="63">
      <c r="E2845" s="139" t="n"/>
      <c r="F2845" s="139" t="n"/>
      <c r="G2845" s="140">
        <f>IFERROR(IF(E2845&gt;0,(F2845/E2845)*1000,""),"")</f>
        <v/>
      </c>
      <c r="H2845" s="139">
        <f>IFERROR(IF(E2845&gt;0,E2845*IF(ISNUMBER(J2845),J2845,IF(OR(C2845="Alpha",B2845="Alpha"),$C$7,IF(C2845="Futures",$C$6,$C$5))),""),"")</f>
        <v/>
      </c>
      <c r="I2845" s="139">
        <f>IFERROR(IF(AND(ISNUMBER(F2845),ISNUMBER(H2845)),F2845-H2845,""),"")</f>
        <v/>
      </c>
      <c r="J2845" s="114" t="n"/>
      <c r="K2845" s="139">
        <f>IFERROR(IF(H2845&gt;0,H2845*IF(OR(C2845="Alpha",B2845="Alpha"),$C$9,$C$8),""),"")</f>
        <v/>
      </c>
      <c r="L2845" s="139">
        <f>IFERROR(IF(ISNUMBER(F2845),F2845-IF(ISNUMBER(K2845),K2845,0),""),"")</f>
        <v/>
      </c>
    </row>
    <row r="2846" ht="24" customHeight="1" s="63">
      <c r="E2846" s="139" t="n"/>
      <c r="F2846" s="139" t="n"/>
      <c r="G2846" s="140">
        <f>IFERROR(IF(E2846&gt;0,(F2846/E2846)*1000,""),"")</f>
        <v/>
      </c>
      <c r="H2846" s="139">
        <f>IFERROR(IF(E2846&gt;0,E2846*IF(ISNUMBER(J2846),J2846,IF(OR(C2846="Alpha",B2846="Alpha"),$C$7,IF(C2846="Futures",$C$6,$C$5))),""),"")</f>
        <v/>
      </c>
      <c r="I2846" s="139">
        <f>IFERROR(IF(AND(ISNUMBER(F2846),ISNUMBER(H2846)),F2846-H2846,""),"")</f>
        <v/>
      </c>
      <c r="J2846" s="114" t="n"/>
      <c r="K2846" s="139">
        <f>IFERROR(IF(H2846&gt;0,H2846*IF(OR(C2846="Alpha",B2846="Alpha"),$C$9,$C$8),""),"")</f>
        <v/>
      </c>
      <c r="L2846" s="139">
        <f>IFERROR(IF(ISNUMBER(F2846),F2846-IF(ISNUMBER(K2846),K2846,0),""),"")</f>
        <v/>
      </c>
    </row>
    <row r="2847" ht="24" customHeight="1" s="63">
      <c r="E2847" s="139" t="n"/>
      <c r="F2847" s="139" t="n"/>
      <c r="G2847" s="140">
        <f>IFERROR(IF(E2847&gt;0,(F2847/E2847)*1000,""),"")</f>
        <v/>
      </c>
      <c r="H2847" s="139">
        <f>IFERROR(IF(E2847&gt;0,E2847*IF(ISNUMBER(J2847),J2847,IF(OR(C2847="Alpha",B2847="Alpha"),$C$7,IF(C2847="Futures",$C$6,$C$5))),""),"")</f>
        <v/>
      </c>
      <c r="I2847" s="139">
        <f>IFERROR(IF(AND(ISNUMBER(F2847),ISNUMBER(H2847)),F2847-H2847,""),"")</f>
        <v/>
      </c>
      <c r="J2847" s="114" t="n"/>
      <c r="K2847" s="139">
        <f>IFERROR(IF(H2847&gt;0,H2847*IF(OR(C2847="Alpha",B2847="Alpha"),$C$9,$C$8),""),"")</f>
        <v/>
      </c>
      <c r="L2847" s="139">
        <f>IFERROR(IF(ISNUMBER(F2847),F2847-IF(ISNUMBER(K2847),K2847,0),""),"")</f>
        <v/>
      </c>
    </row>
    <row r="2848" ht="24" customHeight="1" s="63">
      <c r="E2848" s="139" t="n"/>
      <c r="F2848" s="139" t="n"/>
      <c r="G2848" s="140">
        <f>IFERROR(IF(E2848&gt;0,(F2848/E2848)*1000,""),"")</f>
        <v/>
      </c>
      <c r="H2848" s="139">
        <f>IFERROR(IF(E2848&gt;0,E2848*IF(ISNUMBER(J2848),J2848,IF(OR(C2848="Alpha",B2848="Alpha"),$C$7,IF(C2848="Futures",$C$6,$C$5))),""),"")</f>
        <v/>
      </c>
      <c r="I2848" s="139">
        <f>IFERROR(IF(AND(ISNUMBER(F2848),ISNUMBER(H2848)),F2848-H2848,""),"")</f>
        <v/>
      </c>
      <c r="J2848" s="114" t="n"/>
      <c r="K2848" s="139">
        <f>IFERROR(IF(H2848&gt;0,H2848*IF(OR(C2848="Alpha",B2848="Alpha"),$C$9,$C$8),""),"")</f>
        <v/>
      </c>
      <c r="L2848" s="139">
        <f>IFERROR(IF(ISNUMBER(F2848),F2848-IF(ISNUMBER(K2848),K2848,0),""),"")</f>
        <v/>
      </c>
    </row>
    <row r="2849" ht="24" customHeight="1" s="63">
      <c r="E2849" s="139" t="n"/>
      <c r="F2849" s="139" t="n"/>
      <c r="G2849" s="140">
        <f>IFERROR(IF(E2849&gt;0,(F2849/E2849)*1000,""),"")</f>
        <v/>
      </c>
      <c r="H2849" s="139">
        <f>IFERROR(IF(E2849&gt;0,E2849*IF(ISNUMBER(J2849),J2849,IF(OR(C2849="Alpha",B2849="Alpha"),$C$7,IF(C2849="Futures",$C$6,$C$5))),""),"")</f>
        <v/>
      </c>
      <c r="I2849" s="139">
        <f>IFERROR(IF(AND(ISNUMBER(F2849),ISNUMBER(H2849)),F2849-H2849,""),"")</f>
        <v/>
      </c>
      <c r="J2849" s="114" t="n"/>
      <c r="K2849" s="139">
        <f>IFERROR(IF(H2849&gt;0,H2849*IF(OR(C2849="Alpha",B2849="Alpha"),$C$9,$C$8),""),"")</f>
        <v/>
      </c>
      <c r="L2849" s="139">
        <f>IFERROR(IF(ISNUMBER(F2849),F2849-IF(ISNUMBER(K2849),K2849,0),""),"")</f>
        <v/>
      </c>
    </row>
    <row r="2850" ht="24" customHeight="1" s="63">
      <c r="E2850" s="139" t="n"/>
      <c r="F2850" s="139" t="n"/>
      <c r="G2850" s="140">
        <f>IFERROR(IF(E2850&gt;0,(F2850/E2850)*1000,""),"")</f>
        <v/>
      </c>
      <c r="H2850" s="139">
        <f>IFERROR(IF(E2850&gt;0,E2850*IF(ISNUMBER(J2850),J2850,IF(OR(C2850="Alpha",B2850="Alpha"),$C$7,IF(C2850="Futures",$C$6,$C$5))),""),"")</f>
        <v/>
      </c>
      <c r="I2850" s="139">
        <f>IFERROR(IF(AND(ISNUMBER(F2850),ISNUMBER(H2850)),F2850-H2850,""),"")</f>
        <v/>
      </c>
      <c r="J2850" s="114" t="n"/>
      <c r="K2850" s="139">
        <f>IFERROR(IF(H2850&gt;0,H2850*IF(OR(C2850="Alpha",B2850="Alpha"),$C$9,$C$8),""),"")</f>
        <v/>
      </c>
      <c r="L2850" s="139">
        <f>IFERROR(IF(ISNUMBER(F2850),F2850-IF(ISNUMBER(K2850),K2850,0),""),"")</f>
        <v/>
      </c>
    </row>
    <row r="2851" ht="24" customHeight="1" s="63">
      <c r="E2851" s="139" t="n"/>
      <c r="F2851" s="139" t="n"/>
      <c r="G2851" s="140">
        <f>IFERROR(IF(E2851&gt;0,(F2851/E2851)*1000,""),"")</f>
        <v/>
      </c>
      <c r="H2851" s="139">
        <f>IFERROR(IF(E2851&gt;0,E2851*IF(ISNUMBER(J2851),J2851,IF(OR(C2851="Alpha",B2851="Alpha"),$C$7,IF(C2851="Futures",$C$6,$C$5))),""),"")</f>
        <v/>
      </c>
      <c r="I2851" s="139">
        <f>IFERROR(IF(AND(ISNUMBER(F2851),ISNUMBER(H2851)),F2851-H2851,""),"")</f>
        <v/>
      </c>
      <c r="J2851" s="114" t="n"/>
      <c r="K2851" s="139">
        <f>IFERROR(IF(H2851&gt;0,H2851*IF(OR(C2851="Alpha",B2851="Alpha"),$C$9,$C$8),""),"")</f>
        <v/>
      </c>
      <c r="L2851" s="139">
        <f>IFERROR(IF(ISNUMBER(F2851),F2851-IF(ISNUMBER(K2851),K2851,0),""),"")</f>
        <v/>
      </c>
    </row>
    <row r="2852" ht="24" customHeight="1" s="63">
      <c r="E2852" s="139" t="n"/>
      <c r="F2852" s="139" t="n"/>
      <c r="G2852" s="140">
        <f>IFERROR(IF(E2852&gt;0,(F2852/E2852)*1000,""),"")</f>
        <v/>
      </c>
      <c r="H2852" s="139">
        <f>IFERROR(IF(E2852&gt;0,E2852*IF(ISNUMBER(J2852),J2852,IF(OR(C2852="Alpha",B2852="Alpha"),$C$7,IF(C2852="Futures",$C$6,$C$5))),""),"")</f>
        <v/>
      </c>
      <c r="I2852" s="139">
        <f>IFERROR(IF(AND(ISNUMBER(F2852),ISNUMBER(H2852)),F2852-H2852,""),"")</f>
        <v/>
      </c>
      <c r="J2852" s="114" t="n"/>
      <c r="K2852" s="139">
        <f>IFERROR(IF(H2852&gt;0,H2852*IF(OR(C2852="Alpha",B2852="Alpha"),$C$9,$C$8),""),"")</f>
        <v/>
      </c>
      <c r="L2852" s="139">
        <f>IFERROR(IF(ISNUMBER(F2852),F2852-IF(ISNUMBER(K2852),K2852,0),""),"")</f>
        <v/>
      </c>
    </row>
    <row r="2853" ht="24" customHeight="1" s="63">
      <c r="E2853" s="139" t="n"/>
      <c r="F2853" s="139" t="n"/>
      <c r="G2853" s="140">
        <f>IFERROR(IF(E2853&gt;0,(F2853/E2853)*1000,""),"")</f>
        <v/>
      </c>
      <c r="H2853" s="139">
        <f>IFERROR(IF(E2853&gt;0,E2853*IF(ISNUMBER(J2853),J2853,IF(OR(C2853="Alpha",B2853="Alpha"),$C$7,IF(C2853="Futures",$C$6,$C$5))),""),"")</f>
        <v/>
      </c>
      <c r="I2853" s="139">
        <f>IFERROR(IF(AND(ISNUMBER(F2853),ISNUMBER(H2853)),F2853-H2853,""),"")</f>
        <v/>
      </c>
      <c r="J2853" s="114" t="n"/>
      <c r="K2853" s="139">
        <f>IFERROR(IF(H2853&gt;0,H2853*IF(OR(C2853="Alpha",B2853="Alpha"),$C$9,$C$8),""),"")</f>
        <v/>
      </c>
      <c r="L2853" s="139">
        <f>IFERROR(IF(ISNUMBER(F2853),F2853-IF(ISNUMBER(K2853),K2853,0),""),"")</f>
        <v/>
      </c>
    </row>
    <row r="2854" ht="24" customHeight="1" s="63">
      <c r="E2854" s="139" t="n"/>
      <c r="F2854" s="139" t="n"/>
      <c r="G2854" s="140">
        <f>IFERROR(IF(E2854&gt;0,(F2854/E2854)*1000,""),"")</f>
        <v/>
      </c>
      <c r="H2854" s="139">
        <f>IFERROR(IF(E2854&gt;0,E2854*IF(ISNUMBER(J2854),J2854,IF(OR(C2854="Alpha",B2854="Alpha"),$C$7,IF(C2854="Futures",$C$6,$C$5))),""),"")</f>
        <v/>
      </c>
      <c r="I2854" s="139">
        <f>IFERROR(IF(AND(ISNUMBER(F2854),ISNUMBER(H2854)),F2854-H2854,""),"")</f>
        <v/>
      </c>
      <c r="J2854" s="114" t="n"/>
      <c r="K2854" s="139">
        <f>IFERROR(IF(H2854&gt;0,H2854*IF(OR(C2854="Alpha",B2854="Alpha"),$C$9,$C$8),""),"")</f>
        <v/>
      </c>
      <c r="L2854" s="139">
        <f>IFERROR(IF(ISNUMBER(F2854),F2854-IF(ISNUMBER(K2854),K2854,0),""),"")</f>
        <v/>
      </c>
    </row>
    <row r="2855" ht="24" customHeight="1" s="63">
      <c r="E2855" s="139" t="n"/>
      <c r="F2855" s="139" t="n"/>
      <c r="G2855" s="140">
        <f>IFERROR(IF(E2855&gt;0,(F2855/E2855)*1000,""),"")</f>
        <v/>
      </c>
      <c r="H2855" s="139">
        <f>IFERROR(IF(E2855&gt;0,E2855*IF(ISNUMBER(J2855),J2855,IF(OR(C2855="Alpha",B2855="Alpha"),$C$7,IF(C2855="Futures",$C$6,$C$5))),""),"")</f>
        <v/>
      </c>
      <c r="I2855" s="139">
        <f>IFERROR(IF(AND(ISNUMBER(F2855),ISNUMBER(H2855)),F2855-H2855,""),"")</f>
        <v/>
      </c>
      <c r="J2855" s="114" t="n"/>
      <c r="K2855" s="139">
        <f>IFERROR(IF(H2855&gt;0,H2855*IF(OR(C2855="Alpha",B2855="Alpha"),$C$9,$C$8),""),"")</f>
        <v/>
      </c>
      <c r="L2855" s="139">
        <f>IFERROR(IF(ISNUMBER(F2855),F2855-IF(ISNUMBER(K2855),K2855,0),""),"")</f>
        <v/>
      </c>
    </row>
    <row r="2856" ht="24" customHeight="1" s="63">
      <c r="E2856" s="139" t="n"/>
      <c r="F2856" s="139" t="n"/>
      <c r="G2856" s="140">
        <f>IFERROR(IF(E2856&gt;0,(F2856/E2856)*1000,""),"")</f>
        <v/>
      </c>
      <c r="H2856" s="139">
        <f>IFERROR(IF(E2856&gt;0,E2856*IF(ISNUMBER(J2856),J2856,IF(OR(C2856="Alpha",B2856="Alpha"),$C$7,IF(C2856="Futures",$C$6,$C$5))),""),"")</f>
        <v/>
      </c>
      <c r="I2856" s="139">
        <f>IFERROR(IF(AND(ISNUMBER(F2856),ISNUMBER(H2856)),F2856-H2856,""),"")</f>
        <v/>
      </c>
      <c r="J2856" s="114" t="n"/>
      <c r="K2856" s="139">
        <f>IFERROR(IF(H2856&gt;0,H2856*IF(OR(C2856="Alpha",B2856="Alpha"),$C$9,$C$8),""),"")</f>
        <v/>
      </c>
      <c r="L2856" s="139">
        <f>IFERROR(IF(ISNUMBER(F2856),F2856-IF(ISNUMBER(K2856),K2856,0),""),"")</f>
        <v/>
      </c>
    </row>
    <row r="2857" ht="24" customHeight="1" s="63">
      <c r="E2857" s="139" t="n"/>
      <c r="F2857" s="139" t="n"/>
      <c r="G2857" s="140">
        <f>IFERROR(IF(E2857&gt;0,(F2857/E2857)*1000,""),"")</f>
        <v/>
      </c>
      <c r="H2857" s="139">
        <f>IFERROR(IF(E2857&gt;0,E2857*IF(ISNUMBER(J2857),J2857,IF(OR(C2857="Alpha",B2857="Alpha"),$C$7,IF(C2857="Futures",$C$6,$C$5))),""),"")</f>
        <v/>
      </c>
      <c r="I2857" s="139">
        <f>IFERROR(IF(AND(ISNUMBER(F2857),ISNUMBER(H2857)),F2857-H2857,""),"")</f>
        <v/>
      </c>
      <c r="J2857" s="114" t="n"/>
      <c r="K2857" s="139">
        <f>IFERROR(IF(H2857&gt;0,H2857*IF(OR(C2857="Alpha",B2857="Alpha"),$C$9,$C$8),""),"")</f>
        <v/>
      </c>
      <c r="L2857" s="139">
        <f>IFERROR(IF(ISNUMBER(F2857),F2857-IF(ISNUMBER(K2857),K2857,0),""),"")</f>
        <v/>
      </c>
    </row>
    <row r="2858" ht="24" customHeight="1" s="63">
      <c r="E2858" s="139" t="n"/>
      <c r="F2858" s="139" t="n"/>
      <c r="G2858" s="140">
        <f>IFERROR(IF(E2858&gt;0,(F2858/E2858)*1000,""),"")</f>
        <v/>
      </c>
      <c r="H2858" s="139">
        <f>IFERROR(IF(E2858&gt;0,E2858*IF(ISNUMBER(J2858),J2858,IF(OR(C2858="Alpha",B2858="Alpha"),$C$7,IF(C2858="Futures",$C$6,$C$5))),""),"")</f>
        <v/>
      </c>
      <c r="I2858" s="139">
        <f>IFERROR(IF(AND(ISNUMBER(F2858),ISNUMBER(H2858)),F2858-H2858,""),"")</f>
        <v/>
      </c>
      <c r="J2858" s="114" t="n"/>
      <c r="K2858" s="139">
        <f>IFERROR(IF(H2858&gt;0,H2858*IF(OR(C2858="Alpha",B2858="Alpha"),$C$9,$C$8),""),"")</f>
        <v/>
      </c>
      <c r="L2858" s="139">
        <f>IFERROR(IF(ISNUMBER(F2858),F2858-IF(ISNUMBER(K2858),K2858,0),""),"")</f>
        <v/>
      </c>
    </row>
    <row r="2859" ht="24" customHeight="1" s="63">
      <c r="E2859" s="139" t="n"/>
      <c r="F2859" s="139" t="n"/>
      <c r="G2859" s="140">
        <f>IFERROR(IF(E2859&gt;0,(F2859/E2859)*1000,""),"")</f>
        <v/>
      </c>
      <c r="H2859" s="139">
        <f>IFERROR(IF(E2859&gt;0,E2859*IF(ISNUMBER(J2859),J2859,IF(OR(C2859="Alpha",B2859="Alpha"),$C$7,IF(C2859="Futures",$C$6,$C$5))),""),"")</f>
        <v/>
      </c>
      <c r="I2859" s="139">
        <f>IFERROR(IF(AND(ISNUMBER(F2859),ISNUMBER(H2859)),F2859-H2859,""),"")</f>
        <v/>
      </c>
      <c r="J2859" s="114" t="n"/>
      <c r="K2859" s="139">
        <f>IFERROR(IF(H2859&gt;0,H2859*IF(OR(C2859="Alpha",B2859="Alpha"),$C$9,$C$8),""),"")</f>
        <v/>
      </c>
      <c r="L2859" s="139">
        <f>IFERROR(IF(ISNUMBER(F2859),F2859-IF(ISNUMBER(K2859),K2859,0),""),"")</f>
        <v/>
      </c>
    </row>
    <row r="2860" ht="24" customHeight="1" s="63">
      <c r="E2860" s="139" t="n"/>
      <c r="F2860" s="139" t="n"/>
      <c r="G2860" s="140">
        <f>IFERROR(IF(E2860&gt;0,(F2860/E2860)*1000,""),"")</f>
        <v/>
      </c>
      <c r="H2860" s="139">
        <f>IFERROR(IF(E2860&gt;0,E2860*IF(ISNUMBER(J2860),J2860,IF(OR(C2860="Alpha",B2860="Alpha"),$C$7,IF(C2860="Futures",$C$6,$C$5))),""),"")</f>
        <v/>
      </c>
      <c r="I2860" s="139">
        <f>IFERROR(IF(AND(ISNUMBER(F2860),ISNUMBER(H2860)),F2860-H2860,""),"")</f>
        <v/>
      </c>
      <c r="J2860" s="114" t="n"/>
      <c r="K2860" s="139">
        <f>IFERROR(IF(H2860&gt;0,H2860*IF(OR(C2860="Alpha",B2860="Alpha"),$C$9,$C$8),""),"")</f>
        <v/>
      </c>
      <c r="L2860" s="139">
        <f>IFERROR(IF(ISNUMBER(F2860),F2860-IF(ISNUMBER(K2860),K2860,0),""),"")</f>
        <v/>
      </c>
    </row>
    <row r="2861" ht="24" customHeight="1" s="63">
      <c r="E2861" s="139" t="n"/>
      <c r="F2861" s="139" t="n"/>
      <c r="G2861" s="140">
        <f>IFERROR(IF(E2861&gt;0,(F2861/E2861)*1000,""),"")</f>
        <v/>
      </c>
      <c r="H2861" s="139">
        <f>IFERROR(IF(E2861&gt;0,E2861*IF(ISNUMBER(J2861),J2861,IF(OR(C2861="Alpha",B2861="Alpha"),$C$7,IF(C2861="Futures",$C$6,$C$5))),""),"")</f>
        <v/>
      </c>
      <c r="I2861" s="139">
        <f>IFERROR(IF(AND(ISNUMBER(F2861),ISNUMBER(H2861)),F2861-H2861,""),"")</f>
        <v/>
      </c>
      <c r="J2861" s="114" t="n"/>
      <c r="K2861" s="139">
        <f>IFERROR(IF(H2861&gt;0,H2861*IF(OR(C2861="Alpha",B2861="Alpha"),$C$9,$C$8),""),"")</f>
        <v/>
      </c>
      <c r="L2861" s="139">
        <f>IFERROR(IF(ISNUMBER(F2861),F2861-IF(ISNUMBER(K2861),K2861,0),""),"")</f>
        <v/>
      </c>
    </row>
    <row r="2862" ht="24" customHeight="1" s="63">
      <c r="E2862" s="139" t="n"/>
      <c r="F2862" s="139" t="n"/>
      <c r="G2862" s="140">
        <f>IFERROR(IF(E2862&gt;0,(F2862/E2862)*1000,""),"")</f>
        <v/>
      </c>
      <c r="H2862" s="139">
        <f>IFERROR(IF(E2862&gt;0,E2862*IF(ISNUMBER(J2862),J2862,IF(OR(C2862="Alpha",B2862="Alpha"),$C$7,IF(C2862="Futures",$C$6,$C$5))),""),"")</f>
        <v/>
      </c>
      <c r="I2862" s="139">
        <f>IFERROR(IF(AND(ISNUMBER(F2862),ISNUMBER(H2862)),F2862-H2862,""),"")</f>
        <v/>
      </c>
      <c r="J2862" s="114" t="n"/>
      <c r="K2862" s="139">
        <f>IFERROR(IF(H2862&gt;0,H2862*IF(OR(C2862="Alpha",B2862="Alpha"),$C$9,$C$8),""),"")</f>
        <v/>
      </c>
      <c r="L2862" s="139">
        <f>IFERROR(IF(ISNUMBER(F2862),F2862-IF(ISNUMBER(K2862),K2862,0),""),"")</f>
        <v/>
      </c>
    </row>
    <row r="2863" ht="24" customHeight="1" s="63">
      <c r="E2863" s="139" t="n"/>
      <c r="F2863" s="139" t="n"/>
      <c r="G2863" s="140">
        <f>IFERROR(IF(E2863&gt;0,(F2863/E2863)*1000,""),"")</f>
        <v/>
      </c>
      <c r="H2863" s="139">
        <f>IFERROR(IF(E2863&gt;0,E2863*IF(ISNUMBER(J2863),J2863,IF(OR(C2863="Alpha",B2863="Alpha"),$C$7,IF(C2863="Futures",$C$6,$C$5))),""),"")</f>
        <v/>
      </c>
      <c r="I2863" s="139">
        <f>IFERROR(IF(AND(ISNUMBER(F2863),ISNUMBER(H2863)),F2863-H2863,""),"")</f>
        <v/>
      </c>
      <c r="J2863" s="114" t="n"/>
      <c r="K2863" s="139">
        <f>IFERROR(IF(H2863&gt;0,H2863*IF(OR(C2863="Alpha",B2863="Alpha"),$C$9,$C$8),""),"")</f>
        <v/>
      </c>
      <c r="L2863" s="139">
        <f>IFERROR(IF(ISNUMBER(F2863),F2863-IF(ISNUMBER(K2863),K2863,0),""),"")</f>
        <v/>
      </c>
    </row>
    <row r="2864" ht="24" customHeight="1" s="63">
      <c r="E2864" s="139" t="n"/>
      <c r="F2864" s="139" t="n"/>
      <c r="G2864" s="140">
        <f>IFERROR(IF(E2864&gt;0,(F2864/E2864)*1000,""),"")</f>
        <v/>
      </c>
      <c r="H2864" s="139">
        <f>IFERROR(IF(E2864&gt;0,E2864*IF(ISNUMBER(J2864),J2864,IF(OR(C2864="Alpha",B2864="Alpha"),$C$7,IF(C2864="Futures",$C$6,$C$5))),""),"")</f>
        <v/>
      </c>
      <c r="I2864" s="139">
        <f>IFERROR(IF(AND(ISNUMBER(F2864),ISNUMBER(H2864)),F2864-H2864,""),"")</f>
        <v/>
      </c>
      <c r="J2864" s="114" t="n"/>
      <c r="K2864" s="139">
        <f>IFERROR(IF(H2864&gt;0,H2864*IF(OR(C2864="Alpha",B2864="Alpha"),$C$9,$C$8),""),"")</f>
        <v/>
      </c>
      <c r="L2864" s="139">
        <f>IFERROR(IF(ISNUMBER(F2864),F2864-IF(ISNUMBER(K2864),K2864,0),""),"")</f>
        <v/>
      </c>
    </row>
    <row r="2865" ht="24" customHeight="1" s="63">
      <c r="E2865" s="139" t="n"/>
      <c r="F2865" s="139" t="n"/>
      <c r="G2865" s="140">
        <f>IFERROR(IF(E2865&gt;0,(F2865/E2865)*1000,""),"")</f>
        <v/>
      </c>
      <c r="H2865" s="139">
        <f>IFERROR(IF(E2865&gt;0,E2865*IF(ISNUMBER(J2865),J2865,IF(OR(C2865="Alpha",B2865="Alpha"),$C$7,IF(C2865="Futures",$C$6,$C$5))),""),"")</f>
        <v/>
      </c>
      <c r="I2865" s="139">
        <f>IFERROR(IF(AND(ISNUMBER(F2865),ISNUMBER(H2865)),F2865-H2865,""),"")</f>
        <v/>
      </c>
      <c r="J2865" s="114" t="n"/>
      <c r="K2865" s="139">
        <f>IFERROR(IF(H2865&gt;0,H2865*IF(OR(C2865="Alpha",B2865="Alpha"),$C$9,$C$8),""),"")</f>
        <v/>
      </c>
      <c r="L2865" s="139">
        <f>IFERROR(IF(ISNUMBER(F2865),F2865-IF(ISNUMBER(K2865),K2865,0),""),"")</f>
        <v/>
      </c>
    </row>
    <row r="2866" ht="24" customHeight="1" s="63">
      <c r="E2866" s="139" t="n"/>
      <c r="F2866" s="139" t="n"/>
      <c r="G2866" s="140">
        <f>IFERROR(IF(E2866&gt;0,(F2866/E2866)*1000,""),"")</f>
        <v/>
      </c>
      <c r="H2866" s="139">
        <f>IFERROR(IF(E2866&gt;0,E2866*IF(ISNUMBER(J2866),J2866,IF(OR(C2866="Alpha",B2866="Alpha"),$C$7,IF(C2866="Futures",$C$6,$C$5))),""),"")</f>
        <v/>
      </c>
      <c r="I2866" s="139">
        <f>IFERROR(IF(AND(ISNUMBER(F2866),ISNUMBER(H2866)),F2866-H2866,""),"")</f>
        <v/>
      </c>
      <c r="J2866" s="114" t="n"/>
      <c r="K2866" s="139">
        <f>IFERROR(IF(H2866&gt;0,H2866*IF(OR(C2866="Alpha",B2866="Alpha"),$C$9,$C$8),""),"")</f>
        <v/>
      </c>
      <c r="L2866" s="139">
        <f>IFERROR(IF(ISNUMBER(F2866),F2866-IF(ISNUMBER(K2866),K2866,0),""),"")</f>
        <v/>
      </c>
    </row>
    <row r="2867" ht="24" customHeight="1" s="63">
      <c r="E2867" s="139" t="n"/>
      <c r="F2867" s="139" t="n"/>
      <c r="G2867" s="140">
        <f>IFERROR(IF(E2867&gt;0,(F2867/E2867)*1000,""),"")</f>
        <v/>
      </c>
      <c r="H2867" s="139">
        <f>IFERROR(IF(E2867&gt;0,E2867*IF(ISNUMBER(J2867),J2867,IF(OR(C2867="Alpha",B2867="Alpha"),$C$7,IF(C2867="Futures",$C$6,$C$5))),""),"")</f>
        <v/>
      </c>
      <c r="I2867" s="139">
        <f>IFERROR(IF(AND(ISNUMBER(F2867),ISNUMBER(H2867)),F2867-H2867,""),"")</f>
        <v/>
      </c>
      <c r="J2867" s="114" t="n"/>
      <c r="K2867" s="139">
        <f>IFERROR(IF(H2867&gt;0,H2867*IF(OR(C2867="Alpha",B2867="Alpha"),$C$9,$C$8),""),"")</f>
        <v/>
      </c>
      <c r="L2867" s="139">
        <f>IFERROR(IF(ISNUMBER(F2867),F2867-IF(ISNUMBER(K2867),K2867,0),""),"")</f>
        <v/>
      </c>
    </row>
    <row r="2868" ht="24" customHeight="1" s="63">
      <c r="E2868" s="139" t="n"/>
      <c r="F2868" s="139" t="n"/>
      <c r="G2868" s="140">
        <f>IFERROR(IF(E2868&gt;0,(F2868/E2868)*1000,""),"")</f>
        <v/>
      </c>
      <c r="H2868" s="139">
        <f>IFERROR(IF(E2868&gt;0,E2868*IF(ISNUMBER(J2868),J2868,IF(OR(C2868="Alpha",B2868="Alpha"),$C$7,IF(C2868="Futures",$C$6,$C$5))),""),"")</f>
        <v/>
      </c>
      <c r="I2868" s="139">
        <f>IFERROR(IF(AND(ISNUMBER(F2868),ISNUMBER(H2868)),F2868-H2868,""),"")</f>
        <v/>
      </c>
      <c r="J2868" s="114" t="n"/>
      <c r="K2868" s="139">
        <f>IFERROR(IF(H2868&gt;0,H2868*IF(OR(C2868="Alpha",B2868="Alpha"),$C$9,$C$8),""),"")</f>
        <v/>
      </c>
      <c r="L2868" s="139">
        <f>IFERROR(IF(ISNUMBER(F2868),F2868-IF(ISNUMBER(K2868),K2868,0),""),"")</f>
        <v/>
      </c>
    </row>
    <row r="2869" ht="24" customHeight="1" s="63">
      <c r="E2869" s="139" t="n"/>
      <c r="F2869" s="139" t="n"/>
      <c r="G2869" s="140">
        <f>IFERROR(IF(E2869&gt;0,(F2869/E2869)*1000,""),"")</f>
        <v/>
      </c>
      <c r="H2869" s="139">
        <f>IFERROR(IF(E2869&gt;0,E2869*IF(ISNUMBER(J2869),J2869,IF(OR(C2869="Alpha",B2869="Alpha"),$C$7,IF(C2869="Futures",$C$6,$C$5))),""),"")</f>
        <v/>
      </c>
      <c r="I2869" s="139">
        <f>IFERROR(IF(AND(ISNUMBER(F2869),ISNUMBER(H2869)),F2869-H2869,""),"")</f>
        <v/>
      </c>
      <c r="J2869" s="114" t="n"/>
      <c r="K2869" s="139">
        <f>IFERROR(IF(H2869&gt;0,H2869*IF(OR(C2869="Alpha",B2869="Alpha"),$C$9,$C$8),""),"")</f>
        <v/>
      </c>
      <c r="L2869" s="139">
        <f>IFERROR(IF(ISNUMBER(F2869),F2869-IF(ISNUMBER(K2869),K2869,0),""),"")</f>
        <v/>
      </c>
    </row>
    <row r="2870" ht="24" customHeight="1" s="63">
      <c r="E2870" s="139" t="n"/>
      <c r="F2870" s="139" t="n"/>
      <c r="G2870" s="140">
        <f>IFERROR(IF(E2870&gt;0,(F2870/E2870)*1000,""),"")</f>
        <v/>
      </c>
      <c r="H2870" s="139">
        <f>IFERROR(IF(E2870&gt;0,E2870*IF(ISNUMBER(J2870),J2870,IF(OR(C2870="Alpha",B2870="Alpha"),$C$7,IF(C2870="Futures",$C$6,$C$5))),""),"")</f>
        <v/>
      </c>
      <c r="I2870" s="139">
        <f>IFERROR(IF(AND(ISNUMBER(F2870),ISNUMBER(H2870)),F2870-H2870,""),"")</f>
        <v/>
      </c>
      <c r="J2870" s="114" t="n"/>
      <c r="K2870" s="139">
        <f>IFERROR(IF(H2870&gt;0,H2870*IF(OR(C2870="Alpha",B2870="Alpha"),$C$9,$C$8),""),"")</f>
        <v/>
      </c>
      <c r="L2870" s="139">
        <f>IFERROR(IF(ISNUMBER(F2870),F2870-IF(ISNUMBER(K2870),K2870,0),""),"")</f>
        <v/>
      </c>
    </row>
    <row r="2871" ht="24" customHeight="1" s="63">
      <c r="E2871" s="139" t="n"/>
      <c r="F2871" s="139" t="n"/>
      <c r="G2871" s="140">
        <f>IFERROR(IF(E2871&gt;0,(F2871/E2871)*1000,""),"")</f>
        <v/>
      </c>
      <c r="H2871" s="139">
        <f>IFERROR(IF(E2871&gt;0,E2871*IF(ISNUMBER(J2871),J2871,IF(OR(C2871="Alpha",B2871="Alpha"),$C$7,IF(C2871="Futures",$C$6,$C$5))),""),"")</f>
        <v/>
      </c>
      <c r="I2871" s="139">
        <f>IFERROR(IF(AND(ISNUMBER(F2871),ISNUMBER(H2871)),F2871-H2871,""),"")</f>
        <v/>
      </c>
      <c r="J2871" s="114" t="n"/>
      <c r="K2871" s="139">
        <f>IFERROR(IF(H2871&gt;0,H2871*IF(OR(C2871="Alpha",B2871="Alpha"),$C$9,$C$8),""),"")</f>
        <v/>
      </c>
      <c r="L2871" s="139">
        <f>IFERROR(IF(ISNUMBER(F2871),F2871-IF(ISNUMBER(K2871),K2871,0),""),"")</f>
        <v/>
      </c>
    </row>
    <row r="2872" ht="24" customHeight="1" s="63">
      <c r="E2872" s="139" t="n"/>
      <c r="F2872" s="139" t="n"/>
      <c r="G2872" s="140">
        <f>IFERROR(IF(E2872&gt;0,(F2872/E2872)*1000,""),"")</f>
        <v/>
      </c>
      <c r="H2872" s="139">
        <f>IFERROR(IF(E2872&gt;0,E2872*IF(ISNUMBER(J2872),J2872,IF(OR(C2872="Alpha",B2872="Alpha"),$C$7,IF(C2872="Futures",$C$6,$C$5))),""),"")</f>
        <v/>
      </c>
      <c r="I2872" s="139">
        <f>IFERROR(IF(AND(ISNUMBER(F2872),ISNUMBER(H2872)),F2872-H2872,""),"")</f>
        <v/>
      </c>
      <c r="J2872" s="114" t="n"/>
      <c r="K2872" s="139">
        <f>IFERROR(IF(H2872&gt;0,H2872*IF(OR(C2872="Alpha",B2872="Alpha"),$C$9,$C$8),""),"")</f>
        <v/>
      </c>
      <c r="L2872" s="139">
        <f>IFERROR(IF(ISNUMBER(F2872),F2872-IF(ISNUMBER(K2872),K2872,0),""),"")</f>
        <v/>
      </c>
    </row>
    <row r="2873" ht="24" customHeight="1" s="63">
      <c r="E2873" s="139" t="n"/>
      <c r="F2873" s="139" t="n"/>
      <c r="G2873" s="140">
        <f>IFERROR(IF(E2873&gt;0,(F2873/E2873)*1000,""),"")</f>
        <v/>
      </c>
      <c r="H2873" s="139">
        <f>IFERROR(IF(E2873&gt;0,E2873*IF(ISNUMBER(J2873),J2873,IF(OR(C2873="Alpha",B2873="Alpha"),$C$7,IF(C2873="Futures",$C$6,$C$5))),""),"")</f>
        <v/>
      </c>
      <c r="I2873" s="139">
        <f>IFERROR(IF(AND(ISNUMBER(F2873),ISNUMBER(H2873)),F2873-H2873,""),"")</f>
        <v/>
      </c>
      <c r="J2873" s="114" t="n"/>
      <c r="K2873" s="139">
        <f>IFERROR(IF(H2873&gt;0,H2873*IF(OR(C2873="Alpha",B2873="Alpha"),$C$9,$C$8),""),"")</f>
        <v/>
      </c>
      <c r="L2873" s="139">
        <f>IFERROR(IF(ISNUMBER(F2873),F2873-IF(ISNUMBER(K2873),K2873,0),""),"")</f>
        <v/>
      </c>
    </row>
    <row r="2874" ht="24" customHeight="1" s="63">
      <c r="E2874" s="139" t="n"/>
      <c r="F2874" s="139" t="n"/>
      <c r="G2874" s="140">
        <f>IFERROR(IF(E2874&gt;0,(F2874/E2874)*1000,""),"")</f>
        <v/>
      </c>
      <c r="H2874" s="139">
        <f>IFERROR(IF(E2874&gt;0,E2874*IF(ISNUMBER(J2874),J2874,IF(OR(C2874="Alpha",B2874="Alpha"),$C$7,IF(C2874="Futures",$C$6,$C$5))),""),"")</f>
        <v/>
      </c>
      <c r="I2874" s="139">
        <f>IFERROR(IF(AND(ISNUMBER(F2874),ISNUMBER(H2874)),F2874-H2874,""),"")</f>
        <v/>
      </c>
      <c r="J2874" s="114" t="n"/>
      <c r="K2874" s="139">
        <f>IFERROR(IF(H2874&gt;0,H2874*IF(OR(C2874="Alpha",B2874="Alpha"),$C$9,$C$8),""),"")</f>
        <v/>
      </c>
      <c r="L2874" s="139">
        <f>IFERROR(IF(ISNUMBER(F2874),F2874-IF(ISNUMBER(K2874),K2874,0),""),"")</f>
        <v/>
      </c>
    </row>
    <row r="2875" ht="24" customHeight="1" s="63">
      <c r="E2875" s="139" t="n"/>
      <c r="F2875" s="139" t="n"/>
      <c r="G2875" s="140">
        <f>IFERROR(IF(E2875&gt;0,(F2875/E2875)*1000,""),"")</f>
        <v/>
      </c>
      <c r="H2875" s="139">
        <f>IFERROR(IF(E2875&gt;0,E2875*IF(ISNUMBER(J2875),J2875,IF(OR(C2875="Alpha",B2875="Alpha"),$C$7,IF(C2875="Futures",$C$6,$C$5))),""),"")</f>
        <v/>
      </c>
      <c r="I2875" s="139">
        <f>IFERROR(IF(AND(ISNUMBER(F2875),ISNUMBER(H2875)),F2875-H2875,""),"")</f>
        <v/>
      </c>
      <c r="J2875" s="114" t="n"/>
      <c r="K2875" s="139">
        <f>IFERROR(IF(H2875&gt;0,H2875*IF(OR(C2875="Alpha",B2875="Alpha"),$C$9,$C$8),""),"")</f>
        <v/>
      </c>
      <c r="L2875" s="139">
        <f>IFERROR(IF(ISNUMBER(F2875),F2875-IF(ISNUMBER(K2875),K2875,0),""),"")</f>
        <v/>
      </c>
    </row>
    <row r="2876" ht="24" customHeight="1" s="63">
      <c r="E2876" s="139" t="n"/>
      <c r="F2876" s="139" t="n"/>
      <c r="G2876" s="140">
        <f>IFERROR(IF(E2876&gt;0,(F2876/E2876)*1000,""),"")</f>
        <v/>
      </c>
      <c r="H2876" s="139">
        <f>IFERROR(IF(E2876&gt;0,E2876*IF(ISNUMBER(J2876),J2876,IF(OR(C2876="Alpha",B2876="Alpha"),$C$7,IF(C2876="Futures",$C$6,$C$5))),""),"")</f>
        <v/>
      </c>
      <c r="I2876" s="139">
        <f>IFERROR(IF(AND(ISNUMBER(F2876),ISNUMBER(H2876)),F2876-H2876,""),"")</f>
        <v/>
      </c>
      <c r="J2876" s="114" t="n"/>
      <c r="K2876" s="139">
        <f>IFERROR(IF(H2876&gt;0,H2876*IF(OR(C2876="Alpha",B2876="Alpha"),$C$9,$C$8),""),"")</f>
        <v/>
      </c>
      <c r="L2876" s="139">
        <f>IFERROR(IF(ISNUMBER(F2876),F2876-IF(ISNUMBER(K2876),K2876,0),""),"")</f>
        <v/>
      </c>
    </row>
    <row r="2877" ht="24" customHeight="1" s="63">
      <c r="E2877" s="139" t="n"/>
      <c r="F2877" s="139" t="n"/>
      <c r="G2877" s="140">
        <f>IFERROR(IF(E2877&gt;0,(F2877/E2877)*1000,""),"")</f>
        <v/>
      </c>
      <c r="H2877" s="139">
        <f>IFERROR(IF(E2877&gt;0,E2877*IF(ISNUMBER(J2877),J2877,IF(OR(C2877="Alpha",B2877="Alpha"),$C$7,IF(C2877="Futures",$C$6,$C$5))),""),"")</f>
        <v/>
      </c>
      <c r="I2877" s="139">
        <f>IFERROR(IF(AND(ISNUMBER(F2877),ISNUMBER(H2877)),F2877-H2877,""),"")</f>
        <v/>
      </c>
      <c r="J2877" s="114" t="n"/>
      <c r="K2877" s="139">
        <f>IFERROR(IF(H2877&gt;0,H2877*IF(OR(C2877="Alpha",B2877="Alpha"),$C$9,$C$8),""),"")</f>
        <v/>
      </c>
      <c r="L2877" s="139">
        <f>IFERROR(IF(ISNUMBER(F2877),F2877-IF(ISNUMBER(K2877),K2877,0),""),"")</f>
        <v/>
      </c>
    </row>
    <row r="2878" ht="24" customHeight="1" s="63">
      <c r="E2878" s="139" t="n"/>
      <c r="F2878" s="139" t="n"/>
      <c r="G2878" s="140">
        <f>IFERROR(IF(E2878&gt;0,(F2878/E2878)*1000,""),"")</f>
        <v/>
      </c>
      <c r="H2878" s="139">
        <f>IFERROR(IF(E2878&gt;0,E2878*IF(ISNUMBER(J2878),J2878,IF(OR(C2878="Alpha",B2878="Alpha"),$C$7,IF(C2878="Futures",$C$6,$C$5))),""),"")</f>
        <v/>
      </c>
      <c r="I2878" s="139">
        <f>IFERROR(IF(AND(ISNUMBER(F2878),ISNUMBER(H2878)),F2878-H2878,""),"")</f>
        <v/>
      </c>
      <c r="J2878" s="114" t="n"/>
      <c r="K2878" s="139">
        <f>IFERROR(IF(H2878&gt;0,H2878*IF(OR(C2878="Alpha",B2878="Alpha"),$C$9,$C$8),""),"")</f>
        <v/>
      </c>
      <c r="L2878" s="139">
        <f>IFERROR(IF(ISNUMBER(F2878),F2878-IF(ISNUMBER(K2878),K2878,0),""),"")</f>
        <v/>
      </c>
    </row>
    <row r="2879" ht="24" customHeight="1" s="63">
      <c r="E2879" s="139" t="n"/>
      <c r="F2879" s="139" t="n"/>
      <c r="G2879" s="140">
        <f>IFERROR(IF(E2879&gt;0,(F2879/E2879)*1000,""),"")</f>
        <v/>
      </c>
      <c r="H2879" s="139">
        <f>IFERROR(IF(E2879&gt;0,E2879*IF(ISNUMBER(J2879),J2879,IF(OR(C2879="Alpha",B2879="Alpha"),$C$7,IF(C2879="Futures",$C$6,$C$5))),""),"")</f>
        <v/>
      </c>
      <c r="I2879" s="139">
        <f>IFERROR(IF(AND(ISNUMBER(F2879),ISNUMBER(H2879)),F2879-H2879,""),"")</f>
        <v/>
      </c>
      <c r="J2879" s="114" t="n"/>
      <c r="K2879" s="139">
        <f>IFERROR(IF(H2879&gt;0,H2879*IF(OR(C2879="Alpha",B2879="Alpha"),$C$9,$C$8),""),"")</f>
        <v/>
      </c>
      <c r="L2879" s="139">
        <f>IFERROR(IF(ISNUMBER(F2879),F2879-IF(ISNUMBER(K2879),K2879,0),""),"")</f>
        <v/>
      </c>
    </row>
    <row r="2880" ht="24" customHeight="1" s="63">
      <c r="E2880" s="139" t="n"/>
      <c r="F2880" s="139" t="n"/>
      <c r="G2880" s="140">
        <f>IFERROR(IF(E2880&gt;0,(F2880/E2880)*1000,""),"")</f>
        <v/>
      </c>
      <c r="H2880" s="139">
        <f>IFERROR(IF(E2880&gt;0,E2880*IF(ISNUMBER(J2880),J2880,IF(OR(C2880="Alpha",B2880="Alpha"),$C$7,IF(C2880="Futures",$C$6,$C$5))),""),"")</f>
        <v/>
      </c>
      <c r="I2880" s="139">
        <f>IFERROR(IF(AND(ISNUMBER(F2880),ISNUMBER(H2880)),F2880-H2880,""),"")</f>
        <v/>
      </c>
      <c r="J2880" s="114" t="n"/>
      <c r="K2880" s="139">
        <f>IFERROR(IF(H2880&gt;0,H2880*IF(OR(C2880="Alpha",B2880="Alpha"),$C$9,$C$8),""),"")</f>
        <v/>
      </c>
      <c r="L2880" s="139">
        <f>IFERROR(IF(ISNUMBER(F2880),F2880-IF(ISNUMBER(K2880),K2880,0),""),"")</f>
        <v/>
      </c>
    </row>
    <row r="2881" ht="24" customHeight="1" s="63">
      <c r="E2881" s="139" t="n"/>
      <c r="F2881" s="139" t="n"/>
      <c r="G2881" s="140">
        <f>IFERROR(IF(E2881&gt;0,(F2881/E2881)*1000,""),"")</f>
        <v/>
      </c>
      <c r="H2881" s="139">
        <f>IFERROR(IF(E2881&gt;0,E2881*IF(ISNUMBER(J2881),J2881,IF(OR(C2881="Alpha",B2881="Alpha"),$C$7,IF(C2881="Futures",$C$6,$C$5))),""),"")</f>
        <v/>
      </c>
      <c r="I2881" s="139">
        <f>IFERROR(IF(AND(ISNUMBER(F2881),ISNUMBER(H2881)),F2881-H2881,""),"")</f>
        <v/>
      </c>
      <c r="J2881" s="114" t="n"/>
      <c r="K2881" s="139">
        <f>IFERROR(IF(H2881&gt;0,H2881*IF(OR(C2881="Alpha",B2881="Alpha"),$C$9,$C$8),""),"")</f>
        <v/>
      </c>
      <c r="L2881" s="139">
        <f>IFERROR(IF(ISNUMBER(F2881),F2881-IF(ISNUMBER(K2881),K2881,0),""),"")</f>
        <v/>
      </c>
    </row>
    <row r="2882" ht="24" customHeight="1" s="63">
      <c r="E2882" s="139" t="n"/>
      <c r="F2882" s="139" t="n"/>
      <c r="G2882" s="140">
        <f>IFERROR(IF(E2882&gt;0,(F2882/E2882)*1000,""),"")</f>
        <v/>
      </c>
      <c r="H2882" s="139">
        <f>IFERROR(IF(E2882&gt;0,E2882*IF(ISNUMBER(J2882),J2882,IF(OR(C2882="Alpha",B2882="Alpha"),$C$7,IF(C2882="Futures",$C$6,$C$5))),""),"")</f>
        <v/>
      </c>
      <c r="I2882" s="139">
        <f>IFERROR(IF(AND(ISNUMBER(F2882),ISNUMBER(H2882)),F2882-H2882,""),"")</f>
        <v/>
      </c>
      <c r="J2882" s="114" t="n"/>
      <c r="K2882" s="139">
        <f>IFERROR(IF(H2882&gt;0,H2882*IF(OR(C2882="Alpha",B2882="Alpha"),$C$9,$C$8),""),"")</f>
        <v/>
      </c>
      <c r="L2882" s="139">
        <f>IFERROR(IF(ISNUMBER(F2882),F2882-IF(ISNUMBER(K2882),K2882,0),""),"")</f>
        <v/>
      </c>
    </row>
    <row r="2883" ht="24" customHeight="1" s="63">
      <c r="E2883" s="139" t="n"/>
      <c r="F2883" s="139" t="n"/>
      <c r="G2883" s="140">
        <f>IFERROR(IF(E2883&gt;0,(F2883/E2883)*1000,""),"")</f>
        <v/>
      </c>
      <c r="H2883" s="139">
        <f>IFERROR(IF(E2883&gt;0,E2883*IF(ISNUMBER(J2883),J2883,IF(OR(C2883="Alpha",B2883="Alpha"),$C$7,IF(C2883="Futures",$C$6,$C$5))),""),"")</f>
        <v/>
      </c>
      <c r="I2883" s="139">
        <f>IFERROR(IF(AND(ISNUMBER(F2883),ISNUMBER(H2883)),F2883-H2883,""),"")</f>
        <v/>
      </c>
      <c r="J2883" s="114" t="n"/>
      <c r="K2883" s="139">
        <f>IFERROR(IF(H2883&gt;0,H2883*IF(OR(C2883="Alpha",B2883="Alpha"),$C$9,$C$8),""),"")</f>
        <v/>
      </c>
      <c r="L2883" s="139">
        <f>IFERROR(IF(ISNUMBER(F2883),F2883-IF(ISNUMBER(K2883),K2883,0),""),"")</f>
        <v/>
      </c>
    </row>
    <row r="2884" ht="24" customHeight="1" s="63">
      <c r="E2884" s="139" t="n"/>
      <c r="F2884" s="139" t="n"/>
      <c r="G2884" s="140">
        <f>IFERROR(IF(E2884&gt;0,(F2884/E2884)*1000,""),"")</f>
        <v/>
      </c>
      <c r="H2884" s="139">
        <f>IFERROR(IF(E2884&gt;0,E2884*IF(ISNUMBER(J2884),J2884,IF(OR(C2884="Alpha",B2884="Alpha"),$C$7,IF(C2884="Futures",$C$6,$C$5))),""),"")</f>
        <v/>
      </c>
      <c r="I2884" s="139">
        <f>IFERROR(IF(AND(ISNUMBER(F2884),ISNUMBER(H2884)),F2884-H2884,""),"")</f>
        <v/>
      </c>
      <c r="J2884" s="114" t="n"/>
      <c r="K2884" s="139">
        <f>IFERROR(IF(H2884&gt;0,H2884*IF(OR(C2884="Alpha",B2884="Alpha"),$C$9,$C$8),""),"")</f>
        <v/>
      </c>
      <c r="L2884" s="139">
        <f>IFERROR(IF(ISNUMBER(F2884),F2884-IF(ISNUMBER(K2884),K2884,0),""),"")</f>
        <v/>
      </c>
    </row>
    <row r="2885" ht="24" customHeight="1" s="63">
      <c r="E2885" s="139" t="n"/>
      <c r="F2885" s="139" t="n"/>
      <c r="G2885" s="140">
        <f>IFERROR(IF(E2885&gt;0,(F2885/E2885)*1000,""),"")</f>
        <v/>
      </c>
      <c r="H2885" s="139">
        <f>IFERROR(IF(E2885&gt;0,E2885*IF(ISNUMBER(J2885),J2885,IF(OR(C2885="Alpha",B2885="Alpha"),$C$7,IF(C2885="Futures",$C$6,$C$5))),""),"")</f>
        <v/>
      </c>
      <c r="I2885" s="139">
        <f>IFERROR(IF(AND(ISNUMBER(F2885),ISNUMBER(H2885)),F2885-H2885,""),"")</f>
        <v/>
      </c>
      <c r="J2885" s="114" t="n"/>
      <c r="K2885" s="139">
        <f>IFERROR(IF(H2885&gt;0,H2885*IF(OR(C2885="Alpha",B2885="Alpha"),$C$9,$C$8),""),"")</f>
        <v/>
      </c>
      <c r="L2885" s="139">
        <f>IFERROR(IF(ISNUMBER(F2885),F2885-IF(ISNUMBER(K2885),K2885,0),""),"")</f>
        <v/>
      </c>
    </row>
    <row r="2886" ht="24" customHeight="1" s="63">
      <c r="E2886" s="139" t="n"/>
      <c r="F2886" s="139" t="n"/>
      <c r="G2886" s="140">
        <f>IFERROR(IF(E2886&gt;0,(F2886/E2886)*1000,""),"")</f>
        <v/>
      </c>
      <c r="H2886" s="139">
        <f>IFERROR(IF(E2886&gt;0,E2886*IF(ISNUMBER(J2886),J2886,IF(OR(C2886="Alpha",B2886="Alpha"),$C$7,IF(C2886="Futures",$C$6,$C$5))),""),"")</f>
        <v/>
      </c>
      <c r="I2886" s="139">
        <f>IFERROR(IF(AND(ISNUMBER(F2886),ISNUMBER(H2886)),F2886-H2886,""),"")</f>
        <v/>
      </c>
      <c r="J2886" s="114" t="n"/>
      <c r="K2886" s="139">
        <f>IFERROR(IF(H2886&gt;0,H2886*IF(OR(C2886="Alpha",B2886="Alpha"),$C$9,$C$8),""),"")</f>
        <v/>
      </c>
      <c r="L2886" s="139">
        <f>IFERROR(IF(ISNUMBER(F2886),F2886-IF(ISNUMBER(K2886),K2886,0),""),"")</f>
        <v/>
      </c>
    </row>
    <row r="2887" ht="24" customHeight="1" s="63">
      <c r="E2887" s="139" t="n"/>
      <c r="F2887" s="139" t="n"/>
      <c r="G2887" s="140">
        <f>IFERROR(IF(E2887&gt;0,(F2887/E2887)*1000,""),"")</f>
        <v/>
      </c>
      <c r="H2887" s="139">
        <f>IFERROR(IF(E2887&gt;0,E2887*IF(ISNUMBER(J2887),J2887,IF(OR(C2887="Alpha",B2887="Alpha"),$C$7,IF(C2887="Futures",$C$6,$C$5))),""),"")</f>
        <v/>
      </c>
      <c r="I2887" s="139">
        <f>IFERROR(IF(AND(ISNUMBER(F2887),ISNUMBER(H2887)),F2887-H2887,""),"")</f>
        <v/>
      </c>
      <c r="J2887" s="114" t="n"/>
      <c r="K2887" s="139">
        <f>IFERROR(IF(H2887&gt;0,H2887*IF(OR(C2887="Alpha",B2887="Alpha"),$C$9,$C$8),""),"")</f>
        <v/>
      </c>
      <c r="L2887" s="139">
        <f>IFERROR(IF(ISNUMBER(F2887),F2887-IF(ISNUMBER(K2887),K2887,0),""),"")</f>
        <v/>
      </c>
    </row>
    <row r="2888" ht="24" customHeight="1" s="63">
      <c r="E2888" s="139" t="n"/>
      <c r="F2888" s="139" t="n"/>
      <c r="G2888" s="140">
        <f>IFERROR(IF(E2888&gt;0,(F2888/E2888)*1000,""),"")</f>
        <v/>
      </c>
      <c r="H2888" s="139">
        <f>IFERROR(IF(E2888&gt;0,E2888*IF(ISNUMBER(J2888),J2888,IF(OR(C2888="Alpha",B2888="Alpha"),$C$7,IF(C2888="Futures",$C$6,$C$5))),""),"")</f>
        <v/>
      </c>
      <c r="I2888" s="139">
        <f>IFERROR(IF(AND(ISNUMBER(F2888),ISNUMBER(H2888)),F2888-H2888,""),"")</f>
        <v/>
      </c>
      <c r="J2888" s="114" t="n"/>
      <c r="K2888" s="139">
        <f>IFERROR(IF(H2888&gt;0,H2888*IF(OR(C2888="Alpha",B2888="Alpha"),$C$9,$C$8),""),"")</f>
        <v/>
      </c>
      <c r="L2888" s="139">
        <f>IFERROR(IF(ISNUMBER(F2888),F2888-IF(ISNUMBER(K2888),K2888,0),""),"")</f>
        <v/>
      </c>
    </row>
    <row r="2889" ht="24" customHeight="1" s="63">
      <c r="E2889" s="139" t="n"/>
      <c r="F2889" s="139" t="n"/>
      <c r="G2889" s="140">
        <f>IFERROR(IF(E2889&gt;0,(F2889/E2889)*1000,""),"")</f>
        <v/>
      </c>
      <c r="H2889" s="139">
        <f>IFERROR(IF(E2889&gt;0,E2889*IF(ISNUMBER(J2889),J2889,IF(OR(C2889="Alpha",B2889="Alpha"),$C$7,IF(C2889="Futures",$C$6,$C$5))),""),"")</f>
        <v/>
      </c>
      <c r="I2889" s="139">
        <f>IFERROR(IF(AND(ISNUMBER(F2889),ISNUMBER(H2889)),F2889-H2889,""),"")</f>
        <v/>
      </c>
      <c r="J2889" s="114" t="n"/>
      <c r="K2889" s="139">
        <f>IFERROR(IF(H2889&gt;0,H2889*IF(OR(C2889="Alpha",B2889="Alpha"),$C$9,$C$8),""),"")</f>
        <v/>
      </c>
      <c r="L2889" s="139">
        <f>IFERROR(IF(ISNUMBER(F2889),F2889-IF(ISNUMBER(K2889),K2889,0),""),"")</f>
        <v/>
      </c>
    </row>
    <row r="2890" ht="24" customHeight="1" s="63">
      <c r="E2890" s="139" t="n"/>
      <c r="F2890" s="139" t="n"/>
      <c r="G2890" s="140">
        <f>IFERROR(IF(E2890&gt;0,(F2890/E2890)*1000,""),"")</f>
        <v/>
      </c>
      <c r="H2890" s="139">
        <f>IFERROR(IF(E2890&gt;0,E2890*IF(ISNUMBER(J2890),J2890,IF(OR(C2890="Alpha",B2890="Alpha"),$C$7,IF(C2890="Futures",$C$6,$C$5))),""),"")</f>
        <v/>
      </c>
      <c r="I2890" s="139">
        <f>IFERROR(IF(AND(ISNUMBER(F2890),ISNUMBER(H2890)),F2890-H2890,""),"")</f>
        <v/>
      </c>
      <c r="J2890" s="114" t="n"/>
      <c r="K2890" s="139">
        <f>IFERROR(IF(H2890&gt;0,H2890*IF(OR(C2890="Alpha",B2890="Alpha"),$C$9,$C$8),""),"")</f>
        <v/>
      </c>
      <c r="L2890" s="139">
        <f>IFERROR(IF(ISNUMBER(F2890),F2890-IF(ISNUMBER(K2890),K2890,0),""),"")</f>
        <v/>
      </c>
    </row>
    <row r="2891" ht="24" customHeight="1" s="63">
      <c r="E2891" s="139" t="n"/>
      <c r="F2891" s="139" t="n"/>
      <c r="G2891" s="140">
        <f>IFERROR(IF(E2891&gt;0,(F2891/E2891)*1000,""),"")</f>
        <v/>
      </c>
      <c r="H2891" s="139">
        <f>IFERROR(IF(E2891&gt;0,E2891*IF(ISNUMBER(J2891),J2891,IF(OR(C2891="Alpha",B2891="Alpha"),$C$7,IF(C2891="Futures",$C$6,$C$5))),""),"")</f>
        <v/>
      </c>
      <c r="I2891" s="139">
        <f>IFERROR(IF(AND(ISNUMBER(F2891),ISNUMBER(H2891)),F2891-H2891,""),"")</f>
        <v/>
      </c>
      <c r="J2891" s="114" t="n"/>
      <c r="K2891" s="139">
        <f>IFERROR(IF(H2891&gt;0,H2891*IF(OR(C2891="Alpha",B2891="Alpha"),$C$9,$C$8),""),"")</f>
        <v/>
      </c>
      <c r="L2891" s="139">
        <f>IFERROR(IF(ISNUMBER(F2891),F2891-IF(ISNUMBER(K2891),K2891,0),""),"")</f>
        <v/>
      </c>
    </row>
    <row r="2892" ht="24" customHeight="1" s="63">
      <c r="E2892" s="139" t="n"/>
      <c r="F2892" s="139" t="n"/>
      <c r="G2892" s="140">
        <f>IFERROR(IF(E2892&gt;0,(F2892/E2892)*1000,""),"")</f>
        <v/>
      </c>
      <c r="H2892" s="139">
        <f>IFERROR(IF(E2892&gt;0,E2892*IF(ISNUMBER(J2892),J2892,IF(OR(C2892="Alpha",B2892="Alpha"),$C$7,IF(C2892="Futures",$C$6,$C$5))),""),"")</f>
        <v/>
      </c>
      <c r="I2892" s="139">
        <f>IFERROR(IF(AND(ISNUMBER(F2892),ISNUMBER(H2892)),F2892-H2892,""),"")</f>
        <v/>
      </c>
      <c r="J2892" s="114" t="n"/>
      <c r="K2892" s="139">
        <f>IFERROR(IF(H2892&gt;0,H2892*IF(OR(C2892="Alpha",B2892="Alpha"),$C$9,$C$8),""),"")</f>
        <v/>
      </c>
      <c r="L2892" s="139">
        <f>IFERROR(IF(ISNUMBER(F2892),F2892-IF(ISNUMBER(K2892),K2892,0),""),"")</f>
        <v/>
      </c>
    </row>
    <row r="2893" ht="24" customHeight="1" s="63">
      <c r="E2893" s="139" t="n"/>
      <c r="F2893" s="139" t="n"/>
      <c r="G2893" s="140">
        <f>IFERROR(IF(E2893&gt;0,(F2893/E2893)*1000,""),"")</f>
        <v/>
      </c>
      <c r="H2893" s="139">
        <f>IFERROR(IF(E2893&gt;0,E2893*IF(ISNUMBER(J2893),J2893,IF(OR(C2893="Alpha",B2893="Alpha"),$C$7,IF(C2893="Futures",$C$6,$C$5))),""),"")</f>
        <v/>
      </c>
      <c r="I2893" s="139">
        <f>IFERROR(IF(AND(ISNUMBER(F2893),ISNUMBER(H2893)),F2893-H2893,""),"")</f>
        <v/>
      </c>
      <c r="J2893" s="114" t="n"/>
      <c r="K2893" s="139">
        <f>IFERROR(IF(H2893&gt;0,H2893*IF(OR(C2893="Alpha",B2893="Alpha"),$C$9,$C$8),""),"")</f>
        <v/>
      </c>
      <c r="L2893" s="139">
        <f>IFERROR(IF(ISNUMBER(F2893),F2893-IF(ISNUMBER(K2893),K2893,0),""),"")</f>
        <v/>
      </c>
    </row>
    <row r="2894" ht="24" customHeight="1" s="63">
      <c r="E2894" s="139" t="n"/>
      <c r="F2894" s="139" t="n"/>
      <c r="G2894" s="140">
        <f>IFERROR(IF(E2894&gt;0,(F2894/E2894)*1000,""),"")</f>
        <v/>
      </c>
      <c r="H2894" s="139">
        <f>IFERROR(IF(E2894&gt;0,E2894*IF(ISNUMBER(J2894),J2894,IF(OR(C2894="Alpha",B2894="Alpha"),$C$7,IF(C2894="Futures",$C$6,$C$5))),""),"")</f>
        <v/>
      </c>
      <c r="I2894" s="139">
        <f>IFERROR(IF(AND(ISNUMBER(F2894),ISNUMBER(H2894)),F2894-H2894,""),"")</f>
        <v/>
      </c>
      <c r="J2894" s="114" t="n"/>
      <c r="K2894" s="139">
        <f>IFERROR(IF(H2894&gt;0,H2894*IF(OR(C2894="Alpha",B2894="Alpha"),$C$9,$C$8),""),"")</f>
        <v/>
      </c>
      <c r="L2894" s="139">
        <f>IFERROR(IF(ISNUMBER(F2894),F2894-IF(ISNUMBER(K2894),K2894,0),""),"")</f>
        <v/>
      </c>
    </row>
    <row r="2895" ht="24" customHeight="1" s="63">
      <c r="E2895" s="139" t="n"/>
      <c r="F2895" s="139" t="n"/>
      <c r="G2895" s="140">
        <f>IFERROR(IF(E2895&gt;0,(F2895/E2895)*1000,""),"")</f>
        <v/>
      </c>
      <c r="H2895" s="139">
        <f>IFERROR(IF(E2895&gt;0,E2895*IF(ISNUMBER(J2895),J2895,IF(OR(C2895="Alpha",B2895="Alpha"),$C$7,IF(C2895="Futures",$C$6,$C$5))),""),"")</f>
        <v/>
      </c>
      <c r="I2895" s="139">
        <f>IFERROR(IF(AND(ISNUMBER(F2895),ISNUMBER(H2895)),F2895-H2895,""),"")</f>
        <v/>
      </c>
      <c r="J2895" s="114" t="n"/>
      <c r="K2895" s="139">
        <f>IFERROR(IF(H2895&gt;0,H2895*IF(OR(C2895="Alpha",B2895="Alpha"),$C$9,$C$8),""),"")</f>
        <v/>
      </c>
      <c r="L2895" s="139">
        <f>IFERROR(IF(ISNUMBER(F2895),F2895-IF(ISNUMBER(K2895),K2895,0),""),"")</f>
        <v/>
      </c>
    </row>
    <row r="2896" ht="24" customHeight="1" s="63">
      <c r="E2896" s="139" t="n"/>
      <c r="F2896" s="139" t="n"/>
      <c r="G2896" s="140">
        <f>IFERROR(IF(E2896&gt;0,(F2896/E2896)*1000,""),"")</f>
        <v/>
      </c>
      <c r="H2896" s="139">
        <f>IFERROR(IF(E2896&gt;0,E2896*IF(ISNUMBER(J2896),J2896,IF(OR(C2896="Alpha",B2896="Alpha"),$C$7,IF(C2896="Futures",$C$6,$C$5))),""),"")</f>
        <v/>
      </c>
      <c r="I2896" s="139">
        <f>IFERROR(IF(AND(ISNUMBER(F2896),ISNUMBER(H2896)),F2896-H2896,""),"")</f>
        <v/>
      </c>
      <c r="J2896" s="114" t="n"/>
      <c r="K2896" s="139">
        <f>IFERROR(IF(H2896&gt;0,H2896*IF(OR(C2896="Alpha",B2896="Alpha"),$C$9,$C$8),""),"")</f>
        <v/>
      </c>
      <c r="L2896" s="139">
        <f>IFERROR(IF(ISNUMBER(F2896),F2896-IF(ISNUMBER(K2896),K2896,0),""),"")</f>
        <v/>
      </c>
    </row>
    <row r="2897" ht="24" customHeight="1" s="63">
      <c r="E2897" s="139" t="n"/>
      <c r="F2897" s="139" t="n"/>
      <c r="G2897" s="140">
        <f>IFERROR(IF(E2897&gt;0,(F2897/E2897)*1000,""),"")</f>
        <v/>
      </c>
      <c r="H2897" s="139">
        <f>IFERROR(IF(E2897&gt;0,E2897*IF(ISNUMBER(J2897),J2897,IF(OR(C2897="Alpha",B2897="Alpha"),$C$7,IF(C2897="Futures",$C$6,$C$5))),""),"")</f>
        <v/>
      </c>
      <c r="I2897" s="139">
        <f>IFERROR(IF(AND(ISNUMBER(F2897),ISNUMBER(H2897)),F2897-H2897,""),"")</f>
        <v/>
      </c>
      <c r="J2897" s="114" t="n"/>
      <c r="K2897" s="139">
        <f>IFERROR(IF(H2897&gt;0,H2897*IF(OR(C2897="Alpha",B2897="Alpha"),$C$9,$C$8),""),"")</f>
        <v/>
      </c>
      <c r="L2897" s="139">
        <f>IFERROR(IF(ISNUMBER(F2897),F2897-IF(ISNUMBER(K2897),K2897,0),""),"")</f>
        <v/>
      </c>
    </row>
    <row r="2898" ht="24" customHeight="1" s="63">
      <c r="E2898" s="139" t="n"/>
      <c r="F2898" s="139" t="n"/>
      <c r="G2898" s="140">
        <f>IFERROR(IF(E2898&gt;0,(F2898/E2898)*1000,""),"")</f>
        <v/>
      </c>
      <c r="H2898" s="139">
        <f>IFERROR(IF(E2898&gt;0,E2898*IF(ISNUMBER(J2898),J2898,IF(OR(C2898="Alpha",B2898="Alpha"),$C$7,IF(C2898="Futures",$C$6,$C$5))),""),"")</f>
        <v/>
      </c>
      <c r="I2898" s="139">
        <f>IFERROR(IF(AND(ISNUMBER(F2898),ISNUMBER(H2898)),F2898-H2898,""),"")</f>
        <v/>
      </c>
      <c r="J2898" s="114" t="n"/>
      <c r="K2898" s="139">
        <f>IFERROR(IF(H2898&gt;0,H2898*IF(OR(C2898="Alpha",B2898="Alpha"),$C$9,$C$8),""),"")</f>
        <v/>
      </c>
      <c r="L2898" s="139">
        <f>IFERROR(IF(ISNUMBER(F2898),F2898-IF(ISNUMBER(K2898),K2898,0),""),"")</f>
        <v/>
      </c>
    </row>
    <row r="2899" ht="24" customHeight="1" s="63">
      <c r="E2899" s="139" t="n"/>
      <c r="F2899" s="139" t="n"/>
      <c r="G2899" s="140">
        <f>IFERROR(IF(E2899&gt;0,(F2899/E2899)*1000,""),"")</f>
        <v/>
      </c>
      <c r="H2899" s="139">
        <f>IFERROR(IF(E2899&gt;0,E2899*IF(ISNUMBER(J2899),J2899,IF(OR(C2899="Alpha",B2899="Alpha"),$C$7,IF(C2899="Futures",$C$6,$C$5))),""),"")</f>
        <v/>
      </c>
      <c r="I2899" s="139">
        <f>IFERROR(IF(AND(ISNUMBER(F2899),ISNUMBER(H2899)),F2899-H2899,""),"")</f>
        <v/>
      </c>
      <c r="J2899" s="114" t="n"/>
      <c r="K2899" s="139">
        <f>IFERROR(IF(H2899&gt;0,H2899*IF(OR(C2899="Alpha",B2899="Alpha"),$C$9,$C$8),""),"")</f>
        <v/>
      </c>
      <c r="L2899" s="139">
        <f>IFERROR(IF(ISNUMBER(F2899),F2899-IF(ISNUMBER(K2899),K2899,0),""),"")</f>
        <v/>
      </c>
    </row>
    <row r="2900" ht="24" customHeight="1" s="63">
      <c r="E2900" s="139" t="n"/>
      <c r="F2900" s="139" t="n"/>
      <c r="G2900" s="140">
        <f>IFERROR(IF(E2900&gt;0,(F2900/E2900)*1000,""),"")</f>
        <v/>
      </c>
      <c r="H2900" s="139">
        <f>IFERROR(IF(E2900&gt;0,E2900*IF(ISNUMBER(J2900),J2900,IF(OR(C2900="Alpha",B2900="Alpha"),$C$7,IF(C2900="Futures",$C$6,$C$5))),""),"")</f>
        <v/>
      </c>
      <c r="I2900" s="139">
        <f>IFERROR(IF(AND(ISNUMBER(F2900),ISNUMBER(H2900)),F2900-H2900,""),"")</f>
        <v/>
      </c>
      <c r="J2900" s="114" t="n"/>
      <c r="K2900" s="139">
        <f>IFERROR(IF(H2900&gt;0,H2900*IF(OR(C2900="Alpha",B2900="Alpha"),$C$9,$C$8),""),"")</f>
        <v/>
      </c>
      <c r="L2900" s="139">
        <f>IFERROR(IF(ISNUMBER(F2900),F2900-IF(ISNUMBER(K2900),K2900,0),""),"")</f>
        <v/>
      </c>
    </row>
    <row r="2901" ht="24" customHeight="1" s="63">
      <c r="E2901" s="139" t="n"/>
      <c r="F2901" s="139" t="n"/>
      <c r="G2901" s="140">
        <f>IFERROR(IF(E2901&gt;0,(F2901/E2901)*1000,""),"")</f>
        <v/>
      </c>
      <c r="H2901" s="139">
        <f>IFERROR(IF(E2901&gt;0,E2901*IF(ISNUMBER(J2901),J2901,IF(OR(C2901="Alpha",B2901="Alpha"),$C$7,IF(C2901="Futures",$C$6,$C$5))),""),"")</f>
        <v/>
      </c>
      <c r="I2901" s="139">
        <f>IFERROR(IF(AND(ISNUMBER(F2901),ISNUMBER(H2901)),F2901-H2901,""),"")</f>
        <v/>
      </c>
      <c r="J2901" s="114" t="n"/>
      <c r="K2901" s="139">
        <f>IFERROR(IF(H2901&gt;0,H2901*IF(OR(C2901="Alpha",B2901="Alpha"),$C$9,$C$8),""),"")</f>
        <v/>
      </c>
      <c r="L2901" s="139">
        <f>IFERROR(IF(ISNUMBER(F2901),F2901-IF(ISNUMBER(K2901),K2901,0),""),"")</f>
        <v/>
      </c>
    </row>
    <row r="2902" ht="24" customHeight="1" s="63">
      <c r="E2902" s="139" t="n"/>
      <c r="F2902" s="139" t="n"/>
      <c r="G2902" s="140">
        <f>IFERROR(IF(E2902&gt;0,(F2902/E2902)*1000,""),"")</f>
        <v/>
      </c>
      <c r="H2902" s="139">
        <f>IFERROR(IF(E2902&gt;0,E2902*IF(ISNUMBER(J2902),J2902,IF(OR(C2902="Alpha",B2902="Alpha"),$C$7,IF(C2902="Futures",$C$6,$C$5))),""),"")</f>
        <v/>
      </c>
      <c r="I2902" s="139">
        <f>IFERROR(IF(AND(ISNUMBER(F2902),ISNUMBER(H2902)),F2902-H2902,""),"")</f>
        <v/>
      </c>
      <c r="J2902" s="114" t="n"/>
      <c r="K2902" s="139">
        <f>IFERROR(IF(H2902&gt;0,H2902*IF(OR(C2902="Alpha",B2902="Alpha"),$C$9,$C$8),""),"")</f>
        <v/>
      </c>
      <c r="L2902" s="139">
        <f>IFERROR(IF(ISNUMBER(F2902),F2902-IF(ISNUMBER(K2902),K2902,0),""),"")</f>
        <v/>
      </c>
    </row>
    <row r="2903" ht="24" customHeight="1" s="63">
      <c r="E2903" s="139" t="n"/>
      <c r="F2903" s="139" t="n"/>
      <c r="G2903" s="140">
        <f>IFERROR(IF(E2903&gt;0,(F2903/E2903)*1000,""),"")</f>
        <v/>
      </c>
      <c r="H2903" s="139">
        <f>IFERROR(IF(E2903&gt;0,E2903*IF(ISNUMBER(J2903),J2903,IF(OR(C2903="Alpha",B2903="Alpha"),$C$7,IF(C2903="Futures",$C$6,$C$5))),""),"")</f>
        <v/>
      </c>
      <c r="I2903" s="139">
        <f>IFERROR(IF(AND(ISNUMBER(F2903),ISNUMBER(H2903)),F2903-H2903,""),"")</f>
        <v/>
      </c>
      <c r="J2903" s="114" t="n"/>
      <c r="K2903" s="139">
        <f>IFERROR(IF(H2903&gt;0,H2903*IF(OR(C2903="Alpha",B2903="Alpha"),$C$9,$C$8),""),"")</f>
        <v/>
      </c>
      <c r="L2903" s="139">
        <f>IFERROR(IF(ISNUMBER(F2903),F2903-IF(ISNUMBER(K2903),K2903,0),""),"")</f>
        <v/>
      </c>
    </row>
    <row r="2904" ht="24" customHeight="1" s="63">
      <c r="E2904" s="139" t="n"/>
      <c r="F2904" s="139" t="n"/>
      <c r="G2904" s="140">
        <f>IFERROR(IF(E2904&gt;0,(F2904/E2904)*1000,""),"")</f>
        <v/>
      </c>
      <c r="H2904" s="139">
        <f>IFERROR(IF(E2904&gt;0,E2904*IF(ISNUMBER(J2904),J2904,IF(OR(C2904="Alpha",B2904="Alpha"),$C$7,IF(C2904="Futures",$C$6,$C$5))),""),"")</f>
        <v/>
      </c>
      <c r="I2904" s="139">
        <f>IFERROR(IF(AND(ISNUMBER(F2904),ISNUMBER(H2904)),F2904-H2904,""),"")</f>
        <v/>
      </c>
      <c r="J2904" s="114" t="n"/>
      <c r="K2904" s="139">
        <f>IFERROR(IF(H2904&gt;0,H2904*IF(OR(C2904="Alpha",B2904="Alpha"),$C$9,$C$8),""),"")</f>
        <v/>
      </c>
      <c r="L2904" s="139">
        <f>IFERROR(IF(ISNUMBER(F2904),F2904-IF(ISNUMBER(K2904),K2904,0),""),"")</f>
        <v/>
      </c>
    </row>
    <row r="2905" ht="24" customHeight="1" s="63">
      <c r="E2905" s="139" t="n"/>
      <c r="F2905" s="139" t="n"/>
      <c r="G2905" s="140">
        <f>IFERROR(IF(E2905&gt;0,(F2905/E2905)*1000,""),"")</f>
        <v/>
      </c>
      <c r="H2905" s="139">
        <f>IFERROR(IF(E2905&gt;0,E2905*IF(ISNUMBER(J2905),J2905,IF(OR(C2905="Alpha",B2905="Alpha"),$C$7,IF(C2905="Futures",$C$6,$C$5))),""),"")</f>
        <v/>
      </c>
      <c r="I2905" s="139">
        <f>IFERROR(IF(AND(ISNUMBER(F2905),ISNUMBER(H2905)),F2905-H2905,""),"")</f>
        <v/>
      </c>
      <c r="J2905" s="114" t="n"/>
      <c r="K2905" s="139">
        <f>IFERROR(IF(H2905&gt;0,H2905*IF(OR(C2905="Alpha",B2905="Alpha"),$C$9,$C$8),""),"")</f>
        <v/>
      </c>
      <c r="L2905" s="139">
        <f>IFERROR(IF(ISNUMBER(F2905),F2905-IF(ISNUMBER(K2905),K2905,0),""),"")</f>
        <v/>
      </c>
    </row>
    <row r="2906" ht="24" customHeight="1" s="63">
      <c r="E2906" s="139" t="n"/>
      <c r="F2906" s="139" t="n"/>
      <c r="G2906" s="140">
        <f>IFERROR(IF(E2906&gt;0,(F2906/E2906)*1000,""),"")</f>
        <v/>
      </c>
      <c r="H2906" s="139">
        <f>IFERROR(IF(E2906&gt;0,E2906*IF(ISNUMBER(J2906),J2906,IF(OR(C2906="Alpha",B2906="Alpha"),$C$7,IF(C2906="Futures",$C$6,$C$5))),""),"")</f>
        <v/>
      </c>
      <c r="I2906" s="139">
        <f>IFERROR(IF(AND(ISNUMBER(F2906),ISNUMBER(H2906)),F2906-H2906,""),"")</f>
        <v/>
      </c>
      <c r="J2906" s="114" t="n"/>
      <c r="K2906" s="139">
        <f>IFERROR(IF(H2906&gt;0,H2906*IF(OR(C2906="Alpha",B2906="Alpha"),$C$9,$C$8),""),"")</f>
        <v/>
      </c>
      <c r="L2906" s="139">
        <f>IFERROR(IF(ISNUMBER(F2906),F2906-IF(ISNUMBER(K2906),K2906,0),""),"")</f>
        <v/>
      </c>
    </row>
    <row r="2907" ht="24" customHeight="1" s="63">
      <c r="E2907" s="139" t="n"/>
      <c r="F2907" s="139" t="n"/>
      <c r="G2907" s="140">
        <f>IFERROR(IF(E2907&gt;0,(F2907/E2907)*1000,""),"")</f>
        <v/>
      </c>
      <c r="H2907" s="139">
        <f>IFERROR(IF(E2907&gt;0,E2907*IF(ISNUMBER(J2907),J2907,IF(OR(C2907="Alpha",B2907="Alpha"),$C$7,IF(C2907="Futures",$C$6,$C$5))),""),"")</f>
        <v/>
      </c>
      <c r="I2907" s="139">
        <f>IFERROR(IF(AND(ISNUMBER(F2907),ISNUMBER(H2907)),F2907-H2907,""),"")</f>
        <v/>
      </c>
      <c r="J2907" s="114" t="n"/>
      <c r="K2907" s="139">
        <f>IFERROR(IF(H2907&gt;0,H2907*IF(OR(C2907="Alpha",B2907="Alpha"),$C$9,$C$8),""),"")</f>
        <v/>
      </c>
      <c r="L2907" s="139">
        <f>IFERROR(IF(ISNUMBER(F2907),F2907-IF(ISNUMBER(K2907),K2907,0),""),"")</f>
        <v/>
      </c>
    </row>
    <row r="2908" ht="24" customHeight="1" s="63">
      <c r="E2908" s="139" t="n"/>
      <c r="F2908" s="139" t="n"/>
      <c r="G2908" s="140">
        <f>IFERROR(IF(E2908&gt;0,(F2908/E2908)*1000,""),"")</f>
        <v/>
      </c>
      <c r="H2908" s="139">
        <f>IFERROR(IF(E2908&gt;0,E2908*IF(ISNUMBER(J2908),J2908,IF(OR(C2908="Alpha",B2908="Alpha"),$C$7,IF(C2908="Futures",$C$6,$C$5))),""),"")</f>
        <v/>
      </c>
      <c r="I2908" s="139">
        <f>IFERROR(IF(AND(ISNUMBER(F2908),ISNUMBER(H2908)),F2908-H2908,""),"")</f>
        <v/>
      </c>
      <c r="J2908" s="114" t="n"/>
      <c r="K2908" s="139">
        <f>IFERROR(IF(H2908&gt;0,H2908*IF(OR(C2908="Alpha",B2908="Alpha"),$C$9,$C$8),""),"")</f>
        <v/>
      </c>
      <c r="L2908" s="139">
        <f>IFERROR(IF(ISNUMBER(F2908),F2908-IF(ISNUMBER(K2908),K2908,0),""),"")</f>
        <v/>
      </c>
    </row>
    <row r="2909" ht="24" customHeight="1" s="63">
      <c r="E2909" s="139" t="n"/>
      <c r="F2909" s="139" t="n"/>
      <c r="G2909" s="140">
        <f>IFERROR(IF(E2909&gt;0,(F2909/E2909)*1000,""),"")</f>
        <v/>
      </c>
      <c r="H2909" s="139">
        <f>IFERROR(IF(E2909&gt;0,E2909*IF(ISNUMBER(J2909),J2909,IF(OR(C2909="Alpha",B2909="Alpha"),$C$7,IF(C2909="Futures",$C$6,$C$5))),""),"")</f>
        <v/>
      </c>
      <c r="I2909" s="139">
        <f>IFERROR(IF(AND(ISNUMBER(F2909),ISNUMBER(H2909)),F2909-H2909,""),"")</f>
        <v/>
      </c>
      <c r="J2909" s="114" t="n"/>
      <c r="K2909" s="139">
        <f>IFERROR(IF(H2909&gt;0,H2909*IF(OR(C2909="Alpha",B2909="Alpha"),$C$9,$C$8),""),"")</f>
        <v/>
      </c>
      <c r="L2909" s="139">
        <f>IFERROR(IF(ISNUMBER(F2909),F2909-IF(ISNUMBER(K2909),K2909,0),""),"")</f>
        <v/>
      </c>
    </row>
    <row r="2910" ht="24" customHeight="1" s="63">
      <c r="E2910" s="139" t="n"/>
      <c r="F2910" s="139" t="n"/>
      <c r="G2910" s="140">
        <f>IFERROR(IF(E2910&gt;0,(F2910/E2910)*1000,""),"")</f>
        <v/>
      </c>
      <c r="H2910" s="139">
        <f>IFERROR(IF(E2910&gt;0,E2910*IF(ISNUMBER(J2910),J2910,IF(OR(C2910="Alpha",B2910="Alpha"),$C$7,IF(C2910="Futures",$C$6,$C$5))),""),"")</f>
        <v/>
      </c>
      <c r="I2910" s="139">
        <f>IFERROR(IF(AND(ISNUMBER(F2910),ISNUMBER(H2910)),F2910-H2910,""),"")</f>
        <v/>
      </c>
      <c r="J2910" s="114" t="n"/>
      <c r="K2910" s="139">
        <f>IFERROR(IF(H2910&gt;0,H2910*IF(OR(C2910="Alpha",B2910="Alpha"),$C$9,$C$8),""),"")</f>
        <v/>
      </c>
      <c r="L2910" s="139">
        <f>IFERROR(IF(ISNUMBER(F2910),F2910-IF(ISNUMBER(K2910),K2910,0),""),"")</f>
        <v/>
      </c>
    </row>
    <row r="2911" ht="24" customHeight="1" s="63">
      <c r="E2911" s="139" t="n"/>
      <c r="F2911" s="139" t="n"/>
      <c r="G2911" s="140">
        <f>IFERROR(IF(E2911&gt;0,(F2911/E2911)*1000,""),"")</f>
        <v/>
      </c>
      <c r="H2911" s="139">
        <f>IFERROR(IF(E2911&gt;0,E2911*IF(ISNUMBER(J2911),J2911,IF(OR(C2911="Alpha",B2911="Alpha"),$C$7,IF(C2911="Futures",$C$6,$C$5))),""),"")</f>
        <v/>
      </c>
      <c r="I2911" s="139">
        <f>IFERROR(IF(AND(ISNUMBER(F2911),ISNUMBER(H2911)),F2911-H2911,""),"")</f>
        <v/>
      </c>
      <c r="J2911" s="114" t="n"/>
      <c r="K2911" s="139">
        <f>IFERROR(IF(H2911&gt;0,H2911*IF(OR(C2911="Alpha",B2911="Alpha"),$C$9,$C$8),""),"")</f>
        <v/>
      </c>
      <c r="L2911" s="139">
        <f>IFERROR(IF(ISNUMBER(F2911),F2911-IF(ISNUMBER(K2911),K2911,0),""),"")</f>
        <v/>
      </c>
    </row>
    <row r="2912" ht="24" customHeight="1" s="63">
      <c r="E2912" s="139" t="n"/>
      <c r="F2912" s="139" t="n"/>
      <c r="G2912" s="140">
        <f>IFERROR(IF(E2912&gt;0,(F2912/E2912)*1000,""),"")</f>
        <v/>
      </c>
      <c r="H2912" s="139">
        <f>IFERROR(IF(E2912&gt;0,E2912*IF(ISNUMBER(J2912),J2912,IF(OR(C2912="Alpha",B2912="Alpha"),$C$7,IF(C2912="Futures",$C$6,$C$5))),""),"")</f>
        <v/>
      </c>
      <c r="I2912" s="139">
        <f>IFERROR(IF(AND(ISNUMBER(F2912),ISNUMBER(H2912)),F2912-H2912,""),"")</f>
        <v/>
      </c>
      <c r="J2912" s="114" t="n"/>
      <c r="K2912" s="139">
        <f>IFERROR(IF(H2912&gt;0,H2912*IF(OR(C2912="Alpha",B2912="Alpha"),$C$9,$C$8),""),"")</f>
        <v/>
      </c>
      <c r="L2912" s="139">
        <f>IFERROR(IF(ISNUMBER(F2912),F2912-IF(ISNUMBER(K2912),K2912,0),""),"")</f>
        <v/>
      </c>
    </row>
    <row r="2913" ht="24" customHeight="1" s="63">
      <c r="E2913" s="139" t="n"/>
      <c r="F2913" s="139" t="n"/>
      <c r="G2913" s="140">
        <f>IFERROR(IF(E2913&gt;0,(F2913/E2913)*1000,""),"")</f>
        <v/>
      </c>
      <c r="H2913" s="139">
        <f>IFERROR(IF(E2913&gt;0,E2913*IF(ISNUMBER(J2913),J2913,IF(OR(C2913="Alpha",B2913="Alpha"),$C$7,IF(C2913="Futures",$C$6,$C$5))),""),"")</f>
        <v/>
      </c>
      <c r="I2913" s="139">
        <f>IFERROR(IF(AND(ISNUMBER(F2913),ISNUMBER(H2913)),F2913-H2913,""),"")</f>
        <v/>
      </c>
      <c r="J2913" s="114" t="n"/>
      <c r="K2913" s="139">
        <f>IFERROR(IF(H2913&gt;0,H2913*IF(OR(C2913="Alpha",B2913="Alpha"),$C$9,$C$8),""),"")</f>
        <v/>
      </c>
      <c r="L2913" s="139">
        <f>IFERROR(IF(ISNUMBER(F2913),F2913-IF(ISNUMBER(K2913),K2913,0),""),"")</f>
        <v/>
      </c>
    </row>
    <row r="2914" ht="24" customHeight="1" s="63">
      <c r="E2914" s="139" t="n"/>
      <c r="F2914" s="139" t="n"/>
      <c r="G2914" s="140">
        <f>IFERROR(IF(E2914&gt;0,(F2914/E2914)*1000,""),"")</f>
        <v/>
      </c>
      <c r="H2914" s="139">
        <f>IFERROR(IF(E2914&gt;0,E2914*IF(ISNUMBER(J2914),J2914,IF(OR(C2914="Alpha",B2914="Alpha"),$C$7,IF(C2914="Futures",$C$6,$C$5))),""),"")</f>
        <v/>
      </c>
      <c r="I2914" s="139">
        <f>IFERROR(IF(AND(ISNUMBER(F2914),ISNUMBER(H2914)),F2914-H2914,""),"")</f>
        <v/>
      </c>
      <c r="J2914" s="114" t="n"/>
      <c r="K2914" s="139">
        <f>IFERROR(IF(H2914&gt;0,H2914*IF(OR(C2914="Alpha",B2914="Alpha"),$C$9,$C$8),""),"")</f>
        <v/>
      </c>
      <c r="L2914" s="139">
        <f>IFERROR(IF(ISNUMBER(F2914),F2914-IF(ISNUMBER(K2914),K2914,0),""),"")</f>
        <v/>
      </c>
    </row>
    <row r="2915" ht="24" customHeight="1" s="63">
      <c r="E2915" s="139" t="n"/>
      <c r="F2915" s="139" t="n"/>
      <c r="G2915" s="140">
        <f>IFERROR(IF(E2915&gt;0,(F2915/E2915)*1000,""),"")</f>
        <v/>
      </c>
      <c r="H2915" s="139">
        <f>IFERROR(IF(E2915&gt;0,E2915*IF(ISNUMBER(J2915),J2915,IF(OR(C2915="Alpha",B2915="Alpha"),$C$7,IF(C2915="Futures",$C$6,$C$5))),""),"")</f>
        <v/>
      </c>
      <c r="I2915" s="139">
        <f>IFERROR(IF(AND(ISNUMBER(F2915),ISNUMBER(H2915)),F2915-H2915,""),"")</f>
        <v/>
      </c>
      <c r="J2915" s="114" t="n"/>
      <c r="K2915" s="139">
        <f>IFERROR(IF(H2915&gt;0,H2915*IF(OR(C2915="Alpha",B2915="Alpha"),$C$9,$C$8),""),"")</f>
        <v/>
      </c>
      <c r="L2915" s="139">
        <f>IFERROR(IF(ISNUMBER(F2915),F2915-IF(ISNUMBER(K2915),K2915,0),""),"")</f>
        <v/>
      </c>
    </row>
    <row r="2916" ht="24" customHeight="1" s="63">
      <c r="E2916" s="139" t="n"/>
      <c r="F2916" s="139" t="n"/>
      <c r="G2916" s="140">
        <f>IFERROR(IF(E2916&gt;0,(F2916/E2916)*1000,""),"")</f>
        <v/>
      </c>
      <c r="H2916" s="139">
        <f>IFERROR(IF(E2916&gt;0,E2916*IF(ISNUMBER(J2916),J2916,IF(OR(C2916="Alpha",B2916="Alpha"),$C$7,IF(C2916="Futures",$C$6,$C$5))),""),"")</f>
        <v/>
      </c>
      <c r="I2916" s="139">
        <f>IFERROR(IF(AND(ISNUMBER(F2916),ISNUMBER(H2916)),F2916-H2916,""),"")</f>
        <v/>
      </c>
      <c r="J2916" s="114" t="n"/>
      <c r="K2916" s="139">
        <f>IFERROR(IF(H2916&gt;0,H2916*IF(OR(C2916="Alpha",B2916="Alpha"),$C$9,$C$8),""),"")</f>
        <v/>
      </c>
      <c r="L2916" s="139">
        <f>IFERROR(IF(ISNUMBER(F2916),F2916-IF(ISNUMBER(K2916),K2916,0),""),"")</f>
        <v/>
      </c>
    </row>
    <row r="2917" ht="24" customHeight="1" s="63">
      <c r="E2917" s="139" t="n"/>
      <c r="F2917" s="139" t="n"/>
      <c r="G2917" s="140">
        <f>IFERROR(IF(E2917&gt;0,(F2917/E2917)*1000,""),"")</f>
        <v/>
      </c>
      <c r="H2917" s="139">
        <f>IFERROR(IF(E2917&gt;0,E2917*IF(ISNUMBER(J2917),J2917,IF(OR(C2917="Alpha",B2917="Alpha"),$C$7,IF(C2917="Futures",$C$6,$C$5))),""),"")</f>
        <v/>
      </c>
      <c r="I2917" s="139">
        <f>IFERROR(IF(AND(ISNUMBER(F2917),ISNUMBER(H2917)),F2917-H2917,""),"")</f>
        <v/>
      </c>
      <c r="J2917" s="114" t="n"/>
      <c r="K2917" s="139">
        <f>IFERROR(IF(H2917&gt;0,H2917*IF(OR(C2917="Alpha",B2917="Alpha"),$C$9,$C$8),""),"")</f>
        <v/>
      </c>
      <c r="L2917" s="139">
        <f>IFERROR(IF(ISNUMBER(F2917),F2917-IF(ISNUMBER(K2917),K2917,0),""),"")</f>
        <v/>
      </c>
    </row>
    <row r="2918" ht="24" customHeight="1" s="63">
      <c r="E2918" s="139" t="n"/>
      <c r="F2918" s="139" t="n"/>
      <c r="G2918" s="140">
        <f>IFERROR(IF(E2918&gt;0,(F2918/E2918)*1000,""),"")</f>
        <v/>
      </c>
      <c r="H2918" s="139">
        <f>IFERROR(IF(E2918&gt;0,E2918*IF(ISNUMBER(J2918),J2918,IF(OR(C2918="Alpha",B2918="Alpha"),$C$7,IF(C2918="Futures",$C$6,$C$5))),""),"")</f>
        <v/>
      </c>
      <c r="I2918" s="139">
        <f>IFERROR(IF(AND(ISNUMBER(F2918),ISNUMBER(H2918)),F2918-H2918,""),"")</f>
        <v/>
      </c>
      <c r="J2918" s="114" t="n"/>
      <c r="K2918" s="139">
        <f>IFERROR(IF(H2918&gt;0,H2918*IF(OR(C2918="Alpha",B2918="Alpha"),$C$9,$C$8),""),"")</f>
        <v/>
      </c>
      <c r="L2918" s="139">
        <f>IFERROR(IF(ISNUMBER(F2918),F2918-IF(ISNUMBER(K2918),K2918,0),""),"")</f>
        <v/>
      </c>
    </row>
    <row r="2919" ht="24" customHeight="1" s="63">
      <c r="E2919" s="139" t="n"/>
      <c r="F2919" s="139" t="n"/>
      <c r="G2919" s="140">
        <f>IFERROR(IF(E2919&gt;0,(F2919/E2919)*1000,""),"")</f>
        <v/>
      </c>
      <c r="H2919" s="139">
        <f>IFERROR(IF(E2919&gt;0,E2919*IF(ISNUMBER(J2919),J2919,IF(OR(C2919="Alpha",B2919="Alpha"),$C$7,IF(C2919="Futures",$C$6,$C$5))),""),"")</f>
        <v/>
      </c>
      <c r="I2919" s="139">
        <f>IFERROR(IF(AND(ISNUMBER(F2919),ISNUMBER(H2919)),F2919-H2919,""),"")</f>
        <v/>
      </c>
      <c r="J2919" s="114" t="n"/>
      <c r="K2919" s="139">
        <f>IFERROR(IF(H2919&gt;0,H2919*IF(OR(C2919="Alpha",B2919="Alpha"),$C$9,$C$8),""),"")</f>
        <v/>
      </c>
      <c r="L2919" s="139">
        <f>IFERROR(IF(ISNUMBER(F2919),F2919-IF(ISNUMBER(K2919),K2919,0),""),"")</f>
        <v/>
      </c>
    </row>
    <row r="2920" ht="24" customHeight="1" s="63">
      <c r="E2920" s="139" t="n"/>
      <c r="F2920" s="139" t="n"/>
      <c r="G2920" s="140">
        <f>IFERROR(IF(E2920&gt;0,(F2920/E2920)*1000,""),"")</f>
        <v/>
      </c>
      <c r="H2920" s="139">
        <f>IFERROR(IF(E2920&gt;0,E2920*IF(ISNUMBER(J2920),J2920,IF(OR(C2920="Alpha",B2920="Alpha"),$C$7,IF(C2920="Futures",$C$6,$C$5))),""),"")</f>
        <v/>
      </c>
      <c r="I2920" s="139">
        <f>IFERROR(IF(AND(ISNUMBER(F2920),ISNUMBER(H2920)),F2920-H2920,""),"")</f>
        <v/>
      </c>
      <c r="J2920" s="114" t="n"/>
      <c r="K2920" s="139">
        <f>IFERROR(IF(H2920&gt;0,H2920*IF(OR(C2920="Alpha",B2920="Alpha"),$C$9,$C$8),""),"")</f>
        <v/>
      </c>
      <c r="L2920" s="139">
        <f>IFERROR(IF(ISNUMBER(F2920),F2920-IF(ISNUMBER(K2920),K2920,0),""),"")</f>
        <v/>
      </c>
    </row>
    <row r="2921" ht="24" customHeight="1" s="63">
      <c r="E2921" s="139" t="n"/>
      <c r="F2921" s="139" t="n"/>
      <c r="G2921" s="140">
        <f>IFERROR(IF(E2921&gt;0,(F2921/E2921)*1000,""),"")</f>
        <v/>
      </c>
      <c r="H2921" s="139">
        <f>IFERROR(IF(E2921&gt;0,E2921*IF(ISNUMBER(J2921),J2921,IF(OR(C2921="Alpha",B2921="Alpha"),$C$7,IF(C2921="Futures",$C$6,$C$5))),""),"")</f>
        <v/>
      </c>
      <c r="I2921" s="139">
        <f>IFERROR(IF(AND(ISNUMBER(F2921),ISNUMBER(H2921)),F2921-H2921,""),"")</f>
        <v/>
      </c>
      <c r="J2921" s="114" t="n"/>
      <c r="K2921" s="139">
        <f>IFERROR(IF(H2921&gt;0,H2921*IF(OR(C2921="Alpha",B2921="Alpha"),$C$9,$C$8),""),"")</f>
        <v/>
      </c>
      <c r="L2921" s="139">
        <f>IFERROR(IF(ISNUMBER(F2921),F2921-IF(ISNUMBER(K2921),K2921,0),""),"")</f>
        <v/>
      </c>
    </row>
    <row r="2922" ht="24" customHeight="1" s="63">
      <c r="E2922" s="139" t="n"/>
      <c r="F2922" s="139" t="n"/>
      <c r="G2922" s="140">
        <f>IFERROR(IF(E2922&gt;0,(F2922/E2922)*1000,""),"")</f>
        <v/>
      </c>
      <c r="H2922" s="139">
        <f>IFERROR(IF(E2922&gt;0,E2922*IF(ISNUMBER(J2922),J2922,IF(OR(C2922="Alpha",B2922="Alpha"),$C$7,IF(C2922="Futures",$C$6,$C$5))),""),"")</f>
        <v/>
      </c>
      <c r="I2922" s="139">
        <f>IFERROR(IF(AND(ISNUMBER(F2922),ISNUMBER(H2922)),F2922-H2922,""),"")</f>
        <v/>
      </c>
      <c r="J2922" s="114" t="n"/>
      <c r="K2922" s="139">
        <f>IFERROR(IF(H2922&gt;0,H2922*IF(OR(C2922="Alpha",B2922="Alpha"),$C$9,$C$8),""),"")</f>
        <v/>
      </c>
      <c r="L2922" s="139">
        <f>IFERROR(IF(ISNUMBER(F2922),F2922-IF(ISNUMBER(K2922),K2922,0),""),"")</f>
        <v/>
      </c>
    </row>
    <row r="2923" ht="24" customHeight="1" s="63">
      <c r="E2923" s="139" t="n"/>
      <c r="F2923" s="139" t="n"/>
      <c r="G2923" s="140">
        <f>IFERROR(IF(E2923&gt;0,(F2923/E2923)*1000,""),"")</f>
        <v/>
      </c>
      <c r="H2923" s="139">
        <f>IFERROR(IF(E2923&gt;0,E2923*IF(ISNUMBER(J2923),J2923,IF(OR(C2923="Alpha",B2923="Alpha"),$C$7,IF(C2923="Futures",$C$6,$C$5))),""),"")</f>
        <v/>
      </c>
      <c r="I2923" s="139">
        <f>IFERROR(IF(AND(ISNUMBER(F2923),ISNUMBER(H2923)),F2923-H2923,""),"")</f>
        <v/>
      </c>
      <c r="J2923" s="114" t="n"/>
      <c r="K2923" s="139">
        <f>IFERROR(IF(H2923&gt;0,H2923*IF(OR(C2923="Alpha",B2923="Alpha"),$C$9,$C$8),""),"")</f>
        <v/>
      </c>
      <c r="L2923" s="139">
        <f>IFERROR(IF(ISNUMBER(F2923),F2923-IF(ISNUMBER(K2923),K2923,0),""),"")</f>
        <v/>
      </c>
    </row>
    <row r="2924" ht="24" customHeight="1" s="63">
      <c r="E2924" s="139" t="n"/>
      <c r="F2924" s="139" t="n"/>
      <c r="G2924" s="140">
        <f>IFERROR(IF(E2924&gt;0,(F2924/E2924)*1000,""),"")</f>
        <v/>
      </c>
      <c r="H2924" s="139">
        <f>IFERROR(IF(E2924&gt;0,E2924*IF(ISNUMBER(J2924),J2924,IF(OR(C2924="Alpha",B2924="Alpha"),$C$7,IF(C2924="Futures",$C$6,$C$5))),""),"")</f>
        <v/>
      </c>
      <c r="I2924" s="139">
        <f>IFERROR(IF(AND(ISNUMBER(F2924),ISNUMBER(H2924)),F2924-H2924,""),"")</f>
        <v/>
      </c>
      <c r="J2924" s="114" t="n"/>
      <c r="K2924" s="139">
        <f>IFERROR(IF(H2924&gt;0,H2924*IF(OR(C2924="Alpha",B2924="Alpha"),$C$9,$C$8),""),"")</f>
        <v/>
      </c>
      <c r="L2924" s="139">
        <f>IFERROR(IF(ISNUMBER(F2924),F2924-IF(ISNUMBER(K2924),K2924,0),""),"")</f>
        <v/>
      </c>
    </row>
    <row r="2925" ht="24" customHeight="1" s="63">
      <c r="E2925" s="139" t="n"/>
      <c r="F2925" s="139" t="n"/>
      <c r="G2925" s="140">
        <f>IFERROR(IF(E2925&gt;0,(F2925/E2925)*1000,""),"")</f>
        <v/>
      </c>
      <c r="H2925" s="139">
        <f>IFERROR(IF(E2925&gt;0,E2925*IF(ISNUMBER(J2925),J2925,IF(OR(C2925="Alpha",B2925="Alpha"),$C$7,IF(C2925="Futures",$C$6,$C$5))),""),"")</f>
        <v/>
      </c>
      <c r="I2925" s="139">
        <f>IFERROR(IF(AND(ISNUMBER(F2925),ISNUMBER(H2925)),F2925-H2925,""),"")</f>
        <v/>
      </c>
      <c r="J2925" s="114" t="n"/>
      <c r="K2925" s="139">
        <f>IFERROR(IF(H2925&gt;0,H2925*IF(OR(C2925="Alpha",B2925="Alpha"),$C$9,$C$8),""),"")</f>
        <v/>
      </c>
      <c r="L2925" s="139">
        <f>IFERROR(IF(ISNUMBER(F2925),F2925-IF(ISNUMBER(K2925),K2925,0),""),"")</f>
        <v/>
      </c>
    </row>
    <row r="2926" ht="24" customHeight="1" s="63">
      <c r="E2926" s="139" t="n"/>
      <c r="F2926" s="139" t="n"/>
      <c r="G2926" s="140">
        <f>IFERROR(IF(E2926&gt;0,(F2926/E2926)*1000,""),"")</f>
        <v/>
      </c>
      <c r="H2926" s="139">
        <f>IFERROR(IF(E2926&gt;0,E2926*IF(ISNUMBER(J2926),J2926,IF(OR(C2926="Alpha",B2926="Alpha"),$C$7,IF(C2926="Futures",$C$6,$C$5))),""),"")</f>
        <v/>
      </c>
      <c r="I2926" s="139">
        <f>IFERROR(IF(AND(ISNUMBER(F2926),ISNUMBER(H2926)),F2926-H2926,""),"")</f>
        <v/>
      </c>
      <c r="J2926" s="114" t="n"/>
      <c r="K2926" s="139">
        <f>IFERROR(IF(H2926&gt;0,H2926*IF(OR(C2926="Alpha",B2926="Alpha"),$C$9,$C$8),""),"")</f>
        <v/>
      </c>
      <c r="L2926" s="139">
        <f>IFERROR(IF(ISNUMBER(F2926),F2926-IF(ISNUMBER(K2926),K2926,0),""),"")</f>
        <v/>
      </c>
    </row>
    <row r="2927" ht="24" customHeight="1" s="63">
      <c r="E2927" s="139" t="n"/>
      <c r="F2927" s="139" t="n"/>
      <c r="G2927" s="140">
        <f>IFERROR(IF(E2927&gt;0,(F2927/E2927)*1000,""),"")</f>
        <v/>
      </c>
      <c r="H2927" s="139">
        <f>IFERROR(IF(E2927&gt;0,E2927*IF(ISNUMBER(J2927),J2927,IF(OR(C2927="Alpha",B2927="Alpha"),$C$7,IF(C2927="Futures",$C$6,$C$5))),""),"")</f>
        <v/>
      </c>
      <c r="I2927" s="139">
        <f>IFERROR(IF(AND(ISNUMBER(F2927),ISNUMBER(H2927)),F2927-H2927,""),"")</f>
        <v/>
      </c>
      <c r="J2927" s="114" t="n"/>
      <c r="K2927" s="139">
        <f>IFERROR(IF(H2927&gt;0,H2927*IF(OR(C2927="Alpha",B2927="Alpha"),$C$9,$C$8),""),"")</f>
        <v/>
      </c>
      <c r="L2927" s="139">
        <f>IFERROR(IF(ISNUMBER(F2927),F2927-IF(ISNUMBER(K2927),K2927,0),""),"")</f>
        <v/>
      </c>
    </row>
    <row r="2928" ht="24" customHeight="1" s="63">
      <c r="E2928" s="139" t="n"/>
      <c r="F2928" s="139" t="n"/>
      <c r="G2928" s="140">
        <f>IFERROR(IF(E2928&gt;0,(F2928/E2928)*1000,""),"")</f>
        <v/>
      </c>
      <c r="H2928" s="139">
        <f>IFERROR(IF(E2928&gt;0,E2928*IF(ISNUMBER(J2928),J2928,IF(OR(C2928="Alpha",B2928="Alpha"),$C$7,IF(C2928="Futures",$C$6,$C$5))),""),"")</f>
        <v/>
      </c>
      <c r="I2928" s="139">
        <f>IFERROR(IF(AND(ISNUMBER(F2928),ISNUMBER(H2928)),F2928-H2928,""),"")</f>
        <v/>
      </c>
      <c r="J2928" s="114" t="n"/>
      <c r="K2928" s="139">
        <f>IFERROR(IF(H2928&gt;0,H2928*IF(OR(C2928="Alpha",B2928="Alpha"),$C$9,$C$8),""),"")</f>
        <v/>
      </c>
      <c r="L2928" s="139">
        <f>IFERROR(IF(ISNUMBER(F2928),F2928-IF(ISNUMBER(K2928),K2928,0),""),"")</f>
        <v/>
      </c>
    </row>
    <row r="2929" ht="24" customHeight="1" s="63">
      <c r="E2929" s="139" t="n"/>
      <c r="F2929" s="139" t="n"/>
      <c r="G2929" s="140">
        <f>IFERROR(IF(E2929&gt;0,(F2929/E2929)*1000,""),"")</f>
        <v/>
      </c>
      <c r="H2929" s="139">
        <f>IFERROR(IF(E2929&gt;0,E2929*IF(ISNUMBER(J2929),J2929,IF(OR(C2929="Alpha",B2929="Alpha"),$C$7,IF(C2929="Futures",$C$6,$C$5))),""),"")</f>
        <v/>
      </c>
      <c r="I2929" s="139">
        <f>IFERROR(IF(AND(ISNUMBER(F2929),ISNUMBER(H2929)),F2929-H2929,""),"")</f>
        <v/>
      </c>
      <c r="J2929" s="114" t="n"/>
      <c r="K2929" s="139">
        <f>IFERROR(IF(H2929&gt;0,H2929*IF(OR(C2929="Alpha",B2929="Alpha"),$C$9,$C$8),""),"")</f>
        <v/>
      </c>
      <c r="L2929" s="139">
        <f>IFERROR(IF(ISNUMBER(F2929),F2929-IF(ISNUMBER(K2929),K2929,0),""),"")</f>
        <v/>
      </c>
    </row>
    <row r="2930" ht="24" customHeight="1" s="63">
      <c r="E2930" s="139" t="n"/>
      <c r="F2930" s="139" t="n"/>
      <c r="G2930" s="140">
        <f>IFERROR(IF(E2930&gt;0,(F2930/E2930)*1000,""),"")</f>
        <v/>
      </c>
      <c r="H2930" s="139">
        <f>IFERROR(IF(E2930&gt;0,E2930*IF(ISNUMBER(J2930),J2930,IF(OR(C2930="Alpha",B2930="Alpha"),$C$7,IF(C2930="Futures",$C$6,$C$5))),""),"")</f>
        <v/>
      </c>
      <c r="I2930" s="139">
        <f>IFERROR(IF(AND(ISNUMBER(F2930),ISNUMBER(H2930)),F2930-H2930,""),"")</f>
        <v/>
      </c>
      <c r="J2930" s="114" t="n"/>
      <c r="K2930" s="139">
        <f>IFERROR(IF(H2930&gt;0,H2930*IF(OR(C2930="Alpha",B2930="Alpha"),$C$9,$C$8),""),"")</f>
        <v/>
      </c>
      <c r="L2930" s="139">
        <f>IFERROR(IF(ISNUMBER(F2930),F2930-IF(ISNUMBER(K2930),K2930,0),""),"")</f>
        <v/>
      </c>
    </row>
    <row r="2931" ht="24" customHeight="1" s="63">
      <c r="E2931" s="139" t="n"/>
      <c r="F2931" s="139" t="n"/>
      <c r="G2931" s="140">
        <f>IFERROR(IF(E2931&gt;0,(F2931/E2931)*1000,""),"")</f>
        <v/>
      </c>
      <c r="H2931" s="139">
        <f>IFERROR(IF(E2931&gt;0,E2931*IF(ISNUMBER(J2931),J2931,IF(OR(C2931="Alpha",B2931="Alpha"),$C$7,IF(C2931="Futures",$C$6,$C$5))),""),"")</f>
        <v/>
      </c>
      <c r="I2931" s="139">
        <f>IFERROR(IF(AND(ISNUMBER(F2931),ISNUMBER(H2931)),F2931-H2931,""),"")</f>
        <v/>
      </c>
      <c r="J2931" s="114" t="n"/>
      <c r="K2931" s="139">
        <f>IFERROR(IF(H2931&gt;0,H2931*IF(OR(C2931="Alpha",B2931="Alpha"),$C$9,$C$8),""),"")</f>
        <v/>
      </c>
      <c r="L2931" s="139">
        <f>IFERROR(IF(ISNUMBER(F2931),F2931-IF(ISNUMBER(K2931),K2931,0),""),"")</f>
        <v/>
      </c>
    </row>
    <row r="2932" ht="24" customHeight="1" s="63">
      <c r="E2932" s="139" t="n"/>
      <c r="F2932" s="139" t="n"/>
      <c r="G2932" s="140">
        <f>IFERROR(IF(E2932&gt;0,(F2932/E2932)*1000,""),"")</f>
        <v/>
      </c>
      <c r="H2932" s="139">
        <f>IFERROR(IF(E2932&gt;0,E2932*IF(ISNUMBER(J2932),J2932,IF(OR(C2932="Alpha",B2932="Alpha"),$C$7,IF(C2932="Futures",$C$6,$C$5))),""),"")</f>
        <v/>
      </c>
      <c r="I2932" s="139">
        <f>IFERROR(IF(AND(ISNUMBER(F2932),ISNUMBER(H2932)),F2932-H2932,""),"")</f>
        <v/>
      </c>
      <c r="J2932" s="114" t="n"/>
      <c r="K2932" s="139">
        <f>IFERROR(IF(H2932&gt;0,H2932*IF(OR(C2932="Alpha",B2932="Alpha"),$C$9,$C$8),""),"")</f>
        <v/>
      </c>
      <c r="L2932" s="139">
        <f>IFERROR(IF(ISNUMBER(F2932),F2932-IF(ISNUMBER(K2932),K2932,0),""),"")</f>
        <v/>
      </c>
    </row>
    <row r="2933" ht="24" customHeight="1" s="63">
      <c r="E2933" s="139" t="n"/>
      <c r="F2933" s="139" t="n"/>
      <c r="G2933" s="140">
        <f>IFERROR(IF(E2933&gt;0,(F2933/E2933)*1000,""),"")</f>
        <v/>
      </c>
      <c r="H2933" s="139">
        <f>IFERROR(IF(E2933&gt;0,E2933*IF(ISNUMBER(J2933),J2933,IF(OR(C2933="Alpha",B2933="Alpha"),$C$7,IF(C2933="Futures",$C$6,$C$5))),""),"")</f>
        <v/>
      </c>
      <c r="I2933" s="139">
        <f>IFERROR(IF(AND(ISNUMBER(F2933),ISNUMBER(H2933)),F2933-H2933,""),"")</f>
        <v/>
      </c>
      <c r="J2933" s="114" t="n"/>
      <c r="K2933" s="139">
        <f>IFERROR(IF(H2933&gt;0,H2933*IF(OR(C2933="Alpha",B2933="Alpha"),$C$9,$C$8),""),"")</f>
        <v/>
      </c>
      <c r="L2933" s="139">
        <f>IFERROR(IF(ISNUMBER(F2933),F2933-IF(ISNUMBER(K2933),K2933,0),""),"")</f>
        <v/>
      </c>
    </row>
    <row r="2934" ht="24" customHeight="1" s="63">
      <c r="E2934" s="139" t="n"/>
      <c r="F2934" s="139" t="n"/>
      <c r="G2934" s="140">
        <f>IFERROR(IF(E2934&gt;0,(F2934/E2934)*1000,""),"")</f>
        <v/>
      </c>
      <c r="H2934" s="139">
        <f>IFERROR(IF(E2934&gt;0,E2934*IF(ISNUMBER(J2934),J2934,IF(OR(C2934="Alpha",B2934="Alpha"),$C$7,IF(C2934="Futures",$C$6,$C$5))),""),"")</f>
        <v/>
      </c>
      <c r="I2934" s="139">
        <f>IFERROR(IF(AND(ISNUMBER(F2934),ISNUMBER(H2934)),F2934-H2934,""),"")</f>
        <v/>
      </c>
      <c r="J2934" s="114" t="n"/>
      <c r="K2934" s="139">
        <f>IFERROR(IF(H2934&gt;0,H2934*IF(OR(C2934="Alpha",B2934="Alpha"),$C$9,$C$8),""),"")</f>
        <v/>
      </c>
      <c r="L2934" s="139">
        <f>IFERROR(IF(ISNUMBER(F2934),F2934-IF(ISNUMBER(K2934),K2934,0),""),"")</f>
        <v/>
      </c>
    </row>
    <row r="2935" ht="24" customHeight="1" s="63">
      <c r="E2935" s="139" t="n"/>
      <c r="F2935" s="139" t="n"/>
      <c r="G2935" s="140">
        <f>IFERROR(IF(E2935&gt;0,(F2935/E2935)*1000,""),"")</f>
        <v/>
      </c>
      <c r="H2935" s="139">
        <f>IFERROR(IF(E2935&gt;0,E2935*IF(ISNUMBER(J2935),J2935,IF(OR(C2935="Alpha",B2935="Alpha"),$C$7,IF(C2935="Futures",$C$6,$C$5))),""),"")</f>
        <v/>
      </c>
      <c r="I2935" s="139">
        <f>IFERROR(IF(AND(ISNUMBER(F2935),ISNUMBER(H2935)),F2935-H2935,""),"")</f>
        <v/>
      </c>
      <c r="J2935" s="114" t="n"/>
      <c r="K2935" s="139">
        <f>IFERROR(IF(H2935&gt;0,H2935*IF(OR(C2935="Alpha",B2935="Alpha"),$C$9,$C$8),""),"")</f>
        <v/>
      </c>
      <c r="L2935" s="139">
        <f>IFERROR(IF(ISNUMBER(F2935),F2935-IF(ISNUMBER(K2935),K2935,0),""),"")</f>
        <v/>
      </c>
    </row>
    <row r="2936" ht="24" customHeight="1" s="63">
      <c r="E2936" s="139" t="n"/>
      <c r="F2936" s="139" t="n"/>
      <c r="G2936" s="140">
        <f>IFERROR(IF(E2936&gt;0,(F2936/E2936)*1000,""),"")</f>
        <v/>
      </c>
      <c r="H2936" s="139">
        <f>IFERROR(IF(E2936&gt;0,E2936*IF(ISNUMBER(J2936),J2936,IF(OR(C2936="Alpha",B2936="Alpha"),$C$7,IF(C2936="Futures",$C$6,$C$5))),""),"")</f>
        <v/>
      </c>
      <c r="I2936" s="139">
        <f>IFERROR(IF(AND(ISNUMBER(F2936),ISNUMBER(H2936)),F2936-H2936,""),"")</f>
        <v/>
      </c>
      <c r="J2936" s="114" t="n"/>
      <c r="K2936" s="139">
        <f>IFERROR(IF(H2936&gt;0,H2936*IF(OR(C2936="Alpha",B2936="Alpha"),$C$9,$C$8),""),"")</f>
        <v/>
      </c>
      <c r="L2936" s="139">
        <f>IFERROR(IF(ISNUMBER(F2936),F2936-IF(ISNUMBER(K2936),K2936,0),""),"")</f>
        <v/>
      </c>
    </row>
    <row r="2937" ht="24" customHeight="1" s="63">
      <c r="E2937" s="139" t="n"/>
      <c r="F2937" s="139" t="n"/>
      <c r="G2937" s="140">
        <f>IFERROR(IF(E2937&gt;0,(F2937/E2937)*1000,""),"")</f>
        <v/>
      </c>
      <c r="H2937" s="139">
        <f>IFERROR(IF(E2937&gt;0,E2937*IF(ISNUMBER(J2937),J2937,IF(OR(C2937="Alpha",B2937="Alpha"),$C$7,IF(C2937="Futures",$C$6,$C$5))),""),"")</f>
        <v/>
      </c>
      <c r="I2937" s="139">
        <f>IFERROR(IF(AND(ISNUMBER(F2937),ISNUMBER(H2937)),F2937-H2937,""),"")</f>
        <v/>
      </c>
      <c r="J2937" s="114" t="n"/>
      <c r="K2937" s="139">
        <f>IFERROR(IF(H2937&gt;0,H2937*IF(OR(C2937="Alpha",B2937="Alpha"),$C$9,$C$8),""),"")</f>
        <v/>
      </c>
      <c r="L2937" s="139">
        <f>IFERROR(IF(ISNUMBER(F2937),F2937-IF(ISNUMBER(K2937),K2937,0),""),"")</f>
        <v/>
      </c>
    </row>
    <row r="2938" ht="24" customHeight="1" s="63">
      <c r="E2938" s="139" t="n"/>
      <c r="F2938" s="139" t="n"/>
      <c r="G2938" s="140">
        <f>IFERROR(IF(E2938&gt;0,(F2938/E2938)*1000,""),"")</f>
        <v/>
      </c>
      <c r="H2938" s="139">
        <f>IFERROR(IF(E2938&gt;0,E2938*IF(ISNUMBER(J2938),J2938,IF(OR(C2938="Alpha",B2938="Alpha"),$C$7,IF(C2938="Futures",$C$6,$C$5))),""),"")</f>
        <v/>
      </c>
      <c r="I2938" s="139">
        <f>IFERROR(IF(AND(ISNUMBER(F2938),ISNUMBER(H2938)),F2938-H2938,""),"")</f>
        <v/>
      </c>
      <c r="J2938" s="114" t="n"/>
      <c r="K2938" s="139">
        <f>IFERROR(IF(H2938&gt;0,H2938*IF(OR(C2938="Alpha",B2938="Alpha"),$C$9,$C$8),""),"")</f>
        <v/>
      </c>
      <c r="L2938" s="139">
        <f>IFERROR(IF(ISNUMBER(F2938),F2938-IF(ISNUMBER(K2938),K2938,0),""),"")</f>
        <v/>
      </c>
    </row>
    <row r="2939" ht="24" customHeight="1" s="63">
      <c r="E2939" s="139" t="n"/>
      <c r="F2939" s="139" t="n"/>
      <c r="G2939" s="140">
        <f>IFERROR(IF(E2939&gt;0,(F2939/E2939)*1000,""),"")</f>
        <v/>
      </c>
      <c r="H2939" s="139">
        <f>IFERROR(IF(E2939&gt;0,E2939*IF(ISNUMBER(J2939),J2939,IF(OR(C2939="Alpha",B2939="Alpha"),$C$7,IF(C2939="Futures",$C$6,$C$5))),""),"")</f>
        <v/>
      </c>
      <c r="I2939" s="139">
        <f>IFERROR(IF(AND(ISNUMBER(F2939),ISNUMBER(H2939)),F2939-H2939,""),"")</f>
        <v/>
      </c>
      <c r="J2939" s="114" t="n"/>
      <c r="K2939" s="139">
        <f>IFERROR(IF(H2939&gt;0,H2939*IF(OR(C2939="Alpha",B2939="Alpha"),$C$9,$C$8),""),"")</f>
        <v/>
      </c>
      <c r="L2939" s="139">
        <f>IFERROR(IF(ISNUMBER(F2939),F2939-IF(ISNUMBER(K2939),K2939,0),""),"")</f>
        <v/>
      </c>
    </row>
    <row r="2940" ht="24" customHeight="1" s="63">
      <c r="E2940" s="139" t="n"/>
      <c r="F2940" s="139" t="n"/>
      <c r="G2940" s="140">
        <f>IFERROR(IF(E2940&gt;0,(F2940/E2940)*1000,""),"")</f>
        <v/>
      </c>
      <c r="H2940" s="139">
        <f>IFERROR(IF(E2940&gt;0,E2940*IF(ISNUMBER(J2940),J2940,IF(OR(C2940="Alpha",B2940="Alpha"),$C$7,IF(C2940="Futures",$C$6,$C$5))),""),"")</f>
        <v/>
      </c>
      <c r="I2940" s="139">
        <f>IFERROR(IF(AND(ISNUMBER(F2940),ISNUMBER(H2940)),F2940-H2940,""),"")</f>
        <v/>
      </c>
      <c r="J2940" s="114" t="n"/>
      <c r="K2940" s="139">
        <f>IFERROR(IF(H2940&gt;0,H2940*IF(OR(C2940="Alpha",B2940="Alpha"),$C$9,$C$8),""),"")</f>
        <v/>
      </c>
      <c r="L2940" s="139">
        <f>IFERROR(IF(ISNUMBER(F2940),F2940-IF(ISNUMBER(K2940),K2940,0),""),"")</f>
        <v/>
      </c>
    </row>
    <row r="2941" ht="24" customHeight="1" s="63">
      <c r="E2941" s="139" t="n"/>
      <c r="F2941" s="139" t="n"/>
      <c r="G2941" s="140">
        <f>IFERROR(IF(E2941&gt;0,(F2941/E2941)*1000,""),"")</f>
        <v/>
      </c>
      <c r="H2941" s="139">
        <f>IFERROR(IF(E2941&gt;0,E2941*IF(ISNUMBER(J2941),J2941,IF(OR(C2941="Alpha",B2941="Alpha"),$C$7,IF(C2941="Futures",$C$6,$C$5))),""),"")</f>
        <v/>
      </c>
      <c r="I2941" s="139">
        <f>IFERROR(IF(AND(ISNUMBER(F2941),ISNUMBER(H2941)),F2941-H2941,""),"")</f>
        <v/>
      </c>
      <c r="J2941" s="114" t="n"/>
      <c r="K2941" s="139">
        <f>IFERROR(IF(H2941&gt;0,H2941*IF(OR(C2941="Alpha",B2941="Alpha"),$C$9,$C$8),""),"")</f>
        <v/>
      </c>
      <c r="L2941" s="139">
        <f>IFERROR(IF(ISNUMBER(F2941),F2941-IF(ISNUMBER(K2941),K2941,0),""),"")</f>
        <v/>
      </c>
    </row>
    <row r="2942" ht="24" customHeight="1" s="63">
      <c r="E2942" s="139" t="n"/>
      <c r="F2942" s="139" t="n"/>
      <c r="G2942" s="140">
        <f>IFERROR(IF(E2942&gt;0,(F2942/E2942)*1000,""),"")</f>
        <v/>
      </c>
      <c r="H2942" s="139">
        <f>IFERROR(IF(E2942&gt;0,E2942*IF(ISNUMBER(J2942),J2942,IF(OR(C2942="Alpha",B2942="Alpha"),$C$7,IF(C2942="Futures",$C$6,$C$5))),""),"")</f>
        <v/>
      </c>
      <c r="I2942" s="139">
        <f>IFERROR(IF(AND(ISNUMBER(F2942),ISNUMBER(H2942)),F2942-H2942,""),"")</f>
        <v/>
      </c>
      <c r="J2942" s="114" t="n"/>
      <c r="K2942" s="139">
        <f>IFERROR(IF(H2942&gt;0,H2942*IF(OR(C2942="Alpha",B2942="Alpha"),$C$9,$C$8),""),"")</f>
        <v/>
      </c>
      <c r="L2942" s="139">
        <f>IFERROR(IF(ISNUMBER(F2942),F2942-IF(ISNUMBER(K2942),K2942,0),""),"")</f>
        <v/>
      </c>
    </row>
    <row r="2943" ht="24" customHeight="1" s="63">
      <c r="E2943" s="139" t="n"/>
      <c r="F2943" s="139" t="n"/>
      <c r="G2943" s="140">
        <f>IFERROR(IF(E2943&gt;0,(F2943/E2943)*1000,""),"")</f>
        <v/>
      </c>
      <c r="H2943" s="139">
        <f>IFERROR(IF(E2943&gt;0,E2943*IF(ISNUMBER(J2943),J2943,IF(OR(C2943="Alpha",B2943="Alpha"),$C$7,IF(C2943="Futures",$C$6,$C$5))),""),"")</f>
        <v/>
      </c>
      <c r="I2943" s="139">
        <f>IFERROR(IF(AND(ISNUMBER(F2943),ISNUMBER(H2943)),F2943-H2943,""),"")</f>
        <v/>
      </c>
      <c r="J2943" s="114" t="n"/>
      <c r="K2943" s="139">
        <f>IFERROR(IF(H2943&gt;0,H2943*IF(OR(C2943="Alpha",B2943="Alpha"),$C$9,$C$8),""),"")</f>
        <v/>
      </c>
      <c r="L2943" s="139">
        <f>IFERROR(IF(ISNUMBER(F2943),F2943-IF(ISNUMBER(K2943),K2943,0),""),"")</f>
        <v/>
      </c>
    </row>
    <row r="2944" ht="24" customHeight="1" s="63">
      <c r="E2944" s="139" t="n"/>
      <c r="F2944" s="139" t="n"/>
      <c r="G2944" s="140">
        <f>IFERROR(IF(E2944&gt;0,(F2944/E2944)*1000,""),"")</f>
        <v/>
      </c>
      <c r="H2944" s="139">
        <f>IFERROR(IF(E2944&gt;0,E2944*IF(ISNUMBER(J2944),J2944,IF(OR(C2944="Alpha",B2944="Alpha"),$C$7,IF(C2944="Futures",$C$6,$C$5))),""),"")</f>
        <v/>
      </c>
      <c r="I2944" s="139">
        <f>IFERROR(IF(AND(ISNUMBER(F2944),ISNUMBER(H2944)),F2944-H2944,""),"")</f>
        <v/>
      </c>
      <c r="J2944" s="114" t="n"/>
      <c r="K2944" s="139">
        <f>IFERROR(IF(H2944&gt;0,H2944*IF(OR(C2944="Alpha",B2944="Alpha"),$C$9,$C$8),""),"")</f>
        <v/>
      </c>
      <c r="L2944" s="139">
        <f>IFERROR(IF(ISNUMBER(F2944),F2944-IF(ISNUMBER(K2944),K2944,0),""),"")</f>
        <v/>
      </c>
    </row>
    <row r="2945" ht="24" customHeight="1" s="63">
      <c r="E2945" s="139" t="n"/>
      <c r="F2945" s="139" t="n"/>
      <c r="G2945" s="140">
        <f>IFERROR(IF(E2945&gt;0,(F2945/E2945)*1000,""),"")</f>
        <v/>
      </c>
      <c r="H2945" s="139">
        <f>IFERROR(IF(E2945&gt;0,E2945*IF(ISNUMBER(J2945),J2945,IF(OR(C2945="Alpha",B2945="Alpha"),$C$7,IF(C2945="Futures",$C$6,$C$5))),""),"")</f>
        <v/>
      </c>
      <c r="I2945" s="139">
        <f>IFERROR(IF(AND(ISNUMBER(F2945),ISNUMBER(H2945)),F2945-H2945,""),"")</f>
        <v/>
      </c>
      <c r="J2945" s="114" t="n"/>
      <c r="K2945" s="139">
        <f>IFERROR(IF(H2945&gt;0,H2945*IF(OR(C2945="Alpha",B2945="Alpha"),$C$9,$C$8),""),"")</f>
        <v/>
      </c>
      <c r="L2945" s="139">
        <f>IFERROR(IF(ISNUMBER(F2945),F2945-IF(ISNUMBER(K2945),K2945,0),""),"")</f>
        <v/>
      </c>
    </row>
    <row r="2946" ht="24" customHeight="1" s="63">
      <c r="E2946" s="139" t="n"/>
      <c r="F2946" s="139" t="n"/>
      <c r="G2946" s="140">
        <f>IFERROR(IF(E2946&gt;0,(F2946/E2946)*1000,""),"")</f>
        <v/>
      </c>
      <c r="H2946" s="139">
        <f>IFERROR(IF(E2946&gt;0,E2946*IF(ISNUMBER(J2946),J2946,IF(OR(C2946="Alpha",B2946="Alpha"),$C$7,IF(C2946="Futures",$C$6,$C$5))),""),"")</f>
        <v/>
      </c>
      <c r="I2946" s="139">
        <f>IFERROR(IF(AND(ISNUMBER(F2946),ISNUMBER(H2946)),F2946-H2946,""),"")</f>
        <v/>
      </c>
      <c r="J2946" s="114" t="n"/>
      <c r="K2946" s="139">
        <f>IFERROR(IF(H2946&gt;0,H2946*IF(OR(C2946="Alpha",B2946="Alpha"),$C$9,$C$8),""),"")</f>
        <v/>
      </c>
      <c r="L2946" s="139">
        <f>IFERROR(IF(ISNUMBER(F2946),F2946-IF(ISNUMBER(K2946),K2946,0),""),"")</f>
        <v/>
      </c>
    </row>
    <row r="2947" ht="24" customHeight="1" s="63">
      <c r="E2947" s="139" t="n"/>
      <c r="F2947" s="139" t="n"/>
      <c r="G2947" s="140">
        <f>IFERROR(IF(E2947&gt;0,(F2947/E2947)*1000,""),"")</f>
        <v/>
      </c>
      <c r="H2947" s="139">
        <f>IFERROR(IF(E2947&gt;0,E2947*IF(ISNUMBER(J2947),J2947,IF(OR(C2947="Alpha",B2947="Alpha"),$C$7,IF(C2947="Futures",$C$6,$C$5))),""),"")</f>
        <v/>
      </c>
      <c r="I2947" s="139">
        <f>IFERROR(IF(AND(ISNUMBER(F2947),ISNUMBER(H2947)),F2947-H2947,""),"")</f>
        <v/>
      </c>
      <c r="J2947" s="114" t="n"/>
      <c r="K2947" s="139">
        <f>IFERROR(IF(H2947&gt;0,H2947*IF(OR(C2947="Alpha",B2947="Alpha"),$C$9,$C$8),""),"")</f>
        <v/>
      </c>
      <c r="L2947" s="139">
        <f>IFERROR(IF(ISNUMBER(F2947),F2947-IF(ISNUMBER(K2947),K2947,0),""),"")</f>
        <v/>
      </c>
    </row>
    <row r="2948" ht="24" customHeight="1" s="63">
      <c r="E2948" s="139" t="n"/>
      <c r="F2948" s="139" t="n"/>
      <c r="G2948" s="140">
        <f>IFERROR(IF(E2948&gt;0,(F2948/E2948)*1000,""),"")</f>
        <v/>
      </c>
      <c r="H2948" s="139">
        <f>IFERROR(IF(E2948&gt;0,E2948*IF(ISNUMBER(J2948),J2948,IF(OR(C2948="Alpha",B2948="Alpha"),$C$7,IF(C2948="Futures",$C$6,$C$5))),""),"")</f>
        <v/>
      </c>
      <c r="I2948" s="139">
        <f>IFERROR(IF(AND(ISNUMBER(F2948),ISNUMBER(H2948)),F2948-H2948,""),"")</f>
        <v/>
      </c>
      <c r="J2948" s="114" t="n"/>
      <c r="K2948" s="139">
        <f>IFERROR(IF(H2948&gt;0,H2948*IF(OR(C2948="Alpha",B2948="Alpha"),$C$9,$C$8),""),"")</f>
        <v/>
      </c>
      <c r="L2948" s="139">
        <f>IFERROR(IF(ISNUMBER(F2948),F2948-IF(ISNUMBER(K2948),K2948,0),""),"")</f>
        <v/>
      </c>
    </row>
    <row r="2949" ht="24" customHeight="1" s="63">
      <c r="E2949" s="139" t="n"/>
      <c r="F2949" s="139" t="n"/>
      <c r="G2949" s="140">
        <f>IFERROR(IF(E2949&gt;0,(F2949/E2949)*1000,""),"")</f>
        <v/>
      </c>
      <c r="H2949" s="139">
        <f>IFERROR(IF(E2949&gt;0,E2949*IF(ISNUMBER(J2949),J2949,IF(OR(C2949="Alpha",B2949="Alpha"),$C$7,IF(C2949="Futures",$C$6,$C$5))),""),"")</f>
        <v/>
      </c>
      <c r="I2949" s="139">
        <f>IFERROR(IF(AND(ISNUMBER(F2949),ISNUMBER(H2949)),F2949-H2949,""),"")</f>
        <v/>
      </c>
      <c r="J2949" s="114" t="n"/>
      <c r="K2949" s="139">
        <f>IFERROR(IF(H2949&gt;0,H2949*IF(OR(C2949="Alpha",B2949="Alpha"),$C$9,$C$8),""),"")</f>
        <v/>
      </c>
      <c r="L2949" s="139">
        <f>IFERROR(IF(ISNUMBER(F2949),F2949-IF(ISNUMBER(K2949),K2949,0),""),"")</f>
        <v/>
      </c>
    </row>
    <row r="2950" ht="24" customHeight="1" s="63">
      <c r="E2950" s="139" t="n"/>
      <c r="F2950" s="139" t="n"/>
      <c r="G2950" s="140">
        <f>IFERROR(IF(E2950&gt;0,(F2950/E2950)*1000,""),"")</f>
        <v/>
      </c>
      <c r="H2950" s="139">
        <f>IFERROR(IF(E2950&gt;0,E2950*IF(ISNUMBER(J2950),J2950,IF(OR(C2950="Alpha",B2950="Alpha"),$C$7,IF(C2950="Futures",$C$6,$C$5))),""),"")</f>
        <v/>
      </c>
      <c r="I2950" s="139">
        <f>IFERROR(IF(AND(ISNUMBER(F2950),ISNUMBER(H2950)),F2950-H2950,""),"")</f>
        <v/>
      </c>
      <c r="J2950" s="114" t="n"/>
      <c r="K2950" s="139">
        <f>IFERROR(IF(H2950&gt;0,H2950*IF(OR(C2950="Alpha",B2950="Alpha"),$C$9,$C$8),""),"")</f>
        <v/>
      </c>
      <c r="L2950" s="139">
        <f>IFERROR(IF(ISNUMBER(F2950),F2950-IF(ISNUMBER(K2950),K2950,0),""),"")</f>
        <v/>
      </c>
    </row>
    <row r="2951" ht="24" customHeight="1" s="63">
      <c r="E2951" s="139" t="n"/>
      <c r="F2951" s="139" t="n"/>
      <c r="G2951" s="140">
        <f>IFERROR(IF(E2951&gt;0,(F2951/E2951)*1000,""),"")</f>
        <v/>
      </c>
      <c r="H2951" s="139">
        <f>IFERROR(IF(E2951&gt;0,E2951*IF(ISNUMBER(J2951),J2951,IF(OR(C2951="Alpha",B2951="Alpha"),$C$7,IF(C2951="Futures",$C$6,$C$5))),""),"")</f>
        <v/>
      </c>
      <c r="I2951" s="139">
        <f>IFERROR(IF(AND(ISNUMBER(F2951),ISNUMBER(H2951)),F2951-H2951,""),"")</f>
        <v/>
      </c>
      <c r="J2951" s="114" t="n"/>
      <c r="K2951" s="139">
        <f>IFERROR(IF(H2951&gt;0,H2951*IF(OR(C2951="Alpha",B2951="Alpha"),$C$9,$C$8),""),"")</f>
        <v/>
      </c>
      <c r="L2951" s="139">
        <f>IFERROR(IF(ISNUMBER(F2951),F2951-IF(ISNUMBER(K2951),K2951,0),""),"")</f>
        <v/>
      </c>
    </row>
    <row r="2952" ht="24" customHeight="1" s="63">
      <c r="E2952" s="139" t="n"/>
      <c r="F2952" s="139" t="n"/>
      <c r="G2952" s="140">
        <f>IFERROR(IF(E2952&gt;0,(F2952/E2952)*1000,""),"")</f>
        <v/>
      </c>
      <c r="H2952" s="139">
        <f>IFERROR(IF(E2952&gt;0,E2952*IF(ISNUMBER(J2952),J2952,IF(OR(C2952="Alpha",B2952="Alpha"),$C$7,IF(C2952="Futures",$C$6,$C$5))),""),"")</f>
        <v/>
      </c>
      <c r="I2952" s="139">
        <f>IFERROR(IF(AND(ISNUMBER(F2952),ISNUMBER(H2952)),F2952-H2952,""),"")</f>
        <v/>
      </c>
      <c r="J2952" s="114" t="n"/>
      <c r="K2952" s="139">
        <f>IFERROR(IF(H2952&gt;0,H2952*IF(OR(C2952="Alpha",B2952="Alpha"),$C$9,$C$8),""),"")</f>
        <v/>
      </c>
      <c r="L2952" s="139">
        <f>IFERROR(IF(ISNUMBER(F2952),F2952-IF(ISNUMBER(K2952),K2952,0),""),"")</f>
        <v/>
      </c>
    </row>
    <row r="2953" ht="24" customHeight="1" s="63">
      <c r="E2953" s="139" t="n"/>
      <c r="F2953" s="139" t="n"/>
      <c r="G2953" s="140">
        <f>IFERROR(IF(E2953&gt;0,(F2953/E2953)*1000,""),"")</f>
        <v/>
      </c>
      <c r="H2953" s="139">
        <f>IFERROR(IF(E2953&gt;0,E2953*IF(ISNUMBER(J2953),J2953,IF(OR(C2953="Alpha",B2953="Alpha"),$C$7,IF(C2953="Futures",$C$6,$C$5))),""),"")</f>
        <v/>
      </c>
      <c r="I2953" s="139">
        <f>IFERROR(IF(AND(ISNUMBER(F2953),ISNUMBER(H2953)),F2953-H2953,""),"")</f>
        <v/>
      </c>
      <c r="J2953" s="114" t="n"/>
      <c r="K2953" s="139">
        <f>IFERROR(IF(H2953&gt;0,H2953*IF(OR(C2953="Alpha",B2953="Alpha"),$C$9,$C$8),""),"")</f>
        <v/>
      </c>
      <c r="L2953" s="139">
        <f>IFERROR(IF(ISNUMBER(F2953),F2953-IF(ISNUMBER(K2953),K2953,0),""),"")</f>
        <v/>
      </c>
    </row>
    <row r="2954" ht="24" customHeight="1" s="63">
      <c r="E2954" s="139" t="n"/>
      <c r="F2954" s="139" t="n"/>
      <c r="G2954" s="140">
        <f>IFERROR(IF(E2954&gt;0,(F2954/E2954)*1000,""),"")</f>
        <v/>
      </c>
      <c r="H2954" s="139">
        <f>IFERROR(IF(E2954&gt;0,E2954*IF(ISNUMBER(J2954),J2954,IF(OR(C2954="Alpha",B2954="Alpha"),$C$7,IF(C2954="Futures",$C$6,$C$5))),""),"")</f>
        <v/>
      </c>
      <c r="I2954" s="139">
        <f>IFERROR(IF(AND(ISNUMBER(F2954),ISNUMBER(H2954)),F2954-H2954,""),"")</f>
        <v/>
      </c>
      <c r="J2954" s="114" t="n"/>
      <c r="K2954" s="139">
        <f>IFERROR(IF(H2954&gt;0,H2954*IF(OR(C2954="Alpha",B2954="Alpha"),$C$9,$C$8),""),"")</f>
        <v/>
      </c>
      <c r="L2954" s="139">
        <f>IFERROR(IF(ISNUMBER(F2954),F2954-IF(ISNUMBER(K2954),K2954,0),""),"")</f>
        <v/>
      </c>
    </row>
    <row r="2955" ht="24" customHeight="1" s="63">
      <c r="E2955" s="139" t="n"/>
      <c r="F2955" s="139" t="n"/>
      <c r="G2955" s="140">
        <f>IFERROR(IF(E2955&gt;0,(F2955/E2955)*1000,""),"")</f>
        <v/>
      </c>
      <c r="H2955" s="139">
        <f>IFERROR(IF(E2955&gt;0,E2955*IF(ISNUMBER(J2955),J2955,IF(OR(C2955="Alpha",B2955="Alpha"),$C$7,IF(C2955="Futures",$C$6,$C$5))),""),"")</f>
        <v/>
      </c>
      <c r="I2955" s="139">
        <f>IFERROR(IF(AND(ISNUMBER(F2955),ISNUMBER(H2955)),F2955-H2955,""),"")</f>
        <v/>
      </c>
      <c r="J2955" s="114" t="n"/>
      <c r="K2955" s="139">
        <f>IFERROR(IF(H2955&gt;0,H2955*IF(OR(C2955="Alpha",B2955="Alpha"),$C$9,$C$8),""),"")</f>
        <v/>
      </c>
      <c r="L2955" s="139">
        <f>IFERROR(IF(ISNUMBER(F2955),F2955-IF(ISNUMBER(K2955),K2955,0),""),"")</f>
        <v/>
      </c>
    </row>
    <row r="2956" ht="24" customHeight="1" s="63">
      <c r="E2956" s="139" t="n"/>
      <c r="F2956" s="139" t="n"/>
      <c r="G2956" s="140">
        <f>IFERROR(IF(E2956&gt;0,(F2956/E2956)*1000,""),"")</f>
        <v/>
      </c>
      <c r="H2956" s="139">
        <f>IFERROR(IF(E2956&gt;0,E2956*IF(ISNUMBER(J2956),J2956,IF(OR(C2956="Alpha",B2956="Alpha"),$C$7,IF(C2956="Futures",$C$6,$C$5))),""),"")</f>
        <v/>
      </c>
      <c r="I2956" s="139">
        <f>IFERROR(IF(AND(ISNUMBER(F2956),ISNUMBER(H2956)),F2956-H2956,""),"")</f>
        <v/>
      </c>
      <c r="J2956" s="114" t="n"/>
      <c r="K2956" s="139">
        <f>IFERROR(IF(H2956&gt;0,H2956*IF(OR(C2956="Alpha",B2956="Alpha"),$C$9,$C$8),""),"")</f>
        <v/>
      </c>
      <c r="L2956" s="139">
        <f>IFERROR(IF(ISNUMBER(F2956),F2956-IF(ISNUMBER(K2956),K2956,0),""),"")</f>
        <v/>
      </c>
    </row>
    <row r="2957" ht="24" customHeight="1" s="63">
      <c r="E2957" s="139" t="n"/>
      <c r="F2957" s="139" t="n"/>
      <c r="G2957" s="140">
        <f>IFERROR(IF(E2957&gt;0,(F2957/E2957)*1000,""),"")</f>
        <v/>
      </c>
      <c r="H2957" s="139">
        <f>IFERROR(IF(E2957&gt;0,E2957*IF(ISNUMBER(J2957),J2957,IF(OR(C2957="Alpha",B2957="Alpha"),$C$7,IF(C2957="Futures",$C$6,$C$5))),""),"")</f>
        <v/>
      </c>
      <c r="I2957" s="139">
        <f>IFERROR(IF(AND(ISNUMBER(F2957),ISNUMBER(H2957)),F2957-H2957,""),"")</f>
        <v/>
      </c>
      <c r="J2957" s="114" t="n"/>
      <c r="K2957" s="139">
        <f>IFERROR(IF(H2957&gt;0,H2957*IF(OR(C2957="Alpha",B2957="Alpha"),$C$9,$C$8),""),"")</f>
        <v/>
      </c>
      <c r="L2957" s="139">
        <f>IFERROR(IF(ISNUMBER(F2957),F2957-IF(ISNUMBER(K2957),K2957,0),""),"")</f>
        <v/>
      </c>
    </row>
    <row r="2958" ht="24" customHeight="1" s="63">
      <c r="E2958" s="139" t="n"/>
      <c r="F2958" s="139" t="n"/>
      <c r="G2958" s="140">
        <f>IFERROR(IF(E2958&gt;0,(F2958/E2958)*1000,""),"")</f>
        <v/>
      </c>
      <c r="H2958" s="139">
        <f>IFERROR(IF(E2958&gt;0,E2958*IF(ISNUMBER(J2958),J2958,IF(OR(C2958="Alpha",B2958="Alpha"),$C$7,IF(C2958="Futures",$C$6,$C$5))),""),"")</f>
        <v/>
      </c>
      <c r="I2958" s="139">
        <f>IFERROR(IF(AND(ISNUMBER(F2958),ISNUMBER(H2958)),F2958-H2958,""),"")</f>
        <v/>
      </c>
      <c r="J2958" s="114" t="n"/>
      <c r="K2958" s="139">
        <f>IFERROR(IF(H2958&gt;0,H2958*IF(OR(C2958="Alpha",B2958="Alpha"),$C$9,$C$8),""),"")</f>
        <v/>
      </c>
      <c r="L2958" s="139">
        <f>IFERROR(IF(ISNUMBER(F2958),F2958-IF(ISNUMBER(K2958),K2958,0),""),"")</f>
        <v/>
      </c>
    </row>
    <row r="2959" ht="24" customHeight="1" s="63">
      <c r="E2959" s="139" t="n"/>
      <c r="F2959" s="139" t="n"/>
      <c r="G2959" s="140">
        <f>IFERROR(IF(E2959&gt;0,(F2959/E2959)*1000,""),"")</f>
        <v/>
      </c>
      <c r="H2959" s="139">
        <f>IFERROR(IF(E2959&gt;0,E2959*IF(ISNUMBER(J2959),J2959,IF(OR(C2959="Alpha",B2959="Alpha"),$C$7,IF(C2959="Futures",$C$6,$C$5))),""),"")</f>
        <v/>
      </c>
      <c r="I2959" s="139">
        <f>IFERROR(IF(AND(ISNUMBER(F2959),ISNUMBER(H2959)),F2959-H2959,""),"")</f>
        <v/>
      </c>
      <c r="J2959" s="114" t="n"/>
      <c r="K2959" s="139">
        <f>IFERROR(IF(H2959&gt;0,H2959*IF(OR(C2959="Alpha",B2959="Alpha"),$C$9,$C$8),""),"")</f>
        <v/>
      </c>
      <c r="L2959" s="139">
        <f>IFERROR(IF(ISNUMBER(F2959),F2959-IF(ISNUMBER(K2959),K2959,0),""),"")</f>
        <v/>
      </c>
    </row>
    <row r="2960" ht="24" customHeight="1" s="63">
      <c r="E2960" s="139" t="n"/>
      <c r="F2960" s="139" t="n"/>
      <c r="G2960" s="140">
        <f>IFERROR(IF(E2960&gt;0,(F2960/E2960)*1000,""),"")</f>
        <v/>
      </c>
      <c r="H2960" s="139">
        <f>IFERROR(IF(E2960&gt;0,E2960*IF(ISNUMBER(J2960),J2960,IF(OR(C2960="Alpha",B2960="Alpha"),$C$7,IF(C2960="Futures",$C$6,$C$5))),""),"")</f>
        <v/>
      </c>
      <c r="I2960" s="139">
        <f>IFERROR(IF(AND(ISNUMBER(F2960),ISNUMBER(H2960)),F2960-H2960,""),"")</f>
        <v/>
      </c>
      <c r="J2960" s="114" t="n"/>
      <c r="K2960" s="139">
        <f>IFERROR(IF(H2960&gt;0,H2960*IF(OR(C2960="Alpha",B2960="Alpha"),$C$9,$C$8),""),"")</f>
        <v/>
      </c>
      <c r="L2960" s="139">
        <f>IFERROR(IF(ISNUMBER(F2960),F2960-IF(ISNUMBER(K2960),K2960,0),""),"")</f>
        <v/>
      </c>
    </row>
    <row r="2961" ht="24" customHeight="1" s="63">
      <c r="E2961" s="139" t="n"/>
      <c r="F2961" s="139" t="n"/>
      <c r="G2961" s="140">
        <f>IFERROR(IF(E2961&gt;0,(F2961/E2961)*1000,""),"")</f>
        <v/>
      </c>
      <c r="H2961" s="139">
        <f>IFERROR(IF(E2961&gt;0,E2961*IF(ISNUMBER(J2961),J2961,IF(OR(C2961="Alpha",B2961="Alpha"),$C$7,IF(C2961="Futures",$C$6,$C$5))),""),"")</f>
        <v/>
      </c>
      <c r="I2961" s="139">
        <f>IFERROR(IF(AND(ISNUMBER(F2961),ISNUMBER(H2961)),F2961-H2961,""),"")</f>
        <v/>
      </c>
      <c r="J2961" s="114" t="n"/>
      <c r="K2961" s="139">
        <f>IFERROR(IF(H2961&gt;0,H2961*IF(OR(C2961="Alpha",B2961="Alpha"),$C$9,$C$8),""),"")</f>
        <v/>
      </c>
      <c r="L2961" s="139">
        <f>IFERROR(IF(ISNUMBER(F2961),F2961-IF(ISNUMBER(K2961),K2961,0),""),"")</f>
        <v/>
      </c>
    </row>
    <row r="2962" ht="24" customHeight="1" s="63">
      <c r="E2962" s="139" t="n"/>
      <c r="F2962" s="139" t="n"/>
      <c r="G2962" s="140">
        <f>IFERROR(IF(E2962&gt;0,(F2962/E2962)*1000,""),"")</f>
        <v/>
      </c>
      <c r="H2962" s="139">
        <f>IFERROR(IF(E2962&gt;0,E2962*IF(ISNUMBER(J2962),J2962,IF(OR(C2962="Alpha",B2962="Alpha"),$C$7,IF(C2962="Futures",$C$6,$C$5))),""),"")</f>
        <v/>
      </c>
      <c r="I2962" s="139">
        <f>IFERROR(IF(AND(ISNUMBER(F2962),ISNUMBER(H2962)),F2962-H2962,""),"")</f>
        <v/>
      </c>
      <c r="J2962" s="114" t="n"/>
      <c r="K2962" s="139">
        <f>IFERROR(IF(H2962&gt;0,H2962*IF(OR(C2962="Alpha",B2962="Alpha"),$C$9,$C$8),""),"")</f>
        <v/>
      </c>
      <c r="L2962" s="139">
        <f>IFERROR(IF(ISNUMBER(F2962),F2962-IF(ISNUMBER(K2962),K2962,0),""),"")</f>
        <v/>
      </c>
    </row>
    <row r="2963" ht="24" customHeight="1" s="63">
      <c r="E2963" s="139" t="n"/>
      <c r="F2963" s="139" t="n"/>
      <c r="G2963" s="140">
        <f>IFERROR(IF(E2963&gt;0,(F2963/E2963)*1000,""),"")</f>
        <v/>
      </c>
      <c r="H2963" s="139">
        <f>IFERROR(IF(E2963&gt;0,E2963*IF(ISNUMBER(J2963),J2963,IF(OR(C2963="Alpha",B2963="Alpha"),$C$7,IF(C2963="Futures",$C$6,$C$5))),""),"")</f>
        <v/>
      </c>
      <c r="I2963" s="139">
        <f>IFERROR(IF(AND(ISNUMBER(F2963),ISNUMBER(H2963)),F2963-H2963,""),"")</f>
        <v/>
      </c>
      <c r="J2963" s="114" t="n"/>
      <c r="K2963" s="139">
        <f>IFERROR(IF(H2963&gt;0,H2963*IF(OR(C2963="Alpha",B2963="Alpha"),$C$9,$C$8),""),"")</f>
        <v/>
      </c>
      <c r="L2963" s="139">
        <f>IFERROR(IF(ISNUMBER(F2963),F2963-IF(ISNUMBER(K2963),K2963,0),""),"")</f>
        <v/>
      </c>
    </row>
    <row r="2964" ht="24" customHeight="1" s="63">
      <c r="E2964" s="139" t="n"/>
      <c r="F2964" s="139" t="n"/>
      <c r="G2964" s="140">
        <f>IFERROR(IF(E2964&gt;0,(F2964/E2964)*1000,""),"")</f>
        <v/>
      </c>
      <c r="H2964" s="139">
        <f>IFERROR(IF(E2964&gt;0,E2964*IF(ISNUMBER(J2964),J2964,IF(OR(C2964="Alpha",B2964="Alpha"),$C$7,IF(C2964="Futures",$C$6,$C$5))),""),"")</f>
        <v/>
      </c>
      <c r="I2964" s="139">
        <f>IFERROR(IF(AND(ISNUMBER(F2964),ISNUMBER(H2964)),F2964-H2964,""),"")</f>
        <v/>
      </c>
      <c r="J2964" s="114" t="n"/>
      <c r="K2964" s="139">
        <f>IFERROR(IF(H2964&gt;0,H2964*IF(OR(C2964="Alpha",B2964="Alpha"),$C$9,$C$8),""),"")</f>
        <v/>
      </c>
      <c r="L2964" s="139">
        <f>IFERROR(IF(ISNUMBER(F2964),F2964-IF(ISNUMBER(K2964),K2964,0),""),"")</f>
        <v/>
      </c>
    </row>
    <row r="2965" ht="24" customHeight="1" s="63">
      <c r="E2965" s="139" t="n"/>
      <c r="F2965" s="139" t="n"/>
      <c r="G2965" s="140">
        <f>IFERROR(IF(E2965&gt;0,(F2965/E2965)*1000,""),"")</f>
        <v/>
      </c>
      <c r="H2965" s="139">
        <f>IFERROR(IF(E2965&gt;0,E2965*IF(ISNUMBER(J2965),J2965,IF(OR(C2965="Alpha",B2965="Alpha"),$C$7,IF(C2965="Futures",$C$6,$C$5))),""),"")</f>
        <v/>
      </c>
      <c r="I2965" s="139">
        <f>IFERROR(IF(AND(ISNUMBER(F2965),ISNUMBER(H2965)),F2965-H2965,""),"")</f>
        <v/>
      </c>
      <c r="J2965" s="114" t="n"/>
      <c r="K2965" s="139">
        <f>IFERROR(IF(H2965&gt;0,H2965*IF(OR(C2965="Alpha",B2965="Alpha"),$C$9,$C$8),""),"")</f>
        <v/>
      </c>
      <c r="L2965" s="139">
        <f>IFERROR(IF(ISNUMBER(F2965),F2965-IF(ISNUMBER(K2965),K2965,0),""),"")</f>
        <v/>
      </c>
    </row>
    <row r="2966" ht="24" customHeight="1" s="63">
      <c r="E2966" s="139" t="n"/>
      <c r="F2966" s="139" t="n"/>
      <c r="G2966" s="140">
        <f>IFERROR(IF(E2966&gt;0,(F2966/E2966)*1000,""),"")</f>
        <v/>
      </c>
      <c r="H2966" s="139">
        <f>IFERROR(IF(E2966&gt;0,E2966*IF(ISNUMBER(J2966),J2966,IF(OR(C2966="Alpha",B2966="Alpha"),$C$7,IF(C2966="Futures",$C$6,$C$5))),""),"")</f>
        <v/>
      </c>
      <c r="I2966" s="139">
        <f>IFERROR(IF(AND(ISNUMBER(F2966),ISNUMBER(H2966)),F2966-H2966,""),"")</f>
        <v/>
      </c>
      <c r="J2966" s="114" t="n"/>
      <c r="K2966" s="139">
        <f>IFERROR(IF(H2966&gt;0,H2966*IF(OR(C2966="Alpha",B2966="Alpha"),$C$9,$C$8),""),"")</f>
        <v/>
      </c>
      <c r="L2966" s="139">
        <f>IFERROR(IF(ISNUMBER(F2966),F2966-IF(ISNUMBER(K2966),K2966,0),""),"")</f>
        <v/>
      </c>
    </row>
    <row r="2967" ht="24" customHeight="1" s="63">
      <c r="E2967" s="139" t="n"/>
      <c r="F2967" s="139" t="n"/>
      <c r="G2967" s="140">
        <f>IFERROR(IF(E2967&gt;0,(F2967/E2967)*1000,""),"")</f>
        <v/>
      </c>
      <c r="H2967" s="139">
        <f>IFERROR(IF(E2967&gt;0,E2967*IF(ISNUMBER(J2967),J2967,IF(OR(C2967="Alpha",B2967="Alpha"),$C$7,IF(C2967="Futures",$C$6,$C$5))),""),"")</f>
        <v/>
      </c>
      <c r="I2967" s="139">
        <f>IFERROR(IF(AND(ISNUMBER(F2967),ISNUMBER(H2967)),F2967-H2967,""),"")</f>
        <v/>
      </c>
      <c r="J2967" s="114" t="n"/>
      <c r="K2967" s="139">
        <f>IFERROR(IF(H2967&gt;0,H2967*IF(OR(C2967="Alpha",B2967="Alpha"),$C$9,$C$8),""),"")</f>
        <v/>
      </c>
      <c r="L2967" s="139">
        <f>IFERROR(IF(ISNUMBER(F2967),F2967-IF(ISNUMBER(K2967),K2967,0),""),"")</f>
        <v/>
      </c>
    </row>
    <row r="2968" ht="24" customHeight="1" s="63">
      <c r="E2968" s="139" t="n"/>
      <c r="F2968" s="139" t="n"/>
      <c r="G2968" s="140">
        <f>IFERROR(IF(E2968&gt;0,(F2968/E2968)*1000,""),"")</f>
        <v/>
      </c>
      <c r="H2968" s="139">
        <f>IFERROR(IF(E2968&gt;0,E2968*IF(ISNUMBER(J2968),J2968,IF(OR(C2968="Alpha",B2968="Alpha"),$C$7,IF(C2968="Futures",$C$6,$C$5))),""),"")</f>
        <v/>
      </c>
      <c r="I2968" s="139">
        <f>IFERROR(IF(AND(ISNUMBER(F2968),ISNUMBER(H2968)),F2968-H2968,""),"")</f>
        <v/>
      </c>
      <c r="J2968" s="114" t="n"/>
      <c r="K2968" s="139">
        <f>IFERROR(IF(H2968&gt;0,H2968*IF(OR(C2968="Alpha",B2968="Alpha"),$C$9,$C$8),""),"")</f>
        <v/>
      </c>
      <c r="L2968" s="139">
        <f>IFERROR(IF(ISNUMBER(F2968),F2968-IF(ISNUMBER(K2968),K2968,0),""),"")</f>
        <v/>
      </c>
    </row>
    <row r="2969" ht="24" customHeight="1" s="63">
      <c r="E2969" s="139" t="n"/>
      <c r="F2969" s="139" t="n"/>
      <c r="G2969" s="140">
        <f>IFERROR(IF(E2969&gt;0,(F2969/E2969)*1000,""),"")</f>
        <v/>
      </c>
      <c r="H2969" s="139">
        <f>IFERROR(IF(E2969&gt;0,E2969*IF(ISNUMBER(J2969),J2969,IF(OR(C2969="Alpha",B2969="Alpha"),$C$7,IF(C2969="Futures",$C$6,$C$5))),""),"")</f>
        <v/>
      </c>
      <c r="I2969" s="139">
        <f>IFERROR(IF(AND(ISNUMBER(F2969),ISNUMBER(H2969)),F2969-H2969,""),"")</f>
        <v/>
      </c>
      <c r="J2969" s="114" t="n"/>
      <c r="K2969" s="139">
        <f>IFERROR(IF(H2969&gt;0,H2969*IF(OR(C2969="Alpha",B2969="Alpha"),$C$9,$C$8),""),"")</f>
        <v/>
      </c>
      <c r="L2969" s="139">
        <f>IFERROR(IF(ISNUMBER(F2969),F2969-IF(ISNUMBER(K2969),K2969,0),""),"")</f>
        <v/>
      </c>
    </row>
    <row r="2970" ht="24" customHeight="1" s="63">
      <c r="E2970" s="139" t="n"/>
      <c r="F2970" s="139" t="n"/>
      <c r="G2970" s="140">
        <f>IFERROR(IF(E2970&gt;0,(F2970/E2970)*1000,""),"")</f>
        <v/>
      </c>
      <c r="H2970" s="139">
        <f>IFERROR(IF(E2970&gt;0,E2970*IF(ISNUMBER(J2970),J2970,IF(OR(C2970="Alpha",B2970="Alpha"),$C$7,IF(C2970="Futures",$C$6,$C$5))),""),"")</f>
        <v/>
      </c>
      <c r="I2970" s="139">
        <f>IFERROR(IF(AND(ISNUMBER(F2970),ISNUMBER(H2970)),F2970-H2970,""),"")</f>
        <v/>
      </c>
      <c r="J2970" s="114" t="n"/>
      <c r="K2970" s="139">
        <f>IFERROR(IF(H2970&gt;0,H2970*IF(OR(C2970="Alpha",B2970="Alpha"),$C$9,$C$8),""),"")</f>
        <v/>
      </c>
      <c r="L2970" s="139">
        <f>IFERROR(IF(ISNUMBER(F2970),F2970-IF(ISNUMBER(K2970),K2970,0),""),"")</f>
        <v/>
      </c>
    </row>
    <row r="2971" ht="24" customHeight="1" s="63">
      <c r="E2971" s="139" t="n"/>
      <c r="F2971" s="139" t="n"/>
      <c r="G2971" s="140">
        <f>IFERROR(IF(E2971&gt;0,(F2971/E2971)*1000,""),"")</f>
        <v/>
      </c>
      <c r="H2971" s="139">
        <f>IFERROR(IF(E2971&gt;0,E2971*IF(ISNUMBER(J2971),J2971,IF(OR(C2971="Alpha",B2971="Alpha"),$C$7,IF(C2971="Futures",$C$6,$C$5))),""),"")</f>
        <v/>
      </c>
      <c r="I2971" s="139">
        <f>IFERROR(IF(AND(ISNUMBER(F2971),ISNUMBER(H2971)),F2971-H2971,""),"")</f>
        <v/>
      </c>
      <c r="J2971" s="114" t="n"/>
      <c r="K2971" s="139">
        <f>IFERROR(IF(H2971&gt;0,H2971*IF(OR(C2971="Alpha",B2971="Alpha"),$C$9,$C$8),""),"")</f>
        <v/>
      </c>
      <c r="L2971" s="139">
        <f>IFERROR(IF(ISNUMBER(F2971),F2971-IF(ISNUMBER(K2971),K2971,0),""),"")</f>
        <v/>
      </c>
    </row>
    <row r="2972" ht="24" customHeight="1" s="63">
      <c r="E2972" s="139" t="n"/>
      <c r="F2972" s="139" t="n"/>
      <c r="G2972" s="140">
        <f>IFERROR(IF(E2972&gt;0,(F2972/E2972)*1000,""),"")</f>
        <v/>
      </c>
      <c r="H2972" s="139">
        <f>IFERROR(IF(E2972&gt;0,E2972*IF(ISNUMBER(J2972),J2972,IF(OR(C2972="Alpha",B2972="Alpha"),$C$7,IF(C2972="Futures",$C$6,$C$5))),""),"")</f>
        <v/>
      </c>
      <c r="I2972" s="139">
        <f>IFERROR(IF(AND(ISNUMBER(F2972),ISNUMBER(H2972)),F2972-H2972,""),"")</f>
        <v/>
      </c>
      <c r="J2972" s="114" t="n"/>
      <c r="K2972" s="139">
        <f>IFERROR(IF(H2972&gt;0,H2972*IF(OR(C2972="Alpha",B2972="Alpha"),$C$9,$C$8),""),"")</f>
        <v/>
      </c>
      <c r="L2972" s="139">
        <f>IFERROR(IF(ISNUMBER(F2972),F2972-IF(ISNUMBER(K2972),K2972,0),""),"")</f>
        <v/>
      </c>
    </row>
    <row r="2973" ht="24" customHeight="1" s="63">
      <c r="E2973" s="139" t="n"/>
      <c r="F2973" s="139" t="n"/>
      <c r="G2973" s="140">
        <f>IFERROR(IF(E2973&gt;0,(F2973/E2973)*1000,""),"")</f>
        <v/>
      </c>
      <c r="H2973" s="139">
        <f>IFERROR(IF(E2973&gt;0,E2973*IF(ISNUMBER(J2973),J2973,IF(OR(C2973="Alpha",B2973="Alpha"),$C$7,IF(C2973="Futures",$C$6,$C$5))),""),"")</f>
        <v/>
      </c>
      <c r="I2973" s="139">
        <f>IFERROR(IF(AND(ISNUMBER(F2973),ISNUMBER(H2973)),F2973-H2973,""),"")</f>
        <v/>
      </c>
      <c r="J2973" s="114" t="n"/>
      <c r="K2973" s="139">
        <f>IFERROR(IF(H2973&gt;0,H2973*IF(OR(C2973="Alpha",B2973="Alpha"),$C$9,$C$8),""),"")</f>
        <v/>
      </c>
      <c r="L2973" s="139">
        <f>IFERROR(IF(ISNUMBER(F2973),F2973-IF(ISNUMBER(K2973),K2973,0),""),"")</f>
        <v/>
      </c>
    </row>
    <row r="2974" ht="24" customHeight="1" s="63">
      <c r="E2974" s="139" t="n"/>
      <c r="F2974" s="139" t="n"/>
      <c r="G2974" s="140">
        <f>IFERROR(IF(E2974&gt;0,(F2974/E2974)*1000,""),"")</f>
        <v/>
      </c>
      <c r="H2974" s="139">
        <f>IFERROR(IF(E2974&gt;0,E2974*IF(ISNUMBER(J2974),J2974,IF(OR(C2974="Alpha",B2974="Alpha"),$C$7,IF(C2974="Futures",$C$6,$C$5))),""),"")</f>
        <v/>
      </c>
      <c r="I2974" s="139">
        <f>IFERROR(IF(AND(ISNUMBER(F2974),ISNUMBER(H2974)),F2974-H2974,""),"")</f>
        <v/>
      </c>
      <c r="J2974" s="114" t="n"/>
      <c r="K2974" s="139">
        <f>IFERROR(IF(H2974&gt;0,H2974*IF(OR(C2974="Alpha",B2974="Alpha"),$C$9,$C$8),""),"")</f>
        <v/>
      </c>
      <c r="L2974" s="139">
        <f>IFERROR(IF(ISNUMBER(F2974),F2974-IF(ISNUMBER(K2974),K2974,0),""),"")</f>
        <v/>
      </c>
    </row>
    <row r="2975" ht="24" customHeight="1" s="63">
      <c r="E2975" s="139" t="n"/>
      <c r="F2975" s="139" t="n"/>
      <c r="G2975" s="140">
        <f>IFERROR(IF(E2975&gt;0,(F2975/E2975)*1000,""),"")</f>
        <v/>
      </c>
      <c r="H2975" s="139">
        <f>IFERROR(IF(E2975&gt;0,E2975*IF(ISNUMBER(J2975),J2975,IF(OR(C2975="Alpha",B2975="Alpha"),$C$7,IF(C2975="Futures",$C$6,$C$5))),""),"")</f>
        <v/>
      </c>
      <c r="I2975" s="139">
        <f>IFERROR(IF(AND(ISNUMBER(F2975),ISNUMBER(H2975)),F2975-H2975,""),"")</f>
        <v/>
      </c>
      <c r="J2975" s="114" t="n"/>
      <c r="K2975" s="139">
        <f>IFERROR(IF(H2975&gt;0,H2975*IF(OR(C2975="Alpha",B2975="Alpha"),$C$9,$C$8),""),"")</f>
        <v/>
      </c>
      <c r="L2975" s="139">
        <f>IFERROR(IF(ISNUMBER(F2975),F2975-IF(ISNUMBER(K2975),K2975,0),""),"")</f>
        <v/>
      </c>
    </row>
    <row r="2976" ht="24" customHeight="1" s="63">
      <c r="E2976" s="139" t="n"/>
      <c r="F2976" s="139" t="n"/>
      <c r="G2976" s="140">
        <f>IFERROR(IF(E2976&gt;0,(F2976/E2976)*1000,""),"")</f>
        <v/>
      </c>
      <c r="H2976" s="139">
        <f>IFERROR(IF(E2976&gt;0,E2976*IF(ISNUMBER(J2976),J2976,IF(OR(C2976="Alpha",B2976="Alpha"),$C$7,IF(C2976="Futures",$C$6,$C$5))),""),"")</f>
        <v/>
      </c>
      <c r="I2976" s="139">
        <f>IFERROR(IF(AND(ISNUMBER(F2976),ISNUMBER(H2976)),F2976-H2976,""),"")</f>
        <v/>
      </c>
      <c r="J2976" s="114" t="n"/>
      <c r="K2976" s="139">
        <f>IFERROR(IF(H2976&gt;0,H2976*IF(OR(C2976="Alpha",B2976="Alpha"),$C$9,$C$8),""),"")</f>
        <v/>
      </c>
      <c r="L2976" s="139">
        <f>IFERROR(IF(ISNUMBER(F2976),F2976-IF(ISNUMBER(K2976),K2976,0),""),"")</f>
        <v/>
      </c>
    </row>
    <row r="2977" ht="24" customHeight="1" s="63">
      <c r="E2977" s="139" t="n"/>
      <c r="F2977" s="139" t="n"/>
      <c r="G2977" s="140">
        <f>IFERROR(IF(E2977&gt;0,(F2977/E2977)*1000,""),"")</f>
        <v/>
      </c>
      <c r="H2977" s="139">
        <f>IFERROR(IF(E2977&gt;0,E2977*IF(ISNUMBER(J2977),J2977,IF(OR(C2977="Alpha",B2977="Alpha"),$C$7,IF(C2977="Futures",$C$6,$C$5))),""),"")</f>
        <v/>
      </c>
      <c r="I2977" s="139">
        <f>IFERROR(IF(AND(ISNUMBER(F2977),ISNUMBER(H2977)),F2977-H2977,""),"")</f>
        <v/>
      </c>
      <c r="J2977" s="114" t="n"/>
      <c r="K2977" s="139">
        <f>IFERROR(IF(H2977&gt;0,H2977*IF(OR(C2977="Alpha",B2977="Alpha"),$C$9,$C$8),""),"")</f>
        <v/>
      </c>
      <c r="L2977" s="139">
        <f>IFERROR(IF(ISNUMBER(F2977),F2977-IF(ISNUMBER(K2977),K2977,0),""),"")</f>
        <v/>
      </c>
    </row>
    <row r="2978" ht="24" customHeight="1" s="63">
      <c r="E2978" s="139" t="n"/>
      <c r="F2978" s="139" t="n"/>
      <c r="G2978" s="140">
        <f>IFERROR(IF(E2978&gt;0,(F2978/E2978)*1000,""),"")</f>
        <v/>
      </c>
      <c r="H2978" s="139">
        <f>IFERROR(IF(E2978&gt;0,E2978*IF(ISNUMBER(J2978),J2978,IF(OR(C2978="Alpha",B2978="Alpha"),$C$7,IF(C2978="Futures",$C$6,$C$5))),""),"")</f>
        <v/>
      </c>
      <c r="I2978" s="139">
        <f>IFERROR(IF(AND(ISNUMBER(F2978),ISNUMBER(H2978)),F2978-H2978,""),"")</f>
        <v/>
      </c>
      <c r="J2978" s="114" t="n"/>
      <c r="K2978" s="139">
        <f>IFERROR(IF(H2978&gt;0,H2978*IF(OR(C2978="Alpha",B2978="Alpha"),$C$9,$C$8),""),"")</f>
        <v/>
      </c>
      <c r="L2978" s="139">
        <f>IFERROR(IF(ISNUMBER(F2978),F2978-IF(ISNUMBER(K2978),K2978,0),""),"")</f>
        <v/>
      </c>
    </row>
    <row r="2979" ht="24" customHeight="1" s="63">
      <c r="E2979" s="139" t="n"/>
      <c r="F2979" s="139" t="n"/>
      <c r="G2979" s="140">
        <f>IFERROR(IF(E2979&gt;0,(F2979/E2979)*1000,""),"")</f>
        <v/>
      </c>
      <c r="H2979" s="139">
        <f>IFERROR(IF(E2979&gt;0,E2979*IF(ISNUMBER(J2979),J2979,IF(OR(C2979="Alpha",B2979="Alpha"),$C$7,IF(C2979="Futures",$C$6,$C$5))),""),"")</f>
        <v/>
      </c>
      <c r="I2979" s="139">
        <f>IFERROR(IF(AND(ISNUMBER(F2979),ISNUMBER(H2979)),F2979-H2979,""),"")</f>
        <v/>
      </c>
      <c r="J2979" s="114" t="n"/>
      <c r="K2979" s="139">
        <f>IFERROR(IF(H2979&gt;0,H2979*IF(OR(C2979="Alpha",B2979="Alpha"),$C$9,$C$8),""),"")</f>
        <v/>
      </c>
      <c r="L2979" s="139">
        <f>IFERROR(IF(ISNUMBER(F2979),F2979-IF(ISNUMBER(K2979),K2979,0),""),"")</f>
        <v/>
      </c>
    </row>
    <row r="2980" ht="24" customHeight="1" s="63">
      <c r="E2980" s="139" t="n"/>
      <c r="F2980" s="139" t="n"/>
      <c r="G2980" s="140">
        <f>IFERROR(IF(E2980&gt;0,(F2980/E2980)*1000,""),"")</f>
        <v/>
      </c>
      <c r="H2980" s="139">
        <f>IFERROR(IF(E2980&gt;0,E2980*IF(ISNUMBER(J2980),J2980,IF(OR(C2980="Alpha",B2980="Alpha"),$C$7,IF(C2980="Futures",$C$6,$C$5))),""),"")</f>
        <v/>
      </c>
      <c r="I2980" s="139">
        <f>IFERROR(IF(AND(ISNUMBER(F2980),ISNUMBER(H2980)),F2980-H2980,""),"")</f>
        <v/>
      </c>
      <c r="J2980" s="114" t="n"/>
      <c r="K2980" s="139">
        <f>IFERROR(IF(H2980&gt;0,H2980*IF(OR(C2980="Alpha",B2980="Alpha"),$C$9,$C$8),""),"")</f>
        <v/>
      </c>
      <c r="L2980" s="139">
        <f>IFERROR(IF(ISNUMBER(F2980),F2980-IF(ISNUMBER(K2980),K2980,0),""),"")</f>
        <v/>
      </c>
    </row>
    <row r="2981" ht="24" customHeight="1" s="63">
      <c r="E2981" s="139" t="n"/>
      <c r="F2981" s="139" t="n"/>
      <c r="G2981" s="140">
        <f>IFERROR(IF(E2981&gt;0,(F2981/E2981)*1000,""),"")</f>
        <v/>
      </c>
      <c r="H2981" s="139">
        <f>IFERROR(IF(E2981&gt;0,E2981*IF(ISNUMBER(J2981),J2981,IF(OR(C2981="Alpha",B2981="Alpha"),$C$7,IF(C2981="Futures",$C$6,$C$5))),""),"")</f>
        <v/>
      </c>
      <c r="I2981" s="139">
        <f>IFERROR(IF(AND(ISNUMBER(F2981),ISNUMBER(H2981)),F2981-H2981,""),"")</f>
        <v/>
      </c>
      <c r="J2981" s="114" t="n"/>
      <c r="K2981" s="139">
        <f>IFERROR(IF(H2981&gt;0,H2981*IF(OR(C2981="Alpha",B2981="Alpha"),$C$9,$C$8),""),"")</f>
        <v/>
      </c>
      <c r="L2981" s="139">
        <f>IFERROR(IF(ISNUMBER(F2981),F2981-IF(ISNUMBER(K2981),K2981,0),""),"")</f>
        <v/>
      </c>
    </row>
    <row r="2982" ht="24" customHeight="1" s="63">
      <c r="E2982" s="139" t="n"/>
      <c r="F2982" s="139" t="n"/>
      <c r="G2982" s="140">
        <f>IFERROR(IF(E2982&gt;0,(F2982/E2982)*1000,""),"")</f>
        <v/>
      </c>
      <c r="H2982" s="139">
        <f>IFERROR(IF(E2982&gt;0,E2982*IF(ISNUMBER(J2982),J2982,IF(OR(C2982="Alpha",B2982="Alpha"),$C$7,IF(C2982="Futures",$C$6,$C$5))),""),"")</f>
        <v/>
      </c>
      <c r="I2982" s="139">
        <f>IFERROR(IF(AND(ISNUMBER(F2982),ISNUMBER(H2982)),F2982-H2982,""),"")</f>
        <v/>
      </c>
      <c r="J2982" s="114" t="n"/>
      <c r="K2982" s="139">
        <f>IFERROR(IF(H2982&gt;0,H2982*IF(OR(C2982="Alpha",B2982="Alpha"),$C$9,$C$8),""),"")</f>
        <v/>
      </c>
      <c r="L2982" s="139">
        <f>IFERROR(IF(ISNUMBER(F2982),F2982-IF(ISNUMBER(K2982),K2982,0),""),"")</f>
        <v/>
      </c>
    </row>
    <row r="2983" ht="24" customHeight="1" s="63">
      <c r="E2983" s="139" t="n"/>
      <c r="F2983" s="139" t="n"/>
      <c r="G2983" s="140">
        <f>IFERROR(IF(E2983&gt;0,(F2983/E2983)*1000,""),"")</f>
        <v/>
      </c>
      <c r="H2983" s="139">
        <f>IFERROR(IF(E2983&gt;0,E2983*IF(ISNUMBER(J2983),J2983,IF(OR(C2983="Alpha",B2983="Alpha"),$C$7,IF(C2983="Futures",$C$6,$C$5))),""),"")</f>
        <v/>
      </c>
      <c r="I2983" s="139">
        <f>IFERROR(IF(AND(ISNUMBER(F2983),ISNUMBER(H2983)),F2983-H2983,""),"")</f>
        <v/>
      </c>
      <c r="J2983" s="114" t="n"/>
      <c r="K2983" s="139">
        <f>IFERROR(IF(H2983&gt;0,H2983*IF(OR(C2983="Alpha",B2983="Alpha"),$C$9,$C$8),""),"")</f>
        <v/>
      </c>
      <c r="L2983" s="139">
        <f>IFERROR(IF(ISNUMBER(F2983),F2983-IF(ISNUMBER(K2983),K2983,0),""),"")</f>
        <v/>
      </c>
    </row>
    <row r="2984" ht="24" customHeight="1" s="63">
      <c r="E2984" s="139" t="n"/>
      <c r="F2984" s="139" t="n"/>
      <c r="G2984" s="140">
        <f>IFERROR(IF(E2984&gt;0,(F2984/E2984)*1000,""),"")</f>
        <v/>
      </c>
      <c r="H2984" s="139">
        <f>IFERROR(IF(E2984&gt;0,E2984*IF(ISNUMBER(J2984),J2984,IF(OR(C2984="Alpha",B2984="Alpha"),$C$7,IF(C2984="Futures",$C$6,$C$5))),""),"")</f>
        <v/>
      </c>
      <c r="I2984" s="139">
        <f>IFERROR(IF(AND(ISNUMBER(F2984),ISNUMBER(H2984)),F2984-H2984,""),"")</f>
        <v/>
      </c>
      <c r="J2984" s="114" t="n"/>
      <c r="K2984" s="139">
        <f>IFERROR(IF(H2984&gt;0,H2984*IF(OR(C2984="Alpha",B2984="Alpha"),$C$9,$C$8),""),"")</f>
        <v/>
      </c>
      <c r="L2984" s="139">
        <f>IFERROR(IF(ISNUMBER(F2984),F2984-IF(ISNUMBER(K2984),K2984,0),""),"")</f>
        <v/>
      </c>
    </row>
    <row r="2985" ht="24" customHeight="1" s="63">
      <c r="E2985" s="139" t="n"/>
      <c r="F2985" s="139" t="n"/>
      <c r="G2985" s="140">
        <f>IFERROR(IF(E2985&gt;0,(F2985/E2985)*1000,""),"")</f>
        <v/>
      </c>
      <c r="H2985" s="139">
        <f>IFERROR(IF(E2985&gt;0,E2985*IF(ISNUMBER(J2985),J2985,IF(OR(C2985="Alpha",B2985="Alpha"),$C$7,IF(C2985="Futures",$C$6,$C$5))),""),"")</f>
        <v/>
      </c>
      <c r="I2985" s="139">
        <f>IFERROR(IF(AND(ISNUMBER(F2985),ISNUMBER(H2985)),F2985-H2985,""),"")</f>
        <v/>
      </c>
      <c r="J2985" s="114" t="n"/>
      <c r="K2985" s="139">
        <f>IFERROR(IF(H2985&gt;0,H2985*IF(OR(C2985="Alpha",B2985="Alpha"),$C$9,$C$8),""),"")</f>
        <v/>
      </c>
      <c r="L2985" s="139">
        <f>IFERROR(IF(ISNUMBER(F2985),F2985-IF(ISNUMBER(K2985),K2985,0),""),"")</f>
        <v/>
      </c>
    </row>
    <row r="2986" ht="24" customHeight="1" s="63">
      <c r="E2986" s="139" t="n"/>
      <c r="F2986" s="139" t="n"/>
      <c r="G2986" s="140">
        <f>IFERROR(IF(E2986&gt;0,(F2986/E2986)*1000,""),"")</f>
        <v/>
      </c>
      <c r="H2986" s="139">
        <f>IFERROR(IF(E2986&gt;0,E2986*IF(ISNUMBER(J2986),J2986,IF(OR(C2986="Alpha",B2986="Alpha"),$C$7,IF(C2986="Futures",$C$6,$C$5))),""),"")</f>
        <v/>
      </c>
      <c r="I2986" s="139">
        <f>IFERROR(IF(AND(ISNUMBER(F2986),ISNUMBER(H2986)),F2986-H2986,""),"")</f>
        <v/>
      </c>
      <c r="J2986" s="114" t="n"/>
      <c r="K2986" s="139">
        <f>IFERROR(IF(H2986&gt;0,H2986*IF(OR(C2986="Alpha",B2986="Alpha"),$C$9,$C$8),""),"")</f>
        <v/>
      </c>
      <c r="L2986" s="139">
        <f>IFERROR(IF(ISNUMBER(F2986),F2986-IF(ISNUMBER(K2986),K2986,0),""),"")</f>
        <v/>
      </c>
    </row>
    <row r="2987" ht="24" customHeight="1" s="63">
      <c r="E2987" s="139" t="n"/>
      <c r="F2987" s="139" t="n"/>
      <c r="G2987" s="140">
        <f>IFERROR(IF(E2987&gt;0,(F2987/E2987)*1000,""),"")</f>
        <v/>
      </c>
      <c r="H2987" s="139">
        <f>IFERROR(IF(E2987&gt;0,E2987*IF(ISNUMBER(J2987),J2987,IF(OR(C2987="Alpha",B2987="Alpha"),$C$7,IF(C2987="Futures",$C$6,$C$5))),""),"")</f>
        <v/>
      </c>
      <c r="I2987" s="139">
        <f>IFERROR(IF(AND(ISNUMBER(F2987),ISNUMBER(H2987)),F2987-H2987,""),"")</f>
        <v/>
      </c>
      <c r="J2987" s="114" t="n"/>
      <c r="K2987" s="139">
        <f>IFERROR(IF(H2987&gt;0,H2987*IF(OR(C2987="Alpha",B2987="Alpha"),$C$9,$C$8),""),"")</f>
        <v/>
      </c>
      <c r="L2987" s="139">
        <f>IFERROR(IF(ISNUMBER(F2987),F2987-IF(ISNUMBER(K2987),K2987,0),""),"")</f>
        <v/>
      </c>
    </row>
    <row r="2988" ht="24" customHeight="1" s="63">
      <c r="E2988" s="139" t="n"/>
      <c r="F2988" s="139" t="n"/>
      <c r="G2988" s="140">
        <f>IFERROR(IF(E2988&gt;0,(F2988/E2988)*1000,""),"")</f>
        <v/>
      </c>
      <c r="H2988" s="139">
        <f>IFERROR(IF(E2988&gt;0,E2988*IF(ISNUMBER(J2988),J2988,IF(OR(C2988="Alpha",B2988="Alpha"),$C$7,IF(C2988="Futures",$C$6,$C$5))),""),"")</f>
        <v/>
      </c>
      <c r="I2988" s="139">
        <f>IFERROR(IF(AND(ISNUMBER(F2988),ISNUMBER(H2988)),F2988-H2988,""),"")</f>
        <v/>
      </c>
      <c r="J2988" s="114" t="n"/>
      <c r="K2988" s="139">
        <f>IFERROR(IF(H2988&gt;0,H2988*IF(OR(C2988="Alpha",B2988="Alpha"),$C$9,$C$8),""),"")</f>
        <v/>
      </c>
      <c r="L2988" s="139">
        <f>IFERROR(IF(ISNUMBER(F2988),F2988-IF(ISNUMBER(K2988),K2988,0),""),"")</f>
        <v/>
      </c>
    </row>
    <row r="2989" ht="24" customHeight="1" s="63">
      <c r="E2989" s="139" t="n"/>
      <c r="F2989" s="139" t="n"/>
      <c r="G2989" s="140">
        <f>IFERROR(IF(E2989&gt;0,(F2989/E2989)*1000,""),"")</f>
        <v/>
      </c>
      <c r="H2989" s="139">
        <f>IFERROR(IF(E2989&gt;0,E2989*IF(ISNUMBER(J2989),J2989,IF(OR(C2989="Alpha",B2989="Alpha"),$C$7,IF(C2989="Futures",$C$6,$C$5))),""),"")</f>
        <v/>
      </c>
      <c r="I2989" s="139">
        <f>IFERROR(IF(AND(ISNUMBER(F2989),ISNUMBER(H2989)),F2989-H2989,""),"")</f>
        <v/>
      </c>
      <c r="J2989" s="114" t="n"/>
      <c r="K2989" s="139">
        <f>IFERROR(IF(H2989&gt;0,H2989*IF(OR(C2989="Alpha",B2989="Alpha"),$C$9,$C$8),""),"")</f>
        <v/>
      </c>
      <c r="L2989" s="139">
        <f>IFERROR(IF(ISNUMBER(F2989),F2989-IF(ISNUMBER(K2989),K2989,0),""),"")</f>
        <v/>
      </c>
    </row>
    <row r="2990" ht="24" customHeight="1" s="63">
      <c r="E2990" s="139" t="n"/>
      <c r="F2990" s="139" t="n"/>
      <c r="G2990" s="140">
        <f>IFERROR(IF(E2990&gt;0,(F2990/E2990)*1000,""),"")</f>
        <v/>
      </c>
      <c r="H2990" s="139">
        <f>IFERROR(IF(E2990&gt;0,E2990*IF(ISNUMBER(J2990),J2990,IF(OR(C2990="Alpha",B2990="Alpha"),$C$7,IF(C2990="Futures",$C$6,$C$5))),""),"")</f>
        <v/>
      </c>
      <c r="I2990" s="139">
        <f>IFERROR(IF(AND(ISNUMBER(F2990),ISNUMBER(H2990)),F2990-H2990,""),"")</f>
        <v/>
      </c>
      <c r="J2990" s="114" t="n"/>
      <c r="K2990" s="139">
        <f>IFERROR(IF(H2990&gt;0,H2990*IF(OR(C2990="Alpha",B2990="Alpha"),$C$9,$C$8),""),"")</f>
        <v/>
      </c>
      <c r="L2990" s="139">
        <f>IFERROR(IF(ISNUMBER(F2990),F2990-IF(ISNUMBER(K2990),K2990,0),""),"")</f>
        <v/>
      </c>
    </row>
    <row r="2991" ht="24" customHeight="1" s="63">
      <c r="E2991" s="139" t="n"/>
      <c r="F2991" s="139" t="n"/>
      <c r="G2991" s="140">
        <f>IFERROR(IF(E2991&gt;0,(F2991/E2991)*1000,""),"")</f>
        <v/>
      </c>
      <c r="H2991" s="139">
        <f>IFERROR(IF(E2991&gt;0,E2991*IF(ISNUMBER(J2991),J2991,IF(OR(C2991="Alpha",B2991="Alpha"),$C$7,IF(C2991="Futures",$C$6,$C$5))),""),"")</f>
        <v/>
      </c>
      <c r="I2991" s="139">
        <f>IFERROR(IF(AND(ISNUMBER(F2991),ISNUMBER(H2991)),F2991-H2991,""),"")</f>
        <v/>
      </c>
      <c r="J2991" s="114" t="n"/>
      <c r="K2991" s="139">
        <f>IFERROR(IF(H2991&gt;0,H2991*IF(OR(C2991="Alpha",B2991="Alpha"),$C$9,$C$8),""),"")</f>
        <v/>
      </c>
      <c r="L2991" s="139">
        <f>IFERROR(IF(ISNUMBER(F2991),F2991-IF(ISNUMBER(K2991),K2991,0),""),"")</f>
        <v/>
      </c>
    </row>
    <row r="2992" ht="24" customHeight="1" s="63">
      <c r="E2992" s="139" t="n"/>
      <c r="F2992" s="139" t="n"/>
      <c r="G2992" s="140">
        <f>IFERROR(IF(E2992&gt;0,(F2992/E2992)*1000,""),"")</f>
        <v/>
      </c>
      <c r="H2992" s="139">
        <f>IFERROR(IF(E2992&gt;0,E2992*IF(ISNUMBER(J2992),J2992,IF(OR(C2992="Alpha",B2992="Alpha"),$C$7,IF(C2992="Futures",$C$6,$C$5))),""),"")</f>
        <v/>
      </c>
      <c r="I2992" s="139">
        <f>IFERROR(IF(AND(ISNUMBER(F2992),ISNUMBER(H2992)),F2992-H2992,""),"")</f>
        <v/>
      </c>
      <c r="J2992" s="114" t="n"/>
      <c r="K2992" s="139">
        <f>IFERROR(IF(H2992&gt;0,H2992*IF(OR(C2992="Alpha",B2992="Alpha"),$C$9,$C$8),""),"")</f>
        <v/>
      </c>
      <c r="L2992" s="139">
        <f>IFERROR(IF(ISNUMBER(F2992),F2992-IF(ISNUMBER(K2992),K2992,0),""),"")</f>
        <v/>
      </c>
    </row>
    <row r="2993" ht="24" customHeight="1" s="63">
      <c r="E2993" s="139" t="n"/>
      <c r="F2993" s="139" t="n"/>
      <c r="G2993" s="140">
        <f>IFERROR(IF(E2993&gt;0,(F2993/E2993)*1000,""),"")</f>
        <v/>
      </c>
      <c r="H2993" s="139">
        <f>IFERROR(IF(E2993&gt;0,E2993*IF(ISNUMBER(J2993),J2993,IF(OR(C2993="Alpha",B2993="Alpha"),$C$7,IF(C2993="Futures",$C$6,$C$5))),""),"")</f>
        <v/>
      </c>
      <c r="I2993" s="139">
        <f>IFERROR(IF(AND(ISNUMBER(F2993),ISNUMBER(H2993)),F2993-H2993,""),"")</f>
        <v/>
      </c>
      <c r="J2993" s="114" t="n"/>
      <c r="K2993" s="139">
        <f>IFERROR(IF(H2993&gt;0,H2993*IF(OR(C2993="Alpha",B2993="Alpha"),$C$9,$C$8),""),"")</f>
        <v/>
      </c>
      <c r="L2993" s="139">
        <f>IFERROR(IF(ISNUMBER(F2993),F2993-IF(ISNUMBER(K2993),K2993,0),""),"")</f>
        <v/>
      </c>
    </row>
    <row r="2994" ht="24" customHeight="1" s="63">
      <c r="E2994" s="139" t="n"/>
      <c r="F2994" s="139" t="n"/>
      <c r="G2994" s="140">
        <f>IFERROR(IF(E2994&gt;0,(F2994/E2994)*1000,""),"")</f>
        <v/>
      </c>
      <c r="H2994" s="139">
        <f>IFERROR(IF(E2994&gt;0,E2994*IF(ISNUMBER(J2994),J2994,IF(OR(C2994="Alpha",B2994="Alpha"),$C$7,IF(C2994="Futures",$C$6,$C$5))),""),"")</f>
        <v/>
      </c>
      <c r="I2994" s="139">
        <f>IFERROR(IF(AND(ISNUMBER(F2994),ISNUMBER(H2994)),F2994-H2994,""),"")</f>
        <v/>
      </c>
      <c r="J2994" s="114" t="n"/>
      <c r="K2994" s="139">
        <f>IFERROR(IF(H2994&gt;0,H2994*IF(OR(C2994="Alpha",B2994="Alpha"),$C$9,$C$8),""),"")</f>
        <v/>
      </c>
      <c r="L2994" s="139">
        <f>IFERROR(IF(ISNUMBER(F2994),F2994-IF(ISNUMBER(K2994),K2994,0),""),"")</f>
        <v/>
      </c>
    </row>
    <row r="2995" ht="24" customHeight="1" s="63">
      <c r="E2995" s="139" t="n"/>
      <c r="F2995" s="139" t="n"/>
      <c r="G2995" s="140">
        <f>IFERROR(IF(E2995&gt;0,(F2995/E2995)*1000,""),"")</f>
        <v/>
      </c>
      <c r="H2995" s="139">
        <f>IFERROR(IF(E2995&gt;0,E2995*IF(ISNUMBER(J2995),J2995,IF(OR(C2995="Alpha",B2995="Alpha"),$C$7,IF(C2995="Futures",$C$6,$C$5))),""),"")</f>
        <v/>
      </c>
      <c r="I2995" s="139">
        <f>IFERROR(IF(AND(ISNUMBER(F2995),ISNUMBER(H2995)),F2995-H2995,""),"")</f>
        <v/>
      </c>
      <c r="J2995" s="114" t="n"/>
      <c r="K2995" s="139">
        <f>IFERROR(IF(H2995&gt;0,H2995*IF(OR(C2995="Alpha",B2995="Alpha"),$C$9,$C$8),""),"")</f>
        <v/>
      </c>
      <c r="L2995" s="139">
        <f>IFERROR(IF(ISNUMBER(F2995),F2995-IF(ISNUMBER(K2995),K2995,0),""),"")</f>
        <v/>
      </c>
    </row>
    <row r="2996" ht="24" customHeight="1" s="63">
      <c r="E2996" s="139" t="n"/>
      <c r="F2996" s="139" t="n"/>
      <c r="G2996" s="140">
        <f>IFERROR(IF(E2996&gt;0,(F2996/E2996)*1000,""),"")</f>
        <v/>
      </c>
      <c r="H2996" s="139">
        <f>IFERROR(IF(E2996&gt;0,E2996*IF(ISNUMBER(J2996),J2996,IF(OR(C2996="Alpha",B2996="Alpha"),$C$7,IF(C2996="Futures",$C$6,$C$5))),""),"")</f>
        <v/>
      </c>
      <c r="I2996" s="139">
        <f>IFERROR(IF(AND(ISNUMBER(F2996),ISNUMBER(H2996)),F2996-H2996,""),"")</f>
        <v/>
      </c>
      <c r="J2996" s="114" t="n"/>
      <c r="K2996" s="139">
        <f>IFERROR(IF(H2996&gt;0,H2996*IF(OR(C2996="Alpha",B2996="Alpha"),$C$9,$C$8),""),"")</f>
        <v/>
      </c>
      <c r="L2996" s="139">
        <f>IFERROR(IF(ISNUMBER(F2996),F2996-IF(ISNUMBER(K2996),K2996,0),""),"")</f>
        <v/>
      </c>
    </row>
    <row r="2997" ht="24" customHeight="1" s="63">
      <c r="E2997" s="139" t="n"/>
      <c r="F2997" s="139" t="n"/>
      <c r="G2997" s="140">
        <f>IFERROR(IF(E2997&gt;0,(F2997/E2997)*1000,""),"")</f>
        <v/>
      </c>
      <c r="H2997" s="139">
        <f>IFERROR(IF(E2997&gt;0,E2997*IF(ISNUMBER(J2997),J2997,IF(OR(C2997="Alpha",B2997="Alpha"),$C$7,IF(C2997="Futures",$C$6,$C$5))),""),"")</f>
        <v/>
      </c>
      <c r="I2997" s="139">
        <f>IFERROR(IF(AND(ISNUMBER(F2997),ISNUMBER(H2997)),F2997-H2997,""),"")</f>
        <v/>
      </c>
      <c r="J2997" s="114" t="n"/>
      <c r="K2997" s="139">
        <f>IFERROR(IF(H2997&gt;0,H2997*IF(OR(C2997="Alpha",B2997="Alpha"),$C$9,$C$8),""),"")</f>
        <v/>
      </c>
      <c r="L2997" s="139">
        <f>IFERROR(IF(ISNUMBER(F2997),F2997-IF(ISNUMBER(K2997),K2997,0),""),"")</f>
        <v/>
      </c>
    </row>
    <row r="2998" ht="24" customHeight="1" s="63">
      <c r="E2998" s="139" t="n"/>
      <c r="F2998" s="139" t="n"/>
      <c r="G2998" s="140">
        <f>IFERROR(IF(E2998&gt;0,(F2998/E2998)*1000,""),"")</f>
        <v/>
      </c>
      <c r="H2998" s="139">
        <f>IFERROR(IF(E2998&gt;0,E2998*IF(ISNUMBER(J2998),J2998,IF(OR(C2998="Alpha",B2998="Alpha"),$C$7,IF(C2998="Futures",$C$6,$C$5))),""),"")</f>
        <v/>
      </c>
      <c r="I2998" s="139">
        <f>IFERROR(IF(AND(ISNUMBER(F2998),ISNUMBER(H2998)),F2998-H2998,""),"")</f>
        <v/>
      </c>
      <c r="J2998" s="114" t="n"/>
      <c r="K2998" s="139">
        <f>IFERROR(IF(H2998&gt;0,H2998*IF(OR(C2998="Alpha",B2998="Alpha"),$C$9,$C$8),""),"")</f>
        <v/>
      </c>
      <c r="L2998" s="139">
        <f>IFERROR(IF(ISNUMBER(F2998),F2998-IF(ISNUMBER(K2998),K2998,0),""),"")</f>
        <v/>
      </c>
    </row>
    <row r="2999" ht="24" customHeight="1" s="63">
      <c r="E2999" s="139" t="n"/>
      <c r="F2999" s="139" t="n"/>
      <c r="G2999" s="140">
        <f>IFERROR(IF(E2999&gt;0,(F2999/E2999)*1000,""),"")</f>
        <v/>
      </c>
      <c r="H2999" s="139">
        <f>IFERROR(IF(E2999&gt;0,E2999*IF(ISNUMBER(J2999),J2999,IF(OR(C2999="Alpha",B2999="Alpha"),$C$7,IF(C2999="Futures",$C$6,$C$5))),""),"")</f>
        <v/>
      </c>
      <c r="I2999" s="139">
        <f>IFERROR(IF(AND(ISNUMBER(F2999),ISNUMBER(H2999)),F2999-H2999,""),"")</f>
        <v/>
      </c>
      <c r="J2999" s="114" t="n"/>
      <c r="K2999" s="139">
        <f>IFERROR(IF(H2999&gt;0,H2999*IF(OR(C2999="Alpha",B2999="Alpha"),$C$9,$C$8),""),"")</f>
        <v/>
      </c>
      <c r="L2999" s="139">
        <f>IFERROR(IF(ISNUMBER(F2999),F2999-IF(ISNUMBER(K2999),K2999,0),""),"")</f>
        <v/>
      </c>
    </row>
    <row r="3000" ht="24" customHeight="1" s="63">
      <c r="E3000" s="139" t="n"/>
      <c r="F3000" s="139" t="n"/>
      <c r="G3000" s="140">
        <f>IFERROR(IF(E3000&gt;0,(F3000/E3000)*1000,""),"")</f>
        <v/>
      </c>
      <c r="H3000" s="139">
        <f>IFERROR(IF(E3000&gt;0,E3000*IF(ISNUMBER(J3000),J3000,IF(OR(C3000="Alpha",B3000="Alpha"),$C$7,IF(C3000="Futures",$C$6,$C$5))),""),"")</f>
        <v/>
      </c>
      <c r="I3000" s="139">
        <f>IFERROR(IF(AND(ISNUMBER(F3000),ISNUMBER(H3000)),F3000-H3000,""),"")</f>
        <v/>
      </c>
      <c r="J3000" s="114" t="n"/>
      <c r="K3000" s="139">
        <f>IFERROR(IF(H3000&gt;0,H3000*IF(OR(C3000="Alpha",B3000="Alpha"),$C$9,$C$8),""),"")</f>
        <v/>
      </c>
      <c r="L3000" s="139">
        <f>IFERROR(IF(ISNUMBER(F3000),F3000-IF(ISNUMBER(K3000),K3000,0),""),"")</f>
        <v/>
      </c>
    </row>
    <row r="3001" ht="24" customHeight="1" s="63">
      <c r="E3001" s="139" t="n"/>
      <c r="F3001" s="139" t="n"/>
      <c r="G3001" s="140">
        <f>IFERROR(IF(E3001&gt;0,(F3001/E3001)*1000,""),"")</f>
        <v/>
      </c>
      <c r="H3001" s="139">
        <f>IFERROR(IF(E3001&gt;0,E3001*IF(ISNUMBER(J3001),J3001,IF(OR(C3001="Alpha",B3001="Alpha"),$C$7,IF(C3001="Futures",$C$6,$C$5))),""),"")</f>
        <v/>
      </c>
      <c r="I3001" s="139">
        <f>IFERROR(IF(AND(ISNUMBER(F3001),ISNUMBER(H3001)),F3001-H3001,""),"")</f>
        <v/>
      </c>
      <c r="J3001" s="114" t="n"/>
      <c r="K3001" s="139">
        <f>IFERROR(IF(H3001&gt;0,H3001*IF(OR(C3001="Alpha",B3001="Alpha"),$C$9,$C$8),""),"")</f>
        <v/>
      </c>
      <c r="L3001" s="139">
        <f>IFERROR(IF(ISNUMBER(F3001),F3001-IF(ISNUMBER(K3001),K3001,0),""),"")</f>
        <v/>
      </c>
    </row>
    <row r="3002" ht="24" customHeight="1" s="63">
      <c r="E3002" s="139" t="n"/>
      <c r="F3002" s="139" t="n"/>
      <c r="G3002" s="140">
        <f>IFERROR(IF(E3002&gt;0,(F3002/E3002)*1000,""),"")</f>
        <v/>
      </c>
      <c r="H3002" s="139">
        <f>IFERROR(IF(E3002&gt;0,E3002*IF(ISNUMBER(J3002),J3002,IF(OR(C3002="Alpha",B3002="Alpha"),$C$7,IF(C3002="Futures",$C$6,$C$5))),""),"")</f>
        <v/>
      </c>
      <c r="I3002" s="139">
        <f>IFERROR(IF(AND(ISNUMBER(F3002),ISNUMBER(H3002)),F3002-H3002,""),"")</f>
        <v/>
      </c>
      <c r="J3002" s="114" t="n"/>
      <c r="K3002" s="139">
        <f>IFERROR(IF(H3002&gt;0,H3002*IF(OR(C3002="Alpha",B3002="Alpha"),$C$9,$C$8),""),"")</f>
        <v/>
      </c>
      <c r="L3002" s="139">
        <f>IFERROR(IF(ISNUMBER(F3002),F3002-IF(ISNUMBER(K3002),K3002,0),""),"")</f>
        <v/>
      </c>
    </row>
    <row r="3003" ht="24" customHeight="1" s="63">
      <c r="E3003" s="139" t="n"/>
      <c r="F3003" s="139" t="n"/>
      <c r="G3003" s="140">
        <f>IFERROR(IF(E3003&gt;0,(F3003/E3003)*1000,""),"")</f>
        <v/>
      </c>
      <c r="H3003" s="139">
        <f>IFERROR(IF(E3003&gt;0,E3003*IF(ISNUMBER(J3003),J3003,IF(OR(C3003="Alpha",B3003="Alpha"),$C$7,IF(C3003="Futures",$C$6,$C$5))),""),"")</f>
        <v/>
      </c>
      <c r="I3003" s="139">
        <f>IFERROR(IF(AND(ISNUMBER(F3003),ISNUMBER(H3003)),F3003-H3003,""),"")</f>
        <v/>
      </c>
      <c r="J3003" s="114" t="n"/>
      <c r="K3003" s="139">
        <f>IFERROR(IF(H3003&gt;0,H3003*IF(OR(C3003="Alpha",B3003="Alpha"),$C$9,$C$8),""),"")</f>
        <v/>
      </c>
      <c r="L3003" s="139">
        <f>IFERROR(IF(ISNUMBER(F3003),F3003-IF(ISNUMBER(K3003),K3003,0),""),"")</f>
        <v/>
      </c>
    </row>
    <row r="3004" ht="24" customHeight="1" s="63">
      <c r="E3004" s="139" t="n"/>
      <c r="F3004" s="139" t="n"/>
      <c r="G3004" s="140">
        <f>IFERROR(IF(E3004&gt;0,(F3004/E3004)*1000,""),"")</f>
        <v/>
      </c>
      <c r="H3004" s="139">
        <f>IFERROR(IF(E3004&gt;0,E3004*IF(ISNUMBER(J3004),J3004,IF(OR(C3004="Alpha",B3004="Alpha"),$C$7,IF(C3004="Futures",$C$6,$C$5))),""),"")</f>
        <v/>
      </c>
      <c r="I3004" s="139">
        <f>IFERROR(IF(AND(ISNUMBER(F3004),ISNUMBER(H3004)),F3004-H3004,""),"")</f>
        <v/>
      </c>
      <c r="J3004" s="114" t="n"/>
      <c r="K3004" s="139">
        <f>IFERROR(IF(H3004&gt;0,H3004*IF(OR(C3004="Alpha",B3004="Alpha"),$C$9,$C$8),""),"")</f>
        <v/>
      </c>
      <c r="L3004" s="139">
        <f>IFERROR(IF(ISNUMBER(F3004),F3004-IF(ISNUMBER(K3004),K3004,0),""),"")</f>
        <v/>
      </c>
    </row>
    <row r="3005" ht="24" customHeight="1" s="63">
      <c r="E3005" s="139" t="n"/>
      <c r="F3005" s="139" t="n"/>
      <c r="G3005" s="140">
        <f>IFERROR(IF(E3005&gt;0,(F3005/E3005)*1000,""),"")</f>
        <v/>
      </c>
      <c r="H3005" s="139">
        <f>IFERROR(IF(E3005&gt;0,E3005*IF(ISNUMBER(J3005),J3005,IF(OR(C3005="Alpha",B3005="Alpha"),$C$7,IF(C3005="Futures",$C$6,$C$5))),""),"")</f>
        <v/>
      </c>
      <c r="I3005" s="139">
        <f>IFERROR(IF(AND(ISNUMBER(F3005),ISNUMBER(H3005)),F3005-H3005,""),"")</f>
        <v/>
      </c>
      <c r="J3005" s="114" t="n"/>
      <c r="K3005" s="139">
        <f>IFERROR(IF(H3005&gt;0,H3005*IF(OR(C3005="Alpha",B3005="Alpha"),$C$9,$C$8),""),"")</f>
        <v/>
      </c>
      <c r="L3005" s="139">
        <f>IFERROR(IF(ISNUMBER(F3005),F3005-IF(ISNUMBER(K3005),K3005,0),""),"")</f>
        <v/>
      </c>
    </row>
    <row r="3006" ht="24" customHeight="1" s="63">
      <c r="E3006" s="139" t="n"/>
      <c r="F3006" s="139" t="n"/>
      <c r="G3006" s="140">
        <f>IFERROR(IF(E3006&gt;0,(F3006/E3006)*1000,""),"")</f>
        <v/>
      </c>
      <c r="H3006" s="139">
        <f>IFERROR(IF(E3006&gt;0,E3006*IF(ISNUMBER(J3006),J3006,IF(OR(C3006="Alpha",B3006="Alpha"),$C$7,IF(C3006="Futures",$C$6,$C$5))),""),"")</f>
        <v/>
      </c>
      <c r="I3006" s="139">
        <f>IFERROR(IF(AND(ISNUMBER(F3006),ISNUMBER(H3006)),F3006-H3006,""),"")</f>
        <v/>
      </c>
      <c r="J3006" s="114" t="n"/>
      <c r="K3006" s="139">
        <f>IFERROR(IF(H3006&gt;0,H3006*IF(OR(C3006="Alpha",B3006="Alpha"),$C$9,$C$8),""),"")</f>
        <v/>
      </c>
      <c r="L3006" s="139">
        <f>IFERROR(IF(ISNUMBER(F3006),F3006-IF(ISNUMBER(K3006),K3006,0),""),"")</f>
        <v/>
      </c>
    </row>
    <row r="3007" ht="24" customHeight="1" s="63">
      <c r="E3007" s="139" t="n"/>
      <c r="F3007" s="139" t="n"/>
      <c r="G3007" s="140">
        <f>IFERROR(IF(E3007&gt;0,(F3007/E3007)*1000,""),"")</f>
        <v/>
      </c>
      <c r="H3007" s="139">
        <f>IFERROR(IF(E3007&gt;0,E3007*IF(ISNUMBER(J3007),J3007,IF(OR(C3007="Alpha",B3007="Alpha"),$C$7,IF(C3007="Futures",$C$6,$C$5))),""),"")</f>
        <v/>
      </c>
      <c r="I3007" s="139">
        <f>IFERROR(IF(AND(ISNUMBER(F3007),ISNUMBER(H3007)),F3007-H3007,""),"")</f>
        <v/>
      </c>
      <c r="J3007" s="114" t="n"/>
      <c r="K3007" s="139">
        <f>IFERROR(IF(H3007&gt;0,H3007*IF(OR(C3007="Alpha",B3007="Alpha"),$C$9,$C$8),""),"")</f>
        <v/>
      </c>
      <c r="L3007" s="139">
        <f>IFERROR(IF(ISNUMBER(F3007),F3007-IF(ISNUMBER(K3007),K3007,0),""),"")</f>
        <v/>
      </c>
    </row>
    <row r="3008" ht="24" customHeight="1" s="63">
      <c r="E3008" s="139" t="n"/>
      <c r="F3008" s="139" t="n"/>
      <c r="G3008" s="140">
        <f>IFERROR(IF(E3008&gt;0,(F3008/E3008)*1000,""),"")</f>
        <v/>
      </c>
      <c r="H3008" s="139">
        <f>IFERROR(IF(E3008&gt;0,E3008*IF(ISNUMBER(J3008),J3008,IF(OR(C3008="Alpha",B3008="Alpha"),$C$7,IF(C3008="Futures",$C$6,$C$5))),""),"")</f>
        <v/>
      </c>
      <c r="I3008" s="139">
        <f>IFERROR(IF(AND(ISNUMBER(F3008),ISNUMBER(H3008)),F3008-H3008,""),"")</f>
        <v/>
      </c>
      <c r="J3008" s="114" t="n"/>
      <c r="K3008" s="139">
        <f>IFERROR(IF(H3008&gt;0,H3008*IF(OR(C3008="Alpha",B3008="Alpha"),$C$9,$C$8),""),"")</f>
        <v/>
      </c>
      <c r="L3008" s="139">
        <f>IFERROR(IF(ISNUMBER(F3008),F3008-IF(ISNUMBER(K3008),K3008,0),""),"")</f>
        <v/>
      </c>
    </row>
    <row r="3009" ht="24" customHeight="1" s="63">
      <c r="E3009" s="139" t="n"/>
      <c r="F3009" s="139" t="n"/>
      <c r="G3009" s="140">
        <f>IFERROR(IF(E3009&gt;0,(F3009/E3009)*1000,""),"")</f>
        <v/>
      </c>
      <c r="H3009" s="139">
        <f>IFERROR(IF(E3009&gt;0,E3009*IF(ISNUMBER(J3009),J3009,IF(OR(C3009="Alpha",B3009="Alpha"),$C$7,IF(C3009="Futures",$C$6,$C$5))),""),"")</f>
        <v/>
      </c>
      <c r="I3009" s="139">
        <f>IFERROR(IF(AND(ISNUMBER(F3009),ISNUMBER(H3009)),F3009-H3009,""),"")</f>
        <v/>
      </c>
      <c r="J3009" s="114" t="n"/>
      <c r="K3009" s="139">
        <f>IFERROR(IF(H3009&gt;0,H3009*IF(OR(C3009="Alpha",B3009="Alpha"),$C$9,$C$8),""),"")</f>
        <v/>
      </c>
      <c r="L3009" s="139">
        <f>IFERROR(IF(ISNUMBER(F3009),F3009-IF(ISNUMBER(K3009),K3009,0),""),"")</f>
        <v/>
      </c>
    </row>
    <row r="3010" ht="24" customHeight="1" s="63">
      <c r="E3010" s="139" t="n"/>
      <c r="F3010" s="139" t="n"/>
      <c r="G3010" s="140">
        <f>IFERROR(IF(E3010&gt;0,(F3010/E3010)*1000,""),"")</f>
        <v/>
      </c>
      <c r="H3010" s="139">
        <f>IFERROR(IF(E3010&gt;0,E3010*IF(ISNUMBER(J3010),J3010,IF(OR(C3010="Alpha",B3010="Alpha"),$C$7,IF(C3010="Futures",$C$6,$C$5))),""),"")</f>
        <v/>
      </c>
      <c r="I3010" s="139">
        <f>IFERROR(IF(AND(ISNUMBER(F3010),ISNUMBER(H3010)),F3010-H3010,""),"")</f>
        <v/>
      </c>
      <c r="J3010" s="114" t="n"/>
      <c r="K3010" s="139">
        <f>IFERROR(IF(H3010&gt;0,H3010*IF(OR(C3010="Alpha",B3010="Alpha"),$C$9,$C$8),""),"")</f>
        <v/>
      </c>
      <c r="L3010" s="139">
        <f>IFERROR(IF(ISNUMBER(F3010),F3010-IF(ISNUMBER(K3010),K3010,0),""),"")</f>
        <v/>
      </c>
    </row>
    <row r="3011" ht="24" customHeight="1" s="63">
      <c r="E3011" s="139" t="n"/>
      <c r="F3011" s="139" t="n"/>
      <c r="G3011" s="140">
        <f>IFERROR(IF(E3011&gt;0,(F3011/E3011)*1000,""),"")</f>
        <v/>
      </c>
      <c r="H3011" s="139">
        <f>IFERROR(IF(E3011&gt;0,E3011*IF(ISNUMBER(J3011),J3011,IF(OR(C3011="Alpha",B3011="Alpha"),$C$7,IF(C3011="Futures",$C$6,$C$5))),""),"")</f>
        <v/>
      </c>
      <c r="I3011" s="139">
        <f>IFERROR(IF(AND(ISNUMBER(F3011),ISNUMBER(H3011)),F3011-H3011,""),"")</f>
        <v/>
      </c>
      <c r="J3011" s="114" t="n"/>
      <c r="K3011" s="139">
        <f>IFERROR(IF(H3011&gt;0,H3011*IF(OR(C3011="Alpha",B3011="Alpha"),$C$9,$C$8),""),"")</f>
        <v/>
      </c>
      <c r="L3011" s="139">
        <f>IFERROR(IF(ISNUMBER(F3011),F3011-IF(ISNUMBER(K3011),K3011,0),""),"")</f>
        <v/>
      </c>
    </row>
    <row r="3012" ht="24" customHeight="1" s="63">
      <c r="E3012" s="139" t="n"/>
      <c r="F3012" s="139" t="n"/>
      <c r="G3012" s="140">
        <f>IFERROR(IF(E3012&gt;0,(F3012/E3012)*1000,""),"")</f>
        <v/>
      </c>
      <c r="H3012" s="139">
        <f>IFERROR(IF(E3012&gt;0,E3012*IF(ISNUMBER(J3012),J3012,IF(OR(C3012="Alpha",B3012="Alpha"),$C$7,IF(C3012="Futures",$C$6,$C$5))),""),"")</f>
        <v/>
      </c>
      <c r="I3012" s="139">
        <f>IFERROR(IF(AND(ISNUMBER(F3012),ISNUMBER(H3012)),F3012-H3012,""),"")</f>
        <v/>
      </c>
      <c r="J3012" s="114" t="n"/>
      <c r="K3012" s="139">
        <f>IFERROR(IF(H3012&gt;0,H3012*IF(OR(C3012="Alpha",B3012="Alpha"),$C$9,$C$8),""),"")</f>
        <v/>
      </c>
      <c r="L3012" s="139">
        <f>IFERROR(IF(ISNUMBER(F3012),F3012-IF(ISNUMBER(K3012),K3012,0),""),"")</f>
        <v/>
      </c>
    </row>
    <row r="3013" ht="24" customHeight="1" s="63">
      <c r="E3013" s="139" t="n"/>
      <c r="F3013" s="139" t="n"/>
      <c r="G3013" s="140">
        <f>IFERROR(IF(E3013&gt;0,(F3013/E3013)*1000,""),"")</f>
        <v/>
      </c>
      <c r="H3013" s="139">
        <f>IFERROR(IF(E3013&gt;0,E3013*IF(ISNUMBER(J3013),J3013,IF(OR(C3013="Alpha",B3013="Alpha"),$C$7,IF(C3013="Futures",$C$6,$C$5))),""),"")</f>
        <v/>
      </c>
      <c r="I3013" s="139">
        <f>IFERROR(IF(AND(ISNUMBER(F3013),ISNUMBER(H3013)),F3013-H3013,""),"")</f>
        <v/>
      </c>
      <c r="J3013" s="114" t="n"/>
      <c r="K3013" s="139">
        <f>IFERROR(IF(H3013&gt;0,H3013*IF(OR(C3013="Alpha",B3013="Alpha"),$C$9,$C$8),""),"")</f>
        <v/>
      </c>
      <c r="L3013" s="139">
        <f>IFERROR(IF(ISNUMBER(F3013),F3013-IF(ISNUMBER(K3013),K3013,0),""),"")</f>
        <v/>
      </c>
    </row>
    <row r="3014" ht="24" customHeight="1" s="63">
      <c r="E3014" s="139" t="n"/>
      <c r="F3014" s="139" t="n"/>
      <c r="G3014" s="140">
        <f>IFERROR(IF(E3014&gt;0,(F3014/E3014)*1000,""),"")</f>
        <v/>
      </c>
      <c r="H3014" s="139">
        <f>IFERROR(IF(E3014&gt;0,E3014*IF(ISNUMBER(J3014),J3014,IF(OR(C3014="Alpha",B3014="Alpha"),$C$7,IF(C3014="Futures",$C$6,$C$5))),""),"")</f>
        <v/>
      </c>
      <c r="I3014" s="139">
        <f>IFERROR(IF(AND(ISNUMBER(F3014),ISNUMBER(H3014)),F3014-H3014,""),"")</f>
        <v/>
      </c>
      <c r="J3014" s="114" t="n"/>
      <c r="K3014" s="139">
        <f>IFERROR(IF(H3014&gt;0,H3014*IF(OR(C3014="Alpha",B3014="Alpha"),$C$9,$C$8),""),"")</f>
        <v/>
      </c>
      <c r="L3014" s="139">
        <f>IFERROR(IF(ISNUMBER(F3014),F3014-IF(ISNUMBER(K3014),K3014,0),""),"")</f>
        <v/>
      </c>
    </row>
    <row r="3015" ht="24" customHeight="1" s="63">
      <c r="E3015" s="139" t="n"/>
      <c r="F3015" s="139" t="n"/>
      <c r="G3015" s="140">
        <f>IFERROR(IF(E3015&gt;0,(F3015/E3015)*1000,""),"")</f>
        <v/>
      </c>
      <c r="H3015" s="139">
        <f>IFERROR(IF(E3015&gt;0,E3015*IF(ISNUMBER(J3015),J3015,IF(OR(C3015="Alpha",B3015="Alpha"),$C$7,IF(C3015="Futures",$C$6,$C$5))),""),"")</f>
        <v/>
      </c>
      <c r="I3015" s="139">
        <f>IFERROR(IF(AND(ISNUMBER(F3015),ISNUMBER(H3015)),F3015-H3015,""),"")</f>
        <v/>
      </c>
      <c r="J3015" s="114" t="n"/>
      <c r="K3015" s="139">
        <f>IFERROR(IF(H3015&gt;0,H3015*IF(OR(C3015="Alpha",B3015="Alpha"),$C$9,$C$8),""),"")</f>
        <v/>
      </c>
      <c r="L3015" s="139">
        <f>IFERROR(IF(ISNUMBER(F3015),F3015-IF(ISNUMBER(K3015),K3015,0),""),"")</f>
        <v/>
      </c>
    </row>
    <row r="3016" ht="24" customHeight="1" s="63">
      <c r="E3016" s="139" t="n"/>
      <c r="F3016" s="139" t="n"/>
      <c r="G3016" s="140">
        <f>IFERROR(IF(E3016&gt;0,(F3016/E3016)*1000,""),"")</f>
        <v/>
      </c>
      <c r="H3016" s="139">
        <f>IFERROR(IF(E3016&gt;0,E3016*IF(ISNUMBER(J3016),J3016,IF(OR(C3016="Alpha",B3016="Alpha"),$C$7,IF(C3016="Futures",$C$6,$C$5))),""),"")</f>
        <v/>
      </c>
      <c r="I3016" s="139">
        <f>IFERROR(IF(AND(ISNUMBER(F3016),ISNUMBER(H3016)),F3016-H3016,""),"")</f>
        <v/>
      </c>
      <c r="J3016" s="114" t="n"/>
      <c r="K3016" s="139">
        <f>IFERROR(IF(H3016&gt;0,H3016*IF(OR(C3016="Alpha",B3016="Alpha"),$C$9,$C$8),""),"")</f>
        <v/>
      </c>
      <c r="L3016" s="139">
        <f>IFERROR(IF(ISNUMBER(F3016),F3016-IF(ISNUMBER(K3016),K3016,0),""),"")</f>
        <v/>
      </c>
    </row>
    <row r="3017" ht="24" customHeight="1" s="63">
      <c r="E3017" s="139" t="n"/>
      <c r="F3017" s="139" t="n"/>
      <c r="G3017" s="140">
        <f>IFERROR(IF(E3017&gt;0,(F3017/E3017)*1000,""),"")</f>
        <v/>
      </c>
      <c r="H3017" s="139">
        <f>IFERROR(IF(E3017&gt;0,E3017*IF(ISNUMBER(J3017),J3017,IF(OR(C3017="Alpha",B3017="Alpha"),$C$7,IF(C3017="Futures",$C$6,$C$5))),""),"")</f>
        <v/>
      </c>
      <c r="I3017" s="139">
        <f>IFERROR(IF(AND(ISNUMBER(F3017),ISNUMBER(H3017)),F3017-H3017,""),"")</f>
        <v/>
      </c>
      <c r="J3017" s="114" t="n"/>
      <c r="K3017" s="139">
        <f>IFERROR(IF(H3017&gt;0,H3017*IF(OR(C3017="Alpha",B3017="Alpha"),$C$9,$C$8),""),"")</f>
        <v/>
      </c>
      <c r="L3017" s="139">
        <f>IFERROR(IF(ISNUMBER(F3017),F3017-IF(ISNUMBER(K3017),K3017,0),""),"")</f>
        <v/>
      </c>
    </row>
    <row r="3018" ht="24" customHeight="1" s="63">
      <c r="E3018" s="139" t="n"/>
      <c r="F3018" s="139" t="n"/>
      <c r="G3018" s="140">
        <f>IFERROR(IF(E3018&gt;0,(F3018/E3018)*1000,""),"")</f>
        <v/>
      </c>
      <c r="H3018" s="139">
        <f>IFERROR(IF(E3018&gt;0,E3018*IF(ISNUMBER(J3018),J3018,IF(OR(C3018="Alpha",B3018="Alpha"),$C$7,IF(C3018="Futures",$C$6,$C$5))),""),"")</f>
        <v/>
      </c>
      <c r="I3018" s="139">
        <f>IFERROR(IF(AND(ISNUMBER(F3018),ISNUMBER(H3018)),F3018-H3018,""),"")</f>
        <v/>
      </c>
      <c r="J3018" s="114" t="n"/>
      <c r="K3018" s="139">
        <f>IFERROR(IF(H3018&gt;0,H3018*IF(OR(C3018="Alpha",B3018="Alpha"),$C$9,$C$8),""),"")</f>
        <v/>
      </c>
      <c r="L3018" s="139">
        <f>IFERROR(IF(ISNUMBER(F3018),F3018-IF(ISNUMBER(K3018),K3018,0),""),"")</f>
        <v/>
      </c>
    </row>
    <row r="3019" ht="24" customHeight="1" s="63">
      <c r="E3019" s="139" t="n"/>
      <c r="F3019" s="139" t="n"/>
      <c r="G3019" s="140">
        <f>IFERROR(IF(E3019&gt;0,(F3019/E3019)*1000,""),"")</f>
        <v/>
      </c>
      <c r="H3019" s="139">
        <f>IFERROR(IF(E3019&gt;0,E3019*IF(ISNUMBER(J3019),J3019,IF(OR(C3019="Alpha",B3019="Alpha"),$C$7,IF(C3019="Futures",$C$6,$C$5))),""),"")</f>
        <v/>
      </c>
      <c r="I3019" s="139">
        <f>IFERROR(IF(AND(ISNUMBER(F3019),ISNUMBER(H3019)),F3019-H3019,""),"")</f>
        <v/>
      </c>
      <c r="J3019" s="114" t="n"/>
      <c r="K3019" s="139">
        <f>IFERROR(IF(H3019&gt;0,H3019*IF(OR(C3019="Alpha",B3019="Alpha"),$C$9,$C$8),""),"")</f>
        <v/>
      </c>
      <c r="L3019" s="139">
        <f>IFERROR(IF(ISNUMBER(F3019),F3019-IF(ISNUMBER(K3019),K3019,0),""),"")</f>
        <v/>
      </c>
    </row>
    <row r="3020" ht="24" customHeight="1" s="63">
      <c r="E3020" s="139" t="n"/>
      <c r="F3020" s="139" t="n"/>
      <c r="G3020" s="140">
        <f>IFERROR(IF(E3020&gt;0,(F3020/E3020)*1000,""),"")</f>
        <v/>
      </c>
      <c r="H3020" s="139">
        <f>IFERROR(IF(E3020&gt;0,E3020*IF(ISNUMBER(J3020),J3020,IF(OR(C3020="Alpha",B3020="Alpha"),$C$7,IF(C3020="Futures",$C$6,$C$5))),""),"")</f>
        <v/>
      </c>
      <c r="I3020" s="139">
        <f>IFERROR(IF(AND(ISNUMBER(F3020),ISNUMBER(H3020)),F3020-H3020,""),"")</f>
        <v/>
      </c>
      <c r="J3020" s="114" t="n"/>
      <c r="K3020" s="139">
        <f>IFERROR(IF(H3020&gt;0,H3020*IF(OR(C3020="Alpha",B3020="Alpha"),$C$9,$C$8),""),"")</f>
        <v/>
      </c>
      <c r="L3020" s="139">
        <f>IFERROR(IF(ISNUMBER(F3020),F3020-IF(ISNUMBER(K3020),K3020,0),""),"")</f>
        <v/>
      </c>
    </row>
    <row r="3021" ht="24" customHeight="1" s="63">
      <c r="E3021" s="139" t="n"/>
      <c r="F3021" s="139" t="n"/>
      <c r="G3021" s="140">
        <f>IFERROR(IF(E3021&gt;0,(F3021/E3021)*1000,""),"")</f>
        <v/>
      </c>
      <c r="H3021" s="139">
        <f>IFERROR(IF(E3021&gt;0,E3021*IF(ISNUMBER(J3021),J3021,IF(OR(C3021="Alpha",B3021="Alpha"),$C$7,IF(C3021="Futures",$C$6,$C$5))),""),"")</f>
        <v/>
      </c>
      <c r="I3021" s="139">
        <f>IFERROR(IF(AND(ISNUMBER(F3021),ISNUMBER(H3021)),F3021-H3021,""),"")</f>
        <v/>
      </c>
      <c r="J3021" s="114" t="n"/>
      <c r="K3021" s="139">
        <f>IFERROR(IF(H3021&gt;0,H3021*IF(OR(C3021="Alpha",B3021="Alpha"),$C$9,$C$8),""),"")</f>
        <v/>
      </c>
      <c r="L3021" s="139">
        <f>IFERROR(IF(ISNUMBER(F3021),F3021-IF(ISNUMBER(K3021),K3021,0),""),"")</f>
        <v/>
      </c>
    </row>
    <row r="3022" ht="24" customHeight="1" s="63">
      <c r="E3022" s="139" t="n"/>
      <c r="F3022" s="139" t="n"/>
      <c r="G3022" s="140">
        <f>IFERROR(IF(E3022&gt;0,(F3022/E3022)*1000,""),"")</f>
        <v/>
      </c>
      <c r="H3022" s="139">
        <f>IFERROR(IF(E3022&gt;0,E3022*IF(ISNUMBER(J3022),J3022,IF(OR(C3022="Alpha",B3022="Alpha"),$C$7,IF(C3022="Futures",$C$6,$C$5))),""),"")</f>
        <v/>
      </c>
      <c r="I3022" s="139">
        <f>IFERROR(IF(AND(ISNUMBER(F3022),ISNUMBER(H3022)),F3022-H3022,""),"")</f>
        <v/>
      </c>
      <c r="J3022" s="114" t="n"/>
      <c r="K3022" s="139">
        <f>IFERROR(IF(H3022&gt;0,H3022*IF(OR(C3022="Alpha",B3022="Alpha"),$C$9,$C$8),""),"")</f>
        <v/>
      </c>
      <c r="L3022" s="139">
        <f>IFERROR(IF(ISNUMBER(F3022),F3022-IF(ISNUMBER(K3022),K3022,0),""),"")</f>
        <v/>
      </c>
    </row>
    <row r="3023" ht="24" customHeight="1" s="63">
      <c r="E3023" s="139" t="n"/>
      <c r="F3023" s="139" t="n"/>
      <c r="G3023" s="140">
        <f>IFERROR(IF(E3023&gt;0,(F3023/E3023)*1000,""),"")</f>
        <v/>
      </c>
      <c r="H3023" s="139">
        <f>IFERROR(IF(E3023&gt;0,E3023*IF(ISNUMBER(J3023),J3023,IF(OR(C3023="Alpha",B3023="Alpha"),$C$7,IF(C3023="Futures",$C$6,$C$5))),""),"")</f>
        <v/>
      </c>
      <c r="I3023" s="139">
        <f>IFERROR(IF(AND(ISNUMBER(F3023),ISNUMBER(H3023)),F3023-H3023,""),"")</f>
        <v/>
      </c>
      <c r="J3023" s="114" t="n"/>
      <c r="K3023" s="139">
        <f>IFERROR(IF(H3023&gt;0,H3023*IF(OR(C3023="Alpha",B3023="Alpha"),$C$9,$C$8),""),"")</f>
        <v/>
      </c>
      <c r="L3023" s="139">
        <f>IFERROR(IF(ISNUMBER(F3023),F3023-IF(ISNUMBER(K3023),K3023,0),""),"")</f>
        <v/>
      </c>
    </row>
    <row r="3024" ht="24" customHeight="1" s="63">
      <c r="E3024" s="139" t="n"/>
      <c r="F3024" s="139" t="n"/>
      <c r="G3024" s="140">
        <f>IFERROR(IF(E3024&gt;0,(F3024/E3024)*1000,""),"")</f>
        <v/>
      </c>
      <c r="H3024" s="139">
        <f>IFERROR(IF(E3024&gt;0,E3024*IF(ISNUMBER(J3024),J3024,IF(OR(C3024="Alpha",B3024="Alpha"),$C$7,IF(C3024="Futures",$C$6,$C$5))),""),"")</f>
        <v/>
      </c>
      <c r="I3024" s="139">
        <f>IFERROR(IF(AND(ISNUMBER(F3024),ISNUMBER(H3024)),F3024-H3024,""),"")</f>
        <v/>
      </c>
      <c r="J3024" s="114" t="n"/>
      <c r="K3024" s="139">
        <f>IFERROR(IF(H3024&gt;0,H3024*IF(OR(C3024="Alpha",B3024="Alpha"),$C$9,$C$8),""),"")</f>
        <v/>
      </c>
      <c r="L3024" s="139">
        <f>IFERROR(IF(ISNUMBER(F3024),F3024-IF(ISNUMBER(K3024),K3024,0),""),"")</f>
        <v/>
      </c>
    </row>
    <row r="3025" ht="24" customHeight="1" s="63">
      <c r="E3025" s="139" t="n"/>
      <c r="F3025" s="139" t="n"/>
      <c r="G3025" s="140">
        <f>IFERROR(IF(E3025&gt;0,(F3025/E3025)*1000,""),"")</f>
        <v/>
      </c>
      <c r="H3025" s="139">
        <f>IFERROR(IF(E3025&gt;0,E3025*IF(ISNUMBER(J3025),J3025,IF(OR(C3025="Alpha",B3025="Alpha"),$C$7,IF(C3025="Futures",$C$6,$C$5))),""),"")</f>
        <v/>
      </c>
      <c r="I3025" s="139">
        <f>IFERROR(IF(AND(ISNUMBER(F3025),ISNUMBER(H3025)),F3025-H3025,""),"")</f>
        <v/>
      </c>
      <c r="J3025" s="114" t="n"/>
      <c r="K3025" s="139">
        <f>IFERROR(IF(H3025&gt;0,H3025*IF(OR(C3025="Alpha",B3025="Alpha"),$C$9,$C$8),""),"")</f>
        <v/>
      </c>
      <c r="L3025" s="139">
        <f>IFERROR(IF(ISNUMBER(F3025),F3025-IF(ISNUMBER(K3025),K3025,0),""),"")</f>
        <v/>
      </c>
    </row>
    <row r="3026" ht="24" customHeight="1" s="63">
      <c r="E3026" s="139" t="n"/>
      <c r="F3026" s="139" t="n"/>
      <c r="G3026" s="140">
        <f>IFERROR(IF(E3026&gt;0,(F3026/E3026)*1000,""),"")</f>
        <v/>
      </c>
      <c r="H3026" s="139">
        <f>IFERROR(IF(E3026&gt;0,E3026*IF(ISNUMBER(J3026),J3026,IF(OR(C3026="Alpha",B3026="Alpha"),$C$7,IF(C3026="Futures",$C$6,$C$5))),""),"")</f>
        <v/>
      </c>
      <c r="I3026" s="139">
        <f>IFERROR(IF(AND(ISNUMBER(F3026),ISNUMBER(H3026)),F3026-H3026,""),"")</f>
        <v/>
      </c>
      <c r="J3026" s="114" t="n"/>
      <c r="K3026" s="139">
        <f>IFERROR(IF(H3026&gt;0,H3026*IF(OR(C3026="Alpha",B3026="Alpha"),$C$9,$C$8),""),"")</f>
        <v/>
      </c>
      <c r="L3026" s="139">
        <f>IFERROR(IF(ISNUMBER(F3026),F3026-IF(ISNUMBER(K3026),K3026,0),""),"")</f>
        <v/>
      </c>
    </row>
    <row r="3027" ht="24" customHeight="1" s="63">
      <c r="E3027" s="139" t="n"/>
      <c r="F3027" s="139" t="n"/>
      <c r="G3027" s="140">
        <f>IFERROR(IF(E3027&gt;0,(F3027/E3027)*1000,""),"")</f>
        <v/>
      </c>
      <c r="H3027" s="139">
        <f>IFERROR(IF(E3027&gt;0,E3027*IF(ISNUMBER(J3027),J3027,IF(OR(C3027="Alpha",B3027="Alpha"),$C$7,IF(C3027="Futures",$C$6,$C$5))),""),"")</f>
        <v/>
      </c>
      <c r="I3027" s="139">
        <f>IFERROR(IF(AND(ISNUMBER(F3027),ISNUMBER(H3027)),F3027-H3027,""),"")</f>
        <v/>
      </c>
      <c r="J3027" s="114" t="n"/>
      <c r="K3027" s="139">
        <f>IFERROR(IF(H3027&gt;0,H3027*IF(OR(C3027="Alpha",B3027="Alpha"),$C$9,$C$8),""),"")</f>
        <v/>
      </c>
      <c r="L3027" s="139">
        <f>IFERROR(IF(ISNUMBER(F3027),F3027-IF(ISNUMBER(K3027),K3027,0),""),"")</f>
        <v/>
      </c>
    </row>
    <row r="3028" ht="24" customHeight="1" s="63">
      <c r="E3028" s="139" t="n"/>
      <c r="F3028" s="139" t="n"/>
      <c r="G3028" s="140">
        <f>IFERROR(IF(E3028&gt;0,(F3028/E3028)*1000,""),"")</f>
        <v/>
      </c>
      <c r="H3028" s="139">
        <f>IFERROR(IF(E3028&gt;0,E3028*IF(ISNUMBER(J3028),J3028,IF(OR(C3028="Alpha",B3028="Alpha"),$C$7,IF(C3028="Futures",$C$6,$C$5))),""),"")</f>
        <v/>
      </c>
      <c r="I3028" s="139">
        <f>IFERROR(IF(AND(ISNUMBER(F3028),ISNUMBER(H3028)),F3028-H3028,""),"")</f>
        <v/>
      </c>
      <c r="J3028" s="114" t="n"/>
      <c r="K3028" s="139">
        <f>IFERROR(IF(H3028&gt;0,H3028*IF(OR(C3028="Alpha",B3028="Alpha"),$C$9,$C$8),""),"")</f>
        <v/>
      </c>
      <c r="L3028" s="139">
        <f>IFERROR(IF(ISNUMBER(F3028),F3028-IF(ISNUMBER(K3028),K3028,0),""),"")</f>
        <v/>
      </c>
    </row>
    <row r="3029" ht="24" customHeight="1" s="63">
      <c r="E3029" s="139" t="n"/>
      <c r="F3029" s="139" t="n"/>
      <c r="G3029" s="140">
        <f>IFERROR(IF(E3029&gt;0,(F3029/E3029)*1000,""),"")</f>
        <v/>
      </c>
      <c r="H3029" s="139">
        <f>IFERROR(IF(E3029&gt;0,E3029*IF(ISNUMBER(J3029),J3029,IF(OR(C3029="Alpha",B3029="Alpha"),$C$7,IF(C3029="Futures",$C$6,$C$5))),""),"")</f>
        <v/>
      </c>
      <c r="I3029" s="139">
        <f>IFERROR(IF(AND(ISNUMBER(F3029),ISNUMBER(H3029)),F3029-H3029,""),"")</f>
        <v/>
      </c>
      <c r="J3029" s="114" t="n"/>
      <c r="K3029" s="139">
        <f>IFERROR(IF(H3029&gt;0,H3029*IF(OR(C3029="Alpha",B3029="Alpha"),$C$9,$C$8),""),"")</f>
        <v/>
      </c>
      <c r="L3029" s="139">
        <f>IFERROR(IF(ISNUMBER(F3029),F3029-IF(ISNUMBER(K3029),K3029,0),""),"")</f>
        <v/>
      </c>
    </row>
    <row r="3030" ht="24" customHeight="1" s="63">
      <c r="E3030" s="139" t="n"/>
      <c r="F3030" s="139" t="n"/>
      <c r="G3030" s="140">
        <f>IFERROR(IF(E3030&gt;0,(F3030/E3030)*1000,""),"")</f>
        <v/>
      </c>
      <c r="H3030" s="139">
        <f>IFERROR(IF(E3030&gt;0,E3030*IF(ISNUMBER(J3030),J3030,IF(OR(C3030="Alpha",B3030="Alpha"),$C$7,IF(C3030="Futures",$C$6,$C$5))),""),"")</f>
        <v/>
      </c>
      <c r="I3030" s="139">
        <f>IFERROR(IF(AND(ISNUMBER(F3030),ISNUMBER(H3030)),F3030-H3030,""),"")</f>
        <v/>
      </c>
      <c r="J3030" s="114" t="n"/>
      <c r="K3030" s="139">
        <f>IFERROR(IF(H3030&gt;0,H3030*IF(OR(C3030="Alpha",B3030="Alpha"),$C$9,$C$8),""),"")</f>
        <v/>
      </c>
      <c r="L3030" s="139">
        <f>IFERROR(IF(ISNUMBER(F3030),F3030-IF(ISNUMBER(K3030),K3030,0),""),"")</f>
        <v/>
      </c>
    </row>
    <row r="3031" ht="24" customHeight="1" s="63">
      <c r="E3031" s="139" t="n"/>
      <c r="F3031" s="139" t="n"/>
      <c r="G3031" s="140">
        <f>IFERROR(IF(E3031&gt;0,(F3031/E3031)*1000,""),"")</f>
        <v/>
      </c>
      <c r="H3031" s="139">
        <f>IFERROR(IF(E3031&gt;0,E3031*IF(ISNUMBER(J3031),J3031,IF(OR(C3031="Alpha",B3031="Alpha"),$C$7,IF(C3031="Futures",$C$6,$C$5))),""),"")</f>
        <v/>
      </c>
      <c r="I3031" s="139">
        <f>IFERROR(IF(AND(ISNUMBER(F3031),ISNUMBER(H3031)),F3031-H3031,""),"")</f>
        <v/>
      </c>
      <c r="J3031" s="114" t="n"/>
      <c r="K3031" s="139">
        <f>IFERROR(IF(H3031&gt;0,H3031*IF(OR(C3031="Alpha",B3031="Alpha"),$C$9,$C$8),""),"")</f>
        <v/>
      </c>
      <c r="L3031" s="139">
        <f>IFERROR(IF(ISNUMBER(F3031),F3031-IF(ISNUMBER(K3031),K3031,0),""),"")</f>
        <v/>
      </c>
    </row>
    <row r="3032" ht="24" customHeight="1" s="63">
      <c r="E3032" s="139" t="n"/>
      <c r="F3032" s="139" t="n"/>
      <c r="G3032" s="140">
        <f>IFERROR(IF(E3032&gt;0,(F3032/E3032)*1000,""),"")</f>
        <v/>
      </c>
      <c r="H3032" s="139">
        <f>IFERROR(IF(E3032&gt;0,E3032*IF(ISNUMBER(J3032),J3032,IF(OR(C3032="Alpha",B3032="Alpha"),$C$7,IF(C3032="Futures",$C$6,$C$5))),""),"")</f>
        <v/>
      </c>
      <c r="I3032" s="139">
        <f>IFERROR(IF(AND(ISNUMBER(F3032),ISNUMBER(H3032)),F3032-H3032,""),"")</f>
        <v/>
      </c>
      <c r="J3032" s="114" t="n"/>
      <c r="K3032" s="139">
        <f>IFERROR(IF(H3032&gt;0,H3032*IF(OR(C3032="Alpha",B3032="Alpha"),$C$9,$C$8),""),"")</f>
        <v/>
      </c>
      <c r="L3032" s="139">
        <f>IFERROR(IF(ISNUMBER(F3032),F3032-IF(ISNUMBER(K3032),K3032,0),""),"")</f>
        <v/>
      </c>
    </row>
    <row r="3033" ht="24" customHeight="1" s="63">
      <c r="E3033" s="139" t="n"/>
      <c r="F3033" s="139" t="n"/>
      <c r="G3033" s="140">
        <f>IFERROR(IF(E3033&gt;0,(F3033/E3033)*1000,""),"")</f>
        <v/>
      </c>
      <c r="H3033" s="139">
        <f>IFERROR(IF(E3033&gt;0,E3033*IF(ISNUMBER(J3033),J3033,IF(OR(C3033="Alpha",B3033="Alpha"),$C$7,IF(C3033="Futures",$C$6,$C$5))),""),"")</f>
        <v/>
      </c>
      <c r="I3033" s="139">
        <f>IFERROR(IF(AND(ISNUMBER(F3033),ISNUMBER(H3033)),F3033-H3033,""),"")</f>
        <v/>
      </c>
      <c r="J3033" s="114" t="n"/>
      <c r="K3033" s="139">
        <f>IFERROR(IF(H3033&gt;0,H3033*IF(OR(C3033="Alpha",B3033="Alpha"),$C$9,$C$8),""),"")</f>
        <v/>
      </c>
      <c r="L3033" s="139">
        <f>IFERROR(IF(ISNUMBER(F3033),F3033-IF(ISNUMBER(K3033),K3033,0),""),"")</f>
        <v/>
      </c>
    </row>
    <row r="3034" ht="24" customHeight="1" s="63">
      <c r="E3034" s="139" t="n"/>
      <c r="F3034" s="139" t="n"/>
      <c r="G3034" s="140">
        <f>IFERROR(IF(E3034&gt;0,(F3034/E3034)*1000,""),"")</f>
        <v/>
      </c>
      <c r="H3034" s="139">
        <f>IFERROR(IF(E3034&gt;0,E3034*IF(ISNUMBER(J3034),J3034,IF(OR(C3034="Alpha",B3034="Alpha"),$C$7,IF(C3034="Futures",$C$6,$C$5))),""),"")</f>
        <v/>
      </c>
      <c r="I3034" s="139">
        <f>IFERROR(IF(AND(ISNUMBER(F3034),ISNUMBER(H3034)),F3034-H3034,""),"")</f>
        <v/>
      </c>
      <c r="J3034" s="114" t="n"/>
      <c r="K3034" s="139">
        <f>IFERROR(IF(H3034&gt;0,H3034*IF(OR(C3034="Alpha",B3034="Alpha"),$C$9,$C$8),""),"")</f>
        <v/>
      </c>
      <c r="L3034" s="139">
        <f>IFERROR(IF(ISNUMBER(F3034),F3034-IF(ISNUMBER(K3034),K3034,0),""),"")</f>
        <v/>
      </c>
    </row>
    <row r="3035" ht="24" customHeight="1" s="63">
      <c r="E3035" s="139" t="n"/>
      <c r="F3035" s="139" t="n"/>
      <c r="G3035" s="140">
        <f>IFERROR(IF(E3035&gt;0,(F3035/E3035)*1000,""),"")</f>
        <v/>
      </c>
      <c r="H3035" s="139">
        <f>IFERROR(IF(E3035&gt;0,E3035*IF(ISNUMBER(J3035),J3035,IF(OR(C3035="Alpha",B3035="Alpha"),$C$7,IF(C3035="Futures",$C$6,$C$5))),""),"")</f>
        <v/>
      </c>
      <c r="I3035" s="139">
        <f>IFERROR(IF(AND(ISNUMBER(F3035),ISNUMBER(H3035)),F3035-H3035,""),"")</f>
        <v/>
      </c>
      <c r="J3035" s="114" t="n"/>
      <c r="K3035" s="139">
        <f>IFERROR(IF(H3035&gt;0,H3035*IF(OR(C3035="Alpha",B3035="Alpha"),$C$9,$C$8),""),"")</f>
        <v/>
      </c>
      <c r="L3035" s="139">
        <f>IFERROR(IF(ISNUMBER(F3035),F3035-IF(ISNUMBER(K3035),K3035,0),""),"")</f>
        <v/>
      </c>
    </row>
    <row r="3036" ht="24" customHeight="1" s="63">
      <c r="E3036" s="139" t="n"/>
      <c r="F3036" s="139" t="n"/>
      <c r="G3036" s="140">
        <f>IFERROR(IF(E3036&gt;0,(F3036/E3036)*1000,""),"")</f>
        <v/>
      </c>
      <c r="H3036" s="139">
        <f>IFERROR(IF(E3036&gt;0,E3036*IF(ISNUMBER(J3036),J3036,IF(OR(C3036="Alpha",B3036="Alpha"),$C$7,IF(C3036="Futures",$C$6,$C$5))),""),"")</f>
        <v/>
      </c>
      <c r="I3036" s="139">
        <f>IFERROR(IF(AND(ISNUMBER(F3036),ISNUMBER(H3036)),F3036-H3036,""),"")</f>
        <v/>
      </c>
      <c r="J3036" s="114" t="n"/>
      <c r="K3036" s="139">
        <f>IFERROR(IF(H3036&gt;0,H3036*IF(OR(C3036="Alpha",B3036="Alpha"),$C$9,$C$8),""),"")</f>
        <v/>
      </c>
      <c r="L3036" s="139">
        <f>IFERROR(IF(ISNUMBER(F3036),F3036-IF(ISNUMBER(K3036),K3036,0),""),"")</f>
        <v/>
      </c>
    </row>
    <row r="3037" ht="24" customHeight="1" s="63">
      <c r="E3037" s="139" t="n"/>
      <c r="F3037" s="139" t="n"/>
      <c r="G3037" s="140">
        <f>IFERROR(IF(E3037&gt;0,(F3037/E3037)*1000,""),"")</f>
        <v/>
      </c>
      <c r="H3037" s="139">
        <f>IFERROR(IF(E3037&gt;0,E3037*IF(ISNUMBER(J3037),J3037,IF(OR(C3037="Alpha",B3037="Alpha"),$C$7,IF(C3037="Futures",$C$6,$C$5))),""),"")</f>
        <v/>
      </c>
      <c r="I3037" s="139">
        <f>IFERROR(IF(AND(ISNUMBER(F3037),ISNUMBER(H3037)),F3037-H3037,""),"")</f>
        <v/>
      </c>
      <c r="J3037" s="114" t="n"/>
      <c r="K3037" s="139">
        <f>IFERROR(IF(H3037&gt;0,H3037*IF(OR(C3037="Alpha",B3037="Alpha"),$C$9,$C$8),""),"")</f>
        <v/>
      </c>
      <c r="L3037" s="139">
        <f>IFERROR(IF(ISNUMBER(F3037),F3037-IF(ISNUMBER(K3037),K3037,0),""),"")</f>
        <v/>
      </c>
    </row>
    <row r="3038" ht="24" customHeight="1" s="63">
      <c r="E3038" s="139" t="n"/>
      <c r="F3038" s="139" t="n"/>
      <c r="G3038" s="140">
        <f>IFERROR(IF(E3038&gt;0,(F3038/E3038)*1000,""),"")</f>
        <v/>
      </c>
      <c r="H3038" s="139">
        <f>IFERROR(IF(E3038&gt;0,E3038*IF(ISNUMBER(J3038),J3038,IF(OR(C3038="Alpha",B3038="Alpha"),$C$7,IF(C3038="Futures",$C$6,$C$5))),""),"")</f>
        <v/>
      </c>
      <c r="I3038" s="139">
        <f>IFERROR(IF(AND(ISNUMBER(F3038),ISNUMBER(H3038)),F3038-H3038,""),"")</f>
        <v/>
      </c>
      <c r="J3038" s="114" t="n"/>
      <c r="K3038" s="139">
        <f>IFERROR(IF(H3038&gt;0,H3038*IF(OR(C3038="Alpha",B3038="Alpha"),$C$9,$C$8),""),"")</f>
        <v/>
      </c>
      <c r="L3038" s="139">
        <f>IFERROR(IF(ISNUMBER(F3038),F3038-IF(ISNUMBER(K3038),K3038,0),""),"")</f>
        <v/>
      </c>
    </row>
    <row r="3039" ht="24" customHeight="1" s="63">
      <c r="E3039" s="139" t="n"/>
      <c r="F3039" s="139" t="n"/>
      <c r="G3039" s="140">
        <f>IFERROR(IF(E3039&gt;0,(F3039/E3039)*1000,""),"")</f>
        <v/>
      </c>
      <c r="H3039" s="139">
        <f>IFERROR(IF(E3039&gt;0,E3039*IF(ISNUMBER(J3039),J3039,IF(OR(C3039="Alpha",B3039="Alpha"),$C$7,IF(C3039="Futures",$C$6,$C$5))),""),"")</f>
        <v/>
      </c>
      <c r="I3039" s="139">
        <f>IFERROR(IF(AND(ISNUMBER(F3039),ISNUMBER(H3039)),F3039-H3039,""),"")</f>
        <v/>
      </c>
      <c r="J3039" s="114" t="n"/>
      <c r="K3039" s="139">
        <f>IFERROR(IF(H3039&gt;0,H3039*IF(OR(C3039="Alpha",B3039="Alpha"),$C$9,$C$8),""),"")</f>
        <v/>
      </c>
      <c r="L3039" s="139">
        <f>IFERROR(IF(ISNUMBER(F3039),F3039-IF(ISNUMBER(K3039),K3039,0),""),"")</f>
        <v/>
      </c>
    </row>
    <row r="3040" ht="24" customHeight="1" s="63">
      <c r="E3040" s="139" t="n"/>
      <c r="F3040" s="139" t="n"/>
      <c r="G3040" s="140">
        <f>IFERROR(IF(E3040&gt;0,(F3040/E3040)*1000,""),"")</f>
        <v/>
      </c>
      <c r="H3040" s="139">
        <f>IFERROR(IF(E3040&gt;0,E3040*IF(ISNUMBER(J3040),J3040,IF(OR(C3040="Alpha",B3040="Alpha"),$C$7,IF(C3040="Futures",$C$6,$C$5))),""),"")</f>
        <v/>
      </c>
      <c r="I3040" s="139">
        <f>IFERROR(IF(AND(ISNUMBER(F3040),ISNUMBER(H3040)),F3040-H3040,""),"")</f>
        <v/>
      </c>
      <c r="J3040" s="114" t="n"/>
      <c r="K3040" s="139">
        <f>IFERROR(IF(H3040&gt;0,H3040*IF(OR(C3040="Alpha",B3040="Alpha"),$C$9,$C$8),""),"")</f>
        <v/>
      </c>
      <c r="L3040" s="139">
        <f>IFERROR(IF(ISNUMBER(F3040),F3040-IF(ISNUMBER(K3040),K3040,0),""),"")</f>
        <v/>
      </c>
    </row>
    <row r="3041" ht="24" customHeight="1" s="63">
      <c r="E3041" s="139" t="n"/>
      <c r="F3041" s="139" t="n"/>
      <c r="G3041" s="140">
        <f>IFERROR(IF(E3041&gt;0,(F3041/E3041)*1000,""),"")</f>
        <v/>
      </c>
      <c r="H3041" s="139">
        <f>IFERROR(IF(E3041&gt;0,E3041*IF(ISNUMBER(J3041),J3041,IF(OR(C3041="Alpha",B3041="Alpha"),$C$7,IF(C3041="Futures",$C$6,$C$5))),""),"")</f>
        <v/>
      </c>
      <c r="I3041" s="139">
        <f>IFERROR(IF(AND(ISNUMBER(F3041),ISNUMBER(H3041)),F3041-H3041,""),"")</f>
        <v/>
      </c>
      <c r="J3041" s="114" t="n"/>
      <c r="K3041" s="139">
        <f>IFERROR(IF(H3041&gt;0,H3041*IF(OR(C3041="Alpha",B3041="Alpha"),$C$9,$C$8),""),"")</f>
        <v/>
      </c>
      <c r="L3041" s="139">
        <f>IFERROR(IF(ISNUMBER(F3041),F3041-IF(ISNUMBER(K3041),K3041,0),""),"")</f>
        <v/>
      </c>
    </row>
    <row r="3042" ht="24" customHeight="1" s="63">
      <c r="E3042" s="139" t="n"/>
      <c r="F3042" s="139" t="n"/>
      <c r="G3042" s="140">
        <f>IFERROR(IF(E3042&gt;0,(F3042/E3042)*1000,""),"")</f>
        <v/>
      </c>
      <c r="H3042" s="139">
        <f>IFERROR(IF(E3042&gt;0,E3042*IF(ISNUMBER(J3042),J3042,IF(OR(C3042="Alpha",B3042="Alpha"),$C$7,IF(C3042="Futures",$C$6,$C$5))),""),"")</f>
        <v/>
      </c>
      <c r="I3042" s="139">
        <f>IFERROR(IF(AND(ISNUMBER(F3042),ISNUMBER(H3042)),F3042-H3042,""),"")</f>
        <v/>
      </c>
      <c r="J3042" s="114" t="n"/>
      <c r="K3042" s="139">
        <f>IFERROR(IF(H3042&gt;0,H3042*IF(OR(C3042="Alpha",B3042="Alpha"),$C$9,$C$8),""),"")</f>
        <v/>
      </c>
      <c r="L3042" s="139">
        <f>IFERROR(IF(ISNUMBER(F3042),F3042-IF(ISNUMBER(K3042),K3042,0),""),"")</f>
        <v/>
      </c>
    </row>
    <row r="3043" ht="24" customHeight="1" s="63">
      <c r="E3043" s="139" t="n"/>
      <c r="F3043" s="139" t="n"/>
      <c r="G3043" s="140">
        <f>IFERROR(IF(E3043&gt;0,(F3043/E3043)*1000,""),"")</f>
        <v/>
      </c>
      <c r="H3043" s="139">
        <f>IFERROR(IF(E3043&gt;0,E3043*IF(ISNUMBER(J3043),J3043,IF(OR(C3043="Alpha",B3043="Alpha"),$C$7,IF(C3043="Futures",$C$6,$C$5))),""),"")</f>
        <v/>
      </c>
      <c r="I3043" s="139">
        <f>IFERROR(IF(AND(ISNUMBER(F3043),ISNUMBER(H3043)),F3043-H3043,""),"")</f>
        <v/>
      </c>
      <c r="J3043" s="114" t="n"/>
      <c r="K3043" s="139">
        <f>IFERROR(IF(H3043&gt;0,H3043*IF(OR(C3043="Alpha",B3043="Alpha"),$C$9,$C$8),""),"")</f>
        <v/>
      </c>
      <c r="L3043" s="139">
        <f>IFERROR(IF(ISNUMBER(F3043),F3043-IF(ISNUMBER(K3043),K3043,0),""),"")</f>
        <v/>
      </c>
    </row>
    <row r="3044" ht="24" customHeight="1" s="63">
      <c r="E3044" s="139" t="n"/>
      <c r="F3044" s="139" t="n"/>
      <c r="G3044" s="140">
        <f>IFERROR(IF(E3044&gt;0,(F3044/E3044)*1000,""),"")</f>
        <v/>
      </c>
      <c r="H3044" s="139">
        <f>IFERROR(IF(E3044&gt;0,E3044*IF(ISNUMBER(J3044),J3044,IF(OR(C3044="Alpha",B3044="Alpha"),$C$7,IF(C3044="Futures",$C$6,$C$5))),""),"")</f>
        <v/>
      </c>
      <c r="I3044" s="139">
        <f>IFERROR(IF(AND(ISNUMBER(F3044),ISNUMBER(H3044)),F3044-H3044,""),"")</f>
        <v/>
      </c>
      <c r="J3044" s="114" t="n"/>
      <c r="K3044" s="139">
        <f>IFERROR(IF(H3044&gt;0,H3044*IF(OR(C3044="Alpha",B3044="Alpha"),$C$9,$C$8),""),"")</f>
        <v/>
      </c>
      <c r="L3044" s="139">
        <f>IFERROR(IF(ISNUMBER(F3044),F3044-IF(ISNUMBER(K3044),K3044,0),""),"")</f>
        <v/>
      </c>
    </row>
    <row r="3045" ht="24" customHeight="1" s="63">
      <c r="E3045" s="139" t="n"/>
      <c r="F3045" s="139" t="n"/>
      <c r="G3045" s="140">
        <f>IFERROR(IF(E3045&gt;0,(F3045/E3045)*1000,""),"")</f>
        <v/>
      </c>
      <c r="H3045" s="139">
        <f>IFERROR(IF(E3045&gt;0,E3045*IF(ISNUMBER(J3045),J3045,IF(OR(C3045="Alpha",B3045="Alpha"),$C$7,IF(C3045="Futures",$C$6,$C$5))),""),"")</f>
        <v/>
      </c>
      <c r="I3045" s="139">
        <f>IFERROR(IF(AND(ISNUMBER(F3045),ISNUMBER(H3045)),F3045-H3045,""),"")</f>
        <v/>
      </c>
      <c r="J3045" s="114" t="n"/>
      <c r="K3045" s="139">
        <f>IFERROR(IF(H3045&gt;0,H3045*IF(OR(C3045="Alpha",B3045="Alpha"),$C$9,$C$8),""),"")</f>
        <v/>
      </c>
      <c r="L3045" s="139">
        <f>IFERROR(IF(ISNUMBER(F3045),F3045-IF(ISNUMBER(K3045),K3045,0),""),"")</f>
        <v/>
      </c>
    </row>
    <row r="3046" ht="24" customHeight="1" s="63">
      <c r="E3046" s="139" t="n"/>
      <c r="F3046" s="139" t="n"/>
      <c r="G3046" s="140">
        <f>IFERROR(IF(E3046&gt;0,(F3046/E3046)*1000,""),"")</f>
        <v/>
      </c>
      <c r="H3046" s="139">
        <f>IFERROR(IF(E3046&gt;0,E3046*IF(ISNUMBER(J3046),J3046,IF(OR(C3046="Alpha",B3046="Alpha"),$C$7,IF(C3046="Futures",$C$6,$C$5))),""),"")</f>
        <v/>
      </c>
      <c r="I3046" s="139">
        <f>IFERROR(IF(AND(ISNUMBER(F3046),ISNUMBER(H3046)),F3046-H3046,""),"")</f>
        <v/>
      </c>
      <c r="J3046" s="114" t="n"/>
      <c r="K3046" s="139">
        <f>IFERROR(IF(H3046&gt;0,H3046*IF(OR(C3046="Alpha",B3046="Alpha"),$C$9,$C$8),""),"")</f>
        <v/>
      </c>
      <c r="L3046" s="139">
        <f>IFERROR(IF(ISNUMBER(F3046),F3046-IF(ISNUMBER(K3046),K3046,0),""),"")</f>
        <v/>
      </c>
    </row>
    <row r="3047" ht="24" customHeight="1" s="63">
      <c r="E3047" s="139" t="n"/>
      <c r="F3047" s="139" t="n"/>
      <c r="G3047" s="140">
        <f>IFERROR(IF(E3047&gt;0,(F3047/E3047)*1000,""),"")</f>
        <v/>
      </c>
      <c r="H3047" s="139">
        <f>IFERROR(IF(E3047&gt;0,E3047*IF(ISNUMBER(J3047),J3047,IF(OR(C3047="Alpha",B3047="Alpha"),$C$7,IF(C3047="Futures",$C$6,$C$5))),""),"")</f>
        <v/>
      </c>
      <c r="I3047" s="139">
        <f>IFERROR(IF(AND(ISNUMBER(F3047),ISNUMBER(H3047)),F3047-H3047,""),"")</f>
        <v/>
      </c>
      <c r="J3047" s="114" t="n"/>
      <c r="K3047" s="139">
        <f>IFERROR(IF(H3047&gt;0,H3047*IF(OR(C3047="Alpha",B3047="Alpha"),$C$9,$C$8),""),"")</f>
        <v/>
      </c>
      <c r="L3047" s="139">
        <f>IFERROR(IF(ISNUMBER(F3047),F3047-IF(ISNUMBER(K3047),K3047,0),""),"")</f>
        <v/>
      </c>
    </row>
    <row r="3048" ht="24" customHeight="1" s="63">
      <c r="E3048" s="139" t="n"/>
      <c r="F3048" s="139" t="n"/>
      <c r="G3048" s="140">
        <f>IFERROR(IF(E3048&gt;0,(F3048/E3048)*1000,""),"")</f>
        <v/>
      </c>
      <c r="H3048" s="139">
        <f>IFERROR(IF(E3048&gt;0,E3048*IF(ISNUMBER(J3048),J3048,IF(OR(C3048="Alpha",B3048="Alpha"),$C$7,IF(C3048="Futures",$C$6,$C$5))),""),"")</f>
        <v/>
      </c>
      <c r="I3048" s="139">
        <f>IFERROR(IF(AND(ISNUMBER(F3048),ISNUMBER(H3048)),F3048-H3048,""),"")</f>
        <v/>
      </c>
      <c r="J3048" s="114" t="n"/>
      <c r="K3048" s="139">
        <f>IFERROR(IF(H3048&gt;0,H3048*IF(OR(C3048="Alpha",B3048="Alpha"),$C$9,$C$8),""),"")</f>
        <v/>
      </c>
      <c r="L3048" s="139">
        <f>IFERROR(IF(ISNUMBER(F3048),F3048-IF(ISNUMBER(K3048),K3048,0),""),"")</f>
        <v/>
      </c>
    </row>
    <row r="3049" ht="24" customHeight="1" s="63">
      <c r="E3049" s="139" t="n"/>
      <c r="F3049" s="139" t="n"/>
      <c r="G3049" s="140">
        <f>IFERROR(IF(E3049&gt;0,(F3049/E3049)*1000,""),"")</f>
        <v/>
      </c>
      <c r="H3049" s="139">
        <f>IFERROR(IF(E3049&gt;0,E3049*IF(ISNUMBER(J3049),J3049,IF(OR(C3049="Alpha",B3049="Alpha"),$C$7,IF(C3049="Futures",$C$6,$C$5))),""),"")</f>
        <v/>
      </c>
      <c r="I3049" s="139">
        <f>IFERROR(IF(AND(ISNUMBER(F3049),ISNUMBER(H3049)),F3049-H3049,""),"")</f>
        <v/>
      </c>
      <c r="J3049" s="114" t="n"/>
      <c r="K3049" s="139">
        <f>IFERROR(IF(H3049&gt;0,H3049*IF(OR(C3049="Alpha",B3049="Alpha"),$C$9,$C$8),""),"")</f>
        <v/>
      </c>
      <c r="L3049" s="139">
        <f>IFERROR(IF(ISNUMBER(F3049),F3049-IF(ISNUMBER(K3049),K3049,0),""),"")</f>
        <v/>
      </c>
    </row>
    <row r="3050" ht="24" customHeight="1" s="63">
      <c r="E3050" s="139" t="n"/>
      <c r="F3050" s="139" t="n"/>
      <c r="G3050" s="140">
        <f>IFERROR(IF(E3050&gt;0,(F3050/E3050)*1000,""),"")</f>
        <v/>
      </c>
      <c r="H3050" s="139">
        <f>IFERROR(IF(E3050&gt;0,E3050*IF(ISNUMBER(J3050),J3050,IF(OR(C3050="Alpha",B3050="Alpha"),$C$7,IF(C3050="Futures",$C$6,$C$5))),""),"")</f>
        <v/>
      </c>
      <c r="I3050" s="139">
        <f>IFERROR(IF(AND(ISNUMBER(F3050),ISNUMBER(H3050)),F3050-H3050,""),"")</f>
        <v/>
      </c>
      <c r="J3050" s="114" t="n"/>
      <c r="K3050" s="139">
        <f>IFERROR(IF(H3050&gt;0,H3050*IF(OR(C3050="Alpha",B3050="Alpha"),$C$9,$C$8),""),"")</f>
        <v/>
      </c>
      <c r="L3050" s="139">
        <f>IFERROR(IF(ISNUMBER(F3050),F3050-IF(ISNUMBER(K3050),K3050,0),""),"")</f>
        <v/>
      </c>
    </row>
    <row r="3051" ht="24" customHeight="1" s="63">
      <c r="E3051" s="139" t="n"/>
      <c r="F3051" s="139" t="n"/>
      <c r="G3051" s="140">
        <f>IFERROR(IF(E3051&gt;0,(F3051/E3051)*1000,""),"")</f>
        <v/>
      </c>
      <c r="H3051" s="139">
        <f>IFERROR(IF(E3051&gt;0,E3051*IF(ISNUMBER(J3051),J3051,IF(OR(C3051="Alpha",B3051="Alpha"),$C$7,IF(C3051="Futures",$C$6,$C$5))),""),"")</f>
        <v/>
      </c>
      <c r="I3051" s="139">
        <f>IFERROR(IF(AND(ISNUMBER(F3051),ISNUMBER(H3051)),F3051-H3051,""),"")</f>
        <v/>
      </c>
      <c r="J3051" s="114" t="n"/>
      <c r="K3051" s="139">
        <f>IFERROR(IF(H3051&gt;0,H3051*IF(OR(C3051="Alpha",B3051="Alpha"),$C$9,$C$8),""),"")</f>
        <v/>
      </c>
      <c r="L3051" s="139">
        <f>IFERROR(IF(ISNUMBER(F3051),F3051-IF(ISNUMBER(K3051),K3051,0),""),"")</f>
        <v/>
      </c>
    </row>
    <row r="3052" ht="24" customHeight="1" s="63">
      <c r="E3052" s="139" t="n"/>
      <c r="F3052" s="139" t="n"/>
      <c r="G3052" s="140">
        <f>IFERROR(IF(E3052&gt;0,(F3052/E3052)*1000,""),"")</f>
        <v/>
      </c>
      <c r="H3052" s="139">
        <f>IFERROR(IF(E3052&gt;0,E3052*IF(ISNUMBER(J3052),J3052,IF(OR(C3052="Alpha",B3052="Alpha"),$C$7,IF(C3052="Futures",$C$6,$C$5))),""),"")</f>
        <v/>
      </c>
      <c r="I3052" s="139">
        <f>IFERROR(IF(AND(ISNUMBER(F3052),ISNUMBER(H3052)),F3052-H3052,""),"")</f>
        <v/>
      </c>
      <c r="J3052" s="114" t="n"/>
      <c r="K3052" s="139">
        <f>IFERROR(IF(H3052&gt;0,H3052*IF(OR(C3052="Alpha",B3052="Alpha"),$C$9,$C$8),""),"")</f>
        <v/>
      </c>
      <c r="L3052" s="139">
        <f>IFERROR(IF(ISNUMBER(F3052),F3052-IF(ISNUMBER(K3052),K3052,0),""),"")</f>
        <v/>
      </c>
    </row>
    <row r="3053" ht="24" customHeight="1" s="63">
      <c r="E3053" s="139" t="n"/>
      <c r="F3053" s="139" t="n"/>
      <c r="G3053" s="140">
        <f>IFERROR(IF(E3053&gt;0,(F3053/E3053)*1000,""),"")</f>
        <v/>
      </c>
      <c r="H3053" s="139">
        <f>IFERROR(IF(E3053&gt;0,E3053*IF(ISNUMBER(J3053),J3053,IF(OR(C3053="Alpha",B3053="Alpha"),$C$7,IF(C3053="Futures",$C$6,$C$5))),""),"")</f>
        <v/>
      </c>
      <c r="I3053" s="139">
        <f>IFERROR(IF(AND(ISNUMBER(F3053),ISNUMBER(H3053)),F3053-H3053,""),"")</f>
        <v/>
      </c>
      <c r="J3053" s="114" t="n"/>
      <c r="K3053" s="139">
        <f>IFERROR(IF(H3053&gt;0,H3053*IF(OR(C3053="Alpha",B3053="Alpha"),$C$9,$C$8),""),"")</f>
        <v/>
      </c>
      <c r="L3053" s="139">
        <f>IFERROR(IF(ISNUMBER(F3053),F3053-IF(ISNUMBER(K3053),K3053,0),""),"")</f>
        <v/>
      </c>
    </row>
    <row r="3054" ht="24" customHeight="1" s="63">
      <c r="E3054" s="139" t="n"/>
      <c r="F3054" s="139" t="n"/>
      <c r="G3054" s="140">
        <f>IFERROR(IF(E3054&gt;0,(F3054/E3054)*1000,""),"")</f>
        <v/>
      </c>
      <c r="H3054" s="139">
        <f>IFERROR(IF(E3054&gt;0,E3054*IF(ISNUMBER(J3054),J3054,IF(OR(C3054="Alpha",B3054="Alpha"),$C$7,IF(C3054="Futures",$C$6,$C$5))),""),"")</f>
        <v/>
      </c>
      <c r="I3054" s="139">
        <f>IFERROR(IF(AND(ISNUMBER(F3054),ISNUMBER(H3054)),F3054-H3054,""),"")</f>
        <v/>
      </c>
      <c r="J3054" s="114" t="n"/>
      <c r="K3054" s="139">
        <f>IFERROR(IF(H3054&gt;0,H3054*IF(OR(C3054="Alpha",B3054="Alpha"),$C$9,$C$8),""),"")</f>
        <v/>
      </c>
      <c r="L3054" s="139">
        <f>IFERROR(IF(ISNUMBER(F3054),F3054-IF(ISNUMBER(K3054),K3054,0),""),"")</f>
        <v/>
      </c>
    </row>
    <row r="3055" ht="24" customHeight="1" s="63">
      <c r="E3055" s="139" t="n"/>
      <c r="F3055" s="139" t="n"/>
      <c r="G3055" s="140">
        <f>IFERROR(IF(E3055&gt;0,(F3055/E3055)*1000,""),"")</f>
        <v/>
      </c>
      <c r="H3055" s="139">
        <f>IFERROR(IF(E3055&gt;0,E3055*IF(ISNUMBER(J3055),J3055,IF(OR(C3055="Alpha",B3055="Alpha"),$C$7,IF(C3055="Futures",$C$6,$C$5))),""),"")</f>
        <v/>
      </c>
      <c r="I3055" s="139">
        <f>IFERROR(IF(AND(ISNUMBER(F3055),ISNUMBER(H3055)),F3055-H3055,""),"")</f>
        <v/>
      </c>
      <c r="J3055" s="114" t="n"/>
      <c r="K3055" s="139">
        <f>IFERROR(IF(H3055&gt;0,H3055*IF(OR(C3055="Alpha",B3055="Alpha"),$C$9,$C$8),""),"")</f>
        <v/>
      </c>
      <c r="L3055" s="139">
        <f>IFERROR(IF(ISNUMBER(F3055),F3055-IF(ISNUMBER(K3055),K3055,0),""),"")</f>
        <v/>
      </c>
    </row>
    <row r="3056" ht="24" customHeight="1" s="63">
      <c r="E3056" s="139" t="n"/>
      <c r="F3056" s="139" t="n"/>
      <c r="G3056" s="140">
        <f>IFERROR(IF(E3056&gt;0,(F3056/E3056)*1000,""),"")</f>
        <v/>
      </c>
      <c r="H3056" s="139">
        <f>IFERROR(IF(E3056&gt;0,E3056*IF(ISNUMBER(J3056),J3056,IF(OR(C3056="Alpha",B3056="Alpha"),$C$7,IF(C3056="Futures",$C$6,$C$5))),""),"")</f>
        <v/>
      </c>
      <c r="I3056" s="139">
        <f>IFERROR(IF(AND(ISNUMBER(F3056),ISNUMBER(H3056)),F3056-H3056,""),"")</f>
        <v/>
      </c>
      <c r="J3056" s="114" t="n"/>
      <c r="K3056" s="139">
        <f>IFERROR(IF(H3056&gt;0,H3056*IF(OR(C3056="Alpha",B3056="Alpha"),$C$9,$C$8),""),"")</f>
        <v/>
      </c>
      <c r="L3056" s="139">
        <f>IFERROR(IF(ISNUMBER(F3056),F3056-IF(ISNUMBER(K3056),K3056,0),""),"")</f>
        <v/>
      </c>
    </row>
    <row r="3057" ht="24" customHeight="1" s="63">
      <c r="E3057" s="139" t="n"/>
      <c r="F3057" s="139" t="n"/>
      <c r="G3057" s="140">
        <f>IFERROR(IF(E3057&gt;0,(F3057/E3057)*1000,""),"")</f>
        <v/>
      </c>
      <c r="H3057" s="139">
        <f>IFERROR(IF(E3057&gt;0,E3057*IF(ISNUMBER(J3057),J3057,IF(OR(C3057="Alpha",B3057="Alpha"),$C$7,IF(C3057="Futures",$C$6,$C$5))),""),"")</f>
        <v/>
      </c>
      <c r="I3057" s="139">
        <f>IFERROR(IF(AND(ISNUMBER(F3057),ISNUMBER(H3057)),F3057-H3057,""),"")</f>
        <v/>
      </c>
      <c r="J3057" s="114" t="n"/>
      <c r="K3057" s="139">
        <f>IFERROR(IF(H3057&gt;0,H3057*IF(OR(C3057="Alpha",B3057="Alpha"),$C$9,$C$8),""),"")</f>
        <v/>
      </c>
      <c r="L3057" s="139">
        <f>IFERROR(IF(ISNUMBER(F3057),F3057-IF(ISNUMBER(K3057),K3057,0),""),"")</f>
        <v/>
      </c>
    </row>
    <row r="3058" ht="24" customHeight="1" s="63">
      <c r="E3058" s="139" t="n"/>
      <c r="F3058" s="139" t="n"/>
      <c r="G3058" s="140">
        <f>IFERROR(IF(E3058&gt;0,(F3058/E3058)*1000,""),"")</f>
        <v/>
      </c>
      <c r="H3058" s="139">
        <f>IFERROR(IF(E3058&gt;0,E3058*IF(ISNUMBER(J3058),J3058,IF(OR(C3058="Alpha",B3058="Alpha"),$C$7,IF(C3058="Futures",$C$6,$C$5))),""),"")</f>
        <v/>
      </c>
      <c r="I3058" s="139">
        <f>IFERROR(IF(AND(ISNUMBER(F3058),ISNUMBER(H3058)),F3058-H3058,""),"")</f>
        <v/>
      </c>
      <c r="J3058" s="114" t="n"/>
      <c r="K3058" s="139">
        <f>IFERROR(IF(H3058&gt;0,H3058*IF(OR(C3058="Alpha",B3058="Alpha"),$C$9,$C$8),""),"")</f>
        <v/>
      </c>
      <c r="L3058" s="139">
        <f>IFERROR(IF(ISNUMBER(F3058),F3058-IF(ISNUMBER(K3058),K3058,0),""),"")</f>
        <v/>
      </c>
    </row>
    <row r="3059" ht="24" customHeight="1" s="63">
      <c r="E3059" s="139" t="n"/>
      <c r="F3059" s="139" t="n"/>
      <c r="G3059" s="140">
        <f>IFERROR(IF(E3059&gt;0,(F3059/E3059)*1000,""),"")</f>
        <v/>
      </c>
      <c r="H3059" s="139">
        <f>IFERROR(IF(E3059&gt;0,E3059*IF(ISNUMBER(J3059),J3059,IF(OR(C3059="Alpha",B3059="Alpha"),$C$7,IF(C3059="Futures",$C$6,$C$5))),""),"")</f>
        <v/>
      </c>
      <c r="I3059" s="139">
        <f>IFERROR(IF(AND(ISNUMBER(F3059),ISNUMBER(H3059)),F3059-H3059,""),"")</f>
        <v/>
      </c>
      <c r="J3059" s="114" t="n"/>
      <c r="K3059" s="139">
        <f>IFERROR(IF(H3059&gt;0,H3059*IF(OR(C3059="Alpha",B3059="Alpha"),$C$9,$C$8),""),"")</f>
        <v/>
      </c>
      <c r="L3059" s="139">
        <f>IFERROR(IF(ISNUMBER(F3059),F3059-IF(ISNUMBER(K3059),K3059,0),""),"")</f>
        <v/>
      </c>
    </row>
    <row r="3060" ht="24" customHeight="1" s="63">
      <c r="E3060" s="139" t="n"/>
      <c r="F3060" s="139" t="n"/>
      <c r="G3060" s="140">
        <f>IFERROR(IF(E3060&gt;0,(F3060/E3060)*1000,""),"")</f>
        <v/>
      </c>
      <c r="H3060" s="139">
        <f>IFERROR(IF(E3060&gt;0,E3060*IF(ISNUMBER(J3060),J3060,IF(OR(C3060="Alpha",B3060="Alpha"),$C$7,IF(C3060="Futures",$C$6,$C$5))),""),"")</f>
        <v/>
      </c>
      <c r="I3060" s="139">
        <f>IFERROR(IF(AND(ISNUMBER(F3060),ISNUMBER(H3060)),F3060-H3060,""),"")</f>
        <v/>
      </c>
      <c r="J3060" s="114" t="n"/>
      <c r="K3060" s="139">
        <f>IFERROR(IF(H3060&gt;0,H3060*IF(OR(C3060="Alpha",B3060="Alpha"),$C$9,$C$8),""),"")</f>
        <v/>
      </c>
      <c r="L3060" s="139">
        <f>IFERROR(IF(ISNUMBER(F3060),F3060-IF(ISNUMBER(K3060),K3060,0),""),"")</f>
        <v/>
      </c>
    </row>
    <row r="3061" ht="24" customHeight="1" s="63">
      <c r="E3061" s="139" t="n"/>
      <c r="F3061" s="139" t="n"/>
      <c r="G3061" s="140">
        <f>IFERROR(IF(E3061&gt;0,(F3061/E3061)*1000,""),"")</f>
        <v/>
      </c>
      <c r="H3061" s="139">
        <f>IFERROR(IF(E3061&gt;0,E3061*IF(ISNUMBER(J3061),J3061,IF(OR(C3061="Alpha",B3061="Alpha"),$C$7,IF(C3061="Futures",$C$6,$C$5))),""),"")</f>
        <v/>
      </c>
      <c r="I3061" s="139">
        <f>IFERROR(IF(AND(ISNUMBER(F3061),ISNUMBER(H3061)),F3061-H3061,""),"")</f>
        <v/>
      </c>
      <c r="J3061" s="114" t="n"/>
      <c r="K3061" s="139">
        <f>IFERROR(IF(H3061&gt;0,H3061*IF(OR(C3061="Alpha",B3061="Alpha"),$C$9,$C$8),""),"")</f>
        <v/>
      </c>
      <c r="L3061" s="139">
        <f>IFERROR(IF(ISNUMBER(F3061),F3061-IF(ISNUMBER(K3061),K3061,0),""),"")</f>
        <v/>
      </c>
    </row>
    <row r="3062" ht="24" customHeight="1" s="63">
      <c r="E3062" s="139" t="n"/>
      <c r="F3062" s="139" t="n"/>
      <c r="G3062" s="140">
        <f>IFERROR(IF(E3062&gt;0,(F3062/E3062)*1000,""),"")</f>
        <v/>
      </c>
      <c r="H3062" s="139">
        <f>IFERROR(IF(E3062&gt;0,E3062*IF(ISNUMBER(J3062),J3062,IF(OR(C3062="Alpha",B3062="Alpha"),$C$7,IF(C3062="Futures",$C$6,$C$5))),""),"")</f>
        <v/>
      </c>
      <c r="I3062" s="139">
        <f>IFERROR(IF(AND(ISNUMBER(F3062),ISNUMBER(H3062)),F3062-H3062,""),"")</f>
        <v/>
      </c>
      <c r="J3062" s="114" t="n"/>
      <c r="K3062" s="139">
        <f>IFERROR(IF(H3062&gt;0,H3062*IF(OR(C3062="Alpha",B3062="Alpha"),$C$9,$C$8),""),"")</f>
        <v/>
      </c>
      <c r="L3062" s="139">
        <f>IFERROR(IF(ISNUMBER(F3062),F3062-IF(ISNUMBER(K3062),K3062,0),""),"")</f>
        <v/>
      </c>
    </row>
    <row r="3063" ht="24" customHeight="1" s="63">
      <c r="E3063" s="139" t="n"/>
      <c r="F3063" s="139" t="n"/>
      <c r="G3063" s="140">
        <f>IFERROR(IF(E3063&gt;0,(F3063/E3063)*1000,""),"")</f>
        <v/>
      </c>
      <c r="H3063" s="139">
        <f>IFERROR(IF(E3063&gt;0,E3063*IF(ISNUMBER(J3063),J3063,IF(OR(C3063="Alpha",B3063="Alpha"),$C$7,IF(C3063="Futures",$C$6,$C$5))),""),"")</f>
        <v/>
      </c>
      <c r="I3063" s="139">
        <f>IFERROR(IF(AND(ISNUMBER(F3063),ISNUMBER(H3063)),F3063-H3063,""),"")</f>
        <v/>
      </c>
      <c r="J3063" s="114" t="n"/>
      <c r="K3063" s="139">
        <f>IFERROR(IF(H3063&gt;0,H3063*IF(OR(C3063="Alpha",B3063="Alpha"),$C$9,$C$8),""),"")</f>
        <v/>
      </c>
      <c r="L3063" s="139">
        <f>IFERROR(IF(ISNUMBER(F3063),F3063-IF(ISNUMBER(K3063),K3063,0),""),"")</f>
        <v/>
      </c>
    </row>
    <row r="3064" ht="24" customHeight="1" s="63">
      <c r="E3064" s="139" t="n"/>
      <c r="F3064" s="139" t="n"/>
      <c r="G3064" s="140">
        <f>IFERROR(IF(E3064&gt;0,(F3064/E3064)*1000,""),"")</f>
        <v/>
      </c>
      <c r="H3064" s="139">
        <f>IFERROR(IF(E3064&gt;0,E3064*IF(ISNUMBER(J3064),J3064,IF(OR(C3064="Alpha",B3064="Alpha"),$C$7,IF(C3064="Futures",$C$6,$C$5))),""),"")</f>
        <v/>
      </c>
      <c r="I3064" s="139">
        <f>IFERROR(IF(AND(ISNUMBER(F3064),ISNUMBER(H3064)),F3064-H3064,""),"")</f>
        <v/>
      </c>
      <c r="J3064" s="114" t="n"/>
      <c r="K3064" s="139">
        <f>IFERROR(IF(H3064&gt;0,H3064*IF(OR(C3064="Alpha",B3064="Alpha"),$C$9,$C$8),""),"")</f>
        <v/>
      </c>
      <c r="L3064" s="139">
        <f>IFERROR(IF(ISNUMBER(F3064),F3064-IF(ISNUMBER(K3064),K3064,0),""),"")</f>
        <v/>
      </c>
    </row>
    <row r="3065" ht="24" customHeight="1" s="63">
      <c r="E3065" s="139" t="n"/>
      <c r="F3065" s="139" t="n"/>
      <c r="G3065" s="140">
        <f>IFERROR(IF(E3065&gt;0,(F3065/E3065)*1000,""),"")</f>
        <v/>
      </c>
      <c r="H3065" s="139">
        <f>IFERROR(IF(E3065&gt;0,E3065*IF(ISNUMBER(J3065),J3065,IF(OR(C3065="Alpha",B3065="Alpha"),$C$7,IF(C3065="Futures",$C$6,$C$5))),""),"")</f>
        <v/>
      </c>
      <c r="I3065" s="139">
        <f>IFERROR(IF(AND(ISNUMBER(F3065),ISNUMBER(H3065)),F3065-H3065,""),"")</f>
        <v/>
      </c>
      <c r="J3065" s="114" t="n"/>
      <c r="K3065" s="139">
        <f>IFERROR(IF(H3065&gt;0,H3065*IF(OR(C3065="Alpha",B3065="Alpha"),$C$9,$C$8),""),"")</f>
        <v/>
      </c>
      <c r="L3065" s="139">
        <f>IFERROR(IF(ISNUMBER(F3065),F3065-IF(ISNUMBER(K3065),K3065,0),""),"")</f>
        <v/>
      </c>
    </row>
    <row r="3066" ht="24" customHeight="1" s="63">
      <c r="E3066" s="139" t="n"/>
      <c r="F3066" s="139" t="n"/>
      <c r="G3066" s="140">
        <f>IFERROR(IF(E3066&gt;0,(F3066/E3066)*1000,""),"")</f>
        <v/>
      </c>
      <c r="H3066" s="139">
        <f>IFERROR(IF(E3066&gt;0,E3066*IF(ISNUMBER(J3066),J3066,IF(OR(C3066="Alpha",B3066="Alpha"),$C$7,IF(C3066="Futures",$C$6,$C$5))),""),"")</f>
        <v/>
      </c>
      <c r="I3066" s="139">
        <f>IFERROR(IF(AND(ISNUMBER(F3066),ISNUMBER(H3066)),F3066-H3066,""),"")</f>
        <v/>
      </c>
      <c r="J3066" s="114" t="n"/>
      <c r="K3066" s="139">
        <f>IFERROR(IF(H3066&gt;0,H3066*IF(OR(C3066="Alpha",B3066="Alpha"),$C$9,$C$8),""),"")</f>
        <v/>
      </c>
      <c r="L3066" s="139">
        <f>IFERROR(IF(ISNUMBER(F3066),F3066-IF(ISNUMBER(K3066),K3066,0),""),"")</f>
        <v/>
      </c>
    </row>
    <row r="3067" ht="24" customHeight="1" s="63">
      <c r="E3067" s="139" t="n"/>
      <c r="F3067" s="139" t="n"/>
      <c r="G3067" s="140">
        <f>IFERROR(IF(E3067&gt;0,(F3067/E3067)*1000,""),"")</f>
        <v/>
      </c>
      <c r="H3067" s="139">
        <f>IFERROR(IF(E3067&gt;0,E3067*IF(ISNUMBER(J3067),J3067,IF(OR(C3067="Alpha",B3067="Alpha"),$C$7,IF(C3067="Futures",$C$6,$C$5))),""),"")</f>
        <v/>
      </c>
      <c r="I3067" s="139">
        <f>IFERROR(IF(AND(ISNUMBER(F3067),ISNUMBER(H3067)),F3067-H3067,""),"")</f>
        <v/>
      </c>
      <c r="J3067" s="114" t="n"/>
      <c r="K3067" s="139">
        <f>IFERROR(IF(H3067&gt;0,H3067*IF(OR(C3067="Alpha",B3067="Alpha"),$C$9,$C$8),""),"")</f>
        <v/>
      </c>
      <c r="L3067" s="139">
        <f>IFERROR(IF(ISNUMBER(F3067),F3067-IF(ISNUMBER(K3067),K3067,0),""),"")</f>
        <v/>
      </c>
    </row>
    <row r="3068" ht="24" customHeight="1" s="63">
      <c r="E3068" s="139" t="n"/>
      <c r="F3068" s="139" t="n"/>
      <c r="G3068" s="140">
        <f>IFERROR(IF(E3068&gt;0,(F3068/E3068)*1000,""),"")</f>
        <v/>
      </c>
      <c r="H3068" s="139">
        <f>IFERROR(IF(E3068&gt;0,E3068*IF(ISNUMBER(J3068),J3068,IF(OR(C3068="Alpha",B3068="Alpha"),$C$7,IF(C3068="Futures",$C$6,$C$5))),""),"")</f>
        <v/>
      </c>
      <c r="I3068" s="139">
        <f>IFERROR(IF(AND(ISNUMBER(F3068),ISNUMBER(H3068)),F3068-H3068,""),"")</f>
        <v/>
      </c>
      <c r="J3068" s="114" t="n"/>
      <c r="K3068" s="139">
        <f>IFERROR(IF(H3068&gt;0,H3068*IF(OR(C3068="Alpha",B3068="Alpha"),$C$9,$C$8),""),"")</f>
        <v/>
      </c>
      <c r="L3068" s="139">
        <f>IFERROR(IF(ISNUMBER(F3068),F3068-IF(ISNUMBER(K3068),K3068,0),""),"")</f>
        <v/>
      </c>
    </row>
    <row r="3069" ht="24" customHeight="1" s="63">
      <c r="E3069" s="139" t="n"/>
      <c r="F3069" s="139" t="n"/>
      <c r="G3069" s="140">
        <f>IFERROR(IF(E3069&gt;0,(F3069/E3069)*1000,""),"")</f>
        <v/>
      </c>
      <c r="H3069" s="139">
        <f>IFERROR(IF(E3069&gt;0,E3069*IF(ISNUMBER(J3069),J3069,IF(OR(C3069="Alpha",B3069="Alpha"),$C$7,IF(C3069="Futures",$C$6,$C$5))),""),"")</f>
        <v/>
      </c>
      <c r="I3069" s="139">
        <f>IFERROR(IF(AND(ISNUMBER(F3069),ISNUMBER(H3069)),F3069-H3069,""),"")</f>
        <v/>
      </c>
      <c r="J3069" s="114" t="n"/>
      <c r="K3069" s="139">
        <f>IFERROR(IF(H3069&gt;0,H3069*IF(OR(C3069="Alpha",B3069="Alpha"),$C$9,$C$8),""),"")</f>
        <v/>
      </c>
      <c r="L3069" s="139">
        <f>IFERROR(IF(ISNUMBER(F3069),F3069-IF(ISNUMBER(K3069),K3069,0),""),"")</f>
        <v/>
      </c>
    </row>
    <row r="3070" ht="24" customHeight="1" s="63">
      <c r="E3070" s="139" t="n"/>
      <c r="F3070" s="139" t="n"/>
      <c r="G3070" s="140">
        <f>IFERROR(IF(E3070&gt;0,(F3070/E3070)*1000,""),"")</f>
        <v/>
      </c>
      <c r="H3070" s="139">
        <f>IFERROR(IF(E3070&gt;0,E3070*IF(ISNUMBER(J3070),J3070,IF(OR(C3070="Alpha",B3070="Alpha"),$C$7,IF(C3070="Futures",$C$6,$C$5))),""),"")</f>
        <v/>
      </c>
      <c r="I3070" s="139">
        <f>IFERROR(IF(AND(ISNUMBER(F3070),ISNUMBER(H3070)),F3070-H3070,""),"")</f>
        <v/>
      </c>
      <c r="J3070" s="114" t="n"/>
      <c r="K3070" s="139">
        <f>IFERROR(IF(H3070&gt;0,H3070*IF(OR(C3070="Alpha",B3070="Alpha"),$C$9,$C$8),""),"")</f>
        <v/>
      </c>
      <c r="L3070" s="139">
        <f>IFERROR(IF(ISNUMBER(F3070),F3070-IF(ISNUMBER(K3070),K3070,0),""),"")</f>
        <v/>
      </c>
    </row>
    <row r="3071" ht="24" customHeight="1" s="63">
      <c r="E3071" s="139" t="n"/>
      <c r="F3071" s="139" t="n"/>
      <c r="G3071" s="140">
        <f>IFERROR(IF(E3071&gt;0,(F3071/E3071)*1000,""),"")</f>
        <v/>
      </c>
      <c r="H3071" s="139">
        <f>IFERROR(IF(E3071&gt;0,E3071*IF(ISNUMBER(J3071),J3071,IF(OR(C3071="Alpha",B3071="Alpha"),$C$7,IF(C3071="Futures",$C$6,$C$5))),""),"")</f>
        <v/>
      </c>
      <c r="I3071" s="139">
        <f>IFERROR(IF(AND(ISNUMBER(F3071),ISNUMBER(H3071)),F3071-H3071,""),"")</f>
        <v/>
      </c>
      <c r="J3071" s="114" t="n"/>
      <c r="K3071" s="139">
        <f>IFERROR(IF(H3071&gt;0,H3071*IF(OR(C3071="Alpha",B3071="Alpha"),$C$9,$C$8),""),"")</f>
        <v/>
      </c>
      <c r="L3071" s="139">
        <f>IFERROR(IF(ISNUMBER(F3071),F3071-IF(ISNUMBER(K3071),K3071,0),""),"")</f>
        <v/>
      </c>
    </row>
    <row r="3072" ht="24" customHeight="1" s="63">
      <c r="E3072" s="139" t="n"/>
      <c r="F3072" s="139" t="n"/>
      <c r="G3072" s="140">
        <f>IFERROR(IF(E3072&gt;0,(F3072/E3072)*1000,""),"")</f>
        <v/>
      </c>
      <c r="H3072" s="139">
        <f>IFERROR(IF(E3072&gt;0,E3072*IF(ISNUMBER(J3072),J3072,IF(OR(C3072="Alpha",B3072="Alpha"),$C$7,IF(C3072="Futures",$C$6,$C$5))),""),"")</f>
        <v/>
      </c>
      <c r="I3072" s="139">
        <f>IFERROR(IF(AND(ISNUMBER(F3072),ISNUMBER(H3072)),F3072-H3072,""),"")</f>
        <v/>
      </c>
      <c r="J3072" s="114" t="n"/>
      <c r="K3072" s="139">
        <f>IFERROR(IF(H3072&gt;0,H3072*IF(OR(C3072="Alpha",B3072="Alpha"),$C$9,$C$8),""),"")</f>
        <v/>
      </c>
      <c r="L3072" s="139">
        <f>IFERROR(IF(ISNUMBER(F3072),F3072-IF(ISNUMBER(K3072),K3072,0),""),"")</f>
        <v/>
      </c>
    </row>
    <row r="3073" ht="24" customHeight="1" s="63">
      <c r="E3073" s="139" t="n"/>
      <c r="F3073" s="139" t="n"/>
      <c r="G3073" s="140">
        <f>IFERROR(IF(E3073&gt;0,(F3073/E3073)*1000,""),"")</f>
        <v/>
      </c>
      <c r="H3073" s="139">
        <f>IFERROR(IF(E3073&gt;0,E3073*IF(ISNUMBER(J3073),J3073,IF(OR(C3073="Alpha",B3073="Alpha"),$C$7,IF(C3073="Futures",$C$6,$C$5))),""),"")</f>
        <v/>
      </c>
      <c r="I3073" s="139">
        <f>IFERROR(IF(AND(ISNUMBER(F3073),ISNUMBER(H3073)),F3073-H3073,""),"")</f>
        <v/>
      </c>
      <c r="J3073" s="114" t="n"/>
      <c r="K3073" s="139">
        <f>IFERROR(IF(H3073&gt;0,H3073*IF(OR(C3073="Alpha",B3073="Alpha"),$C$9,$C$8),""),"")</f>
        <v/>
      </c>
      <c r="L3073" s="139">
        <f>IFERROR(IF(ISNUMBER(F3073),F3073-IF(ISNUMBER(K3073),K3073,0),""),"")</f>
        <v/>
      </c>
    </row>
    <row r="3074" ht="24" customHeight="1" s="63">
      <c r="E3074" s="139" t="n"/>
      <c r="F3074" s="139" t="n"/>
      <c r="G3074" s="140">
        <f>IFERROR(IF(E3074&gt;0,(F3074/E3074)*1000,""),"")</f>
        <v/>
      </c>
      <c r="H3074" s="139">
        <f>IFERROR(IF(E3074&gt;0,E3074*IF(ISNUMBER(J3074),J3074,IF(OR(C3074="Alpha",B3074="Alpha"),$C$7,IF(C3074="Futures",$C$6,$C$5))),""),"")</f>
        <v/>
      </c>
      <c r="I3074" s="139">
        <f>IFERROR(IF(AND(ISNUMBER(F3074),ISNUMBER(H3074)),F3074-H3074,""),"")</f>
        <v/>
      </c>
      <c r="J3074" s="114" t="n"/>
      <c r="K3074" s="139">
        <f>IFERROR(IF(H3074&gt;0,H3074*IF(OR(C3074="Alpha",B3074="Alpha"),$C$9,$C$8),""),"")</f>
        <v/>
      </c>
      <c r="L3074" s="139">
        <f>IFERROR(IF(ISNUMBER(F3074),F3074-IF(ISNUMBER(K3074),K3074,0),""),"")</f>
        <v/>
      </c>
    </row>
    <row r="3075" ht="24" customHeight="1" s="63">
      <c r="E3075" s="139" t="n"/>
      <c r="F3075" s="139" t="n"/>
      <c r="G3075" s="140">
        <f>IFERROR(IF(E3075&gt;0,(F3075/E3075)*1000,""),"")</f>
        <v/>
      </c>
      <c r="H3075" s="139">
        <f>IFERROR(IF(E3075&gt;0,E3075*IF(ISNUMBER(J3075),J3075,IF(OR(C3075="Alpha",B3075="Alpha"),$C$7,IF(C3075="Futures",$C$6,$C$5))),""),"")</f>
        <v/>
      </c>
      <c r="I3075" s="139">
        <f>IFERROR(IF(AND(ISNUMBER(F3075),ISNUMBER(H3075)),F3075-H3075,""),"")</f>
        <v/>
      </c>
      <c r="J3075" s="114" t="n"/>
      <c r="K3075" s="139">
        <f>IFERROR(IF(H3075&gt;0,H3075*IF(OR(C3075="Alpha",B3075="Alpha"),$C$9,$C$8),""),"")</f>
        <v/>
      </c>
      <c r="L3075" s="139">
        <f>IFERROR(IF(ISNUMBER(F3075),F3075-IF(ISNUMBER(K3075),K3075,0),""),"")</f>
        <v/>
      </c>
    </row>
    <row r="3076" ht="24" customHeight="1" s="63">
      <c r="E3076" s="139" t="n"/>
      <c r="F3076" s="139" t="n"/>
      <c r="G3076" s="140">
        <f>IFERROR(IF(E3076&gt;0,(F3076/E3076)*1000,""),"")</f>
        <v/>
      </c>
      <c r="H3076" s="139">
        <f>IFERROR(IF(E3076&gt;0,E3076*IF(ISNUMBER(J3076),J3076,IF(OR(C3076="Alpha",B3076="Alpha"),$C$7,IF(C3076="Futures",$C$6,$C$5))),""),"")</f>
        <v/>
      </c>
      <c r="I3076" s="139">
        <f>IFERROR(IF(AND(ISNUMBER(F3076),ISNUMBER(H3076)),F3076-H3076,""),"")</f>
        <v/>
      </c>
      <c r="J3076" s="114" t="n"/>
      <c r="K3076" s="139">
        <f>IFERROR(IF(H3076&gt;0,H3076*IF(OR(C3076="Alpha",B3076="Alpha"),$C$9,$C$8),""),"")</f>
        <v/>
      </c>
      <c r="L3076" s="139">
        <f>IFERROR(IF(ISNUMBER(F3076),F3076-IF(ISNUMBER(K3076),K3076,0),""),"")</f>
        <v/>
      </c>
    </row>
    <row r="3077" ht="24" customHeight="1" s="63">
      <c r="E3077" s="139" t="n"/>
      <c r="F3077" s="139" t="n"/>
      <c r="G3077" s="140">
        <f>IFERROR(IF(E3077&gt;0,(F3077/E3077)*1000,""),"")</f>
        <v/>
      </c>
      <c r="H3077" s="139">
        <f>IFERROR(IF(E3077&gt;0,E3077*IF(ISNUMBER(J3077),J3077,IF(OR(C3077="Alpha",B3077="Alpha"),$C$7,IF(C3077="Futures",$C$6,$C$5))),""),"")</f>
        <v/>
      </c>
      <c r="I3077" s="139">
        <f>IFERROR(IF(AND(ISNUMBER(F3077),ISNUMBER(H3077)),F3077-H3077,""),"")</f>
        <v/>
      </c>
      <c r="J3077" s="114" t="n"/>
      <c r="K3077" s="139">
        <f>IFERROR(IF(H3077&gt;0,H3077*IF(OR(C3077="Alpha",B3077="Alpha"),$C$9,$C$8),""),"")</f>
        <v/>
      </c>
      <c r="L3077" s="139">
        <f>IFERROR(IF(ISNUMBER(F3077),F3077-IF(ISNUMBER(K3077),K3077,0),""),"")</f>
        <v/>
      </c>
    </row>
    <row r="3078" ht="24" customHeight="1" s="63">
      <c r="E3078" s="139" t="n"/>
      <c r="F3078" s="139" t="n"/>
      <c r="G3078" s="140">
        <f>IFERROR(IF(E3078&gt;0,(F3078/E3078)*1000,""),"")</f>
        <v/>
      </c>
      <c r="H3078" s="139">
        <f>IFERROR(IF(E3078&gt;0,E3078*IF(ISNUMBER(J3078),J3078,IF(OR(C3078="Alpha",B3078="Alpha"),$C$7,IF(C3078="Futures",$C$6,$C$5))),""),"")</f>
        <v/>
      </c>
      <c r="I3078" s="139">
        <f>IFERROR(IF(AND(ISNUMBER(F3078),ISNUMBER(H3078)),F3078-H3078,""),"")</f>
        <v/>
      </c>
      <c r="J3078" s="114" t="n"/>
      <c r="K3078" s="139">
        <f>IFERROR(IF(H3078&gt;0,H3078*IF(OR(C3078="Alpha",B3078="Alpha"),$C$9,$C$8),""),"")</f>
        <v/>
      </c>
      <c r="L3078" s="139">
        <f>IFERROR(IF(ISNUMBER(F3078),F3078-IF(ISNUMBER(K3078),K3078,0),""),"")</f>
        <v/>
      </c>
    </row>
    <row r="3079" ht="24" customHeight="1" s="63">
      <c r="E3079" s="139" t="n"/>
      <c r="F3079" s="139" t="n"/>
      <c r="G3079" s="140">
        <f>IFERROR(IF(E3079&gt;0,(F3079/E3079)*1000,""),"")</f>
        <v/>
      </c>
      <c r="H3079" s="139">
        <f>IFERROR(IF(E3079&gt;0,E3079*IF(ISNUMBER(J3079),J3079,IF(OR(C3079="Alpha",B3079="Alpha"),$C$7,IF(C3079="Futures",$C$6,$C$5))),""),"")</f>
        <v/>
      </c>
      <c r="I3079" s="139">
        <f>IFERROR(IF(AND(ISNUMBER(F3079),ISNUMBER(H3079)),F3079-H3079,""),"")</f>
        <v/>
      </c>
      <c r="J3079" s="114" t="n"/>
      <c r="K3079" s="139">
        <f>IFERROR(IF(H3079&gt;0,H3079*IF(OR(C3079="Alpha",B3079="Alpha"),$C$9,$C$8),""),"")</f>
        <v/>
      </c>
      <c r="L3079" s="139">
        <f>IFERROR(IF(ISNUMBER(F3079),F3079-IF(ISNUMBER(K3079),K3079,0),""),"")</f>
        <v/>
      </c>
    </row>
    <row r="3080" ht="24" customHeight="1" s="63">
      <c r="E3080" s="139" t="n"/>
      <c r="F3080" s="139" t="n"/>
      <c r="G3080" s="140">
        <f>IFERROR(IF(E3080&gt;0,(F3080/E3080)*1000,""),"")</f>
        <v/>
      </c>
      <c r="H3080" s="139">
        <f>IFERROR(IF(E3080&gt;0,E3080*IF(ISNUMBER(J3080),J3080,IF(OR(C3080="Alpha",B3080="Alpha"),$C$7,IF(C3080="Futures",$C$6,$C$5))),""),"")</f>
        <v/>
      </c>
      <c r="I3080" s="139">
        <f>IFERROR(IF(AND(ISNUMBER(F3080),ISNUMBER(H3080)),F3080-H3080,""),"")</f>
        <v/>
      </c>
      <c r="J3080" s="114" t="n"/>
      <c r="K3080" s="139">
        <f>IFERROR(IF(H3080&gt;0,H3080*IF(OR(C3080="Alpha",B3080="Alpha"),$C$9,$C$8),""),"")</f>
        <v/>
      </c>
      <c r="L3080" s="139">
        <f>IFERROR(IF(ISNUMBER(F3080),F3080-IF(ISNUMBER(K3080),K3080,0),""),"")</f>
        <v/>
      </c>
    </row>
    <row r="3081" ht="24" customHeight="1" s="63">
      <c r="E3081" s="139" t="n"/>
      <c r="F3081" s="139" t="n"/>
      <c r="G3081" s="140">
        <f>IFERROR(IF(E3081&gt;0,(F3081/E3081)*1000,""),"")</f>
        <v/>
      </c>
      <c r="H3081" s="139">
        <f>IFERROR(IF(E3081&gt;0,E3081*IF(ISNUMBER(J3081),J3081,IF(OR(C3081="Alpha",B3081="Alpha"),$C$7,IF(C3081="Futures",$C$6,$C$5))),""),"")</f>
        <v/>
      </c>
      <c r="I3081" s="139">
        <f>IFERROR(IF(AND(ISNUMBER(F3081),ISNUMBER(H3081)),F3081-H3081,""),"")</f>
        <v/>
      </c>
      <c r="J3081" s="114" t="n"/>
      <c r="K3081" s="139">
        <f>IFERROR(IF(H3081&gt;0,H3081*IF(OR(C3081="Alpha",B3081="Alpha"),$C$9,$C$8),""),"")</f>
        <v/>
      </c>
      <c r="L3081" s="139">
        <f>IFERROR(IF(ISNUMBER(F3081),F3081-IF(ISNUMBER(K3081),K3081,0),""),"")</f>
        <v/>
      </c>
    </row>
    <row r="3082" ht="24" customHeight="1" s="63">
      <c r="E3082" s="139" t="n"/>
      <c r="F3082" s="139" t="n"/>
      <c r="G3082" s="140">
        <f>IFERROR(IF(E3082&gt;0,(F3082/E3082)*1000,""),"")</f>
        <v/>
      </c>
      <c r="H3082" s="139">
        <f>IFERROR(IF(E3082&gt;0,E3082*IF(ISNUMBER(J3082),J3082,IF(OR(C3082="Alpha",B3082="Alpha"),$C$7,IF(C3082="Futures",$C$6,$C$5))),""),"")</f>
        <v/>
      </c>
      <c r="I3082" s="139">
        <f>IFERROR(IF(AND(ISNUMBER(F3082),ISNUMBER(H3082)),F3082-H3082,""),"")</f>
        <v/>
      </c>
      <c r="J3082" s="114" t="n"/>
      <c r="K3082" s="139">
        <f>IFERROR(IF(H3082&gt;0,H3082*IF(OR(C3082="Alpha",B3082="Alpha"),$C$9,$C$8),""),"")</f>
        <v/>
      </c>
      <c r="L3082" s="139">
        <f>IFERROR(IF(ISNUMBER(F3082),F3082-IF(ISNUMBER(K3082),K3082,0),""),"")</f>
        <v/>
      </c>
    </row>
    <row r="3083" ht="24" customHeight="1" s="63">
      <c r="E3083" s="139" t="n"/>
      <c r="F3083" s="139" t="n"/>
      <c r="G3083" s="140">
        <f>IFERROR(IF(E3083&gt;0,(F3083/E3083)*1000,""),"")</f>
        <v/>
      </c>
      <c r="H3083" s="139">
        <f>IFERROR(IF(E3083&gt;0,E3083*IF(ISNUMBER(J3083),J3083,IF(OR(C3083="Alpha",B3083="Alpha"),$C$7,IF(C3083="Futures",$C$6,$C$5))),""),"")</f>
        <v/>
      </c>
      <c r="I3083" s="139">
        <f>IFERROR(IF(AND(ISNUMBER(F3083),ISNUMBER(H3083)),F3083-H3083,""),"")</f>
        <v/>
      </c>
      <c r="J3083" s="114" t="n"/>
      <c r="K3083" s="139">
        <f>IFERROR(IF(H3083&gt;0,H3083*IF(OR(C3083="Alpha",B3083="Alpha"),$C$9,$C$8),""),"")</f>
        <v/>
      </c>
      <c r="L3083" s="139">
        <f>IFERROR(IF(ISNUMBER(F3083),F3083-IF(ISNUMBER(K3083),K3083,0),""),"")</f>
        <v/>
      </c>
    </row>
    <row r="3084" ht="24" customHeight="1" s="63">
      <c r="E3084" s="139" t="n"/>
      <c r="F3084" s="139" t="n"/>
      <c r="G3084" s="140">
        <f>IFERROR(IF(E3084&gt;0,(F3084/E3084)*1000,""),"")</f>
        <v/>
      </c>
      <c r="H3084" s="139">
        <f>IFERROR(IF(E3084&gt;0,E3084*IF(ISNUMBER(J3084),J3084,IF(OR(C3084="Alpha",B3084="Alpha"),$C$7,IF(C3084="Futures",$C$6,$C$5))),""),"")</f>
        <v/>
      </c>
      <c r="I3084" s="139">
        <f>IFERROR(IF(AND(ISNUMBER(F3084),ISNUMBER(H3084)),F3084-H3084,""),"")</f>
        <v/>
      </c>
      <c r="J3084" s="114" t="n"/>
      <c r="K3084" s="139">
        <f>IFERROR(IF(H3084&gt;0,H3084*IF(OR(C3084="Alpha",B3084="Alpha"),$C$9,$C$8),""),"")</f>
        <v/>
      </c>
      <c r="L3084" s="139">
        <f>IFERROR(IF(ISNUMBER(F3084),F3084-IF(ISNUMBER(K3084),K3084,0),""),"")</f>
        <v/>
      </c>
    </row>
    <row r="3085" ht="24" customHeight="1" s="63">
      <c r="E3085" s="139" t="n"/>
      <c r="F3085" s="139" t="n"/>
      <c r="G3085" s="140">
        <f>IFERROR(IF(E3085&gt;0,(F3085/E3085)*1000,""),"")</f>
        <v/>
      </c>
      <c r="H3085" s="139">
        <f>IFERROR(IF(E3085&gt;0,E3085*IF(ISNUMBER(J3085),J3085,IF(OR(C3085="Alpha",B3085="Alpha"),$C$7,IF(C3085="Futures",$C$6,$C$5))),""),"")</f>
        <v/>
      </c>
      <c r="I3085" s="139">
        <f>IFERROR(IF(AND(ISNUMBER(F3085),ISNUMBER(H3085)),F3085-H3085,""),"")</f>
        <v/>
      </c>
      <c r="J3085" s="114" t="n"/>
      <c r="K3085" s="139">
        <f>IFERROR(IF(H3085&gt;0,H3085*IF(OR(C3085="Alpha",B3085="Alpha"),$C$9,$C$8),""),"")</f>
        <v/>
      </c>
      <c r="L3085" s="139">
        <f>IFERROR(IF(ISNUMBER(F3085),F3085-IF(ISNUMBER(K3085),K3085,0),""),"")</f>
        <v/>
      </c>
    </row>
    <row r="3086" ht="24" customHeight="1" s="63">
      <c r="E3086" s="139" t="n"/>
      <c r="F3086" s="139" t="n"/>
      <c r="G3086" s="140">
        <f>IFERROR(IF(E3086&gt;0,(F3086/E3086)*1000,""),"")</f>
        <v/>
      </c>
      <c r="H3086" s="139">
        <f>IFERROR(IF(E3086&gt;0,E3086*IF(ISNUMBER(J3086),J3086,IF(OR(C3086="Alpha",B3086="Alpha"),$C$7,IF(C3086="Futures",$C$6,$C$5))),""),"")</f>
        <v/>
      </c>
      <c r="I3086" s="139">
        <f>IFERROR(IF(AND(ISNUMBER(F3086),ISNUMBER(H3086)),F3086-H3086,""),"")</f>
        <v/>
      </c>
      <c r="J3086" s="114" t="n"/>
      <c r="K3086" s="139">
        <f>IFERROR(IF(H3086&gt;0,H3086*IF(OR(C3086="Alpha",B3086="Alpha"),$C$9,$C$8),""),"")</f>
        <v/>
      </c>
      <c r="L3086" s="139">
        <f>IFERROR(IF(ISNUMBER(F3086),F3086-IF(ISNUMBER(K3086),K3086,0),""),"")</f>
        <v/>
      </c>
    </row>
    <row r="3087" ht="24" customHeight="1" s="63">
      <c r="E3087" s="139" t="n"/>
      <c r="F3087" s="139" t="n"/>
      <c r="G3087" s="140">
        <f>IFERROR(IF(E3087&gt;0,(F3087/E3087)*1000,""),"")</f>
        <v/>
      </c>
      <c r="H3087" s="139">
        <f>IFERROR(IF(E3087&gt;0,E3087*IF(ISNUMBER(J3087),J3087,IF(OR(C3087="Alpha",B3087="Alpha"),$C$7,IF(C3087="Futures",$C$6,$C$5))),""),"")</f>
        <v/>
      </c>
      <c r="I3087" s="139">
        <f>IFERROR(IF(AND(ISNUMBER(F3087),ISNUMBER(H3087)),F3087-H3087,""),"")</f>
        <v/>
      </c>
      <c r="J3087" s="114" t="n"/>
      <c r="K3087" s="139">
        <f>IFERROR(IF(H3087&gt;0,H3087*IF(OR(C3087="Alpha",B3087="Alpha"),$C$9,$C$8),""),"")</f>
        <v/>
      </c>
      <c r="L3087" s="139">
        <f>IFERROR(IF(ISNUMBER(F3087),F3087-IF(ISNUMBER(K3087),K3087,0),""),"")</f>
        <v/>
      </c>
    </row>
    <row r="3088" ht="24" customHeight="1" s="63">
      <c r="E3088" s="139" t="n"/>
      <c r="F3088" s="139" t="n"/>
      <c r="G3088" s="140">
        <f>IFERROR(IF(E3088&gt;0,(F3088/E3088)*1000,""),"")</f>
        <v/>
      </c>
      <c r="H3088" s="139">
        <f>IFERROR(IF(E3088&gt;0,E3088*IF(ISNUMBER(J3088),J3088,IF(OR(C3088="Alpha",B3088="Alpha"),$C$7,IF(C3088="Futures",$C$6,$C$5))),""),"")</f>
        <v/>
      </c>
      <c r="I3088" s="139">
        <f>IFERROR(IF(AND(ISNUMBER(F3088),ISNUMBER(H3088)),F3088-H3088,""),"")</f>
        <v/>
      </c>
      <c r="J3088" s="114" t="n"/>
      <c r="K3088" s="139">
        <f>IFERROR(IF(H3088&gt;0,H3088*IF(OR(C3088="Alpha",B3088="Alpha"),$C$9,$C$8),""),"")</f>
        <v/>
      </c>
      <c r="L3088" s="139">
        <f>IFERROR(IF(ISNUMBER(F3088),F3088-IF(ISNUMBER(K3088),K3088,0),""),"")</f>
        <v/>
      </c>
    </row>
    <row r="3089" ht="24" customHeight="1" s="63">
      <c r="E3089" s="139" t="n"/>
      <c r="F3089" s="139" t="n"/>
      <c r="G3089" s="140">
        <f>IFERROR(IF(E3089&gt;0,(F3089/E3089)*1000,""),"")</f>
        <v/>
      </c>
      <c r="H3089" s="139">
        <f>IFERROR(IF(E3089&gt;0,E3089*IF(ISNUMBER(J3089),J3089,IF(OR(C3089="Alpha",B3089="Alpha"),$C$7,IF(C3089="Futures",$C$6,$C$5))),""),"")</f>
        <v/>
      </c>
      <c r="I3089" s="139">
        <f>IFERROR(IF(AND(ISNUMBER(F3089),ISNUMBER(H3089)),F3089-H3089,""),"")</f>
        <v/>
      </c>
      <c r="J3089" s="114" t="n"/>
      <c r="K3089" s="139">
        <f>IFERROR(IF(H3089&gt;0,H3089*IF(OR(C3089="Alpha",B3089="Alpha"),$C$9,$C$8),""),"")</f>
        <v/>
      </c>
      <c r="L3089" s="139">
        <f>IFERROR(IF(ISNUMBER(F3089),F3089-IF(ISNUMBER(K3089),K3089,0),""),"")</f>
        <v/>
      </c>
    </row>
    <row r="3090" ht="24" customHeight="1" s="63">
      <c r="E3090" s="139" t="n"/>
      <c r="F3090" s="139" t="n"/>
      <c r="G3090" s="140">
        <f>IFERROR(IF(E3090&gt;0,(F3090/E3090)*1000,""),"")</f>
        <v/>
      </c>
      <c r="H3090" s="139">
        <f>IFERROR(IF(E3090&gt;0,E3090*IF(ISNUMBER(J3090),J3090,IF(OR(C3090="Alpha",B3090="Alpha"),$C$7,IF(C3090="Futures",$C$6,$C$5))),""),"")</f>
        <v/>
      </c>
      <c r="I3090" s="139">
        <f>IFERROR(IF(AND(ISNUMBER(F3090),ISNUMBER(H3090)),F3090-H3090,""),"")</f>
        <v/>
      </c>
      <c r="J3090" s="114" t="n"/>
      <c r="K3090" s="139">
        <f>IFERROR(IF(H3090&gt;0,H3090*IF(OR(C3090="Alpha",B3090="Alpha"),$C$9,$C$8),""),"")</f>
        <v/>
      </c>
      <c r="L3090" s="139">
        <f>IFERROR(IF(ISNUMBER(F3090),F3090-IF(ISNUMBER(K3090),K3090,0),""),"")</f>
        <v/>
      </c>
    </row>
    <row r="3091" ht="24" customHeight="1" s="63">
      <c r="E3091" s="139" t="n"/>
      <c r="F3091" s="139" t="n"/>
      <c r="G3091" s="140">
        <f>IFERROR(IF(E3091&gt;0,(F3091/E3091)*1000,""),"")</f>
        <v/>
      </c>
      <c r="H3091" s="139">
        <f>IFERROR(IF(E3091&gt;0,E3091*IF(ISNUMBER(J3091),J3091,IF(OR(C3091="Alpha",B3091="Alpha"),$C$7,IF(C3091="Futures",$C$6,$C$5))),""),"")</f>
        <v/>
      </c>
      <c r="I3091" s="139">
        <f>IFERROR(IF(AND(ISNUMBER(F3091),ISNUMBER(H3091)),F3091-H3091,""),"")</f>
        <v/>
      </c>
      <c r="J3091" s="114" t="n"/>
      <c r="K3091" s="139">
        <f>IFERROR(IF(H3091&gt;0,H3091*IF(OR(C3091="Alpha",B3091="Alpha"),$C$9,$C$8),""),"")</f>
        <v/>
      </c>
      <c r="L3091" s="139">
        <f>IFERROR(IF(ISNUMBER(F3091),F3091-IF(ISNUMBER(K3091),K3091,0),""),"")</f>
        <v/>
      </c>
    </row>
    <row r="3092" ht="24" customHeight="1" s="63">
      <c r="E3092" s="139" t="n"/>
      <c r="F3092" s="139" t="n"/>
      <c r="G3092" s="140">
        <f>IFERROR(IF(E3092&gt;0,(F3092/E3092)*1000,""),"")</f>
        <v/>
      </c>
      <c r="H3092" s="139">
        <f>IFERROR(IF(E3092&gt;0,E3092*IF(ISNUMBER(J3092),J3092,IF(OR(C3092="Alpha",B3092="Alpha"),$C$7,IF(C3092="Futures",$C$6,$C$5))),""),"")</f>
        <v/>
      </c>
      <c r="I3092" s="139">
        <f>IFERROR(IF(AND(ISNUMBER(F3092),ISNUMBER(H3092)),F3092-H3092,""),"")</f>
        <v/>
      </c>
      <c r="J3092" s="114" t="n"/>
      <c r="K3092" s="139">
        <f>IFERROR(IF(H3092&gt;0,H3092*IF(OR(C3092="Alpha",B3092="Alpha"),$C$9,$C$8),""),"")</f>
        <v/>
      </c>
      <c r="L3092" s="139">
        <f>IFERROR(IF(ISNUMBER(F3092),F3092-IF(ISNUMBER(K3092),K3092,0),""),"")</f>
        <v/>
      </c>
    </row>
    <row r="3093" ht="24" customHeight="1" s="63">
      <c r="E3093" s="139" t="n"/>
      <c r="F3093" s="139" t="n"/>
      <c r="G3093" s="140">
        <f>IFERROR(IF(E3093&gt;0,(F3093/E3093)*1000,""),"")</f>
        <v/>
      </c>
      <c r="H3093" s="139">
        <f>IFERROR(IF(E3093&gt;0,E3093*IF(ISNUMBER(J3093),J3093,IF(OR(C3093="Alpha",B3093="Alpha"),$C$7,IF(C3093="Futures",$C$6,$C$5))),""),"")</f>
        <v/>
      </c>
      <c r="I3093" s="139">
        <f>IFERROR(IF(AND(ISNUMBER(F3093),ISNUMBER(H3093)),F3093-H3093,""),"")</f>
        <v/>
      </c>
      <c r="J3093" s="114" t="n"/>
      <c r="K3093" s="139">
        <f>IFERROR(IF(H3093&gt;0,H3093*IF(OR(C3093="Alpha",B3093="Alpha"),$C$9,$C$8),""),"")</f>
        <v/>
      </c>
      <c r="L3093" s="139">
        <f>IFERROR(IF(ISNUMBER(F3093),F3093-IF(ISNUMBER(K3093),K3093,0),""),"")</f>
        <v/>
      </c>
    </row>
    <row r="3094" ht="24" customHeight="1" s="63">
      <c r="E3094" s="139" t="n"/>
      <c r="F3094" s="139" t="n"/>
      <c r="G3094" s="140">
        <f>IFERROR(IF(E3094&gt;0,(F3094/E3094)*1000,""),"")</f>
        <v/>
      </c>
      <c r="H3094" s="139">
        <f>IFERROR(IF(E3094&gt;0,E3094*IF(ISNUMBER(J3094),J3094,IF(OR(C3094="Alpha",B3094="Alpha"),$C$7,IF(C3094="Futures",$C$6,$C$5))),""),"")</f>
        <v/>
      </c>
      <c r="I3094" s="139">
        <f>IFERROR(IF(AND(ISNUMBER(F3094),ISNUMBER(H3094)),F3094-H3094,""),"")</f>
        <v/>
      </c>
      <c r="J3094" s="114" t="n"/>
      <c r="K3094" s="139">
        <f>IFERROR(IF(H3094&gt;0,H3094*IF(OR(C3094="Alpha",B3094="Alpha"),$C$9,$C$8),""),"")</f>
        <v/>
      </c>
      <c r="L3094" s="139">
        <f>IFERROR(IF(ISNUMBER(F3094),F3094-IF(ISNUMBER(K3094),K3094,0),""),"")</f>
        <v/>
      </c>
    </row>
    <row r="3095" ht="24" customHeight="1" s="63">
      <c r="E3095" s="139" t="n"/>
      <c r="F3095" s="139" t="n"/>
      <c r="G3095" s="140">
        <f>IFERROR(IF(E3095&gt;0,(F3095/E3095)*1000,""),"")</f>
        <v/>
      </c>
      <c r="H3095" s="139">
        <f>IFERROR(IF(E3095&gt;0,E3095*IF(ISNUMBER(J3095),J3095,IF(OR(C3095="Alpha",B3095="Alpha"),$C$7,IF(C3095="Futures",$C$6,$C$5))),""),"")</f>
        <v/>
      </c>
      <c r="I3095" s="139">
        <f>IFERROR(IF(AND(ISNUMBER(F3095),ISNUMBER(H3095)),F3095-H3095,""),"")</f>
        <v/>
      </c>
      <c r="J3095" s="114" t="n"/>
      <c r="K3095" s="139">
        <f>IFERROR(IF(H3095&gt;0,H3095*IF(OR(C3095="Alpha",B3095="Alpha"),$C$9,$C$8),""),"")</f>
        <v/>
      </c>
      <c r="L3095" s="139">
        <f>IFERROR(IF(ISNUMBER(F3095),F3095-IF(ISNUMBER(K3095),K3095,0),""),"")</f>
        <v/>
      </c>
    </row>
    <row r="3096" ht="24" customHeight="1" s="63">
      <c r="E3096" s="139" t="n"/>
      <c r="F3096" s="139" t="n"/>
      <c r="G3096" s="140">
        <f>IFERROR(IF(E3096&gt;0,(F3096/E3096)*1000,""),"")</f>
        <v/>
      </c>
      <c r="H3096" s="139">
        <f>IFERROR(IF(E3096&gt;0,E3096*IF(ISNUMBER(J3096),J3096,IF(OR(C3096="Alpha",B3096="Alpha"),$C$7,IF(C3096="Futures",$C$6,$C$5))),""),"")</f>
        <v/>
      </c>
      <c r="I3096" s="139">
        <f>IFERROR(IF(AND(ISNUMBER(F3096),ISNUMBER(H3096)),F3096-H3096,""),"")</f>
        <v/>
      </c>
      <c r="J3096" s="114" t="n"/>
      <c r="K3096" s="139">
        <f>IFERROR(IF(H3096&gt;0,H3096*IF(OR(C3096="Alpha",B3096="Alpha"),$C$9,$C$8),""),"")</f>
        <v/>
      </c>
      <c r="L3096" s="139">
        <f>IFERROR(IF(ISNUMBER(F3096),F3096-IF(ISNUMBER(K3096),K3096,0),""),"")</f>
        <v/>
      </c>
    </row>
    <row r="3097" ht="24" customHeight="1" s="63">
      <c r="E3097" s="139" t="n"/>
      <c r="F3097" s="139" t="n"/>
      <c r="G3097" s="140">
        <f>IFERROR(IF(E3097&gt;0,(F3097/E3097)*1000,""),"")</f>
        <v/>
      </c>
      <c r="H3097" s="139">
        <f>IFERROR(IF(E3097&gt;0,E3097*IF(ISNUMBER(J3097),J3097,IF(OR(C3097="Alpha",B3097="Alpha"),$C$7,IF(C3097="Futures",$C$6,$C$5))),""),"")</f>
        <v/>
      </c>
      <c r="I3097" s="139">
        <f>IFERROR(IF(AND(ISNUMBER(F3097),ISNUMBER(H3097)),F3097-H3097,""),"")</f>
        <v/>
      </c>
      <c r="J3097" s="114" t="n"/>
      <c r="K3097" s="139">
        <f>IFERROR(IF(H3097&gt;0,H3097*IF(OR(C3097="Alpha",B3097="Alpha"),$C$9,$C$8),""),"")</f>
        <v/>
      </c>
      <c r="L3097" s="139">
        <f>IFERROR(IF(ISNUMBER(F3097),F3097-IF(ISNUMBER(K3097),K3097,0),""),"")</f>
        <v/>
      </c>
    </row>
    <row r="3098" ht="24" customHeight="1" s="63">
      <c r="E3098" s="139" t="n"/>
      <c r="F3098" s="139" t="n"/>
      <c r="G3098" s="140">
        <f>IFERROR(IF(E3098&gt;0,(F3098/E3098)*1000,""),"")</f>
        <v/>
      </c>
      <c r="H3098" s="139">
        <f>IFERROR(IF(E3098&gt;0,E3098*IF(ISNUMBER(J3098),J3098,IF(OR(C3098="Alpha",B3098="Alpha"),$C$7,IF(C3098="Futures",$C$6,$C$5))),""),"")</f>
        <v/>
      </c>
      <c r="I3098" s="139">
        <f>IFERROR(IF(AND(ISNUMBER(F3098),ISNUMBER(H3098)),F3098-H3098,""),"")</f>
        <v/>
      </c>
      <c r="J3098" s="114" t="n"/>
      <c r="K3098" s="139">
        <f>IFERROR(IF(H3098&gt;0,H3098*IF(OR(C3098="Alpha",B3098="Alpha"),$C$9,$C$8),""),"")</f>
        <v/>
      </c>
      <c r="L3098" s="139">
        <f>IFERROR(IF(ISNUMBER(F3098),F3098-IF(ISNUMBER(K3098),K3098,0),""),"")</f>
        <v/>
      </c>
    </row>
    <row r="3099" ht="24" customHeight="1" s="63">
      <c r="E3099" s="139" t="n"/>
      <c r="F3099" s="139" t="n"/>
      <c r="G3099" s="140">
        <f>IFERROR(IF(E3099&gt;0,(F3099/E3099)*1000,""),"")</f>
        <v/>
      </c>
      <c r="H3099" s="139">
        <f>IFERROR(IF(E3099&gt;0,E3099*IF(ISNUMBER(J3099),J3099,IF(OR(C3099="Alpha",B3099="Alpha"),$C$7,IF(C3099="Futures",$C$6,$C$5))),""),"")</f>
        <v/>
      </c>
      <c r="I3099" s="139">
        <f>IFERROR(IF(AND(ISNUMBER(F3099),ISNUMBER(H3099)),F3099-H3099,""),"")</f>
        <v/>
      </c>
      <c r="J3099" s="114" t="n"/>
      <c r="K3099" s="139">
        <f>IFERROR(IF(H3099&gt;0,H3099*IF(OR(C3099="Alpha",B3099="Alpha"),$C$9,$C$8),""),"")</f>
        <v/>
      </c>
      <c r="L3099" s="139">
        <f>IFERROR(IF(ISNUMBER(F3099),F3099-IF(ISNUMBER(K3099),K3099,0),""),"")</f>
        <v/>
      </c>
    </row>
    <row r="3100" ht="24" customHeight="1" s="63">
      <c r="E3100" s="139" t="n"/>
      <c r="F3100" s="139" t="n"/>
      <c r="G3100" s="140">
        <f>IFERROR(IF(E3100&gt;0,(F3100/E3100)*1000,""),"")</f>
        <v/>
      </c>
      <c r="H3100" s="139">
        <f>IFERROR(IF(E3100&gt;0,E3100*IF(ISNUMBER(J3100),J3100,IF(OR(C3100="Alpha",B3100="Alpha"),$C$7,IF(C3100="Futures",$C$6,$C$5))),""),"")</f>
        <v/>
      </c>
      <c r="I3100" s="139">
        <f>IFERROR(IF(AND(ISNUMBER(F3100),ISNUMBER(H3100)),F3100-H3100,""),"")</f>
        <v/>
      </c>
      <c r="J3100" s="114" t="n"/>
      <c r="K3100" s="139">
        <f>IFERROR(IF(H3100&gt;0,H3100*IF(OR(C3100="Alpha",B3100="Alpha"),$C$9,$C$8),""),"")</f>
        <v/>
      </c>
      <c r="L3100" s="139">
        <f>IFERROR(IF(ISNUMBER(F3100),F3100-IF(ISNUMBER(K3100),K3100,0),""),"")</f>
        <v/>
      </c>
    </row>
    <row r="3101" ht="24" customHeight="1" s="63">
      <c r="E3101" s="139" t="n"/>
      <c r="F3101" s="139" t="n"/>
      <c r="G3101" s="140">
        <f>IFERROR(IF(E3101&gt;0,(F3101/E3101)*1000,""),"")</f>
        <v/>
      </c>
      <c r="H3101" s="139">
        <f>IFERROR(IF(E3101&gt;0,E3101*IF(ISNUMBER(J3101),J3101,IF(OR(C3101="Alpha",B3101="Alpha"),$C$7,IF(C3101="Futures",$C$6,$C$5))),""),"")</f>
        <v/>
      </c>
      <c r="I3101" s="139">
        <f>IFERROR(IF(AND(ISNUMBER(F3101),ISNUMBER(H3101)),F3101-H3101,""),"")</f>
        <v/>
      </c>
      <c r="J3101" s="114" t="n"/>
      <c r="K3101" s="139">
        <f>IFERROR(IF(H3101&gt;0,H3101*IF(OR(C3101="Alpha",B3101="Alpha"),$C$9,$C$8),""),"")</f>
        <v/>
      </c>
      <c r="L3101" s="139">
        <f>IFERROR(IF(ISNUMBER(F3101),F3101-IF(ISNUMBER(K3101),K3101,0),""),"")</f>
        <v/>
      </c>
    </row>
    <row r="3102" ht="24" customHeight="1" s="63">
      <c r="E3102" s="139" t="n"/>
      <c r="F3102" s="139" t="n"/>
      <c r="G3102" s="140">
        <f>IFERROR(IF(E3102&gt;0,(F3102/E3102)*1000,""),"")</f>
        <v/>
      </c>
      <c r="H3102" s="139">
        <f>IFERROR(IF(E3102&gt;0,E3102*IF(ISNUMBER(J3102),J3102,IF(OR(C3102="Alpha",B3102="Alpha"),$C$7,IF(C3102="Futures",$C$6,$C$5))),""),"")</f>
        <v/>
      </c>
      <c r="I3102" s="139">
        <f>IFERROR(IF(AND(ISNUMBER(F3102),ISNUMBER(H3102)),F3102-H3102,""),"")</f>
        <v/>
      </c>
      <c r="J3102" s="114" t="n"/>
      <c r="K3102" s="139">
        <f>IFERROR(IF(H3102&gt;0,H3102*IF(OR(C3102="Alpha",B3102="Alpha"),$C$9,$C$8),""),"")</f>
        <v/>
      </c>
      <c r="L3102" s="139">
        <f>IFERROR(IF(ISNUMBER(F3102),F3102-IF(ISNUMBER(K3102),K3102,0),""),"")</f>
        <v/>
      </c>
    </row>
    <row r="3103" ht="24" customHeight="1" s="63">
      <c r="E3103" s="139" t="n"/>
      <c r="F3103" s="139" t="n"/>
      <c r="G3103" s="140">
        <f>IFERROR(IF(E3103&gt;0,(F3103/E3103)*1000,""),"")</f>
        <v/>
      </c>
      <c r="H3103" s="139">
        <f>IFERROR(IF(E3103&gt;0,E3103*IF(ISNUMBER(J3103),J3103,IF(OR(C3103="Alpha",B3103="Alpha"),$C$7,IF(C3103="Futures",$C$6,$C$5))),""),"")</f>
        <v/>
      </c>
      <c r="I3103" s="139">
        <f>IFERROR(IF(AND(ISNUMBER(F3103),ISNUMBER(H3103)),F3103-H3103,""),"")</f>
        <v/>
      </c>
      <c r="J3103" s="114" t="n"/>
      <c r="K3103" s="139">
        <f>IFERROR(IF(H3103&gt;0,H3103*IF(OR(C3103="Alpha",B3103="Alpha"),$C$9,$C$8),""),"")</f>
        <v/>
      </c>
      <c r="L3103" s="139">
        <f>IFERROR(IF(ISNUMBER(F3103),F3103-IF(ISNUMBER(K3103),K3103,0),""),"")</f>
        <v/>
      </c>
    </row>
    <row r="3104" ht="24" customHeight="1" s="63">
      <c r="E3104" s="139" t="n"/>
      <c r="F3104" s="139" t="n"/>
      <c r="G3104" s="140">
        <f>IFERROR(IF(E3104&gt;0,(F3104/E3104)*1000,""),"")</f>
        <v/>
      </c>
      <c r="H3104" s="139">
        <f>IFERROR(IF(E3104&gt;0,E3104*IF(ISNUMBER(J3104),J3104,IF(OR(C3104="Alpha",B3104="Alpha"),$C$7,IF(C3104="Futures",$C$6,$C$5))),""),"")</f>
        <v/>
      </c>
      <c r="I3104" s="139">
        <f>IFERROR(IF(AND(ISNUMBER(F3104),ISNUMBER(H3104)),F3104-H3104,""),"")</f>
        <v/>
      </c>
      <c r="J3104" s="114" t="n"/>
      <c r="K3104" s="139">
        <f>IFERROR(IF(H3104&gt;0,H3104*IF(OR(C3104="Alpha",B3104="Alpha"),$C$9,$C$8),""),"")</f>
        <v/>
      </c>
      <c r="L3104" s="139">
        <f>IFERROR(IF(ISNUMBER(F3104),F3104-IF(ISNUMBER(K3104),K3104,0),""),"")</f>
        <v/>
      </c>
    </row>
    <row r="3105" ht="24" customHeight="1" s="63">
      <c r="E3105" s="139" t="n"/>
      <c r="F3105" s="139" t="n"/>
      <c r="G3105" s="140">
        <f>IFERROR(IF(E3105&gt;0,(F3105/E3105)*1000,""),"")</f>
        <v/>
      </c>
      <c r="H3105" s="139">
        <f>IFERROR(IF(E3105&gt;0,E3105*IF(ISNUMBER(J3105),J3105,IF(OR(C3105="Alpha",B3105="Alpha"),$C$7,IF(C3105="Futures",$C$6,$C$5))),""),"")</f>
        <v/>
      </c>
      <c r="I3105" s="139">
        <f>IFERROR(IF(AND(ISNUMBER(F3105),ISNUMBER(H3105)),F3105-H3105,""),"")</f>
        <v/>
      </c>
      <c r="J3105" s="114" t="n"/>
      <c r="K3105" s="139">
        <f>IFERROR(IF(H3105&gt;0,H3105*IF(OR(C3105="Alpha",B3105="Alpha"),$C$9,$C$8),""),"")</f>
        <v/>
      </c>
      <c r="L3105" s="139">
        <f>IFERROR(IF(ISNUMBER(F3105),F3105-IF(ISNUMBER(K3105),K3105,0),""),"")</f>
        <v/>
      </c>
    </row>
    <row r="3106" ht="24" customHeight="1" s="63">
      <c r="E3106" s="139" t="n"/>
      <c r="F3106" s="139" t="n"/>
      <c r="G3106" s="140">
        <f>IFERROR(IF(E3106&gt;0,(F3106/E3106)*1000,""),"")</f>
        <v/>
      </c>
      <c r="H3106" s="139">
        <f>IFERROR(IF(E3106&gt;0,E3106*IF(ISNUMBER(J3106),J3106,IF(OR(C3106="Alpha",B3106="Alpha"),$C$7,IF(C3106="Futures",$C$6,$C$5))),""),"")</f>
        <v/>
      </c>
      <c r="I3106" s="139">
        <f>IFERROR(IF(AND(ISNUMBER(F3106),ISNUMBER(H3106)),F3106-H3106,""),"")</f>
        <v/>
      </c>
      <c r="J3106" s="114" t="n"/>
      <c r="K3106" s="139">
        <f>IFERROR(IF(H3106&gt;0,H3106*IF(OR(C3106="Alpha",B3106="Alpha"),$C$9,$C$8),""),"")</f>
        <v/>
      </c>
      <c r="L3106" s="139">
        <f>IFERROR(IF(ISNUMBER(F3106),F3106-IF(ISNUMBER(K3106),K3106,0),""),"")</f>
        <v/>
      </c>
    </row>
    <row r="3107" ht="24" customHeight="1" s="63">
      <c r="E3107" s="139" t="n"/>
      <c r="F3107" s="139" t="n"/>
      <c r="G3107" s="140">
        <f>IFERROR(IF(E3107&gt;0,(F3107/E3107)*1000,""),"")</f>
        <v/>
      </c>
      <c r="H3107" s="139">
        <f>IFERROR(IF(E3107&gt;0,E3107*IF(ISNUMBER(J3107),J3107,IF(OR(C3107="Alpha",B3107="Alpha"),$C$7,IF(C3107="Futures",$C$6,$C$5))),""),"")</f>
        <v/>
      </c>
      <c r="I3107" s="139">
        <f>IFERROR(IF(AND(ISNUMBER(F3107),ISNUMBER(H3107)),F3107-H3107,""),"")</f>
        <v/>
      </c>
      <c r="J3107" s="114" t="n"/>
      <c r="K3107" s="139">
        <f>IFERROR(IF(H3107&gt;0,H3107*IF(OR(C3107="Alpha",B3107="Alpha"),$C$9,$C$8),""),"")</f>
        <v/>
      </c>
      <c r="L3107" s="139">
        <f>IFERROR(IF(ISNUMBER(F3107),F3107-IF(ISNUMBER(K3107),K3107,0),""),"")</f>
        <v/>
      </c>
    </row>
    <row r="3108" ht="24" customHeight="1" s="63">
      <c r="E3108" s="139" t="n"/>
      <c r="F3108" s="139" t="n"/>
      <c r="G3108" s="140">
        <f>IFERROR(IF(E3108&gt;0,(F3108/E3108)*1000,""),"")</f>
        <v/>
      </c>
      <c r="H3108" s="139">
        <f>IFERROR(IF(E3108&gt;0,E3108*IF(ISNUMBER(J3108),J3108,IF(OR(C3108="Alpha",B3108="Alpha"),$C$7,IF(C3108="Futures",$C$6,$C$5))),""),"")</f>
        <v/>
      </c>
      <c r="I3108" s="139">
        <f>IFERROR(IF(AND(ISNUMBER(F3108),ISNUMBER(H3108)),F3108-H3108,""),"")</f>
        <v/>
      </c>
      <c r="J3108" s="114" t="n"/>
      <c r="K3108" s="139">
        <f>IFERROR(IF(H3108&gt;0,H3108*IF(OR(C3108="Alpha",B3108="Alpha"),$C$9,$C$8),""),"")</f>
        <v/>
      </c>
      <c r="L3108" s="139">
        <f>IFERROR(IF(ISNUMBER(F3108),F3108-IF(ISNUMBER(K3108),K3108,0),""),"")</f>
        <v/>
      </c>
    </row>
    <row r="3109" ht="24" customHeight="1" s="63">
      <c r="E3109" s="139" t="n"/>
      <c r="F3109" s="139" t="n"/>
      <c r="G3109" s="140">
        <f>IFERROR(IF(E3109&gt;0,(F3109/E3109)*1000,""),"")</f>
        <v/>
      </c>
      <c r="H3109" s="139">
        <f>IFERROR(IF(E3109&gt;0,E3109*IF(ISNUMBER(J3109),J3109,IF(OR(C3109="Alpha",B3109="Alpha"),$C$7,IF(C3109="Futures",$C$6,$C$5))),""),"")</f>
        <v/>
      </c>
      <c r="I3109" s="139">
        <f>IFERROR(IF(AND(ISNUMBER(F3109),ISNUMBER(H3109)),F3109-H3109,""),"")</f>
        <v/>
      </c>
      <c r="J3109" s="114" t="n"/>
      <c r="K3109" s="139">
        <f>IFERROR(IF(H3109&gt;0,H3109*IF(OR(C3109="Alpha",B3109="Alpha"),$C$9,$C$8),""),"")</f>
        <v/>
      </c>
      <c r="L3109" s="139">
        <f>IFERROR(IF(ISNUMBER(F3109),F3109-IF(ISNUMBER(K3109),K3109,0),""),"")</f>
        <v/>
      </c>
    </row>
    <row r="3110" ht="24" customHeight="1" s="63">
      <c r="E3110" s="139" t="n"/>
      <c r="F3110" s="139" t="n"/>
      <c r="G3110" s="140">
        <f>IFERROR(IF(E3110&gt;0,(F3110/E3110)*1000,""),"")</f>
        <v/>
      </c>
      <c r="H3110" s="139">
        <f>IFERROR(IF(E3110&gt;0,E3110*IF(ISNUMBER(J3110),J3110,IF(OR(C3110="Alpha",B3110="Alpha"),$C$7,IF(C3110="Futures",$C$6,$C$5))),""),"")</f>
        <v/>
      </c>
      <c r="I3110" s="139">
        <f>IFERROR(IF(AND(ISNUMBER(F3110),ISNUMBER(H3110)),F3110-H3110,""),"")</f>
        <v/>
      </c>
      <c r="J3110" s="114" t="n"/>
      <c r="K3110" s="139">
        <f>IFERROR(IF(H3110&gt;0,H3110*IF(OR(C3110="Alpha",B3110="Alpha"),$C$9,$C$8),""),"")</f>
        <v/>
      </c>
      <c r="L3110" s="139">
        <f>IFERROR(IF(ISNUMBER(F3110),F3110-IF(ISNUMBER(K3110),K3110,0),""),"")</f>
        <v/>
      </c>
    </row>
    <row r="3111" ht="24" customHeight="1" s="63">
      <c r="E3111" s="139" t="n"/>
      <c r="F3111" s="139" t="n"/>
      <c r="G3111" s="140">
        <f>IFERROR(IF(E3111&gt;0,(F3111/E3111)*1000,""),"")</f>
        <v/>
      </c>
      <c r="H3111" s="139">
        <f>IFERROR(IF(E3111&gt;0,E3111*IF(ISNUMBER(J3111),J3111,IF(OR(C3111="Alpha",B3111="Alpha"),$C$7,IF(C3111="Futures",$C$6,$C$5))),""),"")</f>
        <v/>
      </c>
      <c r="I3111" s="139">
        <f>IFERROR(IF(AND(ISNUMBER(F3111),ISNUMBER(H3111)),F3111-H3111,""),"")</f>
        <v/>
      </c>
      <c r="J3111" s="114" t="n"/>
      <c r="K3111" s="139">
        <f>IFERROR(IF(H3111&gt;0,H3111*IF(OR(C3111="Alpha",B3111="Alpha"),$C$9,$C$8),""),"")</f>
        <v/>
      </c>
      <c r="L3111" s="139">
        <f>IFERROR(IF(ISNUMBER(F3111),F3111-IF(ISNUMBER(K3111),K3111,0),""),"")</f>
        <v/>
      </c>
    </row>
    <row r="3112" ht="24" customHeight="1" s="63">
      <c r="E3112" s="139" t="n"/>
      <c r="F3112" s="139" t="n"/>
      <c r="G3112" s="140">
        <f>IFERROR(IF(E3112&gt;0,(F3112/E3112)*1000,""),"")</f>
        <v/>
      </c>
      <c r="H3112" s="139">
        <f>IFERROR(IF(E3112&gt;0,E3112*IF(ISNUMBER(J3112),J3112,IF(OR(C3112="Alpha",B3112="Alpha"),$C$7,IF(C3112="Futures",$C$6,$C$5))),""),"")</f>
        <v/>
      </c>
      <c r="I3112" s="139">
        <f>IFERROR(IF(AND(ISNUMBER(F3112),ISNUMBER(H3112)),F3112-H3112,""),"")</f>
        <v/>
      </c>
      <c r="J3112" s="114" t="n"/>
      <c r="K3112" s="139">
        <f>IFERROR(IF(H3112&gt;0,H3112*IF(OR(C3112="Alpha",B3112="Alpha"),$C$9,$C$8),""),"")</f>
        <v/>
      </c>
      <c r="L3112" s="139">
        <f>IFERROR(IF(ISNUMBER(F3112),F3112-IF(ISNUMBER(K3112),K3112,0),""),"")</f>
        <v/>
      </c>
    </row>
    <row r="3113" ht="24" customHeight="1" s="63">
      <c r="E3113" s="139" t="n"/>
      <c r="F3113" s="139" t="n"/>
      <c r="G3113" s="140">
        <f>IFERROR(IF(E3113&gt;0,(F3113/E3113)*1000,""),"")</f>
        <v/>
      </c>
      <c r="H3113" s="139">
        <f>IFERROR(IF(E3113&gt;0,E3113*IF(ISNUMBER(J3113),J3113,IF(OR(C3113="Alpha",B3113="Alpha"),$C$7,IF(C3113="Futures",$C$6,$C$5))),""),"")</f>
        <v/>
      </c>
      <c r="I3113" s="139">
        <f>IFERROR(IF(AND(ISNUMBER(F3113),ISNUMBER(H3113)),F3113-H3113,""),"")</f>
        <v/>
      </c>
      <c r="J3113" s="114" t="n"/>
      <c r="K3113" s="139">
        <f>IFERROR(IF(H3113&gt;0,H3113*IF(OR(C3113="Alpha",B3113="Alpha"),$C$9,$C$8),""),"")</f>
        <v/>
      </c>
      <c r="L3113" s="139">
        <f>IFERROR(IF(ISNUMBER(F3113),F3113-IF(ISNUMBER(K3113),K3113,0),""),"")</f>
        <v/>
      </c>
    </row>
    <row r="3114" ht="24" customHeight="1" s="63">
      <c r="E3114" s="139" t="n"/>
      <c r="F3114" s="139" t="n"/>
      <c r="G3114" s="140">
        <f>IFERROR(IF(E3114&gt;0,(F3114/E3114)*1000,""),"")</f>
        <v/>
      </c>
      <c r="H3114" s="139">
        <f>IFERROR(IF(E3114&gt;0,E3114*IF(ISNUMBER(J3114),J3114,IF(OR(C3114="Alpha",B3114="Alpha"),$C$7,IF(C3114="Futures",$C$6,$C$5))),""),"")</f>
        <v/>
      </c>
      <c r="I3114" s="139">
        <f>IFERROR(IF(AND(ISNUMBER(F3114),ISNUMBER(H3114)),F3114-H3114,""),"")</f>
        <v/>
      </c>
      <c r="J3114" s="114" t="n"/>
      <c r="K3114" s="139">
        <f>IFERROR(IF(H3114&gt;0,H3114*IF(OR(C3114="Alpha",B3114="Alpha"),$C$9,$C$8),""),"")</f>
        <v/>
      </c>
      <c r="L3114" s="139">
        <f>IFERROR(IF(ISNUMBER(F3114),F3114-IF(ISNUMBER(K3114),K3114,0),""),"")</f>
        <v/>
      </c>
    </row>
    <row r="3115" ht="24" customHeight="1" s="63">
      <c r="E3115" s="139" t="n"/>
      <c r="F3115" s="139" t="n"/>
      <c r="G3115" s="140">
        <f>IFERROR(IF(E3115&gt;0,(F3115/E3115)*1000,""),"")</f>
        <v/>
      </c>
      <c r="H3115" s="139">
        <f>IFERROR(IF(E3115&gt;0,E3115*IF(ISNUMBER(J3115),J3115,IF(OR(C3115="Alpha",B3115="Alpha"),$C$7,IF(C3115="Futures",$C$6,$C$5))),""),"")</f>
        <v/>
      </c>
      <c r="I3115" s="139">
        <f>IFERROR(IF(AND(ISNUMBER(F3115),ISNUMBER(H3115)),F3115-H3115,""),"")</f>
        <v/>
      </c>
      <c r="J3115" s="114" t="n"/>
      <c r="K3115" s="139">
        <f>IFERROR(IF(H3115&gt;0,H3115*IF(OR(C3115="Alpha",B3115="Alpha"),$C$9,$C$8),""),"")</f>
        <v/>
      </c>
      <c r="L3115" s="139">
        <f>IFERROR(IF(ISNUMBER(F3115),F3115-IF(ISNUMBER(K3115),K3115,0),""),"")</f>
        <v/>
      </c>
    </row>
    <row r="3116" ht="24" customHeight="1" s="63">
      <c r="E3116" s="139" t="n"/>
      <c r="F3116" s="139" t="n"/>
      <c r="G3116" s="140">
        <f>IFERROR(IF(E3116&gt;0,(F3116/E3116)*1000,""),"")</f>
        <v/>
      </c>
      <c r="H3116" s="139">
        <f>IFERROR(IF(E3116&gt;0,E3116*IF(ISNUMBER(J3116),J3116,IF(OR(C3116="Alpha",B3116="Alpha"),$C$7,IF(C3116="Futures",$C$6,$C$5))),""),"")</f>
        <v/>
      </c>
      <c r="I3116" s="139">
        <f>IFERROR(IF(AND(ISNUMBER(F3116),ISNUMBER(H3116)),F3116-H3116,""),"")</f>
        <v/>
      </c>
      <c r="J3116" s="114" t="n"/>
      <c r="K3116" s="139">
        <f>IFERROR(IF(H3116&gt;0,H3116*IF(OR(C3116="Alpha",B3116="Alpha"),$C$9,$C$8),""),"")</f>
        <v/>
      </c>
      <c r="L3116" s="139">
        <f>IFERROR(IF(ISNUMBER(F3116),F3116-IF(ISNUMBER(K3116),K3116,0),""),"")</f>
        <v/>
      </c>
    </row>
    <row r="3117" ht="24" customHeight="1" s="63">
      <c r="E3117" s="139" t="n"/>
      <c r="F3117" s="139" t="n"/>
      <c r="G3117" s="140">
        <f>IFERROR(IF(E3117&gt;0,(F3117/E3117)*1000,""),"")</f>
        <v/>
      </c>
      <c r="H3117" s="139">
        <f>IFERROR(IF(E3117&gt;0,E3117*IF(ISNUMBER(J3117),J3117,IF(OR(C3117="Alpha",B3117="Alpha"),$C$7,IF(C3117="Futures",$C$6,$C$5))),""),"")</f>
        <v/>
      </c>
      <c r="I3117" s="139">
        <f>IFERROR(IF(AND(ISNUMBER(F3117),ISNUMBER(H3117)),F3117-H3117,""),"")</f>
        <v/>
      </c>
      <c r="J3117" s="114" t="n"/>
      <c r="K3117" s="139">
        <f>IFERROR(IF(H3117&gt;0,H3117*IF(OR(C3117="Alpha",B3117="Alpha"),$C$9,$C$8),""),"")</f>
        <v/>
      </c>
      <c r="L3117" s="139">
        <f>IFERROR(IF(ISNUMBER(F3117),F3117-IF(ISNUMBER(K3117),K3117,0),""),"")</f>
        <v/>
      </c>
    </row>
    <row r="3118" ht="24" customHeight="1" s="63">
      <c r="E3118" s="139" t="n"/>
      <c r="F3118" s="139" t="n"/>
      <c r="G3118" s="140">
        <f>IFERROR(IF(E3118&gt;0,(F3118/E3118)*1000,""),"")</f>
        <v/>
      </c>
      <c r="H3118" s="139">
        <f>IFERROR(IF(E3118&gt;0,E3118*IF(ISNUMBER(J3118),J3118,IF(OR(C3118="Alpha",B3118="Alpha"),$C$7,IF(C3118="Futures",$C$6,$C$5))),""),"")</f>
        <v/>
      </c>
      <c r="I3118" s="139">
        <f>IFERROR(IF(AND(ISNUMBER(F3118),ISNUMBER(H3118)),F3118-H3118,""),"")</f>
        <v/>
      </c>
      <c r="J3118" s="114" t="n"/>
      <c r="K3118" s="139">
        <f>IFERROR(IF(H3118&gt;0,H3118*IF(OR(C3118="Alpha",B3118="Alpha"),$C$9,$C$8),""),"")</f>
        <v/>
      </c>
      <c r="L3118" s="139">
        <f>IFERROR(IF(ISNUMBER(F3118),F3118-IF(ISNUMBER(K3118),K3118,0),""),"")</f>
        <v/>
      </c>
    </row>
    <row r="3119" ht="24" customHeight="1" s="63">
      <c r="E3119" s="139" t="n"/>
      <c r="F3119" s="139" t="n"/>
      <c r="G3119" s="140">
        <f>IFERROR(IF(E3119&gt;0,(F3119/E3119)*1000,""),"")</f>
        <v/>
      </c>
      <c r="H3119" s="139">
        <f>IFERROR(IF(E3119&gt;0,E3119*IF(ISNUMBER(J3119),J3119,IF(OR(C3119="Alpha",B3119="Alpha"),$C$7,IF(C3119="Futures",$C$6,$C$5))),""),"")</f>
        <v/>
      </c>
      <c r="I3119" s="139">
        <f>IFERROR(IF(AND(ISNUMBER(F3119),ISNUMBER(H3119)),F3119-H3119,""),"")</f>
        <v/>
      </c>
      <c r="J3119" s="114" t="n"/>
      <c r="K3119" s="139">
        <f>IFERROR(IF(H3119&gt;0,H3119*IF(OR(C3119="Alpha",B3119="Alpha"),$C$9,$C$8),""),"")</f>
        <v/>
      </c>
      <c r="L3119" s="139">
        <f>IFERROR(IF(ISNUMBER(F3119),F3119-IF(ISNUMBER(K3119),K3119,0),""),"")</f>
        <v/>
      </c>
    </row>
    <row r="3120" ht="24" customHeight="1" s="63">
      <c r="E3120" s="139" t="n"/>
      <c r="F3120" s="139" t="n"/>
      <c r="G3120" s="140">
        <f>IFERROR(IF(E3120&gt;0,(F3120/E3120)*1000,""),"")</f>
        <v/>
      </c>
      <c r="H3120" s="139">
        <f>IFERROR(IF(E3120&gt;0,E3120*IF(ISNUMBER(J3120),J3120,IF(OR(C3120="Alpha",B3120="Alpha"),$C$7,IF(C3120="Futures",$C$6,$C$5))),""),"")</f>
        <v/>
      </c>
      <c r="I3120" s="139">
        <f>IFERROR(IF(AND(ISNUMBER(F3120),ISNUMBER(H3120)),F3120-H3120,""),"")</f>
        <v/>
      </c>
      <c r="J3120" s="114" t="n"/>
      <c r="K3120" s="139">
        <f>IFERROR(IF(H3120&gt;0,H3120*IF(OR(C3120="Alpha",B3120="Alpha"),$C$9,$C$8),""),"")</f>
        <v/>
      </c>
      <c r="L3120" s="139">
        <f>IFERROR(IF(ISNUMBER(F3120),F3120-IF(ISNUMBER(K3120),K3120,0),""),"")</f>
        <v/>
      </c>
    </row>
    <row r="3121" ht="24" customHeight="1" s="63">
      <c r="E3121" s="139" t="n"/>
      <c r="F3121" s="139" t="n"/>
      <c r="G3121" s="140">
        <f>IFERROR(IF(E3121&gt;0,(F3121/E3121)*1000,""),"")</f>
        <v/>
      </c>
      <c r="H3121" s="139">
        <f>IFERROR(IF(E3121&gt;0,E3121*IF(ISNUMBER(J3121),J3121,IF(OR(C3121="Alpha",B3121="Alpha"),$C$7,IF(C3121="Futures",$C$6,$C$5))),""),"")</f>
        <v/>
      </c>
      <c r="I3121" s="139">
        <f>IFERROR(IF(AND(ISNUMBER(F3121),ISNUMBER(H3121)),F3121-H3121,""),"")</f>
        <v/>
      </c>
      <c r="J3121" s="114" t="n"/>
      <c r="K3121" s="139">
        <f>IFERROR(IF(H3121&gt;0,H3121*IF(OR(C3121="Alpha",B3121="Alpha"),$C$9,$C$8),""),"")</f>
        <v/>
      </c>
      <c r="L3121" s="139">
        <f>IFERROR(IF(ISNUMBER(F3121),F3121-IF(ISNUMBER(K3121),K3121,0),""),"")</f>
        <v/>
      </c>
    </row>
    <row r="3122" ht="24" customHeight="1" s="63">
      <c r="E3122" s="139" t="n"/>
      <c r="F3122" s="139" t="n"/>
      <c r="G3122" s="140">
        <f>IFERROR(IF(E3122&gt;0,(F3122/E3122)*1000,""),"")</f>
        <v/>
      </c>
      <c r="H3122" s="139">
        <f>IFERROR(IF(E3122&gt;0,E3122*IF(ISNUMBER(J3122),J3122,IF(OR(C3122="Alpha",B3122="Alpha"),$C$7,IF(C3122="Futures",$C$6,$C$5))),""),"")</f>
        <v/>
      </c>
      <c r="I3122" s="139">
        <f>IFERROR(IF(AND(ISNUMBER(F3122),ISNUMBER(H3122)),F3122-H3122,""),"")</f>
        <v/>
      </c>
      <c r="J3122" s="114" t="n"/>
      <c r="K3122" s="139">
        <f>IFERROR(IF(H3122&gt;0,H3122*IF(OR(C3122="Alpha",B3122="Alpha"),$C$9,$C$8),""),"")</f>
        <v/>
      </c>
      <c r="L3122" s="139">
        <f>IFERROR(IF(ISNUMBER(F3122),F3122-IF(ISNUMBER(K3122),K3122,0),""),"")</f>
        <v/>
      </c>
    </row>
    <row r="3123" ht="24" customHeight="1" s="63">
      <c r="E3123" s="139" t="n"/>
      <c r="F3123" s="139" t="n"/>
      <c r="G3123" s="140">
        <f>IFERROR(IF(E3123&gt;0,(F3123/E3123)*1000,""),"")</f>
        <v/>
      </c>
      <c r="H3123" s="139">
        <f>IFERROR(IF(E3123&gt;0,E3123*IF(ISNUMBER(J3123),J3123,IF(OR(C3123="Alpha",B3123="Alpha"),$C$7,IF(C3123="Futures",$C$6,$C$5))),""),"")</f>
        <v/>
      </c>
      <c r="I3123" s="139">
        <f>IFERROR(IF(AND(ISNUMBER(F3123),ISNUMBER(H3123)),F3123-H3123,""),"")</f>
        <v/>
      </c>
      <c r="J3123" s="114" t="n"/>
      <c r="K3123" s="139">
        <f>IFERROR(IF(H3123&gt;0,H3123*IF(OR(C3123="Alpha",B3123="Alpha"),$C$9,$C$8),""),"")</f>
        <v/>
      </c>
      <c r="L3123" s="139">
        <f>IFERROR(IF(ISNUMBER(F3123),F3123-IF(ISNUMBER(K3123),K3123,0),""),"")</f>
        <v/>
      </c>
    </row>
    <row r="3124" ht="24" customHeight="1" s="63">
      <c r="E3124" s="139" t="n"/>
      <c r="F3124" s="139" t="n"/>
      <c r="G3124" s="140">
        <f>IFERROR(IF(E3124&gt;0,(F3124/E3124)*1000,""),"")</f>
        <v/>
      </c>
      <c r="H3124" s="139">
        <f>IFERROR(IF(E3124&gt;0,E3124*IF(ISNUMBER(J3124),J3124,IF(OR(C3124="Alpha",B3124="Alpha"),$C$7,IF(C3124="Futures",$C$6,$C$5))),""),"")</f>
        <v/>
      </c>
      <c r="I3124" s="139">
        <f>IFERROR(IF(AND(ISNUMBER(F3124),ISNUMBER(H3124)),F3124-H3124,""),"")</f>
        <v/>
      </c>
      <c r="J3124" s="114" t="n"/>
      <c r="K3124" s="139">
        <f>IFERROR(IF(H3124&gt;0,H3124*IF(OR(C3124="Alpha",B3124="Alpha"),$C$9,$C$8),""),"")</f>
        <v/>
      </c>
      <c r="L3124" s="139">
        <f>IFERROR(IF(ISNUMBER(F3124),F3124-IF(ISNUMBER(K3124),K3124,0),""),"")</f>
        <v/>
      </c>
    </row>
    <row r="3125" ht="24" customHeight="1" s="63">
      <c r="E3125" s="139" t="n"/>
      <c r="F3125" s="139" t="n"/>
      <c r="G3125" s="140">
        <f>IFERROR(IF(E3125&gt;0,(F3125/E3125)*1000,""),"")</f>
        <v/>
      </c>
      <c r="H3125" s="139">
        <f>IFERROR(IF(E3125&gt;0,E3125*IF(ISNUMBER(J3125),J3125,IF(OR(C3125="Alpha",B3125="Alpha"),$C$7,IF(C3125="Futures",$C$6,$C$5))),""),"")</f>
        <v/>
      </c>
      <c r="I3125" s="139">
        <f>IFERROR(IF(AND(ISNUMBER(F3125),ISNUMBER(H3125)),F3125-H3125,""),"")</f>
        <v/>
      </c>
      <c r="J3125" s="114" t="n"/>
      <c r="K3125" s="139">
        <f>IFERROR(IF(H3125&gt;0,H3125*IF(OR(C3125="Alpha",B3125="Alpha"),$C$9,$C$8),""),"")</f>
        <v/>
      </c>
      <c r="L3125" s="139">
        <f>IFERROR(IF(ISNUMBER(F3125),F3125-IF(ISNUMBER(K3125),K3125,0),""),"")</f>
        <v/>
      </c>
    </row>
    <row r="3126" ht="24" customHeight="1" s="63">
      <c r="E3126" s="139" t="n"/>
      <c r="F3126" s="139" t="n"/>
      <c r="G3126" s="140">
        <f>IFERROR(IF(E3126&gt;0,(F3126/E3126)*1000,""),"")</f>
        <v/>
      </c>
      <c r="H3126" s="139">
        <f>IFERROR(IF(E3126&gt;0,E3126*IF(ISNUMBER(J3126),J3126,IF(OR(C3126="Alpha",B3126="Alpha"),$C$7,IF(C3126="Futures",$C$6,$C$5))),""),"")</f>
        <v/>
      </c>
      <c r="I3126" s="139">
        <f>IFERROR(IF(AND(ISNUMBER(F3126),ISNUMBER(H3126)),F3126-H3126,""),"")</f>
        <v/>
      </c>
      <c r="J3126" s="114" t="n"/>
      <c r="K3126" s="139">
        <f>IFERROR(IF(H3126&gt;0,H3126*IF(OR(C3126="Alpha",B3126="Alpha"),$C$9,$C$8),""),"")</f>
        <v/>
      </c>
      <c r="L3126" s="139">
        <f>IFERROR(IF(ISNUMBER(F3126),F3126-IF(ISNUMBER(K3126),K3126,0),""),"")</f>
        <v/>
      </c>
    </row>
    <row r="3127" ht="24" customHeight="1" s="63">
      <c r="E3127" s="139" t="n"/>
      <c r="F3127" s="139" t="n"/>
      <c r="G3127" s="140">
        <f>IFERROR(IF(E3127&gt;0,(F3127/E3127)*1000,""),"")</f>
        <v/>
      </c>
      <c r="H3127" s="139">
        <f>IFERROR(IF(E3127&gt;0,E3127*IF(ISNUMBER(J3127),J3127,IF(OR(C3127="Alpha",B3127="Alpha"),$C$7,IF(C3127="Futures",$C$6,$C$5))),""),"")</f>
        <v/>
      </c>
      <c r="I3127" s="139">
        <f>IFERROR(IF(AND(ISNUMBER(F3127),ISNUMBER(H3127)),F3127-H3127,""),"")</f>
        <v/>
      </c>
      <c r="J3127" s="114" t="n"/>
      <c r="K3127" s="139">
        <f>IFERROR(IF(H3127&gt;0,H3127*IF(OR(C3127="Alpha",B3127="Alpha"),$C$9,$C$8),""),"")</f>
        <v/>
      </c>
      <c r="L3127" s="139">
        <f>IFERROR(IF(ISNUMBER(F3127),F3127-IF(ISNUMBER(K3127),K3127,0),""),"")</f>
        <v/>
      </c>
    </row>
    <row r="3128" ht="24" customHeight="1" s="63">
      <c r="E3128" s="139" t="n"/>
      <c r="F3128" s="139" t="n"/>
      <c r="G3128" s="140">
        <f>IFERROR(IF(E3128&gt;0,(F3128/E3128)*1000,""),"")</f>
        <v/>
      </c>
      <c r="H3128" s="139">
        <f>IFERROR(IF(E3128&gt;0,E3128*IF(ISNUMBER(J3128),J3128,IF(OR(C3128="Alpha",B3128="Alpha"),$C$7,IF(C3128="Futures",$C$6,$C$5))),""),"")</f>
        <v/>
      </c>
      <c r="I3128" s="139">
        <f>IFERROR(IF(AND(ISNUMBER(F3128),ISNUMBER(H3128)),F3128-H3128,""),"")</f>
        <v/>
      </c>
      <c r="J3128" s="114" t="n"/>
      <c r="K3128" s="139">
        <f>IFERROR(IF(H3128&gt;0,H3128*IF(OR(C3128="Alpha",B3128="Alpha"),$C$9,$C$8),""),"")</f>
        <v/>
      </c>
      <c r="L3128" s="139">
        <f>IFERROR(IF(ISNUMBER(F3128),F3128-IF(ISNUMBER(K3128),K3128,0),""),"")</f>
        <v/>
      </c>
    </row>
    <row r="3129" ht="24" customHeight="1" s="63">
      <c r="E3129" s="139" t="n"/>
      <c r="F3129" s="139" t="n"/>
      <c r="G3129" s="140">
        <f>IFERROR(IF(E3129&gt;0,(F3129/E3129)*1000,""),"")</f>
        <v/>
      </c>
      <c r="H3129" s="139">
        <f>IFERROR(IF(E3129&gt;0,E3129*IF(ISNUMBER(J3129),J3129,IF(OR(C3129="Alpha",B3129="Alpha"),$C$7,IF(C3129="Futures",$C$6,$C$5))),""),"")</f>
        <v/>
      </c>
      <c r="I3129" s="139">
        <f>IFERROR(IF(AND(ISNUMBER(F3129),ISNUMBER(H3129)),F3129-H3129,""),"")</f>
        <v/>
      </c>
      <c r="J3129" s="114" t="n"/>
      <c r="K3129" s="139">
        <f>IFERROR(IF(H3129&gt;0,H3129*IF(OR(C3129="Alpha",B3129="Alpha"),$C$9,$C$8),""),"")</f>
        <v/>
      </c>
      <c r="L3129" s="139">
        <f>IFERROR(IF(ISNUMBER(F3129),F3129-IF(ISNUMBER(K3129),K3129,0),""),"")</f>
        <v/>
      </c>
    </row>
    <row r="3130" ht="24" customHeight="1" s="63">
      <c r="E3130" s="139" t="n"/>
      <c r="F3130" s="139" t="n"/>
      <c r="G3130" s="140">
        <f>IFERROR(IF(E3130&gt;0,(F3130/E3130)*1000,""),"")</f>
        <v/>
      </c>
      <c r="H3130" s="139">
        <f>IFERROR(IF(E3130&gt;0,E3130*IF(ISNUMBER(J3130),J3130,IF(OR(C3130="Alpha",B3130="Alpha"),$C$7,IF(C3130="Futures",$C$6,$C$5))),""),"")</f>
        <v/>
      </c>
      <c r="I3130" s="139">
        <f>IFERROR(IF(AND(ISNUMBER(F3130),ISNUMBER(H3130)),F3130-H3130,""),"")</f>
        <v/>
      </c>
      <c r="J3130" s="114" t="n"/>
      <c r="K3130" s="139">
        <f>IFERROR(IF(H3130&gt;0,H3130*IF(OR(C3130="Alpha",B3130="Alpha"),$C$9,$C$8),""),"")</f>
        <v/>
      </c>
      <c r="L3130" s="139">
        <f>IFERROR(IF(ISNUMBER(F3130),F3130-IF(ISNUMBER(K3130),K3130,0),""),"")</f>
        <v/>
      </c>
    </row>
    <row r="3131" ht="24" customHeight="1" s="63">
      <c r="E3131" s="139" t="n"/>
      <c r="F3131" s="139" t="n"/>
      <c r="G3131" s="140">
        <f>IFERROR(IF(E3131&gt;0,(F3131/E3131)*1000,""),"")</f>
        <v/>
      </c>
      <c r="H3131" s="139">
        <f>IFERROR(IF(E3131&gt;0,E3131*IF(ISNUMBER(J3131),J3131,IF(OR(C3131="Alpha",B3131="Alpha"),$C$7,IF(C3131="Futures",$C$6,$C$5))),""),"")</f>
        <v/>
      </c>
      <c r="I3131" s="139">
        <f>IFERROR(IF(AND(ISNUMBER(F3131),ISNUMBER(H3131)),F3131-H3131,""),"")</f>
        <v/>
      </c>
      <c r="J3131" s="114" t="n"/>
      <c r="K3131" s="139">
        <f>IFERROR(IF(H3131&gt;0,H3131*IF(OR(C3131="Alpha",B3131="Alpha"),$C$9,$C$8),""),"")</f>
        <v/>
      </c>
      <c r="L3131" s="139">
        <f>IFERROR(IF(ISNUMBER(F3131),F3131-IF(ISNUMBER(K3131),K3131,0),""),"")</f>
        <v/>
      </c>
    </row>
    <row r="3132" ht="24" customHeight="1" s="63">
      <c r="E3132" s="139" t="n"/>
      <c r="F3132" s="139" t="n"/>
      <c r="G3132" s="140">
        <f>IFERROR(IF(E3132&gt;0,(F3132/E3132)*1000,""),"")</f>
        <v/>
      </c>
      <c r="H3132" s="139">
        <f>IFERROR(IF(E3132&gt;0,E3132*IF(ISNUMBER(J3132),J3132,IF(OR(C3132="Alpha",B3132="Alpha"),$C$7,IF(C3132="Futures",$C$6,$C$5))),""),"")</f>
        <v/>
      </c>
      <c r="I3132" s="139">
        <f>IFERROR(IF(AND(ISNUMBER(F3132),ISNUMBER(H3132)),F3132-H3132,""),"")</f>
        <v/>
      </c>
      <c r="J3132" s="114" t="n"/>
      <c r="K3132" s="139">
        <f>IFERROR(IF(H3132&gt;0,H3132*IF(OR(C3132="Alpha",B3132="Alpha"),$C$9,$C$8),""),"")</f>
        <v/>
      </c>
      <c r="L3132" s="139">
        <f>IFERROR(IF(ISNUMBER(F3132),F3132-IF(ISNUMBER(K3132),K3132,0),""),"")</f>
        <v/>
      </c>
    </row>
    <row r="3133" ht="24" customHeight="1" s="63">
      <c r="E3133" s="139" t="n"/>
      <c r="F3133" s="139" t="n"/>
      <c r="G3133" s="140">
        <f>IFERROR(IF(E3133&gt;0,(F3133/E3133)*1000,""),"")</f>
        <v/>
      </c>
      <c r="H3133" s="139">
        <f>IFERROR(IF(E3133&gt;0,E3133*IF(ISNUMBER(J3133),J3133,IF(OR(C3133="Alpha",B3133="Alpha"),$C$7,IF(C3133="Futures",$C$6,$C$5))),""),"")</f>
        <v/>
      </c>
      <c r="I3133" s="139">
        <f>IFERROR(IF(AND(ISNUMBER(F3133),ISNUMBER(H3133)),F3133-H3133,""),"")</f>
        <v/>
      </c>
      <c r="J3133" s="114" t="n"/>
      <c r="K3133" s="139">
        <f>IFERROR(IF(H3133&gt;0,H3133*IF(OR(C3133="Alpha",B3133="Alpha"),$C$9,$C$8),""),"")</f>
        <v/>
      </c>
      <c r="L3133" s="139">
        <f>IFERROR(IF(ISNUMBER(F3133),F3133-IF(ISNUMBER(K3133),K3133,0),""),"")</f>
        <v/>
      </c>
    </row>
    <row r="3134" ht="24" customHeight="1" s="63">
      <c r="E3134" s="139" t="n"/>
      <c r="F3134" s="139" t="n"/>
      <c r="G3134" s="140">
        <f>IFERROR(IF(E3134&gt;0,(F3134/E3134)*1000,""),"")</f>
        <v/>
      </c>
      <c r="H3134" s="139">
        <f>IFERROR(IF(E3134&gt;0,E3134*IF(ISNUMBER(J3134),J3134,IF(OR(C3134="Alpha",B3134="Alpha"),$C$7,IF(C3134="Futures",$C$6,$C$5))),""),"")</f>
        <v/>
      </c>
      <c r="I3134" s="139">
        <f>IFERROR(IF(AND(ISNUMBER(F3134),ISNUMBER(H3134)),F3134-H3134,""),"")</f>
        <v/>
      </c>
      <c r="J3134" s="114" t="n"/>
      <c r="K3134" s="139">
        <f>IFERROR(IF(H3134&gt;0,H3134*IF(OR(C3134="Alpha",B3134="Alpha"),$C$9,$C$8),""),"")</f>
        <v/>
      </c>
      <c r="L3134" s="139">
        <f>IFERROR(IF(ISNUMBER(F3134),F3134-IF(ISNUMBER(K3134),K3134,0),""),"")</f>
        <v/>
      </c>
    </row>
    <row r="3135" ht="24" customHeight="1" s="63">
      <c r="E3135" s="139" t="n"/>
      <c r="F3135" s="139" t="n"/>
      <c r="G3135" s="140">
        <f>IFERROR(IF(E3135&gt;0,(F3135/E3135)*1000,""),"")</f>
        <v/>
      </c>
      <c r="H3135" s="139">
        <f>IFERROR(IF(E3135&gt;0,E3135*IF(ISNUMBER(J3135),J3135,IF(OR(C3135="Alpha",B3135="Alpha"),$C$7,IF(C3135="Futures",$C$6,$C$5))),""),"")</f>
        <v/>
      </c>
      <c r="I3135" s="139">
        <f>IFERROR(IF(AND(ISNUMBER(F3135),ISNUMBER(H3135)),F3135-H3135,""),"")</f>
        <v/>
      </c>
      <c r="J3135" s="114" t="n"/>
      <c r="K3135" s="139">
        <f>IFERROR(IF(H3135&gt;0,H3135*IF(OR(C3135="Alpha",B3135="Alpha"),$C$9,$C$8),""),"")</f>
        <v/>
      </c>
      <c r="L3135" s="139">
        <f>IFERROR(IF(ISNUMBER(F3135),F3135-IF(ISNUMBER(K3135),K3135,0),""),"")</f>
        <v/>
      </c>
    </row>
    <row r="3136" ht="24" customHeight="1" s="63">
      <c r="E3136" s="139" t="n"/>
      <c r="F3136" s="139" t="n"/>
      <c r="G3136" s="140">
        <f>IFERROR(IF(E3136&gt;0,(F3136/E3136)*1000,""),"")</f>
        <v/>
      </c>
      <c r="H3136" s="139">
        <f>IFERROR(IF(E3136&gt;0,E3136*IF(ISNUMBER(J3136),J3136,IF(OR(C3136="Alpha",B3136="Alpha"),$C$7,IF(C3136="Futures",$C$6,$C$5))),""),"")</f>
        <v/>
      </c>
      <c r="I3136" s="139">
        <f>IFERROR(IF(AND(ISNUMBER(F3136),ISNUMBER(H3136)),F3136-H3136,""),"")</f>
        <v/>
      </c>
      <c r="J3136" s="114" t="n"/>
      <c r="K3136" s="139">
        <f>IFERROR(IF(H3136&gt;0,H3136*IF(OR(C3136="Alpha",B3136="Alpha"),$C$9,$C$8),""),"")</f>
        <v/>
      </c>
      <c r="L3136" s="139">
        <f>IFERROR(IF(ISNUMBER(F3136),F3136-IF(ISNUMBER(K3136),K3136,0),""),"")</f>
        <v/>
      </c>
    </row>
    <row r="3137" ht="24" customHeight="1" s="63">
      <c r="E3137" s="139" t="n"/>
      <c r="F3137" s="139" t="n"/>
      <c r="G3137" s="140">
        <f>IFERROR(IF(E3137&gt;0,(F3137/E3137)*1000,""),"")</f>
        <v/>
      </c>
      <c r="H3137" s="139">
        <f>IFERROR(IF(E3137&gt;0,E3137*IF(ISNUMBER(J3137),J3137,IF(OR(C3137="Alpha",B3137="Alpha"),$C$7,IF(C3137="Futures",$C$6,$C$5))),""),"")</f>
        <v/>
      </c>
      <c r="I3137" s="139">
        <f>IFERROR(IF(AND(ISNUMBER(F3137),ISNUMBER(H3137)),F3137-H3137,""),"")</f>
        <v/>
      </c>
      <c r="J3137" s="114" t="n"/>
      <c r="K3137" s="139">
        <f>IFERROR(IF(H3137&gt;0,H3137*IF(OR(C3137="Alpha",B3137="Alpha"),$C$9,$C$8),""),"")</f>
        <v/>
      </c>
      <c r="L3137" s="139">
        <f>IFERROR(IF(ISNUMBER(F3137),F3137-IF(ISNUMBER(K3137),K3137,0),""),"")</f>
        <v/>
      </c>
    </row>
    <row r="3138" ht="24" customHeight="1" s="63">
      <c r="E3138" s="139" t="n"/>
      <c r="F3138" s="139" t="n"/>
      <c r="G3138" s="140">
        <f>IFERROR(IF(E3138&gt;0,(F3138/E3138)*1000,""),"")</f>
        <v/>
      </c>
      <c r="H3138" s="139">
        <f>IFERROR(IF(E3138&gt;0,E3138*IF(ISNUMBER(J3138),J3138,IF(OR(C3138="Alpha",B3138="Alpha"),$C$7,IF(C3138="Futures",$C$6,$C$5))),""),"")</f>
        <v/>
      </c>
      <c r="I3138" s="139">
        <f>IFERROR(IF(AND(ISNUMBER(F3138),ISNUMBER(H3138)),F3138-H3138,""),"")</f>
        <v/>
      </c>
      <c r="J3138" s="114" t="n"/>
      <c r="K3138" s="139">
        <f>IFERROR(IF(H3138&gt;0,H3138*IF(OR(C3138="Alpha",B3138="Alpha"),$C$9,$C$8),""),"")</f>
        <v/>
      </c>
      <c r="L3138" s="139">
        <f>IFERROR(IF(ISNUMBER(F3138),F3138-IF(ISNUMBER(K3138),K3138,0),""),"")</f>
        <v/>
      </c>
    </row>
    <row r="3139" ht="24" customHeight="1" s="63">
      <c r="E3139" s="139" t="n"/>
      <c r="F3139" s="139" t="n"/>
      <c r="G3139" s="140">
        <f>IFERROR(IF(E3139&gt;0,(F3139/E3139)*1000,""),"")</f>
        <v/>
      </c>
      <c r="H3139" s="139">
        <f>IFERROR(IF(E3139&gt;0,E3139*IF(ISNUMBER(J3139),J3139,IF(OR(C3139="Alpha",B3139="Alpha"),$C$7,IF(C3139="Futures",$C$6,$C$5))),""),"")</f>
        <v/>
      </c>
      <c r="I3139" s="139">
        <f>IFERROR(IF(AND(ISNUMBER(F3139),ISNUMBER(H3139)),F3139-H3139,""),"")</f>
        <v/>
      </c>
      <c r="J3139" s="114" t="n"/>
      <c r="K3139" s="139">
        <f>IFERROR(IF(H3139&gt;0,H3139*IF(OR(C3139="Alpha",B3139="Alpha"),$C$9,$C$8),""),"")</f>
        <v/>
      </c>
      <c r="L3139" s="139">
        <f>IFERROR(IF(ISNUMBER(F3139),F3139-IF(ISNUMBER(K3139),K3139,0),""),"")</f>
        <v/>
      </c>
    </row>
    <row r="3140" ht="24" customHeight="1" s="63">
      <c r="E3140" s="139" t="n"/>
      <c r="F3140" s="139" t="n"/>
      <c r="G3140" s="140">
        <f>IFERROR(IF(E3140&gt;0,(F3140/E3140)*1000,""),"")</f>
        <v/>
      </c>
      <c r="H3140" s="139">
        <f>IFERROR(IF(E3140&gt;0,E3140*IF(ISNUMBER(J3140),J3140,IF(OR(C3140="Alpha",B3140="Alpha"),$C$7,IF(C3140="Futures",$C$6,$C$5))),""),"")</f>
        <v/>
      </c>
      <c r="I3140" s="139">
        <f>IFERROR(IF(AND(ISNUMBER(F3140),ISNUMBER(H3140)),F3140-H3140,""),"")</f>
        <v/>
      </c>
      <c r="J3140" s="114" t="n"/>
      <c r="K3140" s="139">
        <f>IFERROR(IF(H3140&gt;0,H3140*IF(OR(C3140="Alpha",B3140="Alpha"),$C$9,$C$8),""),"")</f>
        <v/>
      </c>
      <c r="L3140" s="139">
        <f>IFERROR(IF(ISNUMBER(F3140),F3140-IF(ISNUMBER(K3140),K3140,0),""),"")</f>
        <v/>
      </c>
    </row>
    <row r="3141" ht="24" customHeight="1" s="63">
      <c r="E3141" s="139" t="n"/>
      <c r="F3141" s="139" t="n"/>
      <c r="G3141" s="140">
        <f>IFERROR(IF(E3141&gt;0,(F3141/E3141)*1000,""),"")</f>
        <v/>
      </c>
      <c r="H3141" s="139">
        <f>IFERROR(IF(E3141&gt;0,E3141*IF(ISNUMBER(J3141),J3141,IF(OR(C3141="Alpha",B3141="Alpha"),$C$7,IF(C3141="Futures",$C$6,$C$5))),""),"")</f>
        <v/>
      </c>
      <c r="I3141" s="139">
        <f>IFERROR(IF(AND(ISNUMBER(F3141),ISNUMBER(H3141)),F3141-H3141,""),"")</f>
        <v/>
      </c>
      <c r="J3141" s="114" t="n"/>
      <c r="K3141" s="139">
        <f>IFERROR(IF(H3141&gt;0,H3141*IF(OR(C3141="Alpha",B3141="Alpha"),$C$9,$C$8),""),"")</f>
        <v/>
      </c>
      <c r="L3141" s="139">
        <f>IFERROR(IF(ISNUMBER(F3141),F3141-IF(ISNUMBER(K3141),K3141,0),""),"")</f>
        <v/>
      </c>
    </row>
    <row r="3142" ht="24" customHeight="1" s="63">
      <c r="E3142" s="139" t="n"/>
      <c r="F3142" s="139" t="n"/>
      <c r="G3142" s="140">
        <f>IFERROR(IF(E3142&gt;0,(F3142/E3142)*1000,""),"")</f>
        <v/>
      </c>
      <c r="H3142" s="139">
        <f>IFERROR(IF(E3142&gt;0,E3142*IF(ISNUMBER(J3142),J3142,IF(OR(C3142="Alpha",B3142="Alpha"),$C$7,IF(C3142="Futures",$C$6,$C$5))),""),"")</f>
        <v/>
      </c>
      <c r="I3142" s="139">
        <f>IFERROR(IF(AND(ISNUMBER(F3142),ISNUMBER(H3142)),F3142-H3142,""),"")</f>
        <v/>
      </c>
      <c r="J3142" s="114" t="n"/>
      <c r="K3142" s="139">
        <f>IFERROR(IF(H3142&gt;0,H3142*IF(OR(C3142="Alpha",B3142="Alpha"),$C$9,$C$8),""),"")</f>
        <v/>
      </c>
      <c r="L3142" s="139">
        <f>IFERROR(IF(ISNUMBER(F3142),F3142-IF(ISNUMBER(K3142),K3142,0),""),"")</f>
        <v/>
      </c>
    </row>
    <row r="3143" ht="24" customHeight="1" s="63">
      <c r="E3143" s="139" t="n"/>
      <c r="F3143" s="139" t="n"/>
      <c r="G3143" s="140">
        <f>IFERROR(IF(E3143&gt;0,(F3143/E3143)*1000,""),"")</f>
        <v/>
      </c>
      <c r="H3143" s="139">
        <f>IFERROR(IF(E3143&gt;0,E3143*IF(ISNUMBER(J3143),J3143,IF(OR(C3143="Alpha",B3143="Alpha"),$C$7,IF(C3143="Futures",$C$6,$C$5))),""),"")</f>
        <v/>
      </c>
      <c r="I3143" s="139">
        <f>IFERROR(IF(AND(ISNUMBER(F3143),ISNUMBER(H3143)),F3143-H3143,""),"")</f>
        <v/>
      </c>
      <c r="J3143" s="114" t="n"/>
      <c r="K3143" s="139">
        <f>IFERROR(IF(H3143&gt;0,H3143*IF(OR(C3143="Alpha",B3143="Alpha"),$C$9,$C$8),""),"")</f>
        <v/>
      </c>
      <c r="L3143" s="139">
        <f>IFERROR(IF(ISNUMBER(F3143),F3143-IF(ISNUMBER(K3143),K3143,0),""),"")</f>
        <v/>
      </c>
    </row>
    <row r="3144" ht="24" customHeight="1" s="63">
      <c r="E3144" s="139" t="n"/>
      <c r="F3144" s="139" t="n"/>
      <c r="G3144" s="140">
        <f>IFERROR(IF(E3144&gt;0,(F3144/E3144)*1000,""),"")</f>
        <v/>
      </c>
      <c r="H3144" s="139">
        <f>IFERROR(IF(E3144&gt;0,E3144*IF(ISNUMBER(J3144),J3144,IF(OR(C3144="Alpha",B3144="Alpha"),$C$7,IF(C3144="Futures",$C$6,$C$5))),""),"")</f>
        <v/>
      </c>
      <c r="I3144" s="139">
        <f>IFERROR(IF(AND(ISNUMBER(F3144),ISNUMBER(H3144)),F3144-H3144,""),"")</f>
        <v/>
      </c>
      <c r="J3144" s="114" t="n"/>
      <c r="K3144" s="139">
        <f>IFERROR(IF(H3144&gt;0,H3144*IF(OR(C3144="Alpha",B3144="Alpha"),$C$9,$C$8),""),"")</f>
        <v/>
      </c>
      <c r="L3144" s="139">
        <f>IFERROR(IF(ISNUMBER(F3144),F3144-IF(ISNUMBER(K3144),K3144,0),""),"")</f>
        <v/>
      </c>
    </row>
    <row r="3145" ht="24" customHeight="1" s="63">
      <c r="E3145" s="139" t="n"/>
      <c r="F3145" s="139" t="n"/>
      <c r="G3145" s="140">
        <f>IFERROR(IF(E3145&gt;0,(F3145/E3145)*1000,""),"")</f>
        <v/>
      </c>
      <c r="H3145" s="139">
        <f>IFERROR(IF(E3145&gt;0,E3145*IF(ISNUMBER(J3145),J3145,IF(OR(C3145="Alpha",B3145="Alpha"),$C$7,IF(C3145="Futures",$C$6,$C$5))),""),"")</f>
        <v/>
      </c>
      <c r="I3145" s="139">
        <f>IFERROR(IF(AND(ISNUMBER(F3145),ISNUMBER(H3145)),F3145-H3145,""),"")</f>
        <v/>
      </c>
      <c r="J3145" s="114" t="n"/>
      <c r="K3145" s="139">
        <f>IFERROR(IF(H3145&gt;0,H3145*IF(OR(C3145="Alpha",B3145="Alpha"),$C$9,$C$8),""),"")</f>
        <v/>
      </c>
      <c r="L3145" s="139">
        <f>IFERROR(IF(ISNUMBER(F3145),F3145-IF(ISNUMBER(K3145),K3145,0),""),"")</f>
        <v/>
      </c>
    </row>
    <row r="3146" ht="24" customHeight="1" s="63">
      <c r="E3146" s="139" t="n"/>
      <c r="F3146" s="139" t="n"/>
      <c r="G3146" s="140">
        <f>IFERROR(IF(E3146&gt;0,(F3146/E3146)*1000,""),"")</f>
        <v/>
      </c>
      <c r="H3146" s="139">
        <f>IFERROR(IF(E3146&gt;0,E3146*IF(ISNUMBER(J3146),J3146,IF(OR(C3146="Alpha",B3146="Alpha"),$C$7,IF(C3146="Futures",$C$6,$C$5))),""),"")</f>
        <v/>
      </c>
      <c r="I3146" s="139">
        <f>IFERROR(IF(AND(ISNUMBER(F3146),ISNUMBER(H3146)),F3146-H3146,""),"")</f>
        <v/>
      </c>
      <c r="J3146" s="114" t="n"/>
      <c r="K3146" s="139">
        <f>IFERROR(IF(H3146&gt;0,H3146*IF(OR(C3146="Alpha",B3146="Alpha"),$C$9,$C$8),""),"")</f>
        <v/>
      </c>
      <c r="L3146" s="139">
        <f>IFERROR(IF(ISNUMBER(F3146),F3146-IF(ISNUMBER(K3146),K3146,0),""),"")</f>
        <v/>
      </c>
    </row>
    <row r="3147" ht="24" customHeight="1" s="63">
      <c r="E3147" s="139" t="n"/>
      <c r="F3147" s="139" t="n"/>
      <c r="G3147" s="140">
        <f>IFERROR(IF(E3147&gt;0,(F3147/E3147)*1000,""),"")</f>
        <v/>
      </c>
      <c r="H3147" s="139">
        <f>IFERROR(IF(E3147&gt;0,E3147*IF(ISNUMBER(J3147),J3147,IF(OR(C3147="Alpha",B3147="Alpha"),$C$7,IF(C3147="Futures",$C$6,$C$5))),""),"")</f>
        <v/>
      </c>
      <c r="I3147" s="139">
        <f>IFERROR(IF(AND(ISNUMBER(F3147),ISNUMBER(H3147)),F3147-H3147,""),"")</f>
        <v/>
      </c>
      <c r="J3147" s="114" t="n"/>
      <c r="K3147" s="139">
        <f>IFERROR(IF(H3147&gt;0,H3147*IF(OR(C3147="Alpha",B3147="Alpha"),$C$9,$C$8),""),"")</f>
        <v/>
      </c>
      <c r="L3147" s="139">
        <f>IFERROR(IF(ISNUMBER(F3147),F3147-IF(ISNUMBER(K3147),K3147,0),""),"")</f>
        <v/>
      </c>
    </row>
    <row r="3148" ht="24" customHeight="1" s="63">
      <c r="E3148" s="139" t="n"/>
      <c r="F3148" s="139" t="n"/>
      <c r="G3148" s="140">
        <f>IFERROR(IF(E3148&gt;0,(F3148/E3148)*1000,""),"")</f>
        <v/>
      </c>
      <c r="H3148" s="139">
        <f>IFERROR(IF(E3148&gt;0,E3148*IF(ISNUMBER(J3148),J3148,IF(OR(C3148="Alpha",B3148="Alpha"),$C$7,IF(C3148="Futures",$C$6,$C$5))),""),"")</f>
        <v/>
      </c>
      <c r="I3148" s="139">
        <f>IFERROR(IF(AND(ISNUMBER(F3148),ISNUMBER(H3148)),F3148-H3148,""),"")</f>
        <v/>
      </c>
      <c r="J3148" s="114" t="n"/>
      <c r="K3148" s="139">
        <f>IFERROR(IF(H3148&gt;0,H3148*IF(OR(C3148="Alpha",B3148="Alpha"),$C$9,$C$8),""),"")</f>
        <v/>
      </c>
      <c r="L3148" s="139">
        <f>IFERROR(IF(ISNUMBER(F3148),F3148-IF(ISNUMBER(K3148),K3148,0),""),"")</f>
        <v/>
      </c>
    </row>
    <row r="3149" ht="24" customHeight="1" s="63">
      <c r="E3149" s="139" t="n"/>
      <c r="F3149" s="139" t="n"/>
      <c r="G3149" s="140">
        <f>IFERROR(IF(E3149&gt;0,(F3149/E3149)*1000,""),"")</f>
        <v/>
      </c>
      <c r="H3149" s="139">
        <f>IFERROR(IF(E3149&gt;0,E3149*IF(ISNUMBER(J3149),J3149,IF(OR(C3149="Alpha",B3149="Alpha"),$C$7,IF(C3149="Futures",$C$6,$C$5))),""),"")</f>
        <v/>
      </c>
      <c r="I3149" s="139">
        <f>IFERROR(IF(AND(ISNUMBER(F3149),ISNUMBER(H3149)),F3149-H3149,""),"")</f>
        <v/>
      </c>
      <c r="J3149" s="114" t="n"/>
      <c r="K3149" s="139">
        <f>IFERROR(IF(H3149&gt;0,H3149*IF(OR(C3149="Alpha",B3149="Alpha"),$C$9,$C$8),""),"")</f>
        <v/>
      </c>
      <c r="L3149" s="139">
        <f>IFERROR(IF(ISNUMBER(F3149),F3149-IF(ISNUMBER(K3149),K3149,0),""),"")</f>
        <v/>
      </c>
    </row>
    <row r="3150" ht="24" customHeight="1" s="63">
      <c r="E3150" s="139" t="n"/>
      <c r="F3150" s="139" t="n"/>
      <c r="G3150" s="140">
        <f>IFERROR(IF(E3150&gt;0,(F3150/E3150)*1000,""),"")</f>
        <v/>
      </c>
      <c r="H3150" s="139">
        <f>IFERROR(IF(E3150&gt;0,E3150*IF(ISNUMBER(J3150),J3150,IF(OR(C3150="Alpha",B3150="Alpha"),$C$7,IF(C3150="Futures",$C$6,$C$5))),""),"")</f>
        <v/>
      </c>
      <c r="I3150" s="139">
        <f>IFERROR(IF(AND(ISNUMBER(F3150),ISNUMBER(H3150)),F3150-H3150,""),"")</f>
        <v/>
      </c>
      <c r="J3150" s="114" t="n"/>
      <c r="K3150" s="139">
        <f>IFERROR(IF(H3150&gt;0,H3150*IF(OR(C3150="Alpha",B3150="Alpha"),$C$9,$C$8),""),"")</f>
        <v/>
      </c>
      <c r="L3150" s="139">
        <f>IFERROR(IF(ISNUMBER(F3150),F3150-IF(ISNUMBER(K3150),K3150,0),""),"")</f>
        <v/>
      </c>
    </row>
    <row r="3151" ht="24" customHeight="1" s="63">
      <c r="E3151" s="139" t="n"/>
      <c r="F3151" s="139" t="n"/>
      <c r="G3151" s="140">
        <f>IFERROR(IF(E3151&gt;0,(F3151/E3151)*1000,""),"")</f>
        <v/>
      </c>
      <c r="H3151" s="139">
        <f>IFERROR(IF(E3151&gt;0,E3151*IF(ISNUMBER(J3151),J3151,IF(OR(C3151="Alpha",B3151="Alpha"),$C$7,IF(C3151="Futures",$C$6,$C$5))),""),"")</f>
        <v/>
      </c>
      <c r="I3151" s="139">
        <f>IFERROR(IF(AND(ISNUMBER(F3151),ISNUMBER(H3151)),F3151-H3151,""),"")</f>
        <v/>
      </c>
      <c r="J3151" s="114" t="n"/>
      <c r="K3151" s="139">
        <f>IFERROR(IF(H3151&gt;0,H3151*IF(OR(C3151="Alpha",B3151="Alpha"),$C$9,$C$8),""),"")</f>
        <v/>
      </c>
      <c r="L3151" s="139">
        <f>IFERROR(IF(ISNUMBER(F3151),F3151-IF(ISNUMBER(K3151),K3151,0),""),"")</f>
        <v/>
      </c>
    </row>
    <row r="3152" ht="24" customHeight="1" s="63">
      <c r="E3152" s="139" t="n"/>
      <c r="F3152" s="139" t="n"/>
      <c r="G3152" s="140">
        <f>IFERROR(IF(E3152&gt;0,(F3152/E3152)*1000,""),"")</f>
        <v/>
      </c>
      <c r="H3152" s="139">
        <f>IFERROR(IF(E3152&gt;0,E3152*IF(ISNUMBER(J3152),J3152,IF(OR(C3152="Alpha",B3152="Alpha"),$C$7,IF(C3152="Futures",$C$6,$C$5))),""),"")</f>
        <v/>
      </c>
      <c r="I3152" s="139">
        <f>IFERROR(IF(AND(ISNUMBER(F3152),ISNUMBER(H3152)),F3152-H3152,""),"")</f>
        <v/>
      </c>
      <c r="J3152" s="114" t="n"/>
      <c r="K3152" s="139">
        <f>IFERROR(IF(H3152&gt;0,H3152*IF(OR(C3152="Alpha",B3152="Alpha"),$C$9,$C$8),""),"")</f>
        <v/>
      </c>
      <c r="L3152" s="139">
        <f>IFERROR(IF(ISNUMBER(F3152),F3152-IF(ISNUMBER(K3152),K3152,0),""),"")</f>
        <v/>
      </c>
    </row>
    <row r="3153" ht="24" customHeight="1" s="63">
      <c r="E3153" s="139" t="n"/>
      <c r="F3153" s="139" t="n"/>
      <c r="G3153" s="140">
        <f>IFERROR(IF(E3153&gt;0,(F3153/E3153)*1000,""),"")</f>
        <v/>
      </c>
      <c r="H3153" s="139">
        <f>IFERROR(IF(E3153&gt;0,E3153*IF(ISNUMBER(J3153),J3153,IF(OR(C3153="Alpha",B3153="Alpha"),$C$7,IF(C3153="Futures",$C$6,$C$5))),""),"")</f>
        <v/>
      </c>
      <c r="I3153" s="139">
        <f>IFERROR(IF(AND(ISNUMBER(F3153),ISNUMBER(H3153)),F3153-H3153,""),"")</f>
        <v/>
      </c>
      <c r="J3153" s="114" t="n"/>
      <c r="K3153" s="139">
        <f>IFERROR(IF(H3153&gt;0,H3153*IF(OR(C3153="Alpha",B3153="Alpha"),$C$9,$C$8),""),"")</f>
        <v/>
      </c>
      <c r="L3153" s="139">
        <f>IFERROR(IF(ISNUMBER(F3153),F3153-IF(ISNUMBER(K3153),K3153,0),""),"")</f>
        <v/>
      </c>
    </row>
    <row r="3154" ht="24" customHeight="1" s="63">
      <c r="E3154" s="139" t="n"/>
      <c r="F3154" s="139" t="n"/>
      <c r="G3154" s="140">
        <f>IFERROR(IF(E3154&gt;0,(F3154/E3154)*1000,""),"")</f>
        <v/>
      </c>
      <c r="H3154" s="139">
        <f>IFERROR(IF(E3154&gt;0,E3154*IF(ISNUMBER(J3154),J3154,IF(OR(C3154="Alpha",B3154="Alpha"),$C$7,IF(C3154="Futures",$C$6,$C$5))),""),"")</f>
        <v/>
      </c>
      <c r="I3154" s="139">
        <f>IFERROR(IF(AND(ISNUMBER(F3154),ISNUMBER(H3154)),F3154-H3154,""),"")</f>
        <v/>
      </c>
      <c r="J3154" s="114" t="n"/>
      <c r="K3154" s="139">
        <f>IFERROR(IF(H3154&gt;0,H3154*IF(OR(C3154="Alpha",B3154="Alpha"),$C$9,$C$8),""),"")</f>
        <v/>
      </c>
      <c r="L3154" s="139">
        <f>IFERROR(IF(ISNUMBER(F3154),F3154-IF(ISNUMBER(K3154),K3154,0),""),"")</f>
        <v/>
      </c>
    </row>
    <row r="3155" ht="24" customHeight="1" s="63">
      <c r="E3155" s="139" t="n"/>
      <c r="F3155" s="139" t="n"/>
      <c r="G3155" s="140">
        <f>IFERROR(IF(E3155&gt;0,(F3155/E3155)*1000,""),"")</f>
        <v/>
      </c>
      <c r="H3155" s="139">
        <f>IFERROR(IF(E3155&gt;0,E3155*IF(ISNUMBER(J3155),J3155,IF(OR(C3155="Alpha",B3155="Alpha"),$C$7,IF(C3155="Futures",$C$6,$C$5))),""),"")</f>
        <v/>
      </c>
      <c r="I3155" s="139">
        <f>IFERROR(IF(AND(ISNUMBER(F3155),ISNUMBER(H3155)),F3155-H3155,""),"")</f>
        <v/>
      </c>
      <c r="J3155" s="114" t="n"/>
      <c r="K3155" s="139">
        <f>IFERROR(IF(H3155&gt;0,H3155*IF(OR(C3155="Alpha",B3155="Alpha"),$C$9,$C$8),""),"")</f>
        <v/>
      </c>
      <c r="L3155" s="139">
        <f>IFERROR(IF(ISNUMBER(F3155),F3155-IF(ISNUMBER(K3155),K3155,0),""),"")</f>
        <v/>
      </c>
    </row>
    <row r="3156" ht="24" customHeight="1" s="63">
      <c r="E3156" s="139" t="n"/>
      <c r="F3156" s="139" t="n"/>
      <c r="G3156" s="140">
        <f>IFERROR(IF(E3156&gt;0,(F3156/E3156)*1000,""),"")</f>
        <v/>
      </c>
      <c r="H3156" s="139">
        <f>IFERROR(IF(E3156&gt;0,E3156*IF(ISNUMBER(J3156),J3156,IF(OR(C3156="Alpha",B3156="Alpha"),$C$7,IF(C3156="Futures",$C$6,$C$5))),""),"")</f>
        <v/>
      </c>
      <c r="I3156" s="139">
        <f>IFERROR(IF(AND(ISNUMBER(F3156),ISNUMBER(H3156)),F3156-H3156,""),"")</f>
        <v/>
      </c>
      <c r="J3156" s="114" t="n"/>
      <c r="K3156" s="139">
        <f>IFERROR(IF(H3156&gt;0,H3156*IF(OR(C3156="Alpha",B3156="Alpha"),$C$9,$C$8),""),"")</f>
        <v/>
      </c>
      <c r="L3156" s="139">
        <f>IFERROR(IF(ISNUMBER(F3156),F3156-IF(ISNUMBER(K3156),K3156,0),""),"")</f>
        <v/>
      </c>
    </row>
    <row r="3157" ht="24" customHeight="1" s="63">
      <c r="E3157" s="139" t="n"/>
      <c r="F3157" s="139" t="n"/>
      <c r="G3157" s="140">
        <f>IFERROR(IF(E3157&gt;0,(F3157/E3157)*1000,""),"")</f>
        <v/>
      </c>
      <c r="H3157" s="139">
        <f>IFERROR(IF(E3157&gt;0,E3157*IF(ISNUMBER(J3157),J3157,IF(OR(C3157="Alpha",B3157="Alpha"),$C$7,IF(C3157="Futures",$C$6,$C$5))),""),"")</f>
        <v/>
      </c>
      <c r="I3157" s="139">
        <f>IFERROR(IF(AND(ISNUMBER(F3157),ISNUMBER(H3157)),F3157-H3157,""),"")</f>
        <v/>
      </c>
      <c r="J3157" s="114" t="n"/>
      <c r="K3157" s="139">
        <f>IFERROR(IF(H3157&gt;0,H3157*IF(OR(C3157="Alpha",B3157="Alpha"),$C$9,$C$8),""),"")</f>
        <v/>
      </c>
      <c r="L3157" s="139">
        <f>IFERROR(IF(ISNUMBER(F3157),F3157-IF(ISNUMBER(K3157),K3157,0),""),"")</f>
        <v/>
      </c>
    </row>
    <row r="3158" ht="24" customHeight="1" s="63">
      <c r="E3158" s="139" t="n"/>
      <c r="F3158" s="139" t="n"/>
      <c r="G3158" s="140">
        <f>IFERROR(IF(E3158&gt;0,(F3158/E3158)*1000,""),"")</f>
        <v/>
      </c>
      <c r="H3158" s="139">
        <f>IFERROR(IF(E3158&gt;0,E3158*IF(ISNUMBER(J3158),J3158,IF(OR(C3158="Alpha",B3158="Alpha"),$C$7,IF(C3158="Futures",$C$6,$C$5))),""),"")</f>
        <v/>
      </c>
      <c r="I3158" s="139">
        <f>IFERROR(IF(AND(ISNUMBER(F3158),ISNUMBER(H3158)),F3158-H3158,""),"")</f>
        <v/>
      </c>
      <c r="J3158" s="114" t="n"/>
      <c r="K3158" s="139">
        <f>IFERROR(IF(H3158&gt;0,H3158*IF(OR(C3158="Alpha",B3158="Alpha"),$C$9,$C$8),""),"")</f>
        <v/>
      </c>
      <c r="L3158" s="139">
        <f>IFERROR(IF(ISNUMBER(F3158),F3158-IF(ISNUMBER(K3158),K3158,0),""),"")</f>
        <v/>
      </c>
    </row>
    <row r="3159" ht="24" customHeight="1" s="63">
      <c r="E3159" s="139" t="n"/>
      <c r="F3159" s="139" t="n"/>
      <c r="G3159" s="140">
        <f>IFERROR(IF(E3159&gt;0,(F3159/E3159)*1000,""),"")</f>
        <v/>
      </c>
      <c r="H3159" s="139">
        <f>IFERROR(IF(E3159&gt;0,E3159*IF(ISNUMBER(J3159),J3159,IF(OR(C3159="Alpha",B3159="Alpha"),$C$7,IF(C3159="Futures",$C$6,$C$5))),""),"")</f>
        <v/>
      </c>
      <c r="I3159" s="139">
        <f>IFERROR(IF(AND(ISNUMBER(F3159),ISNUMBER(H3159)),F3159-H3159,""),"")</f>
        <v/>
      </c>
      <c r="J3159" s="114" t="n"/>
      <c r="K3159" s="139">
        <f>IFERROR(IF(H3159&gt;0,H3159*IF(OR(C3159="Alpha",B3159="Alpha"),$C$9,$C$8),""),"")</f>
        <v/>
      </c>
      <c r="L3159" s="139">
        <f>IFERROR(IF(ISNUMBER(F3159),F3159-IF(ISNUMBER(K3159),K3159,0),""),"")</f>
        <v/>
      </c>
    </row>
    <row r="3160" ht="24" customHeight="1" s="63">
      <c r="E3160" s="139" t="n"/>
      <c r="F3160" s="139" t="n"/>
      <c r="G3160" s="140">
        <f>IFERROR(IF(E3160&gt;0,(F3160/E3160)*1000,""),"")</f>
        <v/>
      </c>
      <c r="H3160" s="139">
        <f>IFERROR(IF(E3160&gt;0,E3160*IF(ISNUMBER(J3160),J3160,IF(OR(C3160="Alpha",B3160="Alpha"),$C$7,IF(C3160="Futures",$C$6,$C$5))),""),"")</f>
        <v/>
      </c>
      <c r="I3160" s="139">
        <f>IFERROR(IF(AND(ISNUMBER(F3160),ISNUMBER(H3160)),F3160-H3160,""),"")</f>
        <v/>
      </c>
      <c r="J3160" s="114" t="n"/>
      <c r="K3160" s="139">
        <f>IFERROR(IF(H3160&gt;0,H3160*IF(OR(C3160="Alpha",B3160="Alpha"),$C$9,$C$8),""),"")</f>
        <v/>
      </c>
      <c r="L3160" s="139">
        <f>IFERROR(IF(ISNUMBER(F3160),F3160-IF(ISNUMBER(K3160),K3160,0),""),"")</f>
        <v/>
      </c>
    </row>
    <row r="3161" ht="24" customHeight="1" s="63">
      <c r="E3161" s="139" t="n"/>
      <c r="F3161" s="139" t="n"/>
      <c r="G3161" s="140">
        <f>IFERROR(IF(E3161&gt;0,(F3161/E3161)*1000,""),"")</f>
        <v/>
      </c>
      <c r="H3161" s="139">
        <f>IFERROR(IF(E3161&gt;0,E3161*IF(ISNUMBER(J3161),J3161,IF(OR(C3161="Alpha",B3161="Alpha"),$C$7,IF(C3161="Futures",$C$6,$C$5))),""),"")</f>
        <v/>
      </c>
      <c r="I3161" s="139">
        <f>IFERROR(IF(AND(ISNUMBER(F3161),ISNUMBER(H3161)),F3161-H3161,""),"")</f>
        <v/>
      </c>
      <c r="J3161" s="114" t="n"/>
      <c r="K3161" s="139">
        <f>IFERROR(IF(H3161&gt;0,H3161*IF(OR(C3161="Alpha",B3161="Alpha"),$C$9,$C$8),""),"")</f>
        <v/>
      </c>
      <c r="L3161" s="139">
        <f>IFERROR(IF(ISNUMBER(F3161),F3161-IF(ISNUMBER(K3161),K3161,0),""),"")</f>
        <v/>
      </c>
    </row>
    <row r="3162" ht="24" customHeight="1" s="63">
      <c r="E3162" s="139" t="n"/>
      <c r="F3162" s="139" t="n"/>
      <c r="G3162" s="140">
        <f>IFERROR(IF(E3162&gt;0,(F3162/E3162)*1000,""),"")</f>
        <v/>
      </c>
      <c r="H3162" s="139">
        <f>IFERROR(IF(E3162&gt;0,E3162*IF(ISNUMBER(J3162),J3162,IF(OR(C3162="Alpha",B3162="Alpha"),$C$7,IF(C3162="Futures",$C$6,$C$5))),""),"")</f>
        <v/>
      </c>
      <c r="I3162" s="139">
        <f>IFERROR(IF(AND(ISNUMBER(F3162),ISNUMBER(H3162)),F3162-H3162,""),"")</f>
        <v/>
      </c>
      <c r="J3162" s="114" t="n"/>
      <c r="K3162" s="139">
        <f>IFERROR(IF(H3162&gt;0,H3162*IF(OR(C3162="Alpha",B3162="Alpha"),$C$9,$C$8),""),"")</f>
        <v/>
      </c>
      <c r="L3162" s="139">
        <f>IFERROR(IF(ISNUMBER(F3162),F3162-IF(ISNUMBER(K3162),K3162,0),""),"")</f>
        <v/>
      </c>
    </row>
    <row r="3163" ht="24" customHeight="1" s="63">
      <c r="E3163" s="139" t="n"/>
      <c r="F3163" s="139" t="n"/>
      <c r="G3163" s="140">
        <f>IFERROR(IF(E3163&gt;0,(F3163/E3163)*1000,""),"")</f>
        <v/>
      </c>
      <c r="H3163" s="139">
        <f>IFERROR(IF(E3163&gt;0,E3163*IF(ISNUMBER(J3163),J3163,IF(OR(C3163="Alpha",B3163="Alpha"),$C$7,IF(C3163="Futures",$C$6,$C$5))),""),"")</f>
        <v/>
      </c>
      <c r="I3163" s="139">
        <f>IFERROR(IF(AND(ISNUMBER(F3163),ISNUMBER(H3163)),F3163-H3163,""),"")</f>
        <v/>
      </c>
      <c r="J3163" s="114" t="n"/>
      <c r="K3163" s="139">
        <f>IFERROR(IF(H3163&gt;0,H3163*IF(OR(C3163="Alpha",B3163="Alpha"),$C$9,$C$8),""),"")</f>
        <v/>
      </c>
      <c r="L3163" s="139">
        <f>IFERROR(IF(ISNUMBER(F3163),F3163-IF(ISNUMBER(K3163),K3163,0),""),"")</f>
        <v/>
      </c>
    </row>
    <row r="3164" ht="24" customHeight="1" s="63">
      <c r="E3164" s="139" t="n"/>
      <c r="F3164" s="139" t="n"/>
      <c r="G3164" s="140">
        <f>IFERROR(IF(E3164&gt;0,(F3164/E3164)*1000,""),"")</f>
        <v/>
      </c>
      <c r="H3164" s="139">
        <f>IFERROR(IF(E3164&gt;0,E3164*IF(ISNUMBER(J3164),J3164,IF(OR(C3164="Alpha",B3164="Alpha"),$C$7,IF(C3164="Futures",$C$6,$C$5))),""),"")</f>
        <v/>
      </c>
      <c r="I3164" s="139">
        <f>IFERROR(IF(AND(ISNUMBER(F3164),ISNUMBER(H3164)),F3164-H3164,""),"")</f>
        <v/>
      </c>
      <c r="J3164" s="114" t="n"/>
      <c r="K3164" s="139">
        <f>IFERROR(IF(H3164&gt;0,H3164*IF(OR(C3164="Alpha",B3164="Alpha"),$C$9,$C$8),""),"")</f>
        <v/>
      </c>
      <c r="L3164" s="139">
        <f>IFERROR(IF(ISNUMBER(F3164),F3164-IF(ISNUMBER(K3164),K3164,0),""),"")</f>
        <v/>
      </c>
    </row>
    <row r="3165" ht="24" customHeight="1" s="63">
      <c r="E3165" s="139" t="n"/>
      <c r="F3165" s="139" t="n"/>
      <c r="G3165" s="140">
        <f>IFERROR(IF(E3165&gt;0,(F3165/E3165)*1000,""),"")</f>
        <v/>
      </c>
      <c r="H3165" s="139">
        <f>IFERROR(IF(E3165&gt;0,E3165*IF(ISNUMBER(J3165),J3165,IF(OR(C3165="Alpha",B3165="Alpha"),$C$7,IF(C3165="Futures",$C$6,$C$5))),""),"")</f>
        <v/>
      </c>
      <c r="I3165" s="139">
        <f>IFERROR(IF(AND(ISNUMBER(F3165),ISNUMBER(H3165)),F3165-H3165,""),"")</f>
        <v/>
      </c>
      <c r="J3165" s="114" t="n"/>
      <c r="K3165" s="139">
        <f>IFERROR(IF(H3165&gt;0,H3165*IF(OR(C3165="Alpha",B3165="Alpha"),$C$9,$C$8),""),"")</f>
        <v/>
      </c>
      <c r="L3165" s="139">
        <f>IFERROR(IF(ISNUMBER(F3165),F3165-IF(ISNUMBER(K3165),K3165,0),""),"")</f>
        <v/>
      </c>
    </row>
    <row r="3166" ht="24" customHeight="1" s="63">
      <c r="E3166" s="139" t="n"/>
      <c r="F3166" s="139" t="n"/>
      <c r="G3166" s="140">
        <f>IFERROR(IF(E3166&gt;0,(F3166/E3166)*1000,""),"")</f>
        <v/>
      </c>
      <c r="H3166" s="139">
        <f>IFERROR(IF(E3166&gt;0,E3166*IF(ISNUMBER(J3166),J3166,IF(OR(C3166="Alpha",B3166="Alpha"),$C$7,IF(C3166="Futures",$C$6,$C$5))),""),"")</f>
        <v/>
      </c>
      <c r="I3166" s="139">
        <f>IFERROR(IF(AND(ISNUMBER(F3166),ISNUMBER(H3166)),F3166-H3166,""),"")</f>
        <v/>
      </c>
      <c r="J3166" s="114" t="n"/>
      <c r="K3166" s="139">
        <f>IFERROR(IF(H3166&gt;0,H3166*IF(OR(C3166="Alpha",B3166="Alpha"),$C$9,$C$8),""),"")</f>
        <v/>
      </c>
      <c r="L3166" s="139">
        <f>IFERROR(IF(ISNUMBER(F3166),F3166-IF(ISNUMBER(K3166),K3166,0),""),"")</f>
        <v/>
      </c>
    </row>
    <row r="3167" ht="24" customHeight="1" s="63">
      <c r="E3167" s="139" t="n"/>
      <c r="F3167" s="139" t="n"/>
      <c r="G3167" s="140">
        <f>IFERROR(IF(E3167&gt;0,(F3167/E3167)*1000,""),"")</f>
        <v/>
      </c>
      <c r="H3167" s="139">
        <f>IFERROR(IF(E3167&gt;0,E3167*IF(ISNUMBER(J3167),J3167,IF(OR(C3167="Alpha",B3167="Alpha"),$C$7,IF(C3167="Futures",$C$6,$C$5))),""),"")</f>
        <v/>
      </c>
      <c r="I3167" s="139">
        <f>IFERROR(IF(AND(ISNUMBER(F3167),ISNUMBER(H3167)),F3167-H3167,""),"")</f>
        <v/>
      </c>
      <c r="J3167" s="114" t="n"/>
      <c r="K3167" s="139">
        <f>IFERROR(IF(H3167&gt;0,H3167*IF(OR(C3167="Alpha",B3167="Alpha"),$C$9,$C$8),""),"")</f>
        <v/>
      </c>
      <c r="L3167" s="139">
        <f>IFERROR(IF(ISNUMBER(F3167),F3167-IF(ISNUMBER(K3167),K3167,0),""),"")</f>
        <v/>
      </c>
    </row>
    <row r="3168" ht="24" customHeight="1" s="63">
      <c r="E3168" s="139" t="n"/>
      <c r="F3168" s="139" t="n"/>
      <c r="G3168" s="140">
        <f>IFERROR(IF(E3168&gt;0,(F3168/E3168)*1000,""),"")</f>
        <v/>
      </c>
      <c r="H3168" s="139">
        <f>IFERROR(IF(E3168&gt;0,E3168*IF(ISNUMBER(J3168),J3168,IF(OR(C3168="Alpha",B3168="Alpha"),$C$7,IF(C3168="Futures",$C$6,$C$5))),""),"")</f>
        <v/>
      </c>
      <c r="I3168" s="139">
        <f>IFERROR(IF(AND(ISNUMBER(F3168),ISNUMBER(H3168)),F3168-H3168,""),"")</f>
        <v/>
      </c>
      <c r="J3168" s="114" t="n"/>
      <c r="K3168" s="139">
        <f>IFERROR(IF(H3168&gt;0,H3168*IF(OR(C3168="Alpha",B3168="Alpha"),$C$9,$C$8),""),"")</f>
        <v/>
      </c>
      <c r="L3168" s="139">
        <f>IFERROR(IF(ISNUMBER(F3168),F3168-IF(ISNUMBER(K3168),K3168,0),""),"")</f>
        <v/>
      </c>
    </row>
    <row r="3169" ht="24" customHeight="1" s="63">
      <c r="E3169" s="139" t="n"/>
      <c r="F3169" s="139" t="n"/>
      <c r="G3169" s="140">
        <f>IFERROR(IF(E3169&gt;0,(F3169/E3169)*1000,""),"")</f>
        <v/>
      </c>
      <c r="H3169" s="139">
        <f>IFERROR(IF(E3169&gt;0,E3169*IF(ISNUMBER(J3169),J3169,IF(OR(C3169="Alpha",B3169="Alpha"),$C$7,IF(C3169="Futures",$C$6,$C$5))),""),"")</f>
        <v/>
      </c>
      <c r="I3169" s="139">
        <f>IFERROR(IF(AND(ISNUMBER(F3169),ISNUMBER(H3169)),F3169-H3169,""),"")</f>
        <v/>
      </c>
      <c r="J3169" s="114" t="n"/>
      <c r="K3169" s="139">
        <f>IFERROR(IF(H3169&gt;0,H3169*IF(OR(C3169="Alpha",B3169="Alpha"),$C$9,$C$8),""),"")</f>
        <v/>
      </c>
      <c r="L3169" s="139">
        <f>IFERROR(IF(ISNUMBER(F3169),F3169-IF(ISNUMBER(K3169),K3169,0),""),"")</f>
        <v/>
      </c>
    </row>
    <row r="3170" ht="24" customHeight="1" s="63">
      <c r="E3170" s="139" t="n"/>
      <c r="F3170" s="139" t="n"/>
      <c r="G3170" s="140">
        <f>IFERROR(IF(E3170&gt;0,(F3170/E3170)*1000,""),"")</f>
        <v/>
      </c>
      <c r="H3170" s="139">
        <f>IFERROR(IF(E3170&gt;0,E3170*IF(ISNUMBER(J3170),J3170,IF(OR(C3170="Alpha",B3170="Alpha"),$C$7,IF(C3170="Futures",$C$6,$C$5))),""),"")</f>
        <v/>
      </c>
      <c r="I3170" s="139">
        <f>IFERROR(IF(AND(ISNUMBER(F3170),ISNUMBER(H3170)),F3170-H3170,""),"")</f>
        <v/>
      </c>
      <c r="J3170" s="114" t="n"/>
      <c r="K3170" s="139">
        <f>IFERROR(IF(H3170&gt;0,H3170*IF(OR(C3170="Alpha",B3170="Alpha"),$C$9,$C$8),""),"")</f>
        <v/>
      </c>
      <c r="L3170" s="139">
        <f>IFERROR(IF(ISNUMBER(F3170),F3170-IF(ISNUMBER(K3170),K3170,0),""),"")</f>
        <v/>
      </c>
    </row>
    <row r="3171" ht="24" customHeight="1" s="63">
      <c r="E3171" s="139" t="n"/>
      <c r="F3171" s="139" t="n"/>
      <c r="G3171" s="140">
        <f>IFERROR(IF(E3171&gt;0,(F3171/E3171)*1000,""),"")</f>
        <v/>
      </c>
      <c r="H3171" s="139">
        <f>IFERROR(IF(E3171&gt;0,E3171*IF(ISNUMBER(J3171),J3171,IF(OR(C3171="Alpha",B3171="Alpha"),$C$7,IF(C3171="Futures",$C$6,$C$5))),""),"")</f>
        <v/>
      </c>
      <c r="I3171" s="139">
        <f>IFERROR(IF(AND(ISNUMBER(F3171),ISNUMBER(H3171)),F3171-H3171,""),"")</f>
        <v/>
      </c>
      <c r="J3171" s="114" t="n"/>
      <c r="K3171" s="139">
        <f>IFERROR(IF(H3171&gt;0,H3171*IF(OR(C3171="Alpha",B3171="Alpha"),$C$9,$C$8),""),"")</f>
        <v/>
      </c>
      <c r="L3171" s="139">
        <f>IFERROR(IF(ISNUMBER(F3171),F3171-IF(ISNUMBER(K3171),K3171,0),""),"")</f>
        <v/>
      </c>
    </row>
    <row r="3172" ht="24" customHeight="1" s="63">
      <c r="E3172" s="139" t="n"/>
      <c r="F3172" s="139" t="n"/>
      <c r="G3172" s="140">
        <f>IFERROR(IF(E3172&gt;0,(F3172/E3172)*1000,""),"")</f>
        <v/>
      </c>
      <c r="H3172" s="139">
        <f>IFERROR(IF(E3172&gt;0,E3172*IF(ISNUMBER(J3172),J3172,IF(OR(C3172="Alpha",B3172="Alpha"),$C$7,IF(C3172="Futures",$C$6,$C$5))),""),"")</f>
        <v/>
      </c>
      <c r="I3172" s="139">
        <f>IFERROR(IF(AND(ISNUMBER(F3172),ISNUMBER(H3172)),F3172-H3172,""),"")</f>
        <v/>
      </c>
      <c r="J3172" s="114" t="n"/>
      <c r="K3172" s="139">
        <f>IFERROR(IF(H3172&gt;0,H3172*IF(OR(C3172="Alpha",B3172="Alpha"),$C$9,$C$8),""),"")</f>
        <v/>
      </c>
      <c r="L3172" s="139">
        <f>IFERROR(IF(ISNUMBER(F3172),F3172-IF(ISNUMBER(K3172),K3172,0),""),"")</f>
        <v/>
      </c>
    </row>
    <row r="3173" ht="24" customHeight="1" s="63">
      <c r="E3173" s="139" t="n"/>
      <c r="F3173" s="139" t="n"/>
      <c r="G3173" s="140">
        <f>IFERROR(IF(E3173&gt;0,(F3173/E3173)*1000,""),"")</f>
        <v/>
      </c>
      <c r="H3173" s="139">
        <f>IFERROR(IF(E3173&gt;0,E3173*IF(ISNUMBER(J3173),J3173,IF(OR(C3173="Alpha",B3173="Alpha"),$C$7,IF(C3173="Futures",$C$6,$C$5))),""),"")</f>
        <v/>
      </c>
      <c r="I3173" s="139">
        <f>IFERROR(IF(AND(ISNUMBER(F3173),ISNUMBER(H3173)),F3173-H3173,""),"")</f>
        <v/>
      </c>
      <c r="J3173" s="114" t="n"/>
      <c r="K3173" s="139">
        <f>IFERROR(IF(H3173&gt;0,H3173*IF(OR(C3173="Alpha",B3173="Alpha"),$C$9,$C$8),""),"")</f>
        <v/>
      </c>
      <c r="L3173" s="139">
        <f>IFERROR(IF(ISNUMBER(F3173),F3173-IF(ISNUMBER(K3173),K3173,0),""),"")</f>
        <v/>
      </c>
    </row>
    <row r="3174" ht="24" customHeight="1" s="63">
      <c r="E3174" s="139" t="n"/>
      <c r="F3174" s="139" t="n"/>
      <c r="G3174" s="140">
        <f>IFERROR(IF(E3174&gt;0,(F3174/E3174)*1000,""),"")</f>
        <v/>
      </c>
      <c r="H3174" s="139">
        <f>IFERROR(IF(E3174&gt;0,E3174*IF(ISNUMBER(J3174),J3174,IF(OR(C3174="Alpha",B3174="Alpha"),$C$7,IF(C3174="Futures",$C$6,$C$5))),""),"")</f>
        <v/>
      </c>
      <c r="I3174" s="139">
        <f>IFERROR(IF(AND(ISNUMBER(F3174),ISNUMBER(H3174)),F3174-H3174,""),"")</f>
        <v/>
      </c>
      <c r="J3174" s="114" t="n"/>
      <c r="K3174" s="139">
        <f>IFERROR(IF(H3174&gt;0,H3174*IF(OR(C3174="Alpha",B3174="Alpha"),$C$9,$C$8),""),"")</f>
        <v/>
      </c>
      <c r="L3174" s="139">
        <f>IFERROR(IF(ISNUMBER(F3174),F3174-IF(ISNUMBER(K3174),K3174,0),""),"")</f>
        <v/>
      </c>
    </row>
    <row r="3175" ht="24" customHeight="1" s="63">
      <c r="E3175" s="139" t="n"/>
      <c r="F3175" s="139" t="n"/>
      <c r="G3175" s="140">
        <f>IFERROR(IF(E3175&gt;0,(F3175/E3175)*1000,""),"")</f>
        <v/>
      </c>
      <c r="H3175" s="139">
        <f>IFERROR(IF(E3175&gt;0,E3175*IF(ISNUMBER(J3175),J3175,IF(OR(C3175="Alpha",B3175="Alpha"),$C$7,IF(C3175="Futures",$C$6,$C$5))),""),"")</f>
        <v/>
      </c>
      <c r="I3175" s="139">
        <f>IFERROR(IF(AND(ISNUMBER(F3175),ISNUMBER(H3175)),F3175-H3175,""),"")</f>
        <v/>
      </c>
      <c r="J3175" s="114" t="n"/>
      <c r="K3175" s="139">
        <f>IFERROR(IF(H3175&gt;0,H3175*IF(OR(C3175="Alpha",B3175="Alpha"),$C$9,$C$8),""),"")</f>
        <v/>
      </c>
      <c r="L3175" s="139">
        <f>IFERROR(IF(ISNUMBER(F3175),F3175-IF(ISNUMBER(K3175),K3175,0),""),"")</f>
        <v/>
      </c>
    </row>
    <row r="3176" ht="24" customHeight="1" s="63">
      <c r="E3176" s="139" t="n"/>
      <c r="F3176" s="139" t="n"/>
      <c r="G3176" s="140">
        <f>IFERROR(IF(E3176&gt;0,(F3176/E3176)*1000,""),"")</f>
        <v/>
      </c>
      <c r="H3176" s="139">
        <f>IFERROR(IF(E3176&gt;0,E3176*IF(ISNUMBER(J3176),J3176,IF(OR(C3176="Alpha",B3176="Alpha"),$C$7,IF(C3176="Futures",$C$6,$C$5))),""),"")</f>
        <v/>
      </c>
      <c r="I3176" s="139">
        <f>IFERROR(IF(AND(ISNUMBER(F3176),ISNUMBER(H3176)),F3176-H3176,""),"")</f>
        <v/>
      </c>
      <c r="J3176" s="114" t="n"/>
      <c r="K3176" s="139">
        <f>IFERROR(IF(H3176&gt;0,H3176*IF(OR(C3176="Alpha",B3176="Alpha"),$C$9,$C$8),""),"")</f>
        <v/>
      </c>
      <c r="L3176" s="139">
        <f>IFERROR(IF(ISNUMBER(F3176),F3176-IF(ISNUMBER(K3176),K3176,0),""),"")</f>
        <v/>
      </c>
    </row>
    <row r="3177" ht="24" customHeight="1" s="63">
      <c r="E3177" s="139" t="n"/>
      <c r="F3177" s="139" t="n"/>
      <c r="G3177" s="140">
        <f>IFERROR(IF(E3177&gt;0,(F3177/E3177)*1000,""),"")</f>
        <v/>
      </c>
      <c r="H3177" s="139">
        <f>IFERROR(IF(E3177&gt;0,E3177*IF(ISNUMBER(J3177),J3177,IF(OR(C3177="Alpha",B3177="Alpha"),$C$7,IF(C3177="Futures",$C$6,$C$5))),""),"")</f>
        <v/>
      </c>
      <c r="I3177" s="139">
        <f>IFERROR(IF(AND(ISNUMBER(F3177),ISNUMBER(H3177)),F3177-H3177,""),"")</f>
        <v/>
      </c>
      <c r="J3177" s="114" t="n"/>
      <c r="K3177" s="139">
        <f>IFERROR(IF(H3177&gt;0,H3177*IF(OR(C3177="Alpha",B3177="Alpha"),$C$9,$C$8),""),"")</f>
        <v/>
      </c>
      <c r="L3177" s="139">
        <f>IFERROR(IF(ISNUMBER(F3177),F3177-IF(ISNUMBER(K3177),K3177,0),""),"")</f>
        <v/>
      </c>
    </row>
    <row r="3178" ht="24" customHeight="1" s="63">
      <c r="E3178" s="139" t="n"/>
      <c r="F3178" s="139" t="n"/>
      <c r="G3178" s="140">
        <f>IFERROR(IF(E3178&gt;0,(F3178/E3178)*1000,""),"")</f>
        <v/>
      </c>
      <c r="H3178" s="139">
        <f>IFERROR(IF(E3178&gt;0,E3178*IF(ISNUMBER(J3178),J3178,IF(OR(C3178="Alpha",B3178="Alpha"),$C$7,IF(C3178="Futures",$C$6,$C$5))),""),"")</f>
        <v/>
      </c>
      <c r="I3178" s="139">
        <f>IFERROR(IF(AND(ISNUMBER(F3178),ISNUMBER(H3178)),F3178-H3178,""),"")</f>
        <v/>
      </c>
      <c r="J3178" s="114" t="n"/>
      <c r="K3178" s="139">
        <f>IFERROR(IF(H3178&gt;0,H3178*IF(OR(C3178="Alpha",B3178="Alpha"),$C$9,$C$8),""),"")</f>
        <v/>
      </c>
      <c r="L3178" s="139">
        <f>IFERROR(IF(ISNUMBER(F3178),F3178-IF(ISNUMBER(K3178),K3178,0),""),"")</f>
        <v/>
      </c>
    </row>
    <row r="3179" ht="24" customHeight="1" s="63">
      <c r="E3179" s="139" t="n"/>
      <c r="F3179" s="139" t="n"/>
      <c r="G3179" s="140">
        <f>IFERROR(IF(E3179&gt;0,(F3179/E3179)*1000,""),"")</f>
        <v/>
      </c>
      <c r="H3179" s="139">
        <f>IFERROR(IF(E3179&gt;0,E3179*IF(ISNUMBER(J3179),J3179,IF(OR(C3179="Alpha",B3179="Alpha"),$C$7,IF(C3179="Futures",$C$6,$C$5))),""),"")</f>
        <v/>
      </c>
      <c r="I3179" s="139">
        <f>IFERROR(IF(AND(ISNUMBER(F3179),ISNUMBER(H3179)),F3179-H3179,""),"")</f>
        <v/>
      </c>
      <c r="J3179" s="114" t="n"/>
      <c r="K3179" s="139">
        <f>IFERROR(IF(H3179&gt;0,H3179*IF(OR(C3179="Alpha",B3179="Alpha"),$C$9,$C$8),""),"")</f>
        <v/>
      </c>
      <c r="L3179" s="139">
        <f>IFERROR(IF(ISNUMBER(F3179),F3179-IF(ISNUMBER(K3179),K3179,0),""),"")</f>
        <v/>
      </c>
    </row>
    <row r="3180" ht="24" customHeight="1" s="63">
      <c r="E3180" s="139" t="n"/>
      <c r="F3180" s="139" t="n"/>
      <c r="G3180" s="140">
        <f>IFERROR(IF(E3180&gt;0,(F3180/E3180)*1000,""),"")</f>
        <v/>
      </c>
      <c r="H3180" s="139">
        <f>IFERROR(IF(E3180&gt;0,E3180*IF(ISNUMBER(J3180),J3180,IF(OR(C3180="Alpha",B3180="Alpha"),$C$7,IF(C3180="Futures",$C$6,$C$5))),""),"")</f>
        <v/>
      </c>
      <c r="I3180" s="139">
        <f>IFERROR(IF(AND(ISNUMBER(F3180),ISNUMBER(H3180)),F3180-H3180,""),"")</f>
        <v/>
      </c>
      <c r="J3180" s="114" t="n"/>
      <c r="K3180" s="139">
        <f>IFERROR(IF(H3180&gt;0,H3180*IF(OR(C3180="Alpha",B3180="Alpha"),$C$9,$C$8),""),"")</f>
        <v/>
      </c>
      <c r="L3180" s="139">
        <f>IFERROR(IF(ISNUMBER(F3180),F3180-IF(ISNUMBER(K3180),K3180,0),""),"")</f>
        <v/>
      </c>
    </row>
    <row r="3181" ht="24" customHeight="1" s="63">
      <c r="E3181" s="139" t="n"/>
      <c r="F3181" s="139" t="n"/>
      <c r="G3181" s="140">
        <f>IFERROR(IF(E3181&gt;0,(F3181/E3181)*1000,""),"")</f>
        <v/>
      </c>
      <c r="H3181" s="139">
        <f>IFERROR(IF(E3181&gt;0,E3181*IF(ISNUMBER(J3181),J3181,IF(OR(C3181="Alpha",B3181="Alpha"),$C$7,IF(C3181="Futures",$C$6,$C$5))),""),"")</f>
        <v/>
      </c>
      <c r="I3181" s="139">
        <f>IFERROR(IF(AND(ISNUMBER(F3181),ISNUMBER(H3181)),F3181-H3181,""),"")</f>
        <v/>
      </c>
      <c r="J3181" s="114" t="n"/>
      <c r="K3181" s="139">
        <f>IFERROR(IF(H3181&gt;0,H3181*IF(OR(C3181="Alpha",B3181="Alpha"),$C$9,$C$8),""),"")</f>
        <v/>
      </c>
      <c r="L3181" s="139">
        <f>IFERROR(IF(ISNUMBER(F3181),F3181-IF(ISNUMBER(K3181),K3181,0),""),"")</f>
        <v/>
      </c>
    </row>
    <row r="3182" ht="24" customHeight="1" s="63">
      <c r="E3182" s="139" t="n"/>
      <c r="F3182" s="139" t="n"/>
      <c r="G3182" s="140">
        <f>IFERROR(IF(E3182&gt;0,(F3182/E3182)*1000,""),"")</f>
        <v/>
      </c>
      <c r="H3182" s="139">
        <f>IFERROR(IF(E3182&gt;0,E3182*IF(ISNUMBER(J3182),J3182,IF(OR(C3182="Alpha",B3182="Alpha"),$C$7,IF(C3182="Futures",$C$6,$C$5))),""),"")</f>
        <v/>
      </c>
      <c r="I3182" s="139">
        <f>IFERROR(IF(AND(ISNUMBER(F3182),ISNUMBER(H3182)),F3182-H3182,""),"")</f>
        <v/>
      </c>
      <c r="J3182" s="114" t="n"/>
      <c r="K3182" s="139">
        <f>IFERROR(IF(H3182&gt;0,H3182*IF(OR(C3182="Alpha",B3182="Alpha"),$C$9,$C$8),""),"")</f>
        <v/>
      </c>
      <c r="L3182" s="139">
        <f>IFERROR(IF(ISNUMBER(F3182),F3182-IF(ISNUMBER(K3182),K3182,0),""),"")</f>
        <v/>
      </c>
    </row>
    <row r="3183" ht="24" customHeight="1" s="63">
      <c r="E3183" s="139" t="n"/>
      <c r="F3183" s="139" t="n"/>
      <c r="G3183" s="140">
        <f>IFERROR(IF(E3183&gt;0,(F3183/E3183)*1000,""),"")</f>
        <v/>
      </c>
      <c r="H3183" s="139">
        <f>IFERROR(IF(E3183&gt;0,E3183*IF(ISNUMBER(J3183),J3183,IF(OR(C3183="Alpha",B3183="Alpha"),$C$7,IF(C3183="Futures",$C$6,$C$5))),""),"")</f>
        <v/>
      </c>
      <c r="I3183" s="139">
        <f>IFERROR(IF(AND(ISNUMBER(F3183),ISNUMBER(H3183)),F3183-H3183,""),"")</f>
        <v/>
      </c>
      <c r="J3183" s="114" t="n"/>
      <c r="K3183" s="139">
        <f>IFERROR(IF(H3183&gt;0,H3183*IF(OR(C3183="Alpha",B3183="Alpha"),$C$9,$C$8),""),"")</f>
        <v/>
      </c>
      <c r="L3183" s="139">
        <f>IFERROR(IF(ISNUMBER(F3183),F3183-IF(ISNUMBER(K3183),K3183,0),""),"")</f>
        <v/>
      </c>
    </row>
    <row r="3184" ht="24" customHeight="1" s="63">
      <c r="E3184" s="139" t="n"/>
      <c r="F3184" s="139" t="n"/>
      <c r="G3184" s="140">
        <f>IFERROR(IF(E3184&gt;0,(F3184/E3184)*1000,""),"")</f>
        <v/>
      </c>
      <c r="H3184" s="139">
        <f>IFERROR(IF(E3184&gt;0,E3184*IF(ISNUMBER(J3184),J3184,IF(OR(C3184="Alpha",B3184="Alpha"),$C$7,IF(C3184="Futures",$C$6,$C$5))),""),"")</f>
        <v/>
      </c>
      <c r="I3184" s="139">
        <f>IFERROR(IF(AND(ISNUMBER(F3184),ISNUMBER(H3184)),F3184-H3184,""),"")</f>
        <v/>
      </c>
      <c r="J3184" s="114" t="n"/>
      <c r="K3184" s="139">
        <f>IFERROR(IF(H3184&gt;0,H3184*IF(OR(C3184="Alpha",B3184="Alpha"),$C$9,$C$8),""),"")</f>
        <v/>
      </c>
      <c r="L3184" s="139">
        <f>IFERROR(IF(ISNUMBER(F3184),F3184-IF(ISNUMBER(K3184),K3184,0),""),"")</f>
        <v/>
      </c>
    </row>
    <row r="3185" ht="24" customHeight="1" s="63">
      <c r="E3185" s="139" t="n"/>
      <c r="F3185" s="139" t="n"/>
      <c r="G3185" s="140">
        <f>IFERROR(IF(E3185&gt;0,(F3185/E3185)*1000,""),"")</f>
        <v/>
      </c>
      <c r="H3185" s="139">
        <f>IFERROR(IF(E3185&gt;0,E3185*IF(ISNUMBER(J3185),J3185,IF(OR(C3185="Alpha",B3185="Alpha"),$C$7,IF(C3185="Futures",$C$6,$C$5))),""),"")</f>
        <v/>
      </c>
      <c r="I3185" s="139">
        <f>IFERROR(IF(AND(ISNUMBER(F3185),ISNUMBER(H3185)),F3185-H3185,""),"")</f>
        <v/>
      </c>
      <c r="J3185" s="114" t="n"/>
      <c r="K3185" s="139">
        <f>IFERROR(IF(H3185&gt;0,H3185*IF(OR(C3185="Alpha",B3185="Alpha"),$C$9,$C$8),""),"")</f>
        <v/>
      </c>
      <c r="L3185" s="139">
        <f>IFERROR(IF(ISNUMBER(F3185),F3185-IF(ISNUMBER(K3185),K3185,0),""),"")</f>
        <v/>
      </c>
    </row>
    <row r="3186" ht="24" customHeight="1" s="63">
      <c r="E3186" s="139" t="n"/>
      <c r="F3186" s="139" t="n"/>
      <c r="G3186" s="140">
        <f>IFERROR(IF(E3186&gt;0,(F3186/E3186)*1000,""),"")</f>
        <v/>
      </c>
      <c r="H3186" s="139">
        <f>IFERROR(IF(E3186&gt;0,E3186*IF(ISNUMBER(J3186),J3186,IF(OR(C3186="Alpha",B3186="Alpha"),$C$7,IF(C3186="Futures",$C$6,$C$5))),""),"")</f>
        <v/>
      </c>
      <c r="I3186" s="139">
        <f>IFERROR(IF(AND(ISNUMBER(F3186),ISNUMBER(H3186)),F3186-H3186,""),"")</f>
        <v/>
      </c>
      <c r="J3186" s="114" t="n"/>
      <c r="K3186" s="139">
        <f>IFERROR(IF(H3186&gt;0,H3186*IF(OR(C3186="Alpha",B3186="Alpha"),$C$9,$C$8),""),"")</f>
        <v/>
      </c>
      <c r="L3186" s="139">
        <f>IFERROR(IF(ISNUMBER(F3186),F3186-IF(ISNUMBER(K3186),K3186,0),""),"")</f>
        <v/>
      </c>
    </row>
    <row r="3187" ht="24" customHeight="1" s="63">
      <c r="E3187" s="139" t="n"/>
      <c r="F3187" s="139" t="n"/>
      <c r="G3187" s="140">
        <f>IFERROR(IF(E3187&gt;0,(F3187/E3187)*1000,""),"")</f>
        <v/>
      </c>
      <c r="H3187" s="139">
        <f>IFERROR(IF(E3187&gt;0,E3187*IF(ISNUMBER(J3187),J3187,IF(OR(C3187="Alpha",B3187="Alpha"),$C$7,IF(C3187="Futures",$C$6,$C$5))),""),"")</f>
        <v/>
      </c>
      <c r="I3187" s="139">
        <f>IFERROR(IF(AND(ISNUMBER(F3187),ISNUMBER(H3187)),F3187-H3187,""),"")</f>
        <v/>
      </c>
      <c r="J3187" s="114" t="n"/>
      <c r="K3187" s="139">
        <f>IFERROR(IF(H3187&gt;0,H3187*IF(OR(C3187="Alpha",B3187="Alpha"),$C$9,$C$8),""),"")</f>
        <v/>
      </c>
      <c r="L3187" s="139">
        <f>IFERROR(IF(ISNUMBER(F3187),F3187-IF(ISNUMBER(K3187),K3187,0),""),"")</f>
        <v/>
      </c>
    </row>
    <row r="3188" ht="24" customHeight="1" s="63">
      <c r="E3188" s="139" t="n"/>
      <c r="F3188" s="139" t="n"/>
      <c r="G3188" s="140">
        <f>IFERROR(IF(E3188&gt;0,(F3188/E3188)*1000,""),"")</f>
        <v/>
      </c>
      <c r="H3188" s="139">
        <f>IFERROR(IF(E3188&gt;0,E3188*IF(ISNUMBER(J3188),J3188,IF(OR(C3188="Alpha",B3188="Alpha"),$C$7,IF(C3188="Futures",$C$6,$C$5))),""),"")</f>
        <v/>
      </c>
      <c r="I3188" s="139">
        <f>IFERROR(IF(AND(ISNUMBER(F3188),ISNUMBER(H3188)),F3188-H3188,""),"")</f>
        <v/>
      </c>
      <c r="J3188" s="114" t="n"/>
      <c r="K3188" s="139">
        <f>IFERROR(IF(H3188&gt;0,H3188*IF(OR(C3188="Alpha",B3188="Alpha"),$C$9,$C$8),""),"")</f>
        <v/>
      </c>
      <c r="L3188" s="139">
        <f>IFERROR(IF(ISNUMBER(F3188),F3188-IF(ISNUMBER(K3188),K3188,0),""),"")</f>
        <v/>
      </c>
    </row>
    <row r="3189" ht="24" customHeight="1" s="63">
      <c r="E3189" s="139" t="n"/>
      <c r="F3189" s="139" t="n"/>
      <c r="G3189" s="140">
        <f>IFERROR(IF(E3189&gt;0,(F3189/E3189)*1000,""),"")</f>
        <v/>
      </c>
      <c r="H3189" s="139">
        <f>IFERROR(IF(E3189&gt;0,E3189*IF(ISNUMBER(J3189),J3189,IF(OR(C3189="Alpha",B3189="Alpha"),$C$7,IF(C3189="Futures",$C$6,$C$5))),""),"")</f>
        <v/>
      </c>
      <c r="I3189" s="139">
        <f>IFERROR(IF(AND(ISNUMBER(F3189),ISNUMBER(H3189)),F3189-H3189,""),"")</f>
        <v/>
      </c>
      <c r="J3189" s="114" t="n"/>
      <c r="K3189" s="139">
        <f>IFERROR(IF(H3189&gt;0,H3189*IF(OR(C3189="Alpha",B3189="Alpha"),$C$9,$C$8),""),"")</f>
        <v/>
      </c>
      <c r="L3189" s="139">
        <f>IFERROR(IF(ISNUMBER(F3189),F3189-IF(ISNUMBER(K3189),K3189,0),""),"")</f>
        <v/>
      </c>
    </row>
    <row r="3190" ht="24" customHeight="1" s="63">
      <c r="E3190" s="139" t="n"/>
      <c r="F3190" s="139" t="n"/>
      <c r="G3190" s="140">
        <f>IFERROR(IF(E3190&gt;0,(F3190/E3190)*1000,""),"")</f>
        <v/>
      </c>
      <c r="H3190" s="139">
        <f>IFERROR(IF(E3190&gt;0,E3190*IF(ISNUMBER(J3190),J3190,IF(OR(C3190="Alpha",B3190="Alpha"),$C$7,IF(C3190="Futures",$C$6,$C$5))),""),"")</f>
        <v/>
      </c>
      <c r="I3190" s="139">
        <f>IFERROR(IF(AND(ISNUMBER(F3190),ISNUMBER(H3190)),F3190-H3190,""),"")</f>
        <v/>
      </c>
      <c r="J3190" s="114" t="n"/>
      <c r="K3190" s="139">
        <f>IFERROR(IF(H3190&gt;0,H3190*IF(OR(C3190="Alpha",B3190="Alpha"),$C$9,$C$8),""),"")</f>
        <v/>
      </c>
      <c r="L3190" s="139">
        <f>IFERROR(IF(ISNUMBER(F3190),F3190-IF(ISNUMBER(K3190),K3190,0),""),"")</f>
        <v/>
      </c>
    </row>
    <row r="3191" ht="24" customHeight="1" s="63">
      <c r="E3191" s="139" t="n"/>
      <c r="F3191" s="139" t="n"/>
      <c r="G3191" s="140">
        <f>IFERROR(IF(E3191&gt;0,(F3191/E3191)*1000,""),"")</f>
        <v/>
      </c>
      <c r="H3191" s="139">
        <f>IFERROR(IF(E3191&gt;0,E3191*IF(ISNUMBER(J3191),J3191,IF(OR(C3191="Alpha",B3191="Alpha"),$C$7,IF(C3191="Futures",$C$6,$C$5))),""),"")</f>
        <v/>
      </c>
      <c r="I3191" s="139">
        <f>IFERROR(IF(AND(ISNUMBER(F3191),ISNUMBER(H3191)),F3191-H3191,""),"")</f>
        <v/>
      </c>
      <c r="J3191" s="114" t="n"/>
      <c r="K3191" s="139">
        <f>IFERROR(IF(H3191&gt;0,H3191*IF(OR(C3191="Alpha",B3191="Alpha"),$C$9,$C$8),""),"")</f>
        <v/>
      </c>
      <c r="L3191" s="139">
        <f>IFERROR(IF(ISNUMBER(F3191),F3191-IF(ISNUMBER(K3191),K3191,0),""),"")</f>
        <v/>
      </c>
    </row>
    <row r="3192" ht="24" customHeight="1" s="63">
      <c r="E3192" s="139" t="n"/>
      <c r="F3192" s="139" t="n"/>
      <c r="G3192" s="140">
        <f>IFERROR(IF(E3192&gt;0,(F3192/E3192)*1000,""),"")</f>
        <v/>
      </c>
      <c r="H3192" s="139">
        <f>IFERROR(IF(E3192&gt;0,E3192*IF(ISNUMBER(J3192),J3192,IF(OR(C3192="Alpha",B3192="Alpha"),$C$7,IF(C3192="Futures",$C$6,$C$5))),""),"")</f>
        <v/>
      </c>
      <c r="I3192" s="139">
        <f>IFERROR(IF(AND(ISNUMBER(F3192),ISNUMBER(H3192)),F3192-H3192,""),"")</f>
        <v/>
      </c>
      <c r="J3192" s="114" t="n"/>
      <c r="K3192" s="139">
        <f>IFERROR(IF(H3192&gt;0,H3192*IF(OR(C3192="Alpha",B3192="Alpha"),$C$9,$C$8),""),"")</f>
        <v/>
      </c>
      <c r="L3192" s="139">
        <f>IFERROR(IF(ISNUMBER(F3192),F3192-IF(ISNUMBER(K3192),K3192,0),""),"")</f>
        <v/>
      </c>
    </row>
    <row r="3193" ht="24" customHeight="1" s="63">
      <c r="E3193" s="139" t="n"/>
      <c r="F3193" s="139" t="n"/>
      <c r="G3193" s="140">
        <f>IFERROR(IF(E3193&gt;0,(F3193/E3193)*1000,""),"")</f>
        <v/>
      </c>
      <c r="H3193" s="139">
        <f>IFERROR(IF(E3193&gt;0,E3193*IF(ISNUMBER(J3193),J3193,IF(OR(C3193="Alpha",B3193="Alpha"),$C$7,IF(C3193="Futures",$C$6,$C$5))),""),"")</f>
        <v/>
      </c>
      <c r="I3193" s="139">
        <f>IFERROR(IF(AND(ISNUMBER(F3193),ISNUMBER(H3193)),F3193-H3193,""),"")</f>
        <v/>
      </c>
      <c r="J3193" s="114" t="n"/>
      <c r="K3193" s="139">
        <f>IFERROR(IF(H3193&gt;0,H3193*IF(OR(C3193="Alpha",B3193="Alpha"),$C$9,$C$8),""),"")</f>
        <v/>
      </c>
      <c r="L3193" s="139">
        <f>IFERROR(IF(ISNUMBER(F3193),F3193-IF(ISNUMBER(K3193),K3193,0),""),"")</f>
        <v/>
      </c>
    </row>
    <row r="3194" ht="24" customHeight="1" s="63">
      <c r="E3194" s="139" t="n"/>
      <c r="F3194" s="139" t="n"/>
      <c r="G3194" s="140">
        <f>IFERROR(IF(E3194&gt;0,(F3194/E3194)*1000,""),"")</f>
        <v/>
      </c>
      <c r="H3194" s="139">
        <f>IFERROR(IF(E3194&gt;0,E3194*IF(ISNUMBER(J3194),J3194,IF(OR(C3194="Alpha",B3194="Alpha"),$C$7,IF(C3194="Futures",$C$6,$C$5))),""),"")</f>
        <v/>
      </c>
      <c r="I3194" s="139">
        <f>IFERROR(IF(AND(ISNUMBER(F3194),ISNUMBER(H3194)),F3194-H3194,""),"")</f>
        <v/>
      </c>
      <c r="J3194" s="114" t="n"/>
      <c r="K3194" s="139">
        <f>IFERROR(IF(H3194&gt;0,H3194*IF(OR(C3194="Alpha",B3194="Alpha"),$C$9,$C$8),""),"")</f>
        <v/>
      </c>
      <c r="L3194" s="139">
        <f>IFERROR(IF(ISNUMBER(F3194),F3194-IF(ISNUMBER(K3194),K3194,0),""),"")</f>
        <v/>
      </c>
    </row>
    <row r="3195" ht="24" customHeight="1" s="63">
      <c r="E3195" s="139" t="n"/>
      <c r="F3195" s="139" t="n"/>
      <c r="G3195" s="140">
        <f>IFERROR(IF(E3195&gt;0,(F3195/E3195)*1000,""),"")</f>
        <v/>
      </c>
      <c r="H3195" s="139">
        <f>IFERROR(IF(E3195&gt;0,E3195*IF(ISNUMBER(J3195),J3195,IF(OR(C3195="Alpha",B3195="Alpha"),$C$7,IF(C3195="Futures",$C$6,$C$5))),""),"")</f>
        <v/>
      </c>
      <c r="I3195" s="139">
        <f>IFERROR(IF(AND(ISNUMBER(F3195),ISNUMBER(H3195)),F3195-H3195,""),"")</f>
        <v/>
      </c>
      <c r="J3195" s="114" t="n"/>
      <c r="K3195" s="139">
        <f>IFERROR(IF(H3195&gt;0,H3195*IF(OR(C3195="Alpha",B3195="Alpha"),$C$9,$C$8),""),"")</f>
        <v/>
      </c>
      <c r="L3195" s="139">
        <f>IFERROR(IF(ISNUMBER(F3195),F3195-IF(ISNUMBER(K3195),K3195,0),""),"")</f>
        <v/>
      </c>
    </row>
    <row r="3196" ht="24" customHeight="1" s="63">
      <c r="E3196" s="139" t="n"/>
      <c r="F3196" s="139" t="n"/>
      <c r="G3196" s="140">
        <f>IFERROR(IF(E3196&gt;0,(F3196/E3196)*1000,""),"")</f>
        <v/>
      </c>
      <c r="H3196" s="139">
        <f>IFERROR(IF(E3196&gt;0,E3196*IF(ISNUMBER(J3196),J3196,IF(OR(C3196="Alpha",B3196="Alpha"),$C$7,IF(C3196="Futures",$C$6,$C$5))),""),"")</f>
        <v/>
      </c>
      <c r="I3196" s="139">
        <f>IFERROR(IF(AND(ISNUMBER(F3196),ISNUMBER(H3196)),F3196-H3196,""),"")</f>
        <v/>
      </c>
      <c r="J3196" s="114" t="n"/>
      <c r="K3196" s="139">
        <f>IFERROR(IF(H3196&gt;0,H3196*IF(OR(C3196="Alpha",B3196="Alpha"),$C$9,$C$8),""),"")</f>
        <v/>
      </c>
      <c r="L3196" s="139">
        <f>IFERROR(IF(ISNUMBER(F3196),F3196-IF(ISNUMBER(K3196),K3196,0),""),"")</f>
        <v/>
      </c>
    </row>
    <row r="3197" ht="24" customHeight="1" s="63">
      <c r="E3197" s="139" t="n"/>
      <c r="F3197" s="139" t="n"/>
      <c r="G3197" s="140">
        <f>IFERROR(IF(E3197&gt;0,(F3197/E3197)*1000,""),"")</f>
        <v/>
      </c>
      <c r="H3197" s="139">
        <f>IFERROR(IF(E3197&gt;0,E3197*IF(ISNUMBER(J3197),J3197,IF(OR(C3197="Alpha",B3197="Alpha"),$C$7,IF(C3197="Futures",$C$6,$C$5))),""),"")</f>
        <v/>
      </c>
      <c r="I3197" s="139">
        <f>IFERROR(IF(AND(ISNUMBER(F3197),ISNUMBER(H3197)),F3197-H3197,""),"")</f>
        <v/>
      </c>
      <c r="J3197" s="114" t="n"/>
      <c r="K3197" s="139">
        <f>IFERROR(IF(H3197&gt;0,H3197*IF(OR(C3197="Alpha",B3197="Alpha"),$C$9,$C$8),""),"")</f>
        <v/>
      </c>
      <c r="L3197" s="139">
        <f>IFERROR(IF(ISNUMBER(F3197),F3197-IF(ISNUMBER(K3197),K3197,0),""),"")</f>
        <v/>
      </c>
    </row>
    <row r="3198" ht="24" customHeight="1" s="63">
      <c r="E3198" s="139" t="n"/>
      <c r="F3198" s="139" t="n"/>
      <c r="G3198" s="140">
        <f>IFERROR(IF(E3198&gt;0,(F3198/E3198)*1000,""),"")</f>
        <v/>
      </c>
      <c r="H3198" s="139">
        <f>IFERROR(IF(E3198&gt;0,E3198*IF(ISNUMBER(J3198),J3198,IF(OR(C3198="Alpha",B3198="Alpha"),$C$7,IF(C3198="Futures",$C$6,$C$5))),""),"")</f>
        <v/>
      </c>
      <c r="I3198" s="139">
        <f>IFERROR(IF(AND(ISNUMBER(F3198),ISNUMBER(H3198)),F3198-H3198,""),"")</f>
        <v/>
      </c>
      <c r="J3198" s="114" t="n"/>
      <c r="K3198" s="139">
        <f>IFERROR(IF(H3198&gt;0,H3198*IF(OR(C3198="Alpha",B3198="Alpha"),$C$9,$C$8),""),"")</f>
        <v/>
      </c>
      <c r="L3198" s="139">
        <f>IFERROR(IF(ISNUMBER(F3198),F3198-IF(ISNUMBER(K3198),K3198,0),""),"")</f>
        <v/>
      </c>
    </row>
    <row r="3199" ht="24" customHeight="1" s="63">
      <c r="E3199" s="139" t="n"/>
      <c r="F3199" s="139" t="n"/>
      <c r="G3199" s="140">
        <f>IFERROR(IF(E3199&gt;0,(F3199/E3199)*1000,""),"")</f>
        <v/>
      </c>
      <c r="H3199" s="139">
        <f>IFERROR(IF(E3199&gt;0,E3199*IF(ISNUMBER(J3199),J3199,IF(OR(C3199="Alpha",B3199="Alpha"),$C$7,IF(C3199="Futures",$C$6,$C$5))),""),"")</f>
        <v/>
      </c>
      <c r="I3199" s="139">
        <f>IFERROR(IF(AND(ISNUMBER(F3199),ISNUMBER(H3199)),F3199-H3199,""),"")</f>
        <v/>
      </c>
      <c r="J3199" s="114" t="n"/>
      <c r="K3199" s="139">
        <f>IFERROR(IF(H3199&gt;0,H3199*IF(OR(C3199="Alpha",B3199="Alpha"),$C$9,$C$8),""),"")</f>
        <v/>
      </c>
      <c r="L3199" s="139">
        <f>IFERROR(IF(ISNUMBER(F3199),F3199-IF(ISNUMBER(K3199),K3199,0),""),"")</f>
        <v/>
      </c>
    </row>
    <row r="3200" ht="24" customHeight="1" s="63">
      <c r="E3200" s="139" t="n"/>
      <c r="F3200" s="139" t="n"/>
      <c r="G3200" s="140">
        <f>IFERROR(IF(E3200&gt;0,(F3200/E3200)*1000,""),"")</f>
        <v/>
      </c>
      <c r="H3200" s="139">
        <f>IFERROR(IF(E3200&gt;0,E3200*IF(ISNUMBER(J3200),J3200,IF(OR(C3200="Alpha",B3200="Alpha"),$C$7,IF(C3200="Futures",$C$6,$C$5))),""),"")</f>
        <v/>
      </c>
      <c r="I3200" s="139">
        <f>IFERROR(IF(AND(ISNUMBER(F3200),ISNUMBER(H3200)),F3200-H3200,""),"")</f>
        <v/>
      </c>
      <c r="J3200" s="114" t="n"/>
      <c r="K3200" s="139">
        <f>IFERROR(IF(H3200&gt;0,H3200*IF(OR(C3200="Alpha",B3200="Alpha"),$C$9,$C$8),""),"")</f>
        <v/>
      </c>
      <c r="L3200" s="139">
        <f>IFERROR(IF(ISNUMBER(F3200),F3200-IF(ISNUMBER(K3200),K3200,0),""),"")</f>
        <v/>
      </c>
    </row>
    <row r="3201" ht="24" customHeight="1" s="63">
      <c r="E3201" s="139" t="n"/>
      <c r="F3201" s="139" t="n"/>
      <c r="G3201" s="140">
        <f>IFERROR(IF(E3201&gt;0,(F3201/E3201)*1000,""),"")</f>
        <v/>
      </c>
      <c r="H3201" s="139">
        <f>IFERROR(IF(E3201&gt;0,E3201*IF(ISNUMBER(J3201),J3201,IF(OR(C3201="Alpha",B3201="Alpha"),$C$7,IF(C3201="Futures",$C$6,$C$5))),""),"")</f>
        <v/>
      </c>
      <c r="I3201" s="139">
        <f>IFERROR(IF(AND(ISNUMBER(F3201),ISNUMBER(H3201)),F3201-H3201,""),"")</f>
        <v/>
      </c>
      <c r="J3201" s="114" t="n"/>
      <c r="K3201" s="139">
        <f>IFERROR(IF(H3201&gt;0,H3201*IF(OR(C3201="Alpha",B3201="Alpha"),$C$9,$C$8),""),"")</f>
        <v/>
      </c>
      <c r="L3201" s="139">
        <f>IFERROR(IF(ISNUMBER(F3201),F3201-IF(ISNUMBER(K3201),K3201,0),""),"")</f>
        <v/>
      </c>
    </row>
    <row r="3202" ht="24" customHeight="1" s="63">
      <c r="E3202" s="139" t="n"/>
      <c r="F3202" s="139" t="n"/>
      <c r="G3202" s="140">
        <f>IFERROR(IF(E3202&gt;0,(F3202/E3202)*1000,""),"")</f>
        <v/>
      </c>
      <c r="H3202" s="139">
        <f>IFERROR(IF(E3202&gt;0,E3202*IF(ISNUMBER(J3202),J3202,IF(OR(C3202="Alpha",B3202="Alpha"),$C$7,IF(C3202="Futures",$C$6,$C$5))),""),"")</f>
        <v/>
      </c>
      <c r="I3202" s="139">
        <f>IFERROR(IF(AND(ISNUMBER(F3202),ISNUMBER(H3202)),F3202-H3202,""),"")</f>
        <v/>
      </c>
      <c r="J3202" s="114" t="n"/>
      <c r="K3202" s="139">
        <f>IFERROR(IF(H3202&gt;0,H3202*IF(OR(C3202="Alpha",B3202="Alpha"),$C$9,$C$8),""),"")</f>
        <v/>
      </c>
      <c r="L3202" s="139">
        <f>IFERROR(IF(ISNUMBER(F3202),F3202-IF(ISNUMBER(K3202),K3202,0),""),"")</f>
        <v/>
      </c>
    </row>
    <row r="3203" ht="24" customHeight="1" s="63">
      <c r="E3203" s="139" t="n"/>
      <c r="F3203" s="139" t="n"/>
      <c r="G3203" s="140">
        <f>IFERROR(IF(E3203&gt;0,(F3203/E3203)*1000,""),"")</f>
        <v/>
      </c>
      <c r="H3203" s="139">
        <f>IFERROR(IF(E3203&gt;0,E3203*IF(ISNUMBER(J3203),J3203,IF(OR(C3203="Alpha",B3203="Alpha"),$C$7,IF(C3203="Futures",$C$6,$C$5))),""),"")</f>
        <v/>
      </c>
      <c r="I3203" s="139">
        <f>IFERROR(IF(AND(ISNUMBER(F3203),ISNUMBER(H3203)),F3203-H3203,""),"")</f>
        <v/>
      </c>
      <c r="J3203" s="114" t="n"/>
      <c r="K3203" s="139">
        <f>IFERROR(IF(H3203&gt;0,H3203*IF(OR(C3203="Alpha",B3203="Alpha"),$C$9,$C$8),""),"")</f>
        <v/>
      </c>
      <c r="L3203" s="139">
        <f>IFERROR(IF(ISNUMBER(F3203),F3203-IF(ISNUMBER(K3203),K3203,0),""),"")</f>
        <v/>
      </c>
    </row>
    <row r="3204" ht="24" customHeight="1" s="63">
      <c r="E3204" s="139" t="n"/>
      <c r="F3204" s="139" t="n"/>
      <c r="G3204" s="140">
        <f>IFERROR(IF(E3204&gt;0,(F3204/E3204)*1000,""),"")</f>
        <v/>
      </c>
      <c r="H3204" s="139">
        <f>IFERROR(IF(E3204&gt;0,E3204*IF(ISNUMBER(J3204),J3204,IF(OR(C3204="Alpha",B3204="Alpha"),$C$7,IF(C3204="Futures",$C$6,$C$5))),""),"")</f>
        <v/>
      </c>
      <c r="I3204" s="139">
        <f>IFERROR(IF(AND(ISNUMBER(F3204),ISNUMBER(H3204)),F3204-H3204,""),"")</f>
        <v/>
      </c>
      <c r="J3204" s="114" t="n"/>
      <c r="K3204" s="139">
        <f>IFERROR(IF(H3204&gt;0,H3204*IF(OR(C3204="Alpha",B3204="Alpha"),$C$9,$C$8),""),"")</f>
        <v/>
      </c>
      <c r="L3204" s="139">
        <f>IFERROR(IF(ISNUMBER(F3204),F3204-IF(ISNUMBER(K3204),K3204,0),""),"")</f>
        <v/>
      </c>
    </row>
    <row r="3205" ht="24" customHeight="1" s="63">
      <c r="E3205" s="139" t="n"/>
      <c r="F3205" s="139" t="n"/>
      <c r="G3205" s="140">
        <f>IFERROR(IF(E3205&gt;0,(F3205/E3205)*1000,""),"")</f>
        <v/>
      </c>
      <c r="H3205" s="139">
        <f>IFERROR(IF(E3205&gt;0,E3205*IF(ISNUMBER(J3205),J3205,IF(OR(C3205="Alpha",B3205="Alpha"),$C$7,IF(C3205="Futures",$C$6,$C$5))),""),"")</f>
        <v/>
      </c>
      <c r="I3205" s="139">
        <f>IFERROR(IF(AND(ISNUMBER(F3205),ISNUMBER(H3205)),F3205-H3205,""),"")</f>
        <v/>
      </c>
      <c r="J3205" s="114" t="n"/>
      <c r="K3205" s="139">
        <f>IFERROR(IF(H3205&gt;0,H3205*IF(OR(C3205="Alpha",B3205="Alpha"),$C$9,$C$8),""),"")</f>
        <v/>
      </c>
      <c r="L3205" s="139">
        <f>IFERROR(IF(ISNUMBER(F3205),F3205-IF(ISNUMBER(K3205),K3205,0),""),"")</f>
        <v/>
      </c>
    </row>
    <row r="3206" ht="24" customHeight="1" s="63">
      <c r="E3206" s="139" t="n"/>
      <c r="F3206" s="139" t="n"/>
      <c r="G3206" s="140">
        <f>IFERROR(IF(E3206&gt;0,(F3206/E3206)*1000,""),"")</f>
        <v/>
      </c>
      <c r="H3206" s="139">
        <f>IFERROR(IF(E3206&gt;0,E3206*IF(ISNUMBER(J3206),J3206,IF(OR(C3206="Alpha",B3206="Alpha"),$C$7,IF(C3206="Futures",$C$6,$C$5))),""),"")</f>
        <v/>
      </c>
      <c r="I3206" s="139">
        <f>IFERROR(IF(AND(ISNUMBER(F3206),ISNUMBER(H3206)),F3206-H3206,""),"")</f>
        <v/>
      </c>
      <c r="J3206" s="114" t="n"/>
      <c r="K3206" s="139">
        <f>IFERROR(IF(H3206&gt;0,H3206*IF(OR(C3206="Alpha",B3206="Alpha"),$C$9,$C$8),""),"")</f>
        <v/>
      </c>
      <c r="L3206" s="139">
        <f>IFERROR(IF(ISNUMBER(F3206),F3206-IF(ISNUMBER(K3206),K3206,0),""),"")</f>
        <v/>
      </c>
    </row>
    <row r="3207" ht="24" customHeight="1" s="63">
      <c r="E3207" s="139" t="n"/>
      <c r="F3207" s="139" t="n"/>
      <c r="G3207" s="140">
        <f>IFERROR(IF(E3207&gt;0,(F3207/E3207)*1000,""),"")</f>
        <v/>
      </c>
      <c r="H3207" s="139">
        <f>IFERROR(IF(E3207&gt;0,E3207*IF(ISNUMBER(J3207),J3207,IF(OR(C3207="Alpha",B3207="Alpha"),$C$7,IF(C3207="Futures",$C$6,$C$5))),""),"")</f>
        <v/>
      </c>
      <c r="I3207" s="139">
        <f>IFERROR(IF(AND(ISNUMBER(F3207),ISNUMBER(H3207)),F3207-H3207,""),"")</f>
        <v/>
      </c>
      <c r="J3207" s="114" t="n"/>
      <c r="K3207" s="139">
        <f>IFERROR(IF(H3207&gt;0,H3207*IF(OR(C3207="Alpha",B3207="Alpha"),$C$9,$C$8),""),"")</f>
        <v/>
      </c>
      <c r="L3207" s="139">
        <f>IFERROR(IF(ISNUMBER(F3207),F3207-IF(ISNUMBER(K3207),K3207,0),""),"")</f>
        <v/>
      </c>
    </row>
    <row r="3208" ht="24" customHeight="1" s="63">
      <c r="E3208" s="139" t="n"/>
      <c r="F3208" s="139" t="n"/>
      <c r="G3208" s="140">
        <f>IFERROR(IF(E3208&gt;0,(F3208/E3208)*1000,""),"")</f>
        <v/>
      </c>
      <c r="H3208" s="139">
        <f>IFERROR(IF(E3208&gt;0,E3208*IF(ISNUMBER(J3208),J3208,IF(OR(C3208="Alpha",B3208="Alpha"),$C$7,IF(C3208="Futures",$C$6,$C$5))),""),"")</f>
        <v/>
      </c>
      <c r="I3208" s="139">
        <f>IFERROR(IF(AND(ISNUMBER(F3208),ISNUMBER(H3208)),F3208-H3208,""),"")</f>
        <v/>
      </c>
      <c r="J3208" s="114" t="n"/>
      <c r="K3208" s="139">
        <f>IFERROR(IF(H3208&gt;0,H3208*IF(OR(C3208="Alpha",B3208="Alpha"),$C$9,$C$8),""),"")</f>
        <v/>
      </c>
      <c r="L3208" s="139">
        <f>IFERROR(IF(ISNUMBER(F3208),F3208-IF(ISNUMBER(K3208),K3208,0),""),"")</f>
        <v/>
      </c>
    </row>
    <row r="3209" ht="24" customHeight="1" s="63">
      <c r="E3209" s="139" t="n"/>
      <c r="F3209" s="139" t="n"/>
      <c r="G3209" s="140">
        <f>IFERROR(IF(E3209&gt;0,(F3209/E3209)*1000,""),"")</f>
        <v/>
      </c>
      <c r="H3209" s="139">
        <f>IFERROR(IF(E3209&gt;0,E3209*IF(ISNUMBER(J3209),J3209,IF(OR(C3209="Alpha",B3209="Alpha"),$C$7,IF(C3209="Futures",$C$6,$C$5))),""),"")</f>
        <v/>
      </c>
      <c r="I3209" s="139">
        <f>IFERROR(IF(AND(ISNUMBER(F3209),ISNUMBER(H3209)),F3209-H3209,""),"")</f>
        <v/>
      </c>
      <c r="J3209" s="114" t="n"/>
      <c r="K3209" s="139">
        <f>IFERROR(IF(H3209&gt;0,H3209*IF(OR(C3209="Alpha",B3209="Alpha"),$C$9,$C$8),""),"")</f>
        <v/>
      </c>
      <c r="L3209" s="139">
        <f>IFERROR(IF(ISNUMBER(F3209),F3209-IF(ISNUMBER(K3209),K3209,0),""),"")</f>
        <v/>
      </c>
    </row>
    <row r="3210" ht="24" customHeight="1" s="63">
      <c r="E3210" s="139" t="n"/>
      <c r="F3210" s="139" t="n"/>
      <c r="G3210" s="140">
        <f>IFERROR(IF(E3210&gt;0,(F3210/E3210)*1000,""),"")</f>
        <v/>
      </c>
      <c r="H3210" s="139">
        <f>IFERROR(IF(E3210&gt;0,E3210*IF(ISNUMBER(J3210),J3210,IF(OR(C3210="Alpha",B3210="Alpha"),$C$7,IF(C3210="Futures",$C$6,$C$5))),""),"")</f>
        <v/>
      </c>
      <c r="I3210" s="139">
        <f>IFERROR(IF(AND(ISNUMBER(F3210),ISNUMBER(H3210)),F3210-H3210,""),"")</f>
        <v/>
      </c>
      <c r="J3210" s="114" t="n"/>
      <c r="K3210" s="139">
        <f>IFERROR(IF(H3210&gt;0,H3210*IF(OR(C3210="Alpha",B3210="Alpha"),$C$9,$C$8),""),"")</f>
        <v/>
      </c>
      <c r="L3210" s="139">
        <f>IFERROR(IF(ISNUMBER(F3210),F3210-IF(ISNUMBER(K3210),K3210,0),""),"")</f>
        <v/>
      </c>
    </row>
    <row r="3211" ht="24" customHeight="1" s="63">
      <c r="E3211" s="139" t="n"/>
      <c r="F3211" s="139" t="n"/>
      <c r="G3211" s="140">
        <f>IFERROR(IF(E3211&gt;0,(F3211/E3211)*1000,""),"")</f>
        <v/>
      </c>
      <c r="H3211" s="139">
        <f>IFERROR(IF(E3211&gt;0,E3211*IF(ISNUMBER(J3211),J3211,IF(OR(C3211="Alpha",B3211="Alpha"),$C$7,IF(C3211="Futures",$C$6,$C$5))),""),"")</f>
        <v/>
      </c>
      <c r="I3211" s="139">
        <f>IFERROR(IF(AND(ISNUMBER(F3211),ISNUMBER(H3211)),F3211-H3211,""),"")</f>
        <v/>
      </c>
      <c r="J3211" s="114" t="n"/>
      <c r="K3211" s="139">
        <f>IFERROR(IF(H3211&gt;0,H3211*IF(OR(C3211="Alpha",B3211="Alpha"),$C$9,$C$8),""),"")</f>
        <v/>
      </c>
      <c r="L3211" s="139">
        <f>IFERROR(IF(ISNUMBER(F3211),F3211-IF(ISNUMBER(K3211),K3211,0),""),"")</f>
        <v/>
      </c>
    </row>
    <row r="3212" ht="24" customHeight="1" s="63">
      <c r="E3212" s="139" t="n"/>
      <c r="F3212" s="139" t="n"/>
      <c r="G3212" s="140">
        <f>IFERROR(IF(E3212&gt;0,(F3212/E3212)*1000,""),"")</f>
        <v/>
      </c>
      <c r="H3212" s="139">
        <f>IFERROR(IF(E3212&gt;0,E3212*IF(ISNUMBER(J3212),J3212,IF(OR(C3212="Alpha",B3212="Alpha"),$C$7,IF(C3212="Futures",$C$6,$C$5))),""),"")</f>
        <v/>
      </c>
      <c r="I3212" s="139">
        <f>IFERROR(IF(AND(ISNUMBER(F3212),ISNUMBER(H3212)),F3212-H3212,""),"")</f>
        <v/>
      </c>
      <c r="J3212" s="114" t="n"/>
      <c r="K3212" s="139">
        <f>IFERROR(IF(H3212&gt;0,H3212*IF(OR(C3212="Alpha",B3212="Alpha"),$C$9,$C$8),""),"")</f>
        <v/>
      </c>
      <c r="L3212" s="139">
        <f>IFERROR(IF(ISNUMBER(F3212),F3212-IF(ISNUMBER(K3212),K3212,0),""),"")</f>
        <v/>
      </c>
    </row>
    <row r="3213" ht="24" customHeight="1" s="63">
      <c r="E3213" s="139" t="n"/>
      <c r="F3213" s="139" t="n"/>
      <c r="G3213" s="140">
        <f>IFERROR(IF(E3213&gt;0,(F3213/E3213)*1000,""),"")</f>
        <v/>
      </c>
      <c r="H3213" s="139">
        <f>IFERROR(IF(E3213&gt;0,E3213*IF(ISNUMBER(J3213),J3213,IF(OR(C3213="Alpha",B3213="Alpha"),$C$7,IF(C3213="Futures",$C$6,$C$5))),""),"")</f>
        <v/>
      </c>
      <c r="I3213" s="139">
        <f>IFERROR(IF(AND(ISNUMBER(F3213),ISNUMBER(H3213)),F3213-H3213,""),"")</f>
        <v/>
      </c>
      <c r="J3213" s="114" t="n"/>
      <c r="K3213" s="139">
        <f>IFERROR(IF(H3213&gt;0,H3213*IF(OR(C3213="Alpha",B3213="Alpha"),$C$9,$C$8),""),"")</f>
        <v/>
      </c>
      <c r="L3213" s="139">
        <f>IFERROR(IF(ISNUMBER(F3213),F3213-IF(ISNUMBER(K3213),K3213,0),""),"")</f>
        <v/>
      </c>
    </row>
    <row r="3214" ht="24" customHeight="1" s="63">
      <c r="E3214" s="139" t="n"/>
      <c r="F3214" s="139" t="n"/>
      <c r="G3214" s="140">
        <f>IFERROR(IF(E3214&gt;0,(F3214/E3214)*1000,""),"")</f>
        <v/>
      </c>
      <c r="H3214" s="139">
        <f>IFERROR(IF(E3214&gt;0,E3214*IF(ISNUMBER(J3214),J3214,IF(OR(C3214="Alpha",B3214="Alpha"),$C$7,IF(C3214="Futures",$C$6,$C$5))),""),"")</f>
        <v/>
      </c>
      <c r="I3214" s="139">
        <f>IFERROR(IF(AND(ISNUMBER(F3214),ISNUMBER(H3214)),F3214-H3214,""),"")</f>
        <v/>
      </c>
      <c r="J3214" s="114" t="n"/>
      <c r="K3214" s="139">
        <f>IFERROR(IF(H3214&gt;0,H3214*IF(OR(C3214="Alpha",B3214="Alpha"),$C$9,$C$8),""),"")</f>
        <v/>
      </c>
      <c r="L3214" s="139">
        <f>IFERROR(IF(ISNUMBER(F3214),F3214-IF(ISNUMBER(K3214),K3214,0),""),"")</f>
        <v/>
      </c>
    </row>
    <row r="3215" ht="24" customHeight="1" s="63">
      <c r="E3215" s="139" t="n"/>
      <c r="F3215" s="139" t="n"/>
      <c r="G3215" s="140">
        <f>IFERROR(IF(E3215&gt;0,(F3215/E3215)*1000,""),"")</f>
        <v/>
      </c>
      <c r="H3215" s="139">
        <f>IFERROR(IF(E3215&gt;0,E3215*IF(ISNUMBER(J3215),J3215,IF(OR(C3215="Alpha",B3215="Alpha"),$C$7,IF(C3215="Futures",$C$6,$C$5))),""),"")</f>
        <v/>
      </c>
      <c r="I3215" s="139">
        <f>IFERROR(IF(AND(ISNUMBER(F3215),ISNUMBER(H3215)),F3215-H3215,""),"")</f>
        <v/>
      </c>
      <c r="J3215" s="114" t="n"/>
      <c r="K3215" s="139">
        <f>IFERROR(IF(H3215&gt;0,H3215*IF(OR(C3215="Alpha",B3215="Alpha"),$C$9,$C$8),""),"")</f>
        <v/>
      </c>
      <c r="L3215" s="139">
        <f>IFERROR(IF(ISNUMBER(F3215),F3215-IF(ISNUMBER(K3215),K3215,0),""),"")</f>
        <v/>
      </c>
    </row>
    <row r="3216" ht="24" customHeight="1" s="63">
      <c r="E3216" s="139" t="n"/>
      <c r="F3216" s="139" t="n"/>
      <c r="G3216" s="140">
        <f>IFERROR(IF(E3216&gt;0,(F3216/E3216)*1000,""),"")</f>
        <v/>
      </c>
      <c r="H3216" s="139">
        <f>IFERROR(IF(E3216&gt;0,E3216*IF(ISNUMBER(J3216),J3216,IF(OR(C3216="Alpha",B3216="Alpha"),$C$7,IF(C3216="Futures",$C$6,$C$5))),""),"")</f>
        <v/>
      </c>
      <c r="I3216" s="139">
        <f>IFERROR(IF(AND(ISNUMBER(F3216),ISNUMBER(H3216)),F3216-H3216,""),"")</f>
        <v/>
      </c>
      <c r="J3216" s="114" t="n"/>
      <c r="K3216" s="139">
        <f>IFERROR(IF(H3216&gt;0,H3216*IF(OR(C3216="Alpha",B3216="Alpha"),$C$9,$C$8),""),"")</f>
        <v/>
      </c>
      <c r="L3216" s="139">
        <f>IFERROR(IF(ISNUMBER(F3216),F3216-IF(ISNUMBER(K3216),K3216,0),""),"")</f>
        <v/>
      </c>
    </row>
    <row r="3217" ht="24" customHeight="1" s="63">
      <c r="E3217" s="139" t="n"/>
      <c r="F3217" s="139" t="n"/>
      <c r="G3217" s="140">
        <f>IFERROR(IF(E3217&gt;0,(F3217/E3217)*1000,""),"")</f>
        <v/>
      </c>
      <c r="H3217" s="139">
        <f>IFERROR(IF(E3217&gt;0,E3217*IF(ISNUMBER(J3217),J3217,IF(OR(C3217="Alpha",B3217="Alpha"),$C$7,IF(C3217="Futures",$C$6,$C$5))),""),"")</f>
        <v/>
      </c>
      <c r="I3217" s="139">
        <f>IFERROR(IF(AND(ISNUMBER(F3217),ISNUMBER(H3217)),F3217-H3217,""),"")</f>
        <v/>
      </c>
      <c r="J3217" s="114" t="n"/>
      <c r="K3217" s="139">
        <f>IFERROR(IF(H3217&gt;0,H3217*IF(OR(C3217="Alpha",B3217="Alpha"),$C$9,$C$8),""),"")</f>
        <v/>
      </c>
      <c r="L3217" s="139">
        <f>IFERROR(IF(ISNUMBER(F3217),F3217-IF(ISNUMBER(K3217),K3217,0),""),"")</f>
        <v/>
      </c>
    </row>
    <row r="3218" ht="24" customHeight="1" s="63">
      <c r="E3218" s="139" t="n"/>
      <c r="F3218" s="139" t="n"/>
      <c r="G3218" s="140">
        <f>IFERROR(IF(E3218&gt;0,(F3218/E3218)*1000,""),"")</f>
        <v/>
      </c>
      <c r="H3218" s="139">
        <f>IFERROR(IF(E3218&gt;0,E3218*IF(ISNUMBER(J3218),J3218,IF(OR(C3218="Alpha",B3218="Alpha"),$C$7,IF(C3218="Futures",$C$6,$C$5))),""),"")</f>
        <v/>
      </c>
      <c r="I3218" s="139">
        <f>IFERROR(IF(AND(ISNUMBER(F3218),ISNUMBER(H3218)),F3218-H3218,""),"")</f>
        <v/>
      </c>
      <c r="J3218" s="114" t="n"/>
      <c r="K3218" s="139">
        <f>IFERROR(IF(H3218&gt;0,H3218*IF(OR(C3218="Alpha",B3218="Alpha"),$C$9,$C$8),""),"")</f>
        <v/>
      </c>
      <c r="L3218" s="139">
        <f>IFERROR(IF(ISNUMBER(F3218),F3218-IF(ISNUMBER(K3218),K3218,0),""),"")</f>
        <v/>
      </c>
    </row>
    <row r="3219" ht="24" customHeight="1" s="63">
      <c r="E3219" s="139" t="n"/>
      <c r="F3219" s="139" t="n"/>
      <c r="G3219" s="140">
        <f>IFERROR(IF(E3219&gt;0,(F3219/E3219)*1000,""),"")</f>
        <v/>
      </c>
      <c r="H3219" s="139">
        <f>IFERROR(IF(E3219&gt;0,E3219*IF(ISNUMBER(J3219),J3219,IF(OR(C3219="Alpha",B3219="Alpha"),$C$7,IF(C3219="Futures",$C$6,$C$5))),""),"")</f>
        <v/>
      </c>
      <c r="I3219" s="139">
        <f>IFERROR(IF(AND(ISNUMBER(F3219),ISNUMBER(H3219)),F3219-H3219,""),"")</f>
        <v/>
      </c>
      <c r="J3219" s="114" t="n"/>
      <c r="K3219" s="139">
        <f>IFERROR(IF(H3219&gt;0,H3219*IF(OR(C3219="Alpha",B3219="Alpha"),$C$9,$C$8),""),"")</f>
        <v/>
      </c>
      <c r="L3219" s="139">
        <f>IFERROR(IF(ISNUMBER(F3219),F3219-IF(ISNUMBER(K3219),K3219,0),""),"")</f>
        <v/>
      </c>
    </row>
    <row r="3220" ht="24" customHeight="1" s="63">
      <c r="E3220" s="139" t="n"/>
      <c r="F3220" s="139" t="n"/>
      <c r="G3220" s="140">
        <f>IFERROR(IF(E3220&gt;0,(F3220/E3220)*1000,""),"")</f>
        <v/>
      </c>
      <c r="H3220" s="139">
        <f>IFERROR(IF(E3220&gt;0,E3220*IF(ISNUMBER(J3220),J3220,IF(OR(C3220="Alpha",B3220="Alpha"),$C$7,IF(C3220="Futures",$C$6,$C$5))),""),"")</f>
        <v/>
      </c>
      <c r="I3220" s="139">
        <f>IFERROR(IF(AND(ISNUMBER(F3220),ISNUMBER(H3220)),F3220-H3220,""),"")</f>
        <v/>
      </c>
      <c r="J3220" s="114" t="n"/>
      <c r="K3220" s="139">
        <f>IFERROR(IF(H3220&gt;0,H3220*IF(OR(C3220="Alpha",B3220="Alpha"),$C$9,$C$8),""),"")</f>
        <v/>
      </c>
      <c r="L3220" s="139">
        <f>IFERROR(IF(ISNUMBER(F3220),F3220-IF(ISNUMBER(K3220),K3220,0),""),"")</f>
        <v/>
      </c>
    </row>
    <row r="3221" ht="24" customHeight="1" s="63">
      <c r="E3221" s="139" t="n"/>
      <c r="F3221" s="139" t="n"/>
      <c r="G3221" s="140">
        <f>IFERROR(IF(E3221&gt;0,(F3221/E3221)*1000,""),"")</f>
        <v/>
      </c>
      <c r="H3221" s="139">
        <f>IFERROR(IF(E3221&gt;0,E3221*IF(ISNUMBER(J3221),J3221,IF(OR(C3221="Alpha",B3221="Alpha"),$C$7,IF(C3221="Futures",$C$6,$C$5))),""),"")</f>
        <v/>
      </c>
      <c r="I3221" s="139">
        <f>IFERROR(IF(AND(ISNUMBER(F3221),ISNUMBER(H3221)),F3221-H3221,""),"")</f>
        <v/>
      </c>
      <c r="J3221" s="114" t="n"/>
      <c r="K3221" s="139">
        <f>IFERROR(IF(H3221&gt;0,H3221*IF(OR(C3221="Alpha",B3221="Alpha"),$C$9,$C$8),""),"")</f>
        <v/>
      </c>
      <c r="L3221" s="139">
        <f>IFERROR(IF(ISNUMBER(F3221),F3221-IF(ISNUMBER(K3221),K3221,0),""),"")</f>
        <v/>
      </c>
    </row>
    <row r="3222" ht="24" customHeight="1" s="63">
      <c r="E3222" s="139" t="n"/>
      <c r="F3222" s="139" t="n"/>
      <c r="G3222" s="140">
        <f>IFERROR(IF(E3222&gt;0,(F3222/E3222)*1000,""),"")</f>
        <v/>
      </c>
      <c r="H3222" s="139">
        <f>IFERROR(IF(E3222&gt;0,E3222*IF(ISNUMBER(J3222),J3222,IF(OR(C3222="Alpha",B3222="Alpha"),$C$7,IF(C3222="Futures",$C$6,$C$5))),""),"")</f>
        <v/>
      </c>
      <c r="I3222" s="139">
        <f>IFERROR(IF(AND(ISNUMBER(F3222),ISNUMBER(H3222)),F3222-H3222,""),"")</f>
        <v/>
      </c>
      <c r="J3222" s="114" t="n"/>
      <c r="K3222" s="139">
        <f>IFERROR(IF(H3222&gt;0,H3222*IF(OR(C3222="Alpha",B3222="Alpha"),$C$9,$C$8),""),"")</f>
        <v/>
      </c>
      <c r="L3222" s="139">
        <f>IFERROR(IF(ISNUMBER(F3222),F3222-IF(ISNUMBER(K3222),K3222,0),""),"")</f>
        <v/>
      </c>
    </row>
    <row r="3223" ht="24" customHeight="1" s="63">
      <c r="E3223" s="139" t="n"/>
      <c r="F3223" s="139" t="n"/>
      <c r="G3223" s="140">
        <f>IFERROR(IF(E3223&gt;0,(F3223/E3223)*1000,""),"")</f>
        <v/>
      </c>
      <c r="H3223" s="139">
        <f>IFERROR(IF(E3223&gt;0,E3223*IF(ISNUMBER(J3223),J3223,IF(OR(C3223="Alpha",B3223="Alpha"),$C$7,IF(C3223="Futures",$C$6,$C$5))),""),"")</f>
        <v/>
      </c>
      <c r="I3223" s="139">
        <f>IFERROR(IF(AND(ISNUMBER(F3223),ISNUMBER(H3223)),F3223-H3223,""),"")</f>
        <v/>
      </c>
      <c r="J3223" s="114" t="n"/>
      <c r="K3223" s="139">
        <f>IFERROR(IF(H3223&gt;0,H3223*IF(OR(C3223="Alpha",B3223="Alpha"),$C$9,$C$8),""),"")</f>
        <v/>
      </c>
      <c r="L3223" s="139">
        <f>IFERROR(IF(ISNUMBER(F3223),F3223-IF(ISNUMBER(K3223),K3223,0),""),"")</f>
        <v/>
      </c>
    </row>
    <row r="3224" ht="24" customHeight="1" s="63">
      <c r="E3224" s="139" t="n"/>
      <c r="F3224" s="139" t="n"/>
      <c r="G3224" s="140">
        <f>IFERROR(IF(E3224&gt;0,(F3224/E3224)*1000,""),"")</f>
        <v/>
      </c>
      <c r="H3224" s="139">
        <f>IFERROR(IF(E3224&gt;0,E3224*IF(ISNUMBER(J3224),J3224,IF(OR(C3224="Alpha",B3224="Alpha"),$C$7,IF(C3224="Futures",$C$6,$C$5))),""),"")</f>
        <v/>
      </c>
      <c r="I3224" s="139">
        <f>IFERROR(IF(AND(ISNUMBER(F3224),ISNUMBER(H3224)),F3224-H3224,""),"")</f>
        <v/>
      </c>
      <c r="J3224" s="114" t="n"/>
      <c r="K3224" s="139">
        <f>IFERROR(IF(H3224&gt;0,H3224*IF(OR(C3224="Alpha",B3224="Alpha"),$C$9,$C$8),""),"")</f>
        <v/>
      </c>
      <c r="L3224" s="139">
        <f>IFERROR(IF(ISNUMBER(F3224),F3224-IF(ISNUMBER(K3224),K3224,0),""),"")</f>
        <v/>
      </c>
    </row>
    <row r="3225" ht="24" customHeight="1" s="63">
      <c r="E3225" s="139" t="n"/>
      <c r="F3225" s="139" t="n"/>
      <c r="G3225" s="140">
        <f>IFERROR(IF(E3225&gt;0,(F3225/E3225)*1000,""),"")</f>
        <v/>
      </c>
      <c r="H3225" s="139">
        <f>IFERROR(IF(E3225&gt;0,E3225*IF(ISNUMBER(J3225),J3225,IF(OR(C3225="Alpha",B3225="Alpha"),$C$7,IF(C3225="Futures",$C$6,$C$5))),""),"")</f>
        <v/>
      </c>
      <c r="I3225" s="139">
        <f>IFERROR(IF(AND(ISNUMBER(F3225),ISNUMBER(H3225)),F3225-H3225,""),"")</f>
        <v/>
      </c>
      <c r="J3225" s="114" t="n"/>
      <c r="K3225" s="139">
        <f>IFERROR(IF(H3225&gt;0,H3225*IF(OR(C3225="Alpha",B3225="Alpha"),$C$9,$C$8),""),"")</f>
        <v/>
      </c>
      <c r="L3225" s="139">
        <f>IFERROR(IF(ISNUMBER(F3225),F3225-IF(ISNUMBER(K3225),K3225,0),""),"")</f>
        <v/>
      </c>
    </row>
    <row r="3226" ht="24" customHeight="1" s="63">
      <c r="E3226" s="139" t="n"/>
      <c r="F3226" s="139" t="n"/>
      <c r="G3226" s="140">
        <f>IFERROR(IF(E3226&gt;0,(F3226/E3226)*1000,""),"")</f>
        <v/>
      </c>
      <c r="H3226" s="139">
        <f>IFERROR(IF(E3226&gt;0,E3226*IF(ISNUMBER(J3226),J3226,IF(OR(C3226="Alpha",B3226="Alpha"),$C$7,IF(C3226="Futures",$C$6,$C$5))),""),"")</f>
        <v/>
      </c>
      <c r="I3226" s="139">
        <f>IFERROR(IF(AND(ISNUMBER(F3226),ISNUMBER(H3226)),F3226-H3226,""),"")</f>
        <v/>
      </c>
      <c r="J3226" s="114" t="n"/>
      <c r="K3226" s="139">
        <f>IFERROR(IF(H3226&gt;0,H3226*IF(OR(C3226="Alpha",B3226="Alpha"),$C$9,$C$8),""),"")</f>
        <v/>
      </c>
      <c r="L3226" s="139">
        <f>IFERROR(IF(ISNUMBER(F3226),F3226-IF(ISNUMBER(K3226),K3226,0),""),"")</f>
        <v/>
      </c>
    </row>
    <row r="3227" ht="24" customHeight="1" s="63">
      <c r="E3227" s="139" t="n"/>
      <c r="F3227" s="139" t="n"/>
      <c r="G3227" s="140">
        <f>IFERROR(IF(E3227&gt;0,(F3227/E3227)*1000,""),"")</f>
        <v/>
      </c>
      <c r="H3227" s="139">
        <f>IFERROR(IF(E3227&gt;0,E3227*IF(ISNUMBER(J3227),J3227,IF(OR(C3227="Alpha",B3227="Alpha"),$C$7,IF(C3227="Futures",$C$6,$C$5))),""),"")</f>
        <v/>
      </c>
      <c r="I3227" s="139">
        <f>IFERROR(IF(AND(ISNUMBER(F3227),ISNUMBER(H3227)),F3227-H3227,""),"")</f>
        <v/>
      </c>
      <c r="J3227" s="114" t="n"/>
      <c r="K3227" s="139">
        <f>IFERROR(IF(H3227&gt;0,H3227*IF(OR(C3227="Alpha",B3227="Alpha"),$C$9,$C$8),""),"")</f>
        <v/>
      </c>
      <c r="L3227" s="139">
        <f>IFERROR(IF(ISNUMBER(F3227),F3227-IF(ISNUMBER(K3227),K3227,0),""),"")</f>
        <v/>
      </c>
    </row>
    <row r="3228" ht="24" customHeight="1" s="63">
      <c r="E3228" s="139" t="n"/>
      <c r="F3228" s="139" t="n"/>
      <c r="G3228" s="140">
        <f>IFERROR(IF(E3228&gt;0,(F3228/E3228)*1000,""),"")</f>
        <v/>
      </c>
      <c r="H3228" s="139">
        <f>IFERROR(IF(E3228&gt;0,E3228*IF(ISNUMBER(J3228),J3228,IF(OR(C3228="Alpha",B3228="Alpha"),$C$7,IF(C3228="Futures",$C$6,$C$5))),""),"")</f>
        <v/>
      </c>
      <c r="I3228" s="139">
        <f>IFERROR(IF(AND(ISNUMBER(F3228),ISNUMBER(H3228)),F3228-H3228,""),"")</f>
        <v/>
      </c>
      <c r="J3228" s="114" t="n"/>
      <c r="K3228" s="139">
        <f>IFERROR(IF(H3228&gt;0,H3228*IF(OR(C3228="Alpha",B3228="Alpha"),$C$9,$C$8),""),"")</f>
        <v/>
      </c>
      <c r="L3228" s="139">
        <f>IFERROR(IF(ISNUMBER(F3228),F3228-IF(ISNUMBER(K3228),K3228,0),""),"")</f>
        <v/>
      </c>
    </row>
    <row r="3229" ht="24" customHeight="1" s="63">
      <c r="E3229" s="139" t="n"/>
      <c r="F3229" s="139" t="n"/>
      <c r="G3229" s="140">
        <f>IFERROR(IF(E3229&gt;0,(F3229/E3229)*1000,""),"")</f>
        <v/>
      </c>
      <c r="H3229" s="139">
        <f>IFERROR(IF(E3229&gt;0,E3229*IF(ISNUMBER(J3229),J3229,IF(OR(C3229="Alpha",B3229="Alpha"),$C$7,IF(C3229="Futures",$C$6,$C$5))),""),"")</f>
        <v/>
      </c>
      <c r="I3229" s="139">
        <f>IFERROR(IF(AND(ISNUMBER(F3229),ISNUMBER(H3229)),F3229-H3229,""),"")</f>
        <v/>
      </c>
      <c r="J3229" s="114" t="n"/>
      <c r="K3229" s="139">
        <f>IFERROR(IF(H3229&gt;0,H3229*IF(OR(C3229="Alpha",B3229="Alpha"),$C$9,$C$8),""),"")</f>
        <v/>
      </c>
      <c r="L3229" s="139">
        <f>IFERROR(IF(ISNUMBER(F3229),F3229-IF(ISNUMBER(K3229),K3229,0),""),"")</f>
        <v/>
      </c>
    </row>
    <row r="3230" ht="24" customHeight="1" s="63">
      <c r="E3230" s="139" t="n"/>
      <c r="F3230" s="139" t="n"/>
      <c r="G3230" s="140">
        <f>IFERROR(IF(E3230&gt;0,(F3230/E3230)*1000,""),"")</f>
        <v/>
      </c>
      <c r="H3230" s="139">
        <f>IFERROR(IF(E3230&gt;0,E3230*IF(ISNUMBER(J3230),J3230,IF(OR(C3230="Alpha",B3230="Alpha"),$C$7,IF(C3230="Futures",$C$6,$C$5))),""),"")</f>
        <v/>
      </c>
      <c r="I3230" s="139">
        <f>IFERROR(IF(AND(ISNUMBER(F3230),ISNUMBER(H3230)),F3230-H3230,""),"")</f>
        <v/>
      </c>
      <c r="J3230" s="114" t="n"/>
      <c r="K3230" s="139">
        <f>IFERROR(IF(H3230&gt;0,H3230*IF(OR(C3230="Alpha",B3230="Alpha"),$C$9,$C$8),""),"")</f>
        <v/>
      </c>
      <c r="L3230" s="139">
        <f>IFERROR(IF(ISNUMBER(F3230),F3230-IF(ISNUMBER(K3230),K3230,0),""),"")</f>
        <v/>
      </c>
    </row>
    <row r="3231" ht="24" customHeight="1" s="63">
      <c r="E3231" s="139" t="n"/>
      <c r="F3231" s="139" t="n"/>
      <c r="G3231" s="140">
        <f>IFERROR(IF(E3231&gt;0,(F3231/E3231)*1000,""),"")</f>
        <v/>
      </c>
      <c r="H3231" s="139">
        <f>IFERROR(IF(E3231&gt;0,E3231*IF(ISNUMBER(J3231),J3231,IF(OR(C3231="Alpha",B3231="Alpha"),$C$7,IF(C3231="Futures",$C$6,$C$5))),""),"")</f>
        <v/>
      </c>
      <c r="I3231" s="139">
        <f>IFERROR(IF(AND(ISNUMBER(F3231),ISNUMBER(H3231)),F3231-H3231,""),"")</f>
        <v/>
      </c>
      <c r="J3231" s="114" t="n"/>
      <c r="K3231" s="139">
        <f>IFERROR(IF(H3231&gt;0,H3231*IF(OR(C3231="Alpha",B3231="Alpha"),$C$9,$C$8),""),"")</f>
        <v/>
      </c>
      <c r="L3231" s="139">
        <f>IFERROR(IF(ISNUMBER(F3231),F3231-IF(ISNUMBER(K3231),K3231,0),""),"")</f>
        <v/>
      </c>
    </row>
    <row r="3232" ht="24" customHeight="1" s="63">
      <c r="E3232" s="139" t="n"/>
      <c r="F3232" s="139" t="n"/>
      <c r="G3232" s="140">
        <f>IFERROR(IF(E3232&gt;0,(F3232/E3232)*1000,""),"")</f>
        <v/>
      </c>
      <c r="H3232" s="139">
        <f>IFERROR(IF(E3232&gt;0,E3232*IF(ISNUMBER(J3232),J3232,IF(OR(C3232="Alpha",B3232="Alpha"),$C$7,IF(C3232="Futures",$C$6,$C$5))),""),"")</f>
        <v/>
      </c>
      <c r="I3232" s="139">
        <f>IFERROR(IF(AND(ISNUMBER(F3232),ISNUMBER(H3232)),F3232-H3232,""),"")</f>
        <v/>
      </c>
      <c r="J3232" s="114" t="n"/>
      <c r="K3232" s="139">
        <f>IFERROR(IF(H3232&gt;0,H3232*IF(OR(C3232="Alpha",B3232="Alpha"),$C$9,$C$8),""),"")</f>
        <v/>
      </c>
      <c r="L3232" s="139">
        <f>IFERROR(IF(ISNUMBER(F3232),F3232-IF(ISNUMBER(K3232),K3232,0),""),"")</f>
        <v/>
      </c>
    </row>
    <row r="3233" ht="24" customHeight="1" s="63">
      <c r="E3233" s="139" t="n"/>
      <c r="F3233" s="139" t="n"/>
      <c r="G3233" s="140">
        <f>IFERROR(IF(E3233&gt;0,(F3233/E3233)*1000,""),"")</f>
        <v/>
      </c>
      <c r="H3233" s="139">
        <f>IFERROR(IF(E3233&gt;0,E3233*IF(ISNUMBER(J3233),J3233,IF(OR(C3233="Alpha",B3233="Alpha"),$C$7,IF(C3233="Futures",$C$6,$C$5))),""),"")</f>
        <v/>
      </c>
      <c r="I3233" s="139">
        <f>IFERROR(IF(AND(ISNUMBER(F3233),ISNUMBER(H3233)),F3233-H3233,""),"")</f>
        <v/>
      </c>
      <c r="J3233" s="114" t="n"/>
      <c r="K3233" s="139">
        <f>IFERROR(IF(H3233&gt;0,H3233*IF(OR(C3233="Alpha",B3233="Alpha"),$C$9,$C$8),""),"")</f>
        <v/>
      </c>
      <c r="L3233" s="139">
        <f>IFERROR(IF(ISNUMBER(F3233),F3233-IF(ISNUMBER(K3233),K3233,0),""),"")</f>
        <v/>
      </c>
    </row>
    <row r="3234" ht="24" customHeight="1" s="63">
      <c r="E3234" s="139" t="n"/>
      <c r="F3234" s="139" t="n"/>
      <c r="G3234" s="140">
        <f>IFERROR(IF(E3234&gt;0,(F3234/E3234)*1000,""),"")</f>
        <v/>
      </c>
      <c r="H3234" s="139">
        <f>IFERROR(IF(E3234&gt;0,E3234*IF(ISNUMBER(J3234),J3234,IF(OR(C3234="Alpha",B3234="Alpha"),$C$7,IF(C3234="Futures",$C$6,$C$5))),""),"")</f>
        <v/>
      </c>
      <c r="I3234" s="139">
        <f>IFERROR(IF(AND(ISNUMBER(F3234),ISNUMBER(H3234)),F3234-H3234,""),"")</f>
        <v/>
      </c>
      <c r="J3234" s="114" t="n"/>
      <c r="K3234" s="139">
        <f>IFERROR(IF(H3234&gt;0,H3234*IF(OR(C3234="Alpha",B3234="Alpha"),$C$9,$C$8),""),"")</f>
        <v/>
      </c>
      <c r="L3234" s="139">
        <f>IFERROR(IF(ISNUMBER(F3234),F3234-IF(ISNUMBER(K3234),K3234,0),""),"")</f>
        <v/>
      </c>
    </row>
    <row r="3235" ht="24" customHeight="1" s="63">
      <c r="E3235" s="139" t="n"/>
      <c r="F3235" s="139" t="n"/>
      <c r="G3235" s="140">
        <f>IFERROR(IF(E3235&gt;0,(F3235/E3235)*1000,""),"")</f>
        <v/>
      </c>
      <c r="H3235" s="139">
        <f>IFERROR(IF(E3235&gt;0,E3235*IF(ISNUMBER(J3235),J3235,IF(OR(C3235="Alpha",B3235="Alpha"),$C$7,IF(C3235="Futures",$C$6,$C$5))),""),"")</f>
        <v/>
      </c>
      <c r="I3235" s="139">
        <f>IFERROR(IF(AND(ISNUMBER(F3235),ISNUMBER(H3235)),F3235-H3235,""),"")</f>
        <v/>
      </c>
      <c r="J3235" s="114" t="n"/>
      <c r="K3235" s="139">
        <f>IFERROR(IF(H3235&gt;0,H3235*IF(OR(C3235="Alpha",B3235="Alpha"),$C$9,$C$8),""),"")</f>
        <v/>
      </c>
      <c r="L3235" s="139">
        <f>IFERROR(IF(ISNUMBER(F3235),F3235-IF(ISNUMBER(K3235),K3235,0),""),"")</f>
        <v/>
      </c>
    </row>
    <row r="3236" ht="24" customHeight="1" s="63">
      <c r="E3236" s="139" t="n"/>
      <c r="F3236" s="139" t="n"/>
      <c r="G3236" s="140">
        <f>IFERROR(IF(E3236&gt;0,(F3236/E3236)*1000,""),"")</f>
        <v/>
      </c>
      <c r="H3236" s="139">
        <f>IFERROR(IF(E3236&gt;0,E3236*IF(ISNUMBER(J3236),J3236,IF(OR(C3236="Alpha",B3236="Alpha"),$C$7,IF(C3236="Futures",$C$6,$C$5))),""),"")</f>
        <v/>
      </c>
      <c r="I3236" s="139">
        <f>IFERROR(IF(AND(ISNUMBER(F3236),ISNUMBER(H3236)),F3236-H3236,""),"")</f>
        <v/>
      </c>
      <c r="J3236" s="114" t="n"/>
      <c r="K3236" s="139">
        <f>IFERROR(IF(H3236&gt;0,H3236*IF(OR(C3236="Alpha",B3236="Alpha"),$C$9,$C$8),""),"")</f>
        <v/>
      </c>
      <c r="L3236" s="139">
        <f>IFERROR(IF(ISNUMBER(F3236),F3236-IF(ISNUMBER(K3236),K3236,0),""),"")</f>
        <v/>
      </c>
    </row>
    <row r="3237" ht="24" customHeight="1" s="63">
      <c r="E3237" s="139" t="n"/>
      <c r="F3237" s="139" t="n"/>
      <c r="G3237" s="140">
        <f>IFERROR(IF(E3237&gt;0,(F3237/E3237)*1000,""),"")</f>
        <v/>
      </c>
      <c r="H3237" s="139">
        <f>IFERROR(IF(E3237&gt;0,E3237*IF(ISNUMBER(J3237),J3237,IF(OR(C3237="Alpha",B3237="Alpha"),$C$7,IF(C3237="Futures",$C$6,$C$5))),""),"")</f>
        <v/>
      </c>
      <c r="I3237" s="139">
        <f>IFERROR(IF(AND(ISNUMBER(F3237),ISNUMBER(H3237)),F3237-H3237,""),"")</f>
        <v/>
      </c>
      <c r="J3237" s="114" t="n"/>
      <c r="K3237" s="139">
        <f>IFERROR(IF(H3237&gt;0,H3237*IF(OR(C3237="Alpha",B3237="Alpha"),$C$9,$C$8),""),"")</f>
        <v/>
      </c>
      <c r="L3237" s="139">
        <f>IFERROR(IF(ISNUMBER(F3237),F3237-IF(ISNUMBER(K3237),K3237,0),""),"")</f>
        <v/>
      </c>
    </row>
    <row r="3238" ht="24" customHeight="1" s="63">
      <c r="E3238" s="139" t="n"/>
      <c r="F3238" s="139" t="n"/>
      <c r="G3238" s="140">
        <f>IFERROR(IF(E3238&gt;0,(F3238/E3238)*1000,""),"")</f>
        <v/>
      </c>
      <c r="H3238" s="139">
        <f>IFERROR(IF(E3238&gt;0,E3238*IF(ISNUMBER(J3238),J3238,IF(OR(C3238="Alpha",B3238="Alpha"),$C$7,IF(C3238="Futures",$C$6,$C$5))),""),"")</f>
        <v/>
      </c>
      <c r="I3238" s="139">
        <f>IFERROR(IF(AND(ISNUMBER(F3238),ISNUMBER(H3238)),F3238-H3238,""),"")</f>
        <v/>
      </c>
      <c r="J3238" s="114" t="n"/>
      <c r="K3238" s="139">
        <f>IFERROR(IF(H3238&gt;0,H3238*IF(OR(C3238="Alpha",B3238="Alpha"),$C$9,$C$8),""),"")</f>
        <v/>
      </c>
      <c r="L3238" s="139">
        <f>IFERROR(IF(ISNUMBER(F3238),F3238-IF(ISNUMBER(K3238),K3238,0),""),"")</f>
        <v/>
      </c>
    </row>
    <row r="3239" ht="24" customHeight="1" s="63">
      <c r="E3239" s="139" t="n"/>
      <c r="F3239" s="139" t="n"/>
      <c r="G3239" s="140">
        <f>IFERROR(IF(E3239&gt;0,(F3239/E3239)*1000,""),"")</f>
        <v/>
      </c>
      <c r="H3239" s="139">
        <f>IFERROR(IF(E3239&gt;0,E3239*IF(ISNUMBER(J3239),J3239,IF(OR(C3239="Alpha",B3239="Alpha"),$C$7,IF(C3239="Futures",$C$6,$C$5))),""),"")</f>
        <v/>
      </c>
      <c r="I3239" s="139">
        <f>IFERROR(IF(AND(ISNUMBER(F3239),ISNUMBER(H3239)),F3239-H3239,""),"")</f>
        <v/>
      </c>
      <c r="J3239" s="114" t="n"/>
      <c r="K3239" s="139">
        <f>IFERROR(IF(H3239&gt;0,H3239*IF(OR(C3239="Alpha",B3239="Alpha"),$C$9,$C$8),""),"")</f>
        <v/>
      </c>
      <c r="L3239" s="139">
        <f>IFERROR(IF(ISNUMBER(F3239),F3239-IF(ISNUMBER(K3239),K3239,0),""),"")</f>
        <v/>
      </c>
    </row>
    <row r="3240" ht="24" customHeight="1" s="63">
      <c r="E3240" s="139" t="n"/>
      <c r="F3240" s="139" t="n"/>
      <c r="G3240" s="140">
        <f>IFERROR(IF(E3240&gt;0,(F3240/E3240)*1000,""),"")</f>
        <v/>
      </c>
      <c r="H3240" s="139">
        <f>IFERROR(IF(E3240&gt;0,E3240*IF(ISNUMBER(J3240),J3240,IF(OR(C3240="Alpha",B3240="Alpha"),$C$7,IF(C3240="Futures",$C$6,$C$5))),""),"")</f>
        <v/>
      </c>
      <c r="I3240" s="139">
        <f>IFERROR(IF(AND(ISNUMBER(F3240),ISNUMBER(H3240)),F3240-H3240,""),"")</f>
        <v/>
      </c>
      <c r="J3240" s="114" t="n"/>
      <c r="K3240" s="139">
        <f>IFERROR(IF(H3240&gt;0,H3240*IF(OR(C3240="Alpha",B3240="Alpha"),$C$9,$C$8),""),"")</f>
        <v/>
      </c>
      <c r="L3240" s="139">
        <f>IFERROR(IF(ISNUMBER(F3240),F3240-IF(ISNUMBER(K3240),K3240,0),""),"")</f>
        <v/>
      </c>
    </row>
    <row r="3241" ht="24" customHeight="1" s="63">
      <c r="E3241" s="139" t="n"/>
      <c r="F3241" s="139" t="n"/>
      <c r="G3241" s="140">
        <f>IFERROR(IF(E3241&gt;0,(F3241/E3241)*1000,""),"")</f>
        <v/>
      </c>
      <c r="H3241" s="139">
        <f>IFERROR(IF(E3241&gt;0,E3241*IF(ISNUMBER(J3241),J3241,IF(OR(C3241="Alpha",B3241="Alpha"),$C$7,IF(C3241="Futures",$C$6,$C$5))),""),"")</f>
        <v/>
      </c>
      <c r="I3241" s="139">
        <f>IFERROR(IF(AND(ISNUMBER(F3241),ISNUMBER(H3241)),F3241-H3241,""),"")</f>
        <v/>
      </c>
      <c r="J3241" s="114" t="n"/>
      <c r="K3241" s="139">
        <f>IFERROR(IF(H3241&gt;0,H3241*IF(OR(C3241="Alpha",B3241="Alpha"),$C$9,$C$8),""),"")</f>
        <v/>
      </c>
      <c r="L3241" s="139">
        <f>IFERROR(IF(ISNUMBER(F3241),F3241-IF(ISNUMBER(K3241),K3241,0),""),"")</f>
        <v/>
      </c>
    </row>
    <row r="3242" ht="24" customHeight="1" s="63">
      <c r="E3242" s="139" t="n"/>
      <c r="F3242" s="139" t="n"/>
      <c r="G3242" s="140">
        <f>IFERROR(IF(E3242&gt;0,(F3242/E3242)*1000,""),"")</f>
        <v/>
      </c>
      <c r="H3242" s="139">
        <f>IFERROR(IF(E3242&gt;0,E3242*IF(ISNUMBER(J3242),J3242,IF(OR(C3242="Alpha",B3242="Alpha"),$C$7,IF(C3242="Futures",$C$6,$C$5))),""),"")</f>
        <v/>
      </c>
      <c r="I3242" s="139">
        <f>IFERROR(IF(AND(ISNUMBER(F3242),ISNUMBER(H3242)),F3242-H3242,""),"")</f>
        <v/>
      </c>
      <c r="J3242" s="114" t="n"/>
      <c r="K3242" s="139">
        <f>IFERROR(IF(H3242&gt;0,H3242*IF(OR(C3242="Alpha",B3242="Alpha"),$C$9,$C$8),""),"")</f>
        <v/>
      </c>
      <c r="L3242" s="139">
        <f>IFERROR(IF(ISNUMBER(F3242),F3242-IF(ISNUMBER(K3242),K3242,0),""),"")</f>
        <v/>
      </c>
    </row>
    <row r="3243" ht="24" customHeight="1" s="63">
      <c r="E3243" s="139" t="n"/>
      <c r="F3243" s="139" t="n"/>
      <c r="G3243" s="140">
        <f>IFERROR(IF(E3243&gt;0,(F3243/E3243)*1000,""),"")</f>
        <v/>
      </c>
      <c r="H3243" s="139">
        <f>IFERROR(IF(E3243&gt;0,E3243*IF(ISNUMBER(J3243),J3243,IF(OR(C3243="Alpha",B3243="Alpha"),$C$7,IF(C3243="Futures",$C$6,$C$5))),""),"")</f>
        <v/>
      </c>
      <c r="I3243" s="139">
        <f>IFERROR(IF(AND(ISNUMBER(F3243),ISNUMBER(H3243)),F3243-H3243,""),"")</f>
        <v/>
      </c>
      <c r="J3243" s="114" t="n"/>
      <c r="K3243" s="139">
        <f>IFERROR(IF(H3243&gt;0,H3243*IF(OR(C3243="Alpha",B3243="Alpha"),$C$9,$C$8),""),"")</f>
        <v/>
      </c>
      <c r="L3243" s="139">
        <f>IFERROR(IF(ISNUMBER(F3243),F3243-IF(ISNUMBER(K3243),K3243,0),""),"")</f>
        <v/>
      </c>
    </row>
    <row r="3244" ht="24" customHeight="1" s="63">
      <c r="E3244" s="139" t="n"/>
      <c r="F3244" s="139" t="n"/>
      <c r="G3244" s="140">
        <f>IFERROR(IF(E3244&gt;0,(F3244/E3244)*1000,""),"")</f>
        <v/>
      </c>
      <c r="H3244" s="139">
        <f>IFERROR(IF(E3244&gt;0,E3244*IF(ISNUMBER(J3244),J3244,IF(OR(C3244="Alpha",B3244="Alpha"),$C$7,IF(C3244="Futures",$C$6,$C$5))),""),"")</f>
        <v/>
      </c>
      <c r="I3244" s="139">
        <f>IFERROR(IF(AND(ISNUMBER(F3244),ISNUMBER(H3244)),F3244-H3244,""),"")</f>
        <v/>
      </c>
      <c r="J3244" s="114" t="n"/>
      <c r="K3244" s="139">
        <f>IFERROR(IF(H3244&gt;0,H3244*IF(OR(C3244="Alpha",B3244="Alpha"),$C$9,$C$8),""),"")</f>
        <v/>
      </c>
      <c r="L3244" s="139">
        <f>IFERROR(IF(ISNUMBER(F3244),F3244-IF(ISNUMBER(K3244),K3244,0),""),"")</f>
        <v/>
      </c>
    </row>
    <row r="3245" ht="24" customHeight="1" s="63">
      <c r="E3245" s="139" t="n"/>
      <c r="F3245" s="139" t="n"/>
      <c r="G3245" s="140">
        <f>IFERROR(IF(E3245&gt;0,(F3245/E3245)*1000,""),"")</f>
        <v/>
      </c>
      <c r="H3245" s="139">
        <f>IFERROR(IF(E3245&gt;0,E3245*IF(ISNUMBER(J3245),J3245,IF(OR(C3245="Alpha",B3245="Alpha"),$C$7,IF(C3245="Futures",$C$6,$C$5))),""),"")</f>
        <v/>
      </c>
      <c r="I3245" s="139">
        <f>IFERROR(IF(AND(ISNUMBER(F3245),ISNUMBER(H3245)),F3245-H3245,""),"")</f>
        <v/>
      </c>
      <c r="J3245" s="114" t="n"/>
      <c r="K3245" s="139">
        <f>IFERROR(IF(H3245&gt;0,H3245*IF(OR(C3245="Alpha",B3245="Alpha"),$C$9,$C$8),""),"")</f>
        <v/>
      </c>
      <c r="L3245" s="139">
        <f>IFERROR(IF(ISNUMBER(F3245),F3245-IF(ISNUMBER(K3245),K3245,0),""),"")</f>
        <v/>
      </c>
    </row>
    <row r="3246" ht="24" customHeight="1" s="63">
      <c r="E3246" s="139" t="n"/>
      <c r="F3246" s="139" t="n"/>
      <c r="G3246" s="140">
        <f>IFERROR(IF(E3246&gt;0,(F3246/E3246)*1000,""),"")</f>
        <v/>
      </c>
      <c r="H3246" s="139">
        <f>IFERROR(IF(E3246&gt;0,E3246*IF(ISNUMBER(J3246),J3246,IF(OR(C3246="Alpha",B3246="Alpha"),$C$7,IF(C3246="Futures",$C$6,$C$5))),""),"")</f>
        <v/>
      </c>
      <c r="I3246" s="139">
        <f>IFERROR(IF(AND(ISNUMBER(F3246),ISNUMBER(H3246)),F3246-H3246,""),"")</f>
        <v/>
      </c>
      <c r="J3246" s="114" t="n"/>
      <c r="K3246" s="139">
        <f>IFERROR(IF(H3246&gt;0,H3246*IF(OR(C3246="Alpha",B3246="Alpha"),$C$9,$C$8),""),"")</f>
        <v/>
      </c>
      <c r="L3246" s="139">
        <f>IFERROR(IF(ISNUMBER(F3246),F3246-IF(ISNUMBER(K3246),K3246,0),""),"")</f>
        <v/>
      </c>
    </row>
    <row r="3247" ht="24" customHeight="1" s="63">
      <c r="E3247" s="139" t="n"/>
      <c r="F3247" s="139" t="n"/>
      <c r="G3247" s="140">
        <f>IFERROR(IF(E3247&gt;0,(F3247/E3247)*1000,""),"")</f>
        <v/>
      </c>
      <c r="H3247" s="139">
        <f>IFERROR(IF(E3247&gt;0,E3247*IF(ISNUMBER(J3247),J3247,IF(OR(C3247="Alpha",B3247="Alpha"),$C$7,IF(C3247="Futures",$C$6,$C$5))),""),"")</f>
        <v/>
      </c>
      <c r="I3247" s="139">
        <f>IFERROR(IF(AND(ISNUMBER(F3247),ISNUMBER(H3247)),F3247-H3247,""),"")</f>
        <v/>
      </c>
      <c r="J3247" s="114" t="n"/>
      <c r="K3247" s="139">
        <f>IFERROR(IF(H3247&gt;0,H3247*IF(OR(C3247="Alpha",B3247="Alpha"),$C$9,$C$8),""),"")</f>
        <v/>
      </c>
      <c r="L3247" s="139">
        <f>IFERROR(IF(ISNUMBER(F3247),F3247-IF(ISNUMBER(K3247),K3247,0),""),"")</f>
        <v/>
      </c>
    </row>
    <row r="3248" ht="24" customHeight="1" s="63">
      <c r="E3248" s="139" t="n"/>
      <c r="F3248" s="139" t="n"/>
      <c r="G3248" s="140">
        <f>IFERROR(IF(E3248&gt;0,(F3248/E3248)*1000,""),"")</f>
        <v/>
      </c>
      <c r="H3248" s="139">
        <f>IFERROR(IF(E3248&gt;0,E3248*IF(ISNUMBER(J3248),J3248,IF(OR(C3248="Alpha",B3248="Alpha"),$C$7,IF(C3248="Futures",$C$6,$C$5))),""),"")</f>
        <v/>
      </c>
      <c r="I3248" s="139">
        <f>IFERROR(IF(AND(ISNUMBER(F3248),ISNUMBER(H3248)),F3248-H3248,""),"")</f>
        <v/>
      </c>
      <c r="J3248" s="114" t="n"/>
      <c r="K3248" s="139">
        <f>IFERROR(IF(H3248&gt;0,H3248*IF(OR(C3248="Alpha",B3248="Alpha"),$C$9,$C$8),""),"")</f>
        <v/>
      </c>
      <c r="L3248" s="139">
        <f>IFERROR(IF(ISNUMBER(F3248),F3248-IF(ISNUMBER(K3248),K3248,0),""),"")</f>
        <v/>
      </c>
    </row>
    <row r="3249" ht="24" customHeight="1" s="63">
      <c r="E3249" s="139" t="n"/>
      <c r="F3249" s="139" t="n"/>
      <c r="G3249" s="140">
        <f>IFERROR(IF(E3249&gt;0,(F3249/E3249)*1000,""),"")</f>
        <v/>
      </c>
      <c r="H3249" s="139">
        <f>IFERROR(IF(E3249&gt;0,E3249*IF(ISNUMBER(J3249),J3249,IF(OR(C3249="Alpha",B3249="Alpha"),$C$7,IF(C3249="Futures",$C$6,$C$5))),""),"")</f>
        <v/>
      </c>
      <c r="I3249" s="139">
        <f>IFERROR(IF(AND(ISNUMBER(F3249),ISNUMBER(H3249)),F3249-H3249,""),"")</f>
        <v/>
      </c>
      <c r="J3249" s="114" t="n"/>
      <c r="K3249" s="139">
        <f>IFERROR(IF(H3249&gt;0,H3249*IF(OR(C3249="Alpha",B3249="Alpha"),$C$9,$C$8),""),"")</f>
        <v/>
      </c>
      <c r="L3249" s="139">
        <f>IFERROR(IF(ISNUMBER(F3249),F3249-IF(ISNUMBER(K3249),K3249,0),""),"")</f>
        <v/>
      </c>
    </row>
    <row r="3250" ht="24" customHeight="1" s="63">
      <c r="E3250" s="139" t="n"/>
      <c r="F3250" s="139" t="n"/>
      <c r="G3250" s="140">
        <f>IFERROR(IF(E3250&gt;0,(F3250/E3250)*1000,""),"")</f>
        <v/>
      </c>
      <c r="H3250" s="139">
        <f>IFERROR(IF(E3250&gt;0,E3250*IF(ISNUMBER(J3250),J3250,IF(OR(C3250="Alpha",B3250="Alpha"),$C$7,IF(C3250="Futures",$C$6,$C$5))),""),"")</f>
        <v/>
      </c>
      <c r="I3250" s="139">
        <f>IFERROR(IF(AND(ISNUMBER(F3250),ISNUMBER(H3250)),F3250-H3250,""),"")</f>
        <v/>
      </c>
      <c r="J3250" s="114" t="n"/>
      <c r="K3250" s="139">
        <f>IFERROR(IF(H3250&gt;0,H3250*IF(OR(C3250="Alpha",B3250="Alpha"),$C$9,$C$8),""),"")</f>
        <v/>
      </c>
      <c r="L3250" s="139">
        <f>IFERROR(IF(ISNUMBER(F3250),F3250-IF(ISNUMBER(K3250),K3250,0),""),"")</f>
        <v/>
      </c>
    </row>
    <row r="3251" ht="24" customHeight="1" s="63">
      <c r="E3251" s="139" t="n"/>
      <c r="F3251" s="139" t="n"/>
      <c r="G3251" s="140">
        <f>IFERROR(IF(E3251&gt;0,(F3251/E3251)*1000,""),"")</f>
        <v/>
      </c>
      <c r="H3251" s="139">
        <f>IFERROR(IF(E3251&gt;0,E3251*IF(ISNUMBER(J3251),J3251,IF(OR(C3251="Alpha",B3251="Alpha"),$C$7,IF(C3251="Futures",$C$6,$C$5))),""),"")</f>
        <v/>
      </c>
      <c r="I3251" s="139">
        <f>IFERROR(IF(AND(ISNUMBER(F3251),ISNUMBER(H3251)),F3251-H3251,""),"")</f>
        <v/>
      </c>
      <c r="J3251" s="114" t="n"/>
      <c r="K3251" s="139">
        <f>IFERROR(IF(H3251&gt;0,H3251*IF(OR(C3251="Alpha",B3251="Alpha"),$C$9,$C$8),""),"")</f>
        <v/>
      </c>
      <c r="L3251" s="139">
        <f>IFERROR(IF(ISNUMBER(F3251),F3251-IF(ISNUMBER(K3251),K3251,0),""),"")</f>
        <v/>
      </c>
    </row>
    <row r="3252" ht="24" customHeight="1" s="63">
      <c r="E3252" s="139" t="n"/>
      <c r="F3252" s="139" t="n"/>
      <c r="G3252" s="140">
        <f>IFERROR(IF(E3252&gt;0,(F3252/E3252)*1000,""),"")</f>
        <v/>
      </c>
      <c r="H3252" s="139">
        <f>IFERROR(IF(E3252&gt;0,E3252*IF(ISNUMBER(J3252),J3252,IF(OR(C3252="Alpha",B3252="Alpha"),$C$7,IF(C3252="Futures",$C$6,$C$5))),""),"")</f>
        <v/>
      </c>
      <c r="I3252" s="139">
        <f>IFERROR(IF(AND(ISNUMBER(F3252),ISNUMBER(H3252)),F3252-H3252,""),"")</f>
        <v/>
      </c>
      <c r="J3252" s="114" t="n"/>
      <c r="K3252" s="139">
        <f>IFERROR(IF(H3252&gt;0,H3252*IF(OR(C3252="Alpha",B3252="Alpha"),$C$9,$C$8),""),"")</f>
        <v/>
      </c>
      <c r="L3252" s="139">
        <f>IFERROR(IF(ISNUMBER(F3252),F3252-IF(ISNUMBER(K3252),K3252,0),""),"")</f>
        <v/>
      </c>
    </row>
    <row r="3253" ht="24" customHeight="1" s="63">
      <c r="E3253" s="139" t="n"/>
      <c r="F3253" s="139" t="n"/>
      <c r="G3253" s="140">
        <f>IFERROR(IF(E3253&gt;0,(F3253/E3253)*1000,""),"")</f>
        <v/>
      </c>
      <c r="H3253" s="139">
        <f>IFERROR(IF(E3253&gt;0,E3253*IF(ISNUMBER(J3253),J3253,IF(OR(C3253="Alpha",B3253="Alpha"),$C$7,IF(C3253="Futures",$C$6,$C$5))),""),"")</f>
        <v/>
      </c>
      <c r="I3253" s="139">
        <f>IFERROR(IF(AND(ISNUMBER(F3253),ISNUMBER(H3253)),F3253-H3253,""),"")</f>
        <v/>
      </c>
      <c r="J3253" s="114" t="n"/>
      <c r="K3253" s="139">
        <f>IFERROR(IF(H3253&gt;0,H3253*IF(OR(C3253="Alpha",B3253="Alpha"),$C$9,$C$8),""),"")</f>
        <v/>
      </c>
      <c r="L3253" s="139">
        <f>IFERROR(IF(ISNUMBER(F3253),F3253-IF(ISNUMBER(K3253),K3253,0),""),"")</f>
        <v/>
      </c>
    </row>
    <row r="3254" ht="24" customHeight="1" s="63">
      <c r="E3254" s="139" t="n"/>
      <c r="F3254" s="139" t="n"/>
      <c r="G3254" s="140">
        <f>IFERROR(IF(E3254&gt;0,(F3254/E3254)*1000,""),"")</f>
        <v/>
      </c>
      <c r="H3254" s="139">
        <f>IFERROR(IF(E3254&gt;0,E3254*IF(ISNUMBER(J3254),J3254,IF(OR(C3254="Alpha",B3254="Alpha"),$C$7,IF(C3254="Futures",$C$6,$C$5))),""),"")</f>
        <v/>
      </c>
      <c r="I3254" s="139">
        <f>IFERROR(IF(AND(ISNUMBER(F3254),ISNUMBER(H3254)),F3254-H3254,""),"")</f>
        <v/>
      </c>
      <c r="J3254" s="114" t="n"/>
      <c r="K3254" s="139">
        <f>IFERROR(IF(H3254&gt;0,H3254*IF(OR(C3254="Alpha",B3254="Alpha"),$C$9,$C$8),""),"")</f>
        <v/>
      </c>
      <c r="L3254" s="139">
        <f>IFERROR(IF(ISNUMBER(F3254),F3254-IF(ISNUMBER(K3254),K3254,0),""),"")</f>
        <v/>
      </c>
    </row>
    <row r="3255" ht="24" customHeight="1" s="63">
      <c r="E3255" s="139" t="n"/>
      <c r="F3255" s="139" t="n"/>
      <c r="G3255" s="140">
        <f>IFERROR(IF(E3255&gt;0,(F3255/E3255)*1000,""),"")</f>
        <v/>
      </c>
      <c r="H3255" s="139">
        <f>IFERROR(IF(E3255&gt;0,E3255*IF(ISNUMBER(J3255),J3255,IF(OR(C3255="Alpha",B3255="Alpha"),$C$7,IF(C3255="Futures",$C$6,$C$5))),""),"")</f>
        <v/>
      </c>
      <c r="I3255" s="139">
        <f>IFERROR(IF(AND(ISNUMBER(F3255),ISNUMBER(H3255)),F3255-H3255,""),"")</f>
        <v/>
      </c>
      <c r="J3255" s="114" t="n"/>
      <c r="K3255" s="139">
        <f>IFERROR(IF(H3255&gt;0,H3255*IF(OR(C3255="Alpha",B3255="Alpha"),$C$9,$C$8),""),"")</f>
        <v/>
      </c>
      <c r="L3255" s="139">
        <f>IFERROR(IF(ISNUMBER(F3255),F3255-IF(ISNUMBER(K3255),K3255,0),""),"")</f>
        <v/>
      </c>
    </row>
    <row r="3256" ht="24" customHeight="1" s="63">
      <c r="E3256" s="139" t="n"/>
      <c r="F3256" s="139" t="n"/>
      <c r="G3256" s="140">
        <f>IFERROR(IF(E3256&gt;0,(F3256/E3256)*1000,""),"")</f>
        <v/>
      </c>
      <c r="H3256" s="139">
        <f>IFERROR(IF(E3256&gt;0,E3256*IF(ISNUMBER(J3256),J3256,IF(OR(C3256="Alpha",B3256="Alpha"),$C$7,IF(C3256="Futures",$C$6,$C$5))),""),"")</f>
        <v/>
      </c>
      <c r="I3256" s="139">
        <f>IFERROR(IF(AND(ISNUMBER(F3256),ISNUMBER(H3256)),F3256-H3256,""),"")</f>
        <v/>
      </c>
      <c r="J3256" s="114" t="n"/>
      <c r="K3256" s="139">
        <f>IFERROR(IF(H3256&gt;0,H3256*IF(OR(C3256="Alpha",B3256="Alpha"),$C$9,$C$8),""),"")</f>
        <v/>
      </c>
      <c r="L3256" s="139">
        <f>IFERROR(IF(ISNUMBER(F3256),F3256-IF(ISNUMBER(K3256),K3256,0),""),"")</f>
        <v/>
      </c>
    </row>
    <row r="3257" ht="24" customHeight="1" s="63">
      <c r="E3257" s="139" t="n"/>
      <c r="F3257" s="139" t="n"/>
      <c r="G3257" s="140">
        <f>IFERROR(IF(E3257&gt;0,(F3257/E3257)*1000,""),"")</f>
        <v/>
      </c>
      <c r="H3257" s="139">
        <f>IFERROR(IF(E3257&gt;0,E3257*IF(ISNUMBER(J3257),J3257,IF(OR(C3257="Alpha",B3257="Alpha"),$C$7,IF(C3257="Futures",$C$6,$C$5))),""),"")</f>
        <v/>
      </c>
      <c r="I3257" s="139">
        <f>IFERROR(IF(AND(ISNUMBER(F3257),ISNUMBER(H3257)),F3257-H3257,""),"")</f>
        <v/>
      </c>
      <c r="J3257" s="114" t="n"/>
      <c r="K3257" s="139">
        <f>IFERROR(IF(H3257&gt;0,H3257*IF(OR(C3257="Alpha",B3257="Alpha"),$C$9,$C$8),""),"")</f>
        <v/>
      </c>
      <c r="L3257" s="139">
        <f>IFERROR(IF(ISNUMBER(F3257),F3257-IF(ISNUMBER(K3257),K3257,0),""),"")</f>
        <v/>
      </c>
    </row>
    <row r="3258" ht="24" customHeight="1" s="63">
      <c r="E3258" s="139" t="n"/>
      <c r="F3258" s="139" t="n"/>
      <c r="G3258" s="140">
        <f>IFERROR(IF(E3258&gt;0,(F3258/E3258)*1000,""),"")</f>
        <v/>
      </c>
      <c r="H3258" s="139">
        <f>IFERROR(IF(E3258&gt;0,E3258*IF(ISNUMBER(J3258),J3258,IF(OR(C3258="Alpha",B3258="Alpha"),$C$7,IF(C3258="Futures",$C$6,$C$5))),""),"")</f>
        <v/>
      </c>
      <c r="I3258" s="139">
        <f>IFERROR(IF(AND(ISNUMBER(F3258),ISNUMBER(H3258)),F3258-H3258,""),"")</f>
        <v/>
      </c>
      <c r="J3258" s="114" t="n"/>
      <c r="K3258" s="139">
        <f>IFERROR(IF(H3258&gt;0,H3258*IF(OR(C3258="Alpha",B3258="Alpha"),$C$9,$C$8),""),"")</f>
        <v/>
      </c>
      <c r="L3258" s="139">
        <f>IFERROR(IF(ISNUMBER(F3258),F3258-IF(ISNUMBER(K3258),K3258,0),""),"")</f>
        <v/>
      </c>
    </row>
    <row r="3259" ht="24" customHeight="1" s="63">
      <c r="E3259" s="139" t="n"/>
      <c r="F3259" s="139" t="n"/>
      <c r="G3259" s="140">
        <f>IFERROR(IF(E3259&gt;0,(F3259/E3259)*1000,""),"")</f>
        <v/>
      </c>
      <c r="H3259" s="139">
        <f>IFERROR(IF(E3259&gt;0,E3259*IF(ISNUMBER(J3259),J3259,IF(OR(C3259="Alpha",B3259="Alpha"),$C$7,IF(C3259="Futures",$C$6,$C$5))),""),"")</f>
        <v/>
      </c>
      <c r="I3259" s="139">
        <f>IFERROR(IF(AND(ISNUMBER(F3259),ISNUMBER(H3259)),F3259-H3259,""),"")</f>
        <v/>
      </c>
      <c r="J3259" s="114" t="n"/>
      <c r="K3259" s="139">
        <f>IFERROR(IF(H3259&gt;0,H3259*IF(OR(C3259="Alpha",B3259="Alpha"),$C$9,$C$8),""),"")</f>
        <v/>
      </c>
      <c r="L3259" s="139">
        <f>IFERROR(IF(ISNUMBER(F3259),F3259-IF(ISNUMBER(K3259),K3259,0),""),"")</f>
        <v/>
      </c>
    </row>
    <row r="3260" ht="24" customHeight="1" s="63">
      <c r="E3260" s="139" t="n"/>
      <c r="F3260" s="139" t="n"/>
      <c r="G3260" s="140">
        <f>IFERROR(IF(E3260&gt;0,(F3260/E3260)*1000,""),"")</f>
        <v/>
      </c>
      <c r="H3260" s="139">
        <f>IFERROR(IF(E3260&gt;0,E3260*IF(ISNUMBER(J3260),J3260,IF(OR(C3260="Alpha",B3260="Alpha"),$C$7,IF(C3260="Futures",$C$6,$C$5))),""),"")</f>
        <v/>
      </c>
      <c r="I3260" s="139">
        <f>IFERROR(IF(AND(ISNUMBER(F3260),ISNUMBER(H3260)),F3260-H3260,""),"")</f>
        <v/>
      </c>
      <c r="J3260" s="114" t="n"/>
      <c r="K3260" s="139">
        <f>IFERROR(IF(H3260&gt;0,H3260*IF(OR(C3260="Alpha",B3260="Alpha"),$C$9,$C$8),""),"")</f>
        <v/>
      </c>
      <c r="L3260" s="139">
        <f>IFERROR(IF(ISNUMBER(F3260),F3260-IF(ISNUMBER(K3260),K3260,0),""),"")</f>
        <v/>
      </c>
    </row>
    <row r="3261" ht="24" customHeight="1" s="63">
      <c r="E3261" s="139" t="n"/>
      <c r="F3261" s="139" t="n"/>
      <c r="G3261" s="140">
        <f>IFERROR(IF(E3261&gt;0,(F3261/E3261)*1000,""),"")</f>
        <v/>
      </c>
      <c r="H3261" s="139">
        <f>IFERROR(IF(E3261&gt;0,E3261*IF(ISNUMBER(J3261),J3261,IF(OR(C3261="Alpha",B3261="Alpha"),$C$7,IF(C3261="Futures",$C$6,$C$5))),""),"")</f>
        <v/>
      </c>
      <c r="I3261" s="139">
        <f>IFERROR(IF(AND(ISNUMBER(F3261),ISNUMBER(H3261)),F3261-H3261,""),"")</f>
        <v/>
      </c>
      <c r="J3261" s="114" t="n"/>
      <c r="K3261" s="139">
        <f>IFERROR(IF(H3261&gt;0,H3261*IF(OR(C3261="Alpha",B3261="Alpha"),$C$9,$C$8),""),"")</f>
        <v/>
      </c>
      <c r="L3261" s="139">
        <f>IFERROR(IF(ISNUMBER(F3261),F3261-IF(ISNUMBER(K3261),K3261,0),""),"")</f>
        <v/>
      </c>
    </row>
    <row r="3262" ht="24" customHeight="1" s="63">
      <c r="E3262" s="139" t="n"/>
      <c r="F3262" s="139" t="n"/>
      <c r="G3262" s="140">
        <f>IFERROR(IF(E3262&gt;0,(F3262/E3262)*1000,""),"")</f>
        <v/>
      </c>
      <c r="H3262" s="139">
        <f>IFERROR(IF(E3262&gt;0,E3262*IF(ISNUMBER(J3262),J3262,IF(OR(C3262="Alpha",B3262="Alpha"),$C$7,IF(C3262="Futures",$C$6,$C$5))),""),"")</f>
        <v/>
      </c>
      <c r="I3262" s="139">
        <f>IFERROR(IF(AND(ISNUMBER(F3262),ISNUMBER(H3262)),F3262-H3262,""),"")</f>
        <v/>
      </c>
      <c r="J3262" s="114" t="n"/>
      <c r="K3262" s="139">
        <f>IFERROR(IF(H3262&gt;0,H3262*IF(OR(C3262="Alpha",B3262="Alpha"),$C$9,$C$8),""),"")</f>
        <v/>
      </c>
      <c r="L3262" s="139">
        <f>IFERROR(IF(ISNUMBER(F3262),F3262-IF(ISNUMBER(K3262),K3262,0),""),"")</f>
        <v/>
      </c>
    </row>
    <row r="3263" ht="24" customHeight="1" s="63">
      <c r="E3263" s="139" t="n"/>
      <c r="F3263" s="139" t="n"/>
      <c r="G3263" s="140">
        <f>IFERROR(IF(E3263&gt;0,(F3263/E3263)*1000,""),"")</f>
        <v/>
      </c>
      <c r="H3263" s="139">
        <f>IFERROR(IF(E3263&gt;0,E3263*IF(ISNUMBER(J3263),J3263,IF(OR(C3263="Alpha",B3263="Alpha"),$C$7,IF(C3263="Futures",$C$6,$C$5))),""),"")</f>
        <v/>
      </c>
      <c r="I3263" s="139">
        <f>IFERROR(IF(AND(ISNUMBER(F3263),ISNUMBER(H3263)),F3263-H3263,""),"")</f>
        <v/>
      </c>
      <c r="J3263" s="114" t="n"/>
      <c r="K3263" s="139">
        <f>IFERROR(IF(H3263&gt;0,H3263*IF(OR(C3263="Alpha",B3263="Alpha"),$C$9,$C$8),""),"")</f>
        <v/>
      </c>
      <c r="L3263" s="139">
        <f>IFERROR(IF(ISNUMBER(F3263),F3263-IF(ISNUMBER(K3263),K3263,0),""),"")</f>
        <v/>
      </c>
    </row>
    <row r="3264" ht="24" customHeight="1" s="63">
      <c r="E3264" s="139" t="n"/>
      <c r="F3264" s="139" t="n"/>
      <c r="G3264" s="140">
        <f>IFERROR(IF(E3264&gt;0,(F3264/E3264)*1000,""),"")</f>
        <v/>
      </c>
      <c r="H3264" s="139">
        <f>IFERROR(IF(E3264&gt;0,E3264*IF(ISNUMBER(J3264),J3264,IF(OR(C3264="Alpha",B3264="Alpha"),$C$7,IF(C3264="Futures",$C$6,$C$5))),""),"")</f>
        <v/>
      </c>
      <c r="I3264" s="139">
        <f>IFERROR(IF(AND(ISNUMBER(F3264),ISNUMBER(H3264)),F3264-H3264,""),"")</f>
        <v/>
      </c>
      <c r="J3264" s="114" t="n"/>
      <c r="K3264" s="139">
        <f>IFERROR(IF(H3264&gt;0,H3264*IF(OR(C3264="Alpha",B3264="Alpha"),$C$9,$C$8),""),"")</f>
        <v/>
      </c>
      <c r="L3264" s="139">
        <f>IFERROR(IF(ISNUMBER(F3264),F3264-IF(ISNUMBER(K3264),K3264,0),""),"")</f>
        <v/>
      </c>
    </row>
    <row r="3265" ht="24" customHeight="1" s="63">
      <c r="E3265" s="139" t="n"/>
      <c r="F3265" s="139" t="n"/>
      <c r="G3265" s="140">
        <f>IFERROR(IF(E3265&gt;0,(F3265/E3265)*1000,""),"")</f>
        <v/>
      </c>
      <c r="H3265" s="139">
        <f>IFERROR(IF(E3265&gt;0,E3265*IF(ISNUMBER(J3265),J3265,IF(OR(C3265="Alpha",B3265="Alpha"),$C$7,IF(C3265="Futures",$C$6,$C$5))),""),"")</f>
        <v/>
      </c>
      <c r="I3265" s="139">
        <f>IFERROR(IF(AND(ISNUMBER(F3265),ISNUMBER(H3265)),F3265-H3265,""),"")</f>
        <v/>
      </c>
      <c r="J3265" s="114" t="n"/>
      <c r="K3265" s="139">
        <f>IFERROR(IF(H3265&gt;0,H3265*IF(OR(C3265="Alpha",B3265="Alpha"),$C$9,$C$8),""),"")</f>
        <v/>
      </c>
      <c r="L3265" s="139">
        <f>IFERROR(IF(ISNUMBER(F3265),F3265-IF(ISNUMBER(K3265),K3265,0),""),"")</f>
        <v/>
      </c>
    </row>
    <row r="3266" ht="24" customHeight="1" s="63">
      <c r="E3266" s="139" t="n"/>
      <c r="F3266" s="139" t="n"/>
      <c r="G3266" s="140">
        <f>IFERROR(IF(E3266&gt;0,(F3266/E3266)*1000,""),"")</f>
        <v/>
      </c>
      <c r="H3266" s="139">
        <f>IFERROR(IF(E3266&gt;0,E3266*IF(ISNUMBER(J3266),J3266,IF(OR(C3266="Alpha",B3266="Alpha"),$C$7,IF(C3266="Futures",$C$6,$C$5))),""),"")</f>
        <v/>
      </c>
      <c r="I3266" s="139">
        <f>IFERROR(IF(AND(ISNUMBER(F3266),ISNUMBER(H3266)),F3266-H3266,""),"")</f>
        <v/>
      </c>
      <c r="J3266" s="114" t="n"/>
      <c r="K3266" s="139">
        <f>IFERROR(IF(H3266&gt;0,H3266*IF(OR(C3266="Alpha",B3266="Alpha"),$C$9,$C$8),""),"")</f>
        <v/>
      </c>
      <c r="L3266" s="139">
        <f>IFERROR(IF(ISNUMBER(F3266),F3266-IF(ISNUMBER(K3266),K3266,0),""),"")</f>
        <v/>
      </c>
    </row>
    <row r="3267" ht="24" customHeight="1" s="63">
      <c r="E3267" s="139" t="n"/>
      <c r="F3267" s="139" t="n"/>
      <c r="G3267" s="140">
        <f>IFERROR(IF(E3267&gt;0,(F3267/E3267)*1000,""),"")</f>
        <v/>
      </c>
      <c r="H3267" s="139">
        <f>IFERROR(IF(E3267&gt;0,E3267*IF(ISNUMBER(J3267),J3267,IF(OR(C3267="Alpha",B3267="Alpha"),$C$7,IF(C3267="Futures",$C$6,$C$5))),""),"")</f>
        <v/>
      </c>
      <c r="I3267" s="139">
        <f>IFERROR(IF(AND(ISNUMBER(F3267),ISNUMBER(H3267)),F3267-H3267,""),"")</f>
        <v/>
      </c>
      <c r="J3267" s="114" t="n"/>
      <c r="K3267" s="139">
        <f>IFERROR(IF(H3267&gt;0,H3267*IF(OR(C3267="Alpha",B3267="Alpha"),$C$9,$C$8),""),"")</f>
        <v/>
      </c>
      <c r="L3267" s="139">
        <f>IFERROR(IF(ISNUMBER(F3267),F3267-IF(ISNUMBER(K3267),K3267,0),""),"")</f>
        <v/>
      </c>
    </row>
    <row r="3268" ht="24" customHeight="1" s="63">
      <c r="E3268" s="139" t="n"/>
      <c r="F3268" s="139" t="n"/>
      <c r="G3268" s="140">
        <f>IFERROR(IF(E3268&gt;0,(F3268/E3268)*1000,""),"")</f>
        <v/>
      </c>
      <c r="H3268" s="139">
        <f>IFERROR(IF(E3268&gt;0,E3268*IF(ISNUMBER(J3268),J3268,IF(OR(C3268="Alpha",B3268="Alpha"),$C$7,IF(C3268="Futures",$C$6,$C$5))),""),"")</f>
        <v/>
      </c>
      <c r="I3268" s="139">
        <f>IFERROR(IF(AND(ISNUMBER(F3268),ISNUMBER(H3268)),F3268-H3268,""),"")</f>
        <v/>
      </c>
      <c r="J3268" s="114" t="n"/>
      <c r="K3268" s="139">
        <f>IFERROR(IF(H3268&gt;0,H3268*IF(OR(C3268="Alpha",B3268="Alpha"),$C$9,$C$8),""),"")</f>
        <v/>
      </c>
      <c r="L3268" s="139">
        <f>IFERROR(IF(ISNUMBER(F3268),F3268-IF(ISNUMBER(K3268),K3268,0),""),"")</f>
        <v/>
      </c>
    </row>
    <row r="3269" ht="24" customHeight="1" s="63">
      <c r="E3269" s="139" t="n"/>
      <c r="F3269" s="139" t="n"/>
      <c r="G3269" s="140">
        <f>IFERROR(IF(E3269&gt;0,(F3269/E3269)*1000,""),"")</f>
        <v/>
      </c>
      <c r="H3269" s="139">
        <f>IFERROR(IF(E3269&gt;0,E3269*IF(ISNUMBER(J3269),J3269,IF(OR(C3269="Alpha",B3269="Alpha"),$C$7,IF(C3269="Futures",$C$6,$C$5))),""),"")</f>
        <v/>
      </c>
      <c r="I3269" s="139">
        <f>IFERROR(IF(AND(ISNUMBER(F3269),ISNUMBER(H3269)),F3269-H3269,""),"")</f>
        <v/>
      </c>
      <c r="J3269" s="114" t="n"/>
      <c r="K3269" s="139">
        <f>IFERROR(IF(H3269&gt;0,H3269*IF(OR(C3269="Alpha",B3269="Alpha"),$C$9,$C$8),""),"")</f>
        <v/>
      </c>
      <c r="L3269" s="139">
        <f>IFERROR(IF(ISNUMBER(F3269),F3269-IF(ISNUMBER(K3269),K3269,0),""),"")</f>
        <v/>
      </c>
    </row>
    <row r="3270" ht="24" customHeight="1" s="63">
      <c r="E3270" s="139" t="n"/>
      <c r="F3270" s="139" t="n"/>
      <c r="G3270" s="140">
        <f>IFERROR(IF(E3270&gt;0,(F3270/E3270)*1000,""),"")</f>
        <v/>
      </c>
      <c r="H3270" s="139">
        <f>IFERROR(IF(E3270&gt;0,E3270*IF(ISNUMBER(J3270),J3270,IF(OR(C3270="Alpha",B3270="Alpha"),$C$7,IF(C3270="Futures",$C$6,$C$5))),""),"")</f>
        <v/>
      </c>
      <c r="I3270" s="139">
        <f>IFERROR(IF(AND(ISNUMBER(F3270),ISNUMBER(H3270)),F3270-H3270,""),"")</f>
        <v/>
      </c>
      <c r="J3270" s="114" t="n"/>
      <c r="K3270" s="139">
        <f>IFERROR(IF(H3270&gt;0,H3270*IF(OR(C3270="Alpha",B3270="Alpha"),$C$9,$C$8),""),"")</f>
        <v/>
      </c>
      <c r="L3270" s="139">
        <f>IFERROR(IF(ISNUMBER(F3270),F3270-IF(ISNUMBER(K3270),K3270,0),""),"")</f>
        <v/>
      </c>
    </row>
    <row r="3271" ht="24" customHeight="1" s="63">
      <c r="E3271" s="139" t="n"/>
      <c r="F3271" s="139" t="n"/>
      <c r="G3271" s="140">
        <f>IFERROR(IF(E3271&gt;0,(F3271/E3271)*1000,""),"")</f>
        <v/>
      </c>
      <c r="H3271" s="139">
        <f>IFERROR(IF(E3271&gt;0,E3271*IF(ISNUMBER(J3271),J3271,IF(OR(C3271="Alpha",B3271="Alpha"),$C$7,IF(C3271="Futures",$C$6,$C$5))),""),"")</f>
        <v/>
      </c>
      <c r="I3271" s="139">
        <f>IFERROR(IF(AND(ISNUMBER(F3271),ISNUMBER(H3271)),F3271-H3271,""),"")</f>
        <v/>
      </c>
      <c r="J3271" s="114" t="n"/>
      <c r="K3271" s="139">
        <f>IFERROR(IF(H3271&gt;0,H3271*IF(OR(C3271="Alpha",B3271="Alpha"),$C$9,$C$8),""),"")</f>
        <v/>
      </c>
      <c r="L3271" s="139">
        <f>IFERROR(IF(ISNUMBER(F3271),F3271-IF(ISNUMBER(K3271),K3271,0),""),"")</f>
        <v/>
      </c>
    </row>
    <row r="3272" ht="24" customHeight="1" s="63">
      <c r="E3272" s="139" t="n"/>
      <c r="F3272" s="139" t="n"/>
      <c r="G3272" s="140">
        <f>IFERROR(IF(E3272&gt;0,(F3272/E3272)*1000,""),"")</f>
        <v/>
      </c>
      <c r="H3272" s="139">
        <f>IFERROR(IF(E3272&gt;0,E3272*IF(ISNUMBER(J3272),J3272,IF(OR(C3272="Alpha",B3272="Alpha"),$C$7,IF(C3272="Futures",$C$6,$C$5))),""),"")</f>
        <v/>
      </c>
      <c r="I3272" s="139">
        <f>IFERROR(IF(AND(ISNUMBER(F3272),ISNUMBER(H3272)),F3272-H3272,""),"")</f>
        <v/>
      </c>
      <c r="J3272" s="114" t="n"/>
      <c r="K3272" s="139">
        <f>IFERROR(IF(H3272&gt;0,H3272*IF(OR(C3272="Alpha",B3272="Alpha"),$C$9,$C$8),""),"")</f>
        <v/>
      </c>
      <c r="L3272" s="139">
        <f>IFERROR(IF(ISNUMBER(F3272),F3272-IF(ISNUMBER(K3272),K3272,0),""),"")</f>
        <v/>
      </c>
    </row>
    <row r="3273" ht="24" customHeight="1" s="63">
      <c r="E3273" s="139" t="n"/>
      <c r="F3273" s="139" t="n"/>
      <c r="G3273" s="140">
        <f>IFERROR(IF(E3273&gt;0,(F3273/E3273)*1000,""),"")</f>
        <v/>
      </c>
      <c r="H3273" s="139">
        <f>IFERROR(IF(E3273&gt;0,E3273*IF(ISNUMBER(J3273),J3273,IF(OR(C3273="Alpha",B3273="Alpha"),$C$7,IF(C3273="Futures",$C$6,$C$5))),""),"")</f>
        <v/>
      </c>
      <c r="I3273" s="139">
        <f>IFERROR(IF(AND(ISNUMBER(F3273),ISNUMBER(H3273)),F3273-H3273,""),"")</f>
        <v/>
      </c>
      <c r="J3273" s="114" t="n"/>
      <c r="K3273" s="139">
        <f>IFERROR(IF(H3273&gt;0,H3273*IF(OR(C3273="Alpha",B3273="Alpha"),$C$9,$C$8),""),"")</f>
        <v/>
      </c>
      <c r="L3273" s="139">
        <f>IFERROR(IF(ISNUMBER(F3273),F3273-IF(ISNUMBER(K3273),K3273,0),""),"")</f>
        <v/>
      </c>
    </row>
    <row r="3274" ht="24" customHeight="1" s="63">
      <c r="E3274" s="139" t="n"/>
      <c r="F3274" s="139" t="n"/>
      <c r="G3274" s="140">
        <f>IFERROR(IF(E3274&gt;0,(F3274/E3274)*1000,""),"")</f>
        <v/>
      </c>
      <c r="H3274" s="139">
        <f>IFERROR(IF(E3274&gt;0,E3274*IF(ISNUMBER(J3274),J3274,IF(OR(C3274="Alpha",B3274="Alpha"),$C$7,IF(C3274="Futures",$C$6,$C$5))),""),"")</f>
        <v/>
      </c>
      <c r="I3274" s="139">
        <f>IFERROR(IF(AND(ISNUMBER(F3274),ISNUMBER(H3274)),F3274-H3274,""),"")</f>
        <v/>
      </c>
      <c r="J3274" s="114" t="n"/>
      <c r="K3274" s="139">
        <f>IFERROR(IF(H3274&gt;0,H3274*IF(OR(C3274="Alpha",B3274="Alpha"),$C$9,$C$8),""),"")</f>
        <v/>
      </c>
      <c r="L3274" s="139">
        <f>IFERROR(IF(ISNUMBER(F3274),F3274-IF(ISNUMBER(K3274),K3274,0),""),"")</f>
        <v/>
      </c>
    </row>
    <row r="3275" ht="24" customHeight="1" s="63">
      <c r="E3275" s="139" t="n"/>
      <c r="F3275" s="139" t="n"/>
      <c r="G3275" s="140">
        <f>IFERROR(IF(E3275&gt;0,(F3275/E3275)*1000,""),"")</f>
        <v/>
      </c>
      <c r="H3275" s="139">
        <f>IFERROR(IF(E3275&gt;0,E3275*IF(ISNUMBER(J3275),J3275,IF(OR(C3275="Alpha",B3275="Alpha"),$C$7,IF(C3275="Futures",$C$6,$C$5))),""),"")</f>
        <v/>
      </c>
      <c r="I3275" s="139">
        <f>IFERROR(IF(AND(ISNUMBER(F3275),ISNUMBER(H3275)),F3275-H3275,""),"")</f>
        <v/>
      </c>
      <c r="J3275" s="114" t="n"/>
      <c r="K3275" s="139">
        <f>IFERROR(IF(H3275&gt;0,H3275*IF(OR(C3275="Alpha",B3275="Alpha"),$C$9,$C$8),""),"")</f>
        <v/>
      </c>
      <c r="L3275" s="139">
        <f>IFERROR(IF(ISNUMBER(F3275),F3275-IF(ISNUMBER(K3275),K3275,0),""),"")</f>
        <v/>
      </c>
    </row>
    <row r="3276" ht="24" customHeight="1" s="63">
      <c r="E3276" s="139" t="n"/>
      <c r="F3276" s="139" t="n"/>
      <c r="G3276" s="140">
        <f>IFERROR(IF(E3276&gt;0,(F3276/E3276)*1000,""),"")</f>
        <v/>
      </c>
      <c r="H3276" s="139">
        <f>IFERROR(IF(E3276&gt;0,E3276*IF(ISNUMBER(J3276),J3276,IF(OR(C3276="Alpha",B3276="Alpha"),$C$7,IF(C3276="Futures",$C$6,$C$5))),""),"")</f>
        <v/>
      </c>
      <c r="I3276" s="139">
        <f>IFERROR(IF(AND(ISNUMBER(F3276),ISNUMBER(H3276)),F3276-H3276,""),"")</f>
        <v/>
      </c>
      <c r="J3276" s="114" t="n"/>
      <c r="K3276" s="139">
        <f>IFERROR(IF(H3276&gt;0,H3276*IF(OR(C3276="Alpha",B3276="Alpha"),$C$9,$C$8),""),"")</f>
        <v/>
      </c>
      <c r="L3276" s="139">
        <f>IFERROR(IF(ISNUMBER(F3276),F3276-IF(ISNUMBER(K3276),K3276,0),""),"")</f>
        <v/>
      </c>
    </row>
    <row r="3277" ht="24" customHeight="1" s="63">
      <c r="E3277" s="139" t="n"/>
      <c r="F3277" s="139" t="n"/>
      <c r="G3277" s="140">
        <f>IFERROR(IF(E3277&gt;0,(F3277/E3277)*1000,""),"")</f>
        <v/>
      </c>
      <c r="H3277" s="139">
        <f>IFERROR(IF(E3277&gt;0,E3277*IF(ISNUMBER(J3277),J3277,IF(OR(C3277="Alpha",B3277="Alpha"),$C$7,IF(C3277="Futures",$C$6,$C$5))),""),"")</f>
        <v/>
      </c>
      <c r="I3277" s="139">
        <f>IFERROR(IF(AND(ISNUMBER(F3277),ISNUMBER(H3277)),F3277-H3277,""),"")</f>
        <v/>
      </c>
      <c r="J3277" s="114" t="n"/>
      <c r="K3277" s="139">
        <f>IFERROR(IF(H3277&gt;0,H3277*IF(OR(C3277="Alpha",B3277="Alpha"),$C$9,$C$8),""),"")</f>
        <v/>
      </c>
      <c r="L3277" s="139">
        <f>IFERROR(IF(ISNUMBER(F3277),F3277-IF(ISNUMBER(K3277),K3277,0),""),"")</f>
        <v/>
      </c>
    </row>
    <row r="3278" ht="24" customHeight="1" s="63">
      <c r="E3278" s="139" t="n"/>
      <c r="F3278" s="139" t="n"/>
      <c r="G3278" s="140">
        <f>IFERROR(IF(E3278&gt;0,(F3278/E3278)*1000,""),"")</f>
        <v/>
      </c>
      <c r="H3278" s="139">
        <f>IFERROR(IF(E3278&gt;0,E3278*IF(ISNUMBER(J3278),J3278,IF(OR(C3278="Alpha",B3278="Alpha"),$C$7,IF(C3278="Futures",$C$6,$C$5))),""),"")</f>
        <v/>
      </c>
      <c r="I3278" s="139">
        <f>IFERROR(IF(AND(ISNUMBER(F3278),ISNUMBER(H3278)),F3278-H3278,""),"")</f>
        <v/>
      </c>
      <c r="J3278" s="114" t="n"/>
      <c r="K3278" s="139">
        <f>IFERROR(IF(H3278&gt;0,H3278*IF(OR(C3278="Alpha",B3278="Alpha"),$C$9,$C$8),""),"")</f>
        <v/>
      </c>
      <c r="L3278" s="139">
        <f>IFERROR(IF(ISNUMBER(F3278),F3278-IF(ISNUMBER(K3278),K3278,0),""),"")</f>
        <v/>
      </c>
    </row>
    <row r="3279" ht="24" customHeight="1" s="63">
      <c r="E3279" s="139" t="n"/>
      <c r="F3279" s="139" t="n"/>
      <c r="G3279" s="140">
        <f>IFERROR(IF(E3279&gt;0,(F3279/E3279)*1000,""),"")</f>
        <v/>
      </c>
      <c r="H3279" s="139">
        <f>IFERROR(IF(E3279&gt;0,E3279*IF(ISNUMBER(J3279),J3279,IF(OR(C3279="Alpha",B3279="Alpha"),$C$7,IF(C3279="Futures",$C$6,$C$5))),""),"")</f>
        <v/>
      </c>
      <c r="I3279" s="139">
        <f>IFERROR(IF(AND(ISNUMBER(F3279),ISNUMBER(H3279)),F3279-H3279,""),"")</f>
        <v/>
      </c>
      <c r="J3279" s="114" t="n"/>
      <c r="K3279" s="139">
        <f>IFERROR(IF(H3279&gt;0,H3279*IF(OR(C3279="Alpha",B3279="Alpha"),$C$9,$C$8),""),"")</f>
        <v/>
      </c>
      <c r="L3279" s="139">
        <f>IFERROR(IF(ISNUMBER(F3279),F3279-IF(ISNUMBER(K3279),K3279,0),""),"")</f>
        <v/>
      </c>
    </row>
    <row r="3280" ht="24" customHeight="1" s="63">
      <c r="E3280" s="139" t="n"/>
      <c r="F3280" s="139" t="n"/>
      <c r="G3280" s="140">
        <f>IFERROR(IF(E3280&gt;0,(F3280/E3280)*1000,""),"")</f>
        <v/>
      </c>
      <c r="H3280" s="139">
        <f>IFERROR(IF(E3280&gt;0,E3280*IF(ISNUMBER(J3280),J3280,IF(OR(C3280="Alpha",B3280="Alpha"),$C$7,IF(C3280="Futures",$C$6,$C$5))),""),"")</f>
        <v/>
      </c>
      <c r="I3280" s="139">
        <f>IFERROR(IF(AND(ISNUMBER(F3280),ISNUMBER(H3280)),F3280-H3280,""),"")</f>
        <v/>
      </c>
      <c r="J3280" s="114" t="n"/>
      <c r="K3280" s="139">
        <f>IFERROR(IF(H3280&gt;0,H3280*IF(OR(C3280="Alpha",B3280="Alpha"),$C$9,$C$8),""),"")</f>
        <v/>
      </c>
      <c r="L3280" s="139">
        <f>IFERROR(IF(ISNUMBER(F3280),F3280-IF(ISNUMBER(K3280),K3280,0),""),"")</f>
        <v/>
      </c>
    </row>
    <row r="3281" ht="24" customHeight="1" s="63">
      <c r="E3281" s="139" t="n"/>
      <c r="F3281" s="139" t="n"/>
      <c r="G3281" s="140">
        <f>IFERROR(IF(E3281&gt;0,(F3281/E3281)*1000,""),"")</f>
        <v/>
      </c>
      <c r="H3281" s="139">
        <f>IFERROR(IF(E3281&gt;0,E3281*IF(ISNUMBER(J3281),J3281,IF(OR(C3281="Alpha",B3281="Alpha"),$C$7,IF(C3281="Futures",$C$6,$C$5))),""),"")</f>
        <v/>
      </c>
      <c r="I3281" s="139">
        <f>IFERROR(IF(AND(ISNUMBER(F3281),ISNUMBER(H3281)),F3281-H3281,""),"")</f>
        <v/>
      </c>
      <c r="J3281" s="114" t="n"/>
      <c r="K3281" s="139">
        <f>IFERROR(IF(H3281&gt;0,H3281*IF(OR(C3281="Alpha",B3281="Alpha"),$C$9,$C$8),""),"")</f>
        <v/>
      </c>
      <c r="L3281" s="139">
        <f>IFERROR(IF(ISNUMBER(F3281),F3281-IF(ISNUMBER(K3281),K3281,0),""),"")</f>
        <v/>
      </c>
    </row>
    <row r="3282" ht="24" customHeight="1" s="63">
      <c r="E3282" s="139" t="n"/>
      <c r="F3282" s="139" t="n"/>
      <c r="G3282" s="140">
        <f>IFERROR(IF(E3282&gt;0,(F3282/E3282)*1000,""),"")</f>
        <v/>
      </c>
      <c r="H3282" s="139">
        <f>IFERROR(IF(E3282&gt;0,E3282*IF(ISNUMBER(J3282),J3282,IF(OR(C3282="Alpha",B3282="Alpha"),$C$7,IF(C3282="Futures",$C$6,$C$5))),""),"")</f>
        <v/>
      </c>
      <c r="I3282" s="139">
        <f>IFERROR(IF(AND(ISNUMBER(F3282),ISNUMBER(H3282)),F3282-H3282,""),"")</f>
        <v/>
      </c>
      <c r="J3282" s="114" t="n"/>
      <c r="K3282" s="139">
        <f>IFERROR(IF(H3282&gt;0,H3282*IF(OR(C3282="Alpha",B3282="Alpha"),$C$9,$C$8),""),"")</f>
        <v/>
      </c>
      <c r="L3282" s="139">
        <f>IFERROR(IF(ISNUMBER(F3282),F3282-IF(ISNUMBER(K3282),K3282,0),""),"")</f>
        <v/>
      </c>
    </row>
    <row r="3283" ht="24" customHeight="1" s="63">
      <c r="E3283" s="139" t="n"/>
      <c r="F3283" s="139" t="n"/>
      <c r="G3283" s="140">
        <f>IFERROR(IF(E3283&gt;0,(F3283/E3283)*1000,""),"")</f>
        <v/>
      </c>
      <c r="H3283" s="139">
        <f>IFERROR(IF(E3283&gt;0,E3283*IF(ISNUMBER(J3283),J3283,IF(OR(C3283="Alpha",B3283="Alpha"),$C$7,IF(C3283="Futures",$C$6,$C$5))),""),"")</f>
        <v/>
      </c>
      <c r="I3283" s="139">
        <f>IFERROR(IF(AND(ISNUMBER(F3283),ISNUMBER(H3283)),F3283-H3283,""),"")</f>
        <v/>
      </c>
      <c r="J3283" s="114" t="n"/>
      <c r="K3283" s="139">
        <f>IFERROR(IF(H3283&gt;0,H3283*IF(OR(C3283="Alpha",B3283="Alpha"),$C$9,$C$8),""),"")</f>
        <v/>
      </c>
      <c r="L3283" s="139">
        <f>IFERROR(IF(ISNUMBER(F3283),F3283-IF(ISNUMBER(K3283),K3283,0),""),"")</f>
        <v/>
      </c>
    </row>
    <row r="3284" ht="24" customHeight="1" s="63">
      <c r="E3284" s="139" t="n"/>
      <c r="F3284" s="139" t="n"/>
      <c r="G3284" s="140">
        <f>IFERROR(IF(E3284&gt;0,(F3284/E3284)*1000,""),"")</f>
        <v/>
      </c>
      <c r="H3284" s="139">
        <f>IFERROR(IF(E3284&gt;0,E3284*IF(ISNUMBER(J3284),J3284,IF(OR(C3284="Alpha",B3284="Alpha"),$C$7,IF(C3284="Futures",$C$6,$C$5))),""),"")</f>
        <v/>
      </c>
      <c r="I3284" s="139">
        <f>IFERROR(IF(AND(ISNUMBER(F3284),ISNUMBER(H3284)),F3284-H3284,""),"")</f>
        <v/>
      </c>
      <c r="J3284" s="114" t="n"/>
      <c r="K3284" s="139">
        <f>IFERROR(IF(H3284&gt;0,H3284*IF(OR(C3284="Alpha",B3284="Alpha"),$C$9,$C$8),""),"")</f>
        <v/>
      </c>
      <c r="L3284" s="139">
        <f>IFERROR(IF(ISNUMBER(F3284),F3284-IF(ISNUMBER(K3284),K3284,0),""),"")</f>
        <v/>
      </c>
    </row>
    <row r="3285" ht="24" customHeight="1" s="63">
      <c r="E3285" s="139" t="n"/>
      <c r="F3285" s="139" t="n"/>
      <c r="G3285" s="140">
        <f>IFERROR(IF(E3285&gt;0,(F3285/E3285)*1000,""),"")</f>
        <v/>
      </c>
      <c r="H3285" s="139">
        <f>IFERROR(IF(E3285&gt;0,E3285*IF(ISNUMBER(J3285),J3285,IF(OR(C3285="Alpha",B3285="Alpha"),$C$7,IF(C3285="Futures",$C$6,$C$5))),""),"")</f>
        <v/>
      </c>
      <c r="I3285" s="139">
        <f>IFERROR(IF(AND(ISNUMBER(F3285),ISNUMBER(H3285)),F3285-H3285,""),"")</f>
        <v/>
      </c>
      <c r="J3285" s="114" t="n"/>
      <c r="K3285" s="139">
        <f>IFERROR(IF(H3285&gt;0,H3285*IF(OR(C3285="Alpha",B3285="Alpha"),$C$9,$C$8),""),"")</f>
        <v/>
      </c>
      <c r="L3285" s="139">
        <f>IFERROR(IF(ISNUMBER(F3285),F3285-IF(ISNUMBER(K3285),K3285,0),""),"")</f>
        <v/>
      </c>
    </row>
    <row r="3286" ht="24" customHeight="1" s="63">
      <c r="E3286" s="139" t="n"/>
      <c r="F3286" s="139" t="n"/>
      <c r="G3286" s="140">
        <f>IFERROR(IF(E3286&gt;0,(F3286/E3286)*1000,""),"")</f>
        <v/>
      </c>
      <c r="H3286" s="139">
        <f>IFERROR(IF(E3286&gt;0,E3286*IF(ISNUMBER(J3286),J3286,IF(OR(C3286="Alpha",B3286="Alpha"),$C$7,IF(C3286="Futures",$C$6,$C$5))),""),"")</f>
        <v/>
      </c>
      <c r="I3286" s="139">
        <f>IFERROR(IF(AND(ISNUMBER(F3286),ISNUMBER(H3286)),F3286-H3286,""),"")</f>
        <v/>
      </c>
      <c r="J3286" s="114" t="n"/>
      <c r="K3286" s="139">
        <f>IFERROR(IF(H3286&gt;0,H3286*IF(OR(C3286="Alpha",B3286="Alpha"),$C$9,$C$8),""),"")</f>
        <v/>
      </c>
      <c r="L3286" s="139">
        <f>IFERROR(IF(ISNUMBER(F3286),F3286-IF(ISNUMBER(K3286),K3286,0),""),"")</f>
        <v/>
      </c>
    </row>
    <row r="3287" ht="24" customHeight="1" s="63">
      <c r="E3287" s="139" t="n"/>
      <c r="F3287" s="139" t="n"/>
      <c r="G3287" s="140">
        <f>IFERROR(IF(E3287&gt;0,(F3287/E3287)*1000,""),"")</f>
        <v/>
      </c>
      <c r="H3287" s="139">
        <f>IFERROR(IF(E3287&gt;0,E3287*IF(ISNUMBER(J3287),J3287,IF(OR(C3287="Alpha",B3287="Alpha"),$C$7,IF(C3287="Futures",$C$6,$C$5))),""),"")</f>
        <v/>
      </c>
      <c r="I3287" s="139">
        <f>IFERROR(IF(AND(ISNUMBER(F3287),ISNUMBER(H3287)),F3287-H3287,""),"")</f>
        <v/>
      </c>
      <c r="J3287" s="114" t="n"/>
      <c r="K3287" s="139">
        <f>IFERROR(IF(H3287&gt;0,H3287*IF(OR(C3287="Alpha",B3287="Alpha"),$C$9,$C$8),""),"")</f>
        <v/>
      </c>
      <c r="L3287" s="139">
        <f>IFERROR(IF(ISNUMBER(F3287),F3287-IF(ISNUMBER(K3287),K3287,0),""),"")</f>
        <v/>
      </c>
    </row>
    <row r="3288" ht="24" customHeight="1" s="63">
      <c r="E3288" s="139" t="n"/>
      <c r="F3288" s="139" t="n"/>
      <c r="G3288" s="140">
        <f>IFERROR(IF(E3288&gt;0,(F3288/E3288)*1000,""),"")</f>
        <v/>
      </c>
      <c r="H3288" s="139">
        <f>IFERROR(IF(E3288&gt;0,E3288*IF(ISNUMBER(J3288),J3288,IF(OR(C3288="Alpha",B3288="Alpha"),$C$7,IF(C3288="Futures",$C$6,$C$5))),""),"")</f>
        <v/>
      </c>
      <c r="I3288" s="139">
        <f>IFERROR(IF(AND(ISNUMBER(F3288),ISNUMBER(H3288)),F3288-H3288,""),"")</f>
        <v/>
      </c>
      <c r="J3288" s="114" t="n"/>
      <c r="K3288" s="139">
        <f>IFERROR(IF(H3288&gt;0,H3288*IF(OR(C3288="Alpha",B3288="Alpha"),$C$9,$C$8),""),"")</f>
        <v/>
      </c>
      <c r="L3288" s="139">
        <f>IFERROR(IF(ISNUMBER(F3288),F3288-IF(ISNUMBER(K3288),K3288,0),""),"")</f>
        <v/>
      </c>
    </row>
    <row r="3289" ht="24" customHeight="1" s="63">
      <c r="E3289" s="139" t="n"/>
      <c r="F3289" s="139" t="n"/>
      <c r="G3289" s="140">
        <f>IFERROR(IF(E3289&gt;0,(F3289/E3289)*1000,""),"")</f>
        <v/>
      </c>
      <c r="H3289" s="139">
        <f>IFERROR(IF(E3289&gt;0,E3289*IF(ISNUMBER(J3289),J3289,IF(OR(C3289="Alpha",B3289="Alpha"),$C$7,IF(C3289="Futures",$C$6,$C$5))),""),"")</f>
        <v/>
      </c>
      <c r="I3289" s="139">
        <f>IFERROR(IF(AND(ISNUMBER(F3289),ISNUMBER(H3289)),F3289-H3289,""),"")</f>
        <v/>
      </c>
      <c r="J3289" s="114" t="n"/>
      <c r="K3289" s="139">
        <f>IFERROR(IF(H3289&gt;0,H3289*IF(OR(C3289="Alpha",B3289="Alpha"),$C$9,$C$8),""),"")</f>
        <v/>
      </c>
      <c r="L3289" s="139">
        <f>IFERROR(IF(ISNUMBER(F3289),F3289-IF(ISNUMBER(K3289),K3289,0),""),"")</f>
        <v/>
      </c>
    </row>
    <row r="3290" ht="24" customHeight="1" s="63">
      <c r="E3290" s="139" t="n"/>
      <c r="F3290" s="139" t="n"/>
      <c r="G3290" s="140">
        <f>IFERROR(IF(E3290&gt;0,(F3290/E3290)*1000,""),"")</f>
        <v/>
      </c>
      <c r="H3290" s="139">
        <f>IFERROR(IF(E3290&gt;0,E3290*IF(ISNUMBER(J3290),J3290,IF(OR(C3290="Alpha",B3290="Alpha"),$C$7,IF(C3290="Futures",$C$6,$C$5))),""),"")</f>
        <v/>
      </c>
      <c r="I3290" s="139">
        <f>IFERROR(IF(AND(ISNUMBER(F3290),ISNUMBER(H3290)),F3290-H3290,""),"")</f>
        <v/>
      </c>
      <c r="J3290" s="114" t="n"/>
      <c r="K3290" s="139">
        <f>IFERROR(IF(H3290&gt;0,H3290*IF(OR(C3290="Alpha",B3290="Alpha"),$C$9,$C$8),""),"")</f>
        <v/>
      </c>
      <c r="L3290" s="139">
        <f>IFERROR(IF(ISNUMBER(F3290),F3290-IF(ISNUMBER(K3290),K3290,0),""),"")</f>
        <v/>
      </c>
    </row>
    <row r="3291" ht="24" customHeight="1" s="63">
      <c r="E3291" s="139" t="n"/>
      <c r="F3291" s="139" t="n"/>
      <c r="G3291" s="140">
        <f>IFERROR(IF(E3291&gt;0,(F3291/E3291)*1000,""),"")</f>
        <v/>
      </c>
      <c r="H3291" s="139">
        <f>IFERROR(IF(E3291&gt;0,E3291*IF(ISNUMBER(J3291),J3291,IF(OR(C3291="Alpha",B3291="Alpha"),$C$7,IF(C3291="Futures",$C$6,$C$5))),""),"")</f>
        <v/>
      </c>
      <c r="I3291" s="139">
        <f>IFERROR(IF(AND(ISNUMBER(F3291),ISNUMBER(H3291)),F3291-H3291,""),"")</f>
        <v/>
      </c>
      <c r="J3291" s="114" t="n"/>
      <c r="K3291" s="139">
        <f>IFERROR(IF(H3291&gt;0,H3291*IF(OR(C3291="Alpha",B3291="Alpha"),$C$9,$C$8),""),"")</f>
        <v/>
      </c>
      <c r="L3291" s="139">
        <f>IFERROR(IF(ISNUMBER(F3291),F3291-IF(ISNUMBER(K3291),K3291,0),""),"")</f>
        <v/>
      </c>
    </row>
    <row r="3292" ht="24" customHeight="1" s="63">
      <c r="E3292" s="139" t="n"/>
      <c r="F3292" s="139" t="n"/>
      <c r="G3292" s="140">
        <f>IFERROR(IF(E3292&gt;0,(F3292/E3292)*1000,""),"")</f>
        <v/>
      </c>
      <c r="H3292" s="139">
        <f>IFERROR(IF(E3292&gt;0,E3292*IF(ISNUMBER(J3292),J3292,IF(OR(C3292="Alpha",B3292="Alpha"),$C$7,IF(C3292="Futures",$C$6,$C$5))),""),"")</f>
        <v/>
      </c>
      <c r="I3292" s="139">
        <f>IFERROR(IF(AND(ISNUMBER(F3292),ISNUMBER(H3292)),F3292-H3292,""),"")</f>
        <v/>
      </c>
      <c r="J3292" s="114" t="n"/>
      <c r="K3292" s="139">
        <f>IFERROR(IF(H3292&gt;0,H3292*IF(OR(C3292="Alpha",B3292="Alpha"),$C$9,$C$8),""),"")</f>
        <v/>
      </c>
      <c r="L3292" s="139">
        <f>IFERROR(IF(ISNUMBER(F3292),F3292-IF(ISNUMBER(K3292),K3292,0),""),"")</f>
        <v/>
      </c>
    </row>
    <row r="3293" ht="24" customHeight="1" s="63">
      <c r="E3293" s="139" t="n"/>
      <c r="F3293" s="139" t="n"/>
      <c r="G3293" s="140">
        <f>IFERROR(IF(E3293&gt;0,(F3293/E3293)*1000,""),"")</f>
        <v/>
      </c>
      <c r="H3293" s="139">
        <f>IFERROR(IF(E3293&gt;0,E3293*IF(ISNUMBER(J3293),J3293,IF(OR(C3293="Alpha",B3293="Alpha"),$C$7,IF(C3293="Futures",$C$6,$C$5))),""),"")</f>
        <v/>
      </c>
      <c r="I3293" s="139">
        <f>IFERROR(IF(AND(ISNUMBER(F3293),ISNUMBER(H3293)),F3293-H3293,""),"")</f>
        <v/>
      </c>
      <c r="J3293" s="114" t="n"/>
      <c r="K3293" s="139">
        <f>IFERROR(IF(H3293&gt;0,H3293*IF(OR(C3293="Alpha",B3293="Alpha"),$C$9,$C$8),""),"")</f>
        <v/>
      </c>
      <c r="L3293" s="139">
        <f>IFERROR(IF(ISNUMBER(F3293),F3293-IF(ISNUMBER(K3293),K3293,0),""),"")</f>
        <v/>
      </c>
    </row>
    <row r="3294" ht="24" customHeight="1" s="63">
      <c r="E3294" s="139" t="n"/>
      <c r="F3294" s="139" t="n"/>
      <c r="G3294" s="140">
        <f>IFERROR(IF(E3294&gt;0,(F3294/E3294)*1000,""),"")</f>
        <v/>
      </c>
      <c r="H3294" s="139">
        <f>IFERROR(IF(E3294&gt;0,E3294*IF(ISNUMBER(J3294),J3294,IF(OR(C3294="Alpha",B3294="Alpha"),$C$7,IF(C3294="Futures",$C$6,$C$5))),""),"")</f>
        <v/>
      </c>
      <c r="I3294" s="139">
        <f>IFERROR(IF(AND(ISNUMBER(F3294),ISNUMBER(H3294)),F3294-H3294,""),"")</f>
        <v/>
      </c>
      <c r="J3294" s="114" t="n"/>
      <c r="K3294" s="139">
        <f>IFERROR(IF(H3294&gt;0,H3294*IF(OR(C3294="Alpha",B3294="Alpha"),$C$9,$C$8),""),"")</f>
        <v/>
      </c>
      <c r="L3294" s="139">
        <f>IFERROR(IF(ISNUMBER(F3294),F3294-IF(ISNUMBER(K3294),K3294,0),""),"")</f>
        <v/>
      </c>
    </row>
    <row r="3295" ht="24" customHeight="1" s="63">
      <c r="E3295" s="139" t="n"/>
      <c r="F3295" s="139" t="n"/>
      <c r="G3295" s="140">
        <f>IFERROR(IF(E3295&gt;0,(F3295/E3295)*1000,""),"")</f>
        <v/>
      </c>
      <c r="H3295" s="139">
        <f>IFERROR(IF(E3295&gt;0,E3295*IF(ISNUMBER(J3295),J3295,IF(OR(C3295="Alpha",B3295="Alpha"),$C$7,IF(C3295="Futures",$C$6,$C$5))),""),"")</f>
        <v/>
      </c>
      <c r="I3295" s="139">
        <f>IFERROR(IF(AND(ISNUMBER(F3295),ISNUMBER(H3295)),F3295-H3295,""),"")</f>
        <v/>
      </c>
      <c r="J3295" s="114" t="n"/>
      <c r="K3295" s="139">
        <f>IFERROR(IF(H3295&gt;0,H3295*IF(OR(C3295="Alpha",B3295="Alpha"),$C$9,$C$8),""),"")</f>
        <v/>
      </c>
      <c r="L3295" s="139">
        <f>IFERROR(IF(ISNUMBER(F3295),F3295-IF(ISNUMBER(K3295),K3295,0),""),"")</f>
        <v/>
      </c>
    </row>
    <row r="3296" ht="24" customHeight="1" s="63">
      <c r="E3296" s="139" t="n"/>
      <c r="F3296" s="139" t="n"/>
      <c r="G3296" s="140">
        <f>IFERROR(IF(E3296&gt;0,(F3296/E3296)*1000,""),"")</f>
        <v/>
      </c>
      <c r="H3296" s="139">
        <f>IFERROR(IF(E3296&gt;0,E3296*IF(ISNUMBER(J3296),J3296,IF(OR(C3296="Alpha",B3296="Alpha"),$C$7,IF(C3296="Futures",$C$6,$C$5))),""),"")</f>
        <v/>
      </c>
      <c r="I3296" s="139">
        <f>IFERROR(IF(AND(ISNUMBER(F3296),ISNUMBER(H3296)),F3296-H3296,""),"")</f>
        <v/>
      </c>
      <c r="J3296" s="114" t="n"/>
      <c r="K3296" s="139">
        <f>IFERROR(IF(H3296&gt;0,H3296*IF(OR(C3296="Alpha",B3296="Alpha"),$C$9,$C$8),""),"")</f>
        <v/>
      </c>
      <c r="L3296" s="139">
        <f>IFERROR(IF(ISNUMBER(F3296),F3296-IF(ISNUMBER(K3296),K3296,0),""),"")</f>
        <v/>
      </c>
    </row>
    <row r="3297" ht="24" customHeight="1" s="63">
      <c r="E3297" s="139" t="n"/>
      <c r="F3297" s="139" t="n"/>
      <c r="G3297" s="140">
        <f>IFERROR(IF(E3297&gt;0,(F3297/E3297)*1000,""),"")</f>
        <v/>
      </c>
      <c r="H3297" s="139">
        <f>IFERROR(IF(E3297&gt;0,E3297*IF(ISNUMBER(J3297),J3297,IF(OR(C3297="Alpha",B3297="Alpha"),$C$7,IF(C3297="Futures",$C$6,$C$5))),""),"")</f>
        <v/>
      </c>
      <c r="I3297" s="139">
        <f>IFERROR(IF(AND(ISNUMBER(F3297),ISNUMBER(H3297)),F3297-H3297,""),"")</f>
        <v/>
      </c>
      <c r="J3297" s="114" t="n"/>
      <c r="K3297" s="139">
        <f>IFERROR(IF(H3297&gt;0,H3297*IF(OR(C3297="Alpha",B3297="Alpha"),$C$9,$C$8),""),"")</f>
        <v/>
      </c>
      <c r="L3297" s="139">
        <f>IFERROR(IF(ISNUMBER(F3297),F3297-IF(ISNUMBER(K3297),K3297,0),""),"")</f>
        <v/>
      </c>
    </row>
    <row r="3298" ht="24" customHeight="1" s="63">
      <c r="E3298" s="139" t="n"/>
      <c r="F3298" s="139" t="n"/>
      <c r="G3298" s="140">
        <f>IFERROR(IF(E3298&gt;0,(F3298/E3298)*1000,""),"")</f>
        <v/>
      </c>
      <c r="H3298" s="139">
        <f>IFERROR(IF(E3298&gt;0,E3298*IF(ISNUMBER(J3298),J3298,IF(OR(C3298="Alpha",B3298="Alpha"),$C$7,IF(C3298="Futures",$C$6,$C$5))),""),"")</f>
        <v/>
      </c>
      <c r="I3298" s="139">
        <f>IFERROR(IF(AND(ISNUMBER(F3298),ISNUMBER(H3298)),F3298-H3298,""),"")</f>
        <v/>
      </c>
      <c r="J3298" s="114" t="n"/>
      <c r="K3298" s="139">
        <f>IFERROR(IF(H3298&gt;0,H3298*IF(OR(C3298="Alpha",B3298="Alpha"),$C$9,$C$8),""),"")</f>
        <v/>
      </c>
      <c r="L3298" s="139">
        <f>IFERROR(IF(ISNUMBER(F3298),F3298-IF(ISNUMBER(K3298),K3298,0),""),"")</f>
        <v/>
      </c>
    </row>
    <row r="3299" ht="24" customHeight="1" s="63">
      <c r="E3299" s="139" t="n"/>
      <c r="F3299" s="139" t="n"/>
      <c r="G3299" s="140">
        <f>IFERROR(IF(E3299&gt;0,(F3299/E3299)*1000,""),"")</f>
        <v/>
      </c>
      <c r="H3299" s="139">
        <f>IFERROR(IF(E3299&gt;0,E3299*IF(ISNUMBER(J3299),J3299,IF(OR(C3299="Alpha",B3299="Alpha"),$C$7,IF(C3299="Futures",$C$6,$C$5))),""),"")</f>
        <v/>
      </c>
      <c r="I3299" s="139">
        <f>IFERROR(IF(AND(ISNUMBER(F3299),ISNUMBER(H3299)),F3299-H3299,""),"")</f>
        <v/>
      </c>
      <c r="J3299" s="114" t="n"/>
      <c r="K3299" s="139">
        <f>IFERROR(IF(H3299&gt;0,H3299*IF(OR(C3299="Alpha",B3299="Alpha"),$C$9,$C$8),""),"")</f>
        <v/>
      </c>
      <c r="L3299" s="139">
        <f>IFERROR(IF(ISNUMBER(F3299),F3299-IF(ISNUMBER(K3299),K3299,0),""),"")</f>
        <v/>
      </c>
    </row>
    <row r="3300" ht="24" customHeight="1" s="63">
      <c r="E3300" s="139" t="n"/>
      <c r="F3300" s="139" t="n"/>
      <c r="G3300" s="140">
        <f>IFERROR(IF(E3300&gt;0,(F3300/E3300)*1000,""),"")</f>
        <v/>
      </c>
      <c r="H3300" s="139">
        <f>IFERROR(IF(E3300&gt;0,E3300*IF(ISNUMBER(J3300),J3300,IF(OR(C3300="Alpha",B3300="Alpha"),$C$7,IF(C3300="Futures",$C$6,$C$5))),""),"")</f>
        <v/>
      </c>
      <c r="I3300" s="139">
        <f>IFERROR(IF(AND(ISNUMBER(F3300),ISNUMBER(H3300)),F3300-H3300,""),"")</f>
        <v/>
      </c>
      <c r="J3300" s="114" t="n"/>
      <c r="K3300" s="139">
        <f>IFERROR(IF(H3300&gt;0,H3300*IF(OR(C3300="Alpha",B3300="Alpha"),$C$9,$C$8),""),"")</f>
        <v/>
      </c>
      <c r="L3300" s="139">
        <f>IFERROR(IF(ISNUMBER(F3300),F3300-IF(ISNUMBER(K3300),K3300,0),""),"")</f>
        <v/>
      </c>
    </row>
    <row r="3301" ht="24" customHeight="1" s="63">
      <c r="E3301" s="139" t="n"/>
      <c r="F3301" s="139" t="n"/>
      <c r="G3301" s="140">
        <f>IFERROR(IF(E3301&gt;0,(F3301/E3301)*1000,""),"")</f>
        <v/>
      </c>
      <c r="H3301" s="139">
        <f>IFERROR(IF(E3301&gt;0,E3301*IF(ISNUMBER(J3301),J3301,IF(OR(C3301="Alpha",B3301="Alpha"),$C$7,IF(C3301="Futures",$C$6,$C$5))),""),"")</f>
        <v/>
      </c>
      <c r="I3301" s="139">
        <f>IFERROR(IF(AND(ISNUMBER(F3301),ISNUMBER(H3301)),F3301-H3301,""),"")</f>
        <v/>
      </c>
      <c r="J3301" s="114" t="n"/>
      <c r="K3301" s="139">
        <f>IFERROR(IF(H3301&gt;0,H3301*IF(OR(C3301="Alpha",B3301="Alpha"),$C$9,$C$8),""),"")</f>
        <v/>
      </c>
      <c r="L3301" s="139">
        <f>IFERROR(IF(ISNUMBER(F3301),F3301-IF(ISNUMBER(K3301),K3301,0),""),"")</f>
        <v/>
      </c>
    </row>
    <row r="3302" ht="24" customHeight="1" s="63">
      <c r="E3302" s="139" t="n"/>
      <c r="F3302" s="139" t="n"/>
      <c r="G3302" s="140">
        <f>IFERROR(IF(E3302&gt;0,(F3302/E3302)*1000,""),"")</f>
        <v/>
      </c>
      <c r="H3302" s="139">
        <f>IFERROR(IF(E3302&gt;0,E3302*IF(ISNUMBER(J3302),J3302,IF(OR(C3302="Alpha",B3302="Alpha"),$C$7,IF(C3302="Futures",$C$6,$C$5))),""),"")</f>
        <v/>
      </c>
      <c r="I3302" s="139">
        <f>IFERROR(IF(AND(ISNUMBER(F3302),ISNUMBER(H3302)),F3302-H3302,""),"")</f>
        <v/>
      </c>
      <c r="J3302" s="114" t="n"/>
      <c r="K3302" s="139">
        <f>IFERROR(IF(H3302&gt;0,H3302*IF(OR(C3302="Alpha",B3302="Alpha"),$C$9,$C$8),""),"")</f>
        <v/>
      </c>
      <c r="L3302" s="139">
        <f>IFERROR(IF(ISNUMBER(F3302),F3302-IF(ISNUMBER(K3302),K3302,0),""),"")</f>
        <v/>
      </c>
    </row>
    <row r="3303" ht="24" customHeight="1" s="63">
      <c r="E3303" s="139" t="n"/>
      <c r="F3303" s="139" t="n"/>
      <c r="G3303" s="140">
        <f>IFERROR(IF(E3303&gt;0,(F3303/E3303)*1000,""),"")</f>
        <v/>
      </c>
      <c r="H3303" s="139">
        <f>IFERROR(IF(E3303&gt;0,E3303*IF(ISNUMBER(J3303),J3303,IF(OR(C3303="Alpha",B3303="Alpha"),$C$7,IF(C3303="Futures",$C$6,$C$5))),""),"")</f>
        <v/>
      </c>
      <c r="I3303" s="139">
        <f>IFERROR(IF(AND(ISNUMBER(F3303),ISNUMBER(H3303)),F3303-H3303,""),"")</f>
        <v/>
      </c>
      <c r="J3303" s="114" t="n"/>
      <c r="K3303" s="139">
        <f>IFERROR(IF(H3303&gt;0,H3303*IF(OR(C3303="Alpha",B3303="Alpha"),$C$9,$C$8),""),"")</f>
        <v/>
      </c>
      <c r="L3303" s="139">
        <f>IFERROR(IF(ISNUMBER(F3303),F3303-IF(ISNUMBER(K3303),K3303,0),""),"")</f>
        <v/>
      </c>
    </row>
    <row r="3304" ht="24" customHeight="1" s="63">
      <c r="E3304" s="139" t="n"/>
      <c r="F3304" s="139" t="n"/>
      <c r="G3304" s="140">
        <f>IFERROR(IF(E3304&gt;0,(F3304/E3304)*1000,""),"")</f>
        <v/>
      </c>
      <c r="H3304" s="139">
        <f>IFERROR(IF(E3304&gt;0,E3304*IF(ISNUMBER(J3304),J3304,IF(OR(C3304="Alpha",B3304="Alpha"),$C$7,IF(C3304="Futures",$C$6,$C$5))),""),"")</f>
        <v/>
      </c>
      <c r="I3304" s="139">
        <f>IFERROR(IF(AND(ISNUMBER(F3304),ISNUMBER(H3304)),F3304-H3304,""),"")</f>
        <v/>
      </c>
      <c r="J3304" s="114" t="n"/>
      <c r="K3304" s="139">
        <f>IFERROR(IF(H3304&gt;0,H3304*IF(OR(C3304="Alpha",B3304="Alpha"),$C$9,$C$8),""),"")</f>
        <v/>
      </c>
      <c r="L3304" s="139">
        <f>IFERROR(IF(ISNUMBER(F3304),F3304-IF(ISNUMBER(K3304),K3304,0),""),"")</f>
        <v/>
      </c>
    </row>
    <row r="3305" ht="24" customHeight="1" s="63">
      <c r="E3305" s="139" t="n"/>
      <c r="F3305" s="139" t="n"/>
      <c r="G3305" s="140">
        <f>IFERROR(IF(E3305&gt;0,(F3305/E3305)*1000,""),"")</f>
        <v/>
      </c>
      <c r="H3305" s="139">
        <f>IFERROR(IF(E3305&gt;0,E3305*IF(ISNUMBER(J3305),J3305,IF(OR(C3305="Alpha",B3305="Alpha"),$C$7,IF(C3305="Futures",$C$6,$C$5))),""),"")</f>
        <v/>
      </c>
      <c r="I3305" s="139">
        <f>IFERROR(IF(AND(ISNUMBER(F3305),ISNUMBER(H3305)),F3305-H3305,""),"")</f>
        <v/>
      </c>
      <c r="J3305" s="114" t="n"/>
      <c r="K3305" s="139">
        <f>IFERROR(IF(H3305&gt;0,H3305*IF(OR(C3305="Alpha",B3305="Alpha"),$C$9,$C$8),""),"")</f>
        <v/>
      </c>
      <c r="L3305" s="139">
        <f>IFERROR(IF(ISNUMBER(F3305),F3305-IF(ISNUMBER(K3305),K3305,0),""),"")</f>
        <v/>
      </c>
    </row>
    <row r="3306" ht="24" customHeight="1" s="63">
      <c r="E3306" s="139" t="n"/>
      <c r="F3306" s="139" t="n"/>
      <c r="G3306" s="140">
        <f>IFERROR(IF(E3306&gt;0,(F3306/E3306)*1000,""),"")</f>
        <v/>
      </c>
      <c r="H3306" s="139">
        <f>IFERROR(IF(E3306&gt;0,E3306*IF(ISNUMBER(J3306),J3306,IF(OR(C3306="Alpha",B3306="Alpha"),$C$7,IF(C3306="Futures",$C$6,$C$5))),""),"")</f>
        <v/>
      </c>
      <c r="I3306" s="139">
        <f>IFERROR(IF(AND(ISNUMBER(F3306),ISNUMBER(H3306)),F3306-H3306,""),"")</f>
        <v/>
      </c>
      <c r="J3306" s="114" t="n"/>
      <c r="K3306" s="139">
        <f>IFERROR(IF(H3306&gt;0,H3306*IF(OR(C3306="Alpha",B3306="Alpha"),$C$9,$C$8),""),"")</f>
        <v/>
      </c>
      <c r="L3306" s="139">
        <f>IFERROR(IF(ISNUMBER(F3306),F3306-IF(ISNUMBER(K3306),K3306,0),""),"")</f>
        <v/>
      </c>
    </row>
    <row r="3307" ht="24" customHeight="1" s="63">
      <c r="E3307" s="139" t="n"/>
      <c r="F3307" s="139" t="n"/>
      <c r="G3307" s="140">
        <f>IFERROR(IF(E3307&gt;0,(F3307/E3307)*1000,""),"")</f>
        <v/>
      </c>
      <c r="H3307" s="139">
        <f>IFERROR(IF(E3307&gt;0,E3307*IF(ISNUMBER(J3307),J3307,IF(OR(C3307="Alpha",B3307="Alpha"),$C$7,IF(C3307="Futures",$C$6,$C$5))),""),"")</f>
        <v/>
      </c>
      <c r="I3307" s="139">
        <f>IFERROR(IF(AND(ISNUMBER(F3307),ISNUMBER(H3307)),F3307-H3307,""),"")</f>
        <v/>
      </c>
      <c r="J3307" s="114" t="n"/>
      <c r="K3307" s="139">
        <f>IFERROR(IF(H3307&gt;0,H3307*IF(OR(C3307="Alpha",B3307="Alpha"),$C$9,$C$8),""),"")</f>
        <v/>
      </c>
      <c r="L3307" s="139">
        <f>IFERROR(IF(ISNUMBER(F3307),F3307-IF(ISNUMBER(K3307),K3307,0),""),"")</f>
        <v/>
      </c>
    </row>
    <row r="3308" ht="24" customHeight="1" s="63">
      <c r="E3308" s="139" t="n"/>
      <c r="F3308" s="139" t="n"/>
      <c r="G3308" s="140">
        <f>IFERROR(IF(E3308&gt;0,(F3308/E3308)*1000,""),"")</f>
        <v/>
      </c>
      <c r="H3308" s="139">
        <f>IFERROR(IF(E3308&gt;0,E3308*IF(ISNUMBER(J3308),J3308,IF(OR(C3308="Alpha",B3308="Alpha"),$C$7,IF(C3308="Futures",$C$6,$C$5))),""),"")</f>
        <v/>
      </c>
      <c r="I3308" s="139">
        <f>IFERROR(IF(AND(ISNUMBER(F3308),ISNUMBER(H3308)),F3308-H3308,""),"")</f>
        <v/>
      </c>
      <c r="J3308" s="114" t="n"/>
      <c r="K3308" s="139">
        <f>IFERROR(IF(H3308&gt;0,H3308*IF(OR(C3308="Alpha",B3308="Alpha"),$C$9,$C$8),""),"")</f>
        <v/>
      </c>
      <c r="L3308" s="139">
        <f>IFERROR(IF(ISNUMBER(F3308),F3308-IF(ISNUMBER(K3308),K3308,0),""),"")</f>
        <v/>
      </c>
    </row>
    <row r="3309" ht="24" customHeight="1" s="63">
      <c r="E3309" s="139" t="n"/>
      <c r="F3309" s="139" t="n"/>
      <c r="G3309" s="140">
        <f>IFERROR(IF(E3309&gt;0,(F3309/E3309)*1000,""),"")</f>
        <v/>
      </c>
      <c r="H3309" s="139">
        <f>IFERROR(IF(E3309&gt;0,E3309*IF(ISNUMBER(J3309),J3309,IF(OR(C3309="Alpha",B3309="Alpha"),$C$7,IF(C3309="Futures",$C$6,$C$5))),""),"")</f>
        <v/>
      </c>
      <c r="I3309" s="139">
        <f>IFERROR(IF(AND(ISNUMBER(F3309),ISNUMBER(H3309)),F3309-H3309,""),"")</f>
        <v/>
      </c>
      <c r="J3309" s="114" t="n"/>
      <c r="K3309" s="139">
        <f>IFERROR(IF(H3309&gt;0,H3309*IF(OR(C3309="Alpha",B3309="Alpha"),$C$9,$C$8),""),"")</f>
        <v/>
      </c>
      <c r="L3309" s="139">
        <f>IFERROR(IF(ISNUMBER(F3309),F3309-IF(ISNUMBER(K3309),K3309,0),""),"")</f>
        <v/>
      </c>
    </row>
    <row r="3310" ht="24" customHeight="1" s="63">
      <c r="E3310" s="139" t="n"/>
      <c r="F3310" s="139" t="n"/>
      <c r="G3310" s="140">
        <f>IFERROR(IF(E3310&gt;0,(F3310/E3310)*1000,""),"")</f>
        <v/>
      </c>
      <c r="H3310" s="139">
        <f>IFERROR(IF(E3310&gt;0,E3310*IF(ISNUMBER(J3310),J3310,IF(OR(C3310="Alpha",B3310="Alpha"),$C$7,IF(C3310="Futures",$C$6,$C$5))),""),"")</f>
        <v/>
      </c>
      <c r="I3310" s="139">
        <f>IFERROR(IF(AND(ISNUMBER(F3310),ISNUMBER(H3310)),F3310-H3310,""),"")</f>
        <v/>
      </c>
      <c r="J3310" s="114" t="n"/>
      <c r="K3310" s="139">
        <f>IFERROR(IF(H3310&gt;0,H3310*IF(OR(C3310="Alpha",B3310="Alpha"),$C$9,$C$8),""),"")</f>
        <v/>
      </c>
      <c r="L3310" s="139">
        <f>IFERROR(IF(ISNUMBER(F3310),F3310-IF(ISNUMBER(K3310),K3310,0),""),"")</f>
        <v/>
      </c>
    </row>
    <row r="3311" ht="24" customHeight="1" s="63">
      <c r="E3311" s="139" t="n"/>
      <c r="F3311" s="139" t="n"/>
      <c r="G3311" s="140">
        <f>IFERROR(IF(E3311&gt;0,(F3311/E3311)*1000,""),"")</f>
        <v/>
      </c>
      <c r="H3311" s="139">
        <f>IFERROR(IF(E3311&gt;0,E3311*IF(ISNUMBER(J3311),J3311,IF(OR(C3311="Alpha",B3311="Alpha"),$C$7,IF(C3311="Futures",$C$6,$C$5))),""),"")</f>
        <v/>
      </c>
      <c r="I3311" s="139">
        <f>IFERROR(IF(AND(ISNUMBER(F3311),ISNUMBER(H3311)),F3311-H3311,""),"")</f>
        <v/>
      </c>
      <c r="J3311" s="114" t="n"/>
      <c r="K3311" s="139">
        <f>IFERROR(IF(H3311&gt;0,H3311*IF(OR(C3311="Alpha",B3311="Alpha"),$C$9,$C$8),""),"")</f>
        <v/>
      </c>
      <c r="L3311" s="139">
        <f>IFERROR(IF(ISNUMBER(F3311),F3311-IF(ISNUMBER(K3311),K3311,0),""),"")</f>
        <v/>
      </c>
    </row>
    <row r="3312" ht="24" customHeight="1" s="63">
      <c r="E3312" s="139" t="n"/>
      <c r="F3312" s="139" t="n"/>
      <c r="G3312" s="140">
        <f>IFERROR(IF(E3312&gt;0,(F3312/E3312)*1000,""),"")</f>
        <v/>
      </c>
      <c r="H3312" s="139">
        <f>IFERROR(IF(E3312&gt;0,E3312*IF(ISNUMBER(J3312),J3312,IF(OR(C3312="Alpha",B3312="Alpha"),$C$7,IF(C3312="Futures",$C$6,$C$5))),""),"")</f>
        <v/>
      </c>
      <c r="I3312" s="139">
        <f>IFERROR(IF(AND(ISNUMBER(F3312),ISNUMBER(H3312)),F3312-H3312,""),"")</f>
        <v/>
      </c>
      <c r="J3312" s="114" t="n"/>
      <c r="K3312" s="139">
        <f>IFERROR(IF(H3312&gt;0,H3312*IF(OR(C3312="Alpha",B3312="Alpha"),$C$9,$C$8),""),"")</f>
        <v/>
      </c>
      <c r="L3312" s="139">
        <f>IFERROR(IF(ISNUMBER(F3312),F3312-IF(ISNUMBER(K3312),K3312,0),""),"")</f>
        <v/>
      </c>
    </row>
    <row r="3313" ht="24" customHeight="1" s="63">
      <c r="E3313" s="139" t="n"/>
      <c r="F3313" s="139" t="n"/>
      <c r="G3313" s="140">
        <f>IFERROR(IF(E3313&gt;0,(F3313/E3313)*1000,""),"")</f>
        <v/>
      </c>
      <c r="H3313" s="139">
        <f>IFERROR(IF(E3313&gt;0,E3313*IF(ISNUMBER(J3313),J3313,IF(OR(C3313="Alpha",B3313="Alpha"),$C$7,IF(C3313="Futures",$C$6,$C$5))),""),"")</f>
        <v/>
      </c>
      <c r="I3313" s="139">
        <f>IFERROR(IF(AND(ISNUMBER(F3313),ISNUMBER(H3313)),F3313-H3313,""),"")</f>
        <v/>
      </c>
      <c r="J3313" s="114" t="n"/>
      <c r="K3313" s="139">
        <f>IFERROR(IF(H3313&gt;0,H3313*IF(OR(C3313="Alpha",B3313="Alpha"),$C$9,$C$8),""),"")</f>
        <v/>
      </c>
      <c r="L3313" s="139">
        <f>IFERROR(IF(ISNUMBER(F3313),F3313-IF(ISNUMBER(K3313),K3313,0),""),"")</f>
        <v/>
      </c>
    </row>
    <row r="3314" ht="24" customHeight="1" s="63">
      <c r="E3314" s="139" t="n"/>
      <c r="F3314" s="139" t="n"/>
      <c r="G3314" s="140">
        <f>IFERROR(IF(E3314&gt;0,(F3314/E3314)*1000,""),"")</f>
        <v/>
      </c>
      <c r="H3314" s="139">
        <f>IFERROR(IF(E3314&gt;0,E3314*IF(ISNUMBER(J3314),J3314,IF(OR(C3314="Alpha",B3314="Alpha"),$C$7,IF(C3314="Futures",$C$6,$C$5))),""),"")</f>
        <v/>
      </c>
      <c r="I3314" s="139">
        <f>IFERROR(IF(AND(ISNUMBER(F3314),ISNUMBER(H3314)),F3314-H3314,""),"")</f>
        <v/>
      </c>
      <c r="J3314" s="114" t="n"/>
      <c r="K3314" s="139">
        <f>IFERROR(IF(H3314&gt;0,H3314*IF(OR(C3314="Alpha",B3314="Alpha"),$C$9,$C$8),""),"")</f>
        <v/>
      </c>
      <c r="L3314" s="139">
        <f>IFERROR(IF(ISNUMBER(F3314),F3314-IF(ISNUMBER(K3314),K3314,0),""),"")</f>
        <v/>
      </c>
    </row>
    <row r="3315" ht="24" customHeight="1" s="63">
      <c r="E3315" s="139" t="n"/>
      <c r="F3315" s="139" t="n"/>
      <c r="G3315" s="140">
        <f>IFERROR(IF(E3315&gt;0,(F3315/E3315)*1000,""),"")</f>
        <v/>
      </c>
      <c r="H3315" s="139">
        <f>IFERROR(IF(E3315&gt;0,E3315*IF(ISNUMBER(J3315),J3315,IF(OR(C3315="Alpha",B3315="Alpha"),$C$7,IF(C3315="Futures",$C$6,$C$5))),""),"")</f>
        <v/>
      </c>
      <c r="I3315" s="139">
        <f>IFERROR(IF(AND(ISNUMBER(F3315),ISNUMBER(H3315)),F3315-H3315,""),"")</f>
        <v/>
      </c>
      <c r="J3315" s="114" t="n"/>
      <c r="K3315" s="139">
        <f>IFERROR(IF(H3315&gt;0,H3315*IF(OR(C3315="Alpha",B3315="Alpha"),$C$9,$C$8),""),"")</f>
        <v/>
      </c>
      <c r="L3315" s="139">
        <f>IFERROR(IF(ISNUMBER(F3315),F3315-IF(ISNUMBER(K3315),K3315,0),""),"")</f>
        <v/>
      </c>
    </row>
    <row r="3316" ht="24" customHeight="1" s="63">
      <c r="E3316" s="139" t="n"/>
      <c r="F3316" s="139" t="n"/>
      <c r="G3316" s="140">
        <f>IFERROR(IF(E3316&gt;0,(F3316/E3316)*1000,""),"")</f>
        <v/>
      </c>
      <c r="H3316" s="139">
        <f>IFERROR(IF(E3316&gt;0,E3316*IF(ISNUMBER(J3316),J3316,IF(OR(C3316="Alpha",B3316="Alpha"),$C$7,IF(C3316="Futures",$C$6,$C$5))),""),"")</f>
        <v/>
      </c>
      <c r="I3316" s="139">
        <f>IFERROR(IF(AND(ISNUMBER(F3316),ISNUMBER(H3316)),F3316-H3316,""),"")</f>
        <v/>
      </c>
      <c r="J3316" s="114" t="n"/>
      <c r="K3316" s="139">
        <f>IFERROR(IF(H3316&gt;0,H3316*IF(OR(C3316="Alpha",B3316="Alpha"),$C$9,$C$8),""),"")</f>
        <v/>
      </c>
      <c r="L3316" s="139">
        <f>IFERROR(IF(ISNUMBER(F3316),F3316-IF(ISNUMBER(K3316),K3316,0),""),"")</f>
        <v/>
      </c>
    </row>
    <row r="3317" ht="24" customHeight="1" s="63">
      <c r="E3317" s="139" t="n"/>
      <c r="F3317" s="139" t="n"/>
      <c r="G3317" s="140">
        <f>IFERROR(IF(E3317&gt;0,(F3317/E3317)*1000,""),"")</f>
        <v/>
      </c>
      <c r="H3317" s="139">
        <f>IFERROR(IF(E3317&gt;0,E3317*IF(ISNUMBER(J3317),J3317,IF(OR(C3317="Alpha",B3317="Alpha"),$C$7,IF(C3317="Futures",$C$6,$C$5))),""),"")</f>
        <v/>
      </c>
      <c r="I3317" s="139">
        <f>IFERROR(IF(AND(ISNUMBER(F3317),ISNUMBER(H3317)),F3317-H3317,""),"")</f>
        <v/>
      </c>
      <c r="J3317" s="114" t="n"/>
      <c r="K3317" s="139">
        <f>IFERROR(IF(H3317&gt;0,H3317*IF(OR(C3317="Alpha",B3317="Alpha"),$C$9,$C$8),""),"")</f>
        <v/>
      </c>
      <c r="L3317" s="139">
        <f>IFERROR(IF(ISNUMBER(F3317),F3317-IF(ISNUMBER(K3317),K3317,0),""),"")</f>
        <v/>
      </c>
    </row>
    <row r="3318" ht="24" customHeight="1" s="63">
      <c r="E3318" s="139" t="n"/>
      <c r="F3318" s="139" t="n"/>
      <c r="G3318" s="140">
        <f>IFERROR(IF(E3318&gt;0,(F3318/E3318)*1000,""),"")</f>
        <v/>
      </c>
      <c r="H3318" s="139">
        <f>IFERROR(IF(E3318&gt;0,E3318*IF(ISNUMBER(J3318),J3318,IF(OR(C3318="Alpha",B3318="Alpha"),$C$7,IF(C3318="Futures",$C$6,$C$5))),""),"")</f>
        <v/>
      </c>
      <c r="I3318" s="139">
        <f>IFERROR(IF(AND(ISNUMBER(F3318),ISNUMBER(H3318)),F3318-H3318,""),"")</f>
        <v/>
      </c>
      <c r="J3318" s="114" t="n"/>
      <c r="K3318" s="139">
        <f>IFERROR(IF(H3318&gt;0,H3318*IF(OR(C3318="Alpha",B3318="Alpha"),$C$9,$C$8),""),"")</f>
        <v/>
      </c>
      <c r="L3318" s="139">
        <f>IFERROR(IF(ISNUMBER(F3318),F3318-IF(ISNUMBER(K3318),K3318,0),""),"")</f>
        <v/>
      </c>
    </row>
    <row r="3319" ht="24" customHeight="1" s="63">
      <c r="E3319" s="139" t="n"/>
      <c r="F3319" s="139" t="n"/>
      <c r="G3319" s="140">
        <f>IFERROR(IF(E3319&gt;0,(F3319/E3319)*1000,""),"")</f>
        <v/>
      </c>
      <c r="H3319" s="139">
        <f>IFERROR(IF(E3319&gt;0,E3319*IF(ISNUMBER(J3319),J3319,IF(OR(C3319="Alpha",B3319="Alpha"),$C$7,IF(C3319="Futures",$C$6,$C$5))),""),"")</f>
        <v/>
      </c>
      <c r="I3319" s="139">
        <f>IFERROR(IF(AND(ISNUMBER(F3319),ISNUMBER(H3319)),F3319-H3319,""),"")</f>
        <v/>
      </c>
      <c r="J3319" s="114" t="n"/>
      <c r="K3319" s="139">
        <f>IFERROR(IF(H3319&gt;0,H3319*IF(OR(C3319="Alpha",B3319="Alpha"),$C$9,$C$8),""),"")</f>
        <v/>
      </c>
      <c r="L3319" s="139">
        <f>IFERROR(IF(ISNUMBER(F3319),F3319-IF(ISNUMBER(K3319),K3319,0),""),"")</f>
        <v/>
      </c>
    </row>
    <row r="3320" ht="24" customHeight="1" s="63">
      <c r="E3320" s="139" t="n"/>
      <c r="F3320" s="139" t="n"/>
      <c r="G3320" s="140">
        <f>IFERROR(IF(E3320&gt;0,(F3320/E3320)*1000,""),"")</f>
        <v/>
      </c>
      <c r="H3320" s="139">
        <f>IFERROR(IF(E3320&gt;0,E3320*IF(ISNUMBER(J3320),J3320,IF(OR(C3320="Alpha",B3320="Alpha"),$C$7,IF(C3320="Futures",$C$6,$C$5))),""),"")</f>
        <v/>
      </c>
      <c r="I3320" s="139">
        <f>IFERROR(IF(AND(ISNUMBER(F3320),ISNUMBER(H3320)),F3320-H3320,""),"")</f>
        <v/>
      </c>
      <c r="J3320" s="114" t="n"/>
      <c r="K3320" s="139">
        <f>IFERROR(IF(H3320&gt;0,H3320*IF(OR(C3320="Alpha",B3320="Alpha"),$C$9,$C$8),""),"")</f>
        <v/>
      </c>
      <c r="L3320" s="139">
        <f>IFERROR(IF(ISNUMBER(F3320),F3320-IF(ISNUMBER(K3320),K3320,0),""),"")</f>
        <v/>
      </c>
    </row>
    <row r="3321" ht="24" customHeight="1" s="63">
      <c r="E3321" s="139" t="n"/>
      <c r="F3321" s="139" t="n"/>
      <c r="G3321" s="140">
        <f>IFERROR(IF(E3321&gt;0,(F3321/E3321)*1000,""),"")</f>
        <v/>
      </c>
      <c r="H3321" s="139">
        <f>IFERROR(IF(E3321&gt;0,E3321*IF(ISNUMBER(J3321),J3321,IF(OR(C3321="Alpha",B3321="Alpha"),$C$7,IF(C3321="Futures",$C$6,$C$5))),""),"")</f>
        <v/>
      </c>
      <c r="I3321" s="139">
        <f>IFERROR(IF(AND(ISNUMBER(F3321),ISNUMBER(H3321)),F3321-H3321,""),"")</f>
        <v/>
      </c>
      <c r="J3321" s="114" t="n"/>
      <c r="K3321" s="139">
        <f>IFERROR(IF(H3321&gt;0,H3321*IF(OR(C3321="Alpha",B3321="Alpha"),$C$9,$C$8),""),"")</f>
        <v/>
      </c>
      <c r="L3321" s="139">
        <f>IFERROR(IF(ISNUMBER(F3321),F3321-IF(ISNUMBER(K3321),K3321,0),""),"")</f>
        <v/>
      </c>
    </row>
    <row r="3322" ht="24" customHeight="1" s="63">
      <c r="E3322" s="139" t="n"/>
      <c r="F3322" s="139" t="n"/>
      <c r="G3322" s="140">
        <f>IFERROR(IF(E3322&gt;0,(F3322/E3322)*1000,""),"")</f>
        <v/>
      </c>
      <c r="H3322" s="139">
        <f>IFERROR(IF(E3322&gt;0,E3322*IF(ISNUMBER(J3322),J3322,IF(OR(C3322="Alpha",B3322="Alpha"),$C$7,IF(C3322="Futures",$C$6,$C$5))),""),"")</f>
        <v/>
      </c>
      <c r="I3322" s="139">
        <f>IFERROR(IF(AND(ISNUMBER(F3322),ISNUMBER(H3322)),F3322-H3322,""),"")</f>
        <v/>
      </c>
      <c r="J3322" s="114" t="n"/>
      <c r="K3322" s="139">
        <f>IFERROR(IF(H3322&gt;0,H3322*IF(OR(C3322="Alpha",B3322="Alpha"),$C$9,$C$8),""),"")</f>
        <v/>
      </c>
      <c r="L3322" s="139">
        <f>IFERROR(IF(ISNUMBER(F3322),F3322-IF(ISNUMBER(K3322),K3322,0),""),"")</f>
        <v/>
      </c>
    </row>
    <row r="3323" ht="24" customHeight="1" s="63">
      <c r="E3323" s="139" t="n"/>
      <c r="F3323" s="139" t="n"/>
      <c r="G3323" s="140">
        <f>IFERROR(IF(E3323&gt;0,(F3323/E3323)*1000,""),"")</f>
        <v/>
      </c>
      <c r="H3323" s="139">
        <f>IFERROR(IF(E3323&gt;0,E3323*IF(ISNUMBER(J3323),J3323,IF(OR(C3323="Alpha",B3323="Alpha"),$C$7,IF(C3323="Futures",$C$6,$C$5))),""),"")</f>
        <v/>
      </c>
      <c r="I3323" s="139">
        <f>IFERROR(IF(AND(ISNUMBER(F3323),ISNUMBER(H3323)),F3323-H3323,""),"")</f>
        <v/>
      </c>
      <c r="J3323" s="114" t="n"/>
      <c r="K3323" s="139">
        <f>IFERROR(IF(H3323&gt;0,H3323*IF(OR(C3323="Alpha",B3323="Alpha"),$C$9,$C$8),""),"")</f>
        <v/>
      </c>
      <c r="L3323" s="139">
        <f>IFERROR(IF(ISNUMBER(F3323),F3323-IF(ISNUMBER(K3323),K3323,0),""),"")</f>
        <v/>
      </c>
    </row>
    <row r="3324" ht="24" customHeight="1" s="63">
      <c r="E3324" s="139" t="n"/>
      <c r="F3324" s="139" t="n"/>
      <c r="G3324" s="140">
        <f>IFERROR(IF(E3324&gt;0,(F3324/E3324)*1000,""),"")</f>
        <v/>
      </c>
      <c r="H3324" s="139">
        <f>IFERROR(IF(E3324&gt;0,E3324*IF(ISNUMBER(J3324),J3324,IF(OR(C3324="Alpha",B3324="Alpha"),$C$7,IF(C3324="Futures",$C$6,$C$5))),""),"")</f>
        <v/>
      </c>
      <c r="I3324" s="139">
        <f>IFERROR(IF(AND(ISNUMBER(F3324),ISNUMBER(H3324)),F3324-H3324,""),"")</f>
        <v/>
      </c>
      <c r="J3324" s="114" t="n"/>
      <c r="K3324" s="139">
        <f>IFERROR(IF(H3324&gt;0,H3324*IF(OR(C3324="Alpha",B3324="Alpha"),$C$9,$C$8),""),"")</f>
        <v/>
      </c>
      <c r="L3324" s="139">
        <f>IFERROR(IF(ISNUMBER(F3324),F3324-IF(ISNUMBER(K3324),K3324,0),""),"")</f>
        <v/>
      </c>
    </row>
    <row r="3325" ht="24" customHeight="1" s="63">
      <c r="E3325" s="139" t="n"/>
      <c r="F3325" s="139" t="n"/>
      <c r="G3325" s="140">
        <f>IFERROR(IF(E3325&gt;0,(F3325/E3325)*1000,""),"")</f>
        <v/>
      </c>
      <c r="H3325" s="139">
        <f>IFERROR(IF(E3325&gt;0,E3325*IF(ISNUMBER(J3325),J3325,IF(OR(C3325="Alpha",B3325="Alpha"),$C$7,IF(C3325="Futures",$C$6,$C$5))),""),"")</f>
        <v/>
      </c>
      <c r="I3325" s="139">
        <f>IFERROR(IF(AND(ISNUMBER(F3325),ISNUMBER(H3325)),F3325-H3325,""),"")</f>
        <v/>
      </c>
      <c r="J3325" s="114" t="n"/>
      <c r="K3325" s="139">
        <f>IFERROR(IF(H3325&gt;0,H3325*IF(OR(C3325="Alpha",B3325="Alpha"),$C$9,$C$8),""),"")</f>
        <v/>
      </c>
      <c r="L3325" s="139">
        <f>IFERROR(IF(ISNUMBER(F3325),F3325-IF(ISNUMBER(K3325),K3325,0),""),"")</f>
        <v/>
      </c>
    </row>
    <row r="3326" ht="24" customHeight="1" s="63">
      <c r="E3326" s="139" t="n"/>
      <c r="F3326" s="139" t="n"/>
      <c r="G3326" s="140">
        <f>IFERROR(IF(E3326&gt;0,(F3326/E3326)*1000,""),"")</f>
        <v/>
      </c>
      <c r="H3326" s="139">
        <f>IFERROR(IF(E3326&gt;0,E3326*IF(ISNUMBER(J3326),J3326,IF(OR(C3326="Alpha",B3326="Alpha"),$C$7,IF(C3326="Futures",$C$6,$C$5))),""),"")</f>
        <v/>
      </c>
      <c r="I3326" s="139">
        <f>IFERROR(IF(AND(ISNUMBER(F3326),ISNUMBER(H3326)),F3326-H3326,""),"")</f>
        <v/>
      </c>
      <c r="J3326" s="114" t="n"/>
      <c r="K3326" s="139">
        <f>IFERROR(IF(H3326&gt;0,H3326*IF(OR(C3326="Alpha",B3326="Alpha"),$C$9,$C$8),""),"")</f>
        <v/>
      </c>
      <c r="L3326" s="139">
        <f>IFERROR(IF(ISNUMBER(F3326),F3326-IF(ISNUMBER(K3326),K3326,0),""),"")</f>
        <v/>
      </c>
    </row>
    <row r="3327" ht="24" customHeight="1" s="63">
      <c r="E3327" s="139" t="n"/>
      <c r="F3327" s="139" t="n"/>
      <c r="G3327" s="140">
        <f>IFERROR(IF(E3327&gt;0,(F3327/E3327)*1000,""),"")</f>
        <v/>
      </c>
      <c r="H3327" s="139">
        <f>IFERROR(IF(E3327&gt;0,E3327*IF(ISNUMBER(J3327),J3327,IF(OR(C3327="Alpha",B3327="Alpha"),$C$7,IF(C3327="Futures",$C$6,$C$5))),""),"")</f>
        <v/>
      </c>
      <c r="I3327" s="139">
        <f>IFERROR(IF(AND(ISNUMBER(F3327),ISNUMBER(H3327)),F3327-H3327,""),"")</f>
        <v/>
      </c>
      <c r="J3327" s="114" t="n"/>
      <c r="K3327" s="139">
        <f>IFERROR(IF(H3327&gt;0,H3327*IF(OR(C3327="Alpha",B3327="Alpha"),$C$9,$C$8),""),"")</f>
        <v/>
      </c>
      <c r="L3327" s="139">
        <f>IFERROR(IF(ISNUMBER(F3327),F3327-IF(ISNUMBER(K3327),K3327,0),""),"")</f>
        <v/>
      </c>
    </row>
    <row r="3328" ht="24" customHeight="1" s="63">
      <c r="E3328" s="139" t="n"/>
      <c r="F3328" s="139" t="n"/>
      <c r="G3328" s="140">
        <f>IFERROR(IF(E3328&gt;0,(F3328/E3328)*1000,""),"")</f>
        <v/>
      </c>
      <c r="H3328" s="139">
        <f>IFERROR(IF(E3328&gt;0,E3328*IF(ISNUMBER(J3328),J3328,IF(OR(C3328="Alpha",B3328="Alpha"),$C$7,IF(C3328="Futures",$C$6,$C$5))),""),"")</f>
        <v/>
      </c>
      <c r="I3328" s="139">
        <f>IFERROR(IF(AND(ISNUMBER(F3328),ISNUMBER(H3328)),F3328-H3328,""),"")</f>
        <v/>
      </c>
      <c r="J3328" s="114" t="n"/>
      <c r="K3328" s="139">
        <f>IFERROR(IF(H3328&gt;0,H3328*IF(OR(C3328="Alpha",B3328="Alpha"),$C$9,$C$8),""),"")</f>
        <v/>
      </c>
      <c r="L3328" s="139">
        <f>IFERROR(IF(ISNUMBER(F3328),F3328-IF(ISNUMBER(K3328),K3328,0),""),"")</f>
        <v/>
      </c>
    </row>
    <row r="3329" ht="24" customHeight="1" s="63">
      <c r="E3329" s="139" t="n"/>
      <c r="F3329" s="139" t="n"/>
      <c r="G3329" s="140">
        <f>IFERROR(IF(E3329&gt;0,(F3329/E3329)*1000,""),"")</f>
        <v/>
      </c>
      <c r="H3329" s="139">
        <f>IFERROR(IF(E3329&gt;0,E3329*IF(ISNUMBER(J3329),J3329,IF(OR(C3329="Alpha",B3329="Alpha"),$C$7,IF(C3329="Futures",$C$6,$C$5))),""),"")</f>
        <v/>
      </c>
      <c r="I3329" s="139">
        <f>IFERROR(IF(AND(ISNUMBER(F3329),ISNUMBER(H3329)),F3329-H3329,""),"")</f>
        <v/>
      </c>
      <c r="J3329" s="114" t="n"/>
      <c r="K3329" s="139">
        <f>IFERROR(IF(H3329&gt;0,H3329*IF(OR(C3329="Alpha",B3329="Alpha"),$C$9,$C$8),""),"")</f>
        <v/>
      </c>
      <c r="L3329" s="139">
        <f>IFERROR(IF(ISNUMBER(F3329),F3329-IF(ISNUMBER(K3329),K3329,0),""),"")</f>
        <v/>
      </c>
    </row>
    <row r="3330" ht="24" customHeight="1" s="63">
      <c r="E3330" s="139" t="n"/>
      <c r="F3330" s="139" t="n"/>
      <c r="G3330" s="140">
        <f>IFERROR(IF(E3330&gt;0,(F3330/E3330)*1000,""),"")</f>
        <v/>
      </c>
      <c r="H3330" s="139">
        <f>IFERROR(IF(E3330&gt;0,E3330*IF(ISNUMBER(J3330),J3330,IF(OR(C3330="Alpha",B3330="Alpha"),$C$7,IF(C3330="Futures",$C$6,$C$5))),""),"")</f>
        <v/>
      </c>
      <c r="I3330" s="139">
        <f>IFERROR(IF(AND(ISNUMBER(F3330),ISNUMBER(H3330)),F3330-H3330,""),"")</f>
        <v/>
      </c>
      <c r="J3330" s="114" t="n"/>
      <c r="K3330" s="139">
        <f>IFERROR(IF(H3330&gt;0,H3330*IF(OR(C3330="Alpha",B3330="Alpha"),$C$9,$C$8),""),"")</f>
        <v/>
      </c>
      <c r="L3330" s="139">
        <f>IFERROR(IF(ISNUMBER(F3330),F3330-IF(ISNUMBER(K3330),K3330,0),""),"")</f>
        <v/>
      </c>
    </row>
    <row r="3331" ht="24" customHeight="1" s="63">
      <c r="E3331" s="139" t="n"/>
      <c r="F3331" s="139" t="n"/>
      <c r="G3331" s="140">
        <f>IFERROR(IF(E3331&gt;0,(F3331/E3331)*1000,""),"")</f>
        <v/>
      </c>
      <c r="H3331" s="139">
        <f>IFERROR(IF(E3331&gt;0,E3331*IF(ISNUMBER(J3331),J3331,IF(OR(C3331="Alpha",B3331="Alpha"),$C$7,IF(C3331="Futures",$C$6,$C$5))),""),"")</f>
        <v/>
      </c>
      <c r="I3331" s="139">
        <f>IFERROR(IF(AND(ISNUMBER(F3331),ISNUMBER(H3331)),F3331-H3331,""),"")</f>
        <v/>
      </c>
      <c r="J3331" s="114" t="n"/>
      <c r="K3331" s="139">
        <f>IFERROR(IF(H3331&gt;0,H3331*IF(OR(C3331="Alpha",B3331="Alpha"),$C$9,$C$8),""),"")</f>
        <v/>
      </c>
      <c r="L3331" s="139">
        <f>IFERROR(IF(ISNUMBER(F3331),F3331-IF(ISNUMBER(K3331),K3331,0),""),"")</f>
        <v/>
      </c>
    </row>
    <row r="3332" ht="24" customHeight="1" s="63">
      <c r="E3332" s="139" t="n"/>
      <c r="F3332" s="139" t="n"/>
      <c r="G3332" s="140">
        <f>IFERROR(IF(E3332&gt;0,(F3332/E3332)*1000,""),"")</f>
        <v/>
      </c>
      <c r="H3332" s="139">
        <f>IFERROR(IF(E3332&gt;0,E3332*IF(ISNUMBER(J3332),J3332,IF(OR(C3332="Alpha",B3332="Alpha"),$C$7,IF(C3332="Futures",$C$6,$C$5))),""),"")</f>
        <v/>
      </c>
      <c r="I3332" s="139">
        <f>IFERROR(IF(AND(ISNUMBER(F3332),ISNUMBER(H3332)),F3332-H3332,""),"")</f>
        <v/>
      </c>
      <c r="J3332" s="114" t="n"/>
      <c r="K3332" s="139">
        <f>IFERROR(IF(H3332&gt;0,H3332*IF(OR(C3332="Alpha",B3332="Alpha"),$C$9,$C$8),""),"")</f>
        <v/>
      </c>
      <c r="L3332" s="139">
        <f>IFERROR(IF(ISNUMBER(F3332),F3332-IF(ISNUMBER(K3332),K3332,0),""),"")</f>
        <v/>
      </c>
    </row>
    <row r="3333" ht="24" customHeight="1" s="63">
      <c r="E3333" s="139" t="n"/>
      <c r="F3333" s="139" t="n"/>
      <c r="G3333" s="140">
        <f>IFERROR(IF(E3333&gt;0,(F3333/E3333)*1000,""),"")</f>
        <v/>
      </c>
      <c r="H3333" s="139">
        <f>IFERROR(IF(E3333&gt;0,E3333*IF(ISNUMBER(J3333),J3333,IF(OR(C3333="Alpha",B3333="Alpha"),$C$7,IF(C3333="Futures",$C$6,$C$5))),""),"")</f>
        <v/>
      </c>
      <c r="I3333" s="139">
        <f>IFERROR(IF(AND(ISNUMBER(F3333),ISNUMBER(H3333)),F3333-H3333,""),"")</f>
        <v/>
      </c>
      <c r="J3333" s="114" t="n"/>
      <c r="K3333" s="139">
        <f>IFERROR(IF(H3333&gt;0,H3333*IF(OR(C3333="Alpha",B3333="Alpha"),$C$9,$C$8),""),"")</f>
        <v/>
      </c>
      <c r="L3333" s="139">
        <f>IFERROR(IF(ISNUMBER(F3333),F3333-IF(ISNUMBER(K3333),K3333,0),""),"")</f>
        <v/>
      </c>
    </row>
    <row r="3334" ht="24" customHeight="1" s="63">
      <c r="E3334" s="139" t="n"/>
      <c r="F3334" s="139" t="n"/>
      <c r="G3334" s="140">
        <f>IFERROR(IF(E3334&gt;0,(F3334/E3334)*1000,""),"")</f>
        <v/>
      </c>
      <c r="H3334" s="139">
        <f>IFERROR(IF(E3334&gt;0,E3334*IF(ISNUMBER(J3334),J3334,IF(OR(C3334="Alpha",B3334="Alpha"),$C$7,IF(C3334="Futures",$C$6,$C$5))),""),"")</f>
        <v/>
      </c>
      <c r="I3334" s="139">
        <f>IFERROR(IF(AND(ISNUMBER(F3334),ISNUMBER(H3334)),F3334-H3334,""),"")</f>
        <v/>
      </c>
      <c r="J3334" s="114" t="n"/>
      <c r="K3334" s="139">
        <f>IFERROR(IF(H3334&gt;0,H3334*IF(OR(C3334="Alpha",B3334="Alpha"),$C$9,$C$8),""),"")</f>
        <v/>
      </c>
      <c r="L3334" s="139">
        <f>IFERROR(IF(ISNUMBER(F3334),F3334-IF(ISNUMBER(K3334),K3334,0),""),"")</f>
        <v/>
      </c>
    </row>
    <row r="3335" ht="24" customHeight="1" s="63">
      <c r="E3335" s="139" t="n"/>
      <c r="F3335" s="139" t="n"/>
      <c r="G3335" s="140">
        <f>IFERROR(IF(E3335&gt;0,(F3335/E3335)*1000,""),"")</f>
        <v/>
      </c>
      <c r="H3335" s="139">
        <f>IFERROR(IF(E3335&gt;0,E3335*IF(ISNUMBER(J3335),J3335,IF(OR(C3335="Alpha",B3335="Alpha"),$C$7,IF(C3335="Futures",$C$6,$C$5))),""),"")</f>
        <v/>
      </c>
      <c r="I3335" s="139">
        <f>IFERROR(IF(AND(ISNUMBER(F3335),ISNUMBER(H3335)),F3335-H3335,""),"")</f>
        <v/>
      </c>
      <c r="J3335" s="114" t="n"/>
      <c r="K3335" s="139">
        <f>IFERROR(IF(H3335&gt;0,H3335*IF(OR(C3335="Alpha",B3335="Alpha"),$C$9,$C$8),""),"")</f>
        <v/>
      </c>
      <c r="L3335" s="139">
        <f>IFERROR(IF(ISNUMBER(F3335),F3335-IF(ISNUMBER(K3335),K3335,0),""),"")</f>
        <v/>
      </c>
    </row>
    <row r="3336" ht="24" customHeight="1" s="63">
      <c r="E3336" s="139" t="n"/>
      <c r="F3336" s="139" t="n"/>
      <c r="G3336" s="140">
        <f>IFERROR(IF(E3336&gt;0,(F3336/E3336)*1000,""),"")</f>
        <v/>
      </c>
      <c r="H3336" s="139">
        <f>IFERROR(IF(E3336&gt;0,E3336*IF(ISNUMBER(J3336),J3336,IF(OR(C3336="Alpha",B3336="Alpha"),$C$7,IF(C3336="Futures",$C$6,$C$5))),""),"")</f>
        <v/>
      </c>
      <c r="I3336" s="139">
        <f>IFERROR(IF(AND(ISNUMBER(F3336),ISNUMBER(H3336)),F3336-H3336,""),"")</f>
        <v/>
      </c>
      <c r="J3336" s="114" t="n"/>
      <c r="K3336" s="139">
        <f>IFERROR(IF(H3336&gt;0,H3336*IF(OR(C3336="Alpha",B3336="Alpha"),$C$9,$C$8),""),"")</f>
        <v/>
      </c>
      <c r="L3336" s="139">
        <f>IFERROR(IF(ISNUMBER(F3336),F3336-IF(ISNUMBER(K3336),K3336,0),""),"")</f>
        <v/>
      </c>
    </row>
    <row r="3337" ht="24" customHeight="1" s="63">
      <c r="E3337" s="139" t="n"/>
      <c r="F3337" s="139" t="n"/>
      <c r="G3337" s="140">
        <f>IFERROR(IF(E3337&gt;0,(F3337/E3337)*1000,""),"")</f>
        <v/>
      </c>
      <c r="H3337" s="139">
        <f>IFERROR(IF(E3337&gt;0,E3337*IF(ISNUMBER(J3337),J3337,IF(OR(C3337="Alpha",B3337="Alpha"),$C$7,IF(C3337="Futures",$C$6,$C$5))),""),"")</f>
        <v/>
      </c>
      <c r="I3337" s="139">
        <f>IFERROR(IF(AND(ISNUMBER(F3337),ISNUMBER(H3337)),F3337-H3337,""),"")</f>
        <v/>
      </c>
      <c r="J3337" s="114" t="n"/>
      <c r="K3337" s="139">
        <f>IFERROR(IF(H3337&gt;0,H3337*IF(OR(C3337="Alpha",B3337="Alpha"),$C$9,$C$8),""),"")</f>
        <v/>
      </c>
      <c r="L3337" s="139">
        <f>IFERROR(IF(ISNUMBER(F3337),F3337-IF(ISNUMBER(K3337),K3337,0),""),"")</f>
        <v/>
      </c>
    </row>
    <row r="3338" ht="24" customHeight="1" s="63">
      <c r="E3338" s="139" t="n"/>
      <c r="F3338" s="139" t="n"/>
      <c r="G3338" s="140">
        <f>IFERROR(IF(E3338&gt;0,(F3338/E3338)*1000,""),"")</f>
        <v/>
      </c>
      <c r="H3338" s="139">
        <f>IFERROR(IF(E3338&gt;0,E3338*IF(ISNUMBER(J3338),J3338,IF(OR(C3338="Alpha",B3338="Alpha"),$C$7,IF(C3338="Futures",$C$6,$C$5))),""),"")</f>
        <v/>
      </c>
      <c r="I3338" s="139">
        <f>IFERROR(IF(AND(ISNUMBER(F3338),ISNUMBER(H3338)),F3338-H3338,""),"")</f>
        <v/>
      </c>
      <c r="J3338" s="114" t="n"/>
      <c r="K3338" s="139">
        <f>IFERROR(IF(H3338&gt;0,H3338*IF(OR(C3338="Alpha",B3338="Alpha"),$C$9,$C$8),""),"")</f>
        <v/>
      </c>
      <c r="L3338" s="139">
        <f>IFERROR(IF(ISNUMBER(F3338),F3338-IF(ISNUMBER(K3338),K3338,0),""),"")</f>
        <v/>
      </c>
    </row>
    <row r="3339" ht="24" customHeight="1" s="63">
      <c r="E3339" s="139" t="n"/>
      <c r="F3339" s="139" t="n"/>
      <c r="G3339" s="140">
        <f>IFERROR(IF(E3339&gt;0,(F3339/E3339)*1000,""),"")</f>
        <v/>
      </c>
      <c r="H3339" s="139">
        <f>IFERROR(IF(E3339&gt;0,E3339*IF(ISNUMBER(J3339),J3339,IF(OR(C3339="Alpha",B3339="Alpha"),$C$7,IF(C3339="Futures",$C$6,$C$5))),""),"")</f>
        <v/>
      </c>
      <c r="I3339" s="139">
        <f>IFERROR(IF(AND(ISNUMBER(F3339),ISNUMBER(H3339)),F3339-H3339,""),"")</f>
        <v/>
      </c>
      <c r="J3339" s="114" t="n"/>
      <c r="K3339" s="139">
        <f>IFERROR(IF(H3339&gt;0,H3339*IF(OR(C3339="Alpha",B3339="Alpha"),$C$9,$C$8),""),"")</f>
        <v/>
      </c>
      <c r="L3339" s="139">
        <f>IFERROR(IF(ISNUMBER(F3339),F3339-IF(ISNUMBER(K3339),K3339,0),""),"")</f>
        <v/>
      </c>
    </row>
    <row r="3340" ht="24" customHeight="1" s="63">
      <c r="E3340" s="139" t="n"/>
      <c r="F3340" s="139" t="n"/>
      <c r="G3340" s="140">
        <f>IFERROR(IF(E3340&gt;0,(F3340/E3340)*1000,""),"")</f>
        <v/>
      </c>
      <c r="H3340" s="139">
        <f>IFERROR(IF(E3340&gt;0,E3340*IF(ISNUMBER(J3340),J3340,IF(OR(C3340="Alpha",B3340="Alpha"),$C$7,IF(C3340="Futures",$C$6,$C$5))),""),"")</f>
        <v/>
      </c>
      <c r="I3340" s="139">
        <f>IFERROR(IF(AND(ISNUMBER(F3340),ISNUMBER(H3340)),F3340-H3340,""),"")</f>
        <v/>
      </c>
      <c r="J3340" s="114" t="n"/>
      <c r="K3340" s="139">
        <f>IFERROR(IF(H3340&gt;0,H3340*IF(OR(C3340="Alpha",B3340="Alpha"),$C$9,$C$8),""),"")</f>
        <v/>
      </c>
      <c r="L3340" s="139">
        <f>IFERROR(IF(ISNUMBER(F3340),F3340-IF(ISNUMBER(K3340),K3340,0),""),"")</f>
        <v/>
      </c>
    </row>
    <row r="3341" ht="24" customHeight="1" s="63">
      <c r="E3341" s="139" t="n"/>
      <c r="F3341" s="139" t="n"/>
      <c r="G3341" s="140">
        <f>IFERROR(IF(E3341&gt;0,(F3341/E3341)*1000,""),"")</f>
        <v/>
      </c>
      <c r="H3341" s="139">
        <f>IFERROR(IF(E3341&gt;0,E3341*IF(ISNUMBER(J3341),J3341,IF(OR(C3341="Alpha",B3341="Alpha"),$C$7,IF(C3341="Futures",$C$6,$C$5))),""),"")</f>
        <v/>
      </c>
      <c r="I3341" s="139">
        <f>IFERROR(IF(AND(ISNUMBER(F3341),ISNUMBER(H3341)),F3341-H3341,""),"")</f>
        <v/>
      </c>
      <c r="J3341" s="114" t="n"/>
      <c r="K3341" s="139">
        <f>IFERROR(IF(H3341&gt;0,H3341*IF(OR(C3341="Alpha",B3341="Alpha"),$C$9,$C$8),""),"")</f>
        <v/>
      </c>
      <c r="L3341" s="139">
        <f>IFERROR(IF(ISNUMBER(F3341),F3341-IF(ISNUMBER(K3341),K3341,0),""),"")</f>
        <v/>
      </c>
    </row>
    <row r="3342" ht="24" customHeight="1" s="63">
      <c r="E3342" s="139" t="n"/>
      <c r="F3342" s="139" t="n"/>
      <c r="G3342" s="140">
        <f>IFERROR(IF(E3342&gt;0,(F3342/E3342)*1000,""),"")</f>
        <v/>
      </c>
      <c r="H3342" s="139">
        <f>IFERROR(IF(E3342&gt;0,E3342*IF(ISNUMBER(J3342),J3342,IF(OR(C3342="Alpha",B3342="Alpha"),$C$7,IF(C3342="Futures",$C$6,$C$5))),""),"")</f>
        <v/>
      </c>
      <c r="I3342" s="139">
        <f>IFERROR(IF(AND(ISNUMBER(F3342),ISNUMBER(H3342)),F3342-H3342,""),"")</f>
        <v/>
      </c>
      <c r="J3342" s="114" t="n"/>
      <c r="K3342" s="139">
        <f>IFERROR(IF(H3342&gt;0,H3342*IF(OR(C3342="Alpha",B3342="Alpha"),$C$9,$C$8),""),"")</f>
        <v/>
      </c>
      <c r="L3342" s="139">
        <f>IFERROR(IF(ISNUMBER(F3342),F3342-IF(ISNUMBER(K3342),K3342,0),""),"")</f>
        <v/>
      </c>
    </row>
    <row r="3343" ht="24" customHeight="1" s="63">
      <c r="E3343" s="139" t="n"/>
      <c r="F3343" s="139" t="n"/>
      <c r="G3343" s="140">
        <f>IFERROR(IF(E3343&gt;0,(F3343/E3343)*1000,""),"")</f>
        <v/>
      </c>
      <c r="H3343" s="139">
        <f>IFERROR(IF(E3343&gt;0,E3343*IF(ISNUMBER(J3343),J3343,IF(OR(C3343="Alpha",B3343="Alpha"),$C$7,IF(C3343="Futures",$C$6,$C$5))),""),"")</f>
        <v/>
      </c>
      <c r="I3343" s="139">
        <f>IFERROR(IF(AND(ISNUMBER(F3343),ISNUMBER(H3343)),F3343-H3343,""),"")</f>
        <v/>
      </c>
      <c r="J3343" s="114" t="n"/>
      <c r="K3343" s="139">
        <f>IFERROR(IF(H3343&gt;0,H3343*IF(OR(C3343="Alpha",B3343="Alpha"),$C$9,$C$8),""),"")</f>
        <v/>
      </c>
      <c r="L3343" s="139">
        <f>IFERROR(IF(ISNUMBER(F3343),F3343-IF(ISNUMBER(K3343),K3343,0),""),"")</f>
        <v/>
      </c>
    </row>
    <row r="3344" ht="24" customHeight="1" s="63">
      <c r="E3344" s="139" t="n"/>
      <c r="F3344" s="139" t="n"/>
      <c r="G3344" s="140">
        <f>IFERROR(IF(E3344&gt;0,(F3344/E3344)*1000,""),"")</f>
        <v/>
      </c>
      <c r="H3344" s="139">
        <f>IFERROR(IF(E3344&gt;0,E3344*IF(ISNUMBER(J3344),J3344,IF(OR(C3344="Alpha",B3344="Alpha"),$C$7,IF(C3344="Futures",$C$6,$C$5))),""),"")</f>
        <v/>
      </c>
      <c r="I3344" s="139">
        <f>IFERROR(IF(AND(ISNUMBER(F3344),ISNUMBER(H3344)),F3344-H3344,""),"")</f>
        <v/>
      </c>
      <c r="J3344" s="114" t="n"/>
      <c r="K3344" s="139">
        <f>IFERROR(IF(H3344&gt;0,H3344*IF(OR(C3344="Alpha",B3344="Alpha"),$C$9,$C$8),""),"")</f>
        <v/>
      </c>
      <c r="L3344" s="139">
        <f>IFERROR(IF(ISNUMBER(F3344),F3344-IF(ISNUMBER(K3344),K3344,0),""),"")</f>
        <v/>
      </c>
    </row>
    <row r="3345" ht="24" customHeight="1" s="63">
      <c r="E3345" s="139" t="n"/>
      <c r="F3345" s="139" t="n"/>
      <c r="G3345" s="140">
        <f>IFERROR(IF(E3345&gt;0,(F3345/E3345)*1000,""),"")</f>
        <v/>
      </c>
      <c r="H3345" s="139">
        <f>IFERROR(IF(E3345&gt;0,E3345*IF(ISNUMBER(J3345),J3345,IF(OR(C3345="Alpha",B3345="Alpha"),$C$7,IF(C3345="Futures",$C$6,$C$5))),""),"")</f>
        <v/>
      </c>
      <c r="I3345" s="139">
        <f>IFERROR(IF(AND(ISNUMBER(F3345),ISNUMBER(H3345)),F3345-H3345,""),"")</f>
        <v/>
      </c>
      <c r="J3345" s="114" t="n"/>
      <c r="K3345" s="139">
        <f>IFERROR(IF(H3345&gt;0,H3345*IF(OR(C3345="Alpha",B3345="Alpha"),$C$9,$C$8),""),"")</f>
        <v/>
      </c>
      <c r="L3345" s="139">
        <f>IFERROR(IF(ISNUMBER(F3345),F3345-IF(ISNUMBER(K3345),K3345,0),""),"")</f>
        <v/>
      </c>
    </row>
    <row r="3346" ht="24" customHeight="1" s="63">
      <c r="E3346" s="139" t="n"/>
      <c r="F3346" s="139" t="n"/>
      <c r="G3346" s="140">
        <f>IFERROR(IF(E3346&gt;0,(F3346/E3346)*1000,""),"")</f>
        <v/>
      </c>
      <c r="H3346" s="139">
        <f>IFERROR(IF(E3346&gt;0,E3346*IF(ISNUMBER(J3346),J3346,IF(OR(C3346="Alpha",B3346="Alpha"),$C$7,IF(C3346="Futures",$C$6,$C$5))),""),"")</f>
        <v/>
      </c>
      <c r="I3346" s="139">
        <f>IFERROR(IF(AND(ISNUMBER(F3346),ISNUMBER(H3346)),F3346-H3346,""),"")</f>
        <v/>
      </c>
      <c r="J3346" s="114" t="n"/>
      <c r="K3346" s="139">
        <f>IFERROR(IF(H3346&gt;0,H3346*IF(OR(C3346="Alpha",B3346="Alpha"),$C$9,$C$8),""),"")</f>
        <v/>
      </c>
      <c r="L3346" s="139">
        <f>IFERROR(IF(ISNUMBER(F3346),F3346-IF(ISNUMBER(K3346),K3346,0),""),"")</f>
        <v/>
      </c>
    </row>
    <row r="3347" ht="24" customHeight="1" s="63">
      <c r="E3347" s="139" t="n"/>
      <c r="F3347" s="139" t="n"/>
      <c r="G3347" s="140">
        <f>IFERROR(IF(E3347&gt;0,(F3347/E3347)*1000,""),"")</f>
        <v/>
      </c>
      <c r="H3347" s="139">
        <f>IFERROR(IF(E3347&gt;0,E3347*IF(ISNUMBER(J3347),J3347,IF(OR(C3347="Alpha",B3347="Alpha"),$C$7,IF(C3347="Futures",$C$6,$C$5))),""),"")</f>
        <v/>
      </c>
      <c r="I3347" s="139">
        <f>IFERROR(IF(AND(ISNUMBER(F3347),ISNUMBER(H3347)),F3347-H3347,""),"")</f>
        <v/>
      </c>
      <c r="J3347" s="114" t="n"/>
      <c r="K3347" s="139">
        <f>IFERROR(IF(H3347&gt;0,H3347*IF(OR(C3347="Alpha",B3347="Alpha"),$C$9,$C$8),""),"")</f>
        <v/>
      </c>
      <c r="L3347" s="139">
        <f>IFERROR(IF(ISNUMBER(F3347),F3347-IF(ISNUMBER(K3347),K3347,0),""),"")</f>
        <v/>
      </c>
    </row>
    <row r="3348" ht="24" customHeight="1" s="63">
      <c r="E3348" s="139" t="n"/>
      <c r="F3348" s="139" t="n"/>
      <c r="G3348" s="140">
        <f>IFERROR(IF(E3348&gt;0,(F3348/E3348)*1000,""),"")</f>
        <v/>
      </c>
      <c r="H3348" s="139">
        <f>IFERROR(IF(E3348&gt;0,E3348*IF(ISNUMBER(J3348),J3348,IF(OR(C3348="Alpha",B3348="Alpha"),$C$7,IF(C3348="Futures",$C$6,$C$5))),""),"")</f>
        <v/>
      </c>
      <c r="I3348" s="139">
        <f>IFERROR(IF(AND(ISNUMBER(F3348),ISNUMBER(H3348)),F3348-H3348,""),"")</f>
        <v/>
      </c>
      <c r="J3348" s="114" t="n"/>
      <c r="K3348" s="139">
        <f>IFERROR(IF(H3348&gt;0,H3348*IF(OR(C3348="Alpha",B3348="Alpha"),$C$9,$C$8),""),"")</f>
        <v/>
      </c>
      <c r="L3348" s="139">
        <f>IFERROR(IF(ISNUMBER(F3348),F3348-IF(ISNUMBER(K3348),K3348,0),""),"")</f>
        <v/>
      </c>
    </row>
    <row r="3349" ht="24" customHeight="1" s="63">
      <c r="E3349" s="139" t="n"/>
      <c r="F3349" s="139" t="n"/>
      <c r="G3349" s="140">
        <f>IFERROR(IF(E3349&gt;0,(F3349/E3349)*1000,""),"")</f>
        <v/>
      </c>
      <c r="H3349" s="139">
        <f>IFERROR(IF(E3349&gt;0,E3349*IF(ISNUMBER(J3349),J3349,IF(OR(C3349="Alpha",B3349="Alpha"),$C$7,IF(C3349="Futures",$C$6,$C$5))),""),"")</f>
        <v/>
      </c>
      <c r="I3349" s="139">
        <f>IFERROR(IF(AND(ISNUMBER(F3349),ISNUMBER(H3349)),F3349-H3349,""),"")</f>
        <v/>
      </c>
      <c r="J3349" s="114" t="n"/>
      <c r="K3349" s="139">
        <f>IFERROR(IF(H3349&gt;0,H3349*IF(OR(C3349="Alpha",B3349="Alpha"),$C$9,$C$8),""),"")</f>
        <v/>
      </c>
      <c r="L3349" s="139">
        <f>IFERROR(IF(ISNUMBER(F3349),F3349-IF(ISNUMBER(K3349),K3349,0),""),"")</f>
        <v/>
      </c>
    </row>
    <row r="3350" ht="24" customHeight="1" s="63">
      <c r="E3350" s="139" t="n"/>
      <c r="F3350" s="139" t="n"/>
      <c r="G3350" s="140">
        <f>IFERROR(IF(E3350&gt;0,(F3350/E3350)*1000,""),"")</f>
        <v/>
      </c>
      <c r="H3350" s="139">
        <f>IFERROR(IF(E3350&gt;0,E3350*IF(ISNUMBER(J3350),J3350,IF(OR(C3350="Alpha",B3350="Alpha"),$C$7,IF(C3350="Futures",$C$6,$C$5))),""),"")</f>
        <v/>
      </c>
      <c r="I3350" s="139">
        <f>IFERROR(IF(AND(ISNUMBER(F3350),ISNUMBER(H3350)),F3350-H3350,""),"")</f>
        <v/>
      </c>
      <c r="J3350" s="114" t="n"/>
      <c r="K3350" s="139">
        <f>IFERROR(IF(H3350&gt;0,H3350*IF(OR(C3350="Alpha",B3350="Alpha"),$C$9,$C$8),""),"")</f>
        <v/>
      </c>
      <c r="L3350" s="139">
        <f>IFERROR(IF(ISNUMBER(F3350),F3350-IF(ISNUMBER(K3350),K3350,0),""),"")</f>
        <v/>
      </c>
    </row>
    <row r="3351" ht="24" customHeight="1" s="63">
      <c r="E3351" s="139" t="n"/>
      <c r="F3351" s="139" t="n"/>
      <c r="G3351" s="140">
        <f>IFERROR(IF(E3351&gt;0,(F3351/E3351)*1000,""),"")</f>
        <v/>
      </c>
      <c r="H3351" s="139">
        <f>IFERROR(IF(E3351&gt;0,E3351*IF(ISNUMBER(J3351),J3351,IF(OR(C3351="Alpha",B3351="Alpha"),$C$7,IF(C3351="Futures",$C$6,$C$5))),""),"")</f>
        <v/>
      </c>
      <c r="I3351" s="139">
        <f>IFERROR(IF(AND(ISNUMBER(F3351),ISNUMBER(H3351)),F3351-H3351,""),"")</f>
        <v/>
      </c>
      <c r="J3351" s="114" t="n"/>
      <c r="K3351" s="139">
        <f>IFERROR(IF(H3351&gt;0,H3351*IF(OR(C3351="Alpha",B3351="Alpha"),$C$9,$C$8),""),"")</f>
        <v/>
      </c>
      <c r="L3351" s="139">
        <f>IFERROR(IF(ISNUMBER(F3351),F3351-IF(ISNUMBER(K3351),K3351,0),""),"")</f>
        <v/>
      </c>
    </row>
    <row r="3352" ht="24" customHeight="1" s="63">
      <c r="E3352" s="139" t="n"/>
      <c r="F3352" s="139" t="n"/>
      <c r="G3352" s="140">
        <f>IFERROR(IF(E3352&gt;0,(F3352/E3352)*1000,""),"")</f>
        <v/>
      </c>
      <c r="H3352" s="139">
        <f>IFERROR(IF(E3352&gt;0,E3352*IF(ISNUMBER(J3352),J3352,IF(OR(C3352="Alpha",B3352="Alpha"),$C$7,IF(C3352="Futures",$C$6,$C$5))),""),"")</f>
        <v/>
      </c>
      <c r="I3352" s="139">
        <f>IFERROR(IF(AND(ISNUMBER(F3352),ISNUMBER(H3352)),F3352-H3352,""),"")</f>
        <v/>
      </c>
      <c r="J3352" s="114" t="n"/>
      <c r="K3352" s="139">
        <f>IFERROR(IF(H3352&gt;0,H3352*IF(OR(C3352="Alpha",B3352="Alpha"),$C$9,$C$8),""),"")</f>
        <v/>
      </c>
      <c r="L3352" s="139">
        <f>IFERROR(IF(ISNUMBER(F3352),F3352-IF(ISNUMBER(K3352),K3352,0),""),"")</f>
        <v/>
      </c>
    </row>
    <row r="3353" ht="24" customHeight="1" s="63">
      <c r="E3353" s="139" t="n"/>
      <c r="F3353" s="139" t="n"/>
      <c r="G3353" s="140">
        <f>IFERROR(IF(E3353&gt;0,(F3353/E3353)*1000,""),"")</f>
        <v/>
      </c>
      <c r="H3353" s="139">
        <f>IFERROR(IF(E3353&gt;0,E3353*IF(ISNUMBER(J3353),J3353,IF(OR(C3353="Alpha",B3353="Alpha"),$C$7,IF(C3353="Futures",$C$6,$C$5))),""),"")</f>
        <v/>
      </c>
      <c r="I3353" s="139">
        <f>IFERROR(IF(AND(ISNUMBER(F3353),ISNUMBER(H3353)),F3353-H3353,""),"")</f>
        <v/>
      </c>
      <c r="J3353" s="114" t="n"/>
      <c r="K3353" s="139">
        <f>IFERROR(IF(H3353&gt;0,H3353*IF(OR(C3353="Alpha",B3353="Alpha"),$C$9,$C$8),""),"")</f>
        <v/>
      </c>
      <c r="L3353" s="139">
        <f>IFERROR(IF(ISNUMBER(F3353),F3353-IF(ISNUMBER(K3353),K3353,0),""),"")</f>
        <v/>
      </c>
    </row>
    <row r="3354" ht="24" customHeight="1" s="63">
      <c r="E3354" s="139" t="n"/>
      <c r="F3354" s="139" t="n"/>
      <c r="G3354" s="140">
        <f>IFERROR(IF(E3354&gt;0,(F3354/E3354)*1000,""),"")</f>
        <v/>
      </c>
      <c r="H3354" s="139">
        <f>IFERROR(IF(E3354&gt;0,E3354*IF(ISNUMBER(J3354),J3354,IF(OR(C3354="Alpha",B3354="Alpha"),$C$7,IF(C3354="Futures",$C$6,$C$5))),""),"")</f>
        <v/>
      </c>
      <c r="I3354" s="139">
        <f>IFERROR(IF(AND(ISNUMBER(F3354),ISNUMBER(H3354)),F3354-H3354,""),"")</f>
        <v/>
      </c>
      <c r="J3354" s="114" t="n"/>
      <c r="K3354" s="139">
        <f>IFERROR(IF(H3354&gt;0,H3354*IF(OR(C3354="Alpha",B3354="Alpha"),$C$9,$C$8),""),"")</f>
        <v/>
      </c>
      <c r="L3354" s="139">
        <f>IFERROR(IF(ISNUMBER(F3354),F3354-IF(ISNUMBER(K3354),K3354,0),""),"")</f>
        <v/>
      </c>
    </row>
    <row r="3355" ht="24" customHeight="1" s="63">
      <c r="E3355" s="139" t="n"/>
      <c r="F3355" s="139" t="n"/>
      <c r="G3355" s="140">
        <f>IFERROR(IF(E3355&gt;0,(F3355/E3355)*1000,""),"")</f>
        <v/>
      </c>
      <c r="H3355" s="139">
        <f>IFERROR(IF(E3355&gt;0,E3355*IF(ISNUMBER(J3355),J3355,IF(OR(C3355="Alpha",B3355="Alpha"),$C$7,IF(C3355="Futures",$C$6,$C$5))),""),"")</f>
        <v/>
      </c>
      <c r="I3355" s="139">
        <f>IFERROR(IF(AND(ISNUMBER(F3355),ISNUMBER(H3355)),F3355-H3355,""),"")</f>
        <v/>
      </c>
      <c r="J3355" s="114" t="n"/>
      <c r="K3355" s="139">
        <f>IFERROR(IF(H3355&gt;0,H3355*IF(OR(C3355="Alpha",B3355="Alpha"),$C$9,$C$8),""),"")</f>
        <v/>
      </c>
      <c r="L3355" s="139">
        <f>IFERROR(IF(ISNUMBER(F3355),F3355-IF(ISNUMBER(K3355),K3355,0),""),"")</f>
        <v/>
      </c>
    </row>
    <row r="3356" ht="24" customHeight="1" s="63">
      <c r="E3356" s="139" t="n"/>
      <c r="F3356" s="139" t="n"/>
      <c r="G3356" s="140">
        <f>IFERROR(IF(E3356&gt;0,(F3356/E3356)*1000,""),"")</f>
        <v/>
      </c>
      <c r="H3356" s="139">
        <f>IFERROR(IF(E3356&gt;0,E3356*IF(ISNUMBER(J3356),J3356,IF(OR(C3356="Alpha",B3356="Alpha"),$C$7,IF(C3356="Futures",$C$6,$C$5))),""),"")</f>
        <v/>
      </c>
      <c r="I3356" s="139">
        <f>IFERROR(IF(AND(ISNUMBER(F3356),ISNUMBER(H3356)),F3356-H3356,""),"")</f>
        <v/>
      </c>
      <c r="J3356" s="114" t="n"/>
      <c r="K3356" s="139">
        <f>IFERROR(IF(H3356&gt;0,H3356*IF(OR(C3356="Alpha",B3356="Alpha"),$C$9,$C$8),""),"")</f>
        <v/>
      </c>
      <c r="L3356" s="139">
        <f>IFERROR(IF(ISNUMBER(F3356),F3356-IF(ISNUMBER(K3356),K3356,0),""),"")</f>
        <v/>
      </c>
    </row>
    <row r="3357" ht="24" customHeight="1" s="63">
      <c r="E3357" s="139" t="n"/>
      <c r="F3357" s="139" t="n"/>
      <c r="G3357" s="140">
        <f>IFERROR(IF(E3357&gt;0,(F3357/E3357)*1000,""),"")</f>
        <v/>
      </c>
      <c r="H3357" s="139">
        <f>IFERROR(IF(E3357&gt;0,E3357*IF(ISNUMBER(J3357),J3357,IF(OR(C3357="Alpha",B3357="Alpha"),$C$7,IF(C3357="Futures",$C$6,$C$5))),""),"")</f>
        <v/>
      </c>
      <c r="I3357" s="139">
        <f>IFERROR(IF(AND(ISNUMBER(F3357),ISNUMBER(H3357)),F3357-H3357,""),"")</f>
        <v/>
      </c>
      <c r="J3357" s="114" t="n"/>
      <c r="K3357" s="139">
        <f>IFERROR(IF(H3357&gt;0,H3357*IF(OR(C3357="Alpha",B3357="Alpha"),$C$9,$C$8),""),"")</f>
        <v/>
      </c>
      <c r="L3357" s="139">
        <f>IFERROR(IF(ISNUMBER(F3357),F3357-IF(ISNUMBER(K3357),K3357,0),""),"")</f>
        <v/>
      </c>
    </row>
    <row r="3358" ht="24" customHeight="1" s="63">
      <c r="E3358" s="139" t="n"/>
      <c r="F3358" s="139" t="n"/>
      <c r="G3358" s="140">
        <f>IFERROR(IF(E3358&gt;0,(F3358/E3358)*1000,""),"")</f>
        <v/>
      </c>
      <c r="H3358" s="139">
        <f>IFERROR(IF(E3358&gt;0,E3358*IF(ISNUMBER(J3358),J3358,IF(OR(C3358="Alpha",B3358="Alpha"),$C$7,IF(C3358="Futures",$C$6,$C$5))),""),"")</f>
        <v/>
      </c>
      <c r="I3358" s="139">
        <f>IFERROR(IF(AND(ISNUMBER(F3358),ISNUMBER(H3358)),F3358-H3358,""),"")</f>
        <v/>
      </c>
      <c r="J3358" s="114" t="n"/>
      <c r="K3358" s="139">
        <f>IFERROR(IF(H3358&gt;0,H3358*IF(OR(C3358="Alpha",B3358="Alpha"),$C$9,$C$8),""),"")</f>
        <v/>
      </c>
      <c r="L3358" s="139">
        <f>IFERROR(IF(ISNUMBER(F3358),F3358-IF(ISNUMBER(K3358),K3358,0),""),"")</f>
        <v/>
      </c>
    </row>
    <row r="3359" ht="24" customHeight="1" s="63">
      <c r="E3359" s="139" t="n"/>
      <c r="F3359" s="139" t="n"/>
      <c r="G3359" s="140">
        <f>IFERROR(IF(E3359&gt;0,(F3359/E3359)*1000,""),"")</f>
        <v/>
      </c>
      <c r="H3359" s="139">
        <f>IFERROR(IF(E3359&gt;0,E3359*IF(ISNUMBER(J3359),J3359,IF(OR(C3359="Alpha",B3359="Alpha"),$C$7,IF(C3359="Futures",$C$6,$C$5))),""),"")</f>
        <v/>
      </c>
      <c r="I3359" s="139">
        <f>IFERROR(IF(AND(ISNUMBER(F3359),ISNUMBER(H3359)),F3359-H3359,""),"")</f>
        <v/>
      </c>
      <c r="J3359" s="114" t="n"/>
      <c r="K3359" s="139">
        <f>IFERROR(IF(H3359&gt;0,H3359*IF(OR(C3359="Alpha",B3359="Alpha"),$C$9,$C$8),""),"")</f>
        <v/>
      </c>
      <c r="L3359" s="139">
        <f>IFERROR(IF(ISNUMBER(F3359),F3359-IF(ISNUMBER(K3359),K3359,0),""),"")</f>
        <v/>
      </c>
    </row>
    <row r="3360" ht="24" customHeight="1" s="63">
      <c r="E3360" s="139" t="n"/>
      <c r="F3360" s="139" t="n"/>
      <c r="G3360" s="140">
        <f>IFERROR(IF(E3360&gt;0,(F3360/E3360)*1000,""),"")</f>
        <v/>
      </c>
      <c r="H3360" s="139">
        <f>IFERROR(IF(E3360&gt;0,E3360*IF(ISNUMBER(J3360),J3360,IF(OR(C3360="Alpha",B3360="Alpha"),$C$7,IF(C3360="Futures",$C$6,$C$5))),""),"")</f>
        <v/>
      </c>
      <c r="I3360" s="139">
        <f>IFERROR(IF(AND(ISNUMBER(F3360),ISNUMBER(H3360)),F3360-H3360,""),"")</f>
        <v/>
      </c>
      <c r="J3360" s="114" t="n"/>
      <c r="K3360" s="139">
        <f>IFERROR(IF(H3360&gt;0,H3360*IF(OR(C3360="Alpha",B3360="Alpha"),$C$9,$C$8),""),"")</f>
        <v/>
      </c>
      <c r="L3360" s="139">
        <f>IFERROR(IF(ISNUMBER(F3360),F3360-IF(ISNUMBER(K3360),K3360,0),""),"")</f>
        <v/>
      </c>
    </row>
    <row r="3361" ht="24" customHeight="1" s="63">
      <c r="E3361" s="139" t="n"/>
      <c r="F3361" s="139" t="n"/>
      <c r="G3361" s="140">
        <f>IFERROR(IF(E3361&gt;0,(F3361/E3361)*1000,""),"")</f>
        <v/>
      </c>
      <c r="H3361" s="139">
        <f>IFERROR(IF(E3361&gt;0,E3361*IF(ISNUMBER(J3361),J3361,IF(OR(C3361="Alpha",B3361="Alpha"),$C$7,IF(C3361="Futures",$C$6,$C$5))),""),"")</f>
        <v/>
      </c>
      <c r="I3361" s="139">
        <f>IFERROR(IF(AND(ISNUMBER(F3361),ISNUMBER(H3361)),F3361-H3361,""),"")</f>
        <v/>
      </c>
      <c r="J3361" s="114" t="n"/>
      <c r="K3361" s="139">
        <f>IFERROR(IF(H3361&gt;0,H3361*IF(OR(C3361="Alpha",B3361="Alpha"),$C$9,$C$8),""),"")</f>
        <v/>
      </c>
      <c r="L3361" s="139">
        <f>IFERROR(IF(ISNUMBER(F3361),F3361-IF(ISNUMBER(K3361),K3361,0),""),"")</f>
        <v/>
      </c>
    </row>
    <row r="3362" ht="24" customHeight="1" s="63">
      <c r="E3362" s="139" t="n"/>
      <c r="F3362" s="139" t="n"/>
      <c r="G3362" s="140">
        <f>IFERROR(IF(E3362&gt;0,(F3362/E3362)*1000,""),"")</f>
        <v/>
      </c>
      <c r="H3362" s="139">
        <f>IFERROR(IF(E3362&gt;0,E3362*IF(ISNUMBER(J3362),J3362,IF(OR(C3362="Alpha",B3362="Alpha"),$C$7,IF(C3362="Futures",$C$6,$C$5))),""),"")</f>
        <v/>
      </c>
      <c r="I3362" s="139">
        <f>IFERROR(IF(AND(ISNUMBER(F3362),ISNUMBER(H3362)),F3362-H3362,""),"")</f>
        <v/>
      </c>
      <c r="J3362" s="114" t="n"/>
      <c r="K3362" s="139">
        <f>IFERROR(IF(H3362&gt;0,H3362*IF(OR(C3362="Alpha",B3362="Alpha"),$C$9,$C$8),""),"")</f>
        <v/>
      </c>
      <c r="L3362" s="139">
        <f>IFERROR(IF(ISNUMBER(F3362),F3362-IF(ISNUMBER(K3362),K3362,0),""),"")</f>
        <v/>
      </c>
    </row>
    <row r="3363" ht="24" customHeight="1" s="63">
      <c r="E3363" s="139" t="n"/>
      <c r="F3363" s="139" t="n"/>
      <c r="G3363" s="140">
        <f>IFERROR(IF(E3363&gt;0,(F3363/E3363)*1000,""),"")</f>
        <v/>
      </c>
      <c r="H3363" s="139">
        <f>IFERROR(IF(E3363&gt;0,E3363*IF(ISNUMBER(J3363),J3363,IF(OR(C3363="Alpha",B3363="Alpha"),$C$7,IF(C3363="Futures",$C$6,$C$5))),""),"")</f>
        <v/>
      </c>
      <c r="I3363" s="139">
        <f>IFERROR(IF(AND(ISNUMBER(F3363),ISNUMBER(H3363)),F3363-H3363,""),"")</f>
        <v/>
      </c>
      <c r="J3363" s="114" t="n"/>
      <c r="K3363" s="139">
        <f>IFERROR(IF(H3363&gt;0,H3363*IF(OR(C3363="Alpha",B3363="Alpha"),$C$9,$C$8),""),"")</f>
        <v/>
      </c>
      <c r="L3363" s="139">
        <f>IFERROR(IF(ISNUMBER(F3363),F3363-IF(ISNUMBER(K3363),K3363,0),""),"")</f>
        <v/>
      </c>
    </row>
    <row r="3364" ht="24" customHeight="1" s="63">
      <c r="E3364" s="139" t="n"/>
      <c r="F3364" s="139" t="n"/>
      <c r="G3364" s="140">
        <f>IFERROR(IF(E3364&gt;0,(F3364/E3364)*1000,""),"")</f>
        <v/>
      </c>
      <c r="H3364" s="139">
        <f>IFERROR(IF(E3364&gt;0,E3364*IF(ISNUMBER(J3364),J3364,IF(OR(C3364="Alpha",B3364="Alpha"),$C$7,IF(C3364="Futures",$C$6,$C$5))),""),"")</f>
        <v/>
      </c>
      <c r="I3364" s="139">
        <f>IFERROR(IF(AND(ISNUMBER(F3364),ISNUMBER(H3364)),F3364-H3364,""),"")</f>
        <v/>
      </c>
      <c r="J3364" s="114" t="n"/>
      <c r="K3364" s="139">
        <f>IFERROR(IF(H3364&gt;0,H3364*IF(OR(C3364="Alpha",B3364="Alpha"),$C$9,$C$8),""),"")</f>
        <v/>
      </c>
      <c r="L3364" s="139">
        <f>IFERROR(IF(ISNUMBER(F3364),F3364-IF(ISNUMBER(K3364),K3364,0),""),"")</f>
        <v/>
      </c>
    </row>
    <row r="3365" ht="24" customHeight="1" s="63">
      <c r="E3365" s="139" t="n"/>
      <c r="F3365" s="139" t="n"/>
      <c r="G3365" s="140">
        <f>IFERROR(IF(E3365&gt;0,(F3365/E3365)*1000,""),"")</f>
        <v/>
      </c>
      <c r="H3365" s="139">
        <f>IFERROR(IF(E3365&gt;0,E3365*IF(ISNUMBER(J3365),J3365,IF(OR(C3365="Alpha",B3365="Alpha"),$C$7,IF(C3365="Futures",$C$6,$C$5))),""),"")</f>
        <v/>
      </c>
      <c r="I3365" s="139">
        <f>IFERROR(IF(AND(ISNUMBER(F3365),ISNUMBER(H3365)),F3365-H3365,""),"")</f>
        <v/>
      </c>
      <c r="J3365" s="114" t="n"/>
      <c r="K3365" s="139">
        <f>IFERROR(IF(H3365&gt;0,H3365*IF(OR(C3365="Alpha",B3365="Alpha"),$C$9,$C$8),""),"")</f>
        <v/>
      </c>
      <c r="L3365" s="139">
        <f>IFERROR(IF(ISNUMBER(F3365),F3365-IF(ISNUMBER(K3365),K3365,0),""),"")</f>
        <v/>
      </c>
    </row>
    <row r="3366" ht="24" customHeight="1" s="63">
      <c r="E3366" s="139" t="n"/>
      <c r="F3366" s="139" t="n"/>
      <c r="G3366" s="140">
        <f>IFERROR(IF(E3366&gt;0,(F3366/E3366)*1000,""),"")</f>
        <v/>
      </c>
      <c r="H3366" s="139">
        <f>IFERROR(IF(E3366&gt;0,E3366*IF(ISNUMBER(J3366),J3366,IF(OR(C3366="Alpha",B3366="Alpha"),$C$7,IF(C3366="Futures",$C$6,$C$5))),""),"")</f>
        <v/>
      </c>
      <c r="I3366" s="139">
        <f>IFERROR(IF(AND(ISNUMBER(F3366),ISNUMBER(H3366)),F3366-H3366,""),"")</f>
        <v/>
      </c>
      <c r="J3366" s="114" t="n"/>
      <c r="K3366" s="139">
        <f>IFERROR(IF(H3366&gt;0,H3366*IF(OR(C3366="Alpha",B3366="Alpha"),$C$9,$C$8),""),"")</f>
        <v/>
      </c>
      <c r="L3366" s="139">
        <f>IFERROR(IF(ISNUMBER(F3366),F3366-IF(ISNUMBER(K3366),K3366,0),""),"")</f>
        <v/>
      </c>
    </row>
    <row r="3367" ht="24" customHeight="1" s="63">
      <c r="E3367" s="139" t="n"/>
      <c r="F3367" s="139" t="n"/>
      <c r="G3367" s="140">
        <f>IFERROR(IF(E3367&gt;0,(F3367/E3367)*1000,""),"")</f>
        <v/>
      </c>
      <c r="H3367" s="139">
        <f>IFERROR(IF(E3367&gt;0,E3367*IF(ISNUMBER(J3367),J3367,IF(OR(C3367="Alpha",B3367="Alpha"),$C$7,IF(C3367="Futures",$C$6,$C$5))),""),"")</f>
        <v/>
      </c>
      <c r="I3367" s="139">
        <f>IFERROR(IF(AND(ISNUMBER(F3367),ISNUMBER(H3367)),F3367-H3367,""),"")</f>
        <v/>
      </c>
      <c r="J3367" s="114" t="n"/>
      <c r="K3367" s="139">
        <f>IFERROR(IF(H3367&gt;0,H3367*IF(OR(C3367="Alpha",B3367="Alpha"),$C$9,$C$8),""),"")</f>
        <v/>
      </c>
      <c r="L3367" s="139">
        <f>IFERROR(IF(ISNUMBER(F3367),F3367-IF(ISNUMBER(K3367),K3367,0),""),"")</f>
        <v/>
      </c>
    </row>
    <row r="3368" ht="24" customHeight="1" s="63">
      <c r="E3368" s="139" t="n"/>
      <c r="F3368" s="139" t="n"/>
      <c r="G3368" s="140">
        <f>IFERROR(IF(E3368&gt;0,(F3368/E3368)*1000,""),"")</f>
        <v/>
      </c>
      <c r="H3368" s="139">
        <f>IFERROR(IF(E3368&gt;0,E3368*IF(ISNUMBER(J3368),J3368,IF(OR(C3368="Alpha",B3368="Alpha"),$C$7,IF(C3368="Futures",$C$6,$C$5))),""),"")</f>
        <v/>
      </c>
      <c r="I3368" s="139">
        <f>IFERROR(IF(AND(ISNUMBER(F3368),ISNUMBER(H3368)),F3368-H3368,""),"")</f>
        <v/>
      </c>
      <c r="J3368" s="114" t="n"/>
      <c r="K3368" s="139">
        <f>IFERROR(IF(H3368&gt;0,H3368*IF(OR(C3368="Alpha",B3368="Alpha"),$C$9,$C$8),""),"")</f>
        <v/>
      </c>
      <c r="L3368" s="139">
        <f>IFERROR(IF(ISNUMBER(F3368),F3368-IF(ISNUMBER(K3368),K3368,0),""),"")</f>
        <v/>
      </c>
    </row>
    <row r="3369" ht="24" customHeight="1" s="63">
      <c r="E3369" s="139" t="n"/>
      <c r="F3369" s="139" t="n"/>
      <c r="G3369" s="140">
        <f>IFERROR(IF(E3369&gt;0,(F3369/E3369)*1000,""),"")</f>
        <v/>
      </c>
      <c r="H3369" s="139">
        <f>IFERROR(IF(E3369&gt;0,E3369*IF(ISNUMBER(J3369),J3369,IF(OR(C3369="Alpha",B3369="Alpha"),$C$7,IF(C3369="Futures",$C$6,$C$5))),""),"")</f>
        <v/>
      </c>
      <c r="I3369" s="139">
        <f>IFERROR(IF(AND(ISNUMBER(F3369),ISNUMBER(H3369)),F3369-H3369,""),"")</f>
        <v/>
      </c>
      <c r="J3369" s="114" t="n"/>
      <c r="K3369" s="139">
        <f>IFERROR(IF(H3369&gt;0,H3369*IF(OR(C3369="Alpha",B3369="Alpha"),$C$9,$C$8),""),"")</f>
        <v/>
      </c>
      <c r="L3369" s="139">
        <f>IFERROR(IF(ISNUMBER(F3369),F3369-IF(ISNUMBER(K3369),K3369,0),""),"")</f>
        <v/>
      </c>
    </row>
    <row r="3370" ht="24" customHeight="1" s="63">
      <c r="E3370" s="139" t="n"/>
      <c r="F3370" s="139" t="n"/>
      <c r="G3370" s="140">
        <f>IFERROR(IF(E3370&gt;0,(F3370/E3370)*1000,""),"")</f>
        <v/>
      </c>
      <c r="H3370" s="139">
        <f>IFERROR(IF(E3370&gt;0,E3370*IF(ISNUMBER(J3370),J3370,IF(OR(C3370="Alpha",B3370="Alpha"),$C$7,IF(C3370="Futures",$C$6,$C$5))),""),"")</f>
        <v/>
      </c>
      <c r="I3370" s="139">
        <f>IFERROR(IF(AND(ISNUMBER(F3370),ISNUMBER(H3370)),F3370-H3370,""),"")</f>
        <v/>
      </c>
      <c r="J3370" s="114" t="n"/>
      <c r="K3370" s="139">
        <f>IFERROR(IF(H3370&gt;0,H3370*IF(OR(C3370="Alpha",B3370="Alpha"),$C$9,$C$8),""),"")</f>
        <v/>
      </c>
      <c r="L3370" s="139">
        <f>IFERROR(IF(ISNUMBER(F3370),F3370-IF(ISNUMBER(K3370),K3370,0),""),"")</f>
        <v/>
      </c>
    </row>
    <row r="3371" ht="24" customHeight="1" s="63">
      <c r="E3371" s="139" t="n"/>
      <c r="F3371" s="139" t="n"/>
      <c r="G3371" s="140">
        <f>IFERROR(IF(E3371&gt;0,(F3371/E3371)*1000,""),"")</f>
        <v/>
      </c>
      <c r="H3371" s="139">
        <f>IFERROR(IF(E3371&gt;0,E3371*IF(ISNUMBER(J3371),J3371,IF(OR(C3371="Alpha",B3371="Alpha"),$C$7,IF(C3371="Futures",$C$6,$C$5))),""),"")</f>
        <v/>
      </c>
      <c r="I3371" s="139">
        <f>IFERROR(IF(AND(ISNUMBER(F3371),ISNUMBER(H3371)),F3371-H3371,""),"")</f>
        <v/>
      </c>
      <c r="J3371" s="114" t="n"/>
      <c r="K3371" s="139">
        <f>IFERROR(IF(H3371&gt;0,H3371*IF(OR(C3371="Alpha",B3371="Alpha"),$C$9,$C$8),""),"")</f>
        <v/>
      </c>
      <c r="L3371" s="139">
        <f>IFERROR(IF(ISNUMBER(F3371),F3371-IF(ISNUMBER(K3371),K3371,0),""),"")</f>
        <v/>
      </c>
    </row>
    <row r="3372" ht="24" customHeight="1" s="63">
      <c r="E3372" s="139" t="n"/>
      <c r="F3372" s="139" t="n"/>
      <c r="G3372" s="140">
        <f>IFERROR(IF(E3372&gt;0,(F3372/E3372)*1000,""),"")</f>
        <v/>
      </c>
      <c r="H3372" s="139">
        <f>IFERROR(IF(E3372&gt;0,E3372*IF(ISNUMBER(J3372),J3372,IF(OR(C3372="Alpha",B3372="Alpha"),$C$7,IF(C3372="Futures",$C$6,$C$5))),""),"")</f>
        <v/>
      </c>
      <c r="I3372" s="139">
        <f>IFERROR(IF(AND(ISNUMBER(F3372),ISNUMBER(H3372)),F3372-H3372,""),"")</f>
        <v/>
      </c>
      <c r="J3372" s="114" t="n"/>
      <c r="K3372" s="139">
        <f>IFERROR(IF(H3372&gt;0,H3372*IF(OR(C3372="Alpha",B3372="Alpha"),$C$9,$C$8),""),"")</f>
        <v/>
      </c>
      <c r="L3372" s="139">
        <f>IFERROR(IF(ISNUMBER(F3372),F3372-IF(ISNUMBER(K3372),K3372,0),""),"")</f>
        <v/>
      </c>
    </row>
    <row r="3373" ht="24" customHeight="1" s="63">
      <c r="E3373" s="139" t="n"/>
      <c r="F3373" s="139" t="n"/>
      <c r="G3373" s="140">
        <f>IFERROR(IF(E3373&gt;0,(F3373/E3373)*1000,""),"")</f>
        <v/>
      </c>
      <c r="H3373" s="139">
        <f>IFERROR(IF(E3373&gt;0,E3373*IF(ISNUMBER(J3373),J3373,IF(OR(C3373="Alpha",B3373="Alpha"),$C$7,IF(C3373="Futures",$C$6,$C$5))),""),"")</f>
        <v/>
      </c>
      <c r="I3373" s="139">
        <f>IFERROR(IF(AND(ISNUMBER(F3373),ISNUMBER(H3373)),F3373-H3373,""),"")</f>
        <v/>
      </c>
      <c r="J3373" s="114" t="n"/>
      <c r="K3373" s="139">
        <f>IFERROR(IF(H3373&gt;0,H3373*IF(OR(C3373="Alpha",B3373="Alpha"),$C$9,$C$8),""),"")</f>
        <v/>
      </c>
      <c r="L3373" s="139">
        <f>IFERROR(IF(ISNUMBER(F3373),F3373-IF(ISNUMBER(K3373),K3373,0),""),"")</f>
        <v/>
      </c>
    </row>
    <row r="3374" ht="24" customHeight="1" s="63">
      <c r="E3374" s="139" t="n"/>
      <c r="F3374" s="139" t="n"/>
      <c r="G3374" s="140">
        <f>IFERROR(IF(E3374&gt;0,(F3374/E3374)*1000,""),"")</f>
        <v/>
      </c>
      <c r="H3374" s="139">
        <f>IFERROR(IF(E3374&gt;0,E3374*IF(ISNUMBER(J3374),J3374,IF(OR(C3374="Alpha",B3374="Alpha"),$C$7,IF(C3374="Futures",$C$6,$C$5))),""),"")</f>
        <v/>
      </c>
      <c r="I3374" s="139">
        <f>IFERROR(IF(AND(ISNUMBER(F3374),ISNUMBER(H3374)),F3374-H3374,""),"")</f>
        <v/>
      </c>
      <c r="J3374" s="114" t="n"/>
      <c r="K3374" s="139">
        <f>IFERROR(IF(H3374&gt;0,H3374*IF(OR(C3374="Alpha",B3374="Alpha"),$C$9,$C$8),""),"")</f>
        <v/>
      </c>
      <c r="L3374" s="139">
        <f>IFERROR(IF(ISNUMBER(F3374),F3374-IF(ISNUMBER(K3374),K3374,0),""),"")</f>
        <v/>
      </c>
    </row>
    <row r="3375" ht="24" customHeight="1" s="63">
      <c r="E3375" s="139" t="n"/>
      <c r="F3375" s="139" t="n"/>
      <c r="G3375" s="140">
        <f>IFERROR(IF(E3375&gt;0,(F3375/E3375)*1000,""),"")</f>
        <v/>
      </c>
      <c r="H3375" s="139">
        <f>IFERROR(IF(E3375&gt;0,E3375*IF(ISNUMBER(J3375),J3375,IF(OR(C3375="Alpha",B3375="Alpha"),$C$7,IF(C3375="Futures",$C$6,$C$5))),""),"")</f>
        <v/>
      </c>
      <c r="I3375" s="139">
        <f>IFERROR(IF(AND(ISNUMBER(F3375),ISNUMBER(H3375)),F3375-H3375,""),"")</f>
        <v/>
      </c>
      <c r="J3375" s="114" t="n"/>
      <c r="K3375" s="139">
        <f>IFERROR(IF(H3375&gt;0,H3375*IF(OR(C3375="Alpha",B3375="Alpha"),$C$9,$C$8),""),"")</f>
        <v/>
      </c>
      <c r="L3375" s="139">
        <f>IFERROR(IF(ISNUMBER(F3375),F3375-IF(ISNUMBER(K3375),K3375,0),""),"")</f>
        <v/>
      </c>
    </row>
    <row r="3376" ht="24" customHeight="1" s="63">
      <c r="E3376" s="139" t="n"/>
      <c r="F3376" s="139" t="n"/>
      <c r="G3376" s="140">
        <f>IFERROR(IF(E3376&gt;0,(F3376/E3376)*1000,""),"")</f>
        <v/>
      </c>
      <c r="H3376" s="139">
        <f>IFERROR(IF(E3376&gt;0,E3376*IF(ISNUMBER(J3376),J3376,IF(OR(C3376="Alpha",B3376="Alpha"),$C$7,IF(C3376="Futures",$C$6,$C$5))),""),"")</f>
        <v/>
      </c>
      <c r="I3376" s="139">
        <f>IFERROR(IF(AND(ISNUMBER(F3376),ISNUMBER(H3376)),F3376-H3376,""),"")</f>
        <v/>
      </c>
      <c r="J3376" s="114" t="n"/>
      <c r="K3376" s="139">
        <f>IFERROR(IF(H3376&gt;0,H3376*IF(OR(C3376="Alpha",B3376="Alpha"),$C$9,$C$8),""),"")</f>
        <v/>
      </c>
      <c r="L3376" s="139">
        <f>IFERROR(IF(ISNUMBER(F3376),F3376-IF(ISNUMBER(K3376),K3376,0),""),"")</f>
        <v/>
      </c>
    </row>
    <row r="3377" ht="24" customHeight="1" s="63">
      <c r="E3377" s="139" t="n"/>
      <c r="F3377" s="139" t="n"/>
      <c r="G3377" s="140">
        <f>IFERROR(IF(E3377&gt;0,(F3377/E3377)*1000,""),"")</f>
        <v/>
      </c>
      <c r="H3377" s="139">
        <f>IFERROR(IF(E3377&gt;0,E3377*IF(ISNUMBER(J3377),J3377,IF(OR(C3377="Alpha",B3377="Alpha"),$C$7,IF(C3377="Futures",$C$6,$C$5))),""),"")</f>
        <v/>
      </c>
      <c r="I3377" s="139">
        <f>IFERROR(IF(AND(ISNUMBER(F3377),ISNUMBER(H3377)),F3377-H3377,""),"")</f>
        <v/>
      </c>
      <c r="J3377" s="114" t="n"/>
      <c r="K3377" s="139">
        <f>IFERROR(IF(H3377&gt;0,H3377*IF(OR(C3377="Alpha",B3377="Alpha"),$C$9,$C$8),""),"")</f>
        <v/>
      </c>
      <c r="L3377" s="139">
        <f>IFERROR(IF(ISNUMBER(F3377),F3377-IF(ISNUMBER(K3377),K3377,0),""),"")</f>
        <v/>
      </c>
    </row>
    <row r="3378" ht="24" customHeight="1" s="63">
      <c r="E3378" s="139" t="n"/>
      <c r="F3378" s="139" t="n"/>
      <c r="G3378" s="140">
        <f>IFERROR(IF(E3378&gt;0,(F3378/E3378)*1000,""),"")</f>
        <v/>
      </c>
      <c r="H3378" s="139">
        <f>IFERROR(IF(E3378&gt;0,E3378*IF(ISNUMBER(J3378),J3378,IF(OR(C3378="Alpha",B3378="Alpha"),$C$7,IF(C3378="Futures",$C$6,$C$5))),""),"")</f>
        <v/>
      </c>
      <c r="I3378" s="139">
        <f>IFERROR(IF(AND(ISNUMBER(F3378),ISNUMBER(H3378)),F3378-H3378,""),"")</f>
        <v/>
      </c>
      <c r="J3378" s="114" t="n"/>
      <c r="K3378" s="139">
        <f>IFERROR(IF(H3378&gt;0,H3378*IF(OR(C3378="Alpha",B3378="Alpha"),$C$9,$C$8),""),"")</f>
        <v/>
      </c>
      <c r="L3378" s="139">
        <f>IFERROR(IF(ISNUMBER(F3378),F3378-IF(ISNUMBER(K3378),K3378,0),""),"")</f>
        <v/>
      </c>
    </row>
    <row r="3379" ht="24" customHeight="1" s="63">
      <c r="E3379" s="139" t="n"/>
      <c r="F3379" s="139" t="n"/>
      <c r="G3379" s="140">
        <f>IFERROR(IF(E3379&gt;0,(F3379/E3379)*1000,""),"")</f>
        <v/>
      </c>
      <c r="H3379" s="139">
        <f>IFERROR(IF(E3379&gt;0,E3379*IF(ISNUMBER(J3379),J3379,IF(OR(C3379="Alpha",B3379="Alpha"),$C$7,IF(C3379="Futures",$C$6,$C$5))),""),"")</f>
        <v/>
      </c>
      <c r="I3379" s="139">
        <f>IFERROR(IF(AND(ISNUMBER(F3379),ISNUMBER(H3379)),F3379-H3379,""),"")</f>
        <v/>
      </c>
      <c r="J3379" s="114" t="n"/>
      <c r="K3379" s="139">
        <f>IFERROR(IF(H3379&gt;0,H3379*IF(OR(C3379="Alpha",B3379="Alpha"),$C$9,$C$8),""),"")</f>
        <v/>
      </c>
      <c r="L3379" s="139">
        <f>IFERROR(IF(ISNUMBER(F3379),F3379-IF(ISNUMBER(K3379),K3379,0),""),"")</f>
        <v/>
      </c>
    </row>
    <row r="3380" ht="24" customHeight="1" s="63">
      <c r="E3380" s="139" t="n"/>
      <c r="F3380" s="139" t="n"/>
      <c r="G3380" s="140">
        <f>IFERROR(IF(E3380&gt;0,(F3380/E3380)*1000,""),"")</f>
        <v/>
      </c>
      <c r="H3380" s="139">
        <f>IFERROR(IF(E3380&gt;0,E3380*IF(ISNUMBER(J3380),J3380,IF(OR(C3380="Alpha",B3380="Alpha"),$C$7,IF(C3380="Futures",$C$6,$C$5))),""),"")</f>
        <v/>
      </c>
      <c r="I3380" s="139">
        <f>IFERROR(IF(AND(ISNUMBER(F3380),ISNUMBER(H3380)),F3380-H3380,""),"")</f>
        <v/>
      </c>
      <c r="J3380" s="114" t="n"/>
      <c r="K3380" s="139">
        <f>IFERROR(IF(H3380&gt;0,H3380*IF(OR(C3380="Alpha",B3380="Alpha"),$C$9,$C$8),""),"")</f>
        <v/>
      </c>
      <c r="L3380" s="139">
        <f>IFERROR(IF(ISNUMBER(F3380),F3380-IF(ISNUMBER(K3380),K3380,0),""),"")</f>
        <v/>
      </c>
    </row>
    <row r="3381" ht="24" customHeight="1" s="63">
      <c r="E3381" s="139" t="n"/>
      <c r="F3381" s="139" t="n"/>
      <c r="G3381" s="140">
        <f>IFERROR(IF(E3381&gt;0,(F3381/E3381)*1000,""),"")</f>
        <v/>
      </c>
      <c r="H3381" s="139">
        <f>IFERROR(IF(E3381&gt;0,E3381*IF(ISNUMBER(J3381),J3381,IF(OR(C3381="Alpha",B3381="Alpha"),$C$7,IF(C3381="Futures",$C$6,$C$5))),""),"")</f>
        <v/>
      </c>
      <c r="I3381" s="139">
        <f>IFERROR(IF(AND(ISNUMBER(F3381),ISNUMBER(H3381)),F3381-H3381,""),"")</f>
        <v/>
      </c>
      <c r="J3381" s="114" t="n"/>
      <c r="K3381" s="139">
        <f>IFERROR(IF(H3381&gt;0,H3381*IF(OR(C3381="Alpha",B3381="Alpha"),$C$9,$C$8),""),"")</f>
        <v/>
      </c>
      <c r="L3381" s="139">
        <f>IFERROR(IF(ISNUMBER(F3381),F3381-IF(ISNUMBER(K3381),K3381,0),""),"")</f>
        <v/>
      </c>
    </row>
    <row r="3382" ht="24" customHeight="1" s="63">
      <c r="E3382" s="139" t="n"/>
      <c r="F3382" s="139" t="n"/>
      <c r="G3382" s="140">
        <f>IFERROR(IF(E3382&gt;0,(F3382/E3382)*1000,""),"")</f>
        <v/>
      </c>
      <c r="H3382" s="139">
        <f>IFERROR(IF(E3382&gt;0,E3382*IF(ISNUMBER(J3382),J3382,IF(OR(C3382="Alpha",B3382="Alpha"),$C$7,IF(C3382="Futures",$C$6,$C$5))),""),"")</f>
        <v/>
      </c>
      <c r="I3382" s="139">
        <f>IFERROR(IF(AND(ISNUMBER(F3382),ISNUMBER(H3382)),F3382-H3382,""),"")</f>
        <v/>
      </c>
      <c r="J3382" s="114" t="n"/>
      <c r="K3382" s="139">
        <f>IFERROR(IF(H3382&gt;0,H3382*IF(OR(C3382="Alpha",B3382="Alpha"),$C$9,$C$8),""),"")</f>
        <v/>
      </c>
      <c r="L3382" s="139">
        <f>IFERROR(IF(ISNUMBER(F3382),F3382-IF(ISNUMBER(K3382),K3382,0),""),"")</f>
        <v/>
      </c>
    </row>
    <row r="3383" ht="24" customHeight="1" s="63">
      <c r="E3383" s="139" t="n"/>
      <c r="F3383" s="139" t="n"/>
      <c r="G3383" s="140">
        <f>IFERROR(IF(E3383&gt;0,(F3383/E3383)*1000,""),"")</f>
        <v/>
      </c>
      <c r="H3383" s="139">
        <f>IFERROR(IF(E3383&gt;0,E3383*IF(ISNUMBER(J3383),J3383,IF(OR(C3383="Alpha",B3383="Alpha"),$C$7,IF(C3383="Futures",$C$6,$C$5))),""),"")</f>
        <v/>
      </c>
      <c r="I3383" s="139">
        <f>IFERROR(IF(AND(ISNUMBER(F3383),ISNUMBER(H3383)),F3383-H3383,""),"")</f>
        <v/>
      </c>
      <c r="J3383" s="114" t="n"/>
      <c r="K3383" s="139">
        <f>IFERROR(IF(H3383&gt;0,H3383*IF(OR(C3383="Alpha",B3383="Alpha"),$C$9,$C$8),""),"")</f>
        <v/>
      </c>
      <c r="L3383" s="139">
        <f>IFERROR(IF(ISNUMBER(F3383),F3383-IF(ISNUMBER(K3383),K3383,0),""),"")</f>
        <v/>
      </c>
    </row>
    <row r="3384" ht="24" customHeight="1" s="63">
      <c r="E3384" s="139" t="n"/>
      <c r="F3384" s="139" t="n"/>
      <c r="G3384" s="140">
        <f>IFERROR(IF(E3384&gt;0,(F3384/E3384)*1000,""),"")</f>
        <v/>
      </c>
      <c r="H3384" s="139">
        <f>IFERROR(IF(E3384&gt;0,E3384*IF(ISNUMBER(J3384),J3384,IF(OR(C3384="Alpha",B3384="Alpha"),$C$7,IF(C3384="Futures",$C$6,$C$5))),""),"")</f>
        <v/>
      </c>
      <c r="I3384" s="139">
        <f>IFERROR(IF(AND(ISNUMBER(F3384),ISNUMBER(H3384)),F3384-H3384,""),"")</f>
        <v/>
      </c>
      <c r="J3384" s="114" t="n"/>
      <c r="K3384" s="139">
        <f>IFERROR(IF(H3384&gt;0,H3384*IF(OR(C3384="Alpha",B3384="Alpha"),$C$9,$C$8),""),"")</f>
        <v/>
      </c>
      <c r="L3384" s="139">
        <f>IFERROR(IF(ISNUMBER(F3384),F3384-IF(ISNUMBER(K3384),K3384,0),""),"")</f>
        <v/>
      </c>
    </row>
    <row r="3385" ht="24" customHeight="1" s="63">
      <c r="E3385" s="139" t="n"/>
      <c r="F3385" s="139" t="n"/>
      <c r="G3385" s="140">
        <f>IFERROR(IF(E3385&gt;0,(F3385/E3385)*1000,""),"")</f>
        <v/>
      </c>
      <c r="H3385" s="139">
        <f>IFERROR(IF(E3385&gt;0,E3385*IF(ISNUMBER(J3385),J3385,IF(OR(C3385="Alpha",B3385="Alpha"),$C$7,IF(C3385="Futures",$C$6,$C$5))),""),"")</f>
        <v/>
      </c>
      <c r="I3385" s="139">
        <f>IFERROR(IF(AND(ISNUMBER(F3385),ISNUMBER(H3385)),F3385-H3385,""),"")</f>
        <v/>
      </c>
      <c r="J3385" s="114" t="n"/>
      <c r="K3385" s="139">
        <f>IFERROR(IF(H3385&gt;0,H3385*IF(OR(C3385="Alpha",B3385="Alpha"),$C$9,$C$8),""),"")</f>
        <v/>
      </c>
      <c r="L3385" s="139">
        <f>IFERROR(IF(ISNUMBER(F3385),F3385-IF(ISNUMBER(K3385),K3385,0),""),"")</f>
        <v/>
      </c>
    </row>
    <row r="3386" ht="24" customHeight="1" s="63">
      <c r="E3386" s="139" t="n"/>
      <c r="F3386" s="139" t="n"/>
      <c r="G3386" s="140">
        <f>IFERROR(IF(E3386&gt;0,(F3386/E3386)*1000,""),"")</f>
        <v/>
      </c>
      <c r="H3386" s="139">
        <f>IFERROR(IF(E3386&gt;0,E3386*IF(ISNUMBER(J3386),J3386,IF(OR(C3386="Alpha",B3386="Alpha"),$C$7,IF(C3386="Futures",$C$6,$C$5))),""),"")</f>
        <v/>
      </c>
      <c r="I3386" s="139">
        <f>IFERROR(IF(AND(ISNUMBER(F3386),ISNUMBER(H3386)),F3386-H3386,""),"")</f>
        <v/>
      </c>
      <c r="J3386" s="114" t="n"/>
      <c r="K3386" s="139">
        <f>IFERROR(IF(H3386&gt;0,H3386*IF(OR(C3386="Alpha",B3386="Alpha"),$C$9,$C$8),""),"")</f>
        <v/>
      </c>
      <c r="L3386" s="139">
        <f>IFERROR(IF(ISNUMBER(F3386),F3386-IF(ISNUMBER(K3386),K3386,0),""),"")</f>
        <v/>
      </c>
    </row>
    <row r="3387" ht="24" customHeight="1" s="63">
      <c r="E3387" s="139" t="n"/>
      <c r="F3387" s="139" t="n"/>
      <c r="G3387" s="140">
        <f>IFERROR(IF(E3387&gt;0,(F3387/E3387)*1000,""),"")</f>
        <v/>
      </c>
      <c r="H3387" s="139">
        <f>IFERROR(IF(E3387&gt;0,E3387*IF(ISNUMBER(J3387),J3387,IF(OR(C3387="Alpha",B3387="Alpha"),$C$7,IF(C3387="Futures",$C$6,$C$5))),""),"")</f>
        <v/>
      </c>
      <c r="I3387" s="139">
        <f>IFERROR(IF(AND(ISNUMBER(F3387),ISNUMBER(H3387)),F3387-H3387,""),"")</f>
        <v/>
      </c>
      <c r="J3387" s="114" t="n"/>
      <c r="K3387" s="139">
        <f>IFERROR(IF(H3387&gt;0,H3387*IF(OR(C3387="Alpha",B3387="Alpha"),$C$9,$C$8),""),"")</f>
        <v/>
      </c>
      <c r="L3387" s="139">
        <f>IFERROR(IF(ISNUMBER(F3387),F3387-IF(ISNUMBER(K3387),K3387,0),""),"")</f>
        <v/>
      </c>
    </row>
    <row r="3388" ht="24" customHeight="1" s="63">
      <c r="E3388" s="139" t="n"/>
      <c r="F3388" s="139" t="n"/>
      <c r="G3388" s="140">
        <f>IFERROR(IF(E3388&gt;0,(F3388/E3388)*1000,""),"")</f>
        <v/>
      </c>
      <c r="H3388" s="139">
        <f>IFERROR(IF(E3388&gt;0,E3388*IF(ISNUMBER(J3388),J3388,IF(OR(C3388="Alpha",B3388="Alpha"),$C$7,IF(C3388="Futures",$C$6,$C$5))),""),"")</f>
        <v/>
      </c>
      <c r="I3388" s="139">
        <f>IFERROR(IF(AND(ISNUMBER(F3388),ISNUMBER(H3388)),F3388-H3388,""),"")</f>
        <v/>
      </c>
      <c r="J3388" s="114" t="n"/>
      <c r="K3388" s="139">
        <f>IFERROR(IF(H3388&gt;0,H3388*IF(OR(C3388="Alpha",B3388="Alpha"),$C$9,$C$8),""),"")</f>
        <v/>
      </c>
      <c r="L3388" s="139">
        <f>IFERROR(IF(ISNUMBER(F3388),F3388-IF(ISNUMBER(K3388),K3388,0),""),"")</f>
        <v/>
      </c>
    </row>
    <row r="3389" ht="24" customHeight="1" s="63">
      <c r="E3389" s="139" t="n"/>
      <c r="F3389" s="139" t="n"/>
      <c r="G3389" s="140">
        <f>IFERROR(IF(E3389&gt;0,(F3389/E3389)*1000,""),"")</f>
        <v/>
      </c>
      <c r="H3389" s="139">
        <f>IFERROR(IF(E3389&gt;0,E3389*IF(ISNUMBER(J3389),J3389,IF(OR(C3389="Alpha",B3389="Alpha"),$C$7,IF(C3389="Futures",$C$6,$C$5))),""),"")</f>
        <v/>
      </c>
      <c r="I3389" s="139">
        <f>IFERROR(IF(AND(ISNUMBER(F3389),ISNUMBER(H3389)),F3389-H3389,""),"")</f>
        <v/>
      </c>
      <c r="J3389" s="114" t="n"/>
      <c r="K3389" s="139">
        <f>IFERROR(IF(H3389&gt;0,H3389*IF(OR(C3389="Alpha",B3389="Alpha"),$C$9,$C$8),""),"")</f>
        <v/>
      </c>
      <c r="L3389" s="139">
        <f>IFERROR(IF(ISNUMBER(F3389),F3389-IF(ISNUMBER(K3389),K3389,0),""),"")</f>
        <v/>
      </c>
    </row>
    <row r="3390" ht="24" customHeight="1" s="63">
      <c r="E3390" s="139" t="n"/>
      <c r="F3390" s="139" t="n"/>
      <c r="G3390" s="140">
        <f>IFERROR(IF(E3390&gt;0,(F3390/E3390)*1000,""),"")</f>
        <v/>
      </c>
      <c r="H3390" s="139">
        <f>IFERROR(IF(E3390&gt;0,E3390*IF(ISNUMBER(J3390),J3390,IF(OR(C3390="Alpha",B3390="Alpha"),$C$7,IF(C3390="Futures",$C$6,$C$5))),""),"")</f>
        <v/>
      </c>
      <c r="I3390" s="139">
        <f>IFERROR(IF(AND(ISNUMBER(F3390),ISNUMBER(H3390)),F3390-H3390,""),"")</f>
        <v/>
      </c>
      <c r="J3390" s="114" t="n"/>
      <c r="K3390" s="139">
        <f>IFERROR(IF(H3390&gt;0,H3390*IF(OR(C3390="Alpha",B3390="Alpha"),$C$9,$C$8),""),"")</f>
        <v/>
      </c>
      <c r="L3390" s="139">
        <f>IFERROR(IF(ISNUMBER(F3390),F3390-IF(ISNUMBER(K3390),K3390,0),""),"")</f>
        <v/>
      </c>
    </row>
    <row r="3391" ht="24" customHeight="1" s="63">
      <c r="E3391" s="139" t="n"/>
      <c r="F3391" s="139" t="n"/>
      <c r="G3391" s="140">
        <f>IFERROR(IF(E3391&gt;0,(F3391/E3391)*1000,""),"")</f>
        <v/>
      </c>
      <c r="H3391" s="139">
        <f>IFERROR(IF(E3391&gt;0,E3391*IF(ISNUMBER(J3391),J3391,IF(OR(C3391="Alpha",B3391="Alpha"),$C$7,IF(C3391="Futures",$C$6,$C$5))),""),"")</f>
        <v/>
      </c>
      <c r="I3391" s="139">
        <f>IFERROR(IF(AND(ISNUMBER(F3391),ISNUMBER(H3391)),F3391-H3391,""),"")</f>
        <v/>
      </c>
      <c r="J3391" s="114" t="n"/>
      <c r="K3391" s="139">
        <f>IFERROR(IF(H3391&gt;0,H3391*IF(OR(C3391="Alpha",B3391="Alpha"),$C$9,$C$8),""),"")</f>
        <v/>
      </c>
      <c r="L3391" s="139">
        <f>IFERROR(IF(ISNUMBER(F3391),F3391-IF(ISNUMBER(K3391),K3391,0),""),"")</f>
        <v/>
      </c>
    </row>
    <row r="3392" ht="24" customHeight="1" s="63">
      <c r="E3392" s="139" t="n"/>
      <c r="F3392" s="139" t="n"/>
      <c r="G3392" s="140">
        <f>IFERROR(IF(E3392&gt;0,(F3392/E3392)*1000,""),"")</f>
        <v/>
      </c>
      <c r="H3392" s="139">
        <f>IFERROR(IF(E3392&gt;0,E3392*IF(ISNUMBER(J3392),J3392,IF(OR(C3392="Alpha",B3392="Alpha"),$C$7,IF(C3392="Futures",$C$6,$C$5))),""),"")</f>
        <v/>
      </c>
      <c r="I3392" s="139">
        <f>IFERROR(IF(AND(ISNUMBER(F3392),ISNUMBER(H3392)),F3392-H3392,""),"")</f>
        <v/>
      </c>
      <c r="J3392" s="114" t="n"/>
      <c r="K3392" s="139">
        <f>IFERROR(IF(H3392&gt;0,H3392*IF(OR(C3392="Alpha",B3392="Alpha"),$C$9,$C$8),""),"")</f>
        <v/>
      </c>
      <c r="L3392" s="139">
        <f>IFERROR(IF(ISNUMBER(F3392),F3392-IF(ISNUMBER(K3392),K3392,0),""),"")</f>
        <v/>
      </c>
    </row>
    <row r="3393" ht="24" customHeight="1" s="63">
      <c r="E3393" s="139" t="n"/>
      <c r="F3393" s="139" t="n"/>
      <c r="G3393" s="140">
        <f>IFERROR(IF(E3393&gt;0,(F3393/E3393)*1000,""),"")</f>
        <v/>
      </c>
      <c r="H3393" s="139">
        <f>IFERROR(IF(E3393&gt;0,E3393*IF(ISNUMBER(J3393),J3393,IF(OR(C3393="Alpha",B3393="Alpha"),$C$7,IF(C3393="Futures",$C$6,$C$5))),""),"")</f>
        <v/>
      </c>
      <c r="I3393" s="139">
        <f>IFERROR(IF(AND(ISNUMBER(F3393),ISNUMBER(H3393)),F3393-H3393,""),"")</f>
        <v/>
      </c>
      <c r="J3393" s="114" t="n"/>
      <c r="K3393" s="139">
        <f>IFERROR(IF(H3393&gt;0,H3393*IF(OR(C3393="Alpha",B3393="Alpha"),$C$9,$C$8),""),"")</f>
        <v/>
      </c>
      <c r="L3393" s="139">
        <f>IFERROR(IF(ISNUMBER(F3393),F3393-IF(ISNUMBER(K3393),K3393,0),""),"")</f>
        <v/>
      </c>
    </row>
    <row r="3394" ht="24" customHeight="1" s="63">
      <c r="E3394" s="139" t="n"/>
      <c r="F3394" s="139" t="n"/>
      <c r="G3394" s="140">
        <f>IFERROR(IF(E3394&gt;0,(F3394/E3394)*1000,""),"")</f>
        <v/>
      </c>
      <c r="H3394" s="139">
        <f>IFERROR(IF(E3394&gt;0,E3394*IF(ISNUMBER(J3394),J3394,IF(OR(C3394="Alpha",B3394="Alpha"),$C$7,IF(C3394="Futures",$C$6,$C$5))),""),"")</f>
        <v/>
      </c>
      <c r="I3394" s="139">
        <f>IFERROR(IF(AND(ISNUMBER(F3394),ISNUMBER(H3394)),F3394-H3394,""),"")</f>
        <v/>
      </c>
      <c r="J3394" s="114" t="n"/>
      <c r="K3394" s="139">
        <f>IFERROR(IF(H3394&gt;0,H3394*IF(OR(C3394="Alpha",B3394="Alpha"),$C$9,$C$8),""),"")</f>
        <v/>
      </c>
      <c r="L3394" s="139">
        <f>IFERROR(IF(ISNUMBER(F3394),F3394-IF(ISNUMBER(K3394),K3394,0),""),"")</f>
        <v/>
      </c>
    </row>
    <row r="3395" ht="24" customHeight="1" s="63">
      <c r="E3395" s="139" t="n"/>
      <c r="F3395" s="139" t="n"/>
      <c r="G3395" s="140">
        <f>IFERROR(IF(E3395&gt;0,(F3395/E3395)*1000,""),"")</f>
        <v/>
      </c>
      <c r="H3395" s="139">
        <f>IFERROR(IF(E3395&gt;0,E3395*IF(ISNUMBER(J3395),J3395,IF(OR(C3395="Alpha",B3395="Alpha"),$C$7,IF(C3395="Futures",$C$6,$C$5))),""),"")</f>
        <v/>
      </c>
      <c r="I3395" s="139">
        <f>IFERROR(IF(AND(ISNUMBER(F3395),ISNUMBER(H3395)),F3395-H3395,""),"")</f>
        <v/>
      </c>
      <c r="J3395" s="114" t="n"/>
      <c r="K3395" s="139">
        <f>IFERROR(IF(H3395&gt;0,H3395*IF(OR(C3395="Alpha",B3395="Alpha"),$C$9,$C$8),""),"")</f>
        <v/>
      </c>
      <c r="L3395" s="139">
        <f>IFERROR(IF(ISNUMBER(F3395),F3395-IF(ISNUMBER(K3395),K3395,0),""),"")</f>
        <v/>
      </c>
    </row>
    <row r="3396" ht="24" customHeight="1" s="63">
      <c r="E3396" s="139" t="n"/>
      <c r="F3396" s="139" t="n"/>
      <c r="G3396" s="140">
        <f>IFERROR(IF(E3396&gt;0,(F3396/E3396)*1000,""),"")</f>
        <v/>
      </c>
      <c r="H3396" s="139">
        <f>IFERROR(IF(E3396&gt;0,E3396*IF(ISNUMBER(J3396),J3396,IF(OR(C3396="Alpha",B3396="Alpha"),$C$7,IF(C3396="Futures",$C$6,$C$5))),""),"")</f>
        <v/>
      </c>
      <c r="I3396" s="139">
        <f>IFERROR(IF(AND(ISNUMBER(F3396),ISNUMBER(H3396)),F3396-H3396,""),"")</f>
        <v/>
      </c>
      <c r="J3396" s="114" t="n"/>
      <c r="K3396" s="139">
        <f>IFERROR(IF(H3396&gt;0,H3396*IF(OR(C3396="Alpha",B3396="Alpha"),$C$9,$C$8),""),"")</f>
        <v/>
      </c>
      <c r="L3396" s="139">
        <f>IFERROR(IF(ISNUMBER(F3396),F3396-IF(ISNUMBER(K3396),K3396,0),""),"")</f>
        <v/>
      </c>
    </row>
    <row r="3397" ht="24" customHeight="1" s="63">
      <c r="E3397" s="139" t="n"/>
      <c r="F3397" s="139" t="n"/>
      <c r="G3397" s="140">
        <f>IFERROR(IF(E3397&gt;0,(F3397/E3397)*1000,""),"")</f>
        <v/>
      </c>
      <c r="H3397" s="139">
        <f>IFERROR(IF(E3397&gt;0,E3397*IF(ISNUMBER(J3397),J3397,IF(OR(C3397="Alpha",B3397="Alpha"),$C$7,IF(C3397="Futures",$C$6,$C$5))),""),"")</f>
        <v/>
      </c>
      <c r="I3397" s="139">
        <f>IFERROR(IF(AND(ISNUMBER(F3397),ISNUMBER(H3397)),F3397-H3397,""),"")</f>
        <v/>
      </c>
      <c r="J3397" s="114" t="n"/>
      <c r="K3397" s="139">
        <f>IFERROR(IF(H3397&gt;0,H3397*IF(OR(C3397="Alpha",B3397="Alpha"),$C$9,$C$8),""),"")</f>
        <v/>
      </c>
      <c r="L3397" s="139">
        <f>IFERROR(IF(ISNUMBER(F3397),F3397-IF(ISNUMBER(K3397),K3397,0),""),"")</f>
        <v/>
      </c>
    </row>
    <row r="3398" ht="24" customHeight="1" s="63">
      <c r="E3398" s="139" t="n"/>
      <c r="F3398" s="139" t="n"/>
      <c r="G3398" s="140">
        <f>IFERROR(IF(E3398&gt;0,(F3398/E3398)*1000,""),"")</f>
        <v/>
      </c>
      <c r="H3398" s="139">
        <f>IFERROR(IF(E3398&gt;0,E3398*IF(ISNUMBER(J3398),J3398,IF(OR(C3398="Alpha",B3398="Alpha"),$C$7,IF(C3398="Futures",$C$6,$C$5))),""),"")</f>
        <v/>
      </c>
      <c r="I3398" s="139">
        <f>IFERROR(IF(AND(ISNUMBER(F3398),ISNUMBER(H3398)),F3398-H3398,""),"")</f>
        <v/>
      </c>
      <c r="J3398" s="114" t="n"/>
      <c r="K3398" s="139">
        <f>IFERROR(IF(H3398&gt;0,H3398*IF(OR(C3398="Alpha",B3398="Alpha"),$C$9,$C$8),""),"")</f>
        <v/>
      </c>
      <c r="L3398" s="139">
        <f>IFERROR(IF(ISNUMBER(F3398),F3398-IF(ISNUMBER(K3398),K3398,0),""),"")</f>
        <v/>
      </c>
    </row>
    <row r="3399" ht="24" customHeight="1" s="63">
      <c r="E3399" s="139" t="n"/>
      <c r="F3399" s="139" t="n"/>
      <c r="G3399" s="140">
        <f>IFERROR(IF(E3399&gt;0,(F3399/E3399)*1000,""),"")</f>
        <v/>
      </c>
      <c r="H3399" s="139">
        <f>IFERROR(IF(E3399&gt;0,E3399*IF(ISNUMBER(J3399),J3399,IF(OR(C3399="Alpha",B3399="Alpha"),$C$7,IF(C3399="Futures",$C$6,$C$5))),""),"")</f>
        <v/>
      </c>
      <c r="I3399" s="139">
        <f>IFERROR(IF(AND(ISNUMBER(F3399),ISNUMBER(H3399)),F3399-H3399,""),"")</f>
        <v/>
      </c>
      <c r="J3399" s="114" t="n"/>
      <c r="K3399" s="139">
        <f>IFERROR(IF(H3399&gt;0,H3399*IF(OR(C3399="Alpha",B3399="Alpha"),$C$9,$C$8),""),"")</f>
        <v/>
      </c>
      <c r="L3399" s="139">
        <f>IFERROR(IF(ISNUMBER(F3399),F3399-IF(ISNUMBER(K3399),K3399,0),""),"")</f>
        <v/>
      </c>
    </row>
    <row r="3400" ht="24" customHeight="1" s="63">
      <c r="E3400" s="139" t="n"/>
      <c r="F3400" s="139" t="n"/>
      <c r="G3400" s="140">
        <f>IFERROR(IF(E3400&gt;0,(F3400/E3400)*1000,""),"")</f>
        <v/>
      </c>
      <c r="H3400" s="139">
        <f>IFERROR(IF(E3400&gt;0,E3400*IF(ISNUMBER(J3400),J3400,IF(OR(C3400="Alpha",B3400="Alpha"),$C$7,IF(C3400="Futures",$C$6,$C$5))),""),"")</f>
        <v/>
      </c>
      <c r="I3400" s="139">
        <f>IFERROR(IF(AND(ISNUMBER(F3400),ISNUMBER(H3400)),F3400-H3400,""),"")</f>
        <v/>
      </c>
      <c r="J3400" s="114" t="n"/>
      <c r="K3400" s="139">
        <f>IFERROR(IF(H3400&gt;0,H3400*IF(OR(C3400="Alpha",B3400="Alpha"),$C$9,$C$8),""),"")</f>
        <v/>
      </c>
      <c r="L3400" s="139">
        <f>IFERROR(IF(ISNUMBER(F3400),F3400-IF(ISNUMBER(K3400),K3400,0),""),"")</f>
        <v/>
      </c>
    </row>
    <row r="3401" ht="24" customHeight="1" s="63">
      <c r="E3401" s="139" t="n"/>
      <c r="F3401" s="139" t="n"/>
      <c r="G3401" s="140">
        <f>IFERROR(IF(E3401&gt;0,(F3401/E3401)*1000,""),"")</f>
        <v/>
      </c>
      <c r="H3401" s="139">
        <f>IFERROR(IF(E3401&gt;0,E3401*IF(ISNUMBER(J3401),J3401,IF(OR(C3401="Alpha",B3401="Alpha"),$C$7,IF(C3401="Futures",$C$6,$C$5))),""),"")</f>
        <v/>
      </c>
      <c r="I3401" s="139">
        <f>IFERROR(IF(AND(ISNUMBER(F3401),ISNUMBER(H3401)),F3401-H3401,""),"")</f>
        <v/>
      </c>
      <c r="J3401" s="114" t="n"/>
      <c r="K3401" s="139">
        <f>IFERROR(IF(H3401&gt;0,H3401*IF(OR(C3401="Alpha",B3401="Alpha"),$C$9,$C$8),""),"")</f>
        <v/>
      </c>
      <c r="L3401" s="139">
        <f>IFERROR(IF(ISNUMBER(F3401),F3401-IF(ISNUMBER(K3401),K3401,0),""),"")</f>
        <v/>
      </c>
    </row>
    <row r="3402" ht="24" customHeight="1" s="63">
      <c r="E3402" s="139" t="n"/>
      <c r="F3402" s="139" t="n"/>
      <c r="G3402" s="140">
        <f>IFERROR(IF(E3402&gt;0,(F3402/E3402)*1000,""),"")</f>
        <v/>
      </c>
      <c r="H3402" s="139">
        <f>IFERROR(IF(E3402&gt;0,E3402*IF(ISNUMBER(J3402),J3402,IF(OR(C3402="Alpha",B3402="Alpha"),$C$7,IF(C3402="Futures",$C$6,$C$5))),""),"")</f>
        <v/>
      </c>
      <c r="I3402" s="139">
        <f>IFERROR(IF(AND(ISNUMBER(F3402),ISNUMBER(H3402)),F3402-H3402,""),"")</f>
        <v/>
      </c>
      <c r="J3402" s="114" t="n"/>
      <c r="K3402" s="139">
        <f>IFERROR(IF(H3402&gt;0,H3402*IF(OR(C3402="Alpha",B3402="Alpha"),$C$9,$C$8),""),"")</f>
        <v/>
      </c>
      <c r="L3402" s="139">
        <f>IFERROR(IF(ISNUMBER(F3402),F3402-IF(ISNUMBER(K3402),K3402,0),""),"")</f>
        <v/>
      </c>
    </row>
    <row r="3403" ht="24" customHeight="1" s="63">
      <c r="E3403" s="139" t="n"/>
      <c r="F3403" s="139" t="n"/>
      <c r="G3403" s="140">
        <f>IFERROR(IF(E3403&gt;0,(F3403/E3403)*1000,""),"")</f>
        <v/>
      </c>
      <c r="H3403" s="139">
        <f>IFERROR(IF(E3403&gt;0,E3403*IF(ISNUMBER(J3403),J3403,IF(OR(C3403="Alpha",B3403="Alpha"),$C$7,IF(C3403="Futures",$C$6,$C$5))),""),"")</f>
        <v/>
      </c>
      <c r="I3403" s="139">
        <f>IFERROR(IF(AND(ISNUMBER(F3403),ISNUMBER(H3403)),F3403-H3403,""),"")</f>
        <v/>
      </c>
      <c r="J3403" s="114" t="n"/>
      <c r="K3403" s="139">
        <f>IFERROR(IF(H3403&gt;0,H3403*IF(OR(C3403="Alpha",B3403="Alpha"),$C$9,$C$8),""),"")</f>
        <v/>
      </c>
      <c r="L3403" s="139">
        <f>IFERROR(IF(ISNUMBER(F3403),F3403-IF(ISNUMBER(K3403),K3403,0),""),"")</f>
        <v/>
      </c>
    </row>
    <row r="3404" ht="24" customHeight="1" s="63">
      <c r="E3404" s="139" t="n"/>
      <c r="F3404" s="139" t="n"/>
      <c r="G3404" s="140">
        <f>IFERROR(IF(E3404&gt;0,(F3404/E3404)*1000,""),"")</f>
        <v/>
      </c>
      <c r="H3404" s="139">
        <f>IFERROR(IF(E3404&gt;0,E3404*IF(ISNUMBER(J3404),J3404,IF(OR(C3404="Alpha",B3404="Alpha"),$C$7,IF(C3404="Futures",$C$6,$C$5))),""),"")</f>
        <v/>
      </c>
      <c r="I3404" s="139">
        <f>IFERROR(IF(AND(ISNUMBER(F3404),ISNUMBER(H3404)),F3404-H3404,""),"")</f>
        <v/>
      </c>
      <c r="J3404" s="114" t="n"/>
      <c r="K3404" s="139">
        <f>IFERROR(IF(H3404&gt;0,H3404*IF(OR(C3404="Alpha",B3404="Alpha"),$C$9,$C$8),""),"")</f>
        <v/>
      </c>
      <c r="L3404" s="139">
        <f>IFERROR(IF(ISNUMBER(F3404),F3404-IF(ISNUMBER(K3404),K3404,0),""),"")</f>
        <v/>
      </c>
    </row>
    <row r="3405" ht="24" customHeight="1" s="63">
      <c r="E3405" s="139" t="n"/>
      <c r="F3405" s="139" t="n"/>
      <c r="G3405" s="140">
        <f>IFERROR(IF(E3405&gt;0,(F3405/E3405)*1000,""),"")</f>
        <v/>
      </c>
      <c r="H3405" s="139">
        <f>IFERROR(IF(E3405&gt;0,E3405*IF(ISNUMBER(J3405),J3405,IF(OR(C3405="Alpha",B3405="Alpha"),$C$7,IF(C3405="Futures",$C$6,$C$5))),""),"")</f>
        <v/>
      </c>
      <c r="I3405" s="139">
        <f>IFERROR(IF(AND(ISNUMBER(F3405),ISNUMBER(H3405)),F3405-H3405,""),"")</f>
        <v/>
      </c>
      <c r="J3405" s="114" t="n"/>
      <c r="K3405" s="139">
        <f>IFERROR(IF(H3405&gt;0,H3405*IF(OR(C3405="Alpha",B3405="Alpha"),$C$9,$C$8),""),"")</f>
        <v/>
      </c>
      <c r="L3405" s="139">
        <f>IFERROR(IF(ISNUMBER(F3405),F3405-IF(ISNUMBER(K3405),K3405,0),""),"")</f>
        <v/>
      </c>
    </row>
    <row r="3406" ht="24" customHeight="1" s="63">
      <c r="E3406" s="139" t="n"/>
      <c r="F3406" s="139" t="n"/>
      <c r="G3406" s="140">
        <f>IFERROR(IF(E3406&gt;0,(F3406/E3406)*1000,""),"")</f>
        <v/>
      </c>
      <c r="H3406" s="139">
        <f>IFERROR(IF(E3406&gt;0,E3406*IF(ISNUMBER(J3406),J3406,IF(OR(C3406="Alpha",B3406="Alpha"),$C$7,IF(C3406="Futures",$C$6,$C$5))),""),"")</f>
        <v/>
      </c>
      <c r="I3406" s="139">
        <f>IFERROR(IF(AND(ISNUMBER(F3406),ISNUMBER(H3406)),F3406-H3406,""),"")</f>
        <v/>
      </c>
      <c r="J3406" s="114" t="n"/>
      <c r="K3406" s="139">
        <f>IFERROR(IF(H3406&gt;0,H3406*IF(OR(C3406="Alpha",B3406="Alpha"),$C$9,$C$8),""),"")</f>
        <v/>
      </c>
      <c r="L3406" s="139">
        <f>IFERROR(IF(ISNUMBER(F3406),F3406-IF(ISNUMBER(K3406),K3406,0),""),"")</f>
        <v/>
      </c>
    </row>
    <row r="3407" ht="24" customHeight="1" s="63">
      <c r="E3407" s="139" t="n"/>
      <c r="F3407" s="139" t="n"/>
      <c r="G3407" s="140">
        <f>IFERROR(IF(E3407&gt;0,(F3407/E3407)*1000,""),"")</f>
        <v/>
      </c>
      <c r="H3407" s="139">
        <f>IFERROR(IF(E3407&gt;0,E3407*IF(ISNUMBER(J3407),J3407,IF(OR(C3407="Alpha",B3407="Alpha"),$C$7,IF(C3407="Futures",$C$6,$C$5))),""),"")</f>
        <v/>
      </c>
      <c r="I3407" s="139">
        <f>IFERROR(IF(AND(ISNUMBER(F3407),ISNUMBER(H3407)),F3407-H3407,""),"")</f>
        <v/>
      </c>
      <c r="J3407" s="114" t="n"/>
      <c r="K3407" s="139">
        <f>IFERROR(IF(H3407&gt;0,H3407*IF(OR(C3407="Alpha",B3407="Alpha"),$C$9,$C$8),""),"")</f>
        <v/>
      </c>
      <c r="L3407" s="139">
        <f>IFERROR(IF(ISNUMBER(F3407),F3407-IF(ISNUMBER(K3407),K3407,0),""),"")</f>
        <v/>
      </c>
    </row>
    <row r="3408" ht="24" customHeight="1" s="63">
      <c r="E3408" s="139" t="n"/>
      <c r="F3408" s="139" t="n"/>
      <c r="G3408" s="140">
        <f>IFERROR(IF(E3408&gt;0,(F3408/E3408)*1000,""),"")</f>
        <v/>
      </c>
      <c r="H3408" s="139">
        <f>IFERROR(IF(E3408&gt;0,E3408*IF(ISNUMBER(J3408),J3408,IF(OR(C3408="Alpha",B3408="Alpha"),$C$7,IF(C3408="Futures",$C$6,$C$5))),""),"")</f>
        <v/>
      </c>
      <c r="I3408" s="139">
        <f>IFERROR(IF(AND(ISNUMBER(F3408),ISNUMBER(H3408)),F3408-H3408,""),"")</f>
        <v/>
      </c>
      <c r="J3408" s="114" t="n"/>
      <c r="K3408" s="139">
        <f>IFERROR(IF(H3408&gt;0,H3408*IF(OR(C3408="Alpha",B3408="Alpha"),$C$9,$C$8),""),"")</f>
        <v/>
      </c>
      <c r="L3408" s="139">
        <f>IFERROR(IF(ISNUMBER(F3408),F3408-IF(ISNUMBER(K3408),K3408,0),""),"")</f>
        <v/>
      </c>
    </row>
    <row r="3409" ht="24" customHeight="1" s="63">
      <c r="E3409" s="139" t="n"/>
      <c r="F3409" s="139" t="n"/>
      <c r="G3409" s="140">
        <f>IFERROR(IF(E3409&gt;0,(F3409/E3409)*1000,""),"")</f>
        <v/>
      </c>
      <c r="H3409" s="139">
        <f>IFERROR(IF(E3409&gt;0,E3409*IF(ISNUMBER(J3409),J3409,IF(OR(C3409="Alpha",B3409="Alpha"),$C$7,IF(C3409="Futures",$C$6,$C$5))),""),"")</f>
        <v/>
      </c>
      <c r="I3409" s="139">
        <f>IFERROR(IF(AND(ISNUMBER(F3409),ISNUMBER(H3409)),F3409-H3409,""),"")</f>
        <v/>
      </c>
      <c r="J3409" s="114" t="n"/>
      <c r="K3409" s="139">
        <f>IFERROR(IF(H3409&gt;0,H3409*IF(OR(C3409="Alpha",B3409="Alpha"),$C$9,$C$8),""),"")</f>
        <v/>
      </c>
      <c r="L3409" s="139">
        <f>IFERROR(IF(ISNUMBER(F3409),F3409-IF(ISNUMBER(K3409),K3409,0),""),"")</f>
        <v/>
      </c>
    </row>
    <row r="3410" ht="24" customHeight="1" s="63">
      <c r="E3410" s="139" t="n"/>
      <c r="F3410" s="139" t="n"/>
      <c r="G3410" s="140">
        <f>IFERROR(IF(E3410&gt;0,(F3410/E3410)*1000,""),"")</f>
        <v/>
      </c>
      <c r="H3410" s="139">
        <f>IFERROR(IF(E3410&gt;0,E3410*IF(ISNUMBER(J3410),J3410,IF(OR(C3410="Alpha",B3410="Alpha"),$C$7,IF(C3410="Futures",$C$6,$C$5))),""),"")</f>
        <v/>
      </c>
      <c r="I3410" s="139">
        <f>IFERROR(IF(AND(ISNUMBER(F3410),ISNUMBER(H3410)),F3410-H3410,""),"")</f>
        <v/>
      </c>
      <c r="J3410" s="114" t="n"/>
      <c r="K3410" s="139">
        <f>IFERROR(IF(H3410&gt;0,H3410*IF(OR(C3410="Alpha",B3410="Alpha"),$C$9,$C$8),""),"")</f>
        <v/>
      </c>
      <c r="L3410" s="139">
        <f>IFERROR(IF(ISNUMBER(F3410),F3410-IF(ISNUMBER(K3410),K3410,0),""),"")</f>
        <v/>
      </c>
    </row>
    <row r="3411" ht="24" customHeight="1" s="63">
      <c r="E3411" s="139" t="n"/>
      <c r="F3411" s="139" t="n"/>
      <c r="G3411" s="140">
        <f>IFERROR(IF(E3411&gt;0,(F3411/E3411)*1000,""),"")</f>
        <v/>
      </c>
      <c r="H3411" s="139">
        <f>IFERROR(IF(E3411&gt;0,E3411*IF(ISNUMBER(J3411),J3411,IF(OR(C3411="Alpha",B3411="Alpha"),$C$7,IF(C3411="Futures",$C$6,$C$5))),""),"")</f>
        <v/>
      </c>
      <c r="I3411" s="139">
        <f>IFERROR(IF(AND(ISNUMBER(F3411),ISNUMBER(H3411)),F3411-H3411,""),"")</f>
        <v/>
      </c>
      <c r="J3411" s="114" t="n"/>
      <c r="K3411" s="139">
        <f>IFERROR(IF(H3411&gt;0,H3411*IF(OR(C3411="Alpha",B3411="Alpha"),$C$9,$C$8),""),"")</f>
        <v/>
      </c>
      <c r="L3411" s="139">
        <f>IFERROR(IF(ISNUMBER(F3411),F3411-IF(ISNUMBER(K3411),K3411,0),""),"")</f>
        <v/>
      </c>
    </row>
    <row r="3412" ht="24" customHeight="1" s="63">
      <c r="E3412" s="139" t="n"/>
      <c r="F3412" s="139" t="n"/>
      <c r="G3412" s="140">
        <f>IFERROR(IF(E3412&gt;0,(F3412/E3412)*1000,""),"")</f>
        <v/>
      </c>
      <c r="H3412" s="139">
        <f>IFERROR(IF(E3412&gt;0,E3412*IF(ISNUMBER(J3412),J3412,IF(OR(C3412="Alpha",B3412="Alpha"),$C$7,IF(C3412="Futures",$C$6,$C$5))),""),"")</f>
        <v/>
      </c>
      <c r="I3412" s="139">
        <f>IFERROR(IF(AND(ISNUMBER(F3412),ISNUMBER(H3412)),F3412-H3412,""),"")</f>
        <v/>
      </c>
      <c r="J3412" s="114" t="n"/>
      <c r="K3412" s="139">
        <f>IFERROR(IF(H3412&gt;0,H3412*IF(OR(C3412="Alpha",B3412="Alpha"),$C$9,$C$8),""),"")</f>
        <v/>
      </c>
      <c r="L3412" s="139">
        <f>IFERROR(IF(ISNUMBER(F3412),F3412-IF(ISNUMBER(K3412),K3412,0),""),"")</f>
        <v/>
      </c>
    </row>
    <row r="3413" ht="24" customHeight="1" s="63">
      <c r="E3413" s="139" t="n"/>
      <c r="F3413" s="139" t="n"/>
      <c r="G3413" s="140">
        <f>IFERROR(IF(E3413&gt;0,(F3413/E3413)*1000,""),"")</f>
        <v/>
      </c>
      <c r="H3413" s="139">
        <f>IFERROR(IF(E3413&gt;0,E3413*IF(ISNUMBER(J3413),J3413,IF(OR(C3413="Alpha",B3413="Alpha"),$C$7,IF(C3413="Futures",$C$6,$C$5))),""),"")</f>
        <v/>
      </c>
      <c r="I3413" s="139">
        <f>IFERROR(IF(AND(ISNUMBER(F3413),ISNUMBER(H3413)),F3413-H3413,""),"")</f>
        <v/>
      </c>
      <c r="J3413" s="114" t="n"/>
      <c r="K3413" s="139">
        <f>IFERROR(IF(H3413&gt;0,H3413*IF(OR(C3413="Alpha",B3413="Alpha"),$C$9,$C$8),""),"")</f>
        <v/>
      </c>
      <c r="L3413" s="139">
        <f>IFERROR(IF(ISNUMBER(F3413),F3413-IF(ISNUMBER(K3413),K3413,0),""),"")</f>
        <v/>
      </c>
    </row>
    <row r="3414" ht="24" customHeight="1" s="63">
      <c r="E3414" s="139" t="n"/>
      <c r="F3414" s="139" t="n"/>
      <c r="G3414" s="140">
        <f>IFERROR(IF(E3414&gt;0,(F3414/E3414)*1000,""),"")</f>
        <v/>
      </c>
      <c r="H3414" s="139">
        <f>IFERROR(IF(E3414&gt;0,E3414*IF(ISNUMBER(J3414),J3414,IF(OR(C3414="Alpha",B3414="Alpha"),$C$7,IF(C3414="Futures",$C$6,$C$5))),""),"")</f>
        <v/>
      </c>
      <c r="I3414" s="139">
        <f>IFERROR(IF(AND(ISNUMBER(F3414),ISNUMBER(H3414)),F3414-H3414,""),"")</f>
        <v/>
      </c>
      <c r="J3414" s="114" t="n"/>
      <c r="K3414" s="139">
        <f>IFERROR(IF(H3414&gt;0,H3414*IF(OR(C3414="Alpha",B3414="Alpha"),$C$9,$C$8),""),"")</f>
        <v/>
      </c>
      <c r="L3414" s="139">
        <f>IFERROR(IF(ISNUMBER(F3414),F3414-IF(ISNUMBER(K3414),K3414,0),""),"")</f>
        <v/>
      </c>
    </row>
    <row r="3415" ht="24" customHeight="1" s="63">
      <c r="E3415" s="139" t="n"/>
      <c r="F3415" s="139" t="n"/>
      <c r="G3415" s="140">
        <f>IFERROR(IF(E3415&gt;0,(F3415/E3415)*1000,""),"")</f>
        <v/>
      </c>
      <c r="H3415" s="139">
        <f>IFERROR(IF(E3415&gt;0,E3415*IF(ISNUMBER(J3415),J3415,IF(OR(C3415="Alpha",B3415="Alpha"),$C$7,IF(C3415="Futures",$C$6,$C$5))),""),"")</f>
        <v/>
      </c>
      <c r="I3415" s="139">
        <f>IFERROR(IF(AND(ISNUMBER(F3415),ISNUMBER(H3415)),F3415-H3415,""),"")</f>
        <v/>
      </c>
      <c r="J3415" s="114" t="n"/>
      <c r="K3415" s="139">
        <f>IFERROR(IF(H3415&gt;0,H3415*IF(OR(C3415="Alpha",B3415="Alpha"),$C$9,$C$8),""),"")</f>
        <v/>
      </c>
      <c r="L3415" s="139">
        <f>IFERROR(IF(ISNUMBER(F3415),F3415-IF(ISNUMBER(K3415),K3415,0),""),"")</f>
        <v/>
      </c>
    </row>
    <row r="3416" ht="24" customHeight="1" s="63">
      <c r="E3416" s="139" t="n"/>
      <c r="F3416" s="139" t="n"/>
      <c r="G3416" s="140">
        <f>IFERROR(IF(E3416&gt;0,(F3416/E3416)*1000,""),"")</f>
        <v/>
      </c>
      <c r="H3416" s="139">
        <f>IFERROR(IF(E3416&gt;0,E3416*IF(ISNUMBER(J3416),J3416,IF(OR(C3416="Alpha",B3416="Alpha"),$C$7,IF(C3416="Futures",$C$6,$C$5))),""),"")</f>
        <v/>
      </c>
      <c r="I3416" s="139">
        <f>IFERROR(IF(AND(ISNUMBER(F3416),ISNUMBER(H3416)),F3416-H3416,""),"")</f>
        <v/>
      </c>
      <c r="J3416" s="114" t="n"/>
      <c r="K3416" s="139">
        <f>IFERROR(IF(H3416&gt;0,H3416*IF(OR(C3416="Alpha",B3416="Alpha"),$C$9,$C$8),""),"")</f>
        <v/>
      </c>
      <c r="L3416" s="139">
        <f>IFERROR(IF(ISNUMBER(F3416),F3416-IF(ISNUMBER(K3416),K3416,0),""),"")</f>
        <v/>
      </c>
    </row>
    <row r="3417" ht="24" customHeight="1" s="63">
      <c r="E3417" s="139" t="n"/>
      <c r="F3417" s="139" t="n"/>
      <c r="G3417" s="140">
        <f>IFERROR(IF(E3417&gt;0,(F3417/E3417)*1000,""),"")</f>
        <v/>
      </c>
      <c r="H3417" s="139">
        <f>IFERROR(IF(E3417&gt;0,E3417*IF(ISNUMBER(J3417),J3417,IF(OR(C3417="Alpha",B3417="Alpha"),$C$7,IF(C3417="Futures",$C$6,$C$5))),""),"")</f>
        <v/>
      </c>
      <c r="I3417" s="139">
        <f>IFERROR(IF(AND(ISNUMBER(F3417),ISNUMBER(H3417)),F3417-H3417,""),"")</f>
        <v/>
      </c>
      <c r="J3417" s="114" t="n"/>
      <c r="K3417" s="139">
        <f>IFERROR(IF(H3417&gt;0,H3417*IF(OR(C3417="Alpha",B3417="Alpha"),$C$9,$C$8),""),"")</f>
        <v/>
      </c>
      <c r="L3417" s="139">
        <f>IFERROR(IF(ISNUMBER(F3417),F3417-IF(ISNUMBER(K3417),K3417,0),""),"")</f>
        <v/>
      </c>
    </row>
    <row r="3418" ht="24" customHeight="1" s="63">
      <c r="E3418" s="139" t="n"/>
      <c r="F3418" s="139" t="n"/>
      <c r="G3418" s="140">
        <f>IFERROR(IF(E3418&gt;0,(F3418/E3418)*1000,""),"")</f>
        <v/>
      </c>
      <c r="H3418" s="139">
        <f>IFERROR(IF(E3418&gt;0,E3418*IF(ISNUMBER(J3418),J3418,IF(OR(C3418="Alpha",B3418="Alpha"),$C$7,IF(C3418="Futures",$C$6,$C$5))),""),"")</f>
        <v/>
      </c>
      <c r="I3418" s="139">
        <f>IFERROR(IF(AND(ISNUMBER(F3418),ISNUMBER(H3418)),F3418-H3418,""),"")</f>
        <v/>
      </c>
      <c r="J3418" s="114" t="n"/>
      <c r="K3418" s="139">
        <f>IFERROR(IF(H3418&gt;0,H3418*IF(OR(C3418="Alpha",B3418="Alpha"),$C$9,$C$8),""),"")</f>
        <v/>
      </c>
      <c r="L3418" s="139">
        <f>IFERROR(IF(ISNUMBER(F3418),F3418-IF(ISNUMBER(K3418),K3418,0),""),"")</f>
        <v/>
      </c>
    </row>
    <row r="3419" ht="24" customHeight="1" s="63">
      <c r="E3419" s="139" t="n"/>
      <c r="F3419" s="139" t="n"/>
      <c r="G3419" s="140">
        <f>IFERROR(IF(E3419&gt;0,(F3419/E3419)*1000,""),"")</f>
        <v/>
      </c>
      <c r="H3419" s="139">
        <f>IFERROR(IF(E3419&gt;0,E3419*IF(ISNUMBER(J3419),J3419,IF(OR(C3419="Alpha",B3419="Alpha"),$C$7,IF(C3419="Futures",$C$6,$C$5))),""),"")</f>
        <v/>
      </c>
      <c r="I3419" s="139">
        <f>IFERROR(IF(AND(ISNUMBER(F3419),ISNUMBER(H3419)),F3419-H3419,""),"")</f>
        <v/>
      </c>
      <c r="J3419" s="114" t="n"/>
      <c r="K3419" s="139">
        <f>IFERROR(IF(H3419&gt;0,H3419*IF(OR(C3419="Alpha",B3419="Alpha"),$C$9,$C$8),""),"")</f>
        <v/>
      </c>
      <c r="L3419" s="139">
        <f>IFERROR(IF(ISNUMBER(F3419),F3419-IF(ISNUMBER(K3419),K3419,0),""),"")</f>
        <v/>
      </c>
    </row>
    <row r="3420" ht="24" customHeight="1" s="63">
      <c r="E3420" s="139" t="n"/>
      <c r="F3420" s="139" t="n"/>
      <c r="G3420" s="140">
        <f>IFERROR(IF(E3420&gt;0,(F3420/E3420)*1000,""),"")</f>
        <v/>
      </c>
      <c r="H3420" s="139">
        <f>IFERROR(IF(E3420&gt;0,E3420*IF(ISNUMBER(J3420),J3420,IF(OR(C3420="Alpha",B3420="Alpha"),$C$7,IF(C3420="Futures",$C$6,$C$5))),""),"")</f>
        <v/>
      </c>
      <c r="I3420" s="139">
        <f>IFERROR(IF(AND(ISNUMBER(F3420),ISNUMBER(H3420)),F3420-H3420,""),"")</f>
        <v/>
      </c>
      <c r="J3420" s="114" t="n"/>
      <c r="K3420" s="139">
        <f>IFERROR(IF(H3420&gt;0,H3420*IF(OR(C3420="Alpha",B3420="Alpha"),$C$9,$C$8),""),"")</f>
        <v/>
      </c>
      <c r="L3420" s="139">
        <f>IFERROR(IF(ISNUMBER(F3420),F3420-IF(ISNUMBER(K3420),K3420,0),""),"")</f>
        <v/>
      </c>
    </row>
    <row r="3421" ht="24" customHeight="1" s="63">
      <c r="E3421" s="139" t="n"/>
      <c r="F3421" s="139" t="n"/>
      <c r="G3421" s="140">
        <f>IFERROR(IF(E3421&gt;0,(F3421/E3421)*1000,""),"")</f>
        <v/>
      </c>
      <c r="H3421" s="139">
        <f>IFERROR(IF(E3421&gt;0,E3421*IF(ISNUMBER(J3421),J3421,IF(OR(C3421="Alpha",B3421="Alpha"),$C$7,IF(C3421="Futures",$C$6,$C$5))),""),"")</f>
        <v/>
      </c>
      <c r="I3421" s="139">
        <f>IFERROR(IF(AND(ISNUMBER(F3421),ISNUMBER(H3421)),F3421-H3421,""),"")</f>
        <v/>
      </c>
      <c r="J3421" s="114" t="n"/>
      <c r="K3421" s="139">
        <f>IFERROR(IF(H3421&gt;0,H3421*IF(OR(C3421="Alpha",B3421="Alpha"),$C$9,$C$8),""),"")</f>
        <v/>
      </c>
      <c r="L3421" s="139">
        <f>IFERROR(IF(ISNUMBER(F3421),F3421-IF(ISNUMBER(K3421),K3421,0),""),"")</f>
        <v/>
      </c>
    </row>
    <row r="3422" ht="24" customHeight="1" s="63">
      <c r="E3422" s="139" t="n"/>
      <c r="F3422" s="139" t="n"/>
      <c r="G3422" s="140">
        <f>IFERROR(IF(E3422&gt;0,(F3422/E3422)*1000,""),"")</f>
        <v/>
      </c>
      <c r="H3422" s="139">
        <f>IFERROR(IF(E3422&gt;0,E3422*IF(ISNUMBER(J3422),J3422,IF(OR(C3422="Alpha",B3422="Alpha"),$C$7,IF(C3422="Futures",$C$6,$C$5))),""),"")</f>
        <v/>
      </c>
      <c r="I3422" s="139">
        <f>IFERROR(IF(AND(ISNUMBER(F3422),ISNUMBER(H3422)),F3422-H3422,""),"")</f>
        <v/>
      </c>
      <c r="J3422" s="114" t="n"/>
      <c r="K3422" s="139">
        <f>IFERROR(IF(H3422&gt;0,H3422*IF(OR(C3422="Alpha",B3422="Alpha"),$C$9,$C$8),""),"")</f>
        <v/>
      </c>
      <c r="L3422" s="139">
        <f>IFERROR(IF(ISNUMBER(F3422),F3422-IF(ISNUMBER(K3422),K3422,0),""),"")</f>
        <v/>
      </c>
    </row>
    <row r="3423" ht="24" customHeight="1" s="63">
      <c r="E3423" s="139" t="n"/>
      <c r="F3423" s="139" t="n"/>
      <c r="G3423" s="140">
        <f>IFERROR(IF(E3423&gt;0,(F3423/E3423)*1000,""),"")</f>
        <v/>
      </c>
      <c r="H3423" s="139">
        <f>IFERROR(IF(E3423&gt;0,E3423*IF(ISNUMBER(J3423),J3423,IF(OR(C3423="Alpha",B3423="Alpha"),$C$7,IF(C3423="Futures",$C$6,$C$5))),""),"")</f>
        <v/>
      </c>
      <c r="I3423" s="139">
        <f>IFERROR(IF(AND(ISNUMBER(F3423),ISNUMBER(H3423)),F3423-H3423,""),"")</f>
        <v/>
      </c>
      <c r="J3423" s="114" t="n"/>
      <c r="K3423" s="139">
        <f>IFERROR(IF(H3423&gt;0,H3423*IF(OR(C3423="Alpha",B3423="Alpha"),$C$9,$C$8),""),"")</f>
        <v/>
      </c>
      <c r="L3423" s="139">
        <f>IFERROR(IF(ISNUMBER(F3423),F3423-IF(ISNUMBER(K3423),K3423,0),""),"")</f>
        <v/>
      </c>
    </row>
    <row r="3424" ht="24" customHeight="1" s="63">
      <c r="E3424" s="139" t="n"/>
      <c r="F3424" s="139" t="n"/>
      <c r="G3424" s="140">
        <f>IFERROR(IF(E3424&gt;0,(F3424/E3424)*1000,""),"")</f>
        <v/>
      </c>
      <c r="H3424" s="139">
        <f>IFERROR(IF(E3424&gt;0,E3424*IF(ISNUMBER(J3424),J3424,IF(OR(C3424="Alpha",B3424="Alpha"),$C$7,IF(C3424="Futures",$C$6,$C$5))),""),"")</f>
        <v/>
      </c>
      <c r="I3424" s="139">
        <f>IFERROR(IF(AND(ISNUMBER(F3424),ISNUMBER(H3424)),F3424-H3424,""),"")</f>
        <v/>
      </c>
      <c r="J3424" s="114" t="n"/>
      <c r="K3424" s="139">
        <f>IFERROR(IF(H3424&gt;0,H3424*IF(OR(C3424="Alpha",B3424="Alpha"),$C$9,$C$8),""),"")</f>
        <v/>
      </c>
      <c r="L3424" s="139">
        <f>IFERROR(IF(ISNUMBER(F3424),F3424-IF(ISNUMBER(K3424),K3424,0),""),"")</f>
        <v/>
      </c>
    </row>
    <row r="3425" ht="24" customHeight="1" s="63">
      <c r="E3425" s="139" t="n"/>
      <c r="F3425" s="139" t="n"/>
      <c r="G3425" s="140">
        <f>IFERROR(IF(E3425&gt;0,(F3425/E3425)*1000,""),"")</f>
        <v/>
      </c>
      <c r="H3425" s="139">
        <f>IFERROR(IF(E3425&gt;0,E3425*IF(ISNUMBER(J3425),J3425,IF(OR(C3425="Alpha",B3425="Alpha"),$C$7,IF(C3425="Futures",$C$6,$C$5))),""),"")</f>
        <v/>
      </c>
      <c r="I3425" s="139">
        <f>IFERROR(IF(AND(ISNUMBER(F3425),ISNUMBER(H3425)),F3425-H3425,""),"")</f>
        <v/>
      </c>
      <c r="J3425" s="114" t="n"/>
      <c r="K3425" s="139">
        <f>IFERROR(IF(H3425&gt;0,H3425*IF(OR(C3425="Alpha",B3425="Alpha"),$C$9,$C$8),""),"")</f>
        <v/>
      </c>
      <c r="L3425" s="139">
        <f>IFERROR(IF(ISNUMBER(F3425),F3425-IF(ISNUMBER(K3425),K3425,0),""),"")</f>
        <v/>
      </c>
    </row>
    <row r="3426" ht="24" customHeight="1" s="63">
      <c r="E3426" s="139" t="n"/>
      <c r="F3426" s="139" t="n"/>
      <c r="G3426" s="140">
        <f>IFERROR(IF(E3426&gt;0,(F3426/E3426)*1000,""),"")</f>
        <v/>
      </c>
      <c r="H3426" s="139">
        <f>IFERROR(IF(E3426&gt;0,E3426*IF(ISNUMBER(J3426),J3426,IF(OR(C3426="Alpha",B3426="Alpha"),$C$7,IF(C3426="Futures",$C$6,$C$5))),""),"")</f>
        <v/>
      </c>
      <c r="I3426" s="139">
        <f>IFERROR(IF(AND(ISNUMBER(F3426),ISNUMBER(H3426)),F3426-H3426,""),"")</f>
        <v/>
      </c>
      <c r="J3426" s="114" t="n"/>
      <c r="K3426" s="139">
        <f>IFERROR(IF(H3426&gt;0,H3426*IF(OR(C3426="Alpha",B3426="Alpha"),$C$9,$C$8),""),"")</f>
        <v/>
      </c>
      <c r="L3426" s="139">
        <f>IFERROR(IF(ISNUMBER(F3426),F3426-IF(ISNUMBER(K3426),K3426,0),""),"")</f>
        <v/>
      </c>
    </row>
    <row r="3427" ht="24" customHeight="1" s="63">
      <c r="E3427" s="139" t="n"/>
      <c r="F3427" s="139" t="n"/>
      <c r="G3427" s="140">
        <f>IFERROR(IF(E3427&gt;0,(F3427/E3427)*1000,""),"")</f>
        <v/>
      </c>
      <c r="H3427" s="139">
        <f>IFERROR(IF(E3427&gt;0,E3427*IF(ISNUMBER(J3427),J3427,IF(OR(C3427="Alpha",B3427="Alpha"),$C$7,IF(C3427="Futures",$C$6,$C$5))),""),"")</f>
        <v/>
      </c>
      <c r="I3427" s="139">
        <f>IFERROR(IF(AND(ISNUMBER(F3427),ISNUMBER(H3427)),F3427-H3427,""),"")</f>
        <v/>
      </c>
      <c r="J3427" s="114" t="n"/>
      <c r="K3427" s="139">
        <f>IFERROR(IF(H3427&gt;0,H3427*IF(OR(C3427="Alpha",B3427="Alpha"),$C$9,$C$8),""),"")</f>
        <v/>
      </c>
      <c r="L3427" s="139">
        <f>IFERROR(IF(ISNUMBER(F3427),F3427-IF(ISNUMBER(K3427),K3427,0),""),"")</f>
        <v/>
      </c>
    </row>
    <row r="3428" ht="24" customHeight="1" s="63">
      <c r="E3428" s="139" t="n"/>
      <c r="F3428" s="139" t="n"/>
      <c r="G3428" s="140">
        <f>IFERROR(IF(E3428&gt;0,(F3428/E3428)*1000,""),"")</f>
        <v/>
      </c>
      <c r="H3428" s="139">
        <f>IFERROR(IF(E3428&gt;0,E3428*IF(ISNUMBER(J3428),J3428,IF(OR(C3428="Alpha",B3428="Alpha"),$C$7,IF(C3428="Futures",$C$6,$C$5))),""),"")</f>
        <v/>
      </c>
      <c r="I3428" s="139">
        <f>IFERROR(IF(AND(ISNUMBER(F3428),ISNUMBER(H3428)),F3428-H3428,""),"")</f>
        <v/>
      </c>
      <c r="J3428" s="114" t="n"/>
      <c r="K3428" s="139">
        <f>IFERROR(IF(H3428&gt;0,H3428*IF(OR(C3428="Alpha",B3428="Alpha"),$C$9,$C$8),""),"")</f>
        <v/>
      </c>
      <c r="L3428" s="139">
        <f>IFERROR(IF(ISNUMBER(F3428),F3428-IF(ISNUMBER(K3428),K3428,0),""),"")</f>
        <v/>
      </c>
    </row>
    <row r="3429" ht="24" customHeight="1" s="63">
      <c r="E3429" s="139" t="n"/>
      <c r="F3429" s="139" t="n"/>
      <c r="G3429" s="140">
        <f>IFERROR(IF(E3429&gt;0,(F3429/E3429)*1000,""),"")</f>
        <v/>
      </c>
      <c r="H3429" s="139">
        <f>IFERROR(IF(E3429&gt;0,E3429*IF(ISNUMBER(J3429),J3429,IF(OR(C3429="Alpha",B3429="Alpha"),$C$7,IF(C3429="Futures",$C$6,$C$5))),""),"")</f>
        <v/>
      </c>
      <c r="I3429" s="139">
        <f>IFERROR(IF(AND(ISNUMBER(F3429),ISNUMBER(H3429)),F3429-H3429,""),"")</f>
        <v/>
      </c>
      <c r="J3429" s="114" t="n"/>
      <c r="K3429" s="139">
        <f>IFERROR(IF(H3429&gt;0,H3429*IF(OR(C3429="Alpha",B3429="Alpha"),$C$9,$C$8),""),"")</f>
        <v/>
      </c>
      <c r="L3429" s="139">
        <f>IFERROR(IF(ISNUMBER(F3429),F3429-IF(ISNUMBER(K3429),K3429,0),""),"")</f>
        <v/>
      </c>
    </row>
    <row r="3430" ht="24" customHeight="1" s="63">
      <c r="E3430" s="139" t="n"/>
      <c r="F3430" s="139" t="n"/>
      <c r="G3430" s="140">
        <f>IFERROR(IF(E3430&gt;0,(F3430/E3430)*1000,""),"")</f>
        <v/>
      </c>
      <c r="H3430" s="139">
        <f>IFERROR(IF(E3430&gt;0,E3430*IF(ISNUMBER(J3430),J3430,IF(OR(C3430="Alpha",B3430="Alpha"),$C$7,IF(C3430="Futures",$C$6,$C$5))),""),"")</f>
        <v/>
      </c>
      <c r="I3430" s="139">
        <f>IFERROR(IF(AND(ISNUMBER(F3430),ISNUMBER(H3430)),F3430-H3430,""),"")</f>
        <v/>
      </c>
      <c r="J3430" s="114" t="n"/>
      <c r="K3430" s="139">
        <f>IFERROR(IF(H3430&gt;0,H3430*IF(OR(C3430="Alpha",B3430="Alpha"),$C$9,$C$8),""),"")</f>
        <v/>
      </c>
      <c r="L3430" s="139">
        <f>IFERROR(IF(ISNUMBER(F3430),F3430-IF(ISNUMBER(K3430),K3430,0),""),"")</f>
        <v/>
      </c>
    </row>
    <row r="3431" ht="24" customHeight="1" s="63">
      <c r="E3431" s="139" t="n"/>
      <c r="F3431" s="139" t="n"/>
      <c r="G3431" s="140">
        <f>IFERROR(IF(E3431&gt;0,(F3431/E3431)*1000,""),"")</f>
        <v/>
      </c>
      <c r="H3431" s="139">
        <f>IFERROR(IF(E3431&gt;0,E3431*IF(ISNUMBER(J3431),J3431,IF(OR(C3431="Alpha",B3431="Alpha"),$C$7,IF(C3431="Futures",$C$6,$C$5))),""),"")</f>
        <v/>
      </c>
      <c r="I3431" s="139">
        <f>IFERROR(IF(AND(ISNUMBER(F3431),ISNUMBER(H3431)),F3431-H3431,""),"")</f>
        <v/>
      </c>
      <c r="J3431" s="114" t="n"/>
      <c r="K3431" s="139">
        <f>IFERROR(IF(H3431&gt;0,H3431*IF(OR(C3431="Alpha",B3431="Alpha"),$C$9,$C$8),""),"")</f>
        <v/>
      </c>
      <c r="L3431" s="139">
        <f>IFERROR(IF(ISNUMBER(F3431),F3431-IF(ISNUMBER(K3431),K3431,0),""),"")</f>
        <v/>
      </c>
    </row>
    <row r="3432" ht="24" customHeight="1" s="63">
      <c r="E3432" s="139" t="n"/>
      <c r="F3432" s="139" t="n"/>
      <c r="G3432" s="140">
        <f>IFERROR(IF(E3432&gt;0,(F3432/E3432)*1000,""),"")</f>
        <v/>
      </c>
      <c r="H3432" s="139">
        <f>IFERROR(IF(E3432&gt;0,E3432*IF(ISNUMBER(J3432),J3432,IF(OR(C3432="Alpha",B3432="Alpha"),$C$7,IF(C3432="Futures",$C$6,$C$5))),""),"")</f>
        <v/>
      </c>
      <c r="I3432" s="139">
        <f>IFERROR(IF(AND(ISNUMBER(F3432),ISNUMBER(H3432)),F3432-H3432,""),"")</f>
        <v/>
      </c>
      <c r="J3432" s="114" t="n"/>
      <c r="K3432" s="139">
        <f>IFERROR(IF(H3432&gt;0,H3432*IF(OR(C3432="Alpha",B3432="Alpha"),$C$9,$C$8),""),"")</f>
        <v/>
      </c>
      <c r="L3432" s="139">
        <f>IFERROR(IF(ISNUMBER(F3432),F3432-IF(ISNUMBER(K3432),K3432,0),""),"")</f>
        <v/>
      </c>
    </row>
    <row r="3433" ht="24" customHeight="1" s="63">
      <c r="E3433" s="139" t="n"/>
      <c r="F3433" s="139" t="n"/>
      <c r="G3433" s="140">
        <f>IFERROR(IF(E3433&gt;0,(F3433/E3433)*1000,""),"")</f>
        <v/>
      </c>
      <c r="H3433" s="139">
        <f>IFERROR(IF(E3433&gt;0,E3433*IF(ISNUMBER(J3433),J3433,IF(OR(C3433="Alpha",B3433="Alpha"),$C$7,IF(C3433="Futures",$C$6,$C$5))),""),"")</f>
        <v/>
      </c>
      <c r="I3433" s="139">
        <f>IFERROR(IF(AND(ISNUMBER(F3433),ISNUMBER(H3433)),F3433-H3433,""),"")</f>
        <v/>
      </c>
      <c r="J3433" s="114" t="n"/>
      <c r="K3433" s="139">
        <f>IFERROR(IF(H3433&gt;0,H3433*IF(OR(C3433="Alpha",B3433="Alpha"),$C$9,$C$8),""),"")</f>
        <v/>
      </c>
      <c r="L3433" s="139">
        <f>IFERROR(IF(ISNUMBER(F3433),F3433-IF(ISNUMBER(K3433),K3433,0),""),"")</f>
        <v/>
      </c>
    </row>
    <row r="3434" ht="24" customHeight="1" s="63">
      <c r="E3434" s="139" t="n"/>
      <c r="F3434" s="139" t="n"/>
      <c r="G3434" s="140">
        <f>IFERROR(IF(E3434&gt;0,(F3434/E3434)*1000,""),"")</f>
        <v/>
      </c>
      <c r="H3434" s="139">
        <f>IFERROR(IF(E3434&gt;0,E3434*IF(ISNUMBER(J3434),J3434,IF(OR(C3434="Alpha",B3434="Alpha"),$C$7,IF(C3434="Futures",$C$6,$C$5))),""),"")</f>
        <v/>
      </c>
      <c r="I3434" s="139">
        <f>IFERROR(IF(AND(ISNUMBER(F3434),ISNUMBER(H3434)),F3434-H3434,""),"")</f>
        <v/>
      </c>
      <c r="J3434" s="114" t="n"/>
      <c r="K3434" s="139">
        <f>IFERROR(IF(H3434&gt;0,H3434*IF(OR(C3434="Alpha",B3434="Alpha"),$C$9,$C$8),""),"")</f>
        <v/>
      </c>
      <c r="L3434" s="139">
        <f>IFERROR(IF(ISNUMBER(F3434),F3434-IF(ISNUMBER(K3434),K3434,0),""),"")</f>
        <v/>
      </c>
    </row>
    <row r="3435" ht="24" customHeight="1" s="63">
      <c r="E3435" s="139" t="n"/>
      <c r="F3435" s="139" t="n"/>
      <c r="G3435" s="140">
        <f>IFERROR(IF(E3435&gt;0,(F3435/E3435)*1000,""),"")</f>
        <v/>
      </c>
      <c r="H3435" s="139">
        <f>IFERROR(IF(E3435&gt;0,E3435*IF(ISNUMBER(J3435),J3435,IF(OR(C3435="Alpha",B3435="Alpha"),$C$7,IF(C3435="Futures",$C$6,$C$5))),""),"")</f>
        <v/>
      </c>
      <c r="I3435" s="139">
        <f>IFERROR(IF(AND(ISNUMBER(F3435),ISNUMBER(H3435)),F3435-H3435,""),"")</f>
        <v/>
      </c>
      <c r="J3435" s="114" t="n"/>
      <c r="K3435" s="139">
        <f>IFERROR(IF(H3435&gt;0,H3435*IF(OR(C3435="Alpha",B3435="Alpha"),$C$9,$C$8),""),"")</f>
        <v/>
      </c>
      <c r="L3435" s="139">
        <f>IFERROR(IF(ISNUMBER(F3435),F3435-IF(ISNUMBER(K3435),K3435,0),""),"")</f>
        <v/>
      </c>
    </row>
    <row r="3436" ht="24" customHeight="1" s="63">
      <c r="E3436" s="139" t="n"/>
      <c r="F3436" s="139" t="n"/>
      <c r="G3436" s="140">
        <f>IFERROR(IF(E3436&gt;0,(F3436/E3436)*1000,""),"")</f>
        <v/>
      </c>
      <c r="H3436" s="139">
        <f>IFERROR(IF(E3436&gt;0,E3436*IF(ISNUMBER(J3436),J3436,IF(OR(C3436="Alpha",B3436="Alpha"),$C$7,IF(C3436="Futures",$C$6,$C$5))),""),"")</f>
        <v/>
      </c>
      <c r="I3436" s="139">
        <f>IFERROR(IF(AND(ISNUMBER(F3436),ISNUMBER(H3436)),F3436-H3436,""),"")</f>
        <v/>
      </c>
      <c r="J3436" s="114" t="n"/>
      <c r="K3436" s="139">
        <f>IFERROR(IF(H3436&gt;0,H3436*IF(OR(C3436="Alpha",B3436="Alpha"),$C$9,$C$8),""),"")</f>
        <v/>
      </c>
      <c r="L3436" s="139">
        <f>IFERROR(IF(ISNUMBER(F3436),F3436-IF(ISNUMBER(K3436),K3436,0),""),"")</f>
        <v/>
      </c>
    </row>
    <row r="3437" ht="24" customHeight="1" s="63">
      <c r="E3437" s="139" t="n"/>
      <c r="F3437" s="139" t="n"/>
      <c r="G3437" s="140">
        <f>IFERROR(IF(E3437&gt;0,(F3437/E3437)*1000,""),"")</f>
        <v/>
      </c>
      <c r="H3437" s="139">
        <f>IFERROR(IF(E3437&gt;0,E3437*IF(ISNUMBER(J3437),J3437,IF(OR(C3437="Alpha",B3437="Alpha"),$C$7,IF(C3437="Futures",$C$6,$C$5))),""),"")</f>
        <v/>
      </c>
      <c r="I3437" s="139">
        <f>IFERROR(IF(AND(ISNUMBER(F3437),ISNUMBER(H3437)),F3437-H3437,""),"")</f>
        <v/>
      </c>
      <c r="J3437" s="114" t="n"/>
      <c r="K3437" s="139">
        <f>IFERROR(IF(H3437&gt;0,H3437*IF(OR(C3437="Alpha",B3437="Alpha"),$C$9,$C$8),""),"")</f>
        <v/>
      </c>
      <c r="L3437" s="139">
        <f>IFERROR(IF(ISNUMBER(F3437),F3437-IF(ISNUMBER(K3437),K3437,0),""),"")</f>
        <v/>
      </c>
    </row>
    <row r="3438" ht="24" customHeight="1" s="63">
      <c r="E3438" s="139" t="n"/>
      <c r="F3438" s="139" t="n"/>
      <c r="G3438" s="140">
        <f>IFERROR(IF(E3438&gt;0,(F3438/E3438)*1000,""),"")</f>
        <v/>
      </c>
      <c r="H3438" s="139">
        <f>IFERROR(IF(E3438&gt;0,E3438*IF(ISNUMBER(J3438),J3438,IF(OR(C3438="Alpha",B3438="Alpha"),$C$7,IF(C3438="Futures",$C$6,$C$5))),""),"")</f>
        <v/>
      </c>
      <c r="I3438" s="139">
        <f>IFERROR(IF(AND(ISNUMBER(F3438),ISNUMBER(H3438)),F3438-H3438,""),"")</f>
        <v/>
      </c>
      <c r="J3438" s="114" t="n"/>
      <c r="K3438" s="139">
        <f>IFERROR(IF(H3438&gt;0,H3438*IF(OR(C3438="Alpha",B3438="Alpha"),$C$9,$C$8),""),"")</f>
        <v/>
      </c>
      <c r="L3438" s="139">
        <f>IFERROR(IF(ISNUMBER(F3438),F3438-IF(ISNUMBER(K3438),K3438,0),""),"")</f>
        <v/>
      </c>
    </row>
    <row r="3439" ht="24" customHeight="1" s="63">
      <c r="E3439" s="139" t="n"/>
      <c r="F3439" s="139" t="n"/>
      <c r="G3439" s="140">
        <f>IFERROR(IF(E3439&gt;0,(F3439/E3439)*1000,""),"")</f>
        <v/>
      </c>
      <c r="H3439" s="139">
        <f>IFERROR(IF(E3439&gt;0,E3439*IF(ISNUMBER(J3439),J3439,IF(OR(C3439="Alpha",B3439="Alpha"),$C$7,IF(C3439="Futures",$C$6,$C$5))),""),"")</f>
        <v/>
      </c>
      <c r="I3439" s="139">
        <f>IFERROR(IF(AND(ISNUMBER(F3439),ISNUMBER(H3439)),F3439-H3439,""),"")</f>
        <v/>
      </c>
      <c r="J3439" s="114" t="n"/>
      <c r="K3439" s="139">
        <f>IFERROR(IF(H3439&gt;0,H3439*IF(OR(C3439="Alpha",B3439="Alpha"),$C$9,$C$8),""),"")</f>
        <v/>
      </c>
      <c r="L3439" s="139">
        <f>IFERROR(IF(ISNUMBER(F3439),F3439-IF(ISNUMBER(K3439),K3439,0),""),"")</f>
        <v/>
      </c>
    </row>
    <row r="3440" ht="24" customHeight="1" s="63">
      <c r="E3440" s="139" t="n"/>
      <c r="F3440" s="139" t="n"/>
      <c r="G3440" s="140">
        <f>IFERROR(IF(E3440&gt;0,(F3440/E3440)*1000,""),"")</f>
        <v/>
      </c>
      <c r="H3440" s="139">
        <f>IFERROR(IF(E3440&gt;0,E3440*IF(ISNUMBER(J3440),J3440,IF(OR(C3440="Alpha",B3440="Alpha"),$C$7,IF(C3440="Futures",$C$6,$C$5))),""),"")</f>
        <v/>
      </c>
      <c r="I3440" s="139">
        <f>IFERROR(IF(AND(ISNUMBER(F3440),ISNUMBER(H3440)),F3440-H3440,""),"")</f>
        <v/>
      </c>
      <c r="J3440" s="114" t="n"/>
      <c r="K3440" s="139">
        <f>IFERROR(IF(H3440&gt;0,H3440*IF(OR(C3440="Alpha",B3440="Alpha"),$C$9,$C$8),""),"")</f>
        <v/>
      </c>
      <c r="L3440" s="139">
        <f>IFERROR(IF(ISNUMBER(F3440),F3440-IF(ISNUMBER(K3440),K3440,0),""),"")</f>
        <v/>
      </c>
    </row>
    <row r="3441" ht="24" customHeight="1" s="63">
      <c r="E3441" s="139" t="n"/>
      <c r="F3441" s="139" t="n"/>
      <c r="G3441" s="140">
        <f>IFERROR(IF(E3441&gt;0,(F3441/E3441)*1000,""),"")</f>
        <v/>
      </c>
      <c r="H3441" s="139">
        <f>IFERROR(IF(E3441&gt;0,E3441*IF(ISNUMBER(J3441),J3441,IF(OR(C3441="Alpha",B3441="Alpha"),$C$7,IF(C3441="Futures",$C$6,$C$5))),""),"")</f>
        <v/>
      </c>
      <c r="I3441" s="139">
        <f>IFERROR(IF(AND(ISNUMBER(F3441),ISNUMBER(H3441)),F3441-H3441,""),"")</f>
        <v/>
      </c>
      <c r="J3441" s="114" t="n"/>
      <c r="K3441" s="139">
        <f>IFERROR(IF(H3441&gt;0,H3441*IF(OR(C3441="Alpha",B3441="Alpha"),$C$9,$C$8),""),"")</f>
        <v/>
      </c>
      <c r="L3441" s="139">
        <f>IFERROR(IF(ISNUMBER(F3441),F3441-IF(ISNUMBER(K3441),K3441,0),""),"")</f>
        <v/>
      </c>
    </row>
    <row r="3442" ht="24" customHeight="1" s="63">
      <c r="E3442" s="139" t="n"/>
      <c r="F3442" s="139" t="n"/>
      <c r="G3442" s="140">
        <f>IFERROR(IF(E3442&gt;0,(F3442/E3442)*1000,""),"")</f>
        <v/>
      </c>
      <c r="H3442" s="139">
        <f>IFERROR(IF(E3442&gt;0,E3442*IF(ISNUMBER(J3442),J3442,IF(OR(C3442="Alpha",B3442="Alpha"),$C$7,IF(C3442="Futures",$C$6,$C$5))),""),"")</f>
        <v/>
      </c>
      <c r="I3442" s="139">
        <f>IFERROR(IF(AND(ISNUMBER(F3442),ISNUMBER(H3442)),F3442-H3442,""),"")</f>
        <v/>
      </c>
      <c r="J3442" s="114" t="n"/>
      <c r="K3442" s="139">
        <f>IFERROR(IF(H3442&gt;0,H3442*IF(OR(C3442="Alpha",B3442="Alpha"),$C$9,$C$8),""),"")</f>
        <v/>
      </c>
      <c r="L3442" s="139">
        <f>IFERROR(IF(ISNUMBER(F3442),F3442-IF(ISNUMBER(K3442),K3442,0),""),"")</f>
        <v/>
      </c>
    </row>
    <row r="3443" ht="24" customHeight="1" s="63">
      <c r="E3443" s="139" t="n"/>
      <c r="F3443" s="139" t="n"/>
      <c r="G3443" s="140">
        <f>IFERROR(IF(E3443&gt;0,(F3443/E3443)*1000,""),"")</f>
        <v/>
      </c>
      <c r="H3443" s="139">
        <f>IFERROR(IF(E3443&gt;0,E3443*IF(ISNUMBER(J3443),J3443,IF(OR(C3443="Alpha",B3443="Alpha"),$C$7,IF(C3443="Futures",$C$6,$C$5))),""),"")</f>
        <v/>
      </c>
      <c r="I3443" s="139">
        <f>IFERROR(IF(AND(ISNUMBER(F3443),ISNUMBER(H3443)),F3443-H3443,""),"")</f>
        <v/>
      </c>
      <c r="J3443" s="114" t="n"/>
      <c r="K3443" s="139">
        <f>IFERROR(IF(H3443&gt;0,H3443*IF(OR(C3443="Alpha",B3443="Alpha"),$C$9,$C$8),""),"")</f>
        <v/>
      </c>
      <c r="L3443" s="139">
        <f>IFERROR(IF(ISNUMBER(F3443),F3443-IF(ISNUMBER(K3443),K3443,0),""),"")</f>
        <v/>
      </c>
    </row>
    <row r="3444" ht="24" customHeight="1" s="63">
      <c r="E3444" s="139" t="n"/>
      <c r="F3444" s="139" t="n"/>
      <c r="G3444" s="140">
        <f>IFERROR(IF(E3444&gt;0,(F3444/E3444)*1000,""),"")</f>
        <v/>
      </c>
      <c r="H3444" s="139">
        <f>IFERROR(IF(E3444&gt;0,E3444*IF(ISNUMBER(J3444),J3444,IF(OR(C3444="Alpha",B3444="Alpha"),$C$7,IF(C3444="Futures",$C$6,$C$5))),""),"")</f>
        <v/>
      </c>
      <c r="I3444" s="139">
        <f>IFERROR(IF(AND(ISNUMBER(F3444),ISNUMBER(H3444)),F3444-H3444,""),"")</f>
        <v/>
      </c>
      <c r="J3444" s="114" t="n"/>
      <c r="K3444" s="139">
        <f>IFERROR(IF(H3444&gt;0,H3444*IF(OR(C3444="Alpha",B3444="Alpha"),$C$9,$C$8),""),"")</f>
        <v/>
      </c>
      <c r="L3444" s="139">
        <f>IFERROR(IF(ISNUMBER(F3444),F3444-IF(ISNUMBER(K3444),K3444,0),""),"")</f>
        <v/>
      </c>
    </row>
    <row r="3445" ht="24" customHeight="1" s="63">
      <c r="E3445" s="139" t="n"/>
      <c r="F3445" s="139" t="n"/>
      <c r="G3445" s="140">
        <f>IFERROR(IF(E3445&gt;0,(F3445/E3445)*1000,""),"")</f>
        <v/>
      </c>
      <c r="H3445" s="139">
        <f>IFERROR(IF(E3445&gt;0,E3445*IF(ISNUMBER(J3445),J3445,IF(OR(C3445="Alpha",B3445="Alpha"),$C$7,IF(C3445="Futures",$C$6,$C$5))),""),"")</f>
        <v/>
      </c>
      <c r="I3445" s="139">
        <f>IFERROR(IF(AND(ISNUMBER(F3445),ISNUMBER(H3445)),F3445-H3445,""),"")</f>
        <v/>
      </c>
      <c r="J3445" s="114" t="n"/>
      <c r="K3445" s="139">
        <f>IFERROR(IF(H3445&gt;0,H3445*IF(OR(C3445="Alpha",B3445="Alpha"),$C$9,$C$8),""),"")</f>
        <v/>
      </c>
      <c r="L3445" s="139">
        <f>IFERROR(IF(ISNUMBER(F3445),F3445-IF(ISNUMBER(K3445),K3445,0),""),"")</f>
        <v/>
      </c>
    </row>
    <row r="3446" ht="24" customHeight="1" s="63">
      <c r="E3446" s="139" t="n"/>
      <c r="F3446" s="139" t="n"/>
      <c r="G3446" s="140">
        <f>IFERROR(IF(E3446&gt;0,(F3446/E3446)*1000,""),"")</f>
        <v/>
      </c>
      <c r="H3446" s="139">
        <f>IFERROR(IF(E3446&gt;0,E3446*IF(ISNUMBER(J3446),J3446,IF(OR(C3446="Alpha",B3446="Alpha"),$C$7,IF(C3446="Futures",$C$6,$C$5))),""),"")</f>
        <v/>
      </c>
      <c r="I3446" s="139">
        <f>IFERROR(IF(AND(ISNUMBER(F3446),ISNUMBER(H3446)),F3446-H3446,""),"")</f>
        <v/>
      </c>
      <c r="J3446" s="114" t="n"/>
      <c r="K3446" s="139">
        <f>IFERROR(IF(H3446&gt;0,H3446*IF(OR(C3446="Alpha",B3446="Alpha"),$C$9,$C$8),""),"")</f>
        <v/>
      </c>
      <c r="L3446" s="139">
        <f>IFERROR(IF(ISNUMBER(F3446),F3446-IF(ISNUMBER(K3446),K3446,0),""),"")</f>
        <v/>
      </c>
    </row>
    <row r="3447" ht="24" customHeight="1" s="63">
      <c r="E3447" s="139" t="n"/>
      <c r="F3447" s="139" t="n"/>
      <c r="G3447" s="140">
        <f>IFERROR(IF(E3447&gt;0,(F3447/E3447)*1000,""),"")</f>
        <v/>
      </c>
      <c r="H3447" s="139">
        <f>IFERROR(IF(E3447&gt;0,E3447*IF(ISNUMBER(J3447),J3447,IF(OR(C3447="Alpha",B3447="Alpha"),$C$7,IF(C3447="Futures",$C$6,$C$5))),""),"")</f>
        <v/>
      </c>
      <c r="I3447" s="139">
        <f>IFERROR(IF(AND(ISNUMBER(F3447),ISNUMBER(H3447)),F3447-H3447,""),"")</f>
        <v/>
      </c>
      <c r="J3447" s="114" t="n"/>
      <c r="K3447" s="139">
        <f>IFERROR(IF(H3447&gt;0,H3447*IF(OR(C3447="Alpha",B3447="Alpha"),$C$9,$C$8),""),"")</f>
        <v/>
      </c>
      <c r="L3447" s="139">
        <f>IFERROR(IF(ISNUMBER(F3447),F3447-IF(ISNUMBER(K3447),K3447,0),""),"")</f>
        <v/>
      </c>
    </row>
    <row r="3448" ht="24" customHeight="1" s="63">
      <c r="E3448" s="139" t="n"/>
      <c r="F3448" s="139" t="n"/>
      <c r="G3448" s="140">
        <f>IFERROR(IF(E3448&gt;0,(F3448/E3448)*1000,""),"")</f>
        <v/>
      </c>
      <c r="H3448" s="139">
        <f>IFERROR(IF(E3448&gt;0,E3448*IF(ISNUMBER(J3448),J3448,IF(OR(C3448="Alpha",B3448="Alpha"),$C$7,IF(C3448="Futures",$C$6,$C$5))),""),"")</f>
        <v/>
      </c>
      <c r="I3448" s="139">
        <f>IFERROR(IF(AND(ISNUMBER(F3448),ISNUMBER(H3448)),F3448-H3448,""),"")</f>
        <v/>
      </c>
      <c r="J3448" s="114" t="n"/>
      <c r="K3448" s="139">
        <f>IFERROR(IF(H3448&gt;0,H3448*IF(OR(C3448="Alpha",B3448="Alpha"),$C$9,$C$8),""),"")</f>
        <v/>
      </c>
      <c r="L3448" s="139">
        <f>IFERROR(IF(ISNUMBER(F3448),F3448-IF(ISNUMBER(K3448),K3448,0),""),"")</f>
        <v/>
      </c>
    </row>
    <row r="3449" ht="24" customHeight="1" s="63">
      <c r="E3449" s="139" t="n"/>
      <c r="F3449" s="139" t="n"/>
      <c r="G3449" s="140">
        <f>IFERROR(IF(E3449&gt;0,(F3449/E3449)*1000,""),"")</f>
        <v/>
      </c>
      <c r="H3449" s="139">
        <f>IFERROR(IF(E3449&gt;0,E3449*IF(ISNUMBER(J3449),J3449,IF(OR(C3449="Alpha",B3449="Alpha"),$C$7,IF(C3449="Futures",$C$6,$C$5))),""),"")</f>
        <v/>
      </c>
      <c r="I3449" s="139">
        <f>IFERROR(IF(AND(ISNUMBER(F3449),ISNUMBER(H3449)),F3449-H3449,""),"")</f>
        <v/>
      </c>
      <c r="J3449" s="114" t="n"/>
      <c r="K3449" s="139">
        <f>IFERROR(IF(H3449&gt;0,H3449*IF(OR(C3449="Alpha",B3449="Alpha"),$C$9,$C$8),""),"")</f>
        <v/>
      </c>
      <c r="L3449" s="139">
        <f>IFERROR(IF(ISNUMBER(F3449),F3449-IF(ISNUMBER(K3449),K3449,0),""),"")</f>
        <v/>
      </c>
    </row>
    <row r="3450" ht="24" customHeight="1" s="63">
      <c r="E3450" s="139" t="n"/>
      <c r="F3450" s="139" t="n"/>
      <c r="G3450" s="140">
        <f>IFERROR(IF(E3450&gt;0,(F3450/E3450)*1000,""),"")</f>
        <v/>
      </c>
      <c r="H3450" s="139">
        <f>IFERROR(IF(E3450&gt;0,E3450*IF(ISNUMBER(J3450),J3450,IF(OR(C3450="Alpha",B3450="Alpha"),$C$7,IF(C3450="Futures",$C$6,$C$5))),""),"")</f>
        <v/>
      </c>
      <c r="I3450" s="139">
        <f>IFERROR(IF(AND(ISNUMBER(F3450),ISNUMBER(H3450)),F3450-H3450,""),"")</f>
        <v/>
      </c>
      <c r="J3450" s="114" t="n"/>
      <c r="K3450" s="139">
        <f>IFERROR(IF(H3450&gt;0,H3450*IF(OR(C3450="Alpha",B3450="Alpha"),$C$9,$C$8),""),"")</f>
        <v/>
      </c>
      <c r="L3450" s="139">
        <f>IFERROR(IF(ISNUMBER(F3450),F3450-IF(ISNUMBER(K3450),K3450,0),""),"")</f>
        <v/>
      </c>
    </row>
    <row r="3451" ht="24" customHeight="1" s="63">
      <c r="E3451" s="139" t="n"/>
      <c r="F3451" s="139" t="n"/>
      <c r="G3451" s="140">
        <f>IFERROR(IF(E3451&gt;0,(F3451/E3451)*1000,""),"")</f>
        <v/>
      </c>
      <c r="H3451" s="139">
        <f>IFERROR(IF(E3451&gt;0,E3451*IF(ISNUMBER(J3451),J3451,IF(OR(C3451="Alpha",B3451="Alpha"),$C$7,IF(C3451="Futures",$C$6,$C$5))),""),"")</f>
        <v/>
      </c>
      <c r="I3451" s="139">
        <f>IFERROR(IF(AND(ISNUMBER(F3451),ISNUMBER(H3451)),F3451-H3451,""),"")</f>
        <v/>
      </c>
      <c r="J3451" s="114" t="n"/>
      <c r="K3451" s="139">
        <f>IFERROR(IF(H3451&gt;0,H3451*IF(OR(C3451="Alpha",B3451="Alpha"),$C$9,$C$8),""),"")</f>
        <v/>
      </c>
      <c r="L3451" s="139">
        <f>IFERROR(IF(ISNUMBER(F3451),F3451-IF(ISNUMBER(K3451),K3451,0),""),"")</f>
        <v/>
      </c>
    </row>
    <row r="3452" ht="24" customHeight="1" s="63">
      <c r="E3452" s="139" t="n"/>
      <c r="F3452" s="139" t="n"/>
      <c r="G3452" s="140">
        <f>IFERROR(IF(E3452&gt;0,(F3452/E3452)*1000,""),"")</f>
        <v/>
      </c>
      <c r="H3452" s="139">
        <f>IFERROR(IF(E3452&gt;0,E3452*IF(ISNUMBER(J3452),J3452,IF(OR(C3452="Alpha",B3452="Alpha"),$C$7,IF(C3452="Futures",$C$6,$C$5))),""),"")</f>
        <v/>
      </c>
      <c r="I3452" s="139">
        <f>IFERROR(IF(AND(ISNUMBER(F3452),ISNUMBER(H3452)),F3452-H3452,""),"")</f>
        <v/>
      </c>
      <c r="J3452" s="114" t="n"/>
      <c r="K3452" s="139">
        <f>IFERROR(IF(H3452&gt;0,H3452*IF(OR(C3452="Alpha",B3452="Alpha"),$C$9,$C$8),""),"")</f>
        <v/>
      </c>
      <c r="L3452" s="139">
        <f>IFERROR(IF(ISNUMBER(F3452),F3452-IF(ISNUMBER(K3452),K3452,0),""),"")</f>
        <v/>
      </c>
    </row>
    <row r="3453" ht="24" customHeight="1" s="63">
      <c r="E3453" s="139" t="n"/>
      <c r="F3453" s="139" t="n"/>
      <c r="G3453" s="140">
        <f>IFERROR(IF(E3453&gt;0,(F3453/E3453)*1000,""),"")</f>
        <v/>
      </c>
      <c r="H3453" s="139">
        <f>IFERROR(IF(E3453&gt;0,E3453*IF(ISNUMBER(J3453),J3453,IF(OR(C3453="Alpha",B3453="Alpha"),$C$7,IF(C3453="Futures",$C$6,$C$5))),""),"")</f>
        <v/>
      </c>
      <c r="I3453" s="139">
        <f>IFERROR(IF(AND(ISNUMBER(F3453),ISNUMBER(H3453)),F3453-H3453,""),"")</f>
        <v/>
      </c>
      <c r="J3453" s="114" t="n"/>
      <c r="K3453" s="139">
        <f>IFERROR(IF(H3453&gt;0,H3453*IF(OR(C3453="Alpha",B3453="Alpha"),$C$9,$C$8),""),"")</f>
        <v/>
      </c>
      <c r="L3453" s="139">
        <f>IFERROR(IF(ISNUMBER(F3453),F3453-IF(ISNUMBER(K3453),K3453,0),""),"")</f>
        <v/>
      </c>
    </row>
    <row r="3454" ht="24" customHeight="1" s="63">
      <c r="E3454" s="139" t="n"/>
      <c r="F3454" s="139" t="n"/>
      <c r="G3454" s="140">
        <f>IFERROR(IF(E3454&gt;0,(F3454/E3454)*1000,""),"")</f>
        <v/>
      </c>
      <c r="H3454" s="139">
        <f>IFERROR(IF(E3454&gt;0,E3454*IF(ISNUMBER(J3454),J3454,IF(OR(C3454="Alpha",B3454="Alpha"),$C$7,IF(C3454="Futures",$C$6,$C$5))),""),"")</f>
        <v/>
      </c>
      <c r="I3454" s="139">
        <f>IFERROR(IF(AND(ISNUMBER(F3454),ISNUMBER(H3454)),F3454-H3454,""),"")</f>
        <v/>
      </c>
      <c r="J3454" s="114" t="n"/>
      <c r="K3454" s="139">
        <f>IFERROR(IF(H3454&gt;0,H3454*IF(OR(C3454="Alpha",B3454="Alpha"),$C$9,$C$8),""),"")</f>
        <v/>
      </c>
      <c r="L3454" s="139">
        <f>IFERROR(IF(ISNUMBER(F3454),F3454-IF(ISNUMBER(K3454),K3454,0),""),"")</f>
        <v/>
      </c>
    </row>
    <row r="3455" ht="24" customHeight="1" s="63">
      <c r="E3455" s="139" t="n"/>
      <c r="F3455" s="139" t="n"/>
      <c r="G3455" s="140">
        <f>IFERROR(IF(E3455&gt;0,(F3455/E3455)*1000,""),"")</f>
        <v/>
      </c>
      <c r="H3455" s="139">
        <f>IFERROR(IF(E3455&gt;0,E3455*IF(ISNUMBER(J3455),J3455,IF(OR(C3455="Alpha",B3455="Alpha"),$C$7,IF(C3455="Futures",$C$6,$C$5))),""),"")</f>
        <v/>
      </c>
      <c r="I3455" s="139">
        <f>IFERROR(IF(AND(ISNUMBER(F3455),ISNUMBER(H3455)),F3455-H3455,""),"")</f>
        <v/>
      </c>
      <c r="J3455" s="114" t="n"/>
      <c r="K3455" s="139">
        <f>IFERROR(IF(H3455&gt;0,H3455*IF(OR(C3455="Alpha",B3455="Alpha"),$C$9,$C$8),""),"")</f>
        <v/>
      </c>
      <c r="L3455" s="139">
        <f>IFERROR(IF(ISNUMBER(F3455),F3455-IF(ISNUMBER(K3455),K3455,0),""),"")</f>
        <v/>
      </c>
    </row>
    <row r="3456" ht="24" customHeight="1" s="63">
      <c r="E3456" s="139" t="n"/>
      <c r="F3456" s="139" t="n"/>
      <c r="G3456" s="140">
        <f>IFERROR(IF(E3456&gt;0,(F3456/E3456)*1000,""),"")</f>
        <v/>
      </c>
      <c r="H3456" s="139">
        <f>IFERROR(IF(E3456&gt;0,E3456*IF(ISNUMBER(J3456),J3456,IF(OR(C3456="Alpha",B3456="Alpha"),$C$7,IF(C3456="Futures",$C$6,$C$5))),""),"")</f>
        <v/>
      </c>
      <c r="I3456" s="139">
        <f>IFERROR(IF(AND(ISNUMBER(F3456),ISNUMBER(H3456)),F3456-H3456,""),"")</f>
        <v/>
      </c>
      <c r="J3456" s="114" t="n"/>
      <c r="K3456" s="139">
        <f>IFERROR(IF(H3456&gt;0,H3456*IF(OR(C3456="Alpha",B3456="Alpha"),$C$9,$C$8),""),"")</f>
        <v/>
      </c>
      <c r="L3456" s="139">
        <f>IFERROR(IF(ISNUMBER(F3456),F3456-IF(ISNUMBER(K3456),K3456,0),""),"")</f>
        <v/>
      </c>
    </row>
    <row r="3457" ht="24" customHeight="1" s="63">
      <c r="E3457" s="139" t="n"/>
      <c r="F3457" s="139" t="n"/>
      <c r="G3457" s="140">
        <f>IFERROR(IF(E3457&gt;0,(F3457/E3457)*1000,""),"")</f>
        <v/>
      </c>
      <c r="H3457" s="139">
        <f>IFERROR(IF(E3457&gt;0,E3457*IF(ISNUMBER(J3457),J3457,IF(OR(C3457="Alpha",B3457="Alpha"),$C$7,IF(C3457="Futures",$C$6,$C$5))),""),"")</f>
        <v/>
      </c>
      <c r="I3457" s="139">
        <f>IFERROR(IF(AND(ISNUMBER(F3457),ISNUMBER(H3457)),F3457-H3457,""),"")</f>
        <v/>
      </c>
      <c r="J3457" s="114" t="n"/>
      <c r="K3457" s="139">
        <f>IFERROR(IF(H3457&gt;0,H3457*IF(OR(C3457="Alpha",B3457="Alpha"),$C$9,$C$8),""),"")</f>
        <v/>
      </c>
      <c r="L3457" s="139">
        <f>IFERROR(IF(ISNUMBER(F3457),F3457-IF(ISNUMBER(K3457),K3457,0),""),"")</f>
        <v/>
      </c>
    </row>
    <row r="3458" ht="24" customHeight="1" s="63">
      <c r="E3458" s="139" t="n"/>
      <c r="F3458" s="139" t="n"/>
      <c r="G3458" s="140">
        <f>IFERROR(IF(E3458&gt;0,(F3458/E3458)*1000,""),"")</f>
        <v/>
      </c>
      <c r="H3458" s="139">
        <f>IFERROR(IF(E3458&gt;0,E3458*IF(ISNUMBER(J3458),J3458,IF(OR(C3458="Alpha",B3458="Alpha"),$C$7,IF(C3458="Futures",$C$6,$C$5))),""),"")</f>
        <v/>
      </c>
      <c r="I3458" s="139">
        <f>IFERROR(IF(AND(ISNUMBER(F3458),ISNUMBER(H3458)),F3458-H3458,""),"")</f>
        <v/>
      </c>
      <c r="J3458" s="114" t="n"/>
      <c r="K3458" s="139">
        <f>IFERROR(IF(H3458&gt;0,H3458*IF(OR(C3458="Alpha",B3458="Alpha"),$C$9,$C$8),""),"")</f>
        <v/>
      </c>
      <c r="L3458" s="139">
        <f>IFERROR(IF(ISNUMBER(F3458),F3458-IF(ISNUMBER(K3458),K3458,0),""),"")</f>
        <v/>
      </c>
    </row>
    <row r="3459" ht="24" customHeight="1" s="63">
      <c r="E3459" s="139" t="n"/>
      <c r="F3459" s="139" t="n"/>
      <c r="G3459" s="140">
        <f>IFERROR(IF(E3459&gt;0,(F3459/E3459)*1000,""),"")</f>
        <v/>
      </c>
      <c r="H3459" s="139">
        <f>IFERROR(IF(E3459&gt;0,E3459*IF(ISNUMBER(J3459),J3459,IF(OR(C3459="Alpha",B3459="Alpha"),$C$7,IF(C3459="Futures",$C$6,$C$5))),""),"")</f>
        <v/>
      </c>
      <c r="I3459" s="139">
        <f>IFERROR(IF(AND(ISNUMBER(F3459),ISNUMBER(H3459)),F3459-H3459,""),"")</f>
        <v/>
      </c>
      <c r="J3459" s="114" t="n"/>
      <c r="K3459" s="139">
        <f>IFERROR(IF(H3459&gt;0,H3459*IF(OR(C3459="Alpha",B3459="Alpha"),$C$9,$C$8),""),"")</f>
        <v/>
      </c>
      <c r="L3459" s="139">
        <f>IFERROR(IF(ISNUMBER(F3459),F3459-IF(ISNUMBER(K3459),K3459,0),""),"")</f>
        <v/>
      </c>
    </row>
    <row r="3460" ht="24" customHeight="1" s="63">
      <c r="E3460" s="139" t="n"/>
      <c r="F3460" s="139" t="n"/>
      <c r="G3460" s="140">
        <f>IFERROR(IF(E3460&gt;0,(F3460/E3460)*1000,""),"")</f>
        <v/>
      </c>
      <c r="H3460" s="139">
        <f>IFERROR(IF(E3460&gt;0,E3460*IF(ISNUMBER(J3460),J3460,IF(OR(C3460="Alpha",B3460="Alpha"),$C$7,IF(C3460="Futures",$C$6,$C$5))),""),"")</f>
        <v/>
      </c>
      <c r="I3460" s="139">
        <f>IFERROR(IF(AND(ISNUMBER(F3460),ISNUMBER(H3460)),F3460-H3460,""),"")</f>
        <v/>
      </c>
      <c r="J3460" s="114" t="n"/>
      <c r="K3460" s="139">
        <f>IFERROR(IF(H3460&gt;0,H3460*IF(OR(C3460="Alpha",B3460="Alpha"),$C$9,$C$8),""),"")</f>
        <v/>
      </c>
      <c r="L3460" s="139">
        <f>IFERROR(IF(ISNUMBER(F3460),F3460-IF(ISNUMBER(K3460),K3460,0),""),"")</f>
        <v/>
      </c>
    </row>
    <row r="3461" ht="24" customHeight="1" s="63">
      <c r="E3461" s="139" t="n"/>
      <c r="F3461" s="139" t="n"/>
      <c r="G3461" s="140">
        <f>IFERROR(IF(E3461&gt;0,(F3461/E3461)*1000,""),"")</f>
        <v/>
      </c>
      <c r="H3461" s="139">
        <f>IFERROR(IF(E3461&gt;0,E3461*IF(ISNUMBER(J3461),J3461,IF(OR(C3461="Alpha",B3461="Alpha"),$C$7,IF(C3461="Futures",$C$6,$C$5))),""),"")</f>
        <v/>
      </c>
      <c r="I3461" s="139">
        <f>IFERROR(IF(AND(ISNUMBER(F3461),ISNUMBER(H3461)),F3461-H3461,""),"")</f>
        <v/>
      </c>
      <c r="J3461" s="114" t="n"/>
      <c r="K3461" s="139">
        <f>IFERROR(IF(H3461&gt;0,H3461*IF(OR(C3461="Alpha",B3461="Alpha"),$C$9,$C$8),""),"")</f>
        <v/>
      </c>
      <c r="L3461" s="139">
        <f>IFERROR(IF(ISNUMBER(F3461),F3461-IF(ISNUMBER(K3461),K3461,0),""),"")</f>
        <v/>
      </c>
    </row>
    <row r="3462" ht="24" customHeight="1" s="63">
      <c r="E3462" s="139" t="n"/>
      <c r="F3462" s="139" t="n"/>
      <c r="G3462" s="140">
        <f>IFERROR(IF(E3462&gt;0,(F3462/E3462)*1000,""),"")</f>
        <v/>
      </c>
      <c r="H3462" s="139">
        <f>IFERROR(IF(E3462&gt;0,E3462*IF(ISNUMBER(J3462),J3462,IF(OR(C3462="Alpha",B3462="Alpha"),$C$7,IF(C3462="Futures",$C$6,$C$5))),""),"")</f>
        <v/>
      </c>
      <c r="I3462" s="139">
        <f>IFERROR(IF(AND(ISNUMBER(F3462),ISNUMBER(H3462)),F3462-H3462,""),"")</f>
        <v/>
      </c>
      <c r="J3462" s="114" t="n"/>
      <c r="K3462" s="139">
        <f>IFERROR(IF(H3462&gt;0,H3462*IF(OR(C3462="Alpha",B3462="Alpha"),$C$9,$C$8),""),"")</f>
        <v/>
      </c>
      <c r="L3462" s="139">
        <f>IFERROR(IF(ISNUMBER(F3462),F3462-IF(ISNUMBER(K3462),K3462,0),""),"")</f>
        <v/>
      </c>
    </row>
    <row r="3463" ht="24" customHeight="1" s="63">
      <c r="E3463" s="139" t="n"/>
      <c r="F3463" s="139" t="n"/>
      <c r="G3463" s="140">
        <f>IFERROR(IF(E3463&gt;0,(F3463/E3463)*1000,""),"")</f>
        <v/>
      </c>
      <c r="H3463" s="139">
        <f>IFERROR(IF(E3463&gt;0,E3463*IF(ISNUMBER(J3463),J3463,IF(OR(C3463="Alpha",B3463="Alpha"),$C$7,IF(C3463="Futures",$C$6,$C$5))),""),"")</f>
        <v/>
      </c>
      <c r="I3463" s="139">
        <f>IFERROR(IF(AND(ISNUMBER(F3463),ISNUMBER(H3463)),F3463-H3463,""),"")</f>
        <v/>
      </c>
      <c r="J3463" s="114" t="n"/>
      <c r="K3463" s="139">
        <f>IFERROR(IF(H3463&gt;0,H3463*IF(OR(C3463="Alpha",B3463="Alpha"),$C$9,$C$8),""),"")</f>
        <v/>
      </c>
      <c r="L3463" s="139">
        <f>IFERROR(IF(ISNUMBER(F3463),F3463-IF(ISNUMBER(K3463),K3463,0),""),"")</f>
        <v/>
      </c>
    </row>
    <row r="3464" ht="24" customHeight="1" s="63">
      <c r="E3464" s="139" t="n"/>
      <c r="F3464" s="139" t="n"/>
      <c r="G3464" s="140">
        <f>IFERROR(IF(E3464&gt;0,(F3464/E3464)*1000,""),"")</f>
        <v/>
      </c>
      <c r="H3464" s="139">
        <f>IFERROR(IF(E3464&gt;0,E3464*IF(ISNUMBER(J3464),J3464,IF(OR(C3464="Alpha",B3464="Alpha"),$C$7,IF(C3464="Futures",$C$6,$C$5))),""),"")</f>
        <v/>
      </c>
      <c r="I3464" s="139">
        <f>IFERROR(IF(AND(ISNUMBER(F3464),ISNUMBER(H3464)),F3464-H3464,""),"")</f>
        <v/>
      </c>
      <c r="J3464" s="114" t="n"/>
      <c r="K3464" s="139">
        <f>IFERROR(IF(H3464&gt;0,H3464*IF(OR(C3464="Alpha",B3464="Alpha"),$C$9,$C$8),""),"")</f>
        <v/>
      </c>
      <c r="L3464" s="139">
        <f>IFERROR(IF(ISNUMBER(F3464),F3464-IF(ISNUMBER(K3464),K3464,0),""),"")</f>
        <v/>
      </c>
    </row>
    <row r="3465" ht="24" customHeight="1" s="63">
      <c r="E3465" s="139" t="n"/>
      <c r="F3465" s="139" t="n"/>
      <c r="G3465" s="140">
        <f>IFERROR(IF(E3465&gt;0,(F3465/E3465)*1000,""),"")</f>
        <v/>
      </c>
      <c r="H3465" s="139">
        <f>IFERROR(IF(E3465&gt;0,E3465*IF(ISNUMBER(J3465),J3465,IF(OR(C3465="Alpha",B3465="Alpha"),$C$7,IF(C3465="Futures",$C$6,$C$5))),""),"")</f>
        <v/>
      </c>
      <c r="I3465" s="139">
        <f>IFERROR(IF(AND(ISNUMBER(F3465),ISNUMBER(H3465)),F3465-H3465,""),"")</f>
        <v/>
      </c>
      <c r="J3465" s="114" t="n"/>
      <c r="K3465" s="139">
        <f>IFERROR(IF(H3465&gt;0,H3465*IF(OR(C3465="Alpha",B3465="Alpha"),$C$9,$C$8),""),"")</f>
        <v/>
      </c>
      <c r="L3465" s="139">
        <f>IFERROR(IF(ISNUMBER(F3465),F3465-IF(ISNUMBER(K3465),K3465,0),""),"")</f>
        <v/>
      </c>
    </row>
    <row r="3466" ht="24" customHeight="1" s="63">
      <c r="E3466" s="139" t="n"/>
      <c r="F3466" s="139" t="n"/>
      <c r="G3466" s="140">
        <f>IFERROR(IF(E3466&gt;0,(F3466/E3466)*1000,""),"")</f>
        <v/>
      </c>
      <c r="H3466" s="139">
        <f>IFERROR(IF(E3466&gt;0,E3466*IF(ISNUMBER(J3466),J3466,IF(OR(C3466="Alpha",B3466="Alpha"),$C$7,IF(C3466="Futures",$C$6,$C$5))),""),"")</f>
        <v/>
      </c>
      <c r="I3466" s="139">
        <f>IFERROR(IF(AND(ISNUMBER(F3466),ISNUMBER(H3466)),F3466-H3466,""),"")</f>
        <v/>
      </c>
      <c r="J3466" s="114" t="n"/>
      <c r="K3466" s="139">
        <f>IFERROR(IF(H3466&gt;0,H3466*IF(OR(C3466="Alpha",B3466="Alpha"),$C$9,$C$8),""),"")</f>
        <v/>
      </c>
      <c r="L3466" s="139">
        <f>IFERROR(IF(ISNUMBER(F3466),F3466-IF(ISNUMBER(K3466),K3466,0),""),"")</f>
        <v/>
      </c>
    </row>
    <row r="3467" ht="24" customHeight="1" s="63">
      <c r="E3467" s="139" t="n"/>
      <c r="F3467" s="139" t="n"/>
      <c r="G3467" s="140">
        <f>IFERROR(IF(E3467&gt;0,(F3467/E3467)*1000,""),"")</f>
        <v/>
      </c>
      <c r="H3467" s="139">
        <f>IFERROR(IF(E3467&gt;0,E3467*IF(ISNUMBER(J3467),J3467,IF(OR(C3467="Alpha",B3467="Alpha"),$C$7,IF(C3467="Futures",$C$6,$C$5))),""),"")</f>
        <v/>
      </c>
      <c r="I3467" s="139">
        <f>IFERROR(IF(AND(ISNUMBER(F3467),ISNUMBER(H3467)),F3467-H3467,""),"")</f>
        <v/>
      </c>
      <c r="J3467" s="114" t="n"/>
      <c r="K3467" s="139">
        <f>IFERROR(IF(H3467&gt;0,H3467*IF(OR(C3467="Alpha",B3467="Alpha"),$C$9,$C$8),""),"")</f>
        <v/>
      </c>
      <c r="L3467" s="139">
        <f>IFERROR(IF(ISNUMBER(F3467),F3467-IF(ISNUMBER(K3467),K3467,0),""),"")</f>
        <v/>
      </c>
    </row>
    <row r="3468" ht="24" customHeight="1" s="63">
      <c r="E3468" s="139" t="n"/>
      <c r="F3468" s="139" t="n"/>
      <c r="G3468" s="140">
        <f>IFERROR(IF(E3468&gt;0,(F3468/E3468)*1000,""),"")</f>
        <v/>
      </c>
      <c r="H3468" s="139">
        <f>IFERROR(IF(E3468&gt;0,E3468*IF(ISNUMBER(J3468),J3468,IF(OR(C3468="Alpha",B3468="Alpha"),$C$7,IF(C3468="Futures",$C$6,$C$5))),""),"")</f>
        <v/>
      </c>
      <c r="I3468" s="139">
        <f>IFERROR(IF(AND(ISNUMBER(F3468),ISNUMBER(H3468)),F3468-H3468,""),"")</f>
        <v/>
      </c>
      <c r="J3468" s="114" t="n"/>
      <c r="K3468" s="139">
        <f>IFERROR(IF(H3468&gt;0,H3468*IF(OR(C3468="Alpha",B3468="Alpha"),$C$9,$C$8),""),"")</f>
        <v/>
      </c>
      <c r="L3468" s="139">
        <f>IFERROR(IF(ISNUMBER(F3468),F3468-IF(ISNUMBER(K3468),K3468,0),""),"")</f>
        <v/>
      </c>
    </row>
    <row r="3469" ht="24" customHeight="1" s="63">
      <c r="E3469" s="139" t="n"/>
      <c r="F3469" s="139" t="n"/>
      <c r="G3469" s="140">
        <f>IFERROR(IF(E3469&gt;0,(F3469/E3469)*1000,""),"")</f>
        <v/>
      </c>
      <c r="H3469" s="139">
        <f>IFERROR(IF(E3469&gt;0,E3469*IF(ISNUMBER(J3469),J3469,IF(OR(C3469="Alpha",B3469="Alpha"),$C$7,IF(C3469="Futures",$C$6,$C$5))),""),"")</f>
        <v/>
      </c>
      <c r="I3469" s="139">
        <f>IFERROR(IF(AND(ISNUMBER(F3469),ISNUMBER(H3469)),F3469-H3469,""),"")</f>
        <v/>
      </c>
      <c r="J3469" s="114" t="n"/>
      <c r="K3469" s="139">
        <f>IFERROR(IF(H3469&gt;0,H3469*IF(OR(C3469="Alpha",B3469="Alpha"),$C$9,$C$8),""),"")</f>
        <v/>
      </c>
      <c r="L3469" s="139">
        <f>IFERROR(IF(ISNUMBER(F3469),F3469-IF(ISNUMBER(K3469),K3469,0),""),"")</f>
        <v/>
      </c>
    </row>
    <row r="3470" ht="24" customHeight="1" s="63">
      <c r="E3470" s="139" t="n"/>
      <c r="F3470" s="139" t="n"/>
      <c r="G3470" s="140">
        <f>IFERROR(IF(E3470&gt;0,(F3470/E3470)*1000,""),"")</f>
        <v/>
      </c>
      <c r="H3470" s="139">
        <f>IFERROR(IF(E3470&gt;0,E3470*IF(ISNUMBER(J3470),J3470,IF(OR(C3470="Alpha",B3470="Alpha"),$C$7,IF(C3470="Futures",$C$6,$C$5))),""),"")</f>
        <v/>
      </c>
      <c r="I3470" s="139">
        <f>IFERROR(IF(AND(ISNUMBER(F3470),ISNUMBER(H3470)),F3470-H3470,""),"")</f>
        <v/>
      </c>
      <c r="J3470" s="114" t="n"/>
      <c r="K3470" s="139">
        <f>IFERROR(IF(H3470&gt;0,H3470*IF(OR(C3470="Alpha",B3470="Alpha"),$C$9,$C$8),""),"")</f>
        <v/>
      </c>
      <c r="L3470" s="139">
        <f>IFERROR(IF(ISNUMBER(F3470),F3470-IF(ISNUMBER(K3470),K3470,0),""),"")</f>
        <v/>
      </c>
    </row>
    <row r="3471" ht="24" customHeight="1" s="63">
      <c r="E3471" s="139" t="n"/>
      <c r="F3471" s="139" t="n"/>
      <c r="G3471" s="140">
        <f>IFERROR(IF(E3471&gt;0,(F3471/E3471)*1000,""),"")</f>
        <v/>
      </c>
      <c r="H3471" s="139">
        <f>IFERROR(IF(E3471&gt;0,E3471*IF(ISNUMBER(J3471),J3471,IF(OR(C3471="Alpha",B3471="Alpha"),$C$7,IF(C3471="Futures",$C$6,$C$5))),""),"")</f>
        <v/>
      </c>
      <c r="I3471" s="139">
        <f>IFERROR(IF(AND(ISNUMBER(F3471),ISNUMBER(H3471)),F3471-H3471,""),"")</f>
        <v/>
      </c>
      <c r="J3471" s="114" t="n"/>
      <c r="K3471" s="139">
        <f>IFERROR(IF(H3471&gt;0,H3471*IF(OR(C3471="Alpha",B3471="Alpha"),$C$9,$C$8),""),"")</f>
        <v/>
      </c>
      <c r="L3471" s="139">
        <f>IFERROR(IF(ISNUMBER(F3471),F3471-IF(ISNUMBER(K3471),K3471,0),""),"")</f>
        <v/>
      </c>
    </row>
    <row r="3472" ht="24" customHeight="1" s="63">
      <c r="E3472" s="139" t="n"/>
      <c r="F3472" s="139" t="n"/>
      <c r="G3472" s="140">
        <f>IFERROR(IF(E3472&gt;0,(F3472/E3472)*1000,""),"")</f>
        <v/>
      </c>
      <c r="H3472" s="139">
        <f>IFERROR(IF(E3472&gt;0,E3472*IF(ISNUMBER(J3472),J3472,IF(OR(C3472="Alpha",B3472="Alpha"),$C$7,IF(C3472="Futures",$C$6,$C$5))),""),"")</f>
        <v/>
      </c>
      <c r="I3472" s="139">
        <f>IFERROR(IF(AND(ISNUMBER(F3472),ISNUMBER(H3472)),F3472-H3472,""),"")</f>
        <v/>
      </c>
      <c r="J3472" s="114" t="n"/>
      <c r="K3472" s="139">
        <f>IFERROR(IF(H3472&gt;0,H3472*IF(OR(C3472="Alpha",B3472="Alpha"),$C$9,$C$8),""),"")</f>
        <v/>
      </c>
      <c r="L3472" s="139">
        <f>IFERROR(IF(ISNUMBER(F3472),F3472-IF(ISNUMBER(K3472),K3472,0),""),"")</f>
        <v/>
      </c>
    </row>
    <row r="3473" ht="24" customHeight="1" s="63">
      <c r="E3473" s="139" t="n"/>
      <c r="F3473" s="139" t="n"/>
      <c r="G3473" s="140">
        <f>IFERROR(IF(E3473&gt;0,(F3473/E3473)*1000,""),"")</f>
        <v/>
      </c>
      <c r="H3473" s="139">
        <f>IFERROR(IF(E3473&gt;0,E3473*IF(ISNUMBER(J3473),J3473,IF(OR(C3473="Alpha",B3473="Alpha"),$C$7,IF(C3473="Futures",$C$6,$C$5))),""),"")</f>
        <v/>
      </c>
      <c r="I3473" s="139">
        <f>IFERROR(IF(AND(ISNUMBER(F3473),ISNUMBER(H3473)),F3473-H3473,""),"")</f>
        <v/>
      </c>
      <c r="J3473" s="114" t="n"/>
      <c r="K3473" s="139">
        <f>IFERROR(IF(H3473&gt;0,H3473*IF(OR(C3473="Alpha",B3473="Alpha"),$C$9,$C$8),""),"")</f>
        <v/>
      </c>
      <c r="L3473" s="139">
        <f>IFERROR(IF(ISNUMBER(F3473),F3473-IF(ISNUMBER(K3473),K3473,0),""),"")</f>
        <v/>
      </c>
    </row>
    <row r="3474" ht="24" customHeight="1" s="63">
      <c r="E3474" s="139" t="n"/>
      <c r="F3474" s="139" t="n"/>
      <c r="G3474" s="140">
        <f>IFERROR(IF(E3474&gt;0,(F3474/E3474)*1000,""),"")</f>
        <v/>
      </c>
      <c r="H3474" s="139">
        <f>IFERROR(IF(E3474&gt;0,E3474*IF(ISNUMBER(J3474),J3474,IF(OR(C3474="Alpha",B3474="Alpha"),$C$7,IF(C3474="Futures",$C$6,$C$5))),""),"")</f>
        <v/>
      </c>
      <c r="I3474" s="139">
        <f>IFERROR(IF(AND(ISNUMBER(F3474),ISNUMBER(H3474)),F3474-H3474,""),"")</f>
        <v/>
      </c>
      <c r="J3474" s="114" t="n"/>
      <c r="K3474" s="139">
        <f>IFERROR(IF(H3474&gt;0,H3474*IF(OR(C3474="Alpha",B3474="Alpha"),$C$9,$C$8),""),"")</f>
        <v/>
      </c>
      <c r="L3474" s="139">
        <f>IFERROR(IF(ISNUMBER(F3474),F3474-IF(ISNUMBER(K3474),K3474,0),""),"")</f>
        <v/>
      </c>
    </row>
    <row r="3475" ht="24" customHeight="1" s="63">
      <c r="E3475" s="139" t="n"/>
      <c r="F3475" s="139" t="n"/>
      <c r="G3475" s="140">
        <f>IFERROR(IF(E3475&gt;0,(F3475/E3475)*1000,""),"")</f>
        <v/>
      </c>
      <c r="H3475" s="139">
        <f>IFERROR(IF(E3475&gt;0,E3475*IF(ISNUMBER(J3475),J3475,IF(OR(C3475="Alpha",B3475="Alpha"),$C$7,IF(C3475="Futures",$C$6,$C$5))),""),"")</f>
        <v/>
      </c>
      <c r="I3475" s="139">
        <f>IFERROR(IF(AND(ISNUMBER(F3475),ISNUMBER(H3475)),F3475-H3475,""),"")</f>
        <v/>
      </c>
      <c r="J3475" s="114" t="n"/>
      <c r="K3475" s="139">
        <f>IFERROR(IF(H3475&gt;0,H3475*IF(OR(C3475="Alpha",B3475="Alpha"),$C$9,$C$8),""),"")</f>
        <v/>
      </c>
      <c r="L3475" s="139">
        <f>IFERROR(IF(ISNUMBER(F3475),F3475-IF(ISNUMBER(K3475),K3475,0),""),"")</f>
        <v/>
      </c>
    </row>
    <row r="3476" ht="24" customHeight="1" s="63">
      <c r="E3476" s="139" t="n"/>
      <c r="F3476" s="139" t="n"/>
      <c r="G3476" s="140">
        <f>IFERROR(IF(E3476&gt;0,(F3476/E3476)*1000,""),"")</f>
        <v/>
      </c>
      <c r="H3476" s="139">
        <f>IFERROR(IF(E3476&gt;0,E3476*IF(ISNUMBER(J3476),J3476,IF(OR(C3476="Alpha",B3476="Alpha"),$C$7,IF(C3476="Futures",$C$6,$C$5))),""),"")</f>
        <v/>
      </c>
      <c r="I3476" s="139">
        <f>IFERROR(IF(AND(ISNUMBER(F3476),ISNUMBER(H3476)),F3476-H3476,""),"")</f>
        <v/>
      </c>
      <c r="J3476" s="114" t="n"/>
      <c r="K3476" s="139">
        <f>IFERROR(IF(H3476&gt;0,H3476*IF(OR(C3476="Alpha",B3476="Alpha"),$C$9,$C$8),""),"")</f>
        <v/>
      </c>
      <c r="L3476" s="139">
        <f>IFERROR(IF(ISNUMBER(F3476),F3476-IF(ISNUMBER(K3476),K3476,0),""),"")</f>
        <v/>
      </c>
    </row>
    <row r="3477" ht="24" customHeight="1" s="63">
      <c r="E3477" s="139" t="n"/>
      <c r="F3477" s="139" t="n"/>
      <c r="G3477" s="140">
        <f>IFERROR(IF(E3477&gt;0,(F3477/E3477)*1000,""),"")</f>
        <v/>
      </c>
      <c r="H3477" s="139">
        <f>IFERROR(IF(E3477&gt;0,E3477*IF(ISNUMBER(J3477),J3477,IF(OR(C3477="Alpha",B3477="Alpha"),$C$7,IF(C3477="Futures",$C$6,$C$5))),""),"")</f>
        <v/>
      </c>
      <c r="I3477" s="139">
        <f>IFERROR(IF(AND(ISNUMBER(F3477),ISNUMBER(H3477)),F3477-H3477,""),"")</f>
        <v/>
      </c>
      <c r="J3477" s="114" t="n"/>
      <c r="K3477" s="139">
        <f>IFERROR(IF(H3477&gt;0,H3477*IF(OR(C3477="Alpha",B3477="Alpha"),$C$9,$C$8),""),"")</f>
        <v/>
      </c>
      <c r="L3477" s="139">
        <f>IFERROR(IF(ISNUMBER(F3477),F3477-IF(ISNUMBER(K3477),K3477,0),""),"")</f>
        <v/>
      </c>
    </row>
    <row r="3478" ht="24" customHeight="1" s="63">
      <c r="E3478" s="139" t="n"/>
      <c r="F3478" s="139" t="n"/>
      <c r="G3478" s="140">
        <f>IFERROR(IF(E3478&gt;0,(F3478/E3478)*1000,""),"")</f>
        <v/>
      </c>
      <c r="H3478" s="139">
        <f>IFERROR(IF(E3478&gt;0,E3478*IF(ISNUMBER(J3478),J3478,IF(OR(C3478="Alpha",B3478="Alpha"),$C$7,IF(C3478="Futures",$C$6,$C$5))),""),"")</f>
        <v/>
      </c>
      <c r="I3478" s="139">
        <f>IFERROR(IF(AND(ISNUMBER(F3478),ISNUMBER(H3478)),F3478-H3478,""),"")</f>
        <v/>
      </c>
      <c r="J3478" s="114" t="n"/>
      <c r="K3478" s="139">
        <f>IFERROR(IF(H3478&gt;0,H3478*IF(OR(C3478="Alpha",B3478="Alpha"),$C$9,$C$8),""),"")</f>
        <v/>
      </c>
      <c r="L3478" s="139">
        <f>IFERROR(IF(ISNUMBER(F3478),F3478-IF(ISNUMBER(K3478),K3478,0),""),"")</f>
        <v/>
      </c>
    </row>
    <row r="3479" ht="24" customHeight="1" s="63">
      <c r="E3479" s="139" t="n"/>
      <c r="F3479" s="139" t="n"/>
      <c r="G3479" s="140">
        <f>IFERROR(IF(E3479&gt;0,(F3479/E3479)*1000,""),"")</f>
        <v/>
      </c>
      <c r="H3479" s="139">
        <f>IFERROR(IF(E3479&gt;0,E3479*IF(ISNUMBER(J3479),J3479,IF(OR(C3479="Alpha",B3479="Alpha"),$C$7,IF(C3479="Futures",$C$6,$C$5))),""),"")</f>
        <v/>
      </c>
      <c r="I3479" s="139">
        <f>IFERROR(IF(AND(ISNUMBER(F3479),ISNUMBER(H3479)),F3479-H3479,""),"")</f>
        <v/>
      </c>
      <c r="J3479" s="114" t="n"/>
      <c r="K3479" s="139">
        <f>IFERROR(IF(H3479&gt;0,H3479*IF(OR(C3479="Alpha",B3479="Alpha"),$C$9,$C$8),""),"")</f>
        <v/>
      </c>
      <c r="L3479" s="139">
        <f>IFERROR(IF(ISNUMBER(F3479),F3479-IF(ISNUMBER(K3479),K3479,0),""),"")</f>
        <v/>
      </c>
    </row>
    <row r="3480" ht="24" customHeight="1" s="63">
      <c r="E3480" s="139" t="n"/>
      <c r="F3480" s="139" t="n"/>
      <c r="G3480" s="140">
        <f>IFERROR(IF(E3480&gt;0,(F3480/E3480)*1000,""),"")</f>
        <v/>
      </c>
      <c r="H3480" s="139">
        <f>IFERROR(IF(E3480&gt;0,E3480*IF(ISNUMBER(J3480),J3480,IF(OR(C3480="Alpha",B3480="Alpha"),$C$7,IF(C3480="Futures",$C$6,$C$5))),""),"")</f>
        <v/>
      </c>
      <c r="I3480" s="139">
        <f>IFERROR(IF(AND(ISNUMBER(F3480),ISNUMBER(H3480)),F3480-H3480,""),"")</f>
        <v/>
      </c>
      <c r="J3480" s="114" t="n"/>
      <c r="K3480" s="139">
        <f>IFERROR(IF(H3480&gt;0,H3480*IF(OR(C3480="Alpha",B3480="Alpha"),$C$9,$C$8),""),"")</f>
        <v/>
      </c>
      <c r="L3480" s="139">
        <f>IFERROR(IF(ISNUMBER(F3480),F3480-IF(ISNUMBER(K3480),K3480,0),""),"")</f>
        <v/>
      </c>
    </row>
    <row r="3481" ht="24" customHeight="1" s="63">
      <c r="E3481" s="139" t="n"/>
      <c r="F3481" s="139" t="n"/>
      <c r="G3481" s="140">
        <f>IFERROR(IF(E3481&gt;0,(F3481/E3481)*1000,""),"")</f>
        <v/>
      </c>
      <c r="H3481" s="139">
        <f>IFERROR(IF(E3481&gt;0,E3481*IF(ISNUMBER(J3481),J3481,IF(OR(C3481="Alpha",B3481="Alpha"),$C$7,IF(C3481="Futures",$C$6,$C$5))),""),"")</f>
        <v/>
      </c>
      <c r="I3481" s="139">
        <f>IFERROR(IF(AND(ISNUMBER(F3481),ISNUMBER(H3481)),F3481-H3481,""),"")</f>
        <v/>
      </c>
      <c r="J3481" s="114" t="n"/>
      <c r="K3481" s="139">
        <f>IFERROR(IF(H3481&gt;0,H3481*IF(OR(C3481="Alpha",B3481="Alpha"),$C$9,$C$8),""),"")</f>
        <v/>
      </c>
      <c r="L3481" s="139">
        <f>IFERROR(IF(ISNUMBER(F3481),F3481-IF(ISNUMBER(K3481),K3481,0),""),"")</f>
        <v/>
      </c>
    </row>
    <row r="3482" ht="24" customHeight="1" s="63">
      <c r="E3482" s="139" t="n"/>
      <c r="F3482" s="139" t="n"/>
      <c r="G3482" s="140">
        <f>IFERROR(IF(E3482&gt;0,(F3482/E3482)*1000,""),"")</f>
        <v/>
      </c>
      <c r="H3482" s="139">
        <f>IFERROR(IF(E3482&gt;0,E3482*IF(ISNUMBER(J3482),J3482,IF(OR(C3482="Alpha",B3482="Alpha"),$C$7,IF(C3482="Futures",$C$6,$C$5))),""),"")</f>
        <v/>
      </c>
      <c r="I3482" s="139">
        <f>IFERROR(IF(AND(ISNUMBER(F3482),ISNUMBER(H3482)),F3482-H3482,""),"")</f>
        <v/>
      </c>
      <c r="J3482" s="114" t="n"/>
      <c r="K3482" s="139">
        <f>IFERROR(IF(H3482&gt;0,H3482*IF(OR(C3482="Alpha",B3482="Alpha"),$C$9,$C$8),""),"")</f>
        <v/>
      </c>
      <c r="L3482" s="139">
        <f>IFERROR(IF(ISNUMBER(F3482),F3482-IF(ISNUMBER(K3482),K3482,0),""),"")</f>
        <v/>
      </c>
    </row>
    <row r="3483" ht="24" customHeight="1" s="63">
      <c r="E3483" s="139" t="n"/>
      <c r="F3483" s="139" t="n"/>
      <c r="G3483" s="140">
        <f>IFERROR(IF(E3483&gt;0,(F3483/E3483)*1000,""),"")</f>
        <v/>
      </c>
      <c r="H3483" s="139">
        <f>IFERROR(IF(E3483&gt;0,E3483*IF(ISNUMBER(J3483),J3483,IF(OR(C3483="Alpha",B3483="Alpha"),$C$7,IF(C3483="Futures",$C$6,$C$5))),""),"")</f>
        <v/>
      </c>
      <c r="I3483" s="139">
        <f>IFERROR(IF(AND(ISNUMBER(F3483),ISNUMBER(H3483)),F3483-H3483,""),"")</f>
        <v/>
      </c>
      <c r="J3483" s="114" t="n"/>
      <c r="K3483" s="139">
        <f>IFERROR(IF(H3483&gt;0,H3483*IF(OR(C3483="Alpha",B3483="Alpha"),$C$9,$C$8),""),"")</f>
        <v/>
      </c>
      <c r="L3483" s="139">
        <f>IFERROR(IF(ISNUMBER(F3483),F3483-IF(ISNUMBER(K3483),K3483,0),""),"")</f>
        <v/>
      </c>
    </row>
    <row r="3484" ht="24" customHeight="1" s="63">
      <c r="E3484" s="139" t="n"/>
      <c r="F3484" s="139" t="n"/>
      <c r="G3484" s="140">
        <f>IFERROR(IF(E3484&gt;0,(F3484/E3484)*1000,""),"")</f>
        <v/>
      </c>
      <c r="H3484" s="139">
        <f>IFERROR(IF(E3484&gt;0,E3484*IF(ISNUMBER(J3484),J3484,IF(OR(C3484="Alpha",B3484="Alpha"),$C$7,IF(C3484="Futures",$C$6,$C$5))),""),"")</f>
        <v/>
      </c>
      <c r="I3484" s="139">
        <f>IFERROR(IF(AND(ISNUMBER(F3484),ISNUMBER(H3484)),F3484-H3484,""),"")</f>
        <v/>
      </c>
      <c r="J3484" s="114" t="n"/>
      <c r="K3484" s="139">
        <f>IFERROR(IF(H3484&gt;0,H3484*IF(OR(C3484="Alpha",B3484="Alpha"),$C$9,$C$8),""),"")</f>
        <v/>
      </c>
      <c r="L3484" s="139">
        <f>IFERROR(IF(ISNUMBER(F3484),F3484-IF(ISNUMBER(K3484),K3484,0),""),"")</f>
        <v/>
      </c>
    </row>
    <row r="3485" ht="24" customHeight="1" s="63">
      <c r="E3485" s="139" t="n"/>
      <c r="F3485" s="139" t="n"/>
      <c r="G3485" s="140">
        <f>IFERROR(IF(E3485&gt;0,(F3485/E3485)*1000,""),"")</f>
        <v/>
      </c>
      <c r="H3485" s="139">
        <f>IFERROR(IF(E3485&gt;0,E3485*IF(ISNUMBER(J3485),J3485,IF(OR(C3485="Alpha",B3485="Alpha"),$C$7,IF(C3485="Futures",$C$6,$C$5))),""),"")</f>
        <v/>
      </c>
      <c r="I3485" s="139">
        <f>IFERROR(IF(AND(ISNUMBER(F3485),ISNUMBER(H3485)),F3485-H3485,""),"")</f>
        <v/>
      </c>
      <c r="J3485" s="114" t="n"/>
      <c r="K3485" s="139">
        <f>IFERROR(IF(H3485&gt;0,H3485*IF(OR(C3485="Alpha",B3485="Alpha"),$C$9,$C$8),""),"")</f>
        <v/>
      </c>
      <c r="L3485" s="139">
        <f>IFERROR(IF(ISNUMBER(F3485),F3485-IF(ISNUMBER(K3485),K3485,0),""),"")</f>
        <v/>
      </c>
    </row>
    <row r="3486" ht="24" customHeight="1" s="63">
      <c r="E3486" s="139" t="n"/>
      <c r="F3486" s="139" t="n"/>
      <c r="G3486" s="140">
        <f>IFERROR(IF(E3486&gt;0,(F3486/E3486)*1000,""),"")</f>
        <v/>
      </c>
      <c r="H3486" s="139">
        <f>IFERROR(IF(E3486&gt;0,E3486*IF(ISNUMBER(J3486),J3486,IF(OR(C3486="Alpha",B3486="Alpha"),$C$7,IF(C3486="Futures",$C$6,$C$5))),""),"")</f>
        <v/>
      </c>
      <c r="I3486" s="139">
        <f>IFERROR(IF(AND(ISNUMBER(F3486),ISNUMBER(H3486)),F3486-H3486,""),"")</f>
        <v/>
      </c>
      <c r="J3486" s="114" t="n"/>
      <c r="K3486" s="139">
        <f>IFERROR(IF(H3486&gt;0,H3486*IF(OR(C3486="Alpha",B3486="Alpha"),$C$9,$C$8),""),"")</f>
        <v/>
      </c>
      <c r="L3486" s="139">
        <f>IFERROR(IF(ISNUMBER(F3486),F3486-IF(ISNUMBER(K3486),K3486,0),""),"")</f>
        <v/>
      </c>
    </row>
    <row r="3487" ht="24" customHeight="1" s="63">
      <c r="E3487" s="139" t="n"/>
      <c r="F3487" s="139" t="n"/>
      <c r="G3487" s="140">
        <f>IFERROR(IF(E3487&gt;0,(F3487/E3487)*1000,""),"")</f>
        <v/>
      </c>
      <c r="H3487" s="139">
        <f>IFERROR(IF(E3487&gt;0,E3487*IF(ISNUMBER(J3487),J3487,IF(OR(C3487="Alpha",B3487="Alpha"),$C$7,IF(C3487="Futures",$C$6,$C$5))),""),"")</f>
        <v/>
      </c>
      <c r="I3487" s="139">
        <f>IFERROR(IF(AND(ISNUMBER(F3487),ISNUMBER(H3487)),F3487-H3487,""),"")</f>
        <v/>
      </c>
      <c r="J3487" s="114" t="n"/>
      <c r="K3487" s="139">
        <f>IFERROR(IF(H3487&gt;0,H3487*IF(OR(C3487="Alpha",B3487="Alpha"),$C$9,$C$8),""),"")</f>
        <v/>
      </c>
      <c r="L3487" s="139">
        <f>IFERROR(IF(ISNUMBER(F3487),F3487-IF(ISNUMBER(K3487),K3487,0),""),"")</f>
        <v/>
      </c>
    </row>
    <row r="3488" ht="24" customHeight="1" s="63">
      <c r="E3488" s="139" t="n"/>
      <c r="F3488" s="139" t="n"/>
      <c r="G3488" s="140">
        <f>IFERROR(IF(E3488&gt;0,(F3488/E3488)*1000,""),"")</f>
        <v/>
      </c>
      <c r="H3488" s="139">
        <f>IFERROR(IF(E3488&gt;0,E3488*IF(ISNUMBER(J3488),J3488,IF(OR(C3488="Alpha",B3488="Alpha"),$C$7,IF(C3488="Futures",$C$6,$C$5))),""),"")</f>
        <v/>
      </c>
      <c r="I3488" s="139">
        <f>IFERROR(IF(AND(ISNUMBER(F3488),ISNUMBER(H3488)),F3488-H3488,""),"")</f>
        <v/>
      </c>
      <c r="J3488" s="114" t="n"/>
      <c r="K3488" s="139">
        <f>IFERROR(IF(H3488&gt;0,H3488*IF(OR(C3488="Alpha",B3488="Alpha"),$C$9,$C$8),""),"")</f>
        <v/>
      </c>
      <c r="L3488" s="139">
        <f>IFERROR(IF(ISNUMBER(F3488),F3488-IF(ISNUMBER(K3488),K3488,0),""),"")</f>
        <v/>
      </c>
    </row>
    <row r="3489" ht="24" customHeight="1" s="63">
      <c r="E3489" s="139" t="n"/>
      <c r="F3489" s="139" t="n"/>
      <c r="G3489" s="140">
        <f>IFERROR(IF(E3489&gt;0,(F3489/E3489)*1000,""),"")</f>
        <v/>
      </c>
      <c r="H3489" s="139">
        <f>IFERROR(IF(E3489&gt;0,E3489*IF(ISNUMBER(J3489),J3489,IF(OR(C3489="Alpha",B3489="Alpha"),$C$7,IF(C3489="Futures",$C$6,$C$5))),""),"")</f>
        <v/>
      </c>
      <c r="I3489" s="139">
        <f>IFERROR(IF(AND(ISNUMBER(F3489),ISNUMBER(H3489)),F3489-H3489,""),"")</f>
        <v/>
      </c>
      <c r="J3489" s="114" t="n"/>
      <c r="K3489" s="139">
        <f>IFERROR(IF(H3489&gt;0,H3489*IF(OR(C3489="Alpha",B3489="Alpha"),$C$9,$C$8),""),"")</f>
        <v/>
      </c>
      <c r="L3489" s="139">
        <f>IFERROR(IF(ISNUMBER(F3489),F3489-IF(ISNUMBER(K3489),K3489,0),""),"")</f>
        <v/>
      </c>
    </row>
    <row r="3490" ht="24" customHeight="1" s="63">
      <c r="E3490" s="139" t="n"/>
      <c r="F3490" s="139" t="n"/>
      <c r="G3490" s="140">
        <f>IFERROR(IF(E3490&gt;0,(F3490/E3490)*1000,""),"")</f>
        <v/>
      </c>
      <c r="H3490" s="139">
        <f>IFERROR(IF(E3490&gt;0,E3490*IF(ISNUMBER(J3490),J3490,IF(OR(C3490="Alpha",B3490="Alpha"),$C$7,IF(C3490="Futures",$C$6,$C$5))),""),"")</f>
        <v/>
      </c>
      <c r="I3490" s="139">
        <f>IFERROR(IF(AND(ISNUMBER(F3490),ISNUMBER(H3490)),F3490-H3490,""),"")</f>
        <v/>
      </c>
      <c r="J3490" s="114" t="n"/>
      <c r="K3490" s="139">
        <f>IFERROR(IF(H3490&gt;0,H3490*IF(OR(C3490="Alpha",B3490="Alpha"),$C$9,$C$8),""),"")</f>
        <v/>
      </c>
      <c r="L3490" s="139">
        <f>IFERROR(IF(ISNUMBER(F3490),F3490-IF(ISNUMBER(K3490),K3490,0),""),"")</f>
        <v/>
      </c>
    </row>
    <row r="3491" ht="24" customHeight="1" s="63">
      <c r="E3491" s="139" t="n"/>
      <c r="F3491" s="139" t="n"/>
      <c r="G3491" s="140">
        <f>IFERROR(IF(E3491&gt;0,(F3491/E3491)*1000,""),"")</f>
        <v/>
      </c>
      <c r="H3491" s="139">
        <f>IFERROR(IF(E3491&gt;0,E3491*IF(ISNUMBER(J3491),J3491,IF(OR(C3491="Alpha",B3491="Alpha"),$C$7,IF(C3491="Futures",$C$6,$C$5))),""),"")</f>
        <v/>
      </c>
      <c r="I3491" s="139">
        <f>IFERROR(IF(AND(ISNUMBER(F3491),ISNUMBER(H3491)),F3491-H3491,""),"")</f>
        <v/>
      </c>
      <c r="J3491" s="114" t="n"/>
      <c r="K3491" s="139">
        <f>IFERROR(IF(H3491&gt;0,H3491*IF(OR(C3491="Alpha",B3491="Alpha"),$C$9,$C$8),""),"")</f>
        <v/>
      </c>
      <c r="L3491" s="139">
        <f>IFERROR(IF(ISNUMBER(F3491),F3491-IF(ISNUMBER(K3491),K3491,0),""),"")</f>
        <v/>
      </c>
    </row>
    <row r="3492" ht="24" customHeight="1" s="63">
      <c r="E3492" s="139" t="n"/>
      <c r="F3492" s="139" t="n"/>
      <c r="G3492" s="140">
        <f>IFERROR(IF(E3492&gt;0,(F3492/E3492)*1000,""),"")</f>
        <v/>
      </c>
      <c r="H3492" s="139">
        <f>IFERROR(IF(E3492&gt;0,E3492*IF(ISNUMBER(J3492),J3492,IF(OR(C3492="Alpha",B3492="Alpha"),$C$7,IF(C3492="Futures",$C$6,$C$5))),""),"")</f>
        <v/>
      </c>
      <c r="I3492" s="139">
        <f>IFERROR(IF(AND(ISNUMBER(F3492),ISNUMBER(H3492)),F3492-H3492,""),"")</f>
        <v/>
      </c>
      <c r="J3492" s="114" t="n"/>
      <c r="K3492" s="139">
        <f>IFERROR(IF(H3492&gt;0,H3492*IF(OR(C3492="Alpha",B3492="Alpha"),$C$9,$C$8),""),"")</f>
        <v/>
      </c>
      <c r="L3492" s="139">
        <f>IFERROR(IF(ISNUMBER(F3492),F3492-IF(ISNUMBER(K3492),K3492,0),""),"")</f>
        <v/>
      </c>
    </row>
    <row r="3493" ht="24" customHeight="1" s="63">
      <c r="E3493" s="139" t="n"/>
      <c r="F3493" s="139" t="n"/>
      <c r="G3493" s="140">
        <f>IFERROR(IF(E3493&gt;0,(F3493/E3493)*1000,""),"")</f>
        <v/>
      </c>
      <c r="H3493" s="139">
        <f>IFERROR(IF(E3493&gt;0,E3493*IF(ISNUMBER(J3493),J3493,IF(OR(C3493="Alpha",B3493="Alpha"),$C$7,IF(C3493="Futures",$C$6,$C$5))),""),"")</f>
        <v/>
      </c>
      <c r="I3493" s="139">
        <f>IFERROR(IF(AND(ISNUMBER(F3493),ISNUMBER(H3493)),F3493-H3493,""),"")</f>
        <v/>
      </c>
      <c r="J3493" s="114" t="n"/>
      <c r="K3493" s="139">
        <f>IFERROR(IF(H3493&gt;0,H3493*IF(OR(C3493="Alpha",B3493="Alpha"),$C$9,$C$8),""),"")</f>
        <v/>
      </c>
      <c r="L3493" s="139">
        <f>IFERROR(IF(ISNUMBER(F3493),F3493-IF(ISNUMBER(K3493),K3493,0),""),"")</f>
        <v/>
      </c>
    </row>
    <row r="3494" ht="24" customHeight="1" s="63">
      <c r="E3494" s="139" t="n"/>
      <c r="F3494" s="139" t="n"/>
      <c r="G3494" s="140">
        <f>IFERROR(IF(E3494&gt;0,(F3494/E3494)*1000,""),"")</f>
        <v/>
      </c>
      <c r="H3494" s="139">
        <f>IFERROR(IF(E3494&gt;0,E3494*IF(ISNUMBER(J3494),J3494,IF(OR(C3494="Alpha",B3494="Alpha"),$C$7,IF(C3494="Futures",$C$6,$C$5))),""),"")</f>
        <v/>
      </c>
      <c r="I3494" s="139">
        <f>IFERROR(IF(AND(ISNUMBER(F3494),ISNUMBER(H3494)),F3494-H3494,""),"")</f>
        <v/>
      </c>
      <c r="J3494" s="114" t="n"/>
      <c r="K3494" s="139">
        <f>IFERROR(IF(H3494&gt;0,H3494*IF(OR(C3494="Alpha",B3494="Alpha"),$C$9,$C$8),""),"")</f>
        <v/>
      </c>
      <c r="L3494" s="139">
        <f>IFERROR(IF(ISNUMBER(F3494),F3494-IF(ISNUMBER(K3494),K3494,0),""),"")</f>
        <v/>
      </c>
    </row>
    <row r="3495" ht="24" customHeight="1" s="63">
      <c r="E3495" s="139" t="n"/>
      <c r="F3495" s="139" t="n"/>
      <c r="G3495" s="140">
        <f>IFERROR(IF(E3495&gt;0,(F3495/E3495)*1000,""),"")</f>
        <v/>
      </c>
      <c r="H3495" s="139">
        <f>IFERROR(IF(E3495&gt;0,E3495*IF(ISNUMBER(J3495),J3495,IF(OR(C3495="Alpha",B3495="Alpha"),$C$7,IF(C3495="Futures",$C$6,$C$5))),""),"")</f>
        <v/>
      </c>
      <c r="I3495" s="139">
        <f>IFERROR(IF(AND(ISNUMBER(F3495),ISNUMBER(H3495)),F3495-H3495,""),"")</f>
        <v/>
      </c>
      <c r="J3495" s="114" t="n"/>
      <c r="K3495" s="139">
        <f>IFERROR(IF(H3495&gt;0,H3495*IF(OR(C3495="Alpha",B3495="Alpha"),$C$9,$C$8),""),"")</f>
        <v/>
      </c>
      <c r="L3495" s="139">
        <f>IFERROR(IF(ISNUMBER(F3495),F3495-IF(ISNUMBER(K3495),K3495,0),""),"")</f>
        <v/>
      </c>
    </row>
    <row r="3496" ht="24" customHeight="1" s="63">
      <c r="E3496" s="139" t="n"/>
      <c r="F3496" s="139" t="n"/>
      <c r="G3496" s="140">
        <f>IFERROR(IF(E3496&gt;0,(F3496/E3496)*1000,""),"")</f>
        <v/>
      </c>
      <c r="H3496" s="139">
        <f>IFERROR(IF(E3496&gt;0,E3496*IF(ISNUMBER(J3496),J3496,IF(OR(C3496="Alpha",B3496="Alpha"),$C$7,IF(C3496="Futures",$C$6,$C$5))),""),"")</f>
        <v/>
      </c>
      <c r="I3496" s="139">
        <f>IFERROR(IF(AND(ISNUMBER(F3496),ISNUMBER(H3496)),F3496-H3496,""),"")</f>
        <v/>
      </c>
      <c r="J3496" s="114" t="n"/>
      <c r="K3496" s="139">
        <f>IFERROR(IF(H3496&gt;0,H3496*IF(OR(C3496="Alpha",B3496="Alpha"),$C$9,$C$8),""),"")</f>
        <v/>
      </c>
      <c r="L3496" s="139">
        <f>IFERROR(IF(ISNUMBER(F3496),F3496-IF(ISNUMBER(K3496),K3496,0),""),"")</f>
        <v/>
      </c>
    </row>
    <row r="3497" ht="24" customHeight="1" s="63">
      <c r="E3497" s="139" t="n"/>
      <c r="F3497" s="139" t="n"/>
      <c r="G3497" s="140">
        <f>IFERROR(IF(E3497&gt;0,(F3497/E3497)*1000,""),"")</f>
        <v/>
      </c>
      <c r="H3497" s="139">
        <f>IFERROR(IF(E3497&gt;0,E3497*IF(ISNUMBER(J3497),J3497,IF(OR(C3497="Alpha",B3497="Alpha"),$C$7,IF(C3497="Futures",$C$6,$C$5))),""),"")</f>
        <v/>
      </c>
      <c r="I3497" s="139">
        <f>IFERROR(IF(AND(ISNUMBER(F3497),ISNUMBER(H3497)),F3497-H3497,""),"")</f>
        <v/>
      </c>
      <c r="J3497" s="114" t="n"/>
      <c r="K3497" s="139">
        <f>IFERROR(IF(H3497&gt;0,H3497*IF(OR(C3497="Alpha",B3497="Alpha"),$C$9,$C$8),""),"")</f>
        <v/>
      </c>
      <c r="L3497" s="139">
        <f>IFERROR(IF(ISNUMBER(F3497),F3497-IF(ISNUMBER(K3497),K3497,0),""),"")</f>
        <v/>
      </c>
    </row>
    <row r="3498" ht="24" customHeight="1" s="63">
      <c r="E3498" s="139" t="n"/>
      <c r="F3498" s="139" t="n"/>
      <c r="G3498" s="140">
        <f>IFERROR(IF(E3498&gt;0,(F3498/E3498)*1000,""),"")</f>
        <v/>
      </c>
      <c r="H3498" s="139">
        <f>IFERROR(IF(E3498&gt;0,E3498*IF(ISNUMBER(J3498),J3498,IF(OR(C3498="Alpha",B3498="Alpha"),$C$7,IF(C3498="Futures",$C$6,$C$5))),""),"")</f>
        <v/>
      </c>
      <c r="I3498" s="139">
        <f>IFERROR(IF(AND(ISNUMBER(F3498),ISNUMBER(H3498)),F3498-H3498,""),"")</f>
        <v/>
      </c>
      <c r="J3498" s="114" t="n"/>
      <c r="K3498" s="139">
        <f>IFERROR(IF(H3498&gt;0,H3498*IF(OR(C3498="Alpha",B3498="Alpha"),$C$9,$C$8),""),"")</f>
        <v/>
      </c>
      <c r="L3498" s="139">
        <f>IFERROR(IF(ISNUMBER(F3498),F3498-IF(ISNUMBER(K3498),K3498,0),""),"")</f>
        <v/>
      </c>
    </row>
    <row r="3499" ht="24" customHeight="1" s="63">
      <c r="E3499" s="139" t="n"/>
      <c r="F3499" s="139" t="n"/>
      <c r="G3499" s="140">
        <f>IFERROR(IF(E3499&gt;0,(F3499/E3499)*1000,""),"")</f>
        <v/>
      </c>
      <c r="H3499" s="139">
        <f>IFERROR(IF(E3499&gt;0,E3499*IF(ISNUMBER(J3499),J3499,IF(OR(C3499="Alpha",B3499="Alpha"),$C$7,IF(C3499="Futures",$C$6,$C$5))),""),"")</f>
        <v/>
      </c>
      <c r="I3499" s="139">
        <f>IFERROR(IF(AND(ISNUMBER(F3499),ISNUMBER(H3499)),F3499-H3499,""),"")</f>
        <v/>
      </c>
      <c r="J3499" s="114" t="n"/>
      <c r="K3499" s="139">
        <f>IFERROR(IF(H3499&gt;0,H3499*IF(OR(C3499="Alpha",B3499="Alpha"),$C$9,$C$8),""),"")</f>
        <v/>
      </c>
      <c r="L3499" s="139">
        <f>IFERROR(IF(ISNUMBER(F3499),F3499-IF(ISNUMBER(K3499),K3499,0),""),"")</f>
        <v/>
      </c>
    </row>
    <row r="3500" ht="24" customHeight="1" s="63">
      <c r="E3500" s="139" t="n"/>
      <c r="F3500" s="139" t="n"/>
      <c r="G3500" s="140">
        <f>IFERROR(IF(E3500&gt;0,(F3500/E3500)*1000,""),"")</f>
        <v/>
      </c>
      <c r="H3500" s="139">
        <f>IFERROR(IF(E3500&gt;0,E3500*IF(ISNUMBER(J3500),J3500,IF(OR(C3500="Alpha",B3500="Alpha"),$C$7,IF(C3500="Futures",$C$6,$C$5))),""),"")</f>
        <v/>
      </c>
      <c r="I3500" s="139">
        <f>IFERROR(IF(AND(ISNUMBER(F3500),ISNUMBER(H3500)),F3500-H3500,""),"")</f>
        <v/>
      </c>
      <c r="J3500" s="114" t="n"/>
      <c r="K3500" s="139">
        <f>IFERROR(IF(H3500&gt;0,H3500*IF(OR(C3500="Alpha",B3500="Alpha"),$C$9,$C$8),""),"")</f>
        <v/>
      </c>
      <c r="L3500" s="139">
        <f>IFERROR(IF(ISNUMBER(F3500),F3500-IF(ISNUMBER(K3500),K3500,0),""),"")</f>
        <v/>
      </c>
    </row>
    <row r="3501" ht="24" customHeight="1" s="63">
      <c r="E3501" s="139" t="n"/>
      <c r="F3501" s="139" t="n"/>
      <c r="G3501" s="140">
        <f>IFERROR(IF(E3501&gt;0,(F3501/E3501)*1000,""),"")</f>
        <v/>
      </c>
      <c r="H3501" s="139">
        <f>IFERROR(IF(E3501&gt;0,E3501*IF(ISNUMBER(J3501),J3501,IF(OR(C3501="Alpha",B3501="Alpha"),$C$7,IF(C3501="Futures",$C$6,$C$5))),""),"")</f>
        <v/>
      </c>
      <c r="I3501" s="139">
        <f>IFERROR(IF(AND(ISNUMBER(F3501),ISNUMBER(H3501)),F3501-H3501,""),"")</f>
        <v/>
      </c>
      <c r="J3501" s="114" t="n"/>
      <c r="K3501" s="139">
        <f>IFERROR(IF(H3501&gt;0,H3501*IF(OR(C3501="Alpha",B3501="Alpha"),$C$9,$C$8),""),"")</f>
        <v/>
      </c>
      <c r="L3501" s="139">
        <f>IFERROR(IF(ISNUMBER(F3501),F3501-IF(ISNUMBER(K3501),K3501,0),""),"")</f>
        <v/>
      </c>
    </row>
    <row r="3502" ht="24" customHeight="1" s="63">
      <c r="E3502" s="139" t="n"/>
      <c r="F3502" s="139" t="n"/>
      <c r="G3502" s="140">
        <f>IFERROR(IF(E3502&gt;0,(F3502/E3502)*1000,""),"")</f>
        <v/>
      </c>
      <c r="H3502" s="139">
        <f>IFERROR(IF(E3502&gt;0,E3502*IF(ISNUMBER(J3502),J3502,IF(OR(C3502="Alpha",B3502="Alpha"),$C$7,IF(C3502="Futures",$C$6,$C$5))),""),"")</f>
        <v/>
      </c>
      <c r="I3502" s="139">
        <f>IFERROR(IF(AND(ISNUMBER(F3502),ISNUMBER(H3502)),F3502-H3502,""),"")</f>
        <v/>
      </c>
      <c r="J3502" s="114" t="n"/>
      <c r="K3502" s="139">
        <f>IFERROR(IF(H3502&gt;0,H3502*IF(OR(C3502="Alpha",B3502="Alpha"),$C$9,$C$8),""),"")</f>
        <v/>
      </c>
      <c r="L3502" s="139">
        <f>IFERROR(IF(ISNUMBER(F3502),F3502-IF(ISNUMBER(K3502),K3502,0),""),"")</f>
        <v/>
      </c>
    </row>
    <row r="3503" ht="24" customHeight="1" s="63">
      <c r="E3503" s="139" t="n"/>
      <c r="F3503" s="139" t="n"/>
      <c r="G3503" s="140">
        <f>IFERROR(IF(E3503&gt;0,(F3503/E3503)*1000,""),"")</f>
        <v/>
      </c>
      <c r="H3503" s="139">
        <f>IFERROR(IF(E3503&gt;0,E3503*IF(ISNUMBER(J3503),J3503,IF(OR(C3503="Alpha",B3503="Alpha"),$C$7,IF(C3503="Futures",$C$6,$C$5))),""),"")</f>
        <v/>
      </c>
      <c r="I3503" s="139">
        <f>IFERROR(IF(AND(ISNUMBER(F3503),ISNUMBER(H3503)),F3503-H3503,""),"")</f>
        <v/>
      </c>
      <c r="J3503" s="114" t="n"/>
      <c r="K3503" s="139">
        <f>IFERROR(IF(H3503&gt;0,H3503*IF(OR(C3503="Alpha",B3503="Alpha"),$C$9,$C$8),""),"")</f>
        <v/>
      </c>
      <c r="L3503" s="139">
        <f>IFERROR(IF(ISNUMBER(F3503),F3503-IF(ISNUMBER(K3503),K3503,0),""),"")</f>
        <v/>
      </c>
    </row>
    <row r="3504" ht="24" customHeight="1" s="63">
      <c r="E3504" s="139" t="n"/>
      <c r="F3504" s="139" t="n"/>
      <c r="G3504" s="140">
        <f>IFERROR(IF(E3504&gt;0,(F3504/E3504)*1000,""),"")</f>
        <v/>
      </c>
      <c r="H3504" s="139">
        <f>IFERROR(IF(E3504&gt;0,E3504*IF(ISNUMBER(J3504),J3504,IF(OR(C3504="Alpha",B3504="Alpha"),$C$7,IF(C3504="Futures",$C$6,$C$5))),""),"")</f>
        <v/>
      </c>
      <c r="I3504" s="139">
        <f>IFERROR(IF(AND(ISNUMBER(F3504),ISNUMBER(H3504)),F3504-H3504,""),"")</f>
        <v/>
      </c>
      <c r="J3504" s="114" t="n"/>
      <c r="K3504" s="139">
        <f>IFERROR(IF(H3504&gt;0,H3504*IF(OR(C3504="Alpha",B3504="Alpha"),$C$9,$C$8),""),"")</f>
        <v/>
      </c>
      <c r="L3504" s="139">
        <f>IFERROR(IF(ISNUMBER(F3504),F3504-IF(ISNUMBER(K3504),K3504,0),""),"")</f>
        <v/>
      </c>
    </row>
    <row r="3505" ht="24" customHeight="1" s="63">
      <c r="E3505" s="139" t="n"/>
      <c r="F3505" s="139" t="n"/>
      <c r="G3505" s="140">
        <f>IFERROR(IF(E3505&gt;0,(F3505/E3505)*1000,""),"")</f>
        <v/>
      </c>
      <c r="H3505" s="139">
        <f>IFERROR(IF(E3505&gt;0,E3505*IF(ISNUMBER(J3505),J3505,IF(OR(C3505="Alpha",B3505="Alpha"),$C$7,IF(C3505="Futures",$C$6,$C$5))),""),"")</f>
        <v/>
      </c>
      <c r="I3505" s="139">
        <f>IFERROR(IF(AND(ISNUMBER(F3505),ISNUMBER(H3505)),F3505-H3505,""),"")</f>
        <v/>
      </c>
      <c r="J3505" s="114" t="n"/>
      <c r="K3505" s="139">
        <f>IFERROR(IF(H3505&gt;0,H3505*IF(OR(C3505="Alpha",B3505="Alpha"),$C$9,$C$8),""),"")</f>
        <v/>
      </c>
      <c r="L3505" s="139">
        <f>IFERROR(IF(ISNUMBER(F3505),F3505-IF(ISNUMBER(K3505),K3505,0),""),"")</f>
        <v/>
      </c>
    </row>
    <row r="3506" ht="24" customHeight="1" s="63">
      <c r="E3506" s="139" t="n"/>
      <c r="F3506" s="139" t="n"/>
      <c r="G3506" s="140">
        <f>IFERROR(IF(E3506&gt;0,(F3506/E3506)*1000,""),"")</f>
        <v/>
      </c>
      <c r="H3506" s="139">
        <f>IFERROR(IF(E3506&gt;0,E3506*IF(ISNUMBER(J3506),J3506,IF(OR(C3506="Alpha",B3506="Alpha"),$C$7,IF(C3506="Futures",$C$6,$C$5))),""),"")</f>
        <v/>
      </c>
      <c r="I3506" s="139">
        <f>IFERROR(IF(AND(ISNUMBER(F3506),ISNUMBER(H3506)),F3506-H3506,""),"")</f>
        <v/>
      </c>
      <c r="J3506" s="114" t="n"/>
      <c r="K3506" s="139">
        <f>IFERROR(IF(H3506&gt;0,H3506*IF(OR(C3506="Alpha",B3506="Alpha"),$C$9,$C$8),""),"")</f>
        <v/>
      </c>
      <c r="L3506" s="139">
        <f>IFERROR(IF(ISNUMBER(F3506),F3506-IF(ISNUMBER(K3506),K3506,0),""),"")</f>
        <v/>
      </c>
    </row>
    <row r="3507" ht="24" customHeight="1" s="63">
      <c r="E3507" s="139" t="n"/>
      <c r="F3507" s="139" t="n"/>
      <c r="G3507" s="140">
        <f>IFERROR(IF(E3507&gt;0,(F3507/E3507)*1000,""),"")</f>
        <v/>
      </c>
      <c r="H3507" s="139">
        <f>IFERROR(IF(E3507&gt;0,E3507*IF(ISNUMBER(J3507),J3507,IF(OR(C3507="Alpha",B3507="Alpha"),$C$7,IF(C3507="Futures",$C$6,$C$5))),""),"")</f>
        <v/>
      </c>
      <c r="I3507" s="139">
        <f>IFERROR(IF(AND(ISNUMBER(F3507),ISNUMBER(H3507)),F3507-H3507,""),"")</f>
        <v/>
      </c>
      <c r="J3507" s="114" t="n"/>
      <c r="K3507" s="139">
        <f>IFERROR(IF(H3507&gt;0,H3507*IF(OR(C3507="Alpha",B3507="Alpha"),$C$9,$C$8),""),"")</f>
        <v/>
      </c>
      <c r="L3507" s="139">
        <f>IFERROR(IF(ISNUMBER(F3507),F3507-IF(ISNUMBER(K3507),K3507,0),""),"")</f>
        <v/>
      </c>
    </row>
    <row r="3508" ht="24" customHeight="1" s="63">
      <c r="E3508" s="139" t="n"/>
      <c r="F3508" s="139" t="n"/>
      <c r="G3508" s="140">
        <f>IFERROR(IF(E3508&gt;0,(F3508/E3508)*1000,""),"")</f>
        <v/>
      </c>
      <c r="H3508" s="139">
        <f>IFERROR(IF(E3508&gt;0,E3508*IF(ISNUMBER(J3508),J3508,IF(OR(C3508="Alpha",B3508="Alpha"),$C$7,IF(C3508="Futures",$C$6,$C$5))),""),"")</f>
        <v/>
      </c>
      <c r="I3508" s="139">
        <f>IFERROR(IF(AND(ISNUMBER(F3508),ISNUMBER(H3508)),F3508-H3508,""),"")</f>
        <v/>
      </c>
      <c r="J3508" s="114" t="n"/>
      <c r="K3508" s="139">
        <f>IFERROR(IF(H3508&gt;0,H3508*IF(OR(C3508="Alpha",B3508="Alpha"),$C$9,$C$8),""),"")</f>
        <v/>
      </c>
      <c r="L3508" s="139">
        <f>IFERROR(IF(ISNUMBER(F3508),F3508-IF(ISNUMBER(K3508),K3508,0),""),"")</f>
        <v/>
      </c>
    </row>
    <row r="3509" ht="24" customHeight="1" s="63">
      <c r="E3509" s="139" t="n"/>
      <c r="F3509" s="139" t="n"/>
      <c r="G3509" s="140">
        <f>IFERROR(IF(E3509&gt;0,(F3509/E3509)*1000,""),"")</f>
        <v/>
      </c>
      <c r="H3509" s="139">
        <f>IFERROR(IF(E3509&gt;0,E3509*IF(ISNUMBER(J3509),J3509,IF(OR(C3509="Alpha",B3509="Alpha"),$C$7,IF(C3509="Futures",$C$6,$C$5))),""),"")</f>
        <v/>
      </c>
      <c r="I3509" s="139">
        <f>IFERROR(IF(AND(ISNUMBER(F3509),ISNUMBER(H3509)),F3509-H3509,""),"")</f>
        <v/>
      </c>
      <c r="J3509" s="114" t="n"/>
      <c r="K3509" s="139">
        <f>IFERROR(IF(H3509&gt;0,H3509*IF(OR(C3509="Alpha",B3509="Alpha"),$C$9,$C$8),""),"")</f>
        <v/>
      </c>
      <c r="L3509" s="139">
        <f>IFERROR(IF(ISNUMBER(F3509),F3509-IF(ISNUMBER(K3509),K3509,0),""),"")</f>
        <v/>
      </c>
    </row>
    <row r="3510" ht="24" customHeight="1" s="63">
      <c r="E3510" s="139" t="n"/>
      <c r="F3510" s="139" t="n"/>
      <c r="G3510" s="140">
        <f>IFERROR(IF(E3510&gt;0,(F3510/E3510)*1000,""),"")</f>
        <v/>
      </c>
      <c r="H3510" s="139">
        <f>IFERROR(IF(E3510&gt;0,E3510*IF(ISNUMBER(J3510),J3510,IF(OR(C3510="Alpha",B3510="Alpha"),$C$7,IF(C3510="Futures",$C$6,$C$5))),""),"")</f>
        <v/>
      </c>
      <c r="I3510" s="139">
        <f>IFERROR(IF(AND(ISNUMBER(F3510),ISNUMBER(H3510)),F3510-H3510,""),"")</f>
        <v/>
      </c>
      <c r="J3510" s="114" t="n"/>
      <c r="K3510" s="139">
        <f>IFERROR(IF(H3510&gt;0,H3510*IF(OR(C3510="Alpha",B3510="Alpha"),$C$9,$C$8),""),"")</f>
        <v/>
      </c>
      <c r="L3510" s="139">
        <f>IFERROR(IF(ISNUMBER(F3510),F3510-IF(ISNUMBER(K3510),K3510,0),""),"")</f>
        <v/>
      </c>
    </row>
    <row r="3511" ht="24" customHeight="1" s="63">
      <c r="E3511" s="139" t="n"/>
      <c r="F3511" s="139" t="n"/>
      <c r="G3511" s="140">
        <f>IFERROR(IF(E3511&gt;0,(F3511/E3511)*1000,""),"")</f>
        <v/>
      </c>
      <c r="H3511" s="139">
        <f>IFERROR(IF(E3511&gt;0,E3511*IF(ISNUMBER(J3511),J3511,IF(OR(C3511="Alpha",B3511="Alpha"),$C$7,IF(C3511="Futures",$C$6,$C$5))),""),"")</f>
        <v/>
      </c>
      <c r="I3511" s="139">
        <f>IFERROR(IF(AND(ISNUMBER(F3511),ISNUMBER(H3511)),F3511-H3511,""),"")</f>
        <v/>
      </c>
      <c r="J3511" s="114" t="n"/>
      <c r="K3511" s="139">
        <f>IFERROR(IF(H3511&gt;0,H3511*IF(OR(C3511="Alpha",B3511="Alpha"),$C$9,$C$8),""),"")</f>
        <v/>
      </c>
      <c r="L3511" s="139">
        <f>IFERROR(IF(ISNUMBER(F3511),F3511-IF(ISNUMBER(K3511),K3511,0),""),"")</f>
        <v/>
      </c>
    </row>
    <row r="3512" ht="24" customHeight="1" s="63">
      <c r="E3512" s="139" t="n"/>
      <c r="F3512" s="139" t="n"/>
      <c r="G3512" s="140">
        <f>IFERROR(IF(E3512&gt;0,(F3512/E3512)*1000,""),"")</f>
        <v/>
      </c>
      <c r="H3512" s="139">
        <f>IFERROR(IF(E3512&gt;0,E3512*IF(ISNUMBER(J3512),J3512,IF(OR(C3512="Alpha",B3512="Alpha"),$C$7,IF(C3512="Futures",$C$6,$C$5))),""),"")</f>
        <v/>
      </c>
      <c r="I3512" s="139">
        <f>IFERROR(IF(AND(ISNUMBER(F3512),ISNUMBER(H3512)),F3512-H3512,""),"")</f>
        <v/>
      </c>
      <c r="J3512" s="114" t="n"/>
      <c r="K3512" s="139">
        <f>IFERROR(IF(H3512&gt;0,H3512*IF(OR(C3512="Alpha",B3512="Alpha"),$C$9,$C$8),""),"")</f>
        <v/>
      </c>
      <c r="L3512" s="139">
        <f>IFERROR(IF(ISNUMBER(F3512),F3512-IF(ISNUMBER(K3512),K3512,0),""),"")</f>
        <v/>
      </c>
    </row>
    <row r="3513" ht="24" customHeight="1" s="63">
      <c r="E3513" s="139" t="n"/>
      <c r="F3513" s="139" t="n"/>
      <c r="G3513" s="140">
        <f>IFERROR(IF(E3513&gt;0,(F3513/E3513)*1000,""),"")</f>
        <v/>
      </c>
      <c r="H3513" s="139">
        <f>IFERROR(IF(E3513&gt;0,E3513*IF(ISNUMBER(J3513),J3513,IF(OR(C3513="Alpha",B3513="Alpha"),$C$7,IF(C3513="Futures",$C$6,$C$5))),""),"")</f>
        <v/>
      </c>
      <c r="I3513" s="139">
        <f>IFERROR(IF(AND(ISNUMBER(F3513),ISNUMBER(H3513)),F3513-H3513,""),"")</f>
        <v/>
      </c>
      <c r="J3513" s="114" t="n"/>
      <c r="K3513" s="139">
        <f>IFERROR(IF(H3513&gt;0,H3513*IF(OR(C3513="Alpha",B3513="Alpha"),$C$9,$C$8),""),"")</f>
        <v/>
      </c>
      <c r="L3513" s="139">
        <f>IFERROR(IF(ISNUMBER(F3513),F3513-IF(ISNUMBER(K3513),K3513,0),""),"")</f>
        <v/>
      </c>
    </row>
    <row r="3514" ht="24" customHeight="1" s="63">
      <c r="E3514" s="139" t="n"/>
      <c r="F3514" s="139" t="n"/>
      <c r="G3514" s="140">
        <f>IFERROR(IF(E3514&gt;0,(F3514/E3514)*1000,""),"")</f>
        <v/>
      </c>
      <c r="H3514" s="139">
        <f>IFERROR(IF(E3514&gt;0,E3514*IF(ISNUMBER(J3514),J3514,IF(OR(C3514="Alpha",B3514="Alpha"),$C$7,IF(C3514="Futures",$C$6,$C$5))),""),"")</f>
        <v/>
      </c>
      <c r="I3514" s="139">
        <f>IFERROR(IF(AND(ISNUMBER(F3514),ISNUMBER(H3514)),F3514-H3514,""),"")</f>
        <v/>
      </c>
      <c r="J3514" s="114" t="n"/>
      <c r="K3514" s="139">
        <f>IFERROR(IF(H3514&gt;0,H3514*IF(OR(C3514="Alpha",B3514="Alpha"),$C$9,$C$8),""),"")</f>
        <v/>
      </c>
      <c r="L3514" s="139">
        <f>IFERROR(IF(ISNUMBER(F3514),F3514-IF(ISNUMBER(K3514),K3514,0),""),"")</f>
        <v/>
      </c>
    </row>
    <row r="3515" ht="24" customHeight="1" s="63">
      <c r="E3515" s="139" t="n"/>
      <c r="F3515" s="139" t="n"/>
      <c r="G3515" s="140">
        <f>IFERROR(IF(E3515&gt;0,(F3515/E3515)*1000,""),"")</f>
        <v/>
      </c>
      <c r="H3515" s="139">
        <f>IFERROR(IF(E3515&gt;0,E3515*IF(ISNUMBER(J3515),J3515,IF(OR(C3515="Alpha",B3515="Alpha"),$C$7,IF(C3515="Futures",$C$6,$C$5))),""),"")</f>
        <v/>
      </c>
      <c r="I3515" s="139">
        <f>IFERROR(IF(AND(ISNUMBER(F3515),ISNUMBER(H3515)),F3515-H3515,""),"")</f>
        <v/>
      </c>
      <c r="J3515" s="114" t="n"/>
      <c r="K3515" s="139">
        <f>IFERROR(IF(H3515&gt;0,H3515*IF(OR(C3515="Alpha",B3515="Alpha"),$C$9,$C$8),""),"")</f>
        <v/>
      </c>
      <c r="L3515" s="139">
        <f>IFERROR(IF(ISNUMBER(F3515),F3515-IF(ISNUMBER(K3515),K3515,0),""),"")</f>
        <v/>
      </c>
    </row>
    <row r="3516" ht="24" customHeight="1" s="63">
      <c r="E3516" s="139" t="n"/>
      <c r="F3516" s="139" t="n"/>
      <c r="G3516" s="140">
        <f>IFERROR(IF(E3516&gt;0,(F3516/E3516)*1000,""),"")</f>
        <v/>
      </c>
      <c r="H3516" s="139">
        <f>IFERROR(IF(E3516&gt;0,E3516*IF(ISNUMBER(J3516),J3516,IF(OR(C3516="Alpha",B3516="Alpha"),$C$7,IF(C3516="Futures",$C$6,$C$5))),""),"")</f>
        <v/>
      </c>
      <c r="I3516" s="139">
        <f>IFERROR(IF(AND(ISNUMBER(F3516),ISNUMBER(H3516)),F3516-H3516,""),"")</f>
        <v/>
      </c>
      <c r="J3516" s="114" t="n"/>
      <c r="K3516" s="139">
        <f>IFERROR(IF(H3516&gt;0,H3516*IF(OR(C3516="Alpha",B3516="Alpha"),$C$9,$C$8),""),"")</f>
        <v/>
      </c>
      <c r="L3516" s="139">
        <f>IFERROR(IF(ISNUMBER(F3516),F3516-IF(ISNUMBER(K3516),K3516,0),""),"")</f>
        <v/>
      </c>
    </row>
    <row r="3517" ht="24" customHeight="1" s="63">
      <c r="E3517" s="139" t="n"/>
      <c r="F3517" s="139" t="n"/>
      <c r="G3517" s="140">
        <f>IFERROR(IF(E3517&gt;0,(F3517/E3517)*1000,""),"")</f>
        <v/>
      </c>
      <c r="H3517" s="139">
        <f>IFERROR(IF(E3517&gt;0,E3517*IF(ISNUMBER(J3517),J3517,IF(OR(C3517="Alpha",B3517="Alpha"),$C$7,IF(C3517="Futures",$C$6,$C$5))),""),"")</f>
        <v/>
      </c>
      <c r="I3517" s="139">
        <f>IFERROR(IF(AND(ISNUMBER(F3517),ISNUMBER(H3517)),F3517-H3517,""),"")</f>
        <v/>
      </c>
      <c r="J3517" s="114" t="n"/>
      <c r="K3517" s="139">
        <f>IFERROR(IF(H3517&gt;0,H3517*IF(OR(C3517="Alpha",B3517="Alpha"),$C$9,$C$8),""),"")</f>
        <v/>
      </c>
      <c r="L3517" s="139">
        <f>IFERROR(IF(ISNUMBER(F3517),F3517-IF(ISNUMBER(K3517),K3517,0),""),"")</f>
        <v/>
      </c>
    </row>
    <row r="3518" ht="24" customHeight="1" s="63">
      <c r="E3518" s="139" t="n"/>
      <c r="F3518" s="139" t="n"/>
      <c r="G3518" s="140">
        <f>IFERROR(IF(E3518&gt;0,(F3518/E3518)*1000,""),"")</f>
        <v/>
      </c>
      <c r="H3518" s="139">
        <f>IFERROR(IF(E3518&gt;0,E3518*IF(ISNUMBER(J3518),J3518,IF(OR(C3518="Alpha",B3518="Alpha"),$C$7,IF(C3518="Futures",$C$6,$C$5))),""),"")</f>
        <v/>
      </c>
      <c r="I3518" s="139">
        <f>IFERROR(IF(AND(ISNUMBER(F3518),ISNUMBER(H3518)),F3518-H3518,""),"")</f>
        <v/>
      </c>
      <c r="J3518" s="114" t="n"/>
      <c r="K3518" s="139">
        <f>IFERROR(IF(H3518&gt;0,H3518*IF(OR(C3518="Alpha",B3518="Alpha"),$C$9,$C$8),""),"")</f>
        <v/>
      </c>
      <c r="L3518" s="139">
        <f>IFERROR(IF(ISNUMBER(F3518),F3518-IF(ISNUMBER(K3518),K3518,0),""),"")</f>
        <v/>
      </c>
    </row>
    <row r="3519" ht="24" customHeight="1" s="63">
      <c r="E3519" s="139" t="n"/>
      <c r="F3519" s="139" t="n"/>
      <c r="G3519" s="140">
        <f>IFERROR(IF(E3519&gt;0,(F3519/E3519)*1000,""),"")</f>
        <v/>
      </c>
      <c r="H3519" s="139">
        <f>IFERROR(IF(E3519&gt;0,E3519*IF(ISNUMBER(J3519),J3519,IF(OR(C3519="Alpha",B3519="Alpha"),$C$7,IF(C3519="Futures",$C$6,$C$5))),""),"")</f>
        <v/>
      </c>
      <c r="I3519" s="139">
        <f>IFERROR(IF(AND(ISNUMBER(F3519),ISNUMBER(H3519)),F3519-H3519,""),"")</f>
        <v/>
      </c>
      <c r="J3519" s="114" t="n"/>
      <c r="K3519" s="139">
        <f>IFERROR(IF(H3519&gt;0,H3519*IF(OR(C3519="Alpha",B3519="Alpha"),$C$9,$C$8),""),"")</f>
        <v/>
      </c>
      <c r="L3519" s="139">
        <f>IFERROR(IF(ISNUMBER(F3519),F3519-IF(ISNUMBER(K3519),K3519,0),""),"")</f>
        <v/>
      </c>
    </row>
    <row r="3520" ht="24" customHeight="1" s="63">
      <c r="E3520" s="139" t="n"/>
      <c r="F3520" s="139" t="n"/>
      <c r="G3520" s="140">
        <f>IFERROR(IF(E3520&gt;0,(F3520/E3520)*1000,""),"")</f>
        <v/>
      </c>
      <c r="H3520" s="139">
        <f>IFERROR(IF(E3520&gt;0,E3520*IF(ISNUMBER(J3520),J3520,IF(OR(C3520="Alpha",B3520="Alpha"),$C$7,IF(C3520="Futures",$C$6,$C$5))),""),"")</f>
        <v/>
      </c>
      <c r="I3520" s="139">
        <f>IFERROR(IF(AND(ISNUMBER(F3520),ISNUMBER(H3520)),F3520-H3520,""),"")</f>
        <v/>
      </c>
      <c r="J3520" s="114" t="n"/>
      <c r="K3520" s="139">
        <f>IFERROR(IF(H3520&gt;0,H3520*IF(OR(C3520="Alpha",B3520="Alpha"),$C$9,$C$8),""),"")</f>
        <v/>
      </c>
      <c r="L3520" s="139">
        <f>IFERROR(IF(ISNUMBER(F3520),F3520-IF(ISNUMBER(K3520),K3520,0),""),"")</f>
        <v/>
      </c>
    </row>
    <row r="3521" ht="24" customHeight="1" s="63">
      <c r="E3521" s="139" t="n"/>
      <c r="F3521" s="139" t="n"/>
      <c r="G3521" s="140">
        <f>IFERROR(IF(E3521&gt;0,(F3521/E3521)*1000,""),"")</f>
        <v/>
      </c>
      <c r="H3521" s="139">
        <f>IFERROR(IF(E3521&gt;0,E3521*IF(ISNUMBER(J3521),J3521,IF(OR(C3521="Alpha",B3521="Alpha"),$C$7,IF(C3521="Futures",$C$6,$C$5))),""),"")</f>
        <v/>
      </c>
      <c r="I3521" s="139">
        <f>IFERROR(IF(AND(ISNUMBER(F3521),ISNUMBER(H3521)),F3521-H3521,""),"")</f>
        <v/>
      </c>
      <c r="J3521" s="114" t="n"/>
      <c r="K3521" s="139">
        <f>IFERROR(IF(H3521&gt;0,H3521*IF(OR(C3521="Alpha",B3521="Alpha"),$C$9,$C$8),""),"")</f>
        <v/>
      </c>
      <c r="L3521" s="139">
        <f>IFERROR(IF(ISNUMBER(F3521),F3521-IF(ISNUMBER(K3521),K3521,0),""),"")</f>
        <v/>
      </c>
    </row>
    <row r="3522" ht="24" customHeight="1" s="63">
      <c r="E3522" s="139" t="n"/>
      <c r="F3522" s="139" t="n"/>
      <c r="G3522" s="140">
        <f>IFERROR(IF(E3522&gt;0,(F3522/E3522)*1000,""),"")</f>
        <v/>
      </c>
      <c r="H3522" s="139">
        <f>IFERROR(IF(E3522&gt;0,E3522*IF(ISNUMBER(J3522),J3522,IF(OR(C3522="Alpha",B3522="Alpha"),$C$7,IF(C3522="Futures",$C$6,$C$5))),""),"")</f>
        <v/>
      </c>
      <c r="I3522" s="139">
        <f>IFERROR(IF(AND(ISNUMBER(F3522),ISNUMBER(H3522)),F3522-H3522,""),"")</f>
        <v/>
      </c>
      <c r="J3522" s="114" t="n"/>
      <c r="K3522" s="139">
        <f>IFERROR(IF(H3522&gt;0,H3522*IF(OR(C3522="Alpha",B3522="Alpha"),$C$9,$C$8),""),"")</f>
        <v/>
      </c>
      <c r="L3522" s="139">
        <f>IFERROR(IF(ISNUMBER(F3522),F3522-IF(ISNUMBER(K3522),K3522,0),""),"")</f>
        <v/>
      </c>
    </row>
    <row r="3523" ht="24" customHeight="1" s="63">
      <c r="E3523" s="139" t="n"/>
      <c r="F3523" s="139" t="n"/>
      <c r="G3523" s="140">
        <f>IFERROR(IF(E3523&gt;0,(F3523/E3523)*1000,""),"")</f>
        <v/>
      </c>
      <c r="H3523" s="139">
        <f>IFERROR(IF(E3523&gt;0,E3523*IF(ISNUMBER(J3523),J3523,IF(OR(C3523="Alpha",B3523="Alpha"),$C$7,IF(C3523="Futures",$C$6,$C$5))),""),"")</f>
        <v/>
      </c>
      <c r="I3523" s="139">
        <f>IFERROR(IF(AND(ISNUMBER(F3523),ISNUMBER(H3523)),F3523-H3523,""),"")</f>
        <v/>
      </c>
      <c r="J3523" s="114" t="n"/>
      <c r="K3523" s="139">
        <f>IFERROR(IF(H3523&gt;0,H3523*IF(OR(C3523="Alpha",B3523="Alpha"),$C$9,$C$8),""),"")</f>
        <v/>
      </c>
      <c r="L3523" s="139">
        <f>IFERROR(IF(ISNUMBER(F3523),F3523-IF(ISNUMBER(K3523),K3523,0),""),"")</f>
        <v/>
      </c>
    </row>
    <row r="3524" ht="24" customHeight="1" s="63">
      <c r="E3524" s="139" t="n"/>
      <c r="F3524" s="139" t="n"/>
      <c r="G3524" s="140">
        <f>IFERROR(IF(E3524&gt;0,(F3524/E3524)*1000,""),"")</f>
        <v/>
      </c>
      <c r="H3524" s="139">
        <f>IFERROR(IF(E3524&gt;0,E3524*IF(ISNUMBER(J3524),J3524,IF(OR(C3524="Alpha",B3524="Alpha"),$C$7,IF(C3524="Futures",$C$6,$C$5))),""),"")</f>
        <v/>
      </c>
      <c r="I3524" s="139">
        <f>IFERROR(IF(AND(ISNUMBER(F3524),ISNUMBER(H3524)),F3524-H3524,""),"")</f>
        <v/>
      </c>
      <c r="J3524" s="114" t="n"/>
      <c r="K3524" s="139">
        <f>IFERROR(IF(H3524&gt;0,H3524*IF(OR(C3524="Alpha",B3524="Alpha"),$C$9,$C$8),""),"")</f>
        <v/>
      </c>
      <c r="L3524" s="139">
        <f>IFERROR(IF(ISNUMBER(F3524),F3524-IF(ISNUMBER(K3524),K3524,0),""),"")</f>
        <v/>
      </c>
    </row>
    <row r="3525" ht="24" customHeight="1" s="63">
      <c r="E3525" s="139" t="n"/>
      <c r="F3525" s="139" t="n"/>
      <c r="G3525" s="140">
        <f>IFERROR(IF(E3525&gt;0,(F3525/E3525)*1000,""),"")</f>
        <v/>
      </c>
      <c r="H3525" s="139">
        <f>IFERROR(IF(E3525&gt;0,E3525*IF(ISNUMBER(J3525),J3525,IF(OR(C3525="Alpha",B3525="Alpha"),$C$7,IF(C3525="Futures",$C$6,$C$5))),""),"")</f>
        <v/>
      </c>
      <c r="I3525" s="139">
        <f>IFERROR(IF(AND(ISNUMBER(F3525),ISNUMBER(H3525)),F3525-H3525,""),"")</f>
        <v/>
      </c>
      <c r="J3525" s="114" t="n"/>
      <c r="K3525" s="139">
        <f>IFERROR(IF(H3525&gt;0,H3525*IF(OR(C3525="Alpha",B3525="Alpha"),$C$9,$C$8),""),"")</f>
        <v/>
      </c>
      <c r="L3525" s="139">
        <f>IFERROR(IF(ISNUMBER(F3525),F3525-IF(ISNUMBER(K3525),K3525,0),""),"")</f>
        <v/>
      </c>
    </row>
    <row r="3526" ht="24" customHeight="1" s="63">
      <c r="E3526" s="139" t="n"/>
      <c r="F3526" s="139" t="n"/>
      <c r="G3526" s="140">
        <f>IFERROR(IF(E3526&gt;0,(F3526/E3526)*1000,""),"")</f>
        <v/>
      </c>
      <c r="H3526" s="139">
        <f>IFERROR(IF(E3526&gt;0,E3526*IF(ISNUMBER(J3526),J3526,IF(OR(C3526="Alpha",B3526="Alpha"),$C$7,IF(C3526="Futures",$C$6,$C$5))),""),"")</f>
        <v/>
      </c>
      <c r="I3526" s="139">
        <f>IFERROR(IF(AND(ISNUMBER(F3526),ISNUMBER(H3526)),F3526-H3526,""),"")</f>
        <v/>
      </c>
      <c r="J3526" s="114" t="n"/>
      <c r="K3526" s="139">
        <f>IFERROR(IF(H3526&gt;0,H3526*IF(OR(C3526="Alpha",B3526="Alpha"),$C$9,$C$8),""),"")</f>
        <v/>
      </c>
      <c r="L3526" s="139">
        <f>IFERROR(IF(ISNUMBER(F3526),F3526-IF(ISNUMBER(K3526),K3526,0),""),"")</f>
        <v/>
      </c>
    </row>
    <row r="3527" ht="24" customHeight="1" s="63">
      <c r="E3527" s="139" t="n"/>
      <c r="F3527" s="139" t="n"/>
      <c r="G3527" s="140">
        <f>IFERROR(IF(E3527&gt;0,(F3527/E3527)*1000,""),"")</f>
        <v/>
      </c>
      <c r="H3527" s="139">
        <f>IFERROR(IF(E3527&gt;0,E3527*IF(ISNUMBER(J3527),J3527,IF(OR(C3527="Alpha",B3527="Alpha"),$C$7,IF(C3527="Futures",$C$6,$C$5))),""),"")</f>
        <v/>
      </c>
      <c r="I3527" s="139">
        <f>IFERROR(IF(AND(ISNUMBER(F3527),ISNUMBER(H3527)),F3527-H3527,""),"")</f>
        <v/>
      </c>
      <c r="J3527" s="114" t="n"/>
      <c r="K3527" s="139">
        <f>IFERROR(IF(H3527&gt;0,H3527*IF(OR(C3527="Alpha",B3527="Alpha"),$C$9,$C$8),""),"")</f>
        <v/>
      </c>
      <c r="L3527" s="139">
        <f>IFERROR(IF(ISNUMBER(F3527),F3527-IF(ISNUMBER(K3527),K3527,0),""),"")</f>
        <v/>
      </c>
    </row>
    <row r="3528" ht="24" customHeight="1" s="63">
      <c r="E3528" s="139" t="n"/>
      <c r="F3528" s="139" t="n"/>
      <c r="G3528" s="140">
        <f>IFERROR(IF(E3528&gt;0,(F3528/E3528)*1000,""),"")</f>
        <v/>
      </c>
      <c r="H3528" s="139">
        <f>IFERROR(IF(E3528&gt;0,E3528*IF(ISNUMBER(J3528),J3528,IF(OR(C3528="Alpha",B3528="Alpha"),$C$7,IF(C3528="Futures",$C$6,$C$5))),""),"")</f>
        <v/>
      </c>
      <c r="I3528" s="139">
        <f>IFERROR(IF(AND(ISNUMBER(F3528),ISNUMBER(H3528)),F3528-H3528,""),"")</f>
        <v/>
      </c>
      <c r="J3528" s="114" t="n"/>
      <c r="K3528" s="139">
        <f>IFERROR(IF(H3528&gt;0,H3528*IF(OR(C3528="Alpha",B3528="Alpha"),$C$9,$C$8),""),"")</f>
        <v/>
      </c>
      <c r="L3528" s="139">
        <f>IFERROR(IF(ISNUMBER(F3528),F3528-IF(ISNUMBER(K3528),K3528,0),""),"")</f>
        <v/>
      </c>
    </row>
    <row r="3529" ht="24" customHeight="1" s="63">
      <c r="E3529" s="139" t="n"/>
      <c r="F3529" s="139" t="n"/>
      <c r="G3529" s="140">
        <f>IFERROR(IF(E3529&gt;0,(F3529/E3529)*1000,""),"")</f>
        <v/>
      </c>
      <c r="H3529" s="139">
        <f>IFERROR(IF(E3529&gt;0,E3529*IF(ISNUMBER(J3529),J3529,IF(OR(C3529="Alpha",B3529="Alpha"),$C$7,IF(C3529="Futures",$C$6,$C$5))),""),"")</f>
        <v/>
      </c>
      <c r="I3529" s="139">
        <f>IFERROR(IF(AND(ISNUMBER(F3529),ISNUMBER(H3529)),F3529-H3529,""),"")</f>
        <v/>
      </c>
      <c r="J3529" s="114" t="n"/>
      <c r="K3529" s="139">
        <f>IFERROR(IF(H3529&gt;0,H3529*IF(OR(C3529="Alpha",B3529="Alpha"),$C$9,$C$8),""),"")</f>
        <v/>
      </c>
      <c r="L3529" s="139">
        <f>IFERROR(IF(ISNUMBER(F3529),F3529-IF(ISNUMBER(K3529),K3529,0),""),"")</f>
        <v/>
      </c>
    </row>
    <row r="3530" ht="24" customHeight="1" s="63">
      <c r="E3530" s="139" t="n"/>
      <c r="F3530" s="139" t="n"/>
      <c r="G3530" s="140">
        <f>IFERROR(IF(E3530&gt;0,(F3530/E3530)*1000,""),"")</f>
        <v/>
      </c>
      <c r="H3530" s="139">
        <f>IFERROR(IF(E3530&gt;0,E3530*IF(ISNUMBER(J3530),J3530,IF(OR(C3530="Alpha",B3530="Alpha"),$C$7,IF(C3530="Futures",$C$6,$C$5))),""),"")</f>
        <v/>
      </c>
      <c r="I3530" s="139">
        <f>IFERROR(IF(AND(ISNUMBER(F3530),ISNUMBER(H3530)),F3530-H3530,""),"")</f>
        <v/>
      </c>
      <c r="J3530" s="114" t="n"/>
      <c r="K3530" s="139">
        <f>IFERROR(IF(H3530&gt;0,H3530*IF(OR(C3530="Alpha",B3530="Alpha"),$C$9,$C$8),""),"")</f>
        <v/>
      </c>
      <c r="L3530" s="139">
        <f>IFERROR(IF(ISNUMBER(F3530),F3530-IF(ISNUMBER(K3530),K3530,0),""),"")</f>
        <v/>
      </c>
    </row>
    <row r="3531" ht="24" customHeight="1" s="63">
      <c r="E3531" s="139" t="n"/>
      <c r="F3531" s="139" t="n"/>
      <c r="G3531" s="140">
        <f>IFERROR(IF(E3531&gt;0,(F3531/E3531)*1000,""),"")</f>
        <v/>
      </c>
      <c r="H3531" s="139">
        <f>IFERROR(IF(E3531&gt;0,E3531*IF(ISNUMBER(J3531),J3531,IF(OR(C3531="Alpha",B3531="Alpha"),$C$7,IF(C3531="Futures",$C$6,$C$5))),""),"")</f>
        <v/>
      </c>
      <c r="I3531" s="139">
        <f>IFERROR(IF(AND(ISNUMBER(F3531),ISNUMBER(H3531)),F3531-H3531,""),"")</f>
        <v/>
      </c>
      <c r="J3531" s="114" t="n"/>
      <c r="K3531" s="139">
        <f>IFERROR(IF(H3531&gt;0,H3531*IF(OR(C3531="Alpha",B3531="Alpha"),$C$9,$C$8),""),"")</f>
        <v/>
      </c>
      <c r="L3531" s="139">
        <f>IFERROR(IF(ISNUMBER(F3531),F3531-IF(ISNUMBER(K3531),K3531,0),""),"")</f>
        <v/>
      </c>
    </row>
    <row r="3532" ht="24" customHeight="1" s="63">
      <c r="E3532" s="139" t="n"/>
      <c r="F3532" s="139" t="n"/>
      <c r="G3532" s="140">
        <f>IFERROR(IF(E3532&gt;0,(F3532/E3532)*1000,""),"")</f>
        <v/>
      </c>
      <c r="H3532" s="139">
        <f>IFERROR(IF(E3532&gt;0,E3532*IF(ISNUMBER(J3532),J3532,IF(OR(C3532="Alpha",B3532="Alpha"),$C$7,IF(C3532="Futures",$C$6,$C$5))),""),"")</f>
        <v/>
      </c>
      <c r="I3532" s="139">
        <f>IFERROR(IF(AND(ISNUMBER(F3532),ISNUMBER(H3532)),F3532-H3532,""),"")</f>
        <v/>
      </c>
      <c r="J3532" s="114" t="n"/>
      <c r="K3532" s="139">
        <f>IFERROR(IF(H3532&gt;0,H3532*IF(OR(C3532="Alpha",B3532="Alpha"),$C$9,$C$8),""),"")</f>
        <v/>
      </c>
      <c r="L3532" s="139">
        <f>IFERROR(IF(ISNUMBER(F3532),F3532-IF(ISNUMBER(K3532),K3532,0),""),"")</f>
        <v/>
      </c>
    </row>
    <row r="3533" ht="24" customHeight="1" s="63">
      <c r="E3533" s="139" t="n"/>
      <c r="F3533" s="139" t="n"/>
      <c r="G3533" s="140">
        <f>IFERROR(IF(E3533&gt;0,(F3533/E3533)*1000,""),"")</f>
        <v/>
      </c>
      <c r="H3533" s="139">
        <f>IFERROR(IF(E3533&gt;0,E3533*IF(ISNUMBER(J3533),J3533,IF(OR(C3533="Alpha",B3533="Alpha"),$C$7,IF(C3533="Futures",$C$6,$C$5))),""),"")</f>
        <v/>
      </c>
      <c r="I3533" s="139">
        <f>IFERROR(IF(AND(ISNUMBER(F3533),ISNUMBER(H3533)),F3533-H3533,""),"")</f>
        <v/>
      </c>
      <c r="J3533" s="114" t="n"/>
      <c r="K3533" s="139">
        <f>IFERROR(IF(H3533&gt;0,H3533*IF(OR(C3533="Alpha",B3533="Alpha"),$C$9,$C$8),""),"")</f>
        <v/>
      </c>
      <c r="L3533" s="139">
        <f>IFERROR(IF(ISNUMBER(F3533),F3533-IF(ISNUMBER(K3533),K3533,0),""),"")</f>
        <v/>
      </c>
    </row>
    <row r="3534" ht="24" customHeight="1" s="63">
      <c r="E3534" s="139" t="n"/>
      <c r="F3534" s="139" t="n"/>
      <c r="G3534" s="140">
        <f>IFERROR(IF(E3534&gt;0,(F3534/E3534)*1000,""),"")</f>
        <v/>
      </c>
      <c r="H3534" s="139">
        <f>IFERROR(IF(E3534&gt;0,E3534*IF(ISNUMBER(J3534),J3534,IF(OR(C3534="Alpha",B3534="Alpha"),$C$7,IF(C3534="Futures",$C$6,$C$5))),""),"")</f>
        <v/>
      </c>
      <c r="I3534" s="139">
        <f>IFERROR(IF(AND(ISNUMBER(F3534),ISNUMBER(H3534)),F3534-H3534,""),"")</f>
        <v/>
      </c>
      <c r="J3534" s="114" t="n"/>
      <c r="K3534" s="139">
        <f>IFERROR(IF(H3534&gt;0,H3534*IF(OR(C3534="Alpha",B3534="Alpha"),$C$9,$C$8),""),"")</f>
        <v/>
      </c>
      <c r="L3534" s="139">
        <f>IFERROR(IF(ISNUMBER(F3534),F3534-IF(ISNUMBER(K3534),K3534,0),""),"")</f>
        <v/>
      </c>
    </row>
    <row r="3535" ht="24" customHeight="1" s="63">
      <c r="E3535" s="139" t="n"/>
      <c r="F3535" s="139" t="n"/>
      <c r="G3535" s="140">
        <f>IFERROR(IF(E3535&gt;0,(F3535/E3535)*1000,""),"")</f>
        <v/>
      </c>
      <c r="H3535" s="139">
        <f>IFERROR(IF(E3535&gt;0,E3535*IF(ISNUMBER(J3535),J3535,IF(OR(C3535="Alpha",B3535="Alpha"),$C$7,IF(C3535="Futures",$C$6,$C$5))),""),"")</f>
        <v/>
      </c>
      <c r="I3535" s="139">
        <f>IFERROR(IF(AND(ISNUMBER(F3535),ISNUMBER(H3535)),F3535-H3535,""),"")</f>
        <v/>
      </c>
      <c r="J3535" s="114" t="n"/>
      <c r="K3535" s="139">
        <f>IFERROR(IF(H3535&gt;0,H3535*IF(OR(C3535="Alpha",B3535="Alpha"),$C$9,$C$8),""),"")</f>
        <v/>
      </c>
      <c r="L3535" s="139">
        <f>IFERROR(IF(ISNUMBER(F3535),F3535-IF(ISNUMBER(K3535),K3535,0),""),"")</f>
        <v/>
      </c>
    </row>
    <row r="3536" ht="24" customHeight="1" s="63">
      <c r="E3536" s="139" t="n"/>
      <c r="F3536" s="139" t="n"/>
      <c r="G3536" s="140">
        <f>IFERROR(IF(E3536&gt;0,(F3536/E3536)*1000,""),"")</f>
        <v/>
      </c>
      <c r="H3536" s="139">
        <f>IFERROR(IF(E3536&gt;0,E3536*IF(ISNUMBER(J3536),J3536,IF(OR(C3536="Alpha",B3536="Alpha"),$C$7,IF(C3536="Futures",$C$6,$C$5))),""),"")</f>
        <v/>
      </c>
      <c r="I3536" s="139">
        <f>IFERROR(IF(AND(ISNUMBER(F3536),ISNUMBER(H3536)),F3536-H3536,""),"")</f>
        <v/>
      </c>
      <c r="J3536" s="114" t="n"/>
      <c r="K3536" s="139">
        <f>IFERROR(IF(H3536&gt;0,H3536*IF(OR(C3536="Alpha",B3536="Alpha"),$C$9,$C$8),""),"")</f>
        <v/>
      </c>
      <c r="L3536" s="139">
        <f>IFERROR(IF(ISNUMBER(F3536),F3536-IF(ISNUMBER(K3536),K3536,0),""),"")</f>
        <v/>
      </c>
    </row>
    <row r="3537" ht="24" customHeight="1" s="63">
      <c r="E3537" s="139" t="n"/>
      <c r="F3537" s="139" t="n"/>
      <c r="G3537" s="140">
        <f>IFERROR(IF(E3537&gt;0,(F3537/E3537)*1000,""),"")</f>
        <v/>
      </c>
      <c r="H3537" s="139">
        <f>IFERROR(IF(E3537&gt;0,E3537*IF(ISNUMBER(J3537),J3537,IF(OR(C3537="Alpha",B3537="Alpha"),$C$7,IF(C3537="Futures",$C$6,$C$5))),""),"")</f>
        <v/>
      </c>
      <c r="I3537" s="139">
        <f>IFERROR(IF(AND(ISNUMBER(F3537),ISNUMBER(H3537)),F3537-H3537,""),"")</f>
        <v/>
      </c>
      <c r="J3537" s="114" t="n"/>
      <c r="K3537" s="139">
        <f>IFERROR(IF(H3537&gt;0,H3537*IF(OR(C3537="Alpha",B3537="Alpha"),$C$9,$C$8),""),"")</f>
        <v/>
      </c>
      <c r="L3537" s="139">
        <f>IFERROR(IF(ISNUMBER(F3537),F3537-IF(ISNUMBER(K3537),K3537,0),""),"")</f>
        <v/>
      </c>
    </row>
    <row r="3538" ht="24" customHeight="1" s="63">
      <c r="E3538" s="139" t="n"/>
      <c r="F3538" s="139" t="n"/>
      <c r="G3538" s="140">
        <f>IFERROR(IF(E3538&gt;0,(F3538/E3538)*1000,""),"")</f>
        <v/>
      </c>
      <c r="H3538" s="139">
        <f>IFERROR(IF(E3538&gt;0,E3538*IF(ISNUMBER(J3538),J3538,IF(OR(C3538="Alpha",B3538="Alpha"),$C$7,IF(C3538="Futures",$C$6,$C$5))),""),"")</f>
        <v/>
      </c>
      <c r="I3538" s="139">
        <f>IFERROR(IF(AND(ISNUMBER(F3538),ISNUMBER(H3538)),F3538-H3538,""),"")</f>
        <v/>
      </c>
      <c r="J3538" s="114" t="n"/>
      <c r="K3538" s="139">
        <f>IFERROR(IF(H3538&gt;0,H3538*IF(OR(C3538="Alpha",B3538="Alpha"),$C$9,$C$8),""),"")</f>
        <v/>
      </c>
      <c r="L3538" s="139">
        <f>IFERROR(IF(ISNUMBER(F3538),F3538-IF(ISNUMBER(K3538),K3538,0),""),"")</f>
        <v/>
      </c>
    </row>
    <row r="3539" ht="24" customHeight="1" s="63">
      <c r="E3539" s="139" t="n"/>
      <c r="F3539" s="139" t="n"/>
      <c r="G3539" s="140">
        <f>IFERROR(IF(E3539&gt;0,(F3539/E3539)*1000,""),"")</f>
        <v/>
      </c>
      <c r="H3539" s="139">
        <f>IFERROR(IF(E3539&gt;0,E3539*IF(ISNUMBER(J3539),J3539,IF(OR(C3539="Alpha",B3539="Alpha"),$C$7,IF(C3539="Futures",$C$6,$C$5))),""),"")</f>
        <v/>
      </c>
      <c r="I3539" s="139">
        <f>IFERROR(IF(AND(ISNUMBER(F3539),ISNUMBER(H3539)),F3539-H3539,""),"")</f>
        <v/>
      </c>
      <c r="J3539" s="114" t="n"/>
      <c r="K3539" s="139">
        <f>IFERROR(IF(H3539&gt;0,H3539*IF(OR(C3539="Alpha",B3539="Alpha"),$C$9,$C$8),""),"")</f>
        <v/>
      </c>
      <c r="L3539" s="139">
        <f>IFERROR(IF(ISNUMBER(F3539),F3539-IF(ISNUMBER(K3539),K3539,0),""),"")</f>
        <v/>
      </c>
    </row>
    <row r="3540" ht="24" customHeight="1" s="63">
      <c r="E3540" s="139" t="n"/>
      <c r="F3540" s="139" t="n"/>
      <c r="G3540" s="140">
        <f>IFERROR(IF(E3540&gt;0,(F3540/E3540)*1000,""),"")</f>
        <v/>
      </c>
      <c r="H3540" s="139">
        <f>IFERROR(IF(E3540&gt;0,E3540*IF(ISNUMBER(J3540),J3540,IF(OR(C3540="Alpha",B3540="Alpha"),$C$7,IF(C3540="Futures",$C$6,$C$5))),""),"")</f>
        <v/>
      </c>
      <c r="I3540" s="139">
        <f>IFERROR(IF(AND(ISNUMBER(F3540),ISNUMBER(H3540)),F3540-H3540,""),"")</f>
        <v/>
      </c>
      <c r="J3540" s="114" t="n"/>
      <c r="K3540" s="139">
        <f>IFERROR(IF(H3540&gt;0,H3540*IF(OR(C3540="Alpha",B3540="Alpha"),$C$9,$C$8),""),"")</f>
        <v/>
      </c>
      <c r="L3540" s="139">
        <f>IFERROR(IF(ISNUMBER(F3540),F3540-IF(ISNUMBER(K3540),K3540,0),""),"")</f>
        <v/>
      </c>
    </row>
    <row r="3541" ht="24" customHeight="1" s="63">
      <c r="E3541" s="139" t="n"/>
      <c r="F3541" s="139" t="n"/>
      <c r="G3541" s="140">
        <f>IFERROR(IF(E3541&gt;0,(F3541/E3541)*1000,""),"")</f>
        <v/>
      </c>
      <c r="H3541" s="139">
        <f>IFERROR(IF(E3541&gt;0,E3541*IF(ISNUMBER(J3541),J3541,IF(OR(C3541="Alpha",B3541="Alpha"),$C$7,IF(C3541="Futures",$C$6,$C$5))),""),"")</f>
        <v/>
      </c>
      <c r="I3541" s="139">
        <f>IFERROR(IF(AND(ISNUMBER(F3541),ISNUMBER(H3541)),F3541-H3541,""),"")</f>
        <v/>
      </c>
      <c r="J3541" s="114" t="n"/>
      <c r="K3541" s="139">
        <f>IFERROR(IF(H3541&gt;0,H3541*IF(OR(C3541="Alpha",B3541="Alpha"),$C$9,$C$8),""),"")</f>
        <v/>
      </c>
      <c r="L3541" s="139">
        <f>IFERROR(IF(ISNUMBER(F3541),F3541-IF(ISNUMBER(K3541),K3541,0),""),"")</f>
        <v/>
      </c>
    </row>
    <row r="3542" ht="24" customHeight="1" s="63">
      <c r="E3542" s="139" t="n"/>
      <c r="F3542" s="139" t="n"/>
      <c r="G3542" s="140">
        <f>IFERROR(IF(E3542&gt;0,(F3542/E3542)*1000,""),"")</f>
        <v/>
      </c>
      <c r="H3542" s="139">
        <f>IFERROR(IF(E3542&gt;0,E3542*IF(ISNUMBER(J3542),J3542,IF(OR(C3542="Alpha",B3542="Alpha"),$C$7,IF(C3542="Futures",$C$6,$C$5))),""),"")</f>
        <v/>
      </c>
      <c r="I3542" s="139">
        <f>IFERROR(IF(AND(ISNUMBER(F3542),ISNUMBER(H3542)),F3542-H3542,""),"")</f>
        <v/>
      </c>
      <c r="J3542" s="114" t="n"/>
      <c r="K3542" s="139">
        <f>IFERROR(IF(H3542&gt;0,H3542*IF(OR(C3542="Alpha",B3542="Alpha"),$C$9,$C$8),""),"")</f>
        <v/>
      </c>
      <c r="L3542" s="139">
        <f>IFERROR(IF(ISNUMBER(F3542),F3542-IF(ISNUMBER(K3542),K3542,0),""),"")</f>
        <v/>
      </c>
    </row>
    <row r="3543" ht="24" customHeight="1" s="63">
      <c r="E3543" s="139" t="n"/>
      <c r="F3543" s="139" t="n"/>
      <c r="G3543" s="140">
        <f>IFERROR(IF(E3543&gt;0,(F3543/E3543)*1000,""),"")</f>
        <v/>
      </c>
      <c r="H3543" s="139">
        <f>IFERROR(IF(E3543&gt;0,E3543*IF(ISNUMBER(J3543),J3543,IF(OR(C3543="Alpha",B3543="Alpha"),$C$7,IF(C3543="Futures",$C$6,$C$5))),""),"")</f>
        <v/>
      </c>
      <c r="I3543" s="139">
        <f>IFERROR(IF(AND(ISNUMBER(F3543),ISNUMBER(H3543)),F3543-H3543,""),"")</f>
        <v/>
      </c>
      <c r="J3543" s="114" t="n"/>
      <c r="K3543" s="139">
        <f>IFERROR(IF(H3543&gt;0,H3543*IF(OR(C3543="Alpha",B3543="Alpha"),$C$9,$C$8),""),"")</f>
        <v/>
      </c>
      <c r="L3543" s="139">
        <f>IFERROR(IF(ISNUMBER(F3543),F3543-IF(ISNUMBER(K3543),K3543,0),""),"")</f>
        <v/>
      </c>
    </row>
    <row r="3544" ht="24" customHeight="1" s="63">
      <c r="E3544" s="139" t="n"/>
      <c r="F3544" s="139" t="n"/>
      <c r="G3544" s="140">
        <f>IFERROR(IF(E3544&gt;0,(F3544/E3544)*1000,""),"")</f>
        <v/>
      </c>
      <c r="H3544" s="139">
        <f>IFERROR(IF(E3544&gt;0,E3544*IF(ISNUMBER(J3544),J3544,IF(OR(C3544="Alpha",B3544="Alpha"),$C$7,IF(C3544="Futures",$C$6,$C$5))),""),"")</f>
        <v/>
      </c>
      <c r="I3544" s="139">
        <f>IFERROR(IF(AND(ISNUMBER(F3544),ISNUMBER(H3544)),F3544-H3544,""),"")</f>
        <v/>
      </c>
      <c r="J3544" s="114" t="n"/>
      <c r="K3544" s="139">
        <f>IFERROR(IF(H3544&gt;0,H3544*IF(OR(C3544="Alpha",B3544="Alpha"),$C$9,$C$8),""),"")</f>
        <v/>
      </c>
      <c r="L3544" s="139">
        <f>IFERROR(IF(ISNUMBER(F3544),F3544-IF(ISNUMBER(K3544),K3544,0),""),"")</f>
        <v/>
      </c>
    </row>
    <row r="3545" ht="24" customHeight="1" s="63">
      <c r="E3545" s="139" t="n"/>
      <c r="F3545" s="139" t="n"/>
      <c r="G3545" s="140">
        <f>IFERROR(IF(E3545&gt;0,(F3545/E3545)*1000,""),"")</f>
        <v/>
      </c>
      <c r="H3545" s="139">
        <f>IFERROR(IF(E3545&gt;0,E3545*IF(ISNUMBER(J3545),J3545,IF(OR(C3545="Alpha",B3545="Alpha"),$C$7,IF(C3545="Futures",$C$6,$C$5))),""),"")</f>
        <v/>
      </c>
      <c r="I3545" s="139">
        <f>IFERROR(IF(AND(ISNUMBER(F3545),ISNUMBER(H3545)),F3545-H3545,""),"")</f>
        <v/>
      </c>
      <c r="J3545" s="114" t="n"/>
      <c r="K3545" s="139">
        <f>IFERROR(IF(H3545&gt;0,H3545*IF(OR(C3545="Alpha",B3545="Alpha"),$C$9,$C$8),""),"")</f>
        <v/>
      </c>
      <c r="L3545" s="139">
        <f>IFERROR(IF(ISNUMBER(F3545),F3545-IF(ISNUMBER(K3545),K3545,0),""),"")</f>
        <v/>
      </c>
    </row>
    <row r="3546" ht="24" customHeight="1" s="63">
      <c r="E3546" s="139" t="n"/>
      <c r="F3546" s="139" t="n"/>
      <c r="G3546" s="140">
        <f>IFERROR(IF(E3546&gt;0,(F3546/E3546)*1000,""),"")</f>
        <v/>
      </c>
      <c r="H3546" s="139">
        <f>IFERROR(IF(E3546&gt;0,E3546*IF(ISNUMBER(J3546),J3546,IF(OR(C3546="Alpha",B3546="Alpha"),$C$7,IF(C3546="Futures",$C$6,$C$5))),""),"")</f>
        <v/>
      </c>
      <c r="I3546" s="139">
        <f>IFERROR(IF(AND(ISNUMBER(F3546),ISNUMBER(H3546)),F3546-H3546,""),"")</f>
        <v/>
      </c>
      <c r="J3546" s="114" t="n"/>
      <c r="K3546" s="139">
        <f>IFERROR(IF(H3546&gt;0,H3546*IF(OR(C3546="Alpha",B3546="Alpha"),$C$9,$C$8),""),"")</f>
        <v/>
      </c>
      <c r="L3546" s="139">
        <f>IFERROR(IF(ISNUMBER(F3546),F3546-IF(ISNUMBER(K3546),K3546,0),""),"")</f>
        <v/>
      </c>
    </row>
    <row r="3547" ht="24" customHeight="1" s="63">
      <c r="E3547" s="139" t="n"/>
      <c r="F3547" s="139" t="n"/>
      <c r="G3547" s="140">
        <f>IFERROR(IF(E3547&gt;0,(F3547/E3547)*1000,""),"")</f>
        <v/>
      </c>
      <c r="H3547" s="139">
        <f>IFERROR(IF(E3547&gt;0,E3547*IF(ISNUMBER(J3547),J3547,IF(OR(C3547="Alpha",B3547="Alpha"),$C$7,IF(C3547="Futures",$C$6,$C$5))),""),"")</f>
        <v/>
      </c>
      <c r="I3547" s="139">
        <f>IFERROR(IF(AND(ISNUMBER(F3547),ISNUMBER(H3547)),F3547-H3547,""),"")</f>
        <v/>
      </c>
      <c r="J3547" s="114" t="n"/>
      <c r="K3547" s="139">
        <f>IFERROR(IF(H3547&gt;0,H3547*IF(OR(C3547="Alpha",B3547="Alpha"),$C$9,$C$8),""),"")</f>
        <v/>
      </c>
      <c r="L3547" s="139">
        <f>IFERROR(IF(ISNUMBER(F3547),F3547-IF(ISNUMBER(K3547),K3547,0),""),"")</f>
        <v/>
      </c>
    </row>
    <row r="3548" ht="24" customHeight="1" s="63">
      <c r="E3548" s="139" t="n"/>
      <c r="F3548" s="139" t="n"/>
      <c r="G3548" s="140">
        <f>IFERROR(IF(E3548&gt;0,(F3548/E3548)*1000,""),"")</f>
        <v/>
      </c>
      <c r="H3548" s="139">
        <f>IFERROR(IF(E3548&gt;0,E3548*IF(ISNUMBER(J3548),J3548,IF(OR(C3548="Alpha",B3548="Alpha"),$C$7,IF(C3548="Futures",$C$6,$C$5))),""),"")</f>
        <v/>
      </c>
      <c r="I3548" s="139">
        <f>IFERROR(IF(AND(ISNUMBER(F3548),ISNUMBER(H3548)),F3548-H3548,""),"")</f>
        <v/>
      </c>
      <c r="J3548" s="114" t="n"/>
      <c r="K3548" s="139">
        <f>IFERROR(IF(H3548&gt;0,H3548*IF(OR(C3548="Alpha",B3548="Alpha"),$C$9,$C$8),""),"")</f>
        <v/>
      </c>
      <c r="L3548" s="139">
        <f>IFERROR(IF(ISNUMBER(F3548),F3548-IF(ISNUMBER(K3548),K3548,0),""),"")</f>
        <v/>
      </c>
    </row>
    <row r="3549" ht="24" customHeight="1" s="63">
      <c r="E3549" s="139" t="n"/>
      <c r="F3549" s="139" t="n"/>
      <c r="G3549" s="140">
        <f>IFERROR(IF(E3549&gt;0,(F3549/E3549)*1000,""),"")</f>
        <v/>
      </c>
      <c r="H3549" s="139">
        <f>IFERROR(IF(E3549&gt;0,E3549*IF(ISNUMBER(J3549),J3549,IF(OR(C3549="Alpha",B3549="Alpha"),$C$7,IF(C3549="Futures",$C$6,$C$5))),""),"")</f>
        <v/>
      </c>
      <c r="I3549" s="139">
        <f>IFERROR(IF(AND(ISNUMBER(F3549),ISNUMBER(H3549)),F3549-H3549,""),"")</f>
        <v/>
      </c>
      <c r="J3549" s="114" t="n"/>
      <c r="K3549" s="139">
        <f>IFERROR(IF(H3549&gt;0,H3549*IF(OR(C3549="Alpha",B3549="Alpha"),$C$9,$C$8),""),"")</f>
        <v/>
      </c>
      <c r="L3549" s="139">
        <f>IFERROR(IF(ISNUMBER(F3549),F3549-IF(ISNUMBER(K3549),K3549,0),""),"")</f>
        <v/>
      </c>
    </row>
    <row r="3550" ht="24" customHeight="1" s="63">
      <c r="E3550" s="139" t="n"/>
      <c r="F3550" s="139" t="n"/>
      <c r="G3550" s="140">
        <f>IFERROR(IF(E3550&gt;0,(F3550/E3550)*1000,""),"")</f>
        <v/>
      </c>
      <c r="H3550" s="139">
        <f>IFERROR(IF(E3550&gt;0,E3550*IF(ISNUMBER(J3550),J3550,IF(OR(C3550="Alpha",B3550="Alpha"),$C$7,IF(C3550="Futures",$C$6,$C$5))),""),"")</f>
        <v/>
      </c>
      <c r="I3550" s="139">
        <f>IFERROR(IF(AND(ISNUMBER(F3550),ISNUMBER(H3550)),F3550-H3550,""),"")</f>
        <v/>
      </c>
      <c r="J3550" s="114" t="n"/>
      <c r="K3550" s="139">
        <f>IFERROR(IF(H3550&gt;0,H3550*IF(OR(C3550="Alpha",B3550="Alpha"),$C$9,$C$8),""),"")</f>
        <v/>
      </c>
      <c r="L3550" s="139">
        <f>IFERROR(IF(ISNUMBER(F3550),F3550-IF(ISNUMBER(K3550),K3550,0),""),"")</f>
        <v/>
      </c>
    </row>
    <row r="3551" ht="24" customHeight="1" s="63">
      <c r="E3551" s="139" t="n"/>
      <c r="F3551" s="139" t="n"/>
      <c r="G3551" s="140">
        <f>IFERROR(IF(E3551&gt;0,(F3551/E3551)*1000,""),"")</f>
        <v/>
      </c>
      <c r="H3551" s="139">
        <f>IFERROR(IF(E3551&gt;0,E3551*IF(ISNUMBER(J3551),J3551,IF(OR(C3551="Alpha",B3551="Alpha"),$C$7,IF(C3551="Futures",$C$6,$C$5))),""),"")</f>
        <v/>
      </c>
      <c r="I3551" s="139">
        <f>IFERROR(IF(AND(ISNUMBER(F3551),ISNUMBER(H3551)),F3551-H3551,""),"")</f>
        <v/>
      </c>
      <c r="J3551" s="114" t="n"/>
      <c r="K3551" s="139">
        <f>IFERROR(IF(H3551&gt;0,H3551*IF(OR(C3551="Alpha",B3551="Alpha"),$C$9,$C$8),""),"")</f>
        <v/>
      </c>
      <c r="L3551" s="139">
        <f>IFERROR(IF(ISNUMBER(F3551),F3551-IF(ISNUMBER(K3551),K3551,0),""),"")</f>
        <v/>
      </c>
    </row>
    <row r="3552" ht="24" customHeight="1" s="63">
      <c r="E3552" s="139" t="n"/>
      <c r="F3552" s="139" t="n"/>
      <c r="G3552" s="140">
        <f>IFERROR(IF(E3552&gt;0,(F3552/E3552)*1000,""),"")</f>
        <v/>
      </c>
      <c r="H3552" s="139">
        <f>IFERROR(IF(E3552&gt;0,E3552*IF(ISNUMBER(J3552),J3552,IF(OR(C3552="Alpha",B3552="Alpha"),$C$7,IF(C3552="Futures",$C$6,$C$5))),""),"")</f>
        <v/>
      </c>
      <c r="I3552" s="139">
        <f>IFERROR(IF(AND(ISNUMBER(F3552),ISNUMBER(H3552)),F3552-H3552,""),"")</f>
        <v/>
      </c>
      <c r="J3552" s="114" t="n"/>
      <c r="K3552" s="139">
        <f>IFERROR(IF(H3552&gt;0,H3552*IF(OR(C3552="Alpha",B3552="Alpha"),$C$9,$C$8),""),"")</f>
        <v/>
      </c>
      <c r="L3552" s="139">
        <f>IFERROR(IF(ISNUMBER(F3552),F3552-IF(ISNUMBER(K3552),K3552,0),""),"")</f>
        <v/>
      </c>
    </row>
    <row r="3553" ht="24" customHeight="1" s="63">
      <c r="E3553" s="139" t="n"/>
      <c r="F3553" s="139" t="n"/>
      <c r="G3553" s="140">
        <f>IFERROR(IF(E3553&gt;0,(F3553/E3553)*1000,""),"")</f>
        <v/>
      </c>
      <c r="H3553" s="139">
        <f>IFERROR(IF(E3553&gt;0,E3553*IF(ISNUMBER(J3553),J3553,IF(OR(C3553="Alpha",B3553="Alpha"),$C$7,IF(C3553="Futures",$C$6,$C$5))),""),"")</f>
        <v/>
      </c>
      <c r="I3553" s="139">
        <f>IFERROR(IF(AND(ISNUMBER(F3553),ISNUMBER(H3553)),F3553-H3553,""),"")</f>
        <v/>
      </c>
      <c r="J3553" s="114" t="n"/>
      <c r="K3553" s="139">
        <f>IFERROR(IF(H3553&gt;0,H3553*IF(OR(C3553="Alpha",B3553="Alpha"),$C$9,$C$8),""),"")</f>
        <v/>
      </c>
      <c r="L3553" s="139">
        <f>IFERROR(IF(ISNUMBER(F3553),F3553-IF(ISNUMBER(K3553),K3553,0),""),"")</f>
        <v/>
      </c>
    </row>
    <row r="3554" ht="24" customHeight="1" s="63">
      <c r="E3554" s="139" t="n"/>
      <c r="F3554" s="139" t="n"/>
      <c r="G3554" s="140">
        <f>IFERROR(IF(E3554&gt;0,(F3554/E3554)*1000,""),"")</f>
        <v/>
      </c>
      <c r="H3554" s="139">
        <f>IFERROR(IF(E3554&gt;0,E3554*IF(ISNUMBER(J3554),J3554,IF(OR(C3554="Alpha",B3554="Alpha"),$C$7,IF(C3554="Futures",$C$6,$C$5))),""),"")</f>
        <v/>
      </c>
      <c r="I3554" s="139">
        <f>IFERROR(IF(AND(ISNUMBER(F3554),ISNUMBER(H3554)),F3554-H3554,""),"")</f>
        <v/>
      </c>
      <c r="J3554" s="114" t="n"/>
      <c r="K3554" s="139">
        <f>IFERROR(IF(H3554&gt;0,H3554*IF(OR(C3554="Alpha",B3554="Alpha"),$C$9,$C$8),""),"")</f>
        <v/>
      </c>
      <c r="L3554" s="139">
        <f>IFERROR(IF(ISNUMBER(F3554),F3554-IF(ISNUMBER(K3554),K3554,0),""),"")</f>
        <v/>
      </c>
    </row>
    <row r="3555" ht="24" customHeight="1" s="63">
      <c r="E3555" s="139" t="n"/>
      <c r="F3555" s="139" t="n"/>
      <c r="G3555" s="140">
        <f>IFERROR(IF(E3555&gt;0,(F3555/E3555)*1000,""),"")</f>
        <v/>
      </c>
      <c r="H3555" s="139">
        <f>IFERROR(IF(E3555&gt;0,E3555*IF(ISNUMBER(J3555),J3555,IF(OR(C3555="Alpha",B3555="Alpha"),$C$7,IF(C3555="Futures",$C$6,$C$5))),""),"")</f>
        <v/>
      </c>
      <c r="I3555" s="139">
        <f>IFERROR(IF(AND(ISNUMBER(F3555),ISNUMBER(H3555)),F3555-H3555,""),"")</f>
        <v/>
      </c>
      <c r="J3555" s="114" t="n"/>
      <c r="K3555" s="139">
        <f>IFERROR(IF(H3555&gt;0,H3555*IF(OR(C3555="Alpha",B3555="Alpha"),$C$9,$C$8),""),"")</f>
        <v/>
      </c>
      <c r="L3555" s="139">
        <f>IFERROR(IF(ISNUMBER(F3555),F3555-IF(ISNUMBER(K3555),K3555,0),""),"")</f>
        <v/>
      </c>
    </row>
    <row r="3556" ht="24" customHeight="1" s="63">
      <c r="E3556" s="139" t="n"/>
      <c r="F3556" s="139" t="n"/>
      <c r="G3556" s="140">
        <f>IFERROR(IF(E3556&gt;0,(F3556/E3556)*1000,""),"")</f>
        <v/>
      </c>
      <c r="H3556" s="139">
        <f>IFERROR(IF(E3556&gt;0,E3556*IF(ISNUMBER(J3556),J3556,IF(OR(C3556="Alpha",B3556="Alpha"),$C$7,IF(C3556="Futures",$C$6,$C$5))),""),"")</f>
        <v/>
      </c>
      <c r="I3556" s="139">
        <f>IFERROR(IF(AND(ISNUMBER(F3556),ISNUMBER(H3556)),F3556-H3556,""),"")</f>
        <v/>
      </c>
      <c r="J3556" s="114" t="n"/>
      <c r="K3556" s="139">
        <f>IFERROR(IF(H3556&gt;0,H3556*IF(OR(C3556="Alpha",B3556="Alpha"),$C$9,$C$8),""),"")</f>
        <v/>
      </c>
      <c r="L3556" s="139">
        <f>IFERROR(IF(ISNUMBER(F3556),F3556-IF(ISNUMBER(K3556),K3556,0),""),"")</f>
        <v/>
      </c>
    </row>
    <row r="3557" ht="24" customHeight="1" s="63">
      <c r="E3557" s="139" t="n"/>
      <c r="F3557" s="139" t="n"/>
      <c r="G3557" s="140">
        <f>IFERROR(IF(E3557&gt;0,(F3557/E3557)*1000,""),"")</f>
        <v/>
      </c>
      <c r="H3557" s="139">
        <f>IFERROR(IF(E3557&gt;0,E3557*IF(ISNUMBER(J3557),J3557,IF(OR(C3557="Alpha",B3557="Alpha"),$C$7,IF(C3557="Futures",$C$6,$C$5))),""),"")</f>
        <v/>
      </c>
      <c r="I3557" s="139">
        <f>IFERROR(IF(AND(ISNUMBER(F3557),ISNUMBER(H3557)),F3557-H3557,""),"")</f>
        <v/>
      </c>
      <c r="J3557" s="114" t="n"/>
      <c r="K3557" s="139">
        <f>IFERROR(IF(H3557&gt;0,H3557*IF(OR(C3557="Alpha",B3557="Alpha"),$C$9,$C$8),""),"")</f>
        <v/>
      </c>
      <c r="L3557" s="139">
        <f>IFERROR(IF(ISNUMBER(F3557),F3557-IF(ISNUMBER(K3557),K3557,0),""),"")</f>
        <v/>
      </c>
    </row>
    <row r="3558" ht="24" customHeight="1" s="63">
      <c r="E3558" s="139" t="n"/>
      <c r="F3558" s="139" t="n"/>
      <c r="G3558" s="140">
        <f>IFERROR(IF(E3558&gt;0,(F3558/E3558)*1000,""),"")</f>
        <v/>
      </c>
      <c r="H3558" s="139">
        <f>IFERROR(IF(E3558&gt;0,E3558*IF(ISNUMBER(J3558),J3558,IF(OR(C3558="Alpha",B3558="Alpha"),$C$7,IF(C3558="Futures",$C$6,$C$5))),""),"")</f>
        <v/>
      </c>
      <c r="I3558" s="139">
        <f>IFERROR(IF(AND(ISNUMBER(F3558),ISNUMBER(H3558)),F3558-H3558,""),"")</f>
        <v/>
      </c>
      <c r="J3558" s="114" t="n"/>
      <c r="K3558" s="139">
        <f>IFERROR(IF(H3558&gt;0,H3558*IF(OR(C3558="Alpha",B3558="Alpha"),$C$9,$C$8),""),"")</f>
        <v/>
      </c>
      <c r="L3558" s="139">
        <f>IFERROR(IF(ISNUMBER(F3558),F3558-IF(ISNUMBER(K3558),K3558,0),""),"")</f>
        <v/>
      </c>
    </row>
    <row r="3559" ht="24" customHeight="1" s="63">
      <c r="E3559" s="139" t="n"/>
      <c r="F3559" s="139" t="n"/>
      <c r="G3559" s="140">
        <f>IFERROR(IF(E3559&gt;0,(F3559/E3559)*1000,""),"")</f>
        <v/>
      </c>
      <c r="H3559" s="139">
        <f>IFERROR(IF(E3559&gt;0,E3559*IF(ISNUMBER(J3559),J3559,IF(OR(C3559="Alpha",B3559="Alpha"),$C$7,IF(C3559="Futures",$C$6,$C$5))),""),"")</f>
        <v/>
      </c>
      <c r="I3559" s="139">
        <f>IFERROR(IF(AND(ISNUMBER(F3559),ISNUMBER(H3559)),F3559-H3559,""),"")</f>
        <v/>
      </c>
      <c r="J3559" s="114" t="n"/>
      <c r="K3559" s="139">
        <f>IFERROR(IF(H3559&gt;0,H3559*IF(OR(C3559="Alpha",B3559="Alpha"),$C$9,$C$8),""),"")</f>
        <v/>
      </c>
      <c r="L3559" s="139">
        <f>IFERROR(IF(ISNUMBER(F3559),F3559-IF(ISNUMBER(K3559),K3559,0),""),"")</f>
        <v/>
      </c>
    </row>
    <row r="3560" ht="24" customHeight="1" s="63">
      <c r="E3560" s="139" t="n"/>
      <c r="F3560" s="139" t="n"/>
      <c r="G3560" s="140">
        <f>IFERROR(IF(E3560&gt;0,(F3560/E3560)*1000,""),"")</f>
        <v/>
      </c>
      <c r="H3560" s="139">
        <f>IFERROR(IF(E3560&gt;0,E3560*IF(ISNUMBER(J3560),J3560,IF(OR(C3560="Alpha",B3560="Alpha"),$C$7,IF(C3560="Futures",$C$6,$C$5))),""),"")</f>
        <v/>
      </c>
      <c r="I3560" s="139">
        <f>IFERROR(IF(AND(ISNUMBER(F3560),ISNUMBER(H3560)),F3560-H3560,""),"")</f>
        <v/>
      </c>
      <c r="J3560" s="114" t="n"/>
      <c r="K3560" s="139">
        <f>IFERROR(IF(H3560&gt;0,H3560*IF(OR(C3560="Alpha",B3560="Alpha"),$C$9,$C$8),""),"")</f>
        <v/>
      </c>
      <c r="L3560" s="139">
        <f>IFERROR(IF(ISNUMBER(F3560),F3560-IF(ISNUMBER(K3560),K3560,0),""),"")</f>
        <v/>
      </c>
    </row>
    <row r="3561" ht="24" customHeight="1" s="63">
      <c r="E3561" s="139" t="n"/>
      <c r="F3561" s="139" t="n"/>
      <c r="G3561" s="140">
        <f>IFERROR(IF(E3561&gt;0,(F3561/E3561)*1000,""),"")</f>
        <v/>
      </c>
      <c r="H3561" s="139">
        <f>IFERROR(IF(E3561&gt;0,E3561*IF(ISNUMBER(J3561),J3561,IF(OR(C3561="Alpha",B3561="Alpha"),$C$7,IF(C3561="Futures",$C$6,$C$5))),""),"")</f>
        <v/>
      </c>
      <c r="I3561" s="139">
        <f>IFERROR(IF(AND(ISNUMBER(F3561),ISNUMBER(H3561)),F3561-H3561,""),"")</f>
        <v/>
      </c>
      <c r="J3561" s="114" t="n"/>
      <c r="K3561" s="139">
        <f>IFERROR(IF(H3561&gt;0,H3561*IF(OR(C3561="Alpha",B3561="Alpha"),$C$9,$C$8),""),"")</f>
        <v/>
      </c>
      <c r="L3561" s="139">
        <f>IFERROR(IF(ISNUMBER(F3561),F3561-IF(ISNUMBER(K3561),K3561,0),""),"")</f>
        <v/>
      </c>
    </row>
    <row r="3562" ht="24" customHeight="1" s="63">
      <c r="E3562" s="139" t="n"/>
      <c r="F3562" s="139" t="n"/>
      <c r="G3562" s="140">
        <f>IFERROR(IF(E3562&gt;0,(F3562/E3562)*1000,""),"")</f>
        <v/>
      </c>
      <c r="H3562" s="139">
        <f>IFERROR(IF(E3562&gt;0,E3562*IF(ISNUMBER(J3562),J3562,IF(OR(C3562="Alpha",B3562="Alpha"),$C$7,IF(C3562="Futures",$C$6,$C$5))),""),"")</f>
        <v/>
      </c>
      <c r="I3562" s="139">
        <f>IFERROR(IF(AND(ISNUMBER(F3562),ISNUMBER(H3562)),F3562-H3562,""),"")</f>
        <v/>
      </c>
      <c r="J3562" s="114" t="n"/>
      <c r="K3562" s="139">
        <f>IFERROR(IF(H3562&gt;0,H3562*IF(OR(C3562="Alpha",B3562="Alpha"),$C$9,$C$8),""),"")</f>
        <v/>
      </c>
      <c r="L3562" s="139">
        <f>IFERROR(IF(ISNUMBER(F3562),F3562-IF(ISNUMBER(K3562),K3562,0),""),"")</f>
        <v/>
      </c>
    </row>
    <row r="3563" ht="24" customHeight="1" s="63">
      <c r="E3563" s="139" t="n"/>
      <c r="F3563" s="139" t="n"/>
      <c r="G3563" s="140">
        <f>IFERROR(IF(E3563&gt;0,(F3563/E3563)*1000,""),"")</f>
        <v/>
      </c>
      <c r="H3563" s="139">
        <f>IFERROR(IF(E3563&gt;0,E3563*IF(ISNUMBER(J3563),J3563,IF(OR(C3563="Alpha",B3563="Alpha"),$C$7,IF(C3563="Futures",$C$6,$C$5))),""),"")</f>
        <v/>
      </c>
      <c r="I3563" s="139">
        <f>IFERROR(IF(AND(ISNUMBER(F3563),ISNUMBER(H3563)),F3563-H3563,""),"")</f>
        <v/>
      </c>
      <c r="J3563" s="114" t="n"/>
      <c r="K3563" s="139">
        <f>IFERROR(IF(H3563&gt;0,H3563*IF(OR(C3563="Alpha",B3563="Alpha"),$C$9,$C$8),""),"")</f>
        <v/>
      </c>
      <c r="L3563" s="139">
        <f>IFERROR(IF(ISNUMBER(F3563),F3563-IF(ISNUMBER(K3563),K3563,0),""),"")</f>
        <v/>
      </c>
    </row>
    <row r="3564" ht="24" customHeight="1" s="63">
      <c r="E3564" s="139" t="n"/>
      <c r="F3564" s="139" t="n"/>
      <c r="G3564" s="140">
        <f>IFERROR(IF(E3564&gt;0,(F3564/E3564)*1000,""),"")</f>
        <v/>
      </c>
      <c r="H3564" s="139">
        <f>IFERROR(IF(E3564&gt;0,E3564*IF(ISNUMBER(J3564),J3564,IF(OR(C3564="Alpha",B3564="Alpha"),$C$7,IF(C3564="Futures",$C$6,$C$5))),""),"")</f>
        <v/>
      </c>
      <c r="I3564" s="139">
        <f>IFERROR(IF(AND(ISNUMBER(F3564),ISNUMBER(H3564)),F3564-H3564,""),"")</f>
        <v/>
      </c>
      <c r="J3564" s="114" t="n"/>
      <c r="K3564" s="139">
        <f>IFERROR(IF(H3564&gt;0,H3564*IF(OR(C3564="Alpha",B3564="Alpha"),$C$9,$C$8),""),"")</f>
        <v/>
      </c>
      <c r="L3564" s="139">
        <f>IFERROR(IF(ISNUMBER(F3564),F3564-IF(ISNUMBER(K3564),K3564,0),""),"")</f>
        <v/>
      </c>
    </row>
    <row r="3565" ht="24" customHeight="1" s="63">
      <c r="E3565" s="139" t="n"/>
      <c r="F3565" s="139" t="n"/>
      <c r="G3565" s="140">
        <f>IFERROR(IF(E3565&gt;0,(F3565/E3565)*1000,""),"")</f>
        <v/>
      </c>
      <c r="H3565" s="139">
        <f>IFERROR(IF(E3565&gt;0,E3565*IF(ISNUMBER(J3565),J3565,IF(OR(C3565="Alpha",B3565="Alpha"),$C$7,IF(C3565="Futures",$C$6,$C$5))),""),"")</f>
        <v/>
      </c>
      <c r="I3565" s="139">
        <f>IFERROR(IF(AND(ISNUMBER(F3565),ISNUMBER(H3565)),F3565-H3565,""),"")</f>
        <v/>
      </c>
      <c r="J3565" s="114" t="n"/>
      <c r="K3565" s="139">
        <f>IFERROR(IF(H3565&gt;0,H3565*IF(OR(C3565="Alpha",B3565="Alpha"),$C$9,$C$8),""),"")</f>
        <v/>
      </c>
      <c r="L3565" s="139">
        <f>IFERROR(IF(ISNUMBER(F3565),F3565-IF(ISNUMBER(K3565),K3565,0),""),"")</f>
        <v/>
      </c>
    </row>
    <row r="3566" ht="24" customHeight="1" s="63">
      <c r="E3566" s="139" t="n"/>
      <c r="F3566" s="139" t="n"/>
      <c r="G3566" s="140">
        <f>IFERROR(IF(E3566&gt;0,(F3566/E3566)*1000,""),"")</f>
        <v/>
      </c>
      <c r="H3566" s="139">
        <f>IFERROR(IF(E3566&gt;0,E3566*IF(ISNUMBER(J3566),J3566,IF(OR(C3566="Alpha",B3566="Alpha"),$C$7,IF(C3566="Futures",$C$6,$C$5))),""),"")</f>
        <v/>
      </c>
      <c r="I3566" s="139">
        <f>IFERROR(IF(AND(ISNUMBER(F3566),ISNUMBER(H3566)),F3566-H3566,""),"")</f>
        <v/>
      </c>
      <c r="J3566" s="114" t="n"/>
      <c r="K3566" s="139">
        <f>IFERROR(IF(H3566&gt;0,H3566*IF(OR(C3566="Alpha",B3566="Alpha"),$C$9,$C$8),""),"")</f>
        <v/>
      </c>
      <c r="L3566" s="139">
        <f>IFERROR(IF(ISNUMBER(F3566),F3566-IF(ISNUMBER(K3566),K3566,0),""),"")</f>
        <v/>
      </c>
    </row>
    <row r="3567" ht="24" customHeight="1" s="63">
      <c r="E3567" s="139" t="n"/>
      <c r="F3567" s="139" t="n"/>
      <c r="G3567" s="140">
        <f>IFERROR(IF(E3567&gt;0,(F3567/E3567)*1000,""),"")</f>
        <v/>
      </c>
      <c r="H3567" s="139">
        <f>IFERROR(IF(E3567&gt;0,E3567*IF(ISNUMBER(J3567),J3567,IF(OR(C3567="Alpha",B3567="Alpha"),$C$7,IF(C3567="Futures",$C$6,$C$5))),""),"")</f>
        <v/>
      </c>
      <c r="I3567" s="139">
        <f>IFERROR(IF(AND(ISNUMBER(F3567),ISNUMBER(H3567)),F3567-H3567,""),"")</f>
        <v/>
      </c>
      <c r="J3567" s="114" t="n"/>
      <c r="K3567" s="139">
        <f>IFERROR(IF(H3567&gt;0,H3567*IF(OR(C3567="Alpha",B3567="Alpha"),$C$9,$C$8),""),"")</f>
        <v/>
      </c>
      <c r="L3567" s="139">
        <f>IFERROR(IF(ISNUMBER(F3567),F3567-IF(ISNUMBER(K3567),K3567,0),""),"")</f>
        <v/>
      </c>
    </row>
    <row r="3568" ht="24" customHeight="1" s="63">
      <c r="E3568" s="139" t="n"/>
      <c r="F3568" s="139" t="n"/>
      <c r="G3568" s="140">
        <f>IFERROR(IF(E3568&gt;0,(F3568/E3568)*1000,""),"")</f>
        <v/>
      </c>
      <c r="H3568" s="139">
        <f>IFERROR(IF(E3568&gt;0,E3568*IF(ISNUMBER(J3568),J3568,IF(OR(C3568="Alpha",B3568="Alpha"),$C$7,IF(C3568="Futures",$C$6,$C$5))),""),"")</f>
        <v/>
      </c>
      <c r="I3568" s="139">
        <f>IFERROR(IF(AND(ISNUMBER(F3568),ISNUMBER(H3568)),F3568-H3568,""),"")</f>
        <v/>
      </c>
      <c r="J3568" s="114" t="n"/>
      <c r="K3568" s="139">
        <f>IFERROR(IF(H3568&gt;0,H3568*IF(OR(C3568="Alpha",B3568="Alpha"),$C$9,$C$8),""),"")</f>
        <v/>
      </c>
      <c r="L3568" s="139">
        <f>IFERROR(IF(ISNUMBER(F3568),F3568-IF(ISNUMBER(K3568),K3568,0),""),"")</f>
        <v/>
      </c>
    </row>
    <row r="3569" ht="24" customHeight="1" s="63">
      <c r="E3569" s="139" t="n"/>
      <c r="F3569" s="139" t="n"/>
      <c r="G3569" s="140">
        <f>IFERROR(IF(E3569&gt;0,(F3569/E3569)*1000,""),"")</f>
        <v/>
      </c>
      <c r="H3569" s="139">
        <f>IFERROR(IF(E3569&gt;0,E3569*IF(ISNUMBER(J3569),J3569,IF(OR(C3569="Alpha",B3569="Alpha"),$C$7,IF(C3569="Futures",$C$6,$C$5))),""),"")</f>
        <v/>
      </c>
      <c r="I3569" s="139">
        <f>IFERROR(IF(AND(ISNUMBER(F3569),ISNUMBER(H3569)),F3569-H3569,""),"")</f>
        <v/>
      </c>
      <c r="J3569" s="114" t="n"/>
      <c r="K3569" s="139">
        <f>IFERROR(IF(H3569&gt;0,H3569*IF(OR(C3569="Alpha",B3569="Alpha"),$C$9,$C$8),""),"")</f>
        <v/>
      </c>
      <c r="L3569" s="139">
        <f>IFERROR(IF(ISNUMBER(F3569),F3569-IF(ISNUMBER(K3569),K3569,0),""),"")</f>
        <v/>
      </c>
    </row>
    <row r="3570" ht="24" customHeight="1" s="63">
      <c r="E3570" s="139" t="n"/>
      <c r="F3570" s="139" t="n"/>
      <c r="G3570" s="140">
        <f>IFERROR(IF(E3570&gt;0,(F3570/E3570)*1000,""),"")</f>
        <v/>
      </c>
      <c r="H3570" s="139">
        <f>IFERROR(IF(E3570&gt;0,E3570*IF(ISNUMBER(J3570),J3570,IF(OR(C3570="Alpha",B3570="Alpha"),$C$7,IF(C3570="Futures",$C$6,$C$5))),""),"")</f>
        <v/>
      </c>
      <c r="I3570" s="139">
        <f>IFERROR(IF(AND(ISNUMBER(F3570),ISNUMBER(H3570)),F3570-H3570,""),"")</f>
        <v/>
      </c>
      <c r="J3570" s="114" t="n"/>
      <c r="K3570" s="139">
        <f>IFERROR(IF(H3570&gt;0,H3570*IF(OR(C3570="Alpha",B3570="Alpha"),$C$9,$C$8),""),"")</f>
        <v/>
      </c>
      <c r="L3570" s="139">
        <f>IFERROR(IF(ISNUMBER(F3570),F3570-IF(ISNUMBER(K3570),K3570,0),""),"")</f>
        <v/>
      </c>
    </row>
    <row r="3571" ht="24" customHeight="1" s="63">
      <c r="E3571" s="139" t="n"/>
      <c r="F3571" s="139" t="n"/>
      <c r="G3571" s="140">
        <f>IFERROR(IF(E3571&gt;0,(F3571/E3571)*1000,""),"")</f>
        <v/>
      </c>
      <c r="H3571" s="139">
        <f>IFERROR(IF(E3571&gt;0,E3571*IF(ISNUMBER(J3571),J3571,IF(OR(C3571="Alpha",B3571="Alpha"),$C$7,IF(C3571="Futures",$C$6,$C$5))),""),"")</f>
        <v/>
      </c>
      <c r="I3571" s="139">
        <f>IFERROR(IF(AND(ISNUMBER(F3571),ISNUMBER(H3571)),F3571-H3571,""),"")</f>
        <v/>
      </c>
      <c r="J3571" s="114" t="n"/>
      <c r="K3571" s="139">
        <f>IFERROR(IF(H3571&gt;0,H3571*IF(OR(C3571="Alpha",B3571="Alpha"),$C$9,$C$8),""),"")</f>
        <v/>
      </c>
      <c r="L3571" s="139">
        <f>IFERROR(IF(ISNUMBER(F3571),F3571-IF(ISNUMBER(K3571),K3571,0),""),"")</f>
        <v/>
      </c>
    </row>
    <row r="3572" ht="24" customHeight="1" s="63">
      <c r="E3572" s="139" t="n"/>
      <c r="F3572" s="139" t="n"/>
      <c r="G3572" s="140">
        <f>IFERROR(IF(E3572&gt;0,(F3572/E3572)*1000,""),"")</f>
        <v/>
      </c>
      <c r="H3572" s="139">
        <f>IFERROR(IF(E3572&gt;0,E3572*IF(ISNUMBER(J3572),J3572,IF(OR(C3572="Alpha",B3572="Alpha"),$C$7,IF(C3572="Futures",$C$6,$C$5))),""),"")</f>
        <v/>
      </c>
      <c r="I3572" s="139">
        <f>IFERROR(IF(AND(ISNUMBER(F3572),ISNUMBER(H3572)),F3572-H3572,""),"")</f>
        <v/>
      </c>
      <c r="J3572" s="114" t="n"/>
      <c r="K3572" s="139">
        <f>IFERROR(IF(H3572&gt;0,H3572*IF(OR(C3572="Alpha",B3572="Alpha"),$C$9,$C$8),""),"")</f>
        <v/>
      </c>
      <c r="L3572" s="139">
        <f>IFERROR(IF(ISNUMBER(F3572),F3572-IF(ISNUMBER(K3572),K3572,0),""),"")</f>
        <v/>
      </c>
    </row>
    <row r="3573" ht="24" customHeight="1" s="63">
      <c r="E3573" s="139" t="n"/>
      <c r="F3573" s="139" t="n"/>
      <c r="G3573" s="140">
        <f>IFERROR(IF(E3573&gt;0,(F3573/E3573)*1000,""),"")</f>
        <v/>
      </c>
      <c r="H3573" s="139">
        <f>IFERROR(IF(E3573&gt;0,E3573*IF(ISNUMBER(J3573),J3573,IF(OR(C3573="Alpha",B3573="Alpha"),$C$7,IF(C3573="Futures",$C$6,$C$5))),""),"")</f>
        <v/>
      </c>
      <c r="I3573" s="139">
        <f>IFERROR(IF(AND(ISNUMBER(F3573),ISNUMBER(H3573)),F3573-H3573,""),"")</f>
        <v/>
      </c>
      <c r="J3573" s="114" t="n"/>
      <c r="K3573" s="139">
        <f>IFERROR(IF(H3573&gt;0,H3573*IF(OR(C3573="Alpha",B3573="Alpha"),$C$9,$C$8),""),"")</f>
        <v/>
      </c>
      <c r="L3573" s="139">
        <f>IFERROR(IF(ISNUMBER(F3573),F3573-IF(ISNUMBER(K3573),K3573,0),""),"")</f>
        <v/>
      </c>
    </row>
    <row r="3574" ht="24" customHeight="1" s="63">
      <c r="E3574" s="139" t="n"/>
      <c r="F3574" s="139" t="n"/>
      <c r="G3574" s="140">
        <f>IFERROR(IF(E3574&gt;0,(F3574/E3574)*1000,""),"")</f>
        <v/>
      </c>
      <c r="H3574" s="139">
        <f>IFERROR(IF(E3574&gt;0,E3574*IF(ISNUMBER(J3574),J3574,IF(OR(C3574="Alpha",B3574="Alpha"),$C$7,IF(C3574="Futures",$C$6,$C$5))),""),"")</f>
        <v/>
      </c>
      <c r="I3574" s="139">
        <f>IFERROR(IF(AND(ISNUMBER(F3574),ISNUMBER(H3574)),F3574-H3574,""),"")</f>
        <v/>
      </c>
      <c r="J3574" s="114" t="n"/>
      <c r="K3574" s="139">
        <f>IFERROR(IF(H3574&gt;0,H3574*IF(OR(C3574="Alpha",B3574="Alpha"),$C$9,$C$8),""),"")</f>
        <v/>
      </c>
      <c r="L3574" s="139">
        <f>IFERROR(IF(ISNUMBER(F3574),F3574-IF(ISNUMBER(K3574),K3574,0),""),"")</f>
        <v/>
      </c>
    </row>
    <row r="3575" ht="24" customHeight="1" s="63">
      <c r="E3575" s="139" t="n"/>
      <c r="F3575" s="139" t="n"/>
      <c r="G3575" s="140">
        <f>IFERROR(IF(E3575&gt;0,(F3575/E3575)*1000,""),"")</f>
        <v/>
      </c>
      <c r="H3575" s="139">
        <f>IFERROR(IF(E3575&gt;0,E3575*IF(ISNUMBER(J3575),J3575,IF(OR(C3575="Alpha",B3575="Alpha"),$C$7,IF(C3575="Futures",$C$6,$C$5))),""),"")</f>
        <v/>
      </c>
      <c r="I3575" s="139">
        <f>IFERROR(IF(AND(ISNUMBER(F3575),ISNUMBER(H3575)),F3575-H3575,""),"")</f>
        <v/>
      </c>
      <c r="J3575" s="114" t="n"/>
      <c r="K3575" s="139">
        <f>IFERROR(IF(H3575&gt;0,H3575*IF(OR(C3575="Alpha",B3575="Alpha"),$C$9,$C$8),""),"")</f>
        <v/>
      </c>
      <c r="L3575" s="139">
        <f>IFERROR(IF(ISNUMBER(F3575),F3575-IF(ISNUMBER(K3575),K3575,0),""),"")</f>
        <v/>
      </c>
    </row>
    <row r="3576" ht="24" customHeight="1" s="63">
      <c r="E3576" s="139" t="n"/>
      <c r="F3576" s="139" t="n"/>
      <c r="G3576" s="140">
        <f>IFERROR(IF(E3576&gt;0,(F3576/E3576)*1000,""),"")</f>
        <v/>
      </c>
      <c r="H3576" s="139">
        <f>IFERROR(IF(E3576&gt;0,E3576*IF(ISNUMBER(J3576),J3576,IF(OR(C3576="Alpha",B3576="Alpha"),$C$7,IF(C3576="Futures",$C$6,$C$5))),""),"")</f>
        <v/>
      </c>
      <c r="I3576" s="139">
        <f>IFERROR(IF(AND(ISNUMBER(F3576),ISNUMBER(H3576)),F3576-H3576,""),"")</f>
        <v/>
      </c>
      <c r="J3576" s="114" t="n"/>
      <c r="K3576" s="139">
        <f>IFERROR(IF(H3576&gt;0,H3576*IF(OR(C3576="Alpha",B3576="Alpha"),$C$9,$C$8),""),"")</f>
        <v/>
      </c>
      <c r="L3576" s="139">
        <f>IFERROR(IF(ISNUMBER(F3576),F3576-IF(ISNUMBER(K3576),K3576,0),""),"")</f>
        <v/>
      </c>
    </row>
    <row r="3577" ht="24" customHeight="1" s="63">
      <c r="E3577" s="139" t="n"/>
      <c r="F3577" s="139" t="n"/>
      <c r="G3577" s="140">
        <f>IFERROR(IF(E3577&gt;0,(F3577/E3577)*1000,""),"")</f>
        <v/>
      </c>
      <c r="H3577" s="139">
        <f>IFERROR(IF(E3577&gt;0,E3577*IF(ISNUMBER(J3577),J3577,IF(OR(C3577="Alpha",B3577="Alpha"),$C$7,IF(C3577="Futures",$C$6,$C$5))),""),"")</f>
        <v/>
      </c>
      <c r="I3577" s="139">
        <f>IFERROR(IF(AND(ISNUMBER(F3577),ISNUMBER(H3577)),F3577-H3577,""),"")</f>
        <v/>
      </c>
      <c r="J3577" s="114" t="n"/>
      <c r="K3577" s="139">
        <f>IFERROR(IF(H3577&gt;0,H3577*IF(OR(C3577="Alpha",B3577="Alpha"),$C$9,$C$8),""),"")</f>
        <v/>
      </c>
      <c r="L3577" s="139">
        <f>IFERROR(IF(ISNUMBER(F3577),F3577-IF(ISNUMBER(K3577),K3577,0),""),"")</f>
        <v/>
      </c>
    </row>
    <row r="3578" ht="24" customHeight="1" s="63">
      <c r="E3578" s="139" t="n"/>
      <c r="F3578" s="139" t="n"/>
      <c r="G3578" s="140">
        <f>IFERROR(IF(E3578&gt;0,(F3578/E3578)*1000,""),"")</f>
        <v/>
      </c>
      <c r="H3578" s="139">
        <f>IFERROR(IF(E3578&gt;0,E3578*IF(ISNUMBER(J3578),J3578,IF(OR(C3578="Alpha",B3578="Alpha"),$C$7,IF(C3578="Futures",$C$6,$C$5))),""),"")</f>
        <v/>
      </c>
      <c r="I3578" s="139">
        <f>IFERROR(IF(AND(ISNUMBER(F3578),ISNUMBER(H3578)),F3578-H3578,""),"")</f>
        <v/>
      </c>
      <c r="J3578" s="114" t="n"/>
      <c r="K3578" s="139">
        <f>IFERROR(IF(H3578&gt;0,H3578*IF(OR(C3578="Alpha",B3578="Alpha"),$C$9,$C$8),""),"")</f>
        <v/>
      </c>
      <c r="L3578" s="139">
        <f>IFERROR(IF(ISNUMBER(F3578),F3578-IF(ISNUMBER(K3578),K3578,0),""),"")</f>
        <v/>
      </c>
    </row>
    <row r="3579" ht="24" customHeight="1" s="63">
      <c r="E3579" s="139" t="n"/>
      <c r="F3579" s="139" t="n"/>
      <c r="G3579" s="140">
        <f>IFERROR(IF(E3579&gt;0,(F3579/E3579)*1000,""),"")</f>
        <v/>
      </c>
      <c r="H3579" s="139">
        <f>IFERROR(IF(E3579&gt;0,E3579*IF(ISNUMBER(J3579),J3579,IF(OR(C3579="Alpha",B3579="Alpha"),$C$7,IF(C3579="Futures",$C$6,$C$5))),""),"")</f>
        <v/>
      </c>
      <c r="I3579" s="139">
        <f>IFERROR(IF(AND(ISNUMBER(F3579),ISNUMBER(H3579)),F3579-H3579,""),"")</f>
        <v/>
      </c>
      <c r="J3579" s="114" t="n"/>
      <c r="K3579" s="139">
        <f>IFERROR(IF(H3579&gt;0,H3579*IF(OR(C3579="Alpha",B3579="Alpha"),$C$9,$C$8),""),"")</f>
        <v/>
      </c>
      <c r="L3579" s="139">
        <f>IFERROR(IF(ISNUMBER(F3579),F3579-IF(ISNUMBER(K3579),K3579,0),""),"")</f>
        <v/>
      </c>
    </row>
    <row r="3580" ht="24" customHeight="1" s="63">
      <c r="E3580" s="139" t="n"/>
      <c r="F3580" s="139" t="n"/>
      <c r="G3580" s="140">
        <f>IFERROR(IF(E3580&gt;0,(F3580/E3580)*1000,""),"")</f>
        <v/>
      </c>
      <c r="H3580" s="139">
        <f>IFERROR(IF(E3580&gt;0,E3580*IF(ISNUMBER(J3580),J3580,IF(OR(C3580="Alpha",B3580="Alpha"),$C$7,IF(C3580="Futures",$C$6,$C$5))),""),"")</f>
        <v/>
      </c>
      <c r="I3580" s="139">
        <f>IFERROR(IF(AND(ISNUMBER(F3580),ISNUMBER(H3580)),F3580-H3580,""),"")</f>
        <v/>
      </c>
      <c r="J3580" s="114" t="n"/>
      <c r="K3580" s="139">
        <f>IFERROR(IF(H3580&gt;0,H3580*IF(OR(C3580="Alpha",B3580="Alpha"),$C$9,$C$8),""),"")</f>
        <v/>
      </c>
      <c r="L3580" s="139">
        <f>IFERROR(IF(ISNUMBER(F3580),F3580-IF(ISNUMBER(K3580),K3580,0),""),"")</f>
        <v/>
      </c>
    </row>
    <row r="3581" ht="24" customHeight="1" s="63">
      <c r="E3581" s="139" t="n"/>
      <c r="F3581" s="139" t="n"/>
      <c r="G3581" s="140">
        <f>IFERROR(IF(E3581&gt;0,(F3581/E3581)*1000,""),"")</f>
        <v/>
      </c>
      <c r="H3581" s="139">
        <f>IFERROR(IF(E3581&gt;0,E3581*IF(ISNUMBER(J3581),J3581,IF(OR(C3581="Alpha",B3581="Alpha"),$C$7,IF(C3581="Futures",$C$6,$C$5))),""),"")</f>
        <v/>
      </c>
      <c r="I3581" s="139">
        <f>IFERROR(IF(AND(ISNUMBER(F3581),ISNUMBER(H3581)),F3581-H3581,""),"")</f>
        <v/>
      </c>
      <c r="J3581" s="114" t="n"/>
      <c r="K3581" s="139">
        <f>IFERROR(IF(H3581&gt;0,H3581*IF(OR(C3581="Alpha",B3581="Alpha"),$C$9,$C$8),""),"")</f>
        <v/>
      </c>
      <c r="L3581" s="139">
        <f>IFERROR(IF(ISNUMBER(F3581),F3581-IF(ISNUMBER(K3581),K3581,0),""),"")</f>
        <v/>
      </c>
    </row>
    <row r="3582" ht="24" customHeight="1" s="63">
      <c r="E3582" s="139" t="n"/>
      <c r="F3582" s="139" t="n"/>
      <c r="G3582" s="140">
        <f>IFERROR(IF(E3582&gt;0,(F3582/E3582)*1000,""),"")</f>
        <v/>
      </c>
      <c r="H3582" s="139">
        <f>IFERROR(IF(E3582&gt;0,E3582*IF(ISNUMBER(J3582),J3582,IF(OR(C3582="Alpha",B3582="Alpha"),$C$7,IF(C3582="Futures",$C$6,$C$5))),""),"")</f>
        <v/>
      </c>
      <c r="I3582" s="139">
        <f>IFERROR(IF(AND(ISNUMBER(F3582),ISNUMBER(H3582)),F3582-H3582,""),"")</f>
        <v/>
      </c>
      <c r="J3582" s="114" t="n"/>
      <c r="K3582" s="139">
        <f>IFERROR(IF(H3582&gt;0,H3582*IF(OR(C3582="Alpha",B3582="Alpha"),$C$9,$C$8),""),"")</f>
        <v/>
      </c>
      <c r="L3582" s="139">
        <f>IFERROR(IF(ISNUMBER(F3582),F3582-IF(ISNUMBER(K3582),K3582,0),""),"")</f>
        <v/>
      </c>
    </row>
    <row r="3583" ht="24" customHeight="1" s="63">
      <c r="E3583" s="139" t="n"/>
      <c r="F3583" s="139" t="n"/>
      <c r="G3583" s="140">
        <f>IFERROR(IF(E3583&gt;0,(F3583/E3583)*1000,""),"")</f>
        <v/>
      </c>
      <c r="H3583" s="139">
        <f>IFERROR(IF(E3583&gt;0,E3583*IF(ISNUMBER(J3583),J3583,IF(OR(C3583="Alpha",B3583="Alpha"),$C$7,IF(C3583="Futures",$C$6,$C$5))),""),"")</f>
        <v/>
      </c>
      <c r="I3583" s="139">
        <f>IFERROR(IF(AND(ISNUMBER(F3583),ISNUMBER(H3583)),F3583-H3583,""),"")</f>
        <v/>
      </c>
      <c r="J3583" s="114" t="n"/>
      <c r="K3583" s="139">
        <f>IFERROR(IF(H3583&gt;0,H3583*IF(OR(C3583="Alpha",B3583="Alpha"),$C$9,$C$8),""),"")</f>
        <v/>
      </c>
      <c r="L3583" s="139">
        <f>IFERROR(IF(ISNUMBER(F3583),F3583-IF(ISNUMBER(K3583),K3583,0),""),"")</f>
        <v/>
      </c>
    </row>
    <row r="3584" ht="24" customHeight="1" s="63">
      <c r="E3584" s="139" t="n"/>
      <c r="F3584" s="139" t="n"/>
      <c r="G3584" s="140">
        <f>IFERROR(IF(E3584&gt;0,(F3584/E3584)*1000,""),"")</f>
        <v/>
      </c>
      <c r="H3584" s="139">
        <f>IFERROR(IF(E3584&gt;0,E3584*IF(ISNUMBER(J3584),J3584,IF(OR(C3584="Alpha",B3584="Alpha"),$C$7,IF(C3584="Futures",$C$6,$C$5))),""),"")</f>
        <v/>
      </c>
      <c r="I3584" s="139">
        <f>IFERROR(IF(AND(ISNUMBER(F3584),ISNUMBER(H3584)),F3584-H3584,""),"")</f>
        <v/>
      </c>
      <c r="J3584" s="114" t="n"/>
      <c r="K3584" s="139">
        <f>IFERROR(IF(H3584&gt;0,H3584*IF(OR(C3584="Alpha",B3584="Alpha"),$C$9,$C$8),""),"")</f>
        <v/>
      </c>
      <c r="L3584" s="139">
        <f>IFERROR(IF(ISNUMBER(F3584),F3584-IF(ISNUMBER(K3584),K3584,0),""),"")</f>
        <v/>
      </c>
    </row>
    <row r="3585" ht="24" customHeight="1" s="63">
      <c r="E3585" s="139" t="n"/>
      <c r="F3585" s="139" t="n"/>
      <c r="G3585" s="140">
        <f>IFERROR(IF(E3585&gt;0,(F3585/E3585)*1000,""),"")</f>
        <v/>
      </c>
      <c r="H3585" s="139">
        <f>IFERROR(IF(E3585&gt;0,E3585*IF(ISNUMBER(J3585),J3585,IF(OR(C3585="Alpha",B3585="Alpha"),$C$7,IF(C3585="Futures",$C$6,$C$5))),""),"")</f>
        <v/>
      </c>
      <c r="I3585" s="139">
        <f>IFERROR(IF(AND(ISNUMBER(F3585),ISNUMBER(H3585)),F3585-H3585,""),"")</f>
        <v/>
      </c>
      <c r="J3585" s="114" t="n"/>
      <c r="K3585" s="139">
        <f>IFERROR(IF(H3585&gt;0,H3585*IF(OR(C3585="Alpha",B3585="Alpha"),$C$9,$C$8),""),"")</f>
        <v/>
      </c>
      <c r="L3585" s="139">
        <f>IFERROR(IF(ISNUMBER(F3585),F3585-IF(ISNUMBER(K3585),K3585,0),""),"")</f>
        <v/>
      </c>
    </row>
    <row r="3586" ht="24" customHeight="1" s="63">
      <c r="E3586" s="139" t="n"/>
      <c r="F3586" s="139" t="n"/>
      <c r="G3586" s="140">
        <f>IFERROR(IF(E3586&gt;0,(F3586/E3586)*1000,""),"")</f>
        <v/>
      </c>
      <c r="H3586" s="139">
        <f>IFERROR(IF(E3586&gt;0,E3586*IF(ISNUMBER(J3586),J3586,IF(OR(C3586="Alpha",B3586="Alpha"),$C$7,IF(C3586="Futures",$C$6,$C$5))),""),"")</f>
        <v/>
      </c>
      <c r="I3586" s="139">
        <f>IFERROR(IF(AND(ISNUMBER(F3586),ISNUMBER(H3586)),F3586-H3586,""),"")</f>
        <v/>
      </c>
      <c r="J3586" s="114" t="n"/>
      <c r="K3586" s="139">
        <f>IFERROR(IF(H3586&gt;0,H3586*IF(OR(C3586="Alpha",B3586="Alpha"),$C$9,$C$8),""),"")</f>
        <v/>
      </c>
      <c r="L3586" s="139">
        <f>IFERROR(IF(ISNUMBER(F3586),F3586-IF(ISNUMBER(K3586),K3586,0),""),"")</f>
        <v/>
      </c>
    </row>
    <row r="3587" ht="24" customHeight="1" s="63">
      <c r="E3587" s="139" t="n"/>
      <c r="F3587" s="139" t="n"/>
      <c r="G3587" s="140">
        <f>IFERROR(IF(E3587&gt;0,(F3587/E3587)*1000,""),"")</f>
        <v/>
      </c>
      <c r="H3587" s="139">
        <f>IFERROR(IF(E3587&gt;0,E3587*IF(ISNUMBER(J3587),J3587,IF(OR(C3587="Alpha",B3587="Alpha"),$C$7,IF(C3587="Futures",$C$6,$C$5))),""),"")</f>
        <v/>
      </c>
      <c r="I3587" s="139">
        <f>IFERROR(IF(AND(ISNUMBER(F3587),ISNUMBER(H3587)),F3587-H3587,""),"")</f>
        <v/>
      </c>
      <c r="J3587" s="114" t="n"/>
      <c r="K3587" s="139">
        <f>IFERROR(IF(H3587&gt;0,H3587*IF(OR(C3587="Alpha",B3587="Alpha"),$C$9,$C$8),""),"")</f>
        <v/>
      </c>
      <c r="L3587" s="139">
        <f>IFERROR(IF(ISNUMBER(F3587),F3587-IF(ISNUMBER(K3587),K3587,0),""),"")</f>
        <v/>
      </c>
    </row>
    <row r="3588" ht="24" customHeight="1" s="63">
      <c r="E3588" s="139" t="n"/>
      <c r="F3588" s="139" t="n"/>
      <c r="G3588" s="140">
        <f>IFERROR(IF(E3588&gt;0,(F3588/E3588)*1000,""),"")</f>
        <v/>
      </c>
      <c r="H3588" s="139">
        <f>IFERROR(IF(E3588&gt;0,E3588*IF(ISNUMBER(J3588),J3588,IF(OR(C3588="Alpha",B3588="Alpha"),$C$7,IF(C3588="Futures",$C$6,$C$5))),""),"")</f>
        <v/>
      </c>
      <c r="I3588" s="139">
        <f>IFERROR(IF(AND(ISNUMBER(F3588),ISNUMBER(H3588)),F3588-H3588,""),"")</f>
        <v/>
      </c>
      <c r="J3588" s="114" t="n"/>
      <c r="K3588" s="139">
        <f>IFERROR(IF(H3588&gt;0,H3588*IF(OR(C3588="Alpha",B3588="Alpha"),$C$9,$C$8),""),"")</f>
        <v/>
      </c>
      <c r="L3588" s="139">
        <f>IFERROR(IF(ISNUMBER(F3588),F3588-IF(ISNUMBER(K3588),K3588,0),""),"")</f>
        <v/>
      </c>
    </row>
    <row r="3589" ht="24" customHeight="1" s="63">
      <c r="E3589" s="139" t="n"/>
      <c r="F3589" s="139" t="n"/>
      <c r="G3589" s="140">
        <f>IFERROR(IF(E3589&gt;0,(F3589/E3589)*1000,""),"")</f>
        <v/>
      </c>
      <c r="H3589" s="139">
        <f>IFERROR(IF(E3589&gt;0,E3589*IF(ISNUMBER(J3589),J3589,IF(OR(C3589="Alpha",B3589="Alpha"),$C$7,IF(C3589="Futures",$C$6,$C$5))),""),"")</f>
        <v/>
      </c>
      <c r="I3589" s="139">
        <f>IFERROR(IF(AND(ISNUMBER(F3589),ISNUMBER(H3589)),F3589-H3589,""),"")</f>
        <v/>
      </c>
      <c r="J3589" s="114" t="n"/>
      <c r="K3589" s="139">
        <f>IFERROR(IF(H3589&gt;0,H3589*IF(OR(C3589="Alpha",B3589="Alpha"),$C$9,$C$8),""),"")</f>
        <v/>
      </c>
      <c r="L3589" s="139">
        <f>IFERROR(IF(ISNUMBER(F3589),F3589-IF(ISNUMBER(K3589),K3589,0),""),"")</f>
        <v/>
      </c>
    </row>
    <row r="3590" ht="24" customHeight="1" s="63">
      <c r="E3590" s="139" t="n"/>
      <c r="F3590" s="139" t="n"/>
      <c r="G3590" s="140">
        <f>IFERROR(IF(E3590&gt;0,(F3590/E3590)*1000,""),"")</f>
        <v/>
      </c>
      <c r="H3590" s="139">
        <f>IFERROR(IF(E3590&gt;0,E3590*IF(ISNUMBER(J3590),J3590,IF(OR(C3590="Alpha",B3590="Alpha"),$C$7,IF(C3590="Futures",$C$6,$C$5))),""),"")</f>
        <v/>
      </c>
      <c r="I3590" s="139">
        <f>IFERROR(IF(AND(ISNUMBER(F3590),ISNUMBER(H3590)),F3590-H3590,""),"")</f>
        <v/>
      </c>
      <c r="J3590" s="114" t="n"/>
      <c r="K3590" s="139">
        <f>IFERROR(IF(H3590&gt;0,H3590*IF(OR(C3590="Alpha",B3590="Alpha"),$C$9,$C$8),""),"")</f>
        <v/>
      </c>
      <c r="L3590" s="139">
        <f>IFERROR(IF(ISNUMBER(F3590),F3590-IF(ISNUMBER(K3590),K3590,0),""),"")</f>
        <v/>
      </c>
    </row>
    <row r="3591" ht="24" customHeight="1" s="63">
      <c r="E3591" s="139" t="n"/>
      <c r="F3591" s="139" t="n"/>
      <c r="G3591" s="140">
        <f>IFERROR(IF(E3591&gt;0,(F3591/E3591)*1000,""),"")</f>
        <v/>
      </c>
      <c r="H3591" s="139">
        <f>IFERROR(IF(E3591&gt;0,E3591*IF(ISNUMBER(J3591),J3591,IF(OR(C3591="Alpha",B3591="Alpha"),$C$7,IF(C3591="Futures",$C$6,$C$5))),""),"")</f>
        <v/>
      </c>
      <c r="I3591" s="139">
        <f>IFERROR(IF(AND(ISNUMBER(F3591),ISNUMBER(H3591)),F3591-H3591,""),"")</f>
        <v/>
      </c>
      <c r="J3591" s="114" t="n"/>
      <c r="K3591" s="139">
        <f>IFERROR(IF(H3591&gt;0,H3591*IF(OR(C3591="Alpha",B3591="Alpha"),$C$9,$C$8),""),"")</f>
        <v/>
      </c>
      <c r="L3591" s="139">
        <f>IFERROR(IF(ISNUMBER(F3591),F3591-IF(ISNUMBER(K3591),K3591,0),""),"")</f>
        <v/>
      </c>
    </row>
    <row r="3592" ht="24" customHeight="1" s="63">
      <c r="E3592" s="139" t="n"/>
      <c r="F3592" s="139" t="n"/>
      <c r="G3592" s="140">
        <f>IFERROR(IF(E3592&gt;0,(F3592/E3592)*1000,""),"")</f>
        <v/>
      </c>
      <c r="H3592" s="139">
        <f>IFERROR(IF(E3592&gt;0,E3592*IF(ISNUMBER(J3592),J3592,IF(OR(C3592="Alpha",B3592="Alpha"),$C$7,IF(C3592="Futures",$C$6,$C$5))),""),"")</f>
        <v/>
      </c>
      <c r="I3592" s="139">
        <f>IFERROR(IF(AND(ISNUMBER(F3592),ISNUMBER(H3592)),F3592-H3592,""),"")</f>
        <v/>
      </c>
      <c r="J3592" s="114" t="n"/>
      <c r="K3592" s="139">
        <f>IFERROR(IF(H3592&gt;0,H3592*IF(OR(C3592="Alpha",B3592="Alpha"),$C$9,$C$8),""),"")</f>
        <v/>
      </c>
      <c r="L3592" s="139">
        <f>IFERROR(IF(ISNUMBER(F3592),F3592-IF(ISNUMBER(K3592),K3592,0),""),"")</f>
        <v/>
      </c>
    </row>
    <row r="3593" ht="24" customHeight="1" s="63">
      <c r="E3593" s="139" t="n"/>
      <c r="F3593" s="139" t="n"/>
      <c r="G3593" s="140">
        <f>IFERROR(IF(E3593&gt;0,(F3593/E3593)*1000,""),"")</f>
        <v/>
      </c>
      <c r="H3593" s="139">
        <f>IFERROR(IF(E3593&gt;0,E3593*IF(ISNUMBER(J3593),J3593,IF(OR(C3593="Alpha",B3593="Alpha"),$C$7,IF(C3593="Futures",$C$6,$C$5))),""),"")</f>
        <v/>
      </c>
      <c r="I3593" s="139">
        <f>IFERROR(IF(AND(ISNUMBER(F3593),ISNUMBER(H3593)),F3593-H3593,""),"")</f>
        <v/>
      </c>
      <c r="J3593" s="114" t="n"/>
      <c r="K3593" s="139">
        <f>IFERROR(IF(H3593&gt;0,H3593*IF(OR(C3593="Alpha",B3593="Alpha"),$C$9,$C$8),""),"")</f>
        <v/>
      </c>
      <c r="L3593" s="139">
        <f>IFERROR(IF(ISNUMBER(F3593),F3593-IF(ISNUMBER(K3593),K3593,0),""),"")</f>
        <v/>
      </c>
    </row>
    <row r="3594" ht="24" customHeight="1" s="63">
      <c r="E3594" s="139" t="n"/>
      <c r="F3594" s="139" t="n"/>
      <c r="G3594" s="140">
        <f>IFERROR(IF(E3594&gt;0,(F3594/E3594)*1000,""),"")</f>
        <v/>
      </c>
      <c r="H3594" s="139">
        <f>IFERROR(IF(E3594&gt;0,E3594*IF(ISNUMBER(J3594),J3594,IF(OR(C3594="Alpha",B3594="Alpha"),$C$7,IF(C3594="Futures",$C$6,$C$5))),""),"")</f>
        <v/>
      </c>
      <c r="I3594" s="139">
        <f>IFERROR(IF(AND(ISNUMBER(F3594),ISNUMBER(H3594)),F3594-H3594,""),"")</f>
        <v/>
      </c>
      <c r="J3594" s="114" t="n"/>
      <c r="K3594" s="139">
        <f>IFERROR(IF(H3594&gt;0,H3594*IF(OR(C3594="Alpha",B3594="Alpha"),$C$9,$C$8),""),"")</f>
        <v/>
      </c>
      <c r="L3594" s="139">
        <f>IFERROR(IF(ISNUMBER(F3594),F3594-IF(ISNUMBER(K3594),K3594,0),""),"")</f>
        <v/>
      </c>
    </row>
    <row r="3595" ht="24" customHeight="1" s="63">
      <c r="E3595" s="139" t="n"/>
      <c r="F3595" s="139" t="n"/>
      <c r="G3595" s="140">
        <f>IFERROR(IF(E3595&gt;0,(F3595/E3595)*1000,""),"")</f>
        <v/>
      </c>
      <c r="H3595" s="139">
        <f>IFERROR(IF(E3595&gt;0,E3595*IF(ISNUMBER(J3595),J3595,IF(OR(C3595="Alpha",B3595="Alpha"),$C$7,IF(C3595="Futures",$C$6,$C$5))),""),"")</f>
        <v/>
      </c>
      <c r="I3595" s="139">
        <f>IFERROR(IF(AND(ISNUMBER(F3595),ISNUMBER(H3595)),F3595-H3595,""),"")</f>
        <v/>
      </c>
      <c r="J3595" s="114" t="n"/>
      <c r="K3595" s="139">
        <f>IFERROR(IF(H3595&gt;0,H3595*IF(OR(C3595="Alpha",B3595="Alpha"),$C$9,$C$8),""),"")</f>
        <v/>
      </c>
      <c r="L3595" s="139">
        <f>IFERROR(IF(ISNUMBER(F3595),F3595-IF(ISNUMBER(K3595),K3595,0),""),"")</f>
        <v/>
      </c>
    </row>
    <row r="3596" ht="24" customHeight="1" s="63">
      <c r="E3596" s="139" t="n"/>
      <c r="F3596" s="139" t="n"/>
      <c r="G3596" s="140">
        <f>IFERROR(IF(E3596&gt;0,(F3596/E3596)*1000,""),"")</f>
        <v/>
      </c>
      <c r="H3596" s="139">
        <f>IFERROR(IF(E3596&gt;0,E3596*IF(ISNUMBER(J3596),J3596,IF(OR(C3596="Alpha",B3596="Alpha"),$C$7,IF(C3596="Futures",$C$6,$C$5))),""),"")</f>
        <v/>
      </c>
      <c r="I3596" s="139">
        <f>IFERROR(IF(AND(ISNUMBER(F3596),ISNUMBER(H3596)),F3596-H3596,""),"")</f>
        <v/>
      </c>
      <c r="J3596" s="114" t="n"/>
      <c r="K3596" s="139">
        <f>IFERROR(IF(H3596&gt;0,H3596*IF(OR(C3596="Alpha",B3596="Alpha"),$C$9,$C$8),""),"")</f>
        <v/>
      </c>
      <c r="L3596" s="139">
        <f>IFERROR(IF(ISNUMBER(F3596),F3596-IF(ISNUMBER(K3596),K3596,0),""),"")</f>
        <v/>
      </c>
    </row>
    <row r="3597" ht="24" customHeight="1" s="63">
      <c r="E3597" s="139" t="n"/>
      <c r="F3597" s="139" t="n"/>
      <c r="G3597" s="140">
        <f>IFERROR(IF(E3597&gt;0,(F3597/E3597)*1000,""),"")</f>
        <v/>
      </c>
      <c r="H3597" s="139">
        <f>IFERROR(IF(E3597&gt;0,E3597*IF(ISNUMBER(J3597),J3597,IF(OR(C3597="Alpha",B3597="Alpha"),$C$7,IF(C3597="Futures",$C$6,$C$5))),""),"")</f>
        <v/>
      </c>
      <c r="I3597" s="139">
        <f>IFERROR(IF(AND(ISNUMBER(F3597),ISNUMBER(H3597)),F3597-H3597,""),"")</f>
        <v/>
      </c>
      <c r="J3597" s="114" t="n"/>
      <c r="K3597" s="139">
        <f>IFERROR(IF(H3597&gt;0,H3597*IF(OR(C3597="Alpha",B3597="Alpha"),$C$9,$C$8),""),"")</f>
        <v/>
      </c>
      <c r="L3597" s="139">
        <f>IFERROR(IF(ISNUMBER(F3597),F3597-IF(ISNUMBER(K3597),K3597,0),""),"")</f>
        <v/>
      </c>
    </row>
    <row r="3598" ht="24" customHeight="1" s="63">
      <c r="E3598" s="139" t="n"/>
      <c r="F3598" s="139" t="n"/>
      <c r="G3598" s="140">
        <f>IFERROR(IF(E3598&gt;0,(F3598/E3598)*1000,""),"")</f>
        <v/>
      </c>
      <c r="H3598" s="139">
        <f>IFERROR(IF(E3598&gt;0,E3598*IF(ISNUMBER(J3598),J3598,IF(OR(C3598="Alpha",B3598="Alpha"),$C$7,IF(C3598="Futures",$C$6,$C$5))),""),"")</f>
        <v/>
      </c>
      <c r="I3598" s="139">
        <f>IFERROR(IF(AND(ISNUMBER(F3598),ISNUMBER(H3598)),F3598-H3598,""),"")</f>
        <v/>
      </c>
      <c r="J3598" s="114" t="n"/>
      <c r="K3598" s="139">
        <f>IFERROR(IF(H3598&gt;0,H3598*IF(OR(C3598="Alpha",B3598="Alpha"),$C$9,$C$8),""),"")</f>
        <v/>
      </c>
      <c r="L3598" s="139">
        <f>IFERROR(IF(ISNUMBER(F3598),F3598-IF(ISNUMBER(K3598),K3598,0),""),"")</f>
        <v/>
      </c>
    </row>
    <row r="3599" ht="24" customHeight="1" s="63">
      <c r="E3599" s="139" t="n"/>
      <c r="F3599" s="139" t="n"/>
      <c r="G3599" s="140">
        <f>IFERROR(IF(E3599&gt;0,(F3599/E3599)*1000,""),"")</f>
        <v/>
      </c>
      <c r="H3599" s="139">
        <f>IFERROR(IF(E3599&gt;0,E3599*IF(ISNUMBER(J3599),J3599,IF(OR(C3599="Alpha",B3599="Alpha"),$C$7,IF(C3599="Futures",$C$6,$C$5))),""),"")</f>
        <v/>
      </c>
      <c r="I3599" s="139">
        <f>IFERROR(IF(AND(ISNUMBER(F3599),ISNUMBER(H3599)),F3599-H3599,""),"")</f>
        <v/>
      </c>
      <c r="J3599" s="114" t="n"/>
      <c r="K3599" s="139">
        <f>IFERROR(IF(H3599&gt;0,H3599*IF(OR(C3599="Alpha",B3599="Alpha"),$C$9,$C$8),""),"")</f>
        <v/>
      </c>
      <c r="L3599" s="139">
        <f>IFERROR(IF(ISNUMBER(F3599),F3599-IF(ISNUMBER(K3599),K3599,0),""),"")</f>
        <v/>
      </c>
    </row>
    <row r="3600" ht="24" customHeight="1" s="63">
      <c r="E3600" s="139" t="n"/>
      <c r="F3600" s="139" t="n"/>
      <c r="G3600" s="140">
        <f>IFERROR(IF(E3600&gt;0,(F3600/E3600)*1000,""),"")</f>
        <v/>
      </c>
      <c r="H3600" s="139">
        <f>IFERROR(IF(E3600&gt;0,E3600*IF(ISNUMBER(J3600),J3600,IF(OR(C3600="Alpha",B3600="Alpha"),$C$7,IF(C3600="Futures",$C$6,$C$5))),""),"")</f>
        <v/>
      </c>
      <c r="I3600" s="139">
        <f>IFERROR(IF(AND(ISNUMBER(F3600),ISNUMBER(H3600)),F3600-H3600,""),"")</f>
        <v/>
      </c>
      <c r="J3600" s="114" t="n"/>
      <c r="K3600" s="139">
        <f>IFERROR(IF(H3600&gt;0,H3600*IF(OR(C3600="Alpha",B3600="Alpha"),$C$9,$C$8),""),"")</f>
        <v/>
      </c>
      <c r="L3600" s="139">
        <f>IFERROR(IF(ISNUMBER(F3600),F3600-IF(ISNUMBER(K3600),K3600,0),""),"")</f>
        <v/>
      </c>
    </row>
    <row r="3601" ht="24" customHeight="1" s="63">
      <c r="E3601" s="139" t="n"/>
      <c r="F3601" s="139" t="n"/>
      <c r="G3601" s="140">
        <f>IFERROR(IF(E3601&gt;0,(F3601/E3601)*1000,""),"")</f>
        <v/>
      </c>
      <c r="H3601" s="139">
        <f>IFERROR(IF(E3601&gt;0,E3601*IF(ISNUMBER(J3601),J3601,IF(OR(C3601="Alpha",B3601="Alpha"),$C$7,IF(C3601="Futures",$C$6,$C$5))),""),"")</f>
        <v/>
      </c>
      <c r="I3601" s="139">
        <f>IFERROR(IF(AND(ISNUMBER(F3601),ISNUMBER(H3601)),F3601-H3601,""),"")</f>
        <v/>
      </c>
      <c r="J3601" s="114" t="n"/>
      <c r="K3601" s="139">
        <f>IFERROR(IF(H3601&gt;0,H3601*IF(OR(C3601="Alpha",B3601="Alpha"),$C$9,$C$8),""),"")</f>
        <v/>
      </c>
      <c r="L3601" s="139">
        <f>IFERROR(IF(ISNUMBER(F3601),F3601-IF(ISNUMBER(K3601),K3601,0),""),"")</f>
        <v/>
      </c>
    </row>
    <row r="3602" ht="24" customHeight="1" s="63">
      <c r="E3602" s="139" t="n"/>
      <c r="F3602" s="139" t="n"/>
      <c r="G3602" s="140">
        <f>IFERROR(IF(E3602&gt;0,(F3602/E3602)*1000,""),"")</f>
        <v/>
      </c>
      <c r="H3602" s="139">
        <f>IFERROR(IF(E3602&gt;0,E3602*IF(ISNUMBER(J3602),J3602,IF(OR(C3602="Alpha",B3602="Alpha"),$C$7,IF(C3602="Futures",$C$6,$C$5))),""),"")</f>
        <v/>
      </c>
      <c r="I3602" s="139">
        <f>IFERROR(IF(AND(ISNUMBER(F3602),ISNUMBER(H3602)),F3602-H3602,""),"")</f>
        <v/>
      </c>
      <c r="J3602" s="114" t="n"/>
      <c r="K3602" s="139">
        <f>IFERROR(IF(H3602&gt;0,H3602*IF(OR(C3602="Alpha",B3602="Alpha"),$C$9,$C$8),""),"")</f>
        <v/>
      </c>
      <c r="L3602" s="139">
        <f>IFERROR(IF(ISNUMBER(F3602),F3602-IF(ISNUMBER(K3602),K3602,0),""),"")</f>
        <v/>
      </c>
    </row>
    <row r="3603" ht="24" customHeight="1" s="63">
      <c r="E3603" s="139" t="n"/>
      <c r="F3603" s="139" t="n"/>
      <c r="G3603" s="140">
        <f>IFERROR(IF(E3603&gt;0,(F3603/E3603)*1000,""),"")</f>
        <v/>
      </c>
      <c r="H3603" s="139">
        <f>IFERROR(IF(E3603&gt;0,E3603*IF(ISNUMBER(J3603),J3603,IF(OR(C3603="Alpha",B3603="Alpha"),$C$7,IF(C3603="Futures",$C$6,$C$5))),""),"")</f>
        <v/>
      </c>
      <c r="I3603" s="139">
        <f>IFERROR(IF(AND(ISNUMBER(F3603),ISNUMBER(H3603)),F3603-H3603,""),"")</f>
        <v/>
      </c>
      <c r="J3603" s="114" t="n"/>
      <c r="K3603" s="139">
        <f>IFERROR(IF(H3603&gt;0,H3603*IF(OR(C3603="Alpha",B3603="Alpha"),$C$9,$C$8),""),"")</f>
        <v/>
      </c>
      <c r="L3603" s="139">
        <f>IFERROR(IF(ISNUMBER(F3603),F3603-IF(ISNUMBER(K3603),K3603,0),""),"")</f>
        <v/>
      </c>
    </row>
    <row r="3604" ht="24" customHeight="1" s="63">
      <c r="E3604" s="139" t="n"/>
      <c r="F3604" s="139" t="n"/>
      <c r="G3604" s="140">
        <f>IFERROR(IF(E3604&gt;0,(F3604/E3604)*1000,""),"")</f>
        <v/>
      </c>
      <c r="H3604" s="139">
        <f>IFERROR(IF(E3604&gt;0,E3604*IF(ISNUMBER(J3604),J3604,IF(OR(C3604="Alpha",B3604="Alpha"),$C$7,IF(C3604="Futures",$C$6,$C$5))),""),"")</f>
        <v/>
      </c>
      <c r="I3604" s="139">
        <f>IFERROR(IF(AND(ISNUMBER(F3604),ISNUMBER(H3604)),F3604-H3604,""),"")</f>
        <v/>
      </c>
      <c r="J3604" s="114" t="n"/>
      <c r="K3604" s="139">
        <f>IFERROR(IF(H3604&gt;0,H3604*IF(OR(C3604="Alpha",B3604="Alpha"),$C$9,$C$8),""),"")</f>
        <v/>
      </c>
      <c r="L3604" s="139">
        <f>IFERROR(IF(ISNUMBER(F3604),F3604-IF(ISNUMBER(K3604),K3604,0),""),"")</f>
        <v/>
      </c>
    </row>
    <row r="3605" ht="24" customHeight="1" s="63">
      <c r="E3605" s="139" t="n"/>
      <c r="F3605" s="139" t="n"/>
      <c r="G3605" s="140">
        <f>IFERROR(IF(E3605&gt;0,(F3605/E3605)*1000,""),"")</f>
        <v/>
      </c>
      <c r="H3605" s="139">
        <f>IFERROR(IF(E3605&gt;0,E3605*IF(ISNUMBER(J3605),J3605,IF(OR(C3605="Alpha",B3605="Alpha"),$C$7,IF(C3605="Futures",$C$6,$C$5))),""),"")</f>
        <v/>
      </c>
      <c r="I3605" s="139">
        <f>IFERROR(IF(AND(ISNUMBER(F3605),ISNUMBER(H3605)),F3605-H3605,""),"")</f>
        <v/>
      </c>
      <c r="J3605" s="114" t="n"/>
      <c r="K3605" s="139">
        <f>IFERROR(IF(H3605&gt;0,H3605*IF(OR(C3605="Alpha",B3605="Alpha"),$C$9,$C$8),""),"")</f>
        <v/>
      </c>
      <c r="L3605" s="139">
        <f>IFERROR(IF(ISNUMBER(F3605),F3605-IF(ISNUMBER(K3605),K3605,0),""),"")</f>
        <v/>
      </c>
    </row>
    <row r="3606" ht="24" customHeight="1" s="63">
      <c r="E3606" s="139" t="n"/>
      <c r="F3606" s="139" t="n"/>
      <c r="G3606" s="140">
        <f>IFERROR(IF(E3606&gt;0,(F3606/E3606)*1000,""),"")</f>
        <v/>
      </c>
      <c r="H3606" s="139">
        <f>IFERROR(IF(E3606&gt;0,E3606*IF(ISNUMBER(J3606),J3606,IF(OR(C3606="Alpha",B3606="Alpha"),$C$7,IF(C3606="Futures",$C$6,$C$5))),""),"")</f>
        <v/>
      </c>
      <c r="I3606" s="139">
        <f>IFERROR(IF(AND(ISNUMBER(F3606),ISNUMBER(H3606)),F3606-H3606,""),"")</f>
        <v/>
      </c>
      <c r="J3606" s="114" t="n"/>
      <c r="K3606" s="139">
        <f>IFERROR(IF(H3606&gt;0,H3606*IF(OR(C3606="Alpha",B3606="Alpha"),$C$9,$C$8),""),"")</f>
        <v/>
      </c>
      <c r="L3606" s="139">
        <f>IFERROR(IF(ISNUMBER(F3606),F3606-IF(ISNUMBER(K3606),K3606,0),""),"")</f>
        <v/>
      </c>
    </row>
    <row r="3607" ht="24" customHeight="1" s="63">
      <c r="E3607" s="139" t="n"/>
      <c r="F3607" s="139" t="n"/>
      <c r="G3607" s="140">
        <f>IFERROR(IF(E3607&gt;0,(F3607/E3607)*1000,""),"")</f>
        <v/>
      </c>
      <c r="H3607" s="139">
        <f>IFERROR(IF(E3607&gt;0,E3607*IF(ISNUMBER(J3607),J3607,IF(OR(C3607="Alpha",B3607="Alpha"),$C$7,IF(C3607="Futures",$C$6,$C$5))),""),"")</f>
        <v/>
      </c>
      <c r="I3607" s="139">
        <f>IFERROR(IF(AND(ISNUMBER(F3607),ISNUMBER(H3607)),F3607-H3607,""),"")</f>
        <v/>
      </c>
      <c r="J3607" s="114" t="n"/>
      <c r="K3607" s="139">
        <f>IFERROR(IF(H3607&gt;0,H3607*IF(OR(C3607="Alpha",B3607="Alpha"),$C$9,$C$8),""),"")</f>
        <v/>
      </c>
      <c r="L3607" s="139">
        <f>IFERROR(IF(ISNUMBER(F3607),F3607-IF(ISNUMBER(K3607),K3607,0),""),"")</f>
        <v/>
      </c>
    </row>
    <row r="3608" ht="24" customHeight="1" s="63">
      <c r="E3608" s="139" t="n"/>
      <c r="F3608" s="139" t="n"/>
      <c r="G3608" s="140">
        <f>IFERROR(IF(E3608&gt;0,(F3608/E3608)*1000,""),"")</f>
        <v/>
      </c>
      <c r="H3608" s="139">
        <f>IFERROR(IF(E3608&gt;0,E3608*IF(ISNUMBER(J3608),J3608,IF(OR(C3608="Alpha",B3608="Alpha"),$C$7,IF(C3608="Futures",$C$6,$C$5))),""),"")</f>
        <v/>
      </c>
      <c r="I3608" s="139">
        <f>IFERROR(IF(AND(ISNUMBER(F3608),ISNUMBER(H3608)),F3608-H3608,""),"")</f>
        <v/>
      </c>
      <c r="J3608" s="114" t="n"/>
      <c r="K3608" s="139">
        <f>IFERROR(IF(H3608&gt;0,H3608*IF(OR(C3608="Alpha",B3608="Alpha"),$C$9,$C$8),""),"")</f>
        <v/>
      </c>
      <c r="L3608" s="139">
        <f>IFERROR(IF(ISNUMBER(F3608),F3608-IF(ISNUMBER(K3608),K3608,0),""),"")</f>
        <v/>
      </c>
    </row>
    <row r="3609" ht="24" customHeight="1" s="63">
      <c r="E3609" s="139" t="n"/>
      <c r="F3609" s="139" t="n"/>
      <c r="G3609" s="140">
        <f>IFERROR(IF(E3609&gt;0,(F3609/E3609)*1000,""),"")</f>
        <v/>
      </c>
      <c r="H3609" s="139">
        <f>IFERROR(IF(E3609&gt;0,E3609*IF(ISNUMBER(J3609),J3609,IF(OR(C3609="Alpha",B3609="Alpha"),$C$7,IF(C3609="Futures",$C$6,$C$5))),""),"")</f>
        <v/>
      </c>
      <c r="I3609" s="139">
        <f>IFERROR(IF(AND(ISNUMBER(F3609),ISNUMBER(H3609)),F3609-H3609,""),"")</f>
        <v/>
      </c>
      <c r="J3609" s="114" t="n"/>
      <c r="K3609" s="139">
        <f>IFERROR(IF(H3609&gt;0,H3609*IF(OR(C3609="Alpha",B3609="Alpha"),$C$9,$C$8),""),"")</f>
        <v/>
      </c>
      <c r="L3609" s="139">
        <f>IFERROR(IF(ISNUMBER(F3609),F3609-IF(ISNUMBER(K3609),K3609,0),""),"")</f>
        <v/>
      </c>
    </row>
    <row r="3610" ht="24" customHeight="1" s="63">
      <c r="E3610" s="139" t="n"/>
      <c r="F3610" s="139" t="n"/>
      <c r="G3610" s="140">
        <f>IFERROR(IF(E3610&gt;0,(F3610/E3610)*1000,""),"")</f>
        <v/>
      </c>
      <c r="H3610" s="139">
        <f>IFERROR(IF(E3610&gt;0,E3610*IF(ISNUMBER(J3610),J3610,IF(OR(C3610="Alpha",B3610="Alpha"),$C$7,IF(C3610="Futures",$C$6,$C$5))),""),"")</f>
        <v/>
      </c>
      <c r="I3610" s="139">
        <f>IFERROR(IF(AND(ISNUMBER(F3610),ISNUMBER(H3610)),F3610-H3610,""),"")</f>
        <v/>
      </c>
      <c r="J3610" s="114" t="n"/>
      <c r="K3610" s="139">
        <f>IFERROR(IF(H3610&gt;0,H3610*IF(OR(C3610="Alpha",B3610="Alpha"),$C$9,$C$8),""),"")</f>
        <v/>
      </c>
      <c r="L3610" s="139">
        <f>IFERROR(IF(ISNUMBER(F3610),F3610-IF(ISNUMBER(K3610),K3610,0),""),"")</f>
        <v/>
      </c>
    </row>
    <row r="3611" ht="24" customHeight="1" s="63">
      <c r="E3611" s="139" t="n"/>
      <c r="F3611" s="139" t="n"/>
      <c r="G3611" s="140">
        <f>IFERROR(IF(E3611&gt;0,(F3611/E3611)*1000,""),"")</f>
        <v/>
      </c>
      <c r="H3611" s="139">
        <f>IFERROR(IF(E3611&gt;0,E3611*IF(ISNUMBER(J3611),J3611,IF(OR(C3611="Alpha",B3611="Alpha"),$C$7,IF(C3611="Futures",$C$6,$C$5))),""),"")</f>
        <v/>
      </c>
      <c r="I3611" s="139">
        <f>IFERROR(IF(AND(ISNUMBER(F3611),ISNUMBER(H3611)),F3611-H3611,""),"")</f>
        <v/>
      </c>
      <c r="J3611" s="114" t="n"/>
      <c r="K3611" s="139">
        <f>IFERROR(IF(H3611&gt;0,H3611*IF(OR(C3611="Alpha",B3611="Alpha"),$C$9,$C$8),""),"")</f>
        <v/>
      </c>
      <c r="L3611" s="139">
        <f>IFERROR(IF(ISNUMBER(F3611),F3611-IF(ISNUMBER(K3611),K3611,0),""),"")</f>
        <v/>
      </c>
    </row>
    <row r="3612" ht="24" customHeight="1" s="63">
      <c r="E3612" s="139" t="n"/>
      <c r="F3612" s="139" t="n"/>
      <c r="G3612" s="140">
        <f>IFERROR(IF(E3612&gt;0,(F3612/E3612)*1000,""),"")</f>
        <v/>
      </c>
      <c r="H3612" s="139">
        <f>IFERROR(IF(E3612&gt;0,E3612*IF(ISNUMBER(J3612),J3612,IF(OR(C3612="Alpha",B3612="Alpha"),$C$7,IF(C3612="Futures",$C$6,$C$5))),""),"")</f>
        <v/>
      </c>
      <c r="I3612" s="139">
        <f>IFERROR(IF(AND(ISNUMBER(F3612),ISNUMBER(H3612)),F3612-H3612,""),"")</f>
        <v/>
      </c>
      <c r="J3612" s="114" t="n"/>
      <c r="K3612" s="139">
        <f>IFERROR(IF(H3612&gt;0,H3612*IF(OR(C3612="Alpha",B3612="Alpha"),$C$9,$C$8),""),"")</f>
        <v/>
      </c>
      <c r="L3612" s="139">
        <f>IFERROR(IF(ISNUMBER(F3612),F3612-IF(ISNUMBER(K3612),K3612,0),""),"")</f>
        <v/>
      </c>
    </row>
    <row r="3613" ht="24" customHeight="1" s="63">
      <c r="E3613" s="139" t="n"/>
      <c r="F3613" s="139" t="n"/>
      <c r="G3613" s="140">
        <f>IFERROR(IF(E3613&gt;0,(F3613/E3613)*1000,""),"")</f>
        <v/>
      </c>
      <c r="H3613" s="139">
        <f>IFERROR(IF(E3613&gt;0,E3613*IF(ISNUMBER(J3613),J3613,IF(OR(C3613="Alpha",B3613="Alpha"),$C$7,IF(C3613="Futures",$C$6,$C$5))),""),"")</f>
        <v/>
      </c>
      <c r="I3613" s="139">
        <f>IFERROR(IF(AND(ISNUMBER(F3613),ISNUMBER(H3613)),F3613-H3613,""),"")</f>
        <v/>
      </c>
      <c r="J3613" s="114" t="n"/>
      <c r="K3613" s="139">
        <f>IFERROR(IF(H3613&gt;0,H3613*IF(OR(C3613="Alpha",B3613="Alpha"),$C$9,$C$8),""),"")</f>
        <v/>
      </c>
      <c r="L3613" s="139">
        <f>IFERROR(IF(ISNUMBER(F3613),F3613-IF(ISNUMBER(K3613),K3613,0),""),"")</f>
        <v/>
      </c>
    </row>
    <row r="3614" ht="24" customHeight="1" s="63">
      <c r="E3614" s="139" t="n"/>
      <c r="F3614" s="139" t="n"/>
      <c r="G3614" s="140">
        <f>IFERROR(IF(E3614&gt;0,(F3614/E3614)*1000,""),"")</f>
        <v/>
      </c>
      <c r="H3614" s="139">
        <f>IFERROR(IF(E3614&gt;0,E3614*IF(ISNUMBER(J3614),J3614,IF(OR(C3614="Alpha",B3614="Alpha"),$C$7,IF(C3614="Futures",$C$6,$C$5))),""),"")</f>
        <v/>
      </c>
      <c r="I3614" s="139">
        <f>IFERROR(IF(AND(ISNUMBER(F3614),ISNUMBER(H3614)),F3614-H3614,""),"")</f>
        <v/>
      </c>
      <c r="J3614" s="114" t="n"/>
      <c r="K3614" s="139">
        <f>IFERROR(IF(H3614&gt;0,H3614*IF(OR(C3614="Alpha",B3614="Alpha"),$C$9,$C$8),""),"")</f>
        <v/>
      </c>
      <c r="L3614" s="139">
        <f>IFERROR(IF(ISNUMBER(F3614),F3614-IF(ISNUMBER(K3614),K3614,0),""),"")</f>
        <v/>
      </c>
    </row>
    <row r="3615" ht="24" customHeight="1" s="63">
      <c r="E3615" s="139" t="n"/>
      <c r="F3615" s="139" t="n"/>
      <c r="G3615" s="140">
        <f>IFERROR(IF(E3615&gt;0,(F3615/E3615)*1000,""),"")</f>
        <v/>
      </c>
      <c r="H3615" s="139">
        <f>IFERROR(IF(E3615&gt;0,E3615*IF(ISNUMBER(J3615),J3615,IF(OR(C3615="Alpha",B3615="Alpha"),$C$7,IF(C3615="Futures",$C$6,$C$5))),""),"")</f>
        <v/>
      </c>
      <c r="I3615" s="139">
        <f>IFERROR(IF(AND(ISNUMBER(F3615),ISNUMBER(H3615)),F3615-H3615,""),"")</f>
        <v/>
      </c>
      <c r="J3615" s="114" t="n"/>
      <c r="K3615" s="139">
        <f>IFERROR(IF(H3615&gt;0,H3615*IF(OR(C3615="Alpha",B3615="Alpha"),$C$9,$C$8),""),"")</f>
        <v/>
      </c>
      <c r="L3615" s="139">
        <f>IFERROR(IF(ISNUMBER(F3615),F3615-IF(ISNUMBER(K3615),K3615,0),""),"")</f>
        <v/>
      </c>
    </row>
    <row r="3616" ht="24" customHeight="1" s="63">
      <c r="E3616" s="139" t="n"/>
      <c r="F3616" s="139" t="n"/>
      <c r="G3616" s="140">
        <f>IFERROR(IF(E3616&gt;0,(F3616/E3616)*1000,""),"")</f>
        <v/>
      </c>
      <c r="H3616" s="139">
        <f>IFERROR(IF(E3616&gt;0,E3616*IF(ISNUMBER(J3616),J3616,IF(OR(C3616="Alpha",B3616="Alpha"),$C$7,IF(C3616="Futures",$C$6,$C$5))),""),"")</f>
        <v/>
      </c>
      <c r="I3616" s="139">
        <f>IFERROR(IF(AND(ISNUMBER(F3616),ISNUMBER(H3616)),F3616-H3616,""),"")</f>
        <v/>
      </c>
      <c r="J3616" s="114" t="n"/>
      <c r="K3616" s="139">
        <f>IFERROR(IF(H3616&gt;0,H3616*IF(OR(C3616="Alpha",B3616="Alpha"),$C$9,$C$8),""),"")</f>
        <v/>
      </c>
      <c r="L3616" s="139">
        <f>IFERROR(IF(ISNUMBER(F3616),F3616-IF(ISNUMBER(K3616),K3616,0),""),"")</f>
        <v/>
      </c>
    </row>
    <row r="3617" ht="24" customHeight="1" s="63">
      <c r="E3617" s="139" t="n"/>
      <c r="F3617" s="139" t="n"/>
      <c r="G3617" s="140">
        <f>IFERROR(IF(E3617&gt;0,(F3617/E3617)*1000,""),"")</f>
        <v/>
      </c>
      <c r="H3617" s="139">
        <f>IFERROR(IF(E3617&gt;0,E3617*IF(ISNUMBER(J3617),J3617,IF(OR(C3617="Alpha",B3617="Alpha"),$C$7,IF(C3617="Futures",$C$6,$C$5))),""),"")</f>
        <v/>
      </c>
      <c r="I3617" s="139">
        <f>IFERROR(IF(AND(ISNUMBER(F3617),ISNUMBER(H3617)),F3617-H3617,""),"")</f>
        <v/>
      </c>
      <c r="J3617" s="114" t="n"/>
      <c r="K3617" s="139">
        <f>IFERROR(IF(H3617&gt;0,H3617*IF(OR(C3617="Alpha",B3617="Alpha"),$C$9,$C$8),""),"")</f>
        <v/>
      </c>
      <c r="L3617" s="139">
        <f>IFERROR(IF(ISNUMBER(F3617),F3617-IF(ISNUMBER(K3617),K3617,0),""),"")</f>
        <v/>
      </c>
    </row>
    <row r="3618" ht="24" customHeight="1" s="63">
      <c r="E3618" s="139" t="n"/>
      <c r="F3618" s="139" t="n"/>
      <c r="G3618" s="140">
        <f>IFERROR(IF(E3618&gt;0,(F3618/E3618)*1000,""),"")</f>
        <v/>
      </c>
      <c r="H3618" s="139">
        <f>IFERROR(IF(E3618&gt;0,E3618*IF(ISNUMBER(J3618),J3618,IF(OR(C3618="Alpha",B3618="Alpha"),$C$7,IF(C3618="Futures",$C$6,$C$5))),""),"")</f>
        <v/>
      </c>
      <c r="I3618" s="139">
        <f>IFERROR(IF(AND(ISNUMBER(F3618),ISNUMBER(H3618)),F3618-H3618,""),"")</f>
        <v/>
      </c>
      <c r="J3618" s="114" t="n"/>
      <c r="K3618" s="139">
        <f>IFERROR(IF(H3618&gt;0,H3618*IF(OR(C3618="Alpha",B3618="Alpha"),$C$9,$C$8),""),"")</f>
        <v/>
      </c>
      <c r="L3618" s="139">
        <f>IFERROR(IF(ISNUMBER(F3618),F3618-IF(ISNUMBER(K3618),K3618,0),""),"")</f>
        <v/>
      </c>
    </row>
    <row r="3619" ht="24" customHeight="1" s="63">
      <c r="E3619" s="139" t="n"/>
      <c r="F3619" s="139" t="n"/>
      <c r="G3619" s="140">
        <f>IFERROR(IF(E3619&gt;0,(F3619/E3619)*1000,""),"")</f>
        <v/>
      </c>
      <c r="H3619" s="139">
        <f>IFERROR(IF(E3619&gt;0,E3619*IF(ISNUMBER(J3619),J3619,IF(OR(C3619="Alpha",B3619="Alpha"),$C$7,IF(C3619="Futures",$C$6,$C$5))),""),"")</f>
        <v/>
      </c>
      <c r="I3619" s="139">
        <f>IFERROR(IF(AND(ISNUMBER(F3619),ISNUMBER(H3619)),F3619-H3619,""),"")</f>
        <v/>
      </c>
      <c r="J3619" s="114" t="n"/>
      <c r="K3619" s="139">
        <f>IFERROR(IF(H3619&gt;0,H3619*IF(OR(C3619="Alpha",B3619="Alpha"),$C$9,$C$8),""),"")</f>
        <v/>
      </c>
      <c r="L3619" s="139">
        <f>IFERROR(IF(ISNUMBER(F3619),F3619-IF(ISNUMBER(K3619),K3619,0),""),"")</f>
        <v/>
      </c>
    </row>
    <row r="3620" ht="24" customHeight="1" s="63">
      <c r="E3620" s="139" t="n"/>
      <c r="F3620" s="139" t="n"/>
      <c r="G3620" s="140">
        <f>IFERROR(IF(E3620&gt;0,(F3620/E3620)*1000,""),"")</f>
        <v/>
      </c>
      <c r="H3620" s="139">
        <f>IFERROR(IF(E3620&gt;0,E3620*IF(ISNUMBER(J3620),J3620,IF(OR(C3620="Alpha",B3620="Alpha"),$C$7,IF(C3620="Futures",$C$6,$C$5))),""),"")</f>
        <v/>
      </c>
      <c r="I3620" s="139">
        <f>IFERROR(IF(AND(ISNUMBER(F3620),ISNUMBER(H3620)),F3620-H3620,""),"")</f>
        <v/>
      </c>
      <c r="J3620" s="114" t="n"/>
      <c r="K3620" s="139">
        <f>IFERROR(IF(H3620&gt;0,H3620*IF(OR(C3620="Alpha",B3620="Alpha"),$C$9,$C$8),""),"")</f>
        <v/>
      </c>
      <c r="L3620" s="139">
        <f>IFERROR(IF(ISNUMBER(F3620),F3620-IF(ISNUMBER(K3620),K3620,0),""),"")</f>
        <v/>
      </c>
    </row>
    <row r="3621" ht="24" customHeight="1" s="63">
      <c r="E3621" s="139" t="n"/>
      <c r="F3621" s="139" t="n"/>
      <c r="G3621" s="140">
        <f>IFERROR(IF(E3621&gt;0,(F3621/E3621)*1000,""),"")</f>
        <v/>
      </c>
      <c r="H3621" s="139">
        <f>IFERROR(IF(E3621&gt;0,E3621*IF(ISNUMBER(J3621),J3621,IF(OR(C3621="Alpha",B3621="Alpha"),$C$7,IF(C3621="Futures",$C$6,$C$5))),""),"")</f>
        <v/>
      </c>
      <c r="I3621" s="139">
        <f>IFERROR(IF(AND(ISNUMBER(F3621),ISNUMBER(H3621)),F3621-H3621,""),"")</f>
        <v/>
      </c>
      <c r="J3621" s="114" t="n"/>
      <c r="K3621" s="139">
        <f>IFERROR(IF(H3621&gt;0,H3621*IF(OR(C3621="Alpha",B3621="Alpha"),$C$9,$C$8),""),"")</f>
        <v/>
      </c>
      <c r="L3621" s="139">
        <f>IFERROR(IF(ISNUMBER(F3621),F3621-IF(ISNUMBER(K3621),K3621,0),""),"")</f>
        <v/>
      </c>
    </row>
    <row r="3622" ht="24" customHeight="1" s="63">
      <c r="E3622" s="139" t="n"/>
      <c r="F3622" s="139" t="n"/>
      <c r="G3622" s="140">
        <f>IFERROR(IF(E3622&gt;0,(F3622/E3622)*1000,""),"")</f>
        <v/>
      </c>
      <c r="H3622" s="139">
        <f>IFERROR(IF(E3622&gt;0,E3622*IF(ISNUMBER(J3622),J3622,IF(OR(C3622="Alpha",B3622="Alpha"),$C$7,IF(C3622="Futures",$C$6,$C$5))),""),"")</f>
        <v/>
      </c>
      <c r="I3622" s="139">
        <f>IFERROR(IF(AND(ISNUMBER(F3622),ISNUMBER(H3622)),F3622-H3622,""),"")</f>
        <v/>
      </c>
      <c r="J3622" s="114" t="n"/>
      <c r="K3622" s="139">
        <f>IFERROR(IF(H3622&gt;0,H3622*IF(OR(C3622="Alpha",B3622="Alpha"),$C$9,$C$8),""),"")</f>
        <v/>
      </c>
      <c r="L3622" s="139">
        <f>IFERROR(IF(ISNUMBER(F3622),F3622-IF(ISNUMBER(K3622),K3622,0),""),"")</f>
        <v/>
      </c>
    </row>
    <row r="3623" ht="24" customHeight="1" s="63">
      <c r="E3623" s="139" t="n"/>
      <c r="F3623" s="139" t="n"/>
      <c r="G3623" s="140">
        <f>IFERROR(IF(E3623&gt;0,(F3623/E3623)*1000,""),"")</f>
        <v/>
      </c>
      <c r="H3623" s="139">
        <f>IFERROR(IF(E3623&gt;0,E3623*IF(ISNUMBER(J3623),J3623,IF(OR(C3623="Alpha",B3623="Alpha"),$C$7,IF(C3623="Futures",$C$6,$C$5))),""),"")</f>
        <v/>
      </c>
      <c r="I3623" s="139">
        <f>IFERROR(IF(AND(ISNUMBER(F3623),ISNUMBER(H3623)),F3623-H3623,""),"")</f>
        <v/>
      </c>
      <c r="J3623" s="114" t="n"/>
      <c r="K3623" s="139">
        <f>IFERROR(IF(H3623&gt;0,H3623*IF(OR(C3623="Alpha",B3623="Alpha"),$C$9,$C$8),""),"")</f>
        <v/>
      </c>
      <c r="L3623" s="139">
        <f>IFERROR(IF(ISNUMBER(F3623),F3623-IF(ISNUMBER(K3623),K3623,0),""),"")</f>
        <v/>
      </c>
    </row>
    <row r="3624" ht="24" customHeight="1" s="63">
      <c r="E3624" s="139" t="n"/>
      <c r="F3624" s="139" t="n"/>
      <c r="G3624" s="140">
        <f>IFERROR(IF(E3624&gt;0,(F3624/E3624)*1000,""),"")</f>
        <v/>
      </c>
      <c r="H3624" s="139">
        <f>IFERROR(IF(E3624&gt;0,E3624*IF(ISNUMBER(J3624),J3624,IF(OR(C3624="Alpha",B3624="Alpha"),$C$7,IF(C3624="Futures",$C$6,$C$5))),""),"")</f>
        <v/>
      </c>
      <c r="I3624" s="139">
        <f>IFERROR(IF(AND(ISNUMBER(F3624),ISNUMBER(H3624)),F3624-H3624,""),"")</f>
        <v/>
      </c>
      <c r="J3624" s="114" t="n"/>
      <c r="K3624" s="139">
        <f>IFERROR(IF(H3624&gt;0,H3624*IF(OR(C3624="Alpha",B3624="Alpha"),$C$9,$C$8),""),"")</f>
        <v/>
      </c>
      <c r="L3624" s="139">
        <f>IFERROR(IF(ISNUMBER(F3624),F3624-IF(ISNUMBER(K3624),K3624,0),""),"")</f>
        <v/>
      </c>
    </row>
    <row r="3625" ht="24" customHeight="1" s="63">
      <c r="E3625" s="139" t="n"/>
      <c r="F3625" s="139" t="n"/>
      <c r="G3625" s="140">
        <f>IFERROR(IF(E3625&gt;0,(F3625/E3625)*1000,""),"")</f>
        <v/>
      </c>
      <c r="H3625" s="139">
        <f>IFERROR(IF(E3625&gt;0,E3625*IF(ISNUMBER(J3625),J3625,IF(OR(C3625="Alpha",B3625="Alpha"),$C$7,IF(C3625="Futures",$C$6,$C$5))),""),"")</f>
        <v/>
      </c>
      <c r="I3625" s="139">
        <f>IFERROR(IF(AND(ISNUMBER(F3625),ISNUMBER(H3625)),F3625-H3625,""),"")</f>
        <v/>
      </c>
      <c r="J3625" s="114" t="n"/>
      <c r="K3625" s="139">
        <f>IFERROR(IF(H3625&gt;0,H3625*IF(OR(C3625="Alpha",B3625="Alpha"),$C$9,$C$8),""),"")</f>
        <v/>
      </c>
      <c r="L3625" s="139">
        <f>IFERROR(IF(ISNUMBER(F3625),F3625-IF(ISNUMBER(K3625),K3625,0),""),"")</f>
        <v/>
      </c>
    </row>
    <row r="3626" ht="24" customHeight="1" s="63">
      <c r="E3626" s="139" t="n"/>
      <c r="F3626" s="139" t="n"/>
      <c r="G3626" s="140">
        <f>IFERROR(IF(E3626&gt;0,(F3626/E3626)*1000,""),"")</f>
        <v/>
      </c>
      <c r="H3626" s="139">
        <f>IFERROR(IF(E3626&gt;0,E3626*IF(ISNUMBER(J3626),J3626,IF(OR(C3626="Alpha",B3626="Alpha"),$C$7,IF(C3626="Futures",$C$6,$C$5))),""),"")</f>
        <v/>
      </c>
      <c r="I3626" s="139">
        <f>IFERROR(IF(AND(ISNUMBER(F3626),ISNUMBER(H3626)),F3626-H3626,""),"")</f>
        <v/>
      </c>
      <c r="J3626" s="114" t="n"/>
      <c r="K3626" s="139">
        <f>IFERROR(IF(H3626&gt;0,H3626*IF(OR(C3626="Alpha",B3626="Alpha"),$C$9,$C$8),""),"")</f>
        <v/>
      </c>
      <c r="L3626" s="139">
        <f>IFERROR(IF(ISNUMBER(F3626),F3626-IF(ISNUMBER(K3626),K3626,0),""),"")</f>
        <v/>
      </c>
    </row>
    <row r="3627" ht="24" customHeight="1" s="63">
      <c r="E3627" s="139" t="n"/>
      <c r="F3627" s="139" t="n"/>
      <c r="G3627" s="140">
        <f>IFERROR(IF(E3627&gt;0,(F3627/E3627)*1000,""),"")</f>
        <v/>
      </c>
      <c r="H3627" s="139">
        <f>IFERROR(IF(E3627&gt;0,E3627*IF(ISNUMBER(J3627),J3627,IF(OR(C3627="Alpha",B3627="Alpha"),$C$7,IF(C3627="Futures",$C$6,$C$5))),""),"")</f>
        <v/>
      </c>
      <c r="I3627" s="139">
        <f>IFERROR(IF(AND(ISNUMBER(F3627),ISNUMBER(H3627)),F3627-H3627,""),"")</f>
        <v/>
      </c>
      <c r="J3627" s="114" t="n"/>
      <c r="K3627" s="139">
        <f>IFERROR(IF(H3627&gt;0,H3627*IF(OR(C3627="Alpha",B3627="Alpha"),$C$9,$C$8),""),"")</f>
        <v/>
      </c>
      <c r="L3627" s="139">
        <f>IFERROR(IF(ISNUMBER(F3627),F3627-IF(ISNUMBER(K3627),K3627,0),""),"")</f>
        <v/>
      </c>
    </row>
    <row r="3628" ht="24" customHeight="1" s="63">
      <c r="E3628" s="139" t="n"/>
      <c r="F3628" s="139" t="n"/>
      <c r="G3628" s="140">
        <f>IFERROR(IF(E3628&gt;0,(F3628/E3628)*1000,""),"")</f>
        <v/>
      </c>
      <c r="H3628" s="139">
        <f>IFERROR(IF(E3628&gt;0,E3628*IF(ISNUMBER(J3628),J3628,IF(OR(C3628="Alpha",B3628="Alpha"),$C$7,IF(C3628="Futures",$C$6,$C$5))),""),"")</f>
        <v/>
      </c>
      <c r="I3628" s="139">
        <f>IFERROR(IF(AND(ISNUMBER(F3628),ISNUMBER(H3628)),F3628-H3628,""),"")</f>
        <v/>
      </c>
      <c r="J3628" s="114" t="n"/>
      <c r="K3628" s="139">
        <f>IFERROR(IF(H3628&gt;0,H3628*IF(OR(C3628="Alpha",B3628="Alpha"),$C$9,$C$8),""),"")</f>
        <v/>
      </c>
      <c r="L3628" s="139">
        <f>IFERROR(IF(ISNUMBER(F3628),F3628-IF(ISNUMBER(K3628),K3628,0),""),"")</f>
        <v/>
      </c>
    </row>
    <row r="3629" ht="24" customHeight="1" s="63">
      <c r="E3629" s="139" t="n"/>
      <c r="F3629" s="139" t="n"/>
      <c r="G3629" s="140">
        <f>IFERROR(IF(E3629&gt;0,(F3629/E3629)*1000,""),"")</f>
        <v/>
      </c>
      <c r="H3629" s="139">
        <f>IFERROR(IF(E3629&gt;0,E3629*IF(ISNUMBER(J3629),J3629,IF(OR(C3629="Alpha",B3629="Alpha"),$C$7,IF(C3629="Futures",$C$6,$C$5))),""),"")</f>
        <v/>
      </c>
      <c r="I3629" s="139">
        <f>IFERROR(IF(AND(ISNUMBER(F3629),ISNUMBER(H3629)),F3629-H3629,""),"")</f>
        <v/>
      </c>
      <c r="J3629" s="114" t="n"/>
      <c r="K3629" s="139">
        <f>IFERROR(IF(H3629&gt;0,H3629*IF(OR(C3629="Alpha",B3629="Alpha"),$C$9,$C$8),""),"")</f>
        <v/>
      </c>
      <c r="L3629" s="139">
        <f>IFERROR(IF(ISNUMBER(F3629),F3629-IF(ISNUMBER(K3629),K3629,0),""),"")</f>
        <v/>
      </c>
    </row>
    <row r="3630" ht="24" customHeight="1" s="63">
      <c r="E3630" s="139" t="n"/>
      <c r="F3630" s="139" t="n"/>
      <c r="G3630" s="140">
        <f>IFERROR(IF(E3630&gt;0,(F3630/E3630)*1000,""),"")</f>
        <v/>
      </c>
      <c r="H3630" s="139">
        <f>IFERROR(IF(E3630&gt;0,E3630*IF(ISNUMBER(J3630),J3630,IF(OR(C3630="Alpha",B3630="Alpha"),$C$7,IF(C3630="Futures",$C$6,$C$5))),""),"")</f>
        <v/>
      </c>
      <c r="I3630" s="139">
        <f>IFERROR(IF(AND(ISNUMBER(F3630),ISNUMBER(H3630)),F3630-H3630,""),"")</f>
        <v/>
      </c>
      <c r="J3630" s="114" t="n"/>
      <c r="K3630" s="139">
        <f>IFERROR(IF(H3630&gt;0,H3630*IF(OR(C3630="Alpha",B3630="Alpha"),$C$9,$C$8),""),"")</f>
        <v/>
      </c>
      <c r="L3630" s="139">
        <f>IFERROR(IF(ISNUMBER(F3630),F3630-IF(ISNUMBER(K3630),K3630,0),""),"")</f>
        <v/>
      </c>
    </row>
    <row r="3631" ht="24" customHeight="1" s="63">
      <c r="E3631" s="139" t="n"/>
      <c r="F3631" s="139" t="n"/>
      <c r="G3631" s="140">
        <f>IFERROR(IF(E3631&gt;0,(F3631/E3631)*1000,""),"")</f>
        <v/>
      </c>
      <c r="H3631" s="139">
        <f>IFERROR(IF(E3631&gt;0,E3631*IF(ISNUMBER(J3631),J3631,IF(OR(C3631="Alpha",B3631="Alpha"),$C$7,IF(C3631="Futures",$C$6,$C$5))),""),"")</f>
        <v/>
      </c>
      <c r="I3631" s="139">
        <f>IFERROR(IF(AND(ISNUMBER(F3631),ISNUMBER(H3631)),F3631-H3631,""),"")</f>
        <v/>
      </c>
      <c r="J3631" s="114" t="n"/>
      <c r="K3631" s="139">
        <f>IFERROR(IF(H3631&gt;0,H3631*IF(OR(C3631="Alpha",B3631="Alpha"),$C$9,$C$8),""),"")</f>
        <v/>
      </c>
      <c r="L3631" s="139">
        <f>IFERROR(IF(ISNUMBER(F3631),F3631-IF(ISNUMBER(K3631),K3631,0),""),"")</f>
        <v/>
      </c>
    </row>
    <row r="3632" ht="24" customHeight="1" s="63">
      <c r="E3632" s="139" t="n"/>
      <c r="F3632" s="139" t="n"/>
      <c r="G3632" s="140">
        <f>IFERROR(IF(E3632&gt;0,(F3632/E3632)*1000,""),"")</f>
        <v/>
      </c>
      <c r="H3632" s="139">
        <f>IFERROR(IF(E3632&gt;0,E3632*IF(ISNUMBER(J3632),J3632,IF(OR(C3632="Alpha",B3632="Alpha"),$C$7,IF(C3632="Futures",$C$6,$C$5))),""),"")</f>
        <v/>
      </c>
      <c r="I3632" s="139">
        <f>IFERROR(IF(AND(ISNUMBER(F3632),ISNUMBER(H3632)),F3632-H3632,""),"")</f>
        <v/>
      </c>
      <c r="J3632" s="114" t="n"/>
      <c r="K3632" s="139">
        <f>IFERROR(IF(H3632&gt;0,H3632*IF(OR(C3632="Alpha",B3632="Alpha"),$C$9,$C$8),""),"")</f>
        <v/>
      </c>
      <c r="L3632" s="139">
        <f>IFERROR(IF(ISNUMBER(F3632),F3632-IF(ISNUMBER(K3632),K3632,0),""),"")</f>
        <v/>
      </c>
    </row>
    <row r="3633" ht="24" customHeight="1" s="63">
      <c r="E3633" s="139" t="n"/>
      <c r="F3633" s="139" t="n"/>
      <c r="G3633" s="140">
        <f>IFERROR(IF(E3633&gt;0,(F3633/E3633)*1000,""),"")</f>
        <v/>
      </c>
      <c r="H3633" s="139">
        <f>IFERROR(IF(E3633&gt;0,E3633*IF(ISNUMBER(J3633),J3633,IF(OR(C3633="Alpha",B3633="Alpha"),$C$7,IF(C3633="Futures",$C$6,$C$5))),""),"")</f>
        <v/>
      </c>
      <c r="I3633" s="139">
        <f>IFERROR(IF(AND(ISNUMBER(F3633),ISNUMBER(H3633)),F3633-H3633,""),"")</f>
        <v/>
      </c>
      <c r="J3633" s="114" t="n"/>
      <c r="K3633" s="139">
        <f>IFERROR(IF(H3633&gt;0,H3633*IF(OR(C3633="Alpha",B3633="Alpha"),$C$9,$C$8),""),"")</f>
        <v/>
      </c>
      <c r="L3633" s="139">
        <f>IFERROR(IF(ISNUMBER(F3633),F3633-IF(ISNUMBER(K3633),K3633,0),""),"")</f>
        <v/>
      </c>
    </row>
    <row r="3634" ht="24" customHeight="1" s="63">
      <c r="E3634" s="139" t="n"/>
      <c r="F3634" s="139" t="n"/>
      <c r="G3634" s="140">
        <f>IFERROR(IF(E3634&gt;0,(F3634/E3634)*1000,""),"")</f>
        <v/>
      </c>
      <c r="H3634" s="139">
        <f>IFERROR(IF(E3634&gt;0,E3634*IF(ISNUMBER(J3634),J3634,IF(OR(C3634="Alpha",B3634="Alpha"),$C$7,IF(C3634="Futures",$C$6,$C$5))),""),"")</f>
        <v/>
      </c>
      <c r="I3634" s="139">
        <f>IFERROR(IF(AND(ISNUMBER(F3634),ISNUMBER(H3634)),F3634-H3634,""),"")</f>
        <v/>
      </c>
      <c r="J3634" s="114" t="n"/>
      <c r="K3634" s="139">
        <f>IFERROR(IF(H3634&gt;0,H3634*IF(OR(C3634="Alpha",B3634="Alpha"),$C$9,$C$8),""),"")</f>
        <v/>
      </c>
      <c r="L3634" s="139">
        <f>IFERROR(IF(ISNUMBER(F3634),F3634-IF(ISNUMBER(K3634),K3634,0),""),"")</f>
        <v/>
      </c>
    </row>
    <row r="3635" ht="24" customHeight="1" s="63">
      <c r="E3635" s="139" t="n"/>
      <c r="F3635" s="139" t="n"/>
      <c r="G3635" s="140">
        <f>IFERROR(IF(E3635&gt;0,(F3635/E3635)*1000,""),"")</f>
        <v/>
      </c>
      <c r="H3635" s="139">
        <f>IFERROR(IF(E3635&gt;0,E3635*IF(ISNUMBER(J3635),J3635,IF(OR(C3635="Alpha",B3635="Alpha"),$C$7,IF(C3635="Futures",$C$6,$C$5))),""),"")</f>
        <v/>
      </c>
      <c r="I3635" s="139">
        <f>IFERROR(IF(AND(ISNUMBER(F3635),ISNUMBER(H3635)),F3635-H3635,""),"")</f>
        <v/>
      </c>
      <c r="J3635" s="114" t="n"/>
      <c r="K3635" s="139">
        <f>IFERROR(IF(H3635&gt;0,H3635*IF(OR(C3635="Alpha",B3635="Alpha"),$C$9,$C$8),""),"")</f>
        <v/>
      </c>
      <c r="L3635" s="139">
        <f>IFERROR(IF(ISNUMBER(F3635),F3635-IF(ISNUMBER(K3635),K3635,0),""),"")</f>
        <v/>
      </c>
    </row>
    <row r="3636" ht="24" customHeight="1" s="63">
      <c r="E3636" s="139" t="n"/>
      <c r="F3636" s="139" t="n"/>
      <c r="G3636" s="140">
        <f>IFERROR(IF(E3636&gt;0,(F3636/E3636)*1000,""),"")</f>
        <v/>
      </c>
      <c r="H3636" s="139">
        <f>IFERROR(IF(E3636&gt;0,E3636*IF(ISNUMBER(J3636),J3636,IF(OR(C3636="Alpha",B3636="Alpha"),$C$7,IF(C3636="Futures",$C$6,$C$5))),""),"")</f>
        <v/>
      </c>
      <c r="I3636" s="139">
        <f>IFERROR(IF(AND(ISNUMBER(F3636),ISNUMBER(H3636)),F3636-H3636,""),"")</f>
        <v/>
      </c>
      <c r="J3636" s="114" t="n"/>
      <c r="K3636" s="139">
        <f>IFERROR(IF(H3636&gt;0,H3636*IF(OR(C3636="Alpha",B3636="Alpha"),$C$9,$C$8),""),"")</f>
        <v/>
      </c>
      <c r="L3636" s="139">
        <f>IFERROR(IF(ISNUMBER(F3636),F3636-IF(ISNUMBER(K3636),K3636,0),""),"")</f>
        <v/>
      </c>
    </row>
    <row r="3637" ht="24" customHeight="1" s="63">
      <c r="E3637" s="139" t="n"/>
      <c r="F3637" s="139" t="n"/>
      <c r="G3637" s="140">
        <f>IFERROR(IF(E3637&gt;0,(F3637/E3637)*1000,""),"")</f>
        <v/>
      </c>
      <c r="H3637" s="139">
        <f>IFERROR(IF(E3637&gt;0,E3637*IF(ISNUMBER(J3637),J3637,IF(OR(C3637="Alpha",B3637="Alpha"),$C$7,IF(C3637="Futures",$C$6,$C$5))),""),"")</f>
        <v/>
      </c>
      <c r="I3637" s="139">
        <f>IFERROR(IF(AND(ISNUMBER(F3637),ISNUMBER(H3637)),F3637-H3637,""),"")</f>
        <v/>
      </c>
      <c r="J3637" s="114" t="n"/>
      <c r="K3637" s="139">
        <f>IFERROR(IF(H3637&gt;0,H3637*IF(OR(C3637="Alpha",B3637="Alpha"),$C$9,$C$8),""),"")</f>
        <v/>
      </c>
      <c r="L3637" s="139">
        <f>IFERROR(IF(ISNUMBER(F3637),F3637-IF(ISNUMBER(K3637),K3637,0),""),"")</f>
        <v/>
      </c>
    </row>
    <row r="3638" ht="24" customHeight="1" s="63">
      <c r="E3638" s="139" t="n"/>
      <c r="F3638" s="139" t="n"/>
      <c r="G3638" s="140">
        <f>IFERROR(IF(E3638&gt;0,(F3638/E3638)*1000,""),"")</f>
        <v/>
      </c>
      <c r="H3638" s="139">
        <f>IFERROR(IF(E3638&gt;0,E3638*IF(ISNUMBER(J3638),J3638,IF(OR(C3638="Alpha",B3638="Alpha"),$C$7,IF(C3638="Futures",$C$6,$C$5))),""),"")</f>
        <v/>
      </c>
      <c r="I3638" s="139">
        <f>IFERROR(IF(AND(ISNUMBER(F3638),ISNUMBER(H3638)),F3638-H3638,""),"")</f>
        <v/>
      </c>
      <c r="J3638" s="114" t="n"/>
      <c r="K3638" s="139">
        <f>IFERROR(IF(H3638&gt;0,H3638*IF(OR(C3638="Alpha",B3638="Alpha"),$C$9,$C$8),""),"")</f>
        <v/>
      </c>
      <c r="L3638" s="139">
        <f>IFERROR(IF(ISNUMBER(F3638),F3638-IF(ISNUMBER(K3638),K3638,0),""),"")</f>
        <v/>
      </c>
    </row>
    <row r="3639" ht="24" customHeight="1" s="63">
      <c r="E3639" s="139" t="n"/>
      <c r="F3639" s="139" t="n"/>
      <c r="G3639" s="140">
        <f>IFERROR(IF(E3639&gt;0,(F3639/E3639)*1000,""),"")</f>
        <v/>
      </c>
      <c r="H3639" s="139">
        <f>IFERROR(IF(E3639&gt;0,E3639*IF(ISNUMBER(J3639),J3639,IF(OR(C3639="Alpha",B3639="Alpha"),$C$7,IF(C3639="Futures",$C$6,$C$5))),""),"")</f>
        <v/>
      </c>
      <c r="I3639" s="139">
        <f>IFERROR(IF(AND(ISNUMBER(F3639),ISNUMBER(H3639)),F3639-H3639,""),"")</f>
        <v/>
      </c>
      <c r="J3639" s="114" t="n"/>
      <c r="K3639" s="139">
        <f>IFERROR(IF(H3639&gt;0,H3639*IF(OR(C3639="Alpha",B3639="Alpha"),$C$9,$C$8),""),"")</f>
        <v/>
      </c>
      <c r="L3639" s="139">
        <f>IFERROR(IF(ISNUMBER(F3639),F3639-IF(ISNUMBER(K3639),K3639,0),""),"")</f>
        <v/>
      </c>
    </row>
    <row r="3640" ht="24" customHeight="1" s="63">
      <c r="E3640" s="139" t="n"/>
      <c r="F3640" s="139" t="n"/>
      <c r="G3640" s="140">
        <f>IFERROR(IF(E3640&gt;0,(F3640/E3640)*1000,""),"")</f>
        <v/>
      </c>
      <c r="H3640" s="139">
        <f>IFERROR(IF(E3640&gt;0,E3640*IF(ISNUMBER(J3640),J3640,IF(OR(C3640="Alpha",B3640="Alpha"),$C$7,IF(C3640="Futures",$C$6,$C$5))),""),"")</f>
        <v/>
      </c>
      <c r="I3640" s="139">
        <f>IFERROR(IF(AND(ISNUMBER(F3640),ISNUMBER(H3640)),F3640-H3640,""),"")</f>
        <v/>
      </c>
      <c r="J3640" s="114" t="n"/>
      <c r="K3640" s="139">
        <f>IFERROR(IF(H3640&gt;0,H3640*IF(OR(C3640="Alpha",B3640="Alpha"),$C$9,$C$8),""),"")</f>
        <v/>
      </c>
      <c r="L3640" s="139">
        <f>IFERROR(IF(ISNUMBER(F3640),F3640-IF(ISNUMBER(K3640),K3640,0),""),"")</f>
        <v/>
      </c>
    </row>
    <row r="3641" ht="24" customHeight="1" s="63">
      <c r="E3641" s="139" t="n"/>
      <c r="F3641" s="139" t="n"/>
      <c r="G3641" s="140">
        <f>IFERROR(IF(E3641&gt;0,(F3641/E3641)*1000,""),"")</f>
        <v/>
      </c>
      <c r="H3641" s="139">
        <f>IFERROR(IF(E3641&gt;0,E3641*IF(ISNUMBER(J3641),J3641,IF(OR(C3641="Alpha",B3641="Alpha"),$C$7,IF(C3641="Futures",$C$6,$C$5))),""),"")</f>
        <v/>
      </c>
      <c r="I3641" s="139">
        <f>IFERROR(IF(AND(ISNUMBER(F3641),ISNUMBER(H3641)),F3641-H3641,""),"")</f>
        <v/>
      </c>
      <c r="J3641" s="114" t="n"/>
      <c r="K3641" s="139">
        <f>IFERROR(IF(H3641&gt;0,H3641*IF(OR(C3641="Alpha",B3641="Alpha"),$C$9,$C$8),""),"")</f>
        <v/>
      </c>
      <c r="L3641" s="139">
        <f>IFERROR(IF(ISNUMBER(F3641),F3641-IF(ISNUMBER(K3641),K3641,0),""),"")</f>
        <v/>
      </c>
    </row>
    <row r="3642" ht="24" customHeight="1" s="63">
      <c r="E3642" s="139" t="n"/>
      <c r="F3642" s="139" t="n"/>
      <c r="G3642" s="140">
        <f>IFERROR(IF(E3642&gt;0,(F3642/E3642)*1000,""),"")</f>
        <v/>
      </c>
      <c r="H3642" s="139">
        <f>IFERROR(IF(E3642&gt;0,E3642*IF(ISNUMBER(J3642),J3642,IF(OR(C3642="Alpha",B3642="Alpha"),$C$7,IF(C3642="Futures",$C$6,$C$5))),""),"")</f>
        <v/>
      </c>
      <c r="I3642" s="139">
        <f>IFERROR(IF(AND(ISNUMBER(F3642),ISNUMBER(H3642)),F3642-H3642,""),"")</f>
        <v/>
      </c>
      <c r="J3642" s="114" t="n"/>
      <c r="K3642" s="139">
        <f>IFERROR(IF(H3642&gt;0,H3642*IF(OR(C3642="Alpha",B3642="Alpha"),$C$9,$C$8),""),"")</f>
        <v/>
      </c>
      <c r="L3642" s="139">
        <f>IFERROR(IF(ISNUMBER(F3642),F3642-IF(ISNUMBER(K3642),K3642,0),""),"")</f>
        <v/>
      </c>
    </row>
    <row r="3643" ht="24" customHeight="1" s="63">
      <c r="E3643" s="139" t="n"/>
      <c r="F3643" s="139" t="n"/>
      <c r="G3643" s="140">
        <f>IFERROR(IF(E3643&gt;0,(F3643/E3643)*1000,""),"")</f>
        <v/>
      </c>
      <c r="H3643" s="139">
        <f>IFERROR(IF(E3643&gt;0,E3643*IF(ISNUMBER(J3643),J3643,IF(OR(C3643="Alpha",B3643="Alpha"),$C$7,IF(C3643="Futures",$C$6,$C$5))),""),"")</f>
        <v/>
      </c>
      <c r="I3643" s="139">
        <f>IFERROR(IF(AND(ISNUMBER(F3643),ISNUMBER(H3643)),F3643-H3643,""),"")</f>
        <v/>
      </c>
      <c r="J3643" s="114" t="n"/>
      <c r="K3643" s="139">
        <f>IFERROR(IF(H3643&gt;0,H3643*IF(OR(C3643="Alpha",B3643="Alpha"),$C$9,$C$8),""),"")</f>
        <v/>
      </c>
      <c r="L3643" s="139">
        <f>IFERROR(IF(ISNUMBER(F3643),F3643-IF(ISNUMBER(K3643),K3643,0),""),"")</f>
        <v/>
      </c>
    </row>
    <row r="3644" ht="24" customHeight="1" s="63">
      <c r="E3644" s="139" t="n"/>
      <c r="F3644" s="139" t="n"/>
      <c r="G3644" s="140">
        <f>IFERROR(IF(E3644&gt;0,(F3644/E3644)*1000,""),"")</f>
        <v/>
      </c>
      <c r="H3644" s="139">
        <f>IFERROR(IF(E3644&gt;0,E3644*IF(ISNUMBER(J3644),J3644,IF(OR(C3644="Alpha",B3644="Alpha"),$C$7,IF(C3644="Futures",$C$6,$C$5))),""),"")</f>
        <v/>
      </c>
      <c r="I3644" s="139">
        <f>IFERROR(IF(AND(ISNUMBER(F3644),ISNUMBER(H3644)),F3644-H3644,""),"")</f>
        <v/>
      </c>
      <c r="J3644" s="114" t="n"/>
      <c r="K3644" s="139">
        <f>IFERROR(IF(H3644&gt;0,H3644*IF(OR(C3644="Alpha",B3644="Alpha"),$C$9,$C$8),""),"")</f>
        <v/>
      </c>
      <c r="L3644" s="139">
        <f>IFERROR(IF(ISNUMBER(F3644),F3644-IF(ISNUMBER(K3644),K3644,0),""),"")</f>
        <v/>
      </c>
    </row>
    <row r="3645" ht="24" customHeight="1" s="63">
      <c r="E3645" s="139" t="n"/>
      <c r="F3645" s="139" t="n"/>
      <c r="G3645" s="140">
        <f>IFERROR(IF(E3645&gt;0,(F3645/E3645)*1000,""),"")</f>
        <v/>
      </c>
      <c r="H3645" s="139">
        <f>IFERROR(IF(E3645&gt;0,E3645*IF(ISNUMBER(J3645),J3645,IF(OR(C3645="Alpha",B3645="Alpha"),$C$7,IF(C3645="Futures",$C$6,$C$5))),""),"")</f>
        <v/>
      </c>
      <c r="I3645" s="139">
        <f>IFERROR(IF(AND(ISNUMBER(F3645),ISNUMBER(H3645)),F3645-H3645,""),"")</f>
        <v/>
      </c>
      <c r="J3645" s="114" t="n"/>
      <c r="K3645" s="139">
        <f>IFERROR(IF(H3645&gt;0,H3645*IF(OR(C3645="Alpha",B3645="Alpha"),$C$9,$C$8),""),"")</f>
        <v/>
      </c>
      <c r="L3645" s="139">
        <f>IFERROR(IF(ISNUMBER(F3645),F3645-IF(ISNUMBER(K3645),K3645,0),""),"")</f>
        <v/>
      </c>
    </row>
    <row r="3646" ht="24" customHeight="1" s="63">
      <c r="E3646" s="139" t="n"/>
      <c r="F3646" s="139" t="n"/>
      <c r="G3646" s="140">
        <f>IFERROR(IF(E3646&gt;0,(F3646/E3646)*1000,""),"")</f>
        <v/>
      </c>
      <c r="H3646" s="139">
        <f>IFERROR(IF(E3646&gt;0,E3646*IF(ISNUMBER(J3646),J3646,IF(OR(C3646="Alpha",B3646="Alpha"),$C$7,IF(C3646="Futures",$C$6,$C$5))),""),"")</f>
        <v/>
      </c>
      <c r="I3646" s="139">
        <f>IFERROR(IF(AND(ISNUMBER(F3646),ISNUMBER(H3646)),F3646-H3646,""),"")</f>
        <v/>
      </c>
      <c r="J3646" s="114" t="n"/>
      <c r="K3646" s="139">
        <f>IFERROR(IF(H3646&gt;0,H3646*IF(OR(C3646="Alpha",B3646="Alpha"),$C$9,$C$8),""),"")</f>
        <v/>
      </c>
      <c r="L3646" s="139">
        <f>IFERROR(IF(ISNUMBER(F3646),F3646-IF(ISNUMBER(K3646),K3646,0),""),"")</f>
        <v/>
      </c>
    </row>
    <row r="3647" ht="24" customHeight="1" s="63">
      <c r="E3647" s="139" t="n"/>
      <c r="F3647" s="139" t="n"/>
      <c r="G3647" s="140">
        <f>IFERROR(IF(E3647&gt;0,(F3647/E3647)*1000,""),"")</f>
        <v/>
      </c>
      <c r="H3647" s="139">
        <f>IFERROR(IF(E3647&gt;0,E3647*IF(ISNUMBER(J3647),J3647,IF(OR(C3647="Alpha",B3647="Alpha"),$C$7,IF(C3647="Futures",$C$6,$C$5))),""),"")</f>
        <v/>
      </c>
      <c r="I3647" s="139">
        <f>IFERROR(IF(AND(ISNUMBER(F3647),ISNUMBER(H3647)),F3647-H3647,""),"")</f>
        <v/>
      </c>
      <c r="J3647" s="114" t="n"/>
      <c r="K3647" s="139">
        <f>IFERROR(IF(H3647&gt;0,H3647*IF(OR(C3647="Alpha",B3647="Alpha"),$C$9,$C$8),""),"")</f>
        <v/>
      </c>
      <c r="L3647" s="139">
        <f>IFERROR(IF(ISNUMBER(F3647),F3647-IF(ISNUMBER(K3647),K3647,0),""),"")</f>
        <v/>
      </c>
    </row>
    <row r="3648" ht="24" customHeight="1" s="63">
      <c r="E3648" s="139" t="n"/>
      <c r="F3648" s="139" t="n"/>
      <c r="G3648" s="140">
        <f>IFERROR(IF(E3648&gt;0,(F3648/E3648)*1000,""),"")</f>
        <v/>
      </c>
      <c r="H3648" s="139">
        <f>IFERROR(IF(E3648&gt;0,E3648*IF(ISNUMBER(J3648),J3648,IF(OR(C3648="Alpha",B3648="Alpha"),$C$7,IF(C3648="Futures",$C$6,$C$5))),""),"")</f>
        <v/>
      </c>
      <c r="I3648" s="139">
        <f>IFERROR(IF(AND(ISNUMBER(F3648),ISNUMBER(H3648)),F3648-H3648,""),"")</f>
        <v/>
      </c>
      <c r="J3648" s="114" t="n"/>
      <c r="K3648" s="139">
        <f>IFERROR(IF(H3648&gt;0,H3648*IF(OR(C3648="Alpha",B3648="Alpha"),$C$9,$C$8),""),"")</f>
        <v/>
      </c>
      <c r="L3648" s="139">
        <f>IFERROR(IF(ISNUMBER(F3648),F3648-IF(ISNUMBER(K3648),K3648,0),""),"")</f>
        <v/>
      </c>
    </row>
    <row r="3649" ht="24" customHeight="1" s="63">
      <c r="E3649" s="139" t="n"/>
      <c r="F3649" s="139" t="n"/>
      <c r="G3649" s="140">
        <f>IFERROR(IF(E3649&gt;0,(F3649/E3649)*1000,""),"")</f>
        <v/>
      </c>
      <c r="H3649" s="139">
        <f>IFERROR(IF(E3649&gt;0,E3649*IF(ISNUMBER(J3649),J3649,IF(OR(C3649="Alpha",B3649="Alpha"),$C$7,IF(C3649="Futures",$C$6,$C$5))),""),"")</f>
        <v/>
      </c>
      <c r="I3649" s="139">
        <f>IFERROR(IF(AND(ISNUMBER(F3649),ISNUMBER(H3649)),F3649-H3649,""),"")</f>
        <v/>
      </c>
      <c r="J3649" s="114" t="n"/>
      <c r="K3649" s="139">
        <f>IFERROR(IF(H3649&gt;0,H3649*IF(OR(C3649="Alpha",B3649="Alpha"),$C$9,$C$8),""),"")</f>
        <v/>
      </c>
      <c r="L3649" s="139">
        <f>IFERROR(IF(ISNUMBER(F3649),F3649-IF(ISNUMBER(K3649),K3649,0),""),"")</f>
        <v/>
      </c>
    </row>
    <row r="3650" ht="24" customHeight="1" s="63">
      <c r="E3650" s="139" t="n"/>
      <c r="F3650" s="139" t="n"/>
      <c r="G3650" s="140">
        <f>IFERROR(IF(E3650&gt;0,(F3650/E3650)*1000,""),"")</f>
        <v/>
      </c>
      <c r="H3650" s="139">
        <f>IFERROR(IF(E3650&gt;0,E3650*IF(ISNUMBER(J3650),J3650,IF(OR(C3650="Alpha",B3650="Alpha"),$C$7,IF(C3650="Futures",$C$6,$C$5))),""),"")</f>
        <v/>
      </c>
      <c r="I3650" s="139">
        <f>IFERROR(IF(AND(ISNUMBER(F3650),ISNUMBER(H3650)),F3650-H3650,""),"")</f>
        <v/>
      </c>
      <c r="J3650" s="114" t="n"/>
      <c r="K3650" s="139">
        <f>IFERROR(IF(H3650&gt;0,H3650*IF(OR(C3650="Alpha",B3650="Alpha"),$C$9,$C$8),""),"")</f>
        <v/>
      </c>
      <c r="L3650" s="139">
        <f>IFERROR(IF(ISNUMBER(F3650),F3650-IF(ISNUMBER(K3650),K3650,0),""),"")</f>
        <v/>
      </c>
    </row>
    <row r="3651" ht="24" customHeight="1" s="63">
      <c r="E3651" s="139" t="n"/>
      <c r="F3651" s="139" t="n"/>
      <c r="G3651" s="140">
        <f>IFERROR(IF(E3651&gt;0,(F3651/E3651)*1000,""),"")</f>
        <v/>
      </c>
      <c r="H3651" s="139">
        <f>IFERROR(IF(E3651&gt;0,E3651*IF(ISNUMBER(J3651),J3651,IF(OR(C3651="Alpha",B3651="Alpha"),$C$7,IF(C3651="Futures",$C$6,$C$5))),""),"")</f>
        <v/>
      </c>
      <c r="I3651" s="139">
        <f>IFERROR(IF(AND(ISNUMBER(F3651),ISNUMBER(H3651)),F3651-H3651,""),"")</f>
        <v/>
      </c>
      <c r="J3651" s="114" t="n"/>
      <c r="K3651" s="139">
        <f>IFERROR(IF(H3651&gt;0,H3651*IF(OR(C3651="Alpha",B3651="Alpha"),$C$9,$C$8),""),"")</f>
        <v/>
      </c>
      <c r="L3651" s="139">
        <f>IFERROR(IF(ISNUMBER(F3651),F3651-IF(ISNUMBER(K3651),K3651,0),""),"")</f>
        <v/>
      </c>
    </row>
    <row r="3652" ht="24" customHeight="1" s="63">
      <c r="E3652" s="139" t="n"/>
      <c r="F3652" s="139" t="n"/>
      <c r="G3652" s="140">
        <f>IFERROR(IF(E3652&gt;0,(F3652/E3652)*1000,""),"")</f>
        <v/>
      </c>
      <c r="H3652" s="139">
        <f>IFERROR(IF(E3652&gt;0,E3652*IF(ISNUMBER(J3652),J3652,IF(OR(C3652="Alpha",B3652="Alpha"),$C$7,IF(C3652="Futures",$C$6,$C$5))),""),"")</f>
        <v/>
      </c>
      <c r="I3652" s="139">
        <f>IFERROR(IF(AND(ISNUMBER(F3652),ISNUMBER(H3652)),F3652-H3652,""),"")</f>
        <v/>
      </c>
      <c r="J3652" s="114" t="n"/>
      <c r="K3652" s="139">
        <f>IFERROR(IF(H3652&gt;0,H3652*IF(OR(C3652="Alpha",B3652="Alpha"),$C$9,$C$8),""),"")</f>
        <v/>
      </c>
      <c r="L3652" s="139">
        <f>IFERROR(IF(ISNUMBER(F3652),F3652-IF(ISNUMBER(K3652),K3652,0),""),"")</f>
        <v/>
      </c>
    </row>
    <row r="3653" ht="24" customHeight="1" s="63">
      <c r="E3653" s="139" t="n"/>
      <c r="F3653" s="139" t="n"/>
      <c r="G3653" s="140">
        <f>IFERROR(IF(E3653&gt;0,(F3653/E3653)*1000,""),"")</f>
        <v/>
      </c>
      <c r="H3653" s="139">
        <f>IFERROR(IF(E3653&gt;0,E3653*IF(ISNUMBER(J3653),J3653,IF(OR(C3653="Alpha",B3653="Alpha"),$C$7,IF(C3653="Futures",$C$6,$C$5))),""),"")</f>
        <v/>
      </c>
      <c r="I3653" s="139">
        <f>IFERROR(IF(AND(ISNUMBER(F3653),ISNUMBER(H3653)),F3653-H3653,""),"")</f>
        <v/>
      </c>
      <c r="J3653" s="114" t="n"/>
      <c r="K3653" s="139">
        <f>IFERROR(IF(H3653&gt;0,H3653*IF(OR(C3653="Alpha",B3653="Alpha"),$C$9,$C$8),""),"")</f>
        <v/>
      </c>
      <c r="L3653" s="139">
        <f>IFERROR(IF(ISNUMBER(F3653),F3653-IF(ISNUMBER(K3653),K3653,0),""),"")</f>
        <v/>
      </c>
    </row>
    <row r="3654" ht="24" customHeight="1" s="63">
      <c r="E3654" s="139" t="n"/>
      <c r="F3654" s="139" t="n"/>
      <c r="G3654" s="140">
        <f>IFERROR(IF(E3654&gt;0,(F3654/E3654)*1000,""),"")</f>
        <v/>
      </c>
      <c r="H3654" s="139">
        <f>IFERROR(IF(E3654&gt;0,E3654*IF(ISNUMBER(J3654),J3654,IF(OR(C3654="Alpha",B3654="Alpha"),$C$7,IF(C3654="Futures",$C$6,$C$5))),""),"")</f>
        <v/>
      </c>
      <c r="I3654" s="139">
        <f>IFERROR(IF(AND(ISNUMBER(F3654),ISNUMBER(H3654)),F3654-H3654,""),"")</f>
        <v/>
      </c>
      <c r="J3654" s="114" t="n"/>
      <c r="K3654" s="139">
        <f>IFERROR(IF(H3654&gt;0,H3654*IF(OR(C3654="Alpha",B3654="Alpha"),$C$9,$C$8),""),"")</f>
        <v/>
      </c>
      <c r="L3654" s="139">
        <f>IFERROR(IF(ISNUMBER(F3654),F3654-IF(ISNUMBER(K3654),K3654,0),""),"")</f>
        <v/>
      </c>
    </row>
    <row r="3655" ht="24" customHeight="1" s="63">
      <c r="E3655" s="139" t="n"/>
      <c r="F3655" s="139" t="n"/>
      <c r="G3655" s="140">
        <f>IFERROR(IF(E3655&gt;0,(F3655/E3655)*1000,""),"")</f>
        <v/>
      </c>
      <c r="H3655" s="139">
        <f>IFERROR(IF(E3655&gt;0,E3655*IF(ISNUMBER(J3655),J3655,IF(OR(C3655="Alpha",B3655="Alpha"),$C$7,IF(C3655="Futures",$C$6,$C$5))),""),"")</f>
        <v/>
      </c>
      <c r="I3655" s="139">
        <f>IFERROR(IF(AND(ISNUMBER(F3655),ISNUMBER(H3655)),F3655-H3655,""),"")</f>
        <v/>
      </c>
      <c r="J3655" s="114" t="n"/>
      <c r="K3655" s="139">
        <f>IFERROR(IF(H3655&gt;0,H3655*IF(OR(C3655="Alpha",B3655="Alpha"),$C$9,$C$8),""),"")</f>
        <v/>
      </c>
      <c r="L3655" s="139">
        <f>IFERROR(IF(ISNUMBER(F3655),F3655-IF(ISNUMBER(K3655),K3655,0),""),"")</f>
        <v/>
      </c>
    </row>
    <row r="3656" ht="24" customHeight="1" s="63">
      <c r="E3656" s="139" t="n"/>
      <c r="F3656" s="139" t="n"/>
      <c r="G3656" s="140">
        <f>IFERROR(IF(E3656&gt;0,(F3656/E3656)*1000,""),"")</f>
        <v/>
      </c>
      <c r="H3656" s="139">
        <f>IFERROR(IF(E3656&gt;0,E3656*IF(ISNUMBER(J3656),J3656,IF(OR(C3656="Alpha",B3656="Alpha"),$C$7,IF(C3656="Futures",$C$6,$C$5))),""),"")</f>
        <v/>
      </c>
      <c r="I3656" s="139">
        <f>IFERROR(IF(AND(ISNUMBER(F3656),ISNUMBER(H3656)),F3656-H3656,""),"")</f>
        <v/>
      </c>
      <c r="J3656" s="114" t="n"/>
      <c r="K3656" s="139">
        <f>IFERROR(IF(H3656&gt;0,H3656*IF(OR(C3656="Alpha",B3656="Alpha"),$C$9,$C$8),""),"")</f>
        <v/>
      </c>
      <c r="L3656" s="139">
        <f>IFERROR(IF(ISNUMBER(F3656),F3656-IF(ISNUMBER(K3656),K3656,0),""),"")</f>
        <v/>
      </c>
    </row>
    <row r="3657" ht="24" customHeight="1" s="63">
      <c r="E3657" s="139" t="n"/>
      <c r="F3657" s="139" t="n"/>
      <c r="G3657" s="140">
        <f>IFERROR(IF(E3657&gt;0,(F3657/E3657)*1000,""),"")</f>
        <v/>
      </c>
      <c r="H3657" s="139">
        <f>IFERROR(IF(E3657&gt;0,E3657*IF(ISNUMBER(J3657),J3657,IF(OR(C3657="Alpha",B3657="Alpha"),$C$7,IF(C3657="Futures",$C$6,$C$5))),""),"")</f>
        <v/>
      </c>
      <c r="I3657" s="139">
        <f>IFERROR(IF(AND(ISNUMBER(F3657),ISNUMBER(H3657)),F3657-H3657,""),"")</f>
        <v/>
      </c>
      <c r="J3657" s="114" t="n"/>
      <c r="K3657" s="139">
        <f>IFERROR(IF(H3657&gt;0,H3657*IF(OR(C3657="Alpha",B3657="Alpha"),$C$9,$C$8),""),"")</f>
        <v/>
      </c>
      <c r="L3657" s="139">
        <f>IFERROR(IF(ISNUMBER(F3657),F3657-IF(ISNUMBER(K3657),K3657,0),""),"")</f>
        <v/>
      </c>
    </row>
    <row r="3658" ht="24" customHeight="1" s="63">
      <c r="E3658" s="139" t="n"/>
      <c r="F3658" s="139" t="n"/>
      <c r="G3658" s="140">
        <f>IFERROR(IF(E3658&gt;0,(F3658/E3658)*1000,""),"")</f>
        <v/>
      </c>
      <c r="H3658" s="139">
        <f>IFERROR(IF(E3658&gt;0,E3658*IF(ISNUMBER(J3658),J3658,IF(OR(C3658="Alpha",B3658="Alpha"),$C$7,IF(C3658="Futures",$C$6,$C$5))),""),"")</f>
        <v/>
      </c>
      <c r="I3658" s="139">
        <f>IFERROR(IF(AND(ISNUMBER(F3658),ISNUMBER(H3658)),F3658-H3658,""),"")</f>
        <v/>
      </c>
      <c r="J3658" s="114" t="n"/>
      <c r="K3658" s="139">
        <f>IFERROR(IF(H3658&gt;0,H3658*IF(OR(C3658="Alpha",B3658="Alpha"),$C$9,$C$8),""),"")</f>
        <v/>
      </c>
      <c r="L3658" s="139">
        <f>IFERROR(IF(ISNUMBER(F3658),F3658-IF(ISNUMBER(K3658),K3658,0),""),"")</f>
        <v/>
      </c>
    </row>
    <row r="3659" ht="24" customHeight="1" s="63">
      <c r="E3659" s="139" t="n"/>
      <c r="F3659" s="139" t="n"/>
      <c r="G3659" s="140">
        <f>IFERROR(IF(E3659&gt;0,(F3659/E3659)*1000,""),"")</f>
        <v/>
      </c>
      <c r="H3659" s="139">
        <f>IFERROR(IF(E3659&gt;0,E3659*IF(ISNUMBER(J3659),J3659,IF(OR(C3659="Alpha",B3659="Alpha"),$C$7,IF(C3659="Futures",$C$6,$C$5))),""),"")</f>
        <v/>
      </c>
      <c r="I3659" s="139">
        <f>IFERROR(IF(AND(ISNUMBER(F3659),ISNUMBER(H3659)),F3659-H3659,""),"")</f>
        <v/>
      </c>
      <c r="J3659" s="114" t="n"/>
      <c r="K3659" s="139">
        <f>IFERROR(IF(H3659&gt;0,H3659*IF(OR(C3659="Alpha",B3659="Alpha"),$C$9,$C$8),""),"")</f>
        <v/>
      </c>
      <c r="L3659" s="139">
        <f>IFERROR(IF(ISNUMBER(F3659),F3659-IF(ISNUMBER(K3659),K3659,0),""),"")</f>
        <v/>
      </c>
    </row>
    <row r="3660" ht="24" customHeight="1" s="63">
      <c r="E3660" s="139" t="n"/>
      <c r="F3660" s="139" t="n"/>
      <c r="G3660" s="140">
        <f>IFERROR(IF(E3660&gt;0,(F3660/E3660)*1000,""),"")</f>
        <v/>
      </c>
      <c r="H3660" s="139">
        <f>IFERROR(IF(E3660&gt;0,E3660*IF(ISNUMBER(J3660),J3660,IF(OR(C3660="Alpha",B3660="Alpha"),$C$7,IF(C3660="Futures",$C$6,$C$5))),""),"")</f>
        <v/>
      </c>
      <c r="I3660" s="139">
        <f>IFERROR(IF(AND(ISNUMBER(F3660),ISNUMBER(H3660)),F3660-H3660,""),"")</f>
        <v/>
      </c>
      <c r="J3660" s="114" t="n"/>
      <c r="K3660" s="139">
        <f>IFERROR(IF(H3660&gt;0,H3660*IF(OR(C3660="Alpha",B3660="Alpha"),$C$9,$C$8),""),"")</f>
        <v/>
      </c>
      <c r="L3660" s="139">
        <f>IFERROR(IF(ISNUMBER(F3660),F3660-IF(ISNUMBER(K3660),K3660,0),""),"")</f>
        <v/>
      </c>
    </row>
    <row r="3661" ht="24" customHeight="1" s="63">
      <c r="E3661" s="139" t="n"/>
      <c r="F3661" s="139" t="n"/>
      <c r="G3661" s="140">
        <f>IFERROR(IF(E3661&gt;0,(F3661/E3661)*1000,""),"")</f>
        <v/>
      </c>
      <c r="H3661" s="139">
        <f>IFERROR(IF(E3661&gt;0,E3661*IF(ISNUMBER(J3661),J3661,IF(OR(C3661="Alpha",B3661="Alpha"),$C$7,IF(C3661="Futures",$C$6,$C$5))),""),"")</f>
        <v/>
      </c>
      <c r="I3661" s="139">
        <f>IFERROR(IF(AND(ISNUMBER(F3661),ISNUMBER(H3661)),F3661-H3661,""),"")</f>
        <v/>
      </c>
      <c r="J3661" s="114" t="n"/>
      <c r="K3661" s="139">
        <f>IFERROR(IF(H3661&gt;0,H3661*IF(OR(C3661="Alpha",B3661="Alpha"),$C$9,$C$8),""),"")</f>
        <v/>
      </c>
      <c r="L3661" s="139">
        <f>IFERROR(IF(ISNUMBER(F3661),F3661-IF(ISNUMBER(K3661),K3661,0),""),"")</f>
        <v/>
      </c>
    </row>
    <row r="3662" ht="24" customHeight="1" s="63">
      <c r="E3662" s="139" t="n"/>
      <c r="F3662" s="139" t="n"/>
      <c r="G3662" s="140">
        <f>IFERROR(IF(E3662&gt;0,(F3662/E3662)*1000,""),"")</f>
        <v/>
      </c>
      <c r="H3662" s="139">
        <f>IFERROR(IF(E3662&gt;0,E3662*IF(ISNUMBER(J3662),J3662,IF(OR(C3662="Alpha",B3662="Alpha"),$C$7,IF(C3662="Futures",$C$6,$C$5))),""),"")</f>
        <v/>
      </c>
      <c r="I3662" s="139">
        <f>IFERROR(IF(AND(ISNUMBER(F3662),ISNUMBER(H3662)),F3662-H3662,""),"")</f>
        <v/>
      </c>
      <c r="J3662" s="114" t="n"/>
      <c r="K3662" s="139">
        <f>IFERROR(IF(H3662&gt;0,H3662*IF(OR(C3662="Alpha",B3662="Alpha"),$C$9,$C$8),""),"")</f>
        <v/>
      </c>
      <c r="L3662" s="139">
        <f>IFERROR(IF(ISNUMBER(F3662),F3662-IF(ISNUMBER(K3662),K3662,0),""),"")</f>
        <v/>
      </c>
    </row>
    <row r="3663" ht="24" customHeight="1" s="63">
      <c r="E3663" s="139" t="n"/>
      <c r="F3663" s="139" t="n"/>
      <c r="G3663" s="140">
        <f>IFERROR(IF(E3663&gt;0,(F3663/E3663)*1000,""),"")</f>
        <v/>
      </c>
      <c r="H3663" s="139">
        <f>IFERROR(IF(E3663&gt;0,E3663*IF(ISNUMBER(J3663),J3663,IF(OR(C3663="Alpha",B3663="Alpha"),$C$7,IF(C3663="Futures",$C$6,$C$5))),""),"")</f>
        <v/>
      </c>
      <c r="I3663" s="139">
        <f>IFERROR(IF(AND(ISNUMBER(F3663),ISNUMBER(H3663)),F3663-H3663,""),"")</f>
        <v/>
      </c>
      <c r="J3663" s="114" t="n"/>
      <c r="K3663" s="139">
        <f>IFERROR(IF(H3663&gt;0,H3663*IF(OR(C3663="Alpha",B3663="Alpha"),$C$9,$C$8),""),"")</f>
        <v/>
      </c>
      <c r="L3663" s="139">
        <f>IFERROR(IF(ISNUMBER(F3663),F3663-IF(ISNUMBER(K3663),K3663,0),""),"")</f>
        <v/>
      </c>
    </row>
    <row r="3664" ht="24" customHeight="1" s="63">
      <c r="E3664" s="139" t="n"/>
      <c r="F3664" s="139" t="n"/>
      <c r="G3664" s="140">
        <f>IFERROR(IF(E3664&gt;0,(F3664/E3664)*1000,""),"")</f>
        <v/>
      </c>
      <c r="H3664" s="139">
        <f>IFERROR(IF(E3664&gt;0,E3664*IF(ISNUMBER(J3664),J3664,IF(OR(C3664="Alpha",B3664="Alpha"),$C$7,IF(C3664="Futures",$C$6,$C$5))),""),"")</f>
        <v/>
      </c>
      <c r="I3664" s="139">
        <f>IFERROR(IF(AND(ISNUMBER(F3664),ISNUMBER(H3664)),F3664-H3664,""),"")</f>
        <v/>
      </c>
      <c r="J3664" s="114" t="n"/>
      <c r="K3664" s="139">
        <f>IFERROR(IF(H3664&gt;0,H3664*IF(OR(C3664="Alpha",B3664="Alpha"),$C$9,$C$8),""),"")</f>
        <v/>
      </c>
      <c r="L3664" s="139">
        <f>IFERROR(IF(ISNUMBER(F3664),F3664-IF(ISNUMBER(K3664),K3664,0),""),"")</f>
        <v/>
      </c>
    </row>
    <row r="3665" ht="24" customHeight="1" s="63">
      <c r="E3665" s="139" t="n"/>
      <c r="F3665" s="139" t="n"/>
      <c r="G3665" s="140">
        <f>IFERROR(IF(E3665&gt;0,(F3665/E3665)*1000,""),"")</f>
        <v/>
      </c>
      <c r="H3665" s="139">
        <f>IFERROR(IF(E3665&gt;0,E3665*IF(ISNUMBER(J3665),J3665,IF(OR(C3665="Alpha",B3665="Alpha"),$C$7,IF(C3665="Futures",$C$6,$C$5))),""),"")</f>
        <v/>
      </c>
      <c r="I3665" s="139">
        <f>IFERROR(IF(AND(ISNUMBER(F3665),ISNUMBER(H3665)),F3665-H3665,""),"")</f>
        <v/>
      </c>
      <c r="J3665" s="114" t="n"/>
      <c r="K3665" s="139">
        <f>IFERROR(IF(H3665&gt;0,H3665*IF(OR(C3665="Alpha",B3665="Alpha"),$C$9,$C$8),""),"")</f>
        <v/>
      </c>
      <c r="L3665" s="139">
        <f>IFERROR(IF(ISNUMBER(F3665),F3665-IF(ISNUMBER(K3665),K3665,0),""),"")</f>
        <v/>
      </c>
    </row>
    <row r="3666" ht="24" customHeight="1" s="63">
      <c r="E3666" s="139" t="n"/>
      <c r="F3666" s="139" t="n"/>
      <c r="G3666" s="140">
        <f>IFERROR(IF(E3666&gt;0,(F3666/E3666)*1000,""),"")</f>
        <v/>
      </c>
      <c r="H3666" s="139">
        <f>IFERROR(IF(E3666&gt;0,E3666*IF(ISNUMBER(J3666),J3666,IF(OR(C3666="Alpha",B3666="Alpha"),$C$7,IF(C3666="Futures",$C$6,$C$5))),""),"")</f>
        <v/>
      </c>
      <c r="I3666" s="139">
        <f>IFERROR(IF(AND(ISNUMBER(F3666),ISNUMBER(H3666)),F3666-H3666,""),"")</f>
        <v/>
      </c>
      <c r="J3666" s="114" t="n"/>
      <c r="K3666" s="139">
        <f>IFERROR(IF(H3666&gt;0,H3666*IF(OR(C3666="Alpha",B3666="Alpha"),$C$9,$C$8),""),"")</f>
        <v/>
      </c>
      <c r="L3666" s="139">
        <f>IFERROR(IF(ISNUMBER(F3666),F3666-IF(ISNUMBER(K3666),K3666,0),""),"")</f>
        <v/>
      </c>
    </row>
    <row r="3667" ht="24" customHeight="1" s="63">
      <c r="E3667" s="139" t="n"/>
      <c r="F3667" s="139" t="n"/>
      <c r="G3667" s="140">
        <f>IFERROR(IF(E3667&gt;0,(F3667/E3667)*1000,""),"")</f>
        <v/>
      </c>
      <c r="H3667" s="139">
        <f>IFERROR(IF(E3667&gt;0,E3667*IF(ISNUMBER(J3667),J3667,IF(OR(C3667="Alpha",B3667="Alpha"),$C$7,IF(C3667="Futures",$C$6,$C$5))),""),"")</f>
        <v/>
      </c>
      <c r="I3667" s="139">
        <f>IFERROR(IF(AND(ISNUMBER(F3667),ISNUMBER(H3667)),F3667-H3667,""),"")</f>
        <v/>
      </c>
      <c r="J3667" s="114" t="n"/>
      <c r="K3667" s="139">
        <f>IFERROR(IF(H3667&gt;0,H3667*IF(OR(C3667="Alpha",B3667="Alpha"),$C$9,$C$8),""),"")</f>
        <v/>
      </c>
      <c r="L3667" s="139">
        <f>IFERROR(IF(ISNUMBER(F3667),F3667-IF(ISNUMBER(K3667),K3667,0),""),"")</f>
        <v/>
      </c>
    </row>
    <row r="3668" ht="24" customHeight="1" s="63">
      <c r="E3668" s="139" t="n"/>
      <c r="F3668" s="139" t="n"/>
      <c r="G3668" s="140">
        <f>IFERROR(IF(E3668&gt;0,(F3668/E3668)*1000,""),"")</f>
        <v/>
      </c>
      <c r="H3668" s="139">
        <f>IFERROR(IF(E3668&gt;0,E3668*IF(ISNUMBER(J3668),J3668,IF(OR(C3668="Alpha",B3668="Alpha"),$C$7,IF(C3668="Futures",$C$6,$C$5))),""),"")</f>
        <v/>
      </c>
      <c r="I3668" s="139">
        <f>IFERROR(IF(AND(ISNUMBER(F3668),ISNUMBER(H3668)),F3668-H3668,""),"")</f>
        <v/>
      </c>
      <c r="J3668" s="114" t="n"/>
      <c r="K3668" s="139">
        <f>IFERROR(IF(H3668&gt;0,H3668*IF(OR(C3668="Alpha",B3668="Alpha"),$C$9,$C$8),""),"")</f>
        <v/>
      </c>
      <c r="L3668" s="139">
        <f>IFERROR(IF(ISNUMBER(F3668),F3668-IF(ISNUMBER(K3668),K3668,0),""),"")</f>
        <v/>
      </c>
    </row>
    <row r="3669" ht="24" customHeight="1" s="63">
      <c r="E3669" s="139" t="n"/>
      <c r="F3669" s="139" t="n"/>
      <c r="G3669" s="140">
        <f>IFERROR(IF(E3669&gt;0,(F3669/E3669)*1000,""),"")</f>
        <v/>
      </c>
      <c r="H3669" s="139">
        <f>IFERROR(IF(E3669&gt;0,E3669*IF(ISNUMBER(J3669),J3669,IF(OR(C3669="Alpha",B3669="Alpha"),$C$7,IF(C3669="Futures",$C$6,$C$5))),""),"")</f>
        <v/>
      </c>
      <c r="I3669" s="139">
        <f>IFERROR(IF(AND(ISNUMBER(F3669),ISNUMBER(H3669)),F3669-H3669,""),"")</f>
        <v/>
      </c>
      <c r="J3669" s="114" t="n"/>
      <c r="K3669" s="139">
        <f>IFERROR(IF(H3669&gt;0,H3669*IF(OR(C3669="Alpha",B3669="Alpha"),$C$9,$C$8),""),"")</f>
        <v/>
      </c>
      <c r="L3669" s="139">
        <f>IFERROR(IF(ISNUMBER(F3669),F3669-IF(ISNUMBER(K3669),K3669,0),""),"")</f>
        <v/>
      </c>
    </row>
    <row r="3670" ht="24" customHeight="1" s="63">
      <c r="E3670" s="139" t="n"/>
      <c r="F3670" s="139" t="n"/>
      <c r="G3670" s="140">
        <f>IFERROR(IF(E3670&gt;0,(F3670/E3670)*1000,""),"")</f>
        <v/>
      </c>
      <c r="H3670" s="139">
        <f>IFERROR(IF(E3670&gt;0,E3670*IF(ISNUMBER(J3670),J3670,IF(OR(C3670="Alpha",B3670="Alpha"),$C$7,IF(C3670="Futures",$C$6,$C$5))),""),"")</f>
        <v/>
      </c>
      <c r="I3670" s="139">
        <f>IFERROR(IF(AND(ISNUMBER(F3670),ISNUMBER(H3670)),F3670-H3670,""),"")</f>
        <v/>
      </c>
      <c r="J3670" s="114" t="n"/>
      <c r="K3670" s="139">
        <f>IFERROR(IF(H3670&gt;0,H3670*IF(OR(C3670="Alpha",B3670="Alpha"),$C$9,$C$8),""),"")</f>
        <v/>
      </c>
      <c r="L3670" s="139">
        <f>IFERROR(IF(ISNUMBER(F3670),F3670-IF(ISNUMBER(K3670),K3670,0),""),"")</f>
        <v/>
      </c>
    </row>
    <row r="3671" ht="24" customHeight="1" s="63">
      <c r="E3671" s="139" t="n"/>
      <c r="F3671" s="139" t="n"/>
      <c r="G3671" s="140">
        <f>IFERROR(IF(E3671&gt;0,(F3671/E3671)*1000,""),"")</f>
        <v/>
      </c>
      <c r="H3671" s="139">
        <f>IFERROR(IF(E3671&gt;0,E3671*IF(ISNUMBER(J3671),J3671,IF(OR(C3671="Alpha",B3671="Alpha"),$C$7,IF(C3671="Futures",$C$6,$C$5))),""),"")</f>
        <v/>
      </c>
      <c r="I3671" s="139">
        <f>IFERROR(IF(AND(ISNUMBER(F3671),ISNUMBER(H3671)),F3671-H3671,""),"")</f>
        <v/>
      </c>
      <c r="J3671" s="114" t="n"/>
      <c r="K3671" s="139">
        <f>IFERROR(IF(H3671&gt;0,H3671*IF(OR(C3671="Alpha",B3671="Alpha"),$C$9,$C$8),""),"")</f>
        <v/>
      </c>
      <c r="L3671" s="139">
        <f>IFERROR(IF(ISNUMBER(F3671),F3671-IF(ISNUMBER(K3671),K3671,0),""),"")</f>
        <v/>
      </c>
    </row>
    <row r="3672" ht="24" customHeight="1" s="63">
      <c r="E3672" s="139" t="n"/>
      <c r="F3672" s="139" t="n"/>
      <c r="G3672" s="140">
        <f>IFERROR(IF(E3672&gt;0,(F3672/E3672)*1000,""),"")</f>
        <v/>
      </c>
      <c r="H3672" s="139">
        <f>IFERROR(IF(E3672&gt;0,E3672*IF(ISNUMBER(J3672),J3672,IF(OR(C3672="Alpha",B3672="Alpha"),$C$7,IF(C3672="Futures",$C$6,$C$5))),""),"")</f>
        <v/>
      </c>
      <c r="I3672" s="139">
        <f>IFERROR(IF(AND(ISNUMBER(F3672),ISNUMBER(H3672)),F3672-H3672,""),"")</f>
        <v/>
      </c>
      <c r="J3672" s="114" t="n"/>
      <c r="K3672" s="139">
        <f>IFERROR(IF(H3672&gt;0,H3672*IF(OR(C3672="Alpha",B3672="Alpha"),$C$9,$C$8),""),"")</f>
        <v/>
      </c>
      <c r="L3672" s="139">
        <f>IFERROR(IF(ISNUMBER(F3672),F3672-IF(ISNUMBER(K3672),K3672,0),""),"")</f>
        <v/>
      </c>
    </row>
    <row r="3673" ht="24" customHeight="1" s="63">
      <c r="E3673" s="139" t="n"/>
      <c r="F3673" s="139" t="n"/>
      <c r="G3673" s="140">
        <f>IFERROR(IF(E3673&gt;0,(F3673/E3673)*1000,""),"")</f>
        <v/>
      </c>
      <c r="H3673" s="139">
        <f>IFERROR(IF(E3673&gt;0,E3673*IF(ISNUMBER(J3673),J3673,IF(OR(C3673="Alpha",B3673="Alpha"),$C$7,IF(C3673="Futures",$C$6,$C$5))),""),"")</f>
        <v/>
      </c>
      <c r="I3673" s="139">
        <f>IFERROR(IF(AND(ISNUMBER(F3673),ISNUMBER(H3673)),F3673-H3673,""),"")</f>
        <v/>
      </c>
      <c r="J3673" s="114" t="n"/>
      <c r="K3673" s="139">
        <f>IFERROR(IF(H3673&gt;0,H3673*IF(OR(C3673="Alpha",B3673="Alpha"),$C$9,$C$8),""),"")</f>
        <v/>
      </c>
      <c r="L3673" s="139">
        <f>IFERROR(IF(ISNUMBER(F3673),F3673-IF(ISNUMBER(K3673),K3673,0),""),"")</f>
        <v/>
      </c>
    </row>
    <row r="3674" ht="24" customHeight="1" s="63">
      <c r="E3674" s="139" t="n"/>
      <c r="F3674" s="139" t="n"/>
      <c r="G3674" s="140">
        <f>IFERROR(IF(E3674&gt;0,(F3674/E3674)*1000,""),"")</f>
        <v/>
      </c>
      <c r="H3674" s="139">
        <f>IFERROR(IF(E3674&gt;0,E3674*IF(ISNUMBER(J3674),J3674,IF(OR(C3674="Alpha",B3674="Alpha"),$C$7,IF(C3674="Futures",$C$6,$C$5))),""),"")</f>
        <v/>
      </c>
      <c r="I3674" s="139">
        <f>IFERROR(IF(AND(ISNUMBER(F3674),ISNUMBER(H3674)),F3674-H3674,""),"")</f>
        <v/>
      </c>
      <c r="J3674" s="114" t="n"/>
      <c r="K3674" s="139">
        <f>IFERROR(IF(H3674&gt;0,H3674*IF(OR(C3674="Alpha",B3674="Alpha"),$C$9,$C$8),""),"")</f>
        <v/>
      </c>
      <c r="L3674" s="139">
        <f>IFERROR(IF(ISNUMBER(F3674),F3674-IF(ISNUMBER(K3674),K3674,0),""),"")</f>
        <v/>
      </c>
    </row>
    <row r="3675" ht="24" customHeight="1" s="63">
      <c r="E3675" s="139" t="n"/>
      <c r="F3675" s="139" t="n"/>
      <c r="G3675" s="140">
        <f>IFERROR(IF(E3675&gt;0,(F3675/E3675)*1000,""),"")</f>
        <v/>
      </c>
      <c r="H3675" s="139">
        <f>IFERROR(IF(E3675&gt;0,E3675*IF(ISNUMBER(J3675),J3675,IF(OR(C3675="Alpha",B3675="Alpha"),$C$7,IF(C3675="Futures",$C$6,$C$5))),""),"")</f>
        <v/>
      </c>
      <c r="I3675" s="139">
        <f>IFERROR(IF(AND(ISNUMBER(F3675),ISNUMBER(H3675)),F3675-H3675,""),"")</f>
        <v/>
      </c>
      <c r="J3675" s="114" t="n"/>
      <c r="K3675" s="139">
        <f>IFERROR(IF(H3675&gt;0,H3675*IF(OR(C3675="Alpha",B3675="Alpha"),$C$9,$C$8),""),"")</f>
        <v/>
      </c>
      <c r="L3675" s="139">
        <f>IFERROR(IF(ISNUMBER(F3675),F3675-IF(ISNUMBER(K3675),K3675,0),""),"")</f>
        <v/>
      </c>
    </row>
    <row r="3676" ht="24" customHeight="1" s="63">
      <c r="E3676" s="139" t="n"/>
      <c r="F3676" s="139" t="n"/>
      <c r="G3676" s="140">
        <f>IFERROR(IF(E3676&gt;0,(F3676/E3676)*1000,""),"")</f>
        <v/>
      </c>
      <c r="H3676" s="139">
        <f>IFERROR(IF(E3676&gt;0,E3676*IF(ISNUMBER(J3676),J3676,IF(OR(C3676="Alpha",B3676="Alpha"),$C$7,IF(C3676="Futures",$C$6,$C$5))),""),"")</f>
        <v/>
      </c>
      <c r="I3676" s="139">
        <f>IFERROR(IF(AND(ISNUMBER(F3676),ISNUMBER(H3676)),F3676-H3676,""),"")</f>
        <v/>
      </c>
      <c r="J3676" s="114" t="n"/>
      <c r="K3676" s="139">
        <f>IFERROR(IF(H3676&gt;0,H3676*IF(OR(C3676="Alpha",B3676="Alpha"),$C$9,$C$8),""),"")</f>
        <v/>
      </c>
      <c r="L3676" s="139">
        <f>IFERROR(IF(ISNUMBER(F3676),F3676-IF(ISNUMBER(K3676),K3676,0),""),"")</f>
        <v/>
      </c>
    </row>
    <row r="3677" ht="24" customHeight="1" s="63">
      <c r="E3677" s="139" t="n"/>
      <c r="F3677" s="139" t="n"/>
      <c r="G3677" s="140">
        <f>IFERROR(IF(E3677&gt;0,(F3677/E3677)*1000,""),"")</f>
        <v/>
      </c>
      <c r="H3677" s="139">
        <f>IFERROR(IF(E3677&gt;0,E3677*IF(ISNUMBER(J3677),J3677,IF(OR(C3677="Alpha",B3677="Alpha"),$C$7,IF(C3677="Futures",$C$6,$C$5))),""),"")</f>
        <v/>
      </c>
      <c r="I3677" s="139">
        <f>IFERROR(IF(AND(ISNUMBER(F3677),ISNUMBER(H3677)),F3677-H3677,""),"")</f>
        <v/>
      </c>
      <c r="J3677" s="114" t="n"/>
      <c r="K3677" s="139">
        <f>IFERROR(IF(H3677&gt;0,H3677*IF(OR(C3677="Alpha",B3677="Alpha"),$C$9,$C$8),""),"")</f>
        <v/>
      </c>
      <c r="L3677" s="139">
        <f>IFERROR(IF(ISNUMBER(F3677),F3677-IF(ISNUMBER(K3677),K3677,0),""),"")</f>
        <v/>
      </c>
    </row>
    <row r="3678" ht="24" customHeight="1" s="63">
      <c r="E3678" s="139" t="n"/>
      <c r="F3678" s="139" t="n"/>
      <c r="G3678" s="140">
        <f>IFERROR(IF(E3678&gt;0,(F3678/E3678)*1000,""),"")</f>
        <v/>
      </c>
      <c r="H3678" s="139">
        <f>IFERROR(IF(E3678&gt;0,E3678*IF(ISNUMBER(J3678),J3678,IF(OR(C3678="Alpha",B3678="Alpha"),$C$7,IF(C3678="Futures",$C$6,$C$5))),""),"")</f>
        <v/>
      </c>
      <c r="I3678" s="139">
        <f>IFERROR(IF(AND(ISNUMBER(F3678),ISNUMBER(H3678)),F3678-H3678,""),"")</f>
        <v/>
      </c>
      <c r="J3678" s="114" t="n"/>
      <c r="K3678" s="139">
        <f>IFERROR(IF(H3678&gt;0,H3678*IF(OR(C3678="Alpha",B3678="Alpha"),$C$9,$C$8),""),"")</f>
        <v/>
      </c>
      <c r="L3678" s="139">
        <f>IFERROR(IF(ISNUMBER(F3678),F3678-IF(ISNUMBER(K3678),K3678,0),""),"")</f>
        <v/>
      </c>
    </row>
    <row r="3679" ht="24" customHeight="1" s="63">
      <c r="E3679" s="139" t="n"/>
      <c r="F3679" s="139" t="n"/>
      <c r="G3679" s="140">
        <f>IFERROR(IF(E3679&gt;0,(F3679/E3679)*1000,""),"")</f>
        <v/>
      </c>
      <c r="H3679" s="139">
        <f>IFERROR(IF(E3679&gt;0,E3679*IF(ISNUMBER(J3679),J3679,IF(OR(C3679="Alpha",B3679="Alpha"),$C$7,IF(C3679="Futures",$C$6,$C$5))),""),"")</f>
        <v/>
      </c>
      <c r="I3679" s="139">
        <f>IFERROR(IF(AND(ISNUMBER(F3679),ISNUMBER(H3679)),F3679-H3679,""),"")</f>
        <v/>
      </c>
      <c r="J3679" s="114" t="n"/>
      <c r="K3679" s="139">
        <f>IFERROR(IF(H3679&gt;0,H3679*IF(OR(C3679="Alpha",B3679="Alpha"),$C$9,$C$8),""),"")</f>
        <v/>
      </c>
      <c r="L3679" s="139">
        <f>IFERROR(IF(ISNUMBER(F3679),F3679-IF(ISNUMBER(K3679),K3679,0),""),"")</f>
        <v/>
      </c>
    </row>
    <row r="3680" ht="24" customHeight="1" s="63">
      <c r="E3680" s="139" t="n"/>
      <c r="F3680" s="139" t="n"/>
      <c r="G3680" s="140">
        <f>IFERROR(IF(E3680&gt;0,(F3680/E3680)*1000,""),"")</f>
        <v/>
      </c>
      <c r="H3680" s="139">
        <f>IFERROR(IF(E3680&gt;0,E3680*IF(ISNUMBER(J3680),J3680,IF(OR(C3680="Alpha",B3680="Alpha"),$C$7,IF(C3680="Futures",$C$6,$C$5))),""),"")</f>
        <v/>
      </c>
      <c r="I3680" s="139">
        <f>IFERROR(IF(AND(ISNUMBER(F3680),ISNUMBER(H3680)),F3680-H3680,""),"")</f>
        <v/>
      </c>
      <c r="J3680" s="114" t="n"/>
      <c r="K3680" s="139">
        <f>IFERROR(IF(H3680&gt;0,H3680*IF(OR(C3680="Alpha",B3680="Alpha"),$C$9,$C$8),""),"")</f>
        <v/>
      </c>
      <c r="L3680" s="139">
        <f>IFERROR(IF(ISNUMBER(F3680),F3680-IF(ISNUMBER(K3680),K3680,0),""),"")</f>
        <v/>
      </c>
    </row>
    <row r="3681" ht="24" customHeight="1" s="63">
      <c r="E3681" s="139" t="n"/>
      <c r="F3681" s="139" t="n"/>
      <c r="G3681" s="140">
        <f>IFERROR(IF(E3681&gt;0,(F3681/E3681)*1000,""),"")</f>
        <v/>
      </c>
      <c r="H3681" s="139">
        <f>IFERROR(IF(E3681&gt;0,E3681*IF(ISNUMBER(J3681),J3681,IF(OR(C3681="Alpha",B3681="Alpha"),$C$7,IF(C3681="Futures",$C$6,$C$5))),""),"")</f>
        <v/>
      </c>
      <c r="I3681" s="139">
        <f>IFERROR(IF(AND(ISNUMBER(F3681),ISNUMBER(H3681)),F3681-H3681,""),"")</f>
        <v/>
      </c>
      <c r="J3681" s="114" t="n"/>
      <c r="K3681" s="139">
        <f>IFERROR(IF(H3681&gt;0,H3681*IF(OR(C3681="Alpha",B3681="Alpha"),$C$9,$C$8),""),"")</f>
        <v/>
      </c>
      <c r="L3681" s="139">
        <f>IFERROR(IF(ISNUMBER(F3681),F3681-IF(ISNUMBER(K3681),K3681,0),""),"")</f>
        <v/>
      </c>
    </row>
    <row r="3682" ht="24" customHeight="1" s="63">
      <c r="E3682" s="139" t="n"/>
      <c r="F3682" s="139" t="n"/>
      <c r="G3682" s="140">
        <f>IFERROR(IF(E3682&gt;0,(F3682/E3682)*1000,""),"")</f>
        <v/>
      </c>
      <c r="H3682" s="139">
        <f>IFERROR(IF(E3682&gt;0,E3682*IF(ISNUMBER(J3682),J3682,IF(OR(C3682="Alpha",B3682="Alpha"),$C$7,IF(C3682="Futures",$C$6,$C$5))),""),"")</f>
        <v/>
      </c>
      <c r="I3682" s="139">
        <f>IFERROR(IF(AND(ISNUMBER(F3682),ISNUMBER(H3682)),F3682-H3682,""),"")</f>
        <v/>
      </c>
      <c r="J3682" s="114" t="n"/>
      <c r="K3682" s="139">
        <f>IFERROR(IF(H3682&gt;0,H3682*IF(OR(C3682="Alpha",B3682="Alpha"),$C$9,$C$8),""),"")</f>
        <v/>
      </c>
      <c r="L3682" s="139">
        <f>IFERROR(IF(ISNUMBER(F3682),F3682-IF(ISNUMBER(K3682),K3682,0),""),"")</f>
        <v/>
      </c>
    </row>
    <row r="3683" ht="24" customHeight="1" s="63">
      <c r="E3683" s="139" t="n"/>
      <c r="F3683" s="139" t="n"/>
      <c r="G3683" s="140">
        <f>IFERROR(IF(E3683&gt;0,(F3683/E3683)*1000,""),"")</f>
        <v/>
      </c>
      <c r="H3683" s="139">
        <f>IFERROR(IF(E3683&gt;0,E3683*IF(ISNUMBER(J3683),J3683,IF(OR(C3683="Alpha",B3683="Alpha"),$C$7,IF(C3683="Futures",$C$6,$C$5))),""),"")</f>
        <v/>
      </c>
      <c r="I3683" s="139">
        <f>IFERROR(IF(AND(ISNUMBER(F3683),ISNUMBER(H3683)),F3683-H3683,""),"")</f>
        <v/>
      </c>
      <c r="J3683" s="114" t="n"/>
      <c r="K3683" s="139">
        <f>IFERROR(IF(H3683&gt;0,H3683*IF(OR(C3683="Alpha",B3683="Alpha"),$C$9,$C$8),""),"")</f>
        <v/>
      </c>
      <c r="L3683" s="139">
        <f>IFERROR(IF(ISNUMBER(F3683),F3683-IF(ISNUMBER(K3683),K3683,0),""),"")</f>
        <v/>
      </c>
    </row>
    <row r="3684" ht="24" customHeight="1" s="63">
      <c r="E3684" s="139" t="n"/>
      <c r="F3684" s="139" t="n"/>
      <c r="G3684" s="140">
        <f>IFERROR(IF(E3684&gt;0,(F3684/E3684)*1000,""),"")</f>
        <v/>
      </c>
      <c r="H3684" s="139">
        <f>IFERROR(IF(E3684&gt;0,E3684*IF(ISNUMBER(J3684),J3684,IF(OR(C3684="Alpha",B3684="Alpha"),$C$7,IF(C3684="Futures",$C$6,$C$5))),""),"")</f>
        <v/>
      </c>
      <c r="I3684" s="139">
        <f>IFERROR(IF(AND(ISNUMBER(F3684),ISNUMBER(H3684)),F3684-H3684,""),"")</f>
        <v/>
      </c>
      <c r="J3684" s="114" t="n"/>
      <c r="K3684" s="139">
        <f>IFERROR(IF(H3684&gt;0,H3684*IF(OR(C3684="Alpha",B3684="Alpha"),$C$9,$C$8),""),"")</f>
        <v/>
      </c>
      <c r="L3684" s="139">
        <f>IFERROR(IF(ISNUMBER(F3684),F3684-IF(ISNUMBER(K3684),K3684,0),""),"")</f>
        <v/>
      </c>
    </row>
    <row r="3685" ht="24" customHeight="1" s="63">
      <c r="E3685" s="139" t="n"/>
      <c r="F3685" s="139" t="n"/>
      <c r="G3685" s="140">
        <f>IFERROR(IF(E3685&gt;0,(F3685/E3685)*1000,""),"")</f>
        <v/>
      </c>
      <c r="H3685" s="139">
        <f>IFERROR(IF(E3685&gt;0,E3685*IF(ISNUMBER(J3685),J3685,IF(OR(C3685="Alpha",B3685="Alpha"),$C$7,IF(C3685="Futures",$C$6,$C$5))),""),"")</f>
        <v/>
      </c>
      <c r="I3685" s="139">
        <f>IFERROR(IF(AND(ISNUMBER(F3685),ISNUMBER(H3685)),F3685-H3685,""),"")</f>
        <v/>
      </c>
      <c r="J3685" s="114" t="n"/>
      <c r="K3685" s="139">
        <f>IFERROR(IF(H3685&gt;0,H3685*IF(OR(C3685="Alpha",B3685="Alpha"),$C$9,$C$8),""),"")</f>
        <v/>
      </c>
      <c r="L3685" s="139">
        <f>IFERROR(IF(ISNUMBER(F3685),F3685-IF(ISNUMBER(K3685),K3685,0),""),"")</f>
        <v/>
      </c>
    </row>
    <row r="3686" ht="24" customHeight="1" s="63">
      <c r="E3686" s="139" t="n"/>
      <c r="F3686" s="139" t="n"/>
      <c r="G3686" s="140">
        <f>IFERROR(IF(E3686&gt;0,(F3686/E3686)*1000,""),"")</f>
        <v/>
      </c>
      <c r="H3686" s="139">
        <f>IFERROR(IF(E3686&gt;0,E3686*IF(ISNUMBER(J3686),J3686,IF(OR(C3686="Alpha",B3686="Alpha"),$C$7,IF(C3686="Futures",$C$6,$C$5))),""),"")</f>
        <v/>
      </c>
      <c r="I3686" s="139">
        <f>IFERROR(IF(AND(ISNUMBER(F3686),ISNUMBER(H3686)),F3686-H3686,""),"")</f>
        <v/>
      </c>
      <c r="J3686" s="114" t="n"/>
      <c r="K3686" s="139">
        <f>IFERROR(IF(H3686&gt;0,H3686*IF(OR(C3686="Alpha",B3686="Alpha"),$C$9,$C$8),""),"")</f>
        <v/>
      </c>
      <c r="L3686" s="139">
        <f>IFERROR(IF(ISNUMBER(F3686),F3686-IF(ISNUMBER(K3686),K3686,0),""),"")</f>
        <v/>
      </c>
    </row>
    <row r="3687" ht="24" customHeight="1" s="63">
      <c r="E3687" s="139" t="n"/>
      <c r="F3687" s="139" t="n"/>
      <c r="G3687" s="140">
        <f>IFERROR(IF(E3687&gt;0,(F3687/E3687)*1000,""),"")</f>
        <v/>
      </c>
      <c r="H3687" s="139">
        <f>IFERROR(IF(E3687&gt;0,E3687*IF(ISNUMBER(J3687),J3687,IF(OR(C3687="Alpha",B3687="Alpha"),$C$7,IF(C3687="Futures",$C$6,$C$5))),""),"")</f>
        <v/>
      </c>
      <c r="I3687" s="139">
        <f>IFERROR(IF(AND(ISNUMBER(F3687),ISNUMBER(H3687)),F3687-H3687,""),"")</f>
        <v/>
      </c>
      <c r="J3687" s="114" t="n"/>
      <c r="K3687" s="139">
        <f>IFERROR(IF(H3687&gt;0,H3687*IF(OR(C3687="Alpha",B3687="Alpha"),$C$9,$C$8),""),"")</f>
        <v/>
      </c>
      <c r="L3687" s="139">
        <f>IFERROR(IF(ISNUMBER(F3687),F3687-IF(ISNUMBER(K3687),K3687,0),""),"")</f>
        <v/>
      </c>
    </row>
    <row r="3688" ht="24" customHeight="1" s="63">
      <c r="E3688" s="139" t="n"/>
      <c r="F3688" s="139" t="n"/>
      <c r="G3688" s="140">
        <f>IFERROR(IF(E3688&gt;0,(F3688/E3688)*1000,""),"")</f>
        <v/>
      </c>
      <c r="H3688" s="139">
        <f>IFERROR(IF(E3688&gt;0,E3688*IF(ISNUMBER(J3688),J3688,IF(OR(C3688="Alpha",B3688="Alpha"),$C$7,IF(C3688="Futures",$C$6,$C$5))),""),"")</f>
        <v/>
      </c>
      <c r="I3688" s="139">
        <f>IFERROR(IF(AND(ISNUMBER(F3688),ISNUMBER(H3688)),F3688-H3688,""),"")</f>
        <v/>
      </c>
      <c r="J3688" s="114" t="n"/>
      <c r="K3688" s="139">
        <f>IFERROR(IF(H3688&gt;0,H3688*IF(OR(C3688="Alpha",B3688="Alpha"),$C$9,$C$8),""),"")</f>
        <v/>
      </c>
      <c r="L3688" s="139">
        <f>IFERROR(IF(ISNUMBER(F3688),F3688-IF(ISNUMBER(K3688),K3688,0),""),"")</f>
        <v/>
      </c>
    </row>
    <row r="3689" ht="24" customHeight="1" s="63">
      <c r="E3689" s="139" t="n"/>
      <c r="F3689" s="139" t="n"/>
      <c r="G3689" s="140">
        <f>IFERROR(IF(E3689&gt;0,(F3689/E3689)*1000,""),"")</f>
        <v/>
      </c>
      <c r="H3689" s="139">
        <f>IFERROR(IF(E3689&gt;0,E3689*IF(ISNUMBER(J3689),J3689,IF(OR(C3689="Alpha",B3689="Alpha"),$C$7,IF(C3689="Futures",$C$6,$C$5))),""),"")</f>
        <v/>
      </c>
      <c r="I3689" s="139">
        <f>IFERROR(IF(AND(ISNUMBER(F3689),ISNUMBER(H3689)),F3689-H3689,""),"")</f>
        <v/>
      </c>
      <c r="J3689" s="114" t="n"/>
      <c r="K3689" s="139">
        <f>IFERROR(IF(H3689&gt;0,H3689*IF(OR(C3689="Alpha",B3689="Alpha"),$C$9,$C$8),""),"")</f>
        <v/>
      </c>
      <c r="L3689" s="139">
        <f>IFERROR(IF(ISNUMBER(F3689),F3689-IF(ISNUMBER(K3689),K3689,0),""),"")</f>
        <v/>
      </c>
    </row>
    <row r="3690" ht="24" customHeight="1" s="63">
      <c r="E3690" s="139" t="n"/>
      <c r="F3690" s="139" t="n"/>
      <c r="G3690" s="140">
        <f>IFERROR(IF(E3690&gt;0,(F3690/E3690)*1000,""),"")</f>
        <v/>
      </c>
      <c r="H3690" s="139">
        <f>IFERROR(IF(E3690&gt;0,E3690*IF(ISNUMBER(J3690),J3690,IF(OR(C3690="Alpha",B3690="Alpha"),$C$7,IF(C3690="Futures",$C$6,$C$5))),""),"")</f>
        <v/>
      </c>
      <c r="I3690" s="139">
        <f>IFERROR(IF(AND(ISNUMBER(F3690),ISNUMBER(H3690)),F3690-H3690,""),"")</f>
        <v/>
      </c>
      <c r="J3690" s="114" t="n"/>
      <c r="K3690" s="139">
        <f>IFERROR(IF(H3690&gt;0,H3690*IF(OR(C3690="Alpha",B3690="Alpha"),$C$9,$C$8),""),"")</f>
        <v/>
      </c>
      <c r="L3690" s="139">
        <f>IFERROR(IF(ISNUMBER(F3690),F3690-IF(ISNUMBER(K3690),K3690,0),""),"")</f>
        <v/>
      </c>
    </row>
    <row r="3691" ht="24" customHeight="1" s="63">
      <c r="E3691" s="139" t="n"/>
      <c r="F3691" s="139" t="n"/>
      <c r="G3691" s="140">
        <f>IFERROR(IF(E3691&gt;0,(F3691/E3691)*1000,""),"")</f>
        <v/>
      </c>
      <c r="H3691" s="139">
        <f>IFERROR(IF(E3691&gt;0,E3691*IF(ISNUMBER(J3691),J3691,IF(OR(C3691="Alpha",B3691="Alpha"),$C$7,IF(C3691="Futures",$C$6,$C$5))),""),"")</f>
        <v/>
      </c>
      <c r="I3691" s="139">
        <f>IFERROR(IF(AND(ISNUMBER(F3691),ISNUMBER(H3691)),F3691-H3691,""),"")</f>
        <v/>
      </c>
      <c r="J3691" s="114" t="n"/>
      <c r="K3691" s="139">
        <f>IFERROR(IF(H3691&gt;0,H3691*IF(OR(C3691="Alpha",B3691="Alpha"),$C$9,$C$8),""),"")</f>
        <v/>
      </c>
      <c r="L3691" s="139">
        <f>IFERROR(IF(ISNUMBER(F3691),F3691-IF(ISNUMBER(K3691),K3691,0),""),"")</f>
        <v/>
      </c>
    </row>
    <row r="3692" ht="24" customHeight="1" s="63">
      <c r="E3692" s="139" t="n"/>
      <c r="F3692" s="139" t="n"/>
      <c r="G3692" s="140">
        <f>IFERROR(IF(E3692&gt;0,(F3692/E3692)*1000,""),"")</f>
        <v/>
      </c>
      <c r="H3692" s="139">
        <f>IFERROR(IF(E3692&gt;0,E3692*IF(ISNUMBER(J3692),J3692,IF(OR(C3692="Alpha",B3692="Alpha"),$C$7,IF(C3692="Futures",$C$6,$C$5))),""),"")</f>
        <v/>
      </c>
      <c r="I3692" s="139">
        <f>IFERROR(IF(AND(ISNUMBER(F3692),ISNUMBER(H3692)),F3692-H3692,""),"")</f>
        <v/>
      </c>
      <c r="J3692" s="114" t="n"/>
      <c r="K3692" s="139">
        <f>IFERROR(IF(H3692&gt;0,H3692*IF(OR(C3692="Alpha",B3692="Alpha"),$C$9,$C$8),""),"")</f>
        <v/>
      </c>
      <c r="L3692" s="139">
        <f>IFERROR(IF(ISNUMBER(F3692),F3692-IF(ISNUMBER(K3692),K3692,0),""),"")</f>
        <v/>
      </c>
    </row>
    <row r="3693" ht="24" customHeight="1" s="63">
      <c r="E3693" s="139" t="n"/>
      <c r="F3693" s="139" t="n"/>
      <c r="G3693" s="140">
        <f>IFERROR(IF(E3693&gt;0,(F3693/E3693)*1000,""),"")</f>
        <v/>
      </c>
      <c r="H3693" s="139">
        <f>IFERROR(IF(E3693&gt;0,E3693*IF(ISNUMBER(J3693),J3693,IF(OR(C3693="Alpha",B3693="Alpha"),$C$7,IF(C3693="Futures",$C$6,$C$5))),""),"")</f>
        <v/>
      </c>
      <c r="I3693" s="139">
        <f>IFERROR(IF(AND(ISNUMBER(F3693),ISNUMBER(H3693)),F3693-H3693,""),"")</f>
        <v/>
      </c>
      <c r="J3693" s="114" t="n"/>
      <c r="K3693" s="139">
        <f>IFERROR(IF(H3693&gt;0,H3693*IF(OR(C3693="Alpha",B3693="Alpha"),$C$9,$C$8),""),"")</f>
        <v/>
      </c>
      <c r="L3693" s="139">
        <f>IFERROR(IF(ISNUMBER(F3693),F3693-IF(ISNUMBER(K3693),K3693,0),""),"")</f>
        <v/>
      </c>
    </row>
    <row r="3694" ht="24" customHeight="1" s="63">
      <c r="E3694" s="139" t="n"/>
      <c r="F3694" s="139" t="n"/>
      <c r="G3694" s="140">
        <f>IFERROR(IF(E3694&gt;0,(F3694/E3694)*1000,""),"")</f>
        <v/>
      </c>
      <c r="H3694" s="139">
        <f>IFERROR(IF(E3694&gt;0,E3694*IF(ISNUMBER(J3694),J3694,IF(OR(C3694="Alpha",B3694="Alpha"),$C$7,IF(C3694="Futures",$C$6,$C$5))),""),"")</f>
        <v/>
      </c>
      <c r="I3694" s="139">
        <f>IFERROR(IF(AND(ISNUMBER(F3694),ISNUMBER(H3694)),F3694-H3694,""),"")</f>
        <v/>
      </c>
      <c r="J3694" s="114" t="n"/>
      <c r="K3694" s="139">
        <f>IFERROR(IF(H3694&gt;0,H3694*IF(OR(C3694="Alpha",B3694="Alpha"),$C$9,$C$8),""),"")</f>
        <v/>
      </c>
      <c r="L3694" s="139">
        <f>IFERROR(IF(ISNUMBER(F3694),F3694-IF(ISNUMBER(K3694),K3694,0),""),"")</f>
        <v/>
      </c>
    </row>
    <row r="3695" ht="24" customHeight="1" s="63">
      <c r="E3695" s="139" t="n"/>
      <c r="F3695" s="139" t="n"/>
      <c r="G3695" s="140">
        <f>IFERROR(IF(E3695&gt;0,(F3695/E3695)*1000,""),"")</f>
        <v/>
      </c>
      <c r="H3695" s="139">
        <f>IFERROR(IF(E3695&gt;0,E3695*IF(ISNUMBER(J3695),J3695,IF(OR(C3695="Alpha",B3695="Alpha"),$C$7,IF(C3695="Futures",$C$6,$C$5))),""),"")</f>
        <v/>
      </c>
      <c r="I3695" s="139">
        <f>IFERROR(IF(AND(ISNUMBER(F3695),ISNUMBER(H3695)),F3695-H3695,""),"")</f>
        <v/>
      </c>
      <c r="J3695" s="114" t="n"/>
      <c r="K3695" s="139">
        <f>IFERROR(IF(H3695&gt;0,H3695*IF(OR(C3695="Alpha",B3695="Alpha"),$C$9,$C$8),""),"")</f>
        <v/>
      </c>
      <c r="L3695" s="139">
        <f>IFERROR(IF(ISNUMBER(F3695),F3695-IF(ISNUMBER(K3695),K3695,0),""),"")</f>
        <v/>
      </c>
    </row>
    <row r="3696" ht="24" customHeight="1" s="63">
      <c r="E3696" s="139" t="n"/>
      <c r="F3696" s="139" t="n"/>
      <c r="G3696" s="140">
        <f>IFERROR(IF(E3696&gt;0,(F3696/E3696)*1000,""),"")</f>
        <v/>
      </c>
      <c r="H3696" s="139">
        <f>IFERROR(IF(E3696&gt;0,E3696*IF(ISNUMBER(J3696),J3696,IF(OR(C3696="Alpha",B3696="Alpha"),$C$7,IF(C3696="Futures",$C$6,$C$5))),""),"")</f>
        <v/>
      </c>
      <c r="I3696" s="139">
        <f>IFERROR(IF(AND(ISNUMBER(F3696),ISNUMBER(H3696)),F3696-H3696,""),"")</f>
        <v/>
      </c>
      <c r="J3696" s="114" t="n"/>
      <c r="K3696" s="139">
        <f>IFERROR(IF(H3696&gt;0,H3696*IF(OR(C3696="Alpha",B3696="Alpha"),$C$9,$C$8),""),"")</f>
        <v/>
      </c>
      <c r="L3696" s="139">
        <f>IFERROR(IF(ISNUMBER(F3696),F3696-IF(ISNUMBER(K3696),K3696,0),""),"")</f>
        <v/>
      </c>
    </row>
    <row r="3697" ht="24" customHeight="1" s="63">
      <c r="E3697" s="139" t="n"/>
      <c r="F3697" s="139" t="n"/>
      <c r="G3697" s="140">
        <f>IFERROR(IF(E3697&gt;0,(F3697/E3697)*1000,""),"")</f>
        <v/>
      </c>
      <c r="H3697" s="139">
        <f>IFERROR(IF(E3697&gt;0,E3697*IF(ISNUMBER(J3697),J3697,IF(OR(C3697="Alpha",B3697="Alpha"),$C$7,IF(C3697="Futures",$C$6,$C$5))),""),"")</f>
        <v/>
      </c>
      <c r="I3697" s="139">
        <f>IFERROR(IF(AND(ISNUMBER(F3697),ISNUMBER(H3697)),F3697-H3697,""),"")</f>
        <v/>
      </c>
      <c r="J3697" s="114" t="n"/>
      <c r="K3697" s="139">
        <f>IFERROR(IF(H3697&gt;0,H3697*IF(OR(C3697="Alpha",B3697="Alpha"),$C$9,$C$8),""),"")</f>
        <v/>
      </c>
      <c r="L3697" s="139">
        <f>IFERROR(IF(ISNUMBER(F3697),F3697-IF(ISNUMBER(K3697),K3697,0),""),"")</f>
        <v/>
      </c>
    </row>
    <row r="3698" ht="24" customHeight="1" s="63">
      <c r="E3698" s="139" t="n"/>
      <c r="F3698" s="139" t="n"/>
      <c r="G3698" s="140">
        <f>IFERROR(IF(E3698&gt;0,(F3698/E3698)*1000,""),"")</f>
        <v/>
      </c>
      <c r="H3698" s="139">
        <f>IFERROR(IF(E3698&gt;0,E3698*IF(ISNUMBER(J3698),J3698,IF(OR(C3698="Alpha",B3698="Alpha"),$C$7,IF(C3698="Futures",$C$6,$C$5))),""),"")</f>
        <v/>
      </c>
      <c r="I3698" s="139">
        <f>IFERROR(IF(AND(ISNUMBER(F3698),ISNUMBER(H3698)),F3698-H3698,""),"")</f>
        <v/>
      </c>
      <c r="J3698" s="114" t="n"/>
      <c r="K3698" s="139">
        <f>IFERROR(IF(H3698&gt;0,H3698*IF(OR(C3698="Alpha",B3698="Alpha"),$C$9,$C$8),""),"")</f>
        <v/>
      </c>
      <c r="L3698" s="139">
        <f>IFERROR(IF(ISNUMBER(F3698),F3698-IF(ISNUMBER(K3698),K3698,0),""),"")</f>
        <v/>
      </c>
    </row>
    <row r="3699" ht="24" customHeight="1" s="63">
      <c r="E3699" s="139" t="n"/>
      <c r="F3699" s="139" t="n"/>
      <c r="G3699" s="140">
        <f>IFERROR(IF(E3699&gt;0,(F3699/E3699)*1000,""),"")</f>
        <v/>
      </c>
      <c r="H3699" s="139">
        <f>IFERROR(IF(E3699&gt;0,E3699*IF(ISNUMBER(J3699),J3699,IF(OR(C3699="Alpha",B3699="Alpha"),$C$7,IF(C3699="Futures",$C$6,$C$5))),""),"")</f>
        <v/>
      </c>
      <c r="I3699" s="139">
        <f>IFERROR(IF(AND(ISNUMBER(F3699),ISNUMBER(H3699)),F3699-H3699,""),"")</f>
        <v/>
      </c>
      <c r="J3699" s="114" t="n"/>
      <c r="K3699" s="139">
        <f>IFERROR(IF(H3699&gt;0,H3699*IF(OR(C3699="Alpha",B3699="Alpha"),$C$9,$C$8),""),"")</f>
        <v/>
      </c>
      <c r="L3699" s="139">
        <f>IFERROR(IF(ISNUMBER(F3699),F3699-IF(ISNUMBER(K3699),K3699,0),""),"")</f>
        <v/>
      </c>
    </row>
    <row r="3700" ht="24" customHeight="1" s="63">
      <c r="E3700" s="139" t="n"/>
      <c r="F3700" s="139" t="n"/>
      <c r="G3700" s="140">
        <f>IFERROR(IF(E3700&gt;0,(F3700/E3700)*1000,""),"")</f>
        <v/>
      </c>
      <c r="H3700" s="139">
        <f>IFERROR(IF(E3700&gt;0,E3700*IF(ISNUMBER(J3700),J3700,IF(OR(C3700="Alpha",B3700="Alpha"),$C$7,IF(C3700="Futures",$C$6,$C$5))),""),"")</f>
        <v/>
      </c>
      <c r="I3700" s="139">
        <f>IFERROR(IF(AND(ISNUMBER(F3700),ISNUMBER(H3700)),F3700-H3700,""),"")</f>
        <v/>
      </c>
      <c r="J3700" s="114" t="n"/>
      <c r="K3700" s="139">
        <f>IFERROR(IF(H3700&gt;0,H3700*IF(OR(C3700="Alpha",B3700="Alpha"),$C$9,$C$8),""),"")</f>
        <v/>
      </c>
      <c r="L3700" s="139">
        <f>IFERROR(IF(ISNUMBER(F3700),F3700-IF(ISNUMBER(K3700),K3700,0),""),"")</f>
        <v/>
      </c>
    </row>
    <row r="3701" ht="24" customHeight="1" s="63">
      <c r="E3701" s="139" t="n"/>
      <c r="F3701" s="139" t="n"/>
      <c r="G3701" s="140">
        <f>IFERROR(IF(E3701&gt;0,(F3701/E3701)*1000,""),"")</f>
        <v/>
      </c>
      <c r="H3701" s="139">
        <f>IFERROR(IF(E3701&gt;0,E3701*IF(ISNUMBER(J3701),J3701,IF(OR(C3701="Alpha",B3701="Alpha"),$C$7,IF(C3701="Futures",$C$6,$C$5))),""),"")</f>
        <v/>
      </c>
      <c r="I3701" s="139">
        <f>IFERROR(IF(AND(ISNUMBER(F3701),ISNUMBER(H3701)),F3701-H3701,""),"")</f>
        <v/>
      </c>
      <c r="J3701" s="114" t="n"/>
      <c r="K3701" s="139">
        <f>IFERROR(IF(H3701&gt;0,H3701*IF(OR(C3701="Alpha",B3701="Alpha"),$C$9,$C$8),""),"")</f>
        <v/>
      </c>
      <c r="L3701" s="139">
        <f>IFERROR(IF(ISNUMBER(F3701),F3701-IF(ISNUMBER(K3701),K3701,0),""),"")</f>
        <v/>
      </c>
    </row>
    <row r="3702" ht="24" customHeight="1" s="63">
      <c r="E3702" s="139" t="n"/>
      <c r="F3702" s="139" t="n"/>
      <c r="G3702" s="140">
        <f>IFERROR(IF(E3702&gt;0,(F3702/E3702)*1000,""),"")</f>
        <v/>
      </c>
      <c r="H3702" s="139">
        <f>IFERROR(IF(E3702&gt;0,E3702*IF(ISNUMBER(J3702),J3702,IF(OR(C3702="Alpha",B3702="Alpha"),$C$7,IF(C3702="Futures",$C$6,$C$5))),""),"")</f>
        <v/>
      </c>
      <c r="I3702" s="139">
        <f>IFERROR(IF(AND(ISNUMBER(F3702),ISNUMBER(H3702)),F3702-H3702,""),"")</f>
        <v/>
      </c>
      <c r="J3702" s="114" t="n"/>
      <c r="K3702" s="139">
        <f>IFERROR(IF(H3702&gt;0,H3702*IF(OR(C3702="Alpha",B3702="Alpha"),$C$9,$C$8),""),"")</f>
        <v/>
      </c>
      <c r="L3702" s="139">
        <f>IFERROR(IF(ISNUMBER(F3702),F3702-IF(ISNUMBER(K3702),K3702,0),""),"")</f>
        <v/>
      </c>
    </row>
    <row r="3703" ht="24" customHeight="1" s="63">
      <c r="E3703" s="139" t="n"/>
      <c r="F3703" s="139" t="n"/>
      <c r="G3703" s="140">
        <f>IFERROR(IF(E3703&gt;0,(F3703/E3703)*1000,""),"")</f>
        <v/>
      </c>
      <c r="H3703" s="139">
        <f>IFERROR(IF(E3703&gt;0,E3703*IF(ISNUMBER(J3703),J3703,IF(OR(C3703="Alpha",B3703="Alpha"),$C$7,IF(C3703="Futures",$C$6,$C$5))),""),"")</f>
        <v/>
      </c>
      <c r="I3703" s="139">
        <f>IFERROR(IF(AND(ISNUMBER(F3703),ISNUMBER(H3703)),F3703-H3703,""),"")</f>
        <v/>
      </c>
      <c r="J3703" s="114" t="n"/>
      <c r="K3703" s="139">
        <f>IFERROR(IF(H3703&gt;0,H3703*IF(OR(C3703="Alpha",B3703="Alpha"),$C$9,$C$8),""),"")</f>
        <v/>
      </c>
      <c r="L3703" s="139">
        <f>IFERROR(IF(ISNUMBER(F3703),F3703-IF(ISNUMBER(K3703),K3703,0),""),"")</f>
        <v/>
      </c>
    </row>
    <row r="3704" ht="24" customHeight="1" s="63">
      <c r="E3704" s="139" t="n"/>
      <c r="F3704" s="139" t="n"/>
      <c r="G3704" s="140">
        <f>IFERROR(IF(E3704&gt;0,(F3704/E3704)*1000,""),"")</f>
        <v/>
      </c>
      <c r="H3704" s="139">
        <f>IFERROR(IF(E3704&gt;0,E3704*IF(ISNUMBER(J3704),J3704,IF(OR(C3704="Alpha",B3704="Alpha"),$C$7,IF(C3704="Futures",$C$6,$C$5))),""),"")</f>
        <v/>
      </c>
      <c r="I3704" s="139">
        <f>IFERROR(IF(AND(ISNUMBER(F3704),ISNUMBER(H3704)),F3704-H3704,""),"")</f>
        <v/>
      </c>
      <c r="J3704" s="114" t="n"/>
      <c r="K3704" s="139">
        <f>IFERROR(IF(H3704&gt;0,H3704*IF(OR(C3704="Alpha",B3704="Alpha"),$C$9,$C$8),""),"")</f>
        <v/>
      </c>
      <c r="L3704" s="139">
        <f>IFERROR(IF(ISNUMBER(F3704),F3704-IF(ISNUMBER(K3704),K3704,0),""),"")</f>
        <v/>
      </c>
    </row>
    <row r="3705" ht="24" customHeight="1" s="63">
      <c r="E3705" s="139" t="n"/>
      <c r="F3705" s="139" t="n"/>
      <c r="G3705" s="140">
        <f>IFERROR(IF(E3705&gt;0,(F3705/E3705)*1000,""),"")</f>
        <v/>
      </c>
      <c r="H3705" s="139">
        <f>IFERROR(IF(E3705&gt;0,E3705*IF(ISNUMBER(J3705),J3705,IF(OR(C3705="Alpha",B3705="Alpha"),$C$7,IF(C3705="Futures",$C$6,$C$5))),""),"")</f>
        <v/>
      </c>
      <c r="I3705" s="139">
        <f>IFERROR(IF(AND(ISNUMBER(F3705),ISNUMBER(H3705)),F3705-H3705,""),"")</f>
        <v/>
      </c>
      <c r="J3705" s="114" t="n"/>
      <c r="K3705" s="139">
        <f>IFERROR(IF(H3705&gt;0,H3705*IF(OR(C3705="Alpha",B3705="Alpha"),$C$9,$C$8),""),"")</f>
        <v/>
      </c>
      <c r="L3705" s="139">
        <f>IFERROR(IF(ISNUMBER(F3705),F3705-IF(ISNUMBER(K3705),K3705,0),""),"")</f>
        <v/>
      </c>
    </row>
    <row r="3706" ht="24" customHeight="1" s="63">
      <c r="E3706" s="139" t="n"/>
      <c r="F3706" s="139" t="n"/>
      <c r="G3706" s="140">
        <f>IFERROR(IF(E3706&gt;0,(F3706/E3706)*1000,""),"")</f>
        <v/>
      </c>
      <c r="H3706" s="139">
        <f>IFERROR(IF(E3706&gt;0,E3706*IF(ISNUMBER(J3706),J3706,IF(OR(C3706="Alpha",B3706="Alpha"),$C$7,IF(C3706="Futures",$C$6,$C$5))),""),"")</f>
        <v/>
      </c>
      <c r="I3706" s="139">
        <f>IFERROR(IF(AND(ISNUMBER(F3706),ISNUMBER(H3706)),F3706-H3706,""),"")</f>
        <v/>
      </c>
      <c r="J3706" s="114" t="n"/>
      <c r="K3706" s="139">
        <f>IFERROR(IF(H3706&gt;0,H3706*IF(OR(C3706="Alpha",B3706="Alpha"),$C$9,$C$8),""),"")</f>
        <v/>
      </c>
      <c r="L3706" s="139">
        <f>IFERROR(IF(ISNUMBER(F3706),F3706-IF(ISNUMBER(K3706),K3706,0),""),"")</f>
        <v/>
      </c>
    </row>
    <row r="3707" ht="24" customHeight="1" s="63">
      <c r="E3707" s="139" t="n"/>
      <c r="F3707" s="139" t="n"/>
      <c r="G3707" s="140">
        <f>IFERROR(IF(E3707&gt;0,(F3707/E3707)*1000,""),"")</f>
        <v/>
      </c>
      <c r="H3707" s="139">
        <f>IFERROR(IF(E3707&gt;0,E3707*IF(ISNUMBER(J3707),J3707,IF(OR(C3707="Alpha",B3707="Alpha"),$C$7,IF(C3707="Futures",$C$6,$C$5))),""),"")</f>
        <v/>
      </c>
      <c r="I3707" s="139">
        <f>IFERROR(IF(AND(ISNUMBER(F3707),ISNUMBER(H3707)),F3707-H3707,""),"")</f>
        <v/>
      </c>
      <c r="J3707" s="114" t="n"/>
      <c r="K3707" s="139">
        <f>IFERROR(IF(H3707&gt;0,H3707*IF(OR(C3707="Alpha",B3707="Alpha"),$C$9,$C$8),""),"")</f>
        <v/>
      </c>
      <c r="L3707" s="139">
        <f>IFERROR(IF(ISNUMBER(F3707),F3707-IF(ISNUMBER(K3707),K3707,0),""),"")</f>
        <v/>
      </c>
    </row>
    <row r="3708" ht="24" customHeight="1" s="63">
      <c r="E3708" s="139" t="n"/>
      <c r="F3708" s="139" t="n"/>
      <c r="G3708" s="140">
        <f>IFERROR(IF(E3708&gt;0,(F3708/E3708)*1000,""),"")</f>
        <v/>
      </c>
      <c r="H3708" s="139">
        <f>IFERROR(IF(E3708&gt;0,E3708*IF(ISNUMBER(J3708),J3708,IF(OR(C3708="Alpha",B3708="Alpha"),$C$7,IF(C3708="Futures",$C$6,$C$5))),""),"")</f>
        <v/>
      </c>
      <c r="I3708" s="139">
        <f>IFERROR(IF(AND(ISNUMBER(F3708),ISNUMBER(H3708)),F3708-H3708,""),"")</f>
        <v/>
      </c>
      <c r="J3708" s="114" t="n"/>
      <c r="K3708" s="139">
        <f>IFERROR(IF(H3708&gt;0,H3708*IF(OR(C3708="Alpha",B3708="Alpha"),$C$9,$C$8),""),"")</f>
        <v/>
      </c>
      <c r="L3708" s="139">
        <f>IFERROR(IF(ISNUMBER(F3708),F3708-IF(ISNUMBER(K3708),K3708,0),""),"")</f>
        <v/>
      </c>
    </row>
    <row r="3709" ht="24" customHeight="1" s="63">
      <c r="E3709" s="139" t="n"/>
      <c r="F3709" s="139" t="n"/>
      <c r="G3709" s="140">
        <f>IFERROR(IF(E3709&gt;0,(F3709/E3709)*1000,""),"")</f>
        <v/>
      </c>
      <c r="H3709" s="139">
        <f>IFERROR(IF(E3709&gt;0,E3709*IF(ISNUMBER(J3709),J3709,IF(OR(C3709="Alpha",B3709="Alpha"),$C$7,IF(C3709="Futures",$C$6,$C$5))),""),"")</f>
        <v/>
      </c>
      <c r="I3709" s="139">
        <f>IFERROR(IF(AND(ISNUMBER(F3709),ISNUMBER(H3709)),F3709-H3709,""),"")</f>
        <v/>
      </c>
      <c r="J3709" s="114" t="n"/>
      <c r="K3709" s="139">
        <f>IFERROR(IF(H3709&gt;0,H3709*IF(OR(C3709="Alpha",B3709="Alpha"),$C$9,$C$8),""),"")</f>
        <v/>
      </c>
      <c r="L3709" s="139">
        <f>IFERROR(IF(ISNUMBER(F3709),F3709-IF(ISNUMBER(K3709),K3709,0),""),"")</f>
        <v/>
      </c>
    </row>
    <row r="3710" ht="24" customHeight="1" s="63">
      <c r="E3710" s="139" t="n"/>
      <c r="F3710" s="139" t="n"/>
      <c r="G3710" s="140">
        <f>IFERROR(IF(E3710&gt;0,(F3710/E3710)*1000,""),"")</f>
        <v/>
      </c>
      <c r="H3710" s="139">
        <f>IFERROR(IF(E3710&gt;0,E3710*IF(ISNUMBER(J3710),J3710,IF(OR(C3710="Alpha",B3710="Alpha"),$C$7,IF(C3710="Futures",$C$6,$C$5))),""),"")</f>
        <v/>
      </c>
      <c r="I3710" s="139">
        <f>IFERROR(IF(AND(ISNUMBER(F3710),ISNUMBER(H3710)),F3710-H3710,""),"")</f>
        <v/>
      </c>
      <c r="J3710" s="114" t="n"/>
      <c r="K3710" s="139">
        <f>IFERROR(IF(H3710&gt;0,H3710*IF(OR(C3710="Alpha",B3710="Alpha"),$C$9,$C$8),""),"")</f>
        <v/>
      </c>
      <c r="L3710" s="139">
        <f>IFERROR(IF(ISNUMBER(F3710),F3710-IF(ISNUMBER(K3710),K3710,0),""),"")</f>
        <v/>
      </c>
    </row>
    <row r="3711" ht="24" customHeight="1" s="63">
      <c r="E3711" s="139" t="n"/>
      <c r="F3711" s="139" t="n"/>
      <c r="G3711" s="140">
        <f>IFERROR(IF(E3711&gt;0,(F3711/E3711)*1000,""),"")</f>
        <v/>
      </c>
      <c r="H3711" s="139">
        <f>IFERROR(IF(E3711&gt;0,E3711*IF(ISNUMBER(J3711),J3711,IF(OR(C3711="Alpha",B3711="Alpha"),$C$7,IF(C3711="Futures",$C$6,$C$5))),""),"")</f>
        <v/>
      </c>
      <c r="I3711" s="139">
        <f>IFERROR(IF(AND(ISNUMBER(F3711),ISNUMBER(H3711)),F3711-H3711,""),"")</f>
        <v/>
      </c>
      <c r="J3711" s="114" t="n"/>
      <c r="K3711" s="139">
        <f>IFERROR(IF(H3711&gt;0,H3711*IF(OR(C3711="Alpha",B3711="Alpha"),$C$9,$C$8),""),"")</f>
        <v/>
      </c>
      <c r="L3711" s="139">
        <f>IFERROR(IF(ISNUMBER(F3711),F3711-IF(ISNUMBER(K3711),K3711,0),""),"")</f>
        <v/>
      </c>
    </row>
    <row r="3712" ht="24" customHeight="1" s="63">
      <c r="E3712" s="139" t="n"/>
      <c r="F3712" s="139" t="n"/>
      <c r="G3712" s="140">
        <f>IFERROR(IF(E3712&gt;0,(F3712/E3712)*1000,""),"")</f>
        <v/>
      </c>
      <c r="H3712" s="139">
        <f>IFERROR(IF(E3712&gt;0,E3712*IF(ISNUMBER(J3712),J3712,IF(OR(C3712="Alpha",B3712="Alpha"),$C$7,IF(C3712="Futures",$C$6,$C$5))),""),"")</f>
        <v/>
      </c>
      <c r="I3712" s="139">
        <f>IFERROR(IF(AND(ISNUMBER(F3712),ISNUMBER(H3712)),F3712-H3712,""),"")</f>
        <v/>
      </c>
      <c r="J3712" s="114" t="n"/>
      <c r="K3712" s="139">
        <f>IFERROR(IF(H3712&gt;0,H3712*IF(OR(C3712="Alpha",B3712="Alpha"),$C$9,$C$8),""),"")</f>
        <v/>
      </c>
      <c r="L3712" s="139">
        <f>IFERROR(IF(ISNUMBER(F3712),F3712-IF(ISNUMBER(K3712),K3712,0),""),"")</f>
        <v/>
      </c>
    </row>
    <row r="3713" ht="24" customHeight="1" s="63">
      <c r="E3713" s="139" t="n"/>
      <c r="F3713" s="139" t="n"/>
      <c r="G3713" s="140">
        <f>IFERROR(IF(E3713&gt;0,(F3713/E3713)*1000,""),"")</f>
        <v/>
      </c>
      <c r="H3713" s="139">
        <f>IFERROR(IF(E3713&gt;0,E3713*IF(ISNUMBER(J3713),J3713,IF(OR(C3713="Alpha",B3713="Alpha"),$C$7,IF(C3713="Futures",$C$6,$C$5))),""),"")</f>
        <v/>
      </c>
      <c r="I3713" s="139">
        <f>IFERROR(IF(AND(ISNUMBER(F3713),ISNUMBER(H3713)),F3713-H3713,""),"")</f>
        <v/>
      </c>
      <c r="J3713" s="114" t="n"/>
      <c r="K3713" s="139">
        <f>IFERROR(IF(H3713&gt;0,H3713*IF(OR(C3713="Alpha",B3713="Alpha"),$C$9,$C$8),""),"")</f>
        <v/>
      </c>
      <c r="L3713" s="139">
        <f>IFERROR(IF(ISNUMBER(F3713),F3713-IF(ISNUMBER(K3713),K3713,0),""),"")</f>
        <v/>
      </c>
    </row>
    <row r="3714" ht="24" customHeight="1" s="63">
      <c r="E3714" s="139" t="n"/>
      <c r="F3714" s="139" t="n"/>
      <c r="G3714" s="140">
        <f>IFERROR(IF(E3714&gt;0,(F3714/E3714)*1000,""),"")</f>
        <v/>
      </c>
      <c r="H3714" s="139">
        <f>IFERROR(IF(E3714&gt;0,E3714*IF(ISNUMBER(J3714),J3714,IF(OR(C3714="Alpha",B3714="Alpha"),$C$7,IF(C3714="Futures",$C$6,$C$5))),""),"")</f>
        <v/>
      </c>
      <c r="I3714" s="139">
        <f>IFERROR(IF(AND(ISNUMBER(F3714),ISNUMBER(H3714)),F3714-H3714,""),"")</f>
        <v/>
      </c>
      <c r="J3714" s="114" t="n"/>
      <c r="K3714" s="139">
        <f>IFERROR(IF(H3714&gt;0,H3714*IF(OR(C3714="Alpha",B3714="Alpha"),$C$9,$C$8),""),"")</f>
        <v/>
      </c>
      <c r="L3714" s="139">
        <f>IFERROR(IF(ISNUMBER(F3714),F3714-IF(ISNUMBER(K3714),K3714,0),""),"")</f>
        <v/>
      </c>
    </row>
    <row r="3715" ht="24" customHeight="1" s="63">
      <c r="E3715" s="139" t="n"/>
      <c r="F3715" s="139" t="n"/>
      <c r="G3715" s="140">
        <f>IFERROR(IF(E3715&gt;0,(F3715/E3715)*1000,""),"")</f>
        <v/>
      </c>
      <c r="H3715" s="139">
        <f>IFERROR(IF(E3715&gt;0,E3715*IF(ISNUMBER(J3715),J3715,IF(OR(C3715="Alpha",B3715="Alpha"),$C$7,IF(C3715="Futures",$C$6,$C$5))),""),"")</f>
        <v/>
      </c>
      <c r="I3715" s="139">
        <f>IFERROR(IF(AND(ISNUMBER(F3715),ISNUMBER(H3715)),F3715-H3715,""),"")</f>
        <v/>
      </c>
      <c r="J3715" s="114" t="n"/>
      <c r="K3715" s="139">
        <f>IFERROR(IF(H3715&gt;0,H3715*IF(OR(C3715="Alpha",B3715="Alpha"),$C$9,$C$8),""),"")</f>
        <v/>
      </c>
      <c r="L3715" s="139">
        <f>IFERROR(IF(ISNUMBER(F3715),F3715-IF(ISNUMBER(K3715),K3715,0),""),"")</f>
        <v/>
      </c>
    </row>
    <row r="3716" ht="24" customHeight="1" s="63">
      <c r="E3716" s="139" t="n"/>
      <c r="F3716" s="139" t="n"/>
      <c r="G3716" s="140">
        <f>IFERROR(IF(E3716&gt;0,(F3716/E3716)*1000,""),"")</f>
        <v/>
      </c>
      <c r="H3716" s="139">
        <f>IFERROR(IF(E3716&gt;0,E3716*IF(ISNUMBER(J3716),J3716,IF(OR(C3716="Alpha",B3716="Alpha"),$C$7,IF(C3716="Futures",$C$6,$C$5))),""),"")</f>
        <v/>
      </c>
      <c r="I3716" s="139">
        <f>IFERROR(IF(AND(ISNUMBER(F3716),ISNUMBER(H3716)),F3716-H3716,""),"")</f>
        <v/>
      </c>
      <c r="J3716" s="114" t="n"/>
      <c r="K3716" s="139">
        <f>IFERROR(IF(H3716&gt;0,H3716*IF(OR(C3716="Alpha",B3716="Alpha"),$C$9,$C$8),""),"")</f>
        <v/>
      </c>
      <c r="L3716" s="139">
        <f>IFERROR(IF(ISNUMBER(F3716),F3716-IF(ISNUMBER(K3716),K3716,0),""),"")</f>
        <v/>
      </c>
    </row>
    <row r="3717" ht="24" customHeight="1" s="63">
      <c r="E3717" s="139" t="n"/>
      <c r="F3717" s="139" t="n"/>
      <c r="G3717" s="140">
        <f>IFERROR(IF(E3717&gt;0,(F3717/E3717)*1000,""),"")</f>
        <v/>
      </c>
      <c r="H3717" s="139">
        <f>IFERROR(IF(E3717&gt;0,E3717*IF(ISNUMBER(J3717),J3717,IF(OR(C3717="Alpha",B3717="Alpha"),$C$7,IF(C3717="Futures",$C$6,$C$5))),""),"")</f>
        <v/>
      </c>
      <c r="I3717" s="139">
        <f>IFERROR(IF(AND(ISNUMBER(F3717),ISNUMBER(H3717)),F3717-H3717,""),"")</f>
        <v/>
      </c>
      <c r="J3717" s="114" t="n"/>
      <c r="K3717" s="139">
        <f>IFERROR(IF(H3717&gt;0,H3717*IF(OR(C3717="Alpha",B3717="Alpha"),$C$9,$C$8),""),"")</f>
        <v/>
      </c>
      <c r="L3717" s="139">
        <f>IFERROR(IF(ISNUMBER(F3717),F3717-IF(ISNUMBER(K3717),K3717,0),""),"")</f>
        <v/>
      </c>
    </row>
    <row r="3718" ht="24" customHeight="1" s="63">
      <c r="E3718" s="139" t="n"/>
      <c r="F3718" s="139" t="n"/>
      <c r="G3718" s="140">
        <f>IFERROR(IF(E3718&gt;0,(F3718/E3718)*1000,""),"")</f>
        <v/>
      </c>
      <c r="H3718" s="139">
        <f>IFERROR(IF(E3718&gt;0,E3718*IF(ISNUMBER(J3718),J3718,IF(OR(C3718="Alpha",B3718="Alpha"),$C$7,IF(C3718="Futures",$C$6,$C$5))),""),"")</f>
        <v/>
      </c>
      <c r="I3718" s="139">
        <f>IFERROR(IF(AND(ISNUMBER(F3718),ISNUMBER(H3718)),F3718-H3718,""),"")</f>
        <v/>
      </c>
      <c r="J3718" s="114" t="n"/>
      <c r="K3718" s="139">
        <f>IFERROR(IF(H3718&gt;0,H3718*IF(OR(C3718="Alpha",B3718="Alpha"),$C$9,$C$8),""),"")</f>
        <v/>
      </c>
      <c r="L3718" s="139">
        <f>IFERROR(IF(ISNUMBER(F3718),F3718-IF(ISNUMBER(K3718),K3718,0),""),"")</f>
        <v/>
      </c>
    </row>
    <row r="3719" ht="24" customHeight="1" s="63">
      <c r="E3719" s="139" t="n"/>
      <c r="F3719" s="139" t="n"/>
      <c r="G3719" s="140">
        <f>IFERROR(IF(E3719&gt;0,(F3719/E3719)*1000,""),"")</f>
        <v/>
      </c>
      <c r="H3719" s="139">
        <f>IFERROR(IF(E3719&gt;0,E3719*IF(ISNUMBER(J3719),J3719,IF(OR(C3719="Alpha",B3719="Alpha"),$C$7,IF(C3719="Futures",$C$6,$C$5))),""),"")</f>
        <v/>
      </c>
      <c r="I3719" s="139">
        <f>IFERROR(IF(AND(ISNUMBER(F3719),ISNUMBER(H3719)),F3719-H3719,""),"")</f>
        <v/>
      </c>
      <c r="J3719" s="114" t="n"/>
      <c r="K3719" s="139">
        <f>IFERROR(IF(H3719&gt;0,H3719*IF(OR(C3719="Alpha",B3719="Alpha"),$C$9,$C$8),""),"")</f>
        <v/>
      </c>
      <c r="L3719" s="139">
        <f>IFERROR(IF(ISNUMBER(F3719),F3719-IF(ISNUMBER(K3719),K3719,0),""),"")</f>
        <v/>
      </c>
    </row>
    <row r="3720" ht="24" customHeight="1" s="63">
      <c r="E3720" s="139" t="n"/>
      <c r="F3720" s="139" t="n"/>
      <c r="G3720" s="140">
        <f>IFERROR(IF(E3720&gt;0,(F3720/E3720)*1000,""),"")</f>
        <v/>
      </c>
      <c r="H3720" s="139">
        <f>IFERROR(IF(E3720&gt;0,E3720*IF(ISNUMBER(J3720),J3720,IF(OR(C3720="Alpha",B3720="Alpha"),$C$7,IF(C3720="Futures",$C$6,$C$5))),""),"")</f>
        <v/>
      </c>
      <c r="I3720" s="139">
        <f>IFERROR(IF(AND(ISNUMBER(F3720),ISNUMBER(H3720)),F3720-H3720,""),"")</f>
        <v/>
      </c>
      <c r="J3720" s="114" t="n"/>
      <c r="K3720" s="139">
        <f>IFERROR(IF(H3720&gt;0,H3720*IF(OR(C3720="Alpha",B3720="Alpha"),$C$9,$C$8),""),"")</f>
        <v/>
      </c>
      <c r="L3720" s="139">
        <f>IFERROR(IF(ISNUMBER(F3720),F3720-IF(ISNUMBER(K3720),K3720,0),""),"")</f>
        <v/>
      </c>
    </row>
    <row r="3721" ht="24" customHeight="1" s="63">
      <c r="E3721" s="139" t="n"/>
      <c r="F3721" s="139" t="n"/>
      <c r="G3721" s="140">
        <f>IFERROR(IF(E3721&gt;0,(F3721/E3721)*1000,""),"")</f>
        <v/>
      </c>
      <c r="H3721" s="139">
        <f>IFERROR(IF(E3721&gt;0,E3721*IF(ISNUMBER(J3721),J3721,IF(OR(C3721="Alpha",B3721="Alpha"),$C$7,IF(C3721="Futures",$C$6,$C$5))),""),"")</f>
        <v/>
      </c>
      <c r="I3721" s="139">
        <f>IFERROR(IF(AND(ISNUMBER(F3721),ISNUMBER(H3721)),F3721-H3721,""),"")</f>
        <v/>
      </c>
      <c r="J3721" s="114" t="n"/>
      <c r="K3721" s="139">
        <f>IFERROR(IF(H3721&gt;0,H3721*IF(OR(C3721="Alpha",B3721="Alpha"),$C$9,$C$8),""),"")</f>
        <v/>
      </c>
      <c r="L3721" s="139">
        <f>IFERROR(IF(ISNUMBER(F3721),F3721-IF(ISNUMBER(K3721),K3721,0),""),"")</f>
        <v/>
      </c>
    </row>
    <row r="3722" ht="24" customHeight="1" s="63">
      <c r="E3722" s="139" t="n"/>
      <c r="F3722" s="139" t="n"/>
      <c r="G3722" s="140">
        <f>IFERROR(IF(E3722&gt;0,(F3722/E3722)*1000,""),"")</f>
        <v/>
      </c>
      <c r="H3722" s="139">
        <f>IFERROR(IF(E3722&gt;0,E3722*IF(ISNUMBER(J3722),J3722,IF(OR(C3722="Alpha",B3722="Alpha"),$C$7,IF(C3722="Futures",$C$6,$C$5))),""),"")</f>
        <v/>
      </c>
      <c r="I3722" s="139">
        <f>IFERROR(IF(AND(ISNUMBER(F3722),ISNUMBER(H3722)),F3722-H3722,""),"")</f>
        <v/>
      </c>
      <c r="J3722" s="114" t="n"/>
      <c r="K3722" s="139">
        <f>IFERROR(IF(H3722&gt;0,H3722*IF(OR(C3722="Alpha",B3722="Alpha"),$C$9,$C$8),""),"")</f>
        <v/>
      </c>
      <c r="L3722" s="139">
        <f>IFERROR(IF(ISNUMBER(F3722),F3722-IF(ISNUMBER(K3722),K3722,0),""),"")</f>
        <v/>
      </c>
    </row>
    <row r="3723" ht="24" customHeight="1" s="63">
      <c r="E3723" s="139" t="n"/>
      <c r="F3723" s="139" t="n"/>
      <c r="G3723" s="140">
        <f>IFERROR(IF(E3723&gt;0,(F3723/E3723)*1000,""),"")</f>
        <v/>
      </c>
      <c r="H3723" s="139">
        <f>IFERROR(IF(E3723&gt;0,E3723*IF(ISNUMBER(J3723),J3723,IF(OR(C3723="Alpha",B3723="Alpha"),$C$7,IF(C3723="Futures",$C$6,$C$5))),""),"")</f>
        <v/>
      </c>
      <c r="I3723" s="139">
        <f>IFERROR(IF(AND(ISNUMBER(F3723),ISNUMBER(H3723)),F3723-H3723,""),"")</f>
        <v/>
      </c>
      <c r="J3723" s="114" t="n"/>
      <c r="K3723" s="139">
        <f>IFERROR(IF(H3723&gt;0,H3723*IF(OR(C3723="Alpha",B3723="Alpha"),$C$9,$C$8),""),"")</f>
        <v/>
      </c>
      <c r="L3723" s="139">
        <f>IFERROR(IF(ISNUMBER(F3723),F3723-IF(ISNUMBER(K3723),K3723,0),""),"")</f>
        <v/>
      </c>
    </row>
    <row r="3724" ht="24" customHeight="1" s="63">
      <c r="E3724" s="139" t="n"/>
      <c r="F3724" s="139" t="n"/>
      <c r="G3724" s="140">
        <f>IFERROR(IF(E3724&gt;0,(F3724/E3724)*1000,""),"")</f>
        <v/>
      </c>
      <c r="H3724" s="139">
        <f>IFERROR(IF(E3724&gt;0,E3724*IF(ISNUMBER(J3724),J3724,IF(OR(C3724="Alpha",B3724="Alpha"),$C$7,IF(C3724="Futures",$C$6,$C$5))),""),"")</f>
        <v/>
      </c>
      <c r="I3724" s="139">
        <f>IFERROR(IF(AND(ISNUMBER(F3724),ISNUMBER(H3724)),F3724-H3724,""),"")</f>
        <v/>
      </c>
      <c r="J3724" s="114" t="n"/>
      <c r="K3724" s="139">
        <f>IFERROR(IF(H3724&gt;0,H3724*IF(OR(C3724="Alpha",B3724="Alpha"),$C$9,$C$8),""),"")</f>
        <v/>
      </c>
      <c r="L3724" s="139">
        <f>IFERROR(IF(ISNUMBER(F3724),F3724-IF(ISNUMBER(K3724),K3724,0),""),"")</f>
        <v/>
      </c>
    </row>
    <row r="3725" ht="24" customHeight="1" s="63">
      <c r="E3725" s="139" t="n"/>
      <c r="F3725" s="139" t="n"/>
      <c r="G3725" s="140">
        <f>IFERROR(IF(E3725&gt;0,(F3725/E3725)*1000,""),"")</f>
        <v/>
      </c>
      <c r="H3725" s="139">
        <f>IFERROR(IF(E3725&gt;0,E3725*IF(ISNUMBER(J3725),J3725,IF(OR(C3725="Alpha",B3725="Alpha"),$C$7,IF(C3725="Futures",$C$6,$C$5))),""),"")</f>
        <v/>
      </c>
      <c r="I3725" s="139">
        <f>IFERROR(IF(AND(ISNUMBER(F3725),ISNUMBER(H3725)),F3725-H3725,""),"")</f>
        <v/>
      </c>
      <c r="J3725" s="114" t="n"/>
      <c r="K3725" s="139">
        <f>IFERROR(IF(H3725&gt;0,H3725*IF(OR(C3725="Alpha",B3725="Alpha"),$C$9,$C$8),""),"")</f>
        <v/>
      </c>
      <c r="L3725" s="139">
        <f>IFERROR(IF(ISNUMBER(F3725),F3725-IF(ISNUMBER(K3725),K3725,0),""),"")</f>
        <v/>
      </c>
    </row>
    <row r="3726" ht="24" customHeight="1" s="63">
      <c r="E3726" s="139" t="n"/>
      <c r="F3726" s="139" t="n"/>
      <c r="G3726" s="140">
        <f>IFERROR(IF(E3726&gt;0,(F3726/E3726)*1000,""),"")</f>
        <v/>
      </c>
      <c r="H3726" s="139">
        <f>IFERROR(IF(E3726&gt;0,E3726*IF(ISNUMBER(J3726),J3726,IF(OR(C3726="Alpha",B3726="Alpha"),$C$7,IF(C3726="Futures",$C$6,$C$5))),""),"")</f>
        <v/>
      </c>
      <c r="I3726" s="139">
        <f>IFERROR(IF(AND(ISNUMBER(F3726),ISNUMBER(H3726)),F3726-H3726,""),"")</f>
        <v/>
      </c>
      <c r="J3726" s="114" t="n"/>
      <c r="K3726" s="139">
        <f>IFERROR(IF(H3726&gt;0,H3726*IF(OR(C3726="Alpha",B3726="Alpha"),$C$9,$C$8),""),"")</f>
        <v/>
      </c>
      <c r="L3726" s="139">
        <f>IFERROR(IF(ISNUMBER(F3726),F3726-IF(ISNUMBER(K3726),K3726,0),""),"")</f>
        <v/>
      </c>
    </row>
    <row r="3727" ht="24" customHeight="1" s="63">
      <c r="E3727" s="139" t="n"/>
      <c r="F3727" s="139" t="n"/>
      <c r="G3727" s="140">
        <f>IFERROR(IF(E3727&gt;0,(F3727/E3727)*1000,""),"")</f>
        <v/>
      </c>
      <c r="H3727" s="139">
        <f>IFERROR(IF(E3727&gt;0,E3727*IF(ISNUMBER(J3727),J3727,IF(OR(C3727="Alpha",B3727="Alpha"),$C$7,IF(C3727="Futures",$C$6,$C$5))),""),"")</f>
        <v/>
      </c>
      <c r="I3727" s="139">
        <f>IFERROR(IF(AND(ISNUMBER(F3727),ISNUMBER(H3727)),F3727-H3727,""),"")</f>
        <v/>
      </c>
      <c r="J3727" s="114" t="n"/>
      <c r="K3727" s="139">
        <f>IFERROR(IF(H3727&gt;0,H3727*IF(OR(C3727="Alpha",B3727="Alpha"),$C$9,$C$8),""),"")</f>
        <v/>
      </c>
      <c r="L3727" s="139">
        <f>IFERROR(IF(ISNUMBER(F3727),F3727-IF(ISNUMBER(K3727),K3727,0),""),"")</f>
        <v/>
      </c>
    </row>
    <row r="3728" ht="24" customHeight="1" s="63">
      <c r="E3728" s="139" t="n"/>
      <c r="F3728" s="139" t="n"/>
      <c r="G3728" s="140">
        <f>IFERROR(IF(E3728&gt;0,(F3728/E3728)*1000,""),"")</f>
        <v/>
      </c>
      <c r="H3728" s="139">
        <f>IFERROR(IF(E3728&gt;0,E3728*IF(ISNUMBER(J3728),J3728,IF(OR(C3728="Alpha",B3728="Alpha"),$C$7,IF(C3728="Futures",$C$6,$C$5))),""),"")</f>
        <v/>
      </c>
      <c r="I3728" s="139">
        <f>IFERROR(IF(AND(ISNUMBER(F3728),ISNUMBER(H3728)),F3728-H3728,""),"")</f>
        <v/>
      </c>
      <c r="J3728" s="114" t="n"/>
      <c r="K3728" s="139">
        <f>IFERROR(IF(H3728&gt;0,H3728*IF(OR(C3728="Alpha",B3728="Alpha"),$C$9,$C$8),""),"")</f>
        <v/>
      </c>
      <c r="L3728" s="139">
        <f>IFERROR(IF(ISNUMBER(F3728),F3728-IF(ISNUMBER(K3728),K3728,0),""),"")</f>
        <v/>
      </c>
    </row>
    <row r="3729" ht="24" customHeight="1" s="63">
      <c r="E3729" s="139" t="n"/>
      <c r="F3729" s="139" t="n"/>
      <c r="G3729" s="140">
        <f>IFERROR(IF(E3729&gt;0,(F3729/E3729)*1000,""),"")</f>
        <v/>
      </c>
      <c r="H3729" s="139">
        <f>IFERROR(IF(E3729&gt;0,E3729*IF(ISNUMBER(J3729),J3729,IF(OR(C3729="Alpha",B3729="Alpha"),$C$7,IF(C3729="Futures",$C$6,$C$5))),""),"")</f>
        <v/>
      </c>
      <c r="I3729" s="139">
        <f>IFERROR(IF(AND(ISNUMBER(F3729),ISNUMBER(H3729)),F3729-H3729,""),"")</f>
        <v/>
      </c>
      <c r="J3729" s="114" t="n"/>
      <c r="K3729" s="139">
        <f>IFERROR(IF(H3729&gt;0,H3729*IF(OR(C3729="Alpha",B3729="Alpha"),$C$9,$C$8),""),"")</f>
        <v/>
      </c>
      <c r="L3729" s="139">
        <f>IFERROR(IF(ISNUMBER(F3729),F3729-IF(ISNUMBER(K3729),K3729,0),""),"")</f>
        <v/>
      </c>
    </row>
    <row r="3730" ht="24" customHeight="1" s="63">
      <c r="E3730" s="139" t="n"/>
      <c r="F3730" s="139" t="n"/>
      <c r="G3730" s="140">
        <f>IFERROR(IF(E3730&gt;0,(F3730/E3730)*1000,""),"")</f>
        <v/>
      </c>
      <c r="H3730" s="139">
        <f>IFERROR(IF(E3730&gt;0,E3730*IF(ISNUMBER(J3730),J3730,IF(OR(C3730="Alpha",B3730="Alpha"),$C$7,IF(C3730="Futures",$C$6,$C$5))),""),"")</f>
        <v/>
      </c>
      <c r="I3730" s="139">
        <f>IFERROR(IF(AND(ISNUMBER(F3730),ISNUMBER(H3730)),F3730-H3730,""),"")</f>
        <v/>
      </c>
      <c r="J3730" s="114" t="n"/>
      <c r="K3730" s="139">
        <f>IFERROR(IF(H3730&gt;0,H3730*IF(OR(C3730="Alpha",B3730="Alpha"),$C$9,$C$8),""),"")</f>
        <v/>
      </c>
      <c r="L3730" s="139">
        <f>IFERROR(IF(ISNUMBER(F3730),F3730-IF(ISNUMBER(K3730),K3730,0),""),"")</f>
        <v/>
      </c>
    </row>
    <row r="3731" ht="24" customHeight="1" s="63">
      <c r="E3731" s="139" t="n"/>
      <c r="F3731" s="139" t="n"/>
      <c r="G3731" s="140">
        <f>IFERROR(IF(E3731&gt;0,(F3731/E3731)*1000,""),"")</f>
        <v/>
      </c>
      <c r="H3731" s="139">
        <f>IFERROR(IF(E3731&gt;0,E3731*IF(ISNUMBER(J3731),J3731,IF(OR(C3731="Alpha",B3731="Alpha"),$C$7,IF(C3731="Futures",$C$6,$C$5))),""),"")</f>
        <v/>
      </c>
      <c r="I3731" s="139">
        <f>IFERROR(IF(AND(ISNUMBER(F3731),ISNUMBER(H3731)),F3731-H3731,""),"")</f>
        <v/>
      </c>
      <c r="J3731" s="114" t="n"/>
      <c r="K3731" s="139">
        <f>IFERROR(IF(H3731&gt;0,H3731*IF(OR(C3731="Alpha",B3731="Alpha"),$C$9,$C$8),""),"")</f>
        <v/>
      </c>
      <c r="L3731" s="139">
        <f>IFERROR(IF(ISNUMBER(F3731),F3731-IF(ISNUMBER(K3731),K3731,0),""),"")</f>
        <v/>
      </c>
    </row>
    <row r="3732" ht="24" customHeight="1" s="63">
      <c r="E3732" s="139" t="n"/>
      <c r="F3732" s="139" t="n"/>
      <c r="G3732" s="140">
        <f>IFERROR(IF(E3732&gt;0,(F3732/E3732)*1000,""),"")</f>
        <v/>
      </c>
      <c r="H3732" s="139">
        <f>IFERROR(IF(E3732&gt;0,E3732*IF(ISNUMBER(J3732),J3732,IF(OR(C3732="Alpha",B3732="Alpha"),$C$7,IF(C3732="Futures",$C$6,$C$5))),""),"")</f>
        <v/>
      </c>
      <c r="I3732" s="139">
        <f>IFERROR(IF(AND(ISNUMBER(F3732),ISNUMBER(H3732)),F3732-H3732,""),"")</f>
        <v/>
      </c>
      <c r="J3732" s="114" t="n"/>
      <c r="K3732" s="139">
        <f>IFERROR(IF(H3732&gt;0,H3732*IF(OR(C3732="Alpha",B3732="Alpha"),$C$9,$C$8),""),"")</f>
        <v/>
      </c>
      <c r="L3732" s="139">
        <f>IFERROR(IF(ISNUMBER(F3732),F3732-IF(ISNUMBER(K3732),K3732,0),""),"")</f>
        <v/>
      </c>
    </row>
    <row r="3733" ht="24" customHeight="1" s="63">
      <c r="E3733" s="139" t="n"/>
      <c r="F3733" s="139" t="n"/>
      <c r="G3733" s="140">
        <f>IFERROR(IF(E3733&gt;0,(F3733/E3733)*1000,""),"")</f>
        <v/>
      </c>
      <c r="H3733" s="139">
        <f>IFERROR(IF(E3733&gt;0,E3733*IF(ISNUMBER(J3733),J3733,IF(OR(C3733="Alpha",B3733="Alpha"),$C$7,IF(C3733="Futures",$C$6,$C$5))),""),"")</f>
        <v/>
      </c>
      <c r="I3733" s="139">
        <f>IFERROR(IF(AND(ISNUMBER(F3733),ISNUMBER(H3733)),F3733-H3733,""),"")</f>
        <v/>
      </c>
      <c r="J3733" s="114" t="n"/>
      <c r="K3733" s="139">
        <f>IFERROR(IF(H3733&gt;0,H3733*IF(OR(C3733="Alpha",B3733="Alpha"),$C$9,$C$8),""),"")</f>
        <v/>
      </c>
      <c r="L3733" s="139">
        <f>IFERROR(IF(ISNUMBER(F3733),F3733-IF(ISNUMBER(K3733),K3733,0),""),"")</f>
        <v/>
      </c>
    </row>
    <row r="3734" ht="24" customHeight="1" s="63">
      <c r="E3734" s="139" t="n"/>
      <c r="F3734" s="139" t="n"/>
      <c r="G3734" s="140">
        <f>IFERROR(IF(E3734&gt;0,(F3734/E3734)*1000,""),"")</f>
        <v/>
      </c>
      <c r="H3734" s="139">
        <f>IFERROR(IF(E3734&gt;0,E3734*IF(ISNUMBER(J3734),J3734,IF(OR(C3734="Alpha",B3734="Alpha"),$C$7,IF(C3734="Futures",$C$6,$C$5))),""),"")</f>
        <v/>
      </c>
      <c r="I3734" s="139">
        <f>IFERROR(IF(AND(ISNUMBER(F3734),ISNUMBER(H3734)),F3734-H3734,""),"")</f>
        <v/>
      </c>
      <c r="J3734" s="114" t="n"/>
      <c r="K3734" s="139">
        <f>IFERROR(IF(H3734&gt;0,H3734*IF(OR(C3734="Alpha",B3734="Alpha"),$C$9,$C$8),""),"")</f>
        <v/>
      </c>
      <c r="L3734" s="139">
        <f>IFERROR(IF(ISNUMBER(F3734),F3734-IF(ISNUMBER(K3734),K3734,0),""),"")</f>
        <v/>
      </c>
    </row>
    <row r="3735" ht="24" customHeight="1" s="63">
      <c r="E3735" s="139" t="n"/>
      <c r="F3735" s="139" t="n"/>
      <c r="G3735" s="140">
        <f>IFERROR(IF(E3735&gt;0,(F3735/E3735)*1000,""),"")</f>
        <v/>
      </c>
      <c r="H3735" s="139">
        <f>IFERROR(IF(E3735&gt;0,E3735*IF(ISNUMBER(J3735),J3735,IF(OR(C3735="Alpha",B3735="Alpha"),$C$7,IF(C3735="Futures",$C$6,$C$5))),""),"")</f>
        <v/>
      </c>
      <c r="I3735" s="139">
        <f>IFERROR(IF(AND(ISNUMBER(F3735),ISNUMBER(H3735)),F3735-H3735,""),"")</f>
        <v/>
      </c>
      <c r="J3735" s="114" t="n"/>
      <c r="K3735" s="139">
        <f>IFERROR(IF(H3735&gt;0,H3735*IF(OR(C3735="Alpha",B3735="Alpha"),$C$9,$C$8),""),"")</f>
        <v/>
      </c>
      <c r="L3735" s="139">
        <f>IFERROR(IF(ISNUMBER(F3735),F3735-IF(ISNUMBER(K3735),K3735,0),""),"")</f>
        <v/>
      </c>
    </row>
    <row r="3736" ht="24" customHeight="1" s="63">
      <c r="E3736" s="139" t="n"/>
      <c r="F3736" s="139" t="n"/>
      <c r="G3736" s="140">
        <f>IFERROR(IF(E3736&gt;0,(F3736/E3736)*1000,""),"")</f>
        <v/>
      </c>
      <c r="H3736" s="139">
        <f>IFERROR(IF(E3736&gt;0,E3736*IF(ISNUMBER(J3736),J3736,IF(OR(C3736="Alpha",B3736="Alpha"),$C$7,IF(C3736="Futures",$C$6,$C$5))),""),"")</f>
        <v/>
      </c>
      <c r="I3736" s="139">
        <f>IFERROR(IF(AND(ISNUMBER(F3736),ISNUMBER(H3736)),F3736-H3736,""),"")</f>
        <v/>
      </c>
      <c r="J3736" s="114" t="n"/>
      <c r="K3736" s="139">
        <f>IFERROR(IF(H3736&gt;0,H3736*IF(OR(C3736="Alpha",B3736="Alpha"),$C$9,$C$8),""),"")</f>
        <v/>
      </c>
      <c r="L3736" s="139">
        <f>IFERROR(IF(ISNUMBER(F3736),F3736-IF(ISNUMBER(K3736),K3736,0),""),"")</f>
        <v/>
      </c>
    </row>
    <row r="3737" ht="24" customHeight="1" s="63">
      <c r="E3737" s="139" t="n"/>
      <c r="F3737" s="139" t="n"/>
      <c r="G3737" s="140">
        <f>IFERROR(IF(E3737&gt;0,(F3737/E3737)*1000,""),"")</f>
        <v/>
      </c>
      <c r="H3737" s="139">
        <f>IFERROR(IF(E3737&gt;0,E3737*IF(ISNUMBER(J3737),J3737,IF(OR(C3737="Alpha",B3737="Alpha"),$C$7,IF(C3737="Futures",$C$6,$C$5))),""),"")</f>
        <v/>
      </c>
      <c r="I3737" s="139">
        <f>IFERROR(IF(AND(ISNUMBER(F3737),ISNUMBER(H3737)),F3737-H3737,""),"")</f>
        <v/>
      </c>
      <c r="J3737" s="114" t="n"/>
      <c r="K3737" s="139">
        <f>IFERROR(IF(H3737&gt;0,H3737*IF(OR(C3737="Alpha",B3737="Alpha"),$C$9,$C$8),""),"")</f>
        <v/>
      </c>
      <c r="L3737" s="139">
        <f>IFERROR(IF(ISNUMBER(F3737),F3737-IF(ISNUMBER(K3737),K3737,0),""),"")</f>
        <v/>
      </c>
    </row>
    <row r="3738" ht="24" customHeight="1" s="63">
      <c r="E3738" s="139" t="n"/>
      <c r="F3738" s="139" t="n"/>
      <c r="G3738" s="140">
        <f>IFERROR(IF(E3738&gt;0,(F3738/E3738)*1000,""),"")</f>
        <v/>
      </c>
      <c r="H3738" s="139">
        <f>IFERROR(IF(E3738&gt;0,E3738*IF(ISNUMBER(J3738),J3738,IF(OR(C3738="Alpha",B3738="Alpha"),$C$7,IF(C3738="Futures",$C$6,$C$5))),""),"")</f>
        <v/>
      </c>
      <c r="I3738" s="139">
        <f>IFERROR(IF(AND(ISNUMBER(F3738),ISNUMBER(H3738)),F3738-H3738,""),"")</f>
        <v/>
      </c>
      <c r="J3738" s="114" t="n"/>
      <c r="K3738" s="139">
        <f>IFERROR(IF(H3738&gt;0,H3738*IF(OR(C3738="Alpha",B3738="Alpha"),$C$9,$C$8),""),"")</f>
        <v/>
      </c>
      <c r="L3738" s="139">
        <f>IFERROR(IF(ISNUMBER(F3738),F3738-IF(ISNUMBER(K3738),K3738,0),""),"")</f>
        <v/>
      </c>
    </row>
    <row r="3739" ht="24" customHeight="1" s="63">
      <c r="E3739" s="139" t="n"/>
      <c r="F3739" s="139" t="n"/>
      <c r="G3739" s="140">
        <f>IFERROR(IF(E3739&gt;0,(F3739/E3739)*1000,""),"")</f>
        <v/>
      </c>
      <c r="H3739" s="139">
        <f>IFERROR(IF(E3739&gt;0,E3739*IF(ISNUMBER(J3739),J3739,IF(OR(C3739="Alpha",B3739="Alpha"),$C$7,IF(C3739="Futures",$C$6,$C$5))),""),"")</f>
        <v/>
      </c>
      <c r="I3739" s="139">
        <f>IFERROR(IF(AND(ISNUMBER(F3739),ISNUMBER(H3739)),F3739-H3739,""),"")</f>
        <v/>
      </c>
      <c r="J3739" s="114" t="n"/>
      <c r="K3739" s="139">
        <f>IFERROR(IF(H3739&gt;0,H3739*IF(OR(C3739="Alpha",B3739="Alpha"),$C$9,$C$8),""),"")</f>
        <v/>
      </c>
      <c r="L3739" s="139">
        <f>IFERROR(IF(ISNUMBER(F3739),F3739-IF(ISNUMBER(K3739),K3739,0),""),"")</f>
        <v/>
      </c>
    </row>
    <row r="3740" ht="24" customHeight="1" s="63">
      <c r="E3740" s="139" t="n"/>
      <c r="F3740" s="139" t="n"/>
      <c r="G3740" s="140">
        <f>IFERROR(IF(E3740&gt;0,(F3740/E3740)*1000,""),"")</f>
        <v/>
      </c>
      <c r="H3740" s="139">
        <f>IFERROR(IF(E3740&gt;0,E3740*IF(ISNUMBER(J3740),J3740,IF(OR(C3740="Alpha",B3740="Alpha"),$C$7,IF(C3740="Futures",$C$6,$C$5))),""),"")</f>
        <v/>
      </c>
      <c r="I3740" s="139">
        <f>IFERROR(IF(AND(ISNUMBER(F3740),ISNUMBER(H3740)),F3740-H3740,""),"")</f>
        <v/>
      </c>
      <c r="J3740" s="114" t="n"/>
      <c r="K3740" s="139">
        <f>IFERROR(IF(H3740&gt;0,H3740*IF(OR(C3740="Alpha",B3740="Alpha"),$C$9,$C$8),""),"")</f>
        <v/>
      </c>
      <c r="L3740" s="139">
        <f>IFERROR(IF(ISNUMBER(F3740),F3740-IF(ISNUMBER(K3740),K3740,0),""),"")</f>
        <v/>
      </c>
    </row>
    <row r="3741" ht="24" customHeight="1" s="63">
      <c r="E3741" s="139" t="n"/>
      <c r="F3741" s="139" t="n"/>
      <c r="G3741" s="140">
        <f>IFERROR(IF(E3741&gt;0,(F3741/E3741)*1000,""),"")</f>
        <v/>
      </c>
      <c r="H3741" s="139">
        <f>IFERROR(IF(E3741&gt;0,E3741*IF(ISNUMBER(J3741),J3741,IF(OR(C3741="Alpha",B3741="Alpha"),$C$7,IF(C3741="Futures",$C$6,$C$5))),""),"")</f>
        <v/>
      </c>
      <c r="I3741" s="139">
        <f>IFERROR(IF(AND(ISNUMBER(F3741),ISNUMBER(H3741)),F3741-H3741,""),"")</f>
        <v/>
      </c>
      <c r="J3741" s="114" t="n"/>
      <c r="K3741" s="139">
        <f>IFERROR(IF(H3741&gt;0,H3741*IF(OR(C3741="Alpha",B3741="Alpha"),$C$9,$C$8),""),"")</f>
        <v/>
      </c>
      <c r="L3741" s="139">
        <f>IFERROR(IF(ISNUMBER(F3741),F3741-IF(ISNUMBER(K3741),K3741,0),""),"")</f>
        <v/>
      </c>
    </row>
    <row r="3742" ht="24" customHeight="1" s="63">
      <c r="E3742" s="139" t="n"/>
      <c r="F3742" s="139" t="n"/>
      <c r="G3742" s="140">
        <f>IFERROR(IF(E3742&gt;0,(F3742/E3742)*1000,""),"")</f>
        <v/>
      </c>
      <c r="H3742" s="139">
        <f>IFERROR(IF(E3742&gt;0,E3742*IF(ISNUMBER(J3742),J3742,IF(OR(C3742="Alpha",B3742="Alpha"),$C$7,IF(C3742="Futures",$C$6,$C$5))),""),"")</f>
        <v/>
      </c>
      <c r="I3742" s="139">
        <f>IFERROR(IF(AND(ISNUMBER(F3742),ISNUMBER(H3742)),F3742-H3742,""),"")</f>
        <v/>
      </c>
      <c r="J3742" s="114" t="n"/>
      <c r="K3742" s="139">
        <f>IFERROR(IF(H3742&gt;0,H3742*IF(OR(C3742="Alpha",B3742="Alpha"),$C$9,$C$8),""),"")</f>
        <v/>
      </c>
      <c r="L3742" s="139">
        <f>IFERROR(IF(ISNUMBER(F3742),F3742-IF(ISNUMBER(K3742),K3742,0),""),"")</f>
        <v/>
      </c>
    </row>
    <row r="3743" ht="24" customHeight="1" s="63">
      <c r="E3743" s="139" t="n"/>
      <c r="F3743" s="139" t="n"/>
      <c r="G3743" s="140">
        <f>IFERROR(IF(E3743&gt;0,(F3743/E3743)*1000,""),"")</f>
        <v/>
      </c>
      <c r="H3743" s="139">
        <f>IFERROR(IF(E3743&gt;0,E3743*IF(ISNUMBER(J3743),J3743,IF(OR(C3743="Alpha",B3743="Alpha"),$C$7,IF(C3743="Futures",$C$6,$C$5))),""),"")</f>
        <v/>
      </c>
      <c r="I3743" s="139">
        <f>IFERROR(IF(AND(ISNUMBER(F3743),ISNUMBER(H3743)),F3743-H3743,""),"")</f>
        <v/>
      </c>
      <c r="J3743" s="114" t="n"/>
      <c r="K3743" s="139">
        <f>IFERROR(IF(H3743&gt;0,H3743*IF(OR(C3743="Alpha",B3743="Alpha"),$C$9,$C$8),""),"")</f>
        <v/>
      </c>
      <c r="L3743" s="139">
        <f>IFERROR(IF(ISNUMBER(F3743),F3743-IF(ISNUMBER(K3743),K3743,0),""),"")</f>
        <v/>
      </c>
    </row>
    <row r="3744" ht="24" customHeight="1" s="63">
      <c r="E3744" s="139" t="n"/>
      <c r="F3744" s="139" t="n"/>
      <c r="G3744" s="140">
        <f>IFERROR(IF(E3744&gt;0,(F3744/E3744)*1000,""),"")</f>
        <v/>
      </c>
      <c r="H3744" s="139">
        <f>IFERROR(IF(E3744&gt;0,E3744*IF(ISNUMBER(J3744),J3744,IF(OR(C3744="Alpha",B3744="Alpha"),$C$7,IF(C3744="Futures",$C$6,$C$5))),""),"")</f>
        <v/>
      </c>
      <c r="I3744" s="139">
        <f>IFERROR(IF(AND(ISNUMBER(F3744),ISNUMBER(H3744)),F3744-H3744,""),"")</f>
        <v/>
      </c>
      <c r="J3744" s="114" t="n"/>
      <c r="K3744" s="139">
        <f>IFERROR(IF(H3744&gt;0,H3744*IF(OR(C3744="Alpha",B3744="Alpha"),$C$9,$C$8),""),"")</f>
        <v/>
      </c>
      <c r="L3744" s="139">
        <f>IFERROR(IF(ISNUMBER(F3744),F3744-IF(ISNUMBER(K3744),K3744,0),""),"")</f>
        <v/>
      </c>
    </row>
    <row r="3745" ht="24" customHeight="1" s="63">
      <c r="E3745" s="139" t="n"/>
      <c r="F3745" s="139" t="n"/>
      <c r="G3745" s="140">
        <f>IFERROR(IF(E3745&gt;0,(F3745/E3745)*1000,""),"")</f>
        <v/>
      </c>
      <c r="H3745" s="139">
        <f>IFERROR(IF(E3745&gt;0,E3745*IF(ISNUMBER(J3745),J3745,IF(OR(C3745="Alpha",B3745="Alpha"),$C$7,IF(C3745="Futures",$C$6,$C$5))),""),"")</f>
        <v/>
      </c>
      <c r="I3745" s="139">
        <f>IFERROR(IF(AND(ISNUMBER(F3745),ISNUMBER(H3745)),F3745-H3745,""),"")</f>
        <v/>
      </c>
      <c r="J3745" s="114" t="n"/>
      <c r="K3745" s="139">
        <f>IFERROR(IF(H3745&gt;0,H3745*IF(OR(C3745="Alpha",B3745="Alpha"),$C$9,$C$8),""),"")</f>
        <v/>
      </c>
      <c r="L3745" s="139">
        <f>IFERROR(IF(ISNUMBER(F3745),F3745-IF(ISNUMBER(K3745),K3745,0),""),"")</f>
        <v/>
      </c>
    </row>
    <row r="3746" ht="24" customHeight="1" s="63">
      <c r="E3746" s="139" t="n"/>
      <c r="F3746" s="139" t="n"/>
      <c r="G3746" s="140">
        <f>IFERROR(IF(E3746&gt;0,(F3746/E3746)*1000,""),"")</f>
        <v/>
      </c>
      <c r="H3746" s="139">
        <f>IFERROR(IF(E3746&gt;0,E3746*IF(ISNUMBER(J3746),J3746,IF(OR(C3746="Alpha",B3746="Alpha"),$C$7,IF(C3746="Futures",$C$6,$C$5))),""),"")</f>
        <v/>
      </c>
      <c r="I3746" s="139">
        <f>IFERROR(IF(AND(ISNUMBER(F3746),ISNUMBER(H3746)),F3746-H3746,""),"")</f>
        <v/>
      </c>
      <c r="J3746" s="114" t="n"/>
      <c r="K3746" s="139">
        <f>IFERROR(IF(H3746&gt;0,H3746*IF(OR(C3746="Alpha",B3746="Alpha"),$C$9,$C$8),""),"")</f>
        <v/>
      </c>
      <c r="L3746" s="139">
        <f>IFERROR(IF(ISNUMBER(F3746),F3746-IF(ISNUMBER(K3746),K3746,0),""),"")</f>
        <v/>
      </c>
    </row>
    <row r="3747" ht="24" customHeight="1" s="63">
      <c r="E3747" s="139" t="n"/>
      <c r="F3747" s="139" t="n"/>
      <c r="G3747" s="140">
        <f>IFERROR(IF(E3747&gt;0,(F3747/E3747)*1000,""),"")</f>
        <v/>
      </c>
      <c r="H3747" s="139">
        <f>IFERROR(IF(E3747&gt;0,E3747*IF(ISNUMBER(J3747),J3747,IF(OR(C3747="Alpha",B3747="Alpha"),$C$7,IF(C3747="Futures",$C$6,$C$5))),""),"")</f>
        <v/>
      </c>
      <c r="I3747" s="139">
        <f>IFERROR(IF(AND(ISNUMBER(F3747),ISNUMBER(H3747)),F3747-H3747,""),"")</f>
        <v/>
      </c>
      <c r="J3747" s="114" t="n"/>
      <c r="K3747" s="139">
        <f>IFERROR(IF(H3747&gt;0,H3747*IF(OR(C3747="Alpha",B3747="Alpha"),$C$9,$C$8),""),"")</f>
        <v/>
      </c>
      <c r="L3747" s="139">
        <f>IFERROR(IF(ISNUMBER(F3747),F3747-IF(ISNUMBER(K3747),K3747,0),""),"")</f>
        <v/>
      </c>
    </row>
    <row r="3748" ht="24" customHeight="1" s="63">
      <c r="E3748" s="139" t="n"/>
      <c r="F3748" s="139" t="n"/>
      <c r="G3748" s="140">
        <f>IFERROR(IF(E3748&gt;0,(F3748/E3748)*1000,""),"")</f>
        <v/>
      </c>
      <c r="H3748" s="139">
        <f>IFERROR(IF(E3748&gt;0,E3748*IF(ISNUMBER(J3748),J3748,IF(OR(C3748="Alpha",B3748="Alpha"),$C$7,IF(C3748="Futures",$C$6,$C$5))),""),"")</f>
        <v/>
      </c>
      <c r="I3748" s="139">
        <f>IFERROR(IF(AND(ISNUMBER(F3748),ISNUMBER(H3748)),F3748-H3748,""),"")</f>
        <v/>
      </c>
      <c r="J3748" s="114" t="n"/>
      <c r="K3748" s="139">
        <f>IFERROR(IF(H3748&gt;0,H3748*IF(OR(C3748="Alpha",B3748="Alpha"),$C$9,$C$8),""),"")</f>
        <v/>
      </c>
      <c r="L3748" s="139">
        <f>IFERROR(IF(ISNUMBER(F3748),F3748-IF(ISNUMBER(K3748),K3748,0),""),"")</f>
        <v/>
      </c>
    </row>
    <row r="3749" ht="24" customHeight="1" s="63">
      <c r="E3749" s="139" t="n"/>
      <c r="F3749" s="139" t="n"/>
      <c r="G3749" s="140">
        <f>IFERROR(IF(E3749&gt;0,(F3749/E3749)*1000,""),"")</f>
        <v/>
      </c>
      <c r="H3749" s="139">
        <f>IFERROR(IF(E3749&gt;0,E3749*IF(ISNUMBER(J3749),J3749,IF(OR(C3749="Alpha",B3749="Alpha"),$C$7,IF(C3749="Futures",$C$6,$C$5))),""),"")</f>
        <v/>
      </c>
      <c r="I3749" s="139">
        <f>IFERROR(IF(AND(ISNUMBER(F3749),ISNUMBER(H3749)),F3749-H3749,""),"")</f>
        <v/>
      </c>
      <c r="J3749" s="114" t="n"/>
      <c r="K3749" s="139">
        <f>IFERROR(IF(H3749&gt;0,H3749*IF(OR(C3749="Alpha",B3749="Alpha"),$C$9,$C$8),""),"")</f>
        <v/>
      </c>
      <c r="L3749" s="139">
        <f>IFERROR(IF(ISNUMBER(F3749),F3749-IF(ISNUMBER(K3749),K3749,0),""),"")</f>
        <v/>
      </c>
    </row>
    <row r="3750" ht="24" customHeight="1" s="63">
      <c r="E3750" s="139" t="n"/>
      <c r="F3750" s="139" t="n"/>
      <c r="G3750" s="140">
        <f>IFERROR(IF(E3750&gt;0,(F3750/E3750)*1000,""),"")</f>
        <v/>
      </c>
      <c r="H3750" s="139">
        <f>IFERROR(IF(E3750&gt;0,E3750*IF(ISNUMBER(J3750),J3750,IF(OR(C3750="Alpha",B3750="Alpha"),$C$7,IF(C3750="Futures",$C$6,$C$5))),""),"")</f>
        <v/>
      </c>
      <c r="I3750" s="139">
        <f>IFERROR(IF(AND(ISNUMBER(F3750),ISNUMBER(H3750)),F3750-H3750,""),"")</f>
        <v/>
      </c>
      <c r="J3750" s="114" t="n"/>
      <c r="K3750" s="139">
        <f>IFERROR(IF(H3750&gt;0,H3750*IF(OR(C3750="Alpha",B3750="Alpha"),$C$9,$C$8),""),"")</f>
        <v/>
      </c>
      <c r="L3750" s="139">
        <f>IFERROR(IF(ISNUMBER(F3750),F3750-IF(ISNUMBER(K3750),K3750,0),""),"")</f>
        <v/>
      </c>
    </row>
    <row r="3751" ht="24" customHeight="1" s="63">
      <c r="E3751" s="139" t="n"/>
      <c r="F3751" s="139" t="n"/>
      <c r="G3751" s="140">
        <f>IFERROR(IF(E3751&gt;0,(F3751/E3751)*1000,""),"")</f>
        <v/>
      </c>
      <c r="H3751" s="139">
        <f>IFERROR(IF(E3751&gt;0,E3751*IF(ISNUMBER(J3751),J3751,IF(OR(C3751="Alpha",B3751="Alpha"),$C$7,IF(C3751="Futures",$C$6,$C$5))),""),"")</f>
        <v/>
      </c>
      <c r="I3751" s="139">
        <f>IFERROR(IF(AND(ISNUMBER(F3751),ISNUMBER(H3751)),F3751-H3751,""),"")</f>
        <v/>
      </c>
      <c r="J3751" s="114" t="n"/>
      <c r="K3751" s="139">
        <f>IFERROR(IF(H3751&gt;0,H3751*IF(OR(C3751="Alpha",B3751="Alpha"),$C$9,$C$8),""),"")</f>
        <v/>
      </c>
      <c r="L3751" s="139">
        <f>IFERROR(IF(ISNUMBER(F3751),F3751-IF(ISNUMBER(K3751),K3751,0),""),"")</f>
        <v/>
      </c>
    </row>
    <row r="3752" ht="24" customHeight="1" s="63">
      <c r="E3752" s="139" t="n"/>
      <c r="F3752" s="139" t="n"/>
      <c r="G3752" s="140">
        <f>IFERROR(IF(E3752&gt;0,(F3752/E3752)*1000,""),"")</f>
        <v/>
      </c>
      <c r="H3752" s="139">
        <f>IFERROR(IF(E3752&gt;0,E3752*IF(ISNUMBER(J3752),J3752,IF(OR(C3752="Alpha",B3752="Alpha"),$C$7,IF(C3752="Futures",$C$6,$C$5))),""),"")</f>
        <v/>
      </c>
      <c r="I3752" s="139">
        <f>IFERROR(IF(AND(ISNUMBER(F3752),ISNUMBER(H3752)),F3752-H3752,""),"")</f>
        <v/>
      </c>
      <c r="J3752" s="114" t="n"/>
      <c r="K3752" s="139">
        <f>IFERROR(IF(H3752&gt;0,H3752*IF(OR(C3752="Alpha",B3752="Alpha"),$C$9,$C$8),""),"")</f>
        <v/>
      </c>
      <c r="L3752" s="139">
        <f>IFERROR(IF(ISNUMBER(F3752),F3752-IF(ISNUMBER(K3752),K3752,0),""),"")</f>
        <v/>
      </c>
    </row>
    <row r="3753" ht="24" customHeight="1" s="63">
      <c r="E3753" s="139" t="n"/>
      <c r="F3753" s="139" t="n"/>
      <c r="G3753" s="140">
        <f>IFERROR(IF(E3753&gt;0,(F3753/E3753)*1000,""),"")</f>
        <v/>
      </c>
      <c r="H3753" s="139">
        <f>IFERROR(IF(E3753&gt;0,E3753*IF(ISNUMBER(J3753),J3753,IF(OR(C3753="Alpha",B3753="Alpha"),$C$7,IF(C3753="Futures",$C$6,$C$5))),""),"")</f>
        <v/>
      </c>
      <c r="I3753" s="139">
        <f>IFERROR(IF(AND(ISNUMBER(F3753),ISNUMBER(H3753)),F3753-H3753,""),"")</f>
        <v/>
      </c>
      <c r="J3753" s="114" t="n"/>
      <c r="K3753" s="139">
        <f>IFERROR(IF(H3753&gt;0,H3753*IF(OR(C3753="Alpha",B3753="Alpha"),$C$9,$C$8),""),"")</f>
        <v/>
      </c>
      <c r="L3753" s="139">
        <f>IFERROR(IF(ISNUMBER(F3753),F3753-IF(ISNUMBER(K3753),K3753,0),""),"")</f>
        <v/>
      </c>
    </row>
    <row r="3754" ht="24" customHeight="1" s="63">
      <c r="E3754" s="139" t="n"/>
      <c r="F3754" s="139" t="n"/>
      <c r="G3754" s="140">
        <f>IFERROR(IF(E3754&gt;0,(F3754/E3754)*1000,""),"")</f>
        <v/>
      </c>
      <c r="H3754" s="139">
        <f>IFERROR(IF(E3754&gt;0,E3754*IF(ISNUMBER(J3754),J3754,IF(OR(C3754="Alpha",B3754="Alpha"),$C$7,IF(C3754="Futures",$C$6,$C$5))),""),"")</f>
        <v/>
      </c>
      <c r="I3754" s="139">
        <f>IFERROR(IF(AND(ISNUMBER(F3754),ISNUMBER(H3754)),F3754-H3754,""),"")</f>
        <v/>
      </c>
      <c r="J3754" s="114" t="n"/>
      <c r="K3754" s="139">
        <f>IFERROR(IF(H3754&gt;0,H3754*IF(OR(C3754="Alpha",B3754="Alpha"),$C$9,$C$8),""),"")</f>
        <v/>
      </c>
      <c r="L3754" s="139">
        <f>IFERROR(IF(ISNUMBER(F3754),F3754-IF(ISNUMBER(K3754),K3754,0),""),"")</f>
        <v/>
      </c>
    </row>
    <row r="3755" ht="24" customHeight="1" s="63">
      <c r="E3755" s="139" t="n"/>
      <c r="F3755" s="139" t="n"/>
      <c r="G3755" s="140">
        <f>IFERROR(IF(E3755&gt;0,(F3755/E3755)*1000,""),"")</f>
        <v/>
      </c>
      <c r="H3755" s="139">
        <f>IFERROR(IF(E3755&gt;0,E3755*IF(ISNUMBER(J3755),J3755,IF(OR(C3755="Alpha",B3755="Alpha"),$C$7,IF(C3755="Futures",$C$6,$C$5))),""),"")</f>
        <v/>
      </c>
      <c r="I3755" s="139">
        <f>IFERROR(IF(AND(ISNUMBER(F3755),ISNUMBER(H3755)),F3755-H3755,""),"")</f>
        <v/>
      </c>
      <c r="J3755" s="114" t="n"/>
      <c r="K3755" s="139">
        <f>IFERROR(IF(H3755&gt;0,H3755*IF(OR(C3755="Alpha",B3755="Alpha"),$C$9,$C$8),""),"")</f>
        <v/>
      </c>
      <c r="L3755" s="139">
        <f>IFERROR(IF(ISNUMBER(F3755),F3755-IF(ISNUMBER(K3755),K3755,0),""),"")</f>
        <v/>
      </c>
    </row>
    <row r="3756" ht="24" customHeight="1" s="63">
      <c r="E3756" s="139" t="n"/>
      <c r="F3756" s="139" t="n"/>
      <c r="G3756" s="140">
        <f>IFERROR(IF(E3756&gt;0,(F3756/E3756)*1000,""),"")</f>
        <v/>
      </c>
      <c r="H3756" s="139">
        <f>IFERROR(IF(E3756&gt;0,E3756*IF(ISNUMBER(J3756),J3756,IF(OR(C3756="Alpha",B3756="Alpha"),$C$7,IF(C3756="Futures",$C$6,$C$5))),""),"")</f>
        <v/>
      </c>
      <c r="I3756" s="139">
        <f>IFERROR(IF(AND(ISNUMBER(F3756),ISNUMBER(H3756)),F3756-H3756,""),"")</f>
        <v/>
      </c>
      <c r="J3756" s="114" t="n"/>
      <c r="K3756" s="139">
        <f>IFERROR(IF(H3756&gt;0,H3756*IF(OR(C3756="Alpha",B3756="Alpha"),$C$9,$C$8),""),"")</f>
        <v/>
      </c>
      <c r="L3756" s="139">
        <f>IFERROR(IF(ISNUMBER(F3756),F3756-IF(ISNUMBER(K3756),K3756,0),""),"")</f>
        <v/>
      </c>
    </row>
    <row r="3757" ht="24" customHeight="1" s="63">
      <c r="E3757" s="139" t="n"/>
      <c r="F3757" s="139" t="n"/>
      <c r="G3757" s="140">
        <f>IFERROR(IF(E3757&gt;0,(F3757/E3757)*1000,""),"")</f>
        <v/>
      </c>
      <c r="H3757" s="139">
        <f>IFERROR(IF(E3757&gt;0,E3757*IF(ISNUMBER(J3757),J3757,IF(OR(C3757="Alpha",B3757="Alpha"),$C$7,IF(C3757="Futures",$C$6,$C$5))),""),"")</f>
        <v/>
      </c>
      <c r="I3757" s="139">
        <f>IFERROR(IF(AND(ISNUMBER(F3757),ISNUMBER(H3757)),F3757-H3757,""),"")</f>
        <v/>
      </c>
      <c r="J3757" s="114" t="n"/>
      <c r="K3757" s="139">
        <f>IFERROR(IF(H3757&gt;0,H3757*IF(OR(C3757="Alpha",B3757="Alpha"),$C$9,$C$8),""),"")</f>
        <v/>
      </c>
      <c r="L3757" s="139">
        <f>IFERROR(IF(ISNUMBER(F3757),F3757-IF(ISNUMBER(K3757),K3757,0),""),"")</f>
        <v/>
      </c>
    </row>
    <row r="3758" ht="24" customHeight="1" s="63">
      <c r="E3758" s="139" t="n"/>
      <c r="F3758" s="139" t="n"/>
      <c r="G3758" s="140">
        <f>IFERROR(IF(E3758&gt;0,(F3758/E3758)*1000,""),"")</f>
        <v/>
      </c>
      <c r="H3758" s="139">
        <f>IFERROR(IF(E3758&gt;0,E3758*IF(ISNUMBER(J3758),J3758,IF(OR(C3758="Alpha",B3758="Alpha"),$C$7,IF(C3758="Futures",$C$6,$C$5))),""),"")</f>
        <v/>
      </c>
      <c r="I3758" s="139">
        <f>IFERROR(IF(AND(ISNUMBER(F3758),ISNUMBER(H3758)),F3758-H3758,""),"")</f>
        <v/>
      </c>
      <c r="J3758" s="114" t="n"/>
      <c r="K3758" s="139">
        <f>IFERROR(IF(H3758&gt;0,H3758*IF(OR(C3758="Alpha",B3758="Alpha"),$C$9,$C$8),""),"")</f>
        <v/>
      </c>
      <c r="L3758" s="139">
        <f>IFERROR(IF(ISNUMBER(F3758),F3758-IF(ISNUMBER(K3758),K3758,0),""),"")</f>
        <v/>
      </c>
    </row>
    <row r="3759" ht="24" customHeight="1" s="63">
      <c r="E3759" s="139" t="n"/>
      <c r="F3759" s="139" t="n"/>
      <c r="G3759" s="140">
        <f>IFERROR(IF(E3759&gt;0,(F3759/E3759)*1000,""),"")</f>
        <v/>
      </c>
      <c r="H3759" s="139">
        <f>IFERROR(IF(E3759&gt;0,E3759*IF(ISNUMBER(J3759),J3759,IF(OR(C3759="Alpha",B3759="Alpha"),$C$7,IF(C3759="Futures",$C$6,$C$5))),""),"")</f>
        <v/>
      </c>
      <c r="I3759" s="139">
        <f>IFERROR(IF(AND(ISNUMBER(F3759),ISNUMBER(H3759)),F3759-H3759,""),"")</f>
        <v/>
      </c>
      <c r="J3759" s="114" t="n"/>
      <c r="K3759" s="139">
        <f>IFERROR(IF(H3759&gt;0,H3759*IF(OR(C3759="Alpha",B3759="Alpha"),$C$9,$C$8),""),"")</f>
        <v/>
      </c>
      <c r="L3759" s="139">
        <f>IFERROR(IF(ISNUMBER(F3759),F3759-IF(ISNUMBER(K3759),K3759,0),""),"")</f>
        <v/>
      </c>
    </row>
    <row r="3760" ht="24" customHeight="1" s="63">
      <c r="E3760" s="139" t="n"/>
      <c r="F3760" s="139" t="n"/>
      <c r="G3760" s="140">
        <f>IFERROR(IF(E3760&gt;0,(F3760/E3760)*1000,""),"")</f>
        <v/>
      </c>
      <c r="H3760" s="139">
        <f>IFERROR(IF(E3760&gt;0,E3760*IF(ISNUMBER(J3760),J3760,IF(OR(C3760="Alpha",B3760="Alpha"),$C$7,IF(C3760="Futures",$C$6,$C$5))),""),"")</f>
        <v/>
      </c>
      <c r="I3760" s="139">
        <f>IFERROR(IF(AND(ISNUMBER(F3760),ISNUMBER(H3760)),F3760-H3760,""),"")</f>
        <v/>
      </c>
      <c r="J3760" s="114" t="n"/>
      <c r="K3760" s="139">
        <f>IFERROR(IF(H3760&gt;0,H3760*IF(OR(C3760="Alpha",B3760="Alpha"),$C$9,$C$8),""),"")</f>
        <v/>
      </c>
      <c r="L3760" s="139">
        <f>IFERROR(IF(ISNUMBER(F3760),F3760-IF(ISNUMBER(K3760),K3760,0),""),"")</f>
        <v/>
      </c>
    </row>
    <row r="3761" ht="24" customHeight="1" s="63">
      <c r="E3761" s="139" t="n"/>
      <c r="F3761" s="139" t="n"/>
      <c r="G3761" s="140">
        <f>IFERROR(IF(E3761&gt;0,(F3761/E3761)*1000,""),"")</f>
        <v/>
      </c>
      <c r="H3761" s="139">
        <f>IFERROR(IF(E3761&gt;0,E3761*IF(ISNUMBER(J3761),J3761,IF(OR(C3761="Alpha",B3761="Alpha"),$C$7,IF(C3761="Futures",$C$6,$C$5))),""),"")</f>
        <v/>
      </c>
      <c r="I3761" s="139">
        <f>IFERROR(IF(AND(ISNUMBER(F3761),ISNUMBER(H3761)),F3761-H3761,""),"")</f>
        <v/>
      </c>
      <c r="J3761" s="114" t="n"/>
      <c r="K3761" s="139">
        <f>IFERROR(IF(H3761&gt;0,H3761*IF(OR(C3761="Alpha",B3761="Alpha"),$C$9,$C$8),""),"")</f>
        <v/>
      </c>
      <c r="L3761" s="139">
        <f>IFERROR(IF(ISNUMBER(F3761),F3761-IF(ISNUMBER(K3761),K3761,0),""),"")</f>
        <v/>
      </c>
    </row>
    <row r="3762" ht="24" customHeight="1" s="63">
      <c r="E3762" s="139" t="n"/>
      <c r="F3762" s="139" t="n"/>
      <c r="G3762" s="140">
        <f>IFERROR(IF(E3762&gt;0,(F3762/E3762)*1000,""),"")</f>
        <v/>
      </c>
      <c r="H3762" s="139">
        <f>IFERROR(IF(E3762&gt;0,E3762*IF(ISNUMBER(J3762),J3762,IF(OR(C3762="Alpha",B3762="Alpha"),$C$7,IF(C3762="Futures",$C$6,$C$5))),""),"")</f>
        <v/>
      </c>
      <c r="I3762" s="139">
        <f>IFERROR(IF(AND(ISNUMBER(F3762),ISNUMBER(H3762)),F3762-H3762,""),"")</f>
        <v/>
      </c>
      <c r="J3762" s="114" t="n"/>
      <c r="K3762" s="139">
        <f>IFERROR(IF(H3762&gt;0,H3762*IF(OR(C3762="Alpha",B3762="Alpha"),$C$9,$C$8),""),"")</f>
        <v/>
      </c>
      <c r="L3762" s="139">
        <f>IFERROR(IF(ISNUMBER(F3762),F3762-IF(ISNUMBER(K3762),K3762,0),""),"")</f>
        <v/>
      </c>
    </row>
    <row r="3763" ht="24" customHeight="1" s="63">
      <c r="E3763" s="139" t="n"/>
      <c r="F3763" s="139" t="n"/>
      <c r="G3763" s="140">
        <f>IFERROR(IF(E3763&gt;0,(F3763/E3763)*1000,""),"")</f>
        <v/>
      </c>
      <c r="H3763" s="139">
        <f>IFERROR(IF(E3763&gt;0,E3763*IF(ISNUMBER(J3763),J3763,IF(OR(C3763="Alpha",B3763="Alpha"),$C$7,IF(C3763="Futures",$C$6,$C$5))),""),"")</f>
        <v/>
      </c>
      <c r="I3763" s="139">
        <f>IFERROR(IF(AND(ISNUMBER(F3763),ISNUMBER(H3763)),F3763-H3763,""),"")</f>
        <v/>
      </c>
      <c r="J3763" s="114" t="n"/>
      <c r="K3763" s="139">
        <f>IFERROR(IF(H3763&gt;0,H3763*IF(OR(C3763="Alpha",B3763="Alpha"),$C$9,$C$8),""),"")</f>
        <v/>
      </c>
      <c r="L3763" s="139">
        <f>IFERROR(IF(ISNUMBER(F3763),F3763-IF(ISNUMBER(K3763),K3763,0),""),"")</f>
        <v/>
      </c>
    </row>
    <row r="3764" ht="24" customHeight="1" s="63">
      <c r="E3764" s="139" t="n"/>
      <c r="F3764" s="139" t="n"/>
      <c r="G3764" s="140">
        <f>IFERROR(IF(E3764&gt;0,(F3764/E3764)*1000,""),"")</f>
        <v/>
      </c>
      <c r="H3764" s="139">
        <f>IFERROR(IF(E3764&gt;0,E3764*IF(ISNUMBER(J3764),J3764,IF(OR(C3764="Alpha",B3764="Alpha"),$C$7,IF(C3764="Futures",$C$6,$C$5))),""),"")</f>
        <v/>
      </c>
      <c r="I3764" s="139">
        <f>IFERROR(IF(AND(ISNUMBER(F3764),ISNUMBER(H3764)),F3764-H3764,""),"")</f>
        <v/>
      </c>
      <c r="J3764" s="114" t="n"/>
      <c r="K3764" s="139">
        <f>IFERROR(IF(H3764&gt;0,H3764*IF(OR(C3764="Alpha",B3764="Alpha"),$C$9,$C$8),""),"")</f>
        <v/>
      </c>
      <c r="L3764" s="139">
        <f>IFERROR(IF(ISNUMBER(F3764),F3764-IF(ISNUMBER(K3764),K3764,0),""),"")</f>
        <v/>
      </c>
    </row>
    <row r="3765" ht="24" customHeight="1" s="63">
      <c r="E3765" s="139" t="n"/>
      <c r="F3765" s="139" t="n"/>
      <c r="G3765" s="140">
        <f>IFERROR(IF(E3765&gt;0,(F3765/E3765)*1000,""),"")</f>
        <v/>
      </c>
      <c r="H3765" s="139">
        <f>IFERROR(IF(E3765&gt;0,E3765*IF(ISNUMBER(J3765),J3765,IF(OR(C3765="Alpha",B3765="Alpha"),$C$7,IF(C3765="Futures",$C$6,$C$5))),""),"")</f>
        <v/>
      </c>
      <c r="I3765" s="139">
        <f>IFERROR(IF(AND(ISNUMBER(F3765),ISNUMBER(H3765)),F3765-H3765,""),"")</f>
        <v/>
      </c>
      <c r="J3765" s="114" t="n"/>
      <c r="K3765" s="139">
        <f>IFERROR(IF(H3765&gt;0,H3765*IF(OR(C3765="Alpha",B3765="Alpha"),$C$9,$C$8),""),"")</f>
        <v/>
      </c>
      <c r="L3765" s="139">
        <f>IFERROR(IF(ISNUMBER(F3765),F3765-IF(ISNUMBER(K3765),K3765,0),""),"")</f>
        <v/>
      </c>
    </row>
    <row r="3766" ht="24" customHeight="1" s="63">
      <c r="E3766" s="139" t="n"/>
      <c r="F3766" s="139" t="n"/>
      <c r="G3766" s="140">
        <f>IFERROR(IF(E3766&gt;0,(F3766/E3766)*1000,""),"")</f>
        <v/>
      </c>
      <c r="H3766" s="139">
        <f>IFERROR(IF(E3766&gt;0,E3766*IF(ISNUMBER(J3766),J3766,IF(OR(C3766="Alpha",B3766="Alpha"),$C$7,IF(C3766="Futures",$C$6,$C$5))),""),"")</f>
        <v/>
      </c>
      <c r="I3766" s="139">
        <f>IFERROR(IF(AND(ISNUMBER(F3766),ISNUMBER(H3766)),F3766-H3766,""),"")</f>
        <v/>
      </c>
      <c r="J3766" s="114" t="n"/>
      <c r="K3766" s="139">
        <f>IFERROR(IF(H3766&gt;0,H3766*IF(OR(C3766="Alpha",B3766="Alpha"),$C$9,$C$8),""),"")</f>
        <v/>
      </c>
      <c r="L3766" s="139">
        <f>IFERROR(IF(ISNUMBER(F3766),F3766-IF(ISNUMBER(K3766),K3766,0),""),"")</f>
        <v/>
      </c>
    </row>
    <row r="3767" ht="24" customHeight="1" s="63">
      <c r="E3767" s="139" t="n"/>
      <c r="F3767" s="139" t="n"/>
      <c r="G3767" s="140">
        <f>IFERROR(IF(E3767&gt;0,(F3767/E3767)*1000,""),"")</f>
        <v/>
      </c>
      <c r="H3767" s="139">
        <f>IFERROR(IF(E3767&gt;0,E3767*IF(ISNUMBER(J3767),J3767,IF(OR(C3767="Alpha",B3767="Alpha"),$C$7,IF(C3767="Futures",$C$6,$C$5))),""),"")</f>
        <v/>
      </c>
      <c r="I3767" s="139">
        <f>IFERROR(IF(AND(ISNUMBER(F3767),ISNUMBER(H3767)),F3767-H3767,""),"")</f>
        <v/>
      </c>
      <c r="J3767" s="114" t="n"/>
      <c r="K3767" s="139">
        <f>IFERROR(IF(H3767&gt;0,H3767*IF(OR(C3767="Alpha",B3767="Alpha"),$C$9,$C$8),""),"")</f>
        <v/>
      </c>
      <c r="L3767" s="139">
        <f>IFERROR(IF(ISNUMBER(F3767),F3767-IF(ISNUMBER(K3767),K3767,0),""),"")</f>
        <v/>
      </c>
    </row>
    <row r="3768" ht="24" customHeight="1" s="63">
      <c r="E3768" s="139" t="n"/>
      <c r="F3768" s="139" t="n"/>
      <c r="G3768" s="140">
        <f>IFERROR(IF(E3768&gt;0,(F3768/E3768)*1000,""),"")</f>
        <v/>
      </c>
      <c r="H3768" s="139">
        <f>IFERROR(IF(E3768&gt;0,E3768*IF(ISNUMBER(J3768),J3768,IF(OR(C3768="Alpha",B3768="Alpha"),$C$7,IF(C3768="Futures",$C$6,$C$5))),""),"")</f>
        <v/>
      </c>
      <c r="I3768" s="139">
        <f>IFERROR(IF(AND(ISNUMBER(F3768),ISNUMBER(H3768)),F3768-H3768,""),"")</f>
        <v/>
      </c>
      <c r="J3768" s="114" t="n"/>
      <c r="K3768" s="139">
        <f>IFERROR(IF(H3768&gt;0,H3768*IF(OR(C3768="Alpha",B3768="Alpha"),$C$9,$C$8),""),"")</f>
        <v/>
      </c>
      <c r="L3768" s="139">
        <f>IFERROR(IF(ISNUMBER(F3768),F3768-IF(ISNUMBER(K3768),K3768,0),""),"")</f>
        <v/>
      </c>
    </row>
    <row r="3769" ht="24" customHeight="1" s="63">
      <c r="E3769" s="139" t="n"/>
      <c r="F3769" s="139" t="n"/>
      <c r="G3769" s="140">
        <f>IFERROR(IF(E3769&gt;0,(F3769/E3769)*1000,""),"")</f>
        <v/>
      </c>
      <c r="H3769" s="139">
        <f>IFERROR(IF(E3769&gt;0,E3769*IF(ISNUMBER(J3769),J3769,IF(OR(C3769="Alpha",B3769="Alpha"),$C$7,IF(C3769="Futures",$C$6,$C$5))),""),"")</f>
        <v/>
      </c>
      <c r="I3769" s="139">
        <f>IFERROR(IF(AND(ISNUMBER(F3769),ISNUMBER(H3769)),F3769-H3769,""),"")</f>
        <v/>
      </c>
      <c r="J3769" s="114" t="n"/>
      <c r="K3769" s="139">
        <f>IFERROR(IF(H3769&gt;0,H3769*IF(OR(C3769="Alpha",B3769="Alpha"),$C$9,$C$8),""),"")</f>
        <v/>
      </c>
      <c r="L3769" s="139">
        <f>IFERROR(IF(ISNUMBER(F3769),F3769-IF(ISNUMBER(K3769),K3769,0),""),"")</f>
        <v/>
      </c>
    </row>
    <row r="3770" ht="24" customHeight="1" s="63">
      <c r="E3770" s="139" t="n"/>
      <c r="F3770" s="139" t="n"/>
      <c r="G3770" s="140">
        <f>IFERROR(IF(E3770&gt;0,(F3770/E3770)*1000,""),"")</f>
        <v/>
      </c>
      <c r="H3770" s="139">
        <f>IFERROR(IF(E3770&gt;0,E3770*IF(ISNUMBER(J3770),J3770,IF(OR(C3770="Alpha",B3770="Alpha"),$C$7,IF(C3770="Futures",$C$6,$C$5))),""),"")</f>
        <v/>
      </c>
      <c r="I3770" s="139">
        <f>IFERROR(IF(AND(ISNUMBER(F3770),ISNUMBER(H3770)),F3770-H3770,""),"")</f>
        <v/>
      </c>
      <c r="J3770" s="114" t="n"/>
      <c r="K3770" s="139">
        <f>IFERROR(IF(H3770&gt;0,H3770*IF(OR(C3770="Alpha",B3770="Alpha"),$C$9,$C$8),""),"")</f>
        <v/>
      </c>
      <c r="L3770" s="139">
        <f>IFERROR(IF(ISNUMBER(F3770),F3770-IF(ISNUMBER(K3770),K3770,0),""),"")</f>
        <v/>
      </c>
    </row>
    <row r="3771" ht="24" customHeight="1" s="63">
      <c r="E3771" s="139" t="n"/>
      <c r="F3771" s="139" t="n"/>
      <c r="G3771" s="140">
        <f>IFERROR(IF(E3771&gt;0,(F3771/E3771)*1000,""),"")</f>
        <v/>
      </c>
      <c r="H3771" s="139">
        <f>IFERROR(IF(E3771&gt;0,E3771*IF(ISNUMBER(J3771),J3771,IF(OR(C3771="Alpha",B3771="Alpha"),$C$7,IF(C3771="Futures",$C$6,$C$5))),""),"")</f>
        <v/>
      </c>
      <c r="I3771" s="139">
        <f>IFERROR(IF(AND(ISNUMBER(F3771),ISNUMBER(H3771)),F3771-H3771,""),"")</f>
        <v/>
      </c>
      <c r="J3771" s="114" t="n"/>
      <c r="K3771" s="139">
        <f>IFERROR(IF(H3771&gt;0,H3771*IF(OR(C3771="Alpha",B3771="Alpha"),$C$9,$C$8),""),"")</f>
        <v/>
      </c>
      <c r="L3771" s="139">
        <f>IFERROR(IF(ISNUMBER(F3771),F3771-IF(ISNUMBER(K3771),K3771,0),""),"")</f>
        <v/>
      </c>
    </row>
    <row r="3772" ht="24" customHeight="1" s="63">
      <c r="E3772" s="139" t="n"/>
      <c r="F3772" s="139" t="n"/>
      <c r="G3772" s="140">
        <f>IFERROR(IF(E3772&gt;0,(F3772/E3772)*1000,""),"")</f>
        <v/>
      </c>
      <c r="H3772" s="139">
        <f>IFERROR(IF(E3772&gt;0,E3772*IF(ISNUMBER(J3772),J3772,IF(OR(C3772="Alpha",B3772="Alpha"),$C$7,IF(C3772="Futures",$C$6,$C$5))),""),"")</f>
        <v/>
      </c>
      <c r="I3772" s="139">
        <f>IFERROR(IF(AND(ISNUMBER(F3772),ISNUMBER(H3772)),F3772-H3772,""),"")</f>
        <v/>
      </c>
      <c r="J3772" s="114" t="n"/>
      <c r="K3772" s="139">
        <f>IFERROR(IF(H3772&gt;0,H3772*IF(OR(C3772="Alpha",B3772="Alpha"),$C$9,$C$8),""),"")</f>
        <v/>
      </c>
      <c r="L3772" s="139">
        <f>IFERROR(IF(ISNUMBER(F3772),F3772-IF(ISNUMBER(K3772),K3772,0),""),"")</f>
        <v/>
      </c>
    </row>
    <row r="3773" ht="24" customHeight="1" s="63">
      <c r="E3773" s="139" t="n"/>
      <c r="F3773" s="139" t="n"/>
      <c r="G3773" s="140">
        <f>IFERROR(IF(E3773&gt;0,(F3773/E3773)*1000,""),"")</f>
        <v/>
      </c>
      <c r="H3773" s="139">
        <f>IFERROR(IF(E3773&gt;0,E3773*IF(ISNUMBER(J3773),J3773,IF(OR(C3773="Alpha",B3773="Alpha"),$C$7,IF(C3773="Futures",$C$6,$C$5))),""),"")</f>
        <v/>
      </c>
      <c r="I3773" s="139">
        <f>IFERROR(IF(AND(ISNUMBER(F3773),ISNUMBER(H3773)),F3773-H3773,""),"")</f>
        <v/>
      </c>
      <c r="J3773" s="114" t="n"/>
      <c r="K3773" s="139">
        <f>IFERROR(IF(H3773&gt;0,H3773*IF(OR(C3773="Alpha",B3773="Alpha"),$C$9,$C$8),""),"")</f>
        <v/>
      </c>
      <c r="L3773" s="139">
        <f>IFERROR(IF(ISNUMBER(F3773),F3773-IF(ISNUMBER(K3773),K3773,0),""),"")</f>
        <v/>
      </c>
    </row>
    <row r="3774" ht="24" customHeight="1" s="63">
      <c r="E3774" s="139" t="n"/>
      <c r="F3774" s="139" t="n"/>
      <c r="G3774" s="140">
        <f>IFERROR(IF(E3774&gt;0,(F3774/E3774)*1000,""),"")</f>
        <v/>
      </c>
      <c r="H3774" s="139">
        <f>IFERROR(IF(E3774&gt;0,E3774*IF(ISNUMBER(J3774),J3774,IF(OR(C3774="Alpha",B3774="Alpha"),$C$7,IF(C3774="Futures",$C$6,$C$5))),""),"")</f>
        <v/>
      </c>
      <c r="I3774" s="139">
        <f>IFERROR(IF(AND(ISNUMBER(F3774),ISNUMBER(H3774)),F3774-H3774,""),"")</f>
        <v/>
      </c>
      <c r="J3774" s="114" t="n"/>
      <c r="K3774" s="139">
        <f>IFERROR(IF(H3774&gt;0,H3774*IF(OR(C3774="Alpha",B3774="Alpha"),$C$9,$C$8),""),"")</f>
        <v/>
      </c>
      <c r="L3774" s="139">
        <f>IFERROR(IF(ISNUMBER(F3774),F3774-IF(ISNUMBER(K3774),K3774,0),""),"")</f>
        <v/>
      </c>
    </row>
    <row r="3775" ht="24" customHeight="1" s="63">
      <c r="E3775" s="139" t="n"/>
      <c r="F3775" s="139" t="n"/>
      <c r="G3775" s="140">
        <f>IFERROR(IF(E3775&gt;0,(F3775/E3775)*1000,""),"")</f>
        <v/>
      </c>
      <c r="H3775" s="139">
        <f>IFERROR(IF(E3775&gt;0,E3775*IF(ISNUMBER(J3775),J3775,IF(OR(C3775="Alpha",B3775="Alpha"),$C$7,IF(C3775="Futures",$C$6,$C$5))),""),"")</f>
        <v/>
      </c>
      <c r="I3775" s="139">
        <f>IFERROR(IF(AND(ISNUMBER(F3775),ISNUMBER(H3775)),F3775-H3775,""),"")</f>
        <v/>
      </c>
      <c r="J3775" s="114" t="n"/>
      <c r="K3775" s="139">
        <f>IFERROR(IF(H3775&gt;0,H3775*IF(OR(C3775="Alpha",B3775="Alpha"),$C$9,$C$8),""),"")</f>
        <v/>
      </c>
      <c r="L3775" s="139">
        <f>IFERROR(IF(ISNUMBER(F3775),F3775-IF(ISNUMBER(K3775),K3775,0),""),"")</f>
        <v/>
      </c>
    </row>
    <row r="3776" ht="24" customHeight="1" s="63">
      <c r="E3776" s="139" t="n"/>
      <c r="F3776" s="139" t="n"/>
      <c r="G3776" s="140">
        <f>IFERROR(IF(E3776&gt;0,(F3776/E3776)*1000,""),"")</f>
        <v/>
      </c>
      <c r="H3776" s="139">
        <f>IFERROR(IF(E3776&gt;0,E3776*IF(ISNUMBER(J3776),J3776,IF(OR(C3776="Alpha",B3776="Alpha"),$C$7,IF(C3776="Futures",$C$6,$C$5))),""),"")</f>
        <v/>
      </c>
      <c r="I3776" s="139">
        <f>IFERROR(IF(AND(ISNUMBER(F3776),ISNUMBER(H3776)),F3776-H3776,""),"")</f>
        <v/>
      </c>
      <c r="J3776" s="114" t="n"/>
      <c r="K3776" s="139">
        <f>IFERROR(IF(H3776&gt;0,H3776*IF(OR(C3776="Alpha",B3776="Alpha"),$C$9,$C$8),""),"")</f>
        <v/>
      </c>
      <c r="L3776" s="139">
        <f>IFERROR(IF(ISNUMBER(F3776),F3776-IF(ISNUMBER(K3776),K3776,0),""),"")</f>
        <v/>
      </c>
    </row>
    <row r="3777" ht="24" customHeight="1" s="63">
      <c r="E3777" s="139" t="n"/>
      <c r="F3777" s="139" t="n"/>
      <c r="G3777" s="140">
        <f>IFERROR(IF(E3777&gt;0,(F3777/E3777)*1000,""),"")</f>
        <v/>
      </c>
      <c r="H3777" s="139">
        <f>IFERROR(IF(E3777&gt;0,E3777*IF(ISNUMBER(J3777),J3777,IF(OR(C3777="Alpha",B3777="Alpha"),$C$7,IF(C3777="Futures",$C$6,$C$5))),""),"")</f>
        <v/>
      </c>
      <c r="I3777" s="139">
        <f>IFERROR(IF(AND(ISNUMBER(F3777),ISNUMBER(H3777)),F3777-H3777,""),"")</f>
        <v/>
      </c>
      <c r="J3777" s="114" t="n"/>
      <c r="K3777" s="139">
        <f>IFERROR(IF(H3777&gt;0,H3777*IF(OR(C3777="Alpha",B3777="Alpha"),$C$9,$C$8),""),"")</f>
        <v/>
      </c>
      <c r="L3777" s="139">
        <f>IFERROR(IF(ISNUMBER(F3777),F3777-IF(ISNUMBER(K3777),K3777,0),""),"")</f>
        <v/>
      </c>
    </row>
    <row r="3778" ht="24" customHeight="1" s="63">
      <c r="E3778" s="139" t="n"/>
      <c r="F3778" s="139" t="n"/>
      <c r="G3778" s="140">
        <f>IFERROR(IF(E3778&gt;0,(F3778/E3778)*1000,""),"")</f>
        <v/>
      </c>
      <c r="H3778" s="139">
        <f>IFERROR(IF(E3778&gt;0,E3778*IF(ISNUMBER(J3778),J3778,IF(OR(C3778="Alpha",B3778="Alpha"),$C$7,IF(C3778="Futures",$C$6,$C$5))),""),"")</f>
        <v/>
      </c>
      <c r="I3778" s="139">
        <f>IFERROR(IF(AND(ISNUMBER(F3778),ISNUMBER(H3778)),F3778-H3778,""),"")</f>
        <v/>
      </c>
      <c r="J3778" s="114" t="n"/>
      <c r="K3778" s="139">
        <f>IFERROR(IF(H3778&gt;0,H3778*IF(OR(C3778="Alpha",B3778="Alpha"),$C$9,$C$8),""),"")</f>
        <v/>
      </c>
      <c r="L3778" s="139">
        <f>IFERROR(IF(ISNUMBER(F3778),F3778-IF(ISNUMBER(K3778),K3778,0),""),"")</f>
        <v/>
      </c>
    </row>
    <row r="3779" ht="24" customHeight="1" s="63">
      <c r="E3779" s="139" t="n"/>
      <c r="F3779" s="139" t="n"/>
      <c r="G3779" s="140">
        <f>IFERROR(IF(E3779&gt;0,(F3779/E3779)*1000,""),"")</f>
        <v/>
      </c>
      <c r="H3779" s="139">
        <f>IFERROR(IF(E3779&gt;0,E3779*IF(ISNUMBER(J3779),J3779,IF(OR(C3779="Alpha",B3779="Alpha"),$C$7,IF(C3779="Futures",$C$6,$C$5))),""),"")</f>
        <v/>
      </c>
      <c r="I3779" s="139">
        <f>IFERROR(IF(AND(ISNUMBER(F3779),ISNUMBER(H3779)),F3779-H3779,""),"")</f>
        <v/>
      </c>
      <c r="J3779" s="114" t="n"/>
      <c r="K3779" s="139">
        <f>IFERROR(IF(H3779&gt;0,H3779*IF(OR(C3779="Alpha",B3779="Alpha"),$C$9,$C$8),""),"")</f>
        <v/>
      </c>
      <c r="L3779" s="139">
        <f>IFERROR(IF(ISNUMBER(F3779),F3779-IF(ISNUMBER(K3779),K3779,0),""),"")</f>
        <v/>
      </c>
    </row>
    <row r="3780" ht="24" customHeight="1" s="63">
      <c r="E3780" s="139" t="n"/>
      <c r="F3780" s="139" t="n"/>
      <c r="G3780" s="140">
        <f>IFERROR(IF(E3780&gt;0,(F3780/E3780)*1000,""),"")</f>
        <v/>
      </c>
      <c r="H3780" s="139">
        <f>IFERROR(IF(E3780&gt;0,E3780*IF(ISNUMBER(J3780),J3780,IF(OR(C3780="Alpha",B3780="Alpha"),$C$7,IF(C3780="Futures",$C$6,$C$5))),""),"")</f>
        <v/>
      </c>
      <c r="I3780" s="139">
        <f>IFERROR(IF(AND(ISNUMBER(F3780),ISNUMBER(H3780)),F3780-H3780,""),"")</f>
        <v/>
      </c>
      <c r="J3780" s="114" t="n"/>
      <c r="K3780" s="139">
        <f>IFERROR(IF(H3780&gt;0,H3780*IF(OR(C3780="Alpha",B3780="Alpha"),$C$9,$C$8),""),"")</f>
        <v/>
      </c>
      <c r="L3780" s="139">
        <f>IFERROR(IF(ISNUMBER(F3780),F3780-IF(ISNUMBER(K3780),K3780,0),""),"")</f>
        <v/>
      </c>
    </row>
    <row r="3781" ht="24" customHeight="1" s="63">
      <c r="E3781" s="139" t="n"/>
      <c r="F3781" s="139" t="n"/>
      <c r="G3781" s="140">
        <f>IFERROR(IF(E3781&gt;0,(F3781/E3781)*1000,""),"")</f>
        <v/>
      </c>
      <c r="H3781" s="139">
        <f>IFERROR(IF(E3781&gt;0,E3781*IF(ISNUMBER(J3781),J3781,IF(OR(C3781="Alpha",B3781="Alpha"),$C$7,IF(C3781="Futures",$C$6,$C$5))),""),"")</f>
        <v/>
      </c>
      <c r="I3781" s="139">
        <f>IFERROR(IF(AND(ISNUMBER(F3781),ISNUMBER(H3781)),F3781-H3781,""),"")</f>
        <v/>
      </c>
      <c r="J3781" s="114" t="n"/>
      <c r="K3781" s="139">
        <f>IFERROR(IF(H3781&gt;0,H3781*IF(OR(C3781="Alpha",B3781="Alpha"),$C$9,$C$8),""),"")</f>
        <v/>
      </c>
      <c r="L3781" s="139">
        <f>IFERROR(IF(ISNUMBER(F3781),F3781-IF(ISNUMBER(K3781),K3781,0),""),"")</f>
        <v/>
      </c>
    </row>
    <row r="3782" ht="24" customHeight="1" s="63">
      <c r="E3782" s="139" t="n"/>
      <c r="F3782" s="139" t="n"/>
      <c r="G3782" s="140">
        <f>IFERROR(IF(E3782&gt;0,(F3782/E3782)*1000,""),"")</f>
        <v/>
      </c>
      <c r="H3782" s="139">
        <f>IFERROR(IF(E3782&gt;0,E3782*IF(ISNUMBER(J3782),J3782,IF(OR(C3782="Alpha",B3782="Alpha"),$C$7,IF(C3782="Futures",$C$6,$C$5))),""),"")</f>
        <v/>
      </c>
      <c r="I3782" s="139">
        <f>IFERROR(IF(AND(ISNUMBER(F3782),ISNUMBER(H3782)),F3782-H3782,""),"")</f>
        <v/>
      </c>
      <c r="J3782" s="114" t="n"/>
      <c r="K3782" s="139">
        <f>IFERROR(IF(H3782&gt;0,H3782*IF(OR(C3782="Alpha",B3782="Alpha"),$C$9,$C$8),""),"")</f>
        <v/>
      </c>
      <c r="L3782" s="139">
        <f>IFERROR(IF(ISNUMBER(F3782),F3782-IF(ISNUMBER(K3782),K3782,0),""),"")</f>
        <v/>
      </c>
    </row>
    <row r="3783" ht="24" customHeight="1" s="63">
      <c r="E3783" s="139" t="n"/>
      <c r="F3783" s="139" t="n"/>
      <c r="G3783" s="140">
        <f>IFERROR(IF(E3783&gt;0,(F3783/E3783)*1000,""),"")</f>
        <v/>
      </c>
      <c r="H3783" s="139">
        <f>IFERROR(IF(E3783&gt;0,E3783*IF(ISNUMBER(J3783),J3783,IF(OR(C3783="Alpha",B3783="Alpha"),$C$7,IF(C3783="Futures",$C$6,$C$5))),""),"")</f>
        <v/>
      </c>
      <c r="I3783" s="139">
        <f>IFERROR(IF(AND(ISNUMBER(F3783),ISNUMBER(H3783)),F3783-H3783,""),"")</f>
        <v/>
      </c>
      <c r="J3783" s="114" t="n"/>
      <c r="K3783" s="139">
        <f>IFERROR(IF(H3783&gt;0,H3783*IF(OR(C3783="Alpha",B3783="Alpha"),$C$9,$C$8),""),"")</f>
        <v/>
      </c>
      <c r="L3783" s="139">
        <f>IFERROR(IF(ISNUMBER(F3783),F3783-IF(ISNUMBER(K3783),K3783,0),""),"")</f>
        <v/>
      </c>
    </row>
    <row r="3784" ht="24" customHeight="1" s="63">
      <c r="E3784" s="139" t="n"/>
      <c r="F3784" s="139" t="n"/>
      <c r="G3784" s="140">
        <f>IFERROR(IF(E3784&gt;0,(F3784/E3784)*1000,""),"")</f>
        <v/>
      </c>
      <c r="H3784" s="139">
        <f>IFERROR(IF(E3784&gt;0,E3784*IF(ISNUMBER(J3784),J3784,IF(OR(C3784="Alpha",B3784="Alpha"),$C$7,IF(C3784="Futures",$C$6,$C$5))),""),"")</f>
        <v/>
      </c>
      <c r="I3784" s="139">
        <f>IFERROR(IF(AND(ISNUMBER(F3784),ISNUMBER(H3784)),F3784-H3784,""),"")</f>
        <v/>
      </c>
      <c r="J3784" s="114" t="n"/>
      <c r="K3784" s="139">
        <f>IFERROR(IF(H3784&gt;0,H3784*IF(OR(C3784="Alpha",B3784="Alpha"),$C$9,$C$8),""),"")</f>
        <v/>
      </c>
      <c r="L3784" s="139">
        <f>IFERROR(IF(ISNUMBER(F3784),F3784-IF(ISNUMBER(K3784),K3784,0),""),"")</f>
        <v/>
      </c>
    </row>
    <row r="3785" ht="24" customHeight="1" s="63">
      <c r="E3785" s="139" t="n"/>
      <c r="F3785" s="139" t="n"/>
      <c r="G3785" s="140">
        <f>IFERROR(IF(E3785&gt;0,(F3785/E3785)*1000,""),"")</f>
        <v/>
      </c>
      <c r="H3785" s="139">
        <f>IFERROR(IF(E3785&gt;0,E3785*IF(ISNUMBER(J3785),J3785,IF(OR(C3785="Alpha",B3785="Alpha"),$C$7,IF(C3785="Futures",$C$6,$C$5))),""),"")</f>
        <v/>
      </c>
      <c r="I3785" s="139">
        <f>IFERROR(IF(AND(ISNUMBER(F3785),ISNUMBER(H3785)),F3785-H3785,""),"")</f>
        <v/>
      </c>
      <c r="J3785" s="114" t="n"/>
      <c r="K3785" s="139">
        <f>IFERROR(IF(H3785&gt;0,H3785*IF(OR(C3785="Alpha",B3785="Alpha"),$C$9,$C$8),""),"")</f>
        <v/>
      </c>
      <c r="L3785" s="139">
        <f>IFERROR(IF(ISNUMBER(F3785),F3785-IF(ISNUMBER(K3785),K3785,0),""),"")</f>
        <v/>
      </c>
    </row>
    <row r="3786" ht="24" customHeight="1" s="63">
      <c r="E3786" s="139" t="n"/>
      <c r="F3786" s="139" t="n"/>
      <c r="G3786" s="140">
        <f>IFERROR(IF(E3786&gt;0,(F3786/E3786)*1000,""),"")</f>
        <v/>
      </c>
      <c r="H3786" s="139">
        <f>IFERROR(IF(E3786&gt;0,E3786*IF(ISNUMBER(J3786),J3786,IF(OR(C3786="Alpha",B3786="Alpha"),$C$7,IF(C3786="Futures",$C$6,$C$5))),""),"")</f>
        <v/>
      </c>
      <c r="I3786" s="139">
        <f>IFERROR(IF(AND(ISNUMBER(F3786),ISNUMBER(H3786)),F3786-H3786,""),"")</f>
        <v/>
      </c>
      <c r="J3786" s="114" t="n"/>
      <c r="K3786" s="139">
        <f>IFERROR(IF(H3786&gt;0,H3786*IF(OR(C3786="Alpha",B3786="Alpha"),$C$9,$C$8),""),"")</f>
        <v/>
      </c>
      <c r="L3786" s="139">
        <f>IFERROR(IF(ISNUMBER(F3786),F3786-IF(ISNUMBER(K3786),K3786,0),""),"")</f>
        <v/>
      </c>
    </row>
    <row r="3787" ht="24" customHeight="1" s="63">
      <c r="E3787" s="139" t="n"/>
      <c r="F3787" s="139" t="n"/>
      <c r="G3787" s="140">
        <f>IFERROR(IF(E3787&gt;0,(F3787/E3787)*1000,""),"")</f>
        <v/>
      </c>
      <c r="H3787" s="139">
        <f>IFERROR(IF(E3787&gt;0,E3787*IF(ISNUMBER(J3787),J3787,IF(OR(C3787="Alpha",B3787="Alpha"),$C$7,IF(C3787="Futures",$C$6,$C$5))),""),"")</f>
        <v/>
      </c>
      <c r="I3787" s="139">
        <f>IFERROR(IF(AND(ISNUMBER(F3787),ISNUMBER(H3787)),F3787-H3787,""),"")</f>
        <v/>
      </c>
      <c r="J3787" s="114" t="n"/>
      <c r="K3787" s="139">
        <f>IFERROR(IF(H3787&gt;0,H3787*IF(OR(C3787="Alpha",B3787="Alpha"),$C$9,$C$8),""),"")</f>
        <v/>
      </c>
      <c r="L3787" s="139">
        <f>IFERROR(IF(ISNUMBER(F3787),F3787-IF(ISNUMBER(K3787),K3787,0),""),"")</f>
        <v/>
      </c>
    </row>
    <row r="3788" ht="24" customHeight="1" s="63">
      <c r="E3788" s="139" t="n"/>
      <c r="F3788" s="139" t="n"/>
      <c r="G3788" s="140">
        <f>IFERROR(IF(E3788&gt;0,(F3788/E3788)*1000,""),"")</f>
        <v/>
      </c>
      <c r="H3788" s="139">
        <f>IFERROR(IF(E3788&gt;0,E3788*IF(ISNUMBER(J3788),J3788,IF(OR(C3788="Alpha",B3788="Alpha"),$C$7,IF(C3788="Futures",$C$6,$C$5))),""),"")</f>
        <v/>
      </c>
      <c r="I3788" s="139">
        <f>IFERROR(IF(AND(ISNUMBER(F3788),ISNUMBER(H3788)),F3788-H3788,""),"")</f>
        <v/>
      </c>
      <c r="J3788" s="114" t="n"/>
      <c r="K3788" s="139">
        <f>IFERROR(IF(H3788&gt;0,H3788*IF(OR(C3788="Alpha",B3788="Alpha"),$C$9,$C$8),""),"")</f>
        <v/>
      </c>
      <c r="L3788" s="139">
        <f>IFERROR(IF(ISNUMBER(F3788),F3788-IF(ISNUMBER(K3788),K3788,0),""),"")</f>
        <v/>
      </c>
    </row>
    <row r="3789" ht="24" customHeight="1" s="63">
      <c r="E3789" s="139" t="n"/>
      <c r="F3789" s="139" t="n"/>
      <c r="G3789" s="140">
        <f>IFERROR(IF(E3789&gt;0,(F3789/E3789)*1000,""),"")</f>
        <v/>
      </c>
      <c r="H3789" s="139">
        <f>IFERROR(IF(E3789&gt;0,E3789*IF(ISNUMBER(J3789),J3789,IF(OR(C3789="Alpha",B3789="Alpha"),$C$7,IF(C3789="Futures",$C$6,$C$5))),""),"")</f>
        <v/>
      </c>
      <c r="I3789" s="139">
        <f>IFERROR(IF(AND(ISNUMBER(F3789),ISNUMBER(H3789)),F3789-H3789,""),"")</f>
        <v/>
      </c>
      <c r="J3789" s="114" t="n"/>
      <c r="K3789" s="139">
        <f>IFERROR(IF(H3789&gt;0,H3789*IF(OR(C3789="Alpha",B3789="Alpha"),$C$9,$C$8),""),"")</f>
        <v/>
      </c>
      <c r="L3789" s="139">
        <f>IFERROR(IF(ISNUMBER(F3789),F3789-IF(ISNUMBER(K3789),K3789,0),""),"")</f>
        <v/>
      </c>
    </row>
    <row r="3790" ht="24" customHeight="1" s="63">
      <c r="E3790" s="139" t="n"/>
      <c r="F3790" s="139" t="n"/>
      <c r="G3790" s="140">
        <f>IFERROR(IF(E3790&gt;0,(F3790/E3790)*1000,""),"")</f>
        <v/>
      </c>
      <c r="H3790" s="139">
        <f>IFERROR(IF(E3790&gt;0,E3790*IF(ISNUMBER(J3790),J3790,IF(OR(C3790="Alpha",B3790="Alpha"),$C$7,IF(C3790="Futures",$C$6,$C$5))),""),"")</f>
        <v/>
      </c>
      <c r="I3790" s="139">
        <f>IFERROR(IF(AND(ISNUMBER(F3790),ISNUMBER(H3790)),F3790-H3790,""),"")</f>
        <v/>
      </c>
      <c r="J3790" s="114" t="n"/>
      <c r="K3790" s="139">
        <f>IFERROR(IF(H3790&gt;0,H3790*IF(OR(C3790="Alpha",B3790="Alpha"),$C$9,$C$8),""),"")</f>
        <v/>
      </c>
      <c r="L3790" s="139">
        <f>IFERROR(IF(ISNUMBER(F3790),F3790-IF(ISNUMBER(K3790),K3790,0),""),"")</f>
        <v/>
      </c>
    </row>
    <row r="3791" ht="24" customHeight="1" s="63">
      <c r="E3791" s="139" t="n"/>
      <c r="F3791" s="139" t="n"/>
      <c r="G3791" s="140">
        <f>IFERROR(IF(E3791&gt;0,(F3791/E3791)*1000,""),"")</f>
        <v/>
      </c>
      <c r="H3791" s="139">
        <f>IFERROR(IF(E3791&gt;0,E3791*IF(ISNUMBER(J3791),J3791,IF(OR(C3791="Alpha",B3791="Alpha"),$C$7,IF(C3791="Futures",$C$6,$C$5))),""),"")</f>
        <v/>
      </c>
      <c r="I3791" s="139">
        <f>IFERROR(IF(AND(ISNUMBER(F3791),ISNUMBER(H3791)),F3791-H3791,""),"")</f>
        <v/>
      </c>
      <c r="J3791" s="114" t="n"/>
      <c r="K3791" s="139">
        <f>IFERROR(IF(H3791&gt;0,H3791*IF(OR(C3791="Alpha",B3791="Alpha"),$C$9,$C$8),""),"")</f>
        <v/>
      </c>
      <c r="L3791" s="139">
        <f>IFERROR(IF(ISNUMBER(F3791),F3791-IF(ISNUMBER(K3791),K3791,0),""),"")</f>
        <v/>
      </c>
    </row>
    <row r="3792" ht="24" customHeight="1" s="63">
      <c r="E3792" s="139" t="n"/>
      <c r="F3792" s="139" t="n"/>
      <c r="G3792" s="140">
        <f>IFERROR(IF(E3792&gt;0,(F3792/E3792)*1000,""),"")</f>
        <v/>
      </c>
      <c r="H3792" s="139">
        <f>IFERROR(IF(E3792&gt;0,E3792*IF(ISNUMBER(J3792),J3792,IF(OR(C3792="Alpha",B3792="Alpha"),$C$7,IF(C3792="Futures",$C$6,$C$5))),""),"")</f>
        <v/>
      </c>
      <c r="I3792" s="139">
        <f>IFERROR(IF(AND(ISNUMBER(F3792),ISNUMBER(H3792)),F3792-H3792,""),"")</f>
        <v/>
      </c>
      <c r="J3792" s="114" t="n"/>
      <c r="K3792" s="139">
        <f>IFERROR(IF(H3792&gt;0,H3792*IF(OR(C3792="Alpha",B3792="Alpha"),$C$9,$C$8),""),"")</f>
        <v/>
      </c>
      <c r="L3792" s="139">
        <f>IFERROR(IF(ISNUMBER(F3792),F3792-IF(ISNUMBER(K3792),K3792,0),""),"")</f>
        <v/>
      </c>
    </row>
    <row r="3793" ht="24" customHeight="1" s="63">
      <c r="E3793" s="139" t="n"/>
      <c r="F3793" s="139" t="n"/>
      <c r="G3793" s="140">
        <f>IFERROR(IF(E3793&gt;0,(F3793/E3793)*1000,""),"")</f>
        <v/>
      </c>
      <c r="H3793" s="139">
        <f>IFERROR(IF(E3793&gt;0,E3793*IF(ISNUMBER(J3793),J3793,IF(OR(C3793="Alpha",B3793="Alpha"),$C$7,IF(C3793="Futures",$C$6,$C$5))),""),"")</f>
        <v/>
      </c>
      <c r="I3793" s="139">
        <f>IFERROR(IF(AND(ISNUMBER(F3793),ISNUMBER(H3793)),F3793-H3793,""),"")</f>
        <v/>
      </c>
      <c r="J3793" s="114" t="n"/>
      <c r="K3793" s="139">
        <f>IFERROR(IF(H3793&gt;0,H3793*IF(OR(C3793="Alpha",B3793="Alpha"),$C$9,$C$8),""),"")</f>
        <v/>
      </c>
      <c r="L3793" s="139">
        <f>IFERROR(IF(ISNUMBER(F3793),F3793-IF(ISNUMBER(K3793),K3793,0),""),"")</f>
        <v/>
      </c>
    </row>
    <row r="3794" ht="24" customHeight="1" s="63">
      <c r="E3794" s="139" t="n"/>
      <c r="F3794" s="139" t="n"/>
      <c r="G3794" s="140">
        <f>IFERROR(IF(E3794&gt;0,(F3794/E3794)*1000,""),"")</f>
        <v/>
      </c>
      <c r="H3794" s="139">
        <f>IFERROR(IF(E3794&gt;0,E3794*IF(ISNUMBER(J3794),J3794,IF(OR(C3794="Alpha",B3794="Alpha"),$C$7,IF(C3794="Futures",$C$6,$C$5))),""),"")</f>
        <v/>
      </c>
      <c r="I3794" s="139">
        <f>IFERROR(IF(AND(ISNUMBER(F3794),ISNUMBER(H3794)),F3794-H3794,""),"")</f>
        <v/>
      </c>
      <c r="J3794" s="114" t="n"/>
      <c r="K3794" s="139">
        <f>IFERROR(IF(H3794&gt;0,H3794*IF(OR(C3794="Alpha",B3794="Alpha"),$C$9,$C$8),""),"")</f>
        <v/>
      </c>
      <c r="L3794" s="139">
        <f>IFERROR(IF(ISNUMBER(F3794),F3794-IF(ISNUMBER(K3794),K3794,0),""),"")</f>
        <v/>
      </c>
    </row>
    <row r="3795" ht="24" customHeight="1" s="63">
      <c r="E3795" s="139" t="n"/>
      <c r="F3795" s="139" t="n"/>
      <c r="G3795" s="140">
        <f>IFERROR(IF(E3795&gt;0,(F3795/E3795)*1000,""),"")</f>
        <v/>
      </c>
      <c r="H3795" s="139">
        <f>IFERROR(IF(E3795&gt;0,E3795*IF(ISNUMBER(J3795),J3795,IF(OR(C3795="Alpha",B3795="Alpha"),$C$7,IF(C3795="Futures",$C$6,$C$5))),""),"")</f>
        <v/>
      </c>
      <c r="I3795" s="139">
        <f>IFERROR(IF(AND(ISNUMBER(F3795),ISNUMBER(H3795)),F3795-H3795,""),"")</f>
        <v/>
      </c>
      <c r="J3795" s="114" t="n"/>
      <c r="K3795" s="139">
        <f>IFERROR(IF(H3795&gt;0,H3795*IF(OR(C3795="Alpha",B3795="Alpha"),$C$9,$C$8),""),"")</f>
        <v/>
      </c>
      <c r="L3795" s="139">
        <f>IFERROR(IF(ISNUMBER(F3795),F3795-IF(ISNUMBER(K3795),K3795,0),""),"")</f>
        <v/>
      </c>
    </row>
    <row r="3796" ht="24" customHeight="1" s="63">
      <c r="E3796" s="139" t="n"/>
      <c r="F3796" s="139" t="n"/>
      <c r="G3796" s="140">
        <f>IFERROR(IF(E3796&gt;0,(F3796/E3796)*1000,""),"")</f>
        <v/>
      </c>
      <c r="H3796" s="139">
        <f>IFERROR(IF(E3796&gt;0,E3796*IF(ISNUMBER(J3796),J3796,IF(OR(C3796="Alpha",B3796="Alpha"),$C$7,IF(C3796="Futures",$C$6,$C$5))),""),"")</f>
        <v/>
      </c>
      <c r="I3796" s="139">
        <f>IFERROR(IF(AND(ISNUMBER(F3796),ISNUMBER(H3796)),F3796-H3796,""),"")</f>
        <v/>
      </c>
      <c r="J3796" s="114" t="n"/>
      <c r="K3796" s="139">
        <f>IFERROR(IF(H3796&gt;0,H3796*IF(OR(C3796="Alpha",B3796="Alpha"),$C$9,$C$8),""),"")</f>
        <v/>
      </c>
      <c r="L3796" s="139">
        <f>IFERROR(IF(ISNUMBER(F3796),F3796-IF(ISNUMBER(K3796),K3796,0),""),"")</f>
        <v/>
      </c>
    </row>
    <row r="3797" ht="24" customHeight="1" s="63">
      <c r="E3797" s="139" t="n"/>
      <c r="F3797" s="139" t="n"/>
      <c r="G3797" s="140">
        <f>IFERROR(IF(E3797&gt;0,(F3797/E3797)*1000,""),"")</f>
        <v/>
      </c>
      <c r="H3797" s="139">
        <f>IFERROR(IF(E3797&gt;0,E3797*IF(ISNUMBER(J3797),J3797,IF(OR(C3797="Alpha",B3797="Alpha"),$C$7,IF(C3797="Futures",$C$6,$C$5))),""),"")</f>
        <v/>
      </c>
      <c r="I3797" s="139">
        <f>IFERROR(IF(AND(ISNUMBER(F3797),ISNUMBER(H3797)),F3797-H3797,""),"")</f>
        <v/>
      </c>
      <c r="J3797" s="114" t="n"/>
      <c r="K3797" s="139">
        <f>IFERROR(IF(H3797&gt;0,H3797*IF(OR(C3797="Alpha",B3797="Alpha"),$C$9,$C$8),""),"")</f>
        <v/>
      </c>
      <c r="L3797" s="139">
        <f>IFERROR(IF(ISNUMBER(F3797),F3797-IF(ISNUMBER(K3797),K3797,0),""),"")</f>
        <v/>
      </c>
    </row>
    <row r="3798" ht="24" customHeight="1" s="63">
      <c r="E3798" s="139" t="n"/>
      <c r="F3798" s="139" t="n"/>
      <c r="G3798" s="140">
        <f>IFERROR(IF(E3798&gt;0,(F3798/E3798)*1000,""),"")</f>
        <v/>
      </c>
      <c r="H3798" s="139">
        <f>IFERROR(IF(E3798&gt;0,E3798*IF(ISNUMBER(J3798),J3798,IF(OR(C3798="Alpha",B3798="Alpha"),$C$7,IF(C3798="Futures",$C$6,$C$5))),""),"")</f>
        <v/>
      </c>
      <c r="I3798" s="139">
        <f>IFERROR(IF(AND(ISNUMBER(F3798),ISNUMBER(H3798)),F3798-H3798,""),"")</f>
        <v/>
      </c>
      <c r="J3798" s="114" t="n"/>
      <c r="K3798" s="139">
        <f>IFERROR(IF(H3798&gt;0,H3798*IF(OR(C3798="Alpha",B3798="Alpha"),$C$9,$C$8),""),"")</f>
        <v/>
      </c>
      <c r="L3798" s="139">
        <f>IFERROR(IF(ISNUMBER(F3798),F3798-IF(ISNUMBER(K3798),K3798,0),""),"")</f>
        <v/>
      </c>
    </row>
    <row r="3799" ht="24" customHeight="1" s="63">
      <c r="E3799" s="139" t="n"/>
      <c r="F3799" s="139" t="n"/>
      <c r="G3799" s="140">
        <f>IFERROR(IF(E3799&gt;0,(F3799/E3799)*1000,""),"")</f>
        <v/>
      </c>
      <c r="H3799" s="139">
        <f>IFERROR(IF(E3799&gt;0,E3799*IF(ISNUMBER(J3799),J3799,IF(OR(C3799="Alpha",B3799="Alpha"),$C$7,IF(C3799="Futures",$C$6,$C$5))),""),"")</f>
        <v/>
      </c>
      <c r="I3799" s="139">
        <f>IFERROR(IF(AND(ISNUMBER(F3799),ISNUMBER(H3799)),F3799-H3799,""),"")</f>
        <v/>
      </c>
      <c r="J3799" s="114" t="n"/>
      <c r="K3799" s="139">
        <f>IFERROR(IF(H3799&gt;0,H3799*IF(OR(C3799="Alpha",B3799="Alpha"),$C$9,$C$8),""),"")</f>
        <v/>
      </c>
      <c r="L3799" s="139">
        <f>IFERROR(IF(ISNUMBER(F3799),F3799-IF(ISNUMBER(K3799),K3799,0),""),"")</f>
        <v/>
      </c>
    </row>
    <row r="3800" ht="24" customHeight="1" s="63">
      <c r="E3800" s="139" t="n"/>
      <c r="F3800" s="139" t="n"/>
      <c r="G3800" s="140">
        <f>IFERROR(IF(E3800&gt;0,(F3800/E3800)*1000,""),"")</f>
        <v/>
      </c>
      <c r="H3800" s="139">
        <f>IFERROR(IF(E3800&gt;0,E3800*IF(ISNUMBER(J3800),J3800,IF(OR(C3800="Alpha",B3800="Alpha"),$C$7,IF(C3800="Futures",$C$6,$C$5))),""),"")</f>
        <v/>
      </c>
      <c r="I3800" s="139">
        <f>IFERROR(IF(AND(ISNUMBER(F3800),ISNUMBER(H3800)),F3800-H3800,""),"")</f>
        <v/>
      </c>
      <c r="J3800" s="114" t="n"/>
      <c r="K3800" s="139">
        <f>IFERROR(IF(H3800&gt;0,H3800*IF(OR(C3800="Alpha",B3800="Alpha"),$C$9,$C$8),""),"")</f>
        <v/>
      </c>
      <c r="L3800" s="139">
        <f>IFERROR(IF(ISNUMBER(F3800),F3800-IF(ISNUMBER(K3800),K3800,0),""),"")</f>
        <v/>
      </c>
    </row>
    <row r="3801" ht="24" customHeight="1" s="63">
      <c r="E3801" s="139" t="n"/>
      <c r="F3801" s="139" t="n"/>
      <c r="G3801" s="140">
        <f>IFERROR(IF(E3801&gt;0,(F3801/E3801)*1000,""),"")</f>
        <v/>
      </c>
      <c r="H3801" s="139">
        <f>IFERROR(IF(E3801&gt;0,E3801*IF(ISNUMBER(J3801),J3801,IF(OR(C3801="Alpha",B3801="Alpha"),$C$7,IF(C3801="Futures",$C$6,$C$5))),""),"")</f>
        <v/>
      </c>
      <c r="I3801" s="139">
        <f>IFERROR(IF(AND(ISNUMBER(F3801),ISNUMBER(H3801)),F3801-H3801,""),"")</f>
        <v/>
      </c>
      <c r="J3801" s="114" t="n"/>
      <c r="K3801" s="139">
        <f>IFERROR(IF(H3801&gt;0,H3801*IF(OR(C3801="Alpha",B3801="Alpha"),$C$9,$C$8),""),"")</f>
        <v/>
      </c>
      <c r="L3801" s="139">
        <f>IFERROR(IF(ISNUMBER(F3801),F3801-IF(ISNUMBER(K3801),K3801,0),""),"")</f>
        <v/>
      </c>
    </row>
    <row r="3802" ht="24" customHeight="1" s="63">
      <c r="E3802" s="139" t="n"/>
      <c r="F3802" s="139" t="n"/>
      <c r="G3802" s="140">
        <f>IFERROR(IF(E3802&gt;0,(F3802/E3802)*1000,""),"")</f>
        <v/>
      </c>
      <c r="H3802" s="139">
        <f>IFERROR(IF(E3802&gt;0,E3802*IF(ISNUMBER(J3802),J3802,IF(OR(C3802="Alpha",B3802="Alpha"),$C$7,IF(C3802="Futures",$C$6,$C$5))),""),"")</f>
        <v/>
      </c>
      <c r="I3802" s="139">
        <f>IFERROR(IF(AND(ISNUMBER(F3802),ISNUMBER(H3802)),F3802-H3802,""),"")</f>
        <v/>
      </c>
      <c r="J3802" s="114" t="n"/>
      <c r="K3802" s="139">
        <f>IFERROR(IF(H3802&gt;0,H3802*IF(OR(C3802="Alpha",B3802="Alpha"),$C$9,$C$8),""),"")</f>
        <v/>
      </c>
      <c r="L3802" s="139">
        <f>IFERROR(IF(ISNUMBER(F3802),F3802-IF(ISNUMBER(K3802),K3802,0),""),"")</f>
        <v/>
      </c>
    </row>
    <row r="3803" ht="24" customHeight="1" s="63">
      <c r="E3803" s="139" t="n"/>
      <c r="F3803" s="139" t="n"/>
      <c r="G3803" s="140">
        <f>IFERROR(IF(E3803&gt;0,(F3803/E3803)*1000,""),"")</f>
        <v/>
      </c>
      <c r="H3803" s="139">
        <f>IFERROR(IF(E3803&gt;0,E3803*IF(ISNUMBER(J3803),J3803,IF(OR(C3803="Alpha",B3803="Alpha"),$C$7,IF(C3803="Futures",$C$6,$C$5))),""),"")</f>
        <v/>
      </c>
      <c r="I3803" s="139">
        <f>IFERROR(IF(AND(ISNUMBER(F3803),ISNUMBER(H3803)),F3803-H3803,""),"")</f>
        <v/>
      </c>
      <c r="J3803" s="114" t="n"/>
      <c r="K3803" s="139">
        <f>IFERROR(IF(H3803&gt;0,H3803*IF(OR(C3803="Alpha",B3803="Alpha"),$C$9,$C$8),""),"")</f>
        <v/>
      </c>
      <c r="L3803" s="139">
        <f>IFERROR(IF(ISNUMBER(F3803),F3803-IF(ISNUMBER(K3803),K3803,0),""),"")</f>
        <v/>
      </c>
    </row>
    <row r="3804" ht="24" customHeight="1" s="63">
      <c r="E3804" s="139" t="n"/>
      <c r="F3804" s="139" t="n"/>
      <c r="G3804" s="140">
        <f>IFERROR(IF(E3804&gt;0,(F3804/E3804)*1000,""),"")</f>
        <v/>
      </c>
      <c r="H3804" s="139">
        <f>IFERROR(IF(E3804&gt;0,E3804*IF(ISNUMBER(J3804),J3804,IF(OR(C3804="Alpha",B3804="Alpha"),$C$7,IF(C3804="Futures",$C$6,$C$5))),""),"")</f>
        <v/>
      </c>
      <c r="I3804" s="139">
        <f>IFERROR(IF(AND(ISNUMBER(F3804),ISNUMBER(H3804)),F3804-H3804,""),"")</f>
        <v/>
      </c>
      <c r="J3804" s="114" t="n"/>
      <c r="K3804" s="139">
        <f>IFERROR(IF(H3804&gt;0,H3804*IF(OR(C3804="Alpha",B3804="Alpha"),$C$9,$C$8),""),"")</f>
        <v/>
      </c>
      <c r="L3804" s="139">
        <f>IFERROR(IF(ISNUMBER(F3804),F3804-IF(ISNUMBER(K3804),K3804,0),""),"")</f>
        <v/>
      </c>
    </row>
    <row r="3805" ht="24" customHeight="1" s="63">
      <c r="E3805" s="139" t="n"/>
      <c r="F3805" s="139" t="n"/>
      <c r="G3805" s="140">
        <f>IFERROR(IF(E3805&gt;0,(F3805/E3805)*1000,""),"")</f>
        <v/>
      </c>
      <c r="H3805" s="139">
        <f>IFERROR(IF(E3805&gt;0,E3805*IF(ISNUMBER(J3805),J3805,IF(OR(C3805="Alpha",B3805="Alpha"),$C$7,IF(C3805="Futures",$C$6,$C$5))),""),"")</f>
        <v/>
      </c>
      <c r="I3805" s="139">
        <f>IFERROR(IF(AND(ISNUMBER(F3805),ISNUMBER(H3805)),F3805-H3805,""),"")</f>
        <v/>
      </c>
      <c r="J3805" s="114" t="n"/>
      <c r="K3805" s="139">
        <f>IFERROR(IF(H3805&gt;0,H3805*IF(OR(C3805="Alpha",B3805="Alpha"),$C$9,$C$8),""),"")</f>
        <v/>
      </c>
      <c r="L3805" s="139">
        <f>IFERROR(IF(ISNUMBER(F3805),F3805-IF(ISNUMBER(K3805),K3805,0),""),"")</f>
        <v/>
      </c>
    </row>
    <row r="3806" ht="24" customHeight="1" s="63">
      <c r="E3806" s="139" t="n"/>
      <c r="F3806" s="139" t="n"/>
      <c r="G3806" s="140">
        <f>IFERROR(IF(E3806&gt;0,(F3806/E3806)*1000,""),"")</f>
        <v/>
      </c>
      <c r="H3806" s="139">
        <f>IFERROR(IF(E3806&gt;0,E3806*IF(ISNUMBER(J3806),J3806,IF(OR(C3806="Alpha",B3806="Alpha"),$C$7,IF(C3806="Futures",$C$6,$C$5))),""),"")</f>
        <v/>
      </c>
      <c r="I3806" s="139">
        <f>IFERROR(IF(AND(ISNUMBER(F3806),ISNUMBER(H3806)),F3806-H3806,""),"")</f>
        <v/>
      </c>
      <c r="J3806" s="114" t="n"/>
      <c r="K3806" s="139">
        <f>IFERROR(IF(H3806&gt;0,H3806*IF(OR(C3806="Alpha",B3806="Alpha"),$C$9,$C$8),""),"")</f>
        <v/>
      </c>
      <c r="L3806" s="139">
        <f>IFERROR(IF(ISNUMBER(F3806),F3806-IF(ISNUMBER(K3806),K3806,0),""),"")</f>
        <v/>
      </c>
    </row>
    <row r="3807" ht="24" customHeight="1" s="63">
      <c r="E3807" s="139" t="n"/>
      <c r="F3807" s="139" t="n"/>
      <c r="G3807" s="140">
        <f>IFERROR(IF(E3807&gt;0,(F3807/E3807)*1000,""),"")</f>
        <v/>
      </c>
      <c r="H3807" s="139">
        <f>IFERROR(IF(E3807&gt;0,E3807*IF(ISNUMBER(J3807),J3807,IF(OR(C3807="Alpha",B3807="Alpha"),$C$7,IF(C3807="Futures",$C$6,$C$5))),""),"")</f>
        <v/>
      </c>
      <c r="I3807" s="139">
        <f>IFERROR(IF(AND(ISNUMBER(F3807),ISNUMBER(H3807)),F3807-H3807,""),"")</f>
        <v/>
      </c>
      <c r="J3807" s="114" t="n"/>
      <c r="K3807" s="139">
        <f>IFERROR(IF(H3807&gt;0,H3807*IF(OR(C3807="Alpha",B3807="Alpha"),$C$9,$C$8),""),"")</f>
        <v/>
      </c>
      <c r="L3807" s="139">
        <f>IFERROR(IF(ISNUMBER(F3807),F3807-IF(ISNUMBER(K3807),K3807,0),""),"")</f>
        <v/>
      </c>
    </row>
    <row r="3808" ht="24" customHeight="1" s="63">
      <c r="E3808" s="139" t="n"/>
      <c r="F3808" s="139" t="n"/>
      <c r="G3808" s="140">
        <f>IFERROR(IF(E3808&gt;0,(F3808/E3808)*1000,""),"")</f>
        <v/>
      </c>
      <c r="H3808" s="139">
        <f>IFERROR(IF(E3808&gt;0,E3808*IF(ISNUMBER(J3808),J3808,IF(OR(C3808="Alpha",B3808="Alpha"),$C$7,IF(C3808="Futures",$C$6,$C$5))),""),"")</f>
        <v/>
      </c>
      <c r="I3808" s="139">
        <f>IFERROR(IF(AND(ISNUMBER(F3808),ISNUMBER(H3808)),F3808-H3808,""),"")</f>
        <v/>
      </c>
      <c r="J3808" s="114" t="n"/>
      <c r="K3808" s="139">
        <f>IFERROR(IF(H3808&gt;0,H3808*IF(OR(C3808="Alpha",B3808="Alpha"),$C$9,$C$8),""),"")</f>
        <v/>
      </c>
      <c r="L3808" s="139">
        <f>IFERROR(IF(ISNUMBER(F3808),F3808-IF(ISNUMBER(K3808),K3808,0),""),"")</f>
        <v/>
      </c>
    </row>
    <row r="3809" ht="24" customHeight="1" s="63">
      <c r="E3809" s="139" t="n"/>
      <c r="F3809" s="139" t="n"/>
      <c r="G3809" s="140">
        <f>IFERROR(IF(E3809&gt;0,(F3809/E3809)*1000,""),"")</f>
        <v/>
      </c>
      <c r="H3809" s="139">
        <f>IFERROR(IF(E3809&gt;0,E3809*IF(ISNUMBER(J3809),J3809,IF(OR(C3809="Alpha",B3809="Alpha"),$C$7,IF(C3809="Futures",$C$6,$C$5))),""),"")</f>
        <v/>
      </c>
      <c r="I3809" s="139">
        <f>IFERROR(IF(AND(ISNUMBER(F3809),ISNUMBER(H3809)),F3809-H3809,""),"")</f>
        <v/>
      </c>
      <c r="J3809" s="114" t="n"/>
      <c r="K3809" s="139">
        <f>IFERROR(IF(H3809&gt;0,H3809*IF(OR(C3809="Alpha",B3809="Alpha"),$C$9,$C$8),""),"")</f>
        <v/>
      </c>
      <c r="L3809" s="139">
        <f>IFERROR(IF(ISNUMBER(F3809),F3809-IF(ISNUMBER(K3809),K3809,0),""),"")</f>
        <v/>
      </c>
    </row>
    <row r="3810" ht="24" customHeight="1" s="63">
      <c r="E3810" s="139" t="n"/>
      <c r="F3810" s="139" t="n"/>
      <c r="G3810" s="140">
        <f>IFERROR(IF(E3810&gt;0,(F3810/E3810)*1000,""),"")</f>
        <v/>
      </c>
      <c r="H3810" s="139">
        <f>IFERROR(IF(E3810&gt;0,E3810*IF(ISNUMBER(J3810),J3810,IF(OR(C3810="Alpha",B3810="Alpha"),$C$7,IF(C3810="Futures",$C$6,$C$5))),""),"")</f>
        <v/>
      </c>
      <c r="I3810" s="139">
        <f>IFERROR(IF(AND(ISNUMBER(F3810),ISNUMBER(H3810)),F3810-H3810,""),"")</f>
        <v/>
      </c>
      <c r="J3810" s="114" t="n"/>
      <c r="K3810" s="139">
        <f>IFERROR(IF(H3810&gt;0,H3810*IF(OR(C3810="Alpha",B3810="Alpha"),$C$9,$C$8),""),"")</f>
        <v/>
      </c>
      <c r="L3810" s="139">
        <f>IFERROR(IF(ISNUMBER(F3810),F3810-IF(ISNUMBER(K3810),K3810,0),""),"")</f>
        <v/>
      </c>
    </row>
    <row r="3811" ht="24" customHeight="1" s="63">
      <c r="E3811" s="139" t="n"/>
      <c r="F3811" s="139" t="n"/>
      <c r="G3811" s="140">
        <f>IFERROR(IF(E3811&gt;0,(F3811/E3811)*1000,""),"")</f>
        <v/>
      </c>
      <c r="H3811" s="139">
        <f>IFERROR(IF(E3811&gt;0,E3811*IF(ISNUMBER(J3811),J3811,IF(OR(C3811="Alpha",B3811="Alpha"),$C$7,IF(C3811="Futures",$C$6,$C$5))),""),"")</f>
        <v/>
      </c>
      <c r="I3811" s="139">
        <f>IFERROR(IF(AND(ISNUMBER(F3811),ISNUMBER(H3811)),F3811-H3811,""),"")</f>
        <v/>
      </c>
      <c r="J3811" s="114" t="n"/>
      <c r="K3811" s="139">
        <f>IFERROR(IF(H3811&gt;0,H3811*IF(OR(C3811="Alpha",B3811="Alpha"),$C$9,$C$8),""),"")</f>
        <v/>
      </c>
      <c r="L3811" s="139">
        <f>IFERROR(IF(ISNUMBER(F3811),F3811-IF(ISNUMBER(K3811),K3811,0),""),"")</f>
        <v/>
      </c>
    </row>
    <row r="3812" ht="24" customHeight="1" s="63">
      <c r="E3812" s="139" t="n"/>
      <c r="F3812" s="139" t="n"/>
      <c r="G3812" s="140">
        <f>IFERROR(IF(E3812&gt;0,(F3812/E3812)*1000,""),"")</f>
        <v/>
      </c>
      <c r="H3812" s="139">
        <f>IFERROR(IF(E3812&gt;0,E3812*IF(ISNUMBER(J3812),J3812,IF(OR(C3812="Alpha",B3812="Alpha"),$C$7,IF(C3812="Futures",$C$6,$C$5))),""),"")</f>
        <v/>
      </c>
      <c r="I3812" s="139">
        <f>IFERROR(IF(AND(ISNUMBER(F3812),ISNUMBER(H3812)),F3812-H3812,""),"")</f>
        <v/>
      </c>
      <c r="J3812" s="114" t="n"/>
      <c r="K3812" s="139">
        <f>IFERROR(IF(H3812&gt;0,H3812*IF(OR(C3812="Alpha",B3812="Alpha"),$C$9,$C$8),""),"")</f>
        <v/>
      </c>
      <c r="L3812" s="139">
        <f>IFERROR(IF(ISNUMBER(F3812),F3812-IF(ISNUMBER(K3812),K3812,0),""),"")</f>
        <v/>
      </c>
    </row>
    <row r="3813" ht="24" customHeight="1" s="63">
      <c r="E3813" s="139" t="n"/>
      <c r="F3813" s="139" t="n"/>
      <c r="G3813" s="140">
        <f>IFERROR(IF(E3813&gt;0,(F3813/E3813)*1000,""),"")</f>
        <v/>
      </c>
      <c r="H3813" s="139">
        <f>IFERROR(IF(E3813&gt;0,E3813*IF(ISNUMBER(J3813),J3813,IF(OR(C3813="Alpha",B3813="Alpha"),$C$7,IF(C3813="Futures",$C$6,$C$5))),""),"")</f>
        <v/>
      </c>
      <c r="I3813" s="139">
        <f>IFERROR(IF(AND(ISNUMBER(F3813),ISNUMBER(H3813)),F3813-H3813,""),"")</f>
        <v/>
      </c>
      <c r="J3813" s="114" t="n"/>
      <c r="K3813" s="139">
        <f>IFERROR(IF(H3813&gt;0,H3813*IF(OR(C3813="Alpha",B3813="Alpha"),$C$9,$C$8),""),"")</f>
        <v/>
      </c>
      <c r="L3813" s="139">
        <f>IFERROR(IF(ISNUMBER(F3813),F3813-IF(ISNUMBER(K3813),K3813,0),""),"")</f>
        <v/>
      </c>
    </row>
    <row r="3814" ht="24" customHeight="1" s="63">
      <c r="E3814" s="139" t="n"/>
      <c r="F3814" s="139" t="n"/>
      <c r="G3814" s="140">
        <f>IFERROR(IF(E3814&gt;0,(F3814/E3814)*1000,""),"")</f>
        <v/>
      </c>
      <c r="H3814" s="139">
        <f>IFERROR(IF(E3814&gt;0,E3814*IF(ISNUMBER(J3814),J3814,IF(OR(C3814="Alpha",B3814="Alpha"),$C$7,IF(C3814="Futures",$C$6,$C$5))),""),"")</f>
        <v/>
      </c>
      <c r="I3814" s="139">
        <f>IFERROR(IF(AND(ISNUMBER(F3814),ISNUMBER(H3814)),F3814-H3814,""),"")</f>
        <v/>
      </c>
      <c r="J3814" s="114" t="n"/>
      <c r="K3814" s="139">
        <f>IFERROR(IF(H3814&gt;0,H3814*IF(OR(C3814="Alpha",B3814="Alpha"),$C$9,$C$8),""),"")</f>
        <v/>
      </c>
      <c r="L3814" s="139">
        <f>IFERROR(IF(ISNUMBER(F3814),F3814-IF(ISNUMBER(K3814),K3814,0),""),"")</f>
        <v/>
      </c>
    </row>
    <row r="3815" ht="24" customHeight="1" s="63">
      <c r="E3815" s="139" t="n"/>
      <c r="F3815" s="139" t="n"/>
      <c r="G3815" s="140">
        <f>IFERROR(IF(E3815&gt;0,(F3815/E3815)*1000,""),"")</f>
        <v/>
      </c>
      <c r="H3815" s="139">
        <f>IFERROR(IF(E3815&gt;0,E3815*IF(ISNUMBER(J3815),J3815,IF(OR(C3815="Alpha",B3815="Alpha"),$C$7,IF(C3815="Futures",$C$6,$C$5))),""),"")</f>
        <v/>
      </c>
      <c r="I3815" s="139">
        <f>IFERROR(IF(AND(ISNUMBER(F3815),ISNUMBER(H3815)),F3815-H3815,""),"")</f>
        <v/>
      </c>
      <c r="J3815" s="114" t="n"/>
      <c r="K3815" s="139">
        <f>IFERROR(IF(H3815&gt;0,H3815*IF(OR(C3815="Alpha",B3815="Alpha"),$C$9,$C$8),""),"")</f>
        <v/>
      </c>
      <c r="L3815" s="139">
        <f>IFERROR(IF(ISNUMBER(F3815),F3815-IF(ISNUMBER(K3815),K3815,0),""),"")</f>
        <v/>
      </c>
    </row>
    <row r="3816" ht="24" customHeight="1" s="63">
      <c r="E3816" s="139" t="n"/>
      <c r="F3816" s="139" t="n"/>
      <c r="G3816" s="140">
        <f>IFERROR(IF(E3816&gt;0,(F3816/E3816)*1000,""),"")</f>
        <v/>
      </c>
      <c r="H3816" s="139">
        <f>IFERROR(IF(E3816&gt;0,E3816*IF(ISNUMBER(J3816),J3816,IF(OR(C3816="Alpha",B3816="Alpha"),$C$7,IF(C3816="Futures",$C$6,$C$5))),""),"")</f>
        <v/>
      </c>
      <c r="I3816" s="139">
        <f>IFERROR(IF(AND(ISNUMBER(F3816),ISNUMBER(H3816)),F3816-H3816,""),"")</f>
        <v/>
      </c>
      <c r="J3816" s="114" t="n"/>
      <c r="K3816" s="139">
        <f>IFERROR(IF(H3816&gt;0,H3816*IF(OR(C3816="Alpha",B3816="Alpha"),$C$9,$C$8),""),"")</f>
        <v/>
      </c>
      <c r="L3816" s="139">
        <f>IFERROR(IF(ISNUMBER(F3816),F3816-IF(ISNUMBER(K3816),K3816,0),""),"")</f>
        <v/>
      </c>
    </row>
    <row r="3817" ht="24" customHeight="1" s="63">
      <c r="E3817" s="139" t="n"/>
      <c r="F3817" s="139" t="n"/>
      <c r="G3817" s="140">
        <f>IFERROR(IF(E3817&gt;0,(F3817/E3817)*1000,""),"")</f>
        <v/>
      </c>
      <c r="H3817" s="139">
        <f>IFERROR(IF(E3817&gt;0,E3817*IF(ISNUMBER(J3817),J3817,IF(OR(C3817="Alpha",B3817="Alpha"),$C$7,IF(C3817="Futures",$C$6,$C$5))),""),"")</f>
        <v/>
      </c>
      <c r="I3817" s="139">
        <f>IFERROR(IF(AND(ISNUMBER(F3817),ISNUMBER(H3817)),F3817-H3817,""),"")</f>
        <v/>
      </c>
      <c r="J3817" s="114" t="n"/>
      <c r="K3817" s="139">
        <f>IFERROR(IF(H3817&gt;0,H3817*IF(OR(C3817="Alpha",B3817="Alpha"),$C$9,$C$8),""),"")</f>
        <v/>
      </c>
      <c r="L3817" s="139">
        <f>IFERROR(IF(ISNUMBER(F3817),F3817-IF(ISNUMBER(K3817),K3817,0),""),"")</f>
        <v/>
      </c>
    </row>
    <row r="3818" ht="24" customHeight="1" s="63">
      <c r="E3818" s="139" t="n"/>
      <c r="F3818" s="139" t="n"/>
      <c r="G3818" s="140">
        <f>IFERROR(IF(E3818&gt;0,(F3818/E3818)*1000,""),"")</f>
        <v/>
      </c>
      <c r="H3818" s="139">
        <f>IFERROR(IF(E3818&gt;0,E3818*IF(ISNUMBER(J3818),J3818,IF(OR(C3818="Alpha",B3818="Alpha"),$C$7,IF(C3818="Futures",$C$6,$C$5))),""),"")</f>
        <v/>
      </c>
      <c r="I3818" s="139">
        <f>IFERROR(IF(AND(ISNUMBER(F3818),ISNUMBER(H3818)),F3818-H3818,""),"")</f>
        <v/>
      </c>
      <c r="J3818" s="114" t="n"/>
      <c r="K3818" s="139">
        <f>IFERROR(IF(H3818&gt;0,H3818*IF(OR(C3818="Alpha",B3818="Alpha"),$C$9,$C$8),""),"")</f>
        <v/>
      </c>
      <c r="L3818" s="139">
        <f>IFERROR(IF(ISNUMBER(F3818),F3818-IF(ISNUMBER(K3818),K3818,0),""),"")</f>
        <v/>
      </c>
    </row>
    <row r="3819" ht="24" customHeight="1" s="63">
      <c r="E3819" s="139" t="n"/>
      <c r="F3819" s="139" t="n"/>
      <c r="G3819" s="140">
        <f>IFERROR(IF(E3819&gt;0,(F3819/E3819)*1000,""),"")</f>
        <v/>
      </c>
      <c r="H3819" s="139">
        <f>IFERROR(IF(E3819&gt;0,E3819*IF(ISNUMBER(J3819),J3819,IF(OR(C3819="Alpha",B3819="Alpha"),$C$7,IF(C3819="Futures",$C$6,$C$5))),""),"")</f>
        <v/>
      </c>
      <c r="I3819" s="139">
        <f>IFERROR(IF(AND(ISNUMBER(F3819),ISNUMBER(H3819)),F3819-H3819,""),"")</f>
        <v/>
      </c>
      <c r="J3819" s="114" t="n"/>
      <c r="K3819" s="139">
        <f>IFERROR(IF(H3819&gt;0,H3819*IF(OR(C3819="Alpha",B3819="Alpha"),$C$9,$C$8),""),"")</f>
        <v/>
      </c>
      <c r="L3819" s="139">
        <f>IFERROR(IF(ISNUMBER(F3819),F3819-IF(ISNUMBER(K3819),K3819,0),""),"")</f>
        <v/>
      </c>
    </row>
    <row r="3820" ht="24" customHeight="1" s="63">
      <c r="E3820" s="139" t="n"/>
      <c r="F3820" s="139" t="n"/>
      <c r="G3820" s="140">
        <f>IFERROR(IF(E3820&gt;0,(F3820/E3820)*1000,""),"")</f>
        <v/>
      </c>
      <c r="H3820" s="139">
        <f>IFERROR(IF(E3820&gt;0,E3820*IF(ISNUMBER(J3820),J3820,IF(OR(C3820="Alpha",B3820="Alpha"),$C$7,IF(C3820="Futures",$C$6,$C$5))),""),"")</f>
        <v/>
      </c>
      <c r="I3820" s="139">
        <f>IFERROR(IF(AND(ISNUMBER(F3820),ISNUMBER(H3820)),F3820-H3820,""),"")</f>
        <v/>
      </c>
      <c r="J3820" s="114" t="n"/>
      <c r="K3820" s="139">
        <f>IFERROR(IF(H3820&gt;0,H3820*IF(OR(C3820="Alpha",B3820="Alpha"),$C$9,$C$8),""),"")</f>
        <v/>
      </c>
      <c r="L3820" s="139">
        <f>IFERROR(IF(ISNUMBER(F3820),F3820-IF(ISNUMBER(K3820),K3820,0),""),"")</f>
        <v/>
      </c>
    </row>
    <row r="3821" ht="24" customHeight="1" s="63">
      <c r="E3821" s="139" t="n"/>
      <c r="F3821" s="139" t="n"/>
      <c r="G3821" s="140">
        <f>IFERROR(IF(E3821&gt;0,(F3821/E3821)*1000,""),"")</f>
        <v/>
      </c>
      <c r="H3821" s="139">
        <f>IFERROR(IF(E3821&gt;0,E3821*IF(ISNUMBER(J3821),J3821,IF(OR(C3821="Alpha",B3821="Alpha"),$C$7,IF(C3821="Futures",$C$6,$C$5))),""),"")</f>
        <v/>
      </c>
      <c r="I3821" s="139">
        <f>IFERROR(IF(AND(ISNUMBER(F3821),ISNUMBER(H3821)),F3821-H3821,""),"")</f>
        <v/>
      </c>
      <c r="J3821" s="114" t="n"/>
      <c r="K3821" s="139">
        <f>IFERROR(IF(H3821&gt;0,H3821*IF(OR(C3821="Alpha",B3821="Alpha"),$C$9,$C$8),""),"")</f>
        <v/>
      </c>
      <c r="L3821" s="139">
        <f>IFERROR(IF(ISNUMBER(F3821),F3821-IF(ISNUMBER(K3821),K3821,0),""),"")</f>
        <v/>
      </c>
    </row>
    <row r="3822" ht="24" customHeight="1" s="63">
      <c r="E3822" s="139" t="n"/>
      <c r="F3822" s="139" t="n"/>
      <c r="G3822" s="140">
        <f>IFERROR(IF(E3822&gt;0,(F3822/E3822)*1000,""),"")</f>
        <v/>
      </c>
      <c r="H3822" s="139">
        <f>IFERROR(IF(E3822&gt;0,E3822*IF(ISNUMBER(J3822),J3822,IF(OR(C3822="Alpha",B3822="Alpha"),$C$7,IF(C3822="Futures",$C$6,$C$5))),""),"")</f>
        <v/>
      </c>
      <c r="I3822" s="139">
        <f>IFERROR(IF(AND(ISNUMBER(F3822),ISNUMBER(H3822)),F3822-H3822,""),"")</f>
        <v/>
      </c>
      <c r="J3822" s="114" t="n"/>
      <c r="K3822" s="139">
        <f>IFERROR(IF(H3822&gt;0,H3822*IF(OR(C3822="Alpha",B3822="Alpha"),$C$9,$C$8),""),"")</f>
        <v/>
      </c>
      <c r="L3822" s="139">
        <f>IFERROR(IF(ISNUMBER(F3822),F3822-IF(ISNUMBER(K3822),K3822,0),""),"")</f>
        <v/>
      </c>
    </row>
    <row r="3823" ht="24" customHeight="1" s="63">
      <c r="E3823" s="139" t="n"/>
      <c r="F3823" s="139" t="n"/>
      <c r="G3823" s="140">
        <f>IFERROR(IF(E3823&gt;0,(F3823/E3823)*1000,""),"")</f>
        <v/>
      </c>
      <c r="H3823" s="139">
        <f>IFERROR(IF(E3823&gt;0,E3823*IF(ISNUMBER(J3823),J3823,IF(OR(C3823="Alpha",B3823="Alpha"),$C$7,IF(C3823="Futures",$C$6,$C$5))),""),"")</f>
        <v/>
      </c>
      <c r="I3823" s="139">
        <f>IFERROR(IF(AND(ISNUMBER(F3823),ISNUMBER(H3823)),F3823-H3823,""),"")</f>
        <v/>
      </c>
      <c r="J3823" s="114" t="n"/>
      <c r="K3823" s="139">
        <f>IFERROR(IF(H3823&gt;0,H3823*IF(OR(C3823="Alpha",B3823="Alpha"),$C$9,$C$8),""),"")</f>
        <v/>
      </c>
      <c r="L3823" s="139">
        <f>IFERROR(IF(ISNUMBER(F3823),F3823-IF(ISNUMBER(K3823),K3823,0),""),"")</f>
        <v/>
      </c>
    </row>
    <row r="3824" ht="24" customHeight="1" s="63">
      <c r="E3824" s="139" t="n"/>
      <c r="F3824" s="139" t="n"/>
      <c r="G3824" s="140">
        <f>IFERROR(IF(E3824&gt;0,(F3824/E3824)*1000,""),"")</f>
        <v/>
      </c>
      <c r="H3824" s="139">
        <f>IFERROR(IF(E3824&gt;0,E3824*IF(ISNUMBER(J3824),J3824,IF(OR(C3824="Alpha",B3824="Alpha"),$C$7,IF(C3824="Futures",$C$6,$C$5))),""),"")</f>
        <v/>
      </c>
      <c r="I3824" s="139">
        <f>IFERROR(IF(AND(ISNUMBER(F3824),ISNUMBER(H3824)),F3824-H3824,""),"")</f>
        <v/>
      </c>
      <c r="J3824" s="114" t="n"/>
      <c r="K3824" s="139">
        <f>IFERROR(IF(H3824&gt;0,H3824*IF(OR(C3824="Alpha",B3824="Alpha"),$C$9,$C$8),""),"")</f>
        <v/>
      </c>
      <c r="L3824" s="139">
        <f>IFERROR(IF(ISNUMBER(F3824),F3824-IF(ISNUMBER(K3824),K3824,0),""),"")</f>
        <v/>
      </c>
    </row>
    <row r="3825" ht="24" customHeight="1" s="63">
      <c r="E3825" s="139" t="n"/>
      <c r="F3825" s="139" t="n"/>
      <c r="G3825" s="140">
        <f>IFERROR(IF(E3825&gt;0,(F3825/E3825)*1000,""),"")</f>
        <v/>
      </c>
      <c r="H3825" s="139">
        <f>IFERROR(IF(E3825&gt;0,E3825*IF(ISNUMBER(J3825),J3825,IF(OR(C3825="Alpha",B3825="Alpha"),$C$7,IF(C3825="Futures",$C$6,$C$5))),""),"")</f>
        <v/>
      </c>
      <c r="I3825" s="139">
        <f>IFERROR(IF(AND(ISNUMBER(F3825),ISNUMBER(H3825)),F3825-H3825,""),"")</f>
        <v/>
      </c>
      <c r="J3825" s="114" t="n"/>
      <c r="K3825" s="139">
        <f>IFERROR(IF(H3825&gt;0,H3825*IF(OR(C3825="Alpha",B3825="Alpha"),$C$9,$C$8),""),"")</f>
        <v/>
      </c>
      <c r="L3825" s="139">
        <f>IFERROR(IF(ISNUMBER(F3825),F3825-IF(ISNUMBER(K3825),K3825,0),""),"")</f>
        <v/>
      </c>
    </row>
    <row r="3826" ht="24" customHeight="1" s="63">
      <c r="E3826" s="139" t="n"/>
      <c r="F3826" s="139" t="n"/>
      <c r="G3826" s="140">
        <f>IFERROR(IF(E3826&gt;0,(F3826/E3826)*1000,""),"")</f>
        <v/>
      </c>
      <c r="H3826" s="139">
        <f>IFERROR(IF(E3826&gt;0,E3826*IF(ISNUMBER(J3826),J3826,IF(OR(C3826="Alpha",B3826="Alpha"),$C$7,IF(C3826="Futures",$C$6,$C$5))),""),"")</f>
        <v/>
      </c>
      <c r="I3826" s="139">
        <f>IFERROR(IF(AND(ISNUMBER(F3826),ISNUMBER(H3826)),F3826-H3826,""),"")</f>
        <v/>
      </c>
      <c r="J3826" s="114" t="n"/>
      <c r="K3826" s="139">
        <f>IFERROR(IF(H3826&gt;0,H3826*IF(OR(C3826="Alpha",B3826="Alpha"),$C$9,$C$8),""),"")</f>
        <v/>
      </c>
      <c r="L3826" s="139">
        <f>IFERROR(IF(ISNUMBER(F3826),F3826-IF(ISNUMBER(K3826),K3826,0),""),"")</f>
        <v/>
      </c>
    </row>
    <row r="3827" ht="24" customHeight="1" s="63">
      <c r="E3827" s="139" t="n"/>
      <c r="F3827" s="139" t="n"/>
      <c r="G3827" s="140">
        <f>IFERROR(IF(E3827&gt;0,(F3827/E3827)*1000,""),"")</f>
        <v/>
      </c>
      <c r="H3827" s="139">
        <f>IFERROR(IF(E3827&gt;0,E3827*IF(ISNUMBER(J3827),J3827,IF(OR(C3827="Alpha",B3827="Alpha"),$C$7,IF(C3827="Futures",$C$6,$C$5))),""),"")</f>
        <v/>
      </c>
      <c r="I3827" s="139">
        <f>IFERROR(IF(AND(ISNUMBER(F3827),ISNUMBER(H3827)),F3827-H3827,""),"")</f>
        <v/>
      </c>
      <c r="J3827" s="114" t="n"/>
      <c r="K3827" s="139">
        <f>IFERROR(IF(H3827&gt;0,H3827*IF(OR(C3827="Alpha",B3827="Alpha"),$C$9,$C$8),""),"")</f>
        <v/>
      </c>
      <c r="L3827" s="139">
        <f>IFERROR(IF(ISNUMBER(F3827),F3827-IF(ISNUMBER(K3827),K3827,0),""),"")</f>
        <v/>
      </c>
    </row>
    <row r="3828" ht="24" customHeight="1" s="63">
      <c r="E3828" s="139" t="n"/>
      <c r="F3828" s="139" t="n"/>
      <c r="G3828" s="140">
        <f>IFERROR(IF(E3828&gt;0,(F3828/E3828)*1000,""),"")</f>
        <v/>
      </c>
      <c r="H3828" s="139">
        <f>IFERROR(IF(E3828&gt;0,E3828*IF(ISNUMBER(J3828),J3828,IF(OR(C3828="Alpha",B3828="Alpha"),$C$7,IF(C3828="Futures",$C$6,$C$5))),""),"")</f>
        <v/>
      </c>
      <c r="I3828" s="139">
        <f>IFERROR(IF(AND(ISNUMBER(F3828),ISNUMBER(H3828)),F3828-H3828,""),"")</f>
        <v/>
      </c>
      <c r="J3828" s="114" t="n"/>
      <c r="K3828" s="139">
        <f>IFERROR(IF(H3828&gt;0,H3828*IF(OR(C3828="Alpha",B3828="Alpha"),$C$9,$C$8),""),"")</f>
        <v/>
      </c>
      <c r="L3828" s="139">
        <f>IFERROR(IF(ISNUMBER(F3828),F3828-IF(ISNUMBER(K3828),K3828,0),""),"")</f>
        <v/>
      </c>
    </row>
    <row r="3829" ht="24" customHeight="1" s="63">
      <c r="E3829" s="139" t="n"/>
      <c r="F3829" s="139" t="n"/>
      <c r="G3829" s="140">
        <f>IFERROR(IF(E3829&gt;0,(F3829/E3829)*1000,""),"")</f>
        <v/>
      </c>
      <c r="H3829" s="139">
        <f>IFERROR(IF(E3829&gt;0,E3829*IF(ISNUMBER(J3829),J3829,IF(OR(C3829="Alpha",B3829="Alpha"),$C$7,IF(C3829="Futures",$C$6,$C$5))),""),"")</f>
        <v/>
      </c>
      <c r="I3829" s="139">
        <f>IFERROR(IF(AND(ISNUMBER(F3829),ISNUMBER(H3829)),F3829-H3829,""),"")</f>
        <v/>
      </c>
      <c r="J3829" s="114" t="n"/>
      <c r="K3829" s="139">
        <f>IFERROR(IF(H3829&gt;0,H3829*IF(OR(C3829="Alpha",B3829="Alpha"),$C$9,$C$8),""),"")</f>
        <v/>
      </c>
      <c r="L3829" s="139">
        <f>IFERROR(IF(ISNUMBER(F3829),F3829-IF(ISNUMBER(K3829),K3829,0),""),"")</f>
        <v/>
      </c>
    </row>
    <row r="3830" ht="24" customHeight="1" s="63">
      <c r="E3830" s="139" t="n"/>
      <c r="F3830" s="139" t="n"/>
      <c r="G3830" s="140">
        <f>IFERROR(IF(E3830&gt;0,(F3830/E3830)*1000,""),"")</f>
        <v/>
      </c>
      <c r="H3830" s="139">
        <f>IFERROR(IF(E3830&gt;0,E3830*IF(ISNUMBER(J3830),J3830,IF(OR(C3830="Alpha",B3830="Alpha"),$C$7,IF(C3830="Futures",$C$6,$C$5))),""),"")</f>
        <v/>
      </c>
      <c r="I3830" s="139">
        <f>IFERROR(IF(AND(ISNUMBER(F3830),ISNUMBER(H3830)),F3830-H3830,""),"")</f>
        <v/>
      </c>
      <c r="J3830" s="114" t="n"/>
      <c r="K3830" s="139">
        <f>IFERROR(IF(H3830&gt;0,H3830*IF(OR(C3830="Alpha",B3830="Alpha"),$C$9,$C$8),""),"")</f>
        <v/>
      </c>
      <c r="L3830" s="139">
        <f>IFERROR(IF(ISNUMBER(F3830),F3830-IF(ISNUMBER(K3830),K3830,0),""),"")</f>
        <v/>
      </c>
    </row>
    <row r="3831" ht="24" customHeight="1" s="63">
      <c r="E3831" s="139" t="n"/>
      <c r="F3831" s="139" t="n"/>
      <c r="G3831" s="140">
        <f>IFERROR(IF(E3831&gt;0,(F3831/E3831)*1000,""),"")</f>
        <v/>
      </c>
      <c r="H3831" s="139">
        <f>IFERROR(IF(E3831&gt;0,E3831*IF(ISNUMBER(J3831),J3831,IF(OR(C3831="Alpha",B3831="Alpha"),$C$7,IF(C3831="Futures",$C$6,$C$5))),""),"")</f>
        <v/>
      </c>
      <c r="I3831" s="139">
        <f>IFERROR(IF(AND(ISNUMBER(F3831),ISNUMBER(H3831)),F3831-H3831,""),"")</f>
        <v/>
      </c>
      <c r="J3831" s="114" t="n"/>
      <c r="K3831" s="139">
        <f>IFERROR(IF(H3831&gt;0,H3831*IF(OR(C3831="Alpha",B3831="Alpha"),$C$9,$C$8),""),"")</f>
        <v/>
      </c>
      <c r="L3831" s="139">
        <f>IFERROR(IF(ISNUMBER(F3831),F3831-IF(ISNUMBER(K3831),K3831,0),""),"")</f>
        <v/>
      </c>
    </row>
    <row r="3832" ht="24" customHeight="1" s="63">
      <c r="E3832" s="139" t="n"/>
      <c r="F3832" s="139" t="n"/>
      <c r="G3832" s="140">
        <f>IFERROR(IF(E3832&gt;0,(F3832/E3832)*1000,""),"")</f>
        <v/>
      </c>
      <c r="H3832" s="139">
        <f>IFERROR(IF(E3832&gt;0,E3832*IF(ISNUMBER(J3832),J3832,IF(OR(C3832="Alpha",B3832="Alpha"),$C$7,IF(C3832="Futures",$C$6,$C$5))),""),"")</f>
        <v/>
      </c>
      <c r="I3832" s="139">
        <f>IFERROR(IF(AND(ISNUMBER(F3832),ISNUMBER(H3832)),F3832-H3832,""),"")</f>
        <v/>
      </c>
      <c r="J3832" s="114" t="n"/>
      <c r="K3832" s="139">
        <f>IFERROR(IF(H3832&gt;0,H3832*IF(OR(C3832="Alpha",B3832="Alpha"),$C$9,$C$8),""),"")</f>
        <v/>
      </c>
      <c r="L3832" s="139">
        <f>IFERROR(IF(ISNUMBER(F3832),F3832-IF(ISNUMBER(K3832),K3832,0),""),"")</f>
        <v/>
      </c>
    </row>
    <row r="3833" ht="24" customHeight="1" s="63">
      <c r="E3833" s="139" t="n"/>
      <c r="F3833" s="139" t="n"/>
      <c r="G3833" s="140">
        <f>IFERROR(IF(E3833&gt;0,(F3833/E3833)*1000,""),"")</f>
        <v/>
      </c>
      <c r="H3833" s="139">
        <f>IFERROR(IF(E3833&gt;0,E3833*IF(ISNUMBER(J3833),J3833,IF(OR(C3833="Alpha",B3833="Alpha"),$C$7,IF(C3833="Futures",$C$6,$C$5))),""),"")</f>
        <v/>
      </c>
      <c r="I3833" s="139">
        <f>IFERROR(IF(AND(ISNUMBER(F3833),ISNUMBER(H3833)),F3833-H3833,""),"")</f>
        <v/>
      </c>
      <c r="J3833" s="114" t="n"/>
      <c r="K3833" s="139">
        <f>IFERROR(IF(H3833&gt;0,H3833*IF(OR(C3833="Alpha",B3833="Alpha"),$C$9,$C$8),""),"")</f>
        <v/>
      </c>
      <c r="L3833" s="139">
        <f>IFERROR(IF(ISNUMBER(F3833),F3833-IF(ISNUMBER(K3833),K3833,0),""),"")</f>
        <v/>
      </c>
    </row>
    <row r="3834" ht="24" customHeight="1" s="63">
      <c r="E3834" s="139" t="n"/>
      <c r="F3834" s="139" t="n"/>
      <c r="G3834" s="140">
        <f>IFERROR(IF(E3834&gt;0,(F3834/E3834)*1000,""),"")</f>
        <v/>
      </c>
      <c r="H3834" s="139">
        <f>IFERROR(IF(E3834&gt;0,E3834*IF(ISNUMBER(J3834),J3834,IF(OR(C3834="Alpha",B3834="Alpha"),$C$7,IF(C3834="Futures",$C$6,$C$5))),""),"")</f>
        <v/>
      </c>
      <c r="I3834" s="139">
        <f>IFERROR(IF(AND(ISNUMBER(F3834),ISNUMBER(H3834)),F3834-H3834,""),"")</f>
        <v/>
      </c>
      <c r="J3834" s="114" t="n"/>
      <c r="K3834" s="139">
        <f>IFERROR(IF(H3834&gt;0,H3834*IF(OR(C3834="Alpha",B3834="Alpha"),$C$9,$C$8),""),"")</f>
        <v/>
      </c>
      <c r="L3834" s="139">
        <f>IFERROR(IF(ISNUMBER(F3834),F3834-IF(ISNUMBER(K3834),K3834,0),""),"")</f>
        <v/>
      </c>
    </row>
    <row r="3835" ht="24" customHeight="1" s="63">
      <c r="E3835" s="139" t="n"/>
      <c r="F3835" s="139" t="n"/>
      <c r="G3835" s="140">
        <f>IFERROR(IF(E3835&gt;0,(F3835/E3835)*1000,""),"")</f>
        <v/>
      </c>
      <c r="H3835" s="139">
        <f>IFERROR(IF(E3835&gt;0,E3835*IF(ISNUMBER(J3835),J3835,IF(OR(C3835="Alpha",B3835="Alpha"),$C$7,IF(C3835="Futures",$C$6,$C$5))),""),"")</f>
        <v/>
      </c>
      <c r="I3835" s="139">
        <f>IFERROR(IF(AND(ISNUMBER(F3835),ISNUMBER(H3835)),F3835-H3835,""),"")</f>
        <v/>
      </c>
      <c r="J3835" s="114" t="n"/>
      <c r="K3835" s="139">
        <f>IFERROR(IF(H3835&gt;0,H3835*IF(OR(C3835="Alpha",B3835="Alpha"),$C$9,$C$8),""),"")</f>
        <v/>
      </c>
      <c r="L3835" s="139">
        <f>IFERROR(IF(ISNUMBER(F3835),F3835-IF(ISNUMBER(K3835),K3835,0),""),"")</f>
        <v/>
      </c>
    </row>
    <row r="3836" ht="24" customHeight="1" s="63">
      <c r="E3836" s="139" t="n"/>
      <c r="F3836" s="139" t="n"/>
      <c r="G3836" s="140">
        <f>IFERROR(IF(E3836&gt;0,(F3836/E3836)*1000,""),"")</f>
        <v/>
      </c>
      <c r="H3836" s="139">
        <f>IFERROR(IF(E3836&gt;0,E3836*IF(ISNUMBER(J3836),J3836,IF(OR(C3836="Alpha",B3836="Alpha"),$C$7,IF(C3836="Futures",$C$6,$C$5))),""),"")</f>
        <v/>
      </c>
      <c r="I3836" s="139">
        <f>IFERROR(IF(AND(ISNUMBER(F3836),ISNUMBER(H3836)),F3836-H3836,""),"")</f>
        <v/>
      </c>
      <c r="J3836" s="114" t="n"/>
      <c r="K3836" s="139">
        <f>IFERROR(IF(H3836&gt;0,H3836*IF(OR(C3836="Alpha",B3836="Alpha"),$C$9,$C$8),""),"")</f>
        <v/>
      </c>
      <c r="L3836" s="139">
        <f>IFERROR(IF(ISNUMBER(F3836),F3836-IF(ISNUMBER(K3836),K3836,0),""),"")</f>
        <v/>
      </c>
    </row>
    <row r="3837" ht="24" customHeight="1" s="63">
      <c r="E3837" s="139" t="n"/>
      <c r="F3837" s="139" t="n"/>
      <c r="G3837" s="140">
        <f>IFERROR(IF(E3837&gt;0,(F3837/E3837)*1000,""),"")</f>
        <v/>
      </c>
      <c r="H3837" s="139">
        <f>IFERROR(IF(E3837&gt;0,E3837*IF(ISNUMBER(J3837),J3837,IF(OR(C3837="Alpha",B3837="Alpha"),$C$7,IF(C3837="Futures",$C$6,$C$5))),""),"")</f>
        <v/>
      </c>
      <c r="I3837" s="139">
        <f>IFERROR(IF(AND(ISNUMBER(F3837),ISNUMBER(H3837)),F3837-H3837,""),"")</f>
        <v/>
      </c>
      <c r="J3837" s="114" t="n"/>
      <c r="K3837" s="139">
        <f>IFERROR(IF(H3837&gt;0,H3837*IF(OR(C3837="Alpha",B3837="Alpha"),$C$9,$C$8),""),"")</f>
        <v/>
      </c>
      <c r="L3837" s="139">
        <f>IFERROR(IF(ISNUMBER(F3837),F3837-IF(ISNUMBER(K3837),K3837,0),""),"")</f>
        <v/>
      </c>
    </row>
    <row r="3838" ht="24" customHeight="1" s="63">
      <c r="E3838" s="139" t="n"/>
      <c r="F3838" s="139" t="n"/>
      <c r="G3838" s="140">
        <f>IFERROR(IF(E3838&gt;0,(F3838/E3838)*1000,""),"")</f>
        <v/>
      </c>
      <c r="H3838" s="139">
        <f>IFERROR(IF(E3838&gt;0,E3838*IF(ISNUMBER(J3838),J3838,IF(OR(C3838="Alpha",B3838="Alpha"),$C$7,IF(C3838="Futures",$C$6,$C$5))),""),"")</f>
        <v/>
      </c>
      <c r="I3838" s="139">
        <f>IFERROR(IF(AND(ISNUMBER(F3838),ISNUMBER(H3838)),F3838-H3838,""),"")</f>
        <v/>
      </c>
      <c r="J3838" s="114" t="n"/>
      <c r="K3838" s="139">
        <f>IFERROR(IF(H3838&gt;0,H3838*IF(OR(C3838="Alpha",B3838="Alpha"),$C$9,$C$8),""),"")</f>
        <v/>
      </c>
      <c r="L3838" s="139">
        <f>IFERROR(IF(ISNUMBER(F3838),F3838-IF(ISNUMBER(K3838),K3838,0),""),"")</f>
        <v/>
      </c>
    </row>
    <row r="3839" ht="24" customHeight="1" s="63">
      <c r="E3839" s="139" t="n"/>
      <c r="F3839" s="139" t="n"/>
      <c r="G3839" s="140">
        <f>IFERROR(IF(E3839&gt;0,(F3839/E3839)*1000,""),"")</f>
        <v/>
      </c>
      <c r="H3839" s="139">
        <f>IFERROR(IF(E3839&gt;0,E3839*IF(ISNUMBER(J3839),J3839,IF(OR(C3839="Alpha",B3839="Alpha"),$C$7,IF(C3839="Futures",$C$6,$C$5))),""),"")</f>
        <v/>
      </c>
      <c r="I3839" s="139">
        <f>IFERROR(IF(AND(ISNUMBER(F3839),ISNUMBER(H3839)),F3839-H3839,""),"")</f>
        <v/>
      </c>
      <c r="J3839" s="114" t="n"/>
      <c r="K3839" s="139">
        <f>IFERROR(IF(H3839&gt;0,H3839*IF(OR(C3839="Alpha",B3839="Alpha"),$C$9,$C$8),""),"")</f>
        <v/>
      </c>
      <c r="L3839" s="139">
        <f>IFERROR(IF(ISNUMBER(F3839),F3839-IF(ISNUMBER(K3839),K3839,0),""),"")</f>
        <v/>
      </c>
    </row>
    <row r="3840" ht="24" customHeight="1" s="63">
      <c r="E3840" s="139" t="n"/>
      <c r="F3840" s="139" t="n"/>
      <c r="G3840" s="140">
        <f>IFERROR(IF(E3840&gt;0,(F3840/E3840)*1000,""),"")</f>
        <v/>
      </c>
      <c r="H3840" s="139">
        <f>IFERROR(IF(E3840&gt;0,E3840*IF(ISNUMBER(J3840),J3840,IF(OR(C3840="Alpha",B3840="Alpha"),$C$7,IF(C3840="Futures",$C$6,$C$5))),""),"")</f>
        <v/>
      </c>
      <c r="I3840" s="139">
        <f>IFERROR(IF(AND(ISNUMBER(F3840),ISNUMBER(H3840)),F3840-H3840,""),"")</f>
        <v/>
      </c>
      <c r="J3840" s="114" t="n"/>
      <c r="K3840" s="139">
        <f>IFERROR(IF(H3840&gt;0,H3840*IF(OR(C3840="Alpha",B3840="Alpha"),$C$9,$C$8),""),"")</f>
        <v/>
      </c>
      <c r="L3840" s="139">
        <f>IFERROR(IF(ISNUMBER(F3840),F3840-IF(ISNUMBER(K3840),K3840,0),""),"")</f>
        <v/>
      </c>
    </row>
    <row r="3841" ht="24" customHeight="1" s="63">
      <c r="E3841" s="139" t="n"/>
      <c r="F3841" s="139" t="n"/>
      <c r="G3841" s="140">
        <f>IFERROR(IF(E3841&gt;0,(F3841/E3841)*1000,""),"")</f>
        <v/>
      </c>
      <c r="H3841" s="139">
        <f>IFERROR(IF(E3841&gt;0,E3841*IF(ISNUMBER(J3841),J3841,IF(OR(C3841="Alpha",B3841="Alpha"),$C$7,IF(C3841="Futures",$C$6,$C$5))),""),"")</f>
        <v/>
      </c>
      <c r="I3841" s="139">
        <f>IFERROR(IF(AND(ISNUMBER(F3841),ISNUMBER(H3841)),F3841-H3841,""),"")</f>
        <v/>
      </c>
      <c r="J3841" s="114" t="n"/>
      <c r="K3841" s="139">
        <f>IFERROR(IF(H3841&gt;0,H3841*IF(OR(C3841="Alpha",B3841="Alpha"),$C$9,$C$8),""),"")</f>
        <v/>
      </c>
      <c r="L3841" s="139">
        <f>IFERROR(IF(ISNUMBER(F3841),F3841-IF(ISNUMBER(K3841),K3841,0),""),"")</f>
        <v/>
      </c>
    </row>
    <row r="3842" ht="24" customHeight="1" s="63">
      <c r="E3842" s="139" t="n"/>
      <c r="F3842" s="139" t="n"/>
      <c r="G3842" s="140">
        <f>IFERROR(IF(E3842&gt;0,(F3842/E3842)*1000,""),"")</f>
        <v/>
      </c>
      <c r="H3842" s="139">
        <f>IFERROR(IF(E3842&gt;0,E3842*IF(ISNUMBER(J3842),J3842,IF(OR(C3842="Alpha",B3842="Alpha"),$C$7,IF(C3842="Futures",$C$6,$C$5))),""),"")</f>
        <v/>
      </c>
      <c r="I3842" s="139">
        <f>IFERROR(IF(AND(ISNUMBER(F3842),ISNUMBER(H3842)),F3842-H3842,""),"")</f>
        <v/>
      </c>
      <c r="J3842" s="114" t="n"/>
      <c r="K3842" s="139">
        <f>IFERROR(IF(H3842&gt;0,H3842*IF(OR(C3842="Alpha",B3842="Alpha"),$C$9,$C$8),""),"")</f>
        <v/>
      </c>
      <c r="L3842" s="139">
        <f>IFERROR(IF(ISNUMBER(F3842),F3842-IF(ISNUMBER(K3842),K3842,0),""),"")</f>
        <v/>
      </c>
    </row>
    <row r="3843" ht="24" customHeight="1" s="63">
      <c r="E3843" s="139" t="n"/>
      <c r="F3843" s="139" t="n"/>
      <c r="G3843" s="140">
        <f>IFERROR(IF(E3843&gt;0,(F3843/E3843)*1000,""),"")</f>
        <v/>
      </c>
      <c r="H3843" s="139">
        <f>IFERROR(IF(E3843&gt;0,E3843*IF(ISNUMBER(J3843),J3843,IF(OR(C3843="Alpha",B3843="Alpha"),$C$7,IF(C3843="Futures",$C$6,$C$5))),""),"")</f>
        <v/>
      </c>
      <c r="I3843" s="139">
        <f>IFERROR(IF(AND(ISNUMBER(F3843),ISNUMBER(H3843)),F3843-H3843,""),"")</f>
        <v/>
      </c>
      <c r="J3843" s="114" t="n"/>
      <c r="K3843" s="139">
        <f>IFERROR(IF(H3843&gt;0,H3843*IF(OR(C3843="Alpha",B3843="Alpha"),$C$9,$C$8),""),"")</f>
        <v/>
      </c>
      <c r="L3843" s="139">
        <f>IFERROR(IF(ISNUMBER(F3843),F3843-IF(ISNUMBER(K3843),K3843,0),""),"")</f>
        <v/>
      </c>
    </row>
    <row r="3844" ht="24" customHeight="1" s="63">
      <c r="E3844" s="139" t="n"/>
      <c r="F3844" s="139" t="n"/>
      <c r="G3844" s="140">
        <f>IFERROR(IF(E3844&gt;0,(F3844/E3844)*1000,""),"")</f>
        <v/>
      </c>
      <c r="H3844" s="139">
        <f>IFERROR(IF(E3844&gt;0,E3844*IF(ISNUMBER(J3844),J3844,IF(OR(C3844="Alpha",B3844="Alpha"),$C$7,IF(C3844="Futures",$C$6,$C$5))),""),"")</f>
        <v/>
      </c>
      <c r="I3844" s="139">
        <f>IFERROR(IF(AND(ISNUMBER(F3844),ISNUMBER(H3844)),F3844-H3844,""),"")</f>
        <v/>
      </c>
      <c r="J3844" s="114" t="n"/>
      <c r="K3844" s="139">
        <f>IFERROR(IF(H3844&gt;0,H3844*IF(OR(C3844="Alpha",B3844="Alpha"),$C$9,$C$8),""),"")</f>
        <v/>
      </c>
      <c r="L3844" s="139">
        <f>IFERROR(IF(ISNUMBER(F3844),F3844-IF(ISNUMBER(K3844),K3844,0),""),"")</f>
        <v/>
      </c>
    </row>
    <row r="3845" ht="24" customHeight="1" s="63">
      <c r="E3845" s="139" t="n"/>
      <c r="F3845" s="139" t="n"/>
      <c r="G3845" s="140">
        <f>IFERROR(IF(E3845&gt;0,(F3845/E3845)*1000,""),"")</f>
        <v/>
      </c>
      <c r="H3845" s="139">
        <f>IFERROR(IF(E3845&gt;0,E3845*IF(ISNUMBER(J3845),J3845,IF(OR(C3845="Alpha",B3845="Alpha"),$C$7,IF(C3845="Futures",$C$6,$C$5))),""),"")</f>
        <v/>
      </c>
      <c r="I3845" s="139">
        <f>IFERROR(IF(AND(ISNUMBER(F3845),ISNUMBER(H3845)),F3845-H3845,""),"")</f>
        <v/>
      </c>
      <c r="J3845" s="114" t="n"/>
      <c r="K3845" s="139">
        <f>IFERROR(IF(H3845&gt;0,H3845*IF(OR(C3845="Alpha",B3845="Alpha"),$C$9,$C$8),""),"")</f>
        <v/>
      </c>
      <c r="L3845" s="139">
        <f>IFERROR(IF(ISNUMBER(F3845),F3845-IF(ISNUMBER(K3845),K3845,0),""),"")</f>
        <v/>
      </c>
    </row>
    <row r="3846" ht="24" customHeight="1" s="63">
      <c r="E3846" s="139" t="n"/>
      <c r="F3846" s="139" t="n"/>
      <c r="G3846" s="140">
        <f>IFERROR(IF(E3846&gt;0,(F3846/E3846)*1000,""),"")</f>
        <v/>
      </c>
      <c r="H3846" s="139">
        <f>IFERROR(IF(E3846&gt;0,E3846*IF(ISNUMBER(J3846),J3846,IF(OR(C3846="Alpha",B3846="Alpha"),$C$7,IF(C3846="Futures",$C$6,$C$5))),""),"")</f>
        <v/>
      </c>
      <c r="I3846" s="139">
        <f>IFERROR(IF(AND(ISNUMBER(F3846),ISNUMBER(H3846)),F3846-H3846,""),"")</f>
        <v/>
      </c>
      <c r="J3846" s="114" t="n"/>
      <c r="K3846" s="139">
        <f>IFERROR(IF(H3846&gt;0,H3846*IF(OR(C3846="Alpha",B3846="Alpha"),$C$9,$C$8),""),"")</f>
        <v/>
      </c>
      <c r="L3846" s="139">
        <f>IFERROR(IF(ISNUMBER(F3846),F3846-IF(ISNUMBER(K3846),K3846,0),""),"")</f>
        <v/>
      </c>
    </row>
    <row r="3847" ht="24" customHeight="1" s="63">
      <c r="E3847" s="139" t="n"/>
      <c r="F3847" s="139" t="n"/>
      <c r="G3847" s="140">
        <f>IFERROR(IF(E3847&gt;0,(F3847/E3847)*1000,""),"")</f>
        <v/>
      </c>
      <c r="H3847" s="139">
        <f>IFERROR(IF(E3847&gt;0,E3847*IF(ISNUMBER(J3847),J3847,IF(OR(C3847="Alpha",B3847="Alpha"),$C$7,IF(C3847="Futures",$C$6,$C$5))),""),"")</f>
        <v/>
      </c>
      <c r="I3847" s="139">
        <f>IFERROR(IF(AND(ISNUMBER(F3847),ISNUMBER(H3847)),F3847-H3847,""),"")</f>
        <v/>
      </c>
      <c r="J3847" s="114" t="n"/>
      <c r="K3847" s="139">
        <f>IFERROR(IF(H3847&gt;0,H3847*IF(OR(C3847="Alpha",B3847="Alpha"),$C$9,$C$8),""),"")</f>
        <v/>
      </c>
      <c r="L3847" s="139">
        <f>IFERROR(IF(ISNUMBER(F3847),F3847-IF(ISNUMBER(K3847),K3847,0),""),"")</f>
        <v/>
      </c>
    </row>
    <row r="3848" ht="24" customHeight="1" s="63">
      <c r="E3848" s="139" t="n"/>
      <c r="F3848" s="139" t="n"/>
      <c r="G3848" s="140">
        <f>IFERROR(IF(E3848&gt;0,(F3848/E3848)*1000,""),"")</f>
        <v/>
      </c>
      <c r="H3848" s="139">
        <f>IFERROR(IF(E3848&gt;0,E3848*IF(ISNUMBER(J3848),J3848,IF(OR(C3848="Alpha",B3848="Alpha"),$C$7,IF(C3848="Futures",$C$6,$C$5))),""),"")</f>
        <v/>
      </c>
      <c r="I3848" s="139">
        <f>IFERROR(IF(AND(ISNUMBER(F3848),ISNUMBER(H3848)),F3848-H3848,""),"")</f>
        <v/>
      </c>
      <c r="J3848" s="114" t="n"/>
      <c r="K3848" s="139">
        <f>IFERROR(IF(H3848&gt;0,H3848*IF(OR(C3848="Alpha",B3848="Alpha"),$C$9,$C$8),""),"")</f>
        <v/>
      </c>
      <c r="L3848" s="139">
        <f>IFERROR(IF(ISNUMBER(F3848),F3848-IF(ISNUMBER(K3848),K3848,0),""),"")</f>
        <v/>
      </c>
    </row>
    <row r="3849" ht="24" customHeight="1" s="63">
      <c r="E3849" s="139" t="n"/>
      <c r="F3849" s="139" t="n"/>
      <c r="G3849" s="140">
        <f>IFERROR(IF(E3849&gt;0,(F3849/E3849)*1000,""),"")</f>
        <v/>
      </c>
      <c r="H3849" s="139">
        <f>IFERROR(IF(E3849&gt;0,E3849*IF(ISNUMBER(J3849),J3849,IF(OR(C3849="Alpha",B3849="Alpha"),$C$7,IF(C3849="Futures",$C$6,$C$5))),""),"")</f>
        <v/>
      </c>
      <c r="I3849" s="139">
        <f>IFERROR(IF(AND(ISNUMBER(F3849),ISNUMBER(H3849)),F3849-H3849,""),"")</f>
        <v/>
      </c>
      <c r="J3849" s="114" t="n"/>
      <c r="K3849" s="139">
        <f>IFERROR(IF(H3849&gt;0,H3849*IF(OR(C3849="Alpha",B3849="Alpha"),$C$9,$C$8),""),"")</f>
        <v/>
      </c>
      <c r="L3849" s="139">
        <f>IFERROR(IF(ISNUMBER(F3849),F3849-IF(ISNUMBER(K3849),K3849,0),""),"")</f>
        <v/>
      </c>
    </row>
    <row r="3850" ht="24" customHeight="1" s="63">
      <c r="E3850" s="139" t="n"/>
      <c r="F3850" s="139" t="n"/>
      <c r="G3850" s="140">
        <f>IFERROR(IF(E3850&gt;0,(F3850/E3850)*1000,""),"")</f>
        <v/>
      </c>
      <c r="H3850" s="139">
        <f>IFERROR(IF(E3850&gt;0,E3850*IF(ISNUMBER(J3850),J3850,IF(OR(C3850="Alpha",B3850="Alpha"),$C$7,IF(C3850="Futures",$C$6,$C$5))),""),"")</f>
        <v/>
      </c>
      <c r="I3850" s="139">
        <f>IFERROR(IF(AND(ISNUMBER(F3850),ISNUMBER(H3850)),F3850-H3850,""),"")</f>
        <v/>
      </c>
      <c r="J3850" s="114" t="n"/>
      <c r="K3850" s="139">
        <f>IFERROR(IF(H3850&gt;0,H3850*IF(OR(C3850="Alpha",B3850="Alpha"),$C$9,$C$8),""),"")</f>
        <v/>
      </c>
      <c r="L3850" s="139">
        <f>IFERROR(IF(ISNUMBER(F3850),F3850-IF(ISNUMBER(K3850),K3850,0),""),"")</f>
        <v/>
      </c>
    </row>
    <row r="3851" ht="24" customHeight="1" s="63">
      <c r="E3851" s="139" t="n"/>
      <c r="F3851" s="139" t="n"/>
      <c r="G3851" s="140">
        <f>IFERROR(IF(E3851&gt;0,(F3851/E3851)*1000,""),"")</f>
        <v/>
      </c>
      <c r="H3851" s="139">
        <f>IFERROR(IF(E3851&gt;0,E3851*IF(ISNUMBER(J3851),J3851,IF(OR(C3851="Alpha",B3851="Alpha"),$C$7,IF(C3851="Futures",$C$6,$C$5))),""),"")</f>
        <v/>
      </c>
      <c r="I3851" s="139">
        <f>IFERROR(IF(AND(ISNUMBER(F3851),ISNUMBER(H3851)),F3851-H3851,""),"")</f>
        <v/>
      </c>
      <c r="J3851" s="114" t="n"/>
      <c r="K3851" s="139">
        <f>IFERROR(IF(H3851&gt;0,H3851*IF(OR(C3851="Alpha",B3851="Alpha"),$C$9,$C$8),""),"")</f>
        <v/>
      </c>
      <c r="L3851" s="139">
        <f>IFERROR(IF(ISNUMBER(F3851),F3851-IF(ISNUMBER(K3851),K3851,0),""),"")</f>
        <v/>
      </c>
    </row>
    <row r="3852" ht="24" customHeight="1" s="63">
      <c r="E3852" s="139" t="n"/>
      <c r="F3852" s="139" t="n"/>
      <c r="G3852" s="140">
        <f>IFERROR(IF(E3852&gt;0,(F3852/E3852)*1000,""),"")</f>
        <v/>
      </c>
      <c r="H3852" s="139">
        <f>IFERROR(IF(E3852&gt;0,E3852*IF(ISNUMBER(J3852),J3852,IF(OR(C3852="Alpha",B3852="Alpha"),$C$7,IF(C3852="Futures",$C$6,$C$5))),""),"")</f>
        <v/>
      </c>
      <c r="I3852" s="139">
        <f>IFERROR(IF(AND(ISNUMBER(F3852),ISNUMBER(H3852)),F3852-H3852,""),"")</f>
        <v/>
      </c>
      <c r="J3852" s="114" t="n"/>
      <c r="K3852" s="139">
        <f>IFERROR(IF(H3852&gt;0,H3852*IF(OR(C3852="Alpha",B3852="Alpha"),$C$9,$C$8),""),"")</f>
        <v/>
      </c>
      <c r="L3852" s="139">
        <f>IFERROR(IF(ISNUMBER(F3852),F3852-IF(ISNUMBER(K3852),K3852,0),""),"")</f>
        <v/>
      </c>
    </row>
    <row r="3853" ht="24" customHeight="1" s="63">
      <c r="E3853" s="139" t="n"/>
      <c r="F3853" s="139" t="n"/>
      <c r="G3853" s="140">
        <f>IFERROR(IF(E3853&gt;0,(F3853/E3853)*1000,""),"")</f>
        <v/>
      </c>
      <c r="H3853" s="139">
        <f>IFERROR(IF(E3853&gt;0,E3853*IF(ISNUMBER(J3853),J3853,IF(OR(C3853="Alpha",B3853="Alpha"),$C$7,IF(C3853="Futures",$C$6,$C$5))),""),"")</f>
        <v/>
      </c>
      <c r="I3853" s="139">
        <f>IFERROR(IF(AND(ISNUMBER(F3853),ISNUMBER(H3853)),F3853-H3853,""),"")</f>
        <v/>
      </c>
      <c r="J3853" s="114" t="n"/>
      <c r="K3853" s="139">
        <f>IFERROR(IF(H3853&gt;0,H3853*IF(OR(C3853="Alpha",B3853="Alpha"),$C$9,$C$8),""),"")</f>
        <v/>
      </c>
      <c r="L3853" s="139">
        <f>IFERROR(IF(ISNUMBER(F3853),F3853-IF(ISNUMBER(K3853),K3853,0),""),"")</f>
        <v/>
      </c>
    </row>
    <row r="3854" ht="24" customHeight="1" s="63">
      <c r="E3854" s="139" t="n"/>
      <c r="F3854" s="139" t="n"/>
      <c r="G3854" s="140">
        <f>IFERROR(IF(E3854&gt;0,(F3854/E3854)*1000,""),"")</f>
        <v/>
      </c>
      <c r="H3854" s="139">
        <f>IFERROR(IF(E3854&gt;0,E3854*IF(ISNUMBER(J3854),J3854,IF(OR(C3854="Alpha",B3854="Alpha"),$C$7,IF(C3854="Futures",$C$6,$C$5))),""),"")</f>
        <v/>
      </c>
      <c r="I3854" s="139">
        <f>IFERROR(IF(AND(ISNUMBER(F3854),ISNUMBER(H3854)),F3854-H3854,""),"")</f>
        <v/>
      </c>
      <c r="J3854" s="114" t="n"/>
      <c r="K3854" s="139">
        <f>IFERROR(IF(H3854&gt;0,H3854*IF(OR(C3854="Alpha",B3854="Alpha"),$C$9,$C$8),""),"")</f>
        <v/>
      </c>
      <c r="L3854" s="139">
        <f>IFERROR(IF(ISNUMBER(F3854),F3854-IF(ISNUMBER(K3854),K3854,0),""),"")</f>
        <v/>
      </c>
    </row>
    <row r="3855" ht="24" customHeight="1" s="63">
      <c r="E3855" s="139" t="n"/>
      <c r="F3855" s="139" t="n"/>
      <c r="G3855" s="140">
        <f>IFERROR(IF(E3855&gt;0,(F3855/E3855)*1000,""),"")</f>
        <v/>
      </c>
      <c r="H3855" s="139">
        <f>IFERROR(IF(E3855&gt;0,E3855*IF(ISNUMBER(J3855),J3855,IF(OR(C3855="Alpha",B3855="Alpha"),$C$7,IF(C3855="Futures",$C$6,$C$5))),""),"")</f>
        <v/>
      </c>
      <c r="I3855" s="139">
        <f>IFERROR(IF(AND(ISNUMBER(F3855),ISNUMBER(H3855)),F3855-H3855,""),"")</f>
        <v/>
      </c>
      <c r="J3855" s="114" t="n"/>
      <c r="K3855" s="139">
        <f>IFERROR(IF(H3855&gt;0,H3855*IF(OR(C3855="Alpha",B3855="Alpha"),$C$9,$C$8),""),"")</f>
        <v/>
      </c>
      <c r="L3855" s="139">
        <f>IFERROR(IF(ISNUMBER(F3855),F3855-IF(ISNUMBER(K3855),K3855,0),""),"")</f>
        <v/>
      </c>
    </row>
    <row r="3856" ht="24" customHeight="1" s="63">
      <c r="E3856" s="139" t="n"/>
      <c r="F3856" s="139" t="n"/>
      <c r="G3856" s="140">
        <f>IFERROR(IF(E3856&gt;0,(F3856/E3856)*1000,""),"")</f>
        <v/>
      </c>
      <c r="H3856" s="139">
        <f>IFERROR(IF(E3856&gt;0,E3856*IF(ISNUMBER(J3856),J3856,IF(OR(C3856="Alpha",B3856="Alpha"),$C$7,IF(C3856="Futures",$C$6,$C$5))),""),"")</f>
        <v/>
      </c>
      <c r="I3856" s="139">
        <f>IFERROR(IF(AND(ISNUMBER(F3856),ISNUMBER(H3856)),F3856-H3856,""),"")</f>
        <v/>
      </c>
      <c r="J3856" s="114" t="n"/>
      <c r="K3856" s="139">
        <f>IFERROR(IF(H3856&gt;0,H3856*IF(OR(C3856="Alpha",B3856="Alpha"),$C$9,$C$8),""),"")</f>
        <v/>
      </c>
      <c r="L3856" s="139">
        <f>IFERROR(IF(ISNUMBER(F3856),F3856-IF(ISNUMBER(K3856),K3856,0),""),"")</f>
        <v/>
      </c>
    </row>
    <row r="3857" ht="24" customHeight="1" s="63">
      <c r="E3857" s="139" t="n"/>
      <c r="F3857" s="139" t="n"/>
      <c r="G3857" s="140">
        <f>IFERROR(IF(E3857&gt;0,(F3857/E3857)*1000,""),"")</f>
        <v/>
      </c>
      <c r="H3857" s="139">
        <f>IFERROR(IF(E3857&gt;0,E3857*IF(ISNUMBER(J3857),J3857,IF(OR(C3857="Alpha",B3857="Alpha"),$C$7,IF(C3857="Futures",$C$6,$C$5))),""),"")</f>
        <v/>
      </c>
      <c r="I3857" s="139">
        <f>IFERROR(IF(AND(ISNUMBER(F3857),ISNUMBER(H3857)),F3857-H3857,""),"")</f>
        <v/>
      </c>
      <c r="J3857" s="114" t="n"/>
      <c r="K3857" s="139">
        <f>IFERROR(IF(H3857&gt;0,H3857*IF(OR(C3857="Alpha",B3857="Alpha"),$C$9,$C$8),""),"")</f>
        <v/>
      </c>
      <c r="L3857" s="139">
        <f>IFERROR(IF(ISNUMBER(F3857),F3857-IF(ISNUMBER(K3857),K3857,0),""),"")</f>
        <v/>
      </c>
    </row>
    <row r="3858" ht="24" customHeight="1" s="63">
      <c r="E3858" s="139" t="n"/>
      <c r="F3858" s="139" t="n"/>
      <c r="G3858" s="140">
        <f>IFERROR(IF(E3858&gt;0,(F3858/E3858)*1000,""),"")</f>
        <v/>
      </c>
      <c r="H3858" s="139">
        <f>IFERROR(IF(E3858&gt;0,E3858*IF(ISNUMBER(J3858),J3858,IF(OR(C3858="Alpha",B3858="Alpha"),$C$7,IF(C3858="Futures",$C$6,$C$5))),""),"")</f>
        <v/>
      </c>
      <c r="I3858" s="139">
        <f>IFERROR(IF(AND(ISNUMBER(F3858),ISNUMBER(H3858)),F3858-H3858,""),"")</f>
        <v/>
      </c>
      <c r="J3858" s="114" t="n"/>
      <c r="K3858" s="139">
        <f>IFERROR(IF(H3858&gt;0,H3858*IF(OR(C3858="Alpha",B3858="Alpha"),$C$9,$C$8),""),"")</f>
        <v/>
      </c>
      <c r="L3858" s="139">
        <f>IFERROR(IF(ISNUMBER(F3858),F3858-IF(ISNUMBER(K3858),K3858,0),""),"")</f>
        <v/>
      </c>
    </row>
    <row r="3859" ht="24" customHeight="1" s="63">
      <c r="E3859" s="139" t="n"/>
      <c r="F3859" s="139" t="n"/>
      <c r="G3859" s="140">
        <f>IFERROR(IF(E3859&gt;0,(F3859/E3859)*1000,""),"")</f>
        <v/>
      </c>
      <c r="H3859" s="139">
        <f>IFERROR(IF(E3859&gt;0,E3859*IF(ISNUMBER(J3859),J3859,IF(OR(C3859="Alpha",B3859="Alpha"),$C$7,IF(C3859="Futures",$C$6,$C$5))),""),"")</f>
        <v/>
      </c>
      <c r="I3859" s="139">
        <f>IFERROR(IF(AND(ISNUMBER(F3859),ISNUMBER(H3859)),F3859-H3859,""),"")</f>
        <v/>
      </c>
      <c r="J3859" s="114" t="n"/>
      <c r="K3859" s="139">
        <f>IFERROR(IF(H3859&gt;0,H3859*IF(OR(C3859="Alpha",B3859="Alpha"),$C$9,$C$8),""),"")</f>
        <v/>
      </c>
      <c r="L3859" s="139">
        <f>IFERROR(IF(ISNUMBER(F3859),F3859-IF(ISNUMBER(K3859),K3859,0),""),"")</f>
        <v/>
      </c>
    </row>
    <row r="3860" ht="24" customHeight="1" s="63">
      <c r="E3860" s="139" t="n"/>
      <c r="F3860" s="139" t="n"/>
      <c r="G3860" s="140">
        <f>IFERROR(IF(E3860&gt;0,(F3860/E3860)*1000,""),"")</f>
        <v/>
      </c>
      <c r="H3860" s="139">
        <f>IFERROR(IF(E3860&gt;0,E3860*IF(ISNUMBER(J3860),J3860,IF(OR(C3860="Alpha",B3860="Alpha"),$C$7,IF(C3860="Futures",$C$6,$C$5))),""),"")</f>
        <v/>
      </c>
      <c r="I3860" s="139">
        <f>IFERROR(IF(AND(ISNUMBER(F3860),ISNUMBER(H3860)),F3860-H3860,""),"")</f>
        <v/>
      </c>
      <c r="J3860" s="114" t="n"/>
      <c r="K3860" s="139">
        <f>IFERROR(IF(H3860&gt;0,H3860*IF(OR(C3860="Alpha",B3860="Alpha"),$C$9,$C$8),""),"")</f>
        <v/>
      </c>
      <c r="L3860" s="139">
        <f>IFERROR(IF(ISNUMBER(F3860),F3860-IF(ISNUMBER(K3860),K3860,0),""),"")</f>
        <v/>
      </c>
    </row>
    <row r="3861" ht="24" customHeight="1" s="63">
      <c r="E3861" s="139" t="n"/>
      <c r="F3861" s="139" t="n"/>
      <c r="G3861" s="140">
        <f>IFERROR(IF(E3861&gt;0,(F3861/E3861)*1000,""),"")</f>
        <v/>
      </c>
      <c r="H3861" s="139">
        <f>IFERROR(IF(E3861&gt;0,E3861*IF(ISNUMBER(J3861),J3861,IF(OR(C3861="Alpha",B3861="Alpha"),$C$7,IF(C3861="Futures",$C$6,$C$5))),""),"")</f>
        <v/>
      </c>
      <c r="I3861" s="139">
        <f>IFERROR(IF(AND(ISNUMBER(F3861),ISNUMBER(H3861)),F3861-H3861,""),"")</f>
        <v/>
      </c>
      <c r="J3861" s="114" t="n"/>
      <c r="K3861" s="139">
        <f>IFERROR(IF(H3861&gt;0,H3861*IF(OR(C3861="Alpha",B3861="Alpha"),$C$9,$C$8),""),"")</f>
        <v/>
      </c>
      <c r="L3861" s="139">
        <f>IFERROR(IF(ISNUMBER(F3861),F3861-IF(ISNUMBER(K3861),K3861,0),""),"")</f>
        <v/>
      </c>
    </row>
    <row r="3862" ht="24" customHeight="1" s="63">
      <c r="E3862" s="139" t="n"/>
      <c r="F3862" s="139" t="n"/>
      <c r="G3862" s="140">
        <f>IFERROR(IF(E3862&gt;0,(F3862/E3862)*1000,""),"")</f>
        <v/>
      </c>
      <c r="H3862" s="139">
        <f>IFERROR(IF(E3862&gt;0,E3862*IF(ISNUMBER(J3862),J3862,IF(OR(C3862="Alpha",B3862="Alpha"),$C$7,IF(C3862="Futures",$C$6,$C$5))),""),"")</f>
        <v/>
      </c>
      <c r="I3862" s="139">
        <f>IFERROR(IF(AND(ISNUMBER(F3862),ISNUMBER(H3862)),F3862-H3862,""),"")</f>
        <v/>
      </c>
      <c r="J3862" s="114" t="n"/>
      <c r="K3862" s="139">
        <f>IFERROR(IF(H3862&gt;0,H3862*IF(OR(C3862="Alpha",B3862="Alpha"),$C$9,$C$8),""),"")</f>
        <v/>
      </c>
      <c r="L3862" s="139">
        <f>IFERROR(IF(ISNUMBER(F3862),F3862-IF(ISNUMBER(K3862),K3862,0),""),"")</f>
        <v/>
      </c>
    </row>
    <row r="3863" ht="24" customHeight="1" s="63">
      <c r="E3863" s="139" t="n"/>
      <c r="F3863" s="139" t="n"/>
      <c r="G3863" s="140">
        <f>IFERROR(IF(E3863&gt;0,(F3863/E3863)*1000,""),"")</f>
        <v/>
      </c>
      <c r="H3863" s="139">
        <f>IFERROR(IF(E3863&gt;0,E3863*IF(ISNUMBER(J3863),J3863,IF(OR(C3863="Alpha",B3863="Alpha"),$C$7,IF(C3863="Futures",$C$6,$C$5))),""),"")</f>
        <v/>
      </c>
      <c r="I3863" s="139">
        <f>IFERROR(IF(AND(ISNUMBER(F3863),ISNUMBER(H3863)),F3863-H3863,""),"")</f>
        <v/>
      </c>
      <c r="J3863" s="114" t="n"/>
      <c r="K3863" s="139">
        <f>IFERROR(IF(H3863&gt;0,H3863*IF(OR(C3863="Alpha",B3863="Alpha"),$C$9,$C$8),""),"")</f>
        <v/>
      </c>
      <c r="L3863" s="139">
        <f>IFERROR(IF(ISNUMBER(F3863),F3863-IF(ISNUMBER(K3863),K3863,0),""),"")</f>
        <v/>
      </c>
    </row>
    <row r="3864" ht="24" customHeight="1" s="63">
      <c r="E3864" s="139" t="n"/>
      <c r="F3864" s="139" t="n"/>
      <c r="G3864" s="140">
        <f>IFERROR(IF(E3864&gt;0,(F3864/E3864)*1000,""),"")</f>
        <v/>
      </c>
      <c r="H3864" s="139">
        <f>IFERROR(IF(E3864&gt;0,E3864*IF(ISNUMBER(J3864),J3864,IF(OR(C3864="Alpha",B3864="Alpha"),$C$7,IF(C3864="Futures",$C$6,$C$5))),""),"")</f>
        <v/>
      </c>
      <c r="I3864" s="139">
        <f>IFERROR(IF(AND(ISNUMBER(F3864),ISNUMBER(H3864)),F3864-H3864,""),"")</f>
        <v/>
      </c>
      <c r="J3864" s="114" t="n"/>
      <c r="K3864" s="139">
        <f>IFERROR(IF(H3864&gt;0,H3864*IF(OR(C3864="Alpha",B3864="Alpha"),$C$9,$C$8),""),"")</f>
        <v/>
      </c>
      <c r="L3864" s="139">
        <f>IFERROR(IF(ISNUMBER(F3864),F3864-IF(ISNUMBER(K3864),K3864,0),""),"")</f>
        <v/>
      </c>
    </row>
    <row r="3865" ht="24" customHeight="1" s="63">
      <c r="E3865" s="139" t="n"/>
      <c r="F3865" s="139" t="n"/>
      <c r="G3865" s="140">
        <f>IFERROR(IF(E3865&gt;0,(F3865/E3865)*1000,""),"")</f>
        <v/>
      </c>
      <c r="H3865" s="139">
        <f>IFERROR(IF(E3865&gt;0,E3865*IF(ISNUMBER(J3865),J3865,IF(OR(C3865="Alpha",B3865="Alpha"),$C$7,IF(C3865="Futures",$C$6,$C$5))),""),"")</f>
        <v/>
      </c>
      <c r="I3865" s="139">
        <f>IFERROR(IF(AND(ISNUMBER(F3865),ISNUMBER(H3865)),F3865-H3865,""),"")</f>
        <v/>
      </c>
      <c r="J3865" s="114" t="n"/>
      <c r="K3865" s="139">
        <f>IFERROR(IF(H3865&gt;0,H3865*IF(OR(C3865="Alpha",B3865="Alpha"),$C$9,$C$8),""),"")</f>
        <v/>
      </c>
      <c r="L3865" s="139">
        <f>IFERROR(IF(ISNUMBER(F3865),F3865-IF(ISNUMBER(K3865),K3865,0),""),"")</f>
        <v/>
      </c>
    </row>
    <row r="3866" ht="24" customHeight="1" s="63">
      <c r="E3866" s="139" t="n"/>
      <c r="F3866" s="139" t="n"/>
      <c r="G3866" s="140">
        <f>IFERROR(IF(E3866&gt;0,(F3866/E3866)*1000,""),"")</f>
        <v/>
      </c>
      <c r="H3866" s="139">
        <f>IFERROR(IF(E3866&gt;0,E3866*IF(ISNUMBER(J3866),J3866,IF(OR(C3866="Alpha",B3866="Alpha"),$C$7,IF(C3866="Futures",$C$6,$C$5))),""),"")</f>
        <v/>
      </c>
      <c r="I3866" s="139">
        <f>IFERROR(IF(AND(ISNUMBER(F3866),ISNUMBER(H3866)),F3866-H3866,""),"")</f>
        <v/>
      </c>
      <c r="J3866" s="114" t="n"/>
      <c r="K3866" s="139">
        <f>IFERROR(IF(H3866&gt;0,H3866*IF(OR(C3866="Alpha",B3866="Alpha"),$C$9,$C$8),""),"")</f>
        <v/>
      </c>
      <c r="L3866" s="139">
        <f>IFERROR(IF(ISNUMBER(F3866),F3866-IF(ISNUMBER(K3866),K3866,0),""),"")</f>
        <v/>
      </c>
    </row>
    <row r="3867" ht="24" customHeight="1" s="63">
      <c r="E3867" s="139" t="n"/>
      <c r="F3867" s="139" t="n"/>
      <c r="G3867" s="140">
        <f>IFERROR(IF(E3867&gt;0,(F3867/E3867)*1000,""),"")</f>
        <v/>
      </c>
      <c r="H3867" s="139">
        <f>IFERROR(IF(E3867&gt;0,E3867*IF(ISNUMBER(J3867),J3867,IF(OR(C3867="Alpha",B3867="Alpha"),$C$7,IF(C3867="Futures",$C$6,$C$5))),""),"")</f>
        <v/>
      </c>
      <c r="I3867" s="139">
        <f>IFERROR(IF(AND(ISNUMBER(F3867),ISNUMBER(H3867)),F3867-H3867,""),"")</f>
        <v/>
      </c>
      <c r="J3867" s="114" t="n"/>
      <c r="K3867" s="139">
        <f>IFERROR(IF(H3867&gt;0,H3867*IF(OR(C3867="Alpha",B3867="Alpha"),$C$9,$C$8),""),"")</f>
        <v/>
      </c>
      <c r="L3867" s="139">
        <f>IFERROR(IF(ISNUMBER(F3867),F3867-IF(ISNUMBER(K3867),K3867,0),""),"")</f>
        <v/>
      </c>
    </row>
    <row r="3868" ht="24" customHeight="1" s="63">
      <c r="E3868" s="139" t="n"/>
      <c r="F3868" s="139" t="n"/>
      <c r="G3868" s="140">
        <f>IFERROR(IF(E3868&gt;0,(F3868/E3868)*1000,""),"")</f>
        <v/>
      </c>
      <c r="H3868" s="139">
        <f>IFERROR(IF(E3868&gt;0,E3868*IF(ISNUMBER(J3868),J3868,IF(OR(C3868="Alpha",B3868="Alpha"),$C$7,IF(C3868="Futures",$C$6,$C$5))),""),"")</f>
        <v/>
      </c>
      <c r="I3868" s="139">
        <f>IFERROR(IF(AND(ISNUMBER(F3868),ISNUMBER(H3868)),F3868-H3868,""),"")</f>
        <v/>
      </c>
      <c r="J3868" s="114" t="n"/>
      <c r="K3868" s="139">
        <f>IFERROR(IF(H3868&gt;0,H3868*IF(OR(C3868="Alpha",B3868="Alpha"),$C$9,$C$8),""),"")</f>
        <v/>
      </c>
      <c r="L3868" s="139">
        <f>IFERROR(IF(ISNUMBER(F3868),F3868-IF(ISNUMBER(K3868),K3868,0),""),"")</f>
        <v/>
      </c>
    </row>
    <row r="3869" ht="24" customHeight="1" s="63">
      <c r="E3869" s="139" t="n"/>
      <c r="F3869" s="139" t="n"/>
      <c r="G3869" s="140">
        <f>IFERROR(IF(E3869&gt;0,(F3869/E3869)*1000,""),"")</f>
        <v/>
      </c>
      <c r="H3869" s="139">
        <f>IFERROR(IF(E3869&gt;0,E3869*IF(ISNUMBER(J3869),J3869,IF(OR(C3869="Alpha",B3869="Alpha"),$C$7,IF(C3869="Futures",$C$6,$C$5))),""),"")</f>
        <v/>
      </c>
      <c r="I3869" s="139">
        <f>IFERROR(IF(AND(ISNUMBER(F3869),ISNUMBER(H3869)),F3869-H3869,""),"")</f>
        <v/>
      </c>
      <c r="J3869" s="114" t="n"/>
      <c r="K3869" s="139">
        <f>IFERROR(IF(H3869&gt;0,H3869*IF(OR(C3869="Alpha",B3869="Alpha"),$C$9,$C$8),""),"")</f>
        <v/>
      </c>
      <c r="L3869" s="139">
        <f>IFERROR(IF(ISNUMBER(F3869),F3869-IF(ISNUMBER(K3869),K3869,0),""),"")</f>
        <v/>
      </c>
    </row>
    <row r="3870" ht="24" customHeight="1" s="63">
      <c r="E3870" s="139" t="n"/>
      <c r="F3870" s="139" t="n"/>
      <c r="G3870" s="140">
        <f>IFERROR(IF(E3870&gt;0,(F3870/E3870)*1000,""),"")</f>
        <v/>
      </c>
      <c r="H3870" s="139">
        <f>IFERROR(IF(E3870&gt;0,E3870*IF(ISNUMBER(J3870),J3870,IF(OR(C3870="Alpha",B3870="Alpha"),$C$7,IF(C3870="Futures",$C$6,$C$5))),""),"")</f>
        <v/>
      </c>
      <c r="I3870" s="139">
        <f>IFERROR(IF(AND(ISNUMBER(F3870),ISNUMBER(H3870)),F3870-H3870,""),"")</f>
        <v/>
      </c>
      <c r="J3870" s="114" t="n"/>
      <c r="K3870" s="139">
        <f>IFERROR(IF(H3870&gt;0,H3870*IF(OR(C3870="Alpha",B3870="Alpha"),$C$9,$C$8),""),"")</f>
        <v/>
      </c>
      <c r="L3870" s="139">
        <f>IFERROR(IF(ISNUMBER(F3870),F3870-IF(ISNUMBER(K3870),K3870,0),""),"")</f>
        <v/>
      </c>
    </row>
    <row r="3871" ht="24" customHeight="1" s="63">
      <c r="E3871" s="139" t="n"/>
      <c r="F3871" s="139" t="n"/>
      <c r="G3871" s="140">
        <f>IFERROR(IF(E3871&gt;0,(F3871/E3871)*1000,""),"")</f>
        <v/>
      </c>
      <c r="H3871" s="139">
        <f>IFERROR(IF(E3871&gt;0,E3871*IF(ISNUMBER(J3871),J3871,IF(OR(C3871="Alpha",B3871="Alpha"),$C$7,IF(C3871="Futures",$C$6,$C$5))),""),"")</f>
        <v/>
      </c>
      <c r="I3871" s="139">
        <f>IFERROR(IF(AND(ISNUMBER(F3871),ISNUMBER(H3871)),F3871-H3871,""),"")</f>
        <v/>
      </c>
      <c r="J3871" s="114" t="n"/>
      <c r="K3871" s="139">
        <f>IFERROR(IF(H3871&gt;0,H3871*IF(OR(C3871="Alpha",B3871="Alpha"),$C$9,$C$8),""),"")</f>
        <v/>
      </c>
      <c r="L3871" s="139">
        <f>IFERROR(IF(ISNUMBER(F3871),F3871-IF(ISNUMBER(K3871),K3871,0),""),"")</f>
        <v/>
      </c>
    </row>
    <row r="3872" ht="24" customHeight="1" s="63">
      <c r="E3872" s="139" t="n"/>
      <c r="F3872" s="139" t="n"/>
      <c r="G3872" s="140">
        <f>IFERROR(IF(E3872&gt;0,(F3872/E3872)*1000,""),"")</f>
        <v/>
      </c>
      <c r="H3872" s="139">
        <f>IFERROR(IF(E3872&gt;0,E3872*IF(ISNUMBER(J3872),J3872,IF(OR(C3872="Alpha",B3872="Alpha"),$C$7,IF(C3872="Futures",$C$6,$C$5))),""),"")</f>
        <v/>
      </c>
      <c r="I3872" s="139">
        <f>IFERROR(IF(AND(ISNUMBER(F3872),ISNUMBER(H3872)),F3872-H3872,""),"")</f>
        <v/>
      </c>
      <c r="J3872" s="114" t="n"/>
      <c r="K3872" s="139">
        <f>IFERROR(IF(H3872&gt;0,H3872*IF(OR(C3872="Alpha",B3872="Alpha"),$C$9,$C$8),""),"")</f>
        <v/>
      </c>
      <c r="L3872" s="139">
        <f>IFERROR(IF(ISNUMBER(F3872),F3872-IF(ISNUMBER(K3872),K3872,0),""),"")</f>
        <v/>
      </c>
    </row>
    <row r="3873" ht="24" customHeight="1" s="63">
      <c r="E3873" s="139" t="n"/>
      <c r="F3873" s="139" t="n"/>
      <c r="G3873" s="140">
        <f>IFERROR(IF(E3873&gt;0,(F3873/E3873)*1000,""),"")</f>
        <v/>
      </c>
      <c r="H3873" s="139">
        <f>IFERROR(IF(E3873&gt;0,E3873*IF(ISNUMBER(J3873),J3873,IF(OR(C3873="Alpha",B3873="Alpha"),$C$7,IF(C3873="Futures",$C$6,$C$5))),""),"")</f>
        <v/>
      </c>
      <c r="I3873" s="139">
        <f>IFERROR(IF(AND(ISNUMBER(F3873),ISNUMBER(H3873)),F3873-H3873,""),"")</f>
        <v/>
      </c>
      <c r="J3873" s="114" t="n"/>
      <c r="K3873" s="139">
        <f>IFERROR(IF(H3873&gt;0,H3873*IF(OR(C3873="Alpha",B3873="Alpha"),$C$9,$C$8),""),"")</f>
        <v/>
      </c>
      <c r="L3873" s="139">
        <f>IFERROR(IF(ISNUMBER(F3873),F3873-IF(ISNUMBER(K3873),K3873,0),""),"")</f>
        <v/>
      </c>
    </row>
    <row r="3874" ht="24" customHeight="1" s="63">
      <c r="E3874" s="139" t="n"/>
      <c r="F3874" s="139" t="n"/>
      <c r="G3874" s="140">
        <f>IFERROR(IF(E3874&gt;0,(F3874/E3874)*1000,""),"")</f>
        <v/>
      </c>
      <c r="H3874" s="139">
        <f>IFERROR(IF(E3874&gt;0,E3874*IF(ISNUMBER(J3874),J3874,IF(OR(C3874="Alpha",B3874="Alpha"),$C$7,IF(C3874="Futures",$C$6,$C$5))),""),"")</f>
        <v/>
      </c>
      <c r="I3874" s="139">
        <f>IFERROR(IF(AND(ISNUMBER(F3874),ISNUMBER(H3874)),F3874-H3874,""),"")</f>
        <v/>
      </c>
      <c r="J3874" s="114" t="n"/>
      <c r="K3874" s="139">
        <f>IFERROR(IF(H3874&gt;0,H3874*IF(OR(C3874="Alpha",B3874="Alpha"),$C$9,$C$8),""),"")</f>
        <v/>
      </c>
      <c r="L3874" s="139">
        <f>IFERROR(IF(ISNUMBER(F3874),F3874-IF(ISNUMBER(K3874),K3874,0),""),"")</f>
        <v/>
      </c>
    </row>
    <row r="3875" ht="24" customHeight="1" s="63">
      <c r="E3875" s="139" t="n"/>
      <c r="F3875" s="139" t="n"/>
      <c r="G3875" s="140">
        <f>IFERROR(IF(E3875&gt;0,(F3875/E3875)*1000,""),"")</f>
        <v/>
      </c>
      <c r="H3875" s="139">
        <f>IFERROR(IF(E3875&gt;0,E3875*IF(ISNUMBER(J3875),J3875,IF(OR(C3875="Alpha",B3875="Alpha"),$C$7,IF(C3875="Futures",$C$6,$C$5))),""),"")</f>
        <v/>
      </c>
      <c r="I3875" s="139">
        <f>IFERROR(IF(AND(ISNUMBER(F3875),ISNUMBER(H3875)),F3875-H3875,""),"")</f>
        <v/>
      </c>
      <c r="J3875" s="114" t="n"/>
      <c r="K3875" s="139">
        <f>IFERROR(IF(H3875&gt;0,H3875*IF(OR(C3875="Alpha",B3875="Alpha"),$C$9,$C$8),""),"")</f>
        <v/>
      </c>
      <c r="L3875" s="139">
        <f>IFERROR(IF(ISNUMBER(F3875),F3875-IF(ISNUMBER(K3875),K3875,0),""),"")</f>
        <v/>
      </c>
    </row>
    <row r="3876" ht="24" customHeight="1" s="63">
      <c r="E3876" s="139" t="n"/>
      <c r="F3876" s="139" t="n"/>
      <c r="G3876" s="140">
        <f>IFERROR(IF(E3876&gt;0,(F3876/E3876)*1000,""),"")</f>
        <v/>
      </c>
      <c r="H3876" s="139">
        <f>IFERROR(IF(E3876&gt;0,E3876*IF(ISNUMBER(J3876),J3876,IF(OR(C3876="Alpha",B3876="Alpha"),$C$7,IF(C3876="Futures",$C$6,$C$5))),""),"")</f>
        <v/>
      </c>
      <c r="I3876" s="139">
        <f>IFERROR(IF(AND(ISNUMBER(F3876),ISNUMBER(H3876)),F3876-H3876,""),"")</f>
        <v/>
      </c>
      <c r="J3876" s="114" t="n"/>
      <c r="K3876" s="139">
        <f>IFERROR(IF(H3876&gt;0,H3876*IF(OR(C3876="Alpha",B3876="Alpha"),$C$9,$C$8),""),"")</f>
        <v/>
      </c>
      <c r="L3876" s="139">
        <f>IFERROR(IF(ISNUMBER(F3876),F3876-IF(ISNUMBER(K3876),K3876,0),""),"")</f>
        <v/>
      </c>
    </row>
    <row r="3877" ht="24" customHeight="1" s="63">
      <c r="E3877" s="139" t="n"/>
      <c r="F3877" s="139" t="n"/>
      <c r="G3877" s="140">
        <f>IFERROR(IF(E3877&gt;0,(F3877/E3877)*1000,""),"")</f>
        <v/>
      </c>
      <c r="H3877" s="139">
        <f>IFERROR(IF(E3877&gt;0,E3877*IF(ISNUMBER(J3877),J3877,IF(OR(C3877="Alpha",B3877="Alpha"),$C$7,IF(C3877="Futures",$C$6,$C$5))),""),"")</f>
        <v/>
      </c>
      <c r="I3877" s="139">
        <f>IFERROR(IF(AND(ISNUMBER(F3877),ISNUMBER(H3877)),F3877-H3877,""),"")</f>
        <v/>
      </c>
      <c r="J3877" s="114" t="n"/>
      <c r="K3877" s="139">
        <f>IFERROR(IF(H3877&gt;0,H3877*IF(OR(C3877="Alpha",B3877="Alpha"),$C$9,$C$8),""),"")</f>
        <v/>
      </c>
      <c r="L3877" s="139">
        <f>IFERROR(IF(ISNUMBER(F3877),F3877-IF(ISNUMBER(K3877),K3877,0),""),"")</f>
        <v/>
      </c>
    </row>
    <row r="3878" ht="24" customHeight="1" s="63">
      <c r="E3878" s="139" t="n"/>
      <c r="F3878" s="139" t="n"/>
      <c r="G3878" s="140">
        <f>IFERROR(IF(E3878&gt;0,(F3878/E3878)*1000,""),"")</f>
        <v/>
      </c>
      <c r="H3878" s="139">
        <f>IFERROR(IF(E3878&gt;0,E3878*IF(ISNUMBER(J3878),J3878,IF(OR(C3878="Alpha",B3878="Alpha"),$C$7,IF(C3878="Futures",$C$6,$C$5))),""),"")</f>
        <v/>
      </c>
      <c r="I3878" s="139">
        <f>IFERROR(IF(AND(ISNUMBER(F3878),ISNUMBER(H3878)),F3878-H3878,""),"")</f>
        <v/>
      </c>
      <c r="J3878" s="114" t="n"/>
      <c r="K3878" s="139">
        <f>IFERROR(IF(H3878&gt;0,H3878*IF(OR(C3878="Alpha",B3878="Alpha"),$C$9,$C$8),""),"")</f>
        <v/>
      </c>
      <c r="L3878" s="139">
        <f>IFERROR(IF(ISNUMBER(F3878),F3878-IF(ISNUMBER(K3878),K3878,0),""),"")</f>
        <v/>
      </c>
    </row>
    <row r="3879" ht="24" customHeight="1" s="63">
      <c r="E3879" s="139" t="n"/>
      <c r="F3879" s="139" t="n"/>
      <c r="G3879" s="140">
        <f>IFERROR(IF(E3879&gt;0,(F3879/E3879)*1000,""),"")</f>
        <v/>
      </c>
      <c r="H3879" s="139">
        <f>IFERROR(IF(E3879&gt;0,E3879*IF(ISNUMBER(J3879),J3879,IF(OR(C3879="Alpha",B3879="Alpha"),$C$7,IF(C3879="Futures",$C$6,$C$5))),""),"")</f>
        <v/>
      </c>
      <c r="I3879" s="139">
        <f>IFERROR(IF(AND(ISNUMBER(F3879),ISNUMBER(H3879)),F3879-H3879,""),"")</f>
        <v/>
      </c>
      <c r="J3879" s="114" t="n"/>
      <c r="K3879" s="139">
        <f>IFERROR(IF(H3879&gt;0,H3879*IF(OR(C3879="Alpha",B3879="Alpha"),$C$9,$C$8),""),"")</f>
        <v/>
      </c>
      <c r="L3879" s="139">
        <f>IFERROR(IF(ISNUMBER(F3879),F3879-IF(ISNUMBER(K3879),K3879,0),""),"")</f>
        <v/>
      </c>
    </row>
    <row r="3880" ht="24" customHeight="1" s="63">
      <c r="E3880" s="139" t="n"/>
      <c r="F3880" s="139" t="n"/>
      <c r="G3880" s="140">
        <f>IFERROR(IF(E3880&gt;0,(F3880/E3880)*1000,""),"")</f>
        <v/>
      </c>
      <c r="H3880" s="139">
        <f>IFERROR(IF(E3880&gt;0,E3880*IF(ISNUMBER(J3880),J3880,IF(OR(C3880="Alpha",B3880="Alpha"),$C$7,IF(C3880="Futures",$C$6,$C$5))),""),"")</f>
        <v/>
      </c>
      <c r="I3880" s="139">
        <f>IFERROR(IF(AND(ISNUMBER(F3880),ISNUMBER(H3880)),F3880-H3880,""),"")</f>
        <v/>
      </c>
      <c r="J3880" s="114" t="n"/>
      <c r="K3880" s="139">
        <f>IFERROR(IF(H3880&gt;0,H3880*IF(OR(C3880="Alpha",B3880="Alpha"),$C$9,$C$8),""),"")</f>
        <v/>
      </c>
      <c r="L3880" s="139">
        <f>IFERROR(IF(ISNUMBER(F3880),F3880-IF(ISNUMBER(K3880),K3880,0),""),"")</f>
        <v/>
      </c>
    </row>
    <row r="3881" ht="24" customHeight="1" s="63">
      <c r="E3881" s="139" t="n"/>
      <c r="F3881" s="139" t="n"/>
      <c r="G3881" s="140">
        <f>IFERROR(IF(E3881&gt;0,(F3881/E3881)*1000,""),"")</f>
        <v/>
      </c>
      <c r="H3881" s="139">
        <f>IFERROR(IF(E3881&gt;0,E3881*IF(ISNUMBER(J3881),J3881,IF(OR(C3881="Alpha",B3881="Alpha"),$C$7,IF(C3881="Futures",$C$6,$C$5))),""),"")</f>
        <v/>
      </c>
      <c r="I3881" s="139">
        <f>IFERROR(IF(AND(ISNUMBER(F3881),ISNUMBER(H3881)),F3881-H3881,""),"")</f>
        <v/>
      </c>
      <c r="J3881" s="114" t="n"/>
      <c r="K3881" s="139">
        <f>IFERROR(IF(H3881&gt;0,H3881*IF(OR(C3881="Alpha",B3881="Alpha"),$C$9,$C$8),""),"")</f>
        <v/>
      </c>
      <c r="L3881" s="139">
        <f>IFERROR(IF(ISNUMBER(F3881),F3881-IF(ISNUMBER(K3881),K3881,0),""),"")</f>
        <v/>
      </c>
    </row>
    <row r="3882" ht="24" customHeight="1" s="63">
      <c r="E3882" s="139" t="n"/>
      <c r="F3882" s="139" t="n"/>
      <c r="G3882" s="140">
        <f>IFERROR(IF(E3882&gt;0,(F3882/E3882)*1000,""),"")</f>
        <v/>
      </c>
      <c r="H3882" s="139">
        <f>IFERROR(IF(E3882&gt;0,E3882*IF(ISNUMBER(J3882),J3882,IF(OR(C3882="Alpha",B3882="Alpha"),$C$7,IF(C3882="Futures",$C$6,$C$5))),""),"")</f>
        <v/>
      </c>
      <c r="I3882" s="139">
        <f>IFERROR(IF(AND(ISNUMBER(F3882),ISNUMBER(H3882)),F3882-H3882,""),"")</f>
        <v/>
      </c>
      <c r="J3882" s="114" t="n"/>
      <c r="K3882" s="139">
        <f>IFERROR(IF(H3882&gt;0,H3882*IF(OR(C3882="Alpha",B3882="Alpha"),$C$9,$C$8),""),"")</f>
        <v/>
      </c>
      <c r="L3882" s="139">
        <f>IFERROR(IF(ISNUMBER(F3882),F3882-IF(ISNUMBER(K3882),K3882,0),""),"")</f>
        <v/>
      </c>
    </row>
    <row r="3883" ht="24" customHeight="1" s="63">
      <c r="E3883" s="139" t="n"/>
      <c r="F3883" s="139" t="n"/>
      <c r="G3883" s="140">
        <f>IFERROR(IF(E3883&gt;0,(F3883/E3883)*1000,""),"")</f>
        <v/>
      </c>
      <c r="H3883" s="139">
        <f>IFERROR(IF(E3883&gt;0,E3883*IF(ISNUMBER(J3883),J3883,IF(OR(C3883="Alpha",B3883="Alpha"),$C$7,IF(C3883="Futures",$C$6,$C$5))),""),"")</f>
        <v/>
      </c>
      <c r="I3883" s="139">
        <f>IFERROR(IF(AND(ISNUMBER(F3883),ISNUMBER(H3883)),F3883-H3883,""),"")</f>
        <v/>
      </c>
      <c r="J3883" s="114" t="n"/>
      <c r="K3883" s="139">
        <f>IFERROR(IF(H3883&gt;0,H3883*IF(OR(C3883="Alpha",B3883="Alpha"),$C$9,$C$8),""),"")</f>
        <v/>
      </c>
      <c r="L3883" s="139">
        <f>IFERROR(IF(ISNUMBER(F3883),F3883-IF(ISNUMBER(K3883),K3883,0),""),"")</f>
        <v/>
      </c>
    </row>
    <row r="3884" ht="24" customHeight="1" s="63">
      <c r="E3884" s="139" t="n"/>
      <c r="F3884" s="139" t="n"/>
      <c r="G3884" s="140">
        <f>IFERROR(IF(E3884&gt;0,(F3884/E3884)*1000,""),"")</f>
        <v/>
      </c>
      <c r="H3884" s="139">
        <f>IFERROR(IF(E3884&gt;0,E3884*IF(ISNUMBER(J3884),J3884,IF(OR(C3884="Alpha",B3884="Alpha"),$C$7,IF(C3884="Futures",$C$6,$C$5))),""),"")</f>
        <v/>
      </c>
      <c r="I3884" s="139">
        <f>IFERROR(IF(AND(ISNUMBER(F3884),ISNUMBER(H3884)),F3884-H3884,""),"")</f>
        <v/>
      </c>
      <c r="J3884" s="114" t="n"/>
      <c r="K3884" s="139">
        <f>IFERROR(IF(H3884&gt;0,H3884*IF(OR(C3884="Alpha",B3884="Alpha"),$C$9,$C$8),""),"")</f>
        <v/>
      </c>
      <c r="L3884" s="139">
        <f>IFERROR(IF(ISNUMBER(F3884),F3884-IF(ISNUMBER(K3884),K3884,0),""),"")</f>
        <v/>
      </c>
    </row>
    <row r="3885" ht="24" customHeight="1" s="63">
      <c r="E3885" s="139" t="n"/>
      <c r="F3885" s="139" t="n"/>
      <c r="G3885" s="140">
        <f>IFERROR(IF(E3885&gt;0,(F3885/E3885)*1000,""),"")</f>
        <v/>
      </c>
      <c r="H3885" s="139">
        <f>IFERROR(IF(E3885&gt;0,E3885*IF(ISNUMBER(J3885),J3885,IF(OR(C3885="Alpha",B3885="Alpha"),$C$7,IF(C3885="Futures",$C$6,$C$5))),""),"")</f>
        <v/>
      </c>
      <c r="I3885" s="139">
        <f>IFERROR(IF(AND(ISNUMBER(F3885),ISNUMBER(H3885)),F3885-H3885,""),"")</f>
        <v/>
      </c>
      <c r="J3885" s="114" t="n"/>
      <c r="K3885" s="139">
        <f>IFERROR(IF(H3885&gt;0,H3885*IF(OR(C3885="Alpha",B3885="Alpha"),$C$9,$C$8),""),"")</f>
        <v/>
      </c>
      <c r="L3885" s="139">
        <f>IFERROR(IF(ISNUMBER(F3885),F3885-IF(ISNUMBER(K3885),K3885,0),""),"")</f>
        <v/>
      </c>
    </row>
    <row r="3886" ht="24" customHeight="1" s="63">
      <c r="E3886" s="139" t="n"/>
      <c r="F3886" s="139" t="n"/>
      <c r="G3886" s="140">
        <f>IFERROR(IF(E3886&gt;0,(F3886/E3886)*1000,""),"")</f>
        <v/>
      </c>
      <c r="H3886" s="139">
        <f>IFERROR(IF(E3886&gt;0,E3886*IF(ISNUMBER(J3886),J3886,IF(OR(C3886="Alpha",B3886="Alpha"),$C$7,IF(C3886="Futures",$C$6,$C$5))),""),"")</f>
        <v/>
      </c>
      <c r="I3886" s="139">
        <f>IFERROR(IF(AND(ISNUMBER(F3886),ISNUMBER(H3886)),F3886-H3886,""),"")</f>
        <v/>
      </c>
      <c r="J3886" s="114" t="n"/>
      <c r="K3886" s="139">
        <f>IFERROR(IF(H3886&gt;0,H3886*IF(OR(C3886="Alpha",B3886="Alpha"),$C$9,$C$8),""),"")</f>
        <v/>
      </c>
      <c r="L3886" s="139">
        <f>IFERROR(IF(ISNUMBER(F3886),F3886-IF(ISNUMBER(K3886),K3886,0),""),"")</f>
        <v/>
      </c>
    </row>
    <row r="3887" ht="24" customHeight="1" s="63">
      <c r="E3887" s="139" t="n"/>
      <c r="F3887" s="139" t="n"/>
      <c r="G3887" s="140">
        <f>IFERROR(IF(E3887&gt;0,(F3887/E3887)*1000,""),"")</f>
        <v/>
      </c>
      <c r="H3887" s="139">
        <f>IFERROR(IF(E3887&gt;0,E3887*IF(ISNUMBER(J3887),J3887,IF(OR(C3887="Alpha",B3887="Alpha"),$C$7,IF(C3887="Futures",$C$6,$C$5))),""),"")</f>
        <v/>
      </c>
      <c r="I3887" s="139">
        <f>IFERROR(IF(AND(ISNUMBER(F3887),ISNUMBER(H3887)),F3887-H3887,""),"")</f>
        <v/>
      </c>
      <c r="J3887" s="114" t="n"/>
      <c r="K3887" s="139">
        <f>IFERROR(IF(H3887&gt;0,H3887*IF(OR(C3887="Alpha",B3887="Alpha"),$C$9,$C$8),""),"")</f>
        <v/>
      </c>
      <c r="L3887" s="139">
        <f>IFERROR(IF(ISNUMBER(F3887),F3887-IF(ISNUMBER(K3887),K3887,0),""),"")</f>
        <v/>
      </c>
    </row>
    <row r="3888" ht="24" customHeight="1" s="63">
      <c r="E3888" s="139" t="n"/>
      <c r="F3888" s="139" t="n"/>
      <c r="G3888" s="140">
        <f>IFERROR(IF(E3888&gt;0,(F3888/E3888)*1000,""),"")</f>
        <v/>
      </c>
      <c r="H3888" s="139">
        <f>IFERROR(IF(E3888&gt;0,E3888*IF(ISNUMBER(J3888),J3888,IF(OR(C3888="Alpha",B3888="Alpha"),$C$7,IF(C3888="Futures",$C$6,$C$5))),""),"")</f>
        <v/>
      </c>
      <c r="I3888" s="139">
        <f>IFERROR(IF(AND(ISNUMBER(F3888),ISNUMBER(H3888)),F3888-H3888,""),"")</f>
        <v/>
      </c>
      <c r="J3888" s="114" t="n"/>
      <c r="K3888" s="139">
        <f>IFERROR(IF(H3888&gt;0,H3888*IF(OR(C3888="Alpha",B3888="Alpha"),$C$9,$C$8),""),"")</f>
        <v/>
      </c>
      <c r="L3888" s="139">
        <f>IFERROR(IF(ISNUMBER(F3888),F3888-IF(ISNUMBER(K3888),K3888,0),""),"")</f>
        <v/>
      </c>
    </row>
    <row r="3889" ht="24" customHeight="1" s="63">
      <c r="E3889" s="139" t="n"/>
      <c r="F3889" s="139" t="n"/>
      <c r="G3889" s="140">
        <f>IFERROR(IF(E3889&gt;0,(F3889/E3889)*1000,""),"")</f>
        <v/>
      </c>
      <c r="H3889" s="139">
        <f>IFERROR(IF(E3889&gt;0,E3889*IF(ISNUMBER(J3889),J3889,IF(OR(C3889="Alpha",B3889="Alpha"),$C$7,IF(C3889="Futures",$C$6,$C$5))),""),"")</f>
        <v/>
      </c>
      <c r="I3889" s="139">
        <f>IFERROR(IF(AND(ISNUMBER(F3889),ISNUMBER(H3889)),F3889-H3889,""),"")</f>
        <v/>
      </c>
      <c r="J3889" s="114" t="n"/>
      <c r="K3889" s="139">
        <f>IFERROR(IF(H3889&gt;0,H3889*IF(OR(C3889="Alpha",B3889="Alpha"),$C$9,$C$8),""),"")</f>
        <v/>
      </c>
      <c r="L3889" s="139">
        <f>IFERROR(IF(ISNUMBER(F3889),F3889-IF(ISNUMBER(K3889),K3889,0),""),"")</f>
        <v/>
      </c>
    </row>
    <row r="3890" ht="24" customHeight="1" s="63">
      <c r="E3890" s="139" t="n"/>
      <c r="F3890" s="139" t="n"/>
      <c r="G3890" s="140">
        <f>IFERROR(IF(E3890&gt;0,(F3890/E3890)*1000,""),"")</f>
        <v/>
      </c>
      <c r="H3890" s="139">
        <f>IFERROR(IF(E3890&gt;0,E3890*IF(ISNUMBER(J3890),J3890,IF(OR(C3890="Alpha",B3890="Alpha"),$C$7,IF(C3890="Futures",$C$6,$C$5))),""),"")</f>
        <v/>
      </c>
      <c r="I3890" s="139">
        <f>IFERROR(IF(AND(ISNUMBER(F3890),ISNUMBER(H3890)),F3890-H3890,""),"")</f>
        <v/>
      </c>
      <c r="J3890" s="114" t="n"/>
      <c r="K3890" s="139">
        <f>IFERROR(IF(H3890&gt;0,H3890*IF(OR(C3890="Alpha",B3890="Alpha"),$C$9,$C$8),""),"")</f>
        <v/>
      </c>
      <c r="L3890" s="139">
        <f>IFERROR(IF(ISNUMBER(F3890),F3890-IF(ISNUMBER(K3890),K3890,0),""),"")</f>
        <v/>
      </c>
    </row>
    <row r="3891" ht="24" customHeight="1" s="63">
      <c r="E3891" s="139" t="n"/>
      <c r="F3891" s="139" t="n"/>
      <c r="G3891" s="140">
        <f>IFERROR(IF(E3891&gt;0,(F3891/E3891)*1000,""),"")</f>
        <v/>
      </c>
      <c r="H3891" s="139">
        <f>IFERROR(IF(E3891&gt;0,E3891*IF(ISNUMBER(J3891),J3891,IF(OR(C3891="Alpha",B3891="Alpha"),$C$7,IF(C3891="Futures",$C$6,$C$5))),""),"")</f>
        <v/>
      </c>
      <c r="I3891" s="139">
        <f>IFERROR(IF(AND(ISNUMBER(F3891),ISNUMBER(H3891)),F3891-H3891,""),"")</f>
        <v/>
      </c>
      <c r="J3891" s="114" t="n"/>
      <c r="K3891" s="139">
        <f>IFERROR(IF(H3891&gt;0,H3891*IF(OR(C3891="Alpha",B3891="Alpha"),$C$9,$C$8),""),"")</f>
        <v/>
      </c>
      <c r="L3891" s="139">
        <f>IFERROR(IF(ISNUMBER(F3891),F3891-IF(ISNUMBER(K3891),K3891,0),""),"")</f>
        <v/>
      </c>
    </row>
    <row r="3892" ht="24" customHeight="1" s="63">
      <c r="E3892" s="139" t="n"/>
      <c r="F3892" s="139" t="n"/>
      <c r="G3892" s="140">
        <f>IFERROR(IF(E3892&gt;0,(F3892/E3892)*1000,""),"")</f>
        <v/>
      </c>
      <c r="H3892" s="139">
        <f>IFERROR(IF(E3892&gt;0,E3892*IF(ISNUMBER(J3892),J3892,IF(OR(C3892="Alpha",B3892="Alpha"),$C$7,IF(C3892="Futures",$C$6,$C$5))),""),"")</f>
        <v/>
      </c>
      <c r="I3892" s="139">
        <f>IFERROR(IF(AND(ISNUMBER(F3892),ISNUMBER(H3892)),F3892-H3892,""),"")</f>
        <v/>
      </c>
      <c r="J3892" s="114" t="n"/>
      <c r="K3892" s="139">
        <f>IFERROR(IF(H3892&gt;0,H3892*IF(OR(C3892="Alpha",B3892="Alpha"),$C$9,$C$8),""),"")</f>
        <v/>
      </c>
      <c r="L3892" s="139">
        <f>IFERROR(IF(ISNUMBER(F3892),F3892-IF(ISNUMBER(K3892),K3892,0),""),"")</f>
        <v/>
      </c>
    </row>
    <row r="3893" ht="24" customHeight="1" s="63">
      <c r="E3893" s="139" t="n"/>
      <c r="F3893" s="139" t="n"/>
      <c r="G3893" s="140">
        <f>IFERROR(IF(E3893&gt;0,(F3893/E3893)*1000,""),"")</f>
        <v/>
      </c>
      <c r="H3893" s="139">
        <f>IFERROR(IF(E3893&gt;0,E3893*IF(ISNUMBER(J3893),J3893,IF(OR(C3893="Alpha",B3893="Alpha"),$C$7,IF(C3893="Futures",$C$6,$C$5))),""),"")</f>
        <v/>
      </c>
      <c r="I3893" s="139">
        <f>IFERROR(IF(AND(ISNUMBER(F3893),ISNUMBER(H3893)),F3893-H3893,""),"")</f>
        <v/>
      </c>
      <c r="J3893" s="114" t="n"/>
      <c r="K3893" s="139">
        <f>IFERROR(IF(H3893&gt;0,H3893*IF(OR(C3893="Alpha",B3893="Alpha"),$C$9,$C$8),""),"")</f>
        <v/>
      </c>
      <c r="L3893" s="139">
        <f>IFERROR(IF(ISNUMBER(F3893),F3893-IF(ISNUMBER(K3893),K3893,0),""),"")</f>
        <v/>
      </c>
    </row>
    <row r="3894" ht="24" customHeight="1" s="63">
      <c r="E3894" s="139" t="n"/>
      <c r="F3894" s="139" t="n"/>
      <c r="G3894" s="140">
        <f>IFERROR(IF(E3894&gt;0,(F3894/E3894)*1000,""),"")</f>
        <v/>
      </c>
      <c r="H3894" s="139">
        <f>IFERROR(IF(E3894&gt;0,E3894*IF(ISNUMBER(J3894),J3894,IF(OR(C3894="Alpha",B3894="Alpha"),$C$7,IF(C3894="Futures",$C$6,$C$5))),""),"")</f>
        <v/>
      </c>
      <c r="I3894" s="139">
        <f>IFERROR(IF(AND(ISNUMBER(F3894),ISNUMBER(H3894)),F3894-H3894,""),"")</f>
        <v/>
      </c>
      <c r="J3894" s="114" t="n"/>
      <c r="K3894" s="139">
        <f>IFERROR(IF(H3894&gt;0,H3894*IF(OR(C3894="Alpha",B3894="Alpha"),$C$9,$C$8),""),"")</f>
        <v/>
      </c>
      <c r="L3894" s="139">
        <f>IFERROR(IF(ISNUMBER(F3894),F3894-IF(ISNUMBER(K3894),K3894,0),""),"")</f>
        <v/>
      </c>
    </row>
    <row r="3895" ht="24" customHeight="1" s="63">
      <c r="E3895" s="139" t="n"/>
      <c r="F3895" s="139" t="n"/>
      <c r="G3895" s="140">
        <f>IFERROR(IF(E3895&gt;0,(F3895/E3895)*1000,""),"")</f>
        <v/>
      </c>
      <c r="H3895" s="139">
        <f>IFERROR(IF(E3895&gt;0,E3895*IF(ISNUMBER(J3895),J3895,IF(OR(C3895="Alpha",B3895="Alpha"),$C$7,IF(C3895="Futures",$C$6,$C$5))),""),"")</f>
        <v/>
      </c>
      <c r="I3895" s="139">
        <f>IFERROR(IF(AND(ISNUMBER(F3895),ISNUMBER(H3895)),F3895-H3895,""),"")</f>
        <v/>
      </c>
      <c r="J3895" s="114" t="n"/>
      <c r="K3895" s="139">
        <f>IFERROR(IF(H3895&gt;0,H3895*IF(OR(C3895="Alpha",B3895="Alpha"),$C$9,$C$8),""),"")</f>
        <v/>
      </c>
      <c r="L3895" s="139">
        <f>IFERROR(IF(ISNUMBER(F3895),F3895-IF(ISNUMBER(K3895),K3895,0),""),"")</f>
        <v/>
      </c>
    </row>
    <row r="3896" ht="24" customHeight="1" s="63">
      <c r="E3896" s="139" t="n"/>
      <c r="F3896" s="139" t="n"/>
      <c r="G3896" s="140">
        <f>IFERROR(IF(E3896&gt;0,(F3896/E3896)*1000,""),"")</f>
        <v/>
      </c>
      <c r="H3896" s="139">
        <f>IFERROR(IF(E3896&gt;0,E3896*IF(ISNUMBER(J3896),J3896,IF(OR(C3896="Alpha",B3896="Alpha"),$C$7,IF(C3896="Futures",$C$6,$C$5))),""),"")</f>
        <v/>
      </c>
      <c r="I3896" s="139">
        <f>IFERROR(IF(AND(ISNUMBER(F3896),ISNUMBER(H3896)),F3896-H3896,""),"")</f>
        <v/>
      </c>
      <c r="J3896" s="114" t="n"/>
      <c r="K3896" s="139">
        <f>IFERROR(IF(H3896&gt;0,H3896*IF(OR(C3896="Alpha",B3896="Alpha"),$C$9,$C$8),""),"")</f>
        <v/>
      </c>
      <c r="L3896" s="139">
        <f>IFERROR(IF(ISNUMBER(F3896),F3896-IF(ISNUMBER(K3896),K3896,0),""),"")</f>
        <v/>
      </c>
    </row>
    <row r="3897" ht="24" customHeight="1" s="63">
      <c r="E3897" s="139" t="n"/>
      <c r="F3897" s="139" t="n"/>
      <c r="G3897" s="140">
        <f>IFERROR(IF(E3897&gt;0,(F3897/E3897)*1000,""),"")</f>
        <v/>
      </c>
      <c r="H3897" s="139">
        <f>IFERROR(IF(E3897&gt;0,E3897*IF(ISNUMBER(J3897),J3897,IF(OR(C3897="Alpha",B3897="Alpha"),$C$7,IF(C3897="Futures",$C$6,$C$5))),""),"")</f>
        <v/>
      </c>
      <c r="I3897" s="139">
        <f>IFERROR(IF(AND(ISNUMBER(F3897),ISNUMBER(H3897)),F3897-H3897,""),"")</f>
        <v/>
      </c>
      <c r="J3897" s="114" t="n"/>
      <c r="K3897" s="139">
        <f>IFERROR(IF(H3897&gt;0,H3897*IF(OR(C3897="Alpha",B3897="Alpha"),$C$9,$C$8),""),"")</f>
        <v/>
      </c>
      <c r="L3897" s="139">
        <f>IFERROR(IF(ISNUMBER(F3897),F3897-IF(ISNUMBER(K3897),K3897,0),""),"")</f>
        <v/>
      </c>
    </row>
    <row r="3898" ht="24" customHeight="1" s="63">
      <c r="E3898" s="139" t="n"/>
      <c r="F3898" s="139" t="n"/>
      <c r="G3898" s="140">
        <f>IFERROR(IF(E3898&gt;0,(F3898/E3898)*1000,""),"")</f>
        <v/>
      </c>
      <c r="H3898" s="139">
        <f>IFERROR(IF(E3898&gt;0,E3898*IF(ISNUMBER(J3898),J3898,IF(OR(C3898="Alpha",B3898="Alpha"),$C$7,IF(C3898="Futures",$C$6,$C$5))),""),"")</f>
        <v/>
      </c>
      <c r="I3898" s="139">
        <f>IFERROR(IF(AND(ISNUMBER(F3898),ISNUMBER(H3898)),F3898-H3898,""),"")</f>
        <v/>
      </c>
      <c r="J3898" s="114" t="n"/>
      <c r="K3898" s="139">
        <f>IFERROR(IF(H3898&gt;0,H3898*IF(OR(C3898="Alpha",B3898="Alpha"),$C$9,$C$8),""),"")</f>
        <v/>
      </c>
      <c r="L3898" s="139">
        <f>IFERROR(IF(ISNUMBER(F3898),F3898-IF(ISNUMBER(K3898),K3898,0),""),"")</f>
        <v/>
      </c>
    </row>
    <row r="3899" ht="24" customHeight="1" s="63">
      <c r="E3899" s="139" t="n"/>
      <c r="F3899" s="139" t="n"/>
      <c r="G3899" s="140">
        <f>IFERROR(IF(E3899&gt;0,(F3899/E3899)*1000,""),"")</f>
        <v/>
      </c>
      <c r="H3899" s="139">
        <f>IFERROR(IF(E3899&gt;0,E3899*IF(ISNUMBER(J3899),J3899,IF(OR(C3899="Alpha",B3899="Alpha"),$C$7,IF(C3899="Futures",$C$6,$C$5))),""),"")</f>
        <v/>
      </c>
      <c r="I3899" s="139">
        <f>IFERROR(IF(AND(ISNUMBER(F3899),ISNUMBER(H3899)),F3899-H3899,""),"")</f>
        <v/>
      </c>
      <c r="J3899" s="114" t="n"/>
      <c r="K3899" s="139">
        <f>IFERROR(IF(H3899&gt;0,H3899*IF(OR(C3899="Alpha",B3899="Alpha"),$C$9,$C$8),""),"")</f>
        <v/>
      </c>
      <c r="L3899" s="139">
        <f>IFERROR(IF(ISNUMBER(F3899),F3899-IF(ISNUMBER(K3899),K3899,0),""),"")</f>
        <v/>
      </c>
    </row>
    <row r="3900" ht="24" customHeight="1" s="63">
      <c r="E3900" s="139" t="n"/>
      <c r="F3900" s="139" t="n"/>
      <c r="G3900" s="140">
        <f>IFERROR(IF(E3900&gt;0,(F3900/E3900)*1000,""),"")</f>
        <v/>
      </c>
      <c r="H3900" s="139">
        <f>IFERROR(IF(E3900&gt;0,E3900*IF(ISNUMBER(J3900),J3900,IF(OR(C3900="Alpha",B3900="Alpha"),$C$7,IF(C3900="Futures",$C$6,$C$5))),""),"")</f>
        <v/>
      </c>
      <c r="I3900" s="139">
        <f>IFERROR(IF(AND(ISNUMBER(F3900),ISNUMBER(H3900)),F3900-H3900,""),"")</f>
        <v/>
      </c>
      <c r="J3900" s="114" t="n"/>
      <c r="K3900" s="139">
        <f>IFERROR(IF(H3900&gt;0,H3900*IF(OR(C3900="Alpha",B3900="Alpha"),$C$9,$C$8),""),"")</f>
        <v/>
      </c>
      <c r="L3900" s="139">
        <f>IFERROR(IF(ISNUMBER(F3900),F3900-IF(ISNUMBER(K3900),K3900,0),""),"")</f>
        <v/>
      </c>
    </row>
    <row r="3901" ht="24" customHeight="1" s="63">
      <c r="E3901" s="139" t="n"/>
      <c r="F3901" s="139" t="n"/>
      <c r="G3901" s="140">
        <f>IFERROR(IF(E3901&gt;0,(F3901/E3901)*1000,""),"")</f>
        <v/>
      </c>
      <c r="H3901" s="139">
        <f>IFERROR(IF(E3901&gt;0,E3901*IF(ISNUMBER(J3901),J3901,IF(OR(C3901="Alpha",B3901="Alpha"),$C$7,IF(C3901="Futures",$C$6,$C$5))),""),"")</f>
        <v/>
      </c>
      <c r="I3901" s="139">
        <f>IFERROR(IF(AND(ISNUMBER(F3901),ISNUMBER(H3901)),F3901-H3901,""),"")</f>
        <v/>
      </c>
      <c r="J3901" s="114" t="n"/>
      <c r="K3901" s="139">
        <f>IFERROR(IF(H3901&gt;0,H3901*IF(OR(C3901="Alpha",B3901="Alpha"),$C$9,$C$8),""),"")</f>
        <v/>
      </c>
      <c r="L3901" s="139">
        <f>IFERROR(IF(ISNUMBER(F3901),F3901-IF(ISNUMBER(K3901),K3901,0),""),"")</f>
        <v/>
      </c>
    </row>
    <row r="3902" ht="24" customHeight="1" s="63">
      <c r="E3902" s="139" t="n"/>
      <c r="F3902" s="139" t="n"/>
      <c r="G3902" s="140">
        <f>IFERROR(IF(E3902&gt;0,(F3902/E3902)*1000,""),"")</f>
        <v/>
      </c>
      <c r="H3902" s="139">
        <f>IFERROR(IF(E3902&gt;0,E3902*IF(ISNUMBER(J3902),J3902,IF(OR(C3902="Alpha",B3902="Alpha"),$C$7,IF(C3902="Futures",$C$6,$C$5))),""),"")</f>
        <v/>
      </c>
      <c r="I3902" s="139">
        <f>IFERROR(IF(AND(ISNUMBER(F3902),ISNUMBER(H3902)),F3902-H3902,""),"")</f>
        <v/>
      </c>
      <c r="J3902" s="114" t="n"/>
      <c r="K3902" s="139">
        <f>IFERROR(IF(H3902&gt;0,H3902*IF(OR(C3902="Alpha",B3902="Alpha"),$C$9,$C$8),""),"")</f>
        <v/>
      </c>
      <c r="L3902" s="139">
        <f>IFERROR(IF(ISNUMBER(F3902),F3902-IF(ISNUMBER(K3902),K3902,0),""),"")</f>
        <v/>
      </c>
    </row>
    <row r="3903" ht="24" customHeight="1" s="63">
      <c r="E3903" s="139" t="n"/>
      <c r="F3903" s="139" t="n"/>
      <c r="G3903" s="140">
        <f>IFERROR(IF(E3903&gt;0,(F3903/E3903)*1000,""),"")</f>
        <v/>
      </c>
      <c r="H3903" s="139">
        <f>IFERROR(IF(E3903&gt;0,E3903*IF(ISNUMBER(J3903),J3903,IF(OR(C3903="Alpha",B3903="Alpha"),$C$7,IF(C3903="Futures",$C$6,$C$5))),""),"")</f>
        <v/>
      </c>
      <c r="I3903" s="139">
        <f>IFERROR(IF(AND(ISNUMBER(F3903),ISNUMBER(H3903)),F3903-H3903,""),"")</f>
        <v/>
      </c>
      <c r="J3903" s="114" t="n"/>
      <c r="K3903" s="139">
        <f>IFERROR(IF(H3903&gt;0,H3903*IF(OR(C3903="Alpha",B3903="Alpha"),$C$9,$C$8),""),"")</f>
        <v/>
      </c>
      <c r="L3903" s="139">
        <f>IFERROR(IF(ISNUMBER(F3903),F3903-IF(ISNUMBER(K3903),K3903,0),""),"")</f>
        <v/>
      </c>
    </row>
    <row r="3904" ht="24" customHeight="1" s="63">
      <c r="E3904" s="139" t="n"/>
      <c r="F3904" s="139" t="n"/>
      <c r="G3904" s="140">
        <f>IFERROR(IF(E3904&gt;0,(F3904/E3904)*1000,""),"")</f>
        <v/>
      </c>
      <c r="H3904" s="139">
        <f>IFERROR(IF(E3904&gt;0,E3904*IF(ISNUMBER(J3904),J3904,IF(OR(C3904="Alpha",B3904="Alpha"),$C$7,IF(C3904="Futures",$C$6,$C$5))),""),"")</f>
        <v/>
      </c>
      <c r="I3904" s="139">
        <f>IFERROR(IF(AND(ISNUMBER(F3904),ISNUMBER(H3904)),F3904-H3904,""),"")</f>
        <v/>
      </c>
      <c r="J3904" s="114" t="n"/>
      <c r="K3904" s="139">
        <f>IFERROR(IF(H3904&gt;0,H3904*IF(OR(C3904="Alpha",B3904="Alpha"),$C$9,$C$8),""),"")</f>
        <v/>
      </c>
      <c r="L3904" s="139">
        <f>IFERROR(IF(ISNUMBER(F3904),F3904-IF(ISNUMBER(K3904),K3904,0),""),"")</f>
        <v/>
      </c>
    </row>
    <row r="3905" ht="24" customHeight="1" s="63">
      <c r="E3905" s="139" t="n"/>
      <c r="F3905" s="139" t="n"/>
      <c r="G3905" s="140">
        <f>IFERROR(IF(E3905&gt;0,(F3905/E3905)*1000,""),"")</f>
        <v/>
      </c>
      <c r="H3905" s="139">
        <f>IFERROR(IF(E3905&gt;0,E3905*IF(ISNUMBER(J3905),J3905,IF(OR(C3905="Alpha",B3905="Alpha"),$C$7,IF(C3905="Futures",$C$6,$C$5))),""),"")</f>
        <v/>
      </c>
      <c r="I3905" s="139">
        <f>IFERROR(IF(AND(ISNUMBER(F3905),ISNUMBER(H3905)),F3905-H3905,""),"")</f>
        <v/>
      </c>
      <c r="J3905" s="114" t="n"/>
      <c r="K3905" s="139">
        <f>IFERROR(IF(H3905&gt;0,H3905*IF(OR(C3905="Alpha",B3905="Alpha"),$C$9,$C$8),""),"")</f>
        <v/>
      </c>
      <c r="L3905" s="139">
        <f>IFERROR(IF(ISNUMBER(F3905),F3905-IF(ISNUMBER(K3905),K3905,0),""),"")</f>
        <v/>
      </c>
    </row>
    <row r="3906" ht="24" customHeight="1" s="63">
      <c r="E3906" s="139" t="n"/>
      <c r="F3906" s="139" t="n"/>
      <c r="G3906" s="140">
        <f>IFERROR(IF(E3906&gt;0,(F3906/E3906)*1000,""),"")</f>
        <v/>
      </c>
      <c r="H3906" s="139">
        <f>IFERROR(IF(E3906&gt;0,E3906*IF(ISNUMBER(J3906),J3906,IF(OR(C3906="Alpha",B3906="Alpha"),$C$7,IF(C3906="Futures",$C$6,$C$5))),""),"")</f>
        <v/>
      </c>
      <c r="I3906" s="139">
        <f>IFERROR(IF(AND(ISNUMBER(F3906),ISNUMBER(H3906)),F3906-H3906,""),"")</f>
        <v/>
      </c>
      <c r="J3906" s="114" t="n"/>
      <c r="K3906" s="139">
        <f>IFERROR(IF(H3906&gt;0,H3906*IF(OR(C3906="Alpha",B3906="Alpha"),$C$9,$C$8),""),"")</f>
        <v/>
      </c>
      <c r="L3906" s="139">
        <f>IFERROR(IF(ISNUMBER(F3906),F3906-IF(ISNUMBER(K3906),K3906,0),""),"")</f>
        <v/>
      </c>
    </row>
    <row r="3907" ht="24" customHeight="1" s="63">
      <c r="E3907" s="139" t="n"/>
      <c r="F3907" s="139" t="n"/>
      <c r="G3907" s="140">
        <f>IFERROR(IF(E3907&gt;0,(F3907/E3907)*1000,""),"")</f>
        <v/>
      </c>
      <c r="H3907" s="139">
        <f>IFERROR(IF(E3907&gt;0,E3907*IF(ISNUMBER(J3907),J3907,IF(OR(C3907="Alpha",B3907="Alpha"),$C$7,IF(C3907="Futures",$C$6,$C$5))),""),"")</f>
        <v/>
      </c>
      <c r="I3907" s="139">
        <f>IFERROR(IF(AND(ISNUMBER(F3907),ISNUMBER(H3907)),F3907-H3907,""),"")</f>
        <v/>
      </c>
      <c r="J3907" s="114" t="n"/>
      <c r="K3907" s="139">
        <f>IFERROR(IF(H3907&gt;0,H3907*IF(OR(C3907="Alpha",B3907="Alpha"),$C$9,$C$8),""),"")</f>
        <v/>
      </c>
      <c r="L3907" s="139">
        <f>IFERROR(IF(ISNUMBER(F3907),F3907-IF(ISNUMBER(K3907),K3907,0),""),"")</f>
        <v/>
      </c>
    </row>
    <row r="3908" ht="24" customHeight="1" s="63">
      <c r="E3908" s="139" t="n"/>
      <c r="F3908" s="139" t="n"/>
      <c r="G3908" s="140">
        <f>IFERROR(IF(E3908&gt;0,(F3908/E3908)*1000,""),"")</f>
        <v/>
      </c>
      <c r="H3908" s="139">
        <f>IFERROR(IF(E3908&gt;0,E3908*IF(ISNUMBER(J3908),J3908,IF(OR(C3908="Alpha",B3908="Alpha"),$C$7,IF(C3908="Futures",$C$6,$C$5))),""),"")</f>
        <v/>
      </c>
      <c r="I3908" s="139">
        <f>IFERROR(IF(AND(ISNUMBER(F3908),ISNUMBER(H3908)),F3908-H3908,""),"")</f>
        <v/>
      </c>
      <c r="J3908" s="114" t="n"/>
      <c r="K3908" s="139">
        <f>IFERROR(IF(H3908&gt;0,H3908*IF(OR(C3908="Alpha",B3908="Alpha"),$C$9,$C$8),""),"")</f>
        <v/>
      </c>
      <c r="L3908" s="139">
        <f>IFERROR(IF(ISNUMBER(F3908),F3908-IF(ISNUMBER(K3908),K3908,0),""),"")</f>
        <v/>
      </c>
    </row>
    <row r="3909" ht="24" customHeight="1" s="63">
      <c r="E3909" s="139" t="n"/>
      <c r="F3909" s="139" t="n"/>
      <c r="G3909" s="140">
        <f>IFERROR(IF(E3909&gt;0,(F3909/E3909)*1000,""),"")</f>
        <v/>
      </c>
      <c r="H3909" s="139">
        <f>IFERROR(IF(E3909&gt;0,E3909*IF(ISNUMBER(J3909),J3909,IF(OR(C3909="Alpha",B3909="Alpha"),$C$7,IF(C3909="Futures",$C$6,$C$5))),""),"")</f>
        <v/>
      </c>
      <c r="I3909" s="139">
        <f>IFERROR(IF(AND(ISNUMBER(F3909),ISNUMBER(H3909)),F3909-H3909,""),"")</f>
        <v/>
      </c>
      <c r="J3909" s="114" t="n"/>
      <c r="K3909" s="139">
        <f>IFERROR(IF(H3909&gt;0,H3909*IF(OR(C3909="Alpha",B3909="Alpha"),$C$9,$C$8),""),"")</f>
        <v/>
      </c>
      <c r="L3909" s="139">
        <f>IFERROR(IF(ISNUMBER(F3909),F3909-IF(ISNUMBER(K3909),K3909,0),""),"")</f>
        <v/>
      </c>
    </row>
    <row r="3910" ht="24" customHeight="1" s="63">
      <c r="E3910" s="139" t="n"/>
      <c r="F3910" s="139" t="n"/>
      <c r="G3910" s="140">
        <f>IFERROR(IF(E3910&gt;0,(F3910/E3910)*1000,""),"")</f>
        <v/>
      </c>
      <c r="H3910" s="139">
        <f>IFERROR(IF(E3910&gt;0,E3910*IF(ISNUMBER(J3910),J3910,IF(OR(C3910="Alpha",B3910="Alpha"),$C$7,IF(C3910="Futures",$C$6,$C$5))),""),"")</f>
        <v/>
      </c>
      <c r="I3910" s="139">
        <f>IFERROR(IF(AND(ISNUMBER(F3910),ISNUMBER(H3910)),F3910-H3910,""),"")</f>
        <v/>
      </c>
      <c r="J3910" s="114" t="n"/>
      <c r="K3910" s="139">
        <f>IFERROR(IF(H3910&gt;0,H3910*IF(OR(C3910="Alpha",B3910="Alpha"),$C$9,$C$8),""),"")</f>
        <v/>
      </c>
      <c r="L3910" s="139">
        <f>IFERROR(IF(ISNUMBER(F3910),F3910-IF(ISNUMBER(K3910),K3910,0),""),"")</f>
        <v/>
      </c>
    </row>
    <row r="3911" ht="24" customHeight="1" s="63">
      <c r="E3911" s="139" t="n"/>
      <c r="F3911" s="139" t="n"/>
      <c r="G3911" s="140">
        <f>IFERROR(IF(E3911&gt;0,(F3911/E3911)*1000,""),"")</f>
        <v/>
      </c>
      <c r="H3911" s="139">
        <f>IFERROR(IF(E3911&gt;0,E3911*IF(ISNUMBER(J3911),J3911,IF(OR(C3911="Alpha",B3911="Alpha"),$C$7,IF(C3911="Futures",$C$6,$C$5))),""),"")</f>
        <v/>
      </c>
      <c r="I3911" s="139">
        <f>IFERROR(IF(AND(ISNUMBER(F3911),ISNUMBER(H3911)),F3911-H3911,""),"")</f>
        <v/>
      </c>
      <c r="J3911" s="114" t="n"/>
      <c r="K3911" s="139">
        <f>IFERROR(IF(H3911&gt;0,H3911*IF(OR(C3911="Alpha",B3911="Alpha"),$C$9,$C$8),""),"")</f>
        <v/>
      </c>
      <c r="L3911" s="139">
        <f>IFERROR(IF(ISNUMBER(F3911),F3911-IF(ISNUMBER(K3911),K3911,0),""),"")</f>
        <v/>
      </c>
    </row>
    <row r="3912" ht="24" customHeight="1" s="63">
      <c r="E3912" s="139" t="n"/>
      <c r="F3912" s="139" t="n"/>
      <c r="G3912" s="140">
        <f>IFERROR(IF(E3912&gt;0,(F3912/E3912)*1000,""),"")</f>
        <v/>
      </c>
      <c r="H3912" s="139">
        <f>IFERROR(IF(E3912&gt;0,E3912*IF(ISNUMBER(J3912),J3912,IF(OR(C3912="Alpha",B3912="Alpha"),$C$7,IF(C3912="Futures",$C$6,$C$5))),""),"")</f>
        <v/>
      </c>
      <c r="I3912" s="139">
        <f>IFERROR(IF(AND(ISNUMBER(F3912),ISNUMBER(H3912)),F3912-H3912,""),"")</f>
        <v/>
      </c>
      <c r="J3912" s="114" t="n"/>
      <c r="K3912" s="139">
        <f>IFERROR(IF(H3912&gt;0,H3912*IF(OR(C3912="Alpha",B3912="Alpha"),$C$9,$C$8),""),"")</f>
        <v/>
      </c>
      <c r="L3912" s="139">
        <f>IFERROR(IF(ISNUMBER(F3912),F3912-IF(ISNUMBER(K3912),K3912,0),""),"")</f>
        <v/>
      </c>
    </row>
    <row r="3913" ht="24" customHeight="1" s="63">
      <c r="E3913" s="139" t="n"/>
      <c r="F3913" s="139" t="n"/>
      <c r="G3913" s="140">
        <f>IFERROR(IF(E3913&gt;0,(F3913/E3913)*1000,""),"")</f>
        <v/>
      </c>
      <c r="H3913" s="139">
        <f>IFERROR(IF(E3913&gt;0,E3913*IF(ISNUMBER(J3913),J3913,IF(OR(C3913="Alpha",B3913="Alpha"),$C$7,IF(C3913="Futures",$C$6,$C$5))),""),"")</f>
        <v/>
      </c>
      <c r="I3913" s="139">
        <f>IFERROR(IF(AND(ISNUMBER(F3913),ISNUMBER(H3913)),F3913-H3913,""),"")</f>
        <v/>
      </c>
      <c r="J3913" s="114" t="n"/>
      <c r="K3913" s="139">
        <f>IFERROR(IF(H3913&gt;0,H3913*IF(OR(C3913="Alpha",B3913="Alpha"),$C$9,$C$8),""),"")</f>
        <v/>
      </c>
      <c r="L3913" s="139">
        <f>IFERROR(IF(ISNUMBER(F3913),F3913-IF(ISNUMBER(K3913),K3913,0),""),"")</f>
        <v/>
      </c>
    </row>
    <row r="3914" ht="24" customHeight="1" s="63">
      <c r="E3914" s="139" t="n"/>
      <c r="F3914" s="139" t="n"/>
      <c r="G3914" s="140">
        <f>IFERROR(IF(E3914&gt;0,(F3914/E3914)*1000,""),"")</f>
        <v/>
      </c>
      <c r="H3914" s="139">
        <f>IFERROR(IF(E3914&gt;0,E3914*IF(ISNUMBER(J3914),J3914,IF(OR(C3914="Alpha",B3914="Alpha"),$C$7,IF(C3914="Futures",$C$6,$C$5))),""),"")</f>
        <v/>
      </c>
      <c r="I3914" s="139">
        <f>IFERROR(IF(AND(ISNUMBER(F3914),ISNUMBER(H3914)),F3914-H3914,""),"")</f>
        <v/>
      </c>
      <c r="J3914" s="114" t="n"/>
      <c r="K3914" s="139">
        <f>IFERROR(IF(H3914&gt;0,H3914*IF(OR(C3914="Alpha",B3914="Alpha"),$C$9,$C$8),""),"")</f>
        <v/>
      </c>
      <c r="L3914" s="139">
        <f>IFERROR(IF(ISNUMBER(F3914),F3914-IF(ISNUMBER(K3914),K3914,0),""),"")</f>
        <v/>
      </c>
    </row>
    <row r="3915" ht="24" customHeight="1" s="63">
      <c r="E3915" s="139" t="n"/>
      <c r="F3915" s="139" t="n"/>
      <c r="G3915" s="140">
        <f>IFERROR(IF(E3915&gt;0,(F3915/E3915)*1000,""),"")</f>
        <v/>
      </c>
      <c r="H3915" s="139">
        <f>IFERROR(IF(E3915&gt;0,E3915*IF(ISNUMBER(J3915),J3915,IF(OR(C3915="Alpha",B3915="Alpha"),$C$7,IF(C3915="Futures",$C$6,$C$5))),""),"")</f>
        <v/>
      </c>
      <c r="I3915" s="139">
        <f>IFERROR(IF(AND(ISNUMBER(F3915),ISNUMBER(H3915)),F3915-H3915,""),"")</f>
        <v/>
      </c>
      <c r="J3915" s="114" t="n"/>
      <c r="K3915" s="139">
        <f>IFERROR(IF(H3915&gt;0,H3915*IF(OR(C3915="Alpha",B3915="Alpha"),$C$9,$C$8),""),"")</f>
        <v/>
      </c>
      <c r="L3915" s="139">
        <f>IFERROR(IF(ISNUMBER(F3915),F3915-IF(ISNUMBER(K3915),K3915,0),""),"")</f>
        <v/>
      </c>
    </row>
    <row r="3916" ht="24" customHeight="1" s="63">
      <c r="E3916" s="139" t="n"/>
      <c r="F3916" s="139" t="n"/>
      <c r="G3916" s="140">
        <f>IFERROR(IF(E3916&gt;0,(F3916/E3916)*1000,""),"")</f>
        <v/>
      </c>
      <c r="H3916" s="139">
        <f>IFERROR(IF(E3916&gt;0,E3916*IF(ISNUMBER(J3916),J3916,IF(OR(C3916="Alpha",B3916="Alpha"),$C$7,IF(C3916="Futures",$C$6,$C$5))),""),"")</f>
        <v/>
      </c>
      <c r="I3916" s="139">
        <f>IFERROR(IF(AND(ISNUMBER(F3916),ISNUMBER(H3916)),F3916-H3916,""),"")</f>
        <v/>
      </c>
      <c r="J3916" s="114" t="n"/>
      <c r="K3916" s="139">
        <f>IFERROR(IF(H3916&gt;0,H3916*IF(OR(C3916="Alpha",B3916="Alpha"),$C$9,$C$8),""),"")</f>
        <v/>
      </c>
      <c r="L3916" s="139">
        <f>IFERROR(IF(ISNUMBER(F3916),F3916-IF(ISNUMBER(K3916),K3916,0),""),"")</f>
        <v/>
      </c>
    </row>
    <row r="3917" ht="24" customHeight="1" s="63">
      <c r="E3917" s="139" t="n"/>
      <c r="F3917" s="139" t="n"/>
      <c r="G3917" s="140">
        <f>IFERROR(IF(E3917&gt;0,(F3917/E3917)*1000,""),"")</f>
        <v/>
      </c>
      <c r="H3917" s="139">
        <f>IFERROR(IF(E3917&gt;0,E3917*IF(ISNUMBER(J3917),J3917,IF(OR(C3917="Alpha",B3917="Alpha"),$C$7,IF(C3917="Futures",$C$6,$C$5))),""),"")</f>
        <v/>
      </c>
      <c r="I3917" s="139">
        <f>IFERROR(IF(AND(ISNUMBER(F3917),ISNUMBER(H3917)),F3917-H3917,""),"")</f>
        <v/>
      </c>
      <c r="J3917" s="114" t="n"/>
      <c r="K3917" s="139">
        <f>IFERROR(IF(H3917&gt;0,H3917*IF(OR(C3917="Alpha",B3917="Alpha"),$C$9,$C$8),""),"")</f>
        <v/>
      </c>
      <c r="L3917" s="139">
        <f>IFERROR(IF(ISNUMBER(F3917),F3917-IF(ISNUMBER(K3917),K3917,0),""),"")</f>
        <v/>
      </c>
    </row>
    <row r="3918" ht="24" customHeight="1" s="63">
      <c r="E3918" s="139" t="n"/>
      <c r="F3918" s="139" t="n"/>
      <c r="G3918" s="140">
        <f>IFERROR(IF(E3918&gt;0,(F3918/E3918)*1000,""),"")</f>
        <v/>
      </c>
      <c r="H3918" s="139">
        <f>IFERROR(IF(E3918&gt;0,E3918*IF(ISNUMBER(J3918),J3918,IF(OR(C3918="Alpha",B3918="Alpha"),$C$7,IF(C3918="Futures",$C$6,$C$5))),""),"")</f>
        <v/>
      </c>
      <c r="I3918" s="139">
        <f>IFERROR(IF(AND(ISNUMBER(F3918),ISNUMBER(H3918)),F3918-H3918,""),"")</f>
        <v/>
      </c>
      <c r="J3918" s="114" t="n"/>
      <c r="K3918" s="139">
        <f>IFERROR(IF(H3918&gt;0,H3918*IF(OR(C3918="Alpha",B3918="Alpha"),$C$9,$C$8),""),"")</f>
        <v/>
      </c>
      <c r="L3918" s="139">
        <f>IFERROR(IF(ISNUMBER(F3918),F3918-IF(ISNUMBER(K3918),K3918,0),""),"")</f>
        <v/>
      </c>
    </row>
    <row r="3919" ht="24" customHeight="1" s="63">
      <c r="E3919" s="139" t="n"/>
      <c r="F3919" s="139" t="n"/>
      <c r="G3919" s="140">
        <f>IFERROR(IF(E3919&gt;0,(F3919/E3919)*1000,""),"")</f>
        <v/>
      </c>
      <c r="H3919" s="139">
        <f>IFERROR(IF(E3919&gt;0,E3919*IF(ISNUMBER(J3919),J3919,IF(OR(C3919="Alpha",B3919="Alpha"),$C$7,IF(C3919="Futures",$C$6,$C$5))),""),"")</f>
        <v/>
      </c>
      <c r="I3919" s="139">
        <f>IFERROR(IF(AND(ISNUMBER(F3919),ISNUMBER(H3919)),F3919-H3919,""),"")</f>
        <v/>
      </c>
      <c r="J3919" s="114" t="n"/>
      <c r="K3919" s="139">
        <f>IFERROR(IF(H3919&gt;0,H3919*IF(OR(C3919="Alpha",B3919="Alpha"),$C$9,$C$8),""),"")</f>
        <v/>
      </c>
      <c r="L3919" s="139">
        <f>IFERROR(IF(ISNUMBER(F3919),F3919-IF(ISNUMBER(K3919),K3919,0),""),"")</f>
        <v/>
      </c>
    </row>
    <row r="3920" ht="24" customHeight="1" s="63">
      <c r="E3920" s="139" t="n"/>
      <c r="F3920" s="139" t="n"/>
      <c r="G3920" s="140">
        <f>IFERROR(IF(E3920&gt;0,(F3920/E3920)*1000,""),"")</f>
        <v/>
      </c>
      <c r="H3920" s="139">
        <f>IFERROR(IF(E3920&gt;0,E3920*IF(ISNUMBER(J3920),J3920,IF(OR(C3920="Alpha",B3920="Alpha"),$C$7,IF(C3920="Futures",$C$6,$C$5))),""),"")</f>
        <v/>
      </c>
      <c r="I3920" s="139">
        <f>IFERROR(IF(AND(ISNUMBER(F3920),ISNUMBER(H3920)),F3920-H3920,""),"")</f>
        <v/>
      </c>
      <c r="J3920" s="114" t="n"/>
      <c r="K3920" s="139">
        <f>IFERROR(IF(H3920&gt;0,H3920*IF(OR(C3920="Alpha",B3920="Alpha"),$C$9,$C$8),""),"")</f>
        <v/>
      </c>
      <c r="L3920" s="139">
        <f>IFERROR(IF(ISNUMBER(F3920),F3920-IF(ISNUMBER(K3920),K3920,0),""),"")</f>
        <v/>
      </c>
    </row>
    <row r="3921" ht="24" customHeight="1" s="63">
      <c r="E3921" s="139" t="n"/>
      <c r="F3921" s="139" t="n"/>
      <c r="G3921" s="140">
        <f>IFERROR(IF(E3921&gt;0,(F3921/E3921)*1000,""),"")</f>
        <v/>
      </c>
      <c r="H3921" s="139">
        <f>IFERROR(IF(E3921&gt;0,E3921*IF(ISNUMBER(J3921),J3921,IF(OR(C3921="Alpha",B3921="Alpha"),$C$7,IF(C3921="Futures",$C$6,$C$5))),""),"")</f>
        <v/>
      </c>
      <c r="I3921" s="139">
        <f>IFERROR(IF(AND(ISNUMBER(F3921),ISNUMBER(H3921)),F3921-H3921,""),"")</f>
        <v/>
      </c>
      <c r="J3921" s="114" t="n"/>
      <c r="K3921" s="139">
        <f>IFERROR(IF(H3921&gt;0,H3921*IF(OR(C3921="Alpha",B3921="Alpha"),$C$9,$C$8),""),"")</f>
        <v/>
      </c>
      <c r="L3921" s="139">
        <f>IFERROR(IF(ISNUMBER(F3921),F3921-IF(ISNUMBER(K3921),K3921,0),""),"")</f>
        <v/>
      </c>
    </row>
    <row r="3922" ht="24" customHeight="1" s="63">
      <c r="E3922" s="139" t="n"/>
      <c r="F3922" s="139" t="n"/>
      <c r="G3922" s="140">
        <f>IFERROR(IF(E3922&gt;0,(F3922/E3922)*1000,""),"")</f>
        <v/>
      </c>
      <c r="H3922" s="139">
        <f>IFERROR(IF(E3922&gt;0,E3922*IF(ISNUMBER(J3922),J3922,IF(OR(C3922="Alpha",B3922="Alpha"),$C$7,IF(C3922="Futures",$C$6,$C$5))),""),"")</f>
        <v/>
      </c>
      <c r="I3922" s="139">
        <f>IFERROR(IF(AND(ISNUMBER(F3922),ISNUMBER(H3922)),F3922-H3922,""),"")</f>
        <v/>
      </c>
      <c r="J3922" s="114" t="n"/>
      <c r="K3922" s="139">
        <f>IFERROR(IF(H3922&gt;0,H3922*IF(OR(C3922="Alpha",B3922="Alpha"),$C$9,$C$8),""),"")</f>
        <v/>
      </c>
      <c r="L3922" s="139">
        <f>IFERROR(IF(ISNUMBER(F3922),F3922-IF(ISNUMBER(K3922),K3922,0),""),"")</f>
        <v/>
      </c>
    </row>
    <row r="3923" ht="24" customHeight="1" s="63">
      <c r="E3923" s="139" t="n"/>
      <c r="F3923" s="139" t="n"/>
      <c r="G3923" s="140">
        <f>IFERROR(IF(E3923&gt;0,(F3923/E3923)*1000,""),"")</f>
        <v/>
      </c>
      <c r="H3923" s="139">
        <f>IFERROR(IF(E3923&gt;0,E3923*IF(ISNUMBER(J3923),J3923,IF(OR(C3923="Alpha",B3923="Alpha"),$C$7,IF(C3923="Futures",$C$6,$C$5))),""),"")</f>
        <v/>
      </c>
      <c r="I3923" s="139">
        <f>IFERROR(IF(AND(ISNUMBER(F3923),ISNUMBER(H3923)),F3923-H3923,""),"")</f>
        <v/>
      </c>
      <c r="J3923" s="114" t="n"/>
      <c r="K3923" s="139">
        <f>IFERROR(IF(H3923&gt;0,H3923*IF(OR(C3923="Alpha",B3923="Alpha"),$C$9,$C$8),""),"")</f>
        <v/>
      </c>
      <c r="L3923" s="139">
        <f>IFERROR(IF(ISNUMBER(F3923),F3923-IF(ISNUMBER(K3923),K3923,0),""),"")</f>
        <v/>
      </c>
    </row>
    <row r="3924" ht="24" customHeight="1" s="63">
      <c r="E3924" s="139" t="n"/>
      <c r="F3924" s="139" t="n"/>
      <c r="G3924" s="140">
        <f>IFERROR(IF(E3924&gt;0,(F3924/E3924)*1000,""),"")</f>
        <v/>
      </c>
      <c r="H3924" s="139">
        <f>IFERROR(IF(E3924&gt;0,E3924*IF(ISNUMBER(J3924),J3924,IF(OR(C3924="Alpha",B3924="Alpha"),$C$7,IF(C3924="Futures",$C$6,$C$5))),""),"")</f>
        <v/>
      </c>
      <c r="I3924" s="139">
        <f>IFERROR(IF(AND(ISNUMBER(F3924),ISNUMBER(H3924)),F3924-H3924,""),"")</f>
        <v/>
      </c>
      <c r="J3924" s="114" t="n"/>
      <c r="K3924" s="139">
        <f>IFERROR(IF(H3924&gt;0,H3924*IF(OR(C3924="Alpha",B3924="Alpha"),$C$9,$C$8),""),"")</f>
        <v/>
      </c>
      <c r="L3924" s="139">
        <f>IFERROR(IF(ISNUMBER(F3924),F3924-IF(ISNUMBER(K3924),K3924,0),""),"")</f>
        <v/>
      </c>
    </row>
    <row r="3925" ht="24" customHeight="1" s="63">
      <c r="E3925" s="139" t="n"/>
      <c r="F3925" s="139" t="n"/>
      <c r="G3925" s="140">
        <f>IFERROR(IF(E3925&gt;0,(F3925/E3925)*1000,""),"")</f>
        <v/>
      </c>
      <c r="H3925" s="139">
        <f>IFERROR(IF(E3925&gt;0,E3925*IF(ISNUMBER(J3925),J3925,IF(OR(C3925="Alpha",B3925="Alpha"),$C$7,IF(C3925="Futures",$C$6,$C$5))),""),"")</f>
        <v/>
      </c>
      <c r="I3925" s="139">
        <f>IFERROR(IF(AND(ISNUMBER(F3925),ISNUMBER(H3925)),F3925-H3925,""),"")</f>
        <v/>
      </c>
      <c r="J3925" s="114" t="n"/>
      <c r="K3925" s="139">
        <f>IFERROR(IF(H3925&gt;0,H3925*IF(OR(C3925="Alpha",B3925="Alpha"),$C$9,$C$8),""),"")</f>
        <v/>
      </c>
      <c r="L3925" s="139">
        <f>IFERROR(IF(ISNUMBER(F3925),F3925-IF(ISNUMBER(K3925),K3925,0),""),"")</f>
        <v/>
      </c>
    </row>
    <row r="3926" ht="24" customHeight="1" s="63">
      <c r="E3926" s="139" t="n"/>
      <c r="F3926" s="139" t="n"/>
      <c r="G3926" s="140">
        <f>IFERROR(IF(E3926&gt;0,(F3926/E3926)*1000,""),"")</f>
        <v/>
      </c>
      <c r="H3926" s="139">
        <f>IFERROR(IF(E3926&gt;0,E3926*IF(ISNUMBER(J3926),J3926,IF(OR(C3926="Alpha",B3926="Alpha"),$C$7,IF(C3926="Futures",$C$6,$C$5))),""),"")</f>
        <v/>
      </c>
      <c r="I3926" s="139">
        <f>IFERROR(IF(AND(ISNUMBER(F3926),ISNUMBER(H3926)),F3926-H3926,""),"")</f>
        <v/>
      </c>
      <c r="J3926" s="114" t="n"/>
      <c r="K3926" s="139">
        <f>IFERROR(IF(H3926&gt;0,H3926*IF(OR(C3926="Alpha",B3926="Alpha"),$C$9,$C$8),""),"")</f>
        <v/>
      </c>
      <c r="L3926" s="139">
        <f>IFERROR(IF(ISNUMBER(F3926),F3926-IF(ISNUMBER(K3926),K3926,0),""),"")</f>
        <v/>
      </c>
    </row>
    <row r="3927" ht="24" customHeight="1" s="63">
      <c r="E3927" s="139" t="n"/>
      <c r="F3927" s="139" t="n"/>
      <c r="G3927" s="140">
        <f>IFERROR(IF(E3927&gt;0,(F3927/E3927)*1000,""),"")</f>
        <v/>
      </c>
      <c r="H3927" s="139">
        <f>IFERROR(IF(E3927&gt;0,E3927*IF(ISNUMBER(J3927),J3927,IF(OR(C3927="Alpha",B3927="Alpha"),$C$7,IF(C3927="Futures",$C$6,$C$5))),""),"")</f>
        <v/>
      </c>
      <c r="I3927" s="139">
        <f>IFERROR(IF(AND(ISNUMBER(F3927),ISNUMBER(H3927)),F3927-H3927,""),"")</f>
        <v/>
      </c>
      <c r="J3927" s="114" t="n"/>
      <c r="K3927" s="139">
        <f>IFERROR(IF(H3927&gt;0,H3927*IF(OR(C3927="Alpha",B3927="Alpha"),$C$9,$C$8),""),"")</f>
        <v/>
      </c>
      <c r="L3927" s="139">
        <f>IFERROR(IF(ISNUMBER(F3927),F3927-IF(ISNUMBER(K3927),K3927,0),""),"")</f>
        <v/>
      </c>
    </row>
    <row r="3928" ht="24" customHeight="1" s="63">
      <c r="E3928" s="139" t="n"/>
      <c r="F3928" s="139" t="n"/>
      <c r="G3928" s="140">
        <f>IFERROR(IF(E3928&gt;0,(F3928/E3928)*1000,""),"")</f>
        <v/>
      </c>
      <c r="H3928" s="139">
        <f>IFERROR(IF(E3928&gt;0,E3928*IF(ISNUMBER(J3928),J3928,IF(OR(C3928="Alpha",B3928="Alpha"),$C$7,IF(C3928="Futures",$C$6,$C$5))),""),"")</f>
        <v/>
      </c>
      <c r="I3928" s="139">
        <f>IFERROR(IF(AND(ISNUMBER(F3928),ISNUMBER(H3928)),F3928-H3928,""),"")</f>
        <v/>
      </c>
      <c r="J3928" s="114" t="n"/>
      <c r="K3928" s="139">
        <f>IFERROR(IF(H3928&gt;0,H3928*IF(OR(C3928="Alpha",B3928="Alpha"),$C$9,$C$8),""),"")</f>
        <v/>
      </c>
      <c r="L3928" s="139">
        <f>IFERROR(IF(ISNUMBER(F3928),F3928-IF(ISNUMBER(K3928),K3928,0),""),"")</f>
        <v/>
      </c>
    </row>
    <row r="3929" ht="24" customHeight="1" s="63">
      <c r="E3929" s="139" t="n"/>
      <c r="F3929" s="139" t="n"/>
      <c r="G3929" s="140">
        <f>IFERROR(IF(E3929&gt;0,(F3929/E3929)*1000,""),"")</f>
        <v/>
      </c>
      <c r="H3929" s="139">
        <f>IFERROR(IF(E3929&gt;0,E3929*IF(ISNUMBER(J3929),J3929,IF(OR(C3929="Alpha",B3929="Alpha"),$C$7,IF(C3929="Futures",$C$6,$C$5))),""),"")</f>
        <v/>
      </c>
      <c r="I3929" s="139">
        <f>IFERROR(IF(AND(ISNUMBER(F3929),ISNUMBER(H3929)),F3929-H3929,""),"")</f>
        <v/>
      </c>
      <c r="J3929" s="114" t="n"/>
      <c r="K3929" s="139">
        <f>IFERROR(IF(H3929&gt;0,H3929*IF(OR(C3929="Alpha",B3929="Alpha"),$C$9,$C$8),""),"")</f>
        <v/>
      </c>
      <c r="L3929" s="139">
        <f>IFERROR(IF(ISNUMBER(F3929),F3929-IF(ISNUMBER(K3929),K3929,0),""),"")</f>
        <v/>
      </c>
    </row>
    <row r="3930" ht="24" customHeight="1" s="63">
      <c r="E3930" s="139" t="n"/>
      <c r="F3930" s="139" t="n"/>
      <c r="G3930" s="140">
        <f>IFERROR(IF(E3930&gt;0,(F3930/E3930)*1000,""),"")</f>
        <v/>
      </c>
      <c r="H3930" s="139">
        <f>IFERROR(IF(E3930&gt;0,E3930*IF(ISNUMBER(J3930),J3930,IF(OR(C3930="Alpha",B3930="Alpha"),$C$7,IF(C3930="Futures",$C$6,$C$5))),""),"")</f>
        <v/>
      </c>
      <c r="I3930" s="139">
        <f>IFERROR(IF(AND(ISNUMBER(F3930),ISNUMBER(H3930)),F3930-H3930,""),"")</f>
        <v/>
      </c>
      <c r="J3930" s="114" t="n"/>
      <c r="K3930" s="139">
        <f>IFERROR(IF(H3930&gt;0,H3930*IF(OR(C3930="Alpha",B3930="Alpha"),$C$9,$C$8),""),"")</f>
        <v/>
      </c>
      <c r="L3930" s="139">
        <f>IFERROR(IF(ISNUMBER(F3930),F3930-IF(ISNUMBER(K3930),K3930,0),""),"")</f>
        <v/>
      </c>
    </row>
    <row r="3931" ht="24" customHeight="1" s="63">
      <c r="E3931" s="139" t="n"/>
      <c r="F3931" s="139" t="n"/>
      <c r="G3931" s="140">
        <f>IFERROR(IF(E3931&gt;0,(F3931/E3931)*1000,""),"")</f>
        <v/>
      </c>
      <c r="H3931" s="139">
        <f>IFERROR(IF(E3931&gt;0,E3931*IF(ISNUMBER(J3931),J3931,IF(OR(C3931="Alpha",B3931="Alpha"),$C$7,IF(C3931="Futures",$C$6,$C$5))),""),"")</f>
        <v/>
      </c>
      <c r="I3931" s="139">
        <f>IFERROR(IF(AND(ISNUMBER(F3931),ISNUMBER(H3931)),F3931-H3931,""),"")</f>
        <v/>
      </c>
      <c r="J3931" s="114" t="n"/>
      <c r="K3931" s="139">
        <f>IFERROR(IF(H3931&gt;0,H3931*IF(OR(C3931="Alpha",B3931="Alpha"),$C$9,$C$8),""),"")</f>
        <v/>
      </c>
      <c r="L3931" s="139">
        <f>IFERROR(IF(ISNUMBER(F3931),F3931-IF(ISNUMBER(K3931),K3931,0),""),"")</f>
        <v/>
      </c>
    </row>
    <row r="3932" ht="24" customHeight="1" s="63">
      <c r="E3932" s="139" t="n"/>
      <c r="F3932" s="139" t="n"/>
      <c r="G3932" s="140">
        <f>IFERROR(IF(E3932&gt;0,(F3932/E3932)*1000,""),"")</f>
        <v/>
      </c>
      <c r="H3932" s="139">
        <f>IFERROR(IF(E3932&gt;0,E3932*IF(ISNUMBER(J3932),J3932,IF(OR(C3932="Alpha",B3932="Alpha"),$C$7,IF(C3932="Futures",$C$6,$C$5))),""),"")</f>
        <v/>
      </c>
      <c r="I3932" s="139">
        <f>IFERROR(IF(AND(ISNUMBER(F3932),ISNUMBER(H3932)),F3932-H3932,""),"")</f>
        <v/>
      </c>
      <c r="J3932" s="114" t="n"/>
      <c r="K3932" s="139">
        <f>IFERROR(IF(H3932&gt;0,H3932*IF(OR(C3932="Alpha",B3932="Alpha"),$C$9,$C$8),""),"")</f>
        <v/>
      </c>
      <c r="L3932" s="139">
        <f>IFERROR(IF(ISNUMBER(F3932),F3932-IF(ISNUMBER(K3932),K3932,0),""),"")</f>
        <v/>
      </c>
    </row>
    <row r="3933" ht="24" customHeight="1" s="63">
      <c r="E3933" s="139" t="n"/>
      <c r="F3933" s="139" t="n"/>
      <c r="G3933" s="140">
        <f>IFERROR(IF(E3933&gt;0,(F3933/E3933)*1000,""),"")</f>
        <v/>
      </c>
      <c r="H3933" s="139">
        <f>IFERROR(IF(E3933&gt;0,E3933*IF(ISNUMBER(J3933),J3933,IF(OR(C3933="Alpha",B3933="Alpha"),$C$7,IF(C3933="Futures",$C$6,$C$5))),""),"")</f>
        <v/>
      </c>
      <c r="I3933" s="139">
        <f>IFERROR(IF(AND(ISNUMBER(F3933),ISNUMBER(H3933)),F3933-H3933,""),"")</f>
        <v/>
      </c>
      <c r="J3933" s="114" t="n"/>
      <c r="K3933" s="139">
        <f>IFERROR(IF(H3933&gt;0,H3933*IF(OR(C3933="Alpha",B3933="Alpha"),$C$9,$C$8),""),"")</f>
        <v/>
      </c>
      <c r="L3933" s="139">
        <f>IFERROR(IF(ISNUMBER(F3933),F3933-IF(ISNUMBER(K3933),K3933,0),""),"")</f>
        <v/>
      </c>
    </row>
    <row r="3934" ht="24" customHeight="1" s="63">
      <c r="E3934" s="139" t="n"/>
      <c r="F3934" s="139" t="n"/>
      <c r="G3934" s="140">
        <f>IFERROR(IF(E3934&gt;0,(F3934/E3934)*1000,""),"")</f>
        <v/>
      </c>
      <c r="H3934" s="139">
        <f>IFERROR(IF(E3934&gt;0,E3934*IF(ISNUMBER(J3934),J3934,IF(OR(C3934="Alpha",B3934="Alpha"),$C$7,IF(C3934="Futures",$C$6,$C$5))),""),"")</f>
        <v/>
      </c>
      <c r="I3934" s="139">
        <f>IFERROR(IF(AND(ISNUMBER(F3934),ISNUMBER(H3934)),F3934-H3934,""),"")</f>
        <v/>
      </c>
      <c r="J3934" s="114" t="n"/>
      <c r="K3934" s="139">
        <f>IFERROR(IF(H3934&gt;0,H3934*IF(OR(C3934="Alpha",B3934="Alpha"),$C$9,$C$8),""),"")</f>
        <v/>
      </c>
      <c r="L3934" s="139">
        <f>IFERROR(IF(ISNUMBER(F3934),F3934-IF(ISNUMBER(K3934),K3934,0),""),"")</f>
        <v/>
      </c>
    </row>
    <row r="3935" ht="24" customHeight="1" s="63">
      <c r="E3935" s="139" t="n"/>
      <c r="F3935" s="139" t="n"/>
      <c r="G3935" s="140">
        <f>IFERROR(IF(E3935&gt;0,(F3935/E3935)*1000,""),"")</f>
        <v/>
      </c>
      <c r="H3935" s="139">
        <f>IFERROR(IF(E3935&gt;0,E3935*IF(ISNUMBER(J3935),J3935,IF(OR(C3935="Alpha",B3935="Alpha"),$C$7,IF(C3935="Futures",$C$6,$C$5))),""),"")</f>
        <v/>
      </c>
      <c r="I3935" s="139">
        <f>IFERROR(IF(AND(ISNUMBER(F3935),ISNUMBER(H3935)),F3935-H3935,""),"")</f>
        <v/>
      </c>
      <c r="J3935" s="114" t="n"/>
      <c r="K3935" s="139">
        <f>IFERROR(IF(H3935&gt;0,H3935*IF(OR(C3935="Alpha",B3935="Alpha"),$C$9,$C$8),""),"")</f>
        <v/>
      </c>
      <c r="L3935" s="139">
        <f>IFERROR(IF(ISNUMBER(F3935),F3935-IF(ISNUMBER(K3935),K3935,0),""),"")</f>
        <v/>
      </c>
    </row>
    <row r="3936" ht="24" customHeight="1" s="63">
      <c r="E3936" s="139" t="n"/>
      <c r="F3936" s="139" t="n"/>
      <c r="G3936" s="140">
        <f>IFERROR(IF(E3936&gt;0,(F3936/E3936)*1000,""),"")</f>
        <v/>
      </c>
      <c r="H3936" s="139">
        <f>IFERROR(IF(E3936&gt;0,E3936*IF(ISNUMBER(J3936),J3936,IF(OR(C3936="Alpha",B3936="Alpha"),$C$7,IF(C3936="Futures",$C$6,$C$5))),""),"")</f>
        <v/>
      </c>
      <c r="I3936" s="139">
        <f>IFERROR(IF(AND(ISNUMBER(F3936),ISNUMBER(H3936)),F3936-H3936,""),"")</f>
        <v/>
      </c>
      <c r="J3936" s="114" t="n"/>
      <c r="K3936" s="139">
        <f>IFERROR(IF(H3936&gt;0,H3936*IF(OR(C3936="Alpha",B3936="Alpha"),$C$9,$C$8),""),"")</f>
        <v/>
      </c>
      <c r="L3936" s="139">
        <f>IFERROR(IF(ISNUMBER(F3936),F3936-IF(ISNUMBER(K3936),K3936,0),""),"")</f>
        <v/>
      </c>
    </row>
    <row r="3937" ht="24" customHeight="1" s="63">
      <c r="E3937" s="139" t="n"/>
      <c r="F3937" s="139" t="n"/>
      <c r="G3937" s="140">
        <f>IFERROR(IF(E3937&gt;0,(F3937/E3937)*1000,""),"")</f>
        <v/>
      </c>
      <c r="H3937" s="139">
        <f>IFERROR(IF(E3937&gt;0,E3937*IF(ISNUMBER(J3937),J3937,IF(OR(C3937="Alpha",B3937="Alpha"),$C$7,IF(C3937="Futures",$C$6,$C$5))),""),"")</f>
        <v/>
      </c>
      <c r="I3937" s="139">
        <f>IFERROR(IF(AND(ISNUMBER(F3937),ISNUMBER(H3937)),F3937-H3937,""),"")</f>
        <v/>
      </c>
      <c r="J3937" s="114" t="n"/>
      <c r="K3937" s="139">
        <f>IFERROR(IF(H3937&gt;0,H3937*IF(OR(C3937="Alpha",B3937="Alpha"),$C$9,$C$8),""),"")</f>
        <v/>
      </c>
      <c r="L3937" s="139">
        <f>IFERROR(IF(ISNUMBER(F3937),F3937-IF(ISNUMBER(K3937),K3937,0),""),"")</f>
        <v/>
      </c>
    </row>
    <row r="3938" ht="24" customHeight="1" s="63">
      <c r="E3938" s="139" t="n"/>
      <c r="F3938" s="139" t="n"/>
      <c r="G3938" s="140">
        <f>IFERROR(IF(E3938&gt;0,(F3938/E3938)*1000,""),"")</f>
        <v/>
      </c>
      <c r="H3938" s="139">
        <f>IFERROR(IF(E3938&gt;0,E3938*IF(ISNUMBER(J3938),J3938,IF(OR(C3938="Alpha",B3938="Alpha"),$C$7,IF(C3938="Futures",$C$6,$C$5))),""),"")</f>
        <v/>
      </c>
      <c r="I3938" s="139">
        <f>IFERROR(IF(AND(ISNUMBER(F3938),ISNUMBER(H3938)),F3938-H3938,""),"")</f>
        <v/>
      </c>
      <c r="J3938" s="114" t="n"/>
      <c r="K3938" s="139">
        <f>IFERROR(IF(H3938&gt;0,H3938*IF(OR(C3938="Alpha",B3938="Alpha"),$C$9,$C$8),""),"")</f>
        <v/>
      </c>
      <c r="L3938" s="139">
        <f>IFERROR(IF(ISNUMBER(F3938),F3938-IF(ISNUMBER(K3938),K3938,0),""),"")</f>
        <v/>
      </c>
    </row>
    <row r="3939" ht="24" customHeight="1" s="63">
      <c r="E3939" s="139" t="n"/>
      <c r="F3939" s="139" t="n"/>
      <c r="G3939" s="140">
        <f>IFERROR(IF(E3939&gt;0,(F3939/E3939)*1000,""),"")</f>
        <v/>
      </c>
      <c r="H3939" s="139">
        <f>IFERROR(IF(E3939&gt;0,E3939*IF(ISNUMBER(J3939),J3939,IF(OR(C3939="Alpha",B3939="Alpha"),$C$7,IF(C3939="Futures",$C$6,$C$5))),""),"")</f>
        <v/>
      </c>
      <c r="I3939" s="139">
        <f>IFERROR(IF(AND(ISNUMBER(F3939),ISNUMBER(H3939)),F3939-H3939,""),"")</f>
        <v/>
      </c>
      <c r="J3939" s="114" t="n"/>
      <c r="K3939" s="139">
        <f>IFERROR(IF(H3939&gt;0,H3939*IF(OR(C3939="Alpha",B3939="Alpha"),$C$9,$C$8),""),"")</f>
        <v/>
      </c>
      <c r="L3939" s="139">
        <f>IFERROR(IF(ISNUMBER(F3939),F3939-IF(ISNUMBER(K3939),K3939,0),""),"")</f>
        <v/>
      </c>
    </row>
    <row r="3940" ht="24" customHeight="1" s="63">
      <c r="E3940" s="139" t="n"/>
      <c r="F3940" s="139" t="n"/>
      <c r="G3940" s="140">
        <f>IFERROR(IF(E3940&gt;0,(F3940/E3940)*1000,""),"")</f>
        <v/>
      </c>
      <c r="H3940" s="139">
        <f>IFERROR(IF(E3940&gt;0,E3940*IF(ISNUMBER(J3940),J3940,IF(OR(C3940="Alpha",B3940="Alpha"),$C$7,IF(C3940="Futures",$C$6,$C$5))),""),"")</f>
        <v/>
      </c>
      <c r="I3940" s="139">
        <f>IFERROR(IF(AND(ISNUMBER(F3940),ISNUMBER(H3940)),F3940-H3940,""),"")</f>
        <v/>
      </c>
      <c r="J3940" s="114" t="n"/>
      <c r="K3940" s="139">
        <f>IFERROR(IF(H3940&gt;0,H3940*IF(OR(C3940="Alpha",B3940="Alpha"),$C$9,$C$8),""),"")</f>
        <v/>
      </c>
      <c r="L3940" s="139">
        <f>IFERROR(IF(ISNUMBER(F3940),F3940-IF(ISNUMBER(K3940),K3940,0),""),"")</f>
        <v/>
      </c>
    </row>
    <row r="3941" ht="24" customHeight="1" s="63">
      <c r="E3941" s="139" t="n"/>
      <c r="F3941" s="139" t="n"/>
      <c r="G3941" s="140">
        <f>IFERROR(IF(E3941&gt;0,(F3941/E3941)*1000,""),"")</f>
        <v/>
      </c>
      <c r="H3941" s="139">
        <f>IFERROR(IF(E3941&gt;0,E3941*IF(ISNUMBER(J3941),J3941,IF(OR(C3941="Alpha",B3941="Alpha"),$C$7,IF(C3941="Futures",$C$6,$C$5))),""),"")</f>
        <v/>
      </c>
      <c r="I3941" s="139">
        <f>IFERROR(IF(AND(ISNUMBER(F3941),ISNUMBER(H3941)),F3941-H3941,""),"")</f>
        <v/>
      </c>
      <c r="J3941" s="114" t="n"/>
      <c r="K3941" s="139">
        <f>IFERROR(IF(H3941&gt;0,H3941*IF(OR(C3941="Alpha",B3941="Alpha"),$C$9,$C$8),""),"")</f>
        <v/>
      </c>
      <c r="L3941" s="139">
        <f>IFERROR(IF(ISNUMBER(F3941),F3941-IF(ISNUMBER(K3941),K3941,0),""),"")</f>
        <v/>
      </c>
    </row>
    <row r="3942" ht="24" customHeight="1" s="63">
      <c r="E3942" s="139" t="n"/>
      <c r="F3942" s="139" t="n"/>
      <c r="G3942" s="140">
        <f>IFERROR(IF(E3942&gt;0,(F3942/E3942)*1000,""),"")</f>
        <v/>
      </c>
      <c r="H3942" s="139">
        <f>IFERROR(IF(E3942&gt;0,E3942*IF(ISNUMBER(J3942),J3942,IF(OR(C3942="Alpha",B3942="Alpha"),$C$7,IF(C3942="Futures",$C$6,$C$5))),""),"")</f>
        <v/>
      </c>
      <c r="I3942" s="139">
        <f>IFERROR(IF(AND(ISNUMBER(F3942),ISNUMBER(H3942)),F3942-H3942,""),"")</f>
        <v/>
      </c>
      <c r="J3942" s="114" t="n"/>
      <c r="K3942" s="139">
        <f>IFERROR(IF(H3942&gt;0,H3942*IF(OR(C3942="Alpha",B3942="Alpha"),$C$9,$C$8),""),"")</f>
        <v/>
      </c>
      <c r="L3942" s="139">
        <f>IFERROR(IF(ISNUMBER(F3942),F3942-IF(ISNUMBER(K3942),K3942,0),""),"")</f>
        <v/>
      </c>
    </row>
    <row r="3943" ht="24" customHeight="1" s="63">
      <c r="E3943" s="139" t="n"/>
      <c r="F3943" s="139" t="n"/>
      <c r="G3943" s="140">
        <f>IFERROR(IF(E3943&gt;0,(F3943/E3943)*1000,""),"")</f>
        <v/>
      </c>
      <c r="H3943" s="139">
        <f>IFERROR(IF(E3943&gt;0,E3943*IF(ISNUMBER(J3943),J3943,IF(OR(C3943="Alpha",B3943="Alpha"),$C$7,IF(C3943="Futures",$C$6,$C$5))),""),"")</f>
        <v/>
      </c>
      <c r="I3943" s="139">
        <f>IFERROR(IF(AND(ISNUMBER(F3943),ISNUMBER(H3943)),F3943-H3943,""),"")</f>
        <v/>
      </c>
      <c r="J3943" s="114" t="n"/>
      <c r="K3943" s="139">
        <f>IFERROR(IF(H3943&gt;0,H3943*IF(OR(C3943="Alpha",B3943="Alpha"),$C$9,$C$8),""),"")</f>
        <v/>
      </c>
      <c r="L3943" s="139">
        <f>IFERROR(IF(ISNUMBER(F3943),F3943-IF(ISNUMBER(K3943),K3943,0),""),"")</f>
        <v/>
      </c>
    </row>
    <row r="3944" ht="24" customHeight="1" s="63">
      <c r="E3944" s="139" t="n"/>
      <c r="F3944" s="139" t="n"/>
      <c r="G3944" s="140">
        <f>IFERROR(IF(E3944&gt;0,(F3944/E3944)*1000,""),"")</f>
        <v/>
      </c>
      <c r="H3944" s="139">
        <f>IFERROR(IF(E3944&gt;0,E3944*IF(ISNUMBER(J3944),J3944,IF(OR(C3944="Alpha",B3944="Alpha"),$C$7,IF(C3944="Futures",$C$6,$C$5))),""),"")</f>
        <v/>
      </c>
      <c r="I3944" s="139">
        <f>IFERROR(IF(AND(ISNUMBER(F3944),ISNUMBER(H3944)),F3944-H3944,""),"")</f>
        <v/>
      </c>
      <c r="J3944" s="114" t="n"/>
      <c r="K3944" s="139">
        <f>IFERROR(IF(H3944&gt;0,H3944*IF(OR(C3944="Alpha",B3944="Alpha"),$C$9,$C$8),""),"")</f>
        <v/>
      </c>
      <c r="L3944" s="139">
        <f>IFERROR(IF(ISNUMBER(F3944),F3944-IF(ISNUMBER(K3944),K3944,0),""),"")</f>
        <v/>
      </c>
    </row>
    <row r="3945" ht="24" customHeight="1" s="63">
      <c r="E3945" s="139" t="n"/>
      <c r="F3945" s="139" t="n"/>
      <c r="G3945" s="140">
        <f>IFERROR(IF(E3945&gt;0,(F3945/E3945)*1000,""),"")</f>
        <v/>
      </c>
      <c r="H3945" s="139">
        <f>IFERROR(IF(E3945&gt;0,E3945*IF(ISNUMBER(J3945),J3945,IF(OR(C3945="Alpha",B3945="Alpha"),$C$7,IF(C3945="Futures",$C$6,$C$5))),""),"")</f>
        <v/>
      </c>
      <c r="I3945" s="139">
        <f>IFERROR(IF(AND(ISNUMBER(F3945),ISNUMBER(H3945)),F3945-H3945,""),"")</f>
        <v/>
      </c>
      <c r="J3945" s="114" t="n"/>
      <c r="K3945" s="139">
        <f>IFERROR(IF(H3945&gt;0,H3945*IF(OR(C3945="Alpha",B3945="Alpha"),$C$9,$C$8),""),"")</f>
        <v/>
      </c>
      <c r="L3945" s="139">
        <f>IFERROR(IF(ISNUMBER(F3945),F3945-IF(ISNUMBER(K3945),K3945,0),""),"")</f>
        <v/>
      </c>
    </row>
    <row r="3946" ht="24" customHeight="1" s="63">
      <c r="E3946" s="139" t="n"/>
      <c r="F3946" s="139" t="n"/>
      <c r="G3946" s="140">
        <f>IFERROR(IF(E3946&gt;0,(F3946/E3946)*1000,""),"")</f>
        <v/>
      </c>
      <c r="H3946" s="139">
        <f>IFERROR(IF(E3946&gt;0,E3946*IF(ISNUMBER(J3946),J3946,IF(OR(C3946="Alpha",B3946="Alpha"),$C$7,IF(C3946="Futures",$C$6,$C$5))),""),"")</f>
        <v/>
      </c>
      <c r="I3946" s="139">
        <f>IFERROR(IF(AND(ISNUMBER(F3946),ISNUMBER(H3946)),F3946-H3946,""),"")</f>
        <v/>
      </c>
      <c r="J3946" s="114" t="n"/>
      <c r="K3946" s="139">
        <f>IFERROR(IF(H3946&gt;0,H3946*IF(OR(C3946="Alpha",B3946="Alpha"),$C$9,$C$8),""),"")</f>
        <v/>
      </c>
      <c r="L3946" s="139">
        <f>IFERROR(IF(ISNUMBER(F3946),F3946-IF(ISNUMBER(K3946),K3946,0),""),"")</f>
        <v/>
      </c>
    </row>
    <row r="3947" ht="24" customHeight="1" s="63">
      <c r="E3947" s="139" t="n"/>
      <c r="F3947" s="139" t="n"/>
      <c r="G3947" s="140">
        <f>IFERROR(IF(E3947&gt;0,(F3947/E3947)*1000,""),"")</f>
        <v/>
      </c>
      <c r="H3947" s="139">
        <f>IFERROR(IF(E3947&gt;0,E3947*IF(ISNUMBER(J3947),J3947,IF(OR(C3947="Alpha",B3947="Alpha"),$C$7,IF(C3947="Futures",$C$6,$C$5))),""),"")</f>
        <v/>
      </c>
      <c r="I3947" s="139">
        <f>IFERROR(IF(AND(ISNUMBER(F3947),ISNUMBER(H3947)),F3947-H3947,""),"")</f>
        <v/>
      </c>
      <c r="J3947" s="114" t="n"/>
      <c r="K3947" s="139">
        <f>IFERROR(IF(H3947&gt;0,H3947*IF(OR(C3947="Alpha",B3947="Alpha"),$C$9,$C$8),""),"")</f>
        <v/>
      </c>
      <c r="L3947" s="139">
        <f>IFERROR(IF(ISNUMBER(F3947),F3947-IF(ISNUMBER(K3947),K3947,0),""),"")</f>
        <v/>
      </c>
    </row>
    <row r="3948" ht="24" customHeight="1" s="63">
      <c r="E3948" s="139" t="n"/>
      <c r="F3948" s="139" t="n"/>
      <c r="G3948" s="140">
        <f>IFERROR(IF(E3948&gt;0,(F3948/E3948)*1000,""),"")</f>
        <v/>
      </c>
      <c r="H3948" s="139">
        <f>IFERROR(IF(E3948&gt;0,E3948*IF(ISNUMBER(J3948),J3948,IF(OR(C3948="Alpha",B3948="Alpha"),$C$7,IF(C3948="Futures",$C$6,$C$5))),""),"")</f>
        <v/>
      </c>
      <c r="I3948" s="139">
        <f>IFERROR(IF(AND(ISNUMBER(F3948),ISNUMBER(H3948)),F3948-H3948,""),"")</f>
        <v/>
      </c>
      <c r="J3948" s="114" t="n"/>
      <c r="K3948" s="139">
        <f>IFERROR(IF(H3948&gt;0,H3948*IF(OR(C3948="Alpha",B3948="Alpha"),$C$9,$C$8),""),"")</f>
        <v/>
      </c>
      <c r="L3948" s="139">
        <f>IFERROR(IF(ISNUMBER(F3948),F3948-IF(ISNUMBER(K3948),K3948,0),""),"")</f>
        <v/>
      </c>
    </row>
    <row r="3949" ht="24" customHeight="1" s="63">
      <c r="E3949" s="139" t="n"/>
      <c r="F3949" s="139" t="n"/>
      <c r="G3949" s="140">
        <f>IFERROR(IF(E3949&gt;0,(F3949/E3949)*1000,""),"")</f>
        <v/>
      </c>
      <c r="H3949" s="139">
        <f>IFERROR(IF(E3949&gt;0,E3949*IF(ISNUMBER(J3949),J3949,IF(OR(C3949="Alpha",B3949="Alpha"),$C$7,IF(C3949="Futures",$C$6,$C$5))),""),"")</f>
        <v/>
      </c>
      <c r="I3949" s="139">
        <f>IFERROR(IF(AND(ISNUMBER(F3949),ISNUMBER(H3949)),F3949-H3949,""),"")</f>
        <v/>
      </c>
      <c r="J3949" s="114" t="n"/>
      <c r="K3949" s="139">
        <f>IFERROR(IF(H3949&gt;0,H3949*IF(OR(C3949="Alpha",B3949="Alpha"),$C$9,$C$8),""),"")</f>
        <v/>
      </c>
      <c r="L3949" s="139">
        <f>IFERROR(IF(ISNUMBER(F3949),F3949-IF(ISNUMBER(K3949),K3949,0),""),"")</f>
        <v/>
      </c>
    </row>
    <row r="3950" ht="24" customHeight="1" s="63">
      <c r="E3950" s="139" t="n"/>
      <c r="F3950" s="139" t="n"/>
      <c r="G3950" s="140">
        <f>IFERROR(IF(E3950&gt;0,(F3950/E3950)*1000,""),"")</f>
        <v/>
      </c>
      <c r="H3950" s="139">
        <f>IFERROR(IF(E3950&gt;0,E3950*IF(ISNUMBER(J3950),J3950,IF(OR(C3950="Alpha",B3950="Alpha"),$C$7,IF(C3950="Futures",$C$6,$C$5))),""),"")</f>
        <v/>
      </c>
      <c r="I3950" s="139">
        <f>IFERROR(IF(AND(ISNUMBER(F3950),ISNUMBER(H3950)),F3950-H3950,""),"")</f>
        <v/>
      </c>
      <c r="J3950" s="114" t="n"/>
      <c r="K3950" s="139">
        <f>IFERROR(IF(H3950&gt;0,H3950*IF(OR(C3950="Alpha",B3950="Alpha"),$C$9,$C$8),""),"")</f>
        <v/>
      </c>
      <c r="L3950" s="139">
        <f>IFERROR(IF(ISNUMBER(F3950),F3950-IF(ISNUMBER(K3950),K3950,0),""),"")</f>
        <v/>
      </c>
    </row>
    <row r="3951" ht="24" customHeight="1" s="63">
      <c r="E3951" s="139" t="n"/>
      <c r="F3951" s="139" t="n"/>
      <c r="G3951" s="140">
        <f>IFERROR(IF(E3951&gt;0,(F3951/E3951)*1000,""),"")</f>
        <v/>
      </c>
      <c r="H3951" s="139">
        <f>IFERROR(IF(E3951&gt;0,E3951*IF(ISNUMBER(J3951),J3951,IF(OR(C3951="Alpha",B3951="Alpha"),$C$7,IF(C3951="Futures",$C$6,$C$5))),""),"")</f>
        <v/>
      </c>
      <c r="I3951" s="139">
        <f>IFERROR(IF(AND(ISNUMBER(F3951),ISNUMBER(H3951)),F3951-H3951,""),"")</f>
        <v/>
      </c>
      <c r="J3951" s="114" t="n"/>
      <c r="K3951" s="139">
        <f>IFERROR(IF(H3951&gt;0,H3951*IF(OR(C3951="Alpha",B3951="Alpha"),$C$9,$C$8),""),"")</f>
        <v/>
      </c>
      <c r="L3951" s="139">
        <f>IFERROR(IF(ISNUMBER(F3951),F3951-IF(ISNUMBER(K3951),K3951,0),""),"")</f>
        <v/>
      </c>
    </row>
    <row r="3952" ht="24" customHeight="1" s="63">
      <c r="E3952" s="139" t="n"/>
      <c r="F3952" s="139" t="n"/>
      <c r="G3952" s="140">
        <f>IFERROR(IF(E3952&gt;0,(F3952/E3952)*1000,""),"")</f>
        <v/>
      </c>
      <c r="H3952" s="139">
        <f>IFERROR(IF(E3952&gt;0,E3952*IF(ISNUMBER(J3952),J3952,IF(OR(C3952="Alpha",B3952="Alpha"),$C$7,IF(C3952="Futures",$C$6,$C$5))),""),"")</f>
        <v/>
      </c>
      <c r="I3952" s="139">
        <f>IFERROR(IF(AND(ISNUMBER(F3952),ISNUMBER(H3952)),F3952-H3952,""),"")</f>
        <v/>
      </c>
      <c r="J3952" s="114" t="n"/>
      <c r="K3952" s="139">
        <f>IFERROR(IF(H3952&gt;0,H3952*IF(OR(C3952="Alpha",B3952="Alpha"),$C$9,$C$8),""),"")</f>
        <v/>
      </c>
      <c r="L3952" s="139">
        <f>IFERROR(IF(ISNUMBER(F3952),F3952-IF(ISNUMBER(K3952),K3952,0),""),"")</f>
        <v/>
      </c>
    </row>
    <row r="3953" ht="24" customHeight="1" s="63">
      <c r="E3953" s="139" t="n"/>
      <c r="F3953" s="139" t="n"/>
      <c r="G3953" s="140">
        <f>IFERROR(IF(E3953&gt;0,(F3953/E3953)*1000,""),"")</f>
        <v/>
      </c>
      <c r="H3953" s="139">
        <f>IFERROR(IF(E3953&gt;0,E3953*IF(ISNUMBER(J3953),J3953,IF(OR(C3953="Alpha",B3953="Alpha"),$C$7,IF(C3953="Futures",$C$6,$C$5))),""),"")</f>
        <v/>
      </c>
      <c r="I3953" s="139">
        <f>IFERROR(IF(AND(ISNUMBER(F3953),ISNUMBER(H3953)),F3953-H3953,""),"")</f>
        <v/>
      </c>
      <c r="J3953" s="114" t="n"/>
      <c r="K3953" s="139">
        <f>IFERROR(IF(H3953&gt;0,H3953*IF(OR(C3953="Alpha",B3953="Alpha"),$C$9,$C$8),""),"")</f>
        <v/>
      </c>
      <c r="L3953" s="139">
        <f>IFERROR(IF(ISNUMBER(F3953),F3953-IF(ISNUMBER(K3953),K3953,0),""),"")</f>
        <v/>
      </c>
    </row>
    <row r="3954" ht="24" customHeight="1" s="63">
      <c r="E3954" s="139" t="n"/>
      <c r="F3954" s="139" t="n"/>
      <c r="G3954" s="140">
        <f>IFERROR(IF(E3954&gt;0,(F3954/E3954)*1000,""),"")</f>
        <v/>
      </c>
      <c r="H3954" s="139">
        <f>IFERROR(IF(E3954&gt;0,E3954*IF(ISNUMBER(J3954),J3954,IF(OR(C3954="Alpha",B3954="Alpha"),$C$7,IF(C3954="Futures",$C$6,$C$5))),""),"")</f>
        <v/>
      </c>
      <c r="I3954" s="139">
        <f>IFERROR(IF(AND(ISNUMBER(F3954),ISNUMBER(H3954)),F3954-H3954,""),"")</f>
        <v/>
      </c>
      <c r="J3954" s="114" t="n"/>
      <c r="K3954" s="139">
        <f>IFERROR(IF(H3954&gt;0,H3954*IF(OR(C3954="Alpha",B3954="Alpha"),$C$9,$C$8),""),"")</f>
        <v/>
      </c>
      <c r="L3954" s="139">
        <f>IFERROR(IF(ISNUMBER(F3954),F3954-IF(ISNUMBER(K3954),K3954,0),""),"")</f>
        <v/>
      </c>
    </row>
    <row r="3955" ht="24" customHeight="1" s="63">
      <c r="E3955" s="139" t="n"/>
      <c r="F3955" s="139" t="n"/>
      <c r="G3955" s="140">
        <f>IFERROR(IF(E3955&gt;0,(F3955/E3955)*1000,""),"")</f>
        <v/>
      </c>
      <c r="H3955" s="139">
        <f>IFERROR(IF(E3955&gt;0,E3955*IF(ISNUMBER(J3955),J3955,IF(OR(C3955="Alpha",B3955="Alpha"),$C$7,IF(C3955="Futures",$C$6,$C$5))),""),"")</f>
        <v/>
      </c>
      <c r="I3955" s="139">
        <f>IFERROR(IF(AND(ISNUMBER(F3955),ISNUMBER(H3955)),F3955-H3955,""),"")</f>
        <v/>
      </c>
      <c r="J3955" s="114" t="n"/>
      <c r="K3955" s="139">
        <f>IFERROR(IF(H3955&gt;0,H3955*IF(OR(C3955="Alpha",B3955="Alpha"),$C$9,$C$8),""),"")</f>
        <v/>
      </c>
      <c r="L3955" s="139">
        <f>IFERROR(IF(ISNUMBER(F3955),F3955-IF(ISNUMBER(K3955),K3955,0),""),"")</f>
        <v/>
      </c>
    </row>
    <row r="3956" ht="24" customHeight="1" s="63">
      <c r="E3956" s="139" t="n"/>
      <c r="F3956" s="139" t="n"/>
      <c r="G3956" s="140">
        <f>IFERROR(IF(E3956&gt;0,(F3956/E3956)*1000,""),"")</f>
        <v/>
      </c>
      <c r="H3956" s="139">
        <f>IFERROR(IF(E3956&gt;0,E3956*IF(ISNUMBER(J3956),J3956,IF(OR(C3956="Alpha",B3956="Alpha"),$C$7,IF(C3956="Futures",$C$6,$C$5))),""),"")</f>
        <v/>
      </c>
      <c r="I3956" s="139">
        <f>IFERROR(IF(AND(ISNUMBER(F3956),ISNUMBER(H3956)),F3956-H3956,""),"")</f>
        <v/>
      </c>
      <c r="J3956" s="114" t="n"/>
      <c r="K3956" s="139">
        <f>IFERROR(IF(H3956&gt;0,H3956*IF(OR(C3956="Alpha",B3956="Alpha"),$C$9,$C$8),""),"")</f>
        <v/>
      </c>
      <c r="L3956" s="139">
        <f>IFERROR(IF(ISNUMBER(F3956),F3956-IF(ISNUMBER(K3956),K3956,0),""),"")</f>
        <v/>
      </c>
    </row>
    <row r="3957" ht="24" customHeight="1" s="63">
      <c r="E3957" s="139" t="n"/>
      <c r="F3957" s="139" t="n"/>
      <c r="G3957" s="140">
        <f>IFERROR(IF(E3957&gt;0,(F3957/E3957)*1000,""),"")</f>
        <v/>
      </c>
      <c r="H3957" s="139">
        <f>IFERROR(IF(E3957&gt;0,E3957*IF(ISNUMBER(J3957),J3957,IF(OR(C3957="Alpha",B3957="Alpha"),$C$7,IF(C3957="Futures",$C$6,$C$5))),""),"")</f>
        <v/>
      </c>
      <c r="I3957" s="139">
        <f>IFERROR(IF(AND(ISNUMBER(F3957),ISNUMBER(H3957)),F3957-H3957,""),"")</f>
        <v/>
      </c>
      <c r="J3957" s="114" t="n"/>
      <c r="K3957" s="139">
        <f>IFERROR(IF(H3957&gt;0,H3957*IF(OR(C3957="Alpha",B3957="Alpha"),$C$9,$C$8),""),"")</f>
        <v/>
      </c>
      <c r="L3957" s="139">
        <f>IFERROR(IF(ISNUMBER(F3957),F3957-IF(ISNUMBER(K3957),K3957,0),""),"")</f>
        <v/>
      </c>
    </row>
    <row r="3958" ht="24" customHeight="1" s="63">
      <c r="E3958" s="139" t="n"/>
      <c r="F3958" s="139" t="n"/>
      <c r="G3958" s="140">
        <f>IFERROR(IF(E3958&gt;0,(F3958/E3958)*1000,""),"")</f>
        <v/>
      </c>
      <c r="H3958" s="139">
        <f>IFERROR(IF(E3958&gt;0,E3958*IF(ISNUMBER(J3958),J3958,IF(OR(C3958="Alpha",B3958="Alpha"),$C$7,IF(C3958="Futures",$C$6,$C$5))),""),"")</f>
        <v/>
      </c>
      <c r="I3958" s="139">
        <f>IFERROR(IF(AND(ISNUMBER(F3958),ISNUMBER(H3958)),F3958-H3958,""),"")</f>
        <v/>
      </c>
      <c r="J3958" s="114" t="n"/>
      <c r="K3958" s="139">
        <f>IFERROR(IF(H3958&gt;0,H3958*IF(OR(C3958="Alpha",B3958="Alpha"),$C$9,$C$8),""),"")</f>
        <v/>
      </c>
      <c r="L3958" s="139">
        <f>IFERROR(IF(ISNUMBER(F3958),F3958-IF(ISNUMBER(K3958),K3958,0),""),"")</f>
        <v/>
      </c>
    </row>
    <row r="3959" ht="24" customHeight="1" s="63">
      <c r="E3959" s="139" t="n"/>
      <c r="F3959" s="139" t="n"/>
      <c r="G3959" s="140">
        <f>IFERROR(IF(E3959&gt;0,(F3959/E3959)*1000,""),"")</f>
        <v/>
      </c>
      <c r="H3959" s="139">
        <f>IFERROR(IF(E3959&gt;0,E3959*IF(ISNUMBER(J3959),J3959,IF(OR(C3959="Alpha",B3959="Alpha"),$C$7,IF(C3959="Futures",$C$6,$C$5))),""),"")</f>
        <v/>
      </c>
      <c r="I3959" s="139">
        <f>IFERROR(IF(AND(ISNUMBER(F3959),ISNUMBER(H3959)),F3959-H3959,""),"")</f>
        <v/>
      </c>
      <c r="J3959" s="114" t="n"/>
      <c r="K3959" s="139">
        <f>IFERROR(IF(H3959&gt;0,H3959*IF(OR(C3959="Alpha",B3959="Alpha"),$C$9,$C$8),""),"")</f>
        <v/>
      </c>
      <c r="L3959" s="139">
        <f>IFERROR(IF(ISNUMBER(F3959),F3959-IF(ISNUMBER(K3959),K3959,0),""),"")</f>
        <v/>
      </c>
    </row>
    <row r="3960" ht="24" customHeight="1" s="63">
      <c r="E3960" s="139" t="n"/>
      <c r="F3960" s="139" t="n"/>
      <c r="G3960" s="140">
        <f>IFERROR(IF(E3960&gt;0,(F3960/E3960)*1000,""),"")</f>
        <v/>
      </c>
      <c r="H3960" s="139">
        <f>IFERROR(IF(E3960&gt;0,E3960*IF(ISNUMBER(J3960),J3960,IF(OR(C3960="Alpha",B3960="Alpha"),$C$7,IF(C3960="Futures",$C$6,$C$5))),""),"")</f>
        <v/>
      </c>
      <c r="I3960" s="139">
        <f>IFERROR(IF(AND(ISNUMBER(F3960),ISNUMBER(H3960)),F3960-H3960,""),"")</f>
        <v/>
      </c>
      <c r="J3960" s="114" t="n"/>
      <c r="K3960" s="139">
        <f>IFERROR(IF(H3960&gt;0,H3960*IF(OR(C3960="Alpha",B3960="Alpha"),$C$9,$C$8),""),"")</f>
        <v/>
      </c>
      <c r="L3960" s="139">
        <f>IFERROR(IF(ISNUMBER(F3960),F3960-IF(ISNUMBER(K3960),K3960,0),""),"")</f>
        <v/>
      </c>
    </row>
    <row r="3961" ht="24" customHeight="1" s="63">
      <c r="E3961" s="139" t="n"/>
      <c r="F3961" s="139" t="n"/>
      <c r="G3961" s="140">
        <f>IFERROR(IF(E3961&gt;0,(F3961/E3961)*1000,""),"")</f>
        <v/>
      </c>
      <c r="H3961" s="139">
        <f>IFERROR(IF(E3961&gt;0,E3961*IF(ISNUMBER(J3961),J3961,IF(OR(C3961="Alpha",B3961="Alpha"),$C$7,IF(C3961="Futures",$C$6,$C$5))),""),"")</f>
        <v/>
      </c>
      <c r="I3961" s="139">
        <f>IFERROR(IF(AND(ISNUMBER(F3961),ISNUMBER(H3961)),F3961-H3961,""),"")</f>
        <v/>
      </c>
      <c r="J3961" s="114" t="n"/>
      <c r="K3961" s="139">
        <f>IFERROR(IF(H3961&gt;0,H3961*IF(OR(C3961="Alpha",B3961="Alpha"),$C$9,$C$8),""),"")</f>
        <v/>
      </c>
      <c r="L3961" s="139">
        <f>IFERROR(IF(ISNUMBER(F3961),F3961-IF(ISNUMBER(K3961),K3961,0),""),"")</f>
        <v/>
      </c>
    </row>
    <row r="3962" ht="24" customHeight="1" s="63">
      <c r="E3962" s="139" t="n"/>
      <c r="F3962" s="139" t="n"/>
      <c r="G3962" s="140">
        <f>IFERROR(IF(E3962&gt;0,(F3962/E3962)*1000,""),"")</f>
        <v/>
      </c>
      <c r="H3962" s="139">
        <f>IFERROR(IF(E3962&gt;0,E3962*IF(ISNUMBER(J3962),J3962,IF(OR(C3962="Alpha",B3962="Alpha"),$C$7,IF(C3962="Futures",$C$6,$C$5))),""),"")</f>
        <v/>
      </c>
      <c r="I3962" s="139">
        <f>IFERROR(IF(AND(ISNUMBER(F3962),ISNUMBER(H3962)),F3962-H3962,""),"")</f>
        <v/>
      </c>
      <c r="J3962" s="114" t="n"/>
      <c r="K3962" s="139">
        <f>IFERROR(IF(H3962&gt;0,H3962*IF(OR(C3962="Alpha",B3962="Alpha"),$C$9,$C$8),""),"")</f>
        <v/>
      </c>
      <c r="L3962" s="139">
        <f>IFERROR(IF(ISNUMBER(F3962),F3962-IF(ISNUMBER(K3962),K3962,0),""),"")</f>
        <v/>
      </c>
    </row>
    <row r="3963" ht="24" customHeight="1" s="63">
      <c r="E3963" s="139" t="n"/>
      <c r="F3963" s="139" t="n"/>
      <c r="G3963" s="140">
        <f>IFERROR(IF(E3963&gt;0,(F3963/E3963)*1000,""),"")</f>
        <v/>
      </c>
      <c r="H3963" s="139">
        <f>IFERROR(IF(E3963&gt;0,E3963*IF(ISNUMBER(J3963),J3963,IF(OR(C3963="Alpha",B3963="Alpha"),$C$7,IF(C3963="Futures",$C$6,$C$5))),""),"")</f>
        <v/>
      </c>
      <c r="I3963" s="139">
        <f>IFERROR(IF(AND(ISNUMBER(F3963),ISNUMBER(H3963)),F3963-H3963,""),"")</f>
        <v/>
      </c>
      <c r="J3963" s="114" t="n"/>
      <c r="K3963" s="139">
        <f>IFERROR(IF(H3963&gt;0,H3963*IF(OR(C3963="Alpha",B3963="Alpha"),$C$9,$C$8),""),"")</f>
        <v/>
      </c>
      <c r="L3963" s="139">
        <f>IFERROR(IF(ISNUMBER(F3963),F3963-IF(ISNUMBER(K3963),K3963,0),""),"")</f>
        <v/>
      </c>
    </row>
    <row r="3964" ht="24" customHeight="1" s="63">
      <c r="E3964" s="139" t="n"/>
      <c r="F3964" s="139" t="n"/>
      <c r="G3964" s="140">
        <f>IFERROR(IF(E3964&gt;0,(F3964/E3964)*1000,""),"")</f>
        <v/>
      </c>
      <c r="H3964" s="139">
        <f>IFERROR(IF(E3964&gt;0,E3964*IF(ISNUMBER(J3964),J3964,IF(OR(C3964="Alpha",B3964="Alpha"),$C$7,IF(C3964="Futures",$C$6,$C$5))),""),"")</f>
        <v/>
      </c>
      <c r="I3964" s="139">
        <f>IFERROR(IF(AND(ISNUMBER(F3964),ISNUMBER(H3964)),F3964-H3964,""),"")</f>
        <v/>
      </c>
      <c r="J3964" s="114" t="n"/>
      <c r="K3964" s="139">
        <f>IFERROR(IF(H3964&gt;0,H3964*IF(OR(C3964="Alpha",B3964="Alpha"),$C$9,$C$8),""),"")</f>
        <v/>
      </c>
      <c r="L3964" s="139">
        <f>IFERROR(IF(ISNUMBER(F3964),F3964-IF(ISNUMBER(K3964),K3964,0),""),"")</f>
        <v/>
      </c>
    </row>
    <row r="3965" ht="24" customHeight="1" s="63">
      <c r="E3965" s="139" t="n"/>
      <c r="F3965" s="139" t="n"/>
      <c r="G3965" s="140">
        <f>IFERROR(IF(E3965&gt;0,(F3965/E3965)*1000,""),"")</f>
        <v/>
      </c>
      <c r="H3965" s="139">
        <f>IFERROR(IF(E3965&gt;0,E3965*IF(ISNUMBER(J3965),J3965,IF(OR(C3965="Alpha",B3965="Alpha"),$C$7,IF(C3965="Futures",$C$6,$C$5))),""),"")</f>
        <v/>
      </c>
      <c r="I3965" s="139">
        <f>IFERROR(IF(AND(ISNUMBER(F3965),ISNUMBER(H3965)),F3965-H3965,""),"")</f>
        <v/>
      </c>
      <c r="J3965" s="114" t="n"/>
      <c r="K3965" s="139">
        <f>IFERROR(IF(H3965&gt;0,H3965*IF(OR(C3965="Alpha",B3965="Alpha"),$C$9,$C$8),""),"")</f>
        <v/>
      </c>
      <c r="L3965" s="139">
        <f>IFERROR(IF(ISNUMBER(F3965),F3965-IF(ISNUMBER(K3965),K3965,0),""),"")</f>
        <v/>
      </c>
    </row>
    <row r="3966" ht="24" customHeight="1" s="63">
      <c r="E3966" s="139" t="n"/>
      <c r="F3966" s="139" t="n"/>
      <c r="G3966" s="140">
        <f>IFERROR(IF(E3966&gt;0,(F3966/E3966)*1000,""),"")</f>
        <v/>
      </c>
      <c r="H3966" s="139">
        <f>IFERROR(IF(E3966&gt;0,E3966*IF(ISNUMBER(J3966),J3966,IF(OR(C3966="Alpha",B3966="Alpha"),$C$7,IF(C3966="Futures",$C$6,$C$5))),""),"")</f>
        <v/>
      </c>
      <c r="I3966" s="139">
        <f>IFERROR(IF(AND(ISNUMBER(F3966),ISNUMBER(H3966)),F3966-H3966,""),"")</f>
        <v/>
      </c>
      <c r="J3966" s="114" t="n"/>
      <c r="K3966" s="139">
        <f>IFERROR(IF(H3966&gt;0,H3966*IF(OR(C3966="Alpha",B3966="Alpha"),$C$9,$C$8),""),"")</f>
        <v/>
      </c>
      <c r="L3966" s="139">
        <f>IFERROR(IF(ISNUMBER(F3966),F3966-IF(ISNUMBER(K3966),K3966,0),""),"")</f>
        <v/>
      </c>
    </row>
    <row r="3967" ht="24" customHeight="1" s="63">
      <c r="E3967" s="139" t="n"/>
      <c r="F3967" s="139" t="n"/>
      <c r="G3967" s="140">
        <f>IFERROR(IF(E3967&gt;0,(F3967/E3967)*1000,""),"")</f>
        <v/>
      </c>
      <c r="H3967" s="139">
        <f>IFERROR(IF(E3967&gt;0,E3967*IF(ISNUMBER(J3967),J3967,IF(OR(C3967="Alpha",B3967="Alpha"),$C$7,IF(C3967="Futures",$C$6,$C$5))),""),"")</f>
        <v/>
      </c>
      <c r="I3967" s="139">
        <f>IFERROR(IF(AND(ISNUMBER(F3967),ISNUMBER(H3967)),F3967-H3967,""),"")</f>
        <v/>
      </c>
      <c r="J3967" s="114" t="n"/>
      <c r="K3967" s="139">
        <f>IFERROR(IF(H3967&gt;0,H3967*IF(OR(C3967="Alpha",B3967="Alpha"),$C$9,$C$8),""),"")</f>
        <v/>
      </c>
      <c r="L3967" s="139">
        <f>IFERROR(IF(ISNUMBER(F3967),F3967-IF(ISNUMBER(K3967),K3967,0),""),"")</f>
        <v/>
      </c>
    </row>
    <row r="3968" ht="24" customHeight="1" s="63">
      <c r="E3968" s="139" t="n"/>
      <c r="F3968" s="139" t="n"/>
      <c r="G3968" s="140">
        <f>IFERROR(IF(E3968&gt;0,(F3968/E3968)*1000,""),"")</f>
        <v/>
      </c>
      <c r="H3968" s="139">
        <f>IFERROR(IF(E3968&gt;0,E3968*IF(ISNUMBER(J3968),J3968,IF(OR(C3968="Alpha",B3968="Alpha"),$C$7,IF(C3968="Futures",$C$6,$C$5))),""),"")</f>
        <v/>
      </c>
      <c r="I3968" s="139">
        <f>IFERROR(IF(AND(ISNUMBER(F3968),ISNUMBER(H3968)),F3968-H3968,""),"")</f>
        <v/>
      </c>
      <c r="J3968" s="114" t="n"/>
      <c r="K3968" s="139">
        <f>IFERROR(IF(H3968&gt;0,H3968*IF(OR(C3968="Alpha",B3968="Alpha"),$C$9,$C$8),""),"")</f>
        <v/>
      </c>
      <c r="L3968" s="139">
        <f>IFERROR(IF(ISNUMBER(F3968),F3968-IF(ISNUMBER(K3968),K3968,0),""),"")</f>
        <v/>
      </c>
    </row>
    <row r="3969" ht="24" customHeight="1" s="63">
      <c r="E3969" s="139" t="n"/>
      <c r="F3969" s="139" t="n"/>
      <c r="G3969" s="140">
        <f>IFERROR(IF(E3969&gt;0,(F3969/E3969)*1000,""),"")</f>
        <v/>
      </c>
      <c r="H3969" s="139">
        <f>IFERROR(IF(E3969&gt;0,E3969*IF(ISNUMBER(J3969),J3969,IF(OR(C3969="Alpha",B3969="Alpha"),$C$7,IF(C3969="Futures",$C$6,$C$5))),""),"")</f>
        <v/>
      </c>
      <c r="I3969" s="139">
        <f>IFERROR(IF(AND(ISNUMBER(F3969),ISNUMBER(H3969)),F3969-H3969,""),"")</f>
        <v/>
      </c>
      <c r="J3969" s="114" t="n"/>
      <c r="K3969" s="139">
        <f>IFERROR(IF(H3969&gt;0,H3969*IF(OR(C3969="Alpha",B3969="Alpha"),$C$9,$C$8),""),"")</f>
        <v/>
      </c>
      <c r="L3969" s="139">
        <f>IFERROR(IF(ISNUMBER(F3969),F3969-IF(ISNUMBER(K3969),K3969,0),""),"")</f>
        <v/>
      </c>
    </row>
    <row r="3970" ht="24" customHeight="1" s="63">
      <c r="E3970" s="139" t="n"/>
      <c r="F3970" s="139" t="n"/>
      <c r="G3970" s="140">
        <f>IFERROR(IF(E3970&gt;0,(F3970/E3970)*1000,""),"")</f>
        <v/>
      </c>
      <c r="H3970" s="139">
        <f>IFERROR(IF(E3970&gt;0,E3970*IF(ISNUMBER(J3970),J3970,IF(OR(C3970="Alpha",B3970="Alpha"),$C$7,IF(C3970="Futures",$C$6,$C$5))),""),"")</f>
        <v/>
      </c>
      <c r="I3970" s="139">
        <f>IFERROR(IF(AND(ISNUMBER(F3970),ISNUMBER(H3970)),F3970-H3970,""),"")</f>
        <v/>
      </c>
      <c r="J3970" s="114" t="n"/>
      <c r="K3970" s="139">
        <f>IFERROR(IF(H3970&gt;0,H3970*IF(OR(C3970="Alpha",B3970="Alpha"),$C$9,$C$8),""),"")</f>
        <v/>
      </c>
      <c r="L3970" s="139">
        <f>IFERROR(IF(ISNUMBER(F3970),F3970-IF(ISNUMBER(K3970),K3970,0),""),"")</f>
        <v/>
      </c>
    </row>
    <row r="3971" ht="24" customHeight="1" s="63">
      <c r="E3971" s="139" t="n"/>
      <c r="F3971" s="139" t="n"/>
      <c r="G3971" s="140">
        <f>IFERROR(IF(E3971&gt;0,(F3971/E3971)*1000,""),"")</f>
        <v/>
      </c>
      <c r="H3971" s="139">
        <f>IFERROR(IF(E3971&gt;0,E3971*IF(ISNUMBER(J3971),J3971,IF(OR(C3971="Alpha",B3971="Alpha"),$C$7,IF(C3971="Futures",$C$6,$C$5))),""),"")</f>
        <v/>
      </c>
      <c r="I3971" s="139">
        <f>IFERROR(IF(AND(ISNUMBER(F3971),ISNUMBER(H3971)),F3971-H3971,""),"")</f>
        <v/>
      </c>
      <c r="J3971" s="114" t="n"/>
      <c r="K3971" s="139">
        <f>IFERROR(IF(H3971&gt;0,H3971*IF(OR(C3971="Alpha",B3971="Alpha"),$C$9,$C$8),""),"")</f>
        <v/>
      </c>
      <c r="L3971" s="139">
        <f>IFERROR(IF(ISNUMBER(F3971),F3971-IF(ISNUMBER(K3971),K3971,0),""),"")</f>
        <v/>
      </c>
    </row>
    <row r="3972" ht="24" customHeight="1" s="63">
      <c r="E3972" s="139" t="n"/>
      <c r="F3972" s="139" t="n"/>
      <c r="G3972" s="140">
        <f>IFERROR(IF(E3972&gt;0,(F3972/E3972)*1000,""),"")</f>
        <v/>
      </c>
      <c r="H3972" s="139">
        <f>IFERROR(IF(E3972&gt;0,E3972*IF(ISNUMBER(J3972),J3972,IF(OR(C3972="Alpha",B3972="Alpha"),$C$7,IF(C3972="Futures",$C$6,$C$5))),""),"")</f>
        <v/>
      </c>
      <c r="I3972" s="139">
        <f>IFERROR(IF(AND(ISNUMBER(F3972),ISNUMBER(H3972)),F3972-H3972,""),"")</f>
        <v/>
      </c>
      <c r="J3972" s="114" t="n"/>
      <c r="K3972" s="139">
        <f>IFERROR(IF(H3972&gt;0,H3972*IF(OR(C3972="Alpha",B3972="Alpha"),$C$9,$C$8),""),"")</f>
        <v/>
      </c>
      <c r="L3972" s="139">
        <f>IFERROR(IF(ISNUMBER(F3972),F3972-IF(ISNUMBER(K3972),K3972,0),""),"")</f>
        <v/>
      </c>
    </row>
    <row r="3973" ht="24" customHeight="1" s="63">
      <c r="E3973" s="139" t="n"/>
      <c r="F3973" s="139" t="n"/>
      <c r="G3973" s="140">
        <f>IFERROR(IF(E3973&gt;0,(F3973/E3973)*1000,""),"")</f>
        <v/>
      </c>
      <c r="H3973" s="139">
        <f>IFERROR(IF(E3973&gt;0,E3973*IF(ISNUMBER(J3973),J3973,IF(OR(C3973="Alpha",B3973="Alpha"),$C$7,IF(C3973="Futures",$C$6,$C$5))),""),"")</f>
        <v/>
      </c>
      <c r="I3973" s="139">
        <f>IFERROR(IF(AND(ISNUMBER(F3973),ISNUMBER(H3973)),F3973-H3973,""),"")</f>
        <v/>
      </c>
      <c r="J3973" s="114" t="n"/>
      <c r="K3973" s="139">
        <f>IFERROR(IF(H3973&gt;0,H3973*IF(OR(C3973="Alpha",B3973="Alpha"),$C$9,$C$8),""),"")</f>
        <v/>
      </c>
      <c r="L3973" s="139">
        <f>IFERROR(IF(ISNUMBER(F3973),F3973-IF(ISNUMBER(K3973),K3973,0),""),"")</f>
        <v/>
      </c>
    </row>
    <row r="3974" ht="24" customHeight="1" s="63">
      <c r="E3974" s="139" t="n"/>
      <c r="F3974" s="139" t="n"/>
      <c r="G3974" s="140">
        <f>IFERROR(IF(E3974&gt;0,(F3974/E3974)*1000,""),"")</f>
        <v/>
      </c>
      <c r="H3974" s="139">
        <f>IFERROR(IF(E3974&gt;0,E3974*IF(ISNUMBER(J3974),J3974,IF(OR(C3974="Alpha",B3974="Alpha"),$C$7,IF(C3974="Futures",$C$6,$C$5))),""),"")</f>
        <v/>
      </c>
      <c r="I3974" s="139">
        <f>IFERROR(IF(AND(ISNUMBER(F3974),ISNUMBER(H3974)),F3974-H3974,""),"")</f>
        <v/>
      </c>
      <c r="J3974" s="114" t="n"/>
      <c r="K3974" s="139">
        <f>IFERROR(IF(H3974&gt;0,H3974*IF(OR(C3974="Alpha",B3974="Alpha"),$C$9,$C$8),""),"")</f>
        <v/>
      </c>
      <c r="L3974" s="139">
        <f>IFERROR(IF(ISNUMBER(F3974),F3974-IF(ISNUMBER(K3974),K3974,0),""),"")</f>
        <v/>
      </c>
    </row>
    <row r="3975" ht="24" customHeight="1" s="63">
      <c r="E3975" s="139" t="n"/>
      <c r="F3975" s="139" t="n"/>
      <c r="G3975" s="140">
        <f>IFERROR(IF(E3975&gt;0,(F3975/E3975)*1000,""),"")</f>
        <v/>
      </c>
      <c r="H3975" s="139">
        <f>IFERROR(IF(E3975&gt;0,E3975*IF(ISNUMBER(J3975),J3975,IF(OR(C3975="Alpha",B3975="Alpha"),$C$7,IF(C3975="Futures",$C$6,$C$5))),""),"")</f>
        <v/>
      </c>
      <c r="I3975" s="139">
        <f>IFERROR(IF(AND(ISNUMBER(F3975),ISNUMBER(H3975)),F3975-H3975,""),"")</f>
        <v/>
      </c>
      <c r="J3975" s="114" t="n"/>
      <c r="K3975" s="139">
        <f>IFERROR(IF(H3975&gt;0,H3975*IF(OR(C3975="Alpha",B3975="Alpha"),$C$9,$C$8),""),"")</f>
        <v/>
      </c>
      <c r="L3975" s="139">
        <f>IFERROR(IF(ISNUMBER(F3975),F3975-IF(ISNUMBER(K3975),K3975,0),""),"")</f>
        <v/>
      </c>
    </row>
    <row r="3976" ht="24" customHeight="1" s="63">
      <c r="E3976" s="139" t="n"/>
      <c r="F3976" s="139" t="n"/>
      <c r="G3976" s="140">
        <f>IFERROR(IF(E3976&gt;0,(F3976/E3976)*1000,""),"")</f>
        <v/>
      </c>
      <c r="H3976" s="139">
        <f>IFERROR(IF(E3976&gt;0,E3976*IF(ISNUMBER(J3976),J3976,IF(OR(C3976="Alpha",B3976="Alpha"),$C$7,IF(C3976="Futures",$C$6,$C$5))),""),"")</f>
        <v/>
      </c>
      <c r="I3976" s="139">
        <f>IFERROR(IF(AND(ISNUMBER(F3976),ISNUMBER(H3976)),F3976-H3976,""),"")</f>
        <v/>
      </c>
      <c r="J3976" s="114" t="n"/>
      <c r="K3976" s="139">
        <f>IFERROR(IF(H3976&gt;0,H3976*IF(OR(C3976="Alpha",B3976="Alpha"),$C$9,$C$8),""),"")</f>
        <v/>
      </c>
      <c r="L3976" s="139">
        <f>IFERROR(IF(ISNUMBER(F3976),F3976-IF(ISNUMBER(K3976),K3976,0),""),"")</f>
        <v/>
      </c>
    </row>
    <row r="3977" ht="24" customHeight="1" s="63">
      <c r="E3977" s="139" t="n"/>
      <c r="F3977" s="139" t="n"/>
      <c r="G3977" s="140">
        <f>IFERROR(IF(E3977&gt;0,(F3977/E3977)*1000,""),"")</f>
        <v/>
      </c>
      <c r="H3977" s="139">
        <f>IFERROR(IF(E3977&gt;0,E3977*IF(ISNUMBER(J3977),J3977,IF(OR(C3977="Alpha",B3977="Alpha"),$C$7,IF(C3977="Futures",$C$6,$C$5))),""),"")</f>
        <v/>
      </c>
      <c r="I3977" s="139">
        <f>IFERROR(IF(AND(ISNUMBER(F3977),ISNUMBER(H3977)),F3977-H3977,""),"")</f>
        <v/>
      </c>
      <c r="J3977" s="114" t="n"/>
      <c r="K3977" s="139">
        <f>IFERROR(IF(H3977&gt;0,H3977*IF(OR(C3977="Alpha",B3977="Alpha"),$C$9,$C$8),""),"")</f>
        <v/>
      </c>
      <c r="L3977" s="139">
        <f>IFERROR(IF(ISNUMBER(F3977),F3977-IF(ISNUMBER(K3977),K3977,0),""),"")</f>
        <v/>
      </c>
    </row>
    <row r="3978" ht="24" customHeight="1" s="63">
      <c r="E3978" s="139" t="n"/>
      <c r="F3978" s="139" t="n"/>
      <c r="G3978" s="140">
        <f>IFERROR(IF(E3978&gt;0,(F3978/E3978)*1000,""),"")</f>
        <v/>
      </c>
      <c r="H3978" s="139">
        <f>IFERROR(IF(E3978&gt;0,E3978*IF(ISNUMBER(J3978),J3978,IF(OR(C3978="Alpha",B3978="Alpha"),$C$7,IF(C3978="Futures",$C$6,$C$5))),""),"")</f>
        <v/>
      </c>
      <c r="I3978" s="139">
        <f>IFERROR(IF(AND(ISNUMBER(F3978),ISNUMBER(H3978)),F3978-H3978,""),"")</f>
        <v/>
      </c>
      <c r="J3978" s="114" t="n"/>
      <c r="K3978" s="139">
        <f>IFERROR(IF(H3978&gt;0,H3978*IF(OR(C3978="Alpha",B3978="Alpha"),$C$9,$C$8),""),"")</f>
        <v/>
      </c>
      <c r="L3978" s="139">
        <f>IFERROR(IF(ISNUMBER(F3978),F3978-IF(ISNUMBER(K3978),K3978,0),""),"")</f>
        <v/>
      </c>
    </row>
    <row r="3979" ht="24" customHeight="1" s="63">
      <c r="E3979" s="139" t="n"/>
      <c r="F3979" s="139" t="n"/>
      <c r="G3979" s="140">
        <f>IFERROR(IF(E3979&gt;0,(F3979/E3979)*1000,""),"")</f>
        <v/>
      </c>
      <c r="H3979" s="139">
        <f>IFERROR(IF(E3979&gt;0,E3979*IF(ISNUMBER(J3979),J3979,IF(OR(C3979="Alpha",B3979="Alpha"),$C$7,IF(C3979="Futures",$C$6,$C$5))),""),"")</f>
        <v/>
      </c>
      <c r="I3979" s="139">
        <f>IFERROR(IF(AND(ISNUMBER(F3979),ISNUMBER(H3979)),F3979-H3979,""),"")</f>
        <v/>
      </c>
      <c r="J3979" s="114" t="n"/>
      <c r="K3979" s="139">
        <f>IFERROR(IF(H3979&gt;0,H3979*IF(OR(C3979="Alpha",B3979="Alpha"),$C$9,$C$8),""),"")</f>
        <v/>
      </c>
      <c r="L3979" s="139">
        <f>IFERROR(IF(ISNUMBER(F3979),F3979-IF(ISNUMBER(K3979),K3979,0),""),"")</f>
        <v/>
      </c>
    </row>
    <row r="3980" ht="24" customHeight="1" s="63">
      <c r="E3980" s="139" t="n"/>
      <c r="F3980" s="139" t="n"/>
      <c r="G3980" s="140">
        <f>IFERROR(IF(E3980&gt;0,(F3980/E3980)*1000,""),"")</f>
        <v/>
      </c>
      <c r="H3980" s="139">
        <f>IFERROR(IF(E3980&gt;0,E3980*IF(ISNUMBER(J3980),J3980,IF(OR(C3980="Alpha",B3980="Alpha"),$C$7,IF(C3980="Futures",$C$6,$C$5))),""),"")</f>
        <v/>
      </c>
      <c r="I3980" s="139">
        <f>IFERROR(IF(AND(ISNUMBER(F3980),ISNUMBER(H3980)),F3980-H3980,""),"")</f>
        <v/>
      </c>
      <c r="J3980" s="114" t="n"/>
      <c r="K3980" s="139">
        <f>IFERROR(IF(H3980&gt;0,H3980*IF(OR(C3980="Alpha",B3980="Alpha"),$C$9,$C$8),""),"")</f>
        <v/>
      </c>
      <c r="L3980" s="139">
        <f>IFERROR(IF(ISNUMBER(F3980),F3980-IF(ISNUMBER(K3980),K3980,0),""),"")</f>
        <v/>
      </c>
    </row>
    <row r="3981" ht="24" customHeight="1" s="63">
      <c r="E3981" s="139" t="n"/>
      <c r="F3981" s="139" t="n"/>
      <c r="G3981" s="140">
        <f>IFERROR(IF(E3981&gt;0,(F3981/E3981)*1000,""),"")</f>
        <v/>
      </c>
      <c r="H3981" s="139">
        <f>IFERROR(IF(E3981&gt;0,E3981*IF(ISNUMBER(J3981),J3981,IF(OR(C3981="Alpha",B3981="Alpha"),$C$7,IF(C3981="Futures",$C$6,$C$5))),""),"")</f>
        <v/>
      </c>
      <c r="I3981" s="139">
        <f>IFERROR(IF(AND(ISNUMBER(F3981),ISNUMBER(H3981)),F3981-H3981,""),"")</f>
        <v/>
      </c>
      <c r="J3981" s="114" t="n"/>
      <c r="K3981" s="139">
        <f>IFERROR(IF(H3981&gt;0,H3981*IF(OR(C3981="Alpha",B3981="Alpha"),$C$9,$C$8),""),"")</f>
        <v/>
      </c>
      <c r="L3981" s="139">
        <f>IFERROR(IF(ISNUMBER(F3981),F3981-IF(ISNUMBER(K3981),K3981,0),""),"")</f>
        <v/>
      </c>
    </row>
    <row r="3982" ht="24" customHeight="1" s="63">
      <c r="E3982" s="139" t="n"/>
      <c r="F3982" s="139" t="n"/>
      <c r="G3982" s="140">
        <f>IFERROR(IF(E3982&gt;0,(F3982/E3982)*1000,""),"")</f>
        <v/>
      </c>
      <c r="H3982" s="139">
        <f>IFERROR(IF(E3982&gt;0,E3982*IF(ISNUMBER(J3982),J3982,IF(OR(C3982="Alpha",B3982="Alpha"),$C$7,IF(C3982="Futures",$C$6,$C$5))),""),"")</f>
        <v/>
      </c>
      <c r="I3982" s="139">
        <f>IFERROR(IF(AND(ISNUMBER(F3982),ISNUMBER(H3982)),F3982-H3982,""),"")</f>
        <v/>
      </c>
      <c r="J3982" s="114" t="n"/>
      <c r="K3982" s="139">
        <f>IFERROR(IF(H3982&gt;0,H3982*IF(OR(C3982="Alpha",B3982="Alpha"),$C$9,$C$8),""),"")</f>
        <v/>
      </c>
      <c r="L3982" s="139">
        <f>IFERROR(IF(ISNUMBER(F3982),F3982-IF(ISNUMBER(K3982),K3982,0),""),"")</f>
        <v/>
      </c>
    </row>
    <row r="3983" ht="24" customHeight="1" s="63">
      <c r="E3983" s="139" t="n"/>
      <c r="F3983" s="139" t="n"/>
      <c r="G3983" s="140">
        <f>IFERROR(IF(E3983&gt;0,(F3983/E3983)*1000,""),"")</f>
        <v/>
      </c>
      <c r="H3983" s="139">
        <f>IFERROR(IF(E3983&gt;0,E3983*IF(ISNUMBER(J3983),J3983,IF(OR(C3983="Alpha",B3983="Alpha"),$C$7,IF(C3983="Futures",$C$6,$C$5))),""),"")</f>
        <v/>
      </c>
      <c r="I3983" s="139">
        <f>IFERROR(IF(AND(ISNUMBER(F3983),ISNUMBER(H3983)),F3983-H3983,""),"")</f>
        <v/>
      </c>
      <c r="J3983" s="114" t="n"/>
      <c r="K3983" s="139">
        <f>IFERROR(IF(H3983&gt;0,H3983*IF(OR(C3983="Alpha",B3983="Alpha"),$C$9,$C$8),""),"")</f>
        <v/>
      </c>
      <c r="L3983" s="139">
        <f>IFERROR(IF(ISNUMBER(F3983),F3983-IF(ISNUMBER(K3983),K3983,0),""),"")</f>
        <v/>
      </c>
    </row>
    <row r="3984" ht="24" customHeight="1" s="63">
      <c r="E3984" s="139" t="n"/>
      <c r="F3984" s="139" t="n"/>
      <c r="G3984" s="140">
        <f>IFERROR(IF(E3984&gt;0,(F3984/E3984)*1000,""),"")</f>
        <v/>
      </c>
      <c r="H3984" s="139">
        <f>IFERROR(IF(E3984&gt;0,E3984*IF(ISNUMBER(J3984),J3984,IF(OR(C3984="Alpha",B3984="Alpha"),$C$7,IF(C3984="Futures",$C$6,$C$5))),""),"")</f>
        <v/>
      </c>
      <c r="I3984" s="139">
        <f>IFERROR(IF(AND(ISNUMBER(F3984),ISNUMBER(H3984)),F3984-H3984,""),"")</f>
        <v/>
      </c>
      <c r="J3984" s="114" t="n"/>
      <c r="K3984" s="139">
        <f>IFERROR(IF(H3984&gt;0,H3984*IF(OR(C3984="Alpha",B3984="Alpha"),$C$9,$C$8),""),"")</f>
        <v/>
      </c>
      <c r="L3984" s="139">
        <f>IFERROR(IF(ISNUMBER(F3984),F3984-IF(ISNUMBER(K3984),K3984,0),""),"")</f>
        <v/>
      </c>
    </row>
    <row r="3985" ht="24" customHeight="1" s="63">
      <c r="E3985" s="139" t="n"/>
      <c r="F3985" s="139" t="n"/>
      <c r="G3985" s="140">
        <f>IFERROR(IF(E3985&gt;0,(F3985/E3985)*1000,""),"")</f>
        <v/>
      </c>
      <c r="H3985" s="139">
        <f>IFERROR(IF(E3985&gt;0,E3985*IF(ISNUMBER(J3985),J3985,IF(OR(C3985="Alpha",B3985="Alpha"),$C$7,IF(C3985="Futures",$C$6,$C$5))),""),"")</f>
        <v/>
      </c>
      <c r="I3985" s="139">
        <f>IFERROR(IF(AND(ISNUMBER(F3985),ISNUMBER(H3985)),F3985-H3985,""),"")</f>
        <v/>
      </c>
      <c r="J3985" s="114" t="n"/>
      <c r="K3985" s="139">
        <f>IFERROR(IF(H3985&gt;0,H3985*IF(OR(C3985="Alpha",B3985="Alpha"),$C$9,$C$8),""),"")</f>
        <v/>
      </c>
      <c r="L3985" s="139">
        <f>IFERROR(IF(ISNUMBER(F3985),F3985-IF(ISNUMBER(K3985),K3985,0),""),"")</f>
        <v/>
      </c>
    </row>
    <row r="3986" ht="24" customHeight="1" s="63">
      <c r="E3986" s="139" t="n"/>
      <c r="F3986" s="139" t="n"/>
      <c r="G3986" s="140">
        <f>IFERROR(IF(E3986&gt;0,(F3986/E3986)*1000,""),"")</f>
        <v/>
      </c>
      <c r="H3986" s="139">
        <f>IFERROR(IF(E3986&gt;0,E3986*IF(ISNUMBER(J3986),J3986,IF(OR(C3986="Alpha",B3986="Alpha"),$C$7,IF(C3986="Futures",$C$6,$C$5))),""),"")</f>
        <v/>
      </c>
      <c r="I3986" s="139">
        <f>IFERROR(IF(AND(ISNUMBER(F3986),ISNUMBER(H3986)),F3986-H3986,""),"")</f>
        <v/>
      </c>
      <c r="J3986" s="114" t="n"/>
      <c r="K3986" s="139">
        <f>IFERROR(IF(H3986&gt;0,H3986*IF(OR(C3986="Alpha",B3986="Alpha"),$C$9,$C$8),""),"")</f>
        <v/>
      </c>
      <c r="L3986" s="139">
        <f>IFERROR(IF(ISNUMBER(F3986),F3986-IF(ISNUMBER(K3986),K3986,0),""),"")</f>
        <v/>
      </c>
    </row>
    <row r="3987" ht="24" customHeight="1" s="63">
      <c r="E3987" s="139" t="n"/>
      <c r="F3987" s="139" t="n"/>
      <c r="G3987" s="140">
        <f>IFERROR(IF(E3987&gt;0,(F3987/E3987)*1000,""),"")</f>
        <v/>
      </c>
      <c r="H3987" s="139">
        <f>IFERROR(IF(E3987&gt;0,E3987*IF(ISNUMBER(J3987),J3987,IF(OR(C3987="Alpha",B3987="Alpha"),$C$7,IF(C3987="Futures",$C$6,$C$5))),""),"")</f>
        <v/>
      </c>
      <c r="I3987" s="139">
        <f>IFERROR(IF(AND(ISNUMBER(F3987),ISNUMBER(H3987)),F3987-H3987,""),"")</f>
        <v/>
      </c>
      <c r="J3987" s="114" t="n"/>
      <c r="K3987" s="139">
        <f>IFERROR(IF(H3987&gt;0,H3987*IF(OR(C3987="Alpha",B3987="Alpha"),$C$9,$C$8),""),"")</f>
        <v/>
      </c>
      <c r="L3987" s="139">
        <f>IFERROR(IF(ISNUMBER(F3987),F3987-IF(ISNUMBER(K3987),K3987,0),""),"")</f>
        <v/>
      </c>
    </row>
    <row r="3988" ht="24" customHeight="1" s="63">
      <c r="E3988" s="139" t="n"/>
      <c r="F3988" s="139" t="n"/>
      <c r="G3988" s="140">
        <f>IFERROR(IF(E3988&gt;0,(F3988/E3988)*1000,""),"")</f>
        <v/>
      </c>
      <c r="H3988" s="139">
        <f>IFERROR(IF(E3988&gt;0,E3988*IF(ISNUMBER(J3988),J3988,IF(OR(C3988="Alpha",B3988="Alpha"),$C$7,IF(C3988="Futures",$C$6,$C$5))),""),"")</f>
        <v/>
      </c>
      <c r="I3988" s="139">
        <f>IFERROR(IF(AND(ISNUMBER(F3988),ISNUMBER(H3988)),F3988-H3988,""),"")</f>
        <v/>
      </c>
      <c r="J3988" s="114" t="n"/>
      <c r="K3988" s="139">
        <f>IFERROR(IF(H3988&gt;0,H3988*IF(OR(C3988="Alpha",B3988="Alpha"),$C$9,$C$8),""),"")</f>
        <v/>
      </c>
      <c r="L3988" s="139">
        <f>IFERROR(IF(ISNUMBER(F3988),F3988-IF(ISNUMBER(K3988),K3988,0),""),"")</f>
        <v/>
      </c>
    </row>
    <row r="3989" ht="24" customHeight="1" s="63">
      <c r="E3989" s="139" t="n"/>
      <c r="F3989" s="139" t="n"/>
      <c r="G3989" s="140">
        <f>IFERROR(IF(E3989&gt;0,(F3989/E3989)*1000,""),"")</f>
        <v/>
      </c>
      <c r="H3989" s="139">
        <f>IFERROR(IF(E3989&gt;0,E3989*IF(ISNUMBER(J3989),J3989,IF(OR(C3989="Alpha",B3989="Alpha"),$C$7,IF(C3989="Futures",$C$6,$C$5))),""),"")</f>
        <v/>
      </c>
      <c r="I3989" s="139">
        <f>IFERROR(IF(AND(ISNUMBER(F3989),ISNUMBER(H3989)),F3989-H3989,""),"")</f>
        <v/>
      </c>
      <c r="J3989" s="114" t="n"/>
      <c r="K3989" s="139">
        <f>IFERROR(IF(H3989&gt;0,H3989*IF(OR(C3989="Alpha",B3989="Alpha"),$C$9,$C$8),""),"")</f>
        <v/>
      </c>
      <c r="L3989" s="139">
        <f>IFERROR(IF(ISNUMBER(F3989),F3989-IF(ISNUMBER(K3989),K3989,0),""),"")</f>
        <v/>
      </c>
    </row>
    <row r="3990" ht="24" customHeight="1" s="63">
      <c r="E3990" s="139" t="n"/>
      <c r="F3990" s="139" t="n"/>
      <c r="G3990" s="140">
        <f>IFERROR(IF(E3990&gt;0,(F3990/E3990)*1000,""),"")</f>
        <v/>
      </c>
      <c r="H3990" s="139">
        <f>IFERROR(IF(E3990&gt;0,E3990*IF(ISNUMBER(J3990),J3990,IF(OR(C3990="Alpha",B3990="Alpha"),$C$7,IF(C3990="Futures",$C$6,$C$5))),""),"")</f>
        <v/>
      </c>
      <c r="I3990" s="139">
        <f>IFERROR(IF(AND(ISNUMBER(F3990),ISNUMBER(H3990)),F3990-H3990,""),"")</f>
        <v/>
      </c>
      <c r="J3990" s="114" t="n"/>
      <c r="K3990" s="139">
        <f>IFERROR(IF(H3990&gt;0,H3990*IF(OR(C3990="Alpha",B3990="Alpha"),$C$9,$C$8),""),"")</f>
        <v/>
      </c>
      <c r="L3990" s="139">
        <f>IFERROR(IF(ISNUMBER(F3990),F3990-IF(ISNUMBER(K3990),K3990,0),""),"")</f>
        <v/>
      </c>
    </row>
    <row r="3991" ht="24" customHeight="1" s="63">
      <c r="E3991" s="139" t="n"/>
      <c r="F3991" s="139" t="n"/>
      <c r="G3991" s="140">
        <f>IFERROR(IF(E3991&gt;0,(F3991/E3991)*1000,""),"")</f>
        <v/>
      </c>
      <c r="H3991" s="139">
        <f>IFERROR(IF(E3991&gt;0,E3991*IF(ISNUMBER(J3991),J3991,IF(OR(C3991="Alpha",B3991="Alpha"),$C$7,IF(C3991="Futures",$C$6,$C$5))),""),"")</f>
        <v/>
      </c>
      <c r="I3991" s="139">
        <f>IFERROR(IF(AND(ISNUMBER(F3991),ISNUMBER(H3991)),F3991-H3991,""),"")</f>
        <v/>
      </c>
      <c r="J3991" s="114" t="n"/>
      <c r="K3991" s="139">
        <f>IFERROR(IF(H3991&gt;0,H3991*IF(OR(C3991="Alpha",B3991="Alpha"),$C$9,$C$8),""),"")</f>
        <v/>
      </c>
      <c r="L3991" s="139">
        <f>IFERROR(IF(ISNUMBER(F3991),F3991-IF(ISNUMBER(K3991),K3991,0),""),"")</f>
        <v/>
      </c>
    </row>
    <row r="3992" ht="24" customHeight="1" s="63">
      <c r="E3992" s="139" t="n"/>
      <c r="F3992" s="139" t="n"/>
      <c r="G3992" s="140">
        <f>IFERROR(IF(E3992&gt;0,(F3992/E3992)*1000,""),"")</f>
        <v/>
      </c>
      <c r="H3992" s="139">
        <f>IFERROR(IF(E3992&gt;0,E3992*IF(ISNUMBER(J3992),J3992,IF(OR(C3992="Alpha",B3992="Alpha"),$C$7,IF(C3992="Futures",$C$6,$C$5))),""),"")</f>
        <v/>
      </c>
      <c r="I3992" s="139">
        <f>IFERROR(IF(AND(ISNUMBER(F3992),ISNUMBER(H3992)),F3992-H3992,""),"")</f>
        <v/>
      </c>
      <c r="J3992" s="114" t="n"/>
      <c r="K3992" s="139">
        <f>IFERROR(IF(H3992&gt;0,H3992*IF(OR(C3992="Alpha",B3992="Alpha"),$C$9,$C$8),""),"")</f>
        <v/>
      </c>
      <c r="L3992" s="139">
        <f>IFERROR(IF(ISNUMBER(F3992),F3992-IF(ISNUMBER(K3992),K3992,0),""),"")</f>
        <v/>
      </c>
    </row>
    <row r="3993" ht="24" customHeight="1" s="63">
      <c r="E3993" s="139" t="n"/>
      <c r="F3993" s="139" t="n"/>
      <c r="G3993" s="140">
        <f>IFERROR(IF(E3993&gt;0,(F3993/E3993)*1000,""),"")</f>
        <v/>
      </c>
      <c r="H3993" s="139">
        <f>IFERROR(IF(E3993&gt;0,E3993*IF(ISNUMBER(J3993),J3993,IF(OR(C3993="Alpha",B3993="Alpha"),$C$7,IF(C3993="Futures",$C$6,$C$5))),""),"")</f>
        <v/>
      </c>
      <c r="I3993" s="139">
        <f>IFERROR(IF(AND(ISNUMBER(F3993),ISNUMBER(H3993)),F3993-H3993,""),"")</f>
        <v/>
      </c>
      <c r="J3993" s="114" t="n"/>
      <c r="K3993" s="139">
        <f>IFERROR(IF(H3993&gt;0,H3993*IF(OR(C3993="Alpha",B3993="Alpha"),$C$9,$C$8),""),"")</f>
        <v/>
      </c>
      <c r="L3993" s="139">
        <f>IFERROR(IF(ISNUMBER(F3993),F3993-IF(ISNUMBER(K3993),K3993,0),""),"")</f>
        <v/>
      </c>
    </row>
    <row r="3994" ht="24" customHeight="1" s="63">
      <c r="E3994" s="139" t="n"/>
      <c r="F3994" s="139" t="n"/>
      <c r="G3994" s="140">
        <f>IFERROR(IF(E3994&gt;0,(F3994/E3994)*1000,""),"")</f>
        <v/>
      </c>
      <c r="H3994" s="139">
        <f>IFERROR(IF(E3994&gt;0,E3994*IF(ISNUMBER(J3994),J3994,IF(OR(C3994="Alpha",B3994="Alpha"),$C$7,IF(C3994="Futures",$C$6,$C$5))),""),"")</f>
        <v/>
      </c>
      <c r="I3994" s="139">
        <f>IFERROR(IF(AND(ISNUMBER(F3994),ISNUMBER(H3994)),F3994-H3994,""),"")</f>
        <v/>
      </c>
      <c r="J3994" s="114" t="n"/>
      <c r="K3994" s="139">
        <f>IFERROR(IF(H3994&gt;0,H3994*IF(OR(C3994="Alpha",B3994="Alpha"),$C$9,$C$8),""),"")</f>
        <v/>
      </c>
      <c r="L3994" s="139">
        <f>IFERROR(IF(ISNUMBER(F3994),F3994-IF(ISNUMBER(K3994),K3994,0),""),"")</f>
        <v/>
      </c>
    </row>
    <row r="3995" ht="24" customHeight="1" s="63">
      <c r="E3995" s="139" t="n"/>
      <c r="F3995" s="139" t="n"/>
      <c r="G3995" s="140">
        <f>IFERROR(IF(E3995&gt;0,(F3995/E3995)*1000,""),"")</f>
        <v/>
      </c>
      <c r="H3995" s="139">
        <f>IFERROR(IF(E3995&gt;0,E3995*IF(ISNUMBER(J3995),J3995,IF(OR(C3995="Alpha",B3995="Alpha"),$C$7,IF(C3995="Futures",$C$6,$C$5))),""),"")</f>
        <v/>
      </c>
      <c r="I3995" s="139">
        <f>IFERROR(IF(AND(ISNUMBER(F3995),ISNUMBER(H3995)),F3995-H3995,""),"")</f>
        <v/>
      </c>
      <c r="J3995" s="114" t="n"/>
      <c r="K3995" s="139">
        <f>IFERROR(IF(H3995&gt;0,H3995*IF(OR(C3995="Alpha",B3995="Alpha"),$C$9,$C$8),""),"")</f>
        <v/>
      </c>
      <c r="L3995" s="139">
        <f>IFERROR(IF(ISNUMBER(F3995),F3995-IF(ISNUMBER(K3995),K3995,0),""),"")</f>
        <v/>
      </c>
    </row>
    <row r="3996" ht="24" customHeight="1" s="63">
      <c r="E3996" s="139" t="n"/>
      <c r="F3996" s="139" t="n"/>
      <c r="G3996" s="140">
        <f>IFERROR(IF(E3996&gt;0,(F3996/E3996)*1000,""),"")</f>
        <v/>
      </c>
      <c r="H3996" s="139">
        <f>IFERROR(IF(E3996&gt;0,E3996*IF(ISNUMBER(J3996),J3996,IF(OR(C3996="Alpha",B3996="Alpha"),$C$7,IF(C3996="Futures",$C$6,$C$5))),""),"")</f>
        <v/>
      </c>
      <c r="I3996" s="139">
        <f>IFERROR(IF(AND(ISNUMBER(F3996),ISNUMBER(H3996)),F3996-H3996,""),"")</f>
        <v/>
      </c>
      <c r="J3996" s="114" t="n"/>
      <c r="K3996" s="139">
        <f>IFERROR(IF(H3996&gt;0,H3996*IF(OR(C3996="Alpha",B3996="Alpha"),$C$9,$C$8),""),"")</f>
        <v/>
      </c>
      <c r="L3996" s="139">
        <f>IFERROR(IF(ISNUMBER(F3996),F3996-IF(ISNUMBER(K3996),K3996,0),""),"")</f>
        <v/>
      </c>
    </row>
    <row r="3997" ht="24" customHeight="1" s="63">
      <c r="E3997" s="139" t="n"/>
      <c r="F3997" s="139" t="n"/>
      <c r="G3997" s="140">
        <f>IFERROR(IF(E3997&gt;0,(F3997/E3997)*1000,""),"")</f>
        <v/>
      </c>
      <c r="H3997" s="139">
        <f>IFERROR(IF(E3997&gt;0,E3997*IF(ISNUMBER(J3997),J3997,IF(OR(C3997="Alpha",B3997="Alpha"),$C$7,IF(C3997="Futures",$C$6,$C$5))),""),"")</f>
        <v/>
      </c>
      <c r="I3997" s="139">
        <f>IFERROR(IF(AND(ISNUMBER(F3997),ISNUMBER(H3997)),F3997-H3997,""),"")</f>
        <v/>
      </c>
      <c r="J3997" s="114" t="n"/>
      <c r="K3997" s="139">
        <f>IFERROR(IF(H3997&gt;0,H3997*IF(OR(C3997="Alpha",B3997="Alpha"),$C$9,$C$8),""),"")</f>
        <v/>
      </c>
      <c r="L3997" s="139">
        <f>IFERROR(IF(ISNUMBER(F3997),F3997-IF(ISNUMBER(K3997),K3997,0),""),"")</f>
        <v/>
      </c>
    </row>
    <row r="3998" ht="24" customHeight="1" s="63">
      <c r="E3998" s="139" t="n"/>
      <c r="F3998" s="139" t="n"/>
      <c r="G3998" s="140">
        <f>IFERROR(IF(E3998&gt;0,(F3998/E3998)*1000,""),"")</f>
        <v/>
      </c>
      <c r="H3998" s="139">
        <f>IFERROR(IF(E3998&gt;0,E3998*IF(ISNUMBER(J3998),J3998,IF(OR(C3998="Alpha",B3998="Alpha"),$C$7,IF(C3998="Futures",$C$6,$C$5))),""),"")</f>
        <v/>
      </c>
      <c r="I3998" s="139">
        <f>IFERROR(IF(AND(ISNUMBER(F3998),ISNUMBER(H3998)),F3998-H3998,""),"")</f>
        <v/>
      </c>
      <c r="J3998" s="114" t="n"/>
      <c r="K3998" s="139">
        <f>IFERROR(IF(H3998&gt;0,H3998*IF(OR(C3998="Alpha",B3998="Alpha"),$C$9,$C$8),""),"")</f>
        <v/>
      </c>
      <c r="L3998" s="139">
        <f>IFERROR(IF(ISNUMBER(F3998),F3998-IF(ISNUMBER(K3998),K3998,0),""),"")</f>
        <v/>
      </c>
    </row>
    <row r="3999" ht="24" customHeight="1" s="63">
      <c r="E3999" s="139" t="n"/>
      <c r="F3999" s="139" t="n"/>
      <c r="G3999" s="140">
        <f>IFERROR(IF(E3999&gt;0,(F3999/E3999)*1000,""),"")</f>
        <v/>
      </c>
      <c r="H3999" s="139">
        <f>IFERROR(IF(E3999&gt;0,E3999*IF(ISNUMBER(J3999),J3999,IF(OR(C3999="Alpha",B3999="Alpha"),$C$7,IF(C3999="Futures",$C$6,$C$5))),""),"")</f>
        <v/>
      </c>
      <c r="I3999" s="139">
        <f>IFERROR(IF(AND(ISNUMBER(F3999),ISNUMBER(H3999)),F3999-H3999,""),"")</f>
        <v/>
      </c>
      <c r="J3999" s="114" t="n"/>
      <c r="K3999" s="139">
        <f>IFERROR(IF(H3999&gt;0,H3999*IF(OR(C3999="Alpha",B3999="Alpha"),$C$9,$C$8),""),"")</f>
        <v/>
      </c>
      <c r="L3999" s="139">
        <f>IFERROR(IF(ISNUMBER(F3999),F3999-IF(ISNUMBER(K3999),K3999,0),""),"")</f>
        <v/>
      </c>
    </row>
    <row r="4000" ht="24" customHeight="1" s="63">
      <c r="E4000" s="139" t="n"/>
      <c r="F4000" s="139" t="n"/>
      <c r="G4000" s="140">
        <f>IFERROR(IF(E4000&gt;0,(F4000/E4000)*1000,""),"")</f>
        <v/>
      </c>
      <c r="H4000" s="139">
        <f>IFERROR(IF(E4000&gt;0,E4000*IF(ISNUMBER(J4000),J4000,IF(OR(C4000="Alpha",B4000="Alpha"),$C$7,IF(C4000="Futures",$C$6,$C$5))),""),"")</f>
        <v/>
      </c>
      <c r="I4000" s="139">
        <f>IFERROR(IF(AND(ISNUMBER(F4000),ISNUMBER(H4000)),F4000-H4000,""),"")</f>
        <v/>
      </c>
      <c r="J4000" s="114" t="n"/>
      <c r="K4000" s="139">
        <f>IFERROR(IF(H4000&gt;0,H4000*IF(OR(C4000="Alpha",B4000="Alpha"),$C$9,$C$8),""),"")</f>
        <v/>
      </c>
      <c r="L4000" s="139">
        <f>IFERROR(IF(ISNUMBER(F4000),F4000-IF(ISNUMBER(K4000),K4000,0),""),"")</f>
        <v/>
      </c>
    </row>
    <row r="4001" ht="24" customHeight="1" s="63">
      <c r="E4001" s="139" t="n"/>
      <c r="F4001" s="139" t="n"/>
      <c r="G4001" s="140">
        <f>IFERROR(IF(E4001&gt;0,(F4001/E4001)*1000,""),"")</f>
        <v/>
      </c>
      <c r="H4001" s="139">
        <f>IFERROR(IF(E4001&gt;0,E4001*IF(ISNUMBER(J4001),J4001,IF(OR(C4001="Alpha",B4001="Alpha"),$C$7,IF(C4001="Futures",$C$6,$C$5))),""),"")</f>
        <v/>
      </c>
      <c r="I4001" s="139">
        <f>IFERROR(IF(AND(ISNUMBER(F4001),ISNUMBER(H4001)),F4001-H4001,""),"")</f>
        <v/>
      </c>
      <c r="J4001" s="114" t="n"/>
      <c r="K4001" s="139">
        <f>IFERROR(IF(H4001&gt;0,H4001*IF(OR(C4001="Alpha",B4001="Alpha"),$C$9,$C$8),""),"")</f>
        <v/>
      </c>
      <c r="L4001" s="139">
        <f>IFERROR(IF(ISNUMBER(F4001),F4001-IF(ISNUMBER(K4001),K4001,0),""),"")</f>
        <v/>
      </c>
    </row>
    <row r="4002" ht="24" customHeight="1" s="63">
      <c r="E4002" s="139" t="n"/>
      <c r="F4002" s="139" t="n"/>
      <c r="G4002" s="140">
        <f>IFERROR(IF(E4002&gt;0,(F4002/E4002)*1000,""),"")</f>
        <v/>
      </c>
      <c r="H4002" s="139">
        <f>IFERROR(IF(E4002&gt;0,E4002*IF(ISNUMBER(J4002),J4002,IF(OR(C4002="Alpha",B4002="Alpha"),$C$7,IF(C4002="Futures",$C$6,$C$5))),""),"")</f>
        <v/>
      </c>
      <c r="I4002" s="139">
        <f>IFERROR(IF(AND(ISNUMBER(F4002),ISNUMBER(H4002)),F4002-H4002,""),"")</f>
        <v/>
      </c>
      <c r="J4002" s="114" t="n"/>
      <c r="K4002" s="139">
        <f>IFERROR(IF(H4002&gt;0,H4002*IF(OR(C4002="Alpha",B4002="Alpha"),$C$9,$C$8),""),"")</f>
        <v/>
      </c>
      <c r="L4002" s="139">
        <f>IFERROR(IF(ISNUMBER(F4002),F4002-IF(ISNUMBER(K4002),K4002,0),""),"")</f>
        <v/>
      </c>
    </row>
    <row r="4003" ht="24" customHeight="1" s="63">
      <c r="E4003" s="139" t="n"/>
      <c r="F4003" s="139" t="n"/>
      <c r="G4003" s="140">
        <f>IFERROR(IF(E4003&gt;0,(F4003/E4003)*1000,""),"")</f>
        <v/>
      </c>
      <c r="H4003" s="139">
        <f>IFERROR(IF(E4003&gt;0,E4003*IF(ISNUMBER(J4003),J4003,IF(OR(C4003="Alpha",B4003="Alpha"),$C$7,IF(C4003="Futures",$C$6,$C$5))),""),"")</f>
        <v/>
      </c>
      <c r="I4003" s="139">
        <f>IFERROR(IF(AND(ISNUMBER(F4003),ISNUMBER(H4003)),F4003-H4003,""),"")</f>
        <v/>
      </c>
      <c r="J4003" s="114" t="n"/>
      <c r="K4003" s="139">
        <f>IFERROR(IF(H4003&gt;0,H4003*IF(OR(C4003="Alpha",B4003="Alpha"),$C$9,$C$8),""),"")</f>
        <v/>
      </c>
      <c r="L4003" s="139">
        <f>IFERROR(IF(ISNUMBER(F4003),F4003-IF(ISNUMBER(K4003),K4003,0),""),"")</f>
        <v/>
      </c>
    </row>
    <row r="4004" ht="24" customHeight="1" s="63">
      <c r="E4004" s="139" t="n"/>
      <c r="F4004" s="139" t="n"/>
      <c r="G4004" s="140">
        <f>IFERROR(IF(E4004&gt;0,(F4004/E4004)*1000,""),"")</f>
        <v/>
      </c>
      <c r="H4004" s="139">
        <f>IFERROR(IF(E4004&gt;0,E4004*IF(ISNUMBER(J4004),J4004,IF(OR(C4004="Alpha",B4004="Alpha"),$C$7,IF(C4004="Futures",$C$6,$C$5))),""),"")</f>
        <v/>
      </c>
      <c r="I4004" s="139">
        <f>IFERROR(IF(AND(ISNUMBER(F4004),ISNUMBER(H4004)),F4004-H4004,""),"")</f>
        <v/>
      </c>
      <c r="J4004" s="114" t="n"/>
      <c r="K4004" s="139">
        <f>IFERROR(IF(H4004&gt;0,H4004*IF(OR(C4004="Alpha",B4004="Alpha"),$C$9,$C$8),""),"")</f>
        <v/>
      </c>
      <c r="L4004" s="139">
        <f>IFERROR(IF(ISNUMBER(F4004),F4004-IF(ISNUMBER(K4004),K4004,0),""),"")</f>
        <v/>
      </c>
    </row>
    <row r="4005" ht="24" customHeight="1" s="63">
      <c r="E4005" s="139" t="n"/>
      <c r="F4005" s="139" t="n"/>
      <c r="G4005" s="140">
        <f>IFERROR(IF(E4005&gt;0,(F4005/E4005)*1000,""),"")</f>
        <v/>
      </c>
      <c r="H4005" s="139">
        <f>IFERROR(IF(E4005&gt;0,E4005*IF(ISNUMBER(J4005),J4005,IF(OR(C4005="Alpha",B4005="Alpha"),$C$7,IF(C4005="Futures",$C$6,$C$5))),""),"")</f>
        <v/>
      </c>
      <c r="I4005" s="139">
        <f>IFERROR(IF(AND(ISNUMBER(F4005),ISNUMBER(H4005)),F4005-H4005,""),"")</f>
        <v/>
      </c>
      <c r="J4005" s="114" t="n"/>
      <c r="K4005" s="139">
        <f>IFERROR(IF(H4005&gt;0,H4005*IF(OR(C4005="Alpha",B4005="Alpha"),$C$9,$C$8),""),"")</f>
        <v/>
      </c>
      <c r="L4005" s="139">
        <f>IFERROR(IF(ISNUMBER(F4005),F4005-IF(ISNUMBER(K4005),K4005,0),""),"")</f>
        <v/>
      </c>
    </row>
    <row r="4006" ht="24" customHeight="1" s="63">
      <c r="E4006" s="139" t="n"/>
      <c r="F4006" s="139" t="n"/>
      <c r="G4006" s="140">
        <f>IFERROR(IF(E4006&gt;0,(F4006/E4006)*1000,""),"")</f>
        <v/>
      </c>
      <c r="H4006" s="139">
        <f>IFERROR(IF(E4006&gt;0,E4006*IF(ISNUMBER(J4006),J4006,IF(OR(C4006="Alpha",B4006="Alpha"),$C$7,IF(C4006="Futures",$C$6,$C$5))),""),"")</f>
        <v/>
      </c>
      <c r="I4006" s="139">
        <f>IFERROR(IF(AND(ISNUMBER(F4006),ISNUMBER(H4006)),F4006-H4006,""),"")</f>
        <v/>
      </c>
      <c r="J4006" s="114" t="n"/>
      <c r="K4006" s="139">
        <f>IFERROR(IF(H4006&gt;0,H4006*IF(OR(C4006="Alpha",B4006="Alpha"),$C$9,$C$8),""),"")</f>
        <v/>
      </c>
      <c r="L4006" s="139">
        <f>IFERROR(IF(ISNUMBER(F4006),F4006-IF(ISNUMBER(K4006),K4006,0),""),"")</f>
        <v/>
      </c>
    </row>
    <row r="4007" ht="24" customHeight="1" s="63">
      <c r="E4007" s="139" t="n"/>
      <c r="F4007" s="139" t="n"/>
      <c r="G4007" s="140">
        <f>IFERROR(IF(E4007&gt;0,(F4007/E4007)*1000,""),"")</f>
        <v/>
      </c>
      <c r="H4007" s="139">
        <f>IFERROR(IF(E4007&gt;0,E4007*IF(ISNUMBER(J4007),J4007,IF(OR(C4007="Alpha",B4007="Alpha"),$C$7,IF(C4007="Futures",$C$6,$C$5))),""),"")</f>
        <v/>
      </c>
      <c r="I4007" s="139">
        <f>IFERROR(IF(AND(ISNUMBER(F4007),ISNUMBER(H4007)),F4007-H4007,""),"")</f>
        <v/>
      </c>
      <c r="J4007" s="114" t="n"/>
      <c r="K4007" s="139">
        <f>IFERROR(IF(H4007&gt;0,H4007*IF(OR(C4007="Alpha",B4007="Alpha"),$C$9,$C$8),""),"")</f>
        <v/>
      </c>
      <c r="L4007" s="139">
        <f>IFERROR(IF(ISNUMBER(F4007),F4007-IF(ISNUMBER(K4007),K4007,0),""),"")</f>
        <v/>
      </c>
    </row>
    <row r="4008" ht="24" customHeight="1" s="63">
      <c r="E4008" s="139" t="n"/>
      <c r="F4008" s="139" t="n"/>
      <c r="G4008" s="140">
        <f>IFERROR(IF(E4008&gt;0,(F4008/E4008)*1000,""),"")</f>
        <v/>
      </c>
      <c r="H4008" s="139">
        <f>IFERROR(IF(E4008&gt;0,E4008*IF(ISNUMBER(J4008),J4008,IF(OR(C4008="Alpha",B4008="Alpha"),$C$7,IF(C4008="Futures",$C$6,$C$5))),""),"")</f>
        <v/>
      </c>
      <c r="I4008" s="139">
        <f>IFERROR(IF(AND(ISNUMBER(F4008),ISNUMBER(H4008)),F4008-H4008,""),"")</f>
        <v/>
      </c>
      <c r="J4008" s="114" t="n"/>
      <c r="K4008" s="139">
        <f>IFERROR(IF(H4008&gt;0,H4008*IF(OR(C4008="Alpha",B4008="Alpha"),$C$9,$C$8),""),"")</f>
        <v/>
      </c>
      <c r="L4008" s="139">
        <f>IFERROR(IF(ISNUMBER(F4008),F4008-IF(ISNUMBER(K4008),K4008,0),""),"")</f>
        <v/>
      </c>
    </row>
    <row r="4009" ht="24" customHeight="1" s="63">
      <c r="E4009" s="139" t="n"/>
      <c r="F4009" s="139" t="n"/>
      <c r="G4009" s="140">
        <f>IFERROR(IF(E4009&gt;0,(F4009/E4009)*1000,""),"")</f>
        <v/>
      </c>
      <c r="H4009" s="139">
        <f>IFERROR(IF(E4009&gt;0,E4009*IF(ISNUMBER(J4009),J4009,IF(OR(C4009="Alpha",B4009="Alpha"),$C$7,IF(C4009="Futures",$C$6,$C$5))),""),"")</f>
        <v/>
      </c>
      <c r="I4009" s="139">
        <f>IFERROR(IF(AND(ISNUMBER(F4009),ISNUMBER(H4009)),F4009-H4009,""),"")</f>
        <v/>
      </c>
      <c r="J4009" s="114" t="n"/>
      <c r="K4009" s="139">
        <f>IFERROR(IF(H4009&gt;0,H4009*IF(OR(C4009="Alpha",B4009="Alpha"),$C$9,$C$8),""),"")</f>
        <v/>
      </c>
      <c r="L4009" s="139">
        <f>IFERROR(IF(ISNUMBER(F4009),F4009-IF(ISNUMBER(K4009),K4009,0),""),"")</f>
        <v/>
      </c>
    </row>
    <row r="4010" ht="24" customHeight="1" s="63">
      <c r="E4010" s="139" t="n"/>
      <c r="F4010" s="139" t="n"/>
      <c r="G4010" s="140">
        <f>IFERROR(IF(E4010&gt;0,(F4010/E4010)*1000,""),"")</f>
        <v/>
      </c>
      <c r="H4010" s="139">
        <f>IFERROR(IF(E4010&gt;0,E4010*IF(ISNUMBER(J4010),J4010,IF(OR(C4010="Alpha",B4010="Alpha"),$C$7,IF(C4010="Futures",$C$6,$C$5))),""),"")</f>
        <v/>
      </c>
      <c r="I4010" s="139">
        <f>IFERROR(IF(AND(ISNUMBER(F4010),ISNUMBER(H4010)),F4010-H4010,""),"")</f>
        <v/>
      </c>
      <c r="J4010" s="114" t="n"/>
      <c r="K4010" s="139">
        <f>IFERROR(IF(H4010&gt;0,H4010*IF(OR(C4010="Alpha",B4010="Alpha"),$C$9,$C$8),""),"")</f>
        <v/>
      </c>
      <c r="L4010" s="139">
        <f>IFERROR(IF(ISNUMBER(F4010),F4010-IF(ISNUMBER(K4010),K4010,0),""),"")</f>
        <v/>
      </c>
    </row>
    <row r="4011" ht="24" customHeight="1" s="63">
      <c r="E4011" s="139" t="n"/>
      <c r="F4011" s="139" t="n"/>
      <c r="G4011" s="140">
        <f>IFERROR(IF(E4011&gt;0,(F4011/E4011)*1000,""),"")</f>
        <v/>
      </c>
      <c r="H4011" s="139">
        <f>IFERROR(IF(E4011&gt;0,E4011*IF(ISNUMBER(J4011),J4011,IF(OR(C4011="Alpha",B4011="Alpha"),$C$7,IF(C4011="Futures",$C$6,$C$5))),""),"")</f>
        <v/>
      </c>
      <c r="I4011" s="139">
        <f>IFERROR(IF(AND(ISNUMBER(F4011),ISNUMBER(H4011)),F4011-H4011,""),"")</f>
        <v/>
      </c>
      <c r="J4011" s="114" t="n"/>
      <c r="K4011" s="139">
        <f>IFERROR(IF(H4011&gt;0,H4011*IF(OR(C4011="Alpha",B4011="Alpha"),$C$9,$C$8),""),"")</f>
        <v/>
      </c>
      <c r="L4011" s="139">
        <f>IFERROR(IF(ISNUMBER(F4011),F4011-IF(ISNUMBER(K4011),K4011,0),""),"")</f>
        <v/>
      </c>
    </row>
    <row r="4012" ht="24" customHeight="1" s="63">
      <c r="E4012" s="139" t="n"/>
      <c r="F4012" s="139" t="n"/>
      <c r="G4012" s="140">
        <f>IFERROR(IF(E4012&gt;0,(F4012/E4012)*1000,""),"")</f>
        <v/>
      </c>
      <c r="H4012" s="139">
        <f>IFERROR(IF(E4012&gt;0,E4012*IF(ISNUMBER(J4012),J4012,IF(OR(C4012="Alpha",B4012="Alpha"),$C$7,IF(C4012="Futures",$C$6,$C$5))),""),"")</f>
        <v/>
      </c>
      <c r="I4012" s="139">
        <f>IFERROR(IF(AND(ISNUMBER(F4012),ISNUMBER(H4012)),F4012-H4012,""),"")</f>
        <v/>
      </c>
      <c r="J4012" s="114" t="n"/>
      <c r="K4012" s="139">
        <f>IFERROR(IF(H4012&gt;0,H4012*IF(OR(C4012="Alpha",B4012="Alpha"),$C$9,$C$8),""),"")</f>
        <v/>
      </c>
      <c r="L4012" s="139">
        <f>IFERROR(IF(ISNUMBER(F4012),F4012-IF(ISNUMBER(K4012),K4012,0),""),"")</f>
        <v/>
      </c>
    </row>
    <row r="4013" ht="24" customHeight="1" s="63">
      <c r="E4013" s="139" t="n"/>
      <c r="F4013" s="139" t="n"/>
      <c r="G4013" s="140">
        <f>IFERROR(IF(E4013&gt;0,(F4013/E4013)*1000,""),"")</f>
        <v/>
      </c>
      <c r="H4013" s="139">
        <f>IFERROR(IF(E4013&gt;0,E4013*IF(ISNUMBER(J4013),J4013,IF(OR(C4013="Alpha",B4013="Alpha"),$C$7,IF(C4013="Futures",$C$6,$C$5))),""),"")</f>
        <v/>
      </c>
      <c r="I4013" s="139">
        <f>IFERROR(IF(AND(ISNUMBER(F4013),ISNUMBER(H4013)),F4013-H4013,""),"")</f>
        <v/>
      </c>
      <c r="J4013" s="114" t="n"/>
      <c r="K4013" s="139">
        <f>IFERROR(IF(H4013&gt;0,H4013*IF(OR(C4013="Alpha",B4013="Alpha"),$C$9,$C$8),""),"")</f>
        <v/>
      </c>
      <c r="L4013" s="139">
        <f>IFERROR(IF(ISNUMBER(F4013),F4013-IF(ISNUMBER(K4013),K4013,0),""),"")</f>
        <v/>
      </c>
    </row>
    <row r="4014" ht="24" customHeight="1" s="63">
      <c r="E4014" s="139" t="n"/>
      <c r="F4014" s="139" t="n"/>
      <c r="G4014" s="140">
        <f>IFERROR(IF(E4014&gt;0,(F4014/E4014)*1000,""),"")</f>
        <v/>
      </c>
      <c r="H4014" s="139">
        <f>IFERROR(IF(E4014&gt;0,E4014*IF(ISNUMBER(J4014),J4014,IF(OR(C4014="Alpha",B4014="Alpha"),$C$7,IF(C4014="Futures",$C$6,$C$5))),""),"")</f>
        <v/>
      </c>
      <c r="I4014" s="139">
        <f>IFERROR(IF(AND(ISNUMBER(F4014),ISNUMBER(H4014)),F4014-H4014,""),"")</f>
        <v/>
      </c>
      <c r="J4014" s="114" t="n"/>
      <c r="K4014" s="139">
        <f>IFERROR(IF(H4014&gt;0,H4014*IF(OR(C4014="Alpha",B4014="Alpha"),$C$9,$C$8),""),"")</f>
        <v/>
      </c>
      <c r="L4014" s="139">
        <f>IFERROR(IF(ISNUMBER(F4014),F4014-IF(ISNUMBER(K4014),K4014,0),""),"")</f>
        <v/>
      </c>
    </row>
    <row r="4015" ht="24" customHeight="1" s="63">
      <c r="E4015" s="139" t="n"/>
      <c r="F4015" s="139" t="n"/>
      <c r="G4015" s="140">
        <f>IFERROR(IF(E4015&gt;0,(F4015/E4015)*1000,""),"")</f>
        <v/>
      </c>
      <c r="H4015" s="139">
        <f>IFERROR(IF(E4015&gt;0,E4015*IF(ISNUMBER(J4015),J4015,IF(OR(C4015="Alpha",B4015="Alpha"),$C$7,IF(C4015="Futures",$C$6,$C$5))),""),"")</f>
        <v/>
      </c>
      <c r="I4015" s="139">
        <f>IFERROR(IF(AND(ISNUMBER(F4015),ISNUMBER(H4015)),F4015-H4015,""),"")</f>
        <v/>
      </c>
      <c r="J4015" s="114" t="n"/>
      <c r="K4015" s="139">
        <f>IFERROR(IF(H4015&gt;0,H4015*IF(OR(C4015="Alpha",B4015="Alpha"),$C$9,$C$8),""),"")</f>
        <v/>
      </c>
      <c r="L4015" s="139">
        <f>IFERROR(IF(ISNUMBER(F4015),F4015-IF(ISNUMBER(K4015),K4015,0),""),"")</f>
        <v/>
      </c>
    </row>
    <row r="4016" ht="24" customHeight="1" s="63">
      <c r="E4016" s="139" t="n"/>
      <c r="F4016" s="139" t="n"/>
      <c r="G4016" s="140">
        <f>IFERROR(IF(E4016&gt;0,(F4016/E4016)*1000,""),"")</f>
        <v/>
      </c>
      <c r="H4016" s="139">
        <f>IFERROR(IF(E4016&gt;0,E4016*IF(ISNUMBER(J4016),J4016,IF(OR(C4016="Alpha",B4016="Alpha"),$C$7,IF(C4016="Futures",$C$6,$C$5))),""),"")</f>
        <v/>
      </c>
      <c r="I4016" s="139">
        <f>IFERROR(IF(AND(ISNUMBER(F4016),ISNUMBER(H4016)),F4016-H4016,""),"")</f>
        <v/>
      </c>
      <c r="J4016" s="114" t="n"/>
      <c r="K4016" s="139">
        <f>IFERROR(IF(H4016&gt;0,H4016*IF(OR(C4016="Alpha",B4016="Alpha"),$C$9,$C$8),""),"")</f>
        <v/>
      </c>
      <c r="L4016" s="139">
        <f>IFERROR(IF(ISNUMBER(F4016),F4016-IF(ISNUMBER(K4016),K4016,0),""),"")</f>
        <v/>
      </c>
    </row>
    <row r="4017" ht="24" customHeight="1" s="63">
      <c r="E4017" s="139" t="n"/>
      <c r="F4017" s="139" t="n"/>
      <c r="G4017" s="140">
        <f>IFERROR(IF(E4017&gt;0,(F4017/E4017)*1000,""),"")</f>
        <v/>
      </c>
      <c r="H4017" s="139">
        <f>IFERROR(IF(E4017&gt;0,E4017*IF(ISNUMBER(J4017),J4017,IF(OR(C4017="Alpha",B4017="Alpha"),$C$7,IF(C4017="Futures",$C$6,$C$5))),""),"")</f>
        <v/>
      </c>
      <c r="I4017" s="139">
        <f>IFERROR(IF(AND(ISNUMBER(F4017),ISNUMBER(H4017)),F4017-H4017,""),"")</f>
        <v/>
      </c>
      <c r="J4017" s="114" t="n"/>
      <c r="K4017" s="139">
        <f>IFERROR(IF(H4017&gt;0,H4017*IF(OR(C4017="Alpha",B4017="Alpha"),$C$9,$C$8),""),"")</f>
        <v/>
      </c>
      <c r="L4017" s="139">
        <f>IFERROR(IF(ISNUMBER(F4017),F4017-IF(ISNUMBER(K4017),K4017,0),""),"")</f>
        <v/>
      </c>
    </row>
    <row r="4018" ht="24" customHeight="1" s="63">
      <c r="E4018" s="139" t="n"/>
      <c r="F4018" s="139" t="n"/>
      <c r="G4018" s="140">
        <f>IFERROR(IF(E4018&gt;0,(F4018/E4018)*1000,""),"")</f>
        <v/>
      </c>
      <c r="H4018" s="139">
        <f>IFERROR(IF(E4018&gt;0,E4018*IF(ISNUMBER(J4018),J4018,IF(OR(C4018="Alpha",B4018="Alpha"),$C$7,IF(C4018="Futures",$C$6,$C$5))),""),"")</f>
        <v/>
      </c>
      <c r="I4018" s="139">
        <f>IFERROR(IF(AND(ISNUMBER(F4018),ISNUMBER(H4018)),F4018-H4018,""),"")</f>
        <v/>
      </c>
      <c r="J4018" s="114" t="n"/>
      <c r="K4018" s="139">
        <f>IFERROR(IF(H4018&gt;0,H4018*IF(OR(C4018="Alpha",B4018="Alpha"),$C$9,$C$8),""),"")</f>
        <v/>
      </c>
      <c r="L4018" s="139">
        <f>IFERROR(IF(ISNUMBER(F4018),F4018-IF(ISNUMBER(K4018),K4018,0),""),"")</f>
        <v/>
      </c>
    </row>
    <row r="4019" ht="24" customHeight="1" s="63">
      <c r="E4019" s="139" t="n"/>
      <c r="F4019" s="139" t="n"/>
      <c r="G4019" s="140">
        <f>IFERROR(IF(E4019&gt;0,(F4019/E4019)*1000,""),"")</f>
        <v/>
      </c>
      <c r="H4019" s="139">
        <f>IFERROR(IF(E4019&gt;0,E4019*IF(ISNUMBER(J4019),J4019,IF(OR(C4019="Alpha",B4019="Alpha"),$C$7,IF(C4019="Futures",$C$6,$C$5))),""),"")</f>
        <v/>
      </c>
      <c r="I4019" s="139">
        <f>IFERROR(IF(AND(ISNUMBER(F4019),ISNUMBER(H4019)),F4019-H4019,""),"")</f>
        <v/>
      </c>
      <c r="J4019" s="114" t="n"/>
      <c r="K4019" s="139">
        <f>IFERROR(IF(H4019&gt;0,H4019*IF(OR(C4019="Alpha",B4019="Alpha"),$C$9,$C$8),""),"")</f>
        <v/>
      </c>
      <c r="L4019" s="139">
        <f>IFERROR(IF(ISNUMBER(F4019),F4019-IF(ISNUMBER(K4019),K4019,0),""),"")</f>
        <v/>
      </c>
    </row>
    <row r="4020" ht="24" customHeight="1" s="63">
      <c r="E4020" s="139" t="n"/>
      <c r="F4020" s="139" t="n"/>
      <c r="G4020" s="140">
        <f>IFERROR(IF(E4020&gt;0,(F4020/E4020)*1000,""),"")</f>
        <v/>
      </c>
      <c r="H4020" s="139">
        <f>IFERROR(IF(E4020&gt;0,E4020*IF(ISNUMBER(J4020),J4020,IF(OR(C4020="Alpha",B4020="Alpha"),$C$7,IF(C4020="Futures",$C$6,$C$5))),""),"")</f>
        <v/>
      </c>
      <c r="I4020" s="139">
        <f>IFERROR(IF(AND(ISNUMBER(F4020),ISNUMBER(H4020)),F4020-H4020,""),"")</f>
        <v/>
      </c>
      <c r="J4020" s="114" t="n"/>
      <c r="K4020" s="139">
        <f>IFERROR(IF(H4020&gt;0,H4020*IF(OR(C4020="Alpha",B4020="Alpha"),$C$9,$C$8),""),"")</f>
        <v/>
      </c>
      <c r="L4020" s="139">
        <f>IFERROR(IF(ISNUMBER(F4020),F4020-IF(ISNUMBER(K4020),K4020,0),""),"")</f>
        <v/>
      </c>
    </row>
    <row r="4021" ht="24" customHeight="1" s="63">
      <c r="E4021" s="139" t="n"/>
      <c r="F4021" s="139" t="n"/>
      <c r="G4021" s="140">
        <f>IFERROR(IF(E4021&gt;0,(F4021/E4021)*1000,""),"")</f>
        <v/>
      </c>
      <c r="H4021" s="139">
        <f>IFERROR(IF(E4021&gt;0,E4021*IF(ISNUMBER(J4021),J4021,IF(OR(C4021="Alpha",B4021="Alpha"),$C$7,IF(C4021="Futures",$C$6,$C$5))),""),"")</f>
        <v/>
      </c>
      <c r="I4021" s="139">
        <f>IFERROR(IF(AND(ISNUMBER(F4021),ISNUMBER(H4021)),F4021-H4021,""),"")</f>
        <v/>
      </c>
      <c r="J4021" s="114" t="n"/>
      <c r="K4021" s="139">
        <f>IFERROR(IF(H4021&gt;0,H4021*IF(OR(C4021="Alpha",B4021="Alpha"),$C$9,$C$8),""),"")</f>
        <v/>
      </c>
      <c r="L4021" s="139">
        <f>IFERROR(IF(ISNUMBER(F4021),F4021-IF(ISNUMBER(K4021),K4021,0),""),"")</f>
        <v/>
      </c>
    </row>
    <row r="4022" ht="24" customHeight="1" s="63">
      <c r="E4022" s="139" t="n"/>
      <c r="F4022" s="139" t="n"/>
      <c r="G4022" s="140">
        <f>IFERROR(IF(E4022&gt;0,(F4022/E4022)*1000,""),"")</f>
        <v/>
      </c>
      <c r="H4022" s="139">
        <f>IFERROR(IF(E4022&gt;0,E4022*IF(ISNUMBER(J4022),J4022,IF(OR(C4022="Alpha",B4022="Alpha"),$C$7,IF(C4022="Futures",$C$6,$C$5))),""),"")</f>
        <v/>
      </c>
      <c r="I4022" s="139">
        <f>IFERROR(IF(AND(ISNUMBER(F4022),ISNUMBER(H4022)),F4022-H4022,""),"")</f>
        <v/>
      </c>
      <c r="J4022" s="114" t="n"/>
      <c r="K4022" s="139">
        <f>IFERROR(IF(H4022&gt;0,H4022*IF(OR(C4022="Alpha",B4022="Alpha"),$C$9,$C$8),""),"")</f>
        <v/>
      </c>
      <c r="L4022" s="139">
        <f>IFERROR(IF(ISNUMBER(F4022),F4022-IF(ISNUMBER(K4022),K4022,0),""),"")</f>
        <v/>
      </c>
    </row>
    <row r="4023" ht="24" customHeight="1" s="63">
      <c r="E4023" s="139" t="n"/>
      <c r="F4023" s="139" t="n"/>
      <c r="G4023" s="140">
        <f>IFERROR(IF(E4023&gt;0,(F4023/E4023)*1000,""),"")</f>
        <v/>
      </c>
      <c r="H4023" s="139">
        <f>IFERROR(IF(E4023&gt;0,E4023*IF(ISNUMBER(J4023),J4023,IF(OR(C4023="Alpha",B4023="Alpha"),$C$7,IF(C4023="Futures",$C$6,$C$5))),""),"")</f>
        <v/>
      </c>
      <c r="I4023" s="139">
        <f>IFERROR(IF(AND(ISNUMBER(F4023),ISNUMBER(H4023)),F4023-H4023,""),"")</f>
        <v/>
      </c>
      <c r="J4023" s="114" t="n"/>
      <c r="K4023" s="139">
        <f>IFERROR(IF(H4023&gt;0,H4023*IF(OR(C4023="Alpha",B4023="Alpha"),$C$9,$C$8),""),"")</f>
        <v/>
      </c>
      <c r="L4023" s="139">
        <f>IFERROR(IF(ISNUMBER(F4023),F4023-IF(ISNUMBER(K4023),K4023,0),""),"")</f>
        <v/>
      </c>
    </row>
    <row r="4024" ht="24" customHeight="1" s="63">
      <c r="E4024" s="139" t="n"/>
      <c r="F4024" s="139" t="n"/>
      <c r="G4024" s="140">
        <f>IFERROR(IF(E4024&gt;0,(F4024/E4024)*1000,""),"")</f>
        <v/>
      </c>
      <c r="H4024" s="139">
        <f>IFERROR(IF(E4024&gt;0,E4024*IF(ISNUMBER(J4024),J4024,IF(OR(C4024="Alpha",B4024="Alpha"),$C$7,IF(C4024="Futures",$C$6,$C$5))),""),"")</f>
        <v/>
      </c>
      <c r="I4024" s="139">
        <f>IFERROR(IF(AND(ISNUMBER(F4024),ISNUMBER(H4024)),F4024-H4024,""),"")</f>
        <v/>
      </c>
      <c r="J4024" s="114" t="n"/>
      <c r="K4024" s="139">
        <f>IFERROR(IF(H4024&gt;0,H4024*IF(OR(C4024="Alpha",B4024="Alpha"),$C$9,$C$8),""),"")</f>
        <v/>
      </c>
      <c r="L4024" s="139">
        <f>IFERROR(IF(ISNUMBER(F4024),F4024-IF(ISNUMBER(K4024),K4024,0),""),"")</f>
        <v/>
      </c>
    </row>
    <row r="4025" ht="24" customHeight="1" s="63">
      <c r="E4025" s="139" t="n"/>
      <c r="F4025" s="139" t="n"/>
      <c r="G4025" s="140">
        <f>IFERROR(IF(E4025&gt;0,(F4025/E4025)*1000,""),"")</f>
        <v/>
      </c>
      <c r="H4025" s="139">
        <f>IFERROR(IF(E4025&gt;0,E4025*IF(ISNUMBER(J4025),J4025,IF(OR(C4025="Alpha",B4025="Alpha"),$C$7,IF(C4025="Futures",$C$6,$C$5))),""),"")</f>
        <v/>
      </c>
      <c r="I4025" s="139">
        <f>IFERROR(IF(AND(ISNUMBER(F4025),ISNUMBER(H4025)),F4025-H4025,""),"")</f>
        <v/>
      </c>
      <c r="J4025" s="114" t="n"/>
      <c r="K4025" s="139">
        <f>IFERROR(IF(H4025&gt;0,H4025*IF(OR(C4025="Alpha",B4025="Alpha"),$C$9,$C$8),""),"")</f>
        <v/>
      </c>
      <c r="L4025" s="139">
        <f>IFERROR(IF(ISNUMBER(F4025),F4025-IF(ISNUMBER(K4025),K4025,0),""),"")</f>
        <v/>
      </c>
    </row>
    <row r="4026" ht="24" customHeight="1" s="63">
      <c r="E4026" s="139" t="n"/>
      <c r="F4026" s="139" t="n"/>
      <c r="G4026" s="140">
        <f>IFERROR(IF(E4026&gt;0,(F4026/E4026)*1000,""),"")</f>
        <v/>
      </c>
      <c r="H4026" s="139">
        <f>IFERROR(IF(E4026&gt;0,E4026*IF(ISNUMBER(J4026),J4026,IF(OR(C4026="Alpha",B4026="Alpha"),$C$7,IF(C4026="Futures",$C$6,$C$5))),""),"")</f>
        <v/>
      </c>
      <c r="I4026" s="139">
        <f>IFERROR(IF(AND(ISNUMBER(F4026),ISNUMBER(H4026)),F4026-H4026,""),"")</f>
        <v/>
      </c>
      <c r="J4026" s="114" t="n"/>
      <c r="K4026" s="139">
        <f>IFERROR(IF(H4026&gt;0,H4026*IF(OR(C4026="Alpha",B4026="Alpha"),$C$9,$C$8),""),"")</f>
        <v/>
      </c>
      <c r="L4026" s="139">
        <f>IFERROR(IF(ISNUMBER(F4026),F4026-IF(ISNUMBER(K4026),K4026,0),""),"")</f>
        <v/>
      </c>
    </row>
    <row r="4027" ht="24" customHeight="1" s="63">
      <c r="E4027" s="139" t="n"/>
      <c r="F4027" s="139" t="n"/>
      <c r="G4027" s="140">
        <f>IFERROR(IF(E4027&gt;0,(F4027/E4027)*1000,""),"")</f>
        <v/>
      </c>
      <c r="H4027" s="139">
        <f>IFERROR(IF(E4027&gt;0,E4027*IF(ISNUMBER(J4027),J4027,IF(OR(C4027="Alpha",B4027="Alpha"),$C$7,IF(C4027="Futures",$C$6,$C$5))),""),"")</f>
        <v/>
      </c>
      <c r="I4027" s="139">
        <f>IFERROR(IF(AND(ISNUMBER(F4027),ISNUMBER(H4027)),F4027-H4027,""),"")</f>
        <v/>
      </c>
      <c r="J4027" s="114" t="n"/>
      <c r="K4027" s="139">
        <f>IFERROR(IF(H4027&gt;0,H4027*IF(OR(C4027="Alpha",B4027="Alpha"),$C$9,$C$8),""),"")</f>
        <v/>
      </c>
      <c r="L4027" s="139">
        <f>IFERROR(IF(ISNUMBER(F4027),F4027-IF(ISNUMBER(K4027),K4027,0),""),"")</f>
        <v/>
      </c>
    </row>
    <row r="4028" ht="24" customHeight="1" s="63">
      <c r="E4028" s="139" t="n"/>
      <c r="F4028" s="139" t="n"/>
      <c r="G4028" s="140">
        <f>IFERROR(IF(E4028&gt;0,(F4028/E4028)*1000,""),"")</f>
        <v/>
      </c>
      <c r="H4028" s="139">
        <f>IFERROR(IF(E4028&gt;0,E4028*IF(ISNUMBER(J4028),J4028,IF(OR(C4028="Alpha",B4028="Alpha"),$C$7,IF(C4028="Futures",$C$6,$C$5))),""),"")</f>
        <v/>
      </c>
      <c r="I4028" s="139">
        <f>IFERROR(IF(AND(ISNUMBER(F4028),ISNUMBER(H4028)),F4028-H4028,""),"")</f>
        <v/>
      </c>
      <c r="J4028" s="114" t="n"/>
      <c r="K4028" s="139">
        <f>IFERROR(IF(H4028&gt;0,H4028*IF(OR(C4028="Alpha",B4028="Alpha"),$C$9,$C$8),""),"")</f>
        <v/>
      </c>
      <c r="L4028" s="139">
        <f>IFERROR(IF(ISNUMBER(F4028),F4028-IF(ISNUMBER(K4028),K4028,0),""),"")</f>
        <v/>
      </c>
    </row>
    <row r="4029" ht="24" customHeight="1" s="63">
      <c r="E4029" s="139" t="n"/>
      <c r="F4029" s="139" t="n"/>
      <c r="G4029" s="140">
        <f>IFERROR(IF(E4029&gt;0,(F4029/E4029)*1000,""),"")</f>
        <v/>
      </c>
      <c r="H4029" s="139">
        <f>IFERROR(IF(E4029&gt;0,E4029*IF(ISNUMBER(J4029),J4029,IF(OR(C4029="Alpha",B4029="Alpha"),$C$7,IF(C4029="Futures",$C$6,$C$5))),""),"")</f>
        <v/>
      </c>
      <c r="I4029" s="139">
        <f>IFERROR(IF(AND(ISNUMBER(F4029),ISNUMBER(H4029)),F4029-H4029,""),"")</f>
        <v/>
      </c>
      <c r="J4029" s="114" t="n"/>
      <c r="K4029" s="139">
        <f>IFERROR(IF(H4029&gt;0,H4029*IF(OR(C4029="Alpha",B4029="Alpha"),$C$9,$C$8),""),"")</f>
        <v/>
      </c>
      <c r="L4029" s="139">
        <f>IFERROR(IF(ISNUMBER(F4029),F4029-IF(ISNUMBER(K4029),K4029,0),""),"")</f>
        <v/>
      </c>
    </row>
    <row r="4030" ht="24" customHeight="1" s="63">
      <c r="E4030" s="139" t="n"/>
      <c r="F4030" s="139" t="n"/>
      <c r="G4030" s="140">
        <f>IFERROR(IF(E4030&gt;0,(F4030/E4030)*1000,""),"")</f>
        <v/>
      </c>
      <c r="H4030" s="139">
        <f>IFERROR(IF(E4030&gt;0,E4030*IF(ISNUMBER(J4030),J4030,IF(OR(C4030="Alpha",B4030="Alpha"),$C$7,IF(C4030="Futures",$C$6,$C$5))),""),"")</f>
        <v/>
      </c>
      <c r="I4030" s="139">
        <f>IFERROR(IF(AND(ISNUMBER(F4030),ISNUMBER(H4030)),F4030-H4030,""),"")</f>
        <v/>
      </c>
      <c r="J4030" s="114" t="n"/>
      <c r="K4030" s="139">
        <f>IFERROR(IF(H4030&gt;0,H4030*IF(OR(C4030="Alpha",B4030="Alpha"),$C$9,$C$8),""),"")</f>
        <v/>
      </c>
      <c r="L4030" s="139">
        <f>IFERROR(IF(ISNUMBER(F4030),F4030-IF(ISNUMBER(K4030),K4030,0),""),"")</f>
        <v/>
      </c>
    </row>
    <row r="4031" ht="24" customHeight="1" s="63">
      <c r="E4031" s="139" t="n"/>
      <c r="F4031" s="139" t="n"/>
      <c r="G4031" s="140">
        <f>IFERROR(IF(E4031&gt;0,(F4031/E4031)*1000,""),"")</f>
        <v/>
      </c>
      <c r="H4031" s="139">
        <f>IFERROR(IF(E4031&gt;0,E4031*IF(ISNUMBER(J4031),J4031,IF(OR(C4031="Alpha",B4031="Alpha"),$C$7,IF(C4031="Futures",$C$6,$C$5))),""),"")</f>
        <v/>
      </c>
      <c r="I4031" s="139">
        <f>IFERROR(IF(AND(ISNUMBER(F4031),ISNUMBER(H4031)),F4031-H4031,""),"")</f>
        <v/>
      </c>
      <c r="J4031" s="114" t="n"/>
      <c r="K4031" s="139">
        <f>IFERROR(IF(H4031&gt;0,H4031*IF(OR(C4031="Alpha",B4031="Alpha"),$C$9,$C$8),""),"")</f>
        <v/>
      </c>
      <c r="L4031" s="139">
        <f>IFERROR(IF(ISNUMBER(F4031),F4031-IF(ISNUMBER(K4031),K4031,0),""),"")</f>
        <v/>
      </c>
    </row>
    <row r="4032" ht="24" customHeight="1" s="63">
      <c r="E4032" s="139" t="n"/>
      <c r="F4032" s="139" t="n"/>
      <c r="G4032" s="140">
        <f>IFERROR(IF(E4032&gt;0,(F4032/E4032)*1000,""),"")</f>
        <v/>
      </c>
      <c r="H4032" s="139">
        <f>IFERROR(IF(E4032&gt;0,E4032*IF(ISNUMBER(J4032),J4032,IF(OR(C4032="Alpha",B4032="Alpha"),$C$7,IF(C4032="Futures",$C$6,$C$5))),""),"")</f>
        <v/>
      </c>
      <c r="I4032" s="139">
        <f>IFERROR(IF(AND(ISNUMBER(F4032),ISNUMBER(H4032)),F4032-H4032,""),"")</f>
        <v/>
      </c>
      <c r="J4032" s="114" t="n"/>
      <c r="K4032" s="139">
        <f>IFERROR(IF(H4032&gt;0,H4032*IF(OR(C4032="Alpha",B4032="Alpha"),$C$9,$C$8),""),"")</f>
        <v/>
      </c>
      <c r="L4032" s="139">
        <f>IFERROR(IF(ISNUMBER(F4032),F4032-IF(ISNUMBER(K4032),K4032,0),""),"")</f>
        <v/>
      </c>
    </row>
    <row r="4033" ht="24" customHeight="1" s="63">
      <c r="E4033" s="139" t="n"/>
      <c r="F4033" s="139" t="n"/>
      <c r="G4033" s="140">
        <f>IFERROR(IF(E4033&gt;0,(F4033/E4033)*1000,""),"")</f>
        <v/>
      </c>
      <c r="H4033" s="139">
        <f>IFERROR(IF(E4033&gt;0,E4033*IF(ISNUMBER(J4033),J4033,IF(OR(C4033="Alpha",B4033="Alpha"),$C$7,IF(C4033="Futures",$C$6,$C$5))),""),"")</f>
        <v/>
      </c>
      <c r="I4033" s="139">
        <f>IFERROR(IF(AND(ISNUMBER(F4033),ISNUMBER(H4033)),F4033-H4033,""),"")</f>
        <v/>
      </c>
      <c r="J4033" s="114" t="n"/>
      <c r="K4033" s="139">
        <f>IFERROR(IF(H4033&gt;0,H4033*IF(OR(C4033="Alpha",B4033="Alpha"),$C$9,$C$8),""),"")</f>
        <v/>
      </c>
      <c r="L4033" s="139">
        <f>IFERROR(IF(ISNUMBER(F4033),F4033-IF(ISNUMBER(K4033),K4033,0),""),"")</f>
        <v/>
      </c>
    </row>
    <row r="4034" ht="24" customHeight="1" s="63">
      <c r="E4034" s="139" t="n"/>
      <c r="F4034" s="139" t="n"/>
      <c r="G4034" s="140">
        <f>IFERROR(IF(E4034&gt;0,(F4034/E4034)*1000,""),"")</f>
        <v/>
      </c>
      <c r="H4034" s="139">
        <f>IFERROR(IF(E4034&gt;0,E4034*IF(ISNUMBER(J4034),J4034,IF(OR(C4034="Alpha",B4034="Alpha"),$C$7,IF(C4034="Futures",$C$6,$C$5))),""),"")</f>
        <v/>
      </c>
      <c r="I4034" s="139">
        <f>IFERROR(IF(AND(ISNUMBER(F4034),ISNUMBER(H4034)),F4034-H4034,""),"")</f>
        <v/>
      </c>
      <c r="J4034" s="114" t="n"/>
      <c r="K4034" s="139">
        <f>IFERROR(IF(H4034&gt;0,H4034*IF(OR(C4034="Alpha",B4034="Alpha"),$C$9,$C$8),""),"")</f>
        <v/>
      </c>
      <c r="L4034" s="139">
        <f>IFERROR(IF(ISNUMBER(F4034),F4034-IF(ISNUMBER(K4034),K4034,0),""),"")</f>
        <v/>
      </c>
    </row>
    <row r="4035" ht="24" customHeight="1" s="63">
      <c r="E4035" s="139" t="n"/>
      <c r="F4035" s="139" t="n"/>
      <c r="G4035" s="140">
        <f>IFERROR(IF(E4035&gt;0,(F4035/E4035)*1000,""),"")</f>
        <v/>
      </c>
      <c r="H4035" s="139">
        <f>IFERROR(IF(E4035&gt;0,E4035*IF(ISNUMBER(J4035),J4035,IF(OR(C4035="Alpha",B4035="Alpha"),$C$7,IF(C4035="Futures",$C$6,$C$5))),""),"")</f>
        <v/>
      </c>
      <c r="I4035" s="139">
        <f>IFERROR(IF(AND(ISNUMBER(F4035),ISNUMBER(H4035)),F4035-H4035,""),"")</f>
        <v/>
      </c>
      <c r="J4035" s="114" t="n"/>
      <c r="K4035" s="139">
        <f>IFERROR(IF(H4035&gt;0,H4035*IF(OR(C4035="Alpha",B4035="Alpha"),$C$9,$C$8),""),"")</f>
        <v/>
      </c>
      <c r="L4035" s="139">
        <f>IFERROR(IF(ISNUMBER(F4035),F4035-IF(ISNUMBER(K4035),K4035,0),""),"")</f>
        <v/>
      </c>
    </row>
    <row r="4036" ht="24" customHeight="1" s="63">
      <c r="E4036" s="139" t="n"/>
      <c r="F4036" s="139" t="n"/>
      <c r="G4036" s="140">
        <f>IFERROR(IF(E4036&gt;0,(F4036/E4036)*1000,""),"")</f>
        <v/>
      </c>
      <c r="H4036" s="139">
        <f>IFERROR(IF(E4036&gt;0,E4036*IF(ISNUMBER(J4036),J4036,IF(OR(C4036="Alpha",B4036="Alpha"),$C$7,IF(C4036="Futures",$C$6,$C$5))),""),"")</f>
        <v/>
      </c>
      <c r="I4036" s="139">
        <f>IFERROR(IF(AND(ISNUMBER(F4036),ISNUMBER(H4036)),F4036-H4036,""),"")</f>
        <v/>
      </c>
      <c r="J4036" s="114" t="n"/>
      <c r="K4036" s="139">
        <f>IFERROR(IF(H4036&gt;0,H4036*IF(OR(C4036="Alpha",B4036="Alpha"),$C$9,$C$8),""),"")</f>
        <v/>
      </c>
      <c r="L4036" s="139">
        <f>IFERROR(IF(ISNUMBER(F4036),F4036-IF(ISNUMBER(K4036),K4036,0),""),"")</f>
        <v/>
      </c>
    </row>
    <row r="4037" ht="24" customHeight="1" s="63">
      <c r="E4037" s="139" t="n"/>
      <c r="F4037" s="139" t="n"/>
      <c r="G4037" s="140">
        <f>IFERROR(IF(E4037&gt;0,(F4037/E4037)*1000,""),"")</f>
        <v/>
      </c>
      <c r="H4037" s="139">
        <f>IFERROR(IF(E4037&gt;0,E4037*IF(ISNUMBER(J4037),J4037,IF(OR(C4037="Alpha",B4037="Alpha"),$C$7,IF(C4037="Futures",$C$6,$C$5))),""),"")</f>
        <v/>
      </c>
      <c r="I4037" s="139">
        <f>IFERROR(IF(AND(ISNUMBER(F4037),ISNUMBER(H4037)),F4037-H4037,""),"")</f>
        <v/>
      </c>
      <c r="J4037" s="114" t="n"/>
      <c r="K4037" s="139">
        <f>IFERROR(IF(H4037&gt;0,H4037*IF(OR(C4037="Alpha",B4037="Alpha"),$C$9,$C$8),""),"")</f>
        <v/>
      </c>
      <c r="L4037" s="139">
        <f>IFERROR(IF(ISNUMBER(F4037),F4037-IF(ISNUMBER(K4037),K4037,0),""),"")</f>
        <v/>
      </c>
    </row>
    <row r="4038" ht="24" customHeight="1" s="63">
      <c r="E4038" s="139" t="n"/>
      <c r="F4038" s="139" t="n"/>
      <c r="G4038" s="140">
        <f>IFERROR(IF(E4038&gt;0,(F4038/E4038)*1000,""),"")</f>
        <v/>
      </c>
      <c r="H4038" s="139">
        <f>IFERROR(IF(E4038&gt;0,E4038*IF(ISNUMBER(J4038),J4038,IF(OR(C4038="Alpha",B4038="Alpha"),$C$7,IF(C4038="Futures",$C$6,$C$5))),""),"")</f>
        <v/>
      </c>
      <c r="I4038" s="139">
        <f>IFERROR(IF(AND(ISNUMBER(F4038),ISNUMBER(H4038)),F4038-H4038,""),"")</f>
        <v/>
      </c>
      <c r="J4038" s="114" t="n"/>
      <c r="K4038" s="139">
        <f>IFERROR(IF(H4038&gt;0,H4038*IF(OR(C4038="Alpha",B4038="Alpha"),$C$9,$C$8),""),"")</f>
        <v/>
      </c>
      <c r="L4038" s="139">
        <f>IFERROR(IF(ISNUMBER(F4038),F4038-IF(ISNUMBER(K4038),K4038,0),""),"")</f>
        <v/>
      </c>
    </row>
    <row r="4039" ht="24" customHeight="1" s="63">
      <c r="E4039" s="139" t="n"/>
      <c r="F4039" s="139" t="n"/>
      <c r="G4039" s="140">
        <f>IFERROR(IF(E4039&gt;0,(F4039/E4039)*1000,""),"")</f>
        <v/>
      </c>
      <c r="H4039" s="139">
        <f>IFERROR(IF(E4039&gt;0,E4039*IF(ISNUMBER(J4039),J4039,IF(OR(C4039="Alpha",B4039="Alpha"),$C$7,IF(C4039="Futures",$C$6,$C$5))),""),"")</f>
        <v/>
      </c>
      <c r="I4039" s="139">
        <f>IFERROR(IF(AND(ISNUMBER(F4039),ISNUMBER(H4039)),F4039-H4039,""),"")</f>
        <v/>
      </c>
      <c r="J4039" s="114" t="n"/>
      <c r="K4039" s="139">
        <f>IFERROR(IF(H4039&gt;0,H4039*IF(OR(C4039="Alpha",B4039="Alpha"),$C$9,$C$8),""),"")</f>
        <v/>
      </c>
      <c r="L4039" s="139">
        <f>IFERROR(IF(ISNUMBER(F4039),F4039-IF(ISNUMBER(K4039),K4039,0),""),"")</f>
        <v/>
      </c>
    </row>
    <row r="4040" ht="24" customHeight="1" s="63">
      <c r="E4040" s="139" t="n"/>
      <c r="F4040" s="139" t="n"/>
      <c r="G4040" s="140">
        <f>IFERROR(IF(E4040&gt;0,(F4040/E4040)*1000,""),"")</f>
        <v/>
      </c>
      <c r="H4040" s="139">
        <f>IFERROR(IF(E4040&gt;0,E4040*IF(ISNUMBER(J4040),J4040,IF(OR(C4040="Alpha",B4040="Alpha"),$C$7,IF(C4040="Futures",$C$6,$C$5))),""),"")</f>
        <v/>
      </c>
      <c r="I4040" s="139">
        <f>IFERROR(IF(AND(ISNUMBER(F4040),ISNUMBER(H4040)),F4040-H4040,""),"")</f>
        <v/>
      </c>
      <c r="J4040" s="114" t="n"/>
      <c r="K4040" s="139">
        <f>IFERROR(IF(H4040&gt;0,H4040*IF(OR(C4040="Alpha",B4040="Alpha"),$C$9,$C$8),""),"")</f>
        <v/>
      </c>
      <c r="L4040" s="139">
        <f>IFERROR(IF(ISNUMBER(F4040),F4040-IF(ISNUMBER(K4040),K4040,0),""),"")</f>
        <v/>
      </c>
    </row>
    <row r="4041" ht="24" customHeight="1" s="63">
      <c r="E4041" s="139" t="n"/>
      <c r="F4041" s="139" t="n"/>
      <c r="G4041" s="140">
        <f>IFERROR(IF(E4041&gt;0,(F4041/E4041)*1000,""),"")</f>
        <v/>
      </c>
      <c r="H4041" s="139">
        <f>IFERROR(IF(E4041&gt;0,E4041*IF(ISNUMBER(J4041),J4041,IF(OR(C4041="Alpha",B4041="Alpha"),$C$7,IF(C4041="Futures",$C$6,$C$5))),""),"")</f>
        <v/>
      </c>
      <c r="I4041" s="139">
        <f>IFERROR(IF(AND(ISNUMBER(F4041),ISNUMBER(H4041)),F4041-H4041,""),"")</f>
        <v/>
      </c>
      <c r="J4041" s="114" t="n"/>
      <c r="K4041" s="139">
        <f>IFERROR(IF(H4041&gt;0,H4041*IF(OR(C4041="Alpha",B4041="Alpha"),$C$9,$C$8),""),"")</f>
        <v/>
      </c>
      <c r="L4041" s="139">
        <f>IFERROR(IF(ISNUMBER(F4041),F4041-IF(ISNUMBER(K4041),K4041,0),""),"")</f>
        <v/>
      </c>
    </row>
    <row r="4042" ht="24" customHeight="1" s="63">
      <c r="E4042" s="139" t="n"/>
      <c r="F4042" s="139" t="n"/>
      <c r="G4042" s="140">
        <f>IFERROR(IF(E4042&gt;0,(F4042/E4042)*1000,""),"")</f>
        <v/>
      </c>
      <c r="H4042" s="139">
        <f>IFERROR(IF(E4042&gt;0,E4042*IF(ISNUMBER(J4042),J4042,IF(OR(C4042="Alpha",B4042="Alpha"),$C$7,IF(C4042="Futures",$C$6,$C$5))),""),"")</f>
        <v/>
      </c>
      <c r="I4042" s="139">
        <f>IFERROR(IF(AND(ISNUMBER(F4042),ISNUMBER(H4042)),F4042-H4042,""),"")</f>
        <v/>
      </c>
      <c r="J4042" s="114" t="n"/>
      <c r="K4042" s="139">
        <f>IFERROR(IF(H4042&gt;0,H4042*IF(OR(C4042="Alpha",B4042="Alpha"),$C$9,$C$8),""),"")</f>
        <v/>
      </c>
      <c r="L4042" s="139">
        <f>IFERROR(IF(ISNUMBER(F4042),F4042-IF(ISNUMBER(K4042),K4042,0),""),"")</f>
        <v/>
      </c>
    </row>
    <row r="4043" ht="24" customHeight="1" s="63">
      <c r="E4043" s="139" t="n"/>
      <c r="F4043" s="139" t="n"/>
      <c r="G4043" s="140">
        <f>IFERROR(IF(E4043&gt;0,(F4043/E4043)*1000,""),"")</f>
        <v/>
      </c>
      <c r="H4043" s="139">
        <f>IFERROR(IF(E4043&gt;0,E4043*IF(ISNUMBER(J4043),J4043,IF(OR(C4043="Alpha",B4043="Alpha"),$C$7,IF(C4043="Futures",$C$6,$C$5))),""),"")</f>
        <v/>
      </c>
      <c r="I4043" s="139">
        <f>IFERROR(IF(AND(ISNUMBER(F4043),ISNUMBER(H4043)),F4043-H4043,""),"")</f>
        <v/>
      </c>
      <c r="J4043" s="114" t="n"/>
      <c r="K4043" s="139">
        <f>IFERROR(IF(H4043&gt;0,H4043*IF(OR(C4043="Alpha",B4043="Alpha"),$C$9,$C$8),""),"")</f>
        <v/>
      </c>
      <c r="L4043" s="139">
        <f>IFERROR(IF(ISNUMBER(F4043),F4043-IF(ISNUMBER(K4043),K4043,0),""),"")</f>
        <v/>
      </c>
    </row>
    <row r="4044" ht="24" customHeight="1" s="63">
      <c r="E4044" s="139" t="n"/>
      <c r="F4044" s="139" t="n"/>
      <c r="G4044" s="140">
        <f>IFERROR(IF(E4044&gt;0,(F4044/E4044)*1000,""),"")</f>
        <v/>
      </c>
      <c r="H4044" s="139">
        <f>IFERROR(IF(E4044&gt;0,E4044*IF(ISNUMBER(J4044),J4044,IF(OR(C4044="Alpha",B4044="Alpha"),$C$7,IF(C4044="Futures",$C$6,$C$5))),""),"")</f>
        <v/>
      </c>
      <c r="I4044" s="139">
        <f>IFERROR(IF(AND(ISNUMBER(F4044),ISNUMBER(H4044)),F4044-H4044,""),"")</f>
        <v/>
      </c>
      <c r="J4044" s="114" t="n"/>
      <c r="K4044" s="139">
        <f>IFERROR(IF(H4044&gt;0,H4044*IF(OR(C4044="Alpha",B4044="Alpha"),$C$9,$C$8),""),"")</f>
        <v/>
      </c>
      <c r="L4044" s="139">
        <f>IFERROR(IF(ISNUMBER(F4044),F4044-IF(ISNUMBER(K4044),K4044,0),""),"")</f>
        <v/>
      </c>
    </row>
    <row r="4045" ht="24" customHeight="1" s="63">
      <c r="E4045" s="139" t="n"/>
      <c r="F4045" s="139" t="n"/>
      <c r="G4045" s="140">
        <f>IFERROR(IF(E4045&gt;0,(F4045/E4045)*1000,""),"")</f>
        <v/>
      </c>
      <c r="H4045" s="139">
        <f>IFERROR(IF(E4045&gt;0,E4045*IF(ISNUMBER(J4045),J4045,IF(OR(C4045="Alpha",B4045="Alpha"),$C$7,IF(C4045="Futures",$C$6,$C$5))),""),"")</f>
        <v/>
      </c>
      <c r="I4045" s="139">
        <f>IFERROR(IF(AND(ISNUMBER(F4045),ISNUMBER(H4045)),F4045-H4045,""),"")</f>
        <v/>
      </c>
      <c r="J4045" s="114" t="n"/>
      <c r="K4045" s="139">
        <f>IFERROR(IF(H4045&gt;0,H4045*IF(OR(C4045="Alpha",B4045="Alpha"),$C$9,$C$8),""),"")</f>
        <v/>
      </c>
      <c r="L4045" s="139">
        <f>IFERROR(IF(ISNUMBER(F4045),F4045-IF(ISNUMBER(K4045),K4045,0),""),"")</f>
        <v/>
      </c>
    </row>
    <row r="4046" ht="24" customHeight="1" s="63">
      <c r="E4046" s="139" t="n"/>
      <c r="F4046" s="139" t="n"/>
      <c r="G4046" s="140">
        <f>IFERROR(IF(E4046&gt;0,(F4046/E4046)*1000,""),"")</f>
        <v/>
      </c>
      <c r="H4046" s="139">
        <f>IFERROR(IF(E4046&gt;0,E4046*IF(ISNUMBER(J4046),J4046,IF(OR(C4046="Alpha",B4046="Alpha"),$C$7,IF(C4046="Futures",$C$6,$C$5))),""),"")</f>
        <v/>
      </c>
      <c r="I4046" s="139">
        <f>IFERROR(IF(AND(ISNUMBER(F4046),ISNUMBER(H4046)),F4046-H4046,""),"")</f>
        <v/>
      </c>
      <c r="J4046" s="114" t="n"/>
      <c r="K4046" s="139">
        <f>IFERROR(IF(H4046&gt;0,H4046*IF(OR(C4046="Alpha",B4046="Alpha"),$C$9,$C$8),""),"")</f>
        <v/>
      </c>
      <c r="L4046" s="139">
        <f>IFERROR(IF(ISNUMBER(F4046),F4046-IF(ISNUMBER(K4046),K4046,0),""),"")</f>
        <v/>
      </c>
    </row>
    <row r="4047" ht="24" customHeight="1" s="63">
      <c r="E4047" s="139" t="n"/>
      <c r="F4047" s="139" t="n"/>
      <c r="G4047" s="140">
        <f>IFERROR(IF(E4047&gt;0,(F4047/E4047)*1000,""),"")</f>
        <v/>
      </c>
      <c r="H4047" s="139">
        <f>IFERROR(IF(E4047&gt;0,E4047*IF(ISNUMBER(J4047),J4047,IF(OR(C4047="Alpha",B4047="Alpha"),$C$7,IF(C4047="Futures",$C$6,$C$5))),""),"")</f>
        <v/>
      </c>
      <c r="I4047" s="139">
        <f>IFERROR(IF(AND(ISNUMBER(F4047),ISNUMBER(H4047)),F4047-H4047,""),"")</f>
        <v/>
      </c>
      <c r="J4047" s="114" t="n"/>
      <c r="K4047" s="139">
        <f>IFERROR(IF(H4047&gt;0,H4047*IF(OR(C4047="Alpha",B4047="Alpha"),$C$9,$C$8),""),"")</f>
        <v/>
      </c>
      <c r="L4047" s="139">
        <f>IFERROR(IF(ISNUMBER(F4047),F4047-IF(ISNUMBER(K4047),K4047,0),""),"")</f>
        <v/>
      </c>
    </row>
    <row r="4048" ht="24" customHeight="1" s="63">
      <c r="E4048" s="139" t="n"/>
      <c r="F4048" s="139" t="n"/>
      <c r="G4048" s="140">
        <f>IFERROR(IF(E4048&gt;0,(F4048/E4048)*1000,""),"")</f>
        <v/>
      </c>
      <c r="H4048" s="139">
        <f>IFERROR(IF(E4048&gt;0,E4048*IF(ISNUMBER(J4048),J4048,IF(OR(C4048="Alpha",B4048="Alpha"),$C$7,IF(C4048="Futures",$C$6,$C$5))),""),"")</f>
        <v/>
      </c>
      <c r="I4048" s="139">
        <f>IFERROR(IF(AND(ISNUMBER(F4048),ISNUMBER(H4048)),F4048-H4048,""),"")</f>
        <v/>
      </c>
      <c r="J4048" s="114" t="n"/>
      <c r="K4048" s="139">
        <f>IFERROR(IF(H4048&gt;0,H4048*IF(OR(C4048="Alpha",B4048="Alpha"),$C$9,$C$8),""),"")</f>
        <v/>
      </c>
      <c r="L4048" s="139">
        <f>IFERROR(IF(ISNUMBER(F4048),F4048-IF(ISNUMBER(K4048),K4048,0),""),"")</f>
        <v/>
      </c>
    </row>
    <row r="4049" ht="24" customHeight="1" s="63">
      <c r="E4049" s="139" t="n"/>
      <c r="F4049" s="139" t="n"/>
      <c r="G4049" s="140">
        <f>IFERROR(IF(E4049&gt;0,(F4049/E4049)*1000,""),"")</f>
        <v/>
      </c>
      <c r="H4049" s="139">
        <f>IFERROR(IF(E4049&gt;0,E4049*IF(ISNUMBER(J4049),J4049,IF(OR(C4049="Alpha",B4049="Alpha"),$C$7,IF(C4049="Futures",$C$6,$C$5))),""),"")</f>
        <v/>
      </c>
      <c r="I4049" s="139">
        <f>IFERROR(IF(AND(ISNUMBER(F4049),ISNUMBER(H4049)),F4049-H4049,""),"")</f>
        <v/>
      </c>
      <c r="J4049" s="114" t="n"/>
      <c r="K4049" s="139">
        <f>IFERROR(IF(H4049&gt;0,H4049*IF(OR(C4049="Alpha",B4049="Alpha"),$C$9,$C$8),""),"")</f>
        <v/>
      </c>
      <c r="L4049" s="139">
        <f>IFERROR(IF(ISNUMBER(F4049),F4049-IF(ISNUMBER(K4049),K4049,0),""),"")</f>
        <v/>
      </c>
    </row>
    <row r="4050" ht="24" customHeight="1" s="63">
      <c r="E4050" s="139" t="n"/>
      <c r="F4050" s="139" t="n"/>
      <c r="G4050" s="140">
        <f>IFERROR(IF(E4050&gt;0,(F4050/E4050)*1000,""),"")</f>
        <v/>
      </c>
      <c r="H4050" s="139">
        <f>IFERROR(IF(E4050&gt;0,E4050*IF(ISNUMBER(J4050),J4050,IF(OR(C4050="Alpha",B4050="Alpha"),$C$7,IF(C4050="Futures",$C$6,$C$5))),""),"")</f>
        <v/>
      </c>
      <c r="I4050" s="139">
        <f>IFERROR(IF(AND(ISNUMBER(F4050),ISNUMBER(H4050)),F4050-H4050,""),"")</f>
        <v/>
      </c>
      <c r="J4050" s="114" t="n"/>
      <c r="K4050" s="139">
        <f>IFERROR(IF(H4050&gt;0,H4050*IF(OR(C4050="Alpha",B4050="Alpha"),$C$9,$C$8),""),"")</f>
        <v/>
      </c>
      <c r="L4050" s="139">
        <f>IFERROR(IF(ISNUMBER(F4050),F4050-IF(ISNUMBER(K4050),K4050,0),""),"")</f>
        <v/>
      </c>
    </row>
    <row r="4051" ht="24" customHeight="1" s="63">
      <c r="E4051" s="139" t="n"/>
      <c r="F4051" s="139" t="n"/>
      <c r="G4051" s="140">
        <f>IFERROR(IF(E4051&gt;0,(F4051/E4051)*1000,""),"")</f>
        <v/>
      </c>
      <c r="H4051" s="139">
        <f>IFERROR(IF(E4051&gt;0,E4051*IF(ISNUMBER(J4051),J4051,IF(OR(C4051="Alpha",B4051="Alpha"),$C$7,IF(C4051="Futures",$C$6,$C$5))),""),"")</f>
        <v/>
      </c>
      <c r="I4051" s="139">
        <f>IFERROR(IF(AND(ISNUMBER(F4051),ISNUMBER(H4051)),F4051-H4051,""),"")</f>
        <v/>
      </c>
      <c r="J4051" s="114" t="n"/>
      <c r="K4051" s="139">
        <f>IFERROR(IF(H4051&gt;0,H4051*IF(OR(C4051="Alpha",B4051="Alpha"),$C$9,$C$8),""),"")</f>
        <v/>
      </c>
      <c r="L4051" s="139">
        <f>IFERROR(IF(ISNUMBER(F4051),F4051-IF(ISNUMBER(K4051),K4051,0),""),"")</f>
        <v/>
      </c>
    </row>
    <row r="4052" ht="24" customHeight="1" s="63">
      <c r="E4052" s="139" t="n"/>
      <c r="F4052" s="139" t="n"/>
      <c r="G4052" s="140">
        <f>IFERROR(IF(E4052&gt;0,(F4052/E4052)*1000,""),"")</f>
        <v/>
      </c>
      <c r="H4052" s="139">
        <f>IFERROR(IF(E4052&gt;0,E4052*IF(ISNUMBER(J4052),J4052,IF(OR(C4052="Alpha",B4052="Alpha"),$C$7,IF(C4052="Futures",$C$6,$C$5))),""),"")</f>
        <v/>
      </c>
      <c r="I4052" s="139">
        <f>IFERROR(IF(AND(ISNUMBER(F4052),ISNUMBER(H4052)),F4052-H4052,""),"")</f>
        <v/>
      </c>
      <c r="J4052" s="114" t="n"/>
      <c r="K4052" s="139">
        <f>IFERROR(IF(H4052&gt;0,H4052*IF(OR(C4052="Alpha",B4052="Alpha"),$C$9,$C$8),""),"")</f>
        <v/>
      </c>
      <c r="L4052" s="139">
        <f>IFERROR(IF(ISNUMBER(F4052),F4052-IF(ISNUMBER(K4052),K4052,0),""),"")</f>
        <v/>
      </c>
    </row>
    <row r="4053" ht="24" customHeight="1" s="63">
      <c r="E4053" s="139" t="n"/>
      <c r="F4053" s="139" t="n"/>
      <c r="G4053" s="140">
        <f>IFERROR(IF(E4053&gt;0,(F4053/E4053)*1000,""),"")</f>
        <v/>
      </c>
      <c r="H4053" s="139">
        <f>IFERROR(IF(E4053&gt;0,E4053*IF(ISNUMBER(J4053),J4053,IF(OR(C4053="Alpha",B4053="Alpha"),$C$7,IF(C4053="Futures",$C$6,$C$5))),""),"")</f>
        <v/>
      </c>
      <c r="I4053" s="139">
        <f>IFERROR(IF(AND(ISNUMBER(F4053),ISNUMBER(H4053)),F4053-H4053,""),"")</f>
        <v/>
      </c>
      <c r="J4053" s="114" t="n"/>
      <c r="K4053" s="139">
        <f>IFERROR(IF(H4053&gt;0,H4053*IF(OR(C4053="Alpha",B4053="Alpha"),$C$9,$C$8),""),"")</f>
        <v/>
      </c>
      <c r="L4053" s="139">
        <f>IFERROR(IF(ISNUMBER(F4053),F4053-IF(ISNUMBER(K4053),K4053,0),""),"")</f>
        <v/>
      </c>
    </row>
    <row r="4054" ht="24" customHeight="1" s="63">
      <c r="E4054" s="139" t="n"/>
      <c r="F4054" s="139" t="n"/>
      <c r="G4054" s="140">
        <f>IFERROR(IF(E4054&gt;0,(F4054/E4054)*1000,""),"")</f>
        <v/>
      </c>
      <c r="H4054" s="139">
        <f>IFERROR(IF(E4054&gt;0,E4054*IF(ISNUMBER(J4054),J4054,IF(OR(C4054="Alpha",B4054="Alpha"),$C$7,IF(C4054="Futures",$C$6,$C$5))),""),"")</f>
        <v/>
      </c>
      <c r="I4054" s="139">
        <f>IFERROR(IF(AND(ISNUMBER(F4054),ISNUMBER(H4054)),F4054-H4054,""),"")</f>
        <v/>
      </c>
      <c r="J4054" s="114" t="n"/>
      <c r="K4054" s="139">
        <f>IFERROR(IF(H4054&gt;0,H4054*IF(OR(C4054="Alpha",B4054="Alpha"),$C$9,$C$8),""),"")</f>
        <v/>
      </c>
      <c r="L4054" s="139">
        <f>IFERROR(IF(ISNUMBER(F4054),F4054-IF(ISNUMBER(K4054),K4054,0),""),"")</f>
        <v/>
      </c>
    </row>
    <row r="4055" ht="24" customHeight="1" s="63">
      <c r="E4055" s="139" t="n"/>
      <c r="F4055" s="139" t="n"/>
      <c r="G4055" s="140">
        <f>IFERROR(IF(E4055&gt;0,(F4055/E4055)*1000,""),"")</f>
        <v/>
      </c>
      <c r="H4055" s="139">
        <f>IFERROR(IF(E4055&gt;0,E4055*IF(ISNUMBER(J4055),J4055,IF(OR(C4055="Alpha",B4055="Alpha"),$C$7,IF(C4055="Futures",$C$6,$C$5))),""),"")</f>
        <v/>
      </c>
      <c r="I4055" s="139">
        <f>IFERROR(IF(AND(ISNUMBER(F4055),ISNUMBER(H4055)),F4055-H4055,""),"")</f>
        <v/>
      </c>
      <c r="J4055" s="114" t="n"/>
      <c r="K4055" s="139">
        <f>IFERROR(IF(H4055&gt;0,H4055*IF(OR(C4055="Alpha",B4055="Alpha"),$C$9,$C$8),""),"")</f>
        <v/>
      </c>
      <c r="L4055" s="139">
        <f>IFERROR(IF(ISNUMBER(F4055),F4055-IF(ISNUMBER(K4055),K4055,0),""),"")</f>
        <v/>
      </c>
    </row>
    <row r="4056" ht="24" customHeight="1" s="63">
      <c r="E4056" s="139" t="n"/>
      <c r="F4056" s="139" t="n"/>
      <c r="G4056" s="140">
        <f>IFERROR(IF(E4056&gt;0,(F4056/E4056)*1000,""),"")</f>
        <v/>
      </c>
      <c r="H4056" s="139">
        <f>IFERROR(IF(E4056&gt;0,E4056*IF(ISNUMBER(J4056),J4056,IF(OR(C4056="Alpha",B4056="Alpha"),$C$7,IF(C4056="Futures",$C$6,$C$5))),""),"")</f>
        <v/>
      </c>
      <c r="I4056" s="139">
        <f>IFERROR(IF(AND(ISNUMBER(F4056),ISNUMBER(H4056)),F4056-H4056,""),"")</f>
        <v/>
      </c>
      <c r="J4056" s="114" t="n"/>
      <c r="K4056" s="139">
        <f>IFERROR(IF(H4056&gt;0,H4056*IF(OR(C4056="Alpha",B4056="Alpha"),$C$9,$C$8),""),"")</f>
        <v/>
      </c>
      <c r="L4056" s="139">
        <f>IFERROR(IF(ISNUMBER(F4056),F4056-IF(ISNUMBER(K4056),K4056,0),""),"")</f>
        <v/>
      </c>
    </row>
    <row r="4057" ht="24" customHeight="1" s="63">
      <c r="E4057" s="139" t="n"/>
      <c r="F4057" s="139" t="n"/>
      <c r="G4057" s="140">
        <f>IFERROR(IF(E4057&gt;0,(F4057/E4057)*1000,""),"")</f>
        <v/>
      </c>
      <c r="H4057" s="139">
        <f>IFERROR(IF(E4057&gt;0,E4057*IF(ISNUMBER(J4057),J4057,IF(OR(C4057="Alpha",B4057="Alpha"),$C$7,IF(C4057="Futures",$C$6,$C$5))),""),"")</f>
        <v/>
      </c>
      <c r="I4057" s="139">
        <f>IFERROR(IF(AND(ISNUMBER(F4057),ISNUMBER(H4057)),F4057-H4057,""),"")</f>
        <v/>
      </c>
      <c r="J4057" s="114" t="n"/>
      <c r="K4057" s="139">
        <f>IFERROR(IF(H4057&gt;0,H4057*IF(OR(C4057="Alpha",B4057="Alpha"),$C$9,$C$8),""),"")</f>
        <v/>
      </c>
      <c r="L4057" s="139">
        <f>IFERROR(IF(ISNUMBER(F4057),F4057-IF(ISNUMBER(K4057),K4057,0),""),"")</f>
        <v/>
      </c>
    </row>
    <row r="4058" ht="24" customHeight="1" s="63">
      <c r="E4058" s="139" t="n"/>
      <c r="F4058" s="139" t="n"/>
      <c r="G4058" s="140">
        <f>IFERROR(IF(E4058&gt;0,(F4058/E4058)*1000,""),"")</f>
        <v/>
      </c>
      <c r="H4058" s="139">
        <f>IFERROR(IF(E4058&gt;0,E4058*IF(ISNUMBER(J4058),J4058,IF(OR(C4058="Alpha",B4058="Alpha"),$C$7,IF(C4058="Futures",$C$6,$C$5))),""),"")</f>
        <v/>
      </c>
      <c r="I4058" s="139">
        <f>IFERROR(IF(AND(ISNUMBER(F4058),ISNUMBER(H4058)),F4058-H4058,""),"")</f>
        <v/>
      </c>
      <c r="J4058" s="114" t="n"/>
      <c r="K4058" s="139">
        <f>IFERROR(IF(H4058&gt;0,H4058*IF(OR(C4058="Alpha",B4058="Alpha"),$C$9,$C$8),""),"")</f>
        <v/>
      </c>
      <c r="L4058" s="139">
        <f>IFERROR(IF(ISNUMBER(F4058),F4058-IF(ISNUMBER(K4058),K4058,0),""),"")</f>
        <v/>
      </c>
    </row>
    <row r="4059" ht="24" customHeight="1" s="63">
      <c r="E4059" s="139" t="n"/>
      <c r="F4059" s="139" t="n"/>
      <c r="G4059" s="140">
        <f>IFERROR(IF(E4059&gt;0,(F4059/E4059)*1000,""),"")</f>
        <v/>
      </c>
      <c r="H4059" s="139">
        <f>IFERROR(IF(E4059&gt;0,E4059*IF(ISNUMBER(J4059),J4059,IF(OR(C4059="Alpha",B4059="Alpha"),$C$7,IF(C4059="Futures",$C$6,$C$5))),""),"")</f>
        <v/>
      </c>
      <c r="I4059" s="139">
        <f>IFERROR(IF(AND(ISNUMBER(F4059),ISNUMBER(H4059)),F4059-H4059,""),"")</f>
        <v/>
      </c>
      <c r="J4059" s="114" t="n"/>
      <c r="K4059" s="139">
        <f>IFERROR(IF(H4059&gt;0,H4059*IF(OR(C4059="Alpha",B4059="Alpha"),$C$9,$C$8),""),"")</f>
        <v/>
      </c>
      <c r="L4059" s="139">
        <f>IFERROR(IF(ISNUMBER(F4059),F4059-IF(ISNUMBER(K4059),K4059,0),""),"")</f>
        <v/>
      </c>
    </row>
    <row r="4060" ht="24" customHeight="1" s="63">
      <c r="E4060" s="139" t="n"/>
      <c r="F4060" s="139" t="n"/>
      <c r="G4060" s="140">
        <f>IFERROR(IF(E4060&gt;0,(F4060/E4060)*1000,""),"")</f>
        <v/>
      </c>
      <c r="H4060" s="139">
        <f>IFERROR(IF(E4060&gt;0,E4060*IF(ISNUMBER(J4060),J4060,IF(OR(C4060="Alpha",B4060="Alpha"),$C$7,IF(C4060="Futures",$C$6,$C$5))),""),"")</f>
        <v/>
      </c>
      <c r="I4060" s="139">
        <f>IFERROR(IF(AND(ISNUMBER(F4060),ISNUMBER(H4060)),F4060-H4060,""),"")</f>
        <v/>
      </c>
      <c r="J4060" s="114" t="n"/>
      <c r="K4060" s="139">
        <f>IFERROR(IF(H4060&gt;0,H4060*IF(OR(C4060="Alpha",B4060="Alpha"),$C$9,$C$8),""),"")</f>
        <v/>
      </c>
      <c r="L4060" s="139">
        <f>IFERROR(IF(ISNUMBER(F4060),F4060-IF(ISNUMBER(K4060),K4060,0),""),"")</f>
        <v/>
      </c>
    </row>
    <row r="4061" ht="24" customHeight="1" s="63">
      <c r="E4061" s="139" t="n"/>
      <c r="F4061" s="139" t="n"/>
      <c r="G4061" s="140">
        <f>IFERROR(IF(E4061&gt;0,(F4061/E4061)*1000,""),"")</f>
        <v/>
      </c>
      <c r="H4061" s="139">
        <f>IFERROR(IF(E4061&gt;0,E4061*IF(ISNUMBER(J4061),J4061,IF(OR(C4061="Alpha",B4061="Alpha"),$C$7,IF(C4061="Futures",$C$6,$C$5))),""),"")</f>
        <v/>
      </c>
      <c r="I4061" s="139">
        <f>IFERROR(IF(AND(ISNUMBER(F4061),ISNUMBER(H4061)),F4061-H4061,""),"")</f>
        <v/>
      </c>
      <c r="J4061" s="114" t="n"/>
      <c r="K4061" s="139">
        <f>IFERROR(IF(H4061&gt;0,H4061*IF(OR(C4061="Alpha",B4061="Alpha"),$C$9,$C$8),""),"")</f>
        <v/>
      </c>
      <c r="L4061" s="139">
        <f>IFERROR(IF(ISNUMBER(F4061),F4061-IF(ISNUMBER(K4061),K4061,0),""),"")</f>
        <v/>
      </c>
    </row>
    <row r="4062" ht="24" customHeight="1" s="63">
      <c r="E4062" s="139" t="n"/>
      <c r="F4062" s="139" t="n"/>
      <c r="G4062" s="140">
        <f>IFERROR(IF(E4062&gt;0,(F4062/E4062)*1000,""),"")</f>
        <v/>
      </c>
      <c r="H4062" s="139">
        <f>IFERROR(IF(E4062&gt;0,E4062*IF(ISNUMBER(J4062),J4062,IF(OR(C4062="Alpha",B4062="Alpha"),$C$7,IF(C4062="Futures",$C$6,$C$5))),""),"")</f>
        <v/>
      </c>
      <c r="I4062" s="139">
        <f>IFERROR(IF(AND(ISNUMBER(F4062),ISNUMBER(H4062)),F4062-H4062,""),"")</f>
        <v/>
      </c>
      <c r="J4062" s="114" t="n"/>
      <c r="K4062" s="139">
        <f>IFERROR(IF(H4062&gt;0,H4062*IF(OR(C4062="Alpha",B4062="Alpha"),$C$9,$C$8),""),"")</f>
        <v/>
      </c>
      <c r="L4062" s="139">
        <f>IFERROR(IF(ISNUMBER(F4062),F4062-IF(ISNUMBER(K4062),K4062,0),""),"")</f>
        <v/>
      </c>
    </row>
    <row r="4063" ht="24" customHeight="1" s="63">
      <c r="E4063" s="139" t="n"/>
      <c r="F4063" s="139" t="n"/>
      <c r="G4063" s="140">
        <f>IFERROR(IF(E4063&gt;0,(F4063/E4063)*1000,""),"")</f>
        <v/>
      </c>
      <c r="H4063" s="139">
        <f>IFERROR(IF(E4063&gt;0,E4063*IF(ISNUMBER(J4063),J4063,IF(OR(C4063="Alpha",B4063="Alpha"),$C$7,IF(C4063="Futures",$C$6,$C$5))),""),"")</f>
        <v/>
      </c>
      <c r="I4063" s="139">
        <f>IFERROR(IF(AND(ISNUMBER(F4063),ISNUMBER(H4063)),F4063-H4063,""),"")</f>
        <v/>
      </c>
      <c r="J4063" s="114" t="n"/>
      <c r="K4063" s="139">
        <f>IFERROR(IF(H4063&gt;0,H4063*IF(OR(C4063="Alpha",B4063="Alpha"),$C$9,$C$8),""),"")</f>
        <v/>
      </c>
      <c r="L4063" s="139">
        <f>IFERROR(IF(ISNUMBER(F4063),F4063-IF(ISNUMBER(K4063),K4063,0),""),"")</f>
        <v/>
      </c>
    </row>
    <row r="4064" ht="24" customHeight="1" s="63">
      <c r="E4064" s="139" t="n"/>
      <c r="F4064" s="139" t="n"/>
      <c r="G4064" s="140">
        <f>IFERROR(IF(E4064&gt;0,(F4064/E4064)*1000,""),"")</f>
        <v/>
      </c>
      <c r="H4064" s="139">
        <f>IFERROR(IF(E4064&gt;0,E4064*IF(ISNUMBER(J4064),J4064,IF(OR(C4064="Alpha",B4064="Alpha"),$C$7,IF(C4064="Futures",$C$6,$C$5))),""),"")</f>
        <v/>
      </c>
      <c r="I4064" s="139">
        <f>IFERROR(IF(AND(ISNUMBER(F4064),ISNUMBER(H4064)),F4064-H4064,""),"")</f>
        <v/>
      </c>
      <c r="J4064" s="114" t="n"/>
      <c r="K4064" s="139">
        <f>IFERROR(IF(H4064&gt;0,H4064*IF(OR(C4064="Alpha",B4064="Alpha"),$C$9,$C$8),""),"")</f>
        <v/>
      </c>
      <c r="L4064" s="139">
        <f>IFERROR(IF(ISNUMBER(F4064),F4064-IF(ISNUMBER(K4064),K4064,0),""),"")</f>
        <v/>
      </c>
    </row>
    <row r="4065" ht="24" customHeight="1" s="63">
      <c r="E4065" s="139" t="n"/>
      <c r="F4065" s="139" t="n"/>
      <c r="G4065" s="140">
        <f>IFERROR(IF(E4065&gt;0,(F4065/E4065)*1000,""),"")</f>
        <v/>
      </c>
      <c r="H4065" s="139">
        <f>IFERROR(IF(E4065&gt;0,E4065*IF(ISNUMBER(J4065),J4065,IF(OR(C4065="Alpha",B4065="Alpha"),$C$7,IF(C4065="Futures",$C$6,$C$5))),""),"")</f>
        <v/>
      </c>
      <c r="I4065" s="139">
        <f>IFERROR(IF(AND(ISNUMBER(F4065),ISNUMBER(H4065)),F4065-H4065,""),"")</f>
        <v/>
      </c>
      <c r="J4065" s="114" t="n"/>
      <c r="K4065" s="139">
        <f>IFERROR(IF(H4065&gt;0,H4065*IF(OR(C4065="Alpha",B4065="Alpha"),$C$9,$C$8),""),"")</f>
        <v/>
      </c>
      <c r="L4065" s="139">
        <f>IFERROR(IF(ISNUMBER(F4065),F4065-IF(ISNUMBER(K4065),K4065,0),""),"")</f>
        <v/>
      </c>
    </row>
    <row r="4066" ht="24" customHeight="1" s="63">
      <c r="E4066" s="139" t="n"/>
      <c r="F4066" s="139" t="n"/>
      <c r="G4066" s="140">
        <f>IFERROR(IF(E4066&gt;0,(F4066/E4066)*1000,""),"")</f>
        <v/>
      </c>
      <c r="H4066" s="139">
        <f>IFERROR(IF(E4066&gt;0,E4066*IF(ISNUMBER(J4066),J4066,IF(OR(C4066="Alpha",B4066="Alpha"),$C$7,IF(C4066="Futures",$C$6,$C$5))),""),"")</f>
        <v/>
      </c>
      <c r="I4066" s="139">
        <f>IFERROR(IF(AND(ISNUMBER(F4066),ISNUMBER(H4066)),F4066-H4066,""),"")</f>
        <v/>
      </c>
      <c r="J4066" s="114" t="n"/>
      <c r="K4066" s="139">
        <f>IFERROR(IF(H4066&gt;0,H4066*IF(OR(C4066="Alpha",B4066="Alpha"),$C$9,$C$8),""),"")</f>
        <v/>
      </c>
      <c r="L4066" s="139">
        <f>IFERROR(IF(ISNUMBER(F4066),F4066-IF(ISNUMBER(K4066),K4066,0),""),"")</f>
        <v/>
      </c>
    </row>
    <row r="4067" ht="24" customHeight="1" s="63">
      <c r="E4067" s="139" t="n"/>
      <c r="F4067" s="139" t="n"/>
      <c r="G4067" s="140">
        <f>IFERROR(IF(E4067&gt;0,(F4067/E4067)*1000,""),"")</f>
        <v/>
      </c>
      <c r="H4067" s="139">
        <f>IFERROR(IF(E4067&gt;0,E4067*IF(ISNUMBER(J4067),J4067,IF(OR(C4067="Alpha",B4067="Alpha"),$C$7,IF(C4067="Futures",$C$6,$C$5))),""),"")</f>
        <v/>
      </c>
      <c r="I4067" s="139">
        <f>IFERROR(IF(AND(ISNUMBER(F4067),ISNUMBER(H4067)),F4067-H4067,""),"")</f>
        <v/>
      </c>
      <c r="J4067" s="114" t="n"/>
      <c r="K4067" s="139">
        <f>IFERROR(IF(H4067&gt;0,H4067*IF(OR(C4067="Alpha",B4067="Alpha"),$C$9,$C$8),""),"")</f>
        <v/>
      </c>
      <c r="L4067" s="139">
        <f>IFERROR(IF(ISNUMBER(F4067),F4067-IF(ISNUMBER(K4067),K4067,0),""),"")</f>
        <v/>
      </c>
    </row>
    <row r="4068" ht="24" customHeight="1" s="63">
      <c r="E4068" s="139" t="n"/>
      <c r="F4068" s="139" t="n"/>
      <c r="G4068" s="140">
        <f>IFERROR(IF(E4068&gt;0,(F4068/E4068)*1000,""),"")</f>
        <v/>
      </c>
      <c r="H4068" s="139">
        <f>IFERROR(IF(E4068&gt;0,E4068*IF(ISNUMBER(J4068),J4068,IF(OR(C4068="Alpha",B4068="Alpha"),$C$7,IF(C4068="Futures",$C$6,$C$5))),""),"")</f>
        <v/>
      </c>
      <c r="I4068" s="139">
        <f>IFERROR(IF(AND(ISNUMBER(F4068),ISNUMBER(H4068)),F4068-H4068,""),"")</f>
        <v/>
      </c>
      <c r="J4068" s="114" t="n"/>
      <c r="K4068" s="139">
        <f>IFERROR(IF(H4068&gt;0,H4068*IF(OR(C4068="Alpha",B4068="Alpha"),$C$9,$C$8),""),"")</f>
        <v/>
      </c>
      <c r="L4068" s="139">
        <f>IFERROR(IF(ISNUMBER(F4068),F4068-IF(ISNUMBER(K4068),K4068,0),""),"")</f>
        <v/>
      </c>
    </row>
    <row r="4069" ht="24" customHeight="1" s="63">
      <c r="E4069" s="139" t="n"/>
      <c r="F4069" s="139" t="n"/>
      <c r="G4069" s="140">
        <f>IFERROR(IF(E4069&gt;0,(F4069/E4069)*1000,""),"")</f>
        <v/>
      </c>
      <c r="H4069" s="139">
        <f>IFERROR(IF(E4069&gt;0,E4069*IF(ISNUMBER(J4069),J4069,IF(OR(C4069="Alpha",B4069="Alpha"),$C$7,IF(C4069="Futures",$C$6,$C$5))),""),"")</f>
        <v/>
      </c>
      <c r="I4069" s="139">
        <f>IFERROR(IF(AND(ISNUMBER(F4069),ISNUMBER(H4069)),F4069-H4069,""),"")</f>
        <v/>
      </c>
      <c r="J4069" s="114" t="n"/>
      <c r="K4069" s="139">
        <f>IFERROR(IF(H4069&gt;0,H4069*IF(OR(C4069="Alpha",B4069="Alpha"),$C$9,$C$8),""),"")</f>
        <v/>
      </c>
      <c r="L4069" s="139">
        <f>IFERROR(IF(ISNUMBER(F4069),F4069-IF(ISNUMBER(K4069),K4069,0),""),"")</f>
        <v/>
      </c>
    </row>
    <row r="4070" ht="24" customHeight="1" s="63">
      <c r="E4070" s="139" t="n"/>
      <c r="F4070" s="139" t="n"/>
      <c r="G4070" s="140">
        <f>IFERROR(IF(E4070&gt;0,(F4070/E4070)*1000,""),"")</f>
        <v/>
      </c>
      <c r="H4070" s="139">
        <f>IFERROR(IF(E4070&gt;0,E4070*IF(ISNUMBER(J4070),J4070,IF(OR(C4070="Alpha",B4070="Alpha"),$C$7,IF(C4070="Futures",$C$6,$C$5))),""),"")</f>
        <v/>
      </c>
      <c r="I4070" s="139">
        <f>IFERROR(IF(AND(ISNUMBER(F4070),ISNUMBER(H4070)),F4070-H4070,""),"")</f>
        <v/>
      </c>
      <c r="J4070" s="114" t="n"/>
      <c r="K4070" s="139">
        <f>IFERROR(IF(H4070&gt;0,H4070*IF(OR(C4070="Alpha",B4070="Alpha"),$C$9,$C$8),""),"")</f>
        <v/>
      </c>
      <c r="L4070" s="139">
        <f>IFERROR(IF(ISNUMBER(F4070),F4070-IF(ISNUMBER(K4070),K4070,0),""),"")</f>
        <v/>
      </c>
    </row>
    <row r="4071" ht="24" customHeight="1" s="63">
      <c r="E4071" s="139" t="n"/>
      <c r="F4071" s="139" t="n"/>
      <c r="G4071" s="140">
        <f>IFERROR(IF(E4071&gt;0,(F4071/E4071)*1000,""),"")</f>
        <v/>
      </c>
      <c r="H4071" s="139">
        <f>IFERROR(IF(E4071&gt;0,E4071*IF(ISNUMBER(J4071),J4071,IF(OR(C4071="Alpha",B4071="Alpha"),$C$7,IF(C4071="Futures",$C$6,$C$5))),""),"")</f>
        <v/>
      </c>
      <c r="I4071" s="139">
        <f>IFERROR(IF(AND(ISNUMBER(F4071),ISNUMBER(H4071)),F4071-H4071,""),"")</f>
        <v/>
      </c>
      <c r="J4071" s="114" t="n"/>
      <c r="K4071" s="139">
        <f>IFERROR(IF(H4071&gt;0,H4071*IF(OR(C4071="Alpha",B4071="Alpha"),$C$9,$C$8),""),"")</f>
        <v/>
      </c>
      <c r="L4071" s="139">
        <f>IFERROR(IF(ISNUMBER(F4071),F4071-IF(ISNUMBER(K4071),K4071,0),""),"")</f>
        <v/>
      </c>
    </row>
    <row r="4072" ht="24" customHeight="1" s="63">
      <c r="E4072" s="139" t="n"/>
      <c r="F4072" s="139" t="n"/>
      <c r="G4072" s="140">
        <f>IFERROR(IF(E4072&gt;0,(F4072/E4072)*1000,""),"")</f>
        <v/>
      </c>
      <c r="H4072" s="139">
        <f>IFERROR(IF(E4072&gt;0,E4072*IF(ISNUMBER(J4072),J4072,IF(OR(C4072="Alpha",B4072="Alpha"),$C$7,IF(C4072="Futures",$C$6,$C$5))),""),"")</f>
        <v/>
      </c>
      <c r="I4072" s="139">
        <f>IFERROR(IF(AND(ISNUMBER(F4072),ISNUMBER(H4072)),F4072-H4072,""),"")</f>
        <v/>
      </c>
      <c r="J4072" s="114" t="n"/>
      <c r="K4072" s="139">
        <f>IFERROR(IF(H4072&gt;0,H4072*IF(OR(C4072="Alpha",B4072="Alpha"),$C$9,$C$8),""),"")</f>
        <v/>
      </c>
      <c r="L4072" s="139">
        <f>IFERROR(IF(ISNUMBER(F4072),F4072-IF(ISNUMBER(K4072),K4072,0),""),"")</f>
        <v/>
      </c>
    </row>
    <row r="4073" ht="24" customHeight="1" s="63">
      <c r="E4073" s="139" t="n"/>
      <c r="F4073" s="139" t="n"/>
      <c r="G4073" s="140">
        <f>IFERROR(IF(E4073&gt;0,(F4073/E4073)*1000,""),"")</f>
        <v/>
      </c>
      <c r="H4073" s="139">
        <f>IFERROR(IF(E4073&gt;0,E4073*IF(ISNUMBER(J4073),J4073,IF(OR(C4073="Alpha",B4073="Alpha"),$C$7,IF(C4073="Futures",$C$6,$C$5))),""),"")</f>
        <v/>
      </c>
      <c r="I4073" s="139">
        <f>IFERROR(IF(AND(ISNUMBER(F4073),ISNUMBER(H4073)),F4073-H4073,""),"")</f>
        <v/>
      </c>
      <c r="J4073" s="114" t="n"/>
      <c r="K4073" s="139">
        <f>IFERROR(IF(H4073&gt;0,H4073*IF(OR(C4073="Alpha",B4073="Alpha"),$C$9,$C$8),""),"")</f>
        <v/>
      </c>
      <c r="L4073" s="139">
        <f>IFERROR(IF(ISNUMBER(F4073),F4073-IF(ISNUMBER(K4073),K4073,0),""),"")</f>
        <v/>
      </c>
    </row>
    <row r="4074" ht="24" customHeight="1" s="63">
      <c r="E4074" s="139" t="n"/>
      <c r="F4074" s="139" t="n"/>
      <c r="G4074" s="140">
        <f>IFERROR(IF(E4074&gt;0,(F4074/E4074)*1000,""),"")</f>
        <v/>
      </c>
      <c r="H4074" s="139">
        <f>IFERROR(IF(E4074&gt;0,E4074*IF(ISNUMBER(J4074),J4074,IF(OR(C4074="Alpha",B4074="Alpha"),$C$7,IF(C4074="Futures",$C$6,$C$5))),""),"")</f>
        <v/>
      </c>
      <c r="I4074" s="139">
        <f>IFERROR(IF(AND(ISNUMBER(F4074),ISNUMBER(H4074)),F4074-H4074,""),"")</f>
        <v/>
      </c>
      <c r="J4074" s="114" t="n"/>
      <c r="K4074" s="139">
        <f>IFERROR(IF(H4074&gt;0,H4074*IF(OR(C4074="Alpha",B4074="Alpha"),$C$9,$C$8),""),"")</f>
        <v/>
      </c>
      <c r="L4074" s="139">
        <f>IFERROR(IF(ISNUMBER(F4074),F4074-IF(ISNUMBER(K4074),K4074,0),""),"")</f>
        <v/>
      </c>
    </row>
    <row r="4075" ht="24" customHeight="1" s="63">
      <c r="E4075" s="139" t="n"/>
      <c r="F4075" s="139" t="n"/>
      <c r="G4075" s="140">
        <f>IFERROR(IF(E4075&gt;0,(F4075/E4075)*1000,""),"")</f>
        <v/>
      </c>
      <c r="H4075" s="139">
        <f>IFERROR(IF(E4075&gt;0,E4075*IF(ISNUMBER(J4075),J4075,IF(OR(C4075="Alpha",B4075="Alpha"),$C$7,IF(C4075="Futures",$C$6,$C$5))),""),"")</f>
        <v/>
      </c>
      <c r="I4075" s="139">
        <f>IFERROR(IF(AND(ISNUMBER(F4075),ISNUMBER(H4075)),F4075-H4075,""),"")</f>
        <v/>
      </c>
      <c r="J4075" s="114" t="n"/>
      <c r="K4075" s="139">
        <f>IFERROR(IF(H4075&gt;0,H4075*IF(OR(C4075="Alpha",B4075="Alpha"),$C$9,$C$8),""),"")</f>
        <v/>
      </c>
      <c r="L4075" s="139">
        <f>IFERROR(IF(ISNUMBER(F4075),F4075-IF(ISNUMBER(K4075),K4075,0),""),"")</f>
        <v/>
      </c>
    </row>
    <row r="4076" ht="24" customHeight="1" s="63">
      <c r="E4076" s="139" t="n"/>
      <c r="F4076" s="139" t="n"/>
      <c r="G4076" s="140">
        <f>IFERROR(IF(E4076&gt;0,(F4076/E4076)*1000,""),"")</f>
        <v/>
      </c>
      <c r="H4076" s="139">
        <f>IFERROR(IF(E4076&gt;0,E4076*IF(ISNUMBER(J4076),J4076,IF(OR(C4076="Alpha",B4076="Alpha"),$C$7,IF(C4076="Futures",$C$6,$C$5))),""),"")</f>
        <v/>
      </c>
      <c r="I4076" s="139">
        <f>IFERROR(IF(AND(ISNUMBER(F4076),ISNUMBER(H4076)),F4076-H4076,""),"")</f>
        <v/>
      </c>
      <c r="J4076" s="114" t="n"/>
      <c r="K4076" s="139">
        <f>IFERROR(IF(H4076&gt;0,H4076*IF(OR(C4076="Alpha",B4076="Alpha"),$C$9,$C$8),""),"")</f>
        <v/>
      </c>
      <c r="L4076" s="139">
        <f>IFERROR(IF(ISNUMBER(F4076),F4076-IF(ISNUMBER(K4076),K4076,0),""),"")</f>
        <v/>
      </c>
    </row>
    <row r="4077" ht="24" customHeight="1" s="63">
      <c r="E4077" s="139" t="n"/>
      <c r="F4077" s="139" t="n"/>
      <c r="G4077" s="140">
        <f>IFERROR(IF(E4077&gt;0,(F4077/E4077)*1000,""),"")</f>
        <v/>
      </c>
      <c r="H4077" s="139">
        <f>IFERROR(IF(E4077&gt;0,E4077*IF(ISNUMBER(J4077),J4077,IF(OR(C4077="Alpha",B4077="Alpha"),$C$7,IF(C4077="Futures",$C$6,$C$5))),""),"")</f>
        <v/>
      </c>
      <c r="I4077" s="139">
        <f>IFERROR(IF(AND(ISNUMBER(F4077),ISNUMBER(H4077)),F4077-H4077,""),"")</f>
        <v/>
      </c>
      <c r="J4077" s="114" t="n"/>
      <c r="K4077" s="139">
        <f>IFERROR(IF(H4077&gt;0,H4077*IF(OR(C4077="Alpha",B4077="Alpha"),$C$9,$C$8),""),"")</f>
        <v/>
      </c>
      <c r="L4077" s="139">
        <f>IFERROR(IF(ISNUMBER(F4077),F4077-IF(ISNUMBER(K4077),K4077,0),""),"")</f>
        <v/>
      </c>
    </row>
    <row r="4078" ht="24" customHeight="1" s="63">
      <c r="E4078" s="139" t="n"/>
      <c r="F4078" s="139" t="n"/>
      <c r="G4078" s="140">
        <f>IFERROR(IF(E4078&gt;0,(F4078/E4078)*1000,""),"")</f>
        <v/>
      </c>
      <c r="H4078" s="139">
        <f>IFERROR(IF(E4078&gt;0,E4078*IF(ISNUMBER(J4078),J4078,IF(OR(C4078="Alpha",B4078="Alpha"),$C$7,IF(C4078="Futures",$C$6,$C$5))),""),"")</f>
        <v/>
      </c>
      <c r="I4078" s="139">
        <f>IFERROR(IF(AND(ISNUMBER(F4078),ISNUMBER(H4078)),F4078-H4078,""),"")</f>
        <v/>
      </c>
      <c r="J4078" s="114" t="n"/>
      <c r="K4078" s="139">
        <f>IFERROR(IF(H4078&gt;0,H4078*IF(OR(C4078="Alpha",B4078="Alpha"),$C$9,$C$8),""),"")</f>
        <v/>
      </c>
      <c r="L4078" s="139">
        <f>IFERROR(IF(ISNUMBER(F4078),F4078-IF(ISNUMBER(K4078),K4078,0),""),"")</f>
        <v/>
      </c>
    </row>
    <row r="4079" ht="24" customHeight="1" s="63">
      <c r="E4079" s="139" t="n"/>
      <c r="F4079" s="139" t="n"/>
      <c r="G4079" s="140">
        <f>IFERROR(IF(E4079&gt;0,(F4079/E4079)*1000,""),"")</f>
        <v/>
      </c>
      <c r="H4079" s="139">
        <f>IFERROR(IF(E4079&gt;0,E4079*IF(ISNUMBER(J4079),J4079,IF(OR(C4079="Alpha",B4079="Alpha"),$C$7,IF(C4079="Futures",$C$6,$C$5))),""),"")</f>
        <v/>
      </c>
      <c r="I4079" s="139">
        <f>IFERROR(IF(AND(ISNUMBER(F4079),ISNUMBER(H4079)),F4079-H4079,""),"")</f>
        <v/>
      </c>
      <c r="J4079" s="114" t="n"/>
      <c r="K4079" s="139">
        <f>IFERROR(IF(H4079&gt;0,H4079*IF(OR(C4079="Alpha",B4079="Alpha"),$C$9,$C$8),""),"")</f>
        <v/>
      </c>
      <c r="L4079" s="139">
        <f>IFERROR(IF(ISNUMBER(F4079),F4079-IF(ISNUMBER(K4079),K4079,0),""),"")</f>
        <v/>
      </c>
    </row>
    <row r="4080" ht="24" customHeight="1" s="63">
      <c r="E4080" s="139" t="n"/>
      <c r="F4080" s="139" t="n"/>
      <c r="G4080" s="140">
        <f>IFERROR(IF(E4080&gt;0,(F4080/E4080)*1000,""),"")</f>
        <v/>
      </c>
      <c r="H4080" s="139">
        <f>IFERROR(IF(E4080&gt;0,E4080*IF(ISNUMBER(J4080),J4080,IF(OR(C4080="Alpha",B4080="Alpha"),$C$7,IF(C4080="Futures",$C$6,$C$5))),""),"")</f>
        <v/>
      </c>
      <c r="I4080" s="139">
        <f>IFERROR(IF(AND(ISNUMBER(F4080),ISNUMBER(H4080)),F4080-H4080,""),"")</f>
        <v/>
      </c>
      <c r="J4080" s="114" t="n"/>
      <c r="K4080" s="139">
        <f>IFERROR(IF(H4080&gt;0,H4080*IF(OR(C4080="Alpha",B4080="Alpha"),$C$9,$C$8),""),"")</f>
        <v/>
      </c>
      <c r="L4080" s="139">
        <f>IFERROR(IF(ISNUMBER(F4080),F4080-IF(ISNUMBER(K4080),K4080,0),""),"")</f>
        <v/>
      </c>
    </row>
    <row r="4081" ht="24" customHeight="1" s="63">
      <c r="E4081" s="139" t="n"/>
      <c r="F4081" s="139" t="n"/>
      <c r="G4081" s="140">
        <f>IFERROR(IF(E4081&gt;0,(F4081/E4081)*1000,""),"")</f>
        <v/>
      </c>
      <c r="H4081" s="139">
        <f>IFERROR(IF(E4081&gt;0,E4081*IF(ISNUMBER(J4081),J4081,IF(OR(C4081="Alpha",B4081="Alpha"),$C$7,IF(C4081="Futures",$C$6,$C$5))),""),"")</f>
        <v/>
      </c>
      <c r="I4081" s="139">
        <f>IFERROR(IF(AND(ISNUMBER(F4081),ISNUMBER(H4081)),F4081-H4081,""),"")</f>
        <v/>
      </c>
      <c r="J4081" s="114" t="n"/>
      <c r="K4081" s="139">
        <f>IFERROR(IF(H4081&gt;0,H4081*IF(OR(C4081="Alpha",B4081="Alpha"),$C$9,$C$8),""),"")</f>
        <v/>
      </c>
      <c r="L4081" s="139">
        <f>IFERROR(IF(ISNUMBER(F4081),F4081-IF(ISNUMBER(K4081),K4081,0),""),"")</f>
        <v/>
      </c>
    </row>
    <row r="4082" ht="24" customHeight="1" s="63">
      <c r="E4082" s="139" t="n"/>
      <c r="F4082" s="139" t="n"/>
      <c r="G4082" s="140">
        <f>IFERROR(IF(E4082&gt;0,(F4082/E4082)*1000,""),"")</f>
        <v/>
      </c>
      <c r="H4082" s="139">
        <f>IFERROR(IF(E4082&gt;0,E4082*IF(ISNUMBER(J4082),J4082,IF(OR(C4082="Alpha",B4082="Alpha"),$C$7,IF(C4082="Futures",$C$6,$C$5))),""),"")</f>
        <v/>
      </c>
      <c r="I4082" s="139">
        <f>IFERROR(IF(AND(ISNUMBER(F4082),ISNUMBER(H4082)),F4082-H4082,""),"")</f>
        <v/>
      </c>
      <c r="J4082" s="114" t="n"/>
      <c r="K4082" s="139">
        <f>IFERROR(IF(H4082&gt;0,H4082*IF(OR(C4082="Alpha",B4082="Alpha"),$C$9,$C$8),""),"")</f>
        <v/>
      </c>
      <c r="L4082" s="139">
        <f>IFERROR(IF(ISNUMBER(F4082),F4082-IF(ISNUMBER(K4082),K4082,0),""),"")</f>
        <v/>
      </c>
    </row>
    <row r="4083" ht="24" customHeight="1" s="63">
      <c r="E4083" s="139" t="n"/>
      <c r="F4083" s="139" t="n"/>
      <c r="G4083" s="140">
        <f>IFERROR(IF(E4083&gt;0,(F4083/E4083)*1000,""),"")</f>
        <v/>
      </c>
      <c r="H4083" s="139">
        <f>IFERROR(IF(E4083&gt;0,E4083*IF(ISNUMBER(J4083),J4083,IF(OR(C4083="Alpha",B4083="Alpha"),$C$7,IF(C4083="Futures",$C$6,$C$5))),""),"")</f>
        <v/>
      </c>
      <c r="I4083" s="139">
        <f>IFERROR(IF(AND(ISNUMBER(F4083),ISNUMBER(H4083)),F4083-H4083,""),"")</f>
        <v/>
      </c>
      <c r="J4083" s="114" t="n"/>
      <c r="K4083" s="139">
        <f>IFERROR(IF(H4083&gt;0,H4083*IF(OR(C4083="Alpha",B4083="Alpha"),$C$9,$C$8),""),"")</f>
        <v/>
      </c>
      <c r="L4083" s="139">
        <f>IFERROR(IF(ISNUMBER(F4083),F4083-IF(ISNUMBER(K4083),K4083,0),""),"")</f>
        <v/>
      </c>
    </row>
    <row r="4084" ht="24" customHeight="1" s="63">
      <c r="E4084" s="139" t="n"/>
      <c r="F4084" s="139" t="n"/>
      <c r="G4084" s="140">
        <f>IFERROR(IF(E4084&gt;0,(F4084/E4084)*1000,""),"")</f>
        <v/>
      </c>
      <c r="H4084" s="139">
        <f>IFERROR(IF(E4084&gt;0,E4084*IF(ISNUMBER(J4084),J4084,IF(OR(C4084="Alpha",B4084="Alpha"),$C$7,IF(C4084="Futures",$C$6,$C$5))),""),"")</f>
        <v/>
      </c>
      <c r="I4084" s="139">
        <f>IFERROR(IF(AND(ISNUMBER(F4084),ISNUMBER(H4084)),F4084-H4084,""),"")</f>
        <v/>
      </c>
      <c r="J4084" s="114" t="n"/>
      <c r="K4084" s="139">
        <f>IFERROR(IF(H4084&gt;0,H4084*IF(OR(C4084="Alpha",B4084="Alpha"),$C$9,$C$8),""),"")</f>
        <v/>
      </c>
      <c r="L4084" s="139">
        <f>IFERROR(IF(ISNUMBER(F4084),F4084-IF(ISNUMBER(K4084),K4084,0),""),"")</f>
        <v/>
      </c>
    </row>
    <row r="4085" ht="24" customHeight="1" s="63">
      <c r="E4085" s="139" t="n"/>
      <c r="F4085" s="139" t="n"/>
      <c r="G4085" s="140">
        <f>IFERROR(IF(E4085&gt;0,(F4085/E4085)*1000,""),"")</f>
        <v/>
      </c>
      <c r="H4085" s="139">
        <f>IFERROR(IF(E4085&gt;0,E4085*IF(ISNUMBER(J4085),J4085,IF(OR(C4085="Alpha",B4085="Alpha"),$C$7,IF(C4085="Futures",$C$6,$C$5))),""),"")</f>
        <v/>
      </c>
      <c r="I4085" s="139">
        <f>IFERROR(IF(AND(ISNUMBER(F4085),ISNUMBER(H4085)),F4085-H4085,""),"")</f>
        <v/>
      </c>
      <c r="J4085" s="114" t="n"/>
      <c r="K4085" s="139">
        <f>IFERROR(IF(H4085&gt;0,H4085*IF(OR(C4085="Alpha",B4085="Alpha"),$C$9,$C$8),""),"")</f>
        <v/>
      </c>
      <c r="L4085" s="139">
        <f>IFERROR(IF(ISNUMBER(F4085),F4085-IF(ISNUMBER(K4085),K4085,0),""),"")</f>
        <v/>
      </c>
    </row>
    <row r="4086" ht="24" customHeight="1" s="63">
      <c r="E4086" s="139" t="n"/>
      <c r="F4086" s="139" t="n"/>
      <c r="G4086" s="140">
        <f>IFERROR(IF(E4086&gt;0,(F4086/E4086)*1000,""),"")</f>
        <v/>
      </c>
      <c r="H4086" s="139">
        <f>IFERROR(IF(E4086&gt;0,E4086*IF(ISNUMBER(J4086),J4086,IF(OR(C4086="Alpha",B4086="Alpha"),$C$7,IF(C4086="Futures",$C$6,$C$5))),""),"")</f>
        <v/>
      </c>
      <c r="I4086" s="139">
        <f>IFERROR(IF(AND(ISNUMBER(F4086),ISNUMBER(H4086)),F4086-H4086,""),"")</f>
        <v/>
      </c>
      <c r="J4086" s="114" t="n"/>
      <c r="K4086" s="139">
        <f>IFERROR(IF(H4086&gt;0,H4086*IF(OR(C4086="Alpha",B4086="Alpha"),$C$9,$C$8),""),"")</f>
        <v/>
      </c>
      <c r="L4086" s="139">
        <f>IFERROR(IF(ISNUMBER(F4086),F4086-IF(ISNUMBER(K4086),K4086,0),""),"")</f>
        <v/>
      </c>
    </row>
    <row r="4087" ht="24" customHeight="1" s="63">
      <c r="E4087" s="139" t="n"/>
      <c r="F4087" s="139" t="n"/>
      <c r="G4087" s="140">
        <f>IFERROR(IF(E4087&gt;0,(F4087/E4087)*1000,""),"")</f>
        <v/>
      </c>
      <c r="H4087" s="139">
        <f>IFERROR(IF(E4087&gt;0,E4087*IF(ISNUMBER(J4087),J4087,IF(OR(C4087="Alpha",B4087="Alpha"),$C$7,IF(C4087="Futures",$C$6,$C$5))),""),"")</f>
        <v/>
      </c>
      <c r="I4087" s="139">
        <f>IFERROR(IF(AND(ISNUMBER(F4087),ISNUMBER(H4087)),F4087-H4087,""),"")</f>
        <v/>
      </c>
      <c r="J4087" s="114" t="n"/>
      <c r="K4087" s="139">
        <f>IFERROR(IF(H4087&gt;0,H4087*IF(OR(C4087="Alpha",B4087="Alpha"),$C$9,$C$8),""),"")</f>
        <v/>
      </c>
      <c r="L4087" s="139">
        <f>IFERROR(IF(ISNUMBER(F4087),F4087-IF(ISNUMBER(K4087),K4087,0),""),"")</f>
        <v/>
      </c>
    </row>
    <row r="4088" ht="24" customHeight="1" s="63">
      <c r="E4088" s="139" t="n"/>
      <c r="F4088" s="139" t="n"/>
      <c r="G4088" s="140">
        <f>IFERROR(IF(E4088&gt;0,(F4088/E4088)*1000,""),"")</f>
        <v/>
      </c>
      <c r="H4088" s="139">
        <f>IFERROR(IF(E4088&gt;0,E4088*IF(ISNUMBER(J4088),J4088,IF(OR(C4088="Alpha",B4088="Alpha"),$C$7,IF(C4088="Futures",$C$6,$C$5))),""),"")</f>
        <v/>
      </c>
      <c r="I4088" s="139">
        <f>IFERROR(IF(AND(ISNUMBER(F4088),ISNUMBER(H4088)),F4088-H4088,""),"")</f>
        <v/>
      </c>
      <c r="J4088" s="114" t="n"/>
      <c r="K4088" s="139">
        <f>IFERROR(IF(H4088&gt;0,H4088*IF(OR(C4088="Alpha",B4088="Alpha"),$C$9,$C$8),""),"")</f>
        <v/>
      </c>
      <c r="L4088" s="139">
        <f>IFERROR(IF(ISNUMBER(F4088),F4088-IF(ISNUMBER(K4088),K4088,0),""),"")</f>
        <v/>
      </c>
    </row>
    <row r="4089" ht="24" customHeight="1" s="63">
      <c r="E4089" s="139" t="n"/>
      <c r="F4089" s="139" t="n"/>
      <c r="G4089" s="140">
        <f>IFERROR(IF(E4089&gt;0,(F4089/E4089)*1000,""),"")</f>
        <v/>
      </c>
      <c r="H4089" s="139">
        <f>IFERROR(IF(E4089&gt;0,E4089*IF(ISNUMBER(J4089),J4089,IF(OR(C4089="Alpha",B4089="Alpha"),$C$7,IF(C4089="Futures",$C$6,$C$5))),""),"")</f>
        <v/>
      </c>
      <c r="I4089" s="139">
        <f>IFERROR(IF(AND(ISNUMBER(F4089),ISNUMBER(H4089)),F4089-H4089,""),"")</f>
        <v/>
      </c>
      <c r="J4089" s="114" t="n"/>
      <c r="K4089" s="139">
        <f>IFERROR(IF(H4089&gt;0,H4089*IF(OR(C4089="Alpha",B4089="Alpha"),$C$9,$C$8),""),"")</f>
        <v/>
      </c>
      <c r="L4089" s="139">
        <f>IFERROR(IF(ISNUMBER(F4089),F4089-IF(ISNUMBER(K4089),K4089,0),""),"")</f>
        <v/>
      </c>
    </row>
    <row r="4090" ht="24" customHeight="1" s="63">
      <c r="E4090" s="139" t="n"/>
      <c r="F4090" s="139" t="n"/>
      <c r="G4090" s="140">
        <f>IFERROR(IF(E4090&gt;0,(F4090/E4090)*1000,""),"")</f>
        <v/>
      </c>
      <c r="H4090" s="139">
        <f>IFERROR(IF(E4090&gt;0,E4090*IF(ISNUMBER(J4090),J4090,IF(OR(C4090="Alpha",B4090="Alpha"),$C$7,IF(C4090="Futures",$C$6,$C$5))),""),"")</f>
        <v/>
      </c>
      <c r="I4090" s="139">
        <f>IFERROR(IF(AND(ISNUMBER(F4090),ISNUMBER(H4090)),F4090-H4090,""),"")</f>
        <v/>
      </c>
      <c r="J4090" s="114" t="n"/>
      <c r="K4090" s="139">
        <f>IFERROR(IF(H4090&gt;0,H4090*IF(OR(C4090="Alpha",B4090="Alpha"),$C$9,$C$8),""),"")</f>
        <v/>
      </c>
      <c r="L4090" s="139">
        <f>IFERROR(IF(ISNUMBER(F4090),F4090-IF(ISNUMBER(K4090),K4090,0),""),"")</f>
        <v/>
      </c>
    </row>
    <row r="4091" ht="24" customHeight="1" s="63">
      <c r="E4091" s="139" t="n"/>
      <c r="F4091" s="139" t="n"/>
      <c r="G4091" s="140">
        <f>IFERROR(IF(E4091&gt;0,(F4091/E4091)*1000,""),"")</f>
        <v/>
      </c>
      <c r="H4091" s="139">
        <f>IFERROR(IF(E4091&gt;0,E4091*IF(ISNUMBER(J4091),J4091,IF(OR(C4091="Alpha",B4091="Alpha"),$C$7,IF(C4091="Futures",$C$6,$C$5))),""),"")</f>
        <v/>
      </c>
      <c r="I4091" s="139">
        <f>IFERROR(IF(AND(ISNUMBER(F4091),ISNUMBER(H4091)),F4091-H4091,""),"")</f>
        <v/>
      </c>
      <c r="J4091" s="114" t="n"/>
      <c r="K4091" s="139">
        <f>IFERROR(IF(H4091&gt;0,H4091*IF(OR(C4091="Alpha",B4091="Alpha"),$C$9,$C$8),""),"")</f>
        <v/>
      </c>
      <c r="L4091" s="139">
        <f>IFERROR(IF(ISNUMBER(F4091),F4091-IF(ISNUMBER(K4091),K4091,0),""),"")</f>
        <v/>
      </c>
    </row>
    <row r="4092" ht="24" customHeight="1" s="63">
      <c r="E4092" s="139" t="n"/>
      <c r="F4092" s="139" t="n"/>
      <c r="G4092" s="140">
        <f>IFERROR(IF(E4092&gt;0,(F4092/E4092)*1000,""),"")</f>
        <v/>
      </c>
      <c r="H4092" s="139">
        <f>IFERROR(IF(E4092&gt;0,E4092*IF(ISNUMBER(J4092),J4092,IF(OR(C4092="Alpha",B4092="Alpha"),$C$7,IF(C4092="Futures",$C$6,$C$5))),""),"")</f>
        <v/>
      </c>
      <c r="I4092" s="139">
        <f>IFERROR(IF(AND(ISNUMBER(F4092),ISNUMBER(H4092)),F4092-H4092,""),"")</f>
        <v/>
      </c>
      <c r="J4092" s="114" t="n"/>
      <c r="K4092" s="139">
        <f>IFERROR(IF(H4092&gt;0,H4092*IF(OR(C4092="Alpha",B4092="Alpha"),$C$9,$C$8),""),"")</f>
        <v/>
      </c>
      <c r="L4092" s="139">
        <f>IFERROR(IF(ISNUMBER(F4092),F4092-IF(ISNUMBER(K4092),K4092,0),""),"")</f>
        <v/>
      </c>
    </row>
    <row r="4093" ht="24" customHeight="1" s="63">
      <c r="E4093" s="139" t="n"/>
      <c r="F4093" s="139" t="n"/>
      <c r="G4093" s="140">
        <f>IFERROR(IF(E4093&gt;0,(F4093/E4093)*1000,""),"")</f>
        <v/>
      </c>
      <c r="H4093" s="139">
        <f>IFERROR(IF(E4093&gt;0,E4093*IF(ISNUMBER(J4093),J4093,IF(OR(C4093="Alpha",B4093="Alpha"),$C$7,IF(C4093="Futures",$C$6,$C$5))),""),"")</f>
        <v/>
      </c>
      <c r="I4093" s="139">
        <f>IFERROR(IF(AND(ISNUMBER(F4093),ISNUMBER(H4093)),F4093-H4093,""),"")</f>
        <v/>
      </c>
      <c r="J4093" s="114" t="n"/>
      <c r="K4093" s="139">
        <f>IFERROR(IF(H4093&gt;0,H4093*IF(OR(C4093="Alpha",B4093="Alpha"),$C$9,$C$8),""),"")</f>
        <v/>
      </c>
      <c r="L4093" s="139">
        <f>IFERROR(IF(ISNUMBER(F4093),F4093-IF(ISNUMBER(K4093),K4093,0),""),"")</f>
        <v/>
      </c>
    </row>
    <row r="4094" ht="24" customHeight="1" s="63">
      <c r="E4094" s="139" t="n"/>
      <c r="F4094" s="139" t="n"/>
      <c r="G4094" s="140">
        <f>IFERROR(IF(E4094&gt;0,(F4094/E4094)*1000,""),"")</f>
        <v/>
      </c>
      <c r="H4094" s="139">
        <f>IFERROR(IF(E4094&gt;0,E4094*IF(ISNUMBER(J4094),J4094,IF(OR(C4094="Alpha",B4094="Alpha"),$C$7,IF(C4094="Futures",$C$6,$C$5))),""),"")</f>
        <v/>
      </c>
      <c r="I4094" s="139">
        <f>IFERROR(IF(AND(ISNUMBER(F4094),ISNUMBER(H4094)),F4094-H4094,""),"")</f>
        <v/>
      </c>
      <c r="J4094" s="114" t="n"/>
      <c r="K4094" s="139">
        <f>IFERROR(IF(H4094&gt;0,H4094*IF(OR(C4094="Alpha",B4094="Alpha"),$C$9,$C$8),""),"")</f>
        <v/>
      </c>
      <c r="L4094" s="139">
        <f>IFERROR(IF(ISNUMBER(F4094),F4094-IF(ISNUMBER(K4094),K4094,0),""),"")</f>
        <v/>
      </c>
    </row>
    <row r="4095" ht="24" customHeight="1" s="63">
      <c r="E4095" s="139" t="n"/>
      <c r="F4095" s="139" t="n"/>
      <c r="G4095" s="140">
        <f>IFERROR(IF(E4095&gt;0,(F4095/E4095)*1000,""),"")</f>
        <v/>
      </c>
      <c r="H4095" s="139">
        <f>IFERROR(IF(E4095&gt;0,E4095*IF(ISNUMBER(J4095),J4095,IF(OR(C4095="Alpha",B4095="Alpha"),$C$7,IF(C4095="Futures",$C$6,$C$5))),""),"")</f>
        <v/>
      </c>
      <c r="I4095" s="139">
        <f>IFERROR(IF(AND(ISNUMBER(F4095),ISNUMBER(H4095)),F4095-H4095,""),"")</f>
        <v/>
      </c>
      <c r="J4095" s="114" t="n"/>
      <c r="K4095" s="139">
        <f>IFERROR(IF(H4095&gt;0,H4095*IF(OR(C4095="Alpha",B4095="Alpha"),$C$9,$C$8),""),"")</f>
        <v/>
      </c>
      <c r="L4095" s="139">
        <f>IFERROR(IF(ISNUMBER(F4095),F4095-IF(ISNUMBER(K4095),K4095,0),""),"")</f>
        <v/>
      </c>
    </row>
    <row r="4096" ht="24" customHeight="1" s="63">
      <c r="E4096" s="139" t="n"/>
      <c r="F4096" s="139" t="n"/>
      <c r="G4096" s="140">
        <f>IFERROR(IF(E4096&gt;0,(F4096/E4096)*1000,""),"")</f>
        <v/>
      </c>
      <c r="H4096" s="139">
        <f>IFERROR(IF(E4096&gt;0,E4096*IF(ISNUMBER(J4096),J4096,IF(OR(C4096="Alpha",B4096="Alpha"),$C$7,IF(C4096="Futures",$C$6,$C$5))),""),"")</f>
        <v/>
      </c>
      <c r="I4096" s="139">
        <f>IFERROR(IF(AND(ISNUMBER(F4096),ISNUMBER(H4096)),F4096-H4096,""),"")</f>
        <v/>
      </c>
      <c r="J4096" s="114" t="n"/>
      <c r="K4096" s="139">
        <f>IFERROR(IF(H4096&gt;0,H4096*IF(OR(C4096="Alpha",B4096="Alpha"),$C$9,$C$8),""),"")</f>
        <v/>
      </c>
      <c r="L4096" s="139">
        <f>IFERROR(IF(ISNUMBER(F4096),F4096-IF(ISNUMBER(K4096),K4096,0),""),"")</f>
        <v/>
      </c>
    </row>
    <row r="4097" ht="24" customHeight="1" s="63">
      <c r="E4097" s="139" t="n"/>
      <c r="F4097" s="139" t="n"/>
      <c r="G4097" s="140">
        <f>IFERROR(IF(E4097&gt;0,(F4097/E4097)*1000,""),"")</f>
        <v/>
      </c>
      <c r="H4097" s="139">
        <f>IFERROR(IF(E4097&gt;0,E4097*IF(ISNUMBER(J4097),J4097,IF(OR(C4097="Alpha",B4097="Alpha"),$C$7,IF(C4097="Futures",$C$6,$C$5))),""),"")</f>
        <v/>
      </c>
      <c r="I4097" s="139">
        <f>IFERROR(IF(AND(ISNUMBER(F4097),ISNUMBER(H4097)),F4097-H4097,""),"")</f>
        <v/>
      </c>
      <c r="J4097" s="114" t="n"/>
      <c r="K4097" s="139">
        <f>IFERROR(IF(H4097&gt;0,H4097*IF(OR(C4097="Alpha",B4097="Alpha"),$C$9,$C$8),""),"")</f>
        <v/>
      </c>
      <c r="L4097" s="139">
        <f>IFERROR(IF(ISNUMBER(F4097),F4097-IF(ISNUMBER(K4097),K4097,0),""),"")</f>
        <v/>
      </c>
    </row>
    <row r="4098" ht="24" customHeight="1" s="63">
      <c r="E4098" s="139" t="n"/>
      <c r="F4098" s="139" t="n"/>
      <c r="G4098" s="140">
        <f>IFERROR(IF(E4098&gt;0,(F4098/E4098)*1000,""),"")</f>
        <v/>
      </c>
      <c r="H4098" s="139">
        <f>IFERROR(IF(E4098&gt;0,E4098*IF(ISNUMBER(J4098),J4098,IF(OR(C4098="Alpha",B4098="Alpha"),$C$7,IF(C4098="Futures",$C$6,$C$5))),""),"")</f>
        <v/>
      </c>
      <c r="I4098" s="139">
        <f>IFERROR(IF(AND(ISNUMBER(F4098),ISNUMBER(H4098)),F4098-H4098,""),"")</f>
        <v/>
      </c>
      <c r="J4098" s="114" t="n"/>
      <c r="K4098" s="139">
        <f>IFERROR(IF(H4098&gt;0,H4098*IF(OR(C4098="Alpha",B4098="Alpha"),$C$9,$C$8),""),"")</f>
        <v/>
      </c>
      <c r="L4098" s="139">
        <f>IFERROR(IF(ISNUMBER(F4098),F4098-IF(ISNUMBER(K4098),K4098,0),""),"")</f>
        <v/>
      </c>
    </row>
    <row r="4099" ht="24" customHeight="1" s="63">
      <c r="E4099" s="139" t="n"/>
      <c r="F4099" s="139" t="n"/>
      <c r="G4099" s="140">
        <f>IFERROR(IF(E4099&gt;0,(F4099/E4099)*1000,""),"")</f>
        <v/>
      </c>
      <c r="H4099" s="139">
        <f>IFERROR(IF(E4099&gt;0,E4099*IF(ISNUMBER(J4099),J4099,IF(OR(C4099="Alpha",B4099="Alpha"),$C$7,IF(C4099="Futures",$C$6,$C$5))),""),"")</f>
        <v/>
      </c>
      <c r="I4099" s="139">
        <f>IFERROR(IF(AND(ISNUMBER(F4099),ISNUMBER(H4099)),F4099-H4099,""),"")</f>
        <v/>
      </c>
      <c r="J4099" s="114" t="n"/>
      <c r="K4099" s="139">
        <f>IFERROR(IF(H4099&gt;0,H4099*IF(OR(C4099="Alpha",B4099="Alpha"),$C$9,$C$8),""),"")</f>
        <v/>
      </c>
      <c r="L4099" s="139">
        <f>IFERROR(IF(ISNUMBER(F4099),F4099-IF(ISNUMBER(K4099),K4099,0),""),"")</f>
        <v/>
      </c>
    </row>
    <row r="4100" ht="24" customHeight="1" s="63">
      <c r="E4100" s="139" t="n"/>
      <c r="F4100" s="139" t="n"/>
      <c r="G4100" s="140">
        <f>IFERROR(IF(E4100&gt;0,(F4100/E4100)*1000,""),"")</f>
        <v/>
      </c>
      <c r="H4100" s="139">
        <f>IFERROR(IF(E4100&gt;0,E4100*IF(ISNUMBER(J4100),J4100,IF(OR(C4100="Alpha",B4100="Alpha"),$C$7,IF(C4100="Futures",$C$6,$C$5))),""),"")</f>
        <v/>
      </c>
      <c r="I4100" s="139">
        <f>IFERROR(IF(AND(ISNUMBER(F4100),ISNUMBER(H4100)),F4100-H4100,""),"")</f>
        <v/>
      </c>
      <c r="J4100" s="114" t="n"/>
      <c r="K4100" s="139">
        <f>IFERROR(IF(H4100&gt;0,H4100*IF(OR(C4100="Alpha",B4100="Alpha"),$C$9,$C$8),""),"")</f>
        <v/>
      </c>
      <c r="L4100" s="139">
        <f>IFERROR(IF(ISNUMBER(F4100),F4100-IF(ISNUMBER(K4100),K4100,0),""),"")</f>
        <v/>
      </c>
    </row>
    <row r="4101" ht="24" customHeight="1" s="63">
      <c r="E4101" s="139" t="n"/>
      <c r="F4101" s="139" t="n"/>
      <c r="G4101" s="140">
        <f>IFERROR(IF(E4101&gt;0,(F4101/E4101)*1000,""),"")</f>
        <v/>
      </c>
      <c r="H4101" s="139">
        <f>IFERROR(IF(E4101&gt;0,E4101*IF(ISNUMBER(J4101),J4101,IF(OR(C4101="Alpha",B4101="Alpha"),$C$7,IF(C4101="Futures",$C$6,$C$5))),""),"")</f>
        <v/>
      </c>
      <c r="I4101" s="139">
        <f>IFERROR(IF(AND(ISNUMBER(F4101),ISNUMBER(H4101)),F4101-H4101,""),"")</f>
        <v/>
      </c>
      <c r="J4101" s="114" t="n"/>
      <c r="K4101" s="139">
        <f>IFERROR(IF(H4101&gt;0,H4101*IF(OR(C4101="Alpha",B4101="Alpha"),$C$9,$C$8),""),"")</f>
        <v/>
      </c>
      <c r="L4101" s="139">
        <f>IFERROR(IF(ISNUMBER(F4101),F4101-IF(ISNUMBER(K4101),K4101,0),""),"")</f>
        <v/>
      </c>
    </row>
    <row r="4102" ht="24" customHeight="1" s="63">
      <c r="E4102" s="139" t="n"/>
      <c r="F4102" s="139" t="n"/>
      <c r="G4102" s="140">
        <f>IFERROR(IF(E4102&gt;0,(F4102/E4102)*1000,""),"")</f>
        <v/>
      </c>
      <c r="H4102" s="139">
        <f>IFERROR(IF(E4102&gt;0,E4102*IF(ISNUMBER(J4102),J4102,IF(OR(C4102="Alpha",B4102="Alpha"),$C$7,IF(C4102="Futures",$C$6,$C$5))),""),"")</f>
        <v/>
      </c>
      <c r="I4102" s="139">
        <f>IFERROR(IF(AND(ISNUMBER(F4102),ISNUMBER(H4102)),F4102-H4102,""),"")</f>
        <v/>
      </c>
      <c r="J4102" s="114" t="n"/>
      <c r="K4102" s="139">
        <f>IFERROR(IF(H4102&gt;0,H4102*IF(OR(C4102="Alpha",B4102="Alpha"),$C$9,$C$8),""),"")</f>
        <v/>
      </c>
      <c r="L4102" s="139">
        <f>IFERROR(IF(ISNUMBER(F4102),F4102-IF(ISNUMBER(K4102),K4102,0),""),"")</f>
        <v/>
      </c>
    </row>
    <row r="4103" ht="24" customHeight="1" s="63">
      <c r="E4103" s="139" t="n"/>
      <c r="F4103" s="139" t="n"/>
      <c r="G4103" s="140">
        <f>IFERROR(IF(E4103&gt;0,(F4103/E4103)*1000,""),"")</f>
        <v/>
      </c>
      <c r="H4103" s="139">
        <f>IFERROR(IF(E4103&gt;0,E4103*IF(ISNUMBER(J4103),J4103,IF(OR(C4103="Alpha",B4103="Alpha"),$C$7,IF(C4103="Futures",$C$6,$C$5))),""),"")</f>
        <v/>
      </c>
      <c r="I4103" s="139">
        <f>IFERROR(IF(AND(ISNUMBER(F4103),ISNUMBER(H4103)),F4103-H4103,""),"")</f>
        <v/>
      </c>
      <c r="J4103" s="114" t="n"/>
      <c r="K4103" s="139">
        <f>IFERROR(IF(H4103&gt;0,H4103*IF(OR(C4103="Alpha",B4103="Alpha"),$C$9,$C$8),""),"")</f>
        <v/>
      </c>
      <c r="L4103" s="139">
        <f>IFERROR(IF(ISNUMBER(F4103),F4103-IF(ISNUMBER(K4103),K4103,0),""),"")</f>
        <v/>
      </c>
    </row>
    <row r="4104" ht="24" customHeight="1" s="63">
      <c r="E4104" s="139" t="n"/>
      <c r="F4104" s="139" t="n"/>
      <c r="G4104" s="140">
        <f>IFERROR(IF(E4104&gt;0,(F4104/E4104)*1000,""),"")</f>
        <v/>
      </c>
      <c r="H4104" s="139">
        <f>IFERROR(IF(E4104&gt;0,E4104*IF(ISNUMBER(J4104),J4104,IF(OR(C4104="Alpha",B4104="Alpha"),$C$7,IF(C4104="Futures",$C$6,$C$5))),""),"")</f>
        <v/>
      </c>
      <c r="I4104" s="139">
        <f>IFERROR(IF(AND(ISNUMBER(F4104),ISNUMBER(H4104)),F4104-H4104,""),"")</f>
        <v/>
      </c>
      <c r="J4104" s="114" t="n"/>
      <c r="K4104" s="139">
        <f>IFERROR(IF(H4104&gt;0,H4104*IF(OR(C4104="Alpha",B4104="Alpha"),$C$9,$C$8),""),"")</f>
        <v/>
      </c>
      <c r="L4104" s="139">
        <f>IFERROR(IF(ISNUMBER(F4104),F4104-IF(ISNUMBER(K4104),K4104,0),""),"")</f>
        <v/>
      </c>
    </row>
    <row r="4105" ht="24" customHeight="1" s="63">
      <c r="E4105" s="139" t="n"/>
      <c r="F4105" s="139" t="n"/>
      <c r="G4105" s="140">
        <f>IFERROR(IF(E4105&gt;0,(F4105/E4105)*1000,""),"")</f>
        <v/>
      </c>
      <c r="H4105" s="139">
        <f>IFERROR(IF(E4105&gt;0,E4105*IF(ISNUMBER(J4105),J4105,IF(OR(C4105="Alpha",B4105="Alpha"),$C$7,IF(C4105="Futures",$C$6,$C$5))),""),"")</f>
        <v/>
      </c>
      <c r="I4105" s="139">
        <f>IFERROR(IF(AND(ISNUMBER(F4105),ISNUMBER(H4105)),F4105-H4105,""),"")</f>
        <v/>
      </c>
      <c r="J4105" s="114" t="n"/>
      <c r="K4105" s="139">
        <f>IFERROR(IF(H4105&gt;0,H4105*IF(OR(C4105="Alpha",B4105="Alpha"),$C$9,$C$8),""),"")</f>
        <v/>
      </c>
      <c r="L4105" s="139">
        <f>IFERROR(IF(ISNUMBER(F4105),F4105-IF(ISNUMBER(K4105),K4105,0),""),"")</f>
        <v/>
      </c>
    </row>
    <row r="4106" ht="24" customHeight="1" s="63">
      <c r="E4106" s="139" t="n"/>
      <c r="F4106" s="139" t="n"/>
      <c r="G4106" s="140">
        <f>IFERROR(IF(E4106&gt;0,(F4106/E4106)*1000,""),"")</f>
        <v/>
      </c>
      <c r="H4106" s="139">
        <f>IFERROR(IF(E4106&gt;0,E4106*IF(ISNUMBER(J4106),J4106,IF(OR(C4106="Alpha",B4106="Alpha"),$C$7,IF(C4106="Futures",$C$6,$C$5))),""),"")</f>
        <v/>
      </c>
      <c r="I4106" s="139">
        <f>IFERROR(IF(AND(ISNUMBER(F4106),ISNUMBER(H4106)),F4106-H4106,""),"")</f>
        <v/>
      </c>
      <c r="J4106" s="114" t="n"/>
      <c r="K4106" s="139">
        <f>IFERROR(IF(H4106&gt;0,H4106*IF(OR(C4106="Alpha",B4106="Alpha"),$C$9,$C$8),""),"")</f>
        <v/>
      </c>
      <c r="L4106" s="139">
        <f>IFERROR(IF(ISNUMBER(F4106),F4106-IF(ISNUMBER(K4106),K4106,0),""),"")</f>
        <v/>
      </c>
    </row>
    <row r="4107" ht="24" customHeight="1" s="63">
      <c r="E4107" s="139" t="n"/>
      <c r="F4107" s="139" t="n"/>
      <c r="G4107" s="140">
        <f>IFERROR(IF(E4107&gt;0,(F4107/E4107)*1000,""),"")</f>
        <v/>
      </c>
      <c r="H4107" s="139">
        <f>IFERROR(IF(E4107&gt;0,E4107*IF(ISNUMBER(J4107),J4107,IF(OR(C4107="Alpha",B4107="Alpha"),$C$7,IF(C4107="Futures",$C$6,$C$5))),""),"")</f>
        <v/>
      </c>
      <c r="I4107" s="139">
        <f>IFERROR(IF(AND(ISNUMBER(F4107),ISNUMBER(H4107)),F4107-H4107,""),"")</f>
        <v/>
      </c>
      <c r="J4107" s="114" t="n"/>
      <c r="K4107" s="139">
        <f>IFERROR(IF(H4107&gt;0,H4107*IF(OR(C4107="Alpha",B4107="Alpha"),$C$9,$C$8),""),"")</f>
        <v/>
      </c>
      <c r="L4107" s="139">
        <f>IFERROR(IF(ISNUMBER(F4107),F4107-IF(ISNUMBER(K4107),K4107,0),""),"")</f>
        <v/>
      </c>
    </row>
    <row r="4108" ht="24" customHeight="1" s="63">
      <c r="E4108" s="139" t="n"/>
      <c r="F4108" s="139" t="n"/>
      <c r="G4108" s="140">
        <f>IFERROR(IF(E4108&gt;0,(F4108/E4108)*1000,""),"")</f>
        <v/>
      </c>
      <c r="H4108" s="139">
        <f>IFERROR(IF(E4108&gt;0,E4108*IF(ISNUMBER(J4108),J4108,IF(OR(C4108="Alpha",B4108="Alpha"),$C$7,IF(C4108="Futures",$C$6,$C$5))),""),"")</f>
        <v/>
      </c>
      <c r="I4108" s="139">
        <f>IFERROR(IF(AND(ISNUMBER(F4108),ISNUMBER(H4108)),F4108-H4108,""),"")</f>
        <v/>
      </c>
      <c r="J4108" s="114" t="n"/>
      <c r="K4108" s="139">
        <f>IFERROR(IF(H4108&gt;0,H4108*IF(OR(C4108="Alpha",B4108="Alpha"),$C$9,$C$8),""),"")</f>
        <v/>
      </c>
      <c r="L4108" s="139">
        <f>IFERROR(IF(ISNUMBER(F4108),F4108-IF(ISNUMBER(K4108),K4108,0),""),"")</f>
        <v/>
      </c>
    </row>
    <row r="4109" ht="24" customHeight="1" s="63">
      <c r="E4109" s="139" t="n"/>
      <c r="F4109" s="139" t="n"/>
      <c r="G4109" s="140">
        <f>IFERROR(IF(E4109&gt;0,(F4109/E4109)*1000,""),"")</f>
        <v/>
      </c>
      <c r="H4109" s="139">
        <f>IFERROR(IF(E4109&gt;0,E4109*IF(ISNUMBER(J4109),J4109,IF(OR(C4109="Alpha",B4109="Alpha"),$C$7,IF(C4109="Futures",$C$6,$C$5))),""),"")</f>
        <v/>
      </c>
      <c r="I4109" s="139">
        <f>IFERROR(IF(AND(ISNUMBER(F4109),ISNUMBER(H4109)),F4109-H4109,""),"")</f>
        <v/>
      </c>
      <c r="J4109" s="114" t="n"/>
      <c r="K4109" s="139">
        <f>IFERROR(IF(H4109&gt;0,H4109*IF(OR(C4109="Alpha",B4109="Alpha"),$C$9,$C$8),""),"")</f>
        <v/>
      </c>
      <c r="L4109" s="139">
        <f>IFERROR(IF(ISNUMBER(F4109),F4109-IF(ISNUMBER(K4109),K4109,0),""),"")</f>
        <v/>
      </c>
    </row>
    <row r="4110" ht="24" customHeight="1" s="63">
      <c r="E4110" s="139" t="n"/>
      <c r="F4110" s="139" t="n"/>
      <c r="G4110" s="140">
        <f>IFERROR(IF(E4110&gt;0,(F4110/E4110)*1000,""),"")</f>
        <v/>
      </c>
      <c r="H4110" s="139">
        <f>IFERROR(IF(E4110&gt;0,E4110*IF(ISNUMBER(J4110),J4110,IF(OR(C4110="Alpha",B4110="Alpha"),$C$7,IF(C4110="Futures",$C$6,$C$5))),""),"")</f>
        <v/>
      </c>
      <c r="I4110" s="139">
        <f>IFERROR(IF(AND(ISNUMBER(F4110),ISNUMBER(H4110)),F4110-H4110,""),"")</f>
        <v/>
      </c>
      <c r="J4110" s="114" t="n"/>
      <c r="K4110" s="139">
        <f>IFERROR(IF(H4110&gt;0,H4110*IF(OR(C4110="Alpha",B4110="Alpha"),$C$9,$C$8),""),"")</f>
        <v/>
      </c>
      <c r="L4110" s="139">
        <f>IFERROR(IF(ISNUMBER(F4110),F4110-IF(ISNUMBER(K4110),K4110,0),""),"")</f>
        <v/>
      </c>
    </row>
    <row r="4111" ht="24" customHeight="1" s="63">
      <c r="E4111" s="139" t="n"/>
      <c r="F4111" s="139" t="n"/>
      <c r="G4111" s="140">
        <f>IFERROR(IF(E4111&gt;0,(F4111/E4111)*1000,""),"")</f>
        <v/>
      </c>
      <c r="H4111" s="139">
        <f>IFERROR(IF(E4111&gt;0,E4111*IF(ISNUMBER(J4111),J4111,IF(OR(C4111="Alpha",B4111="Alpha"),$C$7,IF(C4111="Futures",$C$6,$C$5))),""),"")</f>
        <v/>
      </c>
      <c r="I4111" s="139">
        <f>IFERROR(IF(AND(ISNUMBER(F4111),ISNUMBER(H4111)),F4111-H4111,""),"")</f>
        <v/>
      </c>
      <c r="J4111" s="114" t="n"/>
      <c r="K4111" s="139">
        <f>IFERROR(IF(H4111&gt;0,H4111*IF(OR(C4111="Alpha",B4111="Alpha"),$C$9,$C$8),""),"")</f>
        <v/>
      </c>
      <c r="L4111" s="139">
        <f>IFERROR(IF(ISNUMBER(F4111),F4111-IF(ISNUMBER(K4111),K4111,0),""),"")</f>
        <v/>
      </c>
    </row>
    <row r="4112" ht="24" customHeight="1" s="63">
      <c r="E4112" s="139" t="n"/>
      <c r="F4112" s="139" t="n"/>
      <c r="G4112" s="140">
        <f>IFERROR(IF(E4112&gt;0,(F4112/E4112)*1000,""),"")</f>
        <v/>
      </c>
      <c r="H4112" s="139">
        <f>IFERROR(IF(E4112&gt;0,E4112*IF(ISNUMBER(J4112),J4112,IF(OR(C4112="Alpha",B4112="Alpha"),$C$7,IF(C4112="Futures",$C$6,$C$5))),""),"")</f>
        <v/>
      </c>
      <c r="I4112" s="139">
        <f>IFERROR(IF(AND(ISNUMBER(F4112),ISNUMBER(H4112)),F4112-H4112,""),"")</f>
        <v/>
      </c>
      <c r="J4112" s="114" t="n"/>
      <c r="K4112" s="139">
        <f>IFERROR(IF(H4112&gt;0,H4112*IF(OR(C4112="Alpha",B4112="Alpha"),$C$9,$C$8),""),"")</f>
        <v/>
      </c>
      <c r="L4112" s="139">
        <f>IFERROR(IF(ISNUMBER(F4112),F4112-IF(ISNUMBER(K4112),K4112,0),""),"")</f>
        <v/>
      </c>
    </row>
    <row r="4113" ht="24" customHeight="1" s="63">
      <c r="E4113" s="139" t="n"/>
      <c r="F4113" s="139" t="n"/>
      <c r="G4113" s="140">
        <f>IFERROR(IF(E4113&gt;0,(F4113/E4113)*1000,""),"")</f>
        <v/>
      </c>
      <c r="H4113" s="139">
        <f>IFERROR(IF(E4113&gt;0,E4113*IF(ISNUMBER(J4113),J4113,IF(OR(C4113="Alpha",B4113="Alpha"),$C$7,IF(C4113="Futures",$C$6,$C$5))),""),"")</f>
        <v/>
      </c>
      <c r="I4113" s="139">
        <f>IFERROR(IF(AND(ISNUMBER(F4113),ISNUMBER(H4113)),F4113-H4113,""),"")</f>
        <v/>
      </c>
      <c r="J4113" s="114" t="n"/>
      <c r="K4113" s="139">
        <f>IFERROR(IF(H4113&gt;0,H4113*IF(OR(C4113="Alpha",B4113="Alpha"),$C$9,$C$8),""),"")</f>
        <v/>
      </c>
      <c r="L4113" s="139">
        <f>IFERROR(IF(ISNUMBER(F4113),F4113-IF(ISNUMBER(K4113),K4113,0),""),"")</f>
        <v/>
      </c>
    </row>
    <row r="4114" ht="24" customHeight="1" s="63">
      <c r="E4114" s="139" t="n"/>
      <c r="F4114" s="139" t="n"/>
      <c r="G4114" s="140">
        <f>IFERROR(IF(E4114&gt;0,(F4114/E4114)*1000,""),"")</f>
        <v/>
      </c>
      <c r="H4114" s="139">
        <f>IFERROR(IF(E4114&gt;0,E4114*IF(ISNUMBER(J4114),J4114,IF(OR(C4114="Alpha",B4114="Alpha"),$C$7,IF(C4114="Futures",$C$6,$C$5))),""),"")</f>
        <v/>
      </c>
      <c r="I4114" s="139">
        <f>IFERROR(IF(AND(ISNUMBER(F4114),ISNUMBER(H4114)),F4114-H4114,""),"")</f>
        <v/>
      </c>
      <c r="J4114" s="114" t="n"/>
      <c r="K4114" s="139">
        <f>IFERROR(IF(H4114&gt;0,H4114*IF(OR(C4114="Alpha",B4114="Alpha"),$C$9,$C$8),""),"")</f>
        <v/>
      </c>
      <c r="L4114" s="139">
        <f>IFERROR(IF(ISNUMBER(F4114),F4114-IF(ISNUMBER(K4114),K4114,0),""),"")</f>
        <v/>
      </c>
    </row>
    <row r="4115" ht="24" customHeight="1" s="63">
      <c r="E4115" s="139" t="n"/>
      <c r="F4115" s="139" t="n"/>
      <c r="G4115" s="140">
        <f>IFERROR(IF(E4115&gt;0,(F4115/E4115)*1000,""),"")</f>
        <v/>
      </c>
      <c r="H4115" s="139">
        <f>IFERROR(IF(E4115&gt;0,E4115*IF(ISNUMBER(J4115),J4115,IF(OR(C4115="Alpha",B4115="Alpha"),$C$7,IF(C4115="Futures",$C$6,$C$5))),""),"")</f>
        <v/>
      </c>
      <c r="I4115" s="139">
        <f>IFERROR(IF(AND(ISNUMBER(F4115),ISNUMBER(H4115)),F4115-H4115,""),"")</f>
        <v/>
      </c>
      <c r="J4115" s="114" t="n"/>
      <c r="K4115" s="139">
        <f>IFERROR(IF(H4115&gt;0,H4115*IF(OR(C4115="Alpha",B4115="Alpha"),$C$9,$C$8),""),"")</f>
        <v/>
      </c>
      <c r="L4115" s="139">
        <f>IFERROR(IF(ISNUMBER(F4115),F4115-IF(ISNUMBER(K4115),K4115,0),""),"")</f>
        <v/>
      </c>
    </row>
    <row r="4116" ht="24" customHeight="1" s="63">
      <c r="E4116" s="139" t="n"/>
      <c r="F4116" s="139" t="n"/>
      <c r="G4116" s="140">
        <f>IFERROR(IF(E4116&gt;0,(F4116/E4116)*1000,""),"")</f>
        <v/>
      </c>
      <c r="H4116" s="139">
        <f>IFERROR(IF(E4116&gt;0,E4116*IF(ISNUMBER(J4116),J4116,IF(OR(C4116="Alpha",B4116="Alpha"),$C$7,IF(C4116="Futures",$C$6,$C$5))),""),"")</f>
        <v/>
      </c>
      <c r="I4116" s="139">
        <f>IFERROR(IF(AND(ISNUMBER(F4116),ISNUMBER(H4116)),F4116-H4116,""),"")</f>
        <v/>
      </c>
      <c r="J4116" s="114" t="n"/>
      <c r="K4116" s="139">
        <f>IFERROR(IF(H4116&gt;0,H4116*IF(OR(C4116="Alpha",B4116="Alpha"),$C$9,$C$8),""),"")</f>
        <v/>
      </c>
      <c r="L4116" s="139">
        <f>IFERROR(IF(ISNUMBER(F4116),F4116-IF(ISNUMBER(K4116),K4116,0),""),"")</f>
        <v/>
      </c>
    </row>
    <row r="4117" ht="24" customHeight="1" s="63">
      <c r="E4117" s="139" t="n"/>
      <c r="F4117" s="139" t="n"/>
      <c r="G4117" s="140">
        <f>IFERROR(IF(E4117&gt;0,(F4117/E4117)*1000,""),"")</f>
        <v/>
      </c>
      <c r="H4117" s="139">
        <f>IFERROR(IF(E4117&gt;0,E4117*IF(ISNUMBER(J4117),J4117,IF(OR(C4117="Alpha",B4117="Alpha"),$C$7,IF(C4117="Futures",$C$6,$C$5))),""),"")</f>
        <v/>
      </c>
      <c r="I4117" s="139">
        <f>IFERROR(IF(AND(ISNUMBER(F4117),ISNUMBER(H4117)),F4117-H4117,""),"")</f>
        <v/>
      </c>
      <c r="J4117" s="114" t="n"/>
      <c r="K4117" s="139">
        <f>IFERROR(IF(H4117&gt;0,H4117*IF(OR(C4117="Alpha",B4117="Alpha"),$C$9,$C$8),""),"")</f>
        <v/>
      </c>
      <c r="L4117" s="139">
        <f>IFERROR(IF(ISNUMBER(F4117),F4117-IF(ISNUMBER(K4117),K4117,0),""),"")</f>
        <v/>
      </c>
    </row>
    <row r="4118" ht="24" customHeight="1" s="63">
      <c r="E4118" s="139" t="n"/>
      <c r="F4118" s="139" t="n"/>
      <c r="G4118" s="140">
        <f>IFERROR(IF(E4118&gt;0,(F4118/E4118)*1000,""),"")</f>
        <v/>
      </c>
      <c r="H4118" s="139">
        <f>IFERROR(IF(E4118&gt;0,E4118*IF(ISNUMBER(J4118),J4118,IF(OR(C4118="Alpha",B4118="Alpha"),$C$7,IF(C4118="Futures",$C$6,$C$5))),""),"")</f>
        <v/>
      </c>
      <c r="I4118" s="139">
        <f>IFERROR(IF(AND(ISNUMBER(F4118),ISNUMBER(H4118)),F4118-H4118,""),"")</f>
        <v/>
      </c>
      <c r="J4118" s="114" t="n"/>
      <c r="K4118" s="139">
        <f>IFERROR(IF(H4118&gt;0,H4118*IF(OR(C4118="Alpha",B4118="Alpha"),$C$9,$C$8),""),"")</f>
        <v/>
      </c>
      <c r="L4118" s="139">
        <f>IFERROR(IF(ISNUMBER(F4118),F4118-IF(ISNUMBER(K4118),K4118,0),""),"")</f>
        <v/>
      </c>
    </row>
    <row r="4119" ht="24" customHeight="1" s="63">
      <c r="E4119" s="139" t="n"/>
      <c r="F4119" s="139" t="n"/>
      <c r="G4119" s="140">
        <f>IFERROR(IF(E4119&gt;0,(F4119/E4119)*1000,""),"")</f>
        <v/>
      </c>
      <c r="H4119" s="139">
        <f>IFERROR(IF(E4119&gt;0,E4119*IF(ISNUMBER(J4119),J4119,IF(OR(C4119="Alpha",B4119="Alpha"),$C$7,IF(C4119="Futures",$C$6,$C$5))),""),"")</f>
        <v/>
      </c>
      <c r="I4119" s="139">
        <f>IFERROR(IF(AND(ISNUMBER(F4119),ISNUMBER(H4119)),F4119-H4119,""),"")</f>
        <v/>
      </c>
      <c r="J4119" s="114" t="n"/>
      <c r="K4119" s="139">
        <f>IFERROR(IF(H4119&gt;0,H4119*IF(OR(C4119="Alpha",B4119="Alpha"),$C$9,$C$8),""),"")</f>
        <v/>
      </c>
      <c r="L4119" s="139">
        <f>IFERROR(IF(ISNUMBER(F4119),F4119-IF(ISNUMBER(K4119),K4119,0),""),"")</f>
        <v/>
      </c>
    </row>
    <row r="4120" ht="24" customHeight="1" s="63">
      <c r="E4120" s="139" t="n"/>
      <c r="F4120" s="139" t="n"/>
      <c r="G4120" s="140">
        <f>IFERROR(IF(E4120&gt;0,(F4120/E4120)*1000,""),"")</f>
        <v/>
      </c>
      <c r="H4120" s="139">
        <f>IFERROR(IF(E4120&gt;0,E4120*IF(ISNUMBER(J4120),J4120,IF(OR(C4120="Alpha",B4120="Alpha"),$C$7,IF(C4120="Futures",$C$6,$C$5))),""),"")</f>
        <v/>
      </c>
      <c r="I4120" s="139">
        <f>IFERROR(IF(AND(ISNUMBER(F4120),ISNUMBER(H4120)),F4120-H4120,""),"")</f>
        <v/>
      </c>
      <c r="J4120" s="114" t="n"/>
      <c r="K4120" s="139">
        <f>IFERROR(IF(H4120&gt;0,H4120*IF(OR(C4120="Alpha",B4120="Alpha"),$C$9,$C$8),""),"")</f>
        <v/>
      </c>
      <c r="L4120" s="139">
        <f>IFERROR(IF(ISNUMBER(F4120),F4120-IF(ISNUMBER(K4120),K4120,0),""),"")</f>
        <v/>
      </c>
    </row>
    <row r="4121" ht="24" customHeight="1" s="63">
      <c r="E4121" s="139" t="n"/>
      <c r="F4121" s="139" t="n"/>
      <c r="G4121" s="140">
        <f>IFERROR(IF(E4121&gt;0,(F4121/E4121)*1000,""),"")</f>
        <v/>
      </c>
      <c r="H4121" s="139">
        <f>IFERROR(IF(E4121&gt;0,E4121*IF(ISNUMBER(J4121),J4121,IF(OR(C4121="Alpha",B4121="Alpha"),$C$7,IF(C4121="Futures",$C$6,$C$5))),""),"")</f>
        <v/>
      </c>
      <c r="I4121" s="139">
        <f>IFERROR(IF(AND(ISNUMBER(F4121),ISNUMBER(H4121)),F4121-H4121,""),"")</f>
        <v/>
      </c>
      <c r="J4121" s="114" t="n"/>
      <c r="K4121" s="139">
        <f>IFERROR(IF(H4121&gt;0,H4121*IF(OR(C4121="Alpha",B4121="Alpha"),$C$9,$C$8),""),"")</f>
        <v/>
      </c>
      <c r="L4121" s="139">
        <f>IFERROR(IF(ISNUMBER(F4121),F4121-IF(ISNUMBER(K4121),K4121,0),""),"")</f>
        <v/>
      </c>
    </row>
    <row r="4122" ht="24" customHeight="1" s="63">
      <c r="E4122" s="139" t="n"/>
      <c r="F4122" s="139" t="n"/>
      <c r="G4122" s="140">
        <f>IFERROR(IF(E4122&gt;0,(F4122/E4122)*1000,""),"")</f>
        <v/>
      </c>
      <c r="H4122" s="139">
        <f>IFERROR(IF(E4122&gt;0,E4122*IF(ISNUMBER(J4122),J4122,IF(OR(C4122="Alpha",B4122="Alpha"),$C$7,IF(C4122="Futures",$C$6,$C$5))),""),"")</f>
        <v/>
      </c>
      <c r="I4122" s="139">
        <f>IFERROR(IF(AND(ISNUMBER(F4122),ISNUMBER(H4122)),F4122-H4122,""),"")</f>
        <v/>
      </c>
      <c r="J4122" s="114" t="n"/>
      <c r="K4122" s="139">
        <f>IFERROR(IF(H4122&gt;0,H4122*IF(OR(C4122="Alpha",B4122="Alpha"),$C$9,$C$8),""),"")</f>
        <v/>
      </c>
      <c r="L4122" s="139">
        <f>IFERROR(IF(ISNUMBER(F4122),F4122-IF(ISNUMBER(K4122),K4122,0),""),"")</f>
        <v/>
      </c>
    </row>
    <row r="4123" ht="24" customHeight="1" s="63">
      <c r="E4123" s="139" t="n"/>
      <c r="F4123" s="139" t="n"/>
      <c r="G4123" s="140">
        <f>IFERROR(IF(E4123&gt;0,(F4123/E4123)*1000,""),"")</f>
        <v/>
      </c>
      <c r="H4123" s="139">
        <f>IFERROR(IF(E4123&gt;0,E4123*IF(ISNUMBER(J4123),J4123,IF(OR(C4123="Alpha",B4123="Alpha"),$C$7,IF(C4123="Futures",$C$6,$C$5))),""),"")</f>
        <v/>
      </c>
      <c r="I4123" s="139">
        <f>IFERROR(IF(AND(ISNUMBER(F4123),ISNUMBER(H4123)),F4123-H4123,""),"")</f>
        <v/>
      </c>
      <c r="J4123" s="114" t="n"/>
      <c r="K4123" s="139">
        <f>IFERROR(IF(H4123&gt;0,H4123*IF(OR(C4123="Alpha",B4123="Alpha"),$C$9,$C$8),""),"")</f>
        <v/>
      </c>
      <c r="L4123" s="139">
        <f>IFERROR(IF(ISNUMBER(F4123),F4123-IF(ISNUMBER(K4123),K4123,0),""),"")</f>
        <v/>
      </c>
    </row>
    <row r="4124" ht="24" customHeight="1" s="63">
      <c r="E4124" s="139" t="n"/>
      <c r="F4124" s="139" t="n"/>
      <c r="G4124" s="140">
        <f>IFERROR(IF(E4124&gt;0,(F4124/E4124)*1000,""),"")</f>
        <v/>
      </c>
      <c r="H4124" s="139">
        <f>IFERROR(IF(E4124&gt;0,E4124*IF(ISNUMBER(J4124),J4124,IF(OR(C4124="Alpha",B4124="Alpha"),$C$7,IF(C4124="Futures",$C$6,$C$5))),""),"")</f>
        <v/>
      </c>
      <c r="I4124" s="139">
        <f>IFERROR(IF(AND(ISNUMBER(F4124),ISNUMBER(H4124)),F4124-H4124,""),"")</f>
        <v/>
      </c>
      <c r="J4124" s="114" t="n"/>
      <c r="K4124" s="139">
        <f>IFERROR(IF(H4124&gt;0,H4124*IF(OR(C4124="Alpha",B4124="Alpha"),$C$9,$C$8),""),"")</f>
        <v/>
      </c>
      <c r="L4124" s="139">
        <f>IFERROR(IF(ISNUMBER(F4124),F4124-IF(ISNUMBER(K4124),K4124,0),""),"")</f>
        <v/>
      </c>
    </row>
    <row r="4125" ht="24" customHeight="1" s="63">
      <c r="E4125" s="139" t="n"/>
      <c r="F4125" s="139" t="n"/>
      <c r="G4125" s="140">
        <f>IFERROR(IF(E4125&gt;0,(F4125/E4125)*1000,""),"")</f>
        <v/>
      </c>
      <c r="H4125" s="139">
        <f>IFERROR(IF(E4125&gt;0,E4125*IF(ISNUMBER(J4125),J4125,IF(OR(C4125="Alpha",B4125="Alpha"),$C$7,IF(C4125="Futures",$C$6,$C$5))),""),"")</f>
        <v/>
      </c>
      <c r="I4125" s="139">
        <f>IFERROR(IF(AND(ISNUMBER(F4125),ISNUMBER(H4125)),F4125-H4125,""),"")</f>
        <v/>
      </c>
      <c r="J4125" s="114" t="n"/>
      <c r="K4125" s="139">
        <f>IFERROR(IF(H4125&gt;0,H4125*IF(OR(C4125="Alpha",B4125="Alpha"),$C$9,$C$8),""),"")</f>
        <v/>
      </c>
      <c r="L4125" s="139">
        <f>IFERROR(IF(ISNUMBER(F4125),F4125-IF(ISNUMBER(K4125),K4125,0),""),"")</f>
        <v/>
      </c>
    </row>
    <row r="4126" ht="24" customHeight="1" s="63">
      <c r="E4126" s="139" t="n"/>
      <c r="F4126" s="139" t="n"/>
      <c r="G4126" s="140">
        <f>IFERROR(IF(E4126&gt;0,(F4126/E4126)*1000,""),"")</f>
        <v/>
      </c>
      <c r="H4126" s="139">
        <f>IFERROR(IF(E4126&gt;0,E4126*IF(ISNUMBER(J4126),J4126,IF(OR(C4126="Alpha",B4126="Alpha"),$C$7,IF(C4126="Futures",$C$6,$C$5))),""),"")</f>
        <v/>
      </c>
      <c r="I4126" s="139">
        <f>IFERROR(IF(AND(ISNUMBER(F4126),ISNUMBER(H4126)),F4126-H4126,""),"")</f>
        <v/>
      </c>
      <c r="J4126" s="114" t="n"/>
      <c r="K4126" s="139">
        <f>IFERROR(IF(H4126&gt;0,H4126*IF(OR(C4126="Alpha",B4126="Alpha"),$C$9,$C$8),""),"")</f>
        <v/>
      </c>
      <c r="L4126" s="139">
        <f>IFERROR(IF(ISNUMBER(F4126),F4126-IF(ISNUMBER(K4126),K4126,0),""),"")</f>
        <v/>
      </c>
    </row>
    <row r="4127" ht="24" customHeight="1" s="63">
      <c r="E4127" s="139" t="n"/>
      <c r="F4127" s="139" t="n"/>
      <c r="G4127" s="140">
        <f>IFERROR(IF(E4127&gt;0,(F4127/E4127)*1000,""),"")</f>
        <v/>
      </c>
      <c r="H4127" s="139">
        <f>IFERROR(IF(E4127&gt;0,E4127*IF(ISNUMBER(J4127),J4127,IF(OR(C4127="Alpha",B4127="Alpha"),$C$7,IF(C4127="Futures",$C$6,$C$5))),""),"")</f>
        <v/>
      </c>
      <c r="I4127" s="139">
        <f>IFERROR(IF(AND(ISNUMBER(F4127),ISNUMBER(H4127)),F4127-H4127,""),"")</f>
        <v/>
      </c>
      <c r="J4127" s="114" t="n"/>
      <c r="K4127" s="139">
        <f>IFERROR(IF(H4127&gt;0,H4127*IF(OR(C4127="Alpha",B4127="Alpha"),$C$9,$C$8),""),"")</f>
        <v/>
      </c>
      <c r="L4127" s="139">
        <f>IFERROR(IF(ISNUMBER(F4127),F4127-IF(ISNUMBER(K4127),K4127,0),""),"")</f>
        <v/>
      </c>
    </row>
    <row r="4128" ht="24" customHeight="1" s="63">
      <c r="E4128" s="139" t="n"/>
      <c r="F4128" s="139" t="n"/>
      <c r="G4128" s="140">
        <f>IFERROR(IF(E4128&gt;0,(F4128/E4128)*1000,""),"")</f>
        <v/>
      </c>
      <c r="H4128" s="139">
        <f>IFERROR(IF(E4128&gt;0,E4128*IF(ISNUMBER(J4128),J4128,IF(OR(C4128="Alpha",B4128="Alpha"),$C$7,IF(C4128="Futures",$C$6,$C$5))),""),"")</f>
        <v/>
      </c>
      <c r="I4128" s="139">
        <f>IFERROR(IF(AND(ISNUMBER(F4128),ISNUMBER(H4128)),F4128-H4128,""),"")</f>
        <v/>
      </c>
      <c r="J4128" s="114" t="n"/>
      <c r="K4128" s="139">
        <f>IFERROR(IF(H4128&gt;0,H4128*IF(OR(C4128="Alpha",B4128="Alpha"),$C$9,$C$8),""),"")</f>
        <v/>
      </c>
      <c r="L4128" s="139">
        <f>IFERROR(IF(ISNUMBER(F4128),F4128-IF(ISNUMBER(K4128),K4128,0),""),"")</f>
        <v/>
      </c>
    </row>
    <row r="4129" ht="24" customHeight="1" s="63">
      <c r="E4129" s="139" t="n"/>
      <c r="F4129" s="139" t="n"/>
      <c r="G4129" s="140">
        <f>IFERROR(IF(E4129&gt;0,(F4129/E4129)*1000,""),"")</f>
        <v/>
      </c>
      <c r="H4129" s="139">
        <f>IFERROR(IF(E4129&gt;0,E4129*IF(ISNUMBER(J4129),J4129,IF(OR(C4129="Alpha",B4129="Alpha"),$C$7,IF(C4129="Futures",$C$6,$C$5))),""),"")</f>
        <v/>
      </c>
      <c r="I4129" s="139">
        <f>IFERROR(IF(AND(ISNUMBER(F4129),ISNUMBER(H4129)),F4129-H4129,""),"")</f>
        <v/>
      </c>
      <c r="J4129" s="114" t="n"/>
      <c r="K4129" s="139">
        <f>IFERROR(IF(H4129&gt;0,H4129*IF(OR(C4129="Alpha",B4129="Alpha"),$C$9,$C$8),""),"")</f>
        <v/>
      </c>
      <c r="L4129" s="139">
        <f>IFERROR(IF(ISNUMBER(F4129),F4129-IF(ISNUMBER(K4129),K4129,0),""),"")</f>
        <v/>
      </c>
    </row>
    <row r="4130" ht="24" customHeight="1" s="63">
      <c r="E4130" s="139" t="n"/>
      <c r="F4130" s="139" t="n"/>
      <c r="G4130" s="140">
        <f>IFERROR(IF(E4130&gt;0,(F4130/E4130)*1000,""),"")</f>
        <v/>
      </c>
      <c r="H4130" s="139">
        <f>IFERROR(IF(E4130&gt;0,E4130*IF(ISNUMBER(J4130),J4130,IF(OR(C4130="Alpha",B4130="Alpha"),$C$7,IF(C4130="Futures",$C$6,$C$5))),""),"")</f>
        <v/>
      </c>
      <c r="I4130" s="139">
        <f>IFERROR(IF(AND(ISNUMBER(F4130),ISNUMBER(H4130)),F4130-H4130,""),"")</f>
        <v/>
      </c>
      <c r="J4130" s="114" t="n"/>
      <c r="K4130" s="139">
        <f>IFERROR(IF(H4130&gt;0,H4130*IF(OR(C4130="Alpha",B4130="Alpha"),$C$9,$C$8),""),"")</f>
        <v/>
      </c>
      <c r="L4130" s="139">
        <f>IFERROR(IF(ISNUMBER(F4130),F4130-IF(ISNUMBER(K4130),K4130,0),""),"")</f>
        <v/>
      </c>
    </row>
    <row r="4131" ht="24" customHeight="1" s="63">
      <c r="E4131" s="139" t="n"/>
      <c r="F4131" s="139" t="n"/>
      <c r="G4131" s="140">
        <f>IFERROR(IF(E4131&gt;0,(F4131/E4131)*1000,""),"")</f>
        <v/>
      </c>
      <c r="H4131" s="139">
        <f>IFERROR(IF(E4131&gt;0,E4131*IF(ISNUMBER(J4131),J4131,IF(OR(C4131="Alpha",B4131="Alpha"),$C$7,IF(C4131="Futures",$C$6,$C$5))),""),"")</f>
        <v/>
      </c>
      <c r="I4131" s="139">
        <f>IFERROR(IF(AND(ISNUMBER(F4131),ISNUMBER(H4131)),F4131-H4131,""),"")</f>
        <v/>
      </c>
      <c r="J4131" s="114" t="n"/>
      <c r="K4131" s="139">
        <f>IFERROR(IF(H4131&gt;0,H4131*IF(OR(C4131="Alpha",B4131="Alpha"),$C$9,$C$8),""),"")</f>
        <v/>
      </c>
      <c r="L4131" s="139">
        <f>IFERROR(IF(ISNUMBER(F4131),F4131-IF(ISNUMBER(K4131),K4131,0),""),"")</f>
        <v/>
      </c>
    </row>
    <row r="4132" ht="24" customHeight="1" s="63">
      <c r="E4132" s="139" t="n"/>
      <c r="F4132" s="139" t="n"/>
      <c r="G4132" s="140">
        <f>IFERROR(IF(E4132&gt;0,(F4132/E4132)*1000,""),"")</f>
        <v/>
      </c>
      <c r="H4132" s="139">
        <f>IFERROR(IF(E4132&gt;0,E4132*IF(ISNUMBER(J4132),J4132,IF(OR(C4132="Alpha",B4132="Alpha"),$C$7,IF(C4132="Futures",$C$6,$C$5))),""),"")</f>
        <v/>
      </c>
      <c r="I4132" s="139">
        <f>IFERROR(IF(AND(ISNUMBER(F4132),ISNUMBER(H4132)),F4132-H4132,""),"")</f>
        <v/>
      </c>
      <c r="J4132" s="114" t="n"/>
      <c r="K4132" s="139">
        <f>IFERROR(IF(H4132&gt;0,H4132*IF(OR(C4132="Alpha",B4132="Alpha"),$C$9,$C$8),""),"")</f>
        <v/>
      </c>
      <c r="L4132" s="139">
        <f>IFERROR(IF(ISNUMBER(F4132),F4132-IF(ISNUMBER(K4132),K4132,0),""),"")</f>
        <v/>
      </c>
    </row>
    <row r="4133" ht="24" customHeight="1" s="63">
      <c r="E4133" s="139" t="n"/>
      <c r="F4133" s="139" t="n"/>
      <c r="G4133" s="140">
        <f>IFERROR(IF(E4133&gt;0,(F4133/E4133)*1000,""),"")</f>
        <v/>
      </c>
      <c r="H4133" s="139">
        <f>IFERROR(IF(E4133&gt;0,E4133*IF(ISNUMBER(J4133),J4133,IF(OR(C4133="Alpha",B4133="Alpha"),$C$7,IF(C4133="Futures",$C$6,$C$5))),""),"")</f>
        <v/>
      </c>
      <c r="I4133" s="139">
        <f>IFERROR(IF(AND(ISNUMBER(F4133),ISNUMBER(H4133)),F4133-H4133,""),"")</f>
        <v/>
      </c>
      <c r="J4133" s="114" t="n"/>
      <c r="K4133" s="139">
        <f>IFERROR(IF(H4133&gt;0,H4133*IF(OR(C4133="Alpha",B4133="Alpha"),$C$9,$C$8),""),"")</f>
        <v/>
      </c>
      <c r="L4133" s="139">
        <f>IFERROR(IF(ISNUMBER(F4133),F4133-IF(ISNUMBER(K4133),K4133,0),""),"")</f>
        <v/>
      </c>
    </row>
    <row r="4134" ht="24" customHeight="1" s="63">
      <c r="E4134" s="139" t="n"/>
      <c r="F4134" s="139" t="n"/>
      <c r="G4134" s="140">
        <f>IFERROR(IF(E4134&gt;0,(F4134/E4134)*1000,""),"")</f>
        <v/>
      </c>
      <c r="H4134" s="139">
        <f>IFERROR(IF(E4134&gt;0,E4134*IF(ISNUMBER(J4134),J4134,IF(OR(C4134="Alpha",B4134="Alpha"),$C$7,IF(C4134="Futures",$C$6,$C$5))),""),"")</f>
        <v/>
      </c>
      <c r="I4134" s="139">
        <f>IFERROR(IF(AND(ISNUMBER(F4134),ISNUMBER(H4134)),F4134-H4134,""),"")</f>
        <v/>
      </c>
      <c r="J4134" s="114" t="n"/>
      <c r="K4134" s="139">
        <f>IFERROR(IF(H4134&gt;0,H4134*IF(OR(C4134="Alpha",B4134="Alpha"),$C$9,$C$8),""),"")</f>
        <v/>
      </c>
      <c r="L4134" s="139">
        <f>IFERROR(IF(ISNUMBER(F4134),F4134-IF(ISNUMBER(K4134),K4134,0),""),"")</f>
        <v/>
      </c>
    </row>
    <row r="4135" ht="24" customHeight="1" s="63">
      <c r="E4135" s="139" t="n"/>
      <c r="F4135" s="139" t="n"/>
      <c r="G4135" s="140">
        <f>IFERROR(IF(E4135&gt;0,(F4135/E4135)*1000,""),"")</f>
        <v/>
      </c>
      <c r="H4135" s="139">
        <f>IFERROR(IF(E4135&gt;0,E4135*IF(ISNUMBER(J4135),J4135,IF(OR(C4135="Alpha",B4135="Alpha"),$C$7,IF(C4135="Futures",$C$6,$C$5))),""),"")</f>
        <v/>
      </c>
      <c r="I4135" s="139">
        <f>IFERROR(IF(AND(ISNUMBER(F4135),ISNUMBER(H4135)),F4135-H4135,""),"")</f>
        <v/>
      </c>
      <c r="J4135" s="114" t="n"/>
      <c r="K4135" s="139">
        <f>IFERROR(IF(H4135&gt;0,H4135*IF(OR(C4135="Alpha",B4135="Alpha"),$C$9,$C$8),""),"")</f>
        <v/>
      </c>
      <c r="L4135" s="139">
        <f>IFERROR(IF(ISNUMBER(F4135),F4135-IF(ISNUMBER(K4135),K4135,0),""),"")</f>
        <v/>
      </c>
    </row>
    <row r="4136" ht="24" customHeight="1" s="63">
      <c r="E4136" s="139" t="n"/>
      <c r="F4136" s="139" t="n"/>
      <c r="G4136" s="140">
        <f>IFERROR(IF(E4136&gt;0,(F4136/E4136)*1000,""),"")</f>
        <v/>
      </c>
      <c r="H4136" s="139">
        <f>IFERROR(IF(E4136&gt;0,E4136*IF(ISNUMBER(J4136),J4136,IF(OR(C4136="Alpha",B4136="Alpha"),$C$7,IF(C4136="Futures",$C$6,$C$5))),""),"")</f>
        <v/>
      </c>
      <c r="I4136" s="139">
        <f>IFERROR(IF(AND(ISNUMBER(F4136),ISNUMBER(H4136)),F4136-H4136,""),"")</f>
        <v/>
      </c>
      <c r="J4136" s="114" t="n"/>
      <c r="K4136" s="139">
        <f>IFERROR(IF(H4136&gt;0,H4136*IF(OR(C4136="Alpha",B4136="Alpha"),$C$9,$C$8),""),"")</f>
        <v/>
      </c>
      <c r="L4136" s="139">
        <f>IFERROR(IF(ISNUMBER(F4136),F4136-IF(ISNUMBER(K4136),K4136,0),""),"")</f>
        <v/>
      </c>
    </row>
    <row r="4137" ht="24" customHeight="1" s="63">
      <c r="E4137" s="139" t="n"/>
      <c r="F4137" s="139" t="n"/>
      <c r="G4137" s="140">
        <f>IFERROR(IF(E4137&gt;0,(F4137/E4137)*1000,""),"")</f>
        <v/>
      </c>
      <c r="H4137" s="139">
        <f>IFERROR(IF(E4137&gt;0,E4137*IF(ISNUMBER(J4137),J4137,IF(OR(C4137="Alpha",B4137="Alpha"),$C$7,IF(C4137="Futures",$C$6,$C$5))),""),"")</f>
        <v/>
      </c>
      <c r="I4137" s="139">
        <f>IFERROR(IF(AND(ISNUMBER(F4137),ISNUMBER(H4137)),F4137-H4137,""),"")</f>
        <v/>
      </c>
      <c r="J4137" s="114" t="n"/>
      <c r="K4137" s="139">
        <f>IFERROR(IF(H4137&gt;0,H4137*IF(OR(C4137="Alpha",B4137="Alpha"),$C$9,$C$8),""),"")</f>
        <v/>
      </c>
      <c r="L4137" s="139">
        <f>IFERROR(IF(ISNUMBER(F4137),F4137-IF(ISNUMBER(K4137),K4137,0),""),"")</f>
        <v/>
      </c>
    </row>
    <row r="4138" ht="24" customHeight="1" s="63">
      <c r="E4138" s="139" t="n"/>
      <c r="F4138" s="139" t="n"/>
      <c r="G4138" s="140">
        <f>IFERROR(IF(E4138&gt;0,(F4138/E4138)*1000,""),"")</f>
        <v/>
      </c>
      <c r="H4138" s="139">
        <f>IFERROR(IF(E4138&gt;0,E4138*IF(ISNUMBER(J4138),J4138,IF(OR(C4138="Alpha",B4138="Alpha"),$C$7,IF(C4138="Futures",$C$6,$C$5))),""),"")</f>
        <v/>
      </c>
      <c r="I4138" s="139">
        <f>IFERROR(IF(AND(ISNUMBER(F4138),ISNUMBER(H4138)),F4138-H4138,""),"")</f>
        <v/>
      </c>
      <c r="J4138" s="114" t="n"/>
      <c r="K4138" s="139">
        <f>IFERROR(IF(H4138&gt;0,H4138*IF(OR(C4138="Alpha",B4138="Alpha"),$C$9,$C$8),""),"")</f>
        <v/>
      </c>
      <c r="L4138" s="139">
        <f>IFERROR(IF(ISNUMBER(F4138),F4138-IF(ISNUMBER(K4138),K4138,0),""),"")</f>
        <v/>
      </c>
    </row>
    <row r="4139" ht="24" customHeight="1" s="63">
      <c r="E4139" s="139" t="n"/>
      <c r="F4139" s="139" t="n"/>
      <c r="G4139" s="140">
        <f>IFERROR(IF(E4139&gt;0,(F4139/E4139)*1000,""),"")</f>
        <v/>
      </c>
      <c r="H4139" s="139">
        <f>IFERROR(IF(E4139&gt;0,E4139*IF(ISNUMBER(J4139),J4139,IF(OR(C4139="Alpha",B4139="Alpha"),$C$7,IF(C4139="Futures",$C$6,$C$5))),""),"")</f>
        <v/>
      </c>
      <c r="I4139" s="139">
        <f>IFERROR(IF(AND(ISNUMBER(F4139),ISNUMBER(H4139)),F4139-H4139,""),"")</f>
        <v/>
      </c>
      <c r="J4139" s="114" t="n"/>
      <c r="K4139" s="139">
        <f>IFERROR(IF(H4139&gt;0,H4139*IF(OR(C4139="Alpha",B4139="Alpha"),$C$9,$C$8),""),"")</f>
        <v/>
      </c>
      <c r="L4139" s="139">
        <f>IFERROR(IF(ISNUMBER(F4139),F4139-IF(ISNUMBER(K4139),K4139,0),""),"")</f>
        <v/>
      </c>
    </row>
    <row r="4140" ht="24" customHeight="1" s="63">
      <c r="E4140" s="139" t="n"/>
      <c r="F4140" s="139" t="n"/>
      <c r="G4140" s="140">
        <f>IFERROR(IF(E4140&gt;0,(F4140/E4140)*1000,""),"")</f>
        <v/>
      </c>
      <c r="H4140" s="139">
        <f>IFERROR(IF(E4140&gt;0,E4140*IF(ISNUMBER(J4140),J4140,IF(OR(C4140="Alpha",B4140="Alpha"),$C$7,IF(C4140="Futures",$C$6,$C$5))),""),"")</f>
        <v/>
      </c>
      <c r="I4140" s="139">
        <f>IFERROR(IF(AND(ISNUMBER(F4140),ISNUMBER(H4140)),F4140-H4140,""),"")</f>
        <v/>
      </c>
      <c r="J4140" s="114" t="n"/>
      <c r="K4140" s="139">
        <f>IFERROR(IF(H4140&gt;0,H4140*IF(OR(C4140="Alpha",B4140="Alpha"),$C$9,$C$8),""),"")</f>
        <v/>
      </c>
      <c r="L4140" s="139">
        <f>IFERROR(IF(ISNUMBER(F4140),F4140-IF(ISNUMBER(K4140),K4140,0),""),"")</f>
        <v/>
      </c>
    </row>
    <row r="4141" ht="24" customHeight="1" s="63">
      <c r="E4141" s="139" t="n"/>
      <c r="F4141" s="139" t="n"/>
      <c r="G4141" s="140">
        <f>IFERROR(IF(E4141&gt;0,(F4141/E4141)*1000,""),"")</f>
        <v/>
      </c>
      <c r="H4141" s="139">
        <f>IFERROR(IF(E4141&gt;0,E4141*IF(ISNUMBER(J4141),J4141,IF(OR(C4141="Alpha",B4141="Alpha"),$C$7,IF(C4141="Futures",$C$6,$C$5))),""),"")</f>
        <v/>
      </c>
      <c r="I4141" s="139">
        <f>IFERROR(IF(AND(ISNUMBER(F4141),ISNUMBER(H4141)),F4141-H4141,""),"")</f>
        <v/>
      </c>
      <c r="J4141" s="114" t="n"/>
      <c r="K4141" s="139">
        <f>IFERROR(IF(H4141&gt;0,H4141*IF(OR(C4141="Alpha",B4141="Alpha"),$C$9,$C$8),""),"")</f>
        <v/>
      </c>
      <c r="L4141" s="139">
        <f>IFERROR(IF(ISNUMBER(F4141),F4141-IF(ISNUMBER(K4141),K4141,0),""),"")</f>
        <v/>
      </c>
    </row>
    <row r="4142" ht="24" customHeight="1" s="63">
      <c r="E4142" s="139" t="n"/>
      <c r="F4142" s="139" t="n"/>
      <c r="G4142" s="140">
        <f>IFERROR(IF(E4142&gt;0,(F4142/E4142)*1000,""),"")</f>
        <v/>
      </c>
      <c r="H4142" s="139">
        <f>IFERROR(IF(E4142&gt;0,E4142*IF(ISNUMBER(J4142),J4142,IF(OR(C4142="Alpha",B4142="Alpha"),$C$7,IF(C4142="Futures",$C$6,$C$5))),""),"")</f>
        <v/>
      </c>
      <c r="I4142" s="139">
        <f>IFERROR(IF(AND(ISNUMBER(F4142),ISNUMBER(H4142)),F4142-H4142,""),"")</f>
        <v/>
      </c>
      <c r="J4142" s="114" t="n"/>
      <c r="K4142" s="139">
        <f>IFERROR(IF(H4142&gt;0,H4142*IF(OR(C4142="Alpha",B4142="Alpha"),$C$9,$C$8),""),"")</f>
        <v/>
      </c>
      <c r="L4142" s="139">
        <f>IFERROR(IF(ISNUMBER(F4142),F4142-IF(ISNUMBER(K4142),K4142,0),""),"")</f>
        <v/>
      </c>
    </row>
    <row r="4143" ht="24" customHeight="1" s="63">
      <c r="E4143" s="139" t="n"/>
      <c r="F4143" s="139" t="n"/>
      <c r="G4143" s="140">
        <f>IFERROR(IF(E4143&gt;0,(F4143/E4143)*1000,""),"")</f>
        <v/>
      </c>
      <c r="H4143" s="139">
        <f>IFERROR(IF(E4143&gt;0,E4143*IF(ISNUMBER(J4143),J4143,IF(OR(C4143="Alpha",B4143="Alpha"),$C$7,IF(C4143="Futures",$C$6,$C$5))),""),"")</f>
        <v/>
      </c>
      <c r="I4143" s="139">
        <f>IFERROR(IF(AND(ISNUMBER(F4143),ISNUMBER(H4143)),F4143-H4143,""),"")</f>
        <v/>
      </c>
      <c r="J4143" s="114" t="n"/>
      <c r="K4143" s="139">
        <f>IFERROR(IF(H4143&gt;0,H4143*IF(OR(C4143="Alpha",B4143="Alpha"),$C$9,$C$8),""),"")</f>
        <v/>
      </c>
      <c r="L4143" s="139">
        <f>IFERROR(IF(ISNUMBER(F4143),F4143-IF(ISNUMBER(K4143),K4143,0),""),"")</f>
        <v/>
      </c>
    </row>
    <row r="4144" ht="24" customHeight="1" s="63">
      <c r="E4144" s="139" t="n"/>
      <c r="F4144" s="139" t="n"/>
      <c r="G4144" s="140">
        <f>IFERROR(IF(E4144&gt;0,(F4144/E4144)*1000,""),"")</f>
        <v/>
      </c>
      <c r="H4144" s="139">
        <f>IFERROR(IF(E4144&gt;0,E4144*IF(ISNUMBER(J4144),J4144,IF(OR(C4144="Alpha",B4144="Alpha"),$C$7,IF(C4144="Futures",$C$6,$C$5))),""),"")</f>
        <v/>
      </c>
      <c r="I4144" s="139">
        <f>IFERROR(IF(AND(ISNUMBER(F4144),ISNUMBER(H4144)),F4144-H4144,""),"")</f>
        <v/>
      </c>
      <c r="J4144" s="114" t="n"/>
      <c r="K4144" s="139">
        <f>IFERROR(IF(H4144&gt;0,H4144*IF(OR(C4144="Alpha",B4144="Alpha"),$C$9,$C$8),""),"")</f>
        <v/>
      </c>
      <c r="L4144" s="139">
        <f>IFERROR(IF(ISNUMBER(F4144),F4144-IF(ISNUMBER(K4144),K4144,0),""),"")</f>
        <v/>
      </c>
    </row>
    <row r="4145" ht="24" customHeight="1" s="63">
      <c r="E4145" s="139" t="n"/>
      <c r="F4145" s="139" t="n"/>
      <c r="G4145" s="140">
        <f>IFERROR(IF(E4145&gt;0,(F4145/E4145)*1000,""),"")</f>
        <v/>
      </c>
      <c r="H4145" s="139">
        <f>IFERROR(IF(E4145&gt;0,E4145*IF(ISNUMBER(J4145),J4145,IF(OR(C4145="Alpha",B4145="Alpha"),$C$7,IF(C4145="Futures",$C$6,$C$5))),""),"")</f>
        <v/>
      </c>
      <c r="I4145" s="139">
        <f>IFERROR(IF(AND(ISNUMBER(F4145),ISNUMBER(H4145)),F4145-H4145,""),"")</f>
        <v/>
      </c>
      <c r="J4145" s="114" t="n"/>
      <c r="K4145" s="139">
        <f>IFERROR(IF(H4145&gt;0,H4145*IF(OR(C4145="Alpha",B4145="Alpha"),$C$9,$C$8),""),"")</f>
        <v/>
      </c>
      <c r="L4145" s="139">
        <f>IFERROR(IF(ISNUMBER(F4145),F4145-IF(ISNUMBER(K4145),K4145,0),""),"")</f>
        <v/>
      </c>
    </row>
    <row r="4146" ht="24" customHeight="1" s="63">
      <c r="E4146" s="139" t="n"/>
      <c r="F4146" s="139" t="n"/>
      <c r="G4146" s="140">
        <f>IFERROR(IF(E4146&gt;0,(F4146/E4146)*1000,""),"")</f>
        <v/>
      </c>
      <c r="H4146" s="139">
        <f>IFERROR(IF(E4146&gt;0,E4146*IF(ISNUMBER(J4146),J4146,IF(OR(C4146="Alpha",B4146="Alpha"),$C$7,IF(C4146="Futures",$C$6,$C$5))),""),"")</f>
        <v/>
      </c>
      <c r="I4146" s="139">
        <f>IFERROR(IF(AND(ISNUMBER(F4146),ISNUMBER(H4146)),F4146-H4146,""),"")</f>
        <v/>
      </c>
      <c r="J4146" s="114" t="n"/>
      <c r="K4146" s="139">
        <f>IFERROR(IF(H4146&gt;0,H4146*IF(OR(C4146="Alpha",B4146="Alpha"),$C$9,$C$8),""),"")</f>
        <v/>
      </c>
      <c r="L4146" s="139">
        <f>IFERROR(IF(ISNUMBER(F4146),F4146-IF(ISNUMBER(K4146),K4146,0),""),"")</f>
        <v/>
      </c>
    </row>
    <row r="4147" ht="24" customHeight="1" s="63">
      <c r="E4147" s="139" t="n"/>
      <c r="F4147" s="139" t="n"/>
      <c r="G4147" s="140">
        <f>IFERROR(IF(E4147&gt;0,(F4147/E4147)*1000,""),"")</f>
        <v/>
      </c>
      <c r="H4147" s="139">
        <f>IFERROR(IF(E4147&gt;0,E4147*IF(ISNUMBER(J4147),J4147,IF(OR(C4147="Alpha",B4147="Alpha"),$C$7,IF(C4147="Futures",$C$6,$C$5))),""),"")</f>
        <v/>
      </c>
      <c r="I4147" s="139">
        <f>IFERROR(IF(AND(ISNUMBER(F4147),ISNUMBER(H4147)),F4147-H4147,""),"")</f>
        <v/>
      </c>
      <c r="J4147" s="114" t="n"/>
      <c r="K4147" s="139">
        <f>IFERROR(IF(H4147&gt;0,H4147*IF(OR(C4147="Alpha",B4147="Alpha"),$C$9,$C$8),""),"")</f>
        <v/>
      </c>
      <c r="L4147" s="139">
        <f>IFERROR(IF(ISNUMBER(F4147),F4147-IF(ISNUMBER(K4147),K4147,0),""),"")</f>
        <v/>
      </c>
    </row>
    <row r="4148" ht="24" customHeight="1" s="63">
      <c r="E4148" s="139" t="n"/>
      <c r="F4148" s="139" t="n"/>
      <c r="G4148" s="140">
        <f>IFERROR(IF(E4148&gt;0,(F4148/E4148)*1000,""),"")</f>
        <v/>
      </c>
      <c r="H4148" s="139">
        <f>IFERROR(IF(E4148&gt;0,E4148*IF(ISNUMBER(J4148),J4148,IF(OR(C4148="Alpha",B4148="Alpha"),$C$7,IF(C4148="Futures",$C$6,$C$5))),""),"")</f>
        <v/>
      </c>
      <c r="I4148" s="139">
        <f>IFERROR(IF(AND(ISNUMBER(F4148),ISNUMBER(H4148)),F4148-H4148,""),"")</f>
        <v/>
      </c>
      <c r="J4148" s="114" t="n"/>
      <c r="K4148" s="139">
        <f>IFERROR(IF(H4148&gt;0,H4148*IF(OR(C4148="Alpha",B4148="Alpha"),$C$9,$C$8),""),"")</f>
        <v/>
      </c>
      <c r="L4148" s="139">
        <f>IFERROR(IF(ISNUMBER(F4148),F4148-IF(ISNUMBER(K4148),K4148,0),""),"")</f>
        <v/>
      </c>
    </row>
    <row r="4149" ht="24" customHeight="1" s="63">
      <c r="E4149" s="139" t="n"/>
      <c r="F4149" s="139" t="n"/>
      <c r="G4149" s="140">
        <f>IFERROR(IF(E4149&gt;0,(F4149/E4149)*1000,""),"")</f>
        <v/>
      </c>
      <c r="H4149" s="139">
        <f>IFERROR(IF(E4149&gt;0,E4149*IF(ISNUMBER(J4149),J4149,IF(OR(C4149="Alpha",B4149="Alpha"),$C$7,IF(C4149="Futures",$C$6,$C$5))),""),"")</f>
        <v/>
      </c>
      <c r="I4149" s="139">
        <f>IFERROR(IF(AND(ISNUMBER(F4149),ISNUMBER(H4149)),F4149-H4149,""),"")</f>
        <v/>
      </c>
      <c r="J4149" s="114" t="n"/>
      <c r="K4149" s="139">
        <f>IFERROR(IF(H4149&gt;0,H4149*IF(OR(C4149="Alpha",B4149="Alpha"),$C$9,$C$8),""),"")</f>
        <v/>
      </c>
      <c r="L4149" s="139">
        <f>IFERROR(IF(ISNUMBER(F4149),F4149-IF(ISNUMBER(K4149),K4149,0),""),"")</f>
        <v/>
      </c>
    </row>
    <row r="4150" ht="24" customHeight="1" s="63">
      <c r="E4150" s="139" t="n"/>
      <c r="F4150" s="139" t="n"/>
      <c r="G4150" s="140">
        <f>IFERROR(IF(E4150&gt;0,(F4150/E4150)*1000,""),"")</f>
        <v/>
      </c>
      <c r="H4150" s="139">
        <f>IFERROR(IF(E4150&gt;0,E4150*IF(ISNUMBER(J4150),J4150,IF(OR(C4150="Alpha",B4150="Alpha"),$C$7,IF(C4150="Futures",$C$6,$C$5))),""),"")</f>
        <v/>
      </c>
      <c r="I4150" s="139">
        <f>IFERROR(IF(AND(ISNUMBER(F4150),ISNUMBER(H4150)),F4150-H4150,""),"")</f>
        <v/>
      </c>
      <c r="J4150" s="114" t="n"/>
      <c r="K4150" s="139">
        <f>IFERROR(IF(H4150&gt;0,H4150*IF(OR(C4150="Alpha",B4150="Alpha"),$C$9,$C$8),""),"")</f>
        <v/>
      </c>
      <c r="L4150" s="139">
        <f>IFERROR(IF(ISNUMBER(F4150),F4150-IF(ISNUMBER(K4150),K4150,0),""),"")</f>
        <v/>
      </c>
    </row>
    <row r="4151" ht="24" customHeight="1" s="63">
      <c r="E4151" s="139" t="n"/>
      <c r="F4151" s="139" t="n"/>
      <c r="G4151" s="140">
        <f>IFERROR(IF(E4151&gt;0,(F4151/E4151)*1000,""),"")</f>
        <v/>
      </c>
      <c r="H4151" s="139">
        <f>IFERROR(IF(E4151&gt;0,E4151*IF(ISNUMBER(J4151),J4151,IF(OR(C4151="Alpha",B4151="Alpha"),$C$7,IF(C4151="Futures",$C$6,$C$5))),""),"")</f>
        <v/>
      </c>
      <c r="I4151" s="139">
        <f>IFERROR(IF(AND(ISNUMBER(F4151),ISNUMBER(H4151)),F4151-H4151,""),"")</f>
        <v/>
      </c>
      <c r="J4151" s="114" t="n"/>
      <c r="K4151" s="139">
        <f>IFERROR(IF(H4151&gt;0,H4151*IF(OR(C4151="Alpha",B4151="Alpha"),$C$9,$C$8),""),"")</f>
        <v/>
      </c>
      <c r="L4151" s="139">
        <f>IFERROR(IF(ISNUMBER(F4151),F4151-IF(ISNUMBER(K4151),K4151,0),""),"")</f>
        <v/>
      </c>
    </row>
    <row r="4152" ht="24" customHeight="1" s="63">
      <c r="E4152" s="139" t="n"/>
      <c r="F4152" s="139" t="n"/>
      <c r="G4152" s="140">
        <f>IFERROR(IF(E4152&gt;0,(F4152/E4152)*1000,""),"")</f>
        <v/>
      </c>
      <c r="H4152" s="139">
        <f>IFERROR(IF(E4152&gt;0,E4152*IF(ISNUMBER(J4152),J4152,IF(OR(C4152="Alpha",B4152="Alpha"),$C$7,IF(C4152="Futures",$C$6,$C$5))),""),"")</f>
        <v/>
      </c>
      <c r="I4152" s="139">
        <f>IFERROR(IF(AND(ISNUMBER(F4152),ISNUMBER(H4152)),F4152-H4152,""),"")</f>
        <v/>
      </c>
      <c r="J4152" s="114" t="n"/>
      <c r="K4152" s="139">
        <f>IFERROR(IF(H4152&gt;0,H4152*IF(OR(C4152="Alpha",B4152="Alpha"),$C$9,$C$8),""),"")</f>
        <v/>
      </c>
      <c r="L4152" s="139">
        <f>IFERROR(IF(ISNUMBER(F4152),F4152-IF(ISNUMBER(K4152),K4152,0),""),"")</f>
        <v/>
      </c>
    </row>
    <row r="4153" ht="24" customHeight="1" s="63">
      <c r="E4153" s="139" t="n"/>
      <c r="F4153" s="139" t="n"/>
      <c r="G4153" s="140">
        <f>IFERROR(IF(E4153&gt;0,(F4153/E4153)*1000,""),"")</f>
        <v/>
      </c>
      <c r="H4153" s="139">
        <f>IFERROR(IF(E4153&gt;0,E4153*IF(ISNUMBER(J4153),J4153,IF(OR(C4153="Alpha",B4153="Alpha"),$C$7,IF(C4153="Futures",$C$6,$C$5))),""),"")</f>
        <v/>
      </c>
      <c r="I4153" s="139">
        <f>IFERROR(IF(AND(ISNUMBER(F4153),ISNUMBER(H4153)),F4153-H4153,""),"")</f>
        <v/>
      </c>
      <c r="J4153" s="114" t="n"/>
      <c r="K4153" s="139">
        <f>IFERROR(IF(H4153&gt;0,H4153*IF(OR(C4153="Alpha",B4153="Alpha"),$C$9,$C$8),""),"")</f>
        <v/>
      </c>
      <c r="L4153" s="139">
        <f>IFERROR(IF(ISNUMBER(F4153),F4153-IF(ISNUMBER(K4153),K4153,0),""),"")</f>
        <v/>
      </c>
    </row>
    <row r="4154" ht="24" customHeight="1" s="63">
      <c r="E4154" s="139" t="n"/>
      <c r="F4154" s="139" t="n"/>
      <c r="G4154" s="140">
        <f>IFERROR(IF(E4154&gt;0,(F4154/E4154)*1000,""),"")</f>
        <v/>
      </c>
      <c r="H4154" s="139">
        <f>IFERROR(IF(E4154&gt;0,E4154*IF(ISNUMBER(J4154),J4154,IF(OR(C4154="Alpha",B4154="Alpha"),$C$7,IF(C4154="Futures",$C$6,$C$5))),""),"")</f>
        <v/>
      </c>
      <c r="I4154" s="139">
        <f>IFERROR(IF(AND(ISNUMBER(F4154),ISNUMBER(H4154)),F4154-H4154,""),"")</f>
        <v/>
      </c>
      <c r="J4154" s="114" t="n"/>
      <c r="K4154" s="139">
        <f>IFERROR(IF(H4154&gt;0,H4154*IF(OR(C4154="Alpha",B4154="Alpha"),$C$9,$C$8),""),"")</f>
        <v/>
      </c>
      <c r="L4154" s="139">
        <f>IFERROR(IF(ISNUMBER(F4154),F4154-IF(ISNUMBER(K4154),K4154,0),""),"")</f>
        <v/>
      </c>
    </row>
    <row r="4155" ht="24" customHeight="1" s="63">
      <c r="E4155" s="139" t="n"/>
      <c r="F4155" s="139" t="n"/>
      <c r="G4155" s="140">
        <f>IFERROR(IF(E4155&gt;0,(F4155/E4155)*1000,""),"")</f>
        <v/>
      </c>
      <c r="H4155" s="139">
        <f>IFERROR(IF(E4155&gt;0,E4155*IF(ISNUMBER(J4155),J4155,IF(OR(C4155="Alpha",B4155="Alpha"),$C$7,IF(C4155="Futures",$C$6,$C$5))),""),"")</f>
        <v/>
      </c>
      <c r="I4155" s="139">
        <f>IFERROR(IF(AND(ISNUMBER(F4155),ISNUMBER(H4155)),F4155-H4155,""),"")</f>
        <v/>
      </c>
      <c r="J4155" s="114" t="n"/>
      <c r="K4155" s="139">
        <f>IFERROR(IF(H4155&gt;0,H4155*IF(OR(C4155="Alpha",B4155="Alpha"),$C$9,$C$8),""),"")</f>
        <v/>
      </c>
      <c r="L4155" s="139">
        <f>IFERROR(IF(ISNUMBER(F4155),F4155-IF(ISNUMBER(K4155),K4155,0),""),"")</f>
        <v/>
      </c>
    </row>
    <row r="4156" ht="24" customHeight="1" s="63">
      <c r="E4156" s="139" t="n"/>
      <c r="F4156" s="139" t="n"/>
      <c r="G4156" s="140">
        <f>IFERROR(IF(E4156&gt;0,(F4156/E4156)*1000,""),"")</f>
        <v/>
      </c>
      <c r="H4156" s="139">
        <f>IFERROR(IF(E4156&gt;0,E4156*IF(ISNUMBER(J4156),J4156,IF(OR(C4156="Alpha",B4156="Alpha"),$C$7,IF(C4156="Futures",$C$6,$C$5))),""),"")</f>
        <v/>
      </c>
      <c r="I4156" s="139">
        <f>IFERROR(IF(AND(ISNUMBER(F4156),ISNUMBER(H4156)),F4156-H4156,""),"")</f>
        <v/>
      </c>
      <c r="J4156" s="114" t="n"/>
      <c r="K4156" s="139">
        <f>IFERROR(IF(H4156&gt;0,H4156*IF(OR(C4156="Alpha",B4156="Alpha"),$C$9,$C$8),""),"")</f>
        <v/>
      </c>
      <c r="L4156" s="139">
        <f>IFERROR(IF(ISNUMBER(F4156),F4156-IF(ISNUMBER(K4156),K4156,0),""),"")</f>
        <v/>
      </c>
    </row>
    <row r="4157" ht="24" customHeight="1" s="63">
      <c r="E4157" s="139" t="n"/>
      <c r="F4157" s="139" t="n"/>
      <c r="G4157" s="140">
        <f>IFERROR(IF(E4157&gt;0,(F4157/E4157)*1000,""),"")</f>
        <v/>
      </c>
      <c r="H4157" s="139">
        <f>IFERROR(IF(E4157&gt;0,E4157*IF(ISNUMBER(J4157),J4157,IF(OR(C4157="Alpha",B4157="Alpha"),$C$7,IF(C4157="Futures",$C$6,$C$5))),""),"")</f>
        <v/>
      </c>
      <c r="I4157" s="139">
        <f>IFERROR(IF(AND(ISNUMBER(F4157),ISNUMBER(H4157)),F4157-H4157,""),"")</f>
        <v/>
      </c>
      <c r="J4157" s="114" t="n"/>
      <c r="K4157" s="139">
        <f>IFERROR(IF(H4157&gt;0,H4157*IF(OR(C4157="Alpha",B4157="Alpha"),$C$9,$C$8),""),"")</f>
        <v/>
      </c>
      <c r="L4157" s="139">
        <f>IFERROR(IF(ISNUMBER(F4157),F4157-IF(ISNUMBER(K4157),K4157,0),""),"")</f>
        <v/>
      </c>
    </row>
    <row r="4158" ht="24" customHeight="1" s="63">
      <c r="E4158" s="139" t="n"/>
      <c r="F4158" s="139" t="n"/>
      <c r="G4158" s="140">
        <f>IFERROR(IF(E4158&gt;0,(F4158/E4158)*1000,""),"")</f>
        <v/>
      </c>
      <c r="H4158" s="139">
        <f>IFERROR(IF(E4158&gt;0,E4158*IF(ISNUMBER(J4158),J4158,IF(OR(C4158="Alpha",B4158="Alpha"),$C$7,IF(C4158="Futures",$C$6,$C$5))),""),"")</f>
        <v/>
      </c>
      <c r="I4158" s="139">
        <f>IFERROR(IF(AND(ISNUMBER(F4158),ISNUMBER(H4158)),F4158-H4158,""),"")</f>
        <v/>
      </c>
      <c r="J4158" s="114" t="n"/>
      <c r="K4158" s="139">
        <f>IFERROR(IF(H4158&gt;0,H4158*IF(OR(C4158="Alpha",B4158="Alpha"),$C$9,$C$8),""),"")</f>
        <v/>
      </c>
      <c r="L4158" s="139">
        <f>IFERROR(IF(ISNUMBER(F4158),F4158-IF(ISNUMBER(K4158),K4158,0),""),"")</f>
        <v/>
      </c>
    </row>
    <row r="4159" ht="24" customHeight="1" s="63">
      <c r="E4159" s="139" t="n"/>
      <c r="F4159" s="139" t="n"/>
      <c r="G4159" s="140">
        <f>IFERROR(IF(E4159&gt;0,(F4159/E4159)*1000,""),"")</f>
        <v/>
      </c>
      <c r="H4159" s="139">
        <f>IFERROR(IF(E4159&gt;0,E4159*IF(ISNUMBER(J4159),J4159,IF(OR(C4159="Alpha",B4159="Alpha"),$C$7,IF(C4159="Futures",$C$6,$C$5))),""),"")</f>
        <v/>
      </c>
      <c r="I4159" s="139">
        <f>IFERROR(IF(AND(ISNUMBER(F4159),ISNUMBER(H4159)),F4159-H4159,""),"")</f>
        <v/>
      </c>
      <c r="J4159" s="114" t="n"/>
      <c r="K4159" s="139">
        <f>IFERROR(IF(H4159&gt;0,H4159*IF(OR(C4159="Alpha",B4159="Alpha"),$C$9,$C$8),""),"")</f>
        <v/>
      </c>
      <c r="L4159" s="139">
        <f>IFERROR(IF(ISNUMBER(F4159),F4159-IF(ISNUMBER(K4159),K4159,0),""),"")</f>
        <v/>
      </c>
    </row>
    <row r="4160" ht="24" customHeight="1" s="63">
      <c r="E4160" s="139" t="n"/>
      <c r="F4160" s="139" t="n"/>
      <c r="G4160" s="140">
        <f>IFERROR(IF(E4160&gt;0,(F4160/E4160)*1000,""),"")</f>
        <v/>
      </c>
      <c r="H4160" s="139">
        <f>IFERROR(IF(E4160&gt;0,E4160*IF(ISNUMBER(J4160),J4160,IF(OR(C4160="Alpha",B4160="Alpha"),$C$7,IF(C4160="Futures",$C$6,$C$5))),""),"")</f>
        <v/>
      </c>
      <c r="I4160" s="139">
        <f>IFERROR(IF(AND(ISNUMBER(F4160),ISNUMBER(H4160)),F4160-H4160,""),"")</f>
        <v/>
      </c>
      <c r="J4160" s="114" t="n"/>
      <c r="K4160" s="139">
        <f>IFERROR(IF(H4160&gt;0,H4160*IF(OR(C4160="Alpha",B4160="Alpha"),$C$9,$C$8),""),"")</f>
        <v/>
      </c>
      <c r="L4160" s="139">
        <f>IFERROR(IF(ISNUMBER(F4160),F4160-IF(ISNUMBER(K4160),K4160,0),""),"")</f>
        <v/>
      </c>
    </row>
    <row r="4161" ht="24" customHeight="1" s="63">
      <c r="E4161" s="139" t="n"/>
      <c r="F4161" s="139" t="n"/>
      <c r="G4161" s="140">
        <f>IFERROR(IF(E4161&gt;0,(F4161/E4161)*1000,""),"")</f>
        <v/>
      </c>
      <c r="H4161" s="139">
        <f>IFERROR(IF(E4161&gt;0,E4161*IF(ISNUMBER(J4161),J4161,IF(OR(C4161="Alpha",B4161="Alpha"),$C$7,IF(C4161="Futures",$C$6,$C$5))),""),"")</f>
        <v/>
      </c>
      <c r="I4161" s="139">
        <f>IFERROR(IF(AND(ISNUMBER(F4161),ISNUMBER(H4161)),F4161-H4161,""),"")</f>
        <v/>
      </c>
      <c r="J4161" s="114" t="n"/>
      <c r="K4161" s="139">
        <f>IFERROR(IF(H4161&gt;0,H4161*IF(OR(C4161="Alpha",B4161="Alpha"),$C$9,$C$8),""),"")</f>
        <v/>
      </c>
      <c r="L4161" s="139">
        <f>IFERROR(IF(ISNUMBER(F4161),F4161-IF(ISNUMBER(K4161),K4161,0),""),"")</f>
        <v/>
      </c>
    </row>
    <row r="4162" ht="24" customHeight="1" s="63">
      <c r="E4162" s="139" t="n"/>
      <c r="F4162" s="139" t="n"/>
      <c r="G4162" s="140">
        <f>IFERROR(IF(E4162&gt;0,(F4162/E4162)*1000,""),"")</f>
        <v/>
      </c>
      <c r="H4162" s="139">
        <f>IFERROR(IF(E4162&gt;0,E4162*IF(ISNUMBER(J4162),J4162,IF(OR(C4162="Alpha",B4162="Alpha"),$C$7,IF(C4162="Futures",$C$6,$C$5))),""),"")</f>
        <v/>
      </c>
      <c r="I4162" s="139">
        <f>IFERROR(IF(AND(ISNUMBER(F4162),ISNUMBER(H4162)),F4162-H4162,""),"")</f>
        <v/>
      </c>
      <c r="J4162" s="114" t="n"/>
      <c r="K4162" s="139">
        <f>IFERROR(IF(H4162&gt;0,H4162*IF(OR(C4162="Alpha",B4162="Alpha"),$C$9,$C$8),""),"")</f>
        <v/>
      </c>
      <c r="L4162" s="139">
        <f>IFERROR(IF(ISNUMBER(F4162),F4162-IF(ISNUMBER(K4162),K4162,0),""),"")</f>
        <v/>
      </c>
    </row>
    <row r="4163" ht="24" customHeight="1" s="63">
      <c r="E4163" s="139" t="n"/>
      <c r="F4163" s="139" t="n"/>
      <c r="G4163" s="140">
        <f>IFERROR(IF(E4163&gt;0,(F4163/E4163)*1000,""),"")</f>
        <v/>
      </c>
      <c r="H4163" s="139">
        <f>IFERROR(IF(E4163&gt;0,E4163*IF(ISNUMBER(J4163),J4163,IF(OR(C4163="Alpha",B4163="Alpha"),$C$7,IF(C4163="Futures",$C$6,$C$5))),""),"")</f>
        <v/>
      </c>
      <c r="I4163" s="139">
        <f>IFERROR(IF(AND(ISNUMBER(F4163),ISNUMBER(H4163)),F4163-H4163,""),"")</f>
        <v/>
      </c>
      <c r="J4163" s="114" t="n"/>
      <c r="K4163" s="139">
        <f>IFERROR(IF(H4163&gt;0,H4163*IF(OR(C4163="Alpha",B4163="Alpha"),$C$9,$C$8),""),"")</f>
        <v/>
      </c>
      <c r="L4163" s="139">
        <f>IFERROR(IF(ISNUMBER(F4163),F4163-IF(ISNUMBER(K4163),K4163,0),""),"")</f>
        <v/>
      </c>
    </row>
    <row r="4164" ht="24" customHeight="1" s="63">
      <c r="E4164" s="139" t="n"/>
      <c r="F4164" s="139" t="n"/>
      <c r="G4164" s="140">
        <f>IFERROR(IF(E4164&gt;0,(F4164/E4164)*1000,""),"")</f>
        <v/>
      </c>
      <c r="H4164" s="139">
        <f>IFERROR(IF(E4164&gt;0,E4164*IF(ISNUMBER(J4164),J4164,IF(OR(C4164="Alpha",B4164="Alpha"),$C$7,IF(C4164="Futures",$C$6,$C$5))),""),"")</f>
        <v/>
      </c>
      <c r="I4164" s="139">
        <f>IFERROR(IF(AND(ISNUMBER(F4164),ISNUMBER(H4164)),F4164-H4164,""),"")</f>
        <v/>
      </c>
      <c r="J4164" s="114" t="n"/>
      <c r="K4164" s="139">
        <f>IFERROR(IF(H4164&gt;0,H4164*IF(OR(C4164="Alpha",B4164="Alpha"),$C$9,$C$8),""),"")</f>
        <v/>
      </c>
      <c r="L4164" s="139">
        <f>IFERROR(IF(ISNUMBER(F4164),F4164-IF(ISNUMBER(K4164),K4164,0),""),"")</f>
        <v/>
      </c>
    </row>
    <row r="4165" ht="24" customHeight="1" s="63">
      <c r="E4165" s="139" t="n"/>
      <c r="F4165" s="139" t="n"/>
      <c r="G4165" s="140">
        <f>IFERROR(IF(E4165&gt;0,(F4165/E4165)*1000,""),"")</f>
        <v/>
      </c>
      <c r="H4165" s="139">
        <f>IFERROR(IF(E4165&gt;0,E4165*IF(ISNUMBER(J4165),J4165,IF(OR(C4165="Alpha",B4165="Alpha"),$C$7,IF(C4165="Futures",$C$6,$C$5))),""),"")</f>
        <v/>
      </c>
      <c r="I4165" s="139">
        <f>IFERROR(IF(AND(ISNUMBER(F4165),ISNUMBER(H4165)),F4165-H4165,""),"")</f>
        <v/>
      </c>
      <c r="J4165" s="114" t="n"/>
      <c r="K4165" s="139">
        <f>IFERROR(IF(H4165&gt;0,H4165*IF(OR(C4165="Alpha",B4165="Alpha"),$C$9,$C$8),""),"")</f>
        <v/>
      </c>
      <c r="L4165" s="139">
        <f>IFERROR(IF(ISNUMBER(F4165),F4165-IF(ISNUMBER(K4165),K4165,0),""),"")</f>
        <v/>
      </c>
    </row>
    <row r="4166" ht="24" customHeight="1" s="63">
      <c r="E4166" s="139" t="n"/>
      <c r="F4166" s="139" t="n"/>
      <c r="G4166" s="140">
        <f>IFERROR(IF(E4166&gt;0,(F4166/E4166)*1000,""),"")</f>
        <v/>
      </c>
      <c r="H4166" s="139">
        <f>IFERROR(IF(E4166&gt;0,E4166*IF(ISNUMBER(J4166),J4166,IF(OR(C4166="Alpha",B4166="Alpha"),$C$7,IF(C4166="Futures",$C$6,$C$5))),""),"")</f>
        <v/>
      </c>
      <c r="I4166" s="139">
        <f>IFERROR(IF(AND(ISNUMBER(F4166),ISNUMBER(H4166)),F4166-H4166,""),"")</f>
        <v/>
      </c>
      <c r="J4166" s="114" t="n"/>
      <c r="K4166" s="139">
        <f>IFERROR(IF(H4166&gt;0,H4166*IF(OR(C4166="Alpha",B4166="Alpha"),$C$9,$C$8),""),"")</f>
        <v/>
      </c>
      <c r="L4166" s="139">
        <f>IFERROR(IF(ISNUMBER(F4166),F4166-IF(ISNUMBER(K4166),K4166,0),""),"")</f>
        <v/>
      </c>
    </row>
    <row r="4167" ht="24" customHeight="1" s="63">
      <c r="E4167" s="139" t="n"/>
      <c r="F4167" s="139" t="n"/>
      <c r="G4167" s="140">
        <f>IFERROR(IF(E4167&gt;0,(F4167/E4167)*1000,""),"")</f>
        <v/>
      </c>
      <c r="H4167" s="139">
        <f>IFERROR(IF(E4167&gt;0,E4167*IF(ISNUMBER(J4167),J4167,IF(OR(C4167="Alpha",B4167="Alpha"),$C$7,IF(C4167="Futures",$C$6,$C$5))),""),"")</f>
        <v/>
      </c>
      <c r="I4167" s="139">
        <f>IFERROR(IF(AND(ISNUMBER(F4167),ISNUMBER(H4167)),F4167-H4167,""),"")</f>
        <v/>
      </c>
      <c r="J4167" s="114" t="n"/>
      <c r="K4167" s="139">
        <f>IFERROR(IF(H4167&gt;0,H4167*IF(OR(C4167="Alpha",B4167="Alpha"),$C$9,$C$8),""),"")</f>
        <v/>
      </c>
      <c r="L4167" s="139">
        <f>IFERROR(IF(ISNUMBER(F4167),F4167-IF(ISNUMBER(K4167),K4167,0),""),"")</f>
        <v/>
      </c>
    </row>
    <row r="4168" ht="24" customHeight="1" s="63">
      <c r="E4168" s="139" t="n"/>
      <c r="F4168" s="139" t="n"/>
      <c r="G4168" s="140">
        <f>IFERROR(IF(E4168&gt;0,(F4168/E4168)*1000,""),"")</f>
        <v/>
      </c>
      <c r="H4168" s="139">
        <f>IFERROR(IF(E4168&gt;0,E4168*IF(ISNUMBER(J4168),J4168,IF(OR(C4168="Alpha",B4168="Alpha"),$C$7,IF(C4168="Futures",$C$6,$C$5))),""),"")</f>
        <v/>
      </c>
      <c r="I4168" s="139">
        <f>IFERROR(IF(AND(ISNUMBER(F4168),ISNUMBER(H4168)),F4168-H4168,""),"")</f>
        <v/>
      </c>
      <c r="J4168" s="114" t="n"/>
      <c r="K4168" s="139">
        <f>IFERROR(IF(H4168&gt;0,H4168*IF(OR(C4168="Alpha",B4168="Alpha"),$C$9,$C$8),""),"")</f>
        <v/>
      </c>
      <c r="L4168" s="139">
        <f>IFERROR(IF(ISNUMBER(F4168),F4168-IF(ISNUMBER(K4168),K4168,0),""),"")</f>
        <v/>
      </c>
    </row>
    <row r="4169" ht="24" customHeight="1" s="63">
      <c r="E4169" s="139" t="n"/>
      <c r="F4169" s="139" t="n"/>
      <c r="G4169" s="140">
        <f>IFERROR(IF(E4169&gt;0,(F4169/E4169)*1000,""),"")</f>
        <v/>
      </c>
      <c r="H4169" s="139">
        <f>IFERROR(IF(E4169&gt;0,E4169*IF(ISNUMBER(J4169),J4169,IF(OR(C4169="Alpha",B4169="Alpha"),$C$7,IF(C4169="Futures",$C$6,$C$5))),""),"")</f>
        <v/>
      </c>
      <c r="I4169" s="139">
        <f>IFERROR(IF(AND(ISNUMBER(F4169),ISNUMBER(H4169)),F4169-H4169,""),"")</f>
        <v/>
      </c>
      <c r="J4169" s="114" t="n"/>
      <c r="K4169" s="139">
        <f>IFERROR(IF(H4169&gt;0,H4169*IF(OR(C4169="Alpha",B4169="Alpha"),$C$9,$C$8),""),"")</f>
        <v/>
      </c>
      <c r="L4169" s="139">
        <f>IFERROR(IF(ISNUMBER(F4169),F4169-IF(ISNUMBER(K4169),K4169,0),""),"")</f>
        <v/>
      </c>
    </row>
    <row r="4170" ht="24" customHeight="1" s="63">
      <c r="E4170" s="139" t="n"/>
      <c r="F4170" s="139" t="n"/>
      <c r="G4170" s="140">
        <f>IFERROR(IF(E4170&gt;0,(F4170/E4170)*1000,""),"")</f>
        <v/>
      </c>
      <c r="H4170" s="139">
        <f>IFERROR(IF(E4170&gt;0,E4170*IF(ISNUMBER(J4170),J4170,IF(OR(C4170="Alpha",B4170="Alpha"),$C$7,IF(C4170="Futures",$C$6,$C$5))),""),"")</f>
        <v/>
      </c>
      <c r="I4170" s="139">
        <f>IFERROR(IF(AND(ISNUMBER(F4170),ISNUMBER(H4170)),F4170-H4170,""),"")</f>
        <v/>
      </c>
      <c r="J4170" s="114" t="n"/>
      <c r="K4170" s="139">
        <f>IFERROR(IF(H4170&gt;0,H4170*IF(OR(C4170="Alpha",B4170="Alpha"),$C$9,$C$8),""),"")</f>
        <v/>
      </c>
      <c r="L4170" s="139">
        <f>IFERROR(IF(ISNUMBER(F4170),F4170-IF(ISNUMBER(K4170),K4170,0),""),"")</f>
        <v/>
      </c>
    </row>
    <row r="4171" ht="24" customHeight="1" s="63">
      <c r="E4171" s="139" t="n"/>
      <c r="F4171" s="139" t="n"/>
      <c r="G4171" s="140">
        <f>IFERROR(IF(E4171&gt;0,(F4171/E4171)*1000,""),"")</f>
        <v/>
      </c>
      <c r="H4171" s="139">
        <f>IFERROR(IF(E4171&gt;0,E4171*IF(ISNUMBER(J4171),J4171,IF(OR(C4171="Alpha",B4171="Alpha"),$C$7,IF(C4171="Futures",$C$6,$C$5))),""),"")</f>
        <v/>
      </c>
      <c r="I4171" s="139">
        <f>IFERROR(IF(AND(ISNUMBER(F4171),ISNUMBER(H4171)),F4171-H4171,""),"")</f>
        <v/>
      </c>
      <c r="J4171" s="114" t="n"/>
      <c r="K4171" s="139">
        <f>IFERROR(IF(H4171&gt;0,H4171*IF(OR(C4171="Alpha",B4171="Alpha"),$C$9,$C$8),""),"")</f>
        <v/>
      </c>
      <c r="L4171" s="139">
        <f>IFERROR(IF(ISNUMBER(F4171),F4171-IF(ISNUMBER(K4171),K4171,0),""),"")</f>
        <v/>
      </c>
    </row>
    <row r="4172" ht="24" customHeight="1" s="63">
      <c r="E4172" s="139" t="n"/>
      <c r="F4172" s="139" t="n"/>
      <c r="G4172" s="140">
        <f>IFERROR(IF(E4172&gt;0,(F4172/E4172)*1000,""),"")</f>
        <v/>
      </c>
      <c r="H4172" s="139">
        <f>IFERROR(IF(E4172&gt;0,E4172*IF(ISNUMBER(J4172),J4172,IF(OR(C4172="Alpha",B4172="Alpha"),$C$7,IF(C4172="Futures",$C$6,$C$5))),""),"")</f>
        <v/>
      </c>
      <c r="I4172" s="139">
        <f>IFERROR(IF(AND(ISNUMBER(F4172),ISNUMBER(H4172)),F4172-H4172,""),"")</f>
        <v/>
      </c>
      <c r="J4172" s="114" t="n"/>
      <c r="K4172" s="139">
        <f>IFERROR(IF(H4172&gt;0,H4172*IF(OR(C4172="Alpha",B4172="Alpha"),$C$9,$C$8),""),"")</f>
        <v/>
      </c>
      <c r="L4172" s="139">
        <f>IFERROR(IF(ISNUMBER(F4172),F4172-IF(ISNUMBER(K4172),K4172,0),""),"")</f>
        <v/>
      </c>
    </row>
    <row r="4173" ht="24" customHeight="1" s="63">
      <c r="E4173" s="139" t="n"/>
      <c r="F4173" s="139" t="n"/>
      <c r="G4173" s="140">
        <f>IFERROR(IF(E4173&gt;0,(F4173/E4173)*1000,""),"")</f>
        <v/>
      </c>
      <c r="H4173" s="139">
        <f>IFERROR(IF(E4173&gt;0,E4173*IF(ISNUMBER(J4173),J4173,IF(OR(C4173="Alpha",B4173="Alpha"),$C$7,IF(C4173="Futures",$C$6,$C$5))),""),"")</f>
        <v/>
      </c>
      <c r="I4173" s="139">
        <f>IFERROR(IF(AND(ISNUMBER(F4173),ISNUMBER(H4173)),F4173-H4173,""),"")</f>
        <v/>
      </c>
      <c r="J4173" s="114" t="n"/>
      <c r="K4173" s="139">
        <f>IFERROR(IF(H4173&gt;0,H4173*IF(OR(C4173="Alpha",B4173="Alpha"),$C$9,$C$8),""),"")</f>
        <v/>
      </c>
      <c r="L4173" s="139">
        <f>IFERROR(IF(ISNUMBER(F4173),F4173-IF(ISNUMBER(K4173),K4173,0),""),"")</f>
        <v/>
      </c>
    </row>
    <row r="4174" ht="24" customHeight="1" s="63">
      <c r="E4174" s="139" t="n"/>
      <c r="F4174" s="139" t="n"/>
      <c r="G4174" s="140">
        <f>IFERROR(IF(E4174&gt;0,(F4174/E4174)*1000,""),"")</f>
        <v/>
      </c>
      <c r="H4174" s="139">
        <f>IFERROR(IF(E4174&gt;0,E4174*IF(ISNUMBER(J4174),J4174,IF(OR(C4174="Alpha",B4174="Alpha"),$C$7,IF(C4174="Futures",$C$6,$C$5))),""),"")</f>
        <v/>
      </c>
      <c r="I4174" s="139">
        <f>IFERROR(IF(AND(ISNUMBER(F4174),ISNUMBER(H4174)),F4174-H4174,""),"")</f>
        <v/>
      </c>
      <c r="J4174" s="114" t="n"/>
      <c r="K4174" s="139">
        <f>IFERROR(IF(H4174&gt;0,H4174*IF(OR(C4174="Alpha",B4174="Alpha"),$C$9,$C$8),""),"")</f>
        <v/>
      </c>
      <c r="L4174" s="139">
        <f>IFERROR(IF(ISNUMBER(F4174),F4174-IF(ISNUMBER(K4174),K4174,0),""),"")</f>
        <v/>
      </c>
    </row>
    <row r="4175" ht="24" customHeight="1" s="63">
      <c r="E4175" s="139" t="n"/>
      <c r="F4175" s="139" t="n"/>
      <c r="G4175" s="140">
        <f>IFERROR(IF(E4175&gt;0,(F4175/E4175)*1000,""),"")</f>
        <v/>
      </c>
      <c r="H4175" s="139">
        <f>IFERROR(IF(E4175&gt;0,E4175*IF(ISNUMBER(J4175),J4175,IF(OR(C4175="Alpha",B4175="Alpha"),$C$7,IF(C4175="Futures",$C$6,$C$5))),""),"")</f>
        <v/>
      </c>
      <c r="I4175" s="139">
        <f>IFERROR(IF(AND(ISNUMBER(F4175),ISNUMBER(H4175)),F4175-H4175,""),"")</f>
        <v/>
      </c>
      <c r="J4175" s="114" t="n"/>
      <c r="K4175" s="139">
        <f>IFERROR(IF(H4175&gt;0,H4175*IF(OR(C4175="Alpha",B4175="Alpha"),$C$9,$C$8),""),"")</f>
        <v/>
      </c>
      <c r="L4175" s="139">
        <f>IFERROR(IF(ISNUMBER(F4175),F4175-IF(ISNUMBER(K4175),K4175,0),""),"")</f>
        <v/>
      </c>
    </row>
    <row r="4176" ht="24" customHeight="1" s="63">
      <c r="E4176" s="139" t="n"/>
      <c r="F4176" s="139" t="n"/>
      <c r="G4176" s="140">
        <f>IFERROR(IF(E4176&gt;0,(F4176/E4176)*1000,""),"")</f>
        <v/>
      </c>
      <c r="H4176" s="139">
        <f>IFERROR(IF(E4176&gt;0,E4176*IF(ISNUMBER(J4176),J4176,IF(OR(C4176="Alpha",B4176="Alpha"),$C$7,IF(C4176="Futures",$C$6,$C$5))),""),"")</f>
        <v/>
      </c>
      <c r="I4176" s="139">
        <f>IFERROR(IF(AND(ISNUMBER(F4176),ISNUMBER(H4176)),F4176-H4176,""),"")</f>
        <v/>
      </c>
      <c r="J4176" s="114" t="n"/>
      <c r="K4176" s="139">
        <f>IFERROR(IF(H4176&gt;0,H4176*IF(OR(C4176="Alpha",B4176="Alpha"),$C$9,$C$8),""),"")</f>
        <v/>
      </c>
      <c r="L4176" s="139">
        <f>IFERROR(IF(ISNUMBER(F4176),F4176-IF(ISNUMBER(K4176),K4176,0),""),"")</f>
        <v/>
      </c>
    </row>
    <row r="4177" ht="24" customHeight="1" s="63">
      <c r="E4177" s="139" t="n"/>
      <c r="F4177" s="139" t="n"/>
      <c r="G4177" s="140">
        <f>IFERROR(IF(E4177&gt;0,(F4177/E4177)*1000,""),"")</f>
        <v/>
      </c>
      <c r="H4177" s="139">
        <f>IFERROR(IF(E4177&gt;0,E4177*IF(ISNUMBER(J4177),J4177,IF(OR(C4177="Alpha",B4177="Alpha"),$C$7,IF(C4177="Futures",$C$6,$C$5))),""),"")</f>
        <v/>
      </c>
      <c r="I4177" s="139">
        <f>IFERROR(IF(AND(ISNUMBER(F4177),ISNUMBER(H4177)),F4177-H4177,""),"")</f>
        <v/>
      </c>
      <c r="J4177" s="114" t="n"/>
      <c r="K4177" s="139">
        <f>IFERROR(IF(H4177&gt;0,H4177*IF(OR(C4177="Alpha",B4177="Alpha"),$C$9,$C$8),""),"")</f>
        <v/>
      </c>
      <c r="L4177" s="139">
        <f>IFERROR(IF(ISNUMBER(F4177),F4177-IF(ISNUMBER(K4177),K4177,0),""),"")</f>
        <v/>
      </c>
    </row>
    <row r="4178" ht="24" customHeight="1" s="63">
      <c r="E4178" s="139" t="n"/>
      <c r="F4178" s="139" t="n"/>
      <c r="G4178" s="140">
        <f>IFERROR(IF(E4178&gt;0,(F4178/E4178)*1000,""),"")</f>
        <v/>
      </c>
      <c r="H4178" s="139">
        <f>IFERROR(IF(E4178&gt;0,E4178*IF(ISNUMBER(J4178),J4178,IF(OR(C4178="Alpha",B4178="Alpha"),$C$7,IF(C4178="Futures",$C$6,$C$5))),""),"")</f>
        <v/>
      </c>
      <c r="I4178" s="139">
        <f>IFERROR(IF(AND(ISNUMBER(F4178),ISNUMBER(H4178)),F4178-H4178,""),"")</f>
        <v/>
      </c>
      <c r="J4178" s="114" t="n"/>
      <c r="K4178" s="139">
        <f>IFERROR(IF(H4178&gt;0,H4178*IF(OR(C4178="Alpha",B4178="Alpha"),$C$9,$C$8),""),"")</f>
        <v/>
      </c>
      <c r="L4178" s="139">
        <f>IFERROR(IF(ISNUMBER(F4178),F4178-IF(ISNUMBER(K4178),K4178,0),""),"")</f>
        <v/>
      </c>
    </row>
    <row r="4179" ht="24" customHeight="1" s="63">
      <c r="E4179" s="139" t="n"/>
      <c r="F4179" s="139" t="n"/>
      <c r="G4179" s="140">
        <f>IFERROR(IF(E4179&gt;0,(F4179/E4179)*1000,""),"")</f>
        <v/>
      </c>
      <c r="H4179" s="139">
        <f>IFERROR(IF(E4179&gt;0,E4179*IF(ISNUMBER(J4179),J4179,IF(OR(C4179="Alpha",B4179="Alpha"),$C$7,IF(C4179="Futures",$C$6,$C$5))),""),"")</f>
        <v/>
      </c>
      <c r="I4179" s="139">
        <f>IFERROR(IF(AND(ISNUMBER(F4179),ISNUMBER(H4179)),F4179-H4179,""),"")</f>
        <v/>
      </c>
      <c r="J4179" s="114" t="n"/>
      <c r="K4179" s="139">
        <f>IFERROR(IF(H4179&gt;0,H4179*IF(OR(C4179="Alpha",B4179="Alpha"),$C$9,$C$8),""),"")</f>
        <v/>
      </c>
      <c r="L4179" s="139">
        <f>IFERROR(IF(ISNUMBER(F4179),F4179-IF(ISNUMBER(K4179),K4179,0),""),"")</f>
        <v/>
      </c>
    </row>
    <row r="4180" ht="24" customHeight="1" s="63">
      <c r="E4180" s="139" t="n"/>
      <c r="F4180" s="139" t="n"/>
      <c r="G4180" s="140">
        <f>IFERROR(IF(E4180&gt;0,(F4180/E4180)*1000,""),"")</f>
        <v/>
      </c>
      <c r="H4180" s="139">
        <f>IFERROR(IF(E4180&gt;0,E4180*IF(ISNUMBER(J4180),J4180,IF(OR(C4180="Alpha",B4180="Alpha"),$C$7,IF(C4180="Futures",$C$6,$C$5))),""),"")</f>
        <v/>
      </c>
      <c r="I4180" s="139">
        <f>IFERROR(IF(AND(ISNUMBER(F4180),ISNUMBER(H4180)),F4180-H4180,""),"")</f>
        <v/>
      </c>
      <c r="J4180" s="114" t="n"/>
      <c r="K4180" s="139">
        <f>IFERROR(IF(H4180&gt;0,H4180*IF(OR(C4180="Alpha",B4180="Alpha"),$C$9,$C$8),""),"")</f>
        <v/>
      </c>
      <c r="L4180" s="139">
        <f>IFERROR(IF(ISNUMBER(F4180),F4180-IF(ISNUMBER(K4180),K4180,0),""),"")</f>
        <v/>
      </c>
    </row>
    <row r="4181" ht="24" customHeight="1" s="63">
      <c r="E4181" s="139" t="n"/>
      <c r="F4181" s="139" t="n"/>
      <c r="G4181" s="140">
        <f>IFERROR(IF(E4181&gt;0,(F4181/E4181)*1000,""),"")</f>
        <v/>
      </c>
      <c r="H4181" s="139">
        <f>IFERROR(IF(E4181&gt;0,E4181*IF(ISNUMBER(J4181),J4181,IF(OR(C4181="Alpha",B4181="Alpha"),$C$7,IF(C4181="Futures",$C$6,$C$5))),""),"")</f>
        <v/>
      </c>
      <c r="I4181" s="139">
        <f>IFERROR(IF(AND(ISNUMBER(F4181),ISNUMBER(H4181)),F4181-H4181,""),"")</f>
        <v/>
      </c>
      <c r="J4181" s="114" t="n"/>
      <c r="K4181" s="139">
        <f>IFERROR(IF(H4181&gt;0,H4181*IF(OR(C4181="Alpha",B4181="Alpha"),$C$9,$C$8),""),"")</f>
        <v/>
      </c>
      <c r="L4181" s="139">
        <f>IFERROR(IF(ISNUMBER(F4181),F4181-IF(ISNUMBER(K4181),K4181,0),""),"")</f>
        <v/>
      </c>
    </row>
    <row r="4182" ht="24" customHeight="1" s="63">
      <c r="E4182" s="139" t="n"/>
      <c r="F4182" s="139" t="n"/>
      <c r="G4182" s="140">
        <f>IFERROR(IF(E4182&gt;0,(F4182/E4182)*1000,""),"")</f>
        <v/>
      </c>
      <c r="H4182" s="139">
        <f>IFERROR(IF(E4182&gt;0,E4182*IF(ISNUMBER(J4182),J4182,IF(OR(C4182="Alpha",B4182="Alpha"),$C$7,IF(C4182="Futures",$C$6,$C$5))),""),"")</f>
        <v/>
      </c>
      <c r="I4182" s="139">
        <f>IFERROR(IF(AND(ISNUMBER(F4182),ISNUMBER(H4182)),F4182-H4182,""),"")</f>
        <v/>
      </c>
      <c r="J4182" s="114" t="n"/>
      <c r="K4182" s="139">
        <f>IFERROR(IF(H4182&gt;0,H4182*IF(OR(C4182="Alpha",B4182="Alpha"),$C$9,$C$8),""),"")</f>
        <v/>
      </c>
      <c r="L4182" s="139">
        <f>IFERROR(IF(ISNUMBER(F4182),F4182-IF(ISNUMBER(K4182),K4182,0),""),"")</f>
        <v/>
      </c>
    </row>
    <row r="4183" ht="24" customHeight="1" s="63">
      <c r="E4183" s="139" t="n"/>
      <c r="F4183" s="139" t="n"/>
      <c r="G4183" s="140">
        <f>IFERROR(IF(E4183&gt;0,(F4183/E4183)*1000,""),"")</f>
        <v/>
      </c>
      <c r="H4183" s="139">
        <f>IFERROR(IF(E4183&gt;0,E4183*IF(ISNUMBER(J4183),J4183,IF(OR(C4183="Alpha",B4183="Alpha"),$C$7,IF(C4183="Futures",$C$6,$C$5))),""),"")</f>
        <v/>
      </c>
      <c r="I4183" s="139">
        <f>IFERROR(IF(AND(ISNUMBER(F4183),ISNUMBER(H4183)),F4183-H4183,""),"")</f>
        <v/>
      </c>
      <c r="J4183" s="114" t="n"/>
      <c r="K4183" s="139">
        <f>IFERROR(IF(H4183&gt;0,H4183*IF(OR(C4183="Alpha",B4183="Alpha"),$C$9,$C$8),""),"")</f>
        <v/>
      </c>
      <c r="L4183" s="139">
        <f>IFERROR(IF(ISNUMBER(F4183),F4183-IF(ISNUMBER(K4183),K4183,0),""),"")</f>
        <v/>
      </c>
    </row>
    <row r="4184" ht="24" customHeight="1" s="63">
      <c r="E4184" s="139" t="n"/>
      <c r="F4184" s="139" t="n"/>
      <c r="G4184" s="140">
        <f>IFERROR(IF(E4184&gt;0,(F4184/E4184)*1000,""),"")</f>
        <v/>
      </c>
      <c r="H4184" s="139">
        <f>IFERROR(IF(E4184&gt;0,E4184*IF(ISNUMBER(J4184),J4184,IF(OR(C4184="Alpha",B4184="Alpha"),$C$7,IF(C4184="Futures",$C$6,$C$5))),""),"")</f>
        <v/>
      </c>
      <c r="I4184" s="139">
        <f>IFERROR(IF(AND(ISNUMBER(F4184),ISNUMBER(H4184)),F4184-H4184,""),"")</f>
        <v/>
      </c>
      <c r="J4184" s="114" t="n"/>
      <c r="K4184" s="139">
        <f>IFERROR(IF(H4184&gt;0,H4184*IF(OR(C4184="Alpha",B4184="Alpha"),$C$9,$C$8),""),"")</f>
        <v/>
      </c>
      <c r="L4184" s="139">
        <f>IFERROR(IF(ISNUMBER(F4184),F4184-IF(ISNUMBER(K4184),K4184,0),""),"")</f>
        <v/>
      </c>
    </row>
    <row r="4185" ht="24" customHeight="1" s="63">
      <c r="E4185" s="139" t="n"/>
      <c r="F4185" s="139" t="n"/>
      <c r="G4185" s="140">
        <f>IFERROR(IF(E4185&gt;0,(F4185/E4185)*1000,""),"")</f>
        <v/>
      </c>
      <c r="H4185" s="139">
        <f>IFERROR(IF(E4185&gt;0,E4185*IF(ISNUMBER(J4185),J4185,IF(OR(C4185="Alpha",B4185="Alpha"),$C$7,IF(C4185="Futures",$C$6,$C$5))),""),"")</f>
        <v/>
      </c>
      <c r="I4185" s="139">
        <f>IFERROR(IF(AND(ISNUMBER(F4185),ISNUMBER(H4185)),F4185-H4185,""),"")</f>
        <v/>
      </c>
      <c r="J4185" s="114" t="n"/>
      <c r="K4185" s="139">
        <f>IFERROR(IF(H4185&gt;0,H4185*IF(OR(C4185="Alpha",B4185="Alpha"),$C$9,$C$8),""),"")</f>
        <v/>
      </c>
      <c r="L4185" s="139">
        <f>IFERROR(IF(ISNUMBER(F4185),F4185-IF(ISNUMBER(K4185),K4185,0),""),"")</f>
        <v/>
      </c>
    </row>
    <row r="4186" ht="24" customHeight="1" s="63">
      <c r="E4186" s="139" t="n"/>
      <c r="F4186" s="139" t="n"/>
      <c r="G4186" s="140">
        <f>IFERROR(IF(E4186&gt;0,(F4186/E4186)*1000,""),"")</f>
        <v/>
      </c>
      <c r="H4186" s="139">
        <f>IFERROR(IF(E4186&gt;0,E4186*IF(ISNUMBER(J4186),J4186,IF(OR(C4186="Alpha",B4186="Alpha"),$C$7,IF(C4186="Futures",$C$6,$C$5))),""),"")</f>
        <v/>
      </c>
      <c r="I4186" s="139">
        <f>IFERROR(IF(AND(ISNUMBER(F4186),ISNUMBER(H4186)),F4186-H4186,""),"")</f>
        <v/>
      </c>
      <c r="J4186" s="114" t="n"/>
      <c r="K4186" s="139">
        <f>IFERROR(IF(H4186&gt;0,H4186*IF(OR(C4186="Alpha",B4186="Alpha"),$C$9,$C$8),""),"")</f>
        <v/>
      </c>
      <c r="L4186" s="139">
        <f>IFERROR(IF(ISNUMBER(F4186),F4186-IF(ISNUMBER(K4186),K4186,0),""),"")</f>
        <v/>
      </c>
    </row>
    <row r="4187" ht="24" customHeight="1" s="63">
      <c r="E4187" s="139" t="n"/>
      <c r="F4187" s="139" t="n"/>
      <c r="G4187" s="140">
        <f>IFERROR(IF(E4187&gt;0,(F4187/E4187)*1000,""),"")</f>
        <v/>
      </c>
      <c r="H4187" s="139">
        <f>IFERROR(IF(E4187&gt;0,E4187*IF(ISNUMBER(J4187),J4187,IF(OR(C4187="Alpha",B4187="Alpha"),$C$7,IF(C4187="Futures",$C$6,$C$5))),""),"")</f>
        <v/>
      </c>
      <c r="I4187" s="139">
        <f>IFERROR(IF(AND(ISNUMBER(F4187),ISNUMBER(H4187)),F4187-H4187,""),"")</f>
        <v/>
      </c>
      <c r="J4187" s="114" t="n"/>
      <c r="K4187" s="139">
        <f>IFERROR(IF(H4187&gt;0,H4187*IF(OR(C4187="Alpha",B4187="Alpha"),$C$9,$C$8),""),"")</f>
        <v/>
      </c>
      <c r="L4187" s="139">
        <f>IFERROR(IF(ISNUMBER(F4187),F4187-IF(ISNUMBER(K4187),K4187,0),""),"")</f>
        <v/>
      </c>
    </row>
    <row r="4188" ht="24" customHeight="1" s="63">
      <c r="E4188" s="139" t="n"/>
      <c r="F4188" s="139" t="n"/>
      <c r="G4188" s="140">
        <f>IFERROR(IF(E4188&gt;0,(F4188/E4188)*1000,""),"")</f>
        <v/>
      </c>
      <c r="H4188" s="139">
        <f>IFERROR(IF(E4188&gt;0,E4188*IF(ISNUMBER(J4188),J4188,IF(OR(C4188="Alpha",B4188="Alpha"),$C$7,IF(C4188="Futures",$C$6,$C$5))),""),"")</f>
        <v/>
      </c>
      <c r="I4188" s="139">
        <f>IFERROR(IF(AND(ISNUMBER(F4188),ISNUMBER(H4188)),F4188-H4188,""),"")</f>
        <v/>
      </c>
      <c r="J4188" s="114" t="n"/>
      <c r="K4188" s="139">
        <f>IFERROR(IF(H4188&gt;0,H4188*IF(OR(C4188="Alpha",B4188="Alpha"),$C$9,$C$8),""),"")</f>
        <v/>
      </c>
      <c r="L4188" s="139">
        <f>IFERROR(IF(ISNUMBER(F4188),F4188-IF(ISNUMBER(K4188),K4188,0),""),"")</f>
        <v/>
      </c>
    </row>
    <row r="4189" ht="24" customHeight="1" s="63">
      <c r="E4189" s="139" t="n"/>
      <c r="F4189" s="139" t="n"/>
      <c r="G4189" s="140">
        <f>IFERROR(IF(E4189&gt;0,(F4189/E4189)*1000,""),"")</f>
        <v/>
      </c>
      <c r="H4189" s="139">
        <f>IFERROR(IF(E4189&gt;0,E4189*IF(ISNUMBER(J4189),J4189,IF(OR(C4189="Alpha",B4189="Alpha"),$C$7,IF(C4189="Futures",$C$6,$C$5))),""),"")</f>
        <v/>
      </c>
      <c r="I4189" s="139">
        <f>IFERROR(IF(AND(ISNUMBER(F4189),ISNUMBER(H4189)),F4189-H4189,""),"")</f>
        <v/>
      </c>
      <c r="J4189" s="114" t="n"/>
      <c r="K4189" s="139">
        <f>IFERROR(IF(H4189&gt;0,H4189*IF(OR(C4189="Alpha",B4189="Alpha"),$C$9,$C$8),""),"")</f>
        <v/>
      </c>
      <c r="L4189" s="139">
        <f>IFERROR(IF(ISNUMBER(F4189),F4189-IF(ISNUMBER(K4189),K4189,0),""),"")</f>
        <v/>
      </c>
    </row>
    <row r="4190" ht="24" customHeight="1" s="63">
      <c r="E4190" s="139" t="n"/>
      <c r="F4190" s="139" t="n"/>
      <c r="G4190" s="140">
        <f>IFERROR(IF(E4190&gt;0,(F4190/E4190)*1000,""),"")</f>
        <v/>
      </c>
      <c r="H4190" s="139">
        <f>IFERROR(IF(E4190&gt;0,E4190*IF(ISNUMBER(J4190),J4190,IF(OR(C4190="Alpha",B4190="Alpha"),$C$7,IF(C4190="Futures",$C$6,$C$5))),""),"")</f>
        <v/>
      </c>
      <c r="I4190" s="139">
        <f>IFERROR(IF(AND(ISNUMBER(F4190),ISNUMBER(H4190)),F4190-H4190,""),"")</f>
        <v/>
      </c>
      <c r="J4190" s="114" t="n"/>
      <c r="K4190" s="139">
        <f>IFERROR(IF(H4190&gt;0,H4190*IF(OR(C4190="Alpha",B4190="Alpha"),$C$9,$C$8),""),"")</f>
        <v/>
      </c>
      <c r="L4190" s="139">
        <f>IFERROR(IF(ISNUMBER(F4190),F4190-IF(ISNUMBER(K4190),K4190,0),""),"")</f>
        <v/>
      </c>
    </row>
    <row r="4191" ht="24" customHeight="1" s="63">
      <c r="E4191" s="139" t="n"/>
      <c r="F4191" s="139" t="n"/>
      <c r="G4191" s="140">
        <f>IFERROR(IF(E4191&gt;0,(F4191/E4191)*1000,""),"")</f>
        <v/>
      </c>
      <c r="H4191" s="139">
        <f>IFERROR(IF(E4191&gt;0,E4191*IF(ISNUMBER(J4191),J4191,IF(OR(C4191="Alpha",B4191="Alpha"),$C$7,IF(C4191="Futures",$C$6,$C$5))),""),"")</f>
        <v/>
      </c>
      <c r="I4191" s="139">
        <f>IFERROR(IF(AND(ISNUMBER(F4191),ISNUMBER(H4191)),F4191-H4191,""),"")</f>
        <v/>
      </c>
      <c r="J4191" s="114" t="n"/>
      <c r="K4191" s="139">
        <f>IFERROR(IF(H4191&gt;0,H4191*IF(OR(C4191="Alpha",B4191="Alpha"),$C$9,$C$8),""),"")</f>
        <v/>
      </c>
      <c r="L4191" s="139">
        <f>IFERROR(IF(ISNUMBER(F4191),F4191-IF(ISNUMBER(K4191),K4191,0),""),"")</f>
        <v/>
      </c>
    </row>
    <row r="4192" ht="24" customHeight="1" s="63">
      <c r="E4192" s="139" t="n"/>
      <c r="F4192" s="139" t="n"/>
      <c r="G4192" s="140">
        <f>IFERROR(IF(E4192&gt;0,(F4192/E4192)*1000,""),"")</f>
        <v/>
      </c>
      <c r="H4192" s="139">
        <f>IFERROR(IF(E4192&gt;0,E4192*IF(ISNUMBER(J4192),J4192,IF(OR(C4192="Alpha",B4192="Alpha"),$C$7,IF(C4192="Futures",$C$6,$C$5))),""),"")</f>
        <v/>
      </c>
      <c r="I4192" s="139">
        <f>IFERROR(IF(AND(ISNUMBER(F4192),ISNUMBER(H4192)),F4192-H4192,""),"")</f>
        <v/>
      </c>
      <c r="J4192" s="114" t="n"/>
      <c r="K4192" s="139">
        <f>IFERROR(IF(H4192&gt;0,H4192*IF(OR(C4192="Alpha",B4192="Alpha"),$C$9,$C$8),""),"")</f>
        <v/>
      </c>
      <c r="L4192" s="139">
        <f>IFERROR(IF(ISNUMBER(F4192),F4192-IF(ISNUMBER(K4192),K4192,0),""),"")</f>
        <v/>
      </c>
    </row>
    <row r="4193" ht="24" customHeight="1" s="63">
      <c r="E4193" s="139" t="n"/>
      <c r="F4193" s="139" t="n"/>
      <c r="G4193" s="140">
        <f>IFERROR(IF(E4193&gt;0,(F4193/E4193)*1000,""),"")</f>
        <v/>
      </c>
      <c r="H4193" s="139">
        <f>IFERROR(IF(E4193&gt;0,E4193*IF(ISNUMBER(J4193),J4193,IF(OR(C4193="Alpha",B4193="Alpha"),$C$7,IF(C4193="Futures",$C$6,$C$5))),""),"")</f>
        <v/>
      </c>
      <c r="I4193" s="139">
        <f>IFERROR(IF(AND(ISNUMBER(F4193),ISNUMBER(H4193)),F4193-H4193,""),"")</f>
        <v/>
      </c>
      <c r="J4193" s="114" t="n"/>
      <c r="K4193" s="139">
        <f>IFERROR(IF(H4193&gt;0,H4193*IF(OR(C4193="Alpha",B4193="Alpha"),$C$9,$C$8),""),"")</f>
        <v/>
      </c>
      <c r="L4193" s="139">
        <f>IFERROR(IF(ISNUMBER(F4193),F4193-IF(ISNUMBER(K4193),K4193,0),""),"")</f>
        <v/>
      </c>
    </row>
    <row r="4194" ht="24" customHeight="1" s="63">
      <c r="E4194" s="139" t="n"/>
      <c r="F4194" s="139" t="n"/>
      <c r="G4194" s="140">
        <f>IFERROR(IF(E4194&gt;0,(F4194/E4194)*1000,""),"")</f>
        <v/>
      </c>
      <c r="H4194" s="139">
        <f>IFERROR(IF(E4194&gt;0,E4194*IF(ISNUMBER(J4194),J4194,IF(OR(C4194="Alpha",B4194="Alpha"),$C$7,IF(C4194="Futures",$C$6,$C$5))),""),"")</f>
        <v/>
      </c>
      <c r="I4194" s="139">
        <f>IFERROR(IF(AND(ISNUMBER(F4194),ISNUMBER(H4194)),F4194-H4194,""),"")</f>
        <v/>
      </c>
      <c r="J4194" s="114" t="n"/>
      <c r="K4194" s="139">
        <f>IFERROR(IF(H4194&gt;0,H4194*IF(OR(C4194="Alpha",B4194="Alpha"),$C$9,$C$8),""),"")</f>
        <v/>
      </c>
      <c r="L4194" s="139">
        <f>IFERROR(IF(ISNUMBER(F4194),F4194-IF(ISNUMBER(K4194),K4194,0),""),"")</f>
        <v/>
      </c>
    </row>
    <row r="4195" ht="24" customHeight="1" s="63">
      <c r="E4195" s="139" t="n"/>
      <c r="F4195" s="139" t="n"/>
      <c r="G4195" s="140">
        <f>IFERROR(IF(E4195&gt;0,(F4195/E4195)*1000,""),"")</f>
        <v/>
      </c>
      <c r="H4195" s="139">
        <f>IFERROR(IF(E4195&gt;0,E4195*IF(ISNUMBER(J4195),J4195,IF(OR(C4195="Alpha",B4195="Alpha"),$C$7,IF(C4195="Futures",$C$6,$C$5))),""),"")</f>
        <v/>
      </c>
      <c r="I4195" s="139">
        <f>IFERROR(IF(AND(ISNUMBER(F4195),ISNUMBER(H4195)),F4195-H4195,""),"")</f>
        <v/>
      </c>
      <c r="J4195" s="114" t="n"/>
      <c r="K4195" s="139">
        <f>IFERROR(IF(H4195&gt;0,H4195*IF(OR(C4195="Alpha",B4195="Alpha"),$C$9,$C$8),""),"")</f>
        <v/>
      </c>
      <c r="L4195" s="139">
        <f>IFERROR(IF(ISNUMBER(F4195),F4195-IF(ISNUMBER(K4195),K4195,0),""),"")</f>
        <v/>
      </c>
    </row>
    <row r="4196" ht="24" customHeight="1" s="63">
      <c r="E4196" s="139" t="n"/>
      <c r="F4196" s="139" t="n"/>
      <c r="G4196" s="140">
        <f>IFERROR(IF(E4196&gt;0,(F4196/E4196)*1000,""),"")</f>
        <v/>
      </c>
      <c r="H4196" s="139">
        <f>IFERROR(IF(E4196&gt;0,E4196*IF(ISNUMBER(J4196),J4196,IF(OR(C4196="Alpha",B4196="Alpha"),$C$7,IF(C4196="Futures",$C$6,$C$5))),""),"")</f>
        <v/>
      </c>
      <c r="I4196" s="139">
        <f>IFERROR(IF(AND(ISNUMBER(F4196),ISNUMBER(H4196)),F4196-H4196,""),"")</f>
        <v/>
      </c>
      <c r="J4196" s="114" t="n"/>
      <c r="K4196" s="139">
        <f>IFERROR(IF(H4196&gt;0,H4196*IF(OR(C4196="Alpha",B4196="Alpha"),$C$9,$C$8),""),"")</f>
        <v/>
      </c>
      <c r="L4196" s="139">
        <f>IFERROR(IF(ISNUMBER(F4196),F4196-IF(ISNUMBER(K4196),K4196,0),""),"")</f>
        <v/>
      </c>
    </row>
    <row r="4197" ht="24" customHeight="1" s="63">
      <c r="E4197" s="139" t="n"/>
      <c r="F4197" s="139" t="n"/>
      <c r="G4197" s="140">
        <f>IFERROR(IF(E4197&gt;0,(F4197/E4197)*1000,""),"")</f>
        <v/>
      </c>
      <c r="H4197" s="139">
        <f>IFERROR(IF(E4197&gt;0,E4197*IF(ISNUMBER(J4197),J4197,IF(OR(C4197="Alpha",B4197="Alpha"),$C$7,IF(C4197="Futures",$C$6,$C$5))),""),"")</f>
        <v/>
      </c>
      <c r="I4197" s="139">
        <f>IFERROR(IF(AND(ISNUMBER(F4197),ISNUMBER(H4197)),F4197-H4197,""),"")</f>
        <v/>
      </c>
      <c r="J4197" s="114" t="n"/>
      <c r="K4197" s="139">
        <f>IFERROR(IF(H4197&gt;0,H4197*IF(OR(C4197="Alpha",B4197="Alpha"),$C$9,$C$8),""),"")</f>
        <v/>
      </c>
      <c r="L4197" s="139">
        <f>IFERROR(IF(ISNUMBER(F4197),F4197-IF(ISNUMBER(K4197),K4197,0),""),"")</f>
        <v/>
      </c>
    </row>
    <row r="4198" ht="24" customHeight="1" s="63">
      <c r="E4198" s="139" t="n"/>
      <c r="F4198" s="139" t="n"/>
      <c r="G4198" s="140">
        <f>IFERROR(IF(E4198&gt;0,(F4198/E4198)*1000,""),"")</f>
        <v/>
      </c>
      <c r="H4198" s="139">
        <f>IFERROR(IF(E4198&gt;0,E4198*IF(ISNUMBER(J4198),J4198,IF(OR(C4198="Alpha",B4198="Alpha"),$C$7,IF(C4198="Futures",$C$6,$C$5))),""),"")</f>
        <v/>
      </c>
      <c r="I4198" s="139">
        <f>IFERROR(IF(AND(ISNUMBER(F4198),ISNUMBER(H4198)),F4198-H4198,""),"")</f>
        <v/>
      </c>
      <c r="J4198" s="114" t="n"/>
      <c r="K4198" s="139">
        <f>IFERROR(IF(H4198&gt;0,H4198*IF(OR(C4198="Alpha",B4198="Alpha"),$C$9,$C$8),""),"")</f>
        <v/>
      </c>
      <c r="L4198" s="139">
        <f>IFERROR(IF(ISNUMBER(F4198),F4198-IF(ISNUMBER(K4198),K4198,0),""),"")</f>
        <v/>
      </c>
    </row>
    <row r="4199" ht="24" customHeight="1" s="63">
      <c r="E4199" s="139" t="n"/>
      <c r="F4199" s="139" t="n"/>
      <c r="G4199" s="140">
        <f>IFERROR(IF(E4199&gt;0,(F4199/E4199)*1000,""),"")</f>
        <v/>
      </c>
      <c r="H4199" s="139">
        <f>IFERROR(IF(E4199&gt;0,E4199*IF(ISNUMBER(J4199),J4199,IF(OR(C4199="Alpha",B4199="Alpha"),$C$7,IF(C4199="Futures",$C$6,$C$5))),""),"")</f>
        <v/>
      </c>
      <c r="I4199" s="139">
        <f>IFERROR(IF(AND(ISNUMBER(F4199),ISNUMBER(H4199)),F4199-H4199,""),"")</f>
        <v/>
      </c>
      <c r="J4199" s="114" t="n"/>
      <c r="K4199" s="139">
        <f>IFERROR(IF(H4199&gt;0,H4199*IF(OR(C4199="Alpha",B4199="Alpha"),$C$9,$C$8),""),"")</f>
        <v/>
      </c>
      <c r="L4199" s="139">
        <f>IFERROR(IF(ISNUMBER(F4199),F4199-IF(ISNUMBER(K4199),K4199,0),""),"")</f>
        <v/>
      </c>
    </row>
    <row r="4200" ht="24" customHeight="1" s="63">
      <c r="E4200" s="139" t="n"/>
      <c r="F4200" s="139" t="n"/>
      <c r="G4200" s="140">
        <f>IFERROR(IF(E4200&gt;0,(F4200/E4200)*1000,""),"")</f>
        <v/>
      </c>
      <c r="H4200" s="139">
        <f>IFERROR(IF(E4200&gt;0,E4200*IF(ISNUMBER(J4200),J4200,IF(OR(C4200="Alpha",B4200="Alpha"),$C$7,IF(C4200="Futures",$C$6,$C$5))),""),"")</f>
        <v/>
      </c>
      <c r="I4200" s="139">
        <f>IFERROR(IF(AND(ISNUMBER(F4200),ISNUMBER(H4200)),F4200-H4200,""),"")</f>
        <v/>
      </c>
      <c r="J4200" s="114" t="n"/>
      <c r="K4200" s="139">
        <f>IFERROR(IF(H4200&gt;0,H4200*IF(OR(C4200="Alpha",B4200="Alpha"),$C$9,$C$8),""),"")</f>
        <v/>
      </c>
      <c r="L4200" s="139">
        <f>IFERROR(IF(ISNUMBER(F4200),F4200-IF(ISNUMBER(K4200),K4200,0),""),"")</f>
        <v/>
      </c>
    </row>
    <row r="4201" ht="24" customHeight="1" s="63">
      <c r="E4201" s="139" t="n"/>
      <c r="F4201" s="139" t="n"/>
      <c r="G4201" s="140">
        <f>IFERROR(IF(E4201&gt;0,(F4201/E4201)*1000,""),"")</f>
        <v/>
      </c>
      <c r="H4201" s="139">
        <f>IFERROR(IF(E4201&gt;0,E4201*IF(ISNUMBER(J4201),J4201,IF(OR(C4201="Alpha",B4201="Alpha"),$C$7,IF(C4201="Futures",$C$6,$C$5))),""),"")</f>
        <v/>
      </c>
      <c r="I4201" s="139">
        <f>IFERROR(IF(AND(ISNUMBER(F4201),ISNUMBER(H4201)),F4201-H4201,""),"")</f>
        <v/>
      </c>
      <c r="J4201" s="114" t="n"/>
      <c r="K4201" s="139">
        <f>IFERROR(IF(H4201&gt;0,H4201*IF(OR(C4201="Alpha",B4201="Alpha"),$C$9,$C$8),""),"")</f>
        <v/>
      </c>
      <c r="L4201" s="139">
        <f>IFERROR(IF(ISNUMBER(F4201),F4201-IF(ISNUMBER(K4201),K4201,0),""),"")</f>
        <v/>
      </c>
    </row>
    <row r="4202" ht="24" customHeight="1" s="63">
      <c r="E4202" s="139" t="n"/>
      <c r="F4202" s="139" t="n"/>
      <c r="G4202" s="140">
        <f>IFERROR(IF(E4202&gt;0,(F4202/E4202)*1000,""),"")</f>
        <v/>
      </c>
      <c r="H4202" s="139">
        <f>IFERROR(IF(E4202&gt;0,E4202*IF(ISNUMBER(J4202),J4202,IF(OR(C4202="Alpha",B4202="Alpha"),$C$7,IF(C4202="Futures",$C$6,$C$5))),""),"")</f>
        <v/>
      </c>
      <c r="I4202" s="139">
        <f>IFERROR(IF(AND(ISNUMBER(F4202),ISNUMBER(H4202)),F4202-H4202,""),"")</f>
        <v/>
      </c>
      <c r="J4202" s="114" t="n"/>
      <c r="K4202" s="139">
        <f>IFERROR(IF(H4202&gt;0,H4202*IF(OR(C4202="Alpha",B4202="Alpha"),$C$9,$C$8),""),"")</f>
        <v/>
      </c>
      <c r="L4202" s="139">
        <f>IFERROR(IF(ISNUMBER(F4202),F4202-IF(ISNUMBER(K4202),K4202,0),""),"")</f>
        <v/>
      </c>
    </row>
    <row r="4203" ht="24" customHeight="1" s="63">
      <c r="E4203" s="139" t="n"/>
      <c r="F4203" s="139" t="n"/>
      <c r="G4203" s="140">
        <f>IFERROR(IF(E4203&gt;0,(F4203/E4203)*1000,""),"")</f>
        <v/>
      </c>
      <c r="H4203" s="139">
        <f>IFERROR(IF(E4203&gt;0,E4203*IF(ISNUMBER(J4203),J4203,IF(OR(C4203="Alpha",B4203="Alpha"),$C$7,IF(C4203="Futures",$C$6,$C$5))),""),"")</f>
        <v/>
      </c>
      <c r="I4203" s="139">
        <f>IFERROR(IF(AND(ISNUMBER(F4203),ISNUMBER(H4203)),F4203-H4203,""),"")</f>
        <v/>
      </c>
      <c r="J4203" s="114" t="n"/>
      <c r="K4203" s="139">
        <f>IFERROR(IF(H4203&gt;0,H4203*IF(OR(C4203="Alpha",B4203="Alpha"),$C$9,$C$8),""),"")</f>
        <v/>
      </c>
      <c r="L4203" s="139">
        <f>IFERROR(IF(ISNUMBER(F4203),F4203-IF(ISNUMBER(K4203),K4203,0),""),"")</f>
        <v/>
      </c>
    </row>
    <row r="4204" ht="24" customHeight="1" s="63">
      <c r="E4204" s="139" t="n"/>
      <c r="F4204" s="139" t="n"/>
      <c r="G4204" s="140">
        <f>IFERROR(IF(E4204&gt;0,(F4204/E4204)*1000,""),"")</f>
        <v/>
      </c>
      <c r="H4204" s="139">
        <f>IFERROR(IF(E4204&gt;0,E4204*IF(ISNUMBER(J4204),J4204,IF(OR(C4204="Alpha",B4204="Alpha"),$C$7,IF(C4204="Futures",$C$6,$C$5))),""),"")</f>
        <v/>
      </c>
      <c r="I4204" s="139">
        <f>IFERROR(IF(AND(ISNUMBER(F4204),ISNUMBER(H4204)),F4204-H4204,""),"")</f>
        <v/>
      </c>
      <c r="J4204" s="114" t="n"/>
      <c r="K4204" s="139">
        <f>IFERROR(IF(H4204&gt;0,H4204*IF(OR(C4204="Alpha",B4204="Alpha"),$C$9,$C$8),""),"")</f>
        <v/>
      </c>
      <c r="L4204" s="139">
        <f>IFERROR(IF(ISNUMBER(F4204),F4204-IF(ISNUMBER(K4204),K4204,0),""),"")</f>
        <v/>
      </c>
    </row>
    <row r="4205" ht="24" customHeight="1" s="63">
      <c r="E4205" s="139" t="n"/>
      <c r="F4205" s="139" t="n"/>
      <c r="G4205" s="140">
        <f>IFERROR(IF(E4205&gt;0,(F4205/E4205)*1000,""),"")</f>
        <v/>
      </c>
      <c r="H4205" s="139">
        <f>IFERROR(IF(E4205&gt;0,E4205*IF(ISNUMBER(J4205),J4205,IF(OR(C4205="Alpha",B4205="Alpha"),$C$7,IF(C4205="Futures",$C$6,$C$5))),""),"")</f>
        <v/>
      </c>
      <c r="I4205" s="139">
        <f>IFERROR(IF(AND(ISNUMBER(F4205),ISNUMBER(H4205)),F4205-H4205,""),"")</f>
        <v/>
      </c>
      <c r="J4205" s="114" t="n"/>
      <c r="K4205" s="139">
        <f>IFERROR(IF(H4205&gt;0,H4205*IF(OR(C4205="Alpha",B4205="Alpha"),$C$9,$C$8),""),"")</f>
        <v/>
      </c>
      <c r="L4205" s="139">
        <f>IFERROR(IF(ISNUMBER(F4205),F4205-IF(ISNUMBER(K4205),K4205,0),""),"")</f>
        <v/>
      </c>
    </row>
    <row r="4206" ht="24" customHeight="1" s="63">
      <c r="E4206" s="139" t="n"/>
      <c r="F4206" s="139" t="n"/>
      <c r="G4206" s="140">
        <f>IFERROR(IF(E4206&gt;0,(F4206/E4206)*1000,""),"")</f>
        <v/>
      </c>
      <c r="H4206" s="139">
        <f>IFERROR(IF(E4206&gt;0,E4206*IF(ISNUMBER(J4206),J4206,IF(OR(C4206="Alpha",B4206="Alpha"),$C$7,IF(C4206="Futures",$C$6,$C$5))),""),"")</f>
        <v/>
      </c>
      <c r="I4206" s="139">
        <f>IFERROR(IF(AND(ISNUMBER(F4206),ISNUMBER(H4206)),F4206-H4206,""),"")</f>
        <v/>
      </c>
      <c r="J4206" s="114" t="n"/>
      <c r="K4206" s="139">
        <f>IFERROR(IF(H4206&gt;0,H4206*IF(OR(C4206="Alpha",B4206="Alpha"),$C$9,$C$8),""),"")</f>
        <v/>
      </c>
      <c r="L4206" s="139">
        <f>IFERROR(IF(ISNUMBER(F4206),F4206-IF(ISNUMBER(K4206),K4206,0),""),"")</f>
        <v/>
      </c>
    </row>
    <row r="4207" ht="24" customHeight="1" s="63">
      <c r="E4207" s="139" t="n"/>
      <c r="F4207" s="139" t="n"/>
      <c r="G4207" s="140">
        <f>IFERROR(IF(E4207&gt;0,(F4207/E4207)*1000,""),"")</f>
        <v/>
      </c>
      <c r="H4207" s="139">
        <f>IFERROR(IF(E4207&gt;0,E4207*IF(ISNUMBER(J4207),J4207,IF(OR(C4207="Alpha",B4207="Alpha"),$C$7,IF(C4207="Futures",$C$6,$C$5))),""),"")</f>
        <v/>
      </c>
      <c r="I4207" s="139">
        <f>IFERROR(IF(AND(ISNUMBER(F4207),ISNUMBER(H4207)),F4207-H4207,""),"")</f>
        <v/>
      </c>
      <c r="J4207" s="114" t="n"/>
      <c r="K4207" s="139">
        <f>IFERROR(IF(H4207&gt;0,H4207*IF(OR(C4207="Alpha",B4207="Alpha"),$C$9,$C$8),""),"")</f>
        <v/>
      </c>
      <c r="L4207" s="139">
        <f>IFERROR(IF(ISNUMBER(F4207),F4207-IF(ISNUMBER(K4207),K4207,0),""),"")</f>
        <v/>
      </c>
    </row>
    <row r="4208" ht="24" customHeight="1" s="63">
      <c r="E4208" s="139" t="n"/>
      <c r="F4208" s="139" t="n"/>
      <c r="G4208" s="140">
        <f>IFERROR(IF(E4208&gt;0,(F4208/E4208)*1000,""),"")</f>
        <v/>
      </c>
      <c r="H4208" s="139">
        <f>IFERROR(IF(E4208&gt;0,E4208*IF(ISNUMBER(J4208),J4208,IF(OR(C4208="Alpha",B4208="Alpha"),$C$7,IF(C4208="Futures",$C$6,$C$5))),""),"")</f>
        <v/>
      </c>
      <c r="I4208" s="139">
        <f>IFERROR(IF(AND(ISNUMBER(F4208),ISNUMBER(H4208)),F4208-H4208,""),"")</f>
        <v/>
      </c>
      <c r="J4208" s="114" t="n"/>
      <c r="K4208" s="139">
        <f>IFERROR(IF(H4208&gt;0,H4208*IF(OR(C4208="Alpha",B4208="Alpha"),$C$9,$C$8),""),"")</f>
        <v/>
      </c>
      <c r="L4208" s="139">
        <f>IFERROR(IF(ISNUMBER(F4208),F4208-IF(ISNUMBER(K4208),K4208,0),""),"")</f>
        <v/>
      </c>
    </row>
    <row r="4209" ht="24" customHeight="1" s="63">
      <c r="E4209" s="139" t="n"/>
      <c r="F4209" s="139" t="n"/>
      <c r="G4209" s="140">
        <f>IFERROR(IF(E4209&gt;0,(F4209/E4209)*1000,""),"")</f>
        <v/>
      </c>
      <c r="H4209" s="139">
        <f>IFERROR(IF(E4209&gt;0,E4209*IF(ISNUMBER(J4209),J4209,IF(OR(C4209="Alpha",B4209="Alpha"),$C$7,IF(C4209="Futures",$C$6,$C$5))),""),"")</f>
        <v/>
      </c>
      <c r="I4209" s="139">
        <f>IFERROR(IF(AND(ISNUMBER(F4209),ISNUMBER(H4209)),F4209-H4209,""),"")</f>
        <v/>
      </c>
      <c r="J4209" s="114" t="n"/>
      <c r="K4209" s="139">
        <f>IFERROR(IF(H4209&gt;0,H4209*IF(OR(C4209="Alpha",B4209="Alpha"),$C$9,$C$8),""),"")</f>
        <v/>
      </c>
      <c r="L4209" s="139">
        <f>IFERROR(IF(ISNUMBER(F4209),F4209-IF(ISNUMBER(K4209),K4209,0),""),"")</f>
        <v/>
      </c>
    </row>
    <row r="4210" ht="24" customHeight="1" s="63">
      <c r="E4210" s="139" t="n"/>
      <c r="F4210" s="139" t="n"/>
      <c r="G4210" s="140">
        <f>IFERROR(IF(E4210&gt;0,(F4210/E4210)*1000,""),"")</f>
        <v/>
      </c>
      <c r="H4210" s="139">
        <f>IFERROR(IF(E4210&gt;0,E4210*IF(ISNUMBER(J4210),J4210,IF(OR(C4210="Alpha",B4210="Alpha"),$C$7,IF(C4210="Futures",$C$6,$C$5))),""),"")</f>
        <v/>
      </c>
      <c r="I4210" s="139">
        <f>IFERROR(IF(AND(ISNUMBER(F4210),ISNUMBER(H4210)),F4210-H4210,""),"")</f>
        <v/>
      </c>
      <c r="J4210" s="114" t="n"/>
      <c r="K4210" s="139">
        <f>IFERROR(IF(H4210&gt;0,H4210*IF(OR(C4210="Alpha",B4210="Alpha"),$C$9,$C$8),""),"")</f>
        <v/>
      </c>
      <c r="L4210" s="139">
        <f>IFERROR(IF(ISNUMBER(F4210),F4210-IF(ISNUMBER(K4210),K4210,0),""),"")</f>
        <v/>
      </c>
    </row>
    <row r="4211" ht="24" customHeight="1" s="63">
      <c r="E4211" s="139" t="n"/>
      <c r="F4211" s="139" t="n"/>
      <c r="G4211" s="140">
        <f>IFERROR(IF(E4211&gt;0,(F4211/E4211)*1000,""),"")</f>
        <v/>
      </c>
      <c r="H4211" s="139">
        <f>IFERROR(IF(E4211&gt;0,E4211*IF(ISNUMBER(J4211),J4211,IF(OR(C4211="Alpha",B4211="Alpha"),$C$7,IF(C4211="Futures",$C$6,$C$5))),""),"")</f>
        <v/>
      </c>
      <c r="I4211" s="139">
        <f>IFERROR(IF(AND(ISNUMBER(F4211),ISNUMBER(H4211)),F4211-H4211,""),"")</f>
        <v/>
      </c>
      <c r="J4211" s="114" t="n"/>
      <c r="K4211" s="139">
        <f>IFERROR(IF(H4211&gt;0,H4211*IF(OR(C4211="Alpha",B4211="Alpha"),$C$9,$C$8),""),"")</f>
        <v/>
      </c>
      <c r="L4211" s="139">
        <f>IFERROR(IF(ISNUMBER(F4211),F4211-IF(ISNUMBER(K4211),K4211,0),""),"")</f>
        <v/>
      </c>
    </row>
    <row r="4212" ht="24" customHeight="1" s="63">
      <c r="E4212" s="139" t="n"/>
      <c r="F4212" s="139" t="n"/>
      <c r="G4212" s="140">
        <f>IFERROR(IF(E4212&gt;0,(F4212/E4212)*1000,""),"")</f>
        <v/>
      </c>
      <c r="H4212" s="139">
        <f>IFERROR(IF(E4212&gt;0,E4212*IF(ISNUMBER(J4212),J4212,IF(OR(C4212="Alpha",B4212="Alpha"),$C$7,IF(C4212="Futures",$C$6,$C$5))),""),"")</f>
        <v/>
      </c>
      <c r="I4212" s="139">
        <f>IFERROR(IF(AND(ISNUMBER(F4212),ISNUMBER(H4212)),F4212-H4212,""),"")</f>
        <v/>
      </c>
      <c r="J4212" s="114" t="n"/>
      <c r="K4212" s="139">
        <f>IFERROR(IF(H4212&gt;0,H4212*IF(OR(C4212="Alpha",B4212="Alpha"),$C$9,$C$8),""),"")</f>
        <v/>
      </c>
      <c r="L4212" s="139">
        <f>IFERROR(IF(ISNUMBER(F4212),F4212-IF(ISNUMBER(K4212),K4212,0),""),"")</f>
        <v/>
      </c>
    </row>
    <row r="4213" ht="24" customHeight="1" s="63">
      <c r="E4213" s="139" t="n"/>
      <c r="F4213" s="139" t="n"/>
      <c r="G4213" s="140">
        <f>IFERROR(IF(E4213&gt;0,(F4213/E4213)*1000,""),"")</f>
        <v/>
      </c>
      <c r="H4213" s="139">
        <f>IFERROR(IF(E4213&gt;0,E4213*IF(ISNUMBER(J4213),J4213,IF(OR(C4213="Alpha",B4213="Alpha"),$C$7,IF(C4213="Futures",$C$6,$C$5))),""),"")</f>
        <v/>
      </c>
      <c r="I4213" s="139">
        <f>IFERROR(IF(AND(ISNUMBER(F4213),ISNUMBER(H4213)),F4213-H4213,""),"")</f>
        <v/>
      </c>
      <c r="J4213" s="114" t="n"/>
      <c r="K4213" s="139">
        <f>IFERROR(IF(H4213&gt;0,H4213*IF(OR(C4213="Alpha",B4213="Alpha"),$C$9,$C$8),""),"")</f>
        <v/>
      </c>
      <c r="L4213" s="139">
        <f>IFERROR(IF(ISNUMBER(F4213),F4213-IF(ISNUMBER(K4213),K4213,0),""),"")</f>
        <v/>
      </c>
    </row>
    <row r="4214" ht="24" customHeight="1" s="63">
      <c r="E4214" s="139" t="n"/>
      <c r="F4214" s="139" t="n"/>
      <c r="G4214" s="140">
        <f>IFERROR(IF(E4214&gt;0,(F4214/E4214)*1000,""),"")</f>
        <v/>
      </c>
      <c r="H4214" s="139">
        <f>IFERROR(IF(E4214&gt;0,E4214*IF(ISNUMBER(J4214),J4214,IF(OR(C4214="Alpha",B4214="Alpha"),$C$7,IF(C4214="Futures",$C$6,$C$5))),""),"")</f>
        <v/>
      </c>
      <c r="I4214" s="139">
        <f>IFERROR(IF(AND(ISNUMBER(F4214),ISNUMBER(H4214)),F4214-H4214,""),"")</f>
        <v/>
      </c>
      <c r="J4214" s="114" t="n"/>
      <c r="K4214" s="139">
        <f>IFERROR(IF(H4214&gt;0,H4214*IF(OR(C4214="Alpha",B4214="Alpha"),$C$9,$C$8),""),"")</f>
        <v/>
      </c>
      <c r="L4214" s="139">
        <f>IFERROR(IF(ISNUMBER(F4214),F4214-IF(ISNUMBER(K4214),K4214,0),""),"")</f>
        <v/>
      </c>
    </row>
    <row r="4215" ht="24" customHeight="1" s="63">
      <c r="E4215" s="139" t="n"/>
      <c r="F4215" s="139" t="n"/>
      <c r="G4215" s="140">
        <f>IFERROR(IF(E4215&gt;0,(F4215/E4215)*1000,""),"")</f>
        <v/>
      </c>
      <c r="H4215" s="139">
        <f>IFERROR(IF(E4215&gt;0,E4215*IF(ISNUMBER(J4215),J4215,IF(OR(C4215="Alpha",B4215="Alpha"),$C$7,IF(C4215="Futures",$C$6,$C$5))),""),"")</f>
        <v/>
      </c>
      <c r="I4215" s="139">
        <f>IFERROR(IF(AND(ISNUMBER(F4215),ISNUMBER(H4215)),F4215-H4215,""),"")</f>
        <v/>
      </c>
      <c r="J4215" s="114" t="n"/>
      <c r="K4215" s="139">
        <f>IFERROR(IF(H4215&gt;0,H4215*IF(OR(C4215="Alpha",B4215="Alpha"),$C$9,$C$8),""),"")</f>
        <v/>
      </c>
      <c r="L4215" s="139">
        <f>IFERROR(IF(ISNUMBER(F4215),F4215-IF(ISNUMBER(K4215),K4215,0),""),"")</f>
        <v/>
      </c>
    </row>
    <row r="4216" ht="24" customHeight="1" s="63">
      <c r="E4216" s="139" t="n"/>
      <c r="F4216" s="139" t="n"/>
      <c r="G4216" s="140">
        <f>IFERROR(IF(E4216&gt;0,(F4216/E4216)*1000,""),"")</f>
        <v/>
      </c>
      <c r="H4216" s="139">
        <f>IFERROR(IF(E4216&gt;0,E4216*IF(ISNUMBER(J4216),J4216,IF(OR(C4216="Alpha",B4216="Alpha"),$C$7,IF(C4216="Futures",$C$6,$C$5))),""),"")</f>
        <v/>
      </c>
      <c r="I4216" s="139">
        <f>IFERROR(IF(AND(ISNUMBER(F4216),ISNUMBER(H4216)),F4216-H4216,""),"")</f>
        <v/>
      </c>
      <c r="J4216" s="114" t="n"/>
      <c r="K4216" s="139">
        <f>IFERROR(IF(H4216&gt;0,H4216*IF(OR(C4216="Alpha",B4216="Alpha"),$C$9,$C$8),""),"")</f>
        <v/>
      </c>
      <c r="L4216" s="139">
        <f>IFERROR(IF(ISNUMBER(F4216),F4216-IF(ISNUMBER(K4216),K4216,0),""),"")</f>
        <v/>
      </c>
    </row>
    <row r="4217" ht="24" customHeight="1" s="63">
      <c r="E4217" s="139" t="n"/>
      <c r="F4217" s="139" t="n"/>
      <c r="G4217" s="140">
        <f>IFERROR(IF(E4217&gt;0,(F4217/E4217)*1000,""),"")</f>
        <v/>
      </c>
      <c r="H4217" s="139">
        <f>IFERROR(IF(E4217&gt;0,E4217*IF(ISNUMBER(J4217),J4217,IF(OR(C4217="Alpha",B4217="Alpha"),$C$7,IF(C4217="Futures",$C$6,$C$5))),""),"")</f>
        <v/>
      </c>
      <c r="I4217" s="139">
        <f>IFERROR(IF(AND(ISNUMBER(F4217),ISNUMBER(H4217)),F4217-H4217,""),"")</f>
        <v/>
      </c>
      <c r="J4217" s="114" t="n"/>
      <c r="K4217" s="139">
        <f>IFERROR(IF(H4217&gt;0,H4217*IF(OR(C4217="Alpha",B4217="Alpha"),$C$9,$C$8),""),"")</f>
        <v/>
      </c>
      <c r="L4217" s="139">
        <f>IFERROR(IF(ISNUMBER(F4217),F4217-IF(ISNUMBER(K4217),K4217,0),""),"")</f>
        <v/>
      </c>
    </row>
    <row r="4218" ht="24" customHeight="1" s="63">
      <c r="E4218" s="139" t="n"/>
      <c r="F4218" s="139" t="n"/>
      <c r="G4218" s="140">
        <f>IFERROR(IF(E4218&gt;0,(F4218/E4218)*1000,""),"")</f>
        <v/>
      </c>
      <c r="H4218" s="139">
        <f>IFERROR(IF(E4218&gt;0,E4218*IF(ISNUMBER(J4218),J4218,IF(OR(C4218="Alpha",B4218="Alpha"),$C$7,IF(C4218="Futures",$C$6,$C$5))),""),"")</f>
        <v/>
      </c>
      <c r="I4218" s="139">
        <f>IFERROR(IF(AND(ISNUMBER(F4218),ISNUMBER(H4218)),F4218-H4218,""),"")</f>
        <v/>
      </c>
      <c r="J4218" s="114" t="n"/>
      <c r="K4218" s="139">
        <f>IFERROR(IF(H4218&gt;0,H4218*IF(OR(C4218="Alpha",B4218="Alpha"),$C$9,$C$8),""),"")</f>
        <v/>
      </c>
      <c r="L4218" s="139">
        <f>IFERROR(IF(ISNUMBER(F4218),F4218-IF(ISNUMBER(K4218),K4218,0),""),"")</f>
        <v/>
      </c>
    </row>
    <row r="4219" ht="24" customHeight="1" s="63">
      <c r="E4219" s="139" t="n"/>
      <c r="F4219" s="139" t="n"/>
      <c r="G4219" s="140">
        <f>IFERROR(IF(E4219&gt;0,(F4219/E4219)*1000,""),"")</f>
        <v/>
      </c>
      <c r="H4219" s="139">
        <f>IFERROR(IF(E4219&gt;0,E4219*IF(ISNUMBER(J4219),J4219,IF(OR(C4219="Alpha",B4219="Alpha"),$C$7,IF(C4219="Futures",$C$6,$C$5))),""),"")</f>
        <v/>
      </c>
      <c r="I4219" s="139">
        <f>IFERROR(IF(AND(ISNUMBER(F4219),ISNUMBER(H4219)),F4219-H4219,""),"")</f>
        <v/>
      </c>
      <c r="J4219" s="114" t="n"/>
      <c r="K4219" s="139">
        <f>IFERROR(IF(H4219&gt;0,H4219*IF(OR(C4219="Alpha",B4219="Alpha"),$C$9,$C$8),""),"")</f>
        <v/>
      </c>
      <c r="L4219" s="139">
        <f>IFERROR(IF(ISNUMBER(F4219),F4219-IF(ISNUMBER(K4219),K4219,0),""),"")</f>
        <v/>
      </c>
    </row>
    <row r="4220" ht="24" customHeight="1" s="63">
      <c r="E4220" s="139" t="n"/>
      <c r="F4220" s="139" t="n"/>
      <c r="G4220" s="140">
        <f>IFERROR(IF(E4220&gt;0,(F4220/E4220)*1000,""),"")</f>
        <v/>
      </c>
      <c r="H4220" s="139">
        <f>IFERROR(IF(E4220&gt;0,E4220*IF(ISNUMBER(J4220),J4220,IF(OR(C4220="Alpha",B4220="Alpha"),$C$7,IF(C4220="Futures",$C$6,$C$5))),""),"")</f>
        <v/>
      </c>
      <c r="I4220" s="139">
        <f>IFERROR(IF(AND(ISNUMBER(F4220),ISNUMBER(H4220)),F4220-H4220,""),"")</f>
        <v/>
      </c>
      <c r="J4220" s="114" t="n"/>
      <c r="K4220" s="139">
        <f>IFERROR(IF(H4220&gt;0,H4220*IF(OR(C4220="Alpha",B4220="Alpha"),$C$9,$C$8),""),"")</f>
        <v/>
      </c>
      <c r="L4220" s="139">
        <f>IFERROR(IF(ISNUMBER(F4220),F4220-IF(ISNUMBER(K4220),K4220,0),""),"")</f>
        <v/>
      </c>
    </row>
    <row r="4221" ht="24" customHeight="1" s="63">
      <c r="E4221" s="139" t="n"/>
      <c r="F4221" s="139" t="n"/>
      <c r="G4221" s="140">
        <f>IFERROR(IF(E4221&gt;0,(F4221/E4221)*1000,""),"")</f>
        <v/>
      </c>
      <c r="H4221" s="139">
        <f>IFERROR(IF(E4221&gt;0,E4221*IF(ISNUMBER(J4221),J4221,IF(OR(C4221="Alpha",B4221="Alpha"),$C$7,IF(C4221="Futures",$C$6,$C$5))),""),"")</f>
        <v/>
      </c>
      <c r="I4221" s="139">
        <f>IFERROR(IF(AND(ISNUMBER(F4221),ISNUMBER(H4221)),F4221-H4221,""),"")</f>
        <v/>
      </c>
      <c r="J4221" s="114" t="n"/>
      <c r="K4221" s="139">
        <f>IFERROR(IF(H4221&gt;0,H4221*IF(OR(C4221="Alpha",B4221="Alpha"),$C$9,$C$8),""),"")</f>
        <v/>
      </c>
      <c r="L4221" s="139">
        <f>IFERROR(IF(ISNUMBER(F4221),F4221-IF(ISNUMBER(K4221),K4221,0),""),"")</f>
        <v/>
      </c>
    </row>
    <row r="4222" ht="24" customHeight="1" s="63">
      <c r="E4222" s="139" t="n"/>
      <c r="F4222" s="139" t="n"/>
      <c r="G4222" s="140">
        <f>IFERROR(IF(E4222&gt;0,(F4222/E4222)*1000,""),"")</f>
        <v/>
      </c>
      <c r="H4222" s="139">
        <f>IFERROR(IF(E4222&gt;0,E4222*IF(ISNUMBER(J4222),J4222,IF(OR(C4222="Alpha",B4222="Alpha"),$C$7,IF(C4222="Futures",$C$6,$C$5))),""),"")</f>
        <v/>
      </c>
      <c r="I4222" s="139">
        <f>IFERROR(IF(AND(ISNUMBER(F4222),ISNUMBER(H4222)),F4222-H4222,""),"")</f>
        <v/>
      </c>
      <c r="J4222" s="114" t="n"/>
      <c r="K4222" s="139">
        <f>IFERROR(IF(H4222&gt;0,H4222*IF(OR(C4222="Alpha",B4222="Alpha"),$C$9,$C$8),""),"")</f>
        <v/>
      </c>
      <c r="L4222" s="139">
        <f>IFERROR(IF(ISNUMBER(F4222),F4222-IF(ISNUMBER(K4222),K4222,0),""),"")</f>
        <v/>
      </c>
    </row>
    <row r="4223" ht="24" customHeight="1" s="63">
      <c r="E4223" s="139" t="n"/>
      <c r="F4223" s="139" t="n"/>
      <c r="G4223" s="140">
        <f>IFERROR(IF(E4223&gt;0,(F4223/E4223)*1000,""),"")</f>
        <v/>
      </c>
      <c r="H4223" s="139">
        <f>IFERROR(IF(E4223&gt;0,E4223*IF(ISNUMBER(J4223),J4223,IF(OR(C4223="Alpha",B4223="Alpha"),$C$7,IF(C4223="Futures",$C$6,$C$5))),""),"")</f>
        <v/>
      </c>
      <c r="I4223" s="139">
        <f>IFERROR(IF(AND(ISNUMBER(F4223),ISNUMBER(H4223)),F4223-H4223,""),"")</f>
        <v/>
      </c>
      <c r="J4223" s="114" t="n"/>
      <c r="K4223" s="139">
        <f>IFERROR(IF(H4223&gt;0,H4223*IF(OR(C4223="Alpha",B4223="Alpha"),$C$9,$C$8),""),"")</f>
        <v/>
      </c>
      <c r="L4223" s="139">
        <f>IFERROR(IF(ISNUMBER(F4223),F4223-IF(ISNUMBER(K4223),K4223,0),""),"")</f>
        <v/>
      </c>
    </row>
    <row r="4224" ht="24" customHeight="1" s="63">
      <c r="E4224" s="139" t="n"/>
      <c r="F4224" s="139" t="n"/>
      <c r="G4224" s="140">
        <f>IFERROR(IF(E4224&gt;0,(F4224/E4224)*1000,""),"")</f>
        <v/>
      </c>
      <c r="H4224" s="139">
        <f>IFERROR(IF(E4224&gt;0,E4224*IF(ISNUMBER(J4224),J4224,IF(OR(C4224="Alpha",B4224="Alpha"),$C$7,IF(C4224="Futures",$C$6,$C$5))),""),"")</f>
        <v/>
      </c>
      <c r="I4224" s="139">
        <f>IFERROR(IF(AND(ISNUMBER(F4224),ISNUMBER(H4224)),F4224-H4224,""),"")</f>
        <v/>
      </c>
      <c r="J4224" s="114" t="n"/>
      <c r="K4224" s="139">
        <f>IFERROR(IF(H4224&gt;0,H4224*IF(OR(C4224="Alpha",B4224="Alpha"),$C$9,$C$8),""),"")</f>
        <v/>
      </c>
      <c r="L4224" s="139">
        <f>IFERROR(IF(ISNUMBER(F4224),F4224-IF(ISNUMBER(K4224),K4224,0),""),"")</f>
        <v/>
      </c>
    </row>
    <row r="4225" ht="24" customHeight="1" s="63">
      <c r="E4225" s="139" t="n"/>
      <c r="F4225" s="139" t="n"/>
      <c r="G4225" s="140">
        <f>IFERROR(IF(E4225&gt;0,(F4225/E4225)*1000,""),"")</f>
        <v/>
      </c>
      <c r="H4225" s="139">
        <f>IFERROR(IF(E4225&gt;0,E4225*IF(ISNUMBER(J4225),J4225,IF(OR(C4225="Alpha",B4225="Alpha"),$C$7,IF(C4225="Futures",$C$6,$C$5))),""),"")</f>
        <v/>
      </c>
      <c r="I4225" s="139">
        <f>IFERROR(IF(AND(ISNUMBER(F4225),ISNUMBER(H4225)),F4225-H4225,""),"")</f>
        <v/>
      </c>
      <c r="J4225" s="114" t="n"/>
      <c r="K4225" s="139">
        <f>IFERROR(IF(H4225&gt;0,H4225*IF(OR(C4225="Alpha",B4225="Alpha"),$C$9,$C$8),""),"")</f>
        <v/>
      </c>
      <c r="L4225" s="139">
        <f>IFERROR(IF(ISNUMBER(F4225),F4225-IF(ISNUMBER(K4225),K4225,0),""),"")</f>
        <v/>
      </c>
    </row>
    <row r="4226" ht="24" customHeight="1" s="63">
      <c r="E4226" s="139" t="n"/>
      <c r="F4226" s="139" t="n"/>
      <c r="G4226" s="140">
        <f>IFERROR(IF(E4226&gt;0,(F4226/E4226)*1000,""),"")</f>
        <v/>
      </c>
      <c r="H4226" s="139">
        <f>IFERROR(IF(E4226&gt;0,E4226*IF(ISNUMBER(J4226),J4226,IF(OR(C4226="Alpha",B4226="Alpha"),$C$7,IF(C4226="Futures",$C$6,$C$5))),""),"")</f>
        <v/>
      </c>
      <c r="I4226" s="139">
        <f>IFERROR(IF(AND(ISNUMBER(F4226),ISNUMBER(H4226)),F4226-H4226,""),"")</f>
        <v/>
      </c>
      <c r="J4226" s="114" t="n"/>
      <c r="K4226" s="139">
        <f>IFERROR(IF(H4226&gt;0,H4226*IF(OR(C4226="Alpha",B4226="Alpha"),$C$9,$C$8),""),"")</f>
        <v/>
      </c>
      <c r="L4226" s="139">
        <f>IFERROR(IF(ISNUMBER(F4226),F4226-IF(ISNUMBER(K4226),K4226,0),""),"")</f>
        <v/>
      </c>
    </row>
    <row r="4227" ht="24" customHeight="1" s="63">
      <c r="E4227" s="139" t="n"/>
      <c r="F4227" s="139" t="n"/>
      <c r="G4227" s="140">
        <f>IFERROR(IF(E4227&gt;0,(F4227/E4227)*1000,""),"")</f>
        <v/>
      </c>
      <c r="H4227" s="139">
        <f>IFERROR(IF(E4227&gt;0,E4227*IF(ISNUMBER(J4227),J4227,IF(OR(C4227="Alpha",B4227="Alpha"),$C$7,IF(C4227="Futures",$C$6,$C$5))),""),"")</f>
        <v/>
      </c>
      <c r="I4227" s="139">
        <f>IFERROR(IF(AND(ISNUMBER(F4227),ISNUMBER(H4227)),F4227-H4227,""),"")</f>
        <v/>
      </c>
      <c r="J4227" s="114" t="n"/>
      <c r="K4227" s="139">
        <f>IFERROR(IF(H4227&gt;0,H4227*IF(OR(C4227="Alpha",B4227="Alpha"),$C$9,$C$8),""),"")</f>
        <v/>
      </c>
      <c r="L4227" s="139">
        <f>IFERROR(IF(ISNUMBER(F4227),F4227-IF(ISNUMBER(K4227),K4227,0),""),"")</f>
        <v/>
      </c>
    </row>
    <row r="4228" ht="24" customHeight="1" s="63">
      <c r="E4228" s="139" t="n"/>
      <c r="F4228" s="139" t="n"/>
      <c r="G4228" s="140">
        <f>IFERROR(IF(E4228&gt;0,(F4228/E4228)*1000,""),"")</f>
        <v/>
      </c>
      <c r="H4228" s="139">
        <f>IFERROR(IF(E4228&gt;0,E4228*IF(ISNUMBER(J4228),J4228,IF(OR(C4228="Alpha",B4228="Alpha"),$C$7,IF(C4228="Futures",$C$6,$C$5))),""),"")</f>
        <v/>
      </c>
      <c r="I4228" s="139">
        <f>IFERROR(IF(AND(ISNUMBER(F4228),ISNUMBER(H4228)),F4228-H4228,""),"")</f>
        <v/>
      </c>
      <c r="J4228" s="114" t="n"/>
      <c r="K4228" s="139">
        <f>IFERROR(IF(H4228&gt;0,H4228*IF(OR(C4228="Alpha",B4228="Alpha"),$C$9,$C$8),""),"")</f>
        <v/>
      </c>
      <c r="L4228" s="139">
        <f>IFERROR(IF(ISNUMBER(F4228),F4228-IF(ISNUMBER(K4228),K4228,0),""),"")</f>
        <v/>
      </c>
    </row>
    <row r="4229" ht="24" customHeight="1" s="63">
      <c r="E4229" s="139" t="n"/>
      <c r="F4229" s="139" t="n"/>
      <c r="G4229" s="140">
        <f>IFERROR(IF(E4229&gt;0,(F4229/E4229)*1000,""),"")</f>
        <v/>
      </c>
      <c r="H4229" s="139">
        <f>IFERROR(IF(E4229&gt;0,E4229*IF(ISNUMBER(J4229),J4229,IF(OR(C4229="Alpha",B4229="Alpha"),$C$7,IF(C4229="Futures",$C$6,$C$5))),""),"")</f>
        <v/>
      </c>
      <c r="I4229" s="139">
        <f>IFERROR(IF(AND(ISNUMBER(F4229),ISNUMBER(H4229)),F4229-H4229,""),"")</f>
        <v/>
      </c>
      <c r="J4229" s="114" t="n"/>
      <c r="K4229" s="139">
        <f>IFERROR(IF(H4229&gt;0,H4229*IF(OR(C4229="Alpha",B4229="Alpha"),$C$9,$C$8),""),"")</f>
        <v/>
      </c>
      <c r="L4229" s="139">
        <f>IFERROR(IF(ISNUMBER(F4229),F4229-IF(ISNUMBER(K4229),K4229,0),""),"")</f>
        <v/>
      </c>
    </row>
    <row r="4230" ht="24" customHeight="1" s="63">
      <c r="E4230" s="139" t="n"/>
      <c r="F4230" s="139" t="n"/>
      <c r="G4230" s="140">
        <f>IFERROR(IF(E4230&gt;0,(F4230/E4230)*1000,""),"")</f>
        <v/>
      </c>
      <c r="H4230" s="139">
        <f>IFERROR(IF(E4230&gt;0,E4230*IF(ISNUMBER(J4230),J4230,IF(OR(C4230="Alpha",B4230="Alpha"),$C$7,IF(C4230="Futures",$C$6,$C$5))),""),"")</f>
        <v/>
      </c>
      <c r="I4230" s="139">
        <f>IFERROR(IF(AND(ISNUMBER(F4230),ISNUMBER(H4230)),F4230-H4230,""),"")</f>
        <v/>
      </c>
      <c r="J4230" s="114" t="n"/>
      <c r="K4230" s="139">
        <f>IFERROR(IF(H4230&gt;0,H4230*IF(OR(C4230="Alpha",B4230="Alpha"),$C$9,$C$8),""),"")</f>
        <v/>
      </c>
      <c r="L4230" s="139">
        <f>IFERROR(IF(ISNUMBER(F4230),F4230-IF(ISNUMBER(K4230),K4230,0),""),"")</f>
        <v/>
      </c>
    </row>
    <row r="4231" ht="24" customHeight="1" s="63">
      <c r="E4231" s="139" t="n"/>
      <c r="F4231" s="139" t="n"/>
      <c r="G4231" s="140">
        <f>IFERROR(IF(E4231&gt;0,(F4231/E4231)*1000,""),"")</f>
        <v/>
      </c>
      <c r="H4231" s="139">
        <f>IFERROR(IF(E4231&gt;0,E4231*IF(ISNUMBER(J4231),J4231,IF(OR(C4231="Alpha",B4231="Alpha"),$C$7,IF(C4231="Futures",$C$6,$C$5))),""),"")</f>
        <v/>
      </c>
      <c r="I4231" s="139">
        <f>IFERROR(IF(AND(ISNUMBER(F4231),ISNUMBER(H4231)),F4231-H4231,""),"")</f>
        <v/>
      </c>
      <c r="J4231" s="114" t="n"/>
      <c r="K4231" s="139">
        <f>IFERROR(IF(H4231&gt;0,H4231*IF(OR(C4231="Alpha",B4231="Alpha"),$C$9,$C$8),""),"")</f>
        <v/>
      </c>
      <c r="L4231" s="139">
        <f>IFERROR(IF(ISNUMBER(F4231),F4231-IF(ISNUMBER(K4231),K4231,0),""),"")</f>
        <v/>
      </c>
    </row>
    <row r="4232" ht="24" customHeight="1" s="63">
      <c r="E4232" s="139" t="n"/>
      <c r="F4232" s="139" t="n"/>
      <c r="G4232" s="140">
        <f>IFERROR(IF(E4232&gt;0,(F4232/E4232)*1000,""),"")</f>
        <v/>
      </c>
      <c r="H4232" s="139">
        <f>IFERROR(IF(E4232&gt;0,E4232*IF(ISNUMBER(J4232),J4232,IF(OR(C4232="Alpha",B4232="Alpha"),$C$7,IF(C4232="Futures",$C$6,$C$5))),""),"")</f>
        <v/>
      </c>
      <c r="I4232" s="139">
        <f>IFERROR(IF(AND(ISNUMBER(F4232),ISNUMBER(H4232)),F4232-H4232,""),"")</f>
        <v/>
      </c>
      <c r="J4232" s="114" t="n"/>
      <c r="K4232" s="139">
        <f>IFERROR(IF(H4232&gt;0,H4232*IF(OR(C4232="Alpha",B4232="Alpha"),$C$9,$C$8),""),"")</f>
        <v/>
      </c>
      <c r="L4232" s="139">
        <f>IFERROR(IF(ISNUMBER(F4232),F4232-IF(ISNUMBER(K4232),K4232,0),""),"")</f>
        <v/>
      </c>
    </row>
    <row r="4233" ht="24" customHeight="1" s="63">
      <c r="E4233" s="139" t="n"/>
      <c r="F4233" s="139" t="n"/>
      <c r="G4233" s="140">
        <f>IFERROR(IF(E4233&gt;0,(F4233/E4233)*1000,""),"")</f>
        <v/>
      </c>
      <c r="H4233" s="139">
        <f>IFERROR(IF(E4233&gt;0,E4233*IF(ISNUMBER(J4233),J4233,IF(OR(C4233="Alpha",B4233="Alpha"),$C$7,IF(C4233="Futures",$C$6,$C$5))),""),"")</f>
        <v/>
      </c>
      <c r="I4233" s="139">
        <f>IFERROR(IF(AND(ISNUMBER(F4233),ISNUMBER(H4233)),F4233-H4233,""),"")</f>
        <v/>
      </c>
      <c r="J4233" s="114" t="n"/>
      <c r="K4233" s="139">
        <f>IFERROR(IF(H4233&gt;0,H4233*IF(OR(C4233="Alpha",B4233="Alpha"),$C$9,$C$8),""),"")</f>
        <v/>
      </c>
      <c r="L4233" s="139">
        <f>IFERROR(IF(ISNUMBER(F4233),F4233-IF(ISNUMBER(K4233),K4233,0),""),"")</f>
        <v/>
      </c>
    </row>
    <row r="4234" ht="24" customHeight="1" s="63">
      <c r="E4234" s="139" t="n"/>
      <c r="F4234" s="139" t="n"/>
      <c r="G4234" s="140">
        <f>IFERROR(IF(E4234&gt;0,(F4234/E4234)*1000,""),"")</f>
        <v/>
      </c>
      <c r="H4234" s="139">
        <f>IFERROR(IF(E4234&gt;0,E4234*IF(ISNUMBER(J4234),J4234,IF(OR(C4234="Alpha",B4234="Alpha"),$C$7,IF(C4234="Futures",$C$6,$C$5))),""),"")</f>
        <v/>
      </c>
      <c r="I4234" s="139">
        <f>IFERROR(IF(AND(ISNUMBER(F4234),ISNUMBER(H4234)),F4234-H4234,""),"")</f>
        <v/>
      </c>
      <c r="J4234" s="114" t="n"/>
      <c r="K4234" s="139">
        <f>IFERROR(IF(H4234&gt;0,H4234*IF(OR(C4234="Alpha",B4234="Alpha"),$C$9,$C$8),""),"")</f>
        <v/>
      </c>
      <c r="L4234" s="139">
        <f>IFERROR(IF(ISNUMBER(F4234),F4234-IF(ISNUMBER(K4234),K4234,0),""),"")</f>
        <v/>
      </c>
    </row>
    <row r="4235" ht="24" customHeight="1" s="63">
      <c r="E4235" s="139" t="n"/>
      <c r="F4235" s="139" t="n"/>
      <c r="G4235" s="140">
        <f>IFERROR(IF(E4235&gt;0,(F4235/E4235)*1000,""),"")</f>
        <v/>
      </c>
      <c r="H4235" s="139">
        <f>IFERROR(IF(E4235&gt;0,E4235*IF(ISNUMBER(J4235),J4235,IF(OR(C4235="Alpha",B4235="Alpha"),$C$7,IF(C4235="Futures",$C$6,$C$5))),""),"")</f>
        <v/>
      </c>
      <c r="I4235" s="139">
        <f>IFERROR(IF(AND(ISNUMBER(F4235),ISNUMBER(H4235)),F4235-H4235,""),"")</f>
        <v/>
      </c>
      <c r="J4235" s="114" t="n"/>
      <c r="K4235" s="139">
        <f>IFERROR(IF(H4235&gt;0,H4235*IF(OR(C4235="Alpha",B4235="Alpha"),$C$9,$C$8),""),"")</f>
        <v/>
      </c>
      <c r="L4235" s="139">
        <f>IFERROR(IF(ISNUMBER(F4235),F4235-IF(ISNUMBER(K4235),K4235,0),""),"")</f>
        <v/>
      </c>
    </row>
    <row r="4236" ht="24" customHeight="1" s="63">
      <c r="E4236" s="139" t="n"/>
      <c r="F4236" s="139" t="n"/>
      <c r="G4236" s="140">
        <f>IFERROR(IF(E4236&gt;0,(F4236/E4236)*1000,""),"")</f>
        <v/>
      </c>
      <c r="H4236" s="139">
        <f>IFERROR(IF(E4236&gt;0,E4236*IF(ISNUMBER(J4236),J4236,IF(OR(C4236="Alpha",B4236="Alpha"),$C$7,IF(C4236="Futures",$C$6,$C$5))),""),"")</f>
        <v/>
      </c>
      <c r="I4236" s="139">
        <f>IFERROR(IF(AND(ISNUMBER(F4236),ISNUMBER(H4236)),F4236-H4236,""),"")</f>
        <v/>
      </c>
      <c r="J4236" s="114" t="n"/>
      <c r="K4236" s="139">
        <f>IFERROR(IF(H4236&gt;0,H4236*IF(OR(C4236="Alpha",B4236="Alpha"),$C$9,$C$8),""),"")</f>
        <v/>
      </c>
      <c r="L4236" s="139">
        <f>IFERROR(IF(ISNUMBER(F4236),F4236-IF(ISNUMBER(K4236),K4236,0),""),"")</f>
        <v/>
      </c>
    </row>
    <row r="4237" ht="24" customHeight="1" s="63">
      <c r="E4237" s="139" t="n"/>
      <c r="F4237" s="139" t="n"/>
      <c r="G4237" s="140">
        <f>IFERROR(IF(E4237&gt;0,(F4237/E4237)*1000,""),"")</f>
        <v/>
      </c>
      <c r="H4237" s="139">
        <f>IFERROR(IF(E4237&gt;0,E4237*IF(ISNUMBER(J4237),J4237,IF(OR(C4237="Alpha",B4237="Alpha"),$C$7,IF(C4237="Futures",$C$6,$C$5))),""),"")</f>
        <v/>
      </c>
      <c r="I4237" s="139">
        <f>IFERROR(IF(AND(ISNUMBER(F4237),ISNUMBER(H4237)),F4237-H4237,""),"")</f>
        <v/>
      </c>
      <c r="J4237" s="114" t="n"/>
      <c r="K4237" s="139">
        <f>IFERROR(IF(H4237&gt;0,H4237*IF(OR(C4237="Alpha",B4237="Alpha"),$C$9,$C$8),""),"")</f>
        <v/>
      </c>
      <c r="L4237" s="139">
        <f>IFERROR(IF(ISNUMBER(F4237),F4237-IF(ISNUMBER(K4237),K4237,0),""),"")</f>
        <v/>
      </c>
    </row>
    <row r="4238" ht="24" customHeight="1" s="63">
      <c r="E4238" s="139" t="n"/>
      <c r="F4238" s="139" t="n"/>
      <c r="G4238" s="140">
        <f>IFERROR(IF(E4238&gt;0,(F4238/E4238)*1000,""),"")</f>
        <v/>
      </c>
      <c r="H4238" s="139">
        <f>IFERROR(IF(E4238&gt;0,E4238*IF(ISNUMBER(J4238),J4238,IF(OR(C4238="Alpha",B4238="Alpha"),$C$7,IF(C4238="Futures",$C$6,$C$5))),""),"")</f>
        <v/>
      </c>
      <c r="I4238" s="139">
        <f>IFERROR(IF(AND(ISNUMBER(F4238),ISNUMBER(H4238)),F4238-H4238,""),"")</f>
        <v/>
      </c>
      <c r="J4238" s="114" t="n"/>
      <c r="K4238" s="139">
        <f>IFERROR(IF(H4238&gt;0,H4238*IF(OR(C4238="Alpha",B4238="Alpha"),$C$9,$C$8),""),"")</f>
        <v/>
      </c>
      <c r="L4238" s="139">
        <f>IFERROR(IF(ISNUMBER(F4238),F4238-IF(ISNUMBER(K4238),K4238,0),""),"")</f>
        <v/>
      </c>
    </row>
    <row r="4239" ht="24" customHeight="1" s="63">
      <c r="E4239" s="139" t="n"/>
      <c r="F4239" s="139" t="n"/>
      <c r="G4239" s="140">
        <f>IFERROR(IF(E4239&gt;0,(F4239/E4239)*1000,""),"")</f>
        <v/>
      </c>
      <c r="H4239" s="139">
        <f>IFERROR(IF(E4239&gt;0,E4239*IF(ISNUMBER(J4239),J4239,IF(OR(C4239="Alpha",B4239="Alpha"),$C$7,IF(C4239="Futures",$C$6,$C$5))),""),"")</f>
        <v/>
      </c>
      <c r="I4239" s="139">
        <f>IFERROR(IF(AND(ISNUMBER(F4239),ISNUMBER(H4239)),F4239-H4239,""),"")</f>
        <v/>
      </c>
      <c r="J4239" s="114" t="n"/>
      <c r="K4239" s="139">
        <f>IFERROR(IF(H4239&gt;0,H4239*IF(OR(C4239="Alpha",B4239="Alpha"),$C$9,$C$8),""),"")</f>
        <v/>
      </c>
      <c r="L4239" s="139">
        <f>IFERROR(IF(ISNUMBER(F4239),F4239-IF(ISNUMBER(K4239),K4239,0),""),"")</f>
        <v/>
      </c>
    </row>
    <row r="4240" ht="24" customHeight="1" s="63">
      <c r="E4240" s="139" t="n"/>
      <c r="F4240" s="139" t="n"/>
      <c r="G4240" s="140">
        <f>IFERROR(IF(E4240&gt;0,(F4240/E4240)*1000,""),"")</f>
        <v/>
      </c>
      <c r="H4240" s="139">
        <f>IFERROR(IF(E4240&gt;0,E4240*IF(ISNUMBER(J4240),J4240,IF(OR(C4240="Alpha",B4240="Alpha"),$C$7,IF(C4240="Futures",$C$6,$C$5))),""),"")</f>
        <v/>
      </c>
      <c r="I4240" s="139">
        <f>IFERROR(IF(AND(ISNUMBER(F4240),ISNUMBER(H4240)),F4240-H4240,""),"")</f>
        <v/>
      </c>
      <c r="J4240" s="114" t="n"/>
      <c r="K4240" s="139">
        <f>IFERROR(IF(H4240&gt;0,H4240*IF(OR(C4240="Alpha",B4240="Alpha"),$C$9,$C$8),""),"")</f>
        <v/>
      </c>
      <c r="L4240" s="139">
        <f>IFERROR(IF(ISNUMBER(F4240),F4240-IF(ISNUMBER(K4240),K4240,0),""),"")</f>
        <v/>
      </c>
    </row>
    <row r="4241" ht="24" customHeight="1" s="63">
      <c r="E4241" s="139" t="n"/>
      <c r="F4241" s="139" t="n"/>
      <c r="G4241" s="140">
        <f>IFERROR(IF(E4241&gt;0,(F4241/E4241)*1000,""),"")</f>
        <v/>
      </c>
      <c r="H4241" s="139">
        <f>IFERROR(IF(E4241&gt;0,E4241*IF(ISNUMBER(J4241),J4241,IF(OR(C4241="Alpha",B4241="Alpha"),$C$7,IF(C4241="Futures",$C$6,$C$5))),""),"")</f>
        <v/>
      </c>
      <c r="I4241" s="139">
        <f>IFERROR(IF(AND(ISNUMBER(F4241),ISNUMBER(H4241)),F4241-H4241,""),"")</f>
        <v/>
      </c>
      <c r="J4241" s="114" t="n"/>
      <c r="K4241" s="139">
        <f>IFERROR(IF(H4241&gt;0,H4241*IF(OR(C4241="Alpha",B4241="Alpha"),$C$9,$C$8),""),"")</f>
        <v/>
      </c>
      <c r="L4241" s="139">
        <f>IFERROR(IF(ISNUMBER(F4241),F4241-IF(ISNUMBER(K4241),K4241,0),""),"")</f>
        <v/>
      </c>
    </row>
    <row r="4242" ht="24" customHeight="1" s="63">
      <c r="E4242" s="139" t="n"/>
      <c r="F4242" s="139" t="n"/>
      <c r="G4242" s="140">
        <f>IFERROR(IF(E4242&gt;0,(F4242/E4242)*1000,""),"")</f>
        <v/>
      </c>
      <c r="H4242" s="139">
        <f>IFERROR(IF(E4242&gt;0,E4242*IF(ISNUMBER(J4242),J4242,IF(OR(C4242="Alpha",B4242="Alpha"),$C$7,IF(C4242="Futures",$C$6,$C$5))),""),"")</f>
        <v/>
      </c>
      <c r="I4242" s="139">
        <f>IFERROR(IF(AND(ISNUMBER(F4242),ISNUMBER(H4242)),F4242-H4242,""),"")</f>
        <v/>
      </c>
      <c r="J4242" s="114" t="n"/>
      <c r="K4242" s="139">
        <f>IFERROR(IF(H4242&gt;0,H4242*IF(OR(C4242="Alpha",B4242="Alpha"),$C$9,$C$8),""),"")</f>
        <v/>
      </c>
      <c r="L4242" s="139">
        <f>IFERROR(IF(ISNUMBER(F4242),F4242-IF(ISNUMBER(K4242),K4242,0),""),"")</f>
        <v/>
      </c>
    </row>
    <row r="4243" ht="24" customHeight="1" s="63">
      <c r="E4243" s="139" t="n"/>
      <c r="F4243" s="139" t="n"/>
      <c r="G4243" s="140">
        <f>IFERROR(IF(E4243&gt;0,(F4243/E4243)*1000,""),"")</f>
        <v/>
      </c>
      <c r="H4243" s="139">
        <f>IFERROR(IF(E4243&gt;0,E4243*IF(ISNUMBER(J4243),J4243,IF(OR(C4243="Alpha",B4243="Alpha"),$C$7,IF(C4243="Futures",$C$6,$C$5))),""),"")</f>
        <v/>
      </c>
      <c r="I4243" s="139">
        <f>IFERROR(IF(AND(ISNUMBER(F4243),ISNUMBER(H4243)),F4243-H4243,""),"")</f>
        <v/>
      </c>
      <c r="J4243" s="114" t="n"/>
      <c r="K4243" s="139">
        <f>IFERROR(IF(H4243&gt;0,H4243*IF(OR(C4243="Alpha",B4243="Alpha"),$C$9,$C$8),""),"")</f>
        <v/>
      </c>
      <c r="L4243" s="139">
        <f>IFERROR(IF(ISNUMBER(F4243),F4243-IF(ISNUMBER(K4243),K4243,0),""),"")</f>
        <v/>
      </c>
    </row>
    <row r="4244" ht="24" customHeight="1" s="63">
      <c r="E4244" s="139" t="n"/>
      <c r="F4244" s="139" t="n"/>
      <c r="G4244" s="140">
        <f>IFERROR(IF(E4244&gt;0,(F4244/E4244)*1000,""),"")</f>
        <v/>
      </c>
      <c r="H4244" s="139">
        <f>IFERROR(IF(E4244&gt;0,E4244*IF(ISNUMBER(J4244),J4244,IF(OR(C4244="Alpha",B4244="Alpha"),$C$7,IF(C4244="Futures",$C$6,$C$5))),""),"")</f>
        <v/>
      </c>
      <c r="I4244" s="139">
        <f>IFERROR(IF(AND(ISNUMBER(F4244),ISNUMBER(H4244)),F4244-H4244,""),"")</f>
        <v/>
      </c>
      <c r="J4244" s="114" t="n"/>
      <c r="K4244" s="139">
        <f>IFERROR(IF(H4244&gt;0,H4244*IF(OR(C4244="Alpha",B4244="Alpha"),$C$9,$C$8),""),"")</f>
        <v/>
      </c>
      <c r="L4244" s="139">
        <f>IFERROR(IF(ISNUMBER(F4244),F4244-IF(ISNUMBER(K4244),K4244,0),""),"")</f>
        <v/>
      </c>
    </row>
    <row r="4245" ht="24" customHeight="1" s="63">
      <c r="E4245" s="139" t="n"/>
      <c r="F4245" s="139" t="n"/>
      <c r="G4245" s="140">
        <f>IFERROR(IF(E4245&gt;0,(F4245/E4245)*1000,""),"")</f>
        <v/>
      </c>
      <c r="H4245" s="139">
        <f>IFERROR(IF(E4245&gt;0,E4245*IF(ISNUMBER(J4245),J4245,IF(OR(C4245="Alpha",B4245="Alpha"),$C$7,IF(C4245="Futures",$C$6,$C$5))),""),"")</f>
        <v/>
      </c>
      <c r="I4245" s="139">
        <f>IFERROR(IF(AND(ISNUMBER(F4245),ISNUMBER(H4245)),F4245-H4245,""),"")</f>
        <v/>
      </c>
      <c r="J4245" s="114" t="n"/>
      <c r="K4245" s="139">
        <f>IFERROR(IF(H4245&gt;0,H4245*IF(OR(C4245="Alpha",B4245="Alpha"),$C$9,$C$8),""),"")</f>
        <v/>
      </c>
      <c r="L4245" s="139">
        <f>IFERROR(IF(ISNUMBER(F4245),F4245-IF(ISNUMBER(K4245),K4245,0),""),"")</f>
        <v/>
      </c>
    </row>
    <row r="4246" ht="24" customHeight="1" s="63">
      <c r="E4246" s="139" t="n"/>
      <c r="F4246" s="139" t="n"/>
      <c r="G4246" s="140">
        <f>IFERROR(IF(E4246&gt;0,(F4246/E4246)*1000,""),"")</f>
        <v/>
      </c>
      <c r="H4246" s="139">
        <f>IFERROR(IF(E4246&gt;0,E4246*IF(ISNUMBER(J4246),J4246,IF(OR(C4246="Alpha",B4246="Alpha"),$C$7,IF(C4246="Futures",$C$6,$C$5))),""),"")</f>
        <v/>
      </c>
      <c r="I4246" s="139">
        <f>IFERROR(IF(AND(ISNUMBER(F4246),ISNUMBER(H4246)),F4246-H4246,""),"")</f>
        <v/>
      </c>
      <c r="J4246" s="114" t="n"/>
      <c r="K4246" s="139">
        <f>IFERROR(IF(H4246&gt;0,H4246*IF(OR(C4246="Alpha",B4246="Alpha"),$C$9,$C$8),""),"")</f>
        <v/>
      </c>
      <c r="L4246" s="139">
        <f>IFERROR(IF(ISNUMBER(F4246),F4246-IF(ISNUMBER(K4246),K4246,0),""),"")</f>
        <v/>
      </c>
    </row>
    <row r="4247" ht="24" customHeight="1" s="63">
      <c r="E4247" s="139" t="n"/>
      <c r="F4247" s="139" t="n"/>
      <c r="G4247" s="140">
        <f>IFERROR(IF(E4247&gt;0,(F4247/E4247)*1000,""),"")</f>
        <v/>
      </c>
      <c r="H4247" s="139">
        <f>IFERROR(IF(E4247&gt;0,E4247*IF(ISNUMBER(J4247),J4247,IF(OR(C4247="Alpha",B4247="Alpha"),$C$7,IF(C4247="Futures",$C$6,$C$5))),""),"")</f>
        <v/>
      </c>
      <c r="I4247" s="139">
        <f>IFERROR(IF(AND(ISNUMBER(F4247),ISNUMBER(H4247)),F4247-H4247,""),"")</f>
        <v/>
      </c>
      <c r="J4247" s="114" t="n"/>
      <c r="K4247" s="139">
        <f>IFERROR(IF(H4247&gt;0,H4247*IF(OR(C4247="Alpha",B4247="Alpha"),$C$9,$C$8),""),"")</f>
        <v/>
      </c>
      <c r="L4247" s="139">
        <f>IFERROR(IF(ISNUMBER(F4247),F4247-IF(ISNUMBER(K4247),K4247,0),""),"")</f>
        <v/>
      </c>
    </row>
    <row r="4248" ht="24" customHeight="1" s="63">
      <c r="E4248" s="139" t="n"/>
      <c r="F4248" s="139" t="n"/>
      <c r="G4248" s="140">
        <f>IFERROR(IF(E4248&gt;0,(F4248/E4248)*1000,""),"")</f>
        <v/>
      </c>
      <c r="H4248" s="139">
        <f>IFERROR(IF(E4248&gt;0,E4248*IF(ISNUMBER(J4248),J4248,IF(OR(C4248="Alpha",B4248="Alpha"),$C$7,IF(C4248="Futures",$C$6,$C$5))),""),"")</f>
        <v/>
      </c>
      <c r="I4248" s="139">
        <f>IFERROR(IF(AND(ISNUMBER(F4248),ISNUMBER(H4248)),F4248-H4248,""),"")</f>
        <v/>
      </c>
      <c r="J4248" s="114" t="n"/>
      <c r="K4248" s="139">
        <f>IFERROR(IF(H4248&gt;0,H4248*IF(OR(C4248="Alpha",B4248="Alpha"),$C$9,$C$8),""),"")</f>
        <v/>
      </c>
      <c r="L4248" s="139">
        <f>IFERROR(IF(ISNUMBER(F4248),F4248-IF(ISNUMBER(K4248),K4248,0),""),"")</f>
        <v/>
      </c>
    </row>
    <row r="4249" ht="24" customHeight="1" s="63">
      <c r="E4249" s="139" t="n"/>
      <c r="F4249" s="139" t="n"/>
      <c r="G4249" s="140">
        <f>IFERROR(IF(E4249&gt;0,(F4249/E4249)*1000,""),"")</f>
        <v/>
      </c>
      <c r="H4249" s="139">
        <f>IFERROR(IF(E4249&gt;0,E4249*IF(ISNUMBER(J4249),J4249,IF(OR(C4249="Alpha",B4249="Alpha"),$C$7,IF(C4249="Futures",$C$6,$C$5))),""),"")</f>
        <v/>
      </c>
      <c r="I4249" s="139">
        <f>IFERROR(IF(AND(ISNUMBER(F4249),ISNUMBER(H4249)),F4249-H4249,""),"")</f>
        <v/>
      </c>
      <c r="J4249" s="114" t="n"/>
      <c r="K4249" s="139">
        <f>IFERROR(IF(H4249&gt;0,H4249*IF(OR(C4249="Alpha",B4249="Alpha"),$C$9,$C$8),""),"")</f>
        <v/>
      </c>
      <c r="L4249" s="139">
        <f>IFERROR(IF(ISNUMBER(F4249),F4249-IF(ISNUMBER(K4249),K4249,0),""),"")</f>
        <v/>
      </c>
    </row>
    <row r="4250" ht="24" customHeight="1" s="63">
      <c r="E4250" s="139" t="n"/>
      <c r="F4250" s="139" t="n"/>
      <c r="G4250" s="140">
        <f>IFERROR(IF(E4250&gt;0,(F4250/E4250)*1000,""),"")</f>
        <v/>
      </c>
      <c r="H4250" s="139">
        <f>IFERROR(IF(E4250&gt;0,E4250*IF(ISNUMBER(J4250),J4250,IF(OR(C4250="Alpha",B4250="Alpha"),$C$7,IF(C4250="Futures",$C$6,$C$5))),""),"")</f>
        <v/>
      </c>
      <c r="I4250" s="139">
        <f>IFERROR(IF(AND(ISNUMBER(F4250),ISNUMBER(H4250)),F4250-H4250,""),"")</f>
        <v/>
      </c>
      <c r="J4250" s="114" t="n"/>
      <c r="K4250" s="139">
        <f>IFERROR(IF(H4250&gt;0,H4250*IF(OR(C4250="Alpha",B4250="Alpha"),$C$9,$C$8),""),"")</f>
        <v/>
      </c>
      <c r="L4250" s="139">
        <f>IFERROR(IF(ISNUMBER(F4250),F4250-IF(ISNUMBER(K4250),K4250,0),""),"")</f>
        <v/>
      </c>
    </row>
    <row r="4251" ht="24" customHeight="1" s="63">
      <c r="E4251" s="139" t="n"/>
      <c r="F4251" s="139" t="n"/>
      <c r="G4251" s="140">
        <f>IFERROR(IF(E4251&gt;0,(F4251/E4251)*1000,""),"")</f>
        <v/>
      </c>
      <c r="H4251" s="139">
        <f>IFERROR(IF(E4251&gt;0,E4251*IF(ISNUMBER(J4251),J4251,IF(OR(C4251="Alpha",B4251="Alpha"),$C$7,IF(C4251="Futures",$C$6,$C$5))),""),"")</f>
        <v/>
      </c>
      <c r="I4251" s="139">
        <f>IFERROR(IF(AND(ISNUMBER(F4251),ISNUMBER(H4251)),F4251-H4251,""),"")</f>
        <v/>
      </c>
      <c r="J4251" s="114" t="n"/>
      <c r="K4251" s="139">
        <f>IFERROR(IF(H4251&gt;0,H4251*IF(OR(C4251="Alpha",B4251="Alpha"),$C$9,$C$8),""),"")</f>
        <v/>
      </c>
      <c r="L4251" s="139">
        <f>IFERROR(IF(ISNUMBER(F4251),F4251-IF(ISNUMBER(K4251),K4251,0),""),"")</f>
        <v/>
      </c>
    </row>
    <row r="4252" ht="24" customHeight="1" s="63">
      <c r="E4252" s="139" t="n"/>
      <c r="F4252" s="139" t="n"/>
      <c r="G4252" s="140">
        <f>IFERROR(IF(E4252&gt;0,(F4252/E4252)*1000,""),"")</f>
        <v/>
      </c>
      <c r="H4252" s="139">
        <f>IFERROR(IF(E4252&gt;0,E4252*IF(ISNUMBER(J4252),J4252,IF(OR(C4252="Alpha",B4252="Alpha"),$C$7,IF(C4252="Futures",$C$6,$C$5))),""),"")</f>
        <v/>
      </c>
      <c r="I4252" s="139">
        <f>IFERROR(IF(AND(ISNUMBER(F4252),ISNUMBER(H4252)),F4252-H4252,""),"")</f>
        <v/>
      </c>
      <c r="J4252" s="114" t="n"/>
      <c r="K4252" s="139">
        <f>IFERROR(IF(H4252&gt;0,H4252*IF(OR(C4252="Alpha",B4252="Alpha"),$C$9,$C$8),""),"")</f>
        <v/>
      </c>
      <c r="L4252" s="139">
        <f>IFERROR(IF(ISNUMBER(F4252),F4252-IF(ISNUMBER(K4252),K4252,0),""),"")</f>
        <v/>
      </c>
    </row>
    <row r="4253" ht="24" customHeight="1" s="63">
      <c r="E4253" s="139" t="n"/>
      <c r="F4253" s="139" t="n"/>
      <c r="G4253" s="140">
        <f>IFERROR(IF(E4253&gt;0,(F4253/E4253)*1000,""),"")</f>
        <v/>
      </c>
      <c r="H4253" s="139">
        <f>IFERROR(IF(E4253&gt;0,E4253*IF(ISNUMBER(J4253),J4253,IF(OR(C4253="Alpha",B4253="Alpha"),$C$7,IF(C4253="Futures",$C$6,$C$5))),""),"")</f>
        <v/>
      </c>
      <c r="I4253" s="139">
        <f>IFERROR(IF(AND(ISNUMBER(F4253),ISNUMBER(H4253)),F4253-H4253,""),"")</f>
        <v/>
      </c>
      <c r="J4253" s="114" t="n"/>
      <c r="K4253" s="139">
        <f>IFERROR(IF(H4253&gt;0,H4253*IF(OR(C4253="Alpha",B4253="Alpha"),$C$9,$C$8),""),"")</f>
        <v/>
      </c>
      <c r="L4253" s="139">
        <f>IFERROR(IF(ISNUMBER(F4253),F4253-IF(ISNUMBER(K4253),K4253,0),""),"")</f>
        <v/>
      </c>
    </row>
    <row r="4254" ht="24" customHeight="1" s="63">
      <c r="E4254" s="139" t="n"/>
      <c r="F4254" s="139" t="n"/>
      <c r="G4254" s="140">
        <f>IFERROR(IF(E4254&gt;0,(F4254/E4254)*1000,""),"")</f>
        <v/>
      </c>
      <c r="H4254" s="139">
        <f>IFERROR(IF(E4254&gt;0,E4254*IF(ISNUMBER(J4254),J4254,IF(OR(C4254="Alpha",B4254="Alpha"),$C$7,IF(C4254="Futures",$C$6,$C$5))),""),"")</f>
        <v/>
      </c>
      <c r="I4254" s="139">
        <f>IFERROR(IF(AND(ISNUMBER(F4254),ISNUMBER(H4254)),F4254-H4254,""),"")</f>
        <v/>
      </c>
      <c r="J4254" s="114" t="n"/>
      <c r="K4254" s="139">
        <f>IFERROR(IF(H4254&gt;0,H4254*IF(OR(C4254="Alpha",B4254="Alpha"),$C$9,$C$8),""),"")</f>
        <v/>
      </c>
      <c r="L4254" s="139">
        <f>IFERROR(IF(ISNUMBER(F4254),F4254-IF(ISNUMBER(K4254),K4254,0),""),"")</f>
        <v/>
      </c>
    </row>
    <row r="4255" ht="24" customHeight="1" s="63">
      <c r="E4255" s="139" t="n"/>
      <c r="F4255" s="139" t="n"/>
      <c r="G4255" s="140">
        <f>IFERROR(IF(E4255&gt;0,(F4255/E4255)*1000,""),"")</f>
        <v/>
      </c>
      <c r="H4255" s="139">
        <f>IFERROR(IF(E4255&gt;0,E4255*IF(ISNUMBER(J4255),J4255,IF(OR(C4255="Alpha",B4255="Alpha"),$C$7,IF(C4255="Futures",$C$6,$C$5))),""),"")</f>
        <v/>
      </c>
      <c r="I4255" s="139">
        <f>IFERROR(IF(AND(ISNUMBER(F4255),ISNUMBER(H4255)),F4255-H4255,""),"")</f>
        <v/>
      </c>
      <c r="J4255" s="114" t="n"/>
      <c r="K4255" s="139">
        <f>IFERROR(IF(H4255&gt;0,H4255*IF(OR(C4255="Alpha",B4255="Alpha"),$C$9,$C$8),""),"")</f>
        <v/>
      </c>
      <c r="L4255" s="139">
        <f>IFERROR(IF(ISNUMBER(F4255),F4255-IF(ISNUMBER(K4255),K4255,0),""),"")</f>
        <v/>
      </c>
    </row>
    <row r="4256" ht="24" customHeight="1" s="63">
      <c r="E4256" s="139" t="n"/>
      <c r="F4256" s="139" t="n"/>
      <c r="G4256" s="140">
        <f>IFERROR(IF(E4256&gt;0,(F4256/E4256)*1000,""),"")</f>
        <v/>
      </c>
      <c r="H4256" s="139">
        <f>IFERROR(IF(E4256&gt;0,E4256*IF(ISNUMBER(J4256),J4256,IF(OR(C4256="Alpha",B4256="Alpha"),$C$7,IF(C4256="Futures",$C$6,$C$5))),""),"")</f>
        <v/>
      </c>
      <c r="I4256" s="139">
        <f>IFERROR(IF(AND(ISNUMBER(F4256),ISNUMBER(H4256)),F4256-H4256,""),"")</f>
        <v/>
      </c>
      <c r="J4256" s="114" t="n"/>
      <c r="K4256" s="139">
        <f>IFERROR(IF(H4256&gt;0,H4256*IF(OR(C4256="Alpha",B4256="Alpha"),$C$9,$C$8),""),"")</f>
        <v/>
      </c>
      <c r="L4256" s="139">
        <f>IFERROR(IF(ISNUMBER(F4256),F4256-IF(ISNUMBER(K4256),K4256,0),""),"")</f>
        <v/>
      </c>
    </row>
    <row r="4257" ht="24" customHeight="1" s="63">
      <c r="E4257" s="139" t="n"/>
      <c r="F4257" s="139" t="n"/>
      <c r="G4257" s="140">
        <f>IFERROR(IF(E4257&gt;0,(F4257/E4257)*1000,""),"")</f>
        <v/>
      </c>
      <c r="H4257" s="139">
        <f>IFERROR(IF(E4257&gt;0,E4257*IF(ISNUMBER(J4257),J4257,IF(OR(C4257="Alpha",B4257="Alpha"),$C$7,IF(C4257="Futures",$C$6,$C$5))),""),"")</f>
        <v/>
      </c>
      <c r="I4257" s="139">
        <f>IFERROR(IF(AND(ISNUMBER(F4257),ISNUMBER(H4257)),F4257-H4257,""),"")</f>
        <v/>
      </c>
      <c r="J4257" s="114" t="n"/>
      <c r="K4257" s="139">
        <f>IFERROR(IF(H4257&gt;0,H4257*IF(OR(C4257="Alpha",B4257="Alpha"),$C$9,$C$8),""),"")</f>
        <v/>
      </c>
      <c r="L4257" s="139">
        <f>IFERROR(IF(ISNUMBER(F4257),F4257-IF(ISNUMBER(K4257),K4257,0),""),"")</f>
        <v/>
      </c>
    </row>
    <row r="4258" ht="24" customHeight="1" s="63">
      <c r="E4258" s="139" t="n"/>
      <c r="F4258" s="139" t="n"/>
      <c r="G4258" s="140">
        <f>IFERROR(IF(E4258&gt;0,(F4258/E4258)*1000,""),"")</f>
        <v/>
      </c>
      <c r="H4258" s="139">
        <f>IFERROR(IF(E4258&gt;0,E4258*IF(ISNUMBER(J4258),J4258,IF(OR(C4258="Alpha",B4258="Alpha"),$C$7,IF(C4258="Futures",$C$6,$C$5))),""),"")</f>
        <v/>
      </c>
      <c r="I4258" s="139">
        <f>IFERROR(IF(AND(ISNUMBER(F4258),ISNUMBER(H4258)),F4258-H4258,""),"")</f>
        <v/>
      </c>
      <c r="J4258" s="114" t="n"/>
      <c r="K4258" s="139">
        <f>IFERROR(IF(H4258&gt;0,H4258*IF(OR(C4258="Alpha",B4258="Alpha"),$C$9,$C$8),""),"")</f>
        <v/>
      </c>
      <c r="L4258" s="139">
        <f>IFERROR(IF(ISNUMBER(F4258),F4258-IF(ISNUMBER(K4258),K4258,0),""),"")</f>
        <v/>
      </c>
    </row>
    <row r="4259" ht="24" customHeight="1" s="63">
      <c r="E4259" s="139" t="n"/>
      <c r="F4259" s="139" t="n"/>
      <c r="G4259" s="140">
        <f>IFERROR(IF(E4259&gt;0,(F4259/E4259)*1000,""),"")</f>
        <v/>
      </c>
      <c r="H4259" s="139">
        <f>IFERROR(IF(E4259&gt;0,E4259*IF(ISNUMBER(J4259),J4259,IF(OR(C4259="Alpha",B4259="Alpha"),$C$7,IF(C4259="Futures",$C$6,$C$5))),""),"")</f>
        <v/>
      </c>
      <c r="I4259" s="139">
        <f>IFERROR(IF(AND(ISNUMBER(F4259),ISNUMBER(H4259)),F4259-H4259,""),"")</f>
        <v/>
      </c>
      <c r="J4259" s="114" t="n"/>
      <c r="K4259" s="139">
        <f>IFERROR(IF(H4259&gt;0,H4259*IF(OR(C4259="Alpha",B4259="Alpha"),$C$9,$C$8),""),"")</f>
        <v/>
      </c>
      <c r="L4259" s="139">
        <f>IFERROR(IF(ISNUMBER(F4259),F4259-IF(ISNUMBER(K4259),K4259,0),""),"")</f>
        <v/>
      </c>
    </row>
    <row r="4260" ht="24" customHeight="1" s="63">
      <c r="E4260" s="139" t="n"/>
      <c r="F4260" s="139" t="n"/>
      <c r="G4260" s="140">
        <f>IFERROR(IF(E4260&gt;0,(F4260/E4260)*1000,""),"")</f>
        <v/>
      </c>
      <c r="H4260" s="139">
        <f>IFERROR(IF(E4260&gt;0,E4260*IF(ISNUMBER(J4260),J4260,IF(OR(C4260="Alpha",B4260="Alpha"),$C$7,IF(C4260="Futures",$C$6,$C$5))),""),"")</f>
        <v/>
      </c>
      <c r="I4260" s="139">
        <f>IFERROR(IF(AND(ISNUMBER(F4260),ISNUMBER(H4260)),F4260-H4260,""),"")</f>
        <v/>
      </c>
      <c r="J4260" s="114" t="n"/>
      <c r="K4260" s="139">
        <f>IFERROR(IF(H4260&gt;0,H4260*IF(OR(C4260="Alpha",B4260="Alpha"),$C$9,$C$8),""),"")</f>
        <v/>
      </c>
      <c r="L4260" s="139">
        <f>IFERROR(IF(ISNUMBER(F4260),F4260-IF(ISNUMBER(K4260),K4260,0),""),"")</f>
        <v/>
      </c>
    </row>
    <row r="4261" ht="24" customHeight="1" s="63">
      <c r="E4261" s="139" t="n"/>
      <c r="F4261" s="139" t="n"/>
      <c r="G4261" s="140">
        <f>IFERROR(IF(E4261&gt;0,(F4261/E4261)*1000,""),"")</f>
        <v/>
      </c>
      <c r="H4261" s="139">
        <f>IFERROR(IF(E4261&gt;0,E4261*IF(ISNUMBER(J4261),J4261,IF(OR(C4261="Alpha",B4261="Alpha"),$C$7,IF(C4261="Futures",$C$6,$C$5))),""),"")</f>
        <v/>
      </c>
      <c r="I4261" s="139">
        <f>IFERROR(IF(AND(ISNUMBER(F4261),ISNUMBER(H4261)),F4261-H4261,""),"")</f>
        <v/>
      </c>
      <c r="J4261" s="114" t="n"/>
      <c r="K4261" s="139">
        <f>IFERROR(IF(H4261&gt;0,H4261*IF(OR(C4261="Alpha",B4261="Alpha"),$C$9,$C$8),""),"")</f>
        <v/>
      </c>
      <c r="L4261" s="139">
        <f>IFERROR(IF(ISNUMBER(F4261),F4261-IF(ISNUMBER(K4261),K4261,0),""),"")</f>
        <v/>
      </c>
    </row>
    <row r="4262" ht="24" customHeight="1" s="63">
      <c r="E4262" s="139" t="n"/>
      <c r="F4262" s="139" t="n"/>
      <c r="G4262" s="140">
        <f>IFERROR(IF(E4262&gt;0,(F4262/E4262)*1000,""),"")</f>
        <v/>
      </c>
      <c r="H4262" s="139">
        <f>IFERROR(IF(E4262&gt;0,E4262*IF(ISNUMBER(J4262),J4262,IF(OR(C4262="Alpha",B4262="Alpha"),$C$7,IF(C4262="Futures",$C$6,$C$5))),""),"")</f>
        <v/>
      </c>
      <c r="I4262" s="139">
        <f>IFERROR(IF(AND(ISNUMBER(F4262),ISNUMBER(H4262)),F4262-H4262,""),"")</f>
        <v/>
      </c>
      <c r="J4262" s="114" t="n"/>
      <c r="K4262" s="139">
        <f>IFERROR(IF(H4262&gt;0,H4262*IF(OR(C4262="Alpha",B4262="Alpha"),$C$9,$C$8),""),"")</f>
        <v/>
      </c>
      <c r="L4262" s="139">
        <f>IFERROR(IF(ISNUMBER(F4262),F4262-IF(ISNUMBER(K4262),K4262,0),""),"")</f>
        <v/>
      </c>
    </row>
    <row r="4263" ht="24" customHeight="1" s="63">
      <c r="E4263" s="139" t="n"/>
      <c r="F4263" s="139" t="n"/>
      <c r="G4263" s="140">
        <f>IFERROR(IF(E4263&gt;0,(F4263/E4263)*1000,""),"")</f>
        <v/>
      </c>
      <c r="H4263" s="139">
        <f>IFERROR(IF(E4263&gt;0,E4263*IF(ISNUMBER(J4263),J4263,IF(OR(C4263="Alpha",B4263="Alpha"),$C$7,IF(C4263="Futures",$C$6,$C$5))),""),"")</f>
        <v/>
      </c>
      <c r="I4263" s="139">
        <f>IFERROR(IF(AND(ISNUMBER(F4263),ISNUMBER(H4263)),F4263-H4263,""),"")</f>
        <v/>
      </c>
      <c r="J4263" s="114" t="n"/>
      <c r="K4263" s="139">
        <f>IFERROR(IF(H4263&gt;0,H4263*IF(OR(C4263="Alpha",B4263="Alpha"),$C$9,$C$8),""),"")</f>
        <v/>
      </c>
      <c r="L4263" s="139">
        <f>IFERROR(IF(ISNUMBER(F4263),F4263-IF(ISNUMBER(K4263),K4263,0),""),"")</f>
        <v/>
      </c>
    </row>
    <row r="4264" ht="24" customHeight="1" s="63">
      <c r="E4264" s="139" t="n"/>
      <c r="F4264" s="139" t="n"/>
      <c r="G4264" s="140">
        <f>IFERROR(IF(E4264&gt;0,(F4264/E4264)*1000,""),"")</f>
        <v/>
      </c>
      <c r="H4264" s="139">
        <f>IFERROR(IF(E4264&gt;0,E4264*IF(ISNUMBER(J4264),J4264,IF(OR(C4264="Alpha",B4264="Alpha"),$C$7,IF(C4264="Futures",$C$6,$C$5))),""),"")</f>
        <v/>
      </c>
      <c r="I4264" s="139">
        <f>IFERROR(IF(AND(ISNUMBER(F4264),ISNUMBER(H4264)),F4264-H4264,""),"")</f>
        <v/>
      </c>
      <c r="J4264" s="114" t="n"/>
      <c r="K4264" s="139">
        <f>IFERROR(IF(H4264&gt;0,H4264*IF(OR(C4264="Alpha",B4264="Alpha"),$C$9,$C$8),""),"")</f>
        <v/>
      </c>
      <c r="L4264" s="139">
        <f>IFERROR(IF(ISNUMBER(F4264),F4264-IF(ISNUMBER(K4264),K4264,0),""),"")</f>
        <v/>
      </c>
    </row>
    <row r="4265" ht="24" customHeight="1" s="63">
      <c r="E4265" s="139" t="n"/>
      <c r="F4265" s="139" t="n"/>
      <c r="G4265" s="140">
        <f>IFERROR(IF(E4265&gt;0,(F4265/E4265)*1000,""),"")</f>
        <v/>
      </c>
      <c r="H4265" s="139">
        <f>IFERROR(IF(E4265&gt;0,E4265*IF(ISNUMBER(J4265),J4265,IF(OR(C4265="Alpha",B4265="Alpha"),$C$7,IF(C4265="Futures",$C$6,$C$5))),""),"")</f>
        <v/>
      </c>
      <c r="I4265" s="139">
        <f>IFERROR(IF(AND(ISNUMBER(F4265),ISNUMBER(H4265)),F4265-H4265,""),"")</f>
        <v/>
      </c>
      <c r="J4265" s="114" t="n"/>
      <c r="K4265" s="139">
        <f>IFERROR(IF(H4265&gt;0,H4265*IF(OR(C4265="Alpha",B4265="Alpha"),$C$9,$C$8),""),"")</f>
        <v/>
      </c>
      <c r="L4265" s="139">
        <f>IFERROR(IF(ISNUMBER(F4265),F4265-IF(ISNUMBER(K4265),K4265,0),""),"")</f>
        <v/>
      </c>
    </row>
    <row r="4266" ht="24" customHeight="1" s="63">
      <c r="E4266" s="139" t="n"/>
      <c r="F4266" s="139" t="n"/>
      <c r="G4266" s="140">
        <f>IFERROR(IF(E4266&gt;0,(F4266/E4266)*1000,""),"")</f>
        <v/>
      </c>
      <c r="H4266" s="139">
        <f>IFERROR(IF(E4266&gt;0,E4266*IF(ISNUMBER(J4266),J4266,IF(OR(C4266="Alpha",B4266="Alpha"),$C$7,IF(C4266="Futures",$C$6,$C$5))),""),"")</f>
        <v/>
      </c>
      <c r="I4266" s="139">
        <f>IFERROR(IF(AND(ISNUMBER(F4266),ISNUMBER(H4266)),F4266-H4266,""),"")</f>
        <v/>
      </c>
      <c r="J4266" s="114" t="n"/>
      <c r="K4266" s="139">
        <f>IFERROR(IF(H4266&gt;0,H4266*IF(OR(C4266="Alpha",B4266="Alpha"),$C$9,$C$8),""),"")</f>
        <v/>
      </c>
      <c r="L4266" s="139">
        <f>IFERROR(IF(ISNUMBER(F4266),F4266-IF(ISNUMBER(K4266),K4266,0),""),"")</f>
        <v/>
      </c>
    </row>
    <row r="4267" ht="24" customHeight="1" s="63">
      <c r="E4267" s="139" t="n"/>
      <c r="F4267" s="139" t="n"/>
      <c r="G4267" s="140">
        <f>IFERROR(IF(E4267&gt;0,(F4267/E4267)*1000,""),"")</f>
        <v/>
      </c>
      <c r="H4267" s="139">
        <f>IFERROR(IF(E4267&gt;0,E4267*IF(ISNUMBER(J4267),J4267,IF(OR(C4267="Alpha",B4267="Alpha"),$C$7,IF(C4267="Futures",$C$6,$C$5))),""),"")</f>
        <v/>
      </c>
      <c r="I4267" s="139">
        <f>IFERROR(IF(AND(ISNUMBER(F4267),ISNUMBER(H4267)),F4267-H4267,""),"")</f>
        <v/>
      </c>
      <c r="J4267" s="114" t="n"/>
      <c r="K4267" s="139">
        <f>IFERROR(IF(H4267&gt;0,H4267*IF(OR(C4267="Alpha",B4267="Alpha"),$C$9,$C$8),""),"")</f>
        <v/>
      </c>
      <c r="L4267" s="139">
        <f>IFERROR(IF(ISNUMBER(F4267),F4267-IF(ISNUMBER(K4267),K4267,0),""),"")</f>
        <v/>
      </c>
    </row>
    <row r="4268" ht="24" customHeight="1" s="63">
      <c r="E4268" s="139" t="n"/>
      <c r="F4268" s="139" t="n"/>
      <c r="G4268" s="140">
        <f>IFERROR(IF(E4268&gt;0,(F4268/E4268)*1000,""),"")</f>
        <v/>
      </c>
      <c r="H4268" s="139">
        <f>IFERROR(IF(E4268&gt;0,E4268*IF(ISNUMBER(J4268),J4268,IF(OR(C4268="Alpha",B4268="Alpha"),$C$7,IF(C4268="Futures",$C$6,$C$5))),""),"")</f>
        <v/>
      </c>
      <c r="I4268" s="139">
        <f>IFERROR(IF(AND(ISNUMBER(F4268),ISNUMBER(H4268)),F4268-H4268,""),"")</f>
        <v/>
      </c>
      <c r="J4268" s="114" t="n"/>
      <c r="K4268" s="139">
        <f>IFERROR(IF(H4268&gt;0,H4268*IF(OR(C4268="Alpha",B4268="Alpha"),$C$9,$C$8),""),"")</f>
        <v/>
      </c>
      <c r="L4268" s="139">
        <f>IFERROR(IF(ISNUMBER(F4268),F4268-IF(ISNUMBER(K4268),K4268,0),""),"")</f>
        <v/>
      </c>
    </row>
    <row r="4269" ht="24" customHeight="1" s="63">
      <c r="E4269" s="139" t="n"/>
      <c r="F4269" s="139" t="n"/>
      <c r="G4269" s="140">
        <f>IFERROR(IF(E4269&gt;0,(F4269/E4269)*1000,""),"")</f>
        <v/>
      </c>
      <c r="H4269" s="139">
        <f>IFERROR(IF(E4269&gt;0,E4269*IF(ISNUMBER(J4269),J4269,IF(OR(C4269="Alpha",B4269="Alpha"),$C$7,IF(C4269="Futures",$C$6,$C$5))),""),"")</f>
        <v/>
      </c>
      <c r="I4269" s="139">
        <f>IFERROR(IF(AND(ISNUMBER(F4269),ISNUMBER(H4269)),F4269-H4269,""),"")</f>
        <v/>
      </c>
      <c r="J4269" s="114" t="n"/>
      <c r="K4269" s="139">
        <f>IFERROR(IF(H4269&gt;0,H4269*IF(OR(C4269="Alpha",B4269="Alpha"),$C$9,$C$8),""),"")</f>
        <v/>
      </c>
      <c r="L4269" s="139">
        <f>IFERROR(IF(ISNUMBER(F4269),F4269-IF(ISNUMBER(K4269),K4269,0),""),"")</f>
        <v/>
      </c>
    </row>
    <row r="4270" ht="24" customHeight="1" s="63">
      <c r="E4270" s="139" t="n"/>
      <c r="F4270" s="139" t="n"/>
      <c r="G4270" s="140">
        <f>IFERROR(IF(E4270&gt;0,(F4270/E4270)*1000,""),"")</f>
        <v/>
      </c>
      <c r="H4270" s="139">
        <f>IFERROR(IF(E4270&gt;0,E4270*IF(ISNUMBER(J4270),J4270,IF(OR(C4270="Alpha",B4270="Alpha"),$C$7,IF(C4270="Futures",$C$6,$C$5))),""),"")</f>
        <v/>
      </c>
      <c r="I4270" s="139">
        <f>IFERROR(IF(AND(ISNUMBER(F4270),ISNUMBER(H4270)),F4270-H4270,""),"")</f>
        <v/>
      </c>
      <c r="J4270" s="114" t="n"/>
      <c r="K4270" s="139">
        <f>IFERROR(IF(H4270&gt;0,H4270*IF(OR(C4270="Alpha",B4270="Alpha"),$C$9,$C$8),""),"")</f>
        <v/>
      </c>
      <c r="L4270" s="139">
        <f>IFERROR(IF(ISNUMBER(F4270),F4270-IF(ISNUMBER(K4270),K4270,0),""),"")</f>
        <v/>
      </c>
    </row>
    <row r="4271" ht="24" customHeight="1" s="63">
      <c r="E4271" s="139" t="n"/>
      <c r="F4271" s="139" t="n"/>
      <c r="G4271" s="140">
        <f>IFERROR(IF(E4271&gt;0,(F4271/E4271)*1000,""),"")</f>
        <v/>
      </c>
      <c r="H4271" s="139">
        <f>IFERROR(IF(E4271&gt;0,E4271*IF(ISNUMBER(J4271),J4271,IF(OR(C4271="Alpha",B4271="Alpha"),$C$7,IF(C4271="Futures",$C$6,$C$5))),""),"")</f>
        <v/>
      </c>
      <c r="I4271" s="139">
        <f>IFERROR(IF(AND(ISNUMBER(F4271),ISNUMBER(H4271)),F4271-H4271,""),"")</f>
        <v/>
      </c>
      <c r="J4271" s="114" t="n"/>
      <c r="K4271" s="139">
        <f>IFERROR(IF(H4271&gt;0,H4271*IF(OR(C4271="Alpha",B4271="Alpha"),$C$9,$C$8),""),"")</f>
        <v/>
      </c>
      <c r="L4271" s="139">
        <f>IFERROR(IF(ISNUMBER(F4271),F4271-IF(ISNUMBER(K4271),K4271,0),""),"")</f>
        <v/>
      </c>
    </row>
    <row r="4272" ht="24" customHeight="1" s="63">
      <c r="E4272" s="139" t="n"/>
      <c r="F4272" s="139" t="n"/>
      <c r="G4272" s="140">
        <f>IFERROR(IF(E4272&gt;0,(F4272/E4272)*1000,""),"")</f>
        <v/>
      </c>
      <c r="H4272" s="139">
        <f>IFERROR(IF(E4272&gt;0,E4272*IF(ISNUMBER(J4272),J4272,IF(OR(C4272="Alpha",B4272="Alpha"),$C$7,IF(C4272="Futures",$C$6,$C$5))),""),"")</f>
        <v/>
      </c>
      <c r="I4272" s="139">
        <f>IFERROR(IF(AND(ISNUMBER(F4272),ISNUMBER(H4272)),F4272-H4272,""),"")</f>
        <v/>
      </c>
      <c r="J4272" s="114" t="n"/>
      <c r="K4272" s="139">
        <f>IFERROR(IF(H4272&gt;0,H4272*IF(OR(C4272="Alpha",B4272="Alpha"),$C$9,$C$8),""),"")</f>
        <v/>
      </c>
      <c r="L4272" s="139">
        <f>IFERROR(IF(ISNUMBER(F4272),F4272-IF(ISNUMBER(K4272),K4272,0),""),"")</f>
        <v/>
      </c>
    </row>
    <row r="4273" ht="24" customHeight="1" s="63">
      <c r="E4273" s="139" t="n"/>
      <c r="F4273" s="139" t="n"/>
      <c r="G4273" s="140">
        <f>IFERROR(IF(E4273&gt;0,(F4273/E4273)*1000,""),"")</f>
        <v/>
      </c>
      <c r="H4273" s="139">
        <f>IFERROR(IF(E4273&gt;0,E4273*IF(ISNUMBER(J4273),J4273,IF(OR(C4273="Alpha",B4273="Alpha"),$C$7,IF(C4273="Futures",$C$6,$C$5))),""),"")</f>
        <v/>
      </c>
      <c r="I4273" s="139">
        <f>IFERROR(IF(AND(ISNUMBER(F4273),ISNUMBER(H4273)),F4273-H4273,""),"")</f>
        <v/>
      </c>
      <c r="J4273" s="114" t="n"/>
      <c r="K4273" s="139">
        <f>IFERROR(IF(H4273&gt;0,H4273*IF(OR(C4273="Alpha",B4273="Alpha"),$C$9,$C$8),""),"")</f>
        <v/>
      </c>
      <c r="L4273" s="139">
        <f>IFERROR(IF(ISNUMBER(F4273),F4273-IF(ISNUMBER(K4273),K4273,0),""),"")</f>
        <v/>
      </c>
    </row>
    <row r="4274" ht="24" customHeight="1" s="63">
      <c r="E4274" s="139" t="n"/>
      <c r="F4274" s="139" t="n"/>
      <c r="G4274" s="140">
        <f>IFERROR(IF(E4274&gt;0,(F4274/E4274)*1000,""),"")</f>
        <v/>
      </c>
      <c r="H4274" s="139">
        <f>IFERROR(IF(E4274&gt;0,E4274*IF(ISNUMBER(J4274),J4274,IF(OR(C4274="Alpha",B4274="Alpha"),$C$7,IF(C4274="Futures",$C$6,$C$5))),""),"")</f>
        <v/>
      </c>
      <c r="I4274" s="139">
        <f>IFERROR(IF(AND(ISNUMBER(F4274),ISNUMBER(H4274)),F4274-H4274,""),"")</f>
        <v/>
      </c>
      <c r="J4274" s="114" t="n"/>
      <c r="K4274" s="139">
        <f>IFERROR(IF(H4274&gt;0,H4274*IF(OR(C4274="Alpha",B4274="Alpha"),$C$9,$C$8),""),"")</f>
        <v/>
      </c>
      <c r="L4274" s="139">
        <f>IFERROR(IF(ISNUMBER(F4274),F4274-IF(ISNUMBER(K4274),K4274,0),""),"")</f>
        <v/>
      </c>
    </row>
    <row r="4275" ht="24" customHeight="1" s="63">
      <c r="E4275" s="139" t="n"/>
      <c r="F4275" s="139" t="n"/>
      <c r="G4275" s="140">
        <f>IFERROR(IF(E4275&gt;0,(F4275/E4275)*1000,""),"")</f>
        <v/>
      </c>
      <c r="H4275" s="139">
        <f>IFERROR(IF(E4275&gt;0,E4275*IF(ISNUMBER(J4275),J4275,IF(OR(C4275="Alpha",B4275="Alpha"),$C$7,IF(C4275="Futures",$C$6,$C$5))),""),"")</f>
        <v/>
      </c>
      <c r="I4275" s="139">
        <f>IFERROR(IF(AND(ISNUMBER(F4275),ISNUMBER(H4275)),F4275-H4275,""),"")</f>
        <v/>
      </c>
      <c r="J4275" s="114" t="n"/>
      <c r="K4275" s="139">
        <f>IFERROR(IF(H4275&gt;0,H4275*IF(OR(C4275="Alpha",B4275="Alpha"),$C$9,$C$8),""),"")</f>
        <v/>
      </c>
      <c r="L4275" s="139">
        <f>IFERROR(IF(ISNUMBER(F4275),F4275-IF(ISNUMBER(K4275),K4275,0),""),"")</f>
        <v/>
      </c>
    </row>
    <row r="4276" ht="24" customHeight="1" s="63">
      <c r="E4276" s="139" t="n"/>
      <c r="F4276" s="139" t="n"/>
      <c r="G4276" s="140">
        <f>IFERROR(IF(E4276&gt;0,(F4276/E4276)*1000,""),"")</f>
        <v/>
      </c>
      <c r="H4276" s="139">
        <f>IFERROR(IF(E4276&gt;0,E4276*IF(ISNUMBER(J4276),J4276,IF(OR(C4276="Alpha",B4276="Alpha"),$C$7,IF(C4276="Futures",$C$6,$C$5))),""),"")</f>
        <v/>
      </c>
      <c r="I4276" s="139">
        <f>IFERROR(IF(AND(ISNUMBER(F4276),ISNUMBER(H4276)),F4276-H4276,""),"")</f>
        <v/>
      </c>
      <c r="J4276" s="114" t="n"/>
      <c r="K4276" s="139">
        <f>IFERROR(IF(H4276&gt;0,H4276*IF(OR(C4276="Alpha",B4276="Alpha"),$C$9,$C$8),""),"")</f>
        <v/>
      </c>
      <c r="L4276" s="139">
        <f>IFERROR(IF(ISNUMBER(F4276),F4276-IF(ISNUMBER(K4276),K4276,0),""),"")</f>
        <v/>
      </c>
    </row>
    <row r="4277" ht="24" customHeight="1" s="63">
      <c r="E4277" s="139" t="n"/>
      <c r="F4277" s="139" t="n"/>
      <c r="G4277" s="140">
        <f>IFERROR(IF(E4277&gt;0,(F4277/E4277)*1000,""),"")</f>
        <v/>
      </c>
      <c r="H4277" s="139">
        <f>IFERROR(IF(E4277&gt;0,E4277*IF(ISNUMBER(J4277),J4277,IF(OR(C4277="Alpha",B4277="Alpha"),$C$7,IF(C4277="Futures",$C$6,$C$5))),""),"")</f>
        <v/>
      </c>
      <c r="I4277" s="139">
        <f>IFERROR(IF(AND(ISNUMBER(F4277),ISNUMBER(H4277)),F4277-H4277,""),"")</f>
        <v/>
      </c>
      <c r="J4277" s="114" t="n"/>
      <c r="K4277" s="139">
        <f>IFERROR(IF(H4277&gt;0,H4277*IF(OR(C4277="Alpha",B4277="Alpha"),$C$9,$C$8),""),"")</f>
        <v/>
      </c>
      <c r="L4277" s="139">
        <f>IFERROR(IF(ISNUMBER(F4277),F4277-IF(ISNUMBER(K4277),K4277,0),""),"")</f>
        <v/>
      </c>
    </row>
    <row r="4278" ht="24" customHeight="1" s="63">
      <c r="E4278" s="139" t="n"/>
      <c r="F4278" s="139" t="n"/>
      <c r="G4278" s="140">
        <f>IFERROR(IF(E4278&gt;0,(F4278/E4278)*1000,""),"")</f>
        <v/>
      </c>
      <c r="H4278" s="139">
        <f>IFERROR(IF(E4278&gt;0,E4278*IF(ISNUMBER(J4278),J4278,IF(OR(C4278="Alpha",B4278="Alpha"),$C$7,IF(C4278="Futures",$C$6,$C$5))),""),"")</f>
        <v/>
      </c>
      <c r="I4278" s="139">
        <f>IFERROR(IF(AND(ISNUMBER(F4278),ISNUMBER(H4278)),F4278-H4278,""),"")</f>
        <v/>
      </c>
      <c r="J4278" s="114" t="n"/>
      <c r="K4278" s="139">
        <f>IFERROR(IF(H4278&gt;0,H4278*IF(OR(C4278="Alpha",B4278="Alpha"),$C$9,$C$8),""),"")</f>
        <v/>
      </c>
      <c r="L4278" s="139">
        <f>IFERROR(IF(ISNUMBER(F4278),F4278-IF(ISNUMBER(K4278),K4278,0),""),"")</f>
        <v/>
      </c>
    </row>
    <row r="4279" ht="24" customHeight="1" s="63">
      <c r="E4279" s="139" t="n"/>
      <c r="F4279" s="139" t="n"/>
      <c r="G4279" s="140">
        <f>IFERROR(IF(E4279&gt;0,(F4279/E4279)*1000,""),"")</f>
        <v/>
      </c>
      <c r="H4279" s="139">
        <f>IFERROR(IF(E4279&gt;0,E4279*IF(ISNUMBER(J4279),J4279,IF(OR(C4279="Alpha",B4279="Alpha"),$C$7,IF(C4279="Futures",$C$6,$C$5))),""),"")</f>
        <v/>
      </c>
      <c r="I4279" s="139">
        <f>IFERROR(IF(AND(ISNUMBER(F4279),ISNUMBER(H4279)),F4279-H4279,""),"")</f>
        <v/>
      </c>
      <c r="J4279" s="114" t="n"/>
      <c r="K4279" s="139">
        <f>IFERROR(IF(H4279&gt;0,H4279*IF(OR(C4279="Alpha",B4279="Alpha"),$C$9,$C$8),""),"")</f>
        <v/>
      </c>
      <c r="L4279" s="139">
        <f>IFERROR(IF(ISNUMBER(F4279),F4279-IF(ISNUMBER(K4279),K4279,0),""),"")</f>
        <v/>
      </c>
    </row>
    <row r="4280" ht="24" customHeight="1" s="63">
      <c r="E4280" s="139" t="n"/>
      <c r="F4280" s="139" t="n"/>
      <c r="G4280" s="140">
        <f>IFERROR(IF(E4280&gt;0,(F4280/E4280)*1000,""),"")</f>
        <v/>
      </c>
      <c r="H4280" s="139">
        <f>IFERROR(IF(E4280&gt;0,E4280*IF(ISNUMBER(J4280),J4280,IF(OR(C4280="Alpha",B4280="Alpha"),$C$7,IF(C4280="Futures",$C$6,$C$5))),""),"")</f>
        <v/>
      </c>
      <c r="I4280" s="139">
        <f>IFERROR(IF(AND(ISNUMBER(F4280),ISNUMBER(H4280)),F4280-H4280,""),"")</f>
        <v/>
      </c>
      <c r="J4280" s="114" t="n"/>
      <c r="K4280" s="139">
        <f>IFERROR(IF(H4280&gt;0,H4280*IF(OR(C4280="Alpha",B4280="Alpha"),$C$9,$C$8),""),"")</f>
        <v/>
      </c>
      <c r="L4280" s="139">
        <f>IFERROR(IF(ISNUMBER(F4280),F4280-IF(ISNUMBER(K4280),K4280,0),""),"")</f>
        <v/>
      </c>
    </row>
    <row r="4281" ht="24" customHeight="1" s="63">
      <c r="E4281" s="139" t="n"/>
      <c r="F4281" s="139" t="n"/>
      <c r="G4281" s="140">
        <f>IFERROR(IF(E4281&gt;0,(F4281/E4281)*1000,""),"")</f>
        <v/>
      </c>
      <c r="H4281" s="139">
        <f>IFERROR(IF(E4281&gt;0,E4281*IF(ISNUMBER(J4281),J4281,IF(OR(C4281="Alpha",B4281="Alpha"),$C$7,IF(C4281="Futures",$C$6,$C$5))),""),"")</f>
        <v/>
      </c>
      <c r="I4281" s="139">
        <f>IFERROR(IF(AND(ISNUMBER(F4281),ISNUMBER(H4281)),F4281-H4281,""),"")</f>
        <v/>
      </c>
      <c r="J4281" s="114" t="n"/>
      <c r="K4281" s="139">
        <f>IFERROR(IF(H4281&gt;0,H4281*IF(OR(C4281="Alpha",B4281="Alpha"),$C$9,$C$8),""),"")</f>
        <v/>
      </c>
      <c r="L4281" s="139">
        <f>IFERROR(IF(ISNUMBER(F4281),F4281-IF(ISNUMBER(K4281),K4281,0),""),"")</f>
        <v/>
      </c>
    </row>
    <row r="4282" ht="24" customHeight="1" s="63">
      <c r="E4282" s="139" t="n"/>
      <c r="F4282" s="139" t="n"/>
      <c r="G4282" s="140">
        <f>IFERROR(IF(E4282&gt;0,(F4282/E4282)*1000,""),"")</f>
        <v/>
      </c>
      <c r="H4282" s="139">
        <f>IFERROR(IF(E4282&gt;0,E4282*IF(ISNUMBER(J4282),J4282,IF(OR(C4282="Alpha",B4282="Alpha"),$C$7,IF(C4282="Futures",$C$6,$C$5))),""),"")</f>
        <v/>
      </c>
      <c r="I4282" s="139">
        <f>IFERROR(IF(AND(ISNUMBER(F4282),ISNUMBER(H4282)),F4282-H4282,""),"")</f>
        <v/>
      </c>
      <c r="J4282" s="114" t="n"/>
      <c r="K4282" s="139">
        <f>IFERROR(IF(H4282&gt;0,H4282*IF(OR(C4282="Alpha",B4282="Alpha"),$C$9,$C$8),""),"")</f>
        <v/>
      </c>
      <c r="L4282" s="139">
        <f>IFERROR(IF(ISNUMBER(F4282),F4282-IF(ISNUMBER(K4282),K4282,0),""),"")</f>
        <v/>
      </c>
    </row>
    <row r="4283" ht="24" customHeight="1" s="63">
      <c r="E4283" s="139" t="n"/>
      <c r="F4283" s="139" t="n"/>
      <c r="G4283" s="140">
        <f>IFERROR(IF(E4283&gt;0,(F4283/E4283)*1000,""),"")</f>
        <v/>
      </c>
      <c r="H4283" s="139">
        <f>IFERROR(IF(E4283&gt;0,E4283*IF(ISNUMBER(J4283),J4283,IF(OR(C4283="Alpha",B4283="Alpha"),$C$7,IF(C4283="Futures",$C$6,$C$5))),""),"")</f>
        <v/>
      </c>
      <c r="I4283" s="139">
        <f>IFERROR(IF(AND(ISNUMBER(F4283),ISNUMBER(H4283)),F4283-H4283,""),"")</f>
        <v/>
      </c>
      <c r="J4283" s="114" t="n"/>
      <c r="K4283" s="139">
        <f>IFERROR(IF(H4283&gt;0,H4283*IF(OR(C4283="Alpha",B4283="Alpha"),$C$9,$C$8),""),"")</f>
        <v/>
      </c>
      <c r="L4283" s="139">
        <f>IFERROR(IF(ISNUMBER(F4283),F4283-IF(ISNUMBER(K4283),K4283,0),""),"")</f>
        <v/>
      </c>
    </row>
    <row r="4284" ht="24" customHeight="1" s="63">
      <c r="E4284" s="139" t="n"/>
      <c r="F4284" s="139" t="n"/>
      <c r="G4284" s="140">
        <f>IFERROR(IF(E4284&gt;0,(F4284/E4284)*1000,""),"")</f>
        <v/>
      </c>
      <c r="H4284" s="139">
        <f>IFERROR(IF(E4284&gt;0,E4284*IF(ISNUMBER(J4284),J4284,IF(OR(C4284="Alpha",B4284="Alpha"),$C$7,IF(C4284="Futures",$C$6,$C$5))),""),"")</f>
        <v/>
      </c>
      <c r="I4284" s="139">
        <f>IFERROR(IF(AND(ISNUMBER(F4284),ISNUMBER(H4284)),F4284-H4284,""),"")</f>
        <v/>
      </c>
      <c r="J4284" s="114" t="n"/>
      <c r="K4284" s="139">
        <f>IFERROR(IF(H4284&gt;0,H4284*IF(OR(C4284="Alpha",B4284="Alpha"),$C$9,$C$8),""),"")</f>
        <v/>
      </c>
      <c r="L4284" s="139">
        <f>IFERROR(IF(ISNUMBER(F4284),F4284-IF(ISNUMBER(K4284),K4284,0),""),"")</f>
        <v/>
      </c>
    </row>
    <row r="4285" ht="24" customHeight="1" s="63">
      <c r="E4285" s="139" t="n"/>
      <c r="F4285" s="139" t="n"/>
      <c r="G4285" s="140">
        <f>IFERROR(IF(E4285&gt;0,(F4285/E4285)*1000,""),"")</f>
        <v/>
      </c>
      <c r="H4285" s="139">
        <f>IFERROR(IF(E4285&gt;0,E4285*IF(ISNUMBER(J4285),J4285,IF(OR(C4285="Alpha",B4285="Alpha"),$C$7,IF(C4285="Futures",$C$6,$C$5))),""),"")</f>
        <v/>
      </c>
      <c r="I4285" s="139">
        <f>IFERROR(IF(AND(ISNUMBER(F4285),ISNUMBER(H4285)),F4285-H4285,""),"")</f>
        <v/>
      </c>
      <c r="J4285" s="114" t="n"/>
      <c r="K4285" s="139">
        <f>IFERROR(IF(H4285&gt;0,H4285*IF(OR(C4285="Alpha",B4285="Alpha"),$C$9,$C$8),""),"")</f>
        <v/>
      </c>
      <c r="L4285" s="139">
        <f>IFERROR(IF(ISNUMBER(F4285),F4285-IF(ISNUMBER(K4285),K4285,0),""),"")</f>
        <v/>
      </c>
    </row>
    <row r="4286" ht="24" customHeight="1" s="63">
      <c r="E4286" s="139" t="n"/>
      <c r="F4286" s="139" t="n"/>
      <c r="G4286" s="140">
        <f>IFERROR(IF(E4286&gt;0,(F4286/E4286)*1000,""),"")</f>
        <v/>
      </c>
      <c r="H4286" s="139">
        <f>IFERROR(IF(E4286&gt;0,E4286*IF(ISNUMBER(J4286),J4286,IF(OR(C4286="Alpha",B4286="Alpha"),$C$7,IF(C4286="Futures",$C$6,$C$5))),""),"")</f>
        <v/>
      </c>
      <c r="I4286" s="139">
        <f>IFERROR(IF(AND(ISNUMBER(F4286),ISNUMBER(H4286)),F4286-H4286,""),"")</f>
        <v/>
      </c>
      <c r="J4286" s="114" t="n"/>
      <c r="K4286" s="139">
        <f>IFERROR(IF(H4286&gt;0,H4286*IF(OR(C4286="Alpha",B4286="Alpha"),$C$9,$C$8),""),"")</f>
        <v/>
      </c>
      <c r="L4286" s="139">
        <f>IFERROR(IF(ISNUMBER(F4286),F4286-IF(ISNUMBER(K4286),K4286,0),""),"")</f>
        <v/>
      </c>
    </row>
    <row r="4287" ht="24" customHeight="1" s="63">
      <c r="E4287" s="139" t="n"/>
      <c r="F4287" s="139" t="n"/>
      <c r="G4287" s="140">
        <f>IFERROR(IF(E4287&gt;0,(F4287/E4287)*1000,""),"")</f>
        <v/>
      </c>
      <c r="H4287" s="139">
        <f>IFERROR(IF(E4287&gt;0,E4287*IF(ISNUMBER(J4287),J4287,IF(OR(C4287="Alpha",B4287="Alpha"),$C$7,IF(C4287="Futures",$C$6,$C$5))),""),"")</f>
        <v/>
      </c>
      <c r="I4287" s="139">
        <f>IFERROR(IF(AND(ISNUMBER(F4287),ISNUMBER(H4287)),F4287-H4287,""),"")</f>
        <v/>
      </c>
      <c r="J4287" s="114" t="n"/>
      <c r="K4287" s="139">
        <f>IFERROR(IF(H4287&gt;0,H4287*IF(OR(C4287="Alpha",B4287="Alpha"),$C$9,$C$8),""),"")</f>
        <v/>
      </c>
      <c r="L4287" s="139">
        <f>IFERROR(IF(ISNUMBER(F4287),F4287-IF(ISNUMBER(K4287),K4287,0),""),"")</f>
        <v/>
      </c>
    </row>
    <row r="4288" ht="24" customHeight="1" s="63">
      <c r="E4288" s="139" t="n"/>
      <c r="F4288" s="139" t="n"/>
      <c r="G4288" s="140">
        <f>IFERROR(IF(E4288&gt;0,(F4288/E4288)*1000,""),"")</f>
        <v/>
      </c>
      <c r="H4288" s="139">
        <f>IFERROR(IF(E4288&gt;0,E4288*IF(ISNUMBER(J4288),J4288,IF(OR(C4288="Alpha",B4288="Alpha"),$C$7,IF(C4288="Futures",$C$6,$C$5))),""),"")</f>
        <v/>
      </c>
      <c r="I4288" s="139">
        <f>IFERROR(IF(AND(ISNUMBER(F4288),ISNUMBER(H4288)),F4288-H4288,""),"")</f>
        <v/>
      </c>
      <c r="J4288" s="114" t="n"/>
      <c r="K4288" s="139">
        <f>IFERROR(IF(H4288&gt;0,H4288*IF(OR(C4288="Alpha",B4288="Alpha"),$C$9,$C$8),""),"")</f>
        <v/>
      </c>
      <c r="L4288" s="139">
        <f>IFERROR(IF(ISNUMBER(F4288),F4288-IF(ISNUMBER(K4288),K4288,0),""),"")</f>
        <v/>
      </c>
    </row>
    <row r="4289" ht="24" customHeight="1" s="63">
      <c r="E4289" s="139" t="n"/>
      <c r="F4289" s="139" t="n"/>
      <c r="G4289" s="140">
        <f>IFERROR(IF(E4289&gt;0,(F4289/E4289)*1000,""),"")</f>
        <v/>
      </c>
      <c r="H4289" s="139">
        <f>IFERROR(IF(E4289&gt;0,E4289*IF(ISNUMBER(J4289),J4289,IF(OR(C4289="Alpha",B4289="Alpha"),$C$7,IF(C4289="Futures",$C$6,$C$5))),""),"")</f>
        <v/>
      </c>
      <c r="I4289" s="139">
        <f>IFERROR(IF(AND(ISNUMBER(F4289),ISNUMBER(H4289)),F4289-H4289,""),"")</f>
        <v/>
      </c>
      <c r="J4289" s="114" t="n"/>
      <c r="K4289" s="139">
        <f>IFERROR(IF(H4289&gt;0,H4289*IF(OR(C4289="Alpha",B4289="Alpha"),$C$9,$C$8),""),"")</f>
        <v/>
      </c>
      <c r="L4289" s="139">
        <f>IFERROR(IF(ISNUMBER(F4289),F4289-IF(ISNUMBER(K4289),K4289,0),""),"")</f>
        <v/>
      </c>
    </row>
    <row r="4290" ht="24" customHeight="1" s="63">
      <c r="E4290" s="139" t="n"/>
      <c r="F4290" s="139" t="n"/>
      <c r="G4290" s="140">
        <f>IFERROR(IF(E4290&gt;0,(F4290/E4290)*1000,""),"")</f>
        <v/>
      </c>
      <c r="H4290" s="139">
        <f>IFERROR(IF(E4290&gt;0,E4290*IF(ISNUMBER(J4290),J4290,IF(OR(C4290="Alpha",B4290="Alpha"),$C$7,IF(C4290="Futures",$C$6,$C$5))),""),"")</f>
        <v/>
      </c>
      <c r="I4290" s="139">
        <f>IFERROR(IF(AND(ISNUMBER(F4290),ISNUMBER(H4290)),F4290-H4290,""),"")</f>
        <v/>
      </c>
      <c r="J4290" s="114" t="n"/>
      <c r="K4290" s="139">
        <f>IFERROR(IF(H4290&gt;0,H4290*IF(OR(C4290="Alpha",B4290="Alpha"),$C$9,$C$8),""),"")</f>
        <v/>
      </c>
      <c r="L4290" s="139">
        <f>IFERROR(IF(ISNUMBER(F4290),F4290-IF(ISNUMBER(K4290),K4290,0),""),"")</f>
        <v/>
      </c>
    </row>
    <row r="4291" ht="24" customHeight="1" s="63">
      <c r="E4291" s="139" t="n"/>
      <c r="F4291" s="139" t="n"/>
      <c r="G4291" s="140">
        <f>IFERROR(IF(E4291&gt;0,(F4291/E4291)*1000,""),"")</f>
        <v/>
      </c>
      <c r="H4291" s="139">
        <f>IFERROR(IF(E4291&gt;0,E4291*IF(ISNUMBER(J4291),J4291,IF(OR(C4291="Alpha",B4291="Alpha"),$C$7,IF(C4291="Futures",$C$6,$C$5))),""),"")</f>
        <v/>
      </c>
      <c r="I4291" s="139">
        <f>IFERROR(IF(AND(ISNUMBER(F4291),ISNUMBER(H4291)),F4291-H4291,""),"")</f>
        <v/>
      </c>
      <c r="J4291" s="114" t="n"/>
      <c r="K4291" s="139">
        <f>IFERROR(IF(H4291&gt;0,H4291*IF(OR(C4291="Alpha",B4291="Alpha"),$C$9,$C$8),""),"")</f>
        <v/>
      </c>
      <c r="L4291" s="139">
        <f>IFERROR(IF(ISNUMBER(F4291),F4291-IF(ISNUMBER(K4291),K4291,0),""),"")</f>
        <v/>
      </c>
    </row>
    <row r="4292" ht="24" customHeight="1" s="63">
      <c r="E4292" s="139" t="n"/>
      <c r="F4292" s="139" t="n"/>
      <c r="G4292" s="140">
        <f>IFERROR(IF(E4292&gt;0,(F4292/E4292)*1000,""),"")</f>
        <v/>
      </c>
      <c r="H4292" s="139">
        <f>IFERROR(IF(E4292&gt;0,E4292*IF(ISNUMBER(J4292),J4292,IF(OR(C4292="Alpha",B4292="Alpha"),$C$7,IF(C4292="Futures",$C$6,$C$5))),""),"")</f>
        <v/>
      </c>
      <c r="I4292" s="139">
        <f>IFERROR(IF(AND(ISNUMBER(F4292),ISNUMBER(H4292)),F4292-H4292,""),"")</f>
        <v/>
      </c>
      <c r="J4292" s="114" t="n"/>
      <c r="K4292" s="139">
        <f>IFERROR(IF(H4292&gt;0,H4292*IF(OR(C4292="Alpha",B4292="Alpha"),$C$9,$C$8),""),"")</f>
        <v/>
      </c>
      <c r="L4292" s="139">
        <f>IFERROR(IF(ISNUMBER(F4292),F4292-IF(ISNUMBER(K4292),K4292,0),""),"")</f>
        <v/>
      </c>
    </row>
    <row r="4293" ht="24" customHeight="1" s="63">
      <c r="E4293" s="139" t="n"/>
      <c r="F4293" s="139" t="n"/>
      <c r="G4293" s="140">
        <f>IFERROR(IF(E4293&gt;0,(F4293/E4293)*1000,""),"")</f>
        <v/>
      </c>
      <c r="H4293" s="139">
        <f>IFERROR(IF(E4293&gt;0,E4293*IF(ISNUMBER(J4293),J4293,IF(OR(C4293="Alpha",B4293="Alpha"),$C$7,IF(C4293="Futures",$C$6,$C$5))),""),"")</f>
        <v/>
      </c>
      <c r="I4293" s="139">
        <f>IFERROR(IF(AND(ISNUMBER(F4293),ISNUMBER(H4293)),F4293-H4293,""),"")</f>
        <v/>
      </c>
      <c r="J4293" s="114" t="n"/>
      <c r="K4293" s="139">
        <f>IFERROR(IF(H4293&gt;0,H4293*IF(OR(C4293="Alpha",B4293="Alpha"),$C$9,$C$8),""),"")</f>
        <v/>
      </c>
      <c r="L4293" s="139">
        <f>IFERROR(IF(ISNUMBER(F4293),F4293-IF(ISNUMBER(K4293),K4293,0),""),"")</f>
        <v/>
      </c>
    </row>
    <row r="4294" ht="24" customHeight="1" s="63">
      <c r="E4294" s="139" t="n"/>
      <c r="F4294" s="139" t="n"/>
      <c r="G4294" s="140">
        <f>IFERROR(IF(E4294&gt;0,(F4294/E4294)*1000,""),"")</f>
        <v/>
      </c>
      <c r="H4294" s="139">
        <f>IFERROR(IF(E4294&gt;0,E4294*IF(ISNUMBER(J4294),J4294,IF(OR(C4294="Alpha",B4294="Alpha"),$C$7,IF(C4294="Futures",$C$6,$C$5))),""),"")</f>
        <v/>
      </c>
      <c r="I4294" s="139">
        <f>IFERROR(IF(AND(ISNUMBER(F4294),ISNUMBER(H4294)),F4294-H4294,""),"")</f>
        <v/>
      </c>
      <c r="J4294" s="114" t="n"/>
      <c r="K4294" s="139">
        <f>IFERROR(IF(H4294&gt;0,H4294*IF(OR(C4294="Alpha",B4294="Alpha"),$C$9,$C$8),""),"")</f>
        <v/>
      </c>
      <c r="L4294" s="139">
        <f>IFERROR(IF(ISNUMBER(F4294),F4294-IF(ISNUMBER(K4294),K4294,0),""),"")</f>
        <v/>
      </c>
    </row>
    <row r="4295" ht="24" customHeight="1" s="63">
      <c r="E4295" s="139" t="n"/>
      <c r="F4295" s="139" t="n"/>
      <c r="G4295" s="140">
        <f>IFERROR(IF(E4295&gt;0,(F4295/E4295)*1000,""),"")</f>
        <v/>
      </c>
      <c r="H4295" s="139">
        <f>IFERROR(IF(E4295&gt;0,E4295*IF(ISNUMBER(J4295),J4295,IF(OR(C4295="Alpha",B4295="Alpha"),$C$7,IF(C4295="Futures",$C$6,$C$5))),""),"")</f>
        <v/>
      </c>
      <c r="I4295" s="139">
        <f>IFERROR(IF(AND(ISNUMBER(F4295),ISNUMBER(H4295)),F4295-H4295,""),"")</f>
        <v/>
      </c>
      <c r="J4295" s="114" t="n"/>
      <c r="K4295" s="139">
        <f>IFERROR(IF(H4295&gt;0,H4295*IF(OR(C4295="Alpha",B4295="Alpha"),$C$9,$C$8),""),"")</f>
        <v/>
      </c>
      <c r="L4295" s="139">
        <f>IFERROR(IF(ISNUMBER(F4295),F4295-IF(ISNUMBER(K4295),K4295,0),""),"")</f>
        <v/>
      </c>
    </row>
    <row r="4296" ht="24" customHeight="1" s="63">
      <c r="E4296" s="139" t="n"/>
      <c r="F4296" s="139" t="n"/>
      <c r="G4296" s="140">
        <f>IFERROR(IF(E4296&gt;0,(F4296/E4296)*1000,""),"")</f>
        <v/>
      </c>
      <c r="H4296" s="139">
        <f>IFERROR(IF(E4296&gt;0,E4296*IF(ISNUMBER(J4296),J4296,IF(OR(C4296="Alpha",B4296="Alpha"),$C$7,IF(C4296="Futures",$C$6,$C$5))),""),"")</f>
        <v/>
      </c>
      <c r="I4296" s="139">
        <f>IFERROR(IF(AND(ISNUMBER(F4296),ISNUMBER(H4296)),F4296-H4296,""),"")</f>
        <v/>
      </c>
      <c r="J4296" s="114" t="n"/>
      <c r="K4296" s="139">
        <f>IFERROR(IF(H4296&gt;0,H4296*IF(OR(C4296="Alpha",B4296="Alpha"),$C$9,$C$8),""),"")</f>
        <v/>
      </c>
      <c r="L4296" s="139">
        <f>IFERROR(IF(ISNUMBER(F4296),F4296-IF(ISNUMBER(K4296),K4296,0),""),"")</f>
        <v/>
      </c>
    </row>
    <row r="4297" ht="24" customHeight="1" s="63">
      <c r="E4297" s="139" t="n"/>
      <c r="F4297" s="139" t="n"/>
      <c r="G4297" s="140">
        <f>IFERROR(IF(E4297&gt;0,(F4297/E4297)*1000,""),"")</f>
        <v/>
      </c>
      <c r="H4297" s="139">
        <f>IFERROR(IF(E4297&gt;0,E4297*IF(ISNUMBER(J4297),J4297,IF(OR(C4297="Alpha",B4297="Alpha"),$C$7,IF(C4297="Futures",$C$6,$C$5))),""),"")</f>
        <v/>
      </c>
      <c r="I4297" s="139">
        <f>IFERROR(IF(AND(ISNUMBER(F4297),ISNUMBER(H4297)),F4297-H4297,""),"")</f>
        <v/>
      </c>
      <c r="J4297" s="114" t="n"/>
      <c r="K4297" s="139">
        <f>IFERROR(IF(H4297&gt;0,H4297*IF(OR(C4297="Alpha",B4297="Alpha"),$C$9,$C$8),""),"")</f>
        <v/>
      </c>
      <c r="L4297" s="139">
        <f>IFERROR(IF(ISNUMBER(F4297),F4297-IF(ISNUMBER(K4297),K4297,0),""),"")</f>
        <v/>
      </c>
    </row>
    <row r="4298" ht="24" customHeight="1" s="63">
      <c r="E4298" s="139" t="n"/>
      <c r="F4298" s="139" t="n"/>
      <c r="G4298" s="140">
        <f>IFERROR(IF(E4298&gt;0,(F4298/E4298)*1000,""),"")</f>
        <v/>
      </c>
      <c r="H4298" s="139">
        <f>IFERROR(IF(E4298&gt;0,E4298*IF(ISNUMBER(J4298),J4298,IF(OR(C4298="Alpha",B4298="Alpha"),$C$7,IF(C4298="Futures",$C$6,$C$5))),""),"")</f>
        <v/>
      </c>
      <c r="I4298" s="139">
        <f>IFERROR(IF(AND(ISNUMBER(F4298),ISNUMBER(H4298)),F4298-H4298,""),"")</f>
        <v/>
      </c>
      <c r="J4298" s="114" t="n"/>
      <c r="K4298" s="139">
        <f>IFERROR(IF(H4298&gt;0,H4298*IF(OR(C4298="Alpha",B4298="Alpha"),$C$9,$C$8),""),"")</f>
        <v/>
      </c>
      <c r="L4298" s="139">
        <f>IFERROR(IF(ISNUMBER(F4298),F4298-IF(ISNUMBER(K4298),K4298,0),""),"")</f>
        <v/>
      </c>
    </row>
    <row r="4299" ht="24" customHeight="1" s="63">
      <c r="E4299" s="139" t="n"/>
      <c r="F4299" s="139" t="n"/>
      <c r="G4299" s="140">
        <f>IFERROR(IF(E4299&gt;0,(F4299/E4299)*1000,""),"")</f>
        <v/>
      </c>
      <c r="H4299" s="139">
        <f>IFERROR(IF(E4299&gt;0,E4299*IF(ISNUMBER(J4299),J4299,IF(OR(C4299="Alpha",B4299="Alpha"),$C$7,IF(C4299="Futures",$C$6,$C$5))),""),"")</f>
        <v/>
      </c>
      <c r="I4299" s="139">
        <f>IFERROR(IF(AND(ISNUMBER(F4299),ISNUMBER(H4299)),F4299-H4299,""),"")</f>
        <v/>
      </c>
      <c r="J4299" s="114" t="n"/>
      <c r="K4299" s="139">
        <f>IFERROR(IF(H4299&gt;0,H4299*IF(OR(C4299="Alpha",B4299="Alpha"),$C$9,$C$8),""),"")</f>
        <v/>
      </c>
      <c r="L4299" s="139">
        <f>IFERROR(IF(ISNUMBER(F4299),F4299-IF(ISNUMBER(K4299),K4299,0),""),"")</f>
        <v/>
      </c>
    </row>
    <row r="4300" ht="24" customHeight="1" s="63">
      <c r="E4300" s="139" t="n"/>
      <c r="F4300" s="139" t="n"/>
      <c r="G4300" s="140">
        <f>IFERROR(IF(E4300&gt;0,(F4300/E4300)*1000,""),"")</f>
        <v/>
      </c>
      <c r="H4300" s="139">
        <f>IFERROR(IF(E4300&gt;0,E4300*IF(ISNUMBER(J4300),J4300,IF(OR(C4300="Alpha",B4300="Alpha"),$C$7,IF(C4300="Futures",$C$6,$C$5))),""),"")</f>
        <v/>
      </c>
      <c r="I4300" s="139">
        <f>IFERROR(IF(AND(ISNUMBER(F4300),ISNUMBER(H4300)),F4300-H4300,""),"")</f>
        <v/>
      </c>
      <c r="J4300" s="114" t="n"/>
      <c r="K4300" s="139">
        <f>IFERROR(IF(H4300&gt;0,H4300*IF(OR(C4300="Alpha",B4300="Alpha"),$C$9,$C$8),""),"")</f>
        <v/>
      </c>
      <c r="L4300" s="139">
        <f>IFERROR(IF(ISNUMBER(F4300),F4300-IF(ISNUMBER(K4300),K4300,0),""),"")</f>
        <v/>
      </c>
    </row>
    <row r="4301" ht="24" customHeight="1" s="63">
      <c r="E4301" s="139" t="n"/>
      <c r="F4301" s="139" t="n"/>
      <c r="G4301" s="140">
        <f>IFERROR(IF(E4301&gt;0,(F4301/E4301)*1000,""),"")</f>
        <v/>
      </c>
      <c r="H4301" s="139">
        <f>IFERROR(IF(E4301&gt;0,E4301*IF(ISNUMBER(J4301),J4301,IF(OR(C4301="Alpha",B4301="Alpha"),$C$7,IF(C4301="Futures",$C$6,$C$5))),""),"")</f>
        <v/>
      </c>
      <c r="I4301" s="139">
        <f>IFERROR(IF(AND(ISNUMBER(F4301),ISNUMBER(H4301)),F4301-H4301,""),"")</f>
        <v/>
      </c>
      <c r="J4301" s="114" t="n"/>
      <c r="K4301" s="139">
        <f>IFERROR(IF(H4301&gt;0,H4301*IF(OR(C4301="Alpha",B4301="Alpha"),$C$9,$C$8),""),"")</f>
        <v/>
      </c>
      <c r="L4301" s="139">
        <f>IFERROR(IF(ISNUMBER(F4301),F4301-IF(ISNUMBER(K4301),K4301,0),""),"")</f>
        <v/>
      </c>
    </row>
    <row r="4302" ht="24" customHeight="1" s="63">
      <c r="E4302" s="139" t="n"/>
      <c r="F4302" s="139" t="n"/>
      <c r="G4302" s="140">
        <f>IFERROR(IF(E4302&gt;0,(F4302/E4302)*1000,""),"")</f>
        <v/>
      </c>
      <c r="H4302" s="139">
        <f>IFERROR(IF(E4302&gt;0,E4302*IF(ISNUMBER(J4302),J4302,IF(OR(C4302="Alpha",B4302="Alpha"),$C$7,IF(C4302="Futures",$C$6,$C$5))),""),"")</f>
        <v/>
      </c>
      <c r="I4302" s="139">
        <f>IFERROR(IF(AND(ISNUMBER(F4302),ISNUMBER(H4302)),F4302-H4302,""),"")</f>
        <v/>
      </c>
      <c r="J4302" s="114" t="n"/>
      <c r="K4302" s="139">
        <f>IFERROR(IF(H4302&gt;0,H4302*IF(OR(C4302="Alpha",B4302="Alpha"),$C$9,$C$8),""),"")</f>
        <v/>
      </c>
      <c r="L4302" s="139">
        <f>IFERROR(IF(ISNUMBER(F4302),F4302-IF(ISNUMBER(K4302),K4302,0),""),"")</f>
        <v/>
      </c>
    </row>
    <row r="4303" ht="24" customHeight="1" s="63">
      <c r="E4303" s="139" t="n"/>
      <c r="F4303" s="139" t="n"/>
      <c r="G4303" s="140">
        <f>IFERROR(IF(E4303&gt;0,(F4303/E4303)*1000,""),"")</f>
        <v/>
      </c>
      <c r="H4303" s="139">
        <f>IFERROR(IF(E4303&gt;0,E4303*IF(ISNUMBER(J4303),J4303,IF(OR(C4303="Alpha",B4303="Alpha"),$C$7,IF(C4303="Futures",$C$6,$C$5))),""),"")</f>
        <v/>
      </c>
      <c r="I4303" s="139">
        <f>IFERROR(IF(AND(ISNUMBER(F4303),ISNUMBER(H4303)),F4303-H4303,""),"")</f>
        <v/>
      </c>
      <c r="J4303" s="114" t="n"/>
      <c r="K4303" s="139">
        <f>IFERROR(IF(H4303&gt;0,H4303*IF(OR(C4303="Alpha",B4303="Alpha"),$C$9,$C$8),""),"")</f>
        <v/>
      </c>
      <c r="L4303" s="139">
        <f>IFERROR(IF(ISNUMBER(F4303),F4303-IF(ISNUMBER(K4303),K4303,0),""),"")</f>
        <v/>
      </c>
    </row>
    <row r="4304" ht="24" customHeight="1" s="63">
      <c r="E4304" s="139" t="n"/>
      <c r="F4304" s="139" t="n"/>
      <c r="G4304" s="140">
        <f>IFERROR(IF(E4304&gt;0,(F4304/E4304)*1000,""),"")</f>
        <v/>
      </c>
      <c r="H4304" s="139">
        <f>IFERROR(IF(E4304&gt;0,E4304*IF(ISNUMBER(J4304),J4304,IF(OR(C4304="Alpha",B4304="Alpha"),$C$7,IF(C4304="Futures",$C$6,$C$5))),""),"")</f>
        <v/>
      </c>
      <c r="I4304" s="139">
        <f>IFERROR(IF(AND(ISNUMBER(F4304),ISNUMBER(H4304)),F4304-H4304,""),"")</f>
        <v/>
      </c>
      <c r="J4304" s="114" t="n"/>
      <c r="K4304" s="139">
        <f>IFERROR(IF(H4304&gt;0,H4304*IF(OR(C4304="Alpha",B4304="Alpha"),$C$9,$C$8),""),"")</f>
        <v/>
      </c>
      <c r="L4304" s="139">
        <f>IFERROR(IF(ISNUMBER(F4304),F4304-IF(ISNUMBER(K4304),K4304,0),""),"")</f>
        <v/>
      </c>
    </row>
    <row r="4305" ht="24" customHeight="1" s="63">
      <c r="E4305" s="139" t="n"/>
      <c r="F4305" s="139" t="n"/>
      <c r="G4305" s="140">
        <f>IFERROR(IF(E4305&gt;0,(F4305/E4305)*1000,""),"")</f>
        <v/>
      </c>
      <c r="H4305" s="139">
        <f>IFERROR(IF(E4305&gt;0,E4305*IF(ISNUMBER(J4305),J4305,IF(OR(C4305="Alpha",B4305="Alpha"),$C$7,IF(C4305="Futures",$C$6,$C$5))),""),"")</f>
        <v/>
      </c>
      <c r="I4305" s="139">
        <f>IFERROR(IF(AND(ISNUMBER(F4305),ISNUMBER(H4305)),F4305-H4305,""),"")</f>
        <v/>
      </c>
      <c r="J4305" s="114" t="n"/>
      <c r="K4305" s="139">
        <f>IFERROR(IF(H4305&gt;0,H4305*IF(OR(C4305="Alpha",B4305="Alpha"),$C$9,$C$8),""),"")</f>
        <v/>
      </c>
      <c r="L4305" s="139">
        <f>IFERROR(IF(ISNUMBER(F4305),F4305-IF(ISNUMBER(K4305),K4305,0),""),"")</f>
        <v/>
      </c>
    </row>
    <row r="4306" ht="24" customHeight="1" s="63">
      <c r="E4306" s="139" t="n"/>
      <c r="F4306" s="139" t="n"/>
      <c r="G4306" s="140">
        <f>IFERROR(IF(E4306&gt;0,(F4306/E4306)*1000,""),"")</f>
        <v/>
      </c>
      <c r="H4306" s="139">
        <f>IFERROR(IF(E4306&gt;0,E4306*IF(ISNUMBER(J4306),J4306,IF(OR(C4306="Alpha",B4306="Alpha"),$C$7,IF(C4306="Futures",$C$6,$C$5))),""),"")</f>
        <v/>
      </c>
      <c r="I4306" s="139">
        <f>IFERROR(IF(AND(ISNUMBER(F4306),ISNUMBER(H4306)),F4306-H4306,""),"")</f>
        <v/>
      </c>
      <c r="J4306" s="114" t="n"/>
      <c r="K4306" s="139">
        <f>IFERROR(IF(H4306&gt;0,H4306*IF(OR(C4306="Alpha",B4306="Alpha"),$C$9,$C$8),""),"")</f>
        <v/>
      </c>
      <c r="L4306" s="139">
        <f>IFERROR(IF(ISNUMBER(F4306),F4306-IF(ISNUMBER(K4306),K4306,0),""),"")</f>
        <v/>
      </c>
    </row>
    <row r="4307" ht="24" customHeight="1" s="63">
      <c r="E4307" s="139" t="n"/>
      <c r="F4307" s="139" t="n"/>
      <c r="G4307" s="140">
        <f>IFERROR(IF(E4307&gt;0,(F4307/E4307)*1000,""),"")</f>
        <v/>
      </c>
      <c r="H4307" s="139">
        <f>IFERROR(IF(E4307&gt;0,E4307*IF(ISNUMBER(J4307),J4307,IF(OR(C4307="Alpha",B4307="Alpha"),$C$7,IF(C4307="Futures",$C$6,$C$5))),""),"")</f>
        <v/>
      </c>
      <c r="I4307" s="139">
        <f>IFERROR(IF(AND(ISNUMBER(F4307),ISNUMBER(H4307)),F4307-H4307,""),"")</f>
        <v/>
      </c>
      <c r="J4307" s="114" t="n"/>
      <c r="K4307" s="139">
        <f>IFERROR(IF(H4307&gt;0,H4307*IF(OR(C4307="Alpha",B4307="Alpha"),$C$9,$C$8),""),"")</f>
        <v/>
      </c>
      <c r="L4307" s="139">
        <f>IFERROR(IF(ISNUMBER(F4307),F4307-IF(ISNUMBER(K4307),K4307,0),""),"")</f>
        <v/>
      </c>
    </row>
    <row r="4308" ht="24" customHeight="1" s="63">
      <c r="E4308" s="139" t="n"/>
      <c r="F4308" s="139" t="n"/>
      <c r="G4308" s="140">
        <f>IFERROR(IF(E4308&gt;0,(F4308/E4308)*1000,""),"")</f>
        <v/>
      </c>
      <c r="H4308" s="139">
        <f>IFERROR(IF(E4308&gt;0,E4308*IF(ISNUMBER(J4308),J4308,IF(OR(C4308="Alpha",B4308="Alpha"),$C$7,IF(C4308="Futures",$C$6,$C$5))),""),"")</f>
        <v/>
      </c>
      <c r="I4308" s="139">
        <f>IFERROR(IF(AND(ISNUMBER(F4308),ISNUMBER(H4308)),F4308-H4308,""),"")</f>
        <v/>
      </c>
      <c r="J4308" s="114" t="n"/>
      <c r="K4308" s="139">
        <f>IFERROR(IF(H4308&gt;0,H4308*IF(OR(C4308="Alpha",B4308="Alpha"),$C$9,$C$8),""),"")</f>
        <v/>
      </c>
      <c r="L4308" s="139">
        <f>IFERROR(IF(ISNUMBER(F4308),F4308-IF(ISNUMBER(K4308),K4308,0),""),"")</f>
        <v/>
      </c>
    </row>
    <row r="4309" ht="24" customHeight="1" s="63">
      <c r="E4309" s="139" t="n"/>
      <c r="F4309" s="139" t="n"/>
      <c r="G4309" s="140">
        <f>IFERROR(IF(E4309&gt;0,(F4309/E4309)*1000,""),"")</f>
        <v/>
      </c>
      <c r="H4309" s="139">
        <f>IFERROR(IF(E4309&gt;0,E4309*IF(ISNUMBER(J4309),J4309,IF(OR(C4309="Alpha",B4309="Alpha"),$C$7,IF(C4309="Futures",$C$6,$C$5))),""),"")</f>
        <v/>
      </c>
      <c r="I4309" s="139">
        <f>IFERROR(IF(AND(ISNUMBER(F4309),ISNUMBER(H4309)),F4309-H4309,""),"")</f>
        <v/>
      </c>
      <c r="J4309" s="114" t="n"/>
      <c r="K4309" s="139">
        <f>IFERROR(IF(H4309&gt;0,H4309*IF(OR(C4309="Alpha",B4309="Alpha"),$C$9,$C$8),""),"")</f>
        <v/>
      </c>
      <c r="L4309" s="139">
        <f>IFERROR(IF(ISNUMBER(F4309),F4309-IF(ISNUMBER(K4309),K4309,0),""),"")</f>
        <v/>
      </c>
    </row>
    <row r="4310" ht="24" customHeight="1" s="63">
      <c r="E4310" s="139" t="n"/>
      <c r="F4310" s="139" t="n"/>
      <c r="G4310" s="140">
        <f>IFERROR(IF(E4310&gt;0,(F4310/E4310)*1000,""),"")</f>
        <v/>
      </c>
      <c r="H4310" s="139">
        <f>IFERROR(IF(E4310&gt;0,E4310*IF(ISNUMBER(J4310),J4310,IF(OR(C4310="Alpha",B4310="Alpha"),$C$7,IF(C4310="Futures",$C$6,$C$5))),""),"")</f>
        <v/>
      </c>
      <c r="I4310" s="139">
        <f>IFERROR(IF(AND(ISNUMBER(F4310),ISNUMBER(H4310)),F4310-H4310,""),"")</f>
        <v/>
      </c>
      <c r="J4310" s="114" t="n"/>
      <c r="K4310" s="139">
        <f>IFERROR(IF(H4310&gt;0,H4310*IF(OR(C4310="Alpha",B4310="Alpha"),$C$9,$C$8),""),"")</f>
        <v/>
      </c>
      <c r="L4310" s="139">
        <f>IFERROR(IF(ISNUMBER(F4310),F4310-IF(ISNUMBER(K4310),K4310,0),""),"")</f>
        <v/>
      </c>
    </row>
    <row r="4311" ht="24" customHeight="1" s="63">
      <c r="E4311" s="139" t="n"/>
      <c r="F4311" s="139" t="n"/>
      <c r="G4311" s="140">
        <f>IFERROR(IF(E4311&gt;0,(F4311/E4311)*1000,""),"")</f>
        <v/>
      </c>
      <c r="H4311" s="139">
        <f>IFERROR(IF(E4311&gt;0,E4311*IF(ISNUMBER(J4311),J4311,IF(OR(C4311="Alpha",B4311="Alpha"),$C$7,IF(C4311="Futures",$C$6,$C$5))),""),"")</f>
        <v/>
      </c>
      <c r="I4311" s="139">
        <f>IFERROR(IF(AND(ISNUMBER(F4311),ISNUMBER(H4311)),F4311-H4311,""),"")</f>
        <v/>
      </c>
      <c r="J4311" s="114" t="n"/>
      <c r="K4311" s="139">
        <f>IFERROR(IF(H4311&gt;0,H4311*IF(OR(C4311="Alpha",B4311="Alpha"),$C$9,$C$8),""),"")</f>
        <v/>
      </c>
      <c r="L4311" s="139">
        <f>IFERROR(IF(ISNUMBER(F4311),F4311-IF(ISNUMBER(K4311),K4311,0),""),"")</f>
        <v/>
      </c>
    </row>
    <row r="4312" ht="24" customHeight="1" s="63">
      <c r="E4312" s="139" t="n"/>
      <c r="F4312" s="139" t="n"/>
      <c r="G4312" s="140">
        <f>IFERROR(IF(E4312&gt;0,(F4312/E4312)*1000,""),"")</f>
        <v/>
      </c>
      <c r="H4312" s="139">
        <f>IFERROR(IF(E4312&gt;0,E4312*IF(ISNUMBER(J4312),J4312,IF(OR(C4312="Alpha",B4312="Alpha"),$C$7,IF(C4312="Futures",$C$6,$C$5))),""),"")</f>
        <v/>
      </c>
      <c r="I4312" s="139">
        <f>IFERROR(IF(AND(ISNUMBER(F4312),ISNUMBER(H4312)),F4312-H4312,""),"")</f>
        <v/>
      </c>
      <c r="J4312" s="114" t="n"/>
      <c r="K4312" s="139">
        <f>IFERROR(IF(H4312&gt;0,H4312*IF(OR(C4312="Alpha",B4312="Alpha"),$C$9,$C$8),""),"")</f>
        <v/>
      </c>
      <c r="L4312" s="139">
        <f>IFERROR(IF(ISNUMBER(F4312),F4312-IF(ISNUMBER(K4312),K4312,0),""),"")</f>
        <v/>
      </c>
    </row>
    <row r="4313" ht="24" customHeight="1" s="63">
      <c r="E4313" s="139" t="n"/>
      <c r="F4313" s="139" t="n"/>
      <c r="G4313" s="140">
        <f>IFERROR(IF(E4313&gt;0,(F4313/E4313)*1000,""),"")</f>
        <v/>
      </c>
      <c r="H4313" s="139">
        <f>IFERROR(IF(E4313&gt;0,E4313*IF(ISNUMBER(J4313),J4313,IF(OR(C4313="Alpha",B4313="Alpha"),$C$7,IF(C4313="Futures",$C$6,$C$5))),""),"")</f>
        <v/>
      </c>
      <c r="I4313" s="139">
        <f>IFERROR(IF(AND(ISNUMBER(F4313),ISNUMBER(H4313)),F4313-H4313,""),"")</f>
        <v/>
      </c>
      <c r="J4313" s="114" t="n"/>
      <c r="K4313" s="139">
        <f>IFERROR(IF(H4313&gt;0,H4313*IF(OR(C4313="Alpha",B4313="Alpha"),$C$9,$C$8),""),"")</f>
        <v/>
      </c>
      <c r="L4313" s="139">
        <f>IFERROR(IF(ISNUMBER(F4313),F4313-IF(ISNUMBER(K4313),K4313,0),""),"")</f>
        <v/>
      </c>
    </row>
    <row r="4314" ht="24" customHeight="1" s="63">
      <c r="E4314" s="139" t="n"/>
      <c r="F4314" s="139" t="n"/>
      <c r="G4314" s="140">
        <f>IFERROR(IF(E4314&gt;0,(F4314/E4314)*1000,""),"")</f>
        <v/>
      </c>
      <c r="H4314" s="139">
        <f>IFERROR(IF(E4314&gt;0,E4314*IF(ISNUMBER(J4314),J4314,IF(OR(C4314="Alpha",B4314="Alpha"),$C$7,IF(C4314="Futures",$C$6,$C$5))),""),"")</f>
        <v/>
      </c>
      <c r="I4314" s="139">
        <f>IFERROR(IF(AND(ISNUMBER(F4314),ISNUMBER(H4314)),F4314-H4314,""),"")</f>
        <v/>
      </c>
      <c r="J4314" s="114" t="n"/>
      <c r="K4314" s="139">
        <f>IFERROR(IF(H4314&gt;0,H4314*IF(OR(C4314="Alpha",B4314="Alpha"),$C$9,$C$8),""),"")</f>
        <v/>
      </c>
      <c r="L4314" s="139">
        <f>IFERROR(IF(ISNUMBER(F4314),F4314-IF(ISNUMBER(K4314),K4314,0),""),"")</f>
        <v/>
      </c>
    </row>
    <row r="4315" ht="24" customHeight="1" s="63">
      <c r="E4315" s="139" t="n"/>
      <c r="F4315" s="139" t="n"/>
      <c r="G4315" s="140">
        <f>IFERROR(IF(E4315&gt;0,(F4315/E4315)*1000,""),"")</f>
        <v/>
      </c>
      <c r="H4315" s="139">
        <f>IFERROR(IF(E4315&gt;0,E4315*IF(ISNUMBER(J4315),J4315,IF(OR(C4315="Alpha",B4315="Alpha"),$C$7,IF(C4315="Futures",$C$6,$C$5))),""),"")</f>
        <v/>
      </c>
      <c r="I4315" s="139">
        <f>IFERROR(IF(AND(ISNUMBER(F4315),ISNUMBER(H4315)),F4315-H4315,""),"")</f>
        <v/>
      </c>
      <c r="J4315" s="114" t="n"/>
      <c r="K4315" s="139">
        <f>IFERROR(IF(H4315&gt;0,H4315*IF(OR(C4315="Alpha",B4315="Alpha"),$C$9,$C$8),""),"")</f>
        <v/>
      </c>
      <c r="L4315" s="139">
        <f>IFERROR(IF(ISNUMBER(F4315),F4315-IF(ISNUMBER(K4315),K4315,0),""),"")</f>
        <v/>
      </c>
    </row>
    <row r="4316" ht="24" customHeight="1" s="63">
      <c r="E4316" s="139" t="n"/>
      <c r="F4316" s="139" t="n"/>
      <c r="G4316" s="140">
        <f>IFERROR(IF(E4316&gt;0,(F4316/E4316)*1000,""),"")</f>
        <v/>
      </c>
      <c r="H4316" s="139">
        <f>IFERROR(IF(E4316&gt;0,E4316*IF(ISNUMBER(J4316),J4316,IF(OR(C4316="Alpha",B4316="Alpha"),$C$7,IF(C4316="Futures",$C$6,$C$5))),""),"")</f>
        <v/>
      </c>
      <c r="I4316" s="139">
        <f>IFERROR(IF(AND(ISNUMBER(F4316),ISNUMBER(H4316)),F4316-H4316,""),"")</f>
        <v/>
      </c>
      <c r="J4316" s="114" t="n"/>
      <c r="K4316" s="139">
        <f>IFERROR(IF(H4316&gt;0,H4316*IF(OR(C4316="Alpha",B4316="Alpha"),$C$9,$C$8),""),"")</f>
        <v/>
      </c>
      <c r="L4316" s="139">
        <f>IFERROR(IF(ISNUMBER(F4316),F4316-IF(ISNUMBER(K4316),K4316,0),""),"")</f>
        <v/>
      </c>
    </row>
    <row r="4317" ht="24" customHeight="1" s="63">
      <c r="E4317" s="139" t="n"/>
      <c r="F4317" s="139" t="n"/>
      <c r="G4317" s="140">
        <f>IFERROR(IF(E4317&gt;0,(F4317/E4317)*1000,""),"")</f>
        <v/>
      </c>
      <c r="H4317" s="139">
        <f>IFERROR(IF(E4317&gt;0,E4317*IF(ISNUMBER(J4317),J4317,IF(OR(C4317="Alpha",B4317="Alpha"),$C$7,IF(C4317="Futures",$C$6,$C$5))),""),"")</f>
        <v/>
      </c>
      <c r="I4317" s="139">
        <f>IFERROR(IF(AND(ISNUMBER(F4317),ISNUMBER(H4317)),F4317-H4317,""),"")</f>
        <v/>
      </c>
      <c r="J4317" s="114" t="n"/>
      <c r="K4317" s="139">
        <f>IFERROR(IF(H4317&gt;0,H4317*IF(OR(C4317="Alpha",B4317="Alpha"),$C$9,$C$8),""),"")</f>
        <v/>
      </c>
      <c r="L4317" s="139">
        <f>IFERROR(IF(ISNUMBER(F4317),F4317-IF(ISNUMBER(K4317),K4317,0),""),"")</f>
        <v/>
      </c>
    </row>
    <row r="4318" ht="24" customHeight="1" s="63">
      <c r="E4318" s="139" t="n"/>
      <c r="F4318" s="139" t="n"/>
      <c r="G4318" s="140">
        <f>IFERROR(IF(E4318&gt;0,(F4318/E4318)*1000,""),"")</f>
        <v/>
      </c>
      <c r="H4318" s="139">
        <f>IFERROR(IF(E4318&gt;0,E4318*IF(ISNUMBER(J4318),J4318,IF(OR(C4318="Alpha",B4318="Alpha"),$C$7,IF(C4318="Futures",$C$6,$C$5))),""),"")</f>
        <v/>
      </c>
      <c r="I4318" s="139">
        <f>IFERROR(IF(AND(ISNUMBER(F4318),ISNUMBER(H4318)),F4318-H4318,""),"")</f>
        <v/>
      </c>
      <c r="J4318" s="114" t="n"/>
      <c r="K4318" s="139">
        <f>IFERROR(IF(H4318&gt;0,H4318*IF(OR(C4318="Alpha",B4318="Alpha"),$C$9,$C$8),""),"")</f>
        <v/>
      </c>
      <c r="L4318" s="139">
        <f>IFERROR(IF(ISNUMBER(F4318),F4318-IF(ISNUMBER(K4318),K4318,0),""),"")</f>
        <v/>
      </c>
    </row>
    <row r="4319" ht="24" customHeight="1" s="63">
      <c r="E4319" s="139" t="n"/>
      <c r="F4319" s="139" t="n"/>
      <c r="G4319" s="140">
        <f>IFERROR(IF(E4319&gt;0,(F4319/E4319)*1000,""),"")</f>
        <v/>
      </c>
      <c r="H4319" s="139">
        <f>IFERROR(IF(E4319&gt;0,E4319*IF(ISNUMBER(J4319),J4319,IF(OR(C4319="Alpha",B4319="Alpha"),$C$7,IF(C4319="Futures",$C$6,$C$5))),""),"")</f>
        <v/>
      </c>
      <c r="I4319" s="139">
        <f>IFERROR(IF(AND(ISNUMBER(F4319),ISNUMBER(H4319)),F4319-H4319,""),"")</f>
        <v/>
      </c>
      <c r="J4319" s="114" t="n"/>
      <c r="K4319" s="139">
        <f>IFERROR(IF(H4319&gt;0,H4319*IF(OR(C4319="Alpha",B4319="Alpha"),$C$9,$C$8),""),"")</f>
        <v/>
      </c>
      <c r="L4319" s="139">
        <f>IFERROR(IF(ISNUMBER(F4319),F4319-IF(ISNUMBER(K4319),K4319,0),""),"")</f>
        <v/>
      </c>
    </row>
    <row r="4320" ht="24" customHeight="1" s="63">
      <c r="E4320" s="139" t="n"/>
      <c r="F4320" s="139" t="n"/>
      <c r="G4320" s="140">
        <f>IFERROR(IF(E4320&gt;0,(F4320/E4320)*1000,""),"")</f>
        <v/>
      </c>
      <c r="H4320" s="139">
        <f>IFERROR(IF(E4320&gt;0,E4320*IF(ISNUMBER(J4320),J4320,IF(OR(C4320="Alpha",B4320="Alpha"),$C$7,IF(C4320="Futures",$C$6,$C$5))),""),"")</f>
        <v/>
      </c>
      <c r="I4320" s="139">
        <f>IFERROR(IF(AND(ISNUMBER(F4320),ISNUMBER(H4320)),F4320-H4320,""),"")</f>
        <v/>
      </c>
      <c r="J4320" s="114" t="n"/>
      <c r="K4320" s="139">
        <f>IFERROR(IF(H4320&gt;0,H4320*IF(OR(C4320="Alpha",B4320="Alpha"),$C$9,$C$8),""),"")</f>
        <v/>
      </c>
      <c r="L4320" s="139">
        <f>IFERROR(IF(ISNUMBER(F4320),F4320-IF(ISNUMBER(K4320),K4320,0),""),"")</f>
        <v/>
      </c>
    </row>
    <row r="4321" ht="24" customHeight="1" s="63">
      <c r="E4321" s="139" t="n"/>
      <c r="F4321" s="139" t="n"/>
      <c r="G4321" s="140">
        <f>IFERROR(IF(E4321&gt;0,(F4321/E4321)*1000,""),"")</f>
        <v/>
      </c>
      <c r="H4321" s="139">
        <f>IFERROR(IF(E4321&gt;0,E4321*IF(ISNUMBER(J4321),J4321,IF(OR(C4321="Alpha",B4321="Alpha"),$C$7,IF(C4321="Futures",$C$6,$C$5))),""),"")</f>
        <v/>
      </c>
      <c r="I4321" s="139">
        <f>IFERROR(IF(AND(ISNUMBER(F4321),ISNUMBER(H4321)),F4321-H4321,""),"")</f>
        <v/>
      </c>
      <c r="J4321" s="114" t="n"/>
      <c r="K4321" s="139">
        <f>IFERROR(IF(H4321&gt;0,H4321*IF(OR(C4321="Alpha",B4321="Alpha"),$C$9,$C$8),""),"")</f>
        <v/>
      </c>
      <c r="L4321" s="139">
        <f>IFERROR(IF(ISNUMBER(F4321),F4321-IF(ISNUMBER(K4321),K4321,0),""),"")</f>
        <v/>
      </c>
    </row>
    <row r="4322" ht="24" customHeight="1" s="63">
      <c r="E4322" s="139" t="n"/>
      <c r="F4322" s="139" t="n"/>
      <c r="G4322" s="140">
        <f>IFERROR(IF(E4322&gt;0,(F4322/E4322)*1000,""),"")</f>
        <v/>
      </c>
      <c r="H4322" s="139">
        <f>IFERROR(IF(E4322&gt;0,E4322*IF(ISNUMBER(J4322),J4322,IF(OR(C4322="Alpha",B4322="Alpha"),$C$7,IF(C4322="Futures",$C$6,$C$5))),""),"")</f>
        <v/>
      </c>
      <c r="I4322" s="139">
        <f>IFERROR(IF(AND(ISNUMBER(F4322),ISNUMBER(H4322)),F4322-H4322,""),"")</f>
        <v/>
      </c>
      <c r="J4322" s="114" t="n"/>
      <c r="K4322" s="139">
        <f>IFERROR(IF(H4322&gt;0,H4322*IF(OR(C4322="Alpha",B4322="Alpha"),$C$9,$C$8),""),"")</f>
        <v/>
      </c>
      <c r="L4322" s="139">
        <f>IFERROR(IF(ISNUMBER(F4322),F4322-IF(ISNUMBER(K4322),K4322,0),""),"")</f>
        <v/>
      </c>
    </row>
    <row r="4323" ht="24" customHeight="1" s="63">
      <c r="E4323" s="139" t="n"/>
      <c r="F4323" s="139" t="n"/>
      <c r="G4323" s="140">
        <f>IFERROR(IF(E4323&gt;0,(F4323/E4323)*1000,""),"")</f>
        <v/>
      </c>
      <c r="H4323" s="139">
        <f>IFERROR(IF(E4323&gt;0,E4323*IF(ISNUMBER(J4323),J4323,IF(OR(C4323="Alpha",B4323="Alpha"),$C$7,IF(C4323="Futures",$C$6,$C$5))),""),"")</f>
        <v/>
      </c>
      <c r="I4323" s="139">
        <f>IFERROR(IF(AND(ISNUMBER(F4323),ISNUMBER(H4323)),F4323-H4323,""),"")</f>
        <v/>
      </c>
      <c r="J4323" s="114" t="n"/>
      <c r="K4323" s="139">
        <f>IFERROR(IF(H4323&gt;0,H4323*IF(OR(C4323="Alpha",B4323="Alpha"),$C$9,$C$8),""),"")</f>
        <v/>
      </c>
      <c r="L4323" s="139">
        <f>IFERROR(IF(ISNUMBER(F4323),F4323-IF(ISNUMBER(K4323),K4323,0),""),"")</f>
        <v/>
      </c>
    </row>
    <row r="4324" ht="24" customHeight="1" s="63">
      <c r="E4324" s="139" t="n"/>
      <c r="F4324" s="139" t="n"/>
      <c r="G4324" s="140">
        <f>IFERROR(IF(E4324&gt;0,(F4324/E4324)*1000,""),"")</f>
        <v/>
      </c>
      <c r="H4324" s="139">
        <f>IFERROR(IF(E4324&gt;0,E4324*IF(ISNUMBER(J4324),J4324,IF(OR(C4324="Alpha",B4324="Alpha"),$C$7,IF(C4324="Futures",$C$6,$C$5))),""),"")</f>
        <v/>
      </c>
      <c r="I4324" s="139">
        <f>IFERROR(IF(AND(ISNUMBER(F4324),ISNUMBER(H4324)),F4324-H4324,""),"")</f>
        <v/>
      </c>
      <c r="J4324" s="114" t="n"/>
      <c r="K4324" s="139">
        <f>IFERROR(IF(H4324&gt;0,H4324*IF(OR(C4324="Alpha",B4324="Alpha"),$C$9,$C$8),""),"")</f>
        <v/>
      </c>
      <c r="L4324" s="139">
        <f>IFERROR(IF(ISNUMBER(F4324),F4324-IF(ISNUMBER(K4324),K4324,0),""),"")</f>
        <v/>
      </c>
    </row>
    <row r="4325" ht="24" customHeight="1" s="63">
      <c r="E4325" s="139" t="n"/>
      <c r="F4325" s="139" t="n"/>
      <c r="G4325" s="140">
        <f>IFERROR(IF(E4325&gt;0,(F4325/E4325)*1000,""),"")</f>
        <v/>
      </c>
      <c r="H4325" s="139">
        <f>IFERROR(IF(E4325&gt;0,E4325*IF(ISNUMBER(J4325),J4325,IF(OR(C4325="Alpha",B4325="Alpha"),$C$7,IF(C4325="Futures",$C$6,$C$5))),""),"")</f>
        <v/>
      </c>
      <c r="I4325" s="139">
        <f>IFERROR(IF(AND(ISNUMBER(F4325),ISNUMBER(H4325)),F4325-H4325,""),"")</f>
        <v/>
      </c>
      <c r="J4325" s="114" t="n"/>
      <c r="K4325" s="139">
        <f>IFERROR(IF(H4325&gt;0,H4325*IF(OR(C4325="Alpha",B4325="Alpha"),$C$9,$C$8),""),"")</f>
        <v/>
      </c>
      <c r="L4325" s="139">
        <f>IFERROR(IF(ISNUMBER(F4325),F4325-IF(ISNUMBER(K4325),K4325,0),""),"")</f>
        <v/>
      </c>
    </row>
    <row r="4326" ht="24" customHeight="1" s="63">
      <c r="E4326" s="139" t="n"/>
      <c r="F4326" s="139" t="n"/>
      <c r="G4326" s="140">
        <f>IFERROR(IF(E4326&gt;0,(F4326/E4326)*1000,""),"")</f>
        <v/>
      </c>
      <c r="H4326" s="139">
        <f>IFERROR(IF(E4326&gt;0,E4326*IF(ISNUMBER(J4326),J4326,IF(OR(C4326="Alpha",B4326="Alpha"),$C$7,IF(C4326="Futures",$C$6,$C$5))),""),"")</f>
        <v/>
      </c>
      <c r="I4326" s="139">
        <f>IFERROR(IF(AND(ISNUMBER(F4326),ISNUMBER(H4326)),F4326-H4326,""),"")</f>
        <v/>
      </c>
      <c r="J4326" s="114" t="n"/>
      <c r="K4326" s="139">
        <f>IFERROR(IF(H4326&gt;0,H4326*IF(OR(C4326="Alpha",B4326="Alpha"),$C$9,$C$8),""),"")</f>
        <v/>
      </c>
      <c r="L4326" s="139">
        <f>IFERROR(IF(ISNUMBER(F4326),F4326-IF(ISNUMBER(K4326),K4326,0),""),"")</f>
        <v/>
      </c>
    </row>
    <row r="4327" ht="24" customHeight="1" s="63">
      <c r="E4327" s="139" t="n"/>
      <c r="F4327" s="139" t="n"/>
      <c r="G4327" s="140">
        <f>IFERROR(IF(E4327&gt;0,(F4327/E4327)*1000,""),"")</f>
        <v/>
      </c>
      <c r="H4327" s="139">
        <f>IFERROR(IF(E4327&gt;0,E4327*IF(ISNUMBER(J4327),J4327,IF(OR(C4327="Alpha",B4327="Alpha"),$C$7,IF(C4327="Futures",$C$6,$C$5))),""),"")</f>
        <v/>
      </c>
      <c r="I4327" s="139">
        <f>IFERROR(IF(AND(ISNUMBER(F4327),ISNUMBER(H4327)),F4327-H4327,""),"")</f>
        <v/>
      </c>
      <c r="J4327" s="114" t="n"/>
      <c r="K4327" s="139">
        <f>IFERROR(IF(H4327&gt;0,H4327*IF(OR(C4327="Alpha",B4327="Alpha"),$C$9,$C$8),""),"")</f>
        <v/>
      </c>
      <c r="L4327" s="139">
        <f>IFERROR(IF(ISNUMBER(F4327),F4327-IF(ISNUMBER(K4327),K4327,0),""),"")</f>
        <v/>
      </c>
    </row>
    <row r="4328" ht="24" customHeight="1" s="63">
      <c r="E4328" s="139" t="n"/>
      <c r="F4328" s="139" t="n"/>
      <c r="G4328" s="140">
        <f>IFERROR(IF(E4328&gt;0,(F4328/E4328)*1000,""),"")</f>
        <v/>
      </c>
      <c r="H4328" s="139">
        <f>IFERROR(IF(E4328&gt;0,E4328*IF(ISNUMBER(J4328),J4328,IF(OR(C4328="Alpha",B4328="Alpha"),$C$7,IF(C4328="Futures",$C$6,$C$5))),""),"")</f>
        <v/>
      </c>
      <c r="I4328" s="139">
        <f>IFERROR(IF(AND(ISNUMBER(F4328),ISNUMBER(H4328)),F4328-H4328,""),"")</f>
        <v/>
      </c>
      <c r="J4328" s="114" t="n"/>
      <c r="K4328" s="139">
        <f>IFERROR(IF(H4328&gt;0,H4328*IF(OR(C4328="Alpha",B4328="Alpha"),$C$9,$C$8),""),"")</f>
        <v/>
      </c>
      <c r="L4328" s="139">
        <f>IFERROR(IF(ISNUMBER(F4328),F4328-IF(ISNUMBER(K4328),K4328,0),""),"")</f>
        <v/>
      </c>
    </row>
    <row r="4329" ht="24" customHeight="1" s="63">
      <c r="E4329" s="139" t="n"/>
      <c r="F4329" s="139" t="n"/>
      <c r="G4329" s="140">
        <f>IFERROR(IF(E4329&gt;0,(F4329/E4329)*1000,""),"")</f>
        <v/>
      </c>
      <c r="H4329" s="139">
        <f>IFERROR(IF(E4329&gt;0,E4329*IF(ISNUMBER(J4329),J4329,IF(OR(C4329="Alpha",B4329="Alpha"),$C$7,IF(C4329="Futures",$C$6,$C$5))),""),"")</f>
        <v/>
      </c>
      <c r="I4329" s="139">
        <f>IFERROR(IF(AND(ISNUMBER(F4329),ISNUMBER(H4329)),F4329-H4329,""),"")</f>
        <v/>
      </c>
      <c r="J4329" s="114" t="n"/>
      <c r="K4329" s="139">
        <f>IFERROR(IF(H4329&gt;0,H4329*IF(OR(C4329="Alpha",B4329="Alpha"),$C$9,$C$8),""),"")</f>
        <v/>
      </c>
      <c r="L4329" s="139">
        <f>IFERROR(IF(ISNUMBER(F4329),F4329-IF(ISNUMBER(K4329),K4329,0),""),"")</f>
        <v/>
      </c>
    </row>
    <row r="4330" ht="24" customHeight="1" s="63">
      <c r="E4330" s="139" t="n"/>
      <c r="F4330" s="139" t="n"/>
      <c r="G4330" s="140">
        <f>IFERROR(IF(E4330&gt;0,(F4330/E4330)*1000,""),"")</f>
        <v/>
      </c>
      <c r="H4330" s="139">
        <f>IFERROR(IF(E4330&gt;0,E4330*IF(ISNUMBER(J4330),J4330,IF(OR(C4330="Alpha",B4330="Alpha"),$C$7,IF(C4330="Futures",$C$6,$C$5))),""),"")</f>
        <v/>
      </c>
      <c r="I4330" s="139">
        <f>IFERROR(IF(AND(ISNUMBER(F4330),ISNUMBER(H4330)),F4330-H4330,""),"")</f>
        <v/>
      </c>
      <c r="J4330" s="114" t="n"/>
      <c r="K4330" s="139">
        <f>IFERROR(IF(H4330&gt;0,H4330*IF(OR(C4330="Alpha",B4330="Alpha"),$C$9,$C$8),""),"")</f>
        <v/>
      </c>
      <c r="L4330" s="139">
        <f>IFERROR(IF(ISNUMBER(F4330),F4330-IF(ISNUMBER(K4330),K4330,0),""),"")</f>
        <v/>
      </c>
    </row>
    <row r="4331" ht="24" customHeight="1" s="63">
      <c r="E4331" s="139" t="n"/>
      <c r="F4331" s="139" t="n"/>
      <c r="G4331" s="140">
        <f>IFERROR(IF(E4331&gt;0,(F4331/E4331)*1000,""),"")</f>
        <v/>
      </c>
      <c r="H4331" s="139">
        <f>IFERROR(IF(E4331&gt;0,E4331*IF(ISNUMBER(J4331),J4331,IF(OR(C4331="Alpha",B4331="Alpha"),$C$7,IF(C4331="Futures",$C$6,$C$5))),""),"")</f>
        <v/>
      </c>
      <c r="I4331" s="139">
        <f>IFERROR(IF(AND(ISNUMBER(F4331),ISNUMBER(H4331)),F4331-H4331,""),"")</f>
        <v/>
      </c>
      <c r="J4331" s="114" t="n"/>
      <c r="K4331" s="139">
        <f>IFERROR(IF(H4331&gt;0,H4331*IF(OR(C4331="Alpha",B4331="Alpha"),$C$9,$C$8),""),"")</f>
        <v/>
      </c>
      <c r="L4331" s="139">
        <f>IFERROR(IF(ISNUMBER(F4331),F4331-IF(ISNUMBER(K4331),K4331,0),""),"")</f>
        <v/>
      </c>
    </row>
    <row r="4332" ht="24" customHeight="1" s="63">
      <c r="E4332" s="139" t="n"/>
      <c r="F4332" s="139" t="n"/>
      <c r="G4332" s="140">
        <f>IFERROR(IF(E4332&gt;0,(F4332/E4332)*1000,""),"")</f>
        <v/>
      </c>
      <c r="H4332" s="139">
        <f>IFERROR(IF(E4332&gt;0,E4332*IF(ISNUMBER(J4332),J4332,IF(OR(C4332="Alpha",B4332="Alpha"),$C$7,IF(C4332="Futures",$C$6,$C$5))),""),"")</f>
        <v/>
      </c>
      <c r="I4332" s="139">
        <f>IFERROR(IF(AND(ISNUMBER(F4332),ISNUMBER(H4332)),F4332-H4332,""),"")</f>
        <v/>
      </c>
      <c r="J4332" s="114" t="n"/>
      <c r="K4332" s="139">
        <f>IFERROR(IF(H4332&gt;0,H4332*IF(OR(C4332="Alpha",B4332="Alpha"),$C$9,$C$8),""),"")</f>
        <v/>
      </c>
      <c r="L4332" s="139">
        <f>IFERROR(IF(ISNUMBER(F4332),F4332-IF(ISNUMBER(K4332),K4332,0),""),"")</f>
        <v/>
      </c>
    </row>
    <row r="4333" ht="24" customHeight="1" s="63">
      <c r="E4333" s="139" t="n"/>
      <c r="F4333" s="139" t="n"/>
      <c r="G4333" s="140">
        <f>IFERROR(IF(E4333&gt;0,(F4333/E4333)*1000,""),"")</f>
        <v/>
      </c>
      <c r="H4333" s="139">
        <f>IFERROR(IF(E4333&gt;0,E4333*IF(ISNUMBER(J4333),J4333,IF(OR(C4333="Alpha",B4333="Alpha"),$C$7,IF(C4333="Futures",$C$6,$C$5))),""),"")</f>
        <v/>
      </c>
      <c r="I4333" s="139">
        <f>IFERROR(IF(AND(ISNUMBER(F4333),ISNUMBER(H4333)),F4333-H4333,""),"")</f>
        <v/>
      </c>
      <c r="J4333" s="114" t="n"/>
      <c r="K4333" s="139">
        <f>IFERROR(IF(H4333&gt;0,H4333*IF(OR(C4333="Alpha",B4333="Alpha"),$C$9,$C$8),""),"")</f>
        <v/>
      </c>
      <c r="L4333" s="139">
        <f>IFERROR(IF(ISNUMBER(F4333),F4333-IF(ISNUMBER(K4333),K4333,0),""),"")</f>
        <v/>
      </c>
    </row>
    <row r="4334" ht="24" customHeight="1" s="63">
      <c r="E4334" s="139" t="n"/>
      <c r="F4334" s="139" t="n"/>
      <c r="G4334" s="140">
        <f>IFERROR(IF(E4334&gt;0,(F4334/E4334)*1000,""),"")</f>
        <v/>
      </c>
      <c r="H4334" s="139">
        <f>IFERROR(IF(E4334&gt;0,E4334*IF(ISNUMBER(J4334),J4334,IF(OR(C4334="Alpha",B4334="Alpha"),$C$7,IF(C4334="Futures",$C$6,$C$5))),""),"")</f>
        <v/>
      </c>
      <c r="I4334" s="139">
        <f>IFERROR(IF(AND(ISNUMBER(F4334),ISNUMBER(H4334)),F4334-H4334,""),"")</f>
        <v/>
      </c>
      <c r="J4334" s="114" t="n"/>
      <c r="K4334" s="139">
        <f>IFERROR(IF(H4334&gt;0,H4334*IF(OR(C4334="Alpha",B4334="Alpha"),$C$9,$C$8),""),"")</f>
        <v/>
      </c>
      <c r="L4334" s="139">
        <f>IFERROR(IF(ISNUMBER(F4334),F4334-IF(ISNUMBER(K4334),K4334,0),""),"")</f>
        <v/>
      </c>
    </row>
    <row r="4335" ht="24" customHeight="1" s="63">
      <c r="E4335" s="139" t="n"/>
      <c r="F4335" s="139" t="n"/>
      <c r="G4335" s="140">
        <f>IFERROR(IF(E4335&gt;0,(F4335/E4335)*1000,""),"")</f>
        <v/>
      </c>
      <c r="H4335" s="139">
        <f>IFERROR(IF(E4335&gt;0,E4335*IF(ISNUMBER(J4335),J4335,IF(OR(C4335="Alpha",B4335="Alpha"),$C$7,IF(C4335="Futures",$C$6,$C$5))),""),"")</f>
        <v/>
      </c>
      <c r="I4335" s="139">
        <f>IFERROR(IF(AND(ISNUMBER(F4335),ISNUMBER(H4335)),F4335-H4335,""),"")</f>
        <v/>
      </c>
      <c r="J4335" s="114" t="n"/>
      <c r="K4335" s="139">
        <f>IFERROR(IF(H4335&gt;0,H4335*IF(OR(C4335="Alpha",B4335="Alpha"),$C$9,$C$8),""),"")</f>
        <v/>
      </c>
      <c r="L4335" s="139">
        <f>IFERROR(IF(ISNUMBER(F4335),F4335-IF(ISNUMBER(K4335),K4335,0),""),"")</f>
        <v/>
      </c>
    </row>
    <row r="4336" ht="24" customHeight="1" s="63">
      <c r="E4336" s="139" t="n"/>
      <c r="F4336" s="139" t="n"/>
      <c r="G4336" s="140">
        <f>IFERROR(IF(E4336&gt;0,(F4336/E4336)*1000,""),"")</f>
        <v/>
      </c>
      <c r="H4336" s="139">
        <f>IFERROR(IF(E4336&gt;0,E4336*IF(ISNUMBER(J4336),J4336,IF(OR(C4336="Alpha",B4336="Alpha"),$C$7,IF(C4336="Futures",$C$6,$C$5))),""),"")</f>
        <v/>
      </c>
      <c r="I4336" s="139">
        <f>IFERROR(IF(AND(ISNUMBER(F4336),ISNUMBER(H4336)),F4336-H4336,""),"")</f>
        <v/>
      </c>
      <c r="J4336" s="114" t="n"/>
      <c r="K4336" s="139">
        <f>IFERROR(IF(H4336&gt;0,H4336*IF(OR(C4336="Alpha",B4336="Alpha"),$C$9,$C$8),""),"")</f>
        <v/>
      </c>
      <c r="L4336" s="139">
        <f>IFERROR(IF(ISNUMBER(F4336),F4336-IF(ISNUMBER(K4336),K4336,0),""),"")</f>
        <v/>
      </c>
    </row>
    <row r="4337" ht="24" customHeight="1" s="63">
      <c r="E4337" s="139" t="n"/>
      <c r="F4337" s="139" t="n"/>
      <c r="G4337" s="140">
        <f>IFERROR(IF(E4337&gt;0,(F4337/E4337)*1000,""),"")</f>
        <v/>
      </c>
      <c r="H4337" s="139">
        <f>IFERROR(IF(E4337&gt;0,E4337*IF(ISNUMBER(J4337),J4337,IF(OR(C4337="Alpha",B4337="Alpha"),$C$7,IF(C4337="Futures",$C$6,$C$5))),""),"")</f>
        <v/>
      </c>
      <c r="I4337" s="139">
        <f>IFERROR(IF(AND(ISNUMBER(F4337),ISNUMBER(H4337)),F4337-H4337,""),"")</f>
        <v/>
      </c>
      <c r="J4337" s="114" t="n"/>
      <c r="K4337" s="139">
        <f>IFERROR(IF(H4337&gt;0,H4337*IF(OR(C4337="Alpha",B4337="Alpha"),$C$9,$C$8),""),"")</f>
        <v/>
      </c>
      <c r="L4337" s="139">
        <f>IFERROR(IF(ISNUMBER(F4337),F4337-IF(ISNUMBER(K4337),K4337,0),""),"")</f>
        <v/>
      </c>
    </row>
    <row r="4338" ht="24" customHeight="1" s="63">
      <c r="E4338" s="139" t="n"/>
      <c r="F4338" s="139" t="n"/>
      <c r="G4338" s="140">
        <f>IFERROR(IF(E4338&gt;0,(F4338/E4338)*1000,""),"")</f>
        <v/>
      </c>
      <c r="H4338" s="139">
        <f>IFERROR(IF(E4338&gt;0,E4338*IF(ISNUMBER(J4338),J4338,IF(OR(C4338="Alpha",B4338="Alpha"),$C$7,IF(C4338="Futures",$C$6,$C$5))),""),"")</f>
        <v/>
      </c>
      <c r="I4338" s="139">
        <f>IFERROR(IF(AND(ISNUMBER(F4338),ISNUMBER(H4338)),F4338-H4338,""),"")</f>
        <v/>
      </c>
      <c r="J4338" s="114" t="n"/>
      <c r="K4338" s="139">
        <f>IFERROR(IF(H4338&gt;0,H4338*IF(OR(C4338="Alpha",B4338="Alpha"),$C$9,$C$8),""),"")</f>
        <v/>
      </c>
      <c r="L4338" s="139">
        <f>IFERROR(IF(ISNUMBER(F4338),F4338-IF(ISNUMBER(K4338),K4338,0),""),"")</f>
        <v/>
      </c>
    </row>
    <row r="4339" ht="24" customHeight="1" s="63">
      <c r="E4339" s="139" t="n"/>
      <c r="F4339" s="139" t="n"/>
      <c r="G4339" s="140">
        <f>IFERROR(IF(E4339&gt;0,(F4339/E4339)*1000,""),"")</f>
        <v/>
      </c>
      <c r="H4339" s="139">
        <f>IFERROR(IF(E4339&gt;0,E4339*IF(ISNUMBER(J4339),J4339,IF(OR(C4339="Alpha",B4339="Alpha"),$C$7,IF(C4339="Futures",$C$6,$C$5))),""),"")</f>
        <v/>
      </c>
      <c r="I4339" s="139">
        <f>IFERROR(IF(AND(ISNUMBER(F4339),ISNUMBER(H4339)),F4339-H4339,""),"")</f>
        <v/>
      </c>
      <c r="J4339" s="114" t="n"/>
      <c r="K4339" s="139">
        <f>IFERROR(IF(H4339&gt;0,H4339*IF(OR(C4339="Alpha",B4339="Alpha"),$C$9,$C$8),""),"")</f>
        <v/>
      </c>
      <c r="L4339" s="139">
        <f>IFERROR(IF(ISNUMBER(F4339),F4339-IF(ISNUMBER(K4339),K4339,0),""),"")</f>
        <v/>
      </c>
    </row>
    <row r="4340" ht="24" customHeight="1" s="63">
      <c r="E4340" s="139" t="n"/>
      <c r="F4340" s="139" t="n"/>
      <c r="G4340" s="140">
        <f>IFERROR(IF(E4340&gt;0,(F4340/E4340)*1000,""),"")</f>
        <v/>
      </c>
      <c r="H4340" s="139">
        <f>IFERROR(IF(E4340&gt;0,E4340*IF(ISNUMBER(J4340),J4340,IF(OR(C4340="Alpha",B4340="Alpha"),$C$7,IF(C4340="Futures",$C$6,$C$5))),""),"")</f>
        <v/>
      </c>
      <c r="I4340" s="139">
        <f>IFERROR(IF(AND(ISNUMBER(F4340),ISNUMBER(H4340)),F4340-H4340,""),"")</f>
        <v/>
      </c>
      <c r="J4340" s="114" t="n"/>
      <c r="K4340" s="139">
        <f>IFERROR(IF(H4340&gt;0,H4340*IF(OR(C4340="Alpha",B4340="Alpha"),$C$9,$C$8),""),"")</f>
        <v/>
      </c>
      <c r="L4340" s="139">
        <f>IFERROR(IF(ISNUMBER(F4340),F4340-IF(ISNUMBER(K4340),K4340,0),""),"")</f>
        <v/>
      </c>
    </row>
    <row r="4341" ht="24" customHeight="1" s="63">
      <c r="E4341" s="139" t="n"/>
      <c r="F4341" s="139" t="n"/>
      <c r="G4341" s="140">
        <f>IFERROR(IF(E4341&gt;0,(F4341/E4341)*1000,""),"")</f>
        <v/>
      </c>
      <c r="H4341" s="139">
        <f>IFERROR(IF(E4341&gt;0,E4341*IF(ISNUMBER(J4341),J4341,IF(OR(C4341="Alpha",B4341="Alpha"),$C$7,IF(C4341="Futures",$C$6,$C$5))),""),"")</f>
        <v/>
      </c>
      <c r="I4341" s="139">
        <f>IFERROR(IF(AND(ISNUMBER(F4341),ISNUMBER(H4341)),F4341-H4341,""),"")</f>
        <v/>
      </c>
      <c r="J4341" s="114" t="n"/>
      <c r="K4341" s="139">
        <f>IFERROR(IF(H4341&gt;0,H4341*IF(OR(C4341="Alpha",B4341="Alpha"),$C$9,$C$8),""),"")</f>
        <v/>
      </c>
      <c r="L4341" s="139">
        <f>IFERROR(IF(ISNUMBER(F4341),F4341-IF(ISNUMBER(K4341),K4341,0),""),"")</f>
        <v/>
      </c>
    </row>
    <row r="4342" ht="24" customHeight="1" s="63">
      <c r="E4342" s="139" t="n"/>
      <c r="F4342" s="139" t="n"/>
      <c r="G4342" s="140">
        <f>IFERROR(IF(E4342&gt;0,(F4342/E4342)*1000,""),"")</f>
        <v/>
      </c>
      <c r="H4342" s="139">
        <f>IFERROR(IF(E4342&gt;0,E4342*IF(ISNUMBER(J4342),J4342,IF(OR(C4342="Alpha",B4342="Alpha"),$C$7,IF(C4342="Futures",$C$6,$C$5))),""),"")</f>
        <v/>
      </c>
      <c r="I4342" s="139">
        <f>IFERROR(IF(AND(ISNUMBER(F4342),ISNUMBER(H4342)),F4342-H4342,""),"")</f>
        <v/>
      </c>
      <c r="J4342" s="114" t="n"/>
      <c r="K4342" s="139">
        <f>IFERROR(IF(H4342&gt;0,H4342*IF(OR(C4342="Alpha",B4342="Alpha"),$C$9,$C$8),""),"")</f>
        <v/>
      </c>
      <c r="L4342" s="139">
        <f>IFERROR(IF(ISNUMBER(F4342),F4342-IF(ISNUMBER(K4342),K4342,0),""),"")</f>
        <v/>
      </c>
    </row>
    <row r="4343" ht="24" customHeight="1" s="63">
      <c r="E4343" s="139" t="n"/>
      <c r="F4343" s="139" t="n"/>
      <c r="G4343" s="140">
        <f>IFERROR(IF(E4343&gt;0,(F4343/E4343)*1000,""),"")</f>
        <v/>
      </c>
      <c r="H4343" s="139">
        <f>IFERROR(IF(E4343&gt;0,E4343*IF(ISNUMBER(J4343),J4343,IF(OR(C4343="Alpha",B4343="Alpha"),$C$7,IF(C4343="Futures",$C$6,$C$5))),""),"")</f>
        <v/>
      </c>
      <c r="I4343" s="139">
        <f>IFERROR(IF(AND(ISNUMBER(F4343),ISNUMBER(H4343)),F4343-H4343,""),"")</f>
        <v/>
      </c>
      <c r="J4343" s="114" t="n"/>
      <c r="K4343" s="139">
        <f>IFERROR(IF(H4343&gt;0,H4343*IF(OR(C4343="Alpha",B4343="Alpha"),$C$9,$C$8),""),"")</f>
        <v/>
      </c>
      <c r="L4343" s="139">
        <f>IFERROR(IF(ISNUMBER(F4343),F4343-IF(ISNUMBER(K4343),K4343,0),""),"")</f>
        <v/>
      </c>
    </row>
    <row r="4344" ht="24" customHeight="1" s="63">
      <c r="E4344" s="139" t="n"/>
      <c r="F4344" s="139" t="n"/>
      <c r="G4344" s="140">
        <f>IFERROR(IF(E4344&gt;0,(F4344/E4344)*1000,""),"")</f>
        <v/>
      </c>
      <c r="H4344" s="139">
        <f>IFERROR(IF(E4344&gt;0,E4344*IF(ISNUMBER(J4344),J4344,IF(OR(C4344="Alpha",B4344="Alpha"),$C$7,IF(C4344="Futures",$C$6,$C$5))),""),"")</f>
        <v/>
      </c>
      <c r="I4344" s="139">
        <f>IFERROR(IF(AND(ISNUMBER(F4344),ISNUMBER(H4344)),F4344-H4344,""),"")</f>
        <v/>
      </c>
      <c r="J4344" s="114" t="n"/>
      <c r="K4344" s="139">
        <f>IFERROR(IF(H4344&gt;0,H4344*IF(OR(C4344="Alpha",B4344="Alpha"),$C$9,$C$8),""),"")</f>
        <v/>
      </c>
      <c r="L4344" s="139">
        <f>IFERROR(IF(ISNUMBER(F4344),F4344-IF(ISNUMBER(K4344),K4344,0),""),"")</f>
        <v/>
      </c>
    </row>
    <row r="4345" ht="24" customHeight="1" s="63">
      <c r="E4345" s="139" t="n"/>
      <c r="F4345" s="139" t="n"/>
      <c r="G4345" s="140">
        <f>IFERROR(IF(E4345&gt;0,(F4345/E4345)*1000,""),"")</f>
        <v/>
      </c>
      <c r="H4345" s="139">
        <f>IFERROR(IF(E4345&gt;0,E4345*IF(ISNUMBER(J4345),J4345,IF(OR(C4345="Alpha",B4345="Alpha"),$C$7,IF(C4345="Futures",$C$6,$C$5))),""),"")</f>
        <v/>
      </c>
      <c r="I4345" s="139">
        <f>IFERROR(IF(AND(ISNUMBER(F4345),ISNUMBER(H4345)),F4345-H4345,""),"")</f>
        <v/>
      </c>
      <c r="J4345" s="114" t="n"/>
      <c r="K4345" s="139">
        <f>IFERROR(IF(H4345&gt;0,H4345*IF(OR(C4345="Alpha",B4345="Alpha"),$C$9,$C$8),""),"")</f>
        <v/>
      </c>
      <c r="L4345" s="139">
        <f>IFERROR(IF(ISNUMBER(F4345),F4345-IF(ISNUMBER(K4345),K4345,0),""),"")</f>
        <v/>
      </c>
    </row>
    <row r="4346" ht="24" customHeight="1" s="63">
      <c r="E4346" s="139" t="n"/>
      <c r="F4346" s="139" t="n"/>
      <c r="G4346" s="140">
        <f>IFERROR(IF(E4346&gt;0,(F4346/E4346)*1000,""),"")</f>
        <v/>
      </c>
      <c r="H4346" s="139">
        <f>IFERROR(IF(E4346&gt;0,E4346*IF(ISNUMBER(J4346),J4346,IF(OR(C4346="Alpha",B4346="Alpha"),$C$7,IF(C4346="Futures",$C$6,$C$5))),""),"")</f>
        <v/>
      </c>
      <c r="I4346" s="139">
        <f>IFERROR(IF(AND(ISNUMBER(F4346),ISNUMBER(H4346)),F4346-H4346,""),"")</f>
        <v/>
      </c>
      <c r="J4346" s="114" t="n"/>
      <c r="K4346" s="139">
        <f>IFERROR(IF(H4346&gt;0,H4346*IF(OR(C4346="Alpha",B4346="Alpha"),$C$9,$C$8),""),"")</f>
        <v/>
      </c>
      <c r="L4346" s="139">
        <f>IFERROR(IF(ISNUMBER(F4346),F4346-IF(ISNUMBER(K4346),K4346,0),""),"")</f>
        <v/>
      </c>
    </row>
    <row r="4347" ht="24" customHeight="1" s="63">
      <c r="E4347" s="139" t="n"/>
      <c r="F4347" s="139" t="n"/>
      <c r="G4347" s="140">
        <f>IFERROR(IF(E4347&gt;0,(F4347/E4347)*1000,""),"")</f>
        <v/>
      </c>
      <c r="H4347" s="139">
        <f>IFERROR(IF(E4347&gt;0,E4347*IF(ISNUMBER(J4347),J4347,IF(OR(C4347="Alpha",B4347="Alpha"),$C$7,IF(C4347="Futures",$C$6,$C$5))),""),"")</f>
        <v/>
      </c>
      <c r="I4347" s="139">
        <f>IFERROR(IF(AND(ISNUMBER(F4347),ISNUMBER(H4347)),F4347-H4347,""),"")</f>
        <v/>
      </c>
      <c r="J4347" s="114" t="n"/>
      <c r="K4347" s="139">
        <f>IFERROR(IF(H4347&gt;0,H4347*IF(OR(C4347="Alpha",B4347="Alpha"),$C$9,$C$8),""),"")</f>
        <v/>
      </c>
      <c r="L4347" s="139">
        <f>IFERROR(IF(ISNUMBER(F4347),F4347-IF(ISNUMBER(K4347),K4347,0),""),"")</f>
        <v/>
      </c>
    </row>
    <row r="4348" ht="24" customHeight="1" s="63">
      <c r="E4348" s="139" t="n"/>
      <c r="F4348" s="139" t="n"/>
      <c r="G4348" s="140">
        <f>IFERROR(IF(E4348&gt;0,(F4348/E4348)*1000,""),"")</f>
        <v/>
      </c>
      <c r="H4348" s="139">
        <f>IFERROR(IF(E4348&gt;0,E4348*IF(ISNUMBER(J4348),J4348,IF(OR(C4348="Alpha",B4348="Alpha"),$C$7,IF(C4348="Futures",$C$6,$C$5))),""),"")</f>
        <v/>
      </c>
      <c r="I4348" s="139">
        <f>IFERROR(IF(AND(ISNUMBER(F4348),ISNUMBER(H4348)),F4348-H4348,""),"")</f>
        <v/>
      </c>
      <c r="J4348" s="114" t="n"/>
      <c r="K4348" s="139">
        <f>IFERROR(IF(H4348&gt;0,H4348*IF(OR(C4348="Alpha",B4348="Alpha"),$C$9,$C$8),""),"")</f>
        <v/>
      </c>
      <c r="L4348" s="139">
        <f>IFERROR(IF(ISNUMBER(F4348),F4348-IF(ISNUMBER(K4348),K4348,0),""),"")</f>
        <v/>
      </c>
    </row>
    <row r="4349" ht="24" customHeight="1" s="63">
      <c r="E4349" s="139" t="n"/>
      <c r="F4349" s="139" t="n"/>
      <c r="G4349" s="140">
        <f>IFERROR(IF(E4349&gt;0,(F4349/E4349)*1000,""),"")</f>
        <v/>
      </c>
      <c r="H4349" s="139">
        <f>IFERROR(IF(E4349&gt;0,E4349*IF(ISNUMBER(J4349),J4349,IF(OR(C4349="Alpha",B4349="Alpha"),$C$7,IF(C4349="Futures",$C$6,$C$5))),""),"")</f>
        <v/>
      </c>
      <c r="I4349" s="139">
        <f>IFERROR(IF(AND(ISNUMBER(F4349),ISNUMBER(H4349)),F4349-H4349,""),"")</f>
        <v/>
      </c>
      <c r="J4349" s="114" t="n"/>
      <c r="K4349" s="139">
        <f>IFERROR(IF(H4349&gt;0,H4349*IF(OR(C4349="Alpha",B4349="Alpha"),$C$9,$C$8),""),"")</f>
        <v/>
      </c>
      <c r="L4349" s="139">
        <f>IFERROR(IF(ISNUMBER(F4349),F4349-IF(ISNUMBER(K4349),K4349,0),""),"")</f>
        <v/>
      </c>
    </row>
    <row r="4350" ht="24" customHeight="1" s="63">
      <c r="E4350" s="139" t="n"/>
      <c r="F4350" s="139" t="n"/>
      <c r="G4350" s="140">
        <f>IFERROR(IF(E4350&gt;0,(F4350/E4350)*1000,""),"")</f>
        <v/>
      </c>
      <c r="H4350" s="139">
        <f>IFERROR(IF(E4350&gt;0,E4350*IF(ISNUMBER(J4350),J4350,IF(OR(C4350="Alpha",B4350="Alpha"),$C$7,IF(C4350="Futures",$C$6,$C$5))),""),"")</f>
        <v/>
      </c>
      <c r="I4350" s="139">
        <f>IFERROR(IF(AND(ISNUMBER(F4350),ISNUMBER(H4350)),F4350-H4350,""),"")</f>
        <v/>
      </c>
      <c r="J4350" s="114" t="n"/>
      <c r="K4350" s="139">
        <f>IFERROR(IF(H4350&gt;0,H4350*IF(OR(C4350="Alpha",B4350="Alpha"),$C$9,$C$8),""),"")</f>
        <v/>
      </c>
      <c r="L4350" s="139">
        <f>IFERROR(IF(ISNUMBER(F4350),F4350-IF(ISNUMBER(K4350),K4350,0),""),"")</f>
        <v/>
      </c>
    </row>
    <row r="4351" ht="24" customHeight="1" s="63">
      <c r="E4351" s="139" t="n"/>
      <c r="F4351" s="139" t="n"/>
      <c r="G4351" s="140">
        <f>IFERROR(IF(E4351&gt;0,(F4351/E4351)*1000,""),"")</f>
        <v/>
      </c>
      <c r="H4351" s="139">
        <f>IFERROR(IF(E4351&gt;0,E4351*IF(ISNUMBER(J4351),J4351,IF(OR(C4351="Alpha",B4351="Alpha"),$C$7,IF(C4351="Futures",$C$6,$C$5))),""),"")</f>
        <v/>
      </c>
      <c r="I4351" s="139">
        <f>IFERROR(IF(AND(ISNUMBER(F4351),ISNUMBER(H4351)),F4351-H4351,""),"")</f>
        <v/>
      </c>
      <c r="J4351" s="114" t="n"/>
      <c r="K4351" s="139">
        <f>IFERROR(IF(H4351&gt;0,H4351*IF(OR(C4351="Alpha",B4351="Alpha"),$C$9,$C$8),""),"")</f>
        <v/>
      </c>
      <c r="L4351" s="139">
        <f>IFERROR(IF(ISNUMBER(F4351),F4351-IF(ISNUMBER(K4351),K4351,0),""),"")</f>
        <v/>
      </c>
    </row>
    <row r="4352" ht="24" customHeight="1" s="63">
      <c r="E4352" s="139" t="n"/>
      <c r="F4352" s="139" t="n"/>
      <c r="G4352" s="140">
        <f>IFERROR(IF(E4352&gt;0,(F4352/E4352)*1000,""),"")</f>
        <v/>
      </c>
      <c r="H4352" s="139">
        <f>IFERROR(IF(E4352&gt;0,E4352*IF(ISNUMBER(J4352),J4352,IF(OR(C4352="Alpha",B4352="Alpha"),$C$7,IF(C4352="Futures",$C$6,$C$5))),""),"")</f>
        <v/>
      </c>
      <c r="I4352" s="139">
        <f>IFERROR(IF(AND(ISNUMBER(F4352),ISNUMBER(H4352)),F4352-H4352,""),"")</f>
        <v/>
      </c>
      <c r="J4352" s="114" t="n"/>
      <c r="K4352" s="139">
        <f>IFERROR(IF(H4352&gt;0,H4352*IF(OR(C4352="Alpha",B4352="Alpha"),$C$9,$C$8),""),"")</f>
        <v/>
      </c>
      <c r="L4352" s="139">
        <f>IFERROR(IF(ISNUMBER(F4352),F4352-IF(ISNUMBER(K4352),K4352,0),""),"")</f>
        <v/>
      </c>
    </row>
    <row r="4353" ht="24" customHeight="1" s="63">
      <c r="E4353" s="139" t="n"/>
      <c r="F4353" s="139" t="n"/>
      <c r="G4353" s="140">
        <f>IFERROR(IF(E4353&gt;0,(F4353/E4353)*1000,""),"")</f>
        <v/>
      </c>
      <c r="H4353" s="139">
        <f>IFERROR(IF(E4353&gt;0,E4353*IF(ISNUMBER(J4353),J4353,IF(OR(C4353="Alpha",B4353="Alpha"),$C$7,IF(C4353="Futures",$C$6,$C$5))),""),"")</f>
        <v/>
      </c>
      <c r="I4353" s="139">
        <f>IFERROR(IF(AND(ISNUMBER(F4353),ISNUMBER(H4353)),F4353-H4353,""),"")</f>
        <v/>
      </c>
      <c r="J4353" s="114" t="n"/>
      <c r="K4353" s="139">
        <f>IFERROR(IF(H4353&gt;0,H4353*IF(OR(C4353="Alpha",B4353="Alpha"),$C$9,$C$8),""),"")</f>
        <v/>
      </c>
      <c r="L4353" s="139">
        <f>IFERROR(IF(ISNUMBER(F4353),F4353-IF(ISNUMBER(K4353),K4353,0),""),"")</f>
        <v/>
      </c>
    </row>
    <row r="4354" ht="24" customHeight="1" s="63">
      <c r="E4354" s="139" t="n"/>
      <c r="F4354" s="139" t="n"/>
      <c r="G4354" s="140">
        <f>IFERROR(IF(E4354&gt;0,(F4354/E4354)*1000,""),"")</f>
        <v/>
      </c>
      <c r="H4354" s="139">
        <f>IFERROR(IF(E4354&gt;0,E4354*IF(ISNUMBER(J4354),J4354,IF(OR(C4354="Alpha",B4354="Alpha"),$C$7,IF(C4354="Futures",$C$6,$C$5))),""),"")</f>
        <v/>
      </c>
      <c r="I4354" s="139">
        <f>IFERROR(IF(AND(ISNUMBER(F4354),ISNUMBER(H4354)),F4354-H4354,""),"")</f>
        <v/>
      </c>
      <c r="J4354" s="114" t="n"/>
      <c r="K4354" s="139">
        <f>IFERROR(IF(H4354&gt;0,H4354*IF(OR(C4354="Alpha",B4354="Alpha"),$C$9,$C$8),""),"")</f>
        <v/>
      </c>
      <c r="L4354" s="139">
        <f>IFERROR(IF(ISNUMBER(F4354),F4354-IF(ISNUMBER(K4354),K4354,0),""),"")</f>
        <v/>
      </c>
    </row>
    <row r="4355" ht="24" customHeight="1" s="63">
      <c r="E4355" s="139" t="n"/>
      <c r="F4355" s="139" t="n"/>
      <c r="G4355" s="140">
        <f>IFERROR(IF(E4355&gt;0,(F4355/E4355)*1000,""),"")</f>
        <v/>
      </c>
      <c r="H4355" s="139">
        <f>IFERROR(IF(E4355&gt;0,E4355*IF(ISNUMBER(J4355),J4355,IF(OR(C4355="Alpha",B4355="Alpha"),$C$7,IF(C4355="Futures",$C$6,$C$5))),""),"")</f>
        <v/>
      </c>
      <c r="I4355" s="139">
        <f>IFERROR(IF(AND(ISNUMBER(F4355),ISNUMBER(H4355)),F4355-H4355,""),"")</f>
        <v/>
      </c>
      <c r="J4355" s="114" t="n"/>
      <c r="K4355" s="139">
        <f>IFERROR(IF(H4355&gt;0,H4355*IF(OR(C4355="Alpha",B4355="Alpha"),$C$9,$C$8),""),"")</f>
        <v/>
      </c>
      <c r="L4355" s="139">
        <f>IFERROR(IF(ISNUMBER(F4355),F4355-IF(ISNUMBER(K4355),K4355,0),""),"")</f>
        <v/>
      </c>
    </row>
    <row r="4356" ht="24" customHeight="1" s="63">
      <c r="E4356" s="139" t="n"/>
      <c r="F4356" s="139" t="n"/>
      <c r="G4356" s="140">
        <f>IFERROR(IF(E4356&gt;0,(F4356/E4356)*1000,""),"")</f>
        <v/>
      </c>
      <c r="H4356" s="139">
        <f>IFERROR(IF(E4356&gt;0,E4356*IF(ISNUMBER(J4356),J4356,IF(OR(C4356="Alpha",B4356="Alpha"),$C$7,IF(C4356="Futures",$C$6,$C$5))),""),"")</f>
        <v/>
      </c>
      <c r="I4356" s="139">
        <f>IFERROR(IF(AND(ISNUMBER(F4356),ISNUMBER(H4356)),F4356-H4356,""),"")</f>
        <v/>
      </c>
      <c r="J4356" s="114" t="n"/>
      <c r="K4356" s="139">
        <f>IFERROR(IF(H4356&gt;0,H4356*IF(OR(C4356="Alpha",B4356="Alpha"),$C$9,$C$8),""),"")</f>
        <v/>
      </c>
      <c r="L4356" s="139">
        <f>IFERROR(IF(ISNUMBER(F4356),F4356-IF(ISNUMBER(K4356),K4356,0),""),"")</f>
        <v/>
      </c>
    </row>
    <row r="4357" ht="24" customHeight="1" s="63">
      <c r="E4357" s="139" t="n"/>
      <c r="F4357" s="139" t="n"/>
      <c r="G4357" s="140">
        <f>IFERROR(IF(E4357&gt;0,(F4357/E4357)*1000,""),"")</f>
        <v/>
      </c>
      <c r="H4357" s="139">
        <f>IFERROR(IF(E4357&gt;0,E4357*IF(ISNUMBER(J4357),J4357,IF(OR(C4357="Alpha",B4357="Alpha"),$C$7,IF(C4357="Futures",$C$6,$C$5))),""),"")</f>
        <v/>
      </c>
      <c r="I4357" s="139">
        <f>IFERROR(IF(AND(ISNUMBER(F4357),ISNUMBER(H4357)),F4357-H4357,""),"")</f>
        <v/>
      </c>
      <c r="J4357" s="114" t="n"/>
      <c r="K4357" s="139">
        <f>IFERROR(IF(H4357&gt;0,H4357*IF(OR(C4357="Alpha",B4357="Alpha"),$C$9,$C$8),""),"")</f>
        <v/>
      </c>
      <c r="L4357" s="139">
        <f>IFERROR(IF(ISNUMBER(F4357),F4357-IF(ISNUMBER(K4357),K4357,0),""),"")</f>
        <v/>
      </c>
    </row>
    <row r="4358" ht="24" customHeight="1" s="63">
      <c r="E4358" s="139" t="n"/>
      <c r="F4358" s="139" t="n"/>
      <c r="G4358" s="140">
        <f>IFERROR(IF(E4358&gt;0,(F4358/E4358)*1000,""),"")</f>
        <v/>
      </c>
      <c r="H4358" s="139">
        <f>IFERROR(IF(E4358&gt;0,E4358*IF(ISNUMBER(J4358),J4358,IF(OR(C4358="Alpha",B4358="Alpha"),$C$7,IF(C4358="Futures",$C$6,$C$5))),""),"")</f>
        <v/>
      </c>
      <c r="I4358" s="139">
        <f>IFERROR(IF(AND(ISNUMBER(F4358),ISNUMBER(H4358)),F4358-H4358,""),"")</f>
        <v/>
      </c>
      <c r="J4358" s="114" t="n"/>
      <c r="K4358" s="139">
        <f>IFERROR(IF(H4358&gt;0,H4358*IF(OR(C4358="Alpha",B4358="Alpha"),$C$9,$C$8),""),"")</f>
        <v/>
      </c>
      <c r="L4358" s="139">
        <f>IFERROR(IF(ISNUMBER(F4358),F4358-IF(ISNUMBER(K4358),K4358,0),""),"")</f>
        <v/>
      </c>
    </row>
    <row r="4359" ht="24" customHeight="1" s="63">
      <c r="E4359" s="139" t="n"/>
      <c r="F4359" s="139" t="n"/>
      <c r="G4359" s="140">
        <f>IFERROR(IF(E4359&gt;0,(F4359/E4359)*1000,""),"")</f>
        <v/>
      </c>
      <c r="H4359" s="139">
        <f>IFERROR(IF(E4359&gt;0,E4359*IF(ISNUMBER(J4359),J4359,IF(OR(C4359="Alpha",B4359="Alpha"),$C$7,IF(C4359="Futures",$C$6,$C$5))),""),"")</f>
        <v/>
      </c>
      <c r="I4359" s="139">
        <f>IFERROR(IF(AND(ISNUMBER(F4359),ISNUMBER(H4359)),F4359-H4359,""),"")</f>
        <v/>
      </c>
      <c r="J4359" s="114" t="n"/>
      <c r="K4359" s="139">
        <f>IFERROR(IF(H4359&gt;0,H4359*IF(OR(C4359="Alpha",B4359="Alpha"),$C$9,$C$8),""),"")</f>
        <v/>
      </c>
      <c r="L4359" s="139">
        <f>IFERROR(IF(ISNUMBER(F4359),F4359-IF(ISNUMBER(K4359),K4359,0),""),"")</f>
        <v/>
      </c>
    </row>
    <row r="4360" ht="24" customHeight="1" s="63">
      <c r="E4360" s="139" t="n"/>
      <c r="F4360" s="139" t="n"/>
      <c r="G4360" s="140">
        <f>IFERROR(IF(E4360&gt;0,(F4360/E4360)*1000,""),"")</f>
        <v/>
      </c>
      <c r="H4360" s="139">
        <f>IFERROR(IF(E4360&gt;0,E4360*IF(ISNUMBER(J4360),J4360,IF(OR(C4360="Alpha",B4360="Alpha"),$C$7,IF(C4360="Futures",$C$6,$C$5))),""),"")</f>
        <v/>
      </c>
      <c r="I4360" s="139">
        <f>IFERROR(IF(AND(ISNUMBER(F4360),ISNUMBER(H4360)),F4360-H4360,""),"")</f>
        <v/>
      </c>
      <c r="J4360" s="114" t="n"/>
      <c r="K4360" s="139">
        <f>IFERROR(IF(H4360&gt;0,H4360*IF(OR(C4360="Alpha",B4360="Alpha"),$C$9,$C$8),""),"")</f>
        <v/>
      </c>
      <c r="L4360" s="139">
        <f>IFERROR(IF(ISNUMBER(F4360),F4360-IF(ISNUMBER(K4360),K4360,0),""),"")</f>
        <v/>
      </c>
    </row>
    <row r="4361" ht="24" customHeight="1" s="63">
      <c r="E4361" s="139" t="n"/>
      <c r="F4361" s="139" t="n"/>
      <c r="G4361" s="140">
        <f>IFERROR(IF(E4361&gt;0,(F4361/E4361)*1000,""),"")</f>
        <v/>
      </c>
      <c r="H4361" s="139">
        <f>IFERROR(IF(E4361&gt;0,E4361*IF(ISNUMBER(J4361),J4361,IF(OR(C4361="Alpha",B4361="Alpha"),$C$7,IF(C4361="Futures",$C$6,$C$5))),""),"")</f>
        <v/>
      </c>
      <c r="I4361" s="139">
        <f>IFERROR(IF(AND(ISNUMBER(F4361),ISNUMBER(H4361)),F4361-H4361,""),"")</f>
        <v/>
      </c>
      <c r="J4361" s="114" t="n"/>
      <c r="K4361" s="139">
        <f>IFERROR(IF(H4361&gt;0,H4361*IF(OR(C4361="Alpha",B4361="Alpha"),$C$9,$C$8),""),"")</f>
        <v/>
      </c>
      <c r="L4361" s="139">
        <f>IFERROR(IF(ISNUMBER(F4361),F4361-IF(ISNUMBER(K4361),K4361,0),""),"")</f>
        <v/>
      </c>
    </row>
    <row r="4362" ht="24" customHeight="1" s="63">
      <c r="E4362" s="139" t="n"/>
      <c r="F4362" s="139" t="n"/>
      <c r="G4362" s="140">
        <f>IFERROR(IF(E4362&gt;0,(F4362/E4362)*1000,""),"")</f>
        <v/>
      </c>
      <c r="H4362" s="139">
        <f>IFERROR(IF(E4362&gt;0,E4362*IF(ISNUMBER(J4362),J4362,IF(OR(C4362="Alpha",B4362="Alpha"),$C$7,IF(C4362="Futures",$C$6,$C$5))),""),"")</f>
        <v/>
      </c>
      <c r="I4362" s="139">
        <f>IFERROR(IF(AND(ISNUMBER(F4362),ISNUMBER(H4362)),F4362-H4362,""),"")</f>
        <v/>
      </c>
      <c r="J4362" s="114" t="n"/>
      <c r="K4362" s="139">
        <f>IFERROR(IF(H4362&gt;0,H4362*IF(OR(C4362="Alpha",B4362="Alpha"),$C$9,$C$8),""),"")</f>
        <v/>
      </c>
      <c r="L4362" s="139">
        <f>IFERROR(IF(ISNUMBER(F4362),F4362-IF(ISNUMBER(K4362),K4362,0),""),"")</f>
        <v/>
      </c>
    </row>
    <row r="4363" ht="24" customHeight="1" s="63">
      <c r="E4363" s="139" t="n"/>
      <c r="F4363" s="139" t="n"/>
      <c r="G4363" s="140">
        <f>IFERROR(IF(E4363&gt;0,(F4363/E4363)*1000,""),"")</f>
        <v/>
      </c>
      <c r="H4363" s="139">
        <f>IFERROR(IF(E4363&gt;0,E4363*IF(ISNUMBER(J4363),J4363,IF(OR(C4363="Alpha",B4363="Alpha"),$C$7,IF(C4363="Futures",$C$6,$C$5))),""),"")</f>
        <v/>
      </c>
      <c r="I4363" s="139">
        <f>IFERROR(IF(AND(ISNUMBER(F4363),ISNUMBER(H4363)),F4363-H4363,""),"")</f>
        <v/>
      </c>
      <c r="J4363" s="114" t="n"/>
      <c r="K4363" s="139">
        <f>IFERROR(IF(H4363&gt;0,H4363*IF(OR(C4363="Alpha",B4363="Alpha"),$C$9,$C$8),""),"")</f>
        <v/>
      </c>
      <c r="L4363" s="139">
        <f>IFERROR(IF(ISNUMBER(F4363),F4363-IF(ISNUMBER(K4363),K4363,0),""),"")</f>
        <v/>
      </c>
    </row>
    <row r="4364" ht="24" customHeight="1" s="63">
      <c r="E4364" s="139" t="n"/>
      <c r="F4364" s="139" t="n"/>
      <c r="G4364" s="140">
        <f>IFERROR(IF(E4364&gt;0,(F4364/E4364)*1000,""),"")</f>
        <v/>
      </c>
      <c r="H4364" s="139">
        <f>IFERROR(IF(E4364&gt;0,E4364*IF(ISNUMBER(J4364),J4364,IF(OR(C4364="Alpha",B4364="Alpha"),$C$7,IF(C4364="Futures",$C$6,$C$5))),""),"")</f>
        <v/>
      </c>
      <c r="I4364" s="139">
        <f>IFERROR(IF(AND(ISNUMBER(F4364),ISNUMBER(H4364)),F4364-H4364,""),"")</f>
        <v/>
      </c>
      <c r="J4364" s="114" t="n"/>
      <c r="K4364" s="139">
        <f>IFERROR(IF(H4364&gt;0,H4364*IF(OR(C4364="Alpha",B4364="Alpha"),$C$9,$C$8),""),"")</f>
        <v/>
      </c>
      <c r="L4364" s="139">
        <f>IFERROR(IF(ISNUMBER(F4364),F4364-IF(ISNUMBER(K4364),K4364,0),""),"")</f>
        <v/>
      </c>
    </row>
    <row r="4365" ht="24" customHeight="1" s="63">
      <c r="E4365" s="139" t="n"/>
      <c r="F4365" s="139" t="n"/>
      <c r="G4365" s="140">
        <f>IFERROR(IF(E4365&gt;0,(F4365/E4365)*1000,""),"")</f>
        <v/>
      </c>
      <c r="H4365" s="139">
        <f>IFERROR(IF(E4365&gt;0,E4365*IF(ISNUMBER(J4365),J4365,IF(OR(C4365="Alpha",B4365="Alpha"),$C$7,IF(C4365="Futures",$C$6,$C$5))),""),"")</f>
        <v/>
      </c>
      <c r="I4365" s="139">
        <f>IFERROR(IF(AND(ISNUMBER(F4365),ISNUMBER(H4365)),F4365-H4365,""),"")</f>
        <v/>
      </c>
      <c r="J4365" s="114" t="n"/>
      <c r="K4365" s="139">
        <f>IFERROR(IF(H4365&gt;0,H4365*IF(OR(C4365="Alpha",B4365="Alpha"),$C$9,$C$8),""),"")</f>
        <v/>
      </c>
      <c r="L4365" s="139">
        <f>IFERROR(IF(ISNUMBER(F4365),F4365-IF(ISNUMBER(K4365),K4365,0),""),"")</f>
        <v/>
      </c>
    </row>
    <row r="4366" ht="24" customHeight="1" s="63">
      <c r="E4366" s="139" t="n"/>
      <c r="F4366" s="139" t="n"/>
      <c r="G4366" s="140">
        <f>IFERROR(IF(E4366&gt;0,(F4366/E4366)*1000,""),"")</f>
        <v/>
      </c>
      <c r="H4366" s="139">
        <f>IFERROR(IF(E4366&gt;0,E4366*IF(ISNUMBER(J4366),J4366,IF(OR(C4366="Alpha",B4366="Alpha"),$C$7,IF(C4366="Futures",$C$6,$C$5))),""),"")</f>
        <v/>
      </c>
      <c r="I4366" s="139">
        <f>IFERROR(IF(AND(ISNUMBER(F4366),ISNUMBER(H4366)),F4366-H4366,""),"")</f>
        <v/>
      </c>
      <c r="J4366" s="114" t="n"/>
      <c r="K4366" s="139">
        <f>IFERROR(IF(H4366&gt;0,H4366*IF(OR(C4366="Alpha",B4366="Alpha"),$C$9,$C$8),""),"")</f>
        <v/>
      </c>
      <c r="L4366" s="139">
        <f>IFERROR(IF(ISNUMBER(F4366),F4366-IF(ISNUMBER(K4366),K4366,0),""),"")</f>
        <v/>
      </c>
    </row>
    <row r="4367" ht="24" customHeight="1" s="63">
      <c r="E4367" s="139" t="n"/>
      <c r="F4367" s="139" t="n"/>
      <c r="G4367" s="140">
        <f>IFERROR(IF(E4367&gt;0,(F4367/E4367)*1000,""),"")</f>
        <v/>
      </c>
      <c r="H4367" s="139">
        <f>IFERROR(IF(E4367&gt;0,E4367*IF(ISNUMBER(J4367),J4367,IF(OR(C4367="Alpha",B4367="Alpha"),$C$7,IF(C4367="Futures",$C$6,$C$5))),""),"")</f>
        <v/>
      </c>
      <c r="I4367" s="139">
        <f>IFERROR(IF(AND(ISNUMBER(F4367),ISNUMBER(H4367)),F4367-H4367,""),"")</f>
        <v/>
      </c>
      <c r="J4367" s="114" t="n"/>
      <c r="K4367" s="139">
        <f>IFERROR(IF(H4367&gt;0,H4367*IF(OR(C4367="Alpha",B4367="Alpha"),$C$9,$C$8),""),"")</f>
        <v/>
      </c>
      <c r="L4367" s="139">
        <f>IFERROR(IF(ISNUMBER(F4367),F4367-IF(ISNUMBER(K4367),K4367,0),""),"")</f>
        <v/>
      </c>
    </row>
    <row r="4368" ht="24" customHeight="1" s="63">
      <c r="E4368" s="139" t="n"/>
      <c r="F4368" s="139" t="n"/>
      <c r="G4368" s="140">
        <f>IFERROR(IF(E4368&gt;0,(F4368/E4368)*1000,""),"")</f>
        <v/>
      </c>
      <c r="H4368" s="139">
        <f>IFERROR(IF(E4368&gt;0,E4368*IF(ISNUMBER(J4368),J4368,IF(OR(C4368="Alpha",B4368="Alpha"),$C$7,IF(C4368="Futures",$C$6,$C$5))),""),"")</f>
        <v/>
      </c>
      <c r="I4368" s="139">
        <f>IFERROR(IF(AND(ISNUMBER(F4368),ISNUMBER(H4368)),F4368-H4368,""),"")</f>
        <v/>
      </c>
      <c r="J4368" s="114" t="n"/>
      <c r="K4368" s="139">
        <f>IFERROR(IF(H4368&gt;0,H4368*IF(OR(C4368="Alpha",B4368="Alpha"),$C$9,$C$8),""),"")</f>
        <v/>
      </c>
      <c r="L4368" s="139">
        <f>IFERROR(IF(ISNUMBER(F4368),F4368-IF(ISNUMBER(K4368),K4368,0),""),"")</f>
        <v/>
      </c>
    </row>
    <row r="4369" ht="24" customHeight="1" s="63">
      <c r="E4369" s="139" t="n"/>
      <c r="F4369" s="139" t="n"/>
      <c r="G4369" s="140">
        <f>IFERROR(IF(E4369&gt;0,(F4369/E4369)*1000,""),"")</f>
        <v/>
      </c>
      <c r="H4369" s="139">
        <f>IFERROR(IF(E4369&gt;0,E4369*IF(ISNUMBER(J4369),J4369,IF(OR(C4369="Alpha",B4369="Alpha"),$C$7,IF(C4369="Futures",$C$6,$C$5))),""),"")</f>
        <v/>
      </c>
      <c r="I4369" s="139">
        <f>IFERROR(IF(AND(ISNUMBER(F4369),ISNUMBER(H4369)),F4369-H4369,""),"")</f>
        <v/>
      </c>
      <c r="J4369" s="114" t="n"/>
      <c r="K4369" s="139">
        <f>IFERROR(IF(H4369&gt;0,H4369*IF(OR(C4369="Alpha",B4369="Alpha"),$C$9,$C$8),""),"")</f>
        <v/>
      </c>
      <c r="L4369" s="139">
        <f>IFERROR(IF(ISNUMBER(F4369),F4369-IF(ISNUMBER(K4369),K4369,0),""),"")</f>
        <v/>
      </c>
    </row>
    <row r="4370" ht="24" customHeight="1" s="63">
      <c r="E4370" s="139" t="n"/>
      <c r="F4370" s="139" t="n"/>
      <c r="G4370" s="140">
        <f>IFERROR(IF(E4370&gt;0,(F4370/E4370)*1000,""),"")</f>
        <v/>
      </c>
      <c r="H4370" s="139">
        <f>IFERROR(IF(E4370&gt;0,E4370*IF(ISNUMBER(J4370),J4370,IF(OR(C4370="Alpha",B4370="Alpha"),$C$7,IF(C4370="Futures",$C$6,$C$5))),""),"")</f>
        <v/>
      </c>
      <c r="I4370" s="139">
        <f>IFERROR(IF(AND(ISNUMBER(F4370),ISNUMBER(H4370)),F4370-H4370,""),"")</f>
        <v/>
      </c>
      <c r="J4370" s="114" t="n"/>
      <c r="K4370" s="139">
        <f>IFERROR(IF(H4370&gt;0,H4370*IF(OR(C4370="Alpha",B4370="Alpha"),$C$9,$C$8),""),"")</f>
        <v/>
      </c>
      <c r="L4370" s="139">
        <f>IFERROR(IF(ISNUMBER(F4370),F4370-IF(ISNUMBER(K4370),K4370,0),""),"")</f>
        <v/>
      </c>
    </row>
    <row r="4371" ht="24" customHeight="1" s="63">
      <c r="E4371" s="139" t="n"/>
      <c r="F4371" s="139" t="n"/>
      <c r="G4371" s="140">
        <f>IFERROR(IF(E4371&gt;0,(F4371/E4371)*1000,""),"")</f>
        <v/>
      </c>
      <c r="H4371" s="139">
        <f>IFERROR(IF(E4371&gt;0,E4371*IF(ISNUMBER(J4371),J4371,IF(OR(C4371="Alpha",B4371="Alpha"),$C$7,IF(C4371="Futures",$C$6,$C$5))),""),"")</f>
        <v/>
      </c>
      <c r="I4371" s="139">
        <f>IFERROR(IF(AND(ISNUMBER(F4371),ISNUMBER(H4371)),F4371-H4371,""),"")</f>
        <v/>
      </c>
      <c r="J4371" s="114" t="n"/>
      <c r="K4371" s="139">
        <f>IFERROR(IF(H4371&gt;0,H4371*IF(OR(C4371="Alpha",B4371="Alpha"),$C$9,$C$8),""),"")</f>
        <v/>
      </c>
      <c r="L4371" s="139">
        <f>IFERROR(IF(ISNUMBER(F4371),F4371-IF(ISNUMBER(K4371),K4371,0),""),"")</f>
        <v/>
      </c>
    </row>
    <row r="4372" ht="24" customHeight="1" s="63">
      <c r="E4372" s="139" t="n"/>
      <c r="F4372" s="139" t="n"/>
      <c r="G4372" s="140">
        <f>IFERROR(IF(E4372&gt;0,(F4372/E4372)*1000,""),"")</f>
        <v/>
      </c>
      <c r="H4372" s="139">
        <f>IFERROR(IF(E4372&gt;0,E4372*IF(ISNUMBER(J4372),J4372,IF(OR(C4372="Alpha",B4372="Alpha"),$C$7,IF(C4372="Futures",$C$6,$C$5))),""),"")</f>
        <v/>
      </c>
      <c r="I4372" s="139">
        <f>IFERROR(IF(AND(ISNUMBER(F4372),ISNUMBER(H4372)),F4372-H4372,""),"")</f>
        <v/>
      </c>
      <c r="J4372" s="114" t="n"/>
      <c r="K4372" s="139">
        <f>IFERROR(IF(H4372&gt;0,H4372*IF(OR(C4372="Alpha",B4372="Alpha"),$C$9,$C$8),""),"")</f>
        <v/>
      </c>
      <c r="L4372" s="139">
        <f>IFERROR(IF(ISNUMBER(F4372),F4372-IF(ISNUMBER(K4372),K4372,0),""),"")</f>
        <v/>
      </c>
    </row>
    <row r="4373" ht="24" customHeight="1" s="63">
      <c r="E4373" s="139" t="n"/>
      <c r="F4373" s="139" t="n"/>
      <c r="G4373" s="140">
        <f>IFERROR(IF(E4373&gt;0,(F4373/E4373)*1000,""),"")</f>
        <v/>
      </c>
      <c r="H4373" s="139">
        <f>IFERROR(IF(E4373&gt;0,E4373*IF(ISNUMBER(J4373),J4373,IF(OR(C4373="Alpha",B4373="Alpha"),$C$7,IF(C4373="Futures",$C$6,$C$5))),""),"")</f>
        <v/>
      </c>
      <c r="I4373" s="139">
        <f>IFERROR(IF(AND(ISNUMBER(F4373),ISNUMBER(H4373)),F4373-H4373,""),"")</f>
        <v/>
      </c>
      <c r="J4373" s="114" t="n"/>
      <c r="K4373" s="139">
        <f>IFERROR(IF(H4373&gt;0,H4373*IF(OR(C4373="Alpha",B4373="Alpha"),$C$9,$C$8),""),"")</f>
        <v/>
      </c>
      <c r="L4373" s="139">
        <f>IFERROR(IF(ISNUMBER(F4373),F4373-IF(ISNUMBER(K4373),K4373,0),""),"")</f>
        <v/>
      </c>
    </row>
    <row r="4374" ht="24" customHeight="1" s="63">
      <c r="E4374" s="139" t="n"/>
      <c r="F4374" s="139" t="n"/>
      <c r="G4374" s="140">
        <f>IFERROR(IF(E4374&gt;0,(F4374/E4374)*1000,""),"")</f>
        <v/>
      </c>
      <c r="H4374" s="139">
        <f>IFERROR(IF(E4374&gt;0,E4374*IF(ISNUMBER(J4374),J4374,IF(OR(C4374="Alpha",B4374="Alpha"),$C$7,IF(C4374="Futures",$C$6,$C$5))),""),"")</f>
        <v/>
      </c>
      <c r="I4374" s="139">
        <f>IFERROR(IF(AND(ISNUMBER(F4374),ISNUMBER(H4374)),F4374-H4374,""),"")</f>
        <v/>
      </c>
      <c r="J4374" s="114" t="n"/>
      <c r="K4374" s="139">
        <f>IFERROR(IF(H4374&gt;0,H4374*IF(OR(C4374="Alpha",B4374="Alpha"),$C$9,$C$8),""),"")</f>
        <v/>
      </c>
      <c r="L4374" s="139">
        <f>IFERROR(IF(ISNUMBER(F4374),F4374-IF(ISNUMBER(K4374),K4374,0),""),"")</f>
        <v/>
      </c>
    </row>
    <row r="4375" ht="24" customHeight="1" s="63">
      <c r="E4375" s="139" t="n"/>
      <c r="F4375" s="139" t="n"/>
      <c r="G4375" s="140">
        <f>IFERROR(IF(E4375&gt;0,(F4375/E4375)*1000,""),"")</f>
        <v/>
      </c>
      <c r="H4375" s="139">
        <f>IFERROR(IF(E4375&gt;0,E4375*IF(ISNUMBER(J4375),J4375,IF(OR(C4375="Alpha",B4375="Alpha"),$C$7,IF(C4375="Futures",$C$6,$C$5))),""),"")</f>
        <v/>
      </c>
      <c r="I4375" s="139">
        <f>IFERROR(IF(AND(ISNUMBER(F4375),ISNUMBER(H4375)),F4375-H4375,""),"")</f>
        <v/>
      </c>
      <c r="J4375" s="114" t="n"/>
      <c r="K4375" s="139">
        <f>IFERROR(IF(H4375&gt;0,H4375*IF(OR(C4375="Alpha",B4375="Alpha"),$C$9,$C$8),""),"")</f>
        <v/>
      </c>
      <c r="L4375" s="139">
        <f>IFERROR(IF(ISNUMBER(F4375),F4375-IF(ISNUMBER(K4375),K4375,0),""),"")</f>
        <v/>
      </c>
    </row>
    <row r="4376" ht="24" customHeight="1" s="63">
      <c r="E4376" s="139" t="n"/>
      <c r="F4376" s="139" t="n"/>
      <c r="G4376" s="140">
        <f>IFERROR(IF(E4376&gt;0,(F4376/E4376)*1000,""),"")</f>
        <v/>
      </c>
      <c r="H4376" s="139">
        <f>IFERROR(IF(E4376&gt;0,E4376*IF(ISNUMBER(J4376),J4376,IF(OR(C4376="Alpha",B4376="Alpha"),$C$7,IF(C4376="Futures",$C$6,$C$5))),""),"")</f>
        <v/>
      </c>
      <c r="I4376" s="139">
        <f>IFERROR(IF(AND(ISNUMBER(F4376),ISNUMBER(H4376)),F4376-H4376,""),"")</f>
        <v/>
      </c>
      <c r="J4376" s="114" t="n"/>
      <c r="K4376" s="139">
        <f>IFERROR(IF(H4376&gt;0,H4376*IF(OR(C4376="Alpha",B4376="Alpha"),$C$9,$C$8),""),"")</f>
        <v/>
      </c>
      <c r="L4376" s="139">
        <f>IFERROR(IF(ISNUMBER(F4376),F4376-IF(ISNUMBER(K4376),K4376,0),""),"")</f>
        <v/>
      </c>
    </row>
    <row r="4377" ht="24" customHeight="1" s="63">
      <c r="E4377" s="139" t="n"/>
      <c r="F4377" s="139" t="n"/>
      <c r="G4377" s="140">
        <f>IFERROR(IF(E4377&gt;0,(F4377/E4377)*1000,""),"")</f>
        <v/>
      </c>
      <c r="H4377" s="139">
        <f>IFERROR(IF(E4377&gt;0,E4377*IF(ISNUMBER(J4377),J4377,IF(OR(C4377="Alpha",B4377="Alpha"),$C$7,IF(C4377="Futures",$C$6,$C$5))),""),"")</f>
        <v/>
      </c>
      <c r="I4377" s="139">
        <f>IFERROR(IF(AND(ISNUMBER(F4377),ISNUMBER(H4377)),F4377-H4377,""),"")</f>
        <v/>
      </c>
      <c r="J4377" s="114" t="n"/>
      <c r="K4377" s="139">
        <f>IFERROR(IF(H4377&gt;0,H4377*IF(OR(C4377="Alpha",B4377="Alpha"),$C$9,$C$8),""),"")</f>
        <v/>
      </c>
      <c r="L4377" s="139">
        <f>IFERROR(IF(ISNUMBER(F4377),F4377-IF(ISNUMBER(K4377),K4377,0),""),"")</f>
        <v/>
      </c>
    </row>
    <row r="4378" ht="24" customHeight="1" s="63">
      <c r="E4378" s="139" t="n"/>
      <c r="F4378" s="139" t="n"/>
      <c r="G4378" s="140">
        <f>IFERROR(IF(E4378&gt;0,(F4378/E4378)*1000,""),"")</f>
        <v/>
      </c>
      <c r="H4378" s="139">
        <f>IFERROR(IF(E4378&gt;0,E4378*IF(ISNUMBER(J4378),J4378,IF(OR(C4378="Alpha",B4378="Alpha"),$C$7,IF(C4378="Futures",$C$6,$C$5))),""),"")</f>
        <v/>
      </c>
      <c r="I4378" s="139">
        <f>IFERROR(IF(AND(ISNUMBER(F4378),ISNUMBER(H4378)),F4378-H4378,""),"")</f>
        <v/>
      </c>
      <c r="J4378" s="114" t="n"/>
      <c r="K4378" s="139">
        <f>IFERROR(IF(H4378&gt;0,H4378*IF(OR(C4378="Alpha",B4378="Alpha"),$C$9,$C$8),""),"")</f>
        <v/>
      </c>
      <c r="L4378" s="139">
        <f>IFERROR(IF(ISNUMBER(F4378),F4378-IF(ISNUMBER(K4378),K4378,0),""),"")</f>
        <v/>
      </c>
    </row>
    <row r="4379" ht="24" customHeight="1" s="63">
      <c r="E4379" s="139" t="n"/>
      <c r="F4379" s="139" t="n"/>
      <c r="G4379" s="140">
        <f>IFERROR(IF(E4379&gt;0,(F4379/E4379)*1000,""),"")</f>
        <v/>
      </c>
      <c r="H4379" s="139">
        <f>IFERROR(IF(E4379&gt;0,E4379*IF(ISNUMBER(J4379),J4379,IF(OR(C4379="Alpha",B4379="Alpha"),$C$7,IF(C4379="Futures",$C$6,$C$5))),""),"")</f>
        <v/>
      </c>
      <c r="I4379" s="139">
        <f>IFERROR(IF(AND(ISNUMBER(F4379),ISNUMBER(H4379)),F4379-H4379,""),"")</f>
        <v/>
      </c>
      <c r="J4379" s="114" t="n"/>
      <c r="K4379" s="139">
        <f>IFERROR(IF(H4379&gt;0,H4379*IF(OR(C4379="Alpha",B4379="Alpha"),$C$9,$C$8),""),"")</f>
        <v/>
      </c>
      <c r="L4379" s="139">
        <f>IFERROR(IF(ISNUMBER(F4379),F4379-IF(ISNUMBER(K4379),K4379,0),""),"")</f>
        <v/>
      </c>
    </row>
    <row r="4380" ht="24" customHeight="1" s="63">
      <c r="E4380" s="139" t="n"/>
      <c r="F4380" s="139" t="n"/>
      <c r="G4380" s="140">
        <f>IFERROR(IF(E4380&gt;0,(F4380/E4380)*1000,""),"")</f>
        <v/>
      </c>
      <c r="H4380" s="139">
        <f>IFERROR(IF(E4380&gt;0,E4380*IF(ISNUMBER(J4380),J4380,IF(OR(C4380="Alpha",B4380="Alpha"),$C$7,IF(C4380="Futures",$C$6,$C$5))),""),"")</f>
        <v/>
      </c>
      <c r="I4380" s="139">
        <f>IFERROR(IF(AND(ISNUMBER(F4380),ISNUMBER(H4380)),F4380-H4380,""),"")</f>
        <v/>
      </c>
      <c r="J4380" s="114" t="n"/>
      <c r="K4380" s="139">
        <f>IFERROR(IF(H4380&gt;0,H4380*IF(OR(C4380="Alpha",B4380="Alpha"),$C$9,$C$8),""),"")</f>
        <v/>
      </c>
      <c r="L4380" s="139">
        <f>IFERROR(IF(ISNUMBER(F4380),F4380-IF(ISNUMBER(K4380),K4380,0),""),"")</f>
        <v/>
      </c>
    </row>
    <row r="4381" ht="24" customHeight="1" s="63">
      <c r="E4381" s="139" t="n"/>
      <c r="F4381" s="139" t="n"/>
      <c r="G4381" s="140">
        <f>IFERROR(IF(E4381&gt;0,(F4381/E4381)*1000,""),"")</f>
        <v/>
      </c>
      <c r="H4381" s="139">
        <f>IFERROR(IF(E4381&gt;0,E4381*IF(ISNUMBER(J4381),J4381,IF(OR(C4381="Alpha",B4381="Alpha"),$C$7,IF(C4381="Futures",$C$6,$C$5))),""),"")</f>
        <v/>
      </c>
      <c r="I4381" s="139">
        <f>IFERROR(IF(AND(ISNUMBER(F4381),ISNUMBER(H4381)),F4381-H4381,""),"")</f>
        <v/>
      </c>
      <c r="J4381" s="114" t="n"/>
      <c r="K4381" s="139">
        <f>IFERROR(IF(H4381&gt;0,H4381*IF(OR(C4381="Alpha",B4381="Alpha"),$C$9,$C$8),""),"")</f>
        <v/>
      </c>
      <c r="L4381" s="139">
        <f>IFERROR(IF(ISNUMBER(F4381),F4381-IF(ISNUMBER(K4381),K4381,0),""),"")</f>
        <v/>
      </c>
    </row>
    <row r="4382" ht="24" customHeight="1" s="63">
      <c r="E4382" s="139" t="n"/>
      <c r="F4382" s="139" t="n"/>
      <c r="G4382" s="140">
        <f>IFERROR(IF(E4382&gt;0,(F4382/E4382)*1000,""),"")</f>
        <v/>
      </c>
      <c r="H4382" s="139">
        <f>IFERROR(IF(E4382&gt;0,E4382*IF(ISNUMBER(J4382),J4382,IF(OR(C4382="Alpha",B4382="Alpha"),$C$7,IF(C4382="Futures",$C$6,$C$5))),""),"")</f>
        <v/>
      </c>
      <c r="I4382" s="139">
        <f>IFERROR(IF(AND(ISNUMBER(F4382),ISNUMBER(H4382)),F4382-H4382,""),"")</f>
        <v/>
      </c>
      <c r="J4382" s="114" t="n"/>
      <c r="K4382" s="139">
        <f>IFERROR(IF(H4382&gt;0,H4382*IF(OR(C4382="Alpha",B4382="Alpha"),$C$9,$C$8),""),"")</f>
        <v/>
      </c>
      <c r="L4382" s="139">
        <f>IFERROR(IF(ISNUMBER(F4382),F4382-IF(ISNUMBER(K4382),K4382,0),""),"")</f>
        <v/>
      </c>
    </row>
    <row r="4383" ht="24" customHeight="1" s="63">
      <c r="E4383" s="139" t="n"/>
      <c r="F4383" s="139" t="n"/>
      <c r="G4383" s="140">
        <f>IFERROR(IF(E4383&gt;0,(F4383/E4383)*1000,""),"")</f>
        <v/>
      </c>
      <c r="H4383" s="139">
        <f>IFERROR(IF(E4383&gt;0,E4383*IF(ISNUMBER(J4383),J4383,IF(OR(C4383="Alpha",B4383="Alpha"),$C$7,IF(C4383="Futures",$C$6,$C$5))),""),"")</f>
        <v/>
      </c>
      <c r="I4383" s="139">
        <f>IFERROR(IF(AND(ISNUMBER(F4383),ISNUMBER(H4383)),F4383-H4383,""),"")</f>
        <v/>
      </c>
      <c r="J4383" s="114" t="n"/>
      <c r="K4383" s="139">
        <f>IFERROR(IF(H4383&gt;0,H4383*IF(OR(C4383="Alpha",B4383="Alpha"),$C$9,$C$8),""),"")</f>
        <v/>
      </c>
      <c r="L4383" s="139">
        <f>IFERROR(IF(ISNUMBER(F4383),F4383-IF(ISNUMBER(K4383),K4383,0),""),"")</f>
        <v/>
      </c>
    </row>
    <row r="4384" ht="24" customHeight="1" s="63">
      <c r="E4384" s="139" t="n"/>
      <c r="F4384" s="139" t="n"/>
      <c r="G4384" s="140">
        <f>IFERROR(IF(E4384&gt;0,(F4384/E4384)*1000,""),"")</f>
        <v/>
      </c>
      <c r="H4384" s="139">
        <f>IFERROR(IF(E4384&gt;0,E4384*IF(ISNUMBER(J4384),J4384,IF(OR(C4384="Alpha",B4384="Alpha"),$C$7,IF(C4384="Futures",$C$6,$C$5))),""),"")</f>
        <v/>
      </c>
      <c r="I4384" s="139">
        <f>IFERROR(IF(AND(ISNUMBER(F4384),ISNUMBER(H4384)),F4384-H4384,""),"")</f>
        <v/>
      </c>
      <c r="J4384" s="114" t="n"/>
      <c r="K4384" s="139">
        <f>IFERROR(IF(H4384&gt;0,H4384*IF(OR(C4384="Alpha",B4384="Alpha"),$C$9,$C$8),""),"")</f>
        <v/>
      </c>
      <c r="L4384" s="139">
        <f>IFERROR(IF(ISNUMBER(F4384),F4384-IF(ISNUMBER(K4384),K4384,0),""),"")</f>
        <v/>
      </c>
    </row>
    <row r="4385" ht="24" customHeight="1" s="63">
      <c r="E4385" s="139" t="n"/>
      <c r="F4385" s="139" t="n"/>
      <c r="G4385" s="140">
        <f>IFERROR(IF(E4385&gt;0,(F4385/E4385)*1000,""),"")</f>
        <v/>
      </c>
      <c r="H4385" s="139">
        <f>IFERROR(IF(E4385&gt;0,E4385*IF(ISNUMBER(J4385),J4385,IF(OR(C4385="Alpha",B4385="Alpha"),$C$7,IF(C4385="Futures",$C$6,$C$5))),""),"")</f>
        <v/>
      </c>
      <c r="I4385" s="139">
        <f>IFERROR(IF(AND(ISNUMBER(F4385),ISNUMBER(H4385)),F4385-H4385,""),"")</f>
        <v/>
      </c>
      <c r="J4385" s="114" t="n"/>
      <c r="K4385" s="139">
        <f>IFERROR(IF(H4385&gt;0,H4385*IF(OR(C4385="Alpha",B4385="Alpha"),$C$9,$C$8),""),"")</f>
        <v/>
      </c>
      <c r="L4385" s="139">
        <f>IFERROR(IF(ISNUMBER(F4385),F4385-IF(ISNUMBER(K4385),K4385,0),""),"")</f>
        <v/>
      </c>
    </row>
    <row r="4386" ht="24" customHeight="1" s="63">
      <c r="E4386" s="139" t="n"/>
      <c r="F4386" s="139" t="n"/>
      <c r="G4386" s="140">
        <f>IFERROR(IF(E4386&gt;0,(F4386/E4386)*1000,""),"")</f>
        <v/>
      </c>
      <c r="H4386" s="139">
        <f>IFERROR(IF(E4386&gt;0,E4386*IF(ISNUMBER(J4386),J4386,IF(OR(C4386="Alpha",B4386="Alpha"),$C$7,IF(C4386="Futures",$C$6,$C$5))),""),"")</f>
        <v/>
      </c>
      <c r="I4386" s="139">
        <f>IFERROR(IF(AND(ISNUMBER(F4386),ISNUMBER(H4386)),F4386-H4386,""),"")</f>
        <v/>
      </c>
      <c r="J4386" s="114" t="n"/>
      <c r="K4386" s="139">
        <f>IFERROR(IF(H4386&gt;0,H4386*IF(OR(C4386="Alpha",B4386="Alpha"),$C$9,$C$8),""),"")</f>
        <v/>
      </c>
      <c r="L4386" s="139">
        <f>IFERROR(IF(ISNUMBER(F4386),F4386-IF(ISNUMBER(K4386),K4386,0),""),"")</f>
        <v/>
      </c>
    </row>
    <row r="4387" ht="24" customHeight="1" s="63">
      <c r="E4387" s="139" t="n"/>
      <c r="F4387" s="139" t="n"/>
      <c r="G4387" s="140">
        <f>IFERROR(IF(E4387&gt;0,(F4387/E4387)*1000,""),"")</f>
        <v/>
      </c>
      <c r="H4387" s="139">
        <f>IFERROR(IF(E4387&gt;0,E4387*IF(ISNUMBER(J4387),J4387,IF(OR(C4387="Alpha",B4387="Alpha"),$C$7,IF(C4387="Futures",$C$6,$C$5))),""),"")</f>
        <v/>
      </c>
      <c r="I4387" s="139">
        <f>IFERROR(IF(AND(ISNUMBER(F4387),ISNUMBER(H4387)),F4387-H4387,""),"")</f>
        <v/>
      </c>
      <c r="J4387" s="114" t="n"/>
      <c r="K4387" s="139">
        <f>IFERROR(IF(H4387&gt;0,H4387*IF(OR(C4387="Alpha",B4387="Alpha"),$C$9,$C$8),""),"")</f>
        <v/>
      </c>
      <c r="L4387" s="139">
        <f>IFERROR(IF(ISNUMBER(F4387),F4387-IF(ISNUMBER(K4387),K4387,0),""),"")</f>
        <v/>
      </c>
    </row>
    <row r="4388" ht="24" customHeight="1" s="63">
      <c r="E4388" s="139" t="n"/>
      <c r="F4388" s="139" t="n"/>
      <c r="G4388" s="140">
        <f>IFERROR(IF(E4388&gt;0,(F4388/E4388)*1000,""),"")</f>
        <v/>
      </c>
      <c r="H4388" s="139">
        <f>IFERROR(IF(E4388&gt;0,E4388*IF(ISNUMBER(J4388),J4388,IF(OR(C4388="Alpha",B4388="Alpha"),$C$7,IF(C4388="Futures",$C$6,$C$5))),""),"")</f>
        <v/>
      </c>
      <c r="I4388" s="139">
        <f>IFERROR(IF(AND(ISNUMBER(F4388),ISNUMBER(H4388)),F4388-H4388,""),"")</f>
        <v/>
      </c>
      <c r="J4388" s="114" t="n"/>
      <c r="K4388" s="139">
        <f>IFERROR(IF(H4388&gt;0,H4388*IF(OR(C4388="Alpha",B4388="Alpha"),$C$9,$C$8),""),"")</f>
        <v/>
      </c>
      <c r="L4388" s="139">
        <f>IFERROR(IF(ISNUMBER(F4388),F4388-IF(ISNUMBER(K4388),K4388,0),""),"")</f>
        <v/>
      </c>
    </row>
    <row r="4389" ht="24" customHeight="1" s="63">
      <c r="E4389" s="139" t="n"/>
      <c r="F4389" s="139" t="n"/>
      <c r="G4389" s="140">
        <f>IFERROR(IF(E4389&gt;0,(F4389/E4389)*1000,""),"")</f>
        <v/>
      </c>
      <c r="H4389" s="139">
        <f>IFERROR(IF(E4389&gt;0,E4389*IF(ISNUMBER(J4389),J4389,IF(OR(C4389="Alpha",B4389="Alpha"),$C$7,IF(C4389="Futures",$C$6,$C$5))),""),"")</f>
        <v/>
      </c>
      <c r="I4389" s="139">
        <f>IFERROR(IF(AND(ISNUMBER(F4389),ISNUMBER(H4389)),F4389-H4389,""),"")</f>
        <v/>
      </c>
      <c r="J4389" s="114" t="n"/>
      <c r="K4389" s="139">
        <f>IFERROR(IF(H4389&gt;0,H4389*IF(OR(C4389="Alpha",B4389="Alpha"),$C$9,$C$8),""),"")</f>
        <v/>
      </c>
      <c r="L4389" s="139">
        <f>IFERROR(IF(ISNUMBER(F4389),F4389-IF(ISNUMBER(K4389),K4389,0),""),"")</f>
        <v/>
      </c>
    </row>
    <row r="4390" ht="24" customHeight="1" s="63">
      <c r="E4390" s="139" t="n"/>
      <c r="F4390" s="139" t="n"/>
      <c r="G4390" s="140">
        <f>IFERROR(IF(E4390&gt;0,(F4390/E4390)*1000,""),"")</f>
        <v/>
      </c>
      <c r="H4390" s="139">
        <f>IFERROR(IF(E4390&gt;0,E4390*IF(ISNUMBER(J4390),J4390,IF(OR(C4390="Alpha",B4390="Alpha"),$C$7,IF(C4390="Futures",$C$6,$C$5))),""),"")</f>
        <v/>
      </c>
      <c r="I4390" s="139">
        <f>IFERROR(IF(AND(ISNUMBER(F4390),ISNUMBER(H4390)),F4390-H4390,""),"")</f>
        <v/>
      </c>
      <c r="J4390" s="114" t="n"/>
      <c r="K4390" s="139">
        <f>IFERROR(IF(H4390&gt;0,H4390*IF(OR(C4390="Alpha",B4390="Alpha"),$C$9,$C$8),""),"")</f>
        <v/>
      </c>
      <c r="L4390" s="139">
        <f>IFERROR(IF(ISNUMBER(F4390),F4390-IF(ISNUMBER(K4390),K4390,0),""),"")</f>
        <v/>
      </c>
    </row>
    <row r="4391" ht="24" customHeight="1" s="63">
      <c r="E4391" s="139" t="n"/>
      <c r="F4391" s="139" t="n"/>
      <c r="G4391" s="140">
        <f>IFERROR(IF(E4391&gt;0,(F4391/E4391)*1000,""),"")</f>
        <v/>
      </c>
      <c r="H4391" s="139">
        <f>IFERROR(IF(E4391&gt;0,E4391*IF(ISNUMBER(J4391),J4391,IF(OR(C4391="Alpha",B4391="Alpha"),$C$7,IF(C4391="Futures",$C$6,$C$5))),""),"")</f>
        <v/>
      </c>
      <c r="I4391" s="139">
        <f>IFERROR(IF(AND(ISNUMBER(F4391),ISNUMBER(H4391)),F4391-H4391,""),"")</f>
        <v/>
      </c>
      <c r="J4391" s="114" t="n"/>
      <c r="K4391" s="139">
        <f>IFERROR(IF(H4391&gt;0,H4391*IF(OR(C4391="Alpha",B4391="Alpha"),$C$9,$C$8),""),"")</f>
        <v/>
      </c>
      <c r="L4391" s="139">
        <f>IFERROR(IF(ISNUMBER(F4391),F4391-IF(ISNUMBER(K4391),K4391,0),""),"")</f>
        <v/>
      </c>
    </row>
    <row r="4392" ht="24" customHeight="1" s="63">
      <c r="E4392" s="139" t="n"/>
      <c r="F4392" s="139" t="n"/>
      <c r="G4392" s="140">
        <f>IFERROR(IF(E4392&gt;0,(F4392/E4392)*1000,""),"")</f>
        <v/>
      </c>
      <c r="H4392" s="139">
        <f>IFERROR(IF(E4392&gt;0,E4392*IF(ISNUMBER(J4392),J4392,IF(OR(C4392="Alpha",B4392="Alpha"),$C$7,IF(C4392="Futures",$C$6,$C$5))),""),"")</f>
        <v/>
      </c>
      <c r="I4392" s="139">
        <f>IFERROR(IF(AND(ISNUMBER(F4392),ISNUMBER(H4392)),F4392-H4392,""),"")</f>
        <v/>
      </c>
      <c r="J4392" s="114" t="n"/>
      <c r="K4392" s="139">
        <f>IFERROR(IF(H4392&gt;0,H4392*IF(OR(C4392="Alpha",B4392="Alpha"),$C$9,$C$8),""),"")</f>
        <v/>
      </c>
      <c r="L4392" s="139">
        <f>IFERROR(IF(ISNUMBER(F4392),F4392-IF(ISNUMBER(K4392),K4392,0),""),"")</f>
        <v/>
      </c>
    </row>
    <row r="4393" ht="24" customHeight="1" s="63">
      <c r="E4393" s="139" t="n"/>
      <c r="F4393" s="139" t="n"/>
      <c r="G4393" s="140">
        <f>IFERROR(IF(E4393&gt;0,(F4393/E4393)*1000,""),"")</f>
        <v/>
      </c>
      <c r="H4393" s="139">
        <f>IFERROR(IF(E4393&gt;0,E4393*IF(ISNUMBER(J4393),J4393,IF(OR(C4393="Alpha",B4393="Alpha"),$C$7,IF(C4393="Futures",$C$6,$C$5))),""),"")</f>
        <v/>
      </c>
      <c r="I4393" s="139">
        <f>IFERROR(IF(AND(ISNUMBER(F4393),ISNUMBER(H4393)),F4393-H4393,""),"")</f>
        <v/>
      </c>
      <c r="J4393" s="114" t="n"/>
      <c r="K4393" s="139">
        <f>IFERROR(IF(H4393&gt;0,H4393*IF(OR(C4393="Alpha",B4393="Alpha"),$C$9,$C$8),""),"")</f>
        <v/>
      </c>
      <c r="L4393" s="139">
        <f>IFERROR(IF(ISNUMBER(F4393),F4393-IF(ISNUMBER(K4393),K4393,0),""),"")</f>
        <v/>
      </c>
    </row>
    <row r="4394" ht="24" customHeight="1" s="63">
      <c r="E4394" s="139" t="n"/>
      <c r="F4394" s="139" t="n"/>
      <c r="G4394" s="140">
        <f>IFERROR(IF(E4394&gt;0,(F4394/E4394)*1000,""),"")</f>
        <v/>
      </c>
      <c r="H4394" s="139">
        <f>IFERROR(IF(E4394&gt;0,E4394*IF(ISNUMBER(J4394),J4394,IF(OR(C4394="Alpha",B4394="Alpha"),$C$7,IF(C4394="Futures",$C$6,$C$5))),""),"")</f>
        <v/>
      </c>
      <c r="I4394" s="139">
        <f>IFERROR(IF(AND(ISNUMBER(F4394),ISNUMBER(H4394)),F4394-H4394,""),"")</f>
        <v/>
      </c>
      <c r="J4394" s="114" t="n"/>
      <c r="K4394" s="139">
        <f>IFERROR(IF(H4394&gt;0,H4394*IF(OR(C4394="Alpha",B4394="Alpha"),$C$9,$C$8),""),"")</f>
        <v/>
      </c>
      <c r="L4394" s="139">
        <f>IFERROR(IF(ISNUMBER(F4394),F4394-IF(ISNUMBER(K4394),K4394,0),""),"")</f>
        <v/>
      </c>
    </row>
    <row r="4395" ht="24" customHeight="1" s="63">
      <c r="E4395" s="139" t="n"/>
      <c r="F4395" s="139" t="n"/>
      <c r="G4395" s="140">
        <f>IFERROR(IF(E4395&gt;0,(F4395/E4395)*1000,""),"")</f>
        <v/>
      </c>
      <c r="H4395" s="139">
        <f>IFERROR(IF(E4395&gt;0,E4395*IF(ISNUMBER(J4395),J4395,IF(OR(C4395="Alpha",B4395="Alpha"),$C$7,IF(C4395="Futures",$C$6,$C$5))),""),"")</f>
        <v/>
      </c>
      <c r="I4395" s="139">
        <f>IFERROR(IF(AND(ISNUMBER(F4395),ISNUMBER(H4395)),F4395-H4395,""),"")</f>
        <v/>
      </c>
      <c r="J4395" s="114" t="n"/>
      <c r="K4395" s="139">
        <f>IFERROR(IF(H4395&gt;0,H4395*IF(OR(C4395="Alpha",B4395="Alpha"),$C$9,$C$8),""),"")</f>
        <v/>
      </c>
      <c r="L4395" s="139">
        <f>IFERROR(IF(ISNUMBER(F4395),F4395-IF(ISNUMBER(K4395),K4395,0),""),"")</f>
        <v/>
      </c>
    </row>
    <row r="4396" ht="24" customHeight="1" s="63">
      <c r="E4396" s="139" t="n"/>
      <c r="F4396" s="139" t="n"/>
      <c r="G4396" s="140">
        <f>IFERROR(IF(E4396&gt;0,(F4396/E4396)*1000,""),"")</f>
        <v/>
      </c>
      <c r="H4396" s="139">
        <f>IFERROR(IF(E4396&gt;0,E4396*IF(ISNUMBER(J4396),J4396,IF(OR(C4396="Alpha",B4396="Alpha"),$C$7,IF(C4396="Futures",$C$6,$C$5))),""),"")</f>
        <v/>
      </c>
      <c r="I4396" s="139">
        <f>IFERROR(IF(AND(ISNUMBER(F4396),ISNUMBER(H4396)),F4396-H4396,""),"")</f>
        <v/>
      </c>
      <c r="J4396" s="114" t="n"/>
      <c r="K4396" s="139">
        <f>IFERROR(IF(H4396&gt;0,H4396*IF(OR(C4396="Alpha",B4396="Alpha"),$C$9,$C$8),""),"")</f>
        <v/>
      </c>
      <c r="L4396" s="139">
        <f>IFERROR(IF(ISNUMBER(F4396),F4396-IF(ISNUMBER(K4396),K4396,0),""),"")</f>
        <v/>
      </c>
    </row>
    <row r="4397" ht="24" customHeight="1" s="63">
      <c r="E4397" s="139" t="n"/>
      <c r="F4397" s="139" t="n"/>
      <c r="G4397" s="140">
        <f>IFERROR(IF(E4397&gt;0,(F4397/E4397)*1000,""),"")</f>
        <v/>
      </c>
      <c r="H4397" s="139">
        <f>IFERROR(IF(E4397&gt;0,E4397*IF(ISNUMBER(J4397),J4397,IF(OR(C4397="Alpha",B4397="Alpha"),$C$7,IF(C4397="Futures",$C$6,$C$5))),""),"")</f>
        <v/>
      </c>
      <c r="I4397" s="139">
        <f>IFERROR(IF(AND(ISNUMBER(F4397),ISNUMBER(H4397)),F4397-H4397,""),"")</f>
        <v/>
      </c>
      <c r="J4397" s="114" t="n"/>
      <c r="K4397" s="139">
        <f>IFERROR(IF(H4397&gt;0,H4397*IF(OR(C4397="Alpha",B4397="Alpha"),$C$9,$C$8),""),"")</f>
        <v/>
      </c>
      <c r="L4397" s="139">
        <f>IFERROR(IF(ISNUMBER(F4397),F4397-IF(ISNUMBER(K4397),K4397,0),""),"")</f>
        <v/>
      </c>
    </row>
    <row r="4398" ht="24" customHeight="1" s="63">
      <c r="E4398" s="139" t="n"/>
      <c r="F4398" s="139" t="n"/>
      <c r="G4398" s="140">
        <f>IFERROR(IF(E4398&gt;0,(F4398/E4398)*1000,""),"")</f>
        <v/>
      </c>
      <c r="H4398" s="139">
        <f>IFERROR(IF(E4398&gt;0,E4398*IF(ISNUMBER(J4398),J4398,IF(OR(C4398="Alpha",B4398="Alpha"),$C$7,IF(C4398="Futures",$C$6,$C$5))),""),"")</f>
        <v/>
      </c>
      <c r="I4398" s="139">
        <f>IFERROR(IF(AND(ISNUMBER(F4398),ISNUMBER(H4398)),F4398-H4398,""),"")</f>
        <v/>
      </c>
      <c r="J4398" s="114" t="n"/>
      <c r="K4398" s="139">
        <f>IFERROR(IF(H4398&gt;0,H4398*IF(OR(C4398="Alpha",B4398="Alpha"),$C$9,$C$8),""),"")</f>
        <v/>
      </c>
      <c r="L4398" s="139">
        <f>IFERROR(IF(ISNUMBER(F4398),F4398-IF(ISNUMBER(K4398),K4398,0),""),"")</f>
        <v/>
      </c>
    </row>
    <row r="4399" ht="24" customHeight="1" s="63">
      <c r="E4399" s="139" t="n"/>
      <c r="F4399" s="139" t="n"/>
      <c r="G4399" s="140">
        <f>IFERROR(IF(E4399&gt;0,(F4399/E4399)*1000,""),"")</f>
        <v/>
      </c>
      <c r="H4399" s="139">
        <f>IFERROR(IF(E4399&gt;0,E4399*IF(ISNUMBER(J4399),J4399,IF(OR(C4399="Alpha",B4399="Alpha"),$C$7,IF(C4399="Futures",$C$6,$C$5))),""),"")</f>
        <v/>
      </c>
      <c r="I4399" s="139">
        <f>IFERROR(IF(AND(ISNUMBER(F4399),ISNUMBER(H4399)),F4399-H4399,""),"")</f>
        <v/>
      </c>
      <c r="J4399" s="114" t="n"/>
      <c r="K4399" s="139">
        <f>IFERROR(IF(H4399&gt;0,H4399*IF(OR(C4399="Alpha",B4399="Alpha"),$C$9,$C$8),""),"")</f>
        <v/>
      </c>
      <c r="L4399" s="139">
        <f>IFERROR(IF(ISNUMBER(F4399),F4399-IF(ISNUMBER(K4399),K4399,0),""),"")</f>
        <v/>
      </c>
    </row>
    <row r="4400" ht="24" customHeight="1" s="63">
      <c r="E4400" s="139" t="n"/>
      <c r="F4400" s="139" t="n"/>
      <c r="G4400" s="140">
        <f>IFERROR(IF(E4400&gt;0,(F4400/E4400)*1000,""),"")</f>
        <v/>
      </c>
      <c r="H4400" s="139">
        <f>IFERROR(IF(E4400&gt;0,E4400*IF(ISNUMBER(J4400),J4400,IF(OR(C4400="Alpha",B4400="Alpha"),$C$7,IF(C4400="Futures",$C$6,$C$5))),""),"")</f>
        <v/>
      </c>
      <c r="I4400" s="139">
        <f>IFERROR(IF(AND(ISNUMBER(F4400),ISNUMBER(H4400)),F4400-H4400,""),"")</f>
        <v/>
      </c>
      <c r="J4400" s="114" t="n"/>
      <c r="K4400" s="139">
        <f>IFERROR(IF(H4400&gt;0,H4400*IF(OR(C4400="Alpha",B4400="Alpha"),$C$9,$C$8),""),"")</f>
        <v/>
      </c>
      <c r="L4400" s="139">
        <f>IFERROR(IF(ISNUMBER(F4400),F4400-IF(ISNUMBER(K4400),K4400,0),""),"")</f>
        <v/>
      </c>
    </row>
    <row r="4401" ht="24" customHeight="1" s="63">
      <c r="E4401" s="139" t="n"/>
      <c r="F4401" s="139" t="n"/>
      <c r="G4401" s="140">
        <f>IFERROR(IF(E4401&gt;0,(F4401/E4401)*1000,""),"")</f>
        <v/>
      </c>
      <c r="H4401" s="139">
        <f>IFERROR(IF(E4401&gt;0,E4401*IF(ISNUMBER(J4401),J4401,IF(OR(C4401="Alpha",B4401="Alpha"),$C$7,IF(C4401="Futures",$C$6,$C$5))),""),"")</f>
        <v/>
      </c>
      <c r="I4401" s="139">
        <f>IFERROR(IF(AND(ISNUMBER(F4401),ISNUMBER(H4401)),F4401-H4401,""),"")</f>
        <v/>
      </c>
      <c r="J4401" s="114" t="n"/>
      <c r="K4401" s="139">
        <f>IFERROR(IF(H4401&gt;0,H4401*IF(OR(C4401="Alpha",B4401="Alpha"),$C$9,$C$8),""),"")</f>
        <v/>
      </c>
      <c r="L4401" s="139">
        <f>IFERROR(IF(ISNUMBER(F4401),F4401-IF(ISNUMBER(K4401),K4401,0),""),"")</f>
        <v/>
      </c>
    </row>
    <row r="4402" ht="24" customHeight="1" s="63">
      <c r="E4402" s="139" t="n"/>
      <c r="F4402" s="139" t="n"/>
      <c r="G4402" s="140">
        <f>IFERROR(IF(E4402&gt;0,(F4402/E4402)*1000,""),"")</f>
        <v/>
      </c>
      <c r="H4402" s="139">
        <f>IFERROR(IF(E4402&gt;0,E4402*IF(ISNUMBER(J4402),J4402,IF(OR(C4402="Alpha",B4402="Alpha"),$C$7,IF(C4402="Futures",$C$6,$C$5))),""),"")</f>
        <v/>
      </c>
      <c r="I4402" s="139">
        <f>IFERROR(IF(AND(ISNUMBER(F4402),ISNUMBER(H4402)),F4402-H4402,""),"")</f>
        <v/>
      </c>
      <c r="J4402" s="114" t="n"/>
      <c r="K4402" s="139">
        <f>IFERROR(IF(H4402&gt;0,H4402*IF(OR(C4402="Alpha",B4402="Alpha"),$C$9,$C$8),""),"")</f>
        <v/>
      </c>
      <c r="L4402" s="139">
        <f>IFERROR(IF(ISNUMBER(F4402),F4402-IF(ISNUMBER(K4402),K4402,0),""),"")</f>
        <v/>
      </c>
    </row>
    <row r="4403" ht="24" customHeight="1" s="63">
      <c r="E4403" s="139" t="n"/>
      <c r="F4403" s="139" t="n"/>
      <c r="G4403" s="140">
        <f>IFERROR(IF(E4403&gt;0,(F4403/E4403)*1000,""),"")</f>
        <v/>
      </c>
      <c r="H4403" s="139">
        <f>IFERROR(IF(E4403&gt;0,E4403*IF(ISNUMBER(J4403),J4403,IF(OR(C4403="Alpha",B4403="Alpha"),$C$7,IF(C4403="Futures",$C$6,$C$5))),""),"")</f>
        <v/>
      </c>
      <c r="I4403" s="139">
        <f>IFERROR(IF(AND(ISNUMBER(F4403),ISNUMBER(H4403)),F4403-H4403,""),"")</f>
        <v/>
      </c>
      <c r="J4403" s="114" t="n"/>
      <c r="K4403" s="139">
        <f>IFERROR(IF(H4403&gt;0,H4403*IF(OR(C4403="Alpha",B4403="Alpha"),$C$9,$C$8),""),"")</f>
        <v/>
      </c>
      <c r="L4403" s="139">
        <f>IFERROR(IF(ISNUMBER(F4403),F4403-IF(ISNUMBER(K4403),K4403,0),""),"")</f>
        <v/>
      </c>
    </row>
    <row r="4404" ht="24" customHeight="1" s="63">
      <c r="E4404" s="139" t="n"/>
      <c r="F4404" s="139" t="n"/>
      <c r="G4404" s="140">
        <f>IFERROR(IF(E4404&gt;0,(F4404/E4404)*1000,""),"")</f>
        <v/>
      </c>
      <c r="H4404" s="139">
        <f>IFERROR(IF(E4404&gt;0,E4404*IF(ISNUMBER(J4404),J4404,IF(OR(C4404="Alpha",B4404="Alpha"),$C$7,IF(C4404="Futures",$C$6,$C$5))),""),"")</f>
        <v/>
      </c>
      <c r="I4404" s="139">
        <f>IFERROR(IF(AND(ISNUMBER(F4404),ISNUMBER(H4404)),F4404-H4404,""),"")</f>
        <v/>
      </c>
      <c r="J4404" s="114" t="n"/>
      <c r="K4404" s="139">
        <f>IFERROR(IF(H4404&gt;0,H4404*IF(OR(C4404="Alpha",B4404="Alpha"),$C$9,$C$8),""),"")</f>
        <v/>
      </c>
      <c r="L4404" s="139">
        <f>IFERROR(IF(ISNUMBER(F4404),F4404-IF(ISNUMBER(K4404),K4404,0),""),"")</f>
        <v/>
      </c>
    </row>
    <row r="4405" ht="24" customHeight="1" s="63">
      <c r="E4405" s="139" t="n"/>
      <c r="F4405" s="139" t="n"/>
      <c r="G4405" s="140">
        <f>IFERROR(IF(E4405&gt;0,(F4405/E4405)*1000,""),"")</f>
        <v/>
      </c>
      <c r="H4405" s="139">
        <f>IFERROR(IF(E4405&gt;0,E4405*IF(ISNUMBER(J4405),J4405,IF(OR(C4405="Alpha",B4405="Alpha"),$C$7,IF(C4405="Futures",$C$6,$C$5))),""),"")</f>
        <v/>
      </c>
      <c r="I4405" s="139">
        <f>IFERROR(IF(AND(ISNUMBER(F4405),ISNUMBER(H4405)),F4405-H4405,""),"")</f>
        <v/>
      </c>
      <c r="J4405" s="114" t="n"/>
      <c r="K4405" s="139">
        <f>IFERROR(IF(H4405&gt;0,H4405*IF(OR(C4405="Alpha",B4405="Alpha"),$C$9,$C$8),""),"")</f>
        <v/>
      </c>
      <c r="L4405" s="139">
        <f>IFERROR(IF(ISNUMBER(F4405),F4405-IF(ISNUMBER(K4405),K4405,0),""),"")</f>
        <v/>
      </c>
    </row>
    <row r="4406" ht="24" customHeight="1" s="63">
      <c r="E4406" s="139" t="n"/>
      <c r="F4406" s="139" t="n"/>
      <c r="G4406" s="140">
        <f>IFERROR(IF(E4406&gt;0,(F4406/E4406)*1000,""),"")</f>
        <v/>
      </c>
      <c r="H4406" s="139">
        <f>IFERROR(IF(E4406&gt;0,E4406*IF(ISNUMBER(J4406),J4406,IF(OR(C4406="Alpha",B4406="Alpha"),$C$7,IF(C4406="Futures",$C$6,$C$5))),""),"")</f>
        <v/>
      </c>
      <c r="I4406" s="139">
        <f>IFERROR(IF(AND(ISNUMBER(F4406),ISNUMBER(H4406)),F4406-H4406,""),"")</f>
        <v/>
      </c>
      <c r="J4406" s="114" t="n"/>
      <c r="K4406" s="139">
        <f>IFERROR(IF(H4406&gt;0,H4406*IF(OR(C4406="Alpha",B4406="Alpha"),$C$9,$C$8),""),"")</f>
        <v/>
      </c>
      <c r="L4406" s="139">
        <f>IFERROR(IF(ISNUMBER(F4406),F4406-IF(ISNUMBER(K4406),K4406,0),""),"")</f>
        <v/>
      </c>
    </row>
    <row r="4407" ht="24" customHeight="1" s="63">
      <c r="E4407" s="139" t="n"/>
      <c r="F4407" s="139" t="n"/>
      <c r="G4407" s="140">
        <f>IFERROR(IF(E4407&gt;0,(F4407/E4407)*1000,""),"")</f>
        <v/>
      </c>
      <c r="H4407" s="139">
        <f>IFERROR(IF(E4407&gt;0,E4407*IF(ISNUMBER(J4407),J4407,IF(OR(C4407="Alpha",B4407="Alpha"),$C$7,IF(C4407="Futures",$C$6,$C$5))),""),"")</f>
        <v/>
      </c>
      <c r="I4407" s="139">
        <f>IFERROR(IF(AND(ISNUMBER(F4407),ISNUMBER(H4407)),F4407-H4407,""),"")</f>
        <v/>
      </c>
      <c r="J4407" s="114" t="n"/>
      <c r="K4407" s="139">
        <f>IFERROR(IF(H4407&gt;0,H4407*IF(OR(C4407="Alpha",B4407="Alpha"),$C$9,$C$8),""),"")</f>
        <v/>
      </c>
      <c r="L4407" s="139">
        <f>IFERROR(IF(ISNUMBER(F4407),F4407-IF(ISNUMBER(K4407),K4407,0),""),"")</f>
        <v/>
      </c>
    </row>
    <row r="4408" ht="24" customHeight="1" s="63">
      <c r="E4408" s="139" t="n"/>
      <c r="F4408" s="139" t="n"/>
      <c r="G4408" s="140">
        <f>IFERROR(IF(E4408&gt;0,(F4408/E4408)*1000,""),"")</f>
        <v/>
      </c>
      <c r="H4408" s="139">
        <f>IFERROR(IF(E4408&gt;0,E4408*IF(ISNUMBER(J4408),J4408,IF(OR(C4408="Alpha",B4408="Alpha"),$C$7,IF(C4408="Futures",$C$6,$C$5))),""),"")</f>
        <v/>
      </c>
      <c r="I4408" s="139">
        <f>IFERROR(IF(AND(ISNUMBER(F4408),ISNUMBER(H4408)),F4408-H4408,""),"")</f>
        <v/>
      </c>
      <c r="J4408" s="114" t="n"/>
      <c r="K4408" s="139">
        <f>IFERROR(IF(H4408&gt;0,H4408*IF(OR(C4408="Alpha",B4408="Alpha"),$C$9,$C$8),""),"")</f>
        <v/>
      </c>
      <c r="L4408" s="139">
        <f>IFERROR(IF(ISNUMBER(F4408),F4408-IF(ISNUMBER(K4408),K4408,0),""),"")</f>
        <v/>
      </c>
    </row>
    <row r="4409" ht="24" customHeight="1" s="63">
      <c r="E4409" s="139" t="n"/>
      <c r="F4409" s="139" t="n"/>
      <c r="G4409" s="140">
        <f>IFERROR(IF(E4409&gt;0,(F4409/E4409)*1000,""),"")</f>
        <v/>
      </c>
      <c r="H4409" s="139">
        <f>IFERROR(IF(E4409&gt;0,E4409*IF(ISNUMBER(J4409),J4409,IF(OR(C4409="Alpha",B4409="Alpha"),$C$7,IF(C4409="Futures",$C$6,$C$5))),""),"")</f>
        <v/>
      </c>
      <c r="I4409" s="139">
        <f>IFERROR(IF(AND(ISNUMBER(F4409),ISNUMBER(H4409)),F4409-H4409,""),"")</f>
        <v/>
      </c>
      <c r="J4409" s="114" t="n"/>
      <c r="K4409" s="139">
        <f>IFERROR(IF(H4409&gt;0,H4409*IF(OR(C4409="Alpha",B4409="Alpha"),$C$9,$C$8),""),"")</f>
        <v/>
      </c>
      <c r="L4409" s="139">
        <f>IFERROR(IF(ISNUMBER(F4409),F4409-IF(ISNUMBER(K4409),K4409,0),""),"")</f>
        <v/>
      </c>
    </row>
    <row r="4410" ht="24" customHeight="1" s="63">
      <c r="E4410" s="139" t="n"/>
      <c r="F4410" s="139" t="n"/>
      <c r="G4410" s="140">
        <f>IFERROR(IF(E4410&gt;0,(F4410/E4410)*1000,""),"")</f>
        <v/>
      </c>
      <c r="H4410" s="139">
        <f>IFERROR(IF(E4410&gt;0,E4410*IF(ISNUMBER(J4410),J4410,IF(OR(C4410="Alpha",B4410="Alpha"),$C$7,IF(C4410="Futures",$C$6,$C$5))),""),"")</f>
        <v/>
      </c>
      <c r="I4410" s="139">
        <f>IFERROR(IF(AND(ISNUMBER(F4410),ISNUMBER(H4410)),F4410-H4410,""),"")</f>
        <v/>
      </c>
      <c r="J4410" s="114" t="n"/>
      <c r="K4410" s="139">
        <f>IFERROR(IF(H4410&gt;0,H4410*IF(OR(C4410="Alpha",B4410="Alpha"),$C$9,$C$8),""),"")</f>
        <v/>
      </c>
      <c r="L4410" s="139">
        <f>IFERROR(IF(ISNUMBER(F4410),F4410-IF(ISNUMBER(K4410),K4410,0),""),"")</f>
        <v/>
      </c>
    </row>
    <row r="4411" ht="24" customHeight="1" s="63">
      <c r="E4411" s="139" t="n"/>
      <c r="F4411" s="139" t="n"/>
      <c r="G4411" s="140">
        <f>IFERROR(IF(E4411&gt;0,(F4411/E4411)*1000,""),"")</f>
        <v/>
      </c>
      <c r="H4411" s="139">
        <f>IFERROR(IF(E4411&gt;0,E4411*IF(ISNUMBER(J4411),J4411,IF(OR(C4411="Alpha",B4411="Alpha"),$C$7,IF(C4411="Futures",$C$6,$C$5))),""),"")</f>
        <v/>
      </c>
      <c r="I4411" s="139">
        <f>IFERROR(IF(AND(ISNUMBER(F4411),ISNUMBER(H4411)),F4411-H4411,""),"")</f>
        <v/>
      </c>
      <c r="J4411" s="114" t="n"/>
      <c r="K4411" s="139">
        <f>IFERROR(IF(H4411&gt;0,H4411*IF(OR(C4411="Alpha",B4411="Alpha"),$C$9,$C$8),""),"")</f>
        <v/>
      </c>
      <c r="L4411" s="139">
        <f>IFERROR(IF(ISNUMBER(F4411),F4411-IF(ISNUMBER(K4411),K4411,0),""),"")</f>
        <v/>
      </c>
    </row>
    <row r="4412" ht="24" customHeight="1" s="63">
      <c r="E4412" s="139" t="n"/>
      <c r="F4412" s="139" t="n"/>
      <c r="G4412" s="140">
        <f>IFERROR(IF(E4412&gt;0,(F4412/E4412)*1000,""),"")</f>
        <v/>
      </c>
      <c r="H4412" s="139">
        <f>IFERROR(IF(E4412&gt;0,E4412*IF(ISNUMBER(J4412),J4412,IF(OR(C4412="Alpha",B4412="Alpha"),$C$7,IF(C4412="Futures",$C$6,$C$5))),""),"")</f>
        <v/>
      </c>
      <c r="I4412" s="139">
        <f>IFERROR(IF(AND(ISNUMBER(F4412),ISNUMBER(H4412)),F4412-H4412,""),"")</f>
        <v/>
      </c>
      <c r="J4412" s="114" t="n"/>
      <c r="K4412" s="139">
        <f>IFERROR(IF(H4412&gt;0,H4412*IF(OR(C4412="Alpha",B4412="Alpha"),$C$9,$C$8),""),"")</f>
        <v/>
      </c>
      <c r="L4412" s="139">
        <f>IFERROR(IF(ISNUMBER(F4412),F4412-IF(ISNUMBER(K4412),K4412,0),""),"")</f>
        <v/>
      </c>
    </row>
    <row r="4413" ht="24" customHeight="1" s="63">
      <c r="E4413" s="139" t="n"/>
      <c r="F4413" s="139" t="n"/>
      <c r="G4413" s="140">
        <f>IFERROR(IF(E4413&gt;0,(F4413/E4413)*1000,""),"")</f>
        <v/>
      </c>
      <c r="H4413" s="139">
        <f>IFERROR(IF(E4413&gt;0,E4413*IF(ISNUMBER(J4413),J4413,IF(OR(C4413="Alpha",B4413="Alpha"),$C$7,IF(C4413="Futures",$C$6,$C$5))),""),"")</f>
        <v/>
      </c>
      <c r="I4413" s="139">
        <f>IFERROR(IF(AND(ISNUMBER(F4413),ISNUMBER(H4413)),F4413-H4413,""),"")</f>
        <v/>
      </c>
      <c r="J4413" s="114" t="n"/>
      <c r="K4413" s="139">
        <f>IFERROR(IF(H4413&gt;0,H4413*IF(OR(C4413="Alpha",B4413="Alpha"),$C$9,$C$8),""),"")</f>
        <v/>
      </c>
      <c r="L4413" s="139">
        <f>IFERROR(IF(ISNUMBER(F4413),F4413-IF(ISNUMBER(K4413),K4413,0),""),"")</f>
        <v/>
      </c>
    </row>
    <row r="4414" ht="24" customHeight="1" s="63">
      <c r="E4414" s="139" t="n"/>
      <c r="F4414" s="139" t="n"/>
      <c r="G4414" s="140">
        <f>IFERROR(IF(E4414&gt;0,(F4414/E4414)*1000,""),"")</f>
        <v/>
      </c>
      <c r="H4414" s="139">
        <f>IFERROR(IF(E4414&gt;0,E4414*IF(ISNUMBER(J4414),J4414,IF(OR(C4414="Alpha",B4414="Alpha"),$C$7,IF(C4414="Futures",$C$6,$C$5))),""),"")</f>
        <v/>
      </c>
      <c r="I4414" s="139">
        <f>IFERROR(IF(AND(ISNUMBER(F4414),ISNUMBER(H4414)),F4414-H4414,""),"")</f>
        <v/>
      </c>
      <c r="J4414" s="114" t="n"/>
      <c r="K4414" s="139">
        <f>IFERROR(IF(H4414&gt;0,H4414*IF(OR(C4414="Alpha",B4414="Alpha"),$C$9,$C$8),""),"")</f>
        <v/>
      </c>
      <c r="L4414" s="139">
        <f>IFERROR(IF(ISNUMBER(F4414),F4414-IF(ISNUMBER(K4414),K4414,0),""),"")</f>
        <v/>
      </c>
    </row>
    <row r="4415" ht="24" customHeight="1" s="63">
      <c r="E4415" s="139" t="n"/>
      <c r="F4415" s="139" t="n"/>
      <c r="G4415" s="140">
        <f>IFERROR(IF(E4415&gt;0,(F4415/E4415)*1000,""),"")</f>
        <v/>
      </c>
      <c r="H4415" s="139">
        <f>IFERROR(IF(E4415&gt;0,E4415*IF(ISNUMBER(J4415),J4415,IF(OR(C4415="Alpha",B4415="Alpha"),$C$7,IF(C4415="Futures",$C$6,$C$5))),""),"")</f>
        <v/>
      </c>
      <c r="I4415" s="139">
        <f>IFERROR(IF(AND(ISNUMBER(F4415),ISNUMBER(H4415)),F4415-H4415,""),"")</f>
        <v/>
      </c>
      <c r="J4415" s="114" t="n"/>
      <c r="K4415" s="139">
        <f>IFERROR(IF(H4415&gt;0,H4415*IF(OR(C4415="Alpha",B4415="Alpha"),$C$9,$C$8),""),"")</f>
        <v/>
      </c>
      <c r="L4415" s="139">
        <f>IFERROR(IF(ISNUMBER(F4415),F4415-IF(ISNUMBER(K4415),K4415,0),""),"")</f>
        <v/>
      </c>
    </row>
    <row r="4416" ht="24" customHeight="1" s="63">
      <c r="E4416" s="139" t="n"/>
      <c r="F4416" s="139" t="n"/>
      <c r="G4416" s="140">
        <f>IFERROR(IF(E4416&gt;0,(F4416/E4416)*1000,""),"")</f>
        <v/>
      </c>
      <c r="H4416" s="139">
        <f>IFERROR(IF(E4416&gt;0,E4416*IF(ISNUMBER(J4416),J4416,IF(OR(C4416="Alpha",B4416="Alpha"),$C$7,IF(C4416="Futures",$C$6,$C$5))),""),"")</f>
        <v/>
      </c>
      <c r="I4416" s="139">
        <f>IFERROR(IF(AND(ISNUMBER(F4416),ISNUMBER(H4416)),F4416-H4416,""),"")</f>
        <v/>
      </c>
      <c r="J4416" s="114" t="n"/>
      <c r="K4416" s="139">
        <f>IFERROR(IF(H4416&gt;0,H4416*IF(OR(C4416="Alpha",B4416="Alpha"),$C$9,$C$8),""),"")</f>
        <v/>
      </c>
      <c r="L4416" s="139">
        <f>IFERROR(IF(ISNUMBER(F4416),F4416-IF(ISNUMBER(K4416),K4416,0),""),"")</f>
        <v/>
      </c>
    </row>
    <row r="4417" ht="24" customHeight="1" s="63">
      <c r="E4417" s="139" t="n"/>
      <c r="F4417" s="139" t="n"/>
      <c r="G4417" s="140">
        <f>IFERROR(IF(E4417&gt;0,(F4417/E4417)*1000,""),"")</f>
        <v/>
      </c>
      <c r="H4417" s="139">
        <f>IFERROR(IF(E4417&gt;0,E4417*IF(ISNUMBER(J4417),J4417,IF(OR(C4417="Alpha",B4417="Alpha"),$C$7,IF(C4417="Futures",$C$6,$C$5))),""),"")</f>
        <v/>
      </c>
      <c r="I4417" s="139">
        <f>IFERROR(IF(AND(ISNUMBER(F4417),ISNUMBER(H4417)),F4417-H4417,""),"")</f>
        <v/>
      </c>
      <c r="J4417" s="114" t="n"/>
      <c r="K4417" s="139">
        <f>IFERROR(IF(H4417&gt;0,H4417*IF(OR(C4417="Alpha",B4417="Alpha"),$C$9,$C$8),""),"")</f>
        <v/>
      </c>
      <c r="L4417" s="139">
        <f>IFERROR(IF(ISNUMBER(F4417),F4417-IF(ISNUMBER(K4417),K4417,0),""),"")</f>
        <v/>
      </c>
    </row>
    <row r="4418" ht="24" customHeight="1" s="63">
      <c r="E4418" s="139" t="n"/>
      <c r="F4418" s="139" t="n"/>
      <c r="G4418" s="140">
        <f>IFERROR(IF(E4418&gt;0,(F4418/E4418)*1000,""),"")</f>
        <v/>
      </c>
      <c r="H4418" s="139">
        <f>IFERROR(IF(E4418&gt;0,E4418*IF(ISNUMBER(J4418),J4418,IF(OR(C4418="Alpha",B4418="Alpha"),$C$7,IF(C4418="Futures",$C$6,$C$5))),""),"")</f>
        <v/>
      </c>
      <c r="I4418" s="139">
        <f>IFERROR(IF(AND(ISNUMBER(F4418),ISNUMBER(H4418)),F4418-H4418,""),"")</f>
        <v/>
      </c>
      <c r="J4418" s="114" t="n"/>
      <c r="K4418" s="139">
        <f>IFERROR(IF(H4418&gt;0,H4418*IF(OR(C4418="Alpha",B4418="Alpha"),$C$9,$C$8),""),"")</f>
        <v/>
      </c>
      <c r="L4418" s="139">
        <f>IFERROR(IF(ISNUMBER(F4418),F4418-IF(ISNUMBER(K4418),K4418,0),""),"")</f>
        <v/>
      </c>
    </row>
    <row r="4419" ht="24" customHeight="1" s="63">
      <c r="E4419" s="139" t="n"/>
      <c r="F4419" s="139" t="n"/>
      <c r="G4419" s="140">
        <f>IFERROR(IF(E4419&gt;0,(F4419/E4419)*1000,""),"")</f>
        <v/>
      </c>
      <c r="H4419" s="139">
        <f>IFERROR(IF(E4419&gt;0,E4419*IF(ISNUMBER(J4419),J4419,IF(OR(C4419="Alpha",B4419="Alpha"),$C$7,IF(C4419="Futures",$C$6,$C$5))),""),"")</f>
        <v/>
      </c>
      <c r="I4419" s="139">
        <f>IFERROR(IF(AND(ISNUMBER(F4419),ISNUMBER(H4419)),F4419-H4419,""),"")</f>
        <v/>
      </c>
      <c r="J4419" s="114" t="n"/>
      <c r="K4419" s="139">
        <f>IFERROR(IF(H4419&gt;0,H4419*IF(OR(C4419="Alpha",B4419="Alpha"),$C$9,$C$8),""),"")</f>
        <v/>
      </c>
      <c r="L4419" s="139">
        <f>IFERROR(IF(ISNUMBER(F4419),F4419-IF(ISNUMBER(K4419),K4419,0),""),"")</f>
        <v/>
      </c>
    </row>
    <row r="4420" ht="24" customHeight="1" s="63">
      <c r="E4420" s="139" t="n"/>
      <c r="F4420" s="139" t="n"/>
      <c r="G4420" s="140">
        <f>IFERROR(IF(E4420&gt;0,(F4420/E4420)*1000,""),"")</f>
        <v/>
      </c>
      <c r="H4420" s="139">
        <f>IFERROR(IF(E4420&gt;0,E4420*IF(ISNUMBER(J4420),J4420,IF(OR(C4420="Alpha",B4420="Alpha"),$C$7,IF(C4420="Futures",$C$6,$C$5))),""),"")</f>
        <v/>
      </c>
      <c r="I4420" s="139">
        <f>IFERROR(IF(AND(ISNUMBER(F4420),ISNUMBER(H4420)),F4420-H4420,""),"")</f>
        <v/>
      </c>
      <c r="J4420" s="114" t="n"/>
      <c r="K4420" s="139">
        <f>IFERROR(IF(H4420&gt;0,H4420*IF(OR(C4420="Alpha",B4420="Alpha"),$C$9,$C$8),""),"")</f>
        <v/>
      </c>
      <c r="L4420" s="139">
        <f>IFERROR(IF(ISNUMBER(F4420),F4420-IF(ISNUMBER(K4420),K4420,0),""),"")</f>
        <v/>
      </c>
    </row>
    <row r="4421" ht="24" customHeight="1" s="63">
      <c r="E4421" s="139" t="n"/>
      <c r="F4421" s="139" t="n"/>
      <c r="G4421" s="140">
        <f>IFERROR(IF(E4421&gt;0,(F4421/E4421)*1000,""),"")</f>
        <v/>
      </c>
      <c r="H4421" s="139">
        <f>IFERROR(IF(E4421&gt;0,E4421*IF(ISNUMBER(J4421),J4421,IF(OR(C4421="Alpha",B4421="Alpha"),$C$7,IF(C4421="Futures",$C$6,$C$5))),""),"")</f>
        <v/>
      </c>
      <c r="I4421" s="139">
        <f>IFERROR(IF(AND(ISNUMBER(F4421),ISNUMBER(H4421)),F4421-H4421,""),"")</f>
        <v/>
      </c>
      <c r="J4421" s="114" t="n"/>
      <c r="K4421" s="139">
        <f>IFERROR(IF(H4421&gt;0,H4421*IF(OR(C4421="Alpha",B4421="Alpha"),$C$9,$C$8),""),"")</f>
        <v/>
      </c>
      <c r="L4421" s="139">
        <f>IFERROR(IF(ISNUMBER(F4421),F4421-IF(ISNUMBER(K4421),K4421,0),""),"")</f>
        <v/>
      </c>
    </row>
    <row r="4422" ht="24" customHeight="1" s="63">
      <c r="E4422" s="139" t="n"/>
      <c r="F4422" s="139" t="n"/>
      <c r="G4422" s="140">
        <f>IFERROR(IF(E4422&gt;0,(F4422/E4422)*1000,""),"")</f>
        <v/>
      </c>
      <c r="H4422" s="139">
        <f>IFERROR(IF(E4422&gt;0,E4422*IF(ISNUMBER(J4422),J4422,IF(OR(C4422="Alpha",B4422="Alpha"),$C$7,IF(C4422="Futures",$C$6,$C$5))),""),"")</f>
        <v/>
      </c>
      <c r="I4422" s="139">
        <f>IFERROR(IF(AND(ISNUMBER(F4422),ISNUMBER(H4422)),F4422-H4422,""),"")</f>
        <v/>
      </c>
      <c r="J4422" s="114" t="n"/>
      <c r="K4422" s="139">
        <f>IFERROR(IF(H4422&gt;0,H4422*IF(OR(C4422="Alpha",B4422="Alpha"),$C$9,$C$8),""),"")</f>
        <v/>
      </c>
      <c r="L4422" s="139">
        <f>IFERROR(IF(ISNUMBER(F4422),F4422-IF(ISNUMBER(K4422),K4422,0),""),"")</f>
        <v/>
      </c>
    </row>
    <row r="4423" ht="24" customHeight="1" s="63">
      <c r="E4423" s="139" t="n"/>
      <c r="F4423" s="139" t="n"/>
      <c r="G4423" s="140">
        <f>IFERROR(IF(E4423&gt;0,(F4423/E4423)*1000,""),"")</f>
        <v/>
      </c>
      <c r="H4423" s="139">
        <f>IFERROR(IF(E4423&gt;0,E4423*IF(ISNUMBER(J4423),J4423,IF(OR(C4423="Alpha",B4423="Alpha"),$C$7,IF(C4423="Futures",$C$6,$C$5))),""),"")</f>
        <v/>
      </c>
      <c r="I4423" s="139">
        <f>IFERROR(IF(AND(ISNUMBER(F4423),ISNUMBER(H4423)),F4423-H4423,""),"")</f>
        <v/>
      </c>
      <c r="J4423" s="114" t="n"/>
      <c r="K4423" s="139">
        <f>IFERROR(IF(H4423&gt;0,H4423*IF(OR(C4423="Alpha",B4423="Alpha"),$C$9,$C$8),""),"")</f>
        <v/>
      </c>
      <c r="L4423" s="139">
        <f>IFERROR(IF(ISNUMBER(F4423),F4423-IF(ISNUMBER(K4423),K4423,0),""),"")</f>
        <v/>
      </c>
    </row>
    <row r="4424" ht="24" customHeight="1" s="63">
      <c r="E4424" s="139" t="n"/>
      <c r="F4424" s="139" t="n"/>
      <c r="G4424" s="140">
        <f>IFERROR(IF(E4424&gt;0,(F4424/E4424)*1000,""),"")</f>
        <v/>
      </c>
      <c r="H4424" s="139">
        <f>IFERROR(IF(E4424&gt;0,E4424*IF(ISNUMBER(J4424),J4424,IF(OR(C4424="Alpha",B4424="Alpha"),$C$7,IF(C4424="Futures",$C$6,$C$5))),""),"")</f>
        <v/>
      </c>
      <c r="I4424" s="139">
        <f>IFERROR(IF(AND(ISNUMBER(F4424),ISNUMBER(H4424)),F4424-H4424,""),"")</f>
        <v/>
      </c>
      <c r="J4424" s="114" t="n"/>
      <c r="K4424" s="139">
        <f>IFERROR(IF(H4424&gt;0,H4424*IF(OR(C4424="Alpha",B4424="Alpha"),$C$9,$C$8),""),"")</f>
        <v/>
      </c>
      <c r="L4424" s="139">
        <f>IFERROR(IF(ISNUMBER(F4424),F4424-IF(ISNUMBER(K4424),K4424,0),""),"")</f>
        <v/>
      </c>
    </row>
    <row r="4425" ht="24" customHeight="1" s="63">
      <c r="E4425" s="139" t="n"/>
      <c r="F4425" s="139" t="n"/>
      <c r="G4425" s="140">
        <f>IFERROR(IF(E4425&gt;0,(F4425/E4425)*1000,""),"")</f>
        <v/>
      </c>
      <c r="H4425" s="139">
        <f>IFERROR(IF(E4425&gt;0,E4425*IF(ISNUMBER(J4425),J4425,IF(OR(C4425="Alpha",B4425="Alpha"),$C$7,IF(C4425="Futures",$C$6,$C$5))),""),"")</f>
        <v/>
      </c>
      <c r="I4425" s="139">
        <f>IFERROR(IF(AND(ISNUMBER(F4425),ISNUMBER(H4425)),F4425-H4425,""),"")</f>
        <v/>
      </c>
      <c r="J4425" s="114" t="n"/>
      <c r="K4425" s="139">
        <f>IFERROR(IF(H4425&gt;0,H4425*IF(OR(C4425="Alpha",B4425="Alpha"),$C$9,$C$8),""),"")</f>
        <v/>
      </c>
      <c r="L4425" s="139">
        <f>IFERROR(IF(ISNUMBER(F4425),F4425-IF(ISNUMBER(K4425),K4425,0),""),"")</f>
        <v/>
      </c>
    </row>
    <row r="4426" ht="24" customHeight="1" s="63">
      <c r="E4426" s="139" t="n"/>
      <c r="F4426" s="139" t="n"/>
      <c r="G4426" s="140">
        <f>IFERROR(IF(E4426&gt;0,(F4426/E4426)*1000,""),"")</f>
        <v/>
      </c>
      <c r="H4426" s="139">
        <f>IFERROR(IF(E4426&gt;0,E4426*IF(ISNUMBER(J4426),J4426,IF(OR(C4426="Alpha",B4426="Alpha"),$C$7,IF(C4426="Futures",$C$6,$C$5))),""),"")</f>
        <v/>
      </c>
      <c r="I4426" s="139">
        <f>IFERROR(IF(AND(ISNUMBER(F4426),ISNUMBER(H4426)),F4426-H4426,""),"")</f>
        <v/>
      </c>
      <c r="J4426" s="114" t="n"/>
      <c r="K4426" s="139">
        <f>IFERROR(IF(H4426&gt;0,H4426*IF(OR(C4426="Alpha",B4426="Alpha"),$C$9,$C$8),""),"")</f>
        <v/>
      </c>
      <c r="L4426" s="139">
        <f>IFERROR(IF(ISNUMBER(F4426),F4426-IF(ISNUMBER(K4426),K4426,0),""),"")</f>
        <v/>
      </c>
    </row>
    <row r="4427" ht="24" customHeight="1" s="63">
      <c r="E4427" s="139" t="n"/>
      <c r="F4427" s="139" t="n"/>
      <c r="G4427" s="140">
        <f>IFERROR(IF(E4427&gt;0,(F4427/E4427)*1000,""),"")</f>
        <v/>
      </c>
      <c r="H4427" s="139">
        <f>IFERROR(IF(E4427&gt;0,E4427*IF(ISNUMBER(J4427),J4427,IF(OR(C4427="Alpha",B4427="Alpha"),$C$7,IF(C4427="Futures",$C$6,$C$5))),""),"")</f>
        <v/>
      </c>
      <c r="I4427" s="139">
        <f>IFERROR(IF(AND(ISNUMBER(F4427),ISNUMBER(H4427)),F4427-H4427,""),"")</f>
        <v/>
      </c>
      <c r="J4427" s="114" t="n"/>
      <c r="K4427" s="139">
        <f>IFERROR(IF(H4427&gt;0,H4427*IF(OR(C4427="Alpha",B4427="Alpha"),$C$9,$C$8),""),"")</f>
        <v/>
      </c>
      <c r="L4427" s="139">
        <f>IFERROR(IF(ISNUMBER(F4427),F4427-IF(ISNUMBER(K4427),K4427,0),""),"")</f>
        <v/>
      </c>
    </row>
    <row r="4428" ht="24" customHeight="1" s="63">
      <c r="E4428" s="139" t="n"/>
      <c r="F4428" s="139" t="n"/>
      <c r="G4428" s="140">
        <f>IFERROR(IF(E4428&gt;0,(F4428/E4428)*1000,""),"")</f>
        <v/>
      </c>
      <c r="H4428" s="139">
        <f>IFERROR(IF(E4428&gt;0,E4428*IF(ISNUMBER(J4428),J4428,IF(OR(C4428="Alpha",B4428="Alpha"),$C$7,IF(C4428="Futures",$C$6,$C$5))),""),"")</f>
        <v/>
      </c>
      <c r="I4428" s="139">
        <f>IFERROR(IF(AND(ISNUMBER(F4428),ISNUMBER(H4428)),F4428-H4428,""),"")</f>
        <v/>
      </c>
      <c r="J4428" s="114" t="n"/>
      <c r="K4428" s="139">
        <f>IFERROR(IF(H4428&gt;0,H4428*IF(OR(C4428="Alpha",B4428="Alpha"),$C$9,$C$8),""),"")</f>
        <v/>
      </c>
      <c r="L4428" s="139">
        <f>IFERROR(IF(ISNUMBER(F4428),F4428-IF(ISNUMBER(K4428),K4428,0),""),"")</f>
        <v/>
      </c>
    </row>
    <row r="4429" ht="24" customHeight="1" s="63">
      <c r="E4429" s="139" t="n"/>
      <c r="F4429" s="139" t="n"/>
      <c r="G4429" s="140">
        <f>IFERROR(IF(E4429&gt;0,(F4429/E4429)*1000,""),"")</f>
        <v/>
      </c>
      <c r="H4429" s="139">
        <f>IFERROR(IF(E4429&gt;0,E4429*IF(ISNUMBER(J4429),J4429,IF(OR(C4429="Alpha",B4429="Alpha"),$C$7,IF(C4429="Futures",$C$6,$C$5))),""),"")</f>
        <v/>
      </c>
      <c r="I4429" s="139">
        <f>IFERROR(IF(AND(ISNUMBER(F4429),ISNUMBER(H4429)),F4429-H4429,""),"")</f>
        <v/>
      </c>
      <c r="J4429" s="114" t="n"/>
      <c r="K4429" s="139">
        <f>IFERROR(IF(H4429&gt;0,H4429*IF(OR(C4429="Alpha",B4429="Alpha"),$C$9,$C$8),""),"")</f>
        <v/>
      </c>
      <c r="L4429" s="139">
        <f>IFERROR(IF(ISNUMBER(F4429),F4429-IF(ISNUMBER(K4429),K4429,0),""),"")</f>
        <v/>
      </c>
    </row>
    <row r="4430" ht="24" customHeight="1" s="63">
      <c r="E4430" s="139" t="n"/>
      <c r="F4430" s="139" t="n"/>
      <c r="G4430" s="140">
        <f>IFERROR(IF(E4430&gt;0,(F4430/E4430)*1000,""),"")</f>
        <v/>
      </c>
      <c r="H4430" s="139">
        <f>IFERROR(IF(E4430&gt;0,E4430*IF(ISNUMBER(J4430),J4430,IF(OR(C4430="Alpha",B4430="Alpha"),$C$7,IF(C4430="Futures",$C$6,$C$5))),""),"")</f>
        <v/>
      </c>
      <c r="I4430" s="139">
        <f>IFERROR(IF(AND(ISNUMBER(F4430),ISNUMBER(H4430)),F4430-H4430,""),"")</f>
        <v/>
      </c>
      <c r="J4430" s="114" t="n"/>
      <c r="K4430" s="139">
        <f>IFERROR(IF(H4430&gt;0,H4430*IF(OR(C4430="Alpha",B4430="Alpha"),$C$9,$C$8),""),"")</f>
        <v/>
      </c>
      <c r="L4430" s="139">
        <f>IFERROR(IF(ISNUMBER(F4430),F4430-IF(ISNUMBER(K4430),K4430,0),""),"")</f>
        <v/>
      </c>
    </row>
    <row r="4431" ht="24" customHeight="1" s="63">
      <c r="E4431" s="139" t="n"/>
      <c r="F4431" s="139" t="n"/>
      <c r="G4431" s="140">
        <f>IFERROR(IF(E4431&gt;0,(F4431/E4431)*1000,""),"")</f>
        <v/>
      </c>
      <c r="H4431" s="139">
        <f>IFERROR(IF(E4431&gt;0,E4431*IF(ISNUMBER(J4431),J4431,IF(OR(C4431="Alpha",B4431="Alpha"),$C$7,IF(C4431="Futures",$C$6,$C$5))),""),"")</f>
        <v/>
      </c>
      <c r="I4431" s="139">
        <f>IFERROR(IF(AND(ISNUMBER(F4431),ISNUMBER(H4431)),F4431-H4431,""),"")</f>
        <v/>
      </c>
      <c r="J4431" s="114" t="n"/>
      <c r="K4431" s="139">
        <f>IFERROR(IF(H4431&gt;0,H4431*IF(OR(C4431="Alpha",B4431="Alpha"),$C$9,$C$8),""),"")</f>
        <v/>
      </c>
      <c r="L4431" s="139">
        <f>IFERROR(IF(ISNUMBER(F4431),F4431-IF(ISNUMBER(K4431),K4431,0),""),"")</f>
        <v/>
      </c>
    </row>
    <row r="4432" ht="24" customHeight="1" s="63">
      <c r="E4432" s="139" t="n"/>
      <c r="F4432" s="139" t="n"/>
      <c r="G4432" s="140">
        <f>IFERROR(IF(E4432&gt;0,(F4432/E4432)*1000,""),"")</f>
        <v/>
      </c>
      <c r="H4432" s="139">
        <f>IFERROR(IF(E4432&gt;0,E4432*IF(ISNUMBER(J4432),J4432,IF(OR(C4432="Alpha",B4432="Alpha"),$C$7,IF(C4432="Futures",$C$6,$C$5))),""),"")</f>
        <v/>
      </c>
      <c r="I4432" s="139">
        <f>IFERROR(IF(AND(ISNUMBER(F4432),ISNUMBER(H4432)),F4432-H4432,""),"")</f>
        <v/>
      </c>
      <c r="J4432" s="114" t="n"/>
      <c r="K4432" s="139">
        <f>IFERROR(IF(H4432&gt;0,H4432*IF(OR(C4432="Alpha",B4432="Alpha"),$C$9,$C$8),""),"")</f>
        <v/>
      </c>
      <c r="L4432" s="139">
        <f>IFERROR(IF(ISNUMBER(F4432),F4432-IF(ISNUMBER(K4432),K4432,0),""),"")</f>
        <v/>
      </c>
    </row>
    <row r="4433" ht="24" customHeight="1" s="63">
      <c r="E4433" s="139" t="n"/>
      <c r="F4433" s="139" t="n"/>
      <c r="G4433" s="140">
        <f>IFERROR(IF(E4433&gt;0,(F4433/E4433)*1000,""),"")</f>
        <v/>
      </c>
      <c r="H4433" s="139">
        <f>IFERROR(IF(E4433&gt;0,E4433*IF(ISNUMBER(J4433),J4433,IF(OR(C4433="Alpha",B4433="Alpha"),$C$7,IF(C4433="Futures",$C$6,$C$5))),""),"")</f>
        <v/>
      </c>
      <c r="I4433" s="139">
        <f>IFERROR(IF(AND(ISNUMBER(F4433),ISNUMBER(H4433)),F4433-H4433,""),"")</f>
        <v/>
      </c>
      <c r="J4433" s="114" t="n"/>
      <c r="K4433" s="139">
        <f>IFERROR(IF(H4433&gt;0,H4433*IF(OR(C4433="Alpha",B4433="Alpha"),$C$9,$C$8),""),"")</f>
        <v/>
      </c>
      <c r="L4433" s="139">
        <f>IFERROR(IF(ISNUMBER(F4433),F4433-IF(ISNUMBER(K4433),K4433,0),""),"")</f>
        <v/>
      </c>
    </row>
    <row r="4434" ht="24" customHeight="1" s="63">
      <c r="E4434" s="139" t="n"/>
      <c r="F4434" s="139" t="n"/>
      <c r="G4434" s="140">
        <f>IFERROR(IF(E4434&gt;0,(F4434/E4434)*1000,""),"")</f>
        <v/>
      </c>
      <c r="H4434" s="139">
        <f>IFERROR(IF(E4434&gt;0,E4434*IF(ISNUMBER(J4434),J4434,IF(OR(C4434="Alpha",B4434="Alpha"),$C$7,IF(C4434="Futures",$C$6,$C$5))),""),"")</f>
        <v/>
      </c>
      <c r="I4434" s="139">
        <f>IFERROR(IF(AND(ISNUMBER(F4434),ISNUMBER(H4434)),F4434-H4434,""),"")</f>
        <v/>
      </c>
      <c r="J4434" s="114" t="n"/>
      <c r="K4434" s="139">
        <f>IFERROR(IF(H4434&gt;0,H4434*IF(OR(C4434="Alpha",B4434="Alpha"),$C$9,$C$8),""),"")</f>
        <v/>
      </c>
      <c r="L4434" s="139">
        <f>IFERROR(IF(ISNUMBER(F4434),F4434-IF(ISNUMBER(K4434),K4434,0),""),"")</f>
        <v/>
      </c>
    </row>
    <row r="4435" ht="24" customHeight="1" s="63">
      <c r="E4435" s="139" t="n"/>
      <c r="F4435" s="139" t="n"/>
      <c r="G4435" s="140">
        <f>IFERROR(IF(E4435&gt;0,(F4435/E4435)*1000,""),"")</f>
        <v/>
      </c>
      <c r="H4435" s="139">
        <f>IFERROR(IF(E4435&gt;0,E4435*IF(ISNUMBER(J4435),J4435,IF(OR(C4435="Alpha",B4435="Alpha"),$C$7,IF(C4435="Futures",$C$6,$C$5))),""),"")</f>
        <v/>
      </c>
      <c r="I4435" s="139">
        <f>IFERROR(IF(AND(ISNUMBER(F4435),ISNUMBER(H4435)),F4435-H4435,""),"")</f>
        <v/>
      </c>
      <c r="J4435" s="114" t="n"/>
      <c r="K4435" s="139">
        <f>IFERROR(IF(H4435&gt;0,H4435*IF(OR(C4435="Alpha",B4435="Alpha"),$C$9,$C$8),""),"")</f>
        <v/>
      </c>
      <c r="L4435" s="139">
        <f>IFERROR(IF(ISNUMBER(F4435),F4435-IF(ISNUMBER(K4435),K4435,0),""),"")</f>
        <v/>
      </c>
    </row>
    <row r="4436" ht="24" customHeight="1" s="63">
      <c r="E4436" s="139" t="n"/>
      <c r="F4436" s="139" t="n"/>
      <c r="G4436" s="140">
        <f>IFERROR(IF(E4436&gt;0,(F4436/E4436)*1000,""),"")</f>
        <v/>
      </c>
      <c r="H4436" s="139">
        <f>IFERROR(IF(E4436&gt;0,E4436*IF(ISNUMBER(J4436),J4436,IF(OR(C4436="Alpha",B4436="Alpha"),$C$7,IF(C4436="Futures",$C$6,$C$5))),""),"")</f>
        <v/>
      </c>
      <c r="I4436" s="139">
        <f>IFERROR(IF(AND(ISNUMBER(F4436),ISNUMBER(H4436)),F4436-H4436,""),"")</f>
        <v/>
      </c>
      <c r="J4436" s="114" t="n"/>
      <c r="K4436" s="139">
        <f>IFERROR(IF(H4436&gt;0,H4436*IF(OR(C4436="Alpha",B4436="Alpha"),$C$9,$C$8),""),"")</f>
        <v/>
      </c>
      <c r="L4436" s="139">
        <f>IFERROR(IF(ISNUMBER(F4436),F4436-IF(ISNUMBER(K4436),K4436,0),""),"")</f>
        <v/>
      </c>
    </row>
    <row r="4437" ht="24" customHeight="1" s="63">
      <c r="E4437" s="139" t="n"/>
      <c r="F4437" s="139" t="n"/>
      <c r="G4437" s="140">
        <f>IFERROR(IF(E4437&gt;0,(F4437/E4437)*1000,""),"")</f>
        <v/>
      </c>
      <c r="H4437" s="139">
        <f>IFERROR(IF(E4437&gt;0,E4437*IF(ISNUMBER(J4437),J4437,IF(OR(C4437="Alpha",B4437="Alpha"),$C$7,IF(C4437="Futures",$C$6,$C$5))),""),"")</f>
        <v/>
      </c>
      <c r="I4437" s="139">
        <f>IFERROR(IF(AND(ISNUMBER(F4437),ISNUMBER(H4437)),F4437-H4437,""),"")</f>
        <v/>
      </c>
      <c r="J4437" s="114" t="n"/>
      <c r="K4437" s="139">
        <f>IFERROR(IF(H4437&gt;0,H4437*IF(OR(C4437="Alpha",B4437="Alpha"),$C$9,$C$8),""),"")</f>
        <v/>
      </c>
      <c r="L4437" s="139">
        <f>IFERROR(IF(ISNUMBER(F4437),F4437-IF(ISNUMBER(K4437),K4437,0),""),"")</f>
        <v/>
      </c>
    </row>
    <row r="4438" ht="24" customHeight="1" s="63">
      <c r="E4438" s="139" t="n"/>
      <c r="F4438" s="139" t="n"/>
      <c r="G4438" s="140">
        <f>IFERROR(IF(E4438&gt;0,(F4438/E4438)*1000,""),"")</f>
        <v/>
      </c>
      <c r="H4438" s="139">
        <f>IFERROR(IF(E4438&gt;0,E4438*IF(ISNUMBER(J4438),J4438,IF(OR(C4438="Alpha",B4438="Alpha"),$C$7,IF(C4438="Futures",$C$6,$C$5))),""),"")</f>
        <v/>
      </c>
      <c r="I4438" s="139">
        <f>IFERROR(IF(AND(ISNUMBER(F4438),ISNUMBER(H4438)),F4438-H4438,""),"")</f>
        <v/>
      </c>
      <c r="J4438" s="114" t="n"/>
      <c r="K4438" s="139">
        <f>IFERROR(IF(H4438&gt;0,H4438*IF(OR(C4438="Alpha",B4438="Alpha"),$C$9,$C$8),""),"")</f>
        <v/>
      </c>
      <c r="L4438" s="139">
        <f>IFERROR(IF(ISNUMBER(F4438),F4438-IF(ISNUMBER(K4438),K4438,0),""),"")</f>
        <v/>
      </c>
    </row>
    <row r="4439" ht="24" customHeight="1" s="63">
      <c r="E4439" s="139" t="n"/>
      <c r="F4439" s="139" t="n"/>
      <c r="G4439" s="140">
        <f>IFERROR(IF(E4439&gt;0,(F4439/E4439)*1000,""),"")</f>
        <v/>
      </c>
      <c r="H4439" s="139">
        <f>IFERROR(IF(E4439&gt;0,E4439*IF(ISNUMBER(J4439),J4439,IF(OR(C4439="Alpha",B4439="Alpha"),$C$7,IF(C4439="Futures",$C$6,$C$5))),""),"")</f>
        <v/>
      </c>
      <c r="I4439" s="139">
        <f>IFERROR(IF(AND(ISNUMBER(F4439),ISNUMBER(H4439)),F4439-H4439,""),"")</f>
        <v/>
      </c>
      <c r="J4439" s="114" t="n"/>
      <c r="K4439" s="139">
        <f>IFERROR(IF(H4439&gt;0,H4439*IF(OR(C4439="Alpha",B4439="Alpha"),$C$9,$C$8),""),"")</f>
        <v/>
      </c>
      <c r="L4439" s="139">
        <f>IFERROR(IF(ISNUMBER(F4439),F4439-IF(ISNUMBER(K4439),K4439,0),""),"")</f>
        <v/>
      </c>
    </row>
    <row r="4440" ht="24" customHeight="1" s="63">
      <c r="E4440" s="139" t="n"/>
      <c r="F4440" s="139" t="n"/>
      <c r="G4440" s="140">
        <f>IFERROR(IF(E4440&gt;0,(F4440/E4440)*1000,""),"")</f>
        <v/>
      </c>
      <c r="H4440" s="139">
        <f>IFERROR(IF(E4440&gt;0,E4440*IF(ISNUMBER(J4440),J4440,IF(OR(C4440="Alpha",B4440="Alpha"),$C$7,IF(C4440="Futures",$C$6,$C$5))),""),"")</f>
        <v/>
      </c>
      <c r="I4440" s="139">
        <f>IFERROR(IF(AND(ISNUMBER(F4440),ISNUMBER(H4440)),F4440-H4440,""),"")</f>
        <v/>
      </c>
      <c r="J4440" s="114" t="n"/>
      <c r="K4440" s="139">
        <f>IFERROR(IF(H4440&gt;0,H4440*IF(OR(C4440="Alpha",B4440="Alpha"),$C$9,$C$8),""),"")</f>
        <v/>
      </c>
      <c r="L4440" s="139">
        <f>IFERROR(IF(ISNUMBER(F4440),F4440-IF(ISNUMBER(K4440),K4440,0),""),"")</f>
        <v/>
      </c>
    </row>
    <row r="4441" ht="24" customHeight="1" s="63">
      <c r="E4441" s="139" t="n"/>
      <c r="F4441" s="139" t="n"/>
      <c r="G4441" s="140">
        <f>IFERROR(IF(E4441&gt;0,(F4441/E4441)*1000,""),"")</f>
        <v/>
      </c>
      <c r="H4441" s="139">
        <f>IFERROR(IF(E4441&gt;0,E4441*IF(ISNUMBER(J4441),J4441,IF(OR(C4441="Alpha",B4441="Alpha"),$C$7,IF(C4441="Futures",$C$6,$C$5))),""),"")</f>
        <v/>
      </c>
      <c r="I4441" s="139">
        <f>IFERROR(IF(AND(ISNUMBER(F4441),ISNUMBER(H4441)),F4441-H4441,""),"")</f>
        <v/>
      </c>
      <c r="J4441" s="114" t="n"/>
      <c r="K4441" s="139">
        <f>IFERROR(IF(H4441&gt;0,H4441*IF(OR(C4441="Alpha",B4441="Alpha"),$C$9,$C$8),""),"")</f>
        <v/>
      </c>
      <c r="L4441" s="139">
        <f>IFERROR(IF(ISNUMBER(F4441),F4441-IF(ISNUMBER(K4441),K4441,0),""),"")</f>
        <v/>
      </c>
    </row>
    <row r="4442" ht="24" customHeight="1" s="63">
      <c r="E4442" s="139" t="n"/>
      <c r="F4442" s="139" t="n"/>
      <c r="G4442" s="140">
        <f>IFERROR(IF(E4442&gt;0,(F4442/E4442)*1000,""),"")</f>
        <v/>
      </c>
      <c r="H4442" s="139">
        <f>IFERROR(IF(E4442&gt;0,E4442*IF(ISNUMBER(J4442),J4442,IF(OR(C4442="Alpha",B4442="Alpha"),$C$7,IF(C4442="Futures",$C$6,$C$5))),""),"")</f>
        <v/>
      </c>
      <c r="I4442" s="139">
        <f>IFERROR(IF(AND(ISNUMBER(F4442),ISNUMBER(H4442)),F4442-H4442,""),"")</f>
        <v/>
      </c>
      <c r="J4442" s="114" t="n"/>
      <c r="K4442" s="139">
        <f>IFERROR(IF(H4442&gt;0,H4442*IF(OR(C4442="Alpha",B4442="Alpha"),$C$9,$C$8),""),"")</f>
        <v/>
      </c>
      <c r="L4442" s="139">
        <f>IFERROR(IF(ISNUMBER(F4442),F4442-IF(ISNUMBER(K4442),K4442,0),""),"")</f>
        <v/>
      </c>
    </row>
    <row r="4443" ht="24" customHeight="1" s="63">
      <c r="E4443" s="139" t="n"/>
      <c r="F4443" s="139" t="n"/>
      <c r="G4443" s="140">
        <f>IFERROR(IF(E4443&gt;0,(F4443/E4443)*1000,""),"")</f>
        <v/>
      </c>
      <c r="H4443" s="139">
        <f>IFERROR(IF(E4443&gt;0,E4443*IF(ISNUMBER(J4443),J4443,IF(OR(C4443="Alpha",B4443="Alpha"),$C$7,IF(C4443="Futures",$C$6,$C$5))),""),"")</f>
        <v/>
      </c>
      <c r="I4443" s="139">
        <f>IFERROR(IF(AND(ISNUMBER(F4443),ISNUMBER(H4443)),F4443-H4443,""),"")</f>
        <v/>
      </c>
      <c r="J4443" s="114" t="n"/>
      <c r="K4443" s="139">
        <f>IFERROR(IF(H4443&gt;0,H4443*IF(OR(C4443="Alpha",B4443="Alpha"),$C$9,$C$8),""),"")</f>
        <v/>
      </c>
      <c r="L4443" s="139">
        <f>IFERROR(IF(ISNUMBER(F4443),F4443-IF(ISNUMBER(K4443),K4443,0),""),"")</f>
        <v/>
      </c>
    </row>
    <row r="4444" ht="24" customHeight="1" s="63">
      <c r="E4444" s="139" t="n"/>
      <c r="F4444" s="139" t="n"/>
      <c r="G4444" s="140">
        <f>IFERROR(IF(E4444&gt;0,(F4444/E4444)*1000,""),"")</f>
        <v/>
      </c>
      <c r="H4444" s="139">
        <f>IFERROR(IF(E4444&gt;0,E4444*IF(ISNUMBER(J4444),J4444,IF(OR(C4444="Alpha",B4444="Alpha"),$C$7,IF(C4444="Futures",$C$6,$C$5))),""),"")</f>
        <v/>
      </c>
      <c r="I4444" s="139">
        <f>IFERROR(IF(AND(ISNUMBER(F4444),ISNUMBER(H4444)),F4444-H4444,""),"")</f>
        <v/>
      </c>
      <c r="J4444" s="114" t="n"/>
      <c r="K4444" s="139">
        <f>IFERROR(IF(H4444&gt;0,H4444*IF(OR(C4444="Alpha",B4444="Alpha"),$C$9,$C$8),""),"")</f>
        <v/>
      </c>
      <c r="L4444" s="139">
        <f>IFERROR(IF(ISNUMBER(F4444),F4444-IF(ISNUMBER(K4444),K4444,0),""),"")</f>
        <v/>
      </c>
    </row>
    <row r="4445" ht="24" customHeight="1" s="63">
      <c r="E4445" s="139" t="n"/>
      <c r="F4445" s="139" t="n"/>
      <c r="G4445" s="140">
        <f>IFERROR(IF(E4445&gt;0,(F4445/E4445)*1000,""),"")</f>
        <v/>
      </c>
      <c r="H4445" s="139">
        <f>IFERROR(IF(E4445&gt;0,E4445*IF(ISNUMBER(J4445),J4445,IF(OR(C4445="Alpha",B4445="Alpha"),$C$7,IF(C4445="Futures",$C$6,$C$5))),""),"")</f>
        <v/>
      </c>
      <c r="I4445" s="139">
        <f>IFERROR(IF(AND(ISNUMBER(F4445),ISNUMBER(H4445)),F4445-H4445,""),"")</f>
        <v/>
      </c>
      <c r="J4445" s="114" t="n"/>
      <c r="K4445" s="139">
        <f>IFERROR(IF(H4445&gt;0,H4445*IF(OR(C4445="Alpha",B4445="Alpha"),$C$9,$C$8),""),"")</f>
        <v/>
      </c>
      <c r="L4445" s="139">
        <f>IFERROR(IF(ISNUMBER(F4445),F4445-IF(ISNUMBER(K4445),K4445,0),""),"")</f>
        <v/>
      </c>
    </row>
    <row r="4446" ht="24" customHeight="1" s="63">
      <c r="E4446" s="139" t="n"/>
      <c r="F4446" s="139" t="n"/>
      <c r="G4446" s="140">
        <f>IFERROR(IF(E4446&gt;0,(F4446/E4446)*1000,""),"")</f>
        <v/>
      </c>
      <c r="H4446" s="139">
        <f>IFERROR(IF(E4446&gt;0,E4446*IF(ISNUMBER(J4446),J4446,IF(OR(C4446="Alpha",B4446="Alpha"),$C$7,IF(C4446="Futures",$C$6,$C$5))),""),"")</f>
        <v/>
      </c>
      <c r="I4446" s="139">
        <f>IFERROR(IF(AND(ISNUMBER(F4446),ISNUMBER(H4446)),F4446-H4446,""),"")</f>
        <v/>
      </c>
      <c r="J4446" s="114" t="n"/>
      <c r="K4446" s="139">
        <f>IFERROR(IF(H4446&gt;0,H4446*IF(OR(C4446="Alpha",B4446="Alpha"),$C$9,$C$8),""),"")</f>
        <v/>
      </c>
      <c r="L4446" s="139">
        <f>IFERROR(IF(ISNUMBER(F4446),F4446-IF(ISNUMBER(K4446),K4446,0),""),"")</f>
        <v/>
      </c>
    </row>
    <row r="4447" ht="24" customHeight="1" s="63">
      <c r="E4447" s="139" t="n"/>
      <c r="F4447" s="139" t="n"/>
      <c r="G4447" s="140">
        <f>IFERROR(IF(E4447&gt;0,(F4447/E4447)*1000,""),"")</f>
        <v/>
      </c>
      <c r="H4447" s="139">
        <f>IFERROR(IF(E4447&gt;0,E4447*IF(ISNUMBER(J4447),J4447,IF(OR(C4447="Alpha",B4447="Alpha"),$C$7,IF(C4447="Futures",$C$6,$C$5))),""),"")</f>
        <v/>
      </c>
      <c r="I4447" s="139">
        <f>IFERROR(IF(AND(ISNUMBER(F4447),ISNUMBER(H4447)),F4447-H4447,""),"")</f>
        <v/>
      </c>
      <c r="J4447" s="114" t="n"/>
      <c r="K4447" s="139">
        <f>IFERROR(IF(H4447&gt;0,H4447*IF(OR(C4447="Alpha",B4447="Alpha"),$C$9,$C$8),""),"")</f>
        <v/>
      </c>
      <c r="L4447" s="139">
        <f>IFERROR(IF(ISNUMBER(F4447),F4447-IF(ISNUMBER(K4447),K4447,0),""),"")</f>
        <v/>
      </c>
    </row>
    <row r="4448" ht="24" customHeight="1" s="63">
      <c r="E4448" s="139" t="n"/>
      <c r="F4448" s="139" t="n"/>
      <c r="G4448" s="140">
        <f>IFERROR(IF(E4448&gt;0,(F4448/E4448)*1000,""),"")</f>
        <v/>
      </c>
      <c r="H4448" s="139">
        <f>IFERROR(IF(E4448&gt;0,E4448*IF(ISNUMBER(J4448),J4448,IF(OR(C4448="Alpha",B4448="Alpha"),$C$7,IF(C4448="Futures",$C$6,$C$5))),""),"")</f>
        <v/>
      </c>
      <c r="I4448" s="139">
        <f>IFERROR(IF(AND(ISNUMBER(F4448),ISNUMBER(H4448)),F4448-H4448,""),"")</f>
        <v/>
      </c>
      <c r="J4448" s="114" t="n"/>
      <c r="K4448" s="139">
        <f>IFERROR(IF(H4448&gt;0,H4448*IF(OR(C4448="Alpha",B4448="Alpha"),$C$9,$C$8),""),"")</f>
        <v/>
      </c>
      <c r="L4448" s="139">
        <f>IFERROR(IF(ISNUMBER(F4448),F4448-IF(ISNUMBER(K4448),K4448,0),""),"")</f>
        <v/>
      </c>
    </row>
    <row r="4449" ht="24" customHeight="1" s="63">
      <c r="E4449" s="139" t="n"/>
      <c r="F4449" s="139" t="n"/>
      <c r="G4449" s="140">
        <f>IFERROR(IF(E4449&gt;0,(F4449/E4449)*1000,""),"")</f>
        <v/>
      </c>
      <c r="H4449" s="139">
        <f>IFERROR(IF(E4449&gt;0,E4449*IF(ISNUMBER(J4449),J4449,IF(OR(C4449="Alpha",B4449="Alpha"),$C$7,IF(C4449="Futures",$C$6,$C$5))),""),"")</f>
        <v/>
      </c>
      <c r="I4449" s="139">
        <f>IFERROR(IF(AND(ISNUMBER(F4449),ISNUMBER(H4449)),F4449-H4449,""),"")</f>
        <v/>
      </c>
      <c r="J4449" s="114" t="n"/>
      <c r="K4449" s="139">
        <f>IFERROR(IF(H4449&gt;0,H4449*IF(OR(C4449="Alpha",B4449="Alpha"),$C$9,$C$8),""),"")</f>
        <v/>
      </c>
      <c r="L4449" s="139">
        <f>IFERROR(IF(ISNUMBER(F4449),F4449-IF(ISNUMBER(K4449),K4449,0),""),"")</f>
        <v/>
      </c>
    </row>
    <row r="4450" ht="24" customHeight="1" s="63">
      <c r="E4450" s="139" t="n"/>
      <c r="F4450" s="139" t="n"/>
      <c r="G4450" s="140">
        <f>IFERROR(IF(E4450&gt;0,(F4450/E4450)*1000,""),"")</f>
        <v/>
      </c>
      <c r="H4450" s="139">
        <f>IFERROR(IF(E4450&gt;0,E4450*IF(ISNUMBER(J4450),J4450,IF(OR(C4450="Alpha",B4450="Alpha"),$C$7,IF(C4450="Futures",$C$6,$C$5))),""),"")</f>
        <v/>
      </c>
      <c r="I4450" s="139">
        <f>IFERROR(IF(AND(ISNUMBER(F4450),ISNUMBER(H4450)),F4450-H4450,""),"")</f>
        <v/>
      </c>
      <c r="J4450" s="114" t="n"/>
      <c r="K4450" s="139">
        <f>IFERROR(IF(H4450&gt;0,H4450*IF(OR(C4450="Alpha",B4450="Alpha"),$C$9,$C$8),""),"")</f>
        <v/>
      </c>
      <c r="L4450" s="139">
        <f>IFERROR(IF(ISNUMBER(F4450),F4450-IF(ISNUMBER(K4450),K4450,0),""),"")</f>
        <v/>
      </c>
    </row>
    <row r="4451" ht="24" customHeight="1" s="63">
      <c r="E4451" s="139" t="n"/>
      <c r="F4451" s="139" t="n"/>
      <c r="G4451" s="140">
        <f>IFERROR(IF(E4451&gt;0,(F4451/E4451)*1000,""),"")</f>
        <v/>
      </c>
      <c r="H4451" s="139">
        <f>IFERROR(IF(E4451&gt;0,E4451*IF(ISNUMBER(J4451),J4451,IF(OR(C4451="Alpha",B4451="Alpha"),$C$7,IF(C4451="Futures",$C$6,$C$5))),""),"")</f>
        <v/>
      </c>
      <c r="I4451" s="139">
        <f>IFERROR(IF(AND(ISNUMBER(F4451),ISNUMBER(H4451)),F4451-H4451,""),"")</f>
        <v/>
      </c>
      <c r="J4451" s="114" t="n"/>
      <c r="K4451" s="139">
        <f>IFERROR(IF(H4451&gt;0,H4451*IF(OR(C4451="Alpha",B4451="Alpha"),$C$9,$C$8),""),"")</f>
        <v/>
      </c>
      <c r="L4451" s="139">
        <f>IFERROR(IF(ISNUMBER(F4451),F4451-IF(ISNUMBER(K4451),K4451,0),""),"")</f>
        <v/>
      </c>
    </row>
    <row r="4452" ht="24" customHeight="1" s="63">
      <c r="E4452" s="139" t="n"/>
      <c r="F4452" s="139" t="n"/>
      <c r="G4452" s="140">
        <f>IFERROR(IF(E4452&gt;0,(F4452/E4452)*1000,""),"")</f>
        <v/>
      </c>
      <c r="H4452" s="139">
        <f>IFERROR(IF(E4452&gt;0,E4452*IF(ISNUMBER(J4452),J4452,IF(OR(C4452="Alpha",B4452="Alpha"),$C$7,IF(C4452="Futures",$C$6,$C$5))),""),"")</f>
        <v/>
      </c>
      <c r="I4452" s="139">
        <f>IFERROR(IF(AND(ISNUMBER(F4452),ISNUMBER(H4452)),F4452-H4452,""),"")</f>
        <v/>
      </c>
      <c r="J4452" s="114" t="n"/>
      <c r="K4452" s="139">
        <f>IFERROR(IF(H4452&gt;0,H4452*IF(OR(C4452="Alpha",B4452="Alpha"),$C$9,$C$8),""),"")</f>
        <v/>
      </c>
      <c r="L4452" s="139">
        <f>IFERROR(IF(ISNUMBER(F4452),F4452-IF(ISNUMBER(K4452),K4452,0),""),"")</f>
        <v/>
      </c>
    </row>
    <row r="4453" ht="24" customHeight="1" s="63">
      <c r="E4453" s="139" t="n"/>
      <c r="F4453" s="139" t="n"/>
      <c r="G4453" s="140">
        <f>IFERROR(IF(E4453&gt;0,(F4453/E4453)*1000,""),"")</f>
        <v/>
      </c>
      <c r="H4453" s="139">
        <f>IFERROR(IF(E4453&gt;0,E4453*IF(ISNUMBER(J4453),J4453,IF(OR(C4453="Alpha",B4453="Alpha"),$C$7,IF(C4453="Futures",$C$6,$C$5))),""),"")</f>
        <v/>
      </c>
      <c r="I4453" s="139">
        <f>IFERROR(IF(AND(ISNUMBER(F4453),ISNUMBER(H4453)),F4453-H4453,""),"")</f>
        <v/>
      </c>
      <c r="J4453" s="114" t="n"/>
      <c r="K4453" s="139">
        <f>IFERROR(IF(H4453&gt;0,H4453*IF(OR(C4453="Alpha",B4453="Alpha"),$C$9,$C$8),""),"")</f>
        <v/>
      </c>
      <c r="L4453" s="139">
        <f>IFERROR(IF(ISNUMBER(F4453),F4453-IF(ISNUMBER(K4453),K4453,0),""),"")</f>
        <v/>
      </c>
    </row>
    <row r="4454" ht="24" customHeight="1" s="63">
      <c r="E4454" s="139" t="n"/>
      <c r="F4454" s="139" t="n"/>
      <c r="G4454" s="140">
        <f>IFERROR(IF(E4454&gt;0,(F4454/E4454)*1000,""),"")</f>
        <v/>
      </c>
      <c r="H4454" s="139">
        <f>IFERROR(IF(E4454&gt;0,E4454*IF(ISNUMBER(J4454),J4454,IF(OR(C4454="Alpha",B4454="Alpha"),$C$7,IF(C4454="Futures",$C$6,$C$5))),""),"")</f>
        <v/>
      </c>
      <c r="I4454" s="139">
        <f>IFERROR(IF(AND(ISNUMBER(F4454),ISNUMBER(H4454)),F4454-H4454,""),"")</f>
        <v/>
      </c>
      <c r="J4454" s="114" t="n"/>
      <c r="K4454" s="139">
        <f>IFERROR(IF(H4454&gt;0,H4454*IF(OR(C4454="Alpha",B4454="Alpha"),$C$9,$C$8),""),"")</f>
        <v/>
      </c>
      <c r="L4454" s="139">
        <f>IFERROR(IF(ISNUMBER(F4454),F4454-IF(ISNUMBER(K4454),K4454,0),""),"")</f>
        <v/>
      </c>
    </row>
    <row r="4455" ht="24" customHeight="1" s="63">
      <c r="E4455" s="139" t="n"/>
      <c r="F4455" s="139" t="n"/>
      <c r="G4455" s="140">
        <f>IFERROR(IF(E4455&gt;0,(F4455/E4455)*1000,""),"")</f>
        <v/>
      </c>
      <c r="H4455" s="139">
        <f>IFERROR(IF(E4455&gt;0,E4455*IF(ISNUMBER(J4455),J4455,IF(OR(C4455="Alpha",B4455="Alpha"),$C$7,IF(C4455="Futures",$C$6,$C$5))),""),"")</f>
        <v/>
      </c>
      <c r="I4455" s="139">
        <f>IFERROR(IF(AND(ISNUMBER(F4455),ISNUMBER(H4455)),F4455-H4455,""),"")</f>
        <v/>
      </c>
      <c r="J4455" s="114" t="n"/>
      <c r="K4455" s="139">
        <f>IFERROR(IF(H4455&gt;0,H4455*IF(OR(C4455="Alpha",B4455="Alpha"),$C$9,$C$8),""),"")</f>
        <v/>
      </c>
      <c r="L4455" s="139">
        <f>IFERROR(IF(ISNUMBER(F4455),F4455-IF(ISNUMBER(K4455),K4455,0),""),"")</f>
        <v/>
      </c>
    </row>
    <row r="4456" ht="24" customHeight="1" s="63">
      <c r="E4456" s="139" t="n"/>
      <c r="F4456" s="139" t="n"/>
      <c r="G4456" s="140">
        <f>IFERROR(IF(E4456&gt;0,(F4456/E4456)*1000,""),"")</f>
        <v/>
      </c>
      <c r="H4456" s="139">
        <f>IFERROR(IF(E4456&gt;0,E4456*IF(ISNUMBER(J4456),J4456,IF(OR(C4456="Alpha",B4456="Alpha"),$C$7,IF(C4456="Futures",$C$6,$C$5))),""),"")</f>
        <v/>
      </c>
      <c r="I4456" s="139">
        <f>IFERROR(IF(AND(ISNUMBER(F4456),ISNUMBER(H4456)),F4456-H4456,""),"")</f>
        <v/>
      </c>
      <c r="J4456" s="114" t="n"/>
      <c r="K4456" s="139">
        <f>IFERROR(IF(H4456&gt;0,H4456*IF(OR(C4456="Alpha",B4456="Alpha"),$C$9,$C$8),""),"")</f>
        <v/>
      </c>
      <c r="L4456" s="139">
        <f>IFERROR(IF(ISNUMBER(F4456),F4456-IF(ISNUMBER(K4456),K4456,0),""),"")</f>
        <v/>
      </c>
    </row>
    <row r="4457" ht="24" customHeight="1" s="63">
      <c r="E4457" s="139" t="n"/>
      <c r="F4457" s="139" t="n"/>
      <c r="G4457" s="140">
        <f>IFERROR(IF(E4457&gt;0,(F4457/E4457)*1000,""),"")</f>
        <v/>
      </c>
      <c r="H4457" s="139">
        <f>IFERROR(IF(E4457&gt;0,E4457*IF(ISNUMBER(J4457),J4457,IF(OR(C4457="Alpha",B4457="Alpha"),$C$7,IF(C4457="Futures",$C$6,$C$5))),""),"")</f>
        <v/>
      </c>
      <c r="I4457" s="139">
        <f>IFERROR(IF(AND(ISNUMBER(F4457),ISNUMBER(H4457)),F4457-H4457,""),"")</f>
        <v/>
      </c>
      <c r="J4457" s="114" t="n"/>
      <c r="K4457" s="139">
        <f>IFERROR(IF(H4457&gt;0,H4457*IF(OR(C4457="Alpha",B4457="Alpha"),$C$9,$C$8),""),"")</f>
        <v/>
      </c>
      <c r="L4457" s="139">
        <f>IFERROR(IF(ISNUMBER(F4457),F4457-IF(ISNUMBER(K4457),K4457,0),""),"")</f>
        <v/>
      </c>
    </row>
    <row r="4458" ht="24" customHeight="1" s="63">
      <c r="E4458" s="139" t="n"/>
      <c r="F4458" s="139" t="n"/>
      <c r="G4458" s="140">
        <f>IFERROR(IF(E4458&gt;0,(F4458/E4458)*1000,""),"")</f>
        <v/>
      </c>
      <c r="H4458" s="139">
        <f>IFERROR(IF(E4458&gt;0,E4458*IF(ISNUMBER(J4458),J4458,IF(OR(C4458="Alpha",B4458="Alpha"),$C$7,IF(C4458="Futures",$C$6,$C$5))),""),"")</f>
        <v/>
      </c>
      <c r="I4458" s="139">
        <f>IFERROR(IF(AND(ISNUMBER(F4458),ISNUMBER(H4458)),F4458-H4458,""),"")</f>
        <v/>
      </c>
      <c r="J4458" s="114" t="n"/>
      <c r="K4458" s="139">
        <f>IFERROR(IF(H4458&gt;0,H4458*IF(OR(C4458="Alpha",B4458="Alpha"),$C$9,$C$8),""),"")</f>
        <v/>
      </c>
      <c r="L4458" s="139">
        <f>IFERROR(IF(ISNUMBER(F4458),F4458-IF(ISNUMBER(K4458),K4458,0),""),"")</f>
        <v/>
      </c>
    </row>
    <row r="4459" ht="24" customHeight="1" s="63">
      <c r="E4459" s="139" t="n"/>
      <c r="F4459" s="139" t="n"/>
      <c r="G4459" s="140">
        <f>IFERROR(IF(E4459&gt;0,(F4459/E4459)*1000,""),"")</f>
        <v/>
      </c>
      <c r="H4459" s="139">
        <f>IFERROR(IF(E4459&gt;0,E4459*IF(ISNUMBER(J4459),J4459,IF(OR(C4459="Alpha",B4459="Alpha"),$C$7,IF(C4459="Futures",$C$6,$C$5))),""),"")</f>
        <v/>
      </c>
      <c r="I4459" s="139">
        <f>IFERROR(IF(AND(ISNUMBER(F4459),ISNUMBER(H4459)),F4459-H4459,""),"")</f>
        <v/>
      </c>
      <c r="J4459" s="114" t="n"/>
      <c r="K4459" s="139">
        <f>IFERROR(IF(H4459&gt;0,H4459*IF(OR(C4459="Alpha",B4459="Alpha"),$C$9,$C$8),""),"")</f>
        <v/>
      </c>
      <c r="L4459" s="139">
        <f>IFERROR(IF(ISNUMBER(F4459),F4459-IF(ISNUMBER(K4459),K4459,0),""),"")</f>
        <v/>
      </c>
    </row>
    <row r="4460" ht="24" customHeight="1" s="63">
      <c r="E4460" s="139" t="n"/>
      <c r="F4460" s="139" t="n"/>
      <c r="G4460" s="140">
        <f>IFERROR(IF(E4460&gt;0,(F4460/E4460)*1000,""),"")</f>
        <v/>
      </c>
      <c r="H4460" s="139">
        <f>IFERROR(IF(E4460&gt;0,E4460*IF(ISNUMBER(J4460),J4460,IF(OR(C4460="Alpha",B4460="Alpha"),$C$7,IF(C4460="Futures",$C$6,$C$5))),""),"")</f>
        <v/>
      </c>
      <c r="I4460" s="139">
        <f>IFERROR(IF(AND(ISNUMBER(F4460),ISNUMBER(H4460)),F4460-H4460,""),"")</f>
        <v/>
      </c>
      <c r="J4460" s="114" t="n"/>
      <c r="K4460" s="139">
        <f>IFERROR(IF(H4460&gt;0,H4460*IF(OR(C4460="Alpha",B4460="Alpha"),$C$9,$C$8),""),"")</f>
        <v/>
      </c>
      <c r="L4460" s="139">
        <f>IFERROR(IF(ISNUMBER(F4460),F4460-IF(ISNUMBER(K4460),K4460,0),""),"")</f>
        <v/>
      </c>
    </row>
    <row r="4461" ht="24" customHeight="1" s="63">
      <c r="E4461" s="139" t="n"/>
      <c r="F4461" s="139" t="n"/>
      <c r="G4461" s="140">
        <f>IFERROR(IF(E4461&gt;0,(F4461/E4461)*1000,""),"")</f>
        <v/>
      </c>
      <c r="H4461" s="139">
        <f>IFERROR(IF(E4461&gt;0,E4461*IF(ISNUMBER(J4461),J4461,IF(OR(C4461="Alpha",B4461="Alpha"),$C$7,IF(C4461="Futures",$C$6,$C$5))),""),"")</f>
        <v/>
      </c>
      <c r="I4461" s="139">
        <f>IFERROR(IF(AND(ISNUMBER(F4461),ISNUMBER(H4461)),F4461-H4461,""),"")</f>
        <v/>
      </c>
      <c r="J4461" s="114" t="n"/>
      <c r="K4461" s="139">
        <f>IFERROR(IF(H4461&gt;0,H4461*IF(OR(C4461="Alpha",B4461="Alpha"),$C$9,$C$8),""),"")</f>
        <v/>
      </c>
      <c r="L4461" s="139">
        <f>IFERROR(IF(ISNUMBER(F4461),F4461-IF(ISNUMBER(K4461),K4461,0),""),"")</f>
        <v/>
      </c>
    </row>
    <row r="4462" ht="24" customHeight="1" s="63">
      <c r="E4462" s="139" t="n"/>
      <c r="F4462" s="139" t="n"/>
      <c r="G4462" s="140">
        <f>IFERROR(IF(E4462&gt;0,(F4462/E4462)*1000,""),"")</f>
        <v/>
      </c>
      <c r="H4462" s="139">
        <f>IFERROR(IF(E4462&gt;0,E4462*IF(ISNUMBER(J4462),J4462,IF(OR(C4462="Alpha",B4462="Alpha"),$C$7,IF(C4462="Futures",$C$6,$C$5))),""),"")</f>
        <v/>
      </c>
      <c r="I4462" s="139">
        <f>IFERROR(IF(AND(ISNUMBER(F4462),ISNUMBER(H4462)),F4462-H4462,""),"")</f>
        <v/>
      </c>
      <c r="J4462" s="114" t="n"/>
      <c r="K4462" s="139">
        <f>IFERROR(IF(H4462&gt;0,H4462*IF(OR(C4462="Alpha",B4462="Alpha"),$C$9,$C$8),""),"")</f>
        <v/>
      </c>
      <c r="L4462" s="139">
        <f>IFERROR(IF(ISNUMBER(F4462),F4462-IF(ISNUMBER(K4462),K4462,0),""),"")</f>
        <v/>
      </c>
    </row>
    <row r="4463" ht="24" customHeight="1" s="63">
      <c r="E4463" s="139" t="n"/>
      <c r="F4463" s="139" t="n"/>
      <c r="G4463" s="140">
        <f>IFERROR(IF(E4463&gt;0,(F4463/E4463)*1000,""),"")</f>
        <v/>
      </c>
      <c r="H4463" s="139">
        <f>IFERROR(IF(E4463&gt;0,E4463*IF(ISNUMBER(J4463),J4463,IF(OR(C4463="Alpha",B4463="Alpha"),$C$7,IF(C4463="Futures",$C$6,$C$5))),""),"")</f>
        <v/>
      </c>
      <c r="I4463" s="139">
        <f>IFERROR(IF(AND(ISNUMBER(F4463),ISNUMBER(H4463)),F4463-H4463,""),"")</f>
        <v/>
      </c>
      <c r="J4463" s="114" t="n"/>
      <c r="K4463" s="139">
        <f>IFERROR(IF(H4463&gt;0,H4463*IF(OR(C4463="Alpha",B4463="Alpha"),$C$9,$C$8),""),"")</f>
        <v/>
      </c>
      <c r="L4463" s="139">
        <f>IFERROR(IF(ISNUMBER(F4463),F4463-IF(ISNUMBER(K4463),K4463,0),""),"")</f>
        <v/>
      </c>
    </row>
    <row r="4464" ht="24" customHeight="1" s="63">
      <c r="E4464" s="139" t="n"/>
      <c r="F4464" s="139" t="n"/>
      <c r="G4464" s="140">
        <f>IFERROR(IF(E4464&gt;0,(F4464/E4464)*1000,""),"")</f>
        <v/>
      </c>
      <c r="H4464" s="139">
        <f>IFERROR(IF(E4464&gt;0,E4464*IF(ISNUMBER(J4464),J4464,IF(OR(C4464="Alpha",B4464="Alpha"),$C$7,IF(C4464="Futures",$C$6,$C$5))),""),"")</f>
        <v/>
      </c>
      <c r="I4464" s="139">
        <f>IFERROR(IF(AND(ISNUMBER(F4464),ISNUMBER(H4464)),F4464-H4464,""),"")</f>
        <v/>
      </c>
      <c r="J4464" s="114" t="n"/>
      <c r="K4464" s="139">
        <f>IFERROR(IF(H4464&gt;0,H4464*IF(OR(C4464="Alpha",B4464="Alpha"),$C$9,$C$8),""),"")</f>
        <v/>
      </c>
      <c r="L4464" s="139">
        <f>IFERROR(IF(ISNUMBER(F4464),F4464-IF(ISNUMBER(K4464),K4464,0),""),"")</f>
        <v/>
      </c>
    </row>
    <row r="4465" ht="24" customHeight="1" s="63">
      <c r="E4465" s="139" t="n"/>
      <c r="F4465" s="139" t="n"/>
      <c r="G4465" s="140">
        <f>IFERROR(IF(E4465&gt;0,(F4465/E4465)*1000,""),"")</f>
        <v/>
      </c>
      <c r="H4465" s="139">
        <f>IFERROR(IF(E4465&gt;0,E4465*IF(ISNUMBER(J4465),J4465,IF(OR(C4465="Alpha",B4465="Alpha"),$C$7,IF(C4465="Futures",$C$6,$C$5))),""),"")</f>
        <v/>
      </c>
      <c r="I4465" s="139">
        <f>IFERROR(IF(AND(ISNUMBER(F4465),ISNUMBER(H4465)),F4465-H4465,""),"")</f>
        <v/>
      </c>
      <c r="J4465" s="114" t="n"/>
      <c r="K4465" s="139">
        <f>IFERROR(IF(H4465&gt;0,H4465*IF(OR(C4465="Alpha",B4465="Alpha"),$C$9,$C$8),""),"")</f>
        <v/>
      </c>
      <c r="L4465" s="139">
        <f>IFERROR(IF(ISNUMBER(F4465),F4465-IF(ISNUMBER(K4465),K4465,0),""),"")</f>
        <v/>
      </c>
    </row>
    <row r="4466" ht="24" customHeight="1" s="63">
      <c r="E4466" s="139" t="n"/>
      <c r="F4466" s="139" t="n"/>
      <c r="G4466" s="140">
        <f>IFERROR(IF(E4466&gt;0,(F4466/E4466)*1000,""),"")</f>
        <v/>
      </c>
      <c r="H4466" s="139">
        <f>IFERROR(IF(E4466&gt;0,E4466*IF(ISNUMBER(J4466),J4466,IF(OR(C4466="Alpha",B4466="Alpha"),$C$7,IF(C4466="Futures",$C$6,$C$5))),""),"")</f>
        <v/>
      </c>
      <c r="I4466" s="139">
        <f>IFERROR(IF(AND(ISNUMBER(F4466),ISNUMBER(H4466)),F4466-H4466,""),"")</f>
        <v/>
      </c>
      <c r="J4466" s="114" t="n"/>
      <c r="K4466" s="139">
        <f>IFERROR(IF(H4466&gt;0,H4466*IF(OR(C4466="Alpha",B4466="Alpha"),$C$9,$C$8),""),"")</f>
        <v/>
      </c>
      <c r="L4466" s="139">
        <f>IFERROR(IF(ISNUMBER(F4466),F4466-IF(ISNUMBER(K4466),K4466,0),""),"")</f>
        <v/>
      </c>
    </row>
    <row r="4467" ht="24" customHeight="1" s="63">
      <c r="E4467" s="139" t="n"/>
      <c r="F4467" s="139" t="n"/>
      <c r="G4467" s="140">
        <f>IFERROR(IF(E4467&gt;0,(F4467/E4467)*1000,""),"")</f>
        <v/>
      </c>
      <c r="H4467" s="139">
        <f>IFERROR(IF(E4467&gt;0,E4467*IF(ISNUMBER(J4467),J4467,IF(OR(C4467="Alpha",B4467="Alpha"),$C$7,IF(C4467="Futures",$C$6,$C$5))),""),"")</f>
        <v/>
      </c>
      <c r="I4467" s="139">
        <f>IFERROR(IF(AND(ISNUMBER(F4467),ISNUMBER(H4467)),F4467-H4467,""),"")</f>
        <v/>
      </c>
      <c r="J4467" s="114" t="n"/>
      <c r="K4467" s="139">
        <f>IFERROR(IF(H4467&gt;0,H4467*IF(OR(C4467="Alpha",B4467="Alpha"),$C$9,$C$8),""),"")</f>
        <v/>
      </c>
      <c r="L4467" s="139">
        <f>IFERROR(IF(ISNUMBER(F4467),F4467-IF(ISNUMBER(K4467),K4467,0),""),"")</f>
        <v/>
      </c>
    </row>
    <row r="4468" ht="24" customHeight="1" s="63">
      <c r="E4468" s="139" t="n"/>
      <c r="F4468" s="139" t="n"/>
      <c r="G4468" s="140">
        <f>IFERROR(IF(E4468&gt;0,(F4468/E4468)*1000,""),"")</f>
        <v/>
      </c>
      <c r="H4468" s="139">
        <f>IFERROR(IF(E4468&gt;0,E4468*IF(ISNUMBER(J4468),J4468,IF(OR(C4468="Alpha",B4468="Alpha"),$C$7,IF(C4468="Futures",$C$6,$C$5))),""),"")</f>
        <v/>
      </c>
      <c r="I4468" s="139">
        <f>IFERROR(IF(AND(ISNUMBER(F4468),ISNUMBER(H4468)),F4468-H4468,""),"")</f>
        <v/>
      </c>
      <c r="J4468" s="114" t="n"/>
      <c r="K4468" s="139">
        <f>IFERROR(IF(H4468&gt;0,H4468*IF(OR(C4468="Alpha",B4468="Alpha"),$C$9,$C$8),""),"")</f>
        <v/>
      </c>
      <c r="L4468" s="139">
        <f>IFERROR(IF(ISNUMBER(F4468),F4468-IF(ISNUMBER(K4468),K4468,0),""),"")</f>
        <v/>
      </c>
    </row>
    <row r="4469" ht="24" customHeight="1" s="63">
      <c r="E4469" s="139" t="n"/>
      <c r="F4469" s="139" t="n"/>
      <c r="G4469" s="140">
        <f>IFERROR(IF(E4469&gt;0,(F4469/E4469)*1000,""),"")</f>
        <v/>
      </c>
      <c r="H4469" s="139">
        <f>IFERROR(IF(E4469&gt;0,E4469*IF(ISNUMBER(J4469),J4469,IF(OR(C4469="Alpha",B4469="Alpha"),$C$7,IF(C4469="Futures",$C$6,$C$5))),""),"")</f>
        <v/>
      </c>
      <c r="I4469" s="139">
        <f>IFERROR(IF(AND(ISNUMBER(F4469),ISNUMBER(H4469)),F4469-H4469,""),"")</f>
        <v/>
      </c>
      <c r="J4469" s="114" t="n"/>
      <c r="K4469" s="139">
        <f>IFERROR(IF(H4469&gt;0,H4469*IF(OR(C4469="Alpha",B4469="Alpha"),$C$9,$C$8),""),"")</f>
        <v/>
      </c>
      <c r="L4469" s="139">
        <f>IFERROR(IF(ISNUMBER(F4469),F4469-IF(ISNUMBER(K4469),K4469,0),""),"")</f>
        <v/>
      </c>
    </row>
    <row r="4470" ht="24" customHeight="1" s="63">
      <c r="E4470" s="139" t="n"/>
      <c r="F4470" s="139" t="n"/>
      <c r="G4470" s="140">
        <f>IFERROR(IF(E4470&gt;0,(F4470/E4470)*1000,""),"")</f>
        <v/>
      </c>
      <c r="H4470" s="139">
        <f>IFERROR(IF(E4470&gt;0,E4470*IF(ISNUMBER(J4470),J4470,IF(OR(C4470="Alpha",B4470="Alpha"),$C$7,IF(C4470="Futures",$C$6,$C$5))),""),"")</f>
        <v/>
      </c>
      <c r="I4470" s="139">
        <f>IFERROR(IF(AND(ISNUMBER(F4470),ISNUMBER(H4470)),F4470-H4470,""),"")</f>
        <v/>
      </c>
      <c r="J4470" s="114" t="n"/>
      <c r="K4470" s="139">
        <f>IFERROR(IF(H4470&gt;0,H4470*IF(OR(C4470="Alpha",B4470="Alpha"),$C$9,$C$8),""),"")</f>
        <v/>
      </c>
      <c r="L4470" s="139">
        <f>IFERROR(IF(ISNUMBER(F4470),F4470-IF(ISNUMBER(K4470),K4470,0),""),"")</f>
        <v/>
      </c>
    </row>
    <row r="4471" ht="24" customHeight="1" s="63">
      <c r="E4471" s="139" t="n"/>
      <c r="F4471" s="139" t="n"/>
      <c r="G4471" s="140">
        <f>IFERROR(IF(E4471&gt;0,(F4471/E4471)*1000,""),"")</f>
        <v/>
      </c>
      <c r="H4471" s="139">
        <f>IFERROR(IF(E4471&gt;0,E4471*IF(ISNUMBER(J4471),J4471,IF(OR(C4471="Alpha",B4471="Alpha"),$C$7,IF(C4471="Futures",$C$6,$C$5))),""),"")</f>
        <v/>
      </c>
      <c r="I4471" s="139">
        <f>IFERROR(IF(AND(ISNUMBER(F4471),ISNUMBER(H4471)),F4471-H4471,""),"")</f>
        <v/>
      </c>
      <c r="J4471" s="114" t="n"/>
      <c r="K4471" s="139">
        <f>IFERROR(IF(H4471&gt;0,H4471*IF(OR(C4471="Alpha",B4471="Alpha"),$C$9,$C$8),""),"")</f>
        <v/>
      </c>
      <c r="L4471" s="139">
        <f>IFERROR(IF(ISNUMBER(F4471),F4471-IF(ISNUMBER(K4471),K4471,0),""),"")</f>
        <v/>
      </c>
    </row>
    <row r="4472" ht="24" customHeight="1" s="63">
      <c r="E4472" s="139" t="n"/>
      <c r="F4472" s="139" t="n"/>
      <c r="G4472" s="140">
        <f>IFERROR(IF(E4472&gt;0,(F4472/E4472)*1000,""),"")</f>
        <v/>
      </c>
      <c r="H4472" s="139">
        <f>IFERROR(IF(E4472&gt;0,E4472*IF(ISNUMBER(J4472),J4472,IF(OR(C4472="Alpha",B4472="Alpha"),$C$7,IF(C4472="Futures",$C$6,$C$5))),""),"")</f>
        <v/>
      </c>
      <c r="I4472" s="139">
        <f>IFERROR(IF(AND(ISNUMBER(F4472),ISNUMBER(H4472)),F4472-H4472,""),"")</f>
        <v/>
      </c>
      <c r="J4472" s="114" t="n"/>
      <c r="K4472" s="139">
        <f>IFERROR(IF(H4472&gt;0,H4472*IF(OR(C4472="Alpha",B4472="Alpha"),$C$9,$C$8),""),"")</f>
        <v/>
      </c>
      <c r="L4472" s="139">
        <f>IFERROR(IF(ISNUMBER(F4472),F4472-IF(ISNUMBER(K4472),K4472,0),""),"")</f>
        <v/>
      </c>
    </row>
    <row r="4473" ht="24" customHeight="1" s="63">
      <c r="E4473" s="139" t="n"/>
      <c r="F4473" s="139" t="n"/>
      <c r="G4473" s="140">
        <f>IFERROR(IF(E4473&gt;0,(F4473/E4473)*1000,""),"")</f>
        <v/>
      </c>
      <c r="H4473" s="139">
        <f>IFERROR(IF(E4473&gt;0,E4473*IF(ISNUMBER(J4473),J4473,IF(OR(C4473="Alpha",B4473="Alpha"),$C$7,IF(C4473="Futures",$C$6,$C$5))),""),"")</f>
        <v/>
      </c>
      <c r="I4473" s="139">
        <f>IFERROR(IF(AND(ISNUMBER(F4473),ISNUMBER(H4473)),F4473-H4473,""),"")</f>
        <v/>
      </c>
      <c r="J4473" s="114" t="n"/>
      <c r="K4473" s="139">
        <f>IFERROR(IF(H4473&gt;0,H4473*IF(OR(C4473="Alpha",B4473="Alpha"),$C$9,$C$8),""),"")</f>
        <v/>
      </c>
      <c r="L4473" s="139">
        <f>IFERROR(IF(ISNUMBER(F4473),F4473-IF(ISNUMBER(K4473),K4473,0),""),"")</f>
        <v/>
      </c>
    </row>
    <row r="4474" ht="24" customHeight="1" s="63">
      <c r="E4474" s="139" t="n"/>
      <c r="F4474" s="139" t="n"/>
      <c r="G4474" s="140">
        <f>IFERROR(IF(E4474&gt;0,(F4474/E4474)*1000,""),"")</f>
        <v/>
      </c>
      <c r="H4474" s="139">
        <f>IFERROR(IF(E4474&gt;0,E4474*IF(ISNUMBER(J4474),J4474,IF(OR(C4474="Alpha",B4474="Alpha"),$C$7,IF(C4474="Futures",$C$6,$C$5))),""),"")</f>
        <v/>
      </c>
      <c r="I4474" s="139">
        <f>IFERROR(IF(AND(ISNUMBER(F4474),ISNUMBER(H4474)),F4474-H4474,""),"")</f>
        <v/>
      </c>
      <c r="J4474" s="114" t="n"/>
      <c r="K4474" s="139">
        <f>IFERROR(IF(H4474&gt;0,H4474*IF(OR(C4474="Alpha",B4474="Alpha"),$C$9,$C$8),""),"")</f>
        <v/>
      </c>
      <c r="L4474" s="139">
        <f>IFERROR(IF(ISNUMBER(F4474),F4474-IF(ISNUMBER(K4474),K4474,0),""),"")</f>
        <v/>
      </c>
    </row>
    <row r="4475" ht="24" customHeight="1" s="63">
      <c r="E4475" s="139" t="n"/>
      <c r="F4475" s="139" t="n"/>
      <c r="G4475" s="140">
        <f>IFERROR(IF(E4475&gt;0,(F4475/E4475)*1000,""),"")</f>
        <v/>
      </c>
      <c r="H4475" s="139">
        <f>IFERROR(IF(E4475&gt;0,E4475*IF(ISNUMBER(J4475),J4475,IF(OR(C4475="Alpha",B4475="Alpha"),$C$7,IF(C4475="Futures",$C$6,$C$5))),""),"")</f>
        <v/>
      </c>
      <c r="I4475" s="139">
        <f>IFERROR(IF(AND(ISNUMBER(F4475),ISNUMBER(H4475)),F4475-H4475,""),"")</f>
        <v/>
      </c>
      <c r="J4475" s="114" t="n"/>
      <c r="K4475" s="139">
        <f>IFERROR(IF(H4475&gt;0,H4475*IF(OR(C4475="Alpha",B4475="Alpha"),$C$9,$C$8),""),"")</f>
        <v/>
      </c>
      <c r="L4475" s="139">
        <f>IFERROR(IF(ISNUMBER(F4475),F4475-IF(ISNUMBER(K4475),K4475,0),""),"")</f>
        <v/>
      </c>
    </row>
    <row r="4476" ht="24" customHeight="1" s="63">
      <c r="E4476" s="139" t="n"/>
      <c r="F4476" s="139" t="n"/>
      <c r="G4476" s="140">
        <f>IFERROR(IF(E4476&gt;0,(F4476/E4476)*1000,""),"")</f>
        <v/>
      </c>
      <c r="H4476" s="139">
        <f>IFERROR(IF(E4476&gt;0,E4476*IF(ISNUMBER(J4476),J4476,IF(OR(C4476="Alpha",B4476="Alpha"),$C$7,IF(C4476="Futures",$C$6,$C$5))),""),"")</f>
        <v/>
      </c>
      <c r="I4476" s="139">
        <f>IFERROR(IF(AND(ISNUMBER(F4476),ISNUMBER(H4476)),F4476-H4476,""),"")</f>
        <v/>
      </c>
      <c r="J4476" s="114" t="n"/>
      <c r="K4476" s="139">
        <f>IFERROR(IF(H4476&gt;0,H4476*IF(OR(C4476="Alpha",B4476="Alpha"),$C$9,$C$8),""),"")</f>
        <v/>
      </c>
      <c r="L4476" s="139">
        <f>IFERROR(IF(ISNUMBER(F4476),F4476-IF(ISNUMBER(K4476),K4476,0),""),"")</f>
        <v/>
      </c>
    </row>
    <row r="4477" ht="24" customHeight="1" s="63">
      <c r="E4477" s="139" t="n"/>
      <c r="F4477" s="139" t="n"/>
      <c r="G4477" s="140">
        <f>IFERROR(IF(E4477&gt;0,(F4477/E4477)*1000,""),"")</f>
        <v/>
      </c>
      <c r="H4477" s="139">
        <f>IFERROR(IF(E4477&gt;0,E4477*IF(ISNUMBER(J4477),J4477,IF(OR(C4477="Alpha",B4477="Alpha"),$C$7,IF(C4477="Futures",$C$6,$C$5))),""),"")</f>
        <v/>
      </c>
      <c r="I4477" s="139">
        <f>IFERROR(IF(AND(ISNUMBER(F4477),ISNUMBER(H4477)),F4477-H4477,""),"")</f>
        <v/>
      </c>
      <c r="J4477" s="114" t="n"/>
      <c r="K4477" s="139">
        <f>IFERROR(IF(H4477&gt;0,H4477*IF(OR(C4477="Alpha",B4477="Alpha"),$C$9,$C$8),""),"")</f>
        <v/>
      </c>
      <c r="L4477" s="139">
        <f>IFERROR(IF(ISNUMBER(F4477),F4477-IF(ISNUMBER(K4477),K4477,0),""),"")</f>
        <v/>
      </c>
    </row>
    <row r="4478" ht="24" customHeight="1" s="63">
      <c r="E4478" s="139" t="n"/>
      <c r="F4478" s="139" t="n"/>
      <c r="G4478" s="140">
        <f>IFERROR(IF(E4478&gt;0,(F4478/E4478)*1000,""),"")</f>
        <v/>
      </c>
      <c r="H4478" s="139">
        <f>IFERROR(IF(E4478&gt;0,E4478*IF(ISNUMBER(J4478),J4478,IF(OR(C4478="Alpha",B4478="Alpha"),$C$7,IF(C4478="Futures",$C$6,$C$5))),""),"")</f>
        <v/>
      </c>
      <c r="I4478" s="139">
        <f>IFERROR(IF(AND(ISNUMBER(F4478),ISNUMBER(H4478)),F4478-H4478,""),"")</f>
        <v/>
      </c>
      <c r="J4478" s="114" t="n"/>
      <c r="K4478" s="139">
        <f>IFERROR(IF(H4478&gt;0,H4478*IF(OR(C4478="Alpha",B4478="Alpha"),$C$9,$C$8),""),"")</f>
        <v/>
      </c>
      <c r="L4478" s="139">
        <f>IFERROR(IF(ISNUMBER(F4478),F4478-IF(ISNUMBER(K4478),K4478,0),""),"")</f>
        <v/>
      </c>
    </row>
    <row r="4479" ht="24" customHeight="1" s="63">
      <c r="E4479" s="139" t="n"/>
      <c r="F4479" s="139" t="n"/>
      <c r="G4479" s="140">
        <f>IFERROR(IF(E4479&gt;0,(F4479/E4479)*1000,""),"")</f>
        <v/>
      </c>
      <c r="H4479" s="139">
        <f>IFERROR(IF(E4479&gt;0,E4479*IF(ISNUMBER(J4479),J4479,IF(OR(C4479="Alpha",B4479="Alpha"),$C$7,IF(C4479="Futures",$C$6,$C$5))),""),"")</f>
        <v/>
      </c>
      <c r="I4479" s="139">
        <f>IFERROR(IF(AND(ISNUMBER(F4479),ISNUMBER(H4479)),F4479-H4479,""),"")</f>
        <v/>
      </c>
      <c r="J4479" s="114" t="n"/>
      <c r="K4479" s="139">
        <f>IFERROR(IF(H4479&gt;0,H4479*IF(OR(C4479="Alpha",B4479="Alpha"),$C$9,$C$8),""),"")</f>
        <v/>
      </c>
      <c r="L4479" s="139">
        <f>IFERROR(IF(ISNUMBER(F4479),F4479-IF(ISNUMBER(K4479),K4479,0),""),"")</f>
        <v/>
      </c>
    </row>
    <row r="4480" ht="24" customHeight="1" s="63">
      <c r="E4480" s="139" t="n"/>
      <c r="F4480" s="139" t="n"/>
      <c r="G4480" s="140">
        <f>IFERROR(IF(E4480&gt;0,(F4480/E4480)*1000,""),"")</f>
        <v/>
      </c>
      <c r="H4480" s="139">
        <f>IFERROR(IF(E4480&gt;0,E4480*IF(ISNUMBER(J4480),J4480,IF(OR(C4480="Alpha",B4480="Alpha"),$C$7,IF(C4480="Futures",$C$6,$C$5))),""),"")</f>
        <v/>
      </c>
      <c r="I4480" s="139">
        <f>IFERROR(IF(AND(ISNUMBER(F4480),ISNUMBER(H4480)),F4480-H4480,""),"")</f>
        <v/>
      </c>
      <c r="J4480" s="114" t="n"/>
      <c r="K4480" s="139">
        <f>IFERROR(IF(H4480&gt;0,H4480*IF(OR(C4480="Alpha",B4480="Alpha"),$C$9,$C$8),""),"")</f>
        <v/>
      </c>
      <c r="L4480" s="139">
        <f>IFERROR(IF(ISNUMBER(F4480),F4480-IF(ISNUMBER(K4480),K4480,0),""),"")</f>
        <v/>
      </c>
    </row>
    <row r="4481" ht="24" customHeight="1" s="63">
      <c r="E4481" s="139" t="n"/>
      <c r="F4481" s="139" t="n"/>
      <c r="G4481" s="140">
        <f>IFERROR(IF(E4481&gt;0,(F4481/E4481)*1000,""),"")</f>
        <v/>
      </c>
      <c r="H4481" s="139">
        <f>IFERROR(IF(E4481&gt;0,E4481*IF(ISNUMBER(J4481),J4481,IF(OR(C4481="Alpha",B4481="Alpha"),$C$7,IF(C4481="Futures",$C$6,$C$5))),""),"")</f>
        <v/>
      </c>
      <c r="I4481" s="139">
        <f>IFERROR(IF(AND(ISNUMBER(F4481),ISNUMBER(H4481)),F4481-H4481,""),"")</f>
        <v/>
      </c>
      <c r="J4481" s="114" t="n"/>
      <c r="K4481" s="139">
        <f>IFERROR(IF(H4481&gt;0,H4481*IF(OR(C4481="Alpha",B4481="Alpha"),$C$9,$C$8),""),"")</f>
        <v/>
      </c>
      <c r="L4481" s="139">
        <f>IFERROR(IF(ISNUMBER(F4481),F4481-IF(ISNUMBER(K4481),K4481,0),""),"")</f>
        <v/>
      </c>
    </row>
    <row r="4482" ht="24" customHeight="1" s="63">
      <c r="E4482" s="139" t="n"/>
      <c r="F4482" s="139" t="n"/>
      <c r="G4482" s="140">
        <f>IFERROR(IF(E4482&gt;0,(F4482/E4482)*1000,""),"")</f>
        <v/>
      </c>
      <c r="H4482" s="139">
        <f>IFERROR(IF(E4482&gt;0,E4482*IF(ISNUMBER(J4482),J4482,IF(OR(C4482="Alpha",B4482="Alpha"),$C$7,IF(C4482="Futures",$C$6,$C$5))),""),"")</f>
        <v/>
      </c>
      <c r="I4482" s="139">
        <f>IFERROR(IF(AND(ISNUMBER(F4482),ISNUMBER(H4482)),F4482-H4482,""),"")</f>
        <v/>
      </c>
      <c r="J4482" s="114" t="n"/>
      <c r="K4482" s="139">
        <f>IFERROR(IF(H4482&gt;0,H4482*IF(OR(C4482="Alpha",B4482="Alpha"),$C$9,$C$8),""),"")</f>
        <v/>
      </c>
      <c r="L4482" s="139">
        <f>IFERROR(IF(ISNUMBER(F4482),F4482-IF(ISNUMBER(K4482),K4482,0),""),"")</f>
        <v/>
      </c>
    </row>
    <row r="4483" ht="24" customHeight="1" s="63">
      <c r="E4483" s="139" t="n"/>
      <c r="F4483" s="139" t="n"/>
      <c r="G4483" s="140">
        <f>IFERROR(IF(E4483&gt;0,(F4483/E4483)*1000,""),"")</f>
        <v/>
      </c>
      <c r="H4483" s="139">
        <f>IFERROR(IF(E4483&gt;0,E4483*IF(ISNUMBER(J4483),J4483,IF(OR(C4483="Alpha",B4483="Alpha"),$C$7,IF(C4483="Futures",$C$6,$C$5))),""),"")</f>
        <v/>
      </c>
      <c r="I4483" s="139">
        <f>IFERROR(IF(AND(ISNUMBER(F4483),ISNUMBER(H4483)),F4483-H4483,""),"")</f>
        <v/>
      </c>
      <c r="J4483" s="114" t="n"/>
      <c r="K4483" s="139">
        <f>IFERROR(IF(H4483&gt;0,H4483*IF(OR(C4483="Alpha",B4483="Alpha"),$C$9,$C$8),""),"")</f>
        <v/>
      </c>
      <c r="L4483" s="139">
        <f>IFERROR(IF(ISNUMBER(F4483),F4483-IF(ISNUMBER(K4483),K4483,0),""),"")</f>
        <v/>
      </c>
    </row>
    <row r="4484" ht="24" customHeight="1" s="63">
      <c r="E4484" s="139" t="n"/>
      <c r="F4484" s="139" t="n"/>
      <c r="G4484" s="140">
        <f>IFERROR(IF(E4484&gt;0,(F4484/E4484)*1000,""),"")</f>
        <v/>
      </c>
      <c r="H4484" s="139">
        <f>IFERROR(IF(E4484&gt;0,E4484*IF(ISNUMBER(J4484),J4484,IF(OR(C4484="Alpha",B4484="Alpha"),$C$7,IF(C4484="Futures",$C$6,$C$5))),""),"")</f>
        <v/>
      </c>
      <c r="I4484" s="139">
        <f>IFERROR(IF(AND(ISNUMBER(F4484),ISNUMBER(H4484)),F4484-H4484,""),"")</f>
        <v/>
      </c>
      <c r="J4484" s="114" t="n"/>
      <c r="K4484" s="139">
        <f>IFERROR(IF(H4484&gt;0,H4484*IF(OR(C4484="Alpha",B4484="Alpha"),$C$9,$C$8),""),"")</f>
        <v/>
      </c>
      <c r="L4484" s="139">
        <f>IFERROR(IF(ISNUMBER(F4484),F4484-IF(ISNUMBER(K4484),K4484,0),""),"")</f>
        <v/>
      </c>
    </row>
    <row r="4485" ht="24" customHeight="1" s="63">
      <c r="E4485" s="139" t="n"/>
      <c r="F4485" s="139" t="n"/>
      <c r="G4485" s="140">
        <f>IFERROR(IF(E4485&gt;0,(F4485/E4485)*1000,""),"")</f>
        <v/>
      </c>
      <c r="H4485" s="139">
        <f>IFERROR(IF(E4485&gt;0,E4485*IF(ISNUMBER(J4485),J4485,IF(OR(C4485="Alpha",B4485="Alpha"),$C$7,IF(C4485="Futures",$C$6,$C$5))),""),"")</f>
        <v/>
      </c>
      <c r="I4485" s="139">
        <f>IFERROR(IF(AND(ISNUMBER(F4485),ISNUMBER(H4485)),F4485-H4485,""),"")</f>
        <v/>
      </c>
      <c r="J4485" s="114" t="n"/>
      <c r="K4485" s="139">
        <f>IFERROR(IF(H4485&gt;0,H4485*IF(OR(C4485="Alpha",B4485="Alpha"),$C$9,$C$8),""),"")</f>
        <v/>
      </c>
      <c r="L4485" s="139">
        <f>IFERROR(IF(ISNUMBER(F4485),F4485-IF(ISNUMBER(K4485),K4485,0),""),"")</f>
        <v/>
      </c>
    </row>
    <row r="4486" ht="24" customHeight="1" s="63">
      <c r="E4486" s="139" t="n"/>
      <c r="F4486" s="139" t="n"/>
      <c r="G4486" s="140">
        <f>IFERROR(IF(E4486&gt;0,(F4486/E4486)*1000,""),"")</f>
        <v/>
      </c>
      <c r="H4486" s="139">
        <f>IFERROR(IF(E4486&gt;0,E4486*IF(ISNUMBER(J4486),J4486,IF(OR(C4486="Alpha",B4486="Alpha"),$C$7,IF(C4486="Futures",$C$6,$C$5))),""),"")</f>
        <v/>
      </c>
      <c r="I4486" s="139">
        <f>IFERROR(IF(AND(ISNUMBER(F4486),ISNUMBER(H4486)),F4486-H4486,""),"")</f>
        <v/>
      </c>
      <c r="J4486" s="114" t="n"/>
      <c r="K4486" s="139">
        <f>IFERROR(IF(H4486&gt;0,H4486*IF(OR(C4486="Alpha",B4486="Alpha"),$C$9,$C$8),""),"")</f>
        <v/>
      </c>
      <c r="L4486" s="139">
        <f>IFERROR(IF(ISNUMBER(F4486),F4486-IF(ISNUMBER(K4486),K4486,0),""),"")</f>
        <v/>
      </c>
    </row>
    <row r="4487" ht="24" customHeight="1" s="63">
      <c r="E4487" s="139" t="n"/>
      <c r="F4487" s="139" t="n"/>
      <c r="G4487" s="140">
        <f>IFERROR(IF(E4487&gt;0,(F4487/E4487)*1000,""),"")</f>
        <v/>
      </c>
      <c r="H4487" s="139">
        <f>IFERROR(IF(E4487&gt;0,E4487*IF(ISNUMBER(J4487),J4487,IF(OR(C4487="Alpha",B4487="Alpha"),$C$7,IF(C4487="Futures",$C$6,$C$5))),""),"")</f>
        <v/>
      </c>
      <c r="I4487" s="139">
        <f>IFERROR(IF(AND(ISNUMBER(F4487),ISNUMBER(H4487)),F4487-H4487,""),"")</f>
        <v/>
      </c>
      <c r="J4487" s="114" t="n"/>
      <c r="K4487" s="139">
        <f>IFERROR(IF(H4487&gt;0,H4487*IF(OR(C4487="Alpha",B4487="Alpha"),$C$9,$C$8),""),"")</f>
        <v/>
      </c>
      <c r="L4487" s="139">
        <f>IFERROR(IF(ISNUMBER(F4487),F4487-IF(ISNUMBER(K4487),K4487,0),""),"")</f>
        <v/>
      </c>
    </row>
    <row r="4488" ht="24" customHeight="1" s="63">
      <c r="E4488" s="139" t="n"/>
      <c r="F4488" s="139" t="n"/>
      <c r="G4488" s="140">
        <f>IFERROR(IF(E4488&gt;0,(F4488/E4488)*1000,""),"")</f>
        <v/>
      </c>
      <c r="H4488" s="139">
        <f>IFERROR(IF(E4488&gt;0,E4488*IF(ISNUMBER(J4488),J4488,IF(OR(C4488="Alpha",B4488="Alpha"),$C$7,IF(C4488="Futures",$C$6,$C$5))),""),"")</f>
        <v/>
      </c>
      <c r="I4488" s="139">
        <f>IFERROR(IF(AND(ISNUMBER(F4488),ISNUMBER(H4488)),F4488-H4488,""),"")</f>
        <v/>
      </c>
      <c r="J4488" s="114" t="n"/>
      <c r="K4488" s="139">
        <f>IFERROR(IF(H4488&gt;0,H4488*IF(OR(C4488="Alpha",B4488="Alpha"),$C$9,$C$8),""),"")</f>
        <v/>
      </c>
      <c r="L4488" s="139">
        <f>IFERROR(IF(ISNUMBER(F4488),F4488-IF(ISNUMBER(K4488),K4488,0),""),"")</f>
        <v/>
      </c>
    </row>
    <row r="4489" ht="24" customHeight="1" s="63">
      <c r="E4489" s="139" t="n"/>
      <c r="F4489" s="139" t="n"/>
      <c r="G4489" s="140">
        <f>IFERROR(IF(E4489&gt;0,(F4489/E4489)*1000,""),"")</f>
        <v/>
      </c>
      <c r="H4489" s="139">
        <f>IFERROR(IF(E4489&gt;0,E4489*IF(ISNUMBER(J4489),J4489,IF(OR(C4489="Alpha",B4489="Alpha"),$C$7,IF(C4489="Futures",$C$6,$C$5))),""),"")</f>
        <v/>
      </c>
      <c r="I4489" s="139">
        <f>IFERROR(IF(AND(ISNUMBER(F4489),ISNUMBER(H4489)),F4489-H4489,""),"")</f>
        <v/>
      </c>
      <c r="J4489" s="114" t="n"/>
      <c r="K4489" s="139">
        <f>IFERROR(IF(H4489&gt;0,H4489*IF(OR(C4489="Alpha",B4489="Alpha"),$C$9,$C$8),""),"")</f>
        <v/>
      </c>
      <c r="L4489" s="139">
        <f>IFERROR(IF(ISNUMBER(F4489),F4489-IF(ISNUMBER(K4489),K4489,0),""),"")</f>
        <v/>
      </c>
    </row>
    <row r="4490" ht="24" customHeight="1" s="63">
      <c r="E4490" s="139" t="n"/>
      <c r="F4490" s="139" t="n"/>
      <c r="G4490" s="140">
        <f>IFERROR(IF(E4490&gt;0,(F4490/E4490)*1000,""),"")</f>
        <v/>
      </c>
      <c r="H4490" s="139">
        <f>IFERROR(IF(E4490&gt;0,E4490*IF(ISNUMBER(J4490),J4490,IF(OR(C4490="Alpha",B4490="Alpha"),$C$7,IF(C4490="Futures",$C$6,$C$5))),""),"")</f>
        <v/>
      </c>
      <c r="I4490" s="139">
        <f>IFERROR(IF(AND(ISNUMBER(F4490),ISNUMBER(H4490)),F4490-H4490,""),"")</f>
        <v/>
      </c>
      <c r="J4490" s="114" t="n"/>
      <c r="K4490" s="139">
        <f>IFERROR(IF(H4490&gt;0,H4490*IF(OR(C4490="Alpha",B4490="Alpha"),$C$9,$C$8),""),"")</f>
        <v/>
      </c>
      <c r="L4490" s="139">
        <f>IFERROR(IF(ISNUMBER(F4490),F4490-IF(ISNUMBER(K4490),K4490,0),""),"")</f>
        <v/>
      </c>
    </row>
    <row r="4491" ht="24" customHeight="1" s="63">
      <c r="E4491" s="139" t="n"/>
      <c r="F4491" s="139" t="n"/>
      <c r="G4491" s="140">
        <f>IFERROR(IF(E4491&gt;0,(F4491/E4491)*1000,""),"")</f>
        <v/>
      </c>
      <c r="H4491" s="139">
        <f>IFERROR(IF(E4491&gt;0,E4491*IF(ISNUMBER(J4491),J4491,IF(OR(C4491="Alpha",B4491="Alpha"),$C$7,IF(C4491="Futures",$C$6,$C$5))),""),"")</f>
        <v/>
      </c>
      <c r="I4491" s="139">
        <f>IFERROR(IF(AND(ISNUMBER(F4491),ISNUMBER(H4491)),F4491-H4491,""),"")</f>
        <v/>
      </c>
      <c r="J4491" s="114" t="n"/>
      <c r="K4491" s="139">
        <f>IFERROR(IF(H4491&gt;0,H4491*IF(OR(C4491="Alpha",B4491="Alpha"),$C$9,$C$8),""),"")</f>
        <v/>
      </c>
      <c r="L4491" s="139">
        <f>IFERROR(IF(ISNUMBER(F4491),F4491-IF(ISNUMBER(K4491),K4491,0),""),"")</f>
        <v/>
      </c>
    </row>
    <row r="4492" ht="24" customHeight="1" s="63">
      <c r="E4492" s="139" t="n"/>
      <c r="F4492" s="139" t="n"/>
      <c r="G4492" s="140">
        <f>IFERROR(IF(E4492&gt;0,(F4492/E4492)*1000,""),"")</f>
        <v/>
      </c>
      <c r="H4492" s="139">
        <f>IFERROR(IF(E4492&gt;0,E4492*IF(ISNUMBER(J4492),J4492,IF(OR(C4492="Alpha",B4492="Alpha"),$C$7,IF(C4492="Futures",$C$6,$C$5))),""),"")</f>
        <v/>
      </c>
      <c r="I4492" s="139">
        <f>IFERROR(IF(AND(ISNUMBER(F4492),ISNUMBER(H4492)),F4492-H4492,""),"")</f>
        <v/>
      </c>
      <c r="J4492" s="114" t="n"/>
      <c r="K4492" s="139">
        <f>IFERROR(IF(H4492&gt;0,H4492*IF(OR(C4492="Alpha",B4492="Alpha"),$C$9,$C$8),""),"")</f>
        <v/>
      </c>
      <c r="L4492" s="139">
        <f>IFERROR(IF(ISNUMBER(F4492),F4492-IF(ISNUMBER(K4492),K4492,0),""),"")</f>
        <v/>
      </c>
    </row>
    <row r="4493" ht="24" customHeight="1" s="63">
      <c r="E4493" s="139" t="n"/>
      <c r="F4493" s="139" t="n"/>
      <c r="G4493" s="140">
        <f>IFERROR(IF(E4493&gt;0,(F4493/E4493)*1000,""),"")</f>
        <v/>
      </c>
      <c r="H4493" s="139">
        <f>IFERROR(IF(E4493&gt;0,E4493*IF(ISNUMBER(J4493),J4493,IF(OR(C4493="Alpha",B4493="Alpha"),$C$7,IF(C4493="Futures",$C$6,$C$5))),""),"")</f>
        <v/>
      </c>
      <c r="I4493" s="139">
        <f>IFERROR(IF(AND(ISNUMBER(F4493),ISNUMBER(H4493)),F4493-H4493,""),"")</f>
        <v/>
      </c>
      <c r="J4493" s="114" t="n"/>
      <c r="K4493" s="139">
        <f>IFERROR(IF(H4493&gt;0,H4493*IF(OR(C4493="Alpha",B4493="Alpha"),$C$9,$C$8),""),"")</f>
        <v/>
      </c>
      <c r="L4493" s="139">
        <f>IFERROR(IF(ISNUMBER(F4493),F4493-IF(ISNUMBER(K4493),K4493,0),""),"")</f>
        <v/>
      </c>
    </row>
    <row r="4494" ht="24" customHeight="1" s="63">
      <c r="E4494" s="139" t="n"/>
      <c r="F4494" s="139" t="n"/>
      <c r="G4494" s="140">
        <f>IFERROR(IF(E4494&gt;0,(F4494/E4494)*1000,""),"")</f>
        <v/>
      </c>
      <c r="H4494" s="139">
        <f>IFERROR(IF(E4494&gt;0,E4494*IF(ISNUMBER(J4494),J4494,IF(OR(C4494="Alpha",B4494="Alpha"),$C$7,IF(C4494="Futures",$C$6,$C$5))),""),"")</f>
        <v/>
      </c>
      <c r="I4494" s="139">
        <f>IFERROR(IF(AND(ISNUMBER(F4494),ISNUMBER(H4494)),F4494-H4494,""),"")</f>
        <v/>
      </c>
      <c r="J4494" s="114" t="n"/>
      <c r="K4494" s="139">
        <f>IFERROR(IF(H4494&gt;0,H4494*IF(OR(C4494="Alpha",B4494="Alpha"),$C$9,$C$8),""),"")</f>
        <v/>
      </c>
      <c r="L4494" s="139">
        <f>IFERROR(IF(ISNUMBER(F4494),F4494-IF(ISNUMBER(K4494),K4494,0),""),"")</f>
        <v/>
      </c>
    </row>
    <row r="4495" ht="24" customHeight="1" s="63">
      <c r="E4495" s="139" t="n"/>
      <c r="F4495" s="139" t="n"/>
      <c r="G4495" s="140">
        <f>IFERROR(IF(E4495&gt;0,(F4495/E4495)*1000,""),"")</f>
        <v/>
      </c>
      <c r="H4495" s="139">
        <f>IFERROR(IF(E4495&gt;0,E4495*IF(ISNUMBER(J4495),J4495,IF(OR(C4495="Alpha",B4495="Alpha"),$C$7,IF(C4495="Futures",$C$6,$C$5))),""),"")</f>
        <v/>
      </c>
      <c r="I4495" s="139">
        <f>IFERROR(IF(AND(ISNUMBER(F4495),ISNUMBER(H4495)),F4495-H4495,""),"")</f>
        <v/>
      </c>
      <c r="J4495" s="114" t="n"/>
      <c r="K4495" s="139">
        <f>IFERROR(IF(H4495&gt;0,H4495*IF(OR(C4495="Alpha",B4495="Alpha"),$C$9,$C$8),""),"")</f>
        <v/>
      </c>
      <c r="L4495" s="139">
        <f>IFERROR(IF(ISNUMBER(F4495),F4495-IF(ISNUMBER(K4495),K4495,0),""),"")</f>
        <v/>
      </c>
    </row>
    <row r="4496" ht="24" customHeight="1" s="63">
      <c r="E4496" s="139" t="n"/>
      <c r="F4496" s="139" t="n"/>
      <c r="G4496" s="140">
        <f>IFERROR(IF(E4496&gt;0,(F4496/E4496)*1000,""),"")</f>
        <v/>
      </c>
      <c r="H4496" s="139">
        <f>IFERROR(IF(E4496&gt;0,E4496*IF(ISNUMBER(J4496),J4496,IF(OR(C4496="Alpha",B4496="Alpha"),$C$7,IF(C4496="Futures",$C$6,$C$5))),""),"")</f>
        <v/>
      </c>
      <c r="I4496" s="139">
        <f>IFERROR(IF(AND(ISNUMBER(F4496),ISNUMBER(H4496)),F4496-H4496,""),"")</f>
        <v/>
      </c>
      <c r="J4496" s="114" t="n"/>
      <c r="K4496" s="139">
        <f>IFERROR(IF(H4496&gt;0,H4496*IF(OR(C4496="Alpha",B4496="Alpha"),$C$9,$C$8),""),"")</f>
        <v/>
      </c>
      <c r="L4496" s="139">
        <f>IFERROR(IF(ISNUMBER(F4496),F4496-IF(ISNUMBER(K4496),K4496,0),""),"")</f>
        <v/>
      </c>
    </row>
    <row r="4497" ht="24" customHeight="1" s="63">
      <c r="E4497" s="139" t="n"/>
      <c r="F4497" s="139" t="n"/>
      <c r="G4497" s="140">
        <f>IFERROR(IF(E4497&gt;0,(F4497/E4497)*1000,""),"")</f>
        <v/>
      </c>
      <c r="H4497" s="139">
        <f>IFERROR(IF(E4497&gt;0,E4497*IF(ISNUMBER(J4497),J4497,IF(OR(C4497="Alpha",B4497="Alpha"),$C$7,IF(C4497="Futures",$C$6,$C$5))),""),"")</f>
        <v/>
      </c>
      <c r="I4497" s="139">
        <f>IFERROR(IF(AND(ISNUMBER(F4497),ISNUMBER(H4497)),F4497-H4497,""),"")</f>
        <v/>
      </c>
      <c r="J4497" s="114" t="n"/>
      <c r="K4497" s="139">
        <f>IFERROR(IF(H4497&gt;0,H4497*IF(OR(C4497="Alpha",B4497="Alpha"),$C$9,$C$8),""),"")</f>
        <v/>
      </c>
      <c r="L4497" s="139">
        <f>IFERROR(IF(ISNUMBER(F4497),F4497-IF(ISNUMBER(K4497),K4497,0),""),"")</f>
        <v/>
      </c>
    </row>
    <row r="4498" ht="24" customHeight="1" s="63">
      <c r="E4498" s="139" t="n"/>
      <c r="F4498" s="139" t="n"/>
      <c r="G4498" s="140">
        <f>IFERROR(IF(E4498&gt;0,(F4498/E4498)*1000,""),"")</f>
        <v/>
      </c>
      <c r="H4498" s="139">
        <f>IFERROR(IF(E4498&gt;0,E4498*IF(ISNUMBER(J4498),J4498,IF(OR(C4498="Alpha",B4498="Alpha"),$C$7,IF(C4498="Futures",$C$6,$C$5))),""),"")</f>
        <v/>
      </c>
      <c r="I4498" s="139">
        <f>IFERROR(IF(AND(ISNUMBER(F4498),ISNUMBER(H4498)),F4498-H4498,""),"")</f>
        <v/>
      </c>
      <c r="J4498" s="114" t="n"/>
      <c r="K4498" s="139">
        <f>IFERROR(IF(H4498&gt;0,H4498*IF(OR(C4498="Alpha",B4498="Alpha"),$C$9,$C$8),""),"")</f>
        <v/>
      </c>
      <c r="L4498" s="139">
        <f>IFERROR(IF(ISNUMBER(F4498),F4498-IF(ISNUMBER(K4498),K4498,0),""),"")</f>
        <v/>
      </c>
    </row>
    <row r="4499" ht="24" customHeight="1" s="63">
      <c r="E4499" s="139" t="n"/>
      <c r="F4499" s="139" t="n"/>
      <c r="G4499" s="140">
        <f>IFERROR(IF(E4499&gt;0,(F4499/E4499)*1000,""),"")</f>
        <v/>
      </c>
      <c r="H4499" s="139">
        <f>IFERROR(IF(E4499&gt;0,E4499*IF(ISNUMBER(J4499),J4499,IF(OR(C4499="Alpha",B4499="Alpha"),$C$7,IF(C4499="Futures",$C$6,$C$5))),""),"")</f>
        <v/>
      </c>
      <c r="I4499" s="139">
        <f>IFERROR(IF(AND(ISNUMBER(F4499),ISNUMBER(H4499)),F4499-H4499,""),"")</f>
        <v/>
      </c>
      <c r="J4499" s="114" t="n"/>
      <c r="K4499" s="139">
        <f>IFERROR(IF(H4499&gt;0,H4499*IF(OR(C4499="Alpha",B4499="Alpha"),$C$9,$C$8),""),"")</f>
        <v/>
      </c>
      <c r="L4499" s="139">
        <f>IFERROR(IF(ISNUMBER(F4499),F4499-IF(ISNUMBER(K4499),K4499,0),""),"")</f>
        <v/>
      </c>
    </row>
    <row r="4500" ht="24" customHeight="1" s="63">
      <c r="E4500" s="139" t="n"/>
      <c r="F4500" s="139" t="n"/>
      <c r="G4500" s="140">
        <f>IFERROR(IF(E4500&gt;0,(F4500/E4500)*1000,""),"")</f>
        <v/>
      </c>
      <c r="H4500" s="139">
        <f>IFERROR(IF(E4500&gt;0,E4500*IF(ISNUMBER(J4500),J4500,IF(OR(C4500="Alpha",B4500="Alpha"),$C$7,IF(C4500="Futures",$C$6,$C$5))),""),"")</f>
        <v/>
      </c>
      <c r="I4500" s="139">
        <f>IFERROR(IF(AND(ISNUMBER(F4500),ISNUMBER(H4500)),F4500-H4500,""),"")</f>
        <v/>
      </c>
      <c r="J4500" s="114" t="n"/>
      <c r="K4500" s="139">
        <f>IFERROR(IF(H4500&gt;0,H4500*IF(OR(C4500="Alpha",B4500="Alpha"),$C$9,$C$8),""),"")</f>
        <v/>
      </c>
      <c r="L4500" s="139">
        <f>IFERROR(IF(ISNUMBER(F4500),F4500-IF(ISNUMBER(K4500),K4500,0),""),"")</f>
        <v/>
      </c>
    </row>
    <row r="4501" ht="24" customHeight="1" s="63">
      <c r="E4501" s="139" t="n"/>
      <c r="F4501" s="139" t="n"/>
      <c r="G4501" s="140">
        <f>IFERROR(IF(E4501&gt;0,(F4501/E4501)*1000,""),"")</f>
        <v/>
      </c>
      <c r="H4501" s="139">
        <f>IFERROR(IF(E4501&gt;0,E4501*IF(ISNUMBER(J4501),J4501,IF(OR(C4501="Alpha",B4501="Alpha"),$C$7,IF(C4501="Futures",$C$6,$C$5))),""),"")</f>
        <v/>
      </c>
      <c r="I4501" s="139">
        <f>IFERROR(IF(AND(ISNUMBER(F4501),ISNUMBER(H4501)),F4501-H4501,""),"")</f>
        <v/>
      </c>
      <c r="J4501" s="114" t="n"/>
      <c r="K4501" s="139">
        <f>IFERROR(IF(H4501&gt;0,H4501*IF(OR(C4501="Alpha",B4501="Alpha"),$C$9,$C$8),""),"")</f>
        <v/>
      </c>
      <c r="L4501" s="139">
        <f>IFERROR(IF(ISNUMBER(F4501),F4501-IF(ISNUMBER(K4501),K4501,0),""),"")</f>
        <v/>
      </c>
    </row>
    <row r="4502" ht="24" customHeight="1" s="63">
      <c r="E4502" s="139" t="n"/>
      <c r="F4502" s="139" t="n"/>
      <c r="G4502" s="140">
        <f>IFERROR(IF(E4502&gt;0,(F4502/E4502)*1000,""),"")</f>
        <v/>
      </c>
      <c r="H4502" s="139">
        <f>IFERROR(IF(E4502&gt;0,E4502*IF(ISNUMBER(J4502),J4502,IF(OR(C4502="Alpha",B4502="Alpha"),$C$7,IF(C4502="Futures",$C$6,$C$5))),""),"")</f>
        <v/>
      </c>
      <c r="I4502" s="139">
        <f>IFERROR(IF(AND(ISNUMBER(F4502),ISNUMBER(H4502)),F4502-H4502,""),"")</f>
        <v/>
      </c>
      <c r="J4502" s="114" t="n"/>
      <c r="K4502" s="139">
        <f>IFERROR(IF(H4502&gt;0,H4502*IF(OR(C4502="Alpha",B4502="Alpha"),$C$9,$C$8),""),"")</f>
        <v/>
      </c>
      <c r="L4502" s="139">
        <f>IFERROR(IF(ISNUMBER(F4502),F4502-IF(ISNUMBER(K4502),K4502,0),""),"")</f>
        <v/>
      </c>
    </row>
    <row r="4503" ht="24" customHeight="1" s="63">
      <c r="E4503" s="139" t="n"/>
      <c r="F4503" s="139" t="n"/>
      <c r="G4503" s="140">
        <f>IFERROR(IF(E4503&gt;0,(F4503/E4503)*1000,""),"")</f>
        <v/>
      </c>
      <c r="H4503" s="139">
        <f>IFERROR(IF(E4503&gt;0,E4503*IF(ISNUMBER(J4503),J4503,IF(OR(C4503="Alpha",B4503="Alpha"),$C$7,IF(C4503="Futures",$C$6,$C$5))),""),"")</f>
        <v/>
      </c>
      <c r="I4503" s="139">
        <f>IFERROR(IF(AND(ISNUMBER(F4503),ISNUMBER(H4503)),F4503-H4503,""),"")</f>
        <v/>
      </c>
      <c r="J4503" s="114" t="n"/>
      <c r="K4503" s="139">
        <f>IFERROR(IF(H4503&gt;0,H4503*IF(OR(C4503="Alpha",B4503="Alpha"),$C$9,$C$8),""),"")</f>
        <v/>
      </c>
      <c r="L4503" s="139">
        <f>IFERROR(IF(ISNUMBER(F4503),F4503-IF(ISNUMBER(K4503),K4503,0),""),"")</f>
        <v/>
      </c>
    </row>
    <row r="4504" ht="24" customHeight="1" s="63">
      <c r="E4504" s="139" t="n"/>
      <c r="F4504" s="139" t="n"/>
      <c r="G4504" s="140">
        <f>IFERROR(IF(E4504&gt;0,(F4504/E4504)*1000,""),"")</f>
        <v/>
      </c>
      <c r="H4504" s="139">
        <f>IFERROR(IF(E4504&gt;0,E4504*IF(ISNUMBER(J4504),J4504,IF(OR(C4504="Alpha",B4504="Alpha"),$C$7,IF(C4504="Futures",$C$6,$C$5))),""),"")</f>
        <v/>
      </c>
      <c r="I4504" s="139">
        <f>IFERROR(IF(AND(ISNUMBER(F4504),ISNUMBER(H4504)),F4504-H4504,""),"")</f>
        <v/>
      </c>
      <c r="J4504" s="114" t="n"/>
      <c r="K4504" s="139">
        <f>IFERROR(IF(H4504&gt;0,H4504*IF(OR(C4504="Alpha",B4504="Alpha"),$C$9,$C$8),""),"")</f>
        <v/>
      </c>
      <c r="L4504" s="139">
        <f>IFERROR(IF(ISNUMBER(F4504),F4504-IF(ISNUMBER(K4504),K4504,0),""),"")</f>
        <v/>
      </c>
    </row>
    <row r="4505" ht="24" customHeight="1" s="63">
      <c r="E4505" s="139" t="n"/>
      <c r="F4505" s="139" t="n"/>
      <c r="G4505" s="140">
        <f>IFERROR(IF(E4505&gt;0,(F4505/E4505)*1000,""),"")</f>
        <v/>
      </c>
      <c r="H4505" s="139">
        <f>IFERROR(IF(E4505&gt;0,E4505*IF(ISNUMBER(J4505),J4505,IF(OR(C4505="Alpha",B4505="Alpha"),$C$7,IF(C4505="Futures",$C$6,$C$5))),""),"")</f>
        <v/>
      </c>
      <c r="I4505" s="139">
        <f>IFERROR(IF(AND(ISNUMBER(F4505),ISNUMBER(H4505)),F4505-H4505,""),"")</f>
        <v/>
      </c>
      <c r="J4505" s="114" t="n"/>
      <c r="K4505" s="139">
        <f>IFERROR(IF(H4505&gt;0,H4505*IF(OR(C4505="Alpha",B4505="Alpha"),$C$9,$C$8),""),"")</f>
        <v/>
      </c>
      <c r="L4505" s="139">
        <f>IFERROR(IF(ISNUMBER(F4505),F4505-IF(ISNUMBER(K4505),K4505,0),""),"")</f>
        <v/>
      </c>
    </row>
    <row r="4506" ht="24" customHeight="1" s="63">
      <c r="E4506" s="139" t="n"/>
      <c r="F4506" s="139" t="n"/>
      <c r="G4506" s="140">
        <f>IFERROR(IF(E4506&gt;0,(F4506/E4506)*1000,""),"")</f>
        <v/>
      </c>
      <c r="H4506" s="139">
        <f>IFERROR(IF(E4506&gt;0,E4506*IF(ISNUMBER(J4506),J4506,IF(OR(C4506="Alpha",B4506="Alpha"),$C$7,IF(C4506="Futures",$C$6,$C$5))),""),"")</f>
        <v/>
      </c>
      <c r="I4506" s="139">
        <f>IFERROR(IF(AND(ISNUMBER(F4506),ISNUMBER(H4506)),F4506-H4506,""),"")</f>
        <v/>
      </c>
      <c r="J4506" s="114" t="n"/>
      <c r="K4506" s="139">
        <f>IFERROR(IF(H4506&gt;0,H4506*IF(OR(C4506="Alpha",B4506="Alpha"),$C$9,$C$8),""),"")</f>
        <v/>
      </c>
      <c r="L4506" s="139">
        <f>IFERROR(IF(ISNUMBER(F4506),F4506-IF(ISNUMBER(K4506),K4506,0),""),"")</f>
        <v/>
      </c>
    </row>
    <row r="4507" ht="24" customHeight="1" s="63">
      <c r="E4507" s="139" t="n"/>
      <c r="F4507" s="139" t="n"/>
      <c r="G4507" s="140">
        <f>IFERROR(IF(E4507&gt;0,(F4507/E4507)*1000,""),"")</f>
        <v/>
      </c>
      <c r="H4507" s="139">
        <f>IFERROR(IF(E4507&gt;0,E4507*IF(ISNUMBER(J4507),J4507,IF(OR(C4507="Alpha",B4507="Alpha"),$C$7,IF(C4507="Futures",$C$6,$C$5))),""),"")</f>
        <v/>
      </c>
      <c r="I4507" s="139">
        <f>IFERROR(IF(AND(ISNUMBER(F4507),ISNUMBER(H4507)),F4507-H4507,""),"")</f>
        <v/>
      </c>
      <c r="J4507" s="114" t="n"/>
      <c r="K4507" s="139">
        <f>IFERROR(IF(H4507&gt;0,H4507*IF(OR(C4507="Alpha",B4507="Alpha"),$C$9,$C$8),""),"")</f>
        <v/>
      </c>
      <c r="L4507" s="139">
        <f>IFERROR(IF(ISNUMBER(F4507),F4507-IF(ISNUMBER(K4507),K4507,0),""),"")</f>
        <v/>
      </c>
    </row>
    <row r="4508" ht="24" customHeight="1" s="63">
      <c r="E4508" s="139" t="n"/>
      <c r="F4508" s="139" t="n"/>
      <c r="G4508" s="140">
        <f>IFERROR(IF(E4508&gt;0,(F4508/E4508)*1000,""),"")</f>
        <v/>
      </c>
      <c r="H4508" s="139">
        <f>IFERROR(IF(E4508&gt;0,E4508*IF(ISNUMBER(J4508),J4508,IF(OR(C4508="Alpha",B4508="Alpha"),$C$7,IF(C4508="Futures",$C$6,$C$5))),""),"")</f>
        <v/>
      </c>
      <c r="I4508" s="139">
        <f>IFERROR(IF(AND(ISNUMBER(F4508),ISNUMBER(H4508)),F4508-H4508,""),"")</f>
        <v/>
      </c>
      <c r="J4508" s="114" t="n"/>
      <c r="K4508" s="139">
        <f>IFERROR(IF(H4508&gt;0,H4508*IF(OR(C4508="Alpha",B4508="Alpha"),$C$9,$C$8),""),"")</f>
        <v/>
      </c>
      <c r="L4508" s="139">
        <f>IFERROR(IF(ISNUMBER(F4508),F4508-IF(ISNUMBER(K4508),K4508,0),""),"")</f>
        <v/>
      </c>
    </row>
    <row r="4509" ht="24" customHeight="1" s="63">
      <c r="E4509" s="139" t="n"/>
      <c r="F4509" s="139" t="n"/>
      <c r="G4509" s="140">
        <f>IFERROR(IF(E4509&gt;0,(F4509/E4509)*1000,""),"")</f>
        <v/>
      </c>
      <c r="H4509" s="139">
        <f>IFERROR(IF(E4509&gt;0,E4509*IF(ISNUMBER(J4509),J4509,IF(OR(C4509="Alpha",B4509="Alpha"),$C$7,IF(C4509="Futures",$C$6,$C$5))),""),"")</f>
        <v/>
      </c>
      <c r="I4509" s="139">
        <f>IFERROR(IF(AND(ISNUMBER(F4509),ISNUMBER(H4509)),F4509-H4509,""),"")</f>
        <v/>
      </c>
      <c r="J4509" s="114" t="n"/>
      <c r="K4509" s="139">
        <f>IFERROR(IF(H4509&gt;0,H4509*IF(OR(C4509="Alpha",B4509="Alpha"),$C$9,$C$8),""),"")</f>
        <v/>
      </c>
      <c r="L4509" s="139">
        <f>IFERROR(IF(ISNUMBER(F4509),F4509-IF(ISNUMBER(K4509),K4509,0),""),"")</f>
        <v/>
      </c>
    </row>
    <row r="4510" ht="24" customHeight="1" s="63">
      <c r="E4510" s="139" t="n"/>
      <c r="F4510" s="139" t="n"/>
      <c r="G4510" s="140">
        <f>IFERROR(IF(E4510&gt;0,(F4510/E4510)*1000,""),"")</f>
        <v/>
      </c>
      <c r="H4510" s="139">
        <f>IFERROR(IF(E4510&gt;0,E4510*IF(ISNUMBER(J4510),J4510,IF(OR(C4510="Alpha",B4510="Alpha"),$C$7,IF(C4510="Futures",$C$6,$C$5))),""),"")</f>
        <v/>
      </c>
      <c r="I4510" s="139">
        <f>IFERROR(IF(AND(ISNUMBER(F4510),ISNUMBER(H4510)),F4510-H4510,""),"")</f>
        <v/>
      </c>
      <c r="J4510" s="114" t="n"/>
      <c r="K4510" s="139">
        <f>IFERROR(IF(H4510&gt;0,H4510*IF(OR(C4510="Alpha",B4510="Alpha"),$C$9,$C$8),""),"")</f>
        <v/>
      </c>
      <c r="L4510" s="139">
        <f>IFERROR(IF(ISNUMBER(F4510),F4510-IF(ISNUMBER(K4510),K4510,0),""),"")</f>
        <v/>
      </c>
    </row>
    <row r="4511" ht="24" customHeight="1" s="63">
      <c r="E4511" s="139" t="n"/>
      <c r="F4511" s="139" t="n"/>
      <c r="G4511" s="140">
        <f>IFERROR(IF(E4511&gt;0,(F4511/E4511)*1000,""),"")</f>
        <v/>
      </c>
      <c r="H4511" s="139">
        <f>IFERROR(IF(E4511&gt;0,E4511*IF(ISNUMBER(J4511),J4511,IF(OR(C4511="Alpha",B4511="Alpha"),$C$7,IF(C4511="Futures",$C$6,$C$5))),""),"")</f>
        <v/>
      </c>
      <c r="I4511" s="139">
        <f>IFERROR(IF(AND(ISNUMBER(F4511),ISNUMBER(H4511)),F4511-H4511,""),"")</f>
        <v/>
      </c>
      <c r="J4511" s="114" t="n"/>
      <c r="K4511" s="139">
        <f>IFERROR(IF(H4511&gt;0,H4511*IF(OR(C4511="Alpha",B4511="Alpha"),$C$9,$C$8),""),"")</f>
        <v/>
      </c>
      <c r="L4511" s="139">
        <f>IFERROR(IF(ISNUMBER(F4511),F4511-IF(ISNUMBER(K4511),K4511,0),""),"")</f>
        <v/>
      </c>
    </row>
    <row r="4512" ht="24" customHeight="1" s="63">
      <c r="E4512" s="139" t="n"/>
      <c r="F4512" s="139" t="n"/>
      <c r="G4512" s="140">
        <f>IFERROR(IF(E4512&gt;0,(F4512/E4512)*1000,""),"")</f>
        <v/>
      </c>
      <c r="H4512" s="139">
        <f>IFERROR(IF(E4512&gt;0,E4512*IF(ISNUMBER(J4512),J4512,IF(OR(C4512="Alpha",B4512="Alpha"),$C$7,IF(C4512="Futures",$C$6,$C$5))),""),"")</f>
        <v/>
      </c>
      <c r="I4512" s="139">
        <f>IFERROR(IF(AND(ISNUMBER(F4512),ISNUMBER(H4512)),F4512-H4512,""),"")</f>
        <v/>
      </c>
      <c r="J4512" s="114" t="n"/>
      <c r="K4512" s="139">
        <f>IFERROR(IF(H4512&gt;0,H4512*IF(OR(C4512="Alpha",B4512="Alpha"),$C$9,$C$8),""),"")</f>
        <v/>
      </c>
      <c r="L4512" s="139">
        <f>IFERROR(IF(ISNUMBER(F4512),F4512-IF(ISNUMBER(K4512),K4512,0),""),"")</f>
        <v/>
      </c>
    </row>
    <row r="4513" ht="24" customHeight="1" s="63">
      <c r="E4513" s="139" t="n"/>
      <c r="F4513" s="139" t="n"/>
      <c r="G4513" s="140">
        <f>IFERROR(IF(E4513&gt;0,(F4513/E4513)*1000,""),"")</f>
        <v/>
      </c>
      <c r="H4513" s="139">
        <f>IFERROR(IF(E4513&gt;0,E4513*IF(ISNUMBER(J4513),J4513,IF(OR(C4513="Alpha",B4513="Alpha"),$C$7,IF(C4513="Futures",$C$6,$C$5))),""),"")</f>
        <v/>
      </c>
      <c r="I4513" s="139">
        <f>IFERROR(IF(AND(ISNUMBER(F4513),ISNUMBER(H4513)),F4513-H4513,""),"")</f>
        <v/>
      </c>
      <c r="J4513" s="114" t="n"/>
      <c r="K4513" s="139">
        <f>IFERROR(IF(H4513&gt;0,H4513*IF(OR(C4513="Alpha",B4513="Alpha"),$C$9,$C$8),""),"")</f>
        <v/>
      </c>
      <c r="L4513" s="139">
        <f>IFERROR(IF(ISNUMBER(F4513),F4513-IF(ISNUMBER(K4513),K4513,0),""),"")</f>
        <v/>
      </c>
    </row>
    <row r="4514" ht="24" customHeight="1" s="63">
      <c r="E4514" s="139" t="n"/>
      <c r="F4514" s="139" t="n"/>
      <c r="G4514" s="140">
        <f>IFERROR(IF(E4514&gt;0,(F4514/E4514)*1000,""),"")</f>
        <v/>
      </c>
      <c r="H4514" s="139">
        <f>IFERROR(IF(E4514&gt;0,E4514*IF(ISNUMBER(J4514),J4514,IF(OR(C4514="Alpha",B4514="Alpha"),$C$7,IF(C4514="Futures",$C$6,$C$5))),""),"")</f>
        <v/>
      </c>
      <c r="I4514" s="139">
        <f>IFERROR(IF(AND(ISNUMBER(F4514),ISNUMBER(H4514)),F4514-H4514,""),"")</f>
        <v/>
      </c>
      <c r="J4514" s="114" t="n"/>
      <c r="K4514" s="139">
        <f>IFERROR(IF(H4514&gt;0,H4514*IF(OR(C4514="Alpha",B4514="Alpha"),$C$9,$C$8),""),"")</f>
        <v/>
      </c>
      <c r="L4514" s="139">
        <f>IFERROR(IF(ISNUMBER(F4514),F4514-IF(ISNUMBER(K4514),K4514,0),""),"")</f>
        <v/>
      </c>
    </row>
    <row r="4515" ht="24" customHeight="1" s="63">
      <c r="E4515" s="139" t="n"/>
      <c r="F4515" s="139" t="n"/>
      <c r="G4515" s="140">
        <f>IFERROR(IF(E4515&gt;0,(F4515/E4515)*1000,""),"")</f>
        <v/>
      </c>
      <c r="H4515" s="139">
        <f>IFERROR(IF(E4515&gt;0,E4515*IF(ISNUMBER(J4515),J4515,IF(OR(C4515="Alpha",B4515="Alpha"),$C$7,IF(C4515="Futures",$C$6,$C$5))),""),"")</f>
        <v/>
      </c>
      <c r="I4515" s="139">
        <f>IFERROR(IF(AND(ISNUMBER(F4515),ISNUMBER(H4515)),F4515-H4515,""),"")</f>
        <v/>
      </c>
      <c r="J4515" s="114" t="n"/>
      <c r="K4515" s="139">
        <f>IFERROR(IF(H4515&gt;0,H4515*IF(OR(C4515="Alpha",B4515="Alpha"),$C$9,$C$8),""),"")</f>
        <v/>
      </c>
      <c r="L4515" s="139">
        <f>IFERROR(IF(ISNUMBER(F4515),F4515-IF(ISNUMBER(K4515),K4515,0),""),"")</f>
        <v/>
      </c>
    </row>
    <row r="4516" ht="24" customHeight="1" s="63">
      <c r="E4516" s="139" t="n"/>
      <c r="F4516" s="139" t="n"/>
      <c r="G4516" s="140">
        <f>IFERROR(IF(E4516&gt;0,(F4516/E4516)*1000,""),"")</f>
        <v/>
      </c>
      <c r="H4516" s="139">
        <f>IFERROR(IF(E4516&gt;0,E4516*IF(ISNUMBER(J4516),J4516,IF(OR(C4516="Alpha",B4516="Alpha"),$C$7,IF(C4516="Futures",$C$6,$C$5))),""),"")</f>
        <v/>
      </c>
      <c r="I4516" s="139">
        <f>IFERROR(IF(AND(ISNUMBER(F4516),ISNUMBER(H4516)),F4516-H4516,""),"")</f>
        <v/>
      </c>
      <c r="J4516" s="114" t="n"/>
      <c r="K4516" s="139">
        <f>IFERROR(IF(H4516&gt;0,H4516*IF(OR(C4516="Alpha",B4516="Alpha"),$C$9,$C$8),""),"")</f>
        <v/>
      </c>
      <c r="L4516" s="139">
        <f>IFERROR(IF(ISNUMBER(F4516),F4516-IF(ISNUMBER(K4516),K4516,0),""),"")</f>
        <v/>
      </c>
    </row>
    <row r="4517" ht="24" customHeight="1" s="63">
      <c r="E4517" s="139" t="n"/>
      <c r="F4517" s="139" t="n"/>
      <c r="G4517" s="140">
        <f>IFERROR(IF(E4517&gt;0,(F4517/E4517)*1000,""),"")</f>
        <v/>
      </c>
      <c r="H4517" s="139">
        <f>IFERROR(IF(E4517&gt;0,E4517*IF(ISNUMBER(J4517),J4517,IF(OR(C4517="Alpha",B4517="Alpha"),$C$7,IF(C4517="Futures",$C$6,$C$5))),""),"")</f>
        <v/>
      </c>
      <c r="I4517" s="139">
        <f>IFERROR(IF(AND(ISNUMBER(F4517),ISNUMBER(H4517)),F4517-H4517,""),"")</f>
        <v/>
      </c>
      <c r="J4517" s="114" t="n"/>
      <c r="K4517" s="139">
        <f>IFERROR(IF(H4517&gt;0,H4517*IF(OR(C4517="Alpha",B4517="Alpha"),$C$9,$C$8),""),"")</f>
        <v/>
      </c>
      <c r="L4517" s="139">
        <f>IFERROR(IF(ISNUMBER(F4517),F4517-IF(ISNUMBER(K4517),K4517,0),""),"")</f>
        <v/>
      </c>
    </row>
    <row r="4518" ht="24" customHeight="1" s="63">
      <c r="E4518" s="139" t="n"/>
      <c r="F4518" s="139" t="n"/>
      <c r="G4518" s="140">
        <f>IFERROR(IF(E4518&gt;0,(F4518/E4518)*1000,""),"")</f>
        <v/>
      </c>
      <c r="H4518" s="139">
        <f>IFERROR(IF(E4518&gt;0,E4518*IF(ISNUMBER(J4518),J4518,IF(OR(C4518="Alpha",B4518="Alpha"),$C$7,IF(C4518="Futures",$C$6,$C$5))),""),"")</f>
        <v/>
      </c>
      <c r="I4518" s="139">
        <f>IFERROR(IF(AND(ISNUMBER(F4518),ISNUMBER(H4518)),F4518-H4518,""),"")</f>
        <v/>
      </c>
      <c r="J4518" s="114" t="n"/>
      <c r="K4518" s="139">
        <f>IFERROR(IF(H4518&gt;0,H4518*IF(OR(C4518="Alpha",B4518="Alpha"),$C$9,$C$8),""),"")</f>
        <v/>
      </c>
      <c r="L4518" s="139">
        <f>IFERROR(IF(ISNUMBER(F4518),F4518-IF(ISNUMBER(K4518),K4518,0),""),"")</f>
        <v/>
      </c>
    </row>
    <row r="4519" ht="24" customHeight="1" s="63">
      <c r="E4519" s="139" t="n"/>
      <c r="F4519" s="139" t="n"/>
      <c r="G4519" s="140">
        <f>IFERROR(IF(E4519&gt;0,(F4519/E4519)*1000,""),"")</f>
        <v/>
      </c>
      <c r="H4519" s="139">
        <f>IFERROR(IF(E4519&gt;0,E4519*IF(ISNUMBER(J4519),J4519,IF(OR(C4519="Alpha",B4519="Alpha"),$C$7,IF(C4519="Futures",$C$6,$C$5))),""),"")</f>
        <v/>
      </c>
      <c r="I4519" s="139">
        <f>IFERROR(IF(AND(ISNUMBER(F4519),ISNUMBER(H4519)),F4519-H4519,""),"")</f>
        <v/>
      </c>
      <c r="J4519" s="114" t="n"/>
      <c r="K4519" s="139">
        <f>IFERROR(IF(H4519&gt;0,H4519*IF(OR(C4519="Alpha",B4519="Alpha"),$C$9,$C$8),""),"")</f>
        <v/>
      </c>
      <c r="L4519" s="139">
        <f>IFERROR(IF(ISNUMBER(F4519),F4519-IF(ISNUMBER(K4519),K4519,0),""),"")</f>
        <v/>
      </c>
    </row>
    <row r="4520" ht="24" customHeight="1" s="63">
      <c r="E4520" s="139" t="n"/>
      <c r="F4520" s="139" t="n"/>
      <c r="G4520" s="140">
        <f>IFERROR(IF(E4520&gt;0,(F4520/E4520)*1000,""),"")</f>
        <v/>
      </c>
      <c r="H4520" s="139">
        <f>IFERROR(IF(E4520&gt;0,E4520*IF(ISNUMBER(J4520),J4520,IF(OR(C4520="Alpha",B4520="Alpha"),$C$7,IF(C4520="Futures",$C$6,$C$5))),""),"")</f>
        <v/>
      </c>
      <c r="I4520" s="139">
        <f>IFERROR(IF(AND(ISNUMBER(F4520),ISNUMBER(H4520)),F4520-H4520,""),"")</f>
        <v/>
      </c>
      <c r="J4520" s="114" t="n"/>
      <c r="K4520" s="139">
        <f>IFERROR(IF(H4520&gt;0,H4520*IF(OR(C4520="Alpha",B4520="Alpha"),$C$9,$C$8),""),"")</f>
        <v/>
      </c>
      <c r="L4520" s="139">
        <f>IFERROR(IF(ISNUMBER(F4520),F4520-IF(ISNUMBER(K4520),K4520,0),""),"")</f>
        <v/>
      </c>
    </row>
    <row r="4521" ht="24" customHeight="1" s="63">
      <c r="E4521" s="139" t="n"/>
      <c r="F4521" s="139" t="n"/>
      <c r="G4521" s="140">
        <f>IFERROR(IF(E4521&gt;0,(F4521/E4521)*1000,""),"")</f>
        <v/>
      </c>
      <c r="H4521" s="139">
        <f>IFERROR(IF(E4521&gt;0,E4521*IF(ISNUMBER(J4521),J4521,IF(OR(C4521="Alpha",B4521="Alpha"),$C$7,IF(C4521="Futures",$C$6,$C$5))),""),"")</f>
        <v/>
      </c>
      <c r="I4521" s="139">
        <f>IFERROR(IF(AND(ISNUMBER(F4521),ISNUMBER(H4521)),F4521-H4521,""),"")</f>
        <v/>
      </c>
      <c r="J4521" s="114" t="n"/>
      <c r="K4521" s="139">
        <f>IFERROR(IF(H4521&gt;0,H4521*IF(OR(C4521="Alpha",B4521="Alpha"),$C$9,$C$8),""),"")</f>
        <v/>
      </c>
      <c r="L4521" s="139">
        <f>IFERROR(IF(ISNUMBER(F4521),F4521-IF(ISNUMBER(K4521),K4521,0),""),"")</f>
        <v/>
      </c>
    </row>
    <row r="4522" ht="24" customHeight="1" s="63">
      <c r="E4522" s="139" t="n"/>
      <c r="F4522" s="139" t="n"/>
      <c r="G4522" s="140">
        <f>IFERROR(IF(E4522&gt;0,(F4522/E4522)*1000,""),"")</f>
        <v/>
      </c>
      <c r="H4522" s="139">
        <f>IFERROR(IF(E4522&gt;0,E4522*IF(ISNUMBER(J4522),J4522,IF(OR(C4522="Alpha",B4522="Alpha"),$C$7,IF(C4522="Futures",$C$6,$C$5))),""),"")</f>
        <v/>
      </c>
      <c r="I4522" s="139">
        <f>IFERROR(IF(AND(ISNUMBER(F4522),ISNUMBER(H4522)),F4522-H4522,""),"")</f>
        <v/>
      </c>
      <c r="J4522" s="114" t="n"/>
      <c r="K4522" s="139">
        <f>IFERROR(IF(H4522&gt;0,H4522*IF(OR(C4522="Alpha",B4522="Alpha"),$C$9,$C$8),""),"")</f>
        <v/>
      </c>
      <c r="L4522" s="139">
        <f>IFERROR(IF(ISNUMBER(F4522),F4522-IF(ISNUMBER(K4522),K4522,0),""),"")</f>
        <v/>
      </c>
    </row>
    <row r="4523" ht="24" customHeight="1" s="63">
      <c r="E4523" s="139" t="n"/>
      <c r="F4523" s="139" t="n"/>
      <c r="G4523" s="140">
        <f>IFERROR(IF(E4523&gt;0,(F4523/E4523)*1000,""),"")</f>
        <v/>
      </c>
      <c r="H4523" s="139">
        <f>IFERROR(IF(E4523&gt;0,E4523*IF(ISNUMBER(J4523),J4523,IF(OR(C4523="Alpha",B4523="Alpha"),$C$7,IF(C4523="Futures",$C$6,$C$5))),""),"")</f>
        <v/>
      </c>
      <c r="I4523" s="139">
        <f>IFERROR(IF(AND(ISNUMBER(F4523),ISNUMBER(H4523)),F4523-H4523,""),"")</f>
        <v/>
      </c>
      <c r="J4523" s="114" t="n"/>
      <c r="K4523" s="139">
        <f>IFERROR(IF(H4523&gt;0,H4523*IF(OR(C4523="Alpha",B4523="Alpha"),$C$9,$C$8),""),"")</f>
        <v/>
      </c>
      <c r="L4523" s="139">
        <f>IFERROR(IF(ISNUMBER(F4523),F4523-IF(ISNUMBER(K4523),K4523,0),""),"")</f>
        <v/>
      </c>
    </row>
    <row r="4524" ht="24" customHeight="1" s="63">
      <c r="E4524" s="139" t="n"/>
      <c r="F4524" s="139" t="n"/>
      <c r="G4524" s="140">
        <f>IFERROR(IF(E4524&gt;0,(F4524/E4524)*1000,""),"")</f>
        <v/>
      </c>
      <c r="H4524" s="139">
        <f>IFERROR(IF(E4524&gt;0,E4524*IF(ISNUMBER(J4524),J4524,IF(OR(C4524="Alpha",B4524="Alpha"),$C$7,IF(C4524="Futures",$C$6,$C$5))),""),"")</f>
        <v/>
      </c>
      <c r="I4524" s="139">
        <f>IFERROR(IF(AND(ISNUMBER(F4524),ISNUMBER(H4524)),F4524-H4524,""),"")</f>
        <v/>
      </c>
      <c r="J4524" s="114" t="n"/>
      <c r="K4524" s="139">
        <f>IFERROR(IF(H4524&gt;0,H4524*IF(OR(C4524="Alpha",B4524="Alpha"),$C$9,$C$8),""),"")</f>
        <v/>
      </c>
      <c r="L4524" s="139">
        <f>IFERROR(IF(ISNUMBER(F4524),F4524-IF(ISNUMBER(K4524),K4524,0),""),"")</f>
        <v/>
      </c>
    </row>
    <row r="4525" ht="24" customHeight="1" s="63">
      <c r="E4525" s="139" t="n"/>
      <c r="F4525" s="139" t="n"/>
      <c r="G4525" s="140">
        <f>IFERROR(IF(E4525&gt;0,(F4525/E4525)*1000,""),"")</f>
        <v/>
      </c>
      <c r="H4525" s="139">
        <f>IFERROR(IF(E4525&gt;0,E4525*IF(ISNUMBER(J4525),J4525,IF(OR(C4525="Alpha",B4525="Alpha"),$C$7,IF(C4525="Futures",$C$6,$C$5))),""),"")</f>
        <v/>
      </c>
      <c r="I4525" s="139">
        <f>IFERROR(IF(AND(ISNUMBER(F4525),ISNUMBER(H4525)),F4525-H4525,""),"")</f>
        <v/>
      </c>
      <c r="J4525" s="114" t="n"/>
      <c r="K4525" s="139">
        <f>IFERROR(IF(H4525&gt;0,H4525*IF(OR(C4525="Alpha",B4525="Alpha"),$C$9,$C$8),""),"")</f>
        <v/>
      </c>
      <c r="L4525" s="139">
        <f>IFERROR(IF(ISNUMBER(F4525),F4525-IF(ISNUMBER(K4525),K4525,0),""),"")</f>
        <v/>
      </c>
    </row>
    <row r="4526" ht="24" customHeight="1" s="63">
      <c r="E4526" s="139" t="n"/>
      <c r="F4526" s="139" t="n"/>
      <c r="G4526" s="140">
        <f>IFERROR(IF(E4526&gt;0,(F4526/E4526)*1000,""),"")</f>
        <v/>
      </c>
      <c r="H4526" s="139">
        <f>IFERROR(IF(E4526&gt;0,E4526*IF(ISNUMBER(J4526),J4526,IF(OR(C4526="Alpha",B4526="Alpha"),$C$7,IF(C4526="Futures",$C$6,$C$5))),""),"")</f>
        <v/>
      </c>
      <c r="I4526" s="139">
        <f>IFERROR(IF(AND(ISNUMBER(F4526),ISNUMBER(H4526)),F4526-H4526,""),"")</f>
        <v/>
      </c>
      <c r="J4526" s="114" t="n"/>
      <c r="K4526" s="139">
        <f>IFERROR(IF(H4526&gt;0,H4526*IF(OR(C4526="Alpha",B4526="Alpha"),$C$9,$C$8),""),"")</f>
        <v/>
      </c>
      <c r="L4526" s="139">
        <f>IFERROR(IF(ISNUMBER(F4526),F4526-IF(ISNUMBER(K4526),K4526,0),""),"")</f>
        <v/>
      </c>
    </row>
    <row r="4527" ht="24" customHeight="1" s="63">
      <c r="E4527" s="139" t="n"/>
      <c r="F4527" s="139" t="n"/>
      <c r="G4527" s="140">
        <f>IFERROR(IF(E4527&gt;0,(F4527/E4527)*1000,""),"")</f>
        <v/>
      </c>
      <c r="H4527" s="139">
        <f>IFERROR(IF(E4527&gt;0,E4527*IF(ISNUMBER(J4527),J4527,IF(OR(C4527="Alpha",B4527="Alpha"),$C$7,IF(C4527="Futures",$C$6,$C$5))),""),"")</f>
        <v/>
      </c>
      <c r="I4527" s="139">
        <f>IFERROR(IF(AND(ISNUMBER(F4527),ISNUMBER(H4527)),F4527-H4527,""),"")</f>
        <v/>
      </c>
      <c r="J4527" s="114" t="n"/>
      <c r="K4527" s="139">
        <f>IFERROR(IF(H4527&gt;0,H4527*IF(OR(C4527="Alpha",B4527="Alpha"),$C$9,$C$8),""),"")</f>
        <v/>
      </c>
      <c r="L4527" s="139">
        <f>IFERROR(IF(ISNUMBER(F4527),F4527-IF(ISNUMBER(K4527),K4527,0),""),"")</f>
        <v/>
      </c>
    </row>
    <row r="4528" ht="24" customHeight="1" s="63">
      <c r="E4528" s="139" t="n"/>
      <c r="F4528" s="139" t="n"/>
      <c r="G4528" s="140">
        <f>IFERROR(IF(E4528&gt;0,(F4528/E4528)*1000,""),"")</f>
        <v/>
      </c>
      <c r="H4528" s="139">
        <f>IFERROR(IF(E4528&gt;0,E4528*IF(ISNUMBER(J4528),J4528,IF(OR(C4528="Alpha",B4528="Alpha"),$C$7,IF(C4528="Futures",$C$6,$C$5))),""),"")</f>
        <v/>
      </c>
      <c r="I4528" s="139">
        <f>IFERROR(IF(AND(ISNUMBER(F4528),ISNUMBER(H4528)),F4528-H4528,""),"")</f>
        <v/>
      </c>
      <c r="J4528" s="114" t="n"/>
      <c r="K4528" s="139">
        <f>IFERROR(IF(H4528&gt;0,H4528*IF(OR(C4528="Alpha",B4528="Alpha"),$C$9,$C$8),""),"")</f>
        <v/>
      </c>
      <c r="L4528" s="139">
        <f>IFERROR(IF(ISNUMBER(F4528),F4528-IF(ISNUMBER(K4528),K4528,0),""),"")</f>
        <v/>
      </c>
    </row>
    <row r="4529" ht="24" customHeight="1" s="63">
      <c r="E4529" s="139" t="n"/>
      <c r="F4529" s="139" t="n"/>
      <c r="G4529" s="140">
        <f>IFERROR(IF(E4529&gt;0,(F4529/E4529)*1000,""),"")</f>
        <v/>
      </c>
      <c r="H4529" s="139">
        <f>IFERROR(IF(E4529&gt;0,E4529*IF(ISNUMBER(J4529),J4529,IF(OR(C4529="Alpha",B4529="Alpha"),$C$7,IF(C4529="Futures",$C$6,$C$5))),""),"")</f>
        <v/>
      </c>
      <c r="I4529" s="139">
        <f>IFERROR(IF(AND(ISNUMBER(F4529),ISNUMBER(H4529)),F4529-H4529,""),"")</f>
        <v/>
      </c>
      <c r="J4529" s="114" t="n"/>
      <c r="K4529" s="139">
        <f>IFERROR(IF(H4529&gt;0,H4529*IF(OR(C4529="Alpha",B4529="Alpha"),$C$9,$C$8),""),"")</f>
        <v/>
      </c>
      <c r="L4529" s="139">
        <f>IFERROR(IF(ISNUMBER(F4529),F4529-IF(ISNUMBER(K4529),K4529,0),""),"")</f>
        <v/>
      </c>
    </row>
    <row r="4530" ht="24" customHeight="1" s="63">
      <c r="E4530" s="139" t="n"/>
      <c r="F4530" s="139" t="n"/>
      <c r="G4530" s="140">
        <f>IFERROR(IF(E4530&gt;0,(F4530/E4530)*1000,""),"")</f>
        <v/>
      </c>
      <c r="H4530" s="139">
        <f>IFERROR(IF(E4530&gt;0,E4530*IF(ISNUMBER(J4530),J4530,IF(OR(C4530="Alpha",B4530="Alpha"),$C$7,IF(C4530="Futures",$C$6,$C$5))),""),"")</f>
        <v/>
      </c>
      <c r="I4530" s="139">
        <f>IFERROR(IF(AND(ISNUMBER(F4530),ISNUMBER(H4530)),F4530-H4530,""),"")</f>
        <v/>
      </c>
      <c r="J4530" s="114" t="n"/>
      <c r="K4530" s="139">
        <f>IFERROR(IF(H4530&gt;0,H4530*IF(OR(C4530="Alpha",B4530="Alpha"),$C$9,$C$8),""),"")</f>
        <v/>
      </c>
      <c r="L4530" s="139">
        <f>IFERROR(IF(ISNUMBER(F4530),F4530-IF(ISNUMBER(K4530),K4530,0),""),"")</f>
        <v/>
      </c>
    </row>
    <row r="4531" ht="24" customHeight="1" s="63">
      <c r="E4531" s="139" t="n"/>
      <c r="F4531" s="139" t="n"/>
      <c r="G4531" s="140">
        <f>IFERROR(IF(E4531&gt;0,(F4531/E4531)*1000,""),"")</f>
        <v/>
      </c>
      <c r="H4531" s="139">
        <f>IFERROR(IF(E4531&gt;0,E4531*IF(ISNUMBER(J4531),J4531,IF(OR(C4531="Alpha",B4531="Alpha"),$C$7,IF(C4531="Futures",$C$6,$C$5))),""),"")</f>
        <v/>
      </c>
      <c r="I4531" s="139">
        <f>IFERROR(IF(AND(ISNUMBER(F4531),ISNUMBER(H4531)),F4531-H4531,""),"")</f>
        <v/>
      </c>
      <c r="J4531" s="114" t="n"/>
      <c r="K4531" s="139">
        <f>IFERROR(IF(H4531&gt;0,H4531*IF(OR(C4531="Alpha",B4531="Alpha"),$C$9,$C$8),""),"")</f>
        <v/>
      </c>
      <c r="L4531" s="139">
        <f>IFERROR(IF(ISNUMBER(F4531),F4531-IF(ISNUMBER(K4531),K4531,0),""),"")</f>
        <v/>
      </c>
    </row>
    <row r="4532" ht="24" customHeight="1" s="63">
      <c r="E4532" s="139" t="n"/>
      <c r="F4532" s="139" t="n"/>
      <c r="G4532" s="140">
        <f>IFERROR(IF(E4532&gt;0,(F4532/E4532)*1000,""),"")</f>
        <v/>
      </c>
      <c r="H4532" s="139">
        <f>IFERROR(IF(E4532&gt;0,E4532*IF(ISNUMBER(J4532),J4532,IF(OR(C4532="Alpha",B4532="Alpha"),$C$7,IF(C4532="Futures",$C$6,$C$5))),""),"")</f>
        <v/>
      </c>
      <c r="I4532" s="139">
        <f>IFERROR(IF(AND(ISNUMBER(F4532),ISNUMBER(H4532)),F4532-H4532,""),"")</f>
        <v/>
      </c>
      <c r="J4532" s="114" t="n"/>
      <c r="K4532" s="139">
        <f>IFERROR(IF(H4532&gt;0,H4532*IF(OR(C4532="Alpha",B4532="Alpha"),$C$9,$C$8),""),"")</f>
        <v/>
      </c>
      <c r="L4532" s="139">
        <f>IFERROR(IF(ISNUMBER(F4532),F4532-IF(ISNUMBER(K4532),K4532,0),""),"")</f>
        <v/>
      </c>
    </row>
    <row r="4533" ht="24" customHeight="1" s="63">
      <c r="E4533" s="139" t="n"/>
      <c r="F4533" s="139" t="n"/>
      <c r="G4533" s="140">
        <f>IFERROR(IF(E4533&gt;0,(F4533/E4533)*1000,""),"")</f>
        <v/>
      </c>
      <c r="H4533" s="139">
        <f>IFERROR(IF(E4533&gt;0,E4533*IF(ISNUMBER(J4533),J4533,IF(OR(C4533="Alpha",B4533="Alpha"),$C$7,IF(C4533="Futures",$C$6,$C$5))),""),"")</f>
        <v/>
      </c>
      <c r="I4533" s="139">
        <f>IFERROR(IF(AND(ISNUMBER(F4533),ISNUMBER(H4533)),F4533-H4533,""),"")</f>
        <v/>
      </c>
      <c r="J4533" s="114" t="n"/>
      <c r="K4533" s="139">
        <f>IFERROR(IF(H4533&gt;0,H4533*IF(OR(C4533="Alpha",B4533="Alpha"),$C$9,$C$8),""),"")</f>
        <v/>
      </c>
      <c r="L4533" s="139">
        <f>IFERROR(IF(ISNUMBER(F4533),F4533-IF(ISNUMBER(K4533),K4533,0),""),"")</f>
        <v/>
      </c>
    </row>
    <row r="4534" ht="24" customHeight="1" s="63">
      <c r="E4534" s="139" t="n"/>
      <c r="F4534" s="139" t="n"/>
      <c r="G4534" s="140">
        <f>IFERROR(IF(E4534&gt;0,(F4534/E4534)*1000,""),"")</f>
        <v/>
      </c>
      <c r="H4534" s="139">
        <f>IFERROR(IF(E4534&gt;0,E4534*IF(ISNUMBER(J4534),J4534,IF(OR(C4534="Alpha",B4534="Alpha"),$C$7,IF(C4534="Futures",$C$6,$C$5))),""),"")</f>
        <v/>
      </c>
      <c r="I4534" s="139">
        <f>IFERROR(IF(AND(ISNUMBER(F4534),ISNUMBER(H4534)),F4534-H4534,""),"")</f>
        <v/>
      </c>
      <c r="J4534" s="114" t="n"/>
      <c r="K4534" s="139">
        <f>IFERROR(IF(H4534&gt;0,H4534*IF(OR(C4534="Alpha",B4534="Alpha"),$C$9,$C$8),""),"")</f>
        <v/>
      </c>
      <c r="L4534" s="139">
        <f>IFERROR(IF(ISNUMBER(F4534),F4534-IF(ISNUMBER(K4534),K4534,0),""),"")</f>
        <v/>
      </c>
    </row>
    <row r="4535" ht="24" customHeight="1" s="63">
      <c r="E4535" s="139" t="n"/>
      <c r="F4535" s="139" t="n"/>
      <c r="G4535" s="140">
        <f>IFERROR(IF(E4535&gt;0,(F4535/E4535)*1000,""),"")</f>
        <v/>
      </c>
      <c r="H4535" s="139">
        <f>IFERROR(IF(E4535&gt;0,E4535*IF(ISNUMBER(J4535),J4535,IF(OR(C4535="Alpha",B4535="Alpha"),$C$7,IF(C4535="Futures",$C$6,$C$5))),""),"")</f>
        <v/>
      </c>
      <c r="I4535" s="139">
        <f>IFERROR(IF(AND(ISNUMBER(F4535),ISNUMBER(H4535)),F4535-H4535,""),"")</f>
        <v/>
      </c>
      <c r="J4535" s="114" t="n"/>
      <c r="K4535" s="139">
        <f>IFERROR(IF(H4535&gt;0,H4535*IF(OR(C4535="Alpha",B4535="Alpha"),$C$9,$C$8),""),"")</f>
        <v/>
      </c>
      <c r="L4535" s="139">
        <f>IFERROR(IF(ISNUMBER(F4535),F4535-IF(ISNUMBER(K4535),K4535,0),""),"")</f>
        <v/>
      </c>
    </row>
    <row r="4536" ht="24" customHeight="1" s="63">
      <c r="E4536" s="139" t="n"/>
      <c r="F4536" s="139" t="n"/>
      <c r="G4536" s="140">
        <f>IFERROR(IF(E4536&gt;0,(F4536/E4536)*1000,""),"")</f>
        <v/>
      </c>
      <c r="H4536" s="139">
        <f>IFERROR(IF(E4536&gt;0,E4536*IF(ISNUMBER(J4536),J4536,IF(OR(C4536="Alpha",B4536="Alpha"),$C$7,IF(C4536="Futures",$C$6,$C$5))),""),"")</f>
        <v/>
      </c>
      <c r="I4536" s="139">
        <f>IFERROR(IF(AND(ISNUMBER(F4536),ISNUMBER(H4536)),F4536-H4536,""),"")</f>
        <v/>
      </c>
      <c r="J4536" s="114" t="n"/>
      <c r="K4536" s="139">
        <f>IFERROR(IF(H4536&gt;0,H4536*IF(OR(C4536="Alpha",B4536="Alpha"),$C$9,$C$8),""),"")</f>
        <v/>
      </c>
      <c r="L4536" s="139">
        <f>IFERROR(IF(ISNUMBER(F4536),F4536-IF(ISNUMBER(K4536),K4536,0),""),"")</f>
        <v/>
      </c>
    </row>
    <row r="4537" ht="24" customHeight="1" s="63">
      <c r="E4537" s="139" t="n"/>
      <c r="F4537" s="139" t="n"/>
      <c r="G4537" s="140">
        <f>IFERROR(IF(E4537&gt;0,(F4537/E4537)*1000,""),"")</f>
        <v/>
      </c>
      <c r="H4537" s="139">
        <f>IFERROR(IF(E4537&gt;0,E4537*IF(ISNUMBER(J4537),J4537,IF(OR(C4537="Alpha",B4537="Alpha"),$C$7,IF(C4537="Futures",$C$6,$C$5))),""),"")</f>
        <v/>
      </c>
      <c r="I4537" s="139">
        <f>IFERROR(IF(AND(ISNUMBER(F4537),ISNUMBER(H4537)),F4537-H4537,""),"")</f>
        <v/>
      </c>
      <c r="J4537" s="114" t="n"/>
      <c r="K4537" s="139">
        <f>IFERROR(IF(H4537&gt;0,H4537*IF(OR(C4537="Alpha",B4537="Alpha"),$C$9,$C$8),""),"")</f>
        <v/>
      </c>
      <c r="L4537" s="139">
        <f>IFERROR(IF(ISNUMBER(F4537),F4537-IF(ISNUMBER(K4537),K4537,0),""),"")</f>
        <v/>
      </c>
    </row>
    <row r="4538" ht="24" customHeight="1" s="63">
      <c r="E4538" s="139" t="n"/>
      <c r="F4538" s="139" t="n"/>
      <c r="G4538" s="140">
        <f>IFERROR(IF(E4538&gt;0,(F4538/E4538)*1000,""),"")</f>
        <v/>
      </c>
      <c r="H4538" s="139">
        <f>IFERROR(IF(E4538&gt;0,E4538*IF(ISNUMBER(J4538),J4538,IF(OR(C4538="Alpha",B4538="Alpha"),$C$7,IF(C4538="Futures",$C$6,$C$5))),""),"")</f>
        <v/>
      </c>
      <c r="I4538" s="139">
        <f>IFERROR(IF(AND(ISNUMBER(F4538),ISNUMBER(H4538)),F4538-H4538,""),"")</f>
        <v/>
      </c>
      <c r="J4538" s="114" t="n"/>
      <c r="K4538" s="139">
        <f>IFERROR(IF(H4538&gt;0,H4538*IF(OR(C4538="Alpha",B4538="Alpha"),$C$9,$C$8),""),"")</f>
        <v/>
      </c>
      <c r="L4538" s="139">
        <f>IFERROR(IF(ISNUMBER(F4538),F4538-IF(ISNUMBER(K4538),K4538,0),""),"")</f>
        <v/>
      </c>
    </row>
    <row r="4539" ht="24" customHeight="1" s="63">
      <c r="E4539" s="139" t="n"/>
      <c r="F4539" s="139" t="n"/>
      <c r="G4539" s="140">
        <f>IFERROR(IF(E4539&gt;0,(F4539/E4539)*1000,""),"")</f>
        <v/>
      </c>
      <c r="H4539" s="139">
        <f>IFERROR(IF(E4539&gt;0,E4539*IF(ISNUMBER(J4539),J4539,IF(OR(C4539="Alpha",B4539="Alpha"),$C$7,IF(C4539="Futures",$C$6,$C$5))),""),"")</f>
        <v/>
      </c>
      <c r="I4539" s="139">
        <f>IFERROR(IF(AND(ISNUMBER(F4539),ISNUMBER(H4539)),F4539-H4539,""),"")</f>
        <v/>
      </c>
      <c r="J4539" s="114" t="n"/>
      <c r="K4539" s="139">
        <f>IFERROR(IF(H4539&gt;0,H4539*IF(OR(C4539="Alpha",B4539="Alpha"),$C$9,$C$8),""),"")</f>
        <v/>
      </c>
      <c r="L4539" s="139">
        <f>IFERROR(IF(ISNUMBER(F4539),F4539-IF(ISNUMBER(K4539),K4539,0),""),"")</f>
        <v/>
      </c>
    </row>
    <row r="4540" ht="24" customHeight="1" s="63">
      <c r="E4540" s="139" t="n"/>
      <c r="F4540" s="139" t="n"/>
      <c r="G4540" s="140">
        <f>IFERROR(IF(E4540&gt;0,(F4540/E4540)*1000,""),"")</f>
        <v/>
      </c>
      <c r="H4540" s="139">
        <f>IFERROR(IF(E4540&gt;0,E4540*IF(ISNUMBER(J4540),J4540,IF(OR(C4540="Alpha",B4540="Alpha"),$C$7,IF(C4540="Futures",$C$6,$C$5))),""),"")</f>
        <v/>
      </c>
      <c r="I4540" s="139">
        <f>IFERROR(IF(AND(ISNUMBER(F4540),ISNUMBER(H4540)),F4540-H4540,""),"")</f>
        <v/>
      </c>
      <c r="J4540" s="114" t="n"/>
      <c r="K4540" s="139">
        <f>IFERROR(IF(H4540&gt;0,H4540*IF(OR(C4540="Alpha",B4540="Alpha"),$C$9,$C$8),""),"")</f>
        <v/>
      </c>
      <c r="L4540" s="139">
        <f>IFERROR(IF(ISNUMBER(F4540),F4540-IF(ISNUMBER(K4540),K4540,0),""),"")</f>
        <v/>
      </c>
    </row>
    <row r="4541" ht="24" customHeight="1" s="63">
      <c r="E4541" s="139" t="n"/>
      <c r="F4541" s="139" t="n"/>
      <c r="G4541" s="140">
        <f>IFERROR(IF(E4541&gt;0,(F4541/E4541)*1000,""),"")</f>
        <v/>
      </c>
      <c r="H4541" s="139">
        <f>IFERROR(IF(E4541&gt;0,E4541*IF(ISNUMBER(J4541),J4541,IF(OR(C4541="Alpha",B4541="Alpha"),$C$7,IF(C4541="Futures",$C$6,$C$5))),""),"")</f>
        <v/>
      </c>
      <c r="I4541" s="139">
        <f>IFERROR(IF(AND(ISNUMBER(F4541),ISNUMBER(H4541)),F4541-H4541,""),"")</f>
        <v/>
      </c>
      <c r="J4541" s="114" t="n"/>
      <c r="K4541" s="139">
        <f>IFERROR(IF(H4541&gt;0,H4541*IF(OR(C4541="Alpha",B4541="Alpha"),$C$9,$C$8),""),"")</f>
        <v/>
      </c>
      <c r="L4541" s="139">
        <f>IFERROR(IF(ISNUMBER(F4541),F4541-IF(ISNUMBER(K4541),K4541,0),""),"")</f>
        <v/>
      </c>
    </row>
    <row r="4542" ht="24" customHeight="1" s="63">
      <c r="E4542" s="139" t="n"/>
      <c r="F4542" s="139" t="n"/>
      <c r="G4542" s="140">
        <f>IFERROR(IF(E4542&gt;0,(F4542/E4542)*1000,""),"")</f>
        <v/>
      </c>
      <c r="H4542" s="139">
        <f>IFERROR(IF(E4542&gt;0,E4542*IF(ISNUMBER(J4542),J4542,IF(OR(C4542="Alpha",B4542="Alpha"),$C$7,IF(C4542="Futures",$C$6,$C$5))),""),"")</f>
        <v/>
      </c>
      <c r="I4542" s="139">
        <f>IFERROR(IF(AND(ISNUMBER(F4542),ISNUMBER(H4542)),F4542-H4542,""),"")</f>
        <v/>
      </c>
      <c r="J4542" s="114" t="n"/>
      <c r="K4542" s="139">
        <f>IFERROR(IF(H4542&gt;0,H4542*IF(OR(C4542="Alpha",B4542="Alpha"),$C$9,$C$8),""),"")</f>
        <v/>
      </c>
      <c r="L4542" s="139">
        <f>IFERROR(IF(ISNUMBER(F4542),F4542-IF(ISNUMBER(K4542),K4542,0),""),"")</f>
        <v/>
      </c>
    </row>
    <row r="4543" ht="24" customHeight="1" s="63">
      <c r="E4543" s="139" t="n"/>
      <c r="F4543" s="139" t="n"/>
      <c r="G4543" s="140">
        <f>IFERROR(IF(E4543&gt;0,(F4543/E4543)*1000,""),"")</f>
        <v/>
      </c>
      <c r="H4543" s="139">
        <f>IFERROR(IF(E4543&gt;0,E4543*IF(ISNUMBER(J4543),J4543,IF(OR(C4543="Alpha",B4543="Alpha"),$C$7,IF(C4543="Futures",$C$6,$C$5))),""),"")</f>
        <v/>
      </c>
      <c r="I4543" s="139">
        <f>IFERROR(IF(AND(ISNUMBER(F4543),ISNUMBER(H4543)),F4543-H4543,""),"")</f>
        <v/>
      </c>
      <c r="J4543" s="114" t="n"/>
      <c r="K4543" s="139">
        <f>IFERROR(IF(H4543&gt;0,H4543*IF(OR(C4543="Alpha",B4543="Alpha"),$C$9,$C$8),""),"")</f>
        <v/>
      </c>
      <c r="L4543" s="139">
        <f>IFERROR(IF(ISNUMBER(F4543),F4543-IF(ISNUMBER(K4543),K4543,0),""),"")</f>
        <v/>
      </c>
    </row>
    <row r="4544" ht="24" customHeight="1" s="63">
      <c r="E4544" s="139" t="n"/>
      <c r="F4544" s="139" t="n"/>
      <c r="G4544" s="140">
        <f>IFERROR(IF(E4544&gt;0,(F4544/E4544)*1000,""),"")</f>
        <v/>
      </c>
      <c r="H4544" s="139">
        <f>IFERROR(IF(E4544&gt;0,E4544*IF(ISNUMBER(J4544),J4544,IF(OR(C4544="Alpha",B4544="Alpha"),$C$7,IF(C4544="Futures",$C$6,$C$5))),""),"")</f>
        <v/>
      </c>
      <c r="I4544" s="139">
        <f>IFERROR(IF(AND(ISNUMBER(F4544),ISNUMBER(H4544)),F4544-H4544,""),"")</f>
        <v/>
      </c>
      <c r="J4544" s="114" t="n"/>
      <c r="K4544" s="139">
        <f>IFERROR(IF(H4544&gt;0,H4544*IF(OR(C4544="Alpha",B4544="Alpha"),$C$9,$C$8),""),"")</f>
        <v/>
      </c>
      <c r="L4544" s="139">
        <f>IFERROR(IF(ISNUMBER(F4544),F4544-IF(ISNUMBER(K4544),K4544,0),""),"")</f>
        <v/>
      </c>
    </row>
    <row r="4545" ht="24" customHeight="1" s="63">
      <c r="E4545" s="139" t="n"/>
      <c r="F4545" s="139" t="n"/>
      <c r="G4545" s="140">
        <f>IFERROR(IF(E4545&gt;0,(F4545/E4545)*1000,""),"")</f>
        <v/>
      </c>
      <c r="H4545" s="139">
        <f>IFERROR(IF(E4545&gt;0,E4545*IF(ISNUMBER(J4545),J4545,IF(OR(C4545="Alpha",B4545="Alpha"),$C$7,IF(C4545="Futures",$C$6,$C$5))),""),"")</f>
        <v/>
      </c>
      <c r="I4545" s="139">
        <f>IFERROR(IF(AND(ISNUMBER(F4545),ISNUMBER(H4545)),F4545-H4545,""),"")</f>
        <v/>
      </c>
      <c r="J4545" s="114" t="n"/>
      <c r="K4545" s="139">
        <f>IFERROR(IF(H4545&gt;0,H4545*IF(OR(C4545="Alpha",B4545="Alpha"),$C$9,$C$8),""),"")</f>
        <v/>
      </c>
      <c r="L4545" s="139">
        <f>IFERROR(IF(ISNUMBER(F4545),F4545-IF(ISNUMBER(K4545),K4545,0),""),"")</f>
        <v/>
      </c>
    </row>
    <row r="4546" ht="24" customHeight="1" s="63">
      <c r="E4546" s="139" t="n"/>
      <c r="F4546" s="139" t="n"/>
      <c r="G4546" s="140">
        <f>IFERROR(IF(E4546&gt;0,(F4546/E4546)*1000,""),"")</f>
        <v/>
      </c>
      <c r="H4546" s="139">
        <f>IFERROR(IF(E4546&gt;0,E4546*IF(ISNUMBER(J4546),J4546,IF(OR(C4546="Alpha",B4546="Alpha"),$C$7,IF(C4546="Futures",$C$6,$C$5))),""),"")</f>
        <v/>
      </c>
      <c r="I4546" s="139">
        <f>IFERROR(IF(AND(ISNUMBER(F4546),ISNUMBER(H4546)),F4546-H4546,""),"")</f>
        <v/>
      </c>
      <c r="J4546" s="114" t="n"/>
      <c r="K4546" s="139">
        <f>IFERROR(IF(H4546&gt;0,H4546*IF(OR(C4546="Alpha",B4546="Alpha"),$C$9,$C$8),""),"")</f>
        <v/>
      </c>
      <c r="L4546" s="139">
        <f>IFERROR(IF(ISNUMBER(F4546),F4546-IF(ISNUMBER(K4546),K4546,0),""),"")</f>
        <v/>
      </c>
    </row>
    <row r="4547" ht="24" customHeight="1" s="63">
      <c r="E4547" s="139" t="n"/>
      <c r="F4547" s="139" t="n"/>
      <c r="G4547" s="140">
        <f>IFERROR(IF(E4547&gt;0,(F4547/E4547)*1000,""),"")</f>
        <v/>
      </c>
      <c r="H4547" s="139">
        <f>IFERROR(IF(E4547&gt;0,E4547*IF(ISNUMBER(J4547),J4547,IF(OR(C4547="Alpha",B4547="Alpha"),$C$7,IF(C4547="Futures",$C$6,$C$5))),""),"")</f>
        <v/>
      </c>
      <c r="I4547" s="139">
        <f>IFERROR(IF(AND(ISNUMBER(F4547),ISNUMBER(H4547)),F4547-H4547,""),"")</f>
        <v/>
      </c>
      <c r="J4547" s="114" t="n"/>
      <c r="K4547" s="139">
        <f>IFERROR(IF(H4547&gt;0,H4547*IF(OR(C4547="Alpha",B4547="Alpha"),$C$9,$C$8),""),"")</f>
        <v/>
      </c>
      <c r="L4547" s="139">
        <f>IFERROR(IF(ISNUMBER(F4547),F4547-IF(ISNUMBER(K4547),K4547,0),""),"")</f>
        <v/>
      </c>
    </row>
    <row r="4548" ht="24" customHeight="1" s="63">
      <c r="E4548" s="139" t="n"/>
      <c r="F4548" s="139" t="n"/>
      <c r="G4548" s="140">
        <f>IFERROR(IF(E4548&gt;0,(F4548/E4548)*1000,""),"")</f>
        <v/>
      </c>
      <c r="H4548" s="139">
        <f>IFERROR(IF(E4548&gt;0,E4548*IF(ISNUMBER(J4548),J4548,IF(OR(C4548="Alpha",B4548="Alpha"),$C$7,IF(C4548="Futures",$C$6,$C$5))),""),"")</f>
        <v/>
      </c>
      <c r="I4548" s="139">
        <f>IFERROR(IF(AND(ISNUMBER(F4548),ISNUMBER(H4548)),F4548-H4548,""),"")</f>
        <v/>
      </c>
      <c r="J4548" s="114" t="n"/>
      <c r="K4548" s="139">
        <f>IFERROR(IF(H4548&gt;0,H4548*IF(OR(C4548="Alpha",B4548="Alpha"),$C$9,$C$8),""),"")</f>
        <v/>
      </c>
      <c r="L4548" s="139">
        <f>IFERROR(IF(ISNUMBER(F4548),F4548-IF(ISNUMBER(K4548),K4548,0),""),"")</f>
        <v/>
      </c>
    </row>
    <row r="4549" ht="24" customHeight="1" s="63">
      <c r="E4549" s="139" t="n"/>
      <c r="F4549" s="139" t="n"/>
      <c r="G4549" s="140">
        <f>IFERROR(IF(E4549&gt;0,(F4549/E4549)*1000,""),"")</f>
        <v/>
      </c>
      <c r="H4549" s="139">
        <f>IFERROR(IF(E4549&gt;0,E4549*IF(ISNUMBER(J4549),J4549,IF(OR(C4549="Alpha",B4549="Alpha"),$C$7,IF(C4549="Futures",$C$6,$C$5))),""),"")</f>
        <v/>
      </c>
      <c r="I4549" s="139">
        <f>IFERROR(IF(AND(ISNUMBER(F4549),ISNUMBER(H4549)),F4549-H4549,""),"")</f>
        <v/>
      </c>
      <c r="J4549" s="114" t="n"/>
      <c r="K4549" s="139">
        <f>IFERROR(IF(H4549&gt;0,H4549*IF(OR(C4549="Alpha",B4549="Alpha"),$C$9,$C$8),""),"")</f>
        <v/>
      </c>
      <c r="L4549" s="139">
        <f>IFERROR(IF(ISNUMBER(F4549),F4549-IF(ISNUMBER(K4549),K4549,0),""),"")</f>
        <v/>
      </c>
    </row>
    <row r="4550" ht="24" customHeight="1" s="63">
      <c r="E4550" s="139" t="n"/>
      <c r="F4550" s="139" t="n"/>
      <c r="G4550" s="140">
        <f>IFERROR(IF(E4550&gt;0,(F4550/E4550)*1000,""),"")</f>
        <v/>
      </c>
      <c r="H4550" s="139">
        <f>IFERROR(IF(E4550&gt;0,E4550*IF(ISNUMBER(J4550),J4550,IF(OR(C4550="Alpha",B4550="Alpha"),$C$7,IF(C4550="Futures",$C$6,$C$5))),""),"")</f>
        <v/>
      </c>
      <c r="I4550" s="139">
        <f>IFERROR(IF(AND(ISNUMBER(F4550),ISNUMBER(H4550)),F4550-H4550,""),"")</f>
        <v/>
      </c>
      <c r="J4550" s="114" t="n"/>
      <c r="K4550" s="139">
        <f>IFERROR(IF(H4550&gt;0,H4550*IF(OR(C4550="Alpha",B4550="Alpha"),$C$9,$C$8),""),"")</f>
        <v/>
      </c>
      <c r="L4550" s="139">
        <f>IFERROR(IF(ISNUMBER(F4550),F4550-IF(ISNUMBER(K4550),K4550,0),""),"")</f>
        <v/>
      </c>
    </row>
    <row r="4551" ht="24" customHeight="1" s="63">
      <c r="E4551" s="139" t="n"/>
      <c r="F4551" s="139" t="n"/>
      <c r="G4551" s="140">
        <f>IFERROR(IF(E4551&gt;0,(F4551/E4551)*1000,""),"")</f>
        <v/>
      </c>
      <c r="H4551" s="139">
        <f>IFERROR(IF(E4551&gt;0,E4551*IF(ISNUMBER(J4551),J4551,IF(OR(C4551="Alpha",B4551="Alpha"),$C$7,IF(C4551="Futures",$C$6,$C$5))),""),"")</f>
        <v/>
      </c>
      <c r="I4551" s="139">
        <f>IFERROR(IF(AND(ISNUMBER(F4551),ISNUMBER(H4551)),F4551-H4551,""),"")</f>
        <v/>
      </c>
      <c r="J4551" s="114" t="n"/>
      <c r="K4551" s="139">
        <f>IFERROR(IF(H4551&gt;0,H4551*IF(OR(C4551="Alpha",B4551="Alpha"),$C$9,$C$8),""),"")</f>
        <v/>
      </c>
      <c r="L4551" s="139">
        <f>IFERROR(IF(ISNUMBER(F4551),F4551-IF(ISNUMBER(K4551),K4551,0),""),"")</f>
        <v/>
      </c>
    </row>
    <row r="4552" ht="24" customHeight="1" s="63">
      <c r="E4552" s="139" t="n"/>
      <c r="F4552" s="139" t="n"/>
      <c r="G4552" s="140">
        <f>IFERROR(IF(E4552&gt;0,(F4552/E4552)*1000,""),"")</f>
        <v/>
      </c>
      <c r="H4552" s="139">
        <f>IFERROR(IF(E4552&gt;0,E4552*IF(ISNUMBER(J4552),J4552,IF(OR(C4552="Alpha",B4552="Alpha"),$C$7,IF(C4552="Futures",$C$6,$C$5))),""),"")</f>
        <v/>
      </c>
      <c r="I4552" s="139">
        <f>IFERROR(IF(AND(ISNUMBER(F4552),ISNUMBER(H4552)),F4552-H4552,""),"")</f>
        <v/>
      </c>
      <c r="J4552" s="114" t="n"/>
      <c r="K4552" s="139">
        <f>IFERROR(IF(H4552&gt;0,H4552*IF(OR(C4552="Alpha",B4552="Alpha"),$C$9,$C$8),""),"")</f>
        <v/>
      </c>
      <c r="L4552" s="139">
        <f>IFERROR(IF(ISNUMBER(F4552),F4552-IF(ISNUMBER(K4552),K4552,0),""),"")</f>
        <v/>
      </c>
    </row>
    <row r="4553" ht="24" customHeight="1" s="63">
      <c r="E4553" s="139" t="n"/>
      <c r="F4553" s="139" t="n"/>
      <c r="G4553" s="140">
        <f>IFERROR(IF(E4553&gt;0,(F4553/E4553)*1000,""),"")</f>
        <v/>
      </c>
      <c r="H4553" s="139">
        <f>IFERROR(IF(E4553&gt;0,E4553*IF(ISNUMBER(J4553),J4553,IF(OR(C4553="Alpha",B4553="Alpha"),$C$7,IF(C4553="Futures",$C$6,$C$5))),""),"")</f>
        <v/>
      </c>
      <c r="I4553" s="139">
        <f>IFERROR(IF(AND(ISNUMBER(F4553),ISNUMBER(H4553)),F4553-H4553,""),"")</f>
        <v/>
      </c>
      <c r="J4553" s="114" t="n"/>
      <c r="K4553" s="139">
        <f>IFERROR(IF(H4553&gt;0,H4553*IF(OR(C4553="Alpha",B4553="Alpha"),$C$9,$C$8),""),"")</f>
        <v/>
      </c>
      <c r="L4553" s="139">
        <f>IFERROR(IF(ISNUMBER(F4553),F4553-IF(ISNUMBER(K4553),K4553,0),""),"")</f>
        <v/>
      </c>
    </row>
    <row r="4554" ht="24" customHeight="1" s="63">
      <c r="E4554" s="139" t="n"/>
      <c r="F4554" s="139" t="n"/>
      <c r="G4554" s="140">
        <f>IFERROR(IF(E4554&gt;0,(F4554/E4554)*1000,""),"")</f>
        <v/>
      </c>
      <c r="H4554" s="139">
        <f>IFERROR(IF(E4554&gt;0,E4554*IF(ISNUMBER(J4554),J4554,IF(OR(C4554="Alpha",B4554="Alpha"),$C$7,IF(C4554="Futures",$C$6,$C$5))),""),"")</f>
        <v/>
      </c>
      <c r="I4554" s="139">
        <f>IFERROR(IF(AND(ISNUMBER(F4554),ISNUMBER(H4554)),F4554-H4554,""),"")</f>
        <v/>
      </c>
      <c r="J4554" s="114" t="n"/>
      <c r="K4554" s="139">
        <f>IFERROR(IF(H4554&gt;0,H4554*IF(OR(C4554="Alpha",B4554="Alpha"),$C$9,$C$8),""),"")</f>
        <v/>
      </c>
      <c r="L4554" s="139">
        <f>IFERROR(IF(ISNUMBER(F4554),F4554-IF(ISNUMBER(K4554),K4554,0),""),"")</f>
        <v/>
      </c>
    </row>
    <row r="4555" ht="24" customHeight="1" s="63">
      <c r="E4555" s="139" t="n"/>
      <c r="F4555" s="139" t="n"/>
      <c r="G4555" s="140">
        <f>IFERROR(IF(E4555&gt;0,(F4555/E4555)*1000,""),"")</f>
        <v/>
      </c>
      <c r="H4555" s="139">
        <f>IFERROR(IF(E4555&gt;0,E4555*IF(ISNUMBER(J4555),J4555,IF(OR(C4555="Alpha",B4555="Alpha"),$C$7,IF(C4555="Futures",$C$6,$C$5))),""),"")</f>
        <v/>
      </c>
      <c r="I4555" s="139">
        <f>IFERROR(IF(AND(ISNUMBER(F4555),ISNUMBER(H4555)),F4555-H4555,""),"")</f>
        <v/>
      </c>
      <c r="J4555" s="114" t="n"/>
      <c r="K4555" s="139">
        <f>IFERROR(IF(H4555&gt;0,H4555*IF(OR(C4555="Alpha",B4555="Alpha"),$C$9,$C$8),""),"")</f>
        <v/>
      </c>
      <c r="L4555" s="139">
        <f>IFERROR(IF(ISNUMBER(F4555),F4555-IF(ISNUMBER(K4555),K4555,0),""),"")</f>
        <v/>
      </c>
    </row>
    <row r="4556" ht="24" customHeight="1" s="63">
      <c r="E4556" s="139" t="n"/>
      <c r="F4556" s="139" t="n"/>
      <c r="G4556" s="140">
        <f>IFERROR(IF(E4556&gt;0,(F4556/E4556)*1000,""),"")</f>
        <v/>
      </c>
      <c r="H4556" s="139">
        <f>IFERROR(IF(E4556&gt;0,E4556*IF(ISNUMBER(J4556),J4556,IF(OR(C4556="Alpha",B4556="Alpha"),$C$7,IF(C4556="Futures",$C$6,$C$5))),""),"")</f>
        <v/>
      </c>
      <c r="I4556" s="139">
        <f>IFERROR(IF(AND(ISNUMBER(F4556),ISNUMBER(H4556)),F4556-H4556,""),"")</f>
        <v/>
      </c>
      <c r="J4556" s="114" t="n"/>
      <c r="K4556" s="139">
        <f>IFERROR(IF(H4556&gt;0,H4556*IF(OR(C4556="Alpha",B4556="Alpha"),$C$9,$C$8),""),"")</f>
        <v/>
      </c>
      <c r="L4556" s="139">
        <f>IFERROR(IF(ISNUMBER(F4556),F4556-IF(ISNUMBER(K4556),K4556,0),""),"")</f>
        <v/>
      </c>
    </row>
    <row r="4557" ht="24" customHeight="1" s="63">
      <c r="E4557" s="139" t="n"/>
      <c r="F4557" s="139" t="n"/>
      <c r="G4557" s="140">
        <f>IFERROR(IF(E4557&gt;0,(F4557/E4557)*1000,""),"")</f>
        <v/>
      </c>
      <c r="H4557" s="139">
        <f>IFERROR(IF(E4557&gt;0,E4557*IF(ISNUMBER(J4557),J4557,IF(OR(C4557="Alpha",B4557="Alpha"),$C$7,IF(C4557="Futures",$C$6,$C$5))),""),"")</f>
        <v/>
      </c>
      <c r="I4557" s="139">
        <f>IFERROR(IF(AND(ISNUMBER(F4557),ISNUMBER(H4557)),F4557-H4557,""),"")</f>
        <v/>
      </c>
      <c r="J4557" s="114" t="n"/>
      <c r="K4557" s="139">
        <f>IFERROR(IF(H4557&gt;0,H4557*IF(OR(C4557="Alpha",B4557="Alpha"),$C$9,$C$8),""),"")</f>
        <v/>
      </c>
      <c r="L4557" s="139">
        <f>IFERROR(IF(ISNUMBER(F4557),F4557-IF(ISNUMBER(K4557),K4557,0),""),"")</f>
        <v/>
      </c>
    </row>
    <row r="4558" ht="24" customHeight="1" s="63">
      <c r="E4558" s="139" t="n"/>
      <c r="F4558" s="139" t="n"/>
      <c r="G4558" s="140">
        <f>IFERROR(IF(E4558&gt;0,(F4558/E4558)*1000,""),"")</f>
        <v/>
      </c>
      <c r="H4558" s="139">
        <f>IFERROR(IF(E4558&gt;0,E4558*IF(ISNUMBER(J4558),J4558,IF(OR(C4558="Alpha",B4558="Alpha"),$C$7,IF(C4558="Futures",$C$6,$C$5))),""),"")</f>
        <v/>
      </c>
      <c r="I4558" s="139">
        <f>IFERROR(IF(AND(ISNUMBER(F4558),ISNUMBER(H4558)),F4558-H4558,""),"")</f>
        <v/>
      </c>
      <c r="J4558" s="114" t="n"/>
      <c r="K4558" s="139">
        <f>IFERROR(IF(H4558&gt;0,H4558*IF(OR(C4558="Alpha",B4558="Alpha"),$C$9,$C$8),""),"")</f>
        <v/>
      </c>
      <c r="L4558" s="139">
        <f>IFERROR(IF(ISNUMBER(F4558),F4558-IF(ISNUMBER(K4558),K4558,0),""),"")</f>
        <v/>
      </c>
    </row>
    <row r="4559" ht="24" customHeight="1" s="63">
      <c r="E4559" s="139" t="n"/>
      <c r="F4559" s="139" t="n"/>
      <c r="G4559" s="140">
        <f>IFERROR(IF(E4559&gt;0,(F4559/E4559)*1000,""),"")</f>
        <v/>
      </c>
      <c r="H4559" s="139">
        <f>IFERROR(IF(E4559&gt;0,E4559*IF(ISNUMBER(J4559),J4559,IF(OR(C4559="Alpha",B4559="Alpha"),$C$7,IF(C4559="Futures",$C$6,$C$5))),""),"")</f>
        <v/>
      </c>
      <c r="I4559" s="139">
        <f>IFERROR(IF(AND(ISNUMBER(F4559),ISNUMBER(H4559)),F4559-H4559,""),"")</f>
        <v/>
      </c>
      <c r="J4559" s="114" t="n"/>
      <c r="K4559" s="139">
        <f>IFERROR(IF(H4559&gt;0,H4559*IF(OR(C4559="Alpha",B4559="Alpha"),$C$9,$C$8),""),"")</f>
        <v/>
      </c>
      <c r="L4559" s="139">
        <f>IFERROR(IF(ISNUMBER(F4559),F4559-IF(ISNUMBER(K4559),K4559,0),""),"")</f>
        <v/>
      </c>
    </row>
    <row r="4560" ht="24" customHeight="1" s="63">
      <c r="E4560" s="139" t="n"/>
      <c r="F4560" s="139" t="n"/>
      <c r="G4560" s="140">
        <f>IFERROR(IF(E4560&gt;0,(F4560/E4560)*1000,""),"")</f>
        <v/>
      </c>
      <c r="H4560" s="139">
        <f>IFERROR(IF(E4560&gt;0,E4560*IF(ISNUMBER(J4560),J4560,IF(OR(C4560="Alpha",B4560="Alpha"),$C$7,IF(C4560="Futures",$C$6,$C$5))),""),"")</f>
        <v/>
      </c>
      <c r="I4560" s="139">
        <f>IFERROR(IF(AND(ISNUMBER(F4560),ISNUMBER(H4560)),F4560-H4560,""),"")</f>
        <v/>
      </c>
      <c r="J4560" s="114" t="n"/>
      <c r="K4560" s="139">
        <f>IFERROR(IF(H4560&gt;0,H4560*IF(OR(C4560="Alpha",B4560="Alpha"),$C$9,$C$8),""),"")</f>
        <v/>
      </c>
      <c r="L4560" s="139">
        <f>IFERROR(IF(ISNUMBER(F4560),F4560-IF(ISNUMBER(K4560),K4560,0),""),"")</f>
        <v/>
      </c>
    </row>
    <row r="4561" ht="24" customHeight="1" s="63">
      <c r="E4561" s="139" t="n"/>
      <c r="F4561" s="139" t="n"/>
      <c r="G4561" s="140">
        <f>IFERROR(IF(E4561&gt;0,(F4561/E4561)*1000,""),"")</f>
        <v/>
      </c>
      <c r="H4561" s="139">
        <f>IFERROR(IF(E4561&gt;0,E4561*IF(ISNUMBER(J4561),J4561,IF(OR(C4561="Alpha",B4561="Alpha"),$C$7,IF(C4561="Futures",$C$6,$C$5))),""),"")</f>
        <v/>
      </c>
      <c r="I4561" s="139">
        <f>IFERROR(IF(AND(ISNUMBER(F4561),ISNUMBER(H4561)),F4561-H4561,""),"")</f>
        <v/>
      </c>
      <c r="J4561" s="114" t="n"/>
      <c r="K4561" s="139">
        <f>IFERROR(IF(H4561&gt;0,H4561*IF(OR(C4561="Alpha",B4561="Alpha"),$C$9,$C$8),""),"")</f>
        <v/>
      </c>
      <c r="L4561" s="139">
        <f>IFERROR(IF(ISNUMBER(F4561),F4561-IF(ISNUMBER(K4561),K4561,0),""),"")</f>
        <v/>
      </c>
    </row>
    <row r="4562" ht="24" customHeight="1" s="63">
      <c r="E4562" s="139" t="n"/>
      <c r="F4562" s="139" t="n"/>
      <c r="G4562" s="140">
        <f>IFERROR(IF(E4562&gt;0,(F4562/E4562)*1000,""),"")</f>
        <v/>
      </c>
      <c r="H4562" s="139">
        <f>IFERROR(IF(E4562&gt;0,E4562*IF(ISNUMBER(J4562),J4562,IF(OR(C4562="Alpha",B4562="Alpha"),$C$7,IF(C4562="Futures",$C$6,$C$5))),""),"")</f>
        <v/>
      </c>
      <c r="I4562" s="139">
        <f>IFERROR(IF(AND(ISNUMBER(F4562),ISNUMBER(H4562)),F4562-H4562,""),"")</f>
        <v/>
      </c>
      <c r="J4562" s="114" t="n"/>
      <c r="K4562" s="139">
        <f>IFERROR(IF(H4562&gt;0,H4562*IF(OR(C4562="Alpha",B4562="Alpha"),$C$9,$C$8),""),"")</f>
        <v/>
      </c>
      <c r="L4562" s="139">
        <f>IFERROR(IF(ISNUMBER(F4562),F4562-IF(ISNUMBER(K4562),K4562,0),""),"")</f>
        <v/>
      </c>
    </row>
    <row r="4563" ht="24" customHeight="1" s="63">
      <c r="E4563" s="139" t="n"/>
      <c r="F4563" s="139" t="n"/>
      <c r="G4563" s="140">
        <f>IFERROR(IF(E4563&gt;0,(F4563/E4563)*1000,""),"")</f>
        <v/>
      </c>
      <c r="H4563" s="139">
        <f>IFERROR(IF(E4563&gt;0,E4563*IF(ISNUMBER(J4563),J4563,IF(OR(C4563="Alpha",B4563="Alpha"),$C$7,IF(C4563="Futures",$C$6,$C$5))),""),"")</f>
        <v/>
      </c>
      <c r="I4563" s="139">
        <f>IFERROR(IF(AND(ISNUMBER(F4563),ISNUMBER(H4563)),F4563-H4563,""),"")</f>
        <v/>
      </c>
      <c r="J4563" s="114" t="n"/>
      <c r="K4563" s="139">
        <f>IFERROR(IF(H4563&gt;0,H4563*IF(OR(C4563="Alpha",B4563="Alpha"),$C$9,$C$8),""),"")</f>
        <v/>
      </c>
      <c r="L4563" s="139">
        <f>IFERROR(IF(ISNUMBER(F4563),F4563-IF(ISNUMBER(K4563),K4563,0),""),"")</f>
        <v/>
      </c>
    </row>
    <row r="4564" ht="24" customHeight="1" s="63">
      <c r="E4564" s="139" t="n"/>
      <c r="F4564" s="139" t="n"/>
      <c r="G4564" s="140">
        <f>IFERROR(IF(E4564&gt;0,(F4564/E4564)*1000,""),"")</f>
        <v/>
      </c>
      <c r="H4564" s="139">
        <f>IFERROR(IF(E4564&gt;0,E4564*IF(ISNUMBER(J4564),J4564,IF(OR(C4564="Alpha",B4564="Alpha"),$C$7,IF(C4564="Futures",$C$6,$C$5))),""),"")</f>
        <v/>
      </c>
      <c r="I4564" s="139">
        <f>IFERROR(IF(AND(ISNUMBER(F4564),ISNUMBER(H4564)),F4564-H4564,""),"")</f>
        <v/>
      </c>
      <c r="J4564" s="114" t="n"/>
      <c r="K4564" s="139">
        <f>IFERROR(IF(H4564&gt;0,H4564*IF(OR(C4564="Alpha",B4564="Alpha"),$C$9,$C$8),""),"")</f>
        <v/>
      </c>
      <c r="L4564" s="139">
        <f>IFERROR(IF(ISNUMBER(F4564),F4564-IF(ISNUMBER(K4564),K4564,0),""),"")</f>
        <v/>
      </c>
    </row>
    <row r="4565" ht="24" customHeight="1" s="63">
      <c r="E4565" s="139" t="n"/>
      <c r="F4565" s="139" t="n"/>
      <c r="G4565" s="140">
        <f>IFERROR(IF(E4565&gt;0,(F4565/E4565)*1000,""),"")</f>
        <v/>
      </c>
      <c r="H4565" s="139">
        <f>IFERROR(IF(E4565&gt;0,E4565*IF(ISNUMBER(J4565),J4565,IF(OR(C4565="Alpha",B4565="Alpha"),$C$7,IF(C4565="Futures",$C$6,$C$5))),""),"")</f>
        <v/>
      </c>
      <c r="I4565" s="139">
        <f>IFERROR(IF(AND(ISNUMBER(F4565),ISNUMBER(H4565)),F4565-H4565,""),"")</f>
        <v/>
      </c>
      <c r="J4565" s="114" t="n"/>
      <c r="K4565" s="139">
        <f>IFERROR(IF(H4565&gt;0,H4565*IF(OR(C4565="Alpha",B4565="Alpha"),$C$9,$C$8),""),"")</f>
        <v/>
      </c>
      <c r="L4565" s="139">
        <f>IFERROR(IF(ISNUMBER(F4565),F4565-IF(ISNUMBER(K4565),K4565,0),""),"")</f>
        <v/>
      </c>
    </row>
    <row r="4566" ht="24" customHeight="1" s="63">
      <c r="E4566" s="139" t="n"/>
      <c r="F4566" s="139" t="n"/>
      <c r="G4566" s="140">
        <f>IFERROR(IF(E4566&gt;0,(F4566/E4566)*1000,""),"")</f>
        <v/>
      </c>
      <c r="H4566" s="139">
        <f>IFERROR(IF(E4566&gt;0,E4566*IF(ISNUMBER(J4566),J4566,IF(OR(C4566="Alpha",B4566="Alpha"),$C$7,IF(C4566="Futures",$C$6,$C$5))),""),"")</f>
        <v/>
      </c>
      <c r="I4566" s="139">
        <f>IFERROR(IF(AND(ISNUMBER(F4566),ISNUMBER(H4566)),F4566-H4566,""),"")</f>
        <v/>
      </c>
      <c r="J4566" s="114" t="n"/>
      <c r="K4566" s="139">
        <f>IFERROR(IF(H4566&gt;0,H4566*IF(OR(C4566="Alpha",B4566="Alpha"),$C$9,$C$8),""),"")</f>
        <v/>
      </c>
      <c r="L4566" s="139">
        <f>IFERROR(IF(ISNUMBER(F4566),F4566-IF(ISNUMBER(K4566),K4566,0),""),"")</f>
        <v/>
      </c>
    </row>
    <row r="4567" ht="24" customHeight="1" s="63">
      <c r="E4567" s="139" t="n"/>
      <c r="F4567" s="139" t="n"/>
      <c r="G4567" s="140">
        <f>IFERROR(IF(E4567&gt;0,(F4567/E4567)*1000,""),"")</f>
        <v/>
      </c>
      <c r="H4567" s="139">
        <f>IFERROR(IF(E4567&gt;0,E4567*IF(ISNUMBER(J4567),J4567,IF(OR(C4567="Alpha",B4567="Alpha"),$C$7,IF(C4567="Futures",$C$6,$C$5))),""),"")</f>
        <v/>
      </c>
      <c r="I4567" s="139">
        <f>IFERROR(IF(AND(ISNUMBER(F4567),ISNUMBER(H4567)),F4567-H4567,""),"")</f>
        <v/>
      </c>
      <c r="J4567" s="114" t="n"/>
      <c r="K4567" s="139">
        <f>IFERROR(IF(H4567&gt;0,H4567*IF(OR(C4567="Alpha",B4567="Alpha"),$C$9,$C$8),""),"")</f>
        <v/>
      </c>
      <c r="L4567" s="139">
        <f>IFERROR(IF(ISNUMBER(F4567),F4567-IF(ISNUMBER(K4567),K4567,0),""),"")</f>
        <v/>
      </c>
    </row>
    <row r="4568" ht="24" customHeight="1" s="63">
      <c r="E4568" s="139" t="n"/>
      <c r="F4568" s="139" t="n"/>
      <c r="G4568" s="140">
        <f>IFERROR(IF(E4568&gt;0,(F4568/E4568)*1000,""),"")</f>
        <v/>
      </c>
      <c r="H4568" s="139">
        <f>IFERROR(IF(E4568&gt;0,E4568*IF(ISNUMBER(J4568),J4568,IF(OR(C4568="Alpha",B4568="Alpha"),$C$7,IF(C4568="Futures",$C$6,$C$5))),""),"")</f>
        <v/>
      </c>
      <c r="I4568" s="139">
        <f>IFERROR(IF(AND(ISNUMBER(F4568),ISNUMBER(H4568)),F4568-H4568,""),"")</f>
        <v/>
      </c>
      <c r="J4568" s="114" t="n"/>
      <c r="K4568" s="139">
        <f>IFERROR(IF(H4568&gt;0,H4568*IF(OR(C4568="Alpha",B4568="Alpha"),$C$9,$C$8),""),"")</f>
        <v/>
      </c>
      <c r="L4568" s="139">
        <f>IFERROR(IF(ISNUMBER(F4568),F4568-IF(ISNUMBER(K4568),K4568,0),""),"")</f>
        <v/>
      </c>
    </row>
    <row r="4569" ht="24" customHeight="1" s="63">
      <c r="E4569" s="139" t="n"/>
      <c r="F4569" s="139" t="n"/>
      <c r="G4569" s="140">
        <f>IFERROR(IF(E4569&gt;0,(F4569/E4569)*1000,""),"")</f>
        <v/>
      </c>
      <c r="H4569" s="139">
        <f>IFERROR(IF(E4569&gt;0,E4569*IF(ISNUMBER(J4569),J4569,IF(OR(C4569="Alpha",B4569="Alpha"),$C$7,IF(C4569="Futures",$C$6,$C$5))),""),"")</f>
        <v/>
      </c>
      <c r="I4569" s="139">
        <f>IFERROR(IF(AND(ISNUMBER(F4569),ISNUMBER(H4569)),F4569-H4569,""),"")</f>
        <v/>
      </c>
      <c r="J4569" s="114" t="n"/>
      <c r="K4569" s="139">
        <f>IFERROR(IF(H4569&gt;0,H4569*IF(OR(C4569="Alpha",B4569="Alpha"),$C$9,$C$8),""),"")</f>
        <v/>
      </c>
      <c r="L4569" s="139">
        <f>IFERROR(IF(ISNUMBER(F4569),F4569-IF(ISNUMBER(K4569),K4569,0),""),"")</f>
        <v/>
      </c>
    </row>
    <row r="4570" ht="24" customHeight="1" s="63">
      <c r="E4570" s="139" t="n"/>
      <c r="F4570" s="139" t="n"/>
      <c r="G4570" s="140">
        <f>IFERROR(IF(E4570&gt;0,(F4570/E4570)*1000,""),"")</f>
        <v/>
      </c>
      <c r="H4570" s="139">
        <f>IFERROR(IF(E4570&gt;0,E4570*IF(ISNUMBER(J4570),J4570,IF(OR(C4570="Alpha",B4570="Alpha"),$C$7,IF(C4570="Futures",$C$6,$C$5))),""),"")</f>
        <v/>
      </c>
      <c r="I4570" s="139">
        <f>IFERROR(IF(AND(ISNUMBER(F4570),ISNUMBER(H4570)),F4570-H4570,""),"")</f>
        <v/>
      </c>
      <c r="J4570" s="114" t="n"/>
      <c r="K4570" s="139">
        <f>IFERROR(IF(H4570&gt;0,H4570*IF(OR(C4570="Alpha",B4570="Alpha"),$C$9,$C$8),""),"")</f>
        <v/>
      </c>
      <c r="L4570" s="139">
        <f>IFERROR(IF(ISNUMBER(F4570),F4570-IF(ISNUMBER(K4570),K4570,0),""),"")</f>
        <v/>
      </c>
    </row>
    <row r="4571" ht="24" customHeight="1" s="63">
      <c r="E4571" s="139" t="n"/>
      <c r="F4571" s="139" t="n"/>
      <c r="G4571" s="140">
        <f>IFERROR(IF(E4571&gt;0,(F4571/E4571)*1000,""),"")</f>
        <v/>
      </c>
      <c r="H4571" s="139">
        <f>IFERROR(IF(E4571&gt;0,E4571*IF(ISNUMBER(J4571),J4571,IF(OR(C4571="Alpha",B4571="Alpha"),$C$7,IF(C4571="Futures",$C$6,$C$5))),""),"")</f>
        <v/>
      </c>
      <c r="I4571" s="139">
        <f>IFERROR(IF(AND(ISNUMBER(F4571),ISNUMBER(H4571)),F4571-H4571,""),"")</f>
        <v/>
      </c>
      <c r="J4571" s="114" t="n"/>
      <c r="K4571" s="139">
        <f>IFERROR(IF(H4571&gt;0,H4571*IF(OR(C4571="Alpha",B4571="Alpha"),$C$9,$C$8),""),"")</f>
        <v/>
      </c>
      <c r="L4571" s="139">
        <f>IFERROR(IF(ISNUMBER(F4571),F4571-IF(ISNUMBER(K4571),K4571,0),""),"")</f>
        <v/>
      </c>
    </row>
    <row r="4572" ht="24" customHeight="1" s="63">
      <c r="E4572" s="139" t="n"/>
      <c r="F4572" s="139" t="n"/>
      <c r="G4572" s="140">
        <f>IFERROR(IF(E4572&gt;0,(F4572/E4572)*1000,""),"")</f>
        <v/>
      </c>
      <c r="H4572" s="139">
        <f>IFERROR(IF(E4572&gt;0,E4572*IF(ISNUMBER(J4572),J4572,IF(OR(C4572="Alpha",B4572="Alpha"),$C$7,IF(C4572="Futures",$C$6,$C$5))),""),"")</f>
        <v/>
      </c>
      <c r="I4572" s="139">
        <f>IFERROR(IF(AND(ISNUMBER(F4572),ISNUMBER(H4572)),F4572-H4572,""),"")</f>
        <v/>
      </c>
      <c r="J4572" s="114" t="n"/>
      <c r="K4572" s="139">
        <f>IFERROR(IF(H4572&gt;0,H4572*IF(OR(C4572="Alpha",B4572="Alpha"),$C$9,$C$8),""),"")</f>
        <v/>
      </c>
      <c r="L4572" s="139">
        <f>IFERROR(IF(ISNUMBER(F4572),F4572-IF(ISNUMBER(K4572),K4572,0),""),"")</f>
        <v/>
      </c>
    </row>
    <row r="4573" ht="24" customHeight="1" s="63">
      <c r="E4573" s="139" t="n"/>
      <c r="F4573" s="139" t="n"/>
      <c r="G4573" s="140">
        <f>IFERROR(IF(E4573&gt;0,(F4573/E4573)*1000,""),"")</f>
        <v/>
      </c>
      <c r="H4573" s="139">
        <f>IFERROR(IF(E4573&gt;0,E4573*IF(ISNUMBER(J4573),J4573,IF(OR(C4573="Alpha",B4573="Alpha"),$C$7,IF(C4573="Futures",$C$6,$C$5))),""),"")</f>
        <v/>
      </c>
      <c r="I4573" s="139">
        <f>IFERROR(IF(AND(ISNUMBER(F4573),ISNUMBER(H4573)),F4573-H4573,""),"")</f>
        <v/>
      </c>
      <c r="J4573" s="114" t="n"/>
      <c r="K4573" s="139">
        <f>IFERROR(IF(H4573&gt;0,H4573*IF(OR(C4573="Alpha",B4573="Alpha"),$C$9,$C$8),""),"")</f>
        <v/>
      </c>
      <c r="L4573" s="139">
        <f>IFERROR(IF(ISNUMBER(F4573),F4573-IF(ISNUMBER(K4573),K4573,0),""),"")</f>
        <v/>
      </c>
    </row>
    <row r="4574" ht="24" customHeight="1" s="63">
      <c r="E4574" s="139" t="n"/>
      <c r="F4574" s="139" t="n"/>
      <c r="G4574" s="140">
        <f>IFERROR(IF(E4574&gt;0,(F4574/E4574)*1000,""),"")</f>
        <v/>
      </c>
      <c r="H4574" s="139">
        <f>IFERROR(IF(E4574&gt;0,E4574*IF(ISNUMBER(J4574),J4574,IF(OR(C4574="Alpha",B4574="Alpha"),$C$7,IF(C4574="Futures",$C$6,$C$5))),""),"")</f>
        <v/>
      </c>
      <c r="I4574" s="139">
        <f>IFERROR(IF(AND(ISNUMBER(F4574),ISNUMBER(H4574)),F4574-H4574,""),"")</f>
        <v/>
      </c>
      <c r="J4574" s="114" t="n"/>
      <c r="K4574" s="139">
        <f>IFERROR(IF(H4574&gt;0,H4574*IF(OR(C4574="Alpha",B4574="Alpha"),$C$9,$C$8),""),"")</f>
        <v/>
      </c>
      <c r="L4574" s="139">
        <f>IFERROR(IF(ISNUMBER(F4574),F4574-IF(ISNUMBER(K4574),K4574,0),""),"")</f>
        <v/>
      </c>
    </row>
    <row r="4575" ht="24" customHeight="1" s="63">
      <c r="E4575" s="139" t="n"/>
      <c r="F4575" s="139" t="n"/>
      <c r="G4575" s="140">
        <f>IFERROR(IF(E4575&gt;0,(F4575/E4575)*1000,""),"")</f>
        <v/>
      </c>
      <c r="H4575" s="139">
        <f>IFERROR(IF(E4575&gt;0,E4575*IF(ISNUMBER(J4575),J4575,IF(OR(C4575="Alpha",B4575="Alpha"),$C$7,IF(C4575="Futures",$C$6,$C$5))),""),"")</f>
        <v/>
      </c>
      <c r="I4575" s="139">
        <f>IFERROR(IF(AND(ISNUMBER(F4575),ISNUMBER(H4575)),F4575-H4575,""),"")</f>
        <v/>
      </c>
      <c r="J4575" s="114" t="n"/>
      <c r="K4575" s="139">
        <f>IFERROR(IF(H4575&gt;0,H4575*IF(OR(C4575="Alpha",B4575="Alpha"),$C$9,$C$8),""),"")</f>
        <v/>
      </c>
      <c r="L4575" s="139">
        <f>IFERROR(IF(ISNUMBER(F4575),F4575-IF(ISNUMBER(K4575),K4575,0),""),"")</f>
        <v/>
      </c>
    </row>
    <row r="4576" ht="24" customHeight="1" s="63">
      <c r="E4576" s="139" t="n"/>
      <c r="F4576" s="139" t="n"/>
      <c r="G4576" s="140">
        <f>IFERROR(IF(E4576&gt;0,(F4576/E4576)*1000,""),"")</f>
        <v/>
      </c>
      <c r="H4576" s="139">
        <f>IFERROR(IF(E4576&gt;0,E4576*IF(ISNUMBER(J4576),J4576,IF(OR(C4576="Alpha",B4576="Alpha"),$C$7,IF(C4576="Futures",$C$6,$C$5))),""),"")</f>
        <v/>
      </c>
      <c r="I4576" s="139">
        <f>IFERROR(IF(AND(ISNUMBER(F4576),ISNUMBER(H4576)),F4576-H4576,""),"")</f>
        <v/>
      </c>
      <c r="J4576" s="114" t="n"/>
      <c r="K4576" s="139">
        <f>IFERROR(IF(H4576&gt;0,H4576*IF(OR(C4576="Alpha",B4576="Alpha"),$C$9,$C$8),""),"")</f>
        <v/>
      </c>
      <c r="L4576" s="139">
        <f>IFERROR(IF(ISNUMBER(F4576),F4576-IF(ISNUMBER(K4576),K4576,0),""),"")</f>
        <v/>
      </c>
    </row>
    <row r="4577" ht="24" customHeight="1" s="63">
      <c r="E4577" s="139" t="n"/>
      <c r="F4577" s="139" t="n"/>
      <c r="G4577" s="140">
        <f>IFERROR(IF(E4577&gt;0,(F4577/E4577)*1000,""),"")</f>
        <v/>
      </c>
      <c r="H4577" s="139">
        <f>IFERROR(IF(E4577&gt;0,E4577*IF(ISNUMBER(J4577),J4577,IF(OR(C4577="Alpha",B4577="Alpha"),$C$7,IF(C4577="Futures",$C$6,$C$5))),""),"")</f>
        <v/>
      </c>
      <c r="I4577" s="139">
        <f>IFERROR(IF(AND(ISNUMBER(F4577),ISNUMBER(H4577)),F4577-H4577,""),"")</f>
        <v/>
      </c>
      <c r="J4577" s="114" t="n"/>
      <c r="K4577" s="139">
        <f>IFERROR(IF(H4577&gt;0,H4577*IF(OR(C4577="Alpha",B4577="Alpha"),$C$9,$C$8),""),"")</f>
        <v/>
      </c>
      <c r="L4577" s="139">
        <f>IFERROR(IF(ISNUMBER(F4577),F4577-IF(ISNUMBER(K4577),K4577,0),""),"")</f>
        <v/>
      </c>
    </row>
    <row r="4578" ht="24" customHeight="1" s="63">
      <c r="E4578" s="139" t="n"/>
      <c r="F4578" s="139" t="n"/>
      <c r="G4578" s="140">
        <f>IFERROR(IF(E4578&gt;0,(F4578/E4578)*1000,""),"")</f>
        <v/>
      </c>
      <c r="H4578" s="139">
        <f>IFERROR(IF(E4578&gt;0,E4578*IF(ISNUMBER(J4578),J4578,IF(OR(C4578="Alpha",B4578="Alpha"),$C$7,IF(C4578="Futures",$C$6,$C$5))),""),"")</f>
        <v/>
      </c>
      <c r="I4578" s="139">
        <f>IFERROR(IF(AND(ISNUMBER(F4578),ISNUMBER(H4578)),F4578-H4578,""),"")</f>
        <v/>
      </c>
      <c r="J4578" s="114" t="n"/>
      <c r="K4578" s="139">
        <f>IFERROR(IF(H4578&gt;0,H4578*IF(OR(C4578="Alpha",B4578="Alpha"),$C$9,$C$8),""),"")</f>
        <v/>
      </c>
      <c r="L4578" s="139">
        <f>IFERROR(IF(ISNUMBER(F4578),F4578-IF(ISNUMBER(K4578),K4578,0),""),"")</f>
        <v/>
      </c>
    </row>
    <row r="4579" ht="24" customHeight="1" s="63">
      <c r="E4579" s="139" t="n"/>
      <c r="F4579" s="139" t="n"/>
      <c r="G4579" s="140">
        <f>IFERROR(IF(E4579&gt;0,(F4579/E4579)*1000,""),"")</f>
        <v/>
      </c>
      <c r="H4579" s="139">
        <f>IFERROR(IF(E4579&gt;0,E4579*IF(ISNUMBER(J4579),J4579,IF(OR(C4579="Alpha",B4579="Alpha"),$C$7,IF(C4579="Futures",$C$6,$C$5))),""),"")</f>
        <v/>
      </c>
      <c r="I4579" s="139">
        <f>IFERROR(IF(AND(ISNUMBER(F4579),ISNUMBER(H4579)),F4579-H4579,""),"")</f>
        <v/>
      </c>
      <c r="J4579" s="114" t="n"/>
      <c r="K4579" s="139">
        <f>IFERROR(IF(H4579&gt;0,H4579*IF(OR(C4579="Alpha",B4579="Alpha"),$C$9,$C$8),""),"")</f>
        <v/>
      </c>
      <c r="L4579" s="139">
        <f>IFERROR(IF(ISNUMBER(F4579),F4579-IF(ISNUMBER(K4579),K4579,0),""),"")</f>
        <v/>
      </c>
    </row>
    <row r="4580" ht="24" customHeight="1" s="63">
      <c r="E4580" s="139" t="n"/>
      <c r="F4580" s="139" t="n"/>
      <c r="G4580" s="140">
        <f>IFERROR(IF(E4580&gt;0,(F4580/E4580)*1000,""),"")</f>
        <v/>
      </c>
      <c r="H4580" s="139">
        <f>IFERROR(IF(E4580&gt;0,E4580*IF(ISNUMBER(J4580),J4580,IF(OR(C4580="Alpha",B4580="Alpha"),$C$7,IF(C4580="Futures",$C$6,$C$5))),""),"")</f>
        <v/>
      </c>
      <c r="I4580" s="139">
        <f>IFERROR(IF(AND(ISNUMBER(F4580),ISNUMBER(H4580)),F4580-H4580,""),"")</f>
        <v/>
      </c>
      <c r="J4580" s="114" t="n"/>
      <c r="K4580" s="139">
        <f>IFERROR(IF(H4580&gt;0,H4580*IF(OR(C4580="Alpha",B4580="Alpha"),$C$9,$C$8),""),"")</f>
        <v/>
      </c>
      <c r="L4580" s="139">
        <f>IFERROR(IF(ISNUMBER(F4580),F4580-IF(ISNUMBER(K4580),K4580,0),""),"")</f>
        <v/>
      </c>
    </row>
    <row r="4581" ht="24" customHeight="1" s="63">
      <c r="E4581" s="139" t="n"/>
      <c r="F4581" s="139" t="n"/>
      <c r="G4581" s="140">
        <f>IFERROR(IF(E4581&gt;0,(F4581/E4581)*1000,""),"")</f>
        <v/>
      </c>
      <c r="H4581" s="139">
        <f>IFERROR(IF(E4581&gt;0,E4581*IF(ISNUMBER(J4581),J4581,IF(OR(C4581="Alpha",B4581="Alpha"),$C$7,IF(C4581="Futures",$C$6,$C$5))),""),"")</f>
        <v/>
      </c>
      <c r="I4581" s="139">
        <f>IFERROR(IF(AND(ISNUMBER(F4581),ISNUMBER(H4581)),F4581-H4581,""),"")</f>
        <v/>
      </c>
      <c r="J4581" s="114" t="n"/>
      <c r="K4581" s="139">
        <f>IFERROR(IF(H4581&gt;0,H4581*IF(OR(C4581="Alpha",B4581="Alpha"),$C$9,$C$8),""),"")</f>
        <v/>
      </c>
      <c r="L4581" s="139">
        <f>IFERROR(IF(ISNUMBER(F4581),F4581-IF(ISNUMBER(K4581),K4581,0),""),"")</f>
        <v/>
      </c>
    </row>
    <row r="4582" ht="24" customHeight="1" s="63">
      <c r="E4582" s="139" t="n"/>
      <c r="F4582" s="139" t="n"/>
      <c r="G4582" s="140">
        <f>IFERROR(IF(E4582&gt;0,(F4582/E4582)*1000,""),"")</f>
        <v/>
      </c>
      <c r="H4582" s="139">
        <f>IFERROR(IF(E4582&gt;0,E4582*IF(ISNUMBER(J4582),J4582,IF(OR(C4582="Alpha",B4582="Alpha"),$C$7,IF(C4582="Futures",$C$6,$C$5))),""),"")</f>
        <v/>
      </c>
      <c r="I4582" s="139">
        <f>IFERROR(IF(AND(ISNUMBER(F4582),ISNUMBER(H4582)),F4582-H4582,""),"")</f>
        <v/>
      </c>
      <c r="J4582" s="114" t="n"/>
      <c r="K4582" s="139">
        <f>IFERROR(IF(H4582&gt;0,H4582*IF(OR(C4582="Alpha",B4582="Alpha"),$C$9,$C$8),""),"")</f>
        <v/>
      </c>
      <c r="L4582" s="139">
        <f>IFERROR(IF(ISNUMBER(F4582),F4582-IF(ISNUMBER(K4582),K4582,0),""),"")</f>
        <v/>
      </c>
    </row>
    <row r="4583" ht="24" customHeight="1" s="63">
      <c r="E4583" s="139" t="n"/>
      <c r="F4583" s="139" t="n"/>
      <c r="G4583" s="140">
        <f>IFERROR(IF(E4583&gt;0,(F4583/E4583)*1000,""),"")</f>
        <v/>
      </c>
      <c r="H4583" s="139">
        <f>IFERROR(IF(E4583&gt;0,E4583*IF(ISNUMBER(J4583),J4583,IF(OR(C4583="Alpha",B4583="Alpha"),$C$7,IF(C4583="Futures",$C$6,$C$5))),""),"")</f>
        <v/>
      </c>
      <c r="I4583" s="139">
        <f>IFERROR(IF(AND(ISNUMBER(F4583),ISNUMBER(H4583)),F4583-H4583,""),"")</f>
        <v/>
      </c>
      <c r="J4583" s="114" t="n"/>
      <c r="K4583" s="139">
        <f>IFERROR(IF(H4583&gt;0,H4583*IF(OR(C4583="Alpha",B4583="Alpha"),$C$9,$C$8),""),"")</f>
        <v/>
      </c>
      <c r="L4583" s="139">
        <f>IFERROR(IF(ISNUMBER(F4583),F4583-IF(ISNUMBER(K4583),K4583,0),""),"")</f>
        <v/>
      </c>
    </row>
    <row r="4584" ht="24" customHeight="1" s="63">
      <c r="E4584" s="139" t="n"/>
      <c r="F4584" s="139" t="n"/>
      <c r="G4584" s="140">
        <f>IFERROR(IF(E4584&gt;0,(F4584/E4584)*1000,""),"")</f>
        <v/>
      </c>
      <c r="H4584" s="139">
        <f>IFERROR(IF(E4584&gt;0,E4584*IF(ISNUMBER(J4584),J4584,IF(OR(C4584="Alpha",B4584="Alpha"),$C$7,IF(C4584="Futures",$C$6,$C$5))),""),"")</f>
        <v/>
      </c>
      <c r="I4584" s="139">
        <f>IFERROR(IF(AND(ISNUMBER(F4584),ISNUMBER(H4584)),F4584-H4584,""),"")</f>
        <v/>
      </c>
      <c r="J4584" s="114" t="n"/>
      <c r="K4584" s="139">
        <f>IFERROR(IF(H4584&gt;0,H4584*IF(OR(C4584="Alpha",B4584="Alpha"),$C$9,$C$8),""),"")</f>
        <v/>
      </c>
      <c r="L4584" s="139">
        <f>IFERROR(IF(ISNUMBER(F4584),F4584-IF(ISNUMBER(K4584),K4584,0),""),"")</f>
        <v/>
      </c>
    </row>
    <row r="4585" ht="24" customHeight="1" s="63">
      <c r="E4585" s="139" t="n"/>
      <c r="F4585" s="139" t="n"/>
      <c r="G4585" s="140">
        <f>IFERROR(IF(E4585&gt;0,(F4585/E4585)*1000,""),"")</f>
        <v/>
      </c>
      <c r="H4585" s="139">
        <f>IFERROR(IF(E4585&gt;0,E4585*IF(ISNUMBER(J4585),J4585,IF(OR(C4585="Alpha",B4585="Alpha"),$C$7,IF(C4585="Futures",$C$6,$C$5))),""),"")</f>
        <v/>
      </c>
      <c r="I4585" s="139">
        <f>IFERROR(IF(AND(ISNUMBER(F4585),ISNUMBER(H4585)),F4585-H4585,""),"")</f>
        <v/>
      </c>
      <c r="J4585" s="114" t="n"/>
      <c r="K4585" s="139">
        <f>IFERROR(IF(H4585&gt;0,H4585*IF(OR(C4585="Alpha",B4585="Alpha"),$C$9,$C$8),""),"")</f>
        <v/>
      </c>
      <c r="L4585" s="139">
        <f>IFERROR(IF(ISNUMBER(F4585),F4585-IF(ISNUMBER(K4585),K4585,0),""),"")</f>
        <v/>
      </c>
    </row>
    <row r="4586" ht="24" customHeight="1" s="63">
      <c r="E4586" s="139" t="n"/>
      <c r="F4586" s="139" t="n"/>
      <c r="G4586" s="140">
        <f>IFERROR(IF(E4586&gt;0,(F4586/E4586)*1000,""),"")</f>
        <v/>
      </c>
      <c r="H4586" s="139">
        <f>IFERROR(IF(E4586&gt;0,E4586*IF(ISNUMBER(J4586),J4586,IF(OR(C4586="Alpha",B4586="Alpha"),$C$7,IF(C4586="Futures",$C$6,$C$5))),""),"")</f>
        <v/>
      </c>
      <c r="I4586" s="139">
        <f>IFERROR(IF(AND(ISNUMBER(F4586),ISNUMBER(H4586)),F4586-H4586,""),"")</f>
        <v/>
      </c>
      <c r="J4586" s="114" t="n"/>
      <c r="K4586" s="139">
        <f>IFERROR(IF(H4586&gt;0,H4586*IF(OR(C4586="Alpha",B4586="Alpha"),$C$9,$C$8),""),"")</f>
        <v/>
      </c>
      <c r="L4586" s="139">
        <f>IFERROR(IF(ISNUMBER(F4586),F4586-IF(ISNUMBER(K4586),K4586,0),""),"")</f>
        <v/>
      </c>
    </row>
    <row r="4587" ht="24" customHeight="1" s="63">
      <c r="E4587" s="139" t="n"/>
      <c r="F4587" s="139" t="n"/>
      <c r="G4587" s="140">
        <f>IFERROR(IF(E4587&gt;0,(F4587/E4587)*1000,""),"")</f>
        <v/>
      </c>
      <c r="H4587" s="139">
        <f>IFERROR(IF(E4587&gt;0,E4587*IF(ISNUMBER(J4587),J4587,IF(OR(C4587="Alpha",B4587="Alpha"),$C$7,IF(C4587="Futures",$C$6,$C$5))),""),"")</f>
        <v/>
      </c>
      <c r="I4587" s="139">
        <f>IFERROR(IF(AND(ISNUMBER(F4587),ISNUMBER(H4587)),F4587-H4587,""),"")</f>
        <v/>
      </c>
      <c r="J4587" s="114" t="n"/>
      <c r="K4587" s="139">
        <f>IFERROR(IF(H4587&gt;0,H4587*IF(OR(C4587="Alpha",B4587="Alpha"),$C$9,$C$8),""),"")</f>
        <v/>
      </c>
      <c r="L4587" s="139">
        <f>IFERROR(IF(ISNUMBER(F4587),F4587-IF(ISNUMBER(K4587),K4587,0),""),"")</f>
        <v/>
      </c>
    </row>
    <row r="4588" ht="24" customHeight="1" s="63">
      <c r="E4588" s="139" t="n"/>
      <c r="F4588" s="139" t="n"/>
      <c r="G4588" s="140">
        <f>IFERROR(IF(E4588&gt;0,(F4588/E4588)*1000,""),"")</f>
        <v/>
      </c>
      <c r="H4588" s="139">
        <f>IFERROR(IF(E4588&gt;0,E4588*IF(ISNUMBER(J4588),J4588,IF(OR(C4588="Alpha",B4588="Alpha"),$C$7,IF(C4588="Futures",$C$6,$C$5))),""),"")</f>
        <v/>
      </c>
      <c r="I4588" s="139">
        <f>IFERROR(IF(AND(ISNUMBER(F4588),ISNUMBER(H4588)),F4588-H4588,""),"")</f>
        <v/>
      </c>
      <c r="J4588" s="114" t="n"/>
      <c r="K4588" s="139">
        <f>IFERROR(IF(H4588&gt;0,H4588*IF(OR(C4588="Alpha",B4588="Alpha"),$C$9,$C$8),""),"")</f>
        <v/>
      </c>
      <c r="L4588" s="139">
        <f>IFERROR(IF(ISNUMBER(F4588),F4588-IF(ISNUMBER(K4588),K4588,0),""),"")</f>
        <v/>
      </c>
    </row>
    <row r="4589" ht="24" customHeight="1" s="63">
      <c r="E4589" s="139" t="n"/>
      <c r="F4589" s="139" t="n"/>
      <c r="G4589" s="140">
        <f>IFERROR(IF(E4589&gt;0,(F4589/E4589)*1000,""),"")</f>
        <v/>
      </c>
      <c r="H4589" s="139">
        <f>IFERROR(IF(E4589&gt;0,E4589*IF(ISNUMBER(J4589),J4589,IF(OR(C4589="Alpha",B4589="Alpha"),$C$7,IF(C4589="Futures",$C$6,$C$5))),""),"")</f>
        <v/>
      </c>
      <c r="I4589" s="139">
        <f>IFERROR(IF(AND(ISNUMBER(F4589),ISNUMBER(H4589)),F4589-H4589,""),"")</f>
        <v/>
      </c>
      <c r="J4589" s="114" t="n"/>
      <c r="K4589" s="139">
        <f>IFERROR(IF(H4589&gt;0,H4589*IF(OR(C4589="Alpha",B4589="Alpha"),$C$9,$C$8),""),"")</f>
        <v/>
      </c>
      <c r="L4589" s="139">
        <f>IFERROR(IF(ISNUMBER(F4589),F4589-IF(ISNUMBER(K4589),K4589,0),""),"")</f>
        <v/>
      </c>
    </row>
    <row r="4590" ht="24" customHeight="1" s="63">
      <c r="E4590" s="139" t="n"/>
      <c r="F4590" s="139" t="n"/>
      <c r="G4590" s="140">
        <f>IFERROR(IF(E4590&gt;0,(F4590/E4590)*1000,""),"")</f>
        <v/>
      </c>
      <c r="H4590" s="139">
        <f>IFERROR(IF(E4590&gt;0,E4590*IF(ISNUMBER(J4590),J4590,IF(OR(C4590="Alpha",B4590="Alpha"),$C$7,IF(C4590="Futures",$C$6,$C$5))),""),"")</f>
        <v/>
      </c>
      <c r="I4590" s="139">
        <f>IFERROR(IF(AND(ISNUMBER(F4590),ISNUMBER(H4590)),F4590-H4590,""),"")</f>
        <v/>
      </c>
      <c r="J4590" s="114" t="n"/>
      <c r="K4590" s="139">
        <f>IFERROR(IF(H4590&gt;0,H4590*IF(OR(C4590="Alpha",B4590="Alpha"),$C$9,$C$8),""),"")</f>
        <v/>
      </c>
      <c r="L4590" s="139">
        <f>IFERROR(IF(ISNUMBER(F4590),F4590-IF(ISNUMBER(K4590),K4590,0),""),"")</f>
        <v/>
      </c>
    </row>
    <row r="4591" ht="24" customHeight="1" s="63">
      <c r="E4591" s="139" t="n"/>
      <c r="F4591" s="139" t="n"/>
      <c r="G4591" s="140">
        <f>IFERROR(IF(E4591&gt;0,(F4591/E4591)*1000,""),"")</f>
        <v/>
      </c>
      <c r="H4591" s="139">
        <f>IFERROR(IF(E4591&gt;0,E4591*IF(ISNUMBER(J4591),J4591,IF(OR(C4591="Alpha",B4591="Alpha"),$C$7,IF(C4591="Futures",$C$6,$C$5))),""),"")</f>
        <v/>
      </c>
      <c r="I4591" s="139">
        <f>IFERROR(IF(AND(ISNUMBER(F4591),ISNUMBER(H4591)),F4591-H4591,""),"")</f>
        <v/>
      </c>
      <c r="J4591" s="114" t="n"/>
      <c r="K4591" s="139">
        <f>IFERROR(IF(H4591&gt;0,H4591*IF(OR(C4591="Alpha",B4591="Alpha"),$C$9,$C$8),""),"")</f>
        <v/>
      </c>
      <c r="L4591" s="139">
        <f>IFERROR(IF(ISNUMBER(F4591),F4591-IF(ISNUMBER(K4591),K4591,0),""),"")</f>
        <v/>
      </c>
    </row>
    <row r="4592" ht="24" customHeight="1" s="63">
      <c r="E4592" s="139" t="n"/>
      <c r="F4592" s="139" t="n"/>
      <c r="G4592" s="140">
        <f>IFERROR(IF(E4592&gt;0,(F4592/E4592)*1000,""),"")</f>
        <v/>
      </c>
      <c r="H4592" s="139">
        <f>IFERROR(IF(E4592&gt;0,E4592*IF(ISNUMBER(J4592),J4592,IF(OR(C4592="Alpha",B4592="Alpha"),$C$7,IF(C4592="Futures",$C$6,$C$5))),""),"")</f>
        <v/>
      </c>
      <c r="I4592" s="139">
        <f>IFERROR(IF(AND(ISNUMBER(F4592),ISNUMBER(H4592)),F4592-H4592,""),"")</f>
        <v/>
      </c>
      <c r="J4592" s="114" t="n"/>
      <c r="K4592" s="139">
        <f>IFERROR(IF(H4592&gt;0,H4592*IF(OR(C4592="Alpha",B4592="Alpha"),$C$9,$C$8),""),"")</f>
        <v/>
      </c>
      <c r="L4592" s="139">
        <f>IFERROR(IF(ISNUMBER(F4592),F4592-IF(ISNUMBER(K4592),K4592,0),""),"")</f>
        <v/>
      </c>
    </row>
    <row r="4593" ht="24" customHeight="1" s="63">
      <c r="E4593" s="139" t="n"/>
      <c r="F4593" s="139" t="n"/>
      <c r="G4593" s="140">
        <f>IFERROR(IF(E4593&gt;0,(F4593/E4593)*1000,""),"")</f>
        <v/>
      </c>
      <c r="H4593" s="139">
        <f>IFERROR(IF(E4593&gt;0,E4593*IF(ISNUMBER(J4593),J4593,IF(OR(C4593="Alpha",B4593="Alpha"),$C$7,IF(C4593="Futures",$C$6,$C$5))),""),"")</f>
        <v/>
      </c>
      <c r="I4593" s="139">
        <f>IFERROR(IF(AND(ISNUMBER(F4593),ISNUMBER(H4593)),F4593-H4593,""),"")</f>
        <v/>
      </c>
      <c r="J4593" s="114" t="n"/>
      <c r="K4593" s="139">
        <f>IFERROR(IF(H4593&gt;0,H4593*IF(OR(C4593="Alpha",B4593="Alpha"),$C$9,$C$8),""),"")</f>
        <v/>
      </c>
      <c r="L4593" s="139">
        <f>IFERROR(IF(ISNUMBER(F4593),F4593-IF(ISNUMBER(K4593),K4593,0),""),"")</f>
        <v/>
      </c>
    </row>
    <row r="4594" ht="24" customHeight="1" s="63">
      <c r="E4594" s="139" t="n"/>
      <c r="F4594" s="139" t="n"/>
      <c r="G4594" s="140">
        <f>IFERROR(IF(E4594&gt;0,(F4594/E4594)*1000,""),"")</f>
        <v/>
      </c>
      <c r="H4594" s="139">
        <f>IFERROR(IF(E4594&gt;0,E4594*IF(ISNUMBER(J4594),J4594,IF(OR(C4594="Alpha",B4594="Alpha"),$C$7,IF(C4594="Futures",$C$6,$C$5))),""),"")</f>
        <v/>
      </c>
      <c r="I4594" s="139">
        <f>IFERROR(IF(AND(ISNUMBER(F4594),ISNUMBER(H4594)),F4594-H4594,""),"")</f>
        <v/>
      </c>
      <c r="J4594" s="114" t="n"/>
      <c r="K4594" s="139">
        <f>IFERROR(IF(H4594&gt;0,H4594*IF(OR(C4594="Alpha",B4594="Alpha"),$C$9,$C$8),""),"")</f>
        <v/>
      </c>
      <c r="L4594" s="139">
        <f>IFERROR(IF(ISNUMBER(F4594),F4594-IF(ISNUMBER(K4594),K4594,0),""),"")</f>
        <v/>
      </c>
    </row>
    <row r="4595" ht="24" customHeight="1" s="63">
      <c r="E4595" s="139" t="n"/>
      <c r="F4595" s="139" t="n"/>
      <c r="G4595" s="140">
        <f>IFERROR(IF(E4595&gt;0,(F4595/E4595)*1000,""),"")</f>
        <v/>
      </c>
      <c r="H4595" s="139">
        <f>IFERROR(IF(E4595&gt;0,E4595*IF(ISNUMBER(J4595),J4595,IF(OR(C4595="Alpha",B4595="Alpha"),$C$7,IF(C4595="Futures",$C$6,$C$5))),""),"")</f>
        <v/>
      </c>
      <c r="I4595" s="139">
        <f>IFERROR(IF(AND(ISNUMBER(F4595),ISNUMBER(H4595)),F4595-H4595,""),"")</f>
        <v/>
      </c>
      <c r="J4595" s="114" t="n"/>
      <c r="K4595" s="139">
        <f>IFERROR(IF(H4595&gt;0,H4595*IF(OR(C4595="Alpha",B4595="Alpha"),$C$9,$C$8),""),"")</f>
        <v/>
      </c>
      <c r="L4595" s="139">
        <f>IFERROR(IF(ISNUMBER(F4595),F4595-IF(ISNUMBER(K4595),K4595,0),""),"")</f>
        <v/>
      </c>
    </row>
    <row r="4596" ht="24" customHeight="1" s="63">
      <c r="E4596" s="139" t="n"/>
      <c r="F4596" s="139" t="n"/>
      <c r="G4596" s="140">
        <f>IFERROR(IF(E4596&gt;0,(F4596/E4596)*1000,""),"")</f>
        <v/>
      </c>
      <c r="H4596" s="139">
        <f>IFERROR(IF(E4596&gt;0,E4596*IF(ISNUMBER(J4596),J4596,IF(OR(C4596="Alpha",B4596="Alpha"),$C$7,IF(C4596="Futures",$C$6,$C$5))),""),"")</f>
        <v/>
      </c>
      <c r="I4596" s="139">
        <f>IFERROR(IF(AND(ISNUMBER(F4596),ISNUMBER(H4596)),F4596-H4596,""),"")</f>
        <v/>
      </c>
      <c r="J4596" s="114" t="n"/>
      <c r="K4596" s="139">
        <f>IFERROR(IF(H4596&gt;0,H4596*IF(OR(C4596="Alpha",B4596="Alpha"),$C$9,$C$8),""),"")</f>
        <v/>
      </c>
      <c r="L4596" s="139">
        <f>IFERROR(IF(ISNUMBER(F4596),F4596-IF(ISNUMBER(K4596),K4596,0),""),"")</f>
        <v/>
      </c>
    </row>
    <row r="4597" ht="24" customHeight="1" s="63">
      <c r="E4597" s="139" t="n"/>
      <c r="F4597" s="139" t="n"/>
      <c r="G4597" s="140">
        <f>IFERROR(IF(E4597&gt;0,(F4597/E4597)*1000,""),"")</f>
        <v/>
      </c>
      <c r="H4597" s="139">
        <f>IFERROR(IF(E4597&gt;0,E4597*IF(ISNUMBER(J4597),J4597,IF(OR(C4597="Alpha",B4597="Alpha"),$C$7,IF(C4597="Futures",$C$6,$C$5))),""),"")</f>
        <v/>
      </c>
      <c r="I4597" s="139">
        <f>IFERROR(IF(AND(ISNUMBER(F4597),ISNUMBER(H4597)),F4597-H4597,""),"")</f>
        <v/>
      </c>
      <c r="J4597" s="114" t="n"/>
      <c r="K4597" s="139">
        <f>IFERROR(IF(H4597&gt;0,H4597*IF(OR(C4597="Alpha",B4597="Alpha"),$C$9,$C$8),""),"")</f>
        <v/>
      </c>
      <c r="L4597" s="139">
        <f>IFERROR(IF(ISNUMBER(F4597),F4597-IF(ISNUMBER(K4597),K4597,0),""),"")</f>
        <v/>
      </c>
    </row>
    <row r="4598" ht="24" customHeight="1" s="63">
      <c r="E4598" s="139" t="n"/>
      <c r="F4598" s="139" t="n"/>
      <c r="G4598" s="140">
        <f>IFERROR(IF(E4598&gt;0,(F4598/E4598)*1000,""),"")</f>
        <v/>
      </c>
      <c r="H4598" s="139">
        <f>IFERROR(IF(E4598&gt;0,E4598*IF(ISNUMBER(J4598),J4598,IF(OR(C4598="Alpha",B4598="Alpha"),$C$7,IF(C4598="Futures",$C$6,$C$5))),""),"")</f>
        <v/>
      </c>
      <c r="I4598" s="139">
        <f>IFERROR(IF(AND(ISNUMBER(F4598),ISNUMBER(H4598)),F4598-H4598,""),"")</f>
        <v/>
      </c>
      <c r="J4598" s="114" t="n"/>
      <c r="K4598" s="139">
        <f>IFERROR(IF(H4598&gt;0,H4598*IF(OR(C4598="Alpha",B4598="Alpha"),$C$9,$C$8),""),"")</f>
        <v/>
      </c>
      <c r="L4598" s="139">
        <f>IFERROR(IF(ISNUMBER(F4598),F4598-IF(ISNUMBER(K4598),K4598,0),""),"")</f>
        <v/>
      </c>
    </row>
    <row r="4599" ht="24" customHeight="1" s="63">
      <c r="E4599" s="139" t="n"/>
      <c r="F4599" s="139" t="n"/>
      <c r="G4599" s="140">
        <f>IFERROR(IF(E4599&gt;0,(F4599/E4599)*1000,""),"")</f>
        <v/>
      </c>
      <c r="H4599" s="139">
        <f>IFERROR(IF(E4599&gt;0,E4599*IF(ISNUMBER(J4599),J4599,IF(OR(C4599="Alpha",B4599="Alpha"),$C$7,IF(C4599="Futures",$C$6,$C$5))),""),"")</f>
        <v/>
      </c>
      <c r="I4599" s="139">
        <f>IFERROR(IF(AND(ISNUMBER(F4599),ISNUMBER(H4599)),F4599-H4599,""),"")</f>
        <v/>
      </c>
      <c r="J4599" s="114" t="n"/>
      <c r="K4599" s="139">
        <f>IFERROR(IF(H4599&gt;0,H4599*IF(OR(C4599="Alpha",B4599="Alpha"),$C$9,$C$8),""),"")</f>
        <v/>
      </c>
      <c r="L4599" s="139">
        <f>IFERROR(IF(ISNUMBER(F4599),F4599-IF(ISNUMBER(K4599),K4599,0),""),"")</f>
        <v/>
      </c>
    </row>
    <row r="4600" ht="24" customHeight="1" s="63">
      <c r="E4600" s="139" t="n"/>
      <c r="F4600" s="139" t="n"/>
      <c r="G4600" s="140">
        <f>IFERROR(IF(E4600&gt;0,(F4600/E4600)*1000,""),"")</f>
        <v/>
      </c>
      <c r="H4600" s="139">
        <f>IFERROR(IF(E4600&gt;0,E4600*IF(ISNUMBER(J4600),J4600,IF(OR(C4600="Alpha",B4600="Alpha"),$C$7,IF(C4600="Futures",$C$6,$C$5))),""),"")</f>
        <v/>
      </c>
      <c r="I4600" s="139">
        <f>IFERROR(IF(AND(ISNUMBER(F4600),ISNUMBER(H4600)),F4600-H4600,""),"")</f>
        <v/>
      </c>
      <c r="J4600" s="114" t="n"/>
      <c r="K4600" s="139">
        <f>IFERROR(IF(H4600&gt;0,H4600*IF(OR(C4600="Alpha",B4600="Alpha"),$C$9,$C$8),""),"")</f>
        <v/>
      </c>
      <c r="L4600" s="139">
        <f>IFERROR(IF(ISNUMBER(F4600),F4600-IF(ISNUMBER(K4600),K4600,0),""),"")</f>
        <v/>
      </c>
    </row>
    <row r="4601" ht="24" customHeight="1" s="63">
      <c r="E4601" s="139" t="n"/>
      <c r="F4601" s="139" t="n"/>
      <c r="G4601" s="140">
        <f>IFERROR(IF(E4601&gt;0,(F4601/E4601)*1000,""),"")</f>
        <v/>
      </c>
      <c r="H4601" s="139">
        <f>IFERROR(IF(E4601&gt;0,E4601*IF(ISNUMBER(J4601),J4601,IF(OR(C4601="Alpha",B4601="Alpha"),$C$7,IF(C4601="Futures",$C$6,$C$5))),""),"")</f>
        <v/>
      </c>
      <c r="I4601" s="139">
        <f>IFERROR(IF(AND(ISNUMBER(F4601),ISNUMBER(H4601)),F4601-H4601,""),"")</f>
        <v/>
      </c>
      <c r="J4601" s="114" t="n"/>
      <c r="K4601" s="139">
        <f>IFERROR(IF(H4601&gt;0,H4601*IF(OR(C4601="Alpha",B4601="Alpha"),$C$9,$C$8),""),"")</f>
        <v/>
      </c>
      <c r="L4601" s="139">
        <f>IFERROR(IF(ISNUMBER(F4601),F4601-IF(ISNUMBER(K4601),K4601,0),""),"")</f>
        <v/>
      </c>
    </row>
    <row r="4602" ht="24" customHeight="1" s="63">
      <c r="E4602" s="139" t="n"/>
      <c r="F4602" s="139" t="n"/>
      <c r="G4602" s="140">
        <f>IFERROR(IF(E4602&gt;0,(F4602/E4602)*1000,""),"")</f>
        <v/>
      </c>
      <c r="H4602" s="139">
        <f>IFERROR(IF(E4602&gt;0,E4602*IF(ISNUMBER(J4602),J4602,IF(OR(C4602="Alpha",B4602="Alpha"),$C$7,IF(C4602="Futures",$C$6,$C$5))),""),"")</f>
        <v/>
      </c>
      <c r="I4602" s="139">
        <f>IFERROR(IF(AND(ISNUMBER(F4602),ISNUMBER(H4602)),F4602-H4602,""),"")</f>
        <v/>
      </c>
      <c r="J4602" s="114" t="n"/>
      <c r="K4602" s="139">
        <f>IFERROR(IF(H4602&gt;0,H4602*IF(OR(C4602="Alpha",B4602="Alpha"),$C$9,$C$8),""),"")</f>
        <v/>
      </c>
      <c r="L4602" s="139">
        <f>IFERROR(IF(ISNUMBER(F4602),F4602-IF(ISNUMBER(K4602),K4602,0),""),"")</f>
        <v/>
      </c>
    </row>
    <row r="4603" ht="24" customHeight="1" s="63">
      <c r="E4603" s="139" t="n"/>
      <c r="F4603" s="139" t="n"/>
      <c r="G4603" s="140">
        <f>IFERROR(IF(E4603&gt;0,(F4603/E4603)*1000,""),"")</f>
        <v/>
      </c>
      <c r="H4603" s="139">
        <f>IFERROR(IF(E4603&gt;0,E4603*IF(ISNUMBER(J4603),J4603,IF(OR(C4603="Alpha",B4603="Alpha"),$C$7,IF(C4603="Futures",$C$6,$C$5))),""),"")</f>
        <v/>
      </c>
      <c r="I4603" s="139">
        <f>IFERROR(IF(AND(ISNUMBER(F4603),ISNUMBER(H4603)),F4603-H4603,""),"")</f>
        <v/>
      </c>
      <c r="J4603" s="114" t="n"/>
      <c r="K4603" s="139">
        <f>IFERROR(IF(H4603&gt;0,H4603*IF(OR(C4603="Alpha",B4603="Alpha"),$C$9,$C$8),""),"")</f>
        <v/>
      </c>
      <c r="L4603" s="139">
        <f>IFERROR(IF(ISNUMBER(F4603),F4603-IF(ISNUMBER(K4603),K4603,0),""),"")</f>
        <v/>
      </c>
    </row>
    <row r="4604" ht="24" customHeight="1" s="63">
      <c r="E4604" s="139" t="n"/>
      <c r="F4604" s="139" t="n"/>
      <c r="G4604" s="140">
        <f>IFERROR(IF(E4604&gt;0,(F4604/E4604)*1000,""),"")</f>
        <v/>
      </c>
      <c r="H4604" s="139">
        <f>IFERROR(IF(E4604&gt;0,E4604*IF(ISNUMBER(J4604),J4604,IF(OR(C4604="Alpha",B4604="Alpha"),$C$7,IF(C4604="Futures",$C$6,$C$5))),""),"")</f>
        <v/>
      </c>
      <c r="I4604" s="139">
        <f>IFERROR(IF(AND(ISNUMBER(F4604),ISNUMBER(H4604)),F4604-H4604,""),"")</f>
        <v/>
      </c>
      <c r="J4604" s="114" t="n"/>
      <c r="K4604" s="139">
        <f>IFERROR(IF(H4604&gt;0,H4604*IF(OR(C4604="Alpha",B4604="Alpha"),$C$9,$C$8),""),"")</f>
        <v/>
      </c>
      <c r="L4604" s="139">
        <f>IFERROR(IF(ISNUMBER(F4604),F4604-IF(ISNUMBER(K4604),K4604,0),""),"")</f>
        <v/>
      </c>
    </row>
    <row r="4605" ht="24" customHeight="1" s="63">
      <c r="E4605" s="139" t="n"/>
      <c r="F4605" s="139" t="n"/>
      <c r="G4605" s="140">
        <f>IFERROR(IF(E4605&gt;0,(F4605/E4605)*1000,""),"")</f>
        <v/>
      </c>
      <c r="H4605" s="139">
        <f>IFERROR(IF(E4605&gt;0,E4605*IF(ISNUMBER(J4605),J4605,IF(OR(C4605="Alpha",B4605="Alpha"),$C$7,IF(C4605="Futures",$C$6,$C$5))),""),"")</f>
        <v/>
      </c>
      <c r="I4605" s="139">
        <f>IFERROR(IF(AND(ISNUMBER(F4605),ISNUMBER(H4605)),F4605-H4605,""),"")</f>
        <v/>
      </c>
      <c r="J4605" s="114" t="n"/>
      <c r="K4605" s="139">
        <f>IFERROR(IF(H4605&gt;0,H4605*IF(OR(C4605="Alpha",B4605="Alpha"),$C$9,$C$8),""),"")</f>
        <v/>
      </c>
      <c r="L4605" s="139">
        <f>IFERROR(IF(ISNUMBER(F4605),F4605-IF(ISNUMBER(K4605),K4605,0),""),"")</f>
        <v/>
      </c>
    </row>
    <row r="4606" ht="24" customHeight="1" s="63">
      <c r="E4606" s="139" t="n"/>
      <c r="F4606" s="139" t="n"/>
      <c r="G4606" s="140">
        <f>IFERROR(IF(E4606&gt;0,(F4606/E4606)*1000,""),"")</f>
        <v/>
      </c>
      <c r="H4606" s="139">
        <f>IFERROR(IF(E4606&gt;0,E4606*IF(ISNUMBER(J4606),J4606,IF(OR(C4606="Alpha",B4606="Alpha"),$C$7,IF(C4606="Futures",$C$6,$C$5))),""),"")</f>
        <v/>
      </c>
      <c r="I4606" s="139">
        <f>IFERROR(IF(AND(ISNUMBER(F4606),ISNUMBER(H4606)),F4606-H4606,""),"")</f>
        <v/>
      </c>
      <c r="J4606" s="114" t="n"/>
      <c r="K4606" s="139">
        <f>IFERROR(IF(H4606&gt;0,H4606*IF(OR(C4606="Alpha",B4606="Alpha"),$C$9,$C$8),""),"")</f>
        <v/>
      </c>
      <c r="L4606" s="139">
        <f>IFERROR(IF(ISNUMBER(F4606),F4606-IF(ISNUMBER(K4606),K4606,0),""),"")</f>
        <v/>
      </c>
    </row>
    <row r="4607" ht="24" customHeight="1" s="63">
      <c r="E4607" s="139" t="n"/>
      <c r="F4607" s="139" t="n"/>
      <c r="G4607" s="140">
        <f>IFERROR(IF(E4607&gt;0,(F4607/E4607)*1000,""),"")</f>
        <v/>
      </c>
      <c r="H4607" s="139">
        <f>IFERROR(IF(E4607&gt;0,E4607*IF(ISNUMBER(J4607),J4607,IF(OR(C4607="Alpha",B4607="Alpha"),$C$7,IF(C4607="Futures",$C$6,$C$5))),""),"")</f>
        <v/>
      </c>
      <c r="I4607" s="139">
        <f>IFERROR(IF(AND(ISNUMBER(F4607),ISNUMBER(H4607)),F4607-H4607,""),"")</f>
        <v/>
      </c>
      <c r="J4607" s="114" t="n"/>
      <c r="K4607" s="139">
        <f>IFERROR(IF(H4607&gt;0,H4607*IF(OR(C4607="Alpha",B4607="Alpha"),$C$9,$C$8),""),"")</f>
        <v/>
      </c>
      <c r="L4607" s="139">
        <f>IFERROR(IF(ISNUMBER(F4607),F4607-IF(ISNUMBER(K4607),K4607,0),""),"")</f>
        <v/>
      </c>
    </row>
    <row r="4608" ht="24" customHeight="1" s="63">
      <c r="E4608" s="139" t="n"/>
      <c r="F4608" s="139" t="n"/>
      <c r="G4608" s="140">
        <f>IFERROR(IF(E4608&gt;0,(F4608/E4608)*1000,""),"")</f>
        <v/>
      </c>
      <c r="H4608" s="139">
        <f>IFERROR(IF(E4608&gt;0,E4608*IF(ISNUMBER(J4608),J4608,IF(OR(C4608="Alpha",B4608="Alpha"),$C$7,IF(C4608="Futures",$C$6,$C$5))),""),"")</f>
        <v/>
      </c>
      <c r="I4608" s="139">
        <f>IFERROR(IF(AND(ISNUMBER(F4608),ISNUMBER(H4608)),F4608-H4608,""),"")</f>
        <v/>
      </c>
      <c r="J4608" s="114" t="n"/>
      <c r="K4608" s="139">
        <f>IFERROR(IF(H4608&gt;0,H4608*IF(OR(C4608="Alpha",B4608="Alpha"),$C$9,$C$8),""),"")</f>
        <v/>
      </c>
      <c r="L4608" s="139">
        <f>IFERROR(IF(ISNUMBER(F4608),F4608-IF(ISNUMBER(K4608),K4608,0),""),"")</f>
        <v/>
      </c>
    </row>
    <row r="4609" ht="24" customHeight="1" s="63">
      <c r="E4609" s="139" t="n"/>
      <c r="F4609" s="139" t="n"/>
      <c r="G4609" s="140">
        <f>IFERROR(IF(E4609&gt;0,(F4609/E4609)*1000,""),"")</f>
        <v/>
      </c>
      <c r="H4609" s="139">
        <f>IFERROR(IF(E4609&gt;0,E4609*IF(ISNUMBER(J4609),J4609,IF(OR(C4609="Alpha",B4609="Alpha"),$C$7,IF(C4609="Futures",$C$6,$C$5))),""),"")</f>
        <v/>
      </c>
      <c r="I4609" s="139">
        <f>IFERROR(IF(AND(ISNUMBER(F4609),ISNUMBER(H4609)),F4609-H4609,""),"")</f>
        <v/>
      </c>
      <c r="J4609" s="114" t="n"/>
      <c r="K4609" s="139">
        <f>IFERROR(IF(H4609&gt;0,H4609*IF(OR(C4609="Alpha",B4609="Alpha"),$C$9,$C$8),""),"")</f>
        <v/>
      </c>
      <c r="L4609" s="139">
        <f>IFERROR(IF(ISNUMBER(F4609),F4609-IF(ISNUMBER(K4609),K4609,0),""),"")</f>
        <v/>
      </c>
    </row>
    <row r="4610" ht="24" customHeight="1" s="63">
      <c r="E4610" s="139" t="n"/>
      <c r="F4610" s="139" t="n"/>
      <c r="G4610" s="140">
        <f>IFERROR(IF(E4610&gt;0,(F4610/E4610)*1000,""),"")</f>
        <v/>
      </c>
      <c r="H4610" s="139">
        <f>IFERROR(IF(E4610&gt;0,E4610*IF(ISNUMBER(J4610),J4610,IF(OR(C4610="Alpha",B4610="Alpha"),$C$7,IF(C4610="Futures",$C$6,$C$5))),""),"")</f>
        <v/>
      </c>
      <c r="I4610" s="139">
        <f>IFERROR(IF(AND(ISNUMBER(F4610),ISNUMBER(H4610)),F4610-H4610,""),"")</f>
        <v/>
      </c>
      <c r="J4610" s="114" t="n"/>
      <c r="K4610" s="139">
        <f>IFERROR(IF(H4610&gt;0,H4610*IF(OR(C4610="Alpha",B4610="Alpha"),$C$9,$C$8),""),"")</f>
        <v/>
      </c>
      <c r="L4610" s="139">
        <f>IFERROR(IF(ISNUMBER(F4610),F4610-IF(ISNUMBER(K4610),K4610,0),""),"")</f>
        <v/>
      </c>
    </row>
    <row r="4611" ht="24" customHeight="1" s="63">
      <c r="E4611" s="139" t="n"/>
      <c r="F4611" s="139" t="n"/>
      <c r="G4611" s="140">
        <f>IFERROR(IF(E4611&gt;0,(F4611/E4611)*1000,""),"")</f>
        <v/>
      </c>
      <c r="H4611" s="139">
        <f>IFERROR(IF(E4611&gt;0,E4611*IF(ISNUMBER(J4611),J4611,IF(OR(C4611="Alpha",B4611="Alpha"),$C$7,IF(C4611="Futures",$C$6,$C$5))),""),"")</f>
        <v/>
      </c>
      <c r="I4611" s="139">
        <f>IFERROR(IF(AND(ISNUMBER(F4611),ISNUMBER(H4611)),F4611-H4611,""),"")</f>
        <v/>
      </c>
      <c r="J4611" s="114" t="n"/>
      <c r="K4611" s="139">
        <f>IFERROR(IF(H4611&gt;0,H4611*IF(OR(C4611="Alpha",B4611="Alpha"),$C$9,$C$8),""),"")</f>
        <v/>
      </c>
      <c r="L4611" s="139">
        <f>IFERROR(IF(ISNUMBER(F4611),F4611-IF(ISNUMBER(K4611),K4611,0),""),"")</f>
        <v/>
      </c>
    </row>
    <row r="4612" ht="24" customHeight="1" s="63">
      <c r="E4612" s="139" t="n"/>
      <c r="F4612" s="139" t="n"/>
      <c r="G4612" s="140">
        <f>IFERROR(IF(E4612&gt;0,(F4612/E4612)*1000,""),"")</f>
        <v/>
      </c>
      <c r="H4612" s="139">
        <f>IFERROR(IF(E4612&gt;0,E4612*IF(ISNUMBER(J4612),J4612,IF(OR(C4612="Alpha",B4612="Alpha"),$C$7,IF(C4612="Futures",$C$6,$C$5))),""),"")</f>
        <v/>
      </c>
      <c r="I4612" s="139">
        <f>IFERROR(IF(AND(ISNUMBER(F4612),ISNUMBER(H4612)),F4612-H4612,""),"")</f>
        <v/>
      </c>
      <c r="J4612" s="114" t="n"/>
      <c r="K4612" s="139">
        <f>IFERROR(IF(H4612&gt;0,H4612*IF(OR(C4612="Alpha",B4612="Alpha"),$C$9,$C$8),""),"")</f>
        <v/>
      </c>
      <c r="L4612" s="139">
        <f>IFERROR(IF(ISNUMBER(F4612),F4612-IF(ISNUMBER(K4612),K4612,0),""),"")</f>
        <v/>
      </c>
    </row>
    <row r="4613" ht="24" customHeight="1" s="63">
      <c r="E4613" s="139" t="n"/>
      <c r="F4613" s="139" t="n"/>
      <c r="G4613" s="140">
        <f>IFERROR(IF(E4613&gt;0,(F4613/E4613)*1000,""),"")</f>
        <v/>
      </c>
      <c r="H4613" s="139">
        <f>IFERROR(IF(E4613&gt;0,E4613*IF(ISNUMBER(J4613),J4613,IF(OR(C4613="Alpha",B4613="Alpha"),$C$7,IF(C4613="Futures",$C$6,$C$5))),""),"")</f>
        <v/>
      </c>
      <c r="I4613" s="139">
        <f>IFERROR(IF(AND(ISNUMBER(F4613),ISNUMBER(H4613)),F4613-H4613,""),"")</f>
        <v/>
      </c>
      <c r="J4613" s="114" t="n"/>
      <c r="K4613" s="139">
        <f>IFERROR(IF(H4613&gt;0,H4613*IF(OR(C4613="Alpha",B4613="Alpha"),$C$9,$C$8),""),"")</f>
        <v/>
      </c>
      <c r="L4613" s="139">
        <f>IFERROR(IF(ISNUMBER(F4613),F4613-IF(ISNUMBER(K4613),K4613,0),""),"")</f>
        <v/>
      </c>
    </row>
    <row r="4614" ht="24" customHeight="1" s="63">
      <c r="E4614" s="139" t="n"/>
      <c r="F4614" s="139" t="n"/>
      <c r="G4614" s="140">
        <f>IFERROR(IF(E4614&gt;0,(F4614/E4614)*1000,""),"")</f>
        <v/>
      </c>
      <c r="H4614" s="139">
        <f>IFERROR(IF(E4614&gt;0,E4614*IF(ISNUMBER(J4614),J4614,IF(OR(C4614="Alpha",B4614="Alpha"),$C$7,IF(C4614="Futures",$C$6,$C$5))),""),"")</f>
        <v/>
      </c>
      <c r="I4614" s="139">
        <f>IFERROR(IF(AND(ISNUMBER(F4614),ISNUMBER(H4614)),F4614-H4614,""),"")</f>
        <v/>
      </c>
      <c r="J4614" s="114" t="n"/>
      <c r="K4614" s="139">
        <f>IFERROR(IF(H4614&gt;0,H4614*IF(OR(C4614="Alpha",B4614="Alpha"),$C$9,$C$8),""),"")</f>
        <v/>
      </c>
      <c r="L4614" s="139">
        <f>IFERROR(IF(ISNUMBER(F4614),F4614-IF(ISNUMBER(K4614),K4614,0),""),"")</f>
        <v/>
      </c>
    </row>
    <row r="4615" ht="24" customHeight="1" s="63">
      <c r="E4615" s="139" t="n"/>
      <c r="F4615" s="139" t="n"/>
      <c r="G4615" s="140">
        <f>IFERROR(IF(E4615&gt;0,(F4615/E4615)*1000,""),"")</f>
        <v/>
      </c>
      <c r="H4615" s="139">
        <f>IFERROR(IF(E4615&gt;0,E4615*IF(ISNUMBER(J4615),J4615,IF(OR(C4615="Alpha",B4615="Alpha"),$C$7,IF(C4615="Futures",$C$6,$C$5))),""),"")</f>
        <v/>
      </c>
      <c r="I4615" s="139">
        <f>IFERROR(IF(AND(ISNUMBER(F4615),ISNUMBER(H4615)),F4615-H4615,""),"")</f>
        <v/>
      </c>
      <c r="J4615" s="114" t="n"/>
      <c r="K4615" s="139">
        <f>IFERROR(IF(H4615&gt;0,H4615*IF(OR(C4615="Alpha",B4615="Alpha"),$C$9,$C$8),""),"")</f>
        <v/>
      </c>
      <c r="L4615" s="139">
        <f>IFERROR(IF(ISNUMBER(F4615),F4615-IF(ISNUMBER(K4615),K4615,0),""),"")</f>
        <v/>
      </c>
    </row>
    <row r="4616" ht="24" customHeight="1" s="63">
      <c r="E4616" s="139" t="n"/>
      <c r="F4616" s="139" t="n"/>
      <c r="G4616" s="140">
        <f>IFERROR(IF(E4616&gt;0,(F4616/E4616)*1000,""),"")</f>
        <v/>
      </c>
      <c r="H4616" s="139">
        <f>IFERROR(IF(E4616&gt;0,E4616*IF(ISNUMBER(J4616),J4616,IF(OR(C4616="Alpha",B4616="Alpha"),$C$7,IF(C4616="Futures",$C$6,$C$5))),""),"")</f>
        <v/>
      </c>
      <c r="I4616" s="139">
        <f>IFERROR(IF(AND(ISNUMBER(F4616),ISNUMBER(H4616)),F4616-H4616,""),"")</f>
        <v/>
      </c>
      <c r="J4616" s="114" t="n"/>
      <c r="K4616" s="139">
        <f>IFERROR(IF(H4616&gt;0,H4616*IF(OR(C4616="Alpha",B4616="Alpha"),$C$9,$C$8),""),"")</f>
        <v/>
      </c>
      <c r="L4616" s="139">
        <f>IFERROR(IF(ISNUMBER(F4616),F4616-IF(ISNUMBER(K4616),K4616,0),""),"")</f>
        <v/>
      </c>
    </row>
    <row r="4617" ht="24" customHeight="1" s="63">
      <c r="E4617" s="139" t="n"/>
      <c r="F4617" s="139" t="n"/>
      <c r="G4617" s="140">
        <f>IFERROR(IF(E4617&gt;0,(F4617/E4617)*1000,""),"")</f>
        <v/>
      </c>
      <c r="H4617" s="139">
        <f>IFERROR(IF(E4617&gt;0,E4617*IF(ISNUMBER(J4617),J4617,IF(OR(C4617="Alpha",B4617="Alpha"),$C$7,IF(C4617="Futures",$C$6,$C$5))),""),"")</f>
        <v/>
      </c>
      <c r="I4617" s="139">
        <f>IFERROR(IF(AND(ISNUMBER(F4617),ISNUMBER(H4617)),F4617-H4617,""),"")</f>
        <v/>
      </c>
      <c r="J4617" s="114" t="n"/>
      <c r="K4617" s="139">
        <f>IFERROR(IF(H4617&gt;0,H4617*IF(OR(C4617="Alpha",B4617="Alpha"),$C$9,$C$8),""),"")</f>
        <v/>
      </c>
      <c r="L4617" s="139">
        <f>IFERROR(IF(ISNUMBER(F4617),F4617-IF(ISNUMBER(K4617),K4617,0),""),"")</f>
        <v/>
      </c>
    </row>
    <row r="4618" ht="24" customHeight="1" s="63">
      <c r="E4618" s="139" t="n"/>
      <c r="F4618" s="139" t="n"/>
      <c r="G4618" s="140">
        <f>IFERROR(IF(E4618&gt;0,(F4618/E4618)*1000,""),"")</f>
        <v/>
      </c>
      <c r="H4618" s="139">
        <f>IFERROR(IF(E4618&gt;0,E4618*IF(ISNUMBER(J4618),J4618,IF(OR(C4618="Alpha",B4618="Alpha"),$C$7,IF(C4618="Futures",$C$6,$C$5))),""),"")</f>
        <v/>
      </c>
      <c r="I4618" s="139">
        <f>IFERROR(IF(AND(ISNUMBER(F4618),ISNUMBER(H4618)),F4618-H4618,""),"")</f>
        <v/>
      </c>
      <c r="J4618" s="114" t="n"/>
      <c r="K4618" s="139">
        <f>IFERROR(IF(H4618&gt;0,H4618*IF(OR(C4618="Alpha",B4618="Alpha"),$C$9,$C$8),""),"")</f>
        <v/>
      </c>
      <c r="L4618" s="139">
        <f>IFERROR(IF(ISNUMBER(F4618),F4618-IF(ISNUMBER(K4618),K4618,0),""),"")</f>
        <v/>
      </c>
    </row>
    <row r="4619" ht="24" customHeight="1" s="63">
      <c r="E4619" s="139" t="n"/>
      <c r="F4619" s="139" t="n"/>
      <c r="G4619" s="140">
        <f>IFERROR(IF(E4619&gt;0,(F4619/E4619)*1000,""),"")</f>
        <v/>
      </c>
      <c r="H4619" s="139">
        <f>IFERROR(IF(E4619&gt;0,E4619*IF(ISNUMBER(J4619),J4619,IF(OR(C4619="Alpha",B4619="Alpha"),$C$7,IF(C4619="Futures",$C$6,$C$5))),""),"")</f>
        <v/>
      </c>
      <c r="I4619" s="139">
        <f>IFERROR(IF(AND(ISNUMBER(F4619),ISNUMBER(H4619)),F4619-H4619,""),"")</f>
        <v/>
      </c>
      <c r="J4619" s="114" t="n"/>
      <c r="K4619" s="139">
        <f>IFERROR(IF(H4619&gt;0,H4619*IF(OR(C4619="Alpha",B4619="Alpha"),$C$9,$C$8),""),"")</f>
        <v/>
      </c>
      <c r="L4619" s="139">
        <f>IFERROR(IF(ISNUMBER(F4619),F4619-IF(ISNUMBER(K4619),K4619,0),""),"")</f>
        <v/>
      </c>
    </row>
    <row r="4620" ht="24" customHeight="1" s="63">
      <c r="E4620" s="139" t="n"/>
      <c r="F4620" s="139" t="n"/>
      <c r="G4620" s="140">
        <f>IFERROR(IF(E4620&gt;0,(F4620/E4620)*1000,""),"")</f>
        <v/>
      </c>
      <c r="H4620" s="139">
        <f>IFERROR(IF(E4620&gt;0,E4620*IF(ISNUMBER(J4620),J4620,IF(OR(C4620="Alpha",B4620="Alpha"),$C$7,IF(C4620="Futures",$C$6,$C$5))),""),"")</f>
        <v/>
      </c>
      <c r="I4620" s="139">
        <f>IFERROR(IF(AND(ISNUMBER(F4620),ISNUMBER(H4620)),F4620-H4620,""),"")</f>
        <v/>
      </c>
      <c r="J4620" s="114" t="n"/>
      <c r="K4620" s="139">
        <f>IFERROR(IF(H4620&gt;0,H4620*IF(OR(C4620="Alpha",B4620="Alpha"),$C$9,$C$8),""),"")</f>
        <v/>
      </c>
      <c r="L4620" s="139">
        <f>IFERROR(IF(ISNUMBER(F4620),F4620-IF(ISNUMBER(K4620),K4620,0),""),"")</f>
        <v/>
      </c>
    </row>
    <row r="4621" ht="24" customHeight="1" s="63">
      <c r="E4621" s="139" t="n"/>
      <c r="F4621" s="139" t="n"/>
      <c r="G4621" s="140">
        <f>IFERROR(IF(E4621&gt;0,(F4621/E4621)*1000,""),"")</f>
        <v/>
      </c>
      <c r="H4621" s="139">
        <f>IFERROR(IF(E4621&gt;0,E4621*IF(ISNUMBER(J4621),J4621,IF(OR(C4621="Alpha",B4621="Alpha"),$C$7,IF(C4621="Futures",$C$6,$C$5))),""),"")</f>
        <v/>
      </c>
      <c r="I4621" s="139">
        <f>IFERROR(IF(AND(ISNUMBER(F4621),ISNUMBER(H4621)),F4621-H4621,""),"")</f>
        <v/>
      </c>
      <c r="J4621" s="114" t="n"/>
      <c r="K4621" s="139">
        <f>IFERROR(IF(H4621&gt;0,H4621*IF(OR(C4621="Alpha",B4621="Alpha"),$C$9,$C$8),""),"")</f>
        <v/>
      </c>
      <c r="L4621" s="139">
        <f>IFERROR(IF(ISNUMBER(F4621),F4621-IF(ISNUMBER(K4621),K4621,0),""),"")</f>
        <v/>
      </c>
    </row>
    <row r="4622" ht="24" customHeight="1" s="63">
      <c r="E4622" s="139" t="n"/>
      <c r="F4622" s="139" t="n"/>
      <c r="G4622" s="140">
        <f>IFERROR(IF(E4622&gt;0,(F4622/E4622)*1000,""),"")</f>
        <v/>
      </c>
      <c r="H4622" s="139">
        <f>IFERROR(IF(E4622&gt;0,E4622*IF(ISNUMBER(J4622),J4622,IF(OR(C4622="Alpha",B4622="Alpha"),$C$7,IF(C4622="Futures",$C$6,$C$5))),""),"")</f>
        <v/>
      </c>
      <c r="I4622" s="139">
        <f>IFERROR(IF(AND(ISNUMBER(F4622),ISNUMBER(H4622)),F4622-H4622,""),"")</f>
        <v/>
      </c>
      <c r="J4622" s="114" t="n"/>
      <c r="K4622" s="139">
        <f>IFERROR(IF(H4622&gt;0,H4622*IF(OR(C4622="Alpha",B4622="Alpha"),$C$9,$C$8),""),"")</f>
        <v/>
      </c>
      <c r="L4622" s="139">
        <f>IFERROR(IF(ISNUMBER(F4622),F4622-IF(ISNUMBER(K4622),K4622,0),""),"")</f>
        <v/>
      </c>
    </row>
    <row r="4623" ht="24" customHeight="1" s="63">
      <c r="E4623" s="139" t="n"/>
      <c r="F4623" s="139" t="n"/>
      <c r="G4623" s="140">
        <f>IFERROR(IF(E4623&gt;0,(F4623/E4623)*1000,""),"")</f>
        <v/>
      </c>
      <c r="H4623" s="139">
        <f>IFERROR(IF(E4623&gt;0,E4623*IF(ISNUMBER(J4623),J4623,IF(OR(C4623="Alpha",B4623="Alpha"),$C$7,IF(C4623="Futures",$C$6,$C$5))),""),"")</f>
        <v/>
      </c>
      <c r="I4623" s="139">
        <f>IFERROR(IF(AND(ISNUMBER(F4623),ISNUMBER(H4623)),F4623-H4623,""),"")</f>
        <v/>
      </c>
      <c r="J4623" s="114" t="n"/>
      <c r="K4623" s="139">
        <f>IFERROR(IF(H4623&gt;0,H4623*IF(OR(C4623="Alpha",B4623="Alpha"),$C$9,$C$8),""),"")</f>
        <v/>
      </c>
      <c r="L4623" s="139">
        <f>IFERROR(IF(ISNUMBER(F4623),F4623-IF(ISNUMBER(K4623),K4623,0),""),"")</f>
        <v/>
      </c>
    </row>
    <row r="4624" ht="24" customHeight="1" s="63">
      <c r="E4624" s="139" t="n"/>
      <c r="F4624" s="139" t="n"/>
      <c r="G4624" s="140">
        <f>IFERROR(IF(E4624&gt;0,(F4624/E4624)*1000,""),"")</f>
        <v/>
      </c>
      <c r="H4624" s="139">
        <f>IFERROR(IF(E4624&gt;0,E4624*IF(ISNUMBER(J4624),J4624,IF(OR(C4624="Alpha",B4624="Alpha"),$C$7,IF(C4624="Futures",$C$6,$C$5))),""),"")</f>
        <v/>
      </c>
      <c r="I4624" s="139">
        <f>IFERROR(IF(AND(ISNUMBER(F4624),ISNUMBER(H4624)),F4624-H4624,""),"")</f>
        <v/>
      </c>
      <c r="J4624" s="114" t="n"/>
      <c r="K4624" s="139">
        <f>IFERROR(IF(H4624&gt;0,H4624*IF(OR(C4624="Alpha",B4624="Alpha"),$C$9,$C$8),""),"")</f>
        <v/>
      </c>
      <c r="L4624" s="139">
        <f>IFERROR(IF(ISNUMBER(F4624),F4624-IF(ISNUMBER(K4624),K4624,0),""),"")</f>
        <v/>
      </c>
    </row>
    <row r="4625" ht="24" customHeight="1" s="63">
      <c r="E4625" s="139" t="n"/>
      <c r="F4625" s="139" t="n"/>
      <c r="G4625" s="140">
        <f>IFERROR(IF(E4625&gt;0,(F4625/E4625)*1000,""),"")</f>
        <v/>
      </c>
      <c r="H4625" s="139">
        <f>IFERROR(IF(E4625&gt;0,E4625*IF(ISNUMBER(J4625),J4625,IF(OR(C4625="Alpha",B4625="Alpha"),$C$7,IF(C4625="Futures",$C$6,$C$5))),""),"")</f>
        <v/>
      </c>
      <c r="I4625" s="139">
        <f>IFERROR(IF(AND(ISNUMBER(F4625),ISNUMBER(H4625)),F4625-H4625,""),"")</f>
        <v/>
      </c>
      <c r="J4625" s="114" t="n"/>
      <c r="K4625" s="139">
        <f>IFERROR(IF(H4625&gt;0,H4625*IF(OR(C4625="Alpha",B4625="Alpha"),$C$9,$C$8),""),"")</f>
        <v/>
      </c>
      <c r="L4625" s="139">
        <f>IFERROR(IF(ISNUMBER(F4625),F4625-IF(ISNUMBER(K4625),K4625,0),""),"")</f>
        <v/>
      </c>
    </row>
    <row r="4626" ht="24" customHeight="1" s="63">
      <c r="E4626" s="139" t="n"/>
      <c r="F4626" s="139" t="n"/>
      <c r="G4626" s="140">
        <f>IFERROR(IF(E4626&gt;0,(F4626/E4626)*1000,""),"")</f>
        <v/>
      </c>
      <c r="H4626" s="139">
        <f>IFERROR(IF(E4626&gt;0,E4626*IF(ISNUMBER(J4626),J4626,IF(OR(C4626="Alpha",B4626="Alpha"),$C$7,IF(C4626="Futures",$C$6,$C$5))),""),"")</f>
        <v/>
      </c>
      <c r="I4626" s="139">
        <f>IFERROR(IF(AND(ISNUMBER(F4626),ISNUMBER(H4626)),F4626-H4626,""),"")</f>
        <v/>
      </c>
      <c r="J4626" s="114" t="n"/>
      <c r="K4626" s="139">
        <f>IFERROR(IF(H4626&gt;0,H4626*IF(OR(C4626="Alpha",B4626="Alpha"),$C$9,$C$8),""),"")</f>
        <v/>
      </c>
      <c r="L4626" s="139">
        <f>IFERROR(IF(ISNUMBER(F4626),F4626-IF(ISNUMBER(K4626),K4626,0),""),"")</f>
        <v/>
      </c>
    </row>
    <row r="4627" ht="24" customHeight="1" s="63">
      <c r="E4627" s="139" t="n"/>
      <c r="F4627" s="139" t="n"/>
      <c r="G4627" s="140">
        <f>IFERROR(IF(E4627&gt;0,(F4627/E4627)*1000,""),"")</f>
        <v/>
      </c>
      <c r="H4627" s="139">
        <f>IFERROR(IF(E4627&gt;0,E4627*IF(ISNUMBER(J4627),J4627,IF(OR(C4627="Alpha",B4627="Alpha"),$C$7,IF(C4627="Futures",$C$6,$C$5))),""),"")</f>
        <v/>
      </c>
      <c r="I4627" s="139">
        <f>IFERROR(IF(AND(ISNUMBER(F4627),ISNUMBER(H4627)),F4627-H4627,""),"")</f>
        <v/>
      </c>
      <c r="J4627" s="114" t="n"/>
      <c r="K4627" s="139">
        <f>IFERROR(IF(H4627&gt;0,H4627*IF(OR(C4627="Alpha",B4627="Alpha"),$C$9,$C$8),""),"")</f>
        <v/>
      </c>
      <c r="L4627" s="139">
        <f>IFERROR(IF(ISNUMBER(F4627),F4627-IF(ISNUMBER(K4627),K4627,0),""),"")</f>
        <v/>
      </c>
    </row>
    <row r="4628" ht="24" customHeight="1" s="63">
      <c r="E4628" s="139" t="n"/>
      <c r="F4628" s="139" t="n"/>
      <c r="G4628" s="140">
        <f>IFERROR(IF(E4628&gt;0,(F4628/E4628)*1000,""),"")</f>
        <v/>
      </c>
      <c r="H4628" s="139">
        <f>IFERROR(IF(E4628&gt;0,E4628*IF(ISNUMBER(J4628),J4628,IF(OR(C4628="Alpha",B4628="Alpha"),$C$7,IF(C4628="Futures",$C$6,$C$5))),""),"")</f>
        <v/>
      </c>
      <c r="I4628" s="139">
        <f>IFERROR(IF(AND(ISNUMBER(F4628),ISNUMBER(H4628)),F4628-H4628,""),"")</f>
        <v/>
      </c>
      <c r="J4628" s="114" t="n"/>
      <c r="K4628" s="139">
        <f>IFERROR(IF(H4628&gt;0,H4628*IF(OR(C4628="Alpha",B4628="Alpha"),$C$9,$C$8),""),"")</f>
        <v/>
      </c>
      <c r="L4628" s="139">
        <f>IFERROR(IF(ISNUMBER(F4628),F4628-IF(ISNUMBER(K4628),K4628,0),""),"")</f>
        <v/>
      </c>
    </row>
    <row r="4629" ht="24" customHeight="1" s="63">
      <c r="E4629" s="139" t="n"/>
      <c r="F4629" s="139" t="n"/>
      <c r="G4629" s="140">
        <f>IFERROR(IF(E4629&gt;0,(F4629/E4629)*1000,""),"")</f>
        <v/>
      </c>
      <c r="H4629" s="139">
        <f>IFERROR(IF(E4629&gt;0,E4629*IF(ISNUMBER(J4629),J4629,IF(OR(C4629="Alpha",B4629="Alpha"),$C$7,IF(C4629="Futures",$C$6,$C$5))),""),"")</f>
        <v/>
      </c>
      <c r="I4629" s="139">
        <f>IFERROR(IF(AND(ISNUMBER(F4629),ISNUMBER(H4629)),F4629-H4629,""),"")</f>
        <v/>
      </c>
      <c r="J4629" s="114" t="n"/>
      <c r="K4629" s="139">
        <f>IFERROR(IF(H4629&gt;0,H4629*IF(OR(C4629="Alpha",B4629="Alpha"),$C$9,$C$8),""),"")</f>
        <v/>
      </c>
      <c r="L4629" s="139">
        <f>IFERROR(IF(ISNUMBER(F4629),F4629-IF(ISNUMBER(K4629),K4629,0),""),"")</f>
        <v/>
      </c>
    </row>
    <row r="4630" ht="24" customHeight="1" s="63">
      <c r="E4630" s="139" t="n"/>
      <c r="F4630" s="139" t="n"/>
      <c r="G4630" s="140">
        <f>IFERROR(IF(E4630&gt;0,(F4630/E4630)*1000,""),"")</f>
        <v/>
      </c>
      <c r="H4630" s="139">
        <f>IFERROR(IF(E4630&gt;0,E4630*IF(ISNUMBER(J4630),J4630,IF(OR(C4630="Alpha",B4630="Alpha"),$C$7,IF(C4630="Futures",$C$6,$C$5))),""),"")</f>
        <v/>
      </c>
      <c r="I4630" s="139">
        <f>IFERROR(IF(AND(ISNUMBER(F4630),ISNUMBER(H4630)),F4630-H4630,""),"")</f>
        <v/>
      </c>
      <c r="J4630" s="114" t="n"/>
      <c r="K4630" s="139">
        <f>IFERROR(IF(H4630&gt;0,H4630*IF(OR(C4630="Alpha",B4630="Alpha"),$C$9,$C$8),""),"")</f>
        <v/>
      </c>
      <c r="L4630" s="139">
        <f>IFERROR(IF(ISNUMBER(F4630),F4630-IF(ISNUMBER(K4630),K4630,0),""),"")</f>
        <v/>
      </c>
    </row>
    <row r="4631" ht="24" customHeight="1" s="63">
      <c r="E4631" s="139" t="n"/>
      <c r="F4631" s="139" t="n"/>
      <c r="G4631" s="140">
        <f>IFERROR(IF(E4631&gt;0,(F4631/E4631)*1000,""),"")</f>
        <v/>
      </c>
      <c r="H4631" s="139">
        <f>IFERROR(IF(E4631&gt;0,E4631*IF(ISNUMBER(J4631),J4631,IF(OR(C4631="Alpha",B4631="Alpha"),$C$7,IF(C4631="Futures",$C$6,$C$5))),""),"")</f>
        <v/>
      </c>
      <c r="I4631" s="139">
        <f>IFERROR(IF(AND(ISNUMBER(F4631),ISNUMBER(H4631)),F4631-H4631,""),"")</f>
        <v/>
      </c>
      <c r="J4631" s="114" t="n"/>
      <c r="K4631" s="139">
        <f>IFERROR(IF(H4631&gt;0,H4631*IF(OR(C4631="Alpha",B4631="Alpha"),$C$9,$C$8),""),"")</f>
        <v/>
      </c>
      <c r="L4631" s="139">
        <f>IFERROR(IF(ISNUMBER(F4631),F4631-IF(ISNUMBER(K4631),K4631,0),""),"")</f>
        <v/>
      </c>
    </row>
    <row r="4632" ht="24" customHeight="1" s="63">
      <c r="E4632" s="139" t="n"/>
      <c r="F4632" s="139" t="n"/>
      <c r="G4632" s="140">
        <f>IFERROR(IF(E4632&gt;0,(F4632/E4632)*1000,""),"")</f>
        <v/>
      </c>
      <c r="H4632" s="139">
        <f>IFERROR(IF(E4632&gt;0,E4632*IF(ISNUMBER(J4632),J4632,IF(OR(C4632="Alpha",B4632="Alpha"),$C$7,IF(C4632="Futures",$C$6,$C$5))),""),"")</f>
        <v/>
      </c>
      <c r="I4632" s="139">
        <f>IFERROR(IF(AND(ISNUMBER(F4632),ISNUMBER(H4632)),F4632-H4632,""),"")</f>
        <v/>
      </c>
      <c r="J4632" s="114" t="n"/>
      <c r="K4632" s="139">
        <f>IFERROR(IF(H4632&gt;0,H4632*IF(OR(C4632="Alpha",B4632="Alpha"),$C$9,$C$8),""),"")</f>
        <v/>
      </c>
      <c r="L4632" s="139">
        <f>IFERROR(IF(ISNUMBER(F4632),F4632-IF(ISNUMBER(K4632),K4632,0),""),"")</f>
        <v/>
      </c>
    </row>
    <row r="4633" ht="24" customHeight="1" s="63">
      <c r="E4633" s="139" t="n"/>
      <c r="F4633" s="139" t="n"/>
      <c r="G4633" s="140">
        <f>IFERROR(IF(E4633&gt;0,(F4633/E4633)*1000,""),"")</f>
        <v/>
      </c>
      <c r="H4633" s="139">
        <f>IFERROR(IF(E4633&gt;0,E4633*IF(ISNUMBER(J4633),J4633,IF(OR(C4633="Alpha",B4633="Alpha"),$C$7,IF(C4633="Futures",$C$6,$C$5))),""),"")</f>
        <v/>
      </c>
      <c r="I4633" s="139">
        <f>IFERROR(IF(AND(ISNUMBER(F4633),ISNUMBER(H4633)),F4633-H4633,""),"")</f>
        <v/>
      </c>
      <c r="J4633" s="114" t="n"/>
      <c r="K4633" s="139">
        <f>IFERROR(IF(H4633&gt;0,H4633*IF(OR(C4633="Alpha",B4633="Alpha"),$C$9,$C$8),""),"")</f>
        <v/>
      </c>
      <c r="L4633" s="139">
        <f>IFERROR(IF(ISNUMBER(F4633),F4633-IF(ISNUMBER(K4633),K4633,0),""),"")</f>
        <v/>
      </c>
    </row>
    <row r="4634" ht="24" customHeight="1" s="63">
      <c r="E4634" s="139" t="n"/>
      <c r="F4634" s="139" t="n"/>
      <c r="G4634" s="140">
        <f>IFERROR(IF(E4634&gt;0,(F4634/E4634)*1000,""),"")</f>
        <v/>
      </c>
      <c r="H4634" s="139">
        <f>IFERROR(IF(E4634&gt;0,E4634*IF(ISNUMBER(J4634),J4634,IF(OR(C4634="Alpha",B4634="Alpha"),$C$7,IF(C4634="Futures",$C$6,$C$5))),""),"")</f>
        <v/>
      </c>
      <c r="I4634" s="139">
        <f>IFERROR(IF(AND(ISNUMBER(F4634),ISNUMBER(H4634)),F4634-H4634,""),"")</f>
        <v/>
      </c>
      <c r="J4634" s="114" t="n"/>
      <c r="K4634" s="139">
        <f>IFERROR(IF(H4634&gt;0,H4634*IF(OR(C4634="Alpha",B4634="Alpha"),$C$9,$C$8),""),"")</f>
        <v/>
      </c>
      <c r="L4634" s="139">
        <f>IFERROR(IF(ISNUMBER(F4634),F4634-IF(ISNUMBER(K4634),K4634,0),""),"")</f>
        <v/>
      </c>
    </row>
    <row r="4635" ht="24" customHeight="1" s="63">
      <c r="E4635" s="139" t="n"/>
      <c r="F4635" s="139" t="n"/>
      <c r="G4635" s="140">
        <f>IFERROR(IF(E4635&gt;0,(F4635/E4635)*1000,""),"")</f>
        <v/>
      </c>
      <c r="H4635" s="139">
        <f>IFERROR(IF(E4635&gt;0,E4635*IF(ISNUMBER(J4635),J4635,IF(OR(C4635="Alpha",B4635="Alpha"),$C$7,IF(C4635="Futures",$C$6,$C$5))),""),"")</f>
        <v/>
      </c>
      <c r="I4635" s="139">
        <f>IFERROR(IF(AND(ISNUMBER(F4635),ISNUMBER(H4635)),F4635-H4635,""),"")</f>
        <v/>
      </c>
      <c r="J4635" s="114" t="n"/>
      <c r="K4635" s="139">
        <f>IFERROR(IF(H4635&gt;0,H4635*IF(OR(C4635="Alpha",B4635="Alpha"),$C$9,$C$8),""),"")</f>
        <v/>
      </c>
      <c r="L4635" s="139">
        <f>IFERROR(IF(ISNUMBER(F4635),F4635-IF(ISNUMBER(K4635),K4635,0),""),"")</f>
        <v/>
      </c>
    </row>
    <row r="4636" ht="24" customHeight="1" s="63">
      <c r="E4636" s="139" t="n"/>
      <c r="F4636" s="139" t="n"/>
      <c r="G4636" s="140">
        <f>IFERROR(IF(E4636&gt;0,(F4636/E4636)*1000,""),"")</f>
        <v/>
      </c>
      <c r="H4636" s="139">
        <f>IFERROR(IF(E4636&gt;0,E4636*IF(ISNUMBER(J4636),J4636,IF(OR(C4636="Alpha",B4636="Alpha"),$C$7,IF(C4636="Futures",$C$6,$C$5))),""),"")</f>
        <v/>
      </c>
      <c r="I4636" s="139">
        <f>IFERROR(IF(AND(ISNUMBER(F4636),ISNUMBER(H4636)),F4636-H4636,""),"")</f>
        <v/>
      </c>
      <c r="J4636" s="114" t="n"/>
      <c r="K4636" s="139">
        <f>IFERROR(IF(H4636&gt;0,H4636*IF(OR(C4636="Alpha",B4636="Alpha"),$C$9,$C$8),""),"")</f>
        <v/>
      </c>
      <c r="L4636" s="139">
        <f>IFERROR(IF(ISNUMBER(F4636),F4636-IF(ISNUMBER(K4636),K4636,0),""),"")</f>
        <v/>
      </c>
    </row>
    <row r="4637" ht="24" customHeight="1" s="63">
      <c r="E4637" s="139" t="n"/>
      <c r="F4637" s="139" t="n"/>
      <c r="G4637" s="140">
        <f>IFERROR(IF(E4637&gt;0,(F4637/E4637)*1000,""),"")</f>
        <v/>
      </c>
      <c r="H4637" s="139">
        <f>IFERROR(IF(E4637&gt;0,E4637*IF(ISNUMBER(J4637),J4637,IF(OR(C4637="Alpha",B4637="Alpha"),$C$7,IF(C4637="Futures",$C$6,$C$5))),""),"")</f>
        <v/>
      </c>
      <c r="I4637" s="139">
        <f>IFERROR(IF(AND(ISNUMBER(F4637),ISNUMBER(H4637)),F4637-H4637,""),"")</f>
        <v/>
      </c>
      <c r="J4637" s="114" t="n"/>
      <c r="K4637" s="139">
        <f>IFERROR(IF(H4637&gt;0,H4637*IF(OR(C4637="Alpha",B4637="Alpha"),$C$9,$C$8),""),"")</f>
        <v/>
      </c>
      <c r="L4637" s="139">
        <f>IFERROR(IF(ISNUMBER(F4637),F4637-IF(ISNUMBER(K4637),K4637,0),""),"")</f>
        <v/>
      </c>
    </row>
    <row r="4638" ht="24" customHeight="1" s="63">
      <c r="E4638" s="139" t="n"/>
      <c r="F4638" s="139" t="n"/>
      <c r="G4638" s="140">
        <f>IFERROR(IF(E4638&gt;0,(F4638/E4638)*1000,""),"")</f>
        <v/>
      </c>
      <c r="H4638" s="139">
        <f>IFERROR(IF(E4638&gt;0,E4638*IF(ISNUMBER(J4638),J4638,IF(OR(C4638="Alpha",B4638="Alpha"),$C$7,IF(C4638="Futures",$C$6,$C$5))),""),"")</f>
        <v/>
      </c>
      <c r="I4638" s="139">
        <f>IFERROR(IF(AND(ISNUMBER(F4638),ISNUMBER(H4638)),F4638-H4638,""),"")</f>
        <v/>
      </c>
      <c r="J4638" s="114" t="n"/>
      <c r="K4638" s="139">
        <f>IFERROR(IF(H4638&gt;0,H4638*IF(OR(C4638="Alpha",B4638="Alpha"),$C$9,$C$8),""),"")</f>
        <v/>
      </c>
      <c r="L4638" s="139">
        <f>IFERROR(IF(ISNUMBER(F4638),F4638-IF(ISNUMBER(K4638),K4638,0),""),"")</f>
        <v/>
      </c>
    </row>
    <row r="4639" ht="24" customHeight="1" s="63">
      <c r="E4639" s="139" t="n"/>
      <c r="F4639" s="139" t="n"/>
      <c r="G4639" s="140">
        <f>IFERROR(IF(E4639&gt;0,(F4639/E4639)*1000,""),"")</f>
        <v/>
      </c>
      <c r="H4639" s="139">
        <f>IFERROR(IF(E4639&gt;0,E4639*IF(ISNUMBER(J4639),J4639,IF(OR(C4639="Alpha",B4639="Alpha"),$C$7,IF(C4639="Futures",$C$6,$C$5))),""),"")</f>
        <v/>
      </c>
      <c r="I4639" s="139">
        <f>IFERROR(IF(AND(ISNUMBER(F4639),ISNUMBER(H4639)),F4639-H4639,""),"")</f>
        <v/>
      </c>
      <c r="J4639" s="114" t="n"/>
      <c r="K4639" s="139">
        <f>IFERROR(IF(H4639&gt;0,H4639*IF(OR(C4639="Alpha",B4639="Alpha"),$C$9,$C$8),""),"")</f>
        <v/>
      </c>
      <c r="L4639" s="139">
        <f>IFERROR(IF(ISNUMBER(F4639),F4639-IF(ISNUMBER(K4639),K4639,0),""),"")</f>
        <v/>
      </c>
    </row>
    <row r="4640" ht="24" customHeight="1" s="63">
      <c r="E4640" s="139" t="n"/>
      <c r="F4640" s="139" t="n"/>
      <c r="G4640" s="140">
        <f>IFERROR(IF(E4640&gt;0,(F4640/E4640)*1000,""),"")</f>
        <v/>
      </c>
      <c r="H4640" s="139">
        <f>IFERROR(IF(E4640&gt;0,E4640*IF(ISNUMBER(J4640),J4640,IF(OR(C4640="Alpha",B4640="Alpha"),$C$7,IF(C4640="Futures",$C$6,$C$5))),""),"")</f>
        <v/>
      </c>
      <c r="I4640" s="139">
        <f>IFERROR(IF(AND(ISNUMBER(F4640),ISNUMBER(H4640)),F4640-H4640,""),"")</f>
        <v/>
      </c>
      <c r="J4640" s="114" t="n"/>
      <c r="K4640" s="139">
        <f>IFERROR(IF(H4640&gt;0,H4640*IF(OR(C4640="Alpha",B4640="Alpha"),$C$9,$C$8),""),"")</f>
        <v/>
      </c>
      <c r="L4640" s="139">
        <f>IFERROR(IF(ISNUMBER(F4640),F4640-IF(ISNUMBER(K4640),K4640,0),""),"")</f>
        <v/>
      </c>
    </row>
    <row r="4641" ht="24" customHeight="1" s="63">
      <c r="E4641" s="139" t="n"/>
      <c r="F4641" s="139" t="n"/>
      <c r="G4641" s="140">
        <f>IFERROR(IF(E4641&gt;0,(F4641/E4641)*1000,""),"")</f>
        <v/>
      </c>
      <c r="H4641" s="139">
        <f>IFERROR(IF(E4641&gt;0,E4641*IF(ISNUMBER(J4641),J4641,IF(OR(C4641="Alpha",B4641="Alpha"),$C$7,IF(C4641="Futures",$C$6,$C$5))),""),"")</f>
        <v/>
      </c>
      <c r="I4641" s="139">
        <f>IFERROR(IF(AND(ISNUMBER(F4641),ISNUMBER(H4641)),F4641-H4641,""),"")</f>
        <v/>
      </c>
      <c r="J4641" s="114" t="n"/>
      <c r="K4641" s="139">
        <f>IFERROR(IF(H4641&gt;0,H4641*IF(OR(C4641="Alpha",B4641="Alpha"),$C$9,$C$8),""),"")</f>
        <v/>
      </c>
      <c r="L4641" s="139">
        <f>IFERROR(IF(ISNUMBER(F4641),F4641-IF(ISNUMBER(K4641),K4641,0),""),"")</f>
        <v/>
      </c>
    </row>
    <row r="4642" ht="24" customHeight="1" s="63">
      <c r="E4642" s="139" t="n"/>
      <c r="F4642" s="139" t="n"/>
      <c r="G4642" s="140">
        <f>IFERROR(IF(E4642&gt;0,(F4642/E4642)*1000,""),"")</f>
        <v/>
      </c>
      <c r="H4642" s="139">
        <f>IFERROR(IF(E4642&gt;0,E4642*IF(ISNUMBER(J4642),J4642,IF(OR(C4642="Alpha",B4642="Alpha"),$C$7,IF(C4642="Futures",$C$6,$C$5))),""),"")</f>
        <v/>
      </c>
      <c r="I4642" s="139">
        <f>IFERROR(IF(AND(ISNUMBER(F4642),ISNUMBER(H4642)),F4642-H4642,""),"")</f>
        <v/>
      </c>
      <c r="J4642" s="114" t="n"/>
      <c r="K4642" s="139">
        <f>IFERROR(IF(H4642&gt;0,H4642*IF(OR(C4642="Alpha",B4642="Alpha"),$C$9,$C$8),""),"")</f>
        <v/>
      </c>
      <c r="L4642" s="139">
        <f>IFERROR(IF(ISNUMBER(F4642),F4642-IF(ISNUMBER(K4642),K4642,0),""),"")</f>
        <v/>
      </c>
    </row>
    <row r="4643" ht="24" customHeight="1" s="63">
      <c r="E4643" s="139" t="n"/>
      <c r="F4643" s="139" t="n"/>
      <c r="G4643" s="140">
        <f>IFERROR(IF(E4643&gt;0,(F4643/E4643)*1000,""),"")</f>
        <v/>
      </c>
      <c r="H4643" s="139">
        <f>IFERROR(IF(E4643&gt;0,E4643*IF(ISNUMBER(J4643),J4643,IF(OR(C4643="Alpha",B4643="Alpha"),$C$7,IF(C4643="Futures",$C$6,$C$5))),""),"")</f>
        <v/>
      </c>
      <c r="I4643" s="139">
        <f>IFERROR(IF(AND(ISNUMBER(F4643),ISNUMBER(H4643)),F4643-H4643,""),"")</f>
        <v/>
      </c>
      <c r="J4643" s="114" t="n"/>
      <c r="K4643" s="139">
        <f>IFERROR(IF(H4643&gt;0,H4643*IF(OR(C4643="Alpha",B4643="Alpha"),$C$9,$C$8),""),"")</f>
        <v/>
      </c>
      <c r="L4643" s="139">
        <f>IFERROR(IF(ISNUMBER(F4643),F4643-IF(ISNUMBER(K4643),K4643,0),""),"")</f>
        <v/>
      </c>
    </row>
    <row r="4644" ht="24" customHeight="1" s="63">
      <c r="E4644" s="139" t="n"/>
      <c r="F4644" s="139" t="n"/>
      <c r="G4644" s="140">
        <f>IFERROR(IF(E4644&gt;0,(F4644/E4644)*1000,""),"")</f>
        <v/>
      </c>
      <c r="H4644" s="139">
        <f>IFERROR(IF(E4644&gt;0,E4644*IF(ISNUMBER(J4644),J4644,IF(OR(C4644="Alpha",B4644="Alpha"),$C$7,IF(C4644="Futures",$C$6,$C$5))),""),"")</f>
        <v/>
      </c>
      <c r="I4644" s="139">
        <f>IFERROR(IF(AND(ISNUMBER(F4644),ISNUMBER(H4644)),F4644-H4644,""),"")</f>
        <v/>
      </c>
      <c r="J4644" s="114" t="n"/>
      <c r="K4644" s="139">
        <f>IFERROR(IF(H4644&gt;0,H4644*IF(OR(C4644="Alpha",B4644="Alpha"),$C$9,$C$8),""),"")</f>
        <v/>
      </c>
      <c r="L4644" s="139">
        <f>IFERROR(IF(ISNUMBER(F4644),F4644-IF(ISNUMBER(K4644),K4644,0),""),"")</f>
        <v/>
      </c>
    </row>
    <row r="4645" ht="24" customHeight="1" s="63">
      <c r="E4645" s="139" t="n"/>
      <c r="F4645" s="139" t="n"/>
      <c r="G4645" s="140">
        <f>IFERROR(IF(E4645&gt;0,(F4645/E4645)*1000,""),"")</f>
        <v/>
      </c>
      <c r="H4645" s="139">
        <f>IFERROR(IF(E4645&gt;0,E4645*IF(ISNUMBER(J4645),J4645,IF(OR(C4645="Alpha",B4645="Alpha"),$C$7,IF(C4645="Futures",$C$6,$C$5))),""),"")</f>
        <v/>
      </c>
      <c r="I4645" s="139">
        <f>IFERROR(IF(AND(ISNUMBER(F4645),ISNUMBER(H4645)),F4645-H4645,""),"")</f>
        <v/>
      </c>
      <c r="J4645" s="114" t="n"/>
      <c r="K4645" s="139">
        <f>IFERROR(IF(H4645&gt;0,H4645*IF(OR(C4645="Alpha",B4645="Alpha"),$C$9,$C$8),""),"")</f>
        <v/>
      </c>
      <c r="L4645" s="139">
        <f>IFERROR(IF(ISNUMBER(F4645),F4645-IF(ISNUMBER(K4645),K4645,0),""),"")</f>
        <v/>
      </c>
    </row>
    <row r="4646" ht="24" customHeight="1" s="63">
      <c r="E4646" s="139" t="n"/>
      <c r="F4646" s="139" t="n"/>
      <c r="G4646" s="140">
        <f>IFERROR(IF(E4646&gt;0,(F4646/E4646)*1000,""),"")</f>
        <v/>
      </c>
      <c r="H4646" s="139">
        <f>IFERROR(IF(E4646&gt;0,E4646*IF(ISNUMBER(J4646),J4646,IF(OR(C4646="Alpha",B4646="Alpha"),$C$7,IF(C4646="Futures",$C$6,$C$5))),""),"")</f>
        <v/>
      </c>
      <c r="I4646" s="139">
        <f>IFERROR(IF(AND(ISNUMBER(F4646),ISNUMBER(H4646)),F4646-H4646,""),"")</f>
        <v/>
      </c>
      <c r="J4646" s="114" t="n"/>
      <c r="K4646" s="139">
        <f>IFERROR(IF(H4646&gt;0,H4646*IF(OR(C4646="Alpha",B4646="Alpha"),$C$9,$C$8),""),"")</f>
        <v/>
      </c>
      <c r="L4646" s="139">
        <f>IFERROR(IF(ISNUMBER(F4646),F4646-IF(ISNUMBER(K4646),K4646,0),""),"")</f>
        <v/>
      </c>
    </row>
    <row r="4647" ht="24" customHeight="1" s="63">
      <c r="E4647" s="139" t="n"/>
      <c r="F4647" s="139" t="n"/>
      <c r="G4647" s="140">
        <f>IFERROR(IF(E4647&gt;0,(F4647/E4647)*1000,""),"")</f>
        <v/>
      </c>
      <c r="H4647" s="139">
        <f>IFERROR(IF(E4647&gt;0,E4647*IF(ISNUMBER(J4647),J4647,IF(OR(C4647="Alpha",B4647="Alpha"),$C$7,IF(C4647="Futures",$C$6,$C$5))),""),"")</f>
        <v/>
      </c>
      <c r="I4647" s="139">
        <f>IFERROR(IF(AND(ISNUMBER(F4647),ISNUMBER(H4647)),F4647-H4647,""),"")</f>
        <v/>
      </c>
      <c r="J4647" s="114" t="n"/>
      <c r="K4647" s="139">
        <f>IFERROR(IF(H4647&gt;0,H4647*IF(OR(C4647="Alpha",B4647="Alpha"),$C$9,$C$8),""),"")</f>
        <v/>
      </c>
      <c r="L4647" s="139">
        <f>IFERROR(IF(ISNUMBER(F4647),F4647-IF(ISNUMBER(K4647),K4647,0),""),"")</f>
        <v/>
      </c>
    </row>
    <row r="4648" ht="24" customHeight="1" s="63">
      <c r="E4648" s="139" t="n"/>
      <c r="F4648" s="139" t="n"/>
      <c r="G4648" s="140">
        <f>IFERROR(IF(E4648&gt;0,(F4648/E4648)*1000,""),"")</f>
        <v/>
      </c>
      <c r="H4648" s="139">
        <f>IFERROR(IF(E4648&gt;0,E4648*IF(ISNUMBER(J4648),J4648,IF(OR(C4648="Alpha",B4648="Alpha"),$C$7,IF(C4648="Futures",$C$6,$C$5))),""),"")</f>
        <v/>
      </c>
      <c r="I4648" s="139">
        <f>IFERROR(IF(AND(ISNUMBER(F4648),ISNUMBER(H4648)),F4648-H4648,""),"")</f>
        <v/>
      </c>
      <c r="J4648" s="114" t="n"/>
      <c r="K4648" s="139">
        <f>IFERROR(IF(H4648&gt;0,H4648*IF(OR(C4648="Alpha",B4648="Alpha"),$C$9,$C$8),""),"")</f>
        <v/>
      </c>
      <c r="L4648" s="139">
        <f>IFERROR(IF(ISNUMBER(F4648),F4648-IF(ISNUMBER(K4648),K4648,0),""),"")</f>
        <v/>
      </c>
    </row>
    <row r="4649" ht="24" customHeight="1" s="63">
      <c r="E4649" s="139" t="n"/>
      <c r="F4649" s="139" t="n"/>
      <c r="G4649" s="140">
        <f>IFERROR(IF(E4649&gt;0,(F4649/E4649)*1000,""),"")</f>
        <v/>
      </c>
      <c r="H4649" s="139">
        <f>IFERROR(IF(E4649&gt;0,E4649*IF(ISNUMBER(J4649),J4649,IF(OR(C4649="Alpha",B4649="Alpha"),$C$7,IF(C4649="Futures",$C$6,$C$5))),""),"")</f>
        <v/>
      </c>
      <c r="I4649" s="139">
        <f>IFERROR(IF(AND(ISNUMBER(F4649),ISNUMBER(H4649)),F4649-H4649,""),"")</f>
        <v/>
      </c>
      <c r="J4649" s="114" t="n"/>
      <c r="K4649" s="139">
        <f>IFERROR(IF(H4649&gt;0,H4649*IF(OR(C4649="Alpha",B4649="Alpha"),$C$9,$C$8),""),"")</f>
        <v/>
      </c>
      <c r="L4649" s="139">
        <f>IFERROR(IF(ISNUMBER(F4649),F4649-IF(ISNUMBER(K4649),K4649,0),""),"")</f>
        <v/>
      </c>
    </row>
    <row r="4650" ht="24" customHeight="1" s="63">
      <c r="E4650" s="139" t="n"/>
      <c r="F4650" s="139" t="n"/>
      <c r="G4650" s="140">
        <f>IFERROR(IF(E4650&gt;0,(F4650/E4650)*1000,""),"")</f>
        <v/>
      </c>
      <c r="H4650" s="139">
        <f>IFERROR(IF(E4650&gt;0,E4650*IF(ISNUMBER(J4650),J4650,IF(OR(C4650="Alpha",B4650="Alpha"),$C$7,IF(C4650="Futures",$C$6,$C$5))),""),"")</f>
        <v/>
      </c>
      <c r="I4650" s="139">
        <f>IFERROR(IF(AND(ISNUMBER(F4650),ISNUMBER(H4650)),F4650-H4650,""),"")</f>
        <v/>
      </c>
      <c r="J4650" s="114" t="n"/>
      <c r="K4650" s="139">
        <f>IFERROR(IF(H4650&gt;0,H4650*IF(OR(C4650="Alpha",B4650="Alpha"),$C$9,$C$8),""),"")</f>
        <v/>
      </c>
      <c r="L4650" s="139">
        <f>IFERROR(IF(ISNUMBER(F4650),F4650-IF(ISNUMBER(K4650),K4650,0),""),"")</f>
        <v/>
      </c>
    </row>
    <row r="4651" ht="24" customHeight="1" s="63">
      <c r="E4651" s="139" t="n"/>
      <c r="F4651" s="139" t="n"/>
      <c r="G4651" s="140">
        <f>IFERROR(IF(E4651&gt;0,(F4651/E4651)*1000,""),"")</f>
        <v/>
      </c>
      <c r="H4651" s="139">
        <f>IFERROR(IF(E4651&gt;0,E4651*IF(ISNUMBER(J4651),J4651,IF(OR(C4651="Alpha",B4651="Alpha"),$C$7,IF(C4651="Futures",$C$6,$C$5))),""),"")</f>
        <v/>
      </c>
      <c r="I4651" s="139">
        <f>IFERROR(IF(AND(ISNUMBER(F4651),ISNUMBER(H4651)),F4651-H4651,""),"")</f>
        <v/>
      </c>
      <c r="J4651" s="114" t="n"/>
      <c r="K4651" s="139">
        <f>IFERROR(IF(H4651&gt;0,H4651*IF(OR(C4651="Alpha",B4651="Alpha"),$C$9,$C$8),""),"")</f>
        <v/>
      </c>
      <c r="L4651" s="139">
        <f>IFERROR(IF(ISNUMBER(F4651),F4651-IF(ISNUMBER(K4651),K4651,0),""),"")</f>
        <v/>
      </c>
    </row>
    <row r="4652" ht="24" customHeight="1" s="63">
      <c r="E4652" s="139" t="n"/>
      <c r="F4652" s="139" t="n"/>
      <c r="G4652" s="140">
        <f>IFERROR(IF(E4652&gt;0,(F4652/E4652)*1000,""),"")</f>
        <v/>
      </c>
      <c r="H4652" s="139">
        <f>IFERROR(IF(E4652&gt;0,E4652*IF(ISNUMBER(J4652),J4652,IF(OR(C4652="Alpha",B4652="Alpha"),$C$7,IF(C4652="Futures",$C$6,$C$5))),""),"")</f>
        <v/>
      </c>
      <c r="I4652" s="139">
        <f>IFERROR(IF(AND(ISNUMBER(F4652),ISNUMBER(H4652)),F4652-H4652,""),"")</f>
        <v/>
      </c>
      <c r="J4652" s="114" t="n"/>
      <c r="K4652" s="139">
        <f>IFERROR(IF(H4652&gt;0,H4652*IF(OR(C4652="Alpha",B4652="Alpha"),$C$9,$C$8),""),"")</f>
        <v/>
      </c>
      <c r="L4652" s="139">
        <f>IFERROR(IF(ISNUMBER(F4652),F4652-IF(ISNUMBER(K4652),K4652,0),""),"")</f>
        <v/>
      </c>
    </row>
    <row r="4653" ht="24" customHeight="1" s="63">
      <c r="E4653" s="139" t="n"/>
      <c r="F4653" s="139" t="n"/>
      <c r="G4653" s="140">
        <f>IFERROR(IF(E4653&gt;0,(F4653/E4653)*1000,""),"")</f>
        <v/>
      </c>
      <c r="H4653" s="139">
        <f>IFERROR(IF(E4653&gt;0,E4653*IF(ISNUMBER(J4653),J4653,IF(OR(C4653="Alpha",B4653="Alpha"),$C$7,IF(C4653="Futures",$C$6,$C$5))),""),"")</f>
        <v/>
      </c>
      <c r="I4653" s="139">
        <f>IFERROR(IF(AND(ISNUMBER(F4653),ISNUMBER(H4653)),F4653-H4653,""),"")</f>
        <v/>
      </c>
      <c r="J4653" s="114" t="n"/>
      <c r="K4653" s="139">
        <f>IFERROR(IF(H4653&gt;0,H4653*IF(OR(C4653="Alpha",B4653="Alpha"),$C$9,$C$8),""),"")</f>
        <v/>
      </c>
      <c r="L4653" s="139">
        <f>IFERROR(IF(ISNUMBER(F4653),F4653-IF(ISNUMBER(K4653),K4653,0),""),"")</f>
        <v/>
      </c>
    </row>
    <row r="4654" ht="24" customHeight="1" s="63">
      <c r="E4654" s="139" t="n"/>
      <c r="F4654" s="139" t="n"/>
      <c r="G4654" s="140">
        <f>IFERROR(IF(E4654&gt;0,(F4654/E4654)*1000,""),"")</f>
        <v/>
      </c>
      <c r="H4654" s="139">
        <f>IFERROR(IF(E4654&gt;0,E4654*IF(ISNUMBER(J4654),J4654,IF(OR(C4654="Alpha",B4654="Alpha"),$C$7,IF(C4654="Futures",$C$6,$C$5))),""),"")</f>
        <v/>
      </c>
      <c r="I4654" s="139">
        <f>IFERROR(IF(AND(ISNUMBER(F4654),ISNUMBER(H4654)),F4654-H4654,""),"")</f>
        <v/>
      </c>
      <c r="J4654" s="114" t="n"/>
      <c r="K4654" s="139">
        <f>IFERROR(IF(H4654&gt;0,H4654*IF(OR(C4654="Alpha",B4654="Alpha"),$C$9,$C$8),""),"")</f>
        <v/>
      </c>
      <c r="L4654" s="139">
        <f>IFERROR(IF(ISNUMBER(F4654),F4654-IF(ISNUMBER(K4654),K4654,0),""),"")</f>
        <v/>
      </c>
    </row>
    <row r="4655" ht="24" customHeight="1" s="63">
      <c r="E4655" s="139" t="n"/>
      <c r="F4655" s="139" t="n"/>
      <c r="G4655" s="140">
        <f>IFERROR(IF(E4655&gt;0,(F4655/E4655)*1000,""),"")</f>
        <v/>
      </c>
      <c r="H4655" s="139">
        <f>IFERROR(IF(E4655&gt;0,E4655*IF(ISNUMBER(J4655),J4655,IF(OR(C4655="Alpha",B4655="Alpha"),$C$7,IF(C4655="Futures",$C$6,$C$5))),""),"")</f>
        <v/>
      </c>
      <c r="I4655" s="139">
        <f>IFERROR(IF(AND(ISNUMBER(F4655),ISNUMBER(H4655)),F4655-H4655,""),"")</f>
        <v/>
      </c>
      <c r="J4655" s="114" t="n"/>
      <c r="K4655" s="139">
        <f>IFERROR(IF(H4655&gt;0,H4655*IF(OR(C4655="Alpha",B4655="Alpha"),$C$9,$C$8),""),"")</f>
        <v/>
      </c>
      <c r="L4655" s="139">
        <f>IFERROR(IF(ISNUMBER(F4655),F4655-IF(ISNUMBER(K4655),K4655,0),""),"")</f>
        <v/>
      </c>
    </row>
    <row r="4656" ht="24" customHeight="1" s="63">
      <c r="E4656" s="139" t="n"/>
      <c r="F4656" s="139" t="n"/>
      <c r="G4656" s="140">
        <f>IFERROR(IF(E4656&gt;0,(F4656/E4656)*1000,""),"")</f>
        <v/>
      </c>
      <c r="H4656" s="139">
        <f>IFERROR(IF(E4656&gt;0,E4656*IF(ISNUMBER(J4656),J4656,IF(OR(C4656="Alpha",B4656="Alpha"),$C$7,IF(C4656="Futures",$C$6,$C$5))),""),"")</f>
        <v/>
      </c>
      <c r="I4656" s="139">
        <f>IFERROR(IF(AND(ISNUMBER(F4656),ISNUMBER(H4656)),F4656-H4656,""),"")</f>
        <v/>
      </c>
      <c r="J4656" s="114" t="n"/>
      <c r="K4656" s="139">
        <f>IFERROR(IF(H4656&gt;0,H4656*IF(OR(C4656="Alpha",B4656="Alpha"),$C$9,$C$8),""),"")</f>
        <v/>
      </c>
      <c r="L4656" s="139">
        <f>IFERROR(IF(ISNUMBER(F4656),F4656-IF(ISNUMBER(K4656),K4656,0),""),"")</f>
        <v/>
      </c>
    </row>
    <row r="4657" ht="24" customHeight="1" s="63">
      <c r="E4657" s="139" t="n"/>
      <c r="F4657" s="139" t="n"/>
      <c r="G4657" s="140">
        <f>IFERROR(IF(E4657&gt;0,(F4657/E4657)*1000,""),"")</f>
        <v/>
      </c>
      <c r="H4657" s="139">
        <f>IFERROR(IF(E4657&gt;0,E4657*IF(ISNUMBER(J4657),J4657,IF(OR(C4657="Alpha",B4657="Alpha"),$C$7,IF(C4657="Futures",$C$6,$C$5))),""),"")</f>
        <v/>
      </c>
      <c r="I4657" s="139">
        <f>IFERROR(IF(AND(ISNUMBER(F4657),ISNUMBER(H4657)),F4657-H4657,""),"")</f>
        <v/>
      </c>
      <c r="J4657" s="114" t="n"/>
      <c r="K4657" s="139">
        <f>IFERROR(IF(H4657&gt;0,H4657*IF(OR(C4657="Alpha",B4657="Alpha"),$C$9,$C$8),""),"")</f>
        <v/>
      </c>
      <c r="L4657" s="139">
        <f>IFERROR(IF(ISNUMBER(F4657),F4657-IF(ISNUMBER(K4657),K4657,0),""),"")</f>
        <v/>
      </c>
    </row>
    <row r="4658" ht="24" customHeight="1" s="63">
      <c r="E4658" s="139" t="n"/>
      <c r="F4658" s="139" t="n"/>
      <c r="G4658" s="140">
        <f>IFERROR(IF(E4658&gt;0,(F4658/E4658)*1000,""),"")</f>
        <v/>
      </c>
      <c r="H4658" s="139">
        <f>IFERROR(IF(E4658&gt;0,E4658*IF(ISNUMBER(J4658),J4658,IF(OR(C4658="Alpha",B4658="Alpha"),$C$7,IF(C4658="Futures",$C$6,$C$5))),""),"")</f>
        <v/>
      </c>
      <c r="I4658" s="139">
        <f>IFERROR(IF(AND(ISNUMBER(F4658),ISNUMBER(H4658)),F4658-H4658,""),"")</f>
        <v/>
      </c>
      <c r="J4658" s="114" t="n"/>
      <c r="K4658" s="139">
        <f>IFERROR(IF(H4658&gt;0,H4658*IF(OR(C4658="Alpha",B4658="Alpha"),$C$9,$C$8),""),"")</f>
        <v/>
      </c>
      <c r="L4658" s="139">
        <f>IFERROR(IF(ISNUMBER(F4658),F4658-IF(ISNUMBER(K4658),K4658,0),""),"")</f>
        <v/>
      </c>
    </row>
    <row r="4659" ht="24" customHeight="1" s="63">
      <c r="E4659" s="139" t="n"/>
      <c r="F4659" s="139" t="n"/>
      <c r="G4659" s="140">
        <f>IFERROR(IF(E4659&gt;0,(F4659/E4659)*1000,""),"")</f>
        <v/>
      </c>
      <c r="H4659" s="139">
        <f>IFERROR(IF(E4659&gt;0,E4659*IF(ISNUMBER(J4659),J4659,IF(OR(C4659="Alpha",B4659="Alpha"),$C$7,IF(C4659="Futures",$C$6,$C$5))),""),"")</f>
        <v/>
      </c>
      <c r="I4659" s="139">
        <f>IFERROR(IF(AND(ISNUMBER(F4659),ISNUMBER(H4659)),F4659-H4659,""),"")</f>
        <v/>
      </c>
      <c r="J4659" s="114" t="n"/>
      <c r="K4659" s="139">
        <f>IFERROR(IF(H4659&gt;0,H4659*IF(OR(C4659="Alpha",B4659="Alpha"),$C$9,$C$8),""),"")</f>
        <v/>
      </c>
      <c r="L4659" s="139">
        <f>IFERROR(IF(ISNUMBER(F4659),F4659-IF(ISNUMBER(K4659),K4659,0),""),"")</f>
        <v/>
      </c>
    </row>
    <row r="4660" ht="24" customHeight="1" s="63">
      <c r="E4660" s="139" t="n"/>
      <c r="F4660" s="139" t="n"/>
      <c r="G4660" s="140">
        <f>IFERROR(IF(E4660&gt;0,(F4660/E4660)*1000,""),"")</f>
        <v/>
      </c>
      <c r="H4660" s="139">
        <f>IFERROR(IF(E4660&gt;0,E4660*IF(ISNUMBER(J4660),J4660,IF(OR(C4660="Alpha",B4660="Alpha"),$C$7,IF(C4660="Futures",$C$6,$C$5))),""),"")</f>
        <v/>
      </c>
      <c r="I4660" s="139">
        <f>IFERROR(IF(AND(ISNUMBER(F4660),ISNUMBER(H4660)),F4660-H4660,""),"")</f>
        <v/>
      </c>
      <c r="J4660" s="114" t="n"/>
      <c r="K4660" s="139">
        <f>IFERROR(IF(H4660&gt;0,H4660*IF(OR(C4660="Alpha",B4660="Alpha"),$C$9,$C$8),""),"")</f>
        <v/>
      </c>
      <c r="L4660" s="139">
        <f>IFERROR(IF(ISNUMBER(F4660),F4660-IF(ISNUMBER(K4660),K4660,0),""),"")</f>
        <v/>
      </c>
    </row>
    <row r="4661" ht="24" customHeight="1" s="63">
      <c r="E4661" s="139" t="n"/>
      <c r="F4661" s="139" t="n"/>
      <c r="G4661" s="140">
        <f>IFERROR(IF(E4661&gt;0,(F4661/E4661)*1000,""),"")</f>
        <v/>
      </c>
      <c r="H4661" s="139">
        <f>IFERROR(IF(E4661&gt;0,E4661*IF(ISNUMBER(J4661),J4661,IF(OR(C4661="Alpha",B4661="Alpha"),$C$7,IF(C4661="Futures",$C$6,$C$5))),""),"")</f>
        <v/>
      </c>
      <c r="I4661" s="139">
        <f>IFERROR(IF(AND(ISNUMBER(F4661),ISNUMBER(H4661)),F4661-H4661,""),"")</f>
        <v/>
      </c>
      <c r="J4661" s="114" t="n"/>
      <c r="K4661" s="139">
        <f>IFERROR(IF(H4661&gt;0,H4661*IF(OR(C4661="Alpha",B4661="Alpha"),$C$9,$C$8),""),"")</f>
        <v/>
      </c>
      <c r="L4661" s="139">
        <f>IFERROR(IF(ISNUMBER(F4661),F4661-IF(ISNUMBER(K4661),K4661,0),""),"")</f>
        <v/>
      </c>
    </row>
    <row r="4662" ht="24" customHeight="1" s="63">
      <c r="E4662" s="139" t="n"/>
      <c r="F4662" s="139" t="n"/>
      <c r="G4662" s="140">
        <f>IFERROR(IF(E4662&gt;0,(F4662/E4662)*1000,""),"")</f>
        <v/>
      </c>
      <c r="H4662" s="139">
        <f>IFERROR(IF(E4662&gt;0,E4662*IF(ISNUMBER(J4662),J4662,IF(OR(C4662="Alpha",B4662="Alpha"),$C$7,IF(C4662="Futures",$C$6,$C$5))),""),"")</f>
        <v/>
      </c>
      <c r="I4662" s="139">
        <f>IFERROR(IF(AND(ISNUMBER(F4662),ISNUMBER(H4662)),F4662-H4662,""),"")</f>
        <v/>
      </c>
      <c r="J4662" s="114" t="n"/>
      <c r="K4662" s="139">
        <f>IFERROR(IF(H4662&gt;0,H4662*IF(OR(C4662="Alpha",B4662="Alpha"),$C$9,$C$8),""),"")</f>
        <v/>
      </c>
      <c r="L4662" s="139">
        <f>IFERROR(IF(ISNUMBER(F4662),F4662-IF(ISNUMBER(K4662),K4662,0),""),"")</f>
        <v/>
      </c>
    </row>
    <row r="4663" ht="24" customHeight="1" s="63">
      <c r="E4663" s="139" t="n"/>
      <c r="F4663" s="139" t="n"/>
      <c r="G4663" s="140">
        <f>IFERROR(IF(E4663&gt;0,(F4663/E4663)*1000,""),"")</f>
        <v/>
      </c>
      <c r="H4663" s="139">
        <f>IFERROR(IF(E4663&gt;0,E4663*IF(ISNUMBER(J4663),J4663,IF(OR(C4663="Alpha",B4663="Alpha"),$C$7,IF(C4663="Futures",$C$6,$C$5))),""),"")</f>
        <v/>
      </c>
      <c r="I4663" s="139">
        <f>IFERROR(IF(AND(ISNUMBER(F4663),ISNUMBER(H4663)),F4663-H4663,""),"")</f>
        <v/>
      </c>
      <c r="J4663" s="114" t="n"/>
      <c r="K4663" s="139">
        <f>IFERROR(IF(H4663&gt;0,H4663*IF(OR(C4663="Alpha",B4663="Alpha"),$C$9,$C$8),""),"")</f>
        <v/>
      </c>
      <c r="L4663" s="139">
        <f>IFERROR(IF(ISNUMBER(F4663),F4663-IF(ISNUMBER(K4663),K4663,0),""),"")</f>
        <v/>
      </c>
    </row>
    <row r="4664" ht="24" customHeight="1" s="63">
      <c r="E4664" s="139" t="n"/>
      <c r="F4664" s="139" t="n"/>
      <c r="G4664" s="140">
        <f>IFERROR(IF(E4664&gt;0,(F4664/E4664)*1000,""),"")</f>
        <v/>
      </c>
      <c r="H4664" s="139">
        <f>IFERROR(IF(E4664&gt;0,E4664*IF(ISNUMBER(J4664),J4664,IF(OR(C4664="Alpha",B4664="Alpha"),$C$7,IF(C4664="Futures",$C$6,$C$5))),""),"")</f>
        <v/>
      </c>
      <c r="I4664" s="139">
        <f>IFERROR(IF(AND(ISNUMBER(F4664),ISNUMBER(H4664)),F4664-H4664,""),"")</f>
        <v/>
      </c>
      <c r="J4664" s="114" t="n"/>
      <c r="K4664" s="139">
        <f>IFERROR(IF(H4664&gt;0,H4664*IF(OR(C4664="Alpha",B4664="Alpha"),$C$9,$C$8),""),"")</f>
        <v/>
      </c>
      <c r="L4664" s="139">
        <f>IFERROR(IF(ISNUMBER(F4664),F4664-IF(ISNUMBER(K4664),K4664,0),""),"")</f>
        <v/>
      </c>
    </row>
    <row r="4665" ht="24" customHeight="1" s="63">
      <c r="E4665" s="139" t="n"/>
      <c r="F4665" s="139" t="n"/>
      <c r="G4665" s="140">
        <f>IFERROR(IF(E4665&gt;0,(F4665/E4665)*1000,""),"")</f>
        <v/>
      </c>
      <c r="H4665" s="139">
        <f>IFERROR(IF(E4665&gt;0,E4665*IF(ISNUMBER(J4665),J4665,IF(OR(C4665="Alpha",B4665="Alpha"),$C$7,IF(C4665="Futures",$C$6,$C$5))),""),"")</f>
        <v/>
      </c>
      <c r="I4665" s="139">
        <f>IFERROR(IF(AND(ISNUMBER(F4665),ISNUMBER(H4665)),F4665-H4665,""),"")</f>
        <v/>
      </c>
      <c r="J4665" s="114" t="n"/>
      <c r="K4665" s="139">
        <f>IFERROR(IF(H4665&gt;0,H4665*IF(OR(C4665="Alpha",B4665="Alpha"),$C$9,$C$8),""),"")</f>
        <v/>
      </c>
      <c r="L4665" s="139">
        <f>IFERROR(IF(ISNUMBER(F4665),F4665-IF(ISNUMBER(K4665),K4665,0),""),"")</f>
        <v/>
      </c>
    </row>
    <row r="4666" ht="24" customHeight="1" s="63">
      <c r="E4666" s="139" t="n"/>
      <c r="F4666" s="139" t="n"/>
      <c r="G4666" s="140">
        <f>IFERROR(IF(E4666&gt;0,(F4666/E4666)*1000,""),"")</f>
        <v/>
      </c>
      <c r="H4666" s="139">
        <f>IFERROR(IF(E4666&gt;0,E4666*IF(ISNUMBER(J4666),J4666,IF(OR(C4666="Alpha",B4666="Alpha"),$C$7,IF(C4666="Futures",$C$6,$C$5))),""),"")</f>
        <v/>
      </c>
      <c r="I4666" s="139">
        <f>IFERROR(IF(AND(ISNUMBER(F4666),ISNUMBER(H4666)),F4666-H4666,""),"")</f>
        <v/>
      </c>
      <c r="J4666" s="114" t="n"/>
      <c r="K4666" s="139">
        <f>IFERROR(IF(H4666&gt;0,H4666*IF(OR(C4666="Alpha",B4666="Alpha"),$C$9,$C$8),""),"")</f>
        <v/>
      </c>
      <c r="L4666" s="139">
        <f>IFERROR(IF(ISNUMBER(F4666),F4666-IF(ISNUMBER(K4666),K4666,0),""),"")</f>
        <v/>
      </c>
    </row>
    <row r="4667" ht="24" customHeight="1" s="63">
      <c r="E4667" s="139" t="n"/>
      <c r="F4667" s="139" t="n"/>
      <c r="G4667" s="140">
        <f>IFERROR(IF(E4667&gt;0,(F4667/E4667)*1000,""),"")</f>
        <v/>
      </c>
      <c r="H4667" s="139">
        <f>IFERROR(IF(E4667&gt;0,E4667*IF(ISNUMBER(J4667),J4667,IF(OR(C4667="Alpha",B4667="Alpha"),$C$7,IF(C4667="Futures",$C$6,$C$5))),""),"")</f>
        <v/>
      </c>
      <c r="I4667" s="139">
        <f>IFERROR(IF(AND(ISNUMBER(F4667),ISNUMBER(H4667)),F4667-H4667,""),"")</f>
        <v/>
      </c>
      <c r="J4667" s="114" t="n"/>
      <c r="K4667" s="139">
        <f>IFERROR(IF(H4667&gt;0,H4667*IF(OR(C4667="Alpha",B4667="Alpha"),$C$9,$C$8),""),"")</f>
        <v/>
      </c>
      <c r="L4667" s="139">
        <f>IFERROR(IF(ISNUMBER(F4667),F4667-IF(ISNUMBER(K4667),K4667,0),""),"")</f>
        <v/>
      </c>
    </row>
    <row r="4668" ht="24" customHeight="1" s="63">
      <c r="E4668" s="139" t="n"/>
      <c r="F4668" s="139" t="n"/>
      <c r="G4668" s="140">
        <f>IFERROR(IF(E4668&gt;0,(F4668/E4668)*1000,""),"")</f>
        <v/>
      </c>
      <c r="H4668" s="139">
        <f>IFERROR(IF(E4668&gt;0,E4668*IF(ISNUMBER(J4668),J4668,IF(OR(C4668="Alpha",B4668="Alpha"),$C$7,IF(C4668="Futures",$C$6,$C$5))),""),"")</f>
        <v/>
      </c>
      <c r="I4668" s="139">
        <f>IFERROR(IF(AND(ISNUMBER(F4668),ISNUMBER(H4668)),F4668-H4668,""),"")</f>
        <v/>
      </c>
      <c r="J4668" s="114" t="n"/>
      <c r="K4668" s="139">
        <f>IFERROR(IF(H4668&gt;0,H4668*IF(OR(C4668="Alpha",B4668="Alpha"),$C$9,$C$8),""),"")</f>
        <v/>
      </c>
      <c r="L4668" s="139">
        <f>IFERROR(IF(ISNUMBER(F4668),F4668-IF(ISNUMBER(K4668),K4668,0),""),"")</f>
        <v/>
      </c>
    </row>
    <row r="4669" ht="24" customHeight="1" s="63">
      <c r="E4669" s="139" t="n"/>
      <c r="F4669" s="139" t="n"/>
      <c r="G4669" s="140">
        <f>IFERROR(IF(E4669&gt;0,(F4669/E4669)*1000,""),"")</f>
        <v/>
      </c>
      <c r="H4669" s="139">
        <f>IFERROR(IF(E4669&gt;0,E4669*IF(ISNUMBER(J4669),J4669,IF(OR(C4669="Alpha",B4669="Alpha"),$C$7,IF(C4669="Futures",$C$6,$C$5))),""),"")</f>
        <v/>
      </c>
      <c r="I4669" s="139">
        <f>IFERROR(IF(AND(ISNUMBER(F4669),ISNUMBER(H4669)),F4669-H4669,""),"")</f>
        <v/>
      </c>
      <c r="J4669" s="114" t="n"/>
      <c r="K4669" s="139">
        <f>IFERROR(IF(H4669&gt;0,H4669*IF(OR(C4669="Alpha",B4669="Alpha"),$C$9,$C$8),""),"")</f>
        <v/>
      </c>
      <c r="L4669" s="139">
        <f>IFERROR(IF(ISNUMBER(F4669),F4669-IF(ISNUMBER(K4669),K4669,0),""),"")</f>
        <v/>
      </c>
    </row>
    <row r="4670" ht="24" customHeight="1" s="63">
      <c r="E4670" s="139" t="n"/>
      <c r="F4670" s="139" t="n"/>
      <c r="G4670" s="140">
        <f>IFERROR(IF(E4670&gt;0,(F4670/E4670)*1000,""),"")</f>
        <v/>
      </c>
      <c r="H4670" s="139">
        <f>IFERROR(IF(E4670&gt;0,E4670*IF(ISNUMBER(J4670),J4670,IF(OR(C4670="Alpha",B4670="Alpha"),$C$7,IF(C4670="Futures",$C$6,$C$5))),""),"")</f>
        <v/>
      </c>
      <c r="I4670" s="139">
        <f>IFERROR(IF(AND(ISNUMBER(F4670),ISNUMBER(H4670)),F4670-H4670,""),"")</f>
        <v/>
      </c>
      <c r="J4670" s="114" t="n"/>
      <c r="K4670" s="139">
        <f>IFERROR(IF(H4670&gt;0,H4670*IF(OR(C4670="Alpha",B4670="Alpha"),$C$9,$C$8),""),"")</f>
        <v/>
      </c>
      <c r="L4670" s="139">
        <f>IFERROR(IF(ISNUMBER(F4670),F4670-IF(ISNUMBER(K4670),K4670,0),""),"")</f>
        <v/>
      </c>
    </row>
    <row r="4671" ht="24" customHeight="1" s="63">
      <c r="E4671" s="139" t="n"/>
      <c r="F4671" s="139" t="n"/>
      <c r="G4671" s="140">
        <f>IFERROR(IF(E4671&gt;0,(F4671/E4671)*1000,""),"")</f>
        <v/>
      </c>
      <c r="H4671" s="139">
        <f>IFERROR(IF(E4671&gt;0,E4671*IF(ISNUMBER(J4671),J4671,IF(OR(C4671="Alpha",B4671="Alpha"),$C$7,IF(C4671="Futures",$C$6,$C$5))),""),"")</f>
        <v/>
      </c>
      <c r="I4671" s="139">
        <f>IFERROR(IF(AND(ISNUMBER(F4671),ISNUMBER(H4671)),F4671-H4671,""),"")</f>
        <v/>
      </c>
      <c r="J4671" s="114" t="n"/>
      <c r="K4671" s="139">
        <f>IFERROR(IF(H4671&gt;0,H4671*IF(OR(C4671="Alpha",B4671="Alpha"),$C$9,$C$8),""),"")</f>
        <v/>
      </c>
      <c r="L4671" s="139">
        <f>IFERROR(IF(ISNUMBER(F4671),F4671-IF(ISNUMBER(K4671),K4671,0),""),"")</f>
        <v/>
      </c>
    </row>
    <row r="4672" ht="24" customHeight="1" s="63">
      <c r="E4672" s="139" t="n"/>
      <c r="F4672" s="139" t="n"/>
      <c r="G4672" s="140">
        <f>IFERROR(IF(E4672&gt;0,(F4672/E4672)*1000,""),"")</f>
        <v/>
      </c>
      <c r="H4672" s="139">
        <f>IFERROR(IF(E4672&gt;0,E4672*IF(ISNUMBER(J4672),J4672,IF(OR(C4672="Alpha",B4672="Alpha"),$C$7,IF(C4672="Futures",$C$6,$C$5))),""),"")</f>
        <v/>
      </c>
      <c r="I4672" s="139">
        <f>IFERROR(IF(AND(ISNUMBER(F4672),ISNUMBER(H4672)),F4672-H4672,""),"")</f>
        <v/>
      </c>
      <c r="J4672" s="114" t="n"/>
      <c r="K4672" s="139">
        <f>IFERROR(IF(H4672&gt;0,H4672*IF(OR(C4672="Alpha",B4672="Alpha"),$C$9,$C$8),""),"")</f>
        <v/>
      </c>
      <c r="L4672" s="139">
        <f>IFERROR(IF(ISNUMBER(F4672),F4672-IF(ISNUMBER(K4672),K4672,0),""),"")</f>
        <v/>
      </c>
    </row>
    <row r="4673" ht="24" customHeight="1" s="63">
      <c r="E4673" s="139" t="n"/>
      <c r="F4673" s="139" t="n"/>
      <c r="G4673" s="140">
        <f>IFERROR(IF(E4673&gt;0,(F4673/E4673)*1000,""),"")</f>
        <v/>
      </c>
      <c r="H4673" s="139">
        <f>IFERROR(IF(E4673&gt;0,E4673*IF(ISNUMBER(J4673),J4673,IF(OR(C4673="Alpha",B4673="Alpha"),$C$7,IF(C4673="Futures",$C$6,$C$5))),""),"")</f>
        <v/>
      </c>
      <c r="I4673" s="139">
        <f>IFERROR(IF(AND(ISNUMBER(F4673),ISNUMBER(H4673)),F4673-H4673,""),"")</f>
        <v/>
      </c>
      <c r="J4673" s="114" t="n"/>
      <c r="K4673" s="139">
        <f>IFERROR(IF(H4673&gt;0,H4673*IF(OR(C4673="Alpha",B4673="Alpha"),$C$9,$C$8),""),"")</f>
        <v/>
      </c>
      <c r="L4673" s="139">
        <f>IFERROR(IF(ISNUMBER(F4673),F4673-IF(ISNUMBER(K4673),K4673,0),""),"")</f>
        <v/>
      </c>
    </row>
    <row r="4674" ht="24" customHeight="1" s="63">
      <c r="E4674" s="139" t="n"/>
      <c r="F4674" s="139" t="n"/>
      <c r="G4674" s="140">
        <f>IFERROR(IF(E4674&gt;0,(F4674/E4674)*1000,""),"")</f>
        <v/>
      </c>
      <c r="H4674" s="139">
        <f>IFERROR(IF(E4674&gt;0,E4674*IF(ISNUMBER(J4674),J4674,IF(OR(C4674="Alpha",B4674="Alpha"),$C$7,IF(C4674="Futures",$C$6,$C$5))),""),"")</f>
        <v/>
      </c>
      <c r="I4674" s="139">
        <f>IFERROR(IF(AND(ISNUMBER(F4674),ISNUMBER(H4674)),F4674-H4674,""),"")</f>
        <v/>
      </c>
      <c r="J4674" s="114" t="n"/>
      <c r="K4674" s="139">
        <f>IFERROR(IF(H4674&gt;0,H4674*IF(OR(C4674="Alpha",B4674="Alpha"),$C$9,$C$8),""),"")</f>
        <v/>
      </c>
      <c r="L4674" s="139">
        <f>IFERROR(IF(ISNUMBER(F4674),F4674-IF(ISNUMBER(K4674),K4674,0),""),"")</f>
        <v/>
      </c>
    </row>
    <row r="4675" ht="24" customHeight="1" s="63">
      <c r="E4675" s="139" t="n"/>
      <c r="F4675" s="139" t="n"/>
      <c r="G4675" s="140">
        <f>IFERROR(IF(E4675&gt;0,(F4675/E4675)*1000,""),"")</f>
        <v/>
      </c>
      <c r="H4675" s="139">
        <f>IFERROR(IF(E4675&gt;0,E4675*IF(ISNUMBER(J4675),J4675,IF(OR(C4675="Alpha",B4675="Alpha"),$C$7,IF(C4675="Futures",$C$6,$C$5))),""),"")</f>
        <v/>
      </c>
      <c r="I4675" s="139">
        <f>IFERROR(IF(AND(ISNUMBER(F4675),ISNUMBER(H4675)),F4675-H4675,""),"")</f>
        <v/>
      </c>
      <c r="J4675" s="114" t="n"/>
      <c r="K4675" s="139">
        <f>IFERROR(IF(H4675&gt;0,H4675*IF(OR(C4675="Alpha",B4675="Alpha"),$C$9,$C$8),""),"")</f>
        <v/>
      </c>
      <c r="L4675" s="139">
        <f>IFERROR(IF(ISNUMBER(F4675),F4675-IF(ISNUMBER(K4675),K4675,0),""),"")</f>
        <v/>
      </c>
    </row>
    <row r="4676" ht="24" customHeight="1" s="63">
      <c r="E4676" s="139" t="n"/>
      <c r="F4676" s="139" t="n"/>
      <c r="G4676" s="140">
        <f>IFERROR(IF(E4676&gt;0,(F4676/E4676)*1000,""),"")</f>
        <v/>
      </c>
      <c r="H4676" s="139">
        <f>IFERROR(IF(E4676&gt;0,E4676*IF(ISNUMBER(J4676),J4676,IF(OR(C4676="Alpha",B4676="Alpha"),$C$7,IF(C4676="Futures",$C$6,$C$5))),""),"")</f>
        <v/>
      </c>
      <c r="I4676" s="139">
        <f>IFERROR(IF(AND(ISNUMBER(F4676),ISNUMBER(H4676)),F4676-H4676,""),"")</f>
        <v/>
      </c>
      <c r="J4676" s="114" t="n"/>
      <c r="K4676" s="139">
        <f>IFERROR(IF(H4676&gt;0,H4676*IF(OR(C4676="Alpha",B4676="Alpha"),$C$9,$C$8),""),"")</f>
        <v/>
      </c>
      <c r="L4676" s="139">
        <f>IFERROR(IF(ISNUMBER(F4676),F4676-IF(ISNUMBER(K4676),K4676,0),""),"")</f>
        <v/>
      </c>
    </row>
    <row r="4677" ht="24" customHeight="1" s="63">
      <c r="E4677" s="139" t="n"/>
      <c r="F4677" s="139" t="n"/>
      <c r="G4677" s="140">
        <f>IFERROR(IF(E4677&gt;0,(F4677/E4677)*1000,""),"")</f>
        <v/>
      </c>
      <c r="H4677" s="139">
        <f>IFERROR(IF(E4677&gt;0,E4677*IF(ISNUMBER(J4677),J4677,IF(OR(C4677="Alpha",B4677="Alpha"),$C$7,IF(C4677="Futures",$C$6,$C$5))),""),"")</f>
        <v/>
      </c>
      <c r="I4677" s="139">
        <f>IFERROR(IF(AND(ISNUMBER(F4677),ISNUMBER(H4677)),F4677-H4677,""),"")</f>
        <v/>
      </c>
      <c r="J4677" s="114" t="n"/>
      <c r="K4677" s="139">
        <f>IFERROR(IF(H4677&gt;0,H4677*IF(OR(C4677="Alpha",B4677="Alpha"),$C$9,$C$8),""),"")</f>
        <v/>
      </c>
      <c r="L4677" s="139">
        <f>IFERROR(IF(ISNUMBER(F4677),F4677-IF(ISNUMBER(K4677),K4677,0),""),"")</f>
        <v/>
      </c>
    </row>
    <row r="4678" ht="24" customHeight="1" s="63">
      <c r="E4678" s="139" t="n"/>
      <c r="F4678" s="139" t="n"/>
      <c r="G4678" s="140">
        <f>IFERROR(IF(E4678&gt;0,(F4678/E4678)*1000,""),"")</f>
        <v/>
      </c>
      <c r="H4678" s="139">
        <f>IFERROR(IF(E4678&gt;0,E4678*IF(ISNUMBER(J4678),J4678,IF(OR(C4678="Alpha",B4678="Alpha"),$C$7,IF(C4678="Futures",$C$6,$C$5))),""),"")</f>
        <v/>
      </c>
      <c r="I4678" s="139">
        <f>IFERROR(IF(AND(ISNUMBER(F4678),ISNUMBER(H4678)),F4678-H4678,""),"")</f>
        <v/>
      </c>
      <c r="J4678" s="114" t="n"/>
      <c r="K4678" s="139">
        <f>IFERROR(IF(H4678&gt;0,H4678*IF(OR(C4678="Alpha",B4678="Alpha"),$C$9,$C$8),""),"")</f>
        <v/>
      </c>
      <c r="L4678" s="139">
        <f>IFERROR(IF(ISNUMBER(F4678),F4678-IF(ISNUMBER(K4678),K4678,0),""),"")</f>
        <v/>
      </c>
    </row>
    <row r="4679" ht="24" customHeight="1" s="63">
      <c r="E4679" s="139" t="n"/>
      <c r="F4679" s="139" t="n"/>
      <c r="G4679" s="140">
        <f>IFERROR(IF(E4679&gt;0,(F4679/E4679)*1000,""),"")</f>
        <v/>
      </c>
      <c r="H4679" s="139">
        <f>IFERROR(IF(E4679&gt;0,E4679*IF(ISNUMBER(J4679),J4679,IF(OR(C4679="Alpha",B4679="Alpha"),$C$7,IF(C4679="Futures",$C$6,$C$5))),""),"")</f>
        <v/>
      </c>
      <c r="I4679" s="139">
        <f>IFERROR(IF(AND(ISNUMBER(F4679),ISNUMBER(H4679)),F4679-H4679,""),"")</f>
        <v/>
      </c>
      <c r="J4679" s="114" t="n"/>
      <c r="K4679" s="139">
        <f>IFERROR(IF(H4679&gt;0,H4679*IF(OR(C4679="Alpha",B4679="Alpha"),$C$9,$C$8),""),"")</f>
        <v/>
      </c>
      <c r="L4679" s="139">
        <f>IFERROR(IF(ISNUMBER(F4679),F4679-IF(ISNUMBER(K4679),K4679,0),""),"")</f>
        <v/>
      </c>
    </row>
    <row r="4680" ht="24" customHeight="1" s="63">
      <c r="E4680" s="139" t="n"/>
      <c r="F4680" s="139" t="n"/>
      <c r="G4680" s="140">
        <f>IFERROR(IF(E4680&gt;0,(F4680/E4680)*1000,""),"")</f>
        <v/>
      </c>
      <c r="H4680" s="139">
        <f>IFERROR(IF(E4680&gt;0,E4680*IF(ISNUMBER(J4680),J4680,IF(OR(C4680="Alpha",B4680="Alpha"),$C$7,IF(C4680="Futures",$C$6,$C$5))),""),"")</f>
        <v/>
      </c>
      <c r="I4680" s="139">
        <f>IFERROR(IF(AND(ISNUMBER(F4680),ISNUMBER(H4680)),F4680-H4680,""),"")</f>
        <v/>
      </c>
      <c r="J4680" s="114" t="n"/>
      <c r="K4680" s="139">
        <f>IFERROR(IF(H4680&gt;0,H4680*IF(OR(C4680="Alpha",B4680="Alpha"),$C$9,$C$8),""),"")</f>
        <v/>
      </c>
      <c r="L4680" s="139">
        <f>IFERROR(IF(ISNUMBER(F4680),F4680-IF(ISNUMBER(K4680),K4680,0),""),"")</f>
        <v/>
      </c>
    </row>
    <row r="4681" ht="24" customHeight="1" s="63">
      <c r="E4681" s="139" t="n"/>
      <c r="F4681" s="139" t="n"/>
      <c r="G4681" s="140">
        <f>IFERROR(IF(E4681&gt;0,(F4681/E4681)*1000,""),"")</f>
        <v/>
      </c>
      <c r="H4681" s="139">
        <f>IFERROR(IF(E4681&gt;0,E4681*IF(ISNUMBER(J4681),J4681,IF(OR(C4681="Alpha",B4681="Alpha"),$C$7,IF(C4681="Futures",$C$6,$C$5))),""),"")</f>
        <v/>
      </c>
      <c r="I4681" s="139">
        <f>IFERROR(IF(AND(ISNUMBER(F4681),ISNUMBER(H4681)),F4681-H4681,""),"")</f>
        <v/>
      </c>
      <c r="J4681" s="114" t="n"/>
      <c r="K4681" s="139">
        <f>IFERROR(IF(H4681&gt;0,H4681*IF(OR(C4681="Alpha",B4681="Alpha"),$C$9,$C$8),""),"")</f>
        <v/>
      </c>
      <c r="L4681" s="139">
        <f>IFERROR(IF(ISNUMBER(F4681),F4681-IF(ISNUMBER(K4681),K4681,0),""),"")</f>
        <v/>
      </c>
    </row>
    <row r="4682" ht="24" customHeight="1" s="63">
      <c r="E4682" s="139" t="n"/>
      <c r="F4682" s="139" t="n"/>
      <c r="G4682" s="140">
        <f>IFERROR(IF(E4682&gt;0,(F4682/E4682)*1000,""),"")</f>
        <v/>
      </c>
      <c r="H4682" s="139">
        <f>IFERROR(IF(E4682&gt;0,E4682*IF(ISNUMBER(J4682),J4682,IF(OR(C4682="Alpha",B4682="Alpha"),$C$7,IF(C4682="Futures",$C$6,$C$5))),""),"")</f>
        <v/>
      </c>
      <c r="I4682" s="139">
        <f>IFERROR(IF(AND(ISNUMBER(F4682),ISNUMBER(H4682)),F4682-H4682,""),"")</f>
        <v/>
      </c>
      <c r="J4682" s="114" t="n"/>
      <c r="K4682" s="139">
        <f>IFERROR(IF(H4682&gt;0,H4682*IF(OR(C4682="Alpha",B4682="Alpha"),$C$9,$C$8),""),"")</f>
        <v/>
      </c>
      <c r="L4682" s="139">
        <f>IFERROR(IF(ISNUMBER(F4682),F4682-IF(ISNUMBER(K4682),K4682,0),""),"")</f>
        <v/>
      </c>
    </row>
    <row r="4683" ht="24" customHeight="1" s="63">
      <c r="E4683" s="139" t="n"/>
      <c r="F4683" s="139" t="n"/>
      <c r="G4683" s="140">
        <f>IFERROR(IF(E4683&gt;0,(F4683/E4683)*1000,""),"")</f>
        <v/>
      </c>
      <c r="H4683" s="139">
        <f>IFERROR(IF(E4683&gt;0,E4683*IF(ISNUMBER(J4683),J4683,IF(OR(C4683="Alpha",B4683="Alpha"),$C$7,IF(C4683="Futures",$C$6,$C$5))),""),"")</f>
        <v/>
      </c>
      <c r="I4683" s="139">
        <f>IFERROR(IF(AND(ISNUMBER(F4683),ISNUMBER(H4683)),F4683-H4683,""),"")</f>
        <v/>
      </c>
      <c r="J4683" s="114" t="n"/>
      <c r="K4683" s="139">
        <f>IFERROR(IF(H4683&gt;0,H4683*IF(OR(C4683="Alpha",B4683="Alpha"),$C$9,$C$8),""),"")</f>
        <v/>
      </c>
      <c r="L4683" s="139">
        <f>IFERROR(IF(ISNUMBER(F4683),F4683-IF(ISNUMBER(K4683),K4683,0),""),"")</f>
        <v/>
      </c>
    </row>
    <row r="4684" ht="24" customHeight="1" s="63">
      <c r="E4684" s="139" t="n"/>
      <c r="F4684" s="139" t="n"/>
      <c r="G4684" s="140">
        <f>IFERROR(IF(E4684&gt;0,(F4684/E4684)*1000,""),"")</f>
        <v/>
      </c>
      <c r="H4684" s="139">
        <f>IFERROR(IF(E4684&gt;0,E4684*IF(ISNUMBER(J4684),J4684,IF(OR(C4684="Alpha",B4684="Alpha"),$C$7,IF(C4684="Futures",$C$6,$C$5))),""),"")</f>
        <v/>
      </c>
      <c r="I4684" s="139">
        <f>IFERROR(IF(AND(ISNUMBER(F4684),ISNUMBER(H4684)),F4684-H4684,""),"")</f>
        <v/>
      </c>
      <c r="J4684" s="114" t="n"/>
      <c r="K4684" s="139">
        <f>IFERROR(IF(H4684&gt;0,H4684*IF(OR(C4684="Alpha",B4684="Alpha"),$C$9,$C$8),""),"")</f>
        <v/>
      </c>
      <c r="L4684" s="139">
        <f>IFERROR(IF(ISNUMBER(F4684),F4684-IF(ISNUMBER(K4684),K4684,0),""),"")</f>
        <v/>
      </c>
    </row>
    <row r="4685" ht="24" customHeight="1" s="63">
      <c r="E4685" s="139" t="n"/>
      <c r="F4685" s="139" t="n"/>
      <c r="G4685" s="140">
        <f>IFERROR(IF(E4685&gt;0,(F4685/E4685)*1000,""),"")</f>
        <v/>
      </c>
      <c r="H4685" s="139">
        <f>IFERROR(IF(E4685&gt;0,E4685*IF(ISNUMBER(J4685),J4685,IF(OR(C4685="Alpha",B4685="Alpha"),$C$7,IF(C4685="Futures",$C$6,$C$5))),""),"")</f>
        <v/>
      </c>
      <c r="I4685" s="139">
        <f>IFERROR(IF(AND(ISNUMBER(F4685),ISNUMBER(H4685)),F4685-H4685,""),"")</f>
        <v/>
      </c>
      <c r="J4685" s="114" t="n"/>
      <c r="K4685" s="139">
        <f>IFERROR(IF(H4685&gt;0,H4685*IF(OR(C4685="Alpha",B4685="Alpha"),$C$9,$C$8),""),"")</f>
        <v/>
      </c>
      <c r="L4685" s="139">
        <f>IFERROR(IF(ISNUMBER(F4685),F4685-IF(ISNUMBER(K4685),K4685,0),""),"")</f>
        <v/>
      </c>
    </row>
    <row r="4686" ht="24" customHeight="1" s="63">
      <c r="E4686" s="139" t="n"/>
      <c r="F4686" s="139" t="n"/>
      <c r="G4686" s="140">
        <f>IFERROR(IF(E4686&gt;0,(F4686/E4686)*1000,""),"")</f>
        <v/>
      </c>
      <c r="H4686" s="139">
        <f>IFERROR(IF(E4686&gt;0,E4686*IF(ISNUMBER(J4686),J4686,IF(OR(C4686="Alpha",B4686="Alpha"),$C$7,IF(C4686="Futures",$C$6,$C$5))),""),"")</f>
        <v/>
      </c>
      <c r="I4686" s="139">
        <f>IFERROR(IF(AND(ISNUMBER(F4686),ISNUMBER(H4686)),F4686-H4686,""),"")</f>
        <v/>
      </c>
      <c r="J4686" s="114" t="n"/>
      <c r="K4686" s="139">
        <f>IFERROR(IF(H4686&gt;0,H4686*IF(OR(C4686="Alpha",B4686="Alpha"),$C$9,$C$8),""),"")</f>
        <v/>
      </c>
      <c r="L4686" s="139">
        <f>IFERROR(IF(ISNUMBER(F4686),F4686-IF(ISNUMBER(K4686),K4686,0),""),"")</f>
        <v/>
      </c>
    </row>
    <row r="4687" ht="24" customHeight="1" s="63">
      <c r="E4687" s="139" t="n"/>
      <c r="F4687" s="139" t="n"/>
      <c r="G4687" s="140">
        <f>IFERROR(IF(E4687&gt;0,(F4687/E4687)*1000,""),"")</f>
        <v/>
      </c>
      <c r="H4687" s="139">
        <f>IFERROR(IF(E4687&gt;0,E4687*IF(ISNUMBER(J4687),J4687,IF(OR(C4687="Alpha",B4687="Alpha"),$C$7,IF(C4687="Futures",$C$6,$C$5))),""),"")</f>
        <v/>
      </c>
      <c r="I4687" s="139">
        <f>IFERROR(IF(AND(ISNUMBER(F4687),ISNUMBER(H4687)),F4687-H4687,""),"")</f>
        <v/>
      </c>
      <c r="J4687" s="114" t="n"/>
      <c r="K4687" s="139">
        <f>IFERROR(IF(H4687&gt;0,H4687*IF(OR(C4687="Alpha",B4687="Alpha"),$C$9,$C$8),""),"")</f>
        <v/>
      </c>
      <c r="L4687" s="139">
        <f>IFERROR(IF(ISNUMBER(F4687),F4687-IF(ISNUMBER(K4687),K4687,0),""),"")</f>
        <v/>
      </c>
    </row>
    <row r="4688" ht="24" customHeight="1" s="63">
      <c r="E4688" s="139" t="n"/>
      <c r="F4688" s="139" t="n"/>
      <c r="G4688" s="140">
        <f>IFERROR(IF(E4688&gt;0,(F4688/E4688)*1000,""),"")</f>
        <v/>
      </c>
      <c r="H4688" s="139">
        <f>IFERROR(IF(E4688&gt;0,E4688*IF(ISNUMBER(J4688),J4688,IF(OR(C4688="Alpha",B4688="Alpha"),$C$7,IF(C4688="Futures",$C$6,$C$5))),""),"")</f>
        <v/>
      </c>
      <c r="I4688" s="139">
        <f>IFERROR(IF(AND(ISNUMBER(F4688),ISNUMBER(H4688)),F4688-H4688,""),"")</f>
        <v/>
      </c>
      <c r="J4688" s="114" t="n"/>
      <c r="K4688" s="139">
        <f>IFERROR(IF(H4688&gt;0,H4688*IF(OR(C4688="Alpha",B4688="Alpha"),$C$9,$C$8),""),"")</f>
        <v/>
      </c>
      <c r="L4688" s="139">
        <f>IFERROR(IF(ISNUMBER(F4688),F4688-IF(ISNUMBER(K4688),K4688,0),""),"")</f>
        <v/>
      </c>
    </row>
    <row r="4689" ht="24" customHeight="1" s="63">
      <c r="E4689" s="139" t="n"/>
      <c r="F4689" s="139" t="n"/>
      <c r="G4689" s="140">
        <f>IFERROR(IF(E4689&gt;0,(F4689/E4689)*1000,""),"")</f>
        <v/>
      </c>
      <c r="H4689" s="139">
        <f>IFERROR(IF(E4689&gt;0,E4689*IF(ISNUMBER(J4689),J4689,IF(OR(C4689="Alpha",B4689="Alpha"),$C$7,IF(C4689="Futures",$C$6,$C$5))),""),"")</f>
        <v/>
      </c>
      <c r="I4689" s="139">
        <f>IFERROR(IF(AND(ISNUMBER(F4689),ISNUMBER(H4689)),F4689-H4689,""),"")</f>
        <v/>
      </c>
      <c r="J4689" s="114" t="n"/>
      <c r="K4689" s="139">
        <f>IFERROR(IF(H4689&gt;0,H4689*IF(OR(C4689="Alpha",B4689="Alpha"),$C$9,$C$8),""),"")</f>
        <v/>
      </c>
      <c r="L4689" s="139">
        <f>IFERROR(IF(ISNUMBER(F4689),F4689-IF(ISNUMBER(K4689),K4689,0),""),"")</f>
        <v/>
      </c>
    </row>
    <row r="4690" ht="24" customHeight="1" s="63">
      <c r="E4690" s="139" t="n"/>
      <c r="F4690" s="139" t="n"/>
      <c r="G4690" s="140">
        <f>IFERROR(IF(E4690&gt;0,(F4690/E4690)*1000,""),"")</f>
        <v/>
      </c>
      <c r="H4690" s="139">
        <f>IFERROR(IF(E4690&gt;0,E4690*IF(ISNUMBER(J4690),J4690,IF(OR(C4690="Alpha",B4690="Alpha"),$C$7,IF(C4690="Futures",$C$6,$C$5))),""),"")</f>
        <v/>
      </c>
      <c r="I4690" s="139">
        <f>IFERROR(IF(AND(ISNUMBER(F4690),ISNUMBER(H4690)),F4690-H4690,""),"")</f>
        <v/>
      </c>
      <c r="J4690" s="114" t="n"/>
      <c r="K4690" s="139">
        <f>IFERROR(IF(H4690&gt;0,H4690*IF(OR(C4690="Alpha",B4690="Alpha"),$C$9,$C$8),""),"")</f>
        <v/>
      </c>
      <c r="L4690" s="139">
        <f>IFERROR(IF(ISNUMBER(F4690),F4690-IF(ISNUMBER(K4690),K4690,0),""),"")</f>
        <v/>
      </c>
    </row>
    <row r="4691" ht="24" customHeight="1" s="63">
      <c r="E4691" s="139" t="n"/>
      <c r="F4691" s="139" t="n"/>
      <c r="G4691" s="140">
        <f>IFERROR(IF(E4691&gt;0,(F4691/E4691)*1000,""),"")</f>
        <v/>
      </c>
      <c r="H4691" s="139">
        <f>IFERROR(IF(E4691&gt;0,E4691*IF(ISNUMBER(J4691),J4691,IF(OR(C4691="Alpha",B4691="Alpha"),$C$7,IF(C4691="Futures",$C$6,$C$5))),""),"")</f>
        <v/>
      </c>
      <c r="I4691" s="139">
        <f>IFERROR(IF(AND(ISNUMBER(F4691),ISNUMBER(H4691)),F4691-H4691,""),"")</f>
        <v/>
      </c>
      <c r="J4691" s="114" t="n"/>
      <c r="K4691" s="139">
        <f>IFERROR(IF(H4691&gt;0,H4691*IF(OR(C4691="Alpha",B4691="Alpha"),$C$9,$C$8),""),"")</f>
        <v/>
      </c>
      <c r="L4691" s="139">
        <f>IFERROR(IF(ISNUMBER(F4691),F4691-IF(ISNUMBER(K4691),K4691,0),""),"")</f>
        <v/>
      </c>
    </row>
    <row r="4692" ht="24" customHeight="1" s="63">
      <c r="E4692" s="139" t="n"/>
      <c r="F4692" s="139" t="n"/>
      <c r="G4692" s="140">
        <f>IFERROR(IF(E4692&gt;0,(F4692/E4692)*1000,""),"")</f>
        <v/>
      </c>
      <c r="H4692" s="139">
        <f>IFERROR(IF(E4692&gt;0,E4692*IF(ISNUMBER(J4692),J4692,IF(OR(C4692="Alpha",B4692="Alpha"),$C$7,IF(C4692="Futures",$C$6,$C$5))),""),"")</f>
        <v/>
      </c>
      <c r="I4692" s="139">
        <f>IFERROR(IF(AND(ISNUMBER(F4692),ISNUMBER(H4692)),F4692-H4692,""),"")</f>
        <v/>
      </c>
      <c r="J4692" s="114" t="n"/>
      <c r="K4692" s="139">
        <f>IFERROR(IF(H4692&gt;0,H4692*IF(OR(C4692="Alpha",B4692="Alpha"),$C$9,$C$8),""),"")</f>
        <v/>
      </c>
      <c r="L4692" s="139">
        <f>IFERROR(IF(ISNUMBER(F4692),F4692-IF(ISNUMBER(K4692),K4692,0),""),"")</f>
        <v/>
      </c>
    </row>
    <row r="4693" ht="24" customHeight="1" s="63">
      <c r="E4693" s="139" t="n"/>
      <c r="F4693" s="139" t="n"/>
      <c r="G4693" s="140">
        <f>IFERROR(IF(E4693&gt;0,(F4693/E4693)*1000,""),"")</f>
        <v/>
      </c>
      <c r="H4693" s="139">
        <f>IFERROR(IF(E4693&gt;0,E4693*IF(ISNUMBER(J4693),J4693,IF(OR(C4693="Alpha",B4693="Alpha"),$C$7,IF(C4693="Futures",$C$6,$C$5))),""),"")</f>
        <v/>
      </c>
      <c r="I4693" s="139">
        <f>IFERROR(IF(AND(ISNUMBER(F4693),ISNUMBER(H4693)),F4693-H4693,""),"")</f>
        <v/>
      </c>
      <c r="J4693" s="114" t="n"/>
      <c r="K4693" s="139">
        <f>IFERROR(IF(H4693&gt;0,H4693*IF(OR(C4693="Alpha",B4693="Alpha"),$C$9,$C$8),""),"")</f>
        <v/>
      </c>
      <c r="L4693" s="139">
        <f>IFERROR(IF(ISNUMBER(F4693),F4693-IF(ISNUMBER(K4693),K4693,0),""),"")</f>
        <v/>
      </c>
    </row>
    <row r="4694" ht="24" customHeight="1" s="63">
      <c r="E4694" s="139" t="n"/>
      <c r="F4694" s="139" t="n"/>
      <c r="G4694" s="140">
        <f>IFERROR(IF(E4694&gt;0,(F4694/E4694)*1000,""),"")</f>
        <v/>
      </c>
      <c r="H4694" s="139">
        <f>IFERROR(IF(E4694&gt;0,E4694*IF(ISNUMBER(J4694),J4694,IF(OR(C4694="Alpha",B4694="Alpha"),$C$7,IF(C4694="Futures",$C$6,$C$5))),""),"")</f>
        <v/>
      </c>
      <c r="I4694" s="139">
        <f>IFERROR(IF(AND(ISNUMBER(F4694),ISNUMBER(H4694)),F4694-H4694,""),"")</f>
        <v/>
      </c>
      <c r="J4694" s="114" t="n"/>
      <c r="K4694" s="139">
        <f>IFERROR(IF(H4694&gt;0,H4694*IF(OR(C4694="Alpha",B4694="Alpha"),$C$9,$C$8),""),"")</f>
        <v/>
      </c>
      <c r="L4694" s="139">
        <f>IFERROR(IF(ISNUMBER(F4694),F4694-IF(ISNUMBER(K4694),K4694,0),""),"")</f>
        <v/>
      </c>
    </row>
    <row r="4695" ht="24" customHeight="1" s="63">
      <c r="E4695" s="139" t="n"/>
      <c r="F4695" s="139" t="n"/>
      <c r="G4695" s="140">
        <f>IFERROR(IF(E4695&gt;0,(F4695/E4695)*1000,""),"")</f>
        <v/>
      </c>
      <c r="H4695" s="139">
        <f>IFERROR(IF(E4695&gt;0,E4695*IF(ISNUMBER(J4695),J4695,IF(OR(C4695="Alpha",B4695="Alpha"),$C$7,IF(C4695="Futures",$C$6,$C$5))),""),"")</f>
        <v/>
      </c>
      <c r="I4695" s="139">
        <f>IFERROR(IF(AND(ISNUMBER(F4695),ISNUMBER(H4695)),F4695-H4695,""),"")</f>
        <v/>
      </c>
      <c r="J4695" s="114" t="n"/>
      <c r="K4695" s="139">
        <f>IFERROR(IF(H4695&gt;0,H4695*IF(OR(C4695="Alpha",B4695="Alpha"),$C$9,$C$8),""),"")</f>
        <v/>
      </c>
      <c r="L4695" s="139">
        <f>IFERROR(IF(ISNUMBER(F4695),F4695-IF(ISNUMBER(K4695),K4695,0),""),"")</f>
        <v/>
      </c>
    </row>
    <row r="4696" ht="24" customHeight="1" s="63">
      <c r="E4696" s="139" t="n"/>
      <c r="F4696" s="139" t="n"/>
      <c r="G4696" s="140">
        <f>IFERROR(IF(E4696&gt;0,(F4696/E4696)*1000,""),"")</f>
        <v/>
      </c>
      <c r="H4696" s="139">
        <f>IFERROR(IF(E4696&gt;0,E4696*IF(ISNUMBER(J4696),J4696,IF(OR(C4696="Alpha",B4696="Alpha"),$C$7,IF(C4696="Futures",$C$6,$C$5))),""),"")</f>
        <v/>
      </c>
      <c r="I4696" s="139">
        <f>IFERROR(IF(AND(ISNUMBER(F4696),ISNUMBER(H4696)),F4696-H4696,""),"")</f>
        <v/>
      </c>
      <c r="J4696" s="114" t="n"/>
      <c r="K4696" s="139">
        <f>IFERROR(IF(H4696&gt;0,H4696*IF(OR(C4696="Alpha",B4696="Alpha"),$C$9,$C$8),""),"")</f>
        <v/>
      </c>
      <c r="L4696" s="139">
        <f>IFERROR(IF(ISNUMBER(F4696),F4696-IF(ISNUMBER(K4696),K4696,0),""),"")</f>
        <v/>
      </c>
    </row>
    <row r="4697" ht="24" customHeight="1" s="63">
      <c r="E4697" s="139" t="n"/>
      <c r="F4697" s="139" t="n"/>
      <c r="G4697" s="140">
        <f>IFERROR(IF(E4697&gt;0,(F4697/E4697)*1000,""),"")</f>
        <v/>
      </c>
      <c r="H4697" s="139">
        <f>IFERROR(IF(E4697&gt;0,E4697*IF(ISNUMBER(J4697),J4697,IF(OR(C4697="Alpha",B4697="Alpha"),$C$7,IF(C4697="Futures",$C$6,$C$5))),""),"")</f>
        <v/>
      </c>
      <c r="I4697" s="139">
        <f>IFERROR(IF(AND(ISNUMBER(F4697),ISNUMBER(H4697)),F4697-H4697,""),"")</f>
        <v/>
      </c>
      <c r="J4697" s="114" t="n"/>
      <c r="K4697" s="139">
        <f>IFERROR(IF(H4697&gt;0,H4697*IF(OR(C4697="Alpha",B4697="Alpha"),$C$9,$C$8),""),"")</f>
        <v/>
      </c>
      <c r="L4697" s="139">
        <f>IFERROR(IF(ISNUMBER(F4697),F4697-IF(ISNUMBER(K4697),K4697,0),""),"")</f>
        <v/>
      </c>
    </row>
    <row r="4698" ht="24" customHeight="1" s="63">
      <c r="E4698" s="139" t="n"/>
      <c r="F4698" s="139" t="n"/>
      <c r="G4698" s="140">
        <f>IFERROR(IF(E4698&gt;0,(F4698/E4698)*1000,""),"")</f>
        <v/>
      </c>
      <c r="H4698" s="139">
        <f>IFERROR(IF(E4698&gt;0,E4698*IF(ISNUMBER(J4698),J4698,IF(OR(C4698="Alpha",B4698="Alpha"),$C$7,IF(C4698="Futures",$C$6,$C$5))),""),"")</f>
        <v/>
      </c>
      <c r="I4698" s="139">
        <f>IFERROR(IF(AND(ISNUMBER(F4698),ISNUMBER(H4698)),F4698-H4698,""),"")</f>
        <v/>
      </c>
      <c r="J4698" s="114" t="n"/>
      <c r="K4698" s="139">
        <f>IFERROR(IF(H4698&gt;0,H4698*IF(OR(C4698="Alpha",B4698="Alpha"),$C$9,$C$8),""),"")</f>
        <v/>
      </c>
      <c r="L4698" s="139">
        <f>IFERROR(IF(ISNUMBER(F4698),F4698-IF(ISNUMBER(K4698),K4698,0),""),"")</f>
        <v/>
      </c>
    </row>
    <row r="4699" ht="24" customHeight="1" s="63">
      <c r="E4699" s="139" t="n"/>
      <c r="F4699" s="139" t="n"/>
      <c r="G4699" s="140">
        <f>IFERROR(IF(E4699&gt;0,(F4699/E4699)*1000,""),"")</f>
        <v/>
      </c>
      <c r="H4699" s="139">
        <f>IFERROR(IF(E4699&gt;0,E4699*IF(ISNUMBER(J4699),J4699,IF(OR(C4699="Alpha",B4699="Alpha"),$C$7,IF(C4699="Futures",$C$6,$C$5))),""),"")</f>
        <v/>
      </c>
      <c r="I4699" s="139">
        <f>IFERROR(IF(AND(ISNUMBER(F4699),ISNUMBER(H4699)),F4699-H4699,""),"")</f>
        <v/>
      </c>
      <c r="J4699" s="114" t="n"/>
      <c r="K4699" s="139">
        <f>IFERROR(IF(H4699&gt;0,H4699*IF(OR(C4699="Alpha",B4699="Alpha"),$C$9,$C$8),""),"")</f>
        <v/>
      </c>
      <c r="L4699" s="139">
        <f>IFERROR(IF(ISNUMBER(F4699),F4699-IF(ISNUMBER(K4699),K4699,0),""),"")</f>
        <v/>
      </c>
    </row>
    <row r="4700" ht="24" customHeight="1" s="63">
      <c r="E4700" s="139" t="n"/>
      <c r="F4700" s="139" t="n"/>
      <c r="G4700" s="140">
        <f>IFERROR(IF(E4700&gt;0,(F4700/E4700)*1000,""),"")</f>
        <v/>
      </c>
      <c r="H4700" s="139">
        <f>IFERROR(IF(E4700&gt;0,E4700*IF(ISNUMBER(J4700),J4700,IF(OR(C4700="Alpha",B4700="Alpha"),$C$7,IF(C4700="Futures",$C$6,$C$5))),""),"")</f>
        <v/>
      </c>
      <c r="I4700" s="139">
        <f>IFERROR(IF(AND(ISNUMBER(F4700),ISNUMBER(H4700)),F4700-H4700,""),"")</f>
        <v/>
      </c>
      <c r="J4700" s="114" t="n"/>
      <c r="K4700" s="139">
        <f>IFERROR(IF(H4700&gt;0,H4700*IF(OR(C4700="Alpha",B4700="Alpha"),$C$9,$C$8),""),"")</f>
        <v/>
      </c>
      <c r="L4700" s="139">
        <f>IFERROR(IF(ISNUMBER(F4700),F4700-IF(ISNUMBER(K4700),K4700,0),""),"")</f>
        <v/>
      </c>
    </row>
    <row r="4701" ht="24" customHeight="1" s="63">
      <c r="E4701" s="139" t="n"/>
      <c r="F4701" s="139" t="n"/>
      <c r="G4701" s="140">
        <f>IFERROR(IF(E4701&gt;0,(F4701/E4701)*1000,""),"")</f>
        <v/>
      </c>
      <c r="H4701" s="139">
        <f>IFERROR(IF(E4701&gt;0,E4701*IF(ISNUMBER(J4701),J4701,IF(OR(C4701="Alpha",B4701="Alpha"),$C$7,IF(C4701="Futures",$C$6,$C$5))),""),"")</f>
        <v/>
      </c>
      <c r="I4701" s="139">
        <f>IFERROR(IF(AND(ISNUMBER(F4701),ISNUMBER(H4701)),F4701-H4701,""),"")</f>
        <v/>
      </c>
      <c r="J4701" s="114" t="n"/>
      <c r="K4701" s="139">
        <f>IFERROR(IF(H4701&gt;0,H4701*IF(OR(C4701="Alpha",B4701="Alpha"),$C$9,$C$8),""),"")</f>
        <v/>
      </c>
      <c r="L4701" s="139">
        <f>IFERROR(IF(ISNUMBER(F4701),F4701-IF(ISNUMBER(K4701),K4701,0),""),"")</f>
        <v/>
      </c>
    </row>
    <row r="4702" ht="24" customHeight="1" s="63">
      <c r="E4702" s="139" t="n"/>
      <c r="F4702" s="139" t="n"/>
      <c r="G4702" s="140">
        <f>IFERROR(IF(E4702&gt;0,(F4702/E4702)*1000,""),"")</f>
        <v/>
      </c>
      <c r="H4702" s="139">
        <f>IFERROR(IF(E4702&gt;0,E4702*IF(ISNUMBER(J4702),J4702,IF(OR(C4702="Alpha",B4702="Alpha"),$C$7,IF(C4702="Futures",$C$6,$C$5))),""),"")</f>
        <v/>
      </c>
      <c r="I4702" s="139">
        <f>IFERROR(IF(AND(ISNUMBER(F4702),ISNUMBER(H4702)),F4702-H4702,""),"")</f>
        <v/>
      </c>
      <c r="J4702" s="114" t="n"/>
      <c r="K4702" s="139">
        <f>IFERROR(IF(H4702&gt;0,H4702*IF(OR(C4702="Alpha",B4702="Alpha"),$C$9,$C$8),""),"")</f>
        <v/>
      </c>
      <c r="L4702" s="139">
        <f>IFERROR(IF(ISNUMBER(F4702),F4702-IF(ISNUMBER(K4702),K4702,0),""),"")</f>
        <v/>
      </c>
    </row>
    <row r="4703" ht="24" customHeight="1" s="63">
      <c r="E4703" s="139" t="n"/>
      <c r="F4703" s="139" t="n"/>
      <c r="G4703" s="140">
        <f>IFERROR(IF(E4703&gt;0,(F4703/E4703)*1000,""),"")</f>
        <v/>
      </c>
      <c r="H4703" s="139">
        <f>IFERROR(IF(E4703&gt;0,E4703*IF(ISNUMBER(J4703),J4703,IF(OR(C4703="Alpha",B4703="Alpha"),$C$7,IF(C4703="Futures",$C$6,$C$5))),""),"")</f>
        <v/>
      </c>
      <c r="I4703" s="139">
        <f>IFERROR(IF(AND(ISNUMBER(F4703),ISNUMBER(H4703)),F4703-H4703,""),"")</f>
        <v/>
      </c>
      <c r="J4703" s="114" t="n"/>
      <c r="K4703" s="139">
        <f>IFERROR(IF(H4703&gt;0,H4703*IF(OR(C4703="Alpha",B4703="Alpha"),$C$9,$C$8),""),"")</f>
        <v/>
      </c>
      <c r="L4703" s="139">
        <f>IFERROR(IF(ISNUMBER(F4703),F4703-IF(ISNUMBER(K4703),K4703,0),""),"")</f>
        <v/>
      </c>
    </row>
    <row r="4704" ht="24" customHeight="1" s="63">
      <c r="E4704" s="139" t="n"/>
      <c r="F4704" s="139" t="n"/>
      <c r="G4704" s="140">
        <f>IFERROR(IF(E4704&gt;0,(F4704/E4704)*1000,""),"")</f>
        <v/>
      </c>
      <c r="H4704" s="139">
        <f>IFERROR(IF(E4704&gt;0,E4704*IF(ISNUMBER(J4704),J4704,IF(OR(C4704="Alpha",B4704="Alpha"),$C$7,IF(C4704="Futures",$C$6,$C$5))),""),"")</f>
        <v/>
      </c>
      <c r="I4704" s="139">
        <f>IFERROR(IF(AND(ISNUMBER(F4704),ISNUMBER(H4704)),F4704-H4704,""),"")</f>
        <v/>
      </c>
      <c r="J4704" s="114" t="n"/>
      <c r="K4704" s="139">
        <f>IFERROR(IF(H4704&gt;0,H4704*IF(OR(C4704="Alpha",B4704="Alpha"),$C$9,$C$8),""),"")</f>
        <v/>
      </c>
      <c r="L4704" s="139">
        <f>IFERROR(IF(ISNUMBER(F4704),F4704-IF(ISNUMBER(K4704),K4704,0),""),"")</f>
        <v/>
      </c>
    </row>
    <row r="4705" ht="24" customHeight="1" s="63">
      <c r="E4705" s="139" t="n"/>
      <c r="F4705" s="139" t="n"/>
      <c r="G4705" s="140">
        <f>IFERROR(IF(E4705&gt;0,(F4705/E4705)*1000,""),"")</f>
        <v/>
      </c>
      <c r="H4705" s="139">
        <f>IFERROR(IF(E4705&gt;0,E4705*IF(ISNUMBER(J4705),J4705,IF(OR(C4705="Alpha",B4705="Alpha"),$C$7,IF(C4705="Futures",$C$6,$C$5))),""),"")</f>
        <v/>
      </c>
      <c r="I4705" s="139">
        <f>IFERROR(IF(AND(ISNUMBER(F4705),ISNUMBER(H4705)),F4705-H4705,""),"")</f>
        <v/>
      </c>
      <c r="J4705" s="114" t="n"/>
      <c r="K4705" s="139">
        <f>IFERROR(IF(H4705&gt;0,H4705*IF(OR(C4705="Alpha",B4705="Alpha"),$C$9,$C$8),""),"")</f>
        <v/>
      </c>
      <c r="L4705" s="139">
        <f>IFERROR(IF(ISNUMBER(F4705),F4705-IF(ISNUMBER(K4705),K4705,0),""),"")</f>
        <v/>
      </c>
    </row>
    <row r="4706" ht="24" customHeight="1" s="63">
      <c r="E4706" s="139" t="n"/>
      <c r="F4706" s="139" t="n"/>
      <c r="G4706" s="140">
        <f>IFERROR(IF(E4706&gt;0,(F4706/E4706)*1000,""),"")</f>
        <v/>
      </c>
      <c r="H4706" s="139">
        <f>IFERROR(IF(E4706&gt;0,E4706*IF(ISNUMBER(J4706),J4706,IF(OR(C4706="Alpha",B4706="Alpha"),$C$7,IF(C4706="Futures",$C$6,$C$5))),""),"")</f>
        <v/>
      </c>
      <c r="I4706" s="139">
        <f>IFERROR(IF(AND(ISNUMBER(F4706),ISNUMBER(H4706)),F4706-H4706,""),"")</f>
        <v/>
      </c>
      <c r="J4706" s="114" t="n"/>
      <c r="K4706" s="139">
        <f>IFERROR(IF(H4706&gt;0,H4706*IF(OR(C4706="Alpha",B4706="Alpha"),$C$9,$C$8),""),"")</f>
        <v/>
      </c>
      <c r="L4706" s="139">
        <f>IFERROR(IF(ISNUMBER(F4706),F4706-IF(ISNUMBER(K4706),K4706,0),""),"")</f>
        <v/>
      </c>
    </row>
    <row r="4707" ht="24" customHeight="1" s="63">
      <c r="E4707" s="139" t="n"/>
      <c r="F4707" s="139" t="n"/>
      <c r="G4707" s="140">
        <f>IFERROR(IF(E4707&gt;0,(F4707/E4707)*1000,""),"")</f>
        <v/>
      </c>
      <c r="H4707" s="139">
        <f>IFERROR(IF(E4707&gt;0,E4707*IF(ISNUMBER(J4707),J4707,IF(OR(C4707="Alpha",B4707="Alpha"),$C$7,IF(C4707="Futures",$C$6,$C$5))),""),"")</f>
        <v/>
      </c>
      <c r="I4707" s="139">
        <f>IFERROR(IF(AND(ISNUMBER(F4707),ISNUMBER(H4707)),F4707-H4707,""),"")</f>
        <v/>
      </c>
      <c r="J4707" s="114" t="n"/>
      <c r="K4707" s="139">
        <f>IFERROR(IF(H4707&gt;0,H4707*IF(OR(C4707="Alpha",B4707="Alpha"),$C$9,$C$8),""),"")</f>
        <v/>
      </c>
      <c r="L4707" s="139">
        <f>IFERROR(IF(ISNUMBER(F4707),F4707-IF(ISNUMBER(K4707),K4707,0),""),"")</f>
        <v/>
      </c>
    </row>
    <row r="4708" ht="24" customHeight="1" s="63">
      <c r="E4708" s="139" t="n"/>
      <c r="F4708" s="139" t="n"/>
      <c r="G4708" s="140">
        <f>IFERROR(IF(E4708&gt;0,(F4708/E4708)*1000,""),"")</f>
        <v/>
      </c>
      <c r="H4708" s="139">
        <f>IFERROR(IF(E4708&gt;0,E4708*IF(ISNUMBER(J4708),J4708,IF(OR(C4708="Alpha",B4708="Alpha"),$C$7,IF(C4708="Futures",$C$6,$C$5))),""),"")</f>
        <v/>
      </c>
      <c r="I4708" s="139">
        <f>IFERROR(IF(AND(ISNUMBER(F4708),ISNUMBER(H4708)),F4708-H4708,""),"")</f>
        <v/>
      </c>
      <c r="J4708" s="114" t="n"/>
      <c r="K4708" s="139">
        <f>IFERROR(IF(H4708&gt;0,H4708*IF(OR(C4708="Alpha",B4708="Alpha"),$C$9,$C$8),""),"")</f>
        <v/>
      </c>
      <c r="L4708" s="139">
        <f>IFERROR(IF(ISNUMBER(F4708),F4708-IF(ISNUMBER(K4708),K4708,0),""),"")</f>
        <v/>
      </c>
    </row>
    <row r="4709" ht="24" customHeight="1" s="63">
      <c r="E4709" s="139" t="n"/>
      <c r="F4709" s="139" t="n"/>
      <c r="G4709" s="140">
        <f>IFERROR(IF(E4709&gt;0,(F4709/E4709)*1000,""),"")</f>
        <v/>
      </c>
      <c r="H4709" s="139">
        <f>IFERROR(IF(E4709&gt;0,E4709*IF(ISNUMBER(J4709),J4709,IF(OR(C4709="Alpha",B4709="Alpha"),$C$7,IF(C4709="Futures",$C$6,$C$5))),""),"")</f>
        <v/>
      </c>
      <c r="I4709" s="139">
        <f>IFERROR(IF(AND(ISNUMBER(F4709),ISNUMBER(H4709)),F4709-H4709,""),"")</f>
        <v/>
      </c>
      <c r="J4709" s="114" t="n"/>
      <c r="K4709" s="139">
        <f>IFERROR(IF(H4709&gt;0,H4709*IF(OR(C4709="Alpha",B4709="Alpha"),$C$9,$C$8),""),"")</f>
        <v/>
      </c>
      <c r="L4709" s="139">
        <f>IFERROR(IF(ISNUMBER(F4709),F4709-IF(ISNUMBER(K4709),K4709,0),""),"")</f>
        <v/>
      </c>
    </row>
    <row r="4710" ht="24" customHeight="1" s="63">
      <c r="E4710" s="139" t="n"/>
      <c r="F4710" s="139" t="n"/>
      <c r="G4710" s="140">
        <f>IFERROR(IF(E4710&gt;0,(F4710/E4710)*1000,""),"")</f>
        <v/>
      </c>
      <c r="H4710" s="139">
        <f>IFERROR(IF(E4710&gt;0,E4710*IF(ISNUMBER(J4710),J4710,IF(OR(C4710="Alpha",B4710="Alpha"),$C$7,IF(C4710="Futures",$C$6,$C$5))),""),"")</f>
        <v/>
      </c>
      <c r="I4710" s="139">
        <f>IFERROR(IF(AND(ISNUMBER(F4710),ISNUMBER(H4710)),F4710-H4710,""),"")</f>
        <v/>
      </c>
      <c r="J4710" s="114" t="n"/>
      <c r="K4710" s="139">
        <f>IFERROR(IF(H4710&gt;0,H4710*IF(OR(C4710="Alpha",B4710="Alpha"),$C$9,$C$8),""),"")</f>
        <v/>
      </c>
      <c r="L4710" s="139">
        <f>IFERROR(IF(ISNUMBER(F4710),F4710-IF(ISNUMBER(K4710),K4710,0),""),"")</f>
        <v/>
      </c>
    </row>
    <row r="4711" ht="24" customHeight="1" s="63">
      <c r="E4711" s="139" t="n"/>
      <c r="F4711" s="139" t="n"/>
      <c r="G4711" s="140">
        <f>IFERROR(IF(E4711&gt;0,(F4711/E4711)*1000,""),"")</f>
        <v/>
      </c>
      <c r="H4711" s="139">
        <f>IFERROR(IF(E4711&gt;0,E4711*IF(ISNUMBER(J4711),J4711,IF(OR(C4711="Alpha",B4711="Alpha"),$C$7,IF(C4711="Futures",$C$6,$C$5))),""),"")</f>
        <v/>
      </c>
      <c r="I4711" s="139">
        <f>IFERROR(IF(AND(ISNUMBER(F4711),ISNUMBER(H4711)),F4711-H4711,""),"")</f>
        <v/>
      </c>
      <c r="J4711" s="114" t="n"/>
      <c r="K4711" s="139">
        <f>IFERROR(IF(H4711&gt;0,H4711*IF(OR(C4711="Alpha",B4711="Alpha"),$C$9,$C$8),""),"")</f>
        <v/>
      </c>
      <c r="L4711" s="139">
        <f>IFERROR(IF(ISNUMBER(F4711),F4711-IF(ISNUMBER(K4711),K4711,0),""),"")</f>
        <v/>
      </c>
    </row>
    <row r="4712" ht="24" customHeight="1" s="63">
      <c r="E4712" s="139" t="n"/>
      <c r="F4712" s="139" t="n"/>
      <c r="G4712" s="140">
        <f>IFERROR(IF(E4712&gt;0,(F4712/E4712)*1000,""),"")</f>
        <v/>
      </c>
      <c r="H4712" s="139">
        <f>IFERROR(IF(E4712&gt;0,E4712*IF(ISNUMBER(J4712),J4712,IF(OR(C4712="Alpha",B4712="Alpha"),$C$7,IF(C4712="Futures",$C$6,$C$5))),""),"")</f>
        <v/>
      </c>
      <c r="I4712" s="139">
        <f>IFERROR(IF(AND(ISNUMBER(F4712),ISNUMBER(H4712)),F4712-H4712,""),"")</f>
        <v/>
      </c>
      <c r="J4712" s="114" t="n"/>
      <c r="K4712" s="139">
        <f>IFERROR(IF(H4712&gt;0,H4712*IF(OR(C4712="Alpha",B4712="Alpha"),$C$9,$C$8),""),"")</f>
        <v/>
      </c>
      <c r="L4712" s="139">
        <f>IFERROR(IF(ISNUMBER(F4712),F4712-IF(ISNUMBER(K4712),K4712,0),""),"")</f>
        <v/>
      </c>
    </row>
    <row r="4713" ht="24" customHeight="1" s="63">
      <c r="E4713" s="139" t="n"/>
      <c r="F4713" s="139" t="n"/>
      <c r="G4713" s="140">
        <f>IFERROR(IF(E4713&gt;0,(F4713/E4713)*1000,""),"")</f>
        <v/>
      </c>
      <c r="H4713" s="139">
        <f>IFERROR(IF(E4713&gt;0,E4713*IF(ISNUMBER(J4713),J4713,IF(OR(C4713="Alpha",B4713="Alpha"),$C$7,IF(C4713="Futures",$C$6,$C$5))),""),"")</f>
        <v/>
      </c>
      <c r="I4713" s="139">
        <f>IFERROR(IF(AND(ISNUMBER(F4713),ISNUMBER(H4713)),F4713-H4713,""),"")</f>
        <v/>
      </c>
      <c r="J4713" s="114" t="n"/>
      <c r="K4713" s="139">
        <f>IFERROR(IF(H4713&gt;0,H4713*IF(OR(C4713="Alpha",B4713="Alpha"),$C$9,$C$8),""),"")</f>
        <v/>
      </c>
      <c r="L4713" s="139">
        <f>IFERROR(IF(ISNUMBER(F4713),F4713-IF(ISNUMBER(K4713),K4713,0),""),"")</f>
        <v/>
      </c>
    </row>
    <row r="4714" ht="24" customHeight="1" s="63">
      <c r="E4714" s="139" t="n"/>
      <c r="F4714" s="139" t="n"/>
      <c r="G4714" s="140">
        <f>IFERROR(IF(E4714&gt;0,(F4714/E4714)*1000,""),"")</f>
        <v/>
      </c>
      <c r="H4714" s="139">
        <f>IFERROR(IF(E4714&gt;0,E4714*IF(ISNUMBER(J4714),J4714,IF(OR(C4714="Alpha",B4714="Alpha"),$C$7,IF(C4714="Futures",$C$6,$C$5))),""),"")</f>
        <v/>
      </c>
      <c r="I4714" s="139">
        <f>IFERROR(IF(AND(ISNUMBER(F4714),ISNUMBER(H4714)),F4714-H4714,""),"")</f>
        <v/>
      </c>
      <c r="J4714" s="114" t="n"/>
      <c r="K4714" s="139">
        <f>IFERROR(IF(H4714&gt;0,H4714*IF(OR(C4714="Alpha",B4714="Alpha"),$C$9,$C$8),""),"")</f>
        <v/>
      </c>
      <c r="L4714" s="139">
        <f>IFERROR(IF(ISNUMBER(F4714),F4714-IF(ISNUMBER(K4714),K4714,0),""),"")</f>
        <v/>
      </c>
    </row>
    <row r="4715" ht="24" customHeight="1" s="63">
      <c r="E4715" s="139" t="n"/>
      <c r="F4715" s="139" t="n"/>
      <c r="G4715" s="140">
        <f>IFERROR(IF(E4715&gt;0,(F4715/E4715)*1000,""),"")</f>
        <v/>
      </c>
      <c r="H4715" s="139">
        <f>IFERROR(IF(E4715&gt;0,E4715*IF(ISNUMBER(J4715),J4715,IF(OR(C4715="Alpha",B4715="Alpha"),$C$7,IF(C4715="Futures",$C$6,$C$5))),""),"")</f>
        <v/>
      </c>
      <c r="I4715" s="139">
        <f>IFERROR(IF(AND(ISNUMBER(F4715),ISNUMBER(H4715)),F4715-H4715,""),"")</f>
        <v/>
      </c>
      <c r="J4715" s="114" t="n"/>
      <c r="K4715" s="139">
        <f>IFERROR(IF(H4715&gt;0,H4715*IF(OR(C4715="Alpha",B4715="Alpha"),$C$9,$C$8),""),"")</f>
        <v/>
      </c>
      <c r="L4715" s="139">
        <f>IFERROR(IF(ISNUMBER(F4715),F4715-IF(ISNUMBER(K4715),K4715,0),""),"")</f>
        <v/>
      </c>
    </row>
    <row r="4716" ht="24" customHeight="1" s="63">
      <c r="E4716" s="139" t="n"/>
      <c r="F4716" s="139" t="n"/>
      <c r="G4716" s="140">
        <f>IFERROR(IF(E4716&gt;0,(F4716/E4716)*1000,""),"")</f>
        <v/>
      </c>
      <c r="H4716" s="139">
        <f>IFERROR(IF(E4716&gt;0,E4716*IF(ISNUMBER(J4716),J4716,IF(OR(C4716="Alpha",B4716="Alpha"),$C$7,IF(C4716="Futures",$C$6,$C$5))),""),"")</f>
        <v/>
      </c>
      <c r="I4716" s="139">
        <f>IFERROR(IF(AND(ISNUMBER(F4716),ISNUMBER(H4716)),F4716-H4716,""),"")</f>
        <v/>
      </c>
      <c r="J4716" s="114" t="n"/>
      <c r="K4716" s="139">
        <f>IFERROR(IF(H4716&gt;0,H4716*IF(OR(C4716="Alpha",B4716="Alpha"),$C$9,$C$8),""),"")</f>
        <v/>
      </c>
      <c r="L4716" s="139">
        <f>IFERROR(IF(ISNUMBER(F4716),F4716-IF(ISNUMBER(K4716),K4716,0),""),"")</f>
        <v/>
      </c>
    </row>
    <row r="4717" ht="24" customHeight="1" s="63">
      <c r="E4717" s="139" t="n"/>
      <c r="F4717" s="139" t="n"/>
      <c r="G4717" s="140">
        <f>IFERROR(IF(E4717&gt;0,(F4717/E4717)*1000,""),"")</f>
        <v/>
      </c>
      <c r="H4717" s="139">
        <f>IFERROR(IF(E4717&gt;0,E4717*IF(ISNUMBER(J4717),J4717,IF(OR(C4717="Alpha",B4717="Alpha"),$C$7,IF(C4717="Futures",$C$6,$C$5))),""),"")</f>
        <v/>
      </c>
      <c r="I4717" s="139">
        <f>IFERROR(IF(AND(ISNUMBER(F4717),ISNUMBER(H4717)),F4717-H4717,""),"")</f>
        <v/>
      </c>
      <c r="J4717" s="114" t="n"/>
      <c r="K4717" s="139">
        <f>IFERROR(IF(H4717&gt;0,H4717*IF(OR(C4717="Alpha",B4717="Alpha"),$C$9,$C$8),""),"")</f>
        <v/>
      </c>
      <c r="L4717" s="139">
        <f>IFERROR(IF(ISNUMBER(F4717),F4717-IF(ISNUMBER(K4717),K4717,0),""),"")</f>
        <v/>
      </c>
    </row>
    <row r="4718" ht="24" customHeight="1" s="63">
      <c r="E4718" s="139" t="n"/>
      <c r="F4718" s="139" t="n"/>
      <c r="G4718" s="140">
        <f>IFERROR(IF(E4718&gt;0,(F4718/E4718)*1000,""),"")</f>
        <v/>
      </c>
      <c r="H4718" s="139">
        <f>IFERROR(IF(E4718&gt;0,E4718*IF(ISNUMBER(J4718),J4718,IF(OR(C4718="Alpha",B4718="Alpha"),$C$7,IF(C4718="Futures",$C$6,$C$5))),""),"")</f>
        <v/>
      </c>
      <c r="I4718" s="139">
        <f>IFERROR(IF(AND(ISNUMBER(F4718),ISNUMBER(H4718)),F4718-H4718,""),"")</f>
        <v/>
      </c>
      <c r="J4718" s="114" t="n"/>
      <c r="K4718" s="139">
        <f>IFERROR(IF(H4718&gt;0,H4718*IF(OR(C4718="Alpha",B4718="Alpha"),$C$9,$C$8),""),"")</f>
        <v/>
      </c>
      <c r="L4718" s="139">
        <f>IFERROR(IF(ISNUMBER(F4718),F4718-IF(ISNUMBER(K4718),K4718,0),""),"")</f>
        <v/>
      </c>
    </row>
    <row r="4719" ht="24" customHeight="1" s="63">
      <c r="E4719" s="139" t="n"/>
      <c r="F4719" s="139" t="n"/>
      <c r="G4719" s="140">
        <f>IFERROR(IF(E4719&gt;0,(F4719/E4719)*1000,""),"")</f>
        <v/>
      </c>
      <c r="H4719" s="139">
        <f>IFERROR(IF(E4719&gt;0,E4719*IF(ISNUMBER(J4719),J4719,IF(OR(C4719="Alpha",B4719="Alpha"),$C$7,IF(C4719="Futures",$C$6,$C$5))),""),"")</f>
        <v/>
      </c>
      <c r="I4719" s="139">
        <f>IFERROR(IF(AND(ISNUMBER(F4719),ISNUMBER(H4719)),F4719-H4719,""),"")</f>
        <v/>
      </c>
      <c r="J4719" s="114" t="n"/>
      <c r="K4719" s="139">
        <f>IFERROR(IF(H4719&gt;0,H4719*IF(OR(C4719="Alpha",B4719="Alpha"),$C$9,$C$8),""),"")</f>
        <v/>
      </c>
      <c r="L4719" s="139">
        <f>IFERROR(IF(ISNUMBER(F4719),F4719-IF(ISNUMBER(K4719),K4719,0),""),"")</f>
        <v/>
      </c>
    </row>
    <row r="4720" ht="24" customHeight="1" s="63">
      <c r="E4720" s="139" t="n"/>
      <c r="F4720" s="139" t="n"/>
      <c r="G4720" s="140">
        <f>IFERROR(IF(E4720&gt;0,(F4720/E4720)*1000,""),"")</f>
        <v/>
      </c>
      <c r="H4720" s="139">
        <f>IFERROR(IF(E4720&gt;0,E4720*IF(ISNUMBER(J4720),J4720,IF(OR(C4720="Alpha",B4720="Alpha"),$C$7,IF(C4720="Futures",$C$6,$C$5))),""),"")</f>
        <v/>
      </c>
      <c r="I4720" s="139">
        <f>IFERROR(IF(AND(ISNUMBER(F4720),ISNUMBER(H4720)),F4720-H4720,""),"")</f>
        <v/>
      </c>
      <c r="J4720" s="114" t="n"/>
      <c r="K4720" s="139">
        <f>IFERROR(IF(H4720&gt;0,H4720*IF(OR(C4720="Alpha",B4720="Alpha"),$C$9,$C$8),""),"")</f>
        <v/>
      </c>
      <c r="L4720" s="139">
        <f>IFERROR(IF(ISNUMBER(F4720),F4720-IF(ISNUMBER(K4720),K4720,0),""),"")</f>
        <v/>
      </c>
    </row>
    <row r="4721" ht="24" customHeight="1" s="63">
      <c r="E4721" s="139" t="n"/>
      <c r="F4721" s="139" t="n"/>
      <c r="G4721" s="140">
        <f>IFERROR(IF(E4721&gt;0,(F4721/E4721)*1000,""),"")</f>
        <v/>
      </c>
      <c r="H4721" s="139">
        <f>IFERROR(IF(E4721&gt;0,E4721*IF(ISNUMBER(J4721),J4721,IF(OR(C4721="Alpha",B4721="Alpha"),$C$7,IF(C4721="Futures",$C$6,$C$5))),""),"")</f>
        <v/>
      </c>
      <c r="I4721" s="139">
        <f>IFERROR(IF(AND(ISNUMBER(F4721),ISNUMBER(H4721)),F4721-H4721,""),"")</f>
        <v/>
      </c>
      <c r="J4721" s="114" t="n"/>
      <c r="K4721" s="139">
        <f>IFERROR(IF(H4721&gt;0,H4721*IF(OR(C4721="Alpha",B4721="Alpha"),$C$9,$C$8),""),"")</f>
        <v/>
      </c>
      <c r="L4721" s="139">
        <f>IFERROR(IF(ISNUMBER(F4721),F4721-IF(ISNUMBER(K4721),K4721,0),""),"")</f>
        <v/>
      </c>
    </row>
    <row r="4722" ht="24" customHeight="1" s="63">
      <c r="E4722" s="139" t="n"/>
      <c r="F4722" s="139" t="n"/>
      <c r="G4722" s="140">
        <f>IFERROR(IF(E4722&gt;0,(F4722/E4722)*1000,""),"")</f>
        <v/>
      </c>
      <c r="H4722" s="139">
        <f>IFERROR(IF(E4722&gt;0,E4722*IF(ISNUMBER(J4722),J4722,IF(OR(C4722="Alpha",B4722="Alpha"),$C$7,IF(C4722="Futures",$C$6,$C$5))),""),"")</f>
        <v/>
      </c>
      <c r="I4722" s="139">
        <f>IFERROR(IF(AND(ISNUMBER(F4722),ISNUMBER(H4722)),F4722-H4722,""),"")</f>
        <v/>
      </c>
      <c r="J4722" s="114" t="n"/>
      <c r="K4722" s="139">
        <f>IFERROR(IF(H4722&gt;0,H4722*IF(OR(C4722="Alpha",B4722="Alpha"),$C$9,$C$8),""),"")</f>
        <v/>
      </c>
      <c r="L4722" s="139">
        <f>IFERROR(IF(ISNUMBER(F4722),F4722-IF(ISNUMBER(K4722),K4722,0),""),"")</f>
        <v/>
      </c>
    </row>
    <row r="4723" ht="24" customHeight="1" s="63">
      <c r="E4723" s="139" t="n"/>
      <c r="F4723" s="139" t="n"/>
      <c r="G4723" s="140">
        <f>IFERROR(IF(E4723&gt;0,(F4723/E4723)*1000,""),"")</f>
        <v/>
      </c>
      <c r="H4723" s="139">
        <f>IFERROR(IF(E4723&gt;0,E4723*IF(ISNUMBER(J4723),J4723,IF(OR(C4723="Alpha",B4723="Alpha"),$C$7,IF(C4723="Futures",$C$6,$C$5))),""),"")</f>
        <v/>
      </c>
      <c r="I4723" s="139">
        <f>IFERROR(IF(AND(ISNUMBER(F4723),ISNUMBER(H4723)),F4723-H4723,""),"")</f>
        <v/>
      </c>
      <c r="J4723" s="114" t="n"/>
      <c r="K4723" s="139">
        <f>IFERROR(IF(H4723&gt;0,H4723*IF(OR(C4723="Alpha",B4723="Alpha"),$C$9,$C$8),""),"")</f>
        <v/>
      </c>
      <c r="L4723" s="139">
        <f>IFERROR(IF(ISNUMBER(F4723),F4723-IF(ISNUMBER(K4723),K4723,0),""),"")</f>
        <v/>
      </c>
    </row>
    <row r="4724" ht="24" customHeight="1" s="63">
      <c r="E4724" s="139" t="n"/>
      <c r="F4724" s="139" t="n"/>
      <c r="G4724" s="140">
        <f>IFERROR(IF(E4724&gt;0,(F4724/E4724)*1000,""),"")</f>
        <v/>
      </c>
      <c r="H4724" s="139">
        <f>IFERROR(IF(E4724&gt;0,E4724*IF(ISNUMBER(J4724),J4724,IF(OR(C4724="Alpha",B4724="Alpha"),$C$7,IF(C4724="Futures",$C$6,$C$5))),""),"")</f>
        <v/>
      </c>
      <c r="I4724" s="139">
        <f>IFERROR(IF(AND(ISNUMBER(F4724),ISNUMBER(H4724)),F4724-H4724,""),"")</f>
        <v/>
      </c>
      <c r="J4724" s="114" t="n"/>
      <c r="K4724" s="139">
        <f>IFERROR(IF(H4724&gt;0,H4724*IF(OR(C4724="Alpha",B4724="Alpha"),$C$9,$C$8),""),"")</f>
        <v/>
      </c>
      <c r="L4724" s="139">
        <f>IFERROR(IF(ISNUMBER(F4724),F4724-IF(ISNUMBER(K4724),K4724,0),""),"")</f>
        <v/>
      </c>
    </row>
    <row r="4725" ht="24" customHeight="1" s="63">
      <c r="E4725" s="139" t="n"/>
      <c r="F4725" s="139" t="n"/>
      <c r="G4725" s="140">
        <f>IFERROR(IF(E4725&gt;0,(F4725/E4725)*1000,""),"")</f>
        <v/>
      </c>
      <c r="H4725" s="139">
        <f>IFERROR(IF(E4725&gt;0,E4725*IF(ISNUMBER(J4725),J4725,IF(OR(C4725="Alpha",B4725="Alpha"),$C$7,IF(C4725="Futures",$C$6,$C$5))),""),"")</f>
        <v/>
      </c>
      <c r="I4725" s="139">
        <f>IFERROR(IF(AND(ISNUMBER(F4725),ISNUMBER(H4725)),F4725-H4725,""),"")</f>
        <v/>
      </c>
      <c r="J4725" s="114" t="n"/>
      <c r="K4725" s="139">
        <f>IFERROR(IF(H4725&gt;0,H4725*IF(OR(C4725="Alpha",B4725="Alpha"),$C$9,$C$8),""),"")</f>
        <v/>
      </c>
      <c r="L4725" s="139">
        <f>IFERROR(IF(ISNUMBER(F4725),F4725-IF(ISNUMBER(K4725),K4725,0),""),"")</f>
        <v/>
      </c>
    </row>
    <row r="4726" ht="24" customHeight="1" s="63">
      <c r="E4726" s="139" t="n"/>
      <c r="F4726" s="139" t="n"/>
      <c r="G4726" s="140">
        <f>IFERROR(IF(E4726&gt;0,(F4726/E4726)*1000,""),"")</f>
        <v/>
      </c>
      <c r="H4726" s="139">
        <f>IFERROR(IF(E4726&gt;0,E4726*IF(ISNUMBER(J4726),J4726,IF(OR(C4726="Alpha",B4726="Alpha"),$C$7,IF(C4726="Futures",$C$6,$C$5))),""),"")</f>
        <v/>
      </c>
      <c r="I4726" s="139">
        <f>IFERROR(IF(AND(ISNUMBER(F4726),ISNUMBER(H4726)),F4726-H4726,""),"")</f>
        <v/>
      </c>
      <c r="J4726" s="114" t="n"/>
      <c r="K4726" s="139">
        <f>IFERROR(IF(H4726&gt;0,H4726*IF(OR(C4726="Alpha",B4726="Alpha"),$C$9,$C$8),""),"")</f>
        <v/>
      </c>
      <c r="L4726" s="139">
        <f>IFERROR(IF(ISNUMBER(F4726),F4726-IF(ISNUMBER(K4726),K4726,0),""),"")</f>
        <v/>
      </c>
    </row>
    <row r="4727" ht="24" customHeight="1" s="63">
      <c r="E4727" s="139" t="n"/>
      <c r="F4727" s="139" t="n"/>
      <c r="G4727" s="140">
        <f>IFERROR(IF(E4727&gt;0,(F4727/E4727)*1000,""),"")</f>
        <v/>
      </c>
      <c r="H4727" s="139">
        <f>IFERROR(IF(E4727&gt;0,E4727*IF(ISNUMBER(J4727),J4727,IF(OR(C4727="Alpha",B4727="Alpha"),$C$7,IF(C4727="Futures",$C$6,$C$5))),""),"")</f>
        <v/>
      </c>
      <c r="I4727" s="139">
        <f>IFERROR(IF(AND(ISNUMBER(F4727),ISNUMBER(H4727)),F4727-H4727,""),"")</f>
        <v/>
      </c>
      <c r="J4727" s="114" t="n"/>
      <c r="K4727" s="139">
        <f>IFERROR(IF(H4727&gt;0,H4727*IF(OR(C4727="Alpha",B4727="Alpha"),$C$9,$C$8),""),"")</f>
        <v/>
      </c>
      <c r="L4727" s="139">
        <f>IFERROR(IF(ISNUMBER(F4727),F4727-IF(ISNUMBER(K4727),K4727,0),""),"")</f>
        <v/>
      </c>
    </row>
    <row r="4728" ht="24" customHeight="1" s="63">
      <c r="E4728" s="139" t="n"/>
      <c r="F4728" s="139" t="n"/>
      <c r="G4728" s="140">
        <f>IFERROR(IF(E4728&gt;0,(F4728/E4728)*1000,""),"")</f>
        <v/>
      </c>
      <c r="H4728" s="139">
        <f>IFERROR(IF(E4728&gt;0,E4728*IF(ISNUMBER(J4728),J4728,IF(OR(C4728="Alpha",B4728="Alpha"),$C$7,IF(C4728="Futures",$C$6,$C$5))),""),"")</f>
        <v/>
      </c>
      <c r="I4728" s="139">
        <f>IFERROR(IF(AND(ISNUMBER(F4728),ISNUMBER(H4728)),F4728-H4728,""),"")</f>
        <v/>
      </c>
      <c r="J4728" s="114" t="n"/>
      <c r="K4728" s="139">
        <f>IFERROR(IF(H4728&gt;0,H4728*IF(OR(C4728="Alpha",B4728="Alpha"),$C$9,$C$8),""),"")</f>
        <v/>
      </c>
      <c r="L4728" s="139">
        <f>IFERROR(IF(ISNUMBER(F4728),F4728-IF(ISNUMBER(K4728),K4728,0),""),"")</f>
        <v/>
      </c>
    </row>
    <row r="4729" ht="24" customHeight="1" s="63">
      <c r="E4729" s="139" t="n"/>
      <c r="F4729" s="139" t="n"/>
      <c r="G4729" s="140">
        <f>IFERROR(IF(E4729&gt;0,(F4729/E4729)*1000,""),"")</f>
        <v/>
      </c>
      <c r="H4729" s="139">
        <f>IFERROR(IF(E4729&gt;0,E4729*IF(ISNUMBER(J4729),J4729,IF(OR(C4729="Alpha",B4729="Alpha"),$C$7,IF(C4729="Futures",$C$6,$C$5))),""),"")</f>
        <v/>
      </c>
      <c r="I4729" s="139">
        <f>IFERROR(IF(AND(ISNUMBER(F4729),ISNUMBER(H4729)),F4729-H4729,""),"")</f>
        <v/>
      </c>
      <c r="J4729" s="114" t="n"/>
      <c r="K4729" s="139">
        <f>IFERROR(IF(H4729&gt;0,H4729*IF(OR(C4729="Alpha",B4729="Alpha"),$C$9,$C$8),""),"")</f>
        <v/>
      </c>
      <c r="L4729" s="139">
        <f>IFERROR(IF(ISNUMBER(F4729),F4729-IF(ISNUMBER(K4729),K4729,0),""),"")</f>
        <v/>
      </c>
    </row>
    <row r="4730" ht="24" customHeight="1" s="63">
      <c r="E4730" s="139" t="n"/>
      <c r="F4730" s="139" t="n"/>
      <c r="G4730" s="140">
        <f>IFERROR(IF(E4730&gt;0,(F4730/E4730)*1000,""),"")</f>
        <v/>
      </c>
      <c r="H4730" s="139">
        <f>IFERROR(IF(E4730&gt;0,E4730*IF(ISNUMBER(J4730),J4730,IF(OR(C4730="Alpha",B4730="Alpha"),$C$7,IF(C4730="Futures",$C$6,$C$5))),""),"")</f>
        <v/>
      </c>
      <c r="I4730" s="139">
        <f>IFERROR(IF(AND(ISNUMBER(F4730),ISNUMBER(H4730)),F4730-H4730,""),"")</f>
        <v/>
      </c>
      <c r="J4730" s="114" t="n"/>
      <c r="K4730" s="139">
        <f>IFERROR(IF(H4730&gt;0,H4730*IF(OR(C4730="Alpha",B4730="Alpha"),$C$9,$C$8),""),"")</f>
        <v/>
      </c>
      <c r="L4730" s="139">
        <f>IFERROR(IF(ISNUMBER(F4730),F4730-IF(ISNUMBER(K4730),K4730,0),""),"")</f>
        <v/>
      </c>
    </row>
    <row r="4731" ht="24" customHeight="1" s="63">
      <c r="E4731" s="139" t="n"/>
      <c r="F4731" s="139" t="n"/>
      <c r="G4731" s="140">
        <f>IFERROR(IF(E4731&gt;0,(F4731/E4731)*1000,""),"")</f>
        <v/>
      </c>
      <c r="H4731" s="139">
        <f>IFERROR(IF(E4731&gt;0,E4731*IF(ISNUMBER(J4731),J4731,IF(OR(C4731="Alpha",B4731="Alpha"),$C$7,IF(C4731="Futures",$C$6,$C$5))),""),"")</f>
        <v/>
      </c>
      <c r="I4731" s="139">
        <f>IFERROR(IF(AND(ISNUMBER(F4731),ISNUMBER(H4731)),F4731-H4731,""),"")</f>
        <v/>
      </c>
      <c r="J4731" s="114" t="n"/>
      <c r="K4731" s="139">
        <f>IFERROR(IF(H4731&gt;0,H4731*IF(OR(C4731="Alpha",B4731="Alpha"),$C$9,$C$8),""),"")</f>
        <v/>
      </c>
      <c r="L4731" s="139">
        <f>IFERROR(IF(ISNUMBER(F4731),F4731-IF(ISNUMBER(K4731),K4731,0),""),"")</f>
        <v/>
      </c>
    </row>
    <row r="4732" ht="24" customHeight="1" s="63">
      <c r="E4732" s="139" t="n"/>
      <c r="F4732" s="139" t="n"/>
      <c r="G4732" s="140">
        <f>IFERROR(IF(E4732&gt;0,(F4732/E4732)*1000,""),"")</f>
        <v/>
      </c>
      <c r="H4732" s="139">
        <f>IFERROR(IF(E4732&gt;0,E4732*IF(ISNUMBER(J4732),J4732,IF(OR(C4732="Alpha",B4732="Alpha"),$C$7,IF(C4732="Futures",$C$6,$C$5))),""),"")</f>
        <v/>
      </c>
      <c r="I4732" s="139">
        <f>IFERROR(IF(AND(ISNUMBER(F4732),ISNUMBER(H4732)),F4732-H4732,""),"")</f>
        <v/>
      </c>
      <c r="J4732" s="114" t="n"/>
      <c r="K4732" s="139">
        <f>IFERROR(IF(H4732&gt;0,H4732*IF(OR(C4732="Alpha",B4732="Alpha"),$C$9,$C$8),""),"")</f>
        <v/>
      </c>
      <c r="L4732" s="139">
        <f>IFERROR(IF(ISNUMBER(F4732),F4732-IF(ISNUMBER(K4732),K4732,0),""),"")</f>
        <v/>
      </c>
    </row>
    <row r="4733" ht="24" customHeight="1" s="63">
      <c r="E4733" s="139" t="n"/>
      <c r="F4733" s="139" t="n"/>
      <c r="G4733" s="140">
        <f>IFERROR(IF(E4733&gt;0,(F4733/E4733)*1000,""),"")</f>
        <v/>
      </c>
      <c r="H4733" s="139">
        <f>IFERROR(IF(E4733&gt;0,E4733*IF(ISNUMBER(J4733),J4733,IF(OR(C4733="Alpha",B4733="Alpha"),$C$7,IF(C4733="Futures",$C$6,$C$5))),""),"")</f>
        <v/>
      </c>
      <c r="I4733" s="139">
        <f>IFERROR(IF(AND(ISNUMBER(F4733),ISNUMBER(H4733)),F4733-H4733,""),"")</f>
        <v/>
      </c>
      <c r="J4733" s="114" t="n"/>
      <c r="K4733" s="139">
        <f>IFERROR(IF(H4733&gt;0,H4733*IF(OR(C4733="Alpha",B4733="Alpha"),$C$9,$C$8),""),"")</f>
        <v/>
      </c>
      <c r="L4733" s="139">
        <f>IFERROR(IF(ISNUMBER(F4733),F4733-IF(ISNUMBER(K4733),K4733,0),""),"")</f>
        <v/>
      </c>
    </row>
    <row r="4734" ht="24" customHeight="1" s="63">
      <c r="E4734" s="139" t="n"/>
      <c r="F4734" s="139" t="n"/>
      <c r="G4734" s="140">
        <f>IFERROR(IF(E4734&gt;0,(F4734/E4734)*1000,""),"")</f>
        <v/>
      </c>
      <c r="H4734" s="139">
        <f>IFERROR(IF(E4734&gt;0,E4734*IF(ISNUMBER(J4734),J4734,IF(OR(C4734="Alpha",B4734="Alpha"),$C$7,IF(C4734="Futures",$C$6,$C$5))),""),"")</f>
        <v/>
      </c>
      <c r="I4734" s="139">
        <f>IFERROR(IF(AND(ISNUMBER(F4734),ISNUMBER(H4734)),F4734-H4734,""),"")</f>
        <v/>
      </c>
      <c r="J4734" s="114" t="n"/>
      <c r="K4734" s="139">
        <f>IFERROR(IF(H4734&gt;0,H4734*IF(OR(C4734="Alpha",B4734="Alpha"),$C$9,$C$8),""),"")</f>
        <v/>
      </c>
      <c r="L4734" s="139">
        <f>IFERROR(IF(ISNUMBER(F4734),F4734-IF(ISNUMBER(K4734),K4734,0),""),"")</f>
        <v/>
      </c>
    </row>
    <row r="4735" ht="24" customHeight="1" s="63">
      <c r="E4735" s="139" t="n"/>
      <c r="F4735" s="139" t="n"/>
      <c r="G4735" s="140">
        <f>IFERROR(IF(E4735&gt;0,(F4735/E4735)*1000,""),"")</f>
        <v/>
      </c>
      <c r="H4735" s="139">
        <f>IFERROR(IF(E4735&gt;0,E4735*IF(ISNUMBER(J4735),J4735,IF(OR(C4735="Alpha",B4735="Alpha"),$C$7,IF(C4735="Futures",$C$6,$C$5))),""),"")</f>
        <v/>
      </c>
      <c r="I4735" s="139">
        <f>IFERROR(IF(AND(ISNUMBER(F4735),ISNUMBER(H4735)),F4735-H4735,""),"")</f>
        <v/>
      </c>
      <c r="J4735" s="114" t="n"/>
      <c r="K4735" s="139">
        <f>IFERROR(IF(H4735&gt;0,H4735*IF(OR(C4735="Alpha",B4735="Alpha"),$C$9,$C$8),""),"")</f>
        <v/>
      </c>
      <c r="L4735" s="139">
        <f>IFERROR(IF(ISNUMBER(F4735),F4735-IF(ISNUMBER(K4735),K4735,0),""),"")</f>
        <v/>
      </c>
    </row>
    <row r="4736" ht="24" customHeight="1" s="63">
      <c r="E4736" s="139" t="n"/>
      <c r="F4736" s="139" t="n"/>
      <c r="G4736" s="140">
        <f>IFERROR(IF(E4736&gt;0,(F4736/E4736)*1000,""),"")</f>
        <v/>
      </c>
      <c r="H4736" s="139">
        <f>IFERROR(IF(E4736&gt;0,E4736*IF(ISNUMBER(J4736),J4736,IF(OR(C4736="Alpha",B4736="Alpha"),$C$7,IF(C4736="Futures",$C$6,$C$5))),""),"")</f>
        <v/>
      </c>
      <c r="I4736" s="139">
        <f>IFERROR(IF(AND(ISNUMBER(F4736),ISNUMBER(H4736)),F4736-H4736,""),"")</f>
        <v/>
      </c>
      <c r="J4736" s="114" t="n"/>
      <c r="K4736" s="139">
        <f>IFERROR(IF(H4736&gt;0,H4736*IF(OR(C4736="Alpha",B4736="Alpha"),$C$9,$C$8),""),"")</f>
        <v/>
      </c>
      <c r="L4736" s="139">
        <f>IFERROR(IF(ISNUMBER(F4736),F4736-IF(ISNUMBER(K4736),K4736,0),""),"")</f>
        <v/>
      </c>
    </row>
    <row r="4737" ht="24" customHeight="1" s="63">
      <c r="E4737" s="139" t="n"/>
      <c r="F4737" s="139" t="n"/>
      <c r="G4737" s="140">
        <f>IFERROR(IF(E4737&gt;0,(F4737/E4737)*1000,""),"")</f>
        <v/>
      </c>
      <c r="H4737" s="139">
        <f>IFERROR(IF(E4737&gt;0,E4737*IF(ISNUMBER(J4737),J4737,IF(OR(C4737="Alpha",B4737="Alpha"),$C$7,IF(C4737="Futures",$C$6,$C$5))),""),"")</f>
        <v/>
      </c>
      <c r="I4737" s="139">
        <f>IFERROR(IF(AND(ISNUMBER(F4737),ISNUMBER(H4737)),F4737-H4737,""),"")</f>
        <v/>
      </c>
      <c r="J4737" s="114" t="n"/>
      <c r="K4737" s="139">
        <f>IFERROR(IF(H4737&gt;0,H4737*IF(OR(C4737="Alpha",B4737="Alpha"),$C$9,$C$8),""),"")</f>
        <v/>
      </c>
      <c r="L4737" s="139">
        <f>IFERROR(IF(ISNUMBER(F4737),F4737-IF(ISNUMBER(K4737),K4737,0),""),"")</f>
        <v/>
      </c>
    </row>
    <row r="4738" ht="24" customHeight="1" s="63">
      <c r="E4738" s="139" t="n"/>
      <c r="F4738" s="139" t="n"/>
      <c r="G4738" s="140">
        <f>IFERROR(IF(E4738&gt;0,(F4738/E4738)*1000,""),"")</f>
        <v/>
      </c>
      <c r="H4738" s="139">
        <f>IFERROR(IF(E4738&gt;0,E4738*IF(ISNUMBER(J4738),J4738,IF(OR(C4738="Alpha",B4738="Alpha"),$C$7,IF(C4738="Futures",$C$6,$C$5))),""),"")</f>
        <v/>
      </c>
      <c r="I4738" s="139">
        <f>IFERROR(IF(AND(ISNUMBER(F4738),ISNUMBER(H4738)),F4738-H4738,""),"")</f>
        <v/>
      </c>
      <c r="J4738" s="114" t="n"/>
      <c r="K4738" s="139">
        <f>IFERROR(IF(H4738&gt;0,H4738*IF(OR(C4738="Alpha",B4738="Alpha"),$C$9,$C$8),""),"")</f>
        <v/>
      </c>
      <c r="L4738" s="139">
        <f>IFERROR(IF(ISNUMBER(F4738),F4738-IF(ISNUMBER(K4738),K4738,0),""),"")</f>
        <v/>
      </c>
    </row>
    <row r="4739" ht="24" customHeight="1" s="63">
      <c r="E4739" s="139" t="n"/>
      <c r="F4739" s="139" t="n"/>
      <c r="G4739" s="140">
        <f>IFERROR(IF(E4739&gt;0,(F4739/E4739)*1000,""),"")</f>
        <v/>
      </c>
      <c r="H4739" s="139">
        <f>IFERROR(IF(E4739&gt;0,E4739*IF(ISNUMBER(J4739),J4739,IF(OR(C4739="Alpha",B4739="Alpha"),$C$7,IF(C4739="Futures",$C$6,$C$5))),""),"")</f>
        <v/>
      </c>
      <c r="I4739" s="139">
        <f>IFERROR(IF(AND(ISNUMBER(F4739),ISNUMBER(H4739)),F4739-H4739,""),"")</f>
        <v/>
      </c>
      <c r="J4739" s="114" t="n"/>
      <c r="K4739" s="139">
        <f>IFERROR(IF(H4739&gt;0,H4739*IF(OR(C4739="Alpha",B4739="Alpha"),$C$9,$C$8),""),"")</f>
        <v/>
      </c>
      <c r="L4739" s="139">
        <f>IFERROR(IF(ISNUMBER(F4739),F4739-IF(ISNUMBER(K4739),K4739,0),""),"")</f>
        <v/>
      </c>
    </row>
    <row r="4740" ht="24" customHeight="1" s="63">
      <c r="E4740" s="139" t="n"/>
      <c r="F4740" s="139" t="n"/>
      <c r="G4740" s="140">
        <f>IFERROR(IF(E4740&gt;0,(F4740/E4740)*1000,""),"")</f>
        <v/>
      </c>
      <c r="H4740" s="139">
        <f>IFERROR(IF(E4740&gt;0,E4740*IF(ISNUMBER(J4740),J4740,IF(OR(C4740="Alpha",B4740="Alpha"),$C$7,IF(C4740="Futures",$C$6,$C$5))),""),"")</f>
        <v/>
      </c>
      <c r="I4740" s="139">
        <f>IFERROR(IF(AND(ISNUMBER(F4740),ISNUMBER(H4740)),F4740-H4740,""),"")</f>
        <v/>
      </c>
      <c r="J4740" s="114" t="n"/>
      <c r="K4740" s="139">
        <f>IFERROR(IF(H4740&gt;0,H4740*IF(OR(C4740="Alpha",B4740="Alpha"),$C$9,$C$8),""),"")</f>
        <v/>
      </c>
      <c r="L4740" s="139">
        <f>IFERROR(IF(ISNUMBER(F4740),F4740-IF(ISNUMBER(K4740),K4740,0),""),"")</f>
        <v/>
      </c>
    </row>
    <row r="4741" ht="24" customHeight="1" s="63">
      <c r="E4741" s="139" t="n"/>
      <c r="F4741" s="139" t="n"/>
      <c r="G4741" s="140">
        <f>IFERROR(IF(E4741&gt;0,(F4741/E4741)*1000,""),"")</f>
        <v/>
      </c>
      <c r="H4741" s="139">
        <f>IFERROR(IF(E4741&gt;0,E4741*IF(ISNUMBER(J4741),J4741,IF(OR(C4741="Alpha",B4741="Alpha"),$C$7,IF(C4741="Futures",$C$6,$C$5))),""),"")</f>
        <v/>
      </c>
      <c r="I4741" s="139">
        <f>IFERROR(IF(AND(ISNUMBER(F4741),ISNUMBER(H4741)),F4741-H4741,""),"")</f>
        <v/>
      </c>
      <c r="J4741" s="114" t="n"/>
      <c r="K4741" s="139">
        <f>IFERROR(IF(H4741&gt;0,H4741*IF(OR(C4741="Alpha",B4741="Alpha"),$C$9,$C$8),""),"")</f>
        <v/>
      </c>
      <c r="L4741" s="139">
        <f>IFERROR(IF(ISNUMBER(F4741),F4741-IF(ISNUMBER(K4741),K4741,0),""),"")</f>
        <v/>
      </c>
    </row>
    <row r="4742" ht="24" customHeight="1" s="63">
      <c r="E4742" s="139" t="n"/>
      <c r="F4742" s="139" t="n"/>
      <c r="G4742" s="140">
        <f>IFERROR(IF(E4742&gt;0,(F4742/E4742)*1000,""),"")</f>
        <v/>
      </c>
      <c r="H4742" s="139">
        <f>IFERROR(IF(E4742&gt;0,E4742*IF(ISNUMBER(J4742),J4742,IF(OR(C4742="Alpha",B4742="Alpha"),$C$7,IF(C4742="Futures",$C$6,$C$5))),""),"")</f>
        <v/>
      </c>
      <c r="I4742" s="139">
        <f>IFERROR(IF(AND(ISNUMBER(F4742),ISNUMBER(H4742)),F4742-H4742,""),"")</f>
        <v/>
      </c>
      <c r="J4742" s="114" t="n"/>
      <c r="K4742" s="139">
        <f>IFERROR(IF(H4742&gt;0,H4742*IF(OR(C4742="Alpha",B4742="Alpha"),$C$9,$C$8),""),"")</f>
        <v/>
      </c>
      <c r="L4742" s="139">
        <f>IFERROR(IF(ISNUMBER(F4742),F4742-IF(ISNUMBER(K4742),K4742,0),""),"")</f>
        <v/>
      </c>
    </row>
    <row r="4743" ht="24" customHeight="1" s="63">
      <c r="E4743" s="139" t="n"/>
      <c r="F4743" s="139" t="n"/>
      <c r="G4743" s="140">
        <f>IFERROR(IF(E4743&gt;0,(F4743/E4743)*1000,""),"")</f>
        <v/>
      </c>
      <c r="H4743" s="139">
        <f>IFERROR(IF(E4743&gt;0,E4743*IF(ISNUMBER(J4743),J4743,IF(OR(C4743="Alpha",B4743="Alpha"),$C$7,IF(C4743="Futures",$C$6,$C$5))),""),"")</f>
        <v/>
      </c>
      <c r="I4743" s="139">
        <f>IFERROR(IF(AND(ISNUMBER(F4743),ISNUMBER(H4743)),F4743-H4743,""),"")</f>
        <v/>
      </c>
      <c r="J4743" s="114" t="n"/>
      <c r="K4743" s="139">
        <f>IFERROR(IF(H4743&gt;0,H4743*IF(OR(C4743="Alpha",B4743="Alpha"),$C$9,$C$8),""),"")</f>
        <v/>
      </c>
      <c r="L4743" s="139">
        <f>IFERROR(IF(ISNUMBER(F4743),F4743-IF(ISNUMBER(K4743),K4743,0),""),"")</f>
        <v/>
      </c>
    </row>
    <row r="4744" ht="24" customHeight="1" s="63">
      <c r="E4744" s="139" t="n"/>
      <c r="F4744" s="139" t="n"/>
      <c r="G4744" s="140">
        <f>IFERROR(IF(E4744&gt;0,(F4744/E4744)*1000,""),"")</f>
        <v/>
      </c>
      <c r="H4744" s="139">
        <f>IFERROR(IF(E4744&gt;0,E4744*IF(ISNUMBER(J4744),J4744,IF(OR(C4744="Alpha",B4744="Alpha"),$C$7,IF(C4744="Futures",$C$6,$C$5))),""),"")</f>
        <v/>
      </c>
      <c r="I4744" s="139">
        <f>IFERROR(IF(AND(ISNUMBER(F4744),ISNUMBER(H4744)),F4744-H4744,""),"")</f>
        <v/>
      </c>
      <c r="J4744" s="114" t="n"/>
      <c r="K4744" s="139">
        <f>IFERROR(IF(H4744&gt;0,H4744*IF(OR(C4744="Alpha",B4744="Alpha"),$C$9,$C$8),""),"")</f>
        <v/>
      </c>
      <c r="L4744" s="139">
        <f>IFERROR(IF(ISNUMBER(F4744),F4744-IF(ISNUMBER(K4744),K4744,0),""),"")</f>
        <v/>
      </c>
    </row>
    <row r="4745" ht="24" customHeight="1" s="63">
      <c r="E4745" s="139" t="n"/>
      <c r="F4745" s="139" t="n"/>
      <c r="G4745" s="140">
        <f>IFERROR(IF(E4745&gt;0,(F4745/E4745)*1000,""),"")</f>
        <v/>
      </c>
      <c r="H4745" s="139">
        <f>IFERROR(IF(E4745&gt;0,E4745*IF(ISNUMBER(J4745),J4745,IF(OR(C4745="Alpha",B4745="Alpha"),$C$7,IF(C4745="Futures",$C$6,$C$5))),""),"")</f>
        <v/>
      </c>
      <c r="I4745" s="139">
        <f>IFERROR(IF(AND(ISNUMBER(F4745),ISNUMBER(H4745)),F4745-H4745,""),"")</f>
        <v/>
      </c>
      <c r="J4745" s="114" t="n"/>
      <c r="K4745" s="139">
        <f>IFERROR(IF(H4745&gt;0,H4745*IF(OR(C4745="Alpha",B4745="Alpha"),$C$9,$C$8),""),"")</f>
        <v/>
      </c>
      <c r="L4745" s="139">
        <f>IFERROR(IF(ISNUMBER(F4745),F4745-IF(ISNUMBER(K4745),K4745,0),""),"")</f>
        <v/>
      </c>
    </row>
    <row r="4746" ht="24" customHeight="1" s="63">
      <c r="E4746" s="139" t="n"/>
      <c r="F4746" s="139" t="n"/>
      <c r="G4746" s="140">
        <f>IFERROR(IF(E4746&gt;0,(F4746/E4746)*1000,""),"")</f>
        <v/>
      </c>
      <c r="H4746" s="139">
        <f>IFERROR(IF(E4746&gt;0,E4746*IF(ISNUMBER(J4746),J4746,IF(OR(C4746="Alpha",B4746="Alpha"),$C$7,IF(C4746="Futures",$C$6,$C$5))),""),"")</f>
        <v/>
      </c>
      <c r="I4746" s="139">
        <f>IFERROR(IF(AND(ISNUMBER(F4746),ISNUMBER(H4746)),F4746-H4746,""),"")</f>
        <v/>
      </c>
      <c r="J4746" s="114" t="n"/>
      <c r="K4746" s="139">
        <f>IFERROR(IF(H4746&gt;0,H4746*IF(OR(C4746="Alpha",B4746="Alpha"),$C$9,$C$8),""),"")</f>
        <v/>
      </c>
      <c r="L4746" s="139">
        <f>IFERROR(IF(ISNUMBER(F4746),F4746-IF(ISNUMBER(K4746),K4746,0),""),"")</f>
        <v/>
      </c>
    </row>
    <row r="4747" ht="24" customHeight="1" s="63">
      <c r="E4747" s="139" t="n"/>
      <c r="F4747" s="139" t="n"/>
      <c r="G4747" s="140">
        <f>IFERROR(IF(E4747&gt;0,(F4747/E4747)*1000,""),"")</f>
        <v/>
      </c>
      <c r="H4747" s="139">
        <f>IFERROR(IF(E4747&gt;0,E4747*IF(ISNUMBER(J4747),J4747,IF(OR(C4747="Alpha",B4747="Alpha"),$C$7,IF(C4747="Futures",$C$6,$C$5))),""),"")</f>
        <v/>
      </c>
      <c r="I4747" s="139">
        <f>IFERROR(IF(AND(ISNUMBER(F4747),ISNUMBER(H4747)),F4747-H4747,""),"")</f>
        <v/>
      </c>
      <c r="J4747" s="114" t="n"/>
      <c r="K4747" s="139">
        <f>IFERROR(IF(H4747&gt;0,H4747*IF(OR(C4747="Alpha",B4747="Alpha"),$C$9,$C$8),""),"")</f>
        <v/>
      </c>
      <c r="L4747" s="139">
        <f>IFERROR(IF(ISNUMBER(F4747),F4747-IF(ISNUMBER(K4747),K4747,0),""),"")</f>
        <v/>
      </c>
    </row>
    <row r="4748" ht="24" customHeight="1" s="63">
      <c r="E4748" s="139" t="n"/>
      <c r="F4748" s="139" t="n"/>
      <c r="G4748" s="140">
        <f>IFERROR(IF(E4748&gt;0,(F4748/E4748)*1000,""),"")</f>
        <v/>
      </c>
      <c r="H4748" s="139">
        <f>IFERROR(IF(E4748&gt;0,E4748*IF(ISNUMBER(J4748),J4748,IF(OR(C4748="Alpha",B4748="Alpha"),$C$7,IF(C4748="Futures",$C$6,$C$5))),""),"")</f>
        <v/>
      </c>
      <c r="I4748" s="139">
        <f>IFERROR(IF(AND(ISNUMBER(F4748),ISNUMBER(H4748)),F4748-H4748,""),"")</f>
        <v/>
      </c>
      <c r="J4748" s="114" t="n"/>
      <c r="K4748" s="139">
        <f>IFERROR(IF(H4748&gt;0,H4748*IF(OR(C4748="Alpha",B4748="Alpha"),$C$9,$C$8),""),"")</f>
        <v/>
      </c>
      <c r="L4748" s="139">
        <f>IFERROR(IF(ISNUMBER(F4748),F4748-IF(ISNUMBER(K4748),K4748,0),""),"")</f>
        <v/>
      </c>
    </row>
    <row r="4749" ht="24" customHeight="1" s="63">
      <c r="E4749" s="139" t="n"/>
      <c r="F4749" s="139" t="n"/>
      <c r="G4749" s="140">
        <f>IFERROR(IF(E4749&gt;0,(F4749/E4749)*1000,""),"")</f>
        <v/>
      </c>
      <c r="H4749" s="139">
        <f>IFERROR(IF(E4749&gt;0,E4749*IF(ISNUMBER(J4749),J4749,IF(OR(C4749="Alpha",B4749="Alpha"),$C$7,IF(C4749="Futures",$C$6,$C$5))),""),"")</f>
        <v/>
      </c>
      <c r="I4749" s="139">
        <f>IFERROR(IF(AND(ISNUMBER(F4749),ISNUMBER(H4749)),F4749-H4749,""),"")</f>
        <v/>
      </c>
      <c r="J4749" s="114" t="n"/>
      <c r="K4749" s="139">
        <f>IFERROR(IF(H4749&gt;0,H4749*IF(OR(C4749="Alpha",B4749="Alpha"),$C$9,$C$8),""),"")</f>
        <v/>
      </c>
      <c r="L4749" s="139">
        <f>IFERROR(IF(ISNUMBER(F4749),F4749-IF(ISNUMBER(K4749),K4749,0),""),"")</f>
        <v/>
      </c>
    </row>
    <row r="4750" ht="24" customHeight="1" s="63">
      <c r="E4750" s="139" t="n"/>
      <c r="F4750" s="139" t="n"/>
      <c r="G4750" s="140">
        <f>IFERROR(IF(E4750&gt;0,(F4750/E4750)*1000,""),"")</f>
        <v/>
      </c>
      <c r="H4750" s="139">
        <f>IFERROR(IF(E4750&gt;0,E4750*IF(ISNUMBER(J4750),J4750,IF(OR(C4750="Alpha",B4750="Alpha"),$C$7,IF(C4750="Futures",$C$6,$C$5))),""),"")</f>
        <v/>
      </c>
      <c r="I4750" s="139">
        <f>IFERROR(IF(AND(ISNUMBER(F4750),ISNUMBER(H4750)),F4750-H4750,""),"")</f>
        <v/>
      </c>
      <c r="J4750" s="114" t="n"/>
      <c r="K4750" s="139">
        <f>IFERROR(IF(H4750&gt;0,H4750*IF(OR(C4750="Alpha",B4750="Alpha"),$C$9,$C$8),""),"")</f>
        <v/>
      </c>
      <c r="L4750" s="139">
        <f>IFERROR(IF(ISNUMBER(F4750),F4750-IF(ISNUMBER(K4750),K4750,0),""),"")</f>
        <v/>
      </c>
    </row>
    <row r="4751" ht="24" customHeight="1" s="63">
      <c r="E4751" s="139" t="n"/>
      <c r="F4751" s="139" t="n"/>
      <c r="G4751" s="140">
        <f>IFERROR(IF(E4751&gt;0,(F4751/E4751)*1000,""),"")</f>
        <v/>
      </c>
      <c r="H4751" s="139">
        <f>IFERROR(IF(E4751&gt;0,E4751*IF(ISNUMBER(J4751),J4751,IF(OR(C4751="Alpha",B4751="Alpha"),$C$7,IF(C4751="Futures",$C$6,$C$5))),""),"")</f>
        <v/>
      </c>
      <c r="I4751" s="139">
        <f>IFERROR(IF(AND(ISNUMBER(F4751),ISNUMBER(H4751)),F4751-H4751,""),"")</f>
        <v/>
      </c>
      <c r="J4751" s="114" t="n"/>
      <c r="K4751" s="139">
        <f>IFERROR(IF(H4751&gt;0,H4751*IF(OR(C4751="Alpha",B4751="Alpha"),$C$9,$C$8),""),"")</f>
        <v/>
      </c>
      <c r="L4751" s="139">
        <f>IFERROR(IF(ISNUMBER(F4751),F4751-IF(ISNUMBER(K4751),K4751,0),""),"")</f>
        <v/>
      </c>
    </row>
    <row r="4752" ht="24" customHeight="1" s="63">
      <c r="E4752" s="139" t="n"/>
      <c r="F4752" s="139" t="n"/>
      <c r="G4752" s="140">
        <f>IFERROR(IF(E4752&gt;0,(F4752/E4752)*1000,""),"")</f>
        <v/>
      </c>
      <c r="H4752" s="139">
        <f>IFERROR(IF(E4752&gt;0,E4752*IF(ISNUMBER(J4752),J4752,IF(OR(C4752="Alpha",B4752="Alpha"),$C$7,IF(C4752="Futures",$C$6,$C$5))),""),"")</f>
        <v/>
      </c>
      <c r="I4752" s="139">
        <f>IFERROR(IF(AND(ISNUMBER(F4752),ISNUMBER(H4752)),F4752-H4752,""),"")</f>
        <v/>
      </c>
      <c r="J4752" s="114" t="n"/>
      <c r="K4752" s="139">
        <f>IFERROR(IF(H4752&gt;0,H4752*IF(OR(C4752="Alpha",B4752="Alpha"),$C$9,$C$8),""),"")</f>
        <v/>
      </c>
      <c r="L4752" s="139">
        <f>IFERROR(IF(ISNUMBER(F4752),F4752-IF(ISNUMBER(K4752),K4752,0),""),"")</f>
        <v/>
      </c>
    </row>
    <row r="4753" ht="24" customHeight="1" s="63">
      <c r="E4753" s="139" t="n"/>
      <c r="F4753" s="139" t="n"/>
      <c r="G4753" s="140">
        <f>IFERROR(IF(E4753&gt;0,(F4753/E4753)*1000,""),"")</f>
        <v/>
      </c>
      <c r="H4753" s="139">
        <f>IFERROR(IF(E4753&gt;0,E4753*IF(ISNUMBER(J4753),J4753,IF(OR(C4753="Alpha",B4753="Alpha"),$C$7,IF(C4753="Futures",$C$6,$C$5))),""),"")</f>
        <v/>
      </c>
      <c r="I4753" s="139">
        <f>IFERROR(IF(AND(ISNUMBER(F4753),ISNUMBER(H4753)),F4753-H4753,""),"")</f>
        <v/>
      </c>
      <c r="J4753" s="114" t="n"/>
      <c r="K4753" s="139">
        <f>IFERROR(IF(H4753&gt;0,H4753*IF(OR(C4753="Alpha",B4753="Alpha"),$C$9,$C$8),""),"")</f>
        <v/>
      </c>
      <c r="L4753" s="139">
        <f>IFERROR(IF(ISNUMBER(F4753),F4753-IF(ISNUMBER(K4753),K4753,0),""),"")</f>
        <v/>
      </c>
    </row>
    <row r="4754" ht="24" customHeight="1" s="63">
      <c r="E4754" s="139" t="n"/>
      <c r="F4754" s="139" t="n"/>
      <c r="G4754" s="140">
        <f>IFERROR(IF(E4754&gt;0,(F4754/E4754)*1000,""),"")</f>
        <v/>
      </c>
      <c r="H4754" s="139">
        <f>IFERROR(IF(E4754&gt;0,E4754*IF(ISNUMBER(J4754),J4754,IF(OR(C4754="Alpha",B4754="Alpha"),$C$7,IF(C4754="Futures",$C$6,$C$5))),""),"")</f>
        <v/>
      </c>
      <c r="I4754" s="139">
        <f>IFERROR(IF(AND(ISNUMBER(F4754),ISNUMBER(H4754)),F4754-H4754,""),"")</f>
        <v/>
      </c>
      <c r="J4754" s="114" t="n"/>
      <c r="K4754" s="139">
        <f>IFERROR(IF(H4754&gt;0,H4754*IF(OR(C4754="Alpha",B4754="Alpha"),$C$9,$C$8),""),"")</f>
        <v/>
      </c>
      <c r="L4754" s="139">
        <f>IFERROR(IF(ISNUMBER(F4754),F4754-IF(ISNUMBER(K4754),K4754,0),""),"")</f>
        <v/>
      </c>
    </row>
    <row r="4755" ht="24" customHeight="1" s="63">
      <c r="E4755" s="139" t="n"/>
      <c r="F4755" s="139" t="n"/>
      <c r="G4755" s="140">
        <f>IFERROR(IF(E4755&gt;0,(F4755/E4755)*1000,""),"")</f>
        <v/>
      </c>
      <c r="H4755" s="139">
        <f>IFERROR(IF(E4755&gt;0,E4755*IF(ISNUMBER(J4755),J4755,IF(OR(C4755="Alpha",B4755="Alpha"),$C$7,IF(C4755="Futures",$C$6,$C$5))),""),"")</f>
        <v/>
      </c>
      <c r="I4755" s="139">
        <f>IFERROR(IF(AND(ISNUMBER(F4755),ISNUMBER(H4755)),F4755-H4755,""),"")</f>
        <v/>
      </c>
      <c r="J4755" s="114" t="n"/>
      <c r="K4755" s="139">
        <f>IFERROR(IF(H4755&gt;0,H4755*IF(OR(C4755="Alpha",B4755="Alpha"),$C$9,$C$8),""),"")</f>
        <v/>
      </c>
      <c r="L4755" s="139">
        <f>IFERROR(IF(ISNUMBER(F4755),F4755-IF(ISNUMBER(K4755),K4755,0),""),"")</f>
        <v/>
      </c>
    </row>
    <row r="4756" ht="24" customHeight="1" s="63">
      <c r="E4756" s="139" t="n"/>
      <c r="F4756" s="139" t="n"/>
      <c r="G4756" s="140">
        <f>IFERROR(IF(E4756&gt;0,(F4756/E4756)*1000,""),"")</f>
        <v/>
      </c>
      <c r="H4756" s="139">
        <f>IFERROR(IF(E4756&gt;0,E4756*IF(ISNUMBER(J4756),J4756,IF(OR(C4756="Alpha",B4756="Alpha"),$C$7,IF(C4756="Futures",$C$6,$C$5))),""),"")</f>
        <v/>
      </c>
      <c r="I4756" s="139">
        <f>IFERROR(IF(AND(ISNUMBER(F4756),ISNUMBER(H4756)),F4756-H4756,""),"")</f>
        <v/>
      </c>
      <c r="J4756" s="114" t="n"/>
      <c r="K4756" s="139">
        <f>IFERROR(IF(H4756&gt;0,H4756*IF(OR(C4756="Alpha",B4756="Alpha"),$C$9,$C$8),""),"")</f>
        <v/>
      </c>
      <c r="L4756" s="139">
        <f>IFERROR(IF(ISNUMBER(F4756),F4756-IF(ISNUMBER(K4756),K4756,0),""),"")</f>
        <v/>
      </c>
    </row>
    <row r="4757" ht="24" customHeight="1" s="63">
      <c r="E4757" s="139" t="n"/>
      <c r="F4757" s="139" t="n"/>
      <c r="G4757" s="140">
        <f>IFERROR(IF(E4757&gt;0,(F4757/E4757)*1000,""),"")</f>
        <v/>
      </c>
      <c r="H4757" s="139">
        <f>IFERROR(IF(E4757&gt;0,E4757*IF(ISNUMBER(J4757),J4757,IF(OR(C4757="Alpha",B4757="Alpha"),$C$7,IF(C4757="Futures",$C$6,$C$5))),""),"")</f>
        <v/>
      </c>
      <c r="I4757" s="139">
        <f>IFERROR(IF(AND(ISNUMBER(F4757),ISNUMBER(H4757)),F4757-H4757,""),"")</f>
        <v/>
      </c>
      <c r="J4757" s="114" t="n"/>
      <c r="K4757" s="139">
        <f>IFERROR(IF(H4757&gt;0,H4757*IF(OR(C4757="Alpha",B4757="Alpha"),$C$9,$C$8),""),"")</f>
        <v/>
      </c>
      <c r="L4757" s="139">
        <f>IFERROR(IF(ISNUMBER(F4757),F4757-IF(ISNUMBER(K4757),K4757,0),""),"")</f>
        <v/>
      </c>
    </row>
    <row r="4758" ht="24" customHeight="1" s="63">
      <c r="E4758" s="139" t="n"/>
      <c r="F4758" s="139" t="n"/>
      <c r="G4758" s="140">
        <f>IFERROR(IF(E4758&gt;0,(F4758/E4758)*1000,""),"")</f>
        <v/>
      </c>
      <c r="H4758" s="139">
        <f>IFERROR(IF(E4758&gt;0,E4758*IF(ISNUMBER(J4758),J4758,IF(OR(C4758="Alpha",B4758="Alpha"),$C$7,IF(C4758="Futures",$C$6,$C$5))),""),"")</f>
        <v/>
      </c>
      <c r="I4758" s="139">
        <f>IFERROR(IF(AND(ISNUMBER(F4758),ISNUMBER(H4758)),F4758-H4758,""),"")</f>
        <v/>
      </c>
      <c r="J4758" s="114" t="n"/>
      <c r="K4758" s="139">
        <f>IFERROR(IF(H4758&gt;0,H4758*IF(OR(C4758="Alpha",B4758="Alpha"),$C$9,$C$8),""),"")</f>
        <v/>
      </c>
      <c r="L4758" s="139">
        <f>IFERROR(IF(ISNUMBER(F4758),F4758-IF(ISNUMBER(K4758),K4758,0),""),"")</f>
        <v/>
      </c>
    </row>
    <row r="4759" ht="24" customHeight="1" s="63">
      <c r="E4759" s="139" t="n"/>
      <c r="F4759" s="139" t="n"/>
      <c r="G4759" s="140">
        <f>IFERROR(IF(E4759&gt;0,(F4759/E4759)*1000,""),"")</f>
        <v/>
      </c>
      <c r="H4759" s="139">
        <f>IFERROR(IF(E4759&gt;0,E4759*IF(ISNUMBER(J4759),J4759,IF(OR(C4759="Alpha",B4759="Alpha"),$C$7,IF(C4759="Futures",$C$6,$C$5))),""),"")</f>
        <v/>
      </c>
      <c r="I4759" s="139">
        <f>IFERROR(IF(AND(ISNUMBER(F4759),ISNUMBER(H4759)),F4759-H4759,""),"")</f>
        <v/>
      </c>
      <c r="J4759" s="114" t="n"/>
      <c r="K4759" s="139">
        <f>IFERROR(IF(H4759&gt;0,H4759*IF(OR(C4759="Alpha",B4759="Alpha"),$C$9,$C$8),""),"")</f>
        <v/>
      </c>
      <c r="L4759" s="139">
        <f>IFERROR(IF(ISNUMBER(F4759),F4759-IF(ISNUMBER(K4759),K4759,0),""),"")</f>
        <v/>
      </c>
    </row>
    <row r="4760" ht="24" customHeight="1" s="63">
      <c r="E4760" s="139" t="n"/>
      <c r="F4760" s="139" t="n"/>
      <c r="G4760" s="140">
        <f>IFERROR(IF(E4760&gt;0,(F4760/E4760)*1000,""),"")</f>
        <v/>
      </c>
      <c r="H4760" s="139">
        <f>IFERROR(IF(E4760&gt;0,E4760*IF(ISNUMBER(J4760),J4760,IF(OR(C4760="Alpha",B4760="Alpha"),$C$7,IF(C4760="Futures",$C$6,$C$5))),""),"")</f>
        <v/>
      </c>
      <c r="I4760" s="139">
        <f>IFERROR(IF(AND(ISNUMBER(F4760),ISNUMBER(H4760)),F4760-H4760,""),"")</f>
        <v/>
      </c>
      <c r="J4760" s="114" t="n"/>
      <c r="K4760" s="139">
        <f>IFERROR(IF(H4760&gt;0,H4760*IF(OR(C4760="Alpha",B4760="Alpha"),$C$9,$C$8),""),"")</f>
        <v/>
      </c>
      <c r="L4760" s="139">
        <f>IFERROR(IF(ISNUMBER(F4760),F4760-IF(ISNUMBER(K4760),K4760,0),""),"")</f>
        <v/>
      </c>
    </row>
    <row r="4761" ht="24" customHeight="1" s="63">
      <c r="E4761" s="139" t="n"/>
      <c r="F4761" s="139" t="n"/>
      <c r="G4761" s="140">
        <f>IFERROR(IF(E4761&gt;0,(F4761/E4761)*1000,""),"")</f>
        <v/>
      </c>
      <c r="H4761" s="139">
        <f>IFERROR(IF(E4761&gt;0,E4761*IF(ISNUMBER(J4761),J4761,IF(OR(C4761="Alpha",B4761="Alpha"),$C$7,IF(C4761="Futures",$C$6,$C$5))),""),"")</f>
        <v/>
      </c>
      <c r="I4761" s="139">
        <f>IFERROR(IF(AND(ISNUMBER(F4761),ISNUMBER(H4761)),F4761-H4761,""),"")</f>
        <v/>
      </c>
      <c r="J4761" s="114" t="n"/>
      <c r="K4761" s="139">
        <f>IFERROR(IF(H4761&gt;0,H4761*IF(OR(C4761="Alpha",B4761="Alpha"),$C$9,$C$8),""),"")</f>
        <v/>
      </c>
      <c r="L4761" s="139">
        <f>IFERROR(IF(ISNUMBER(F4761),F4761-IF(ISNUMBER(K4761),K4761,0),""),"")</f>
        <v/>
      </c>
    </row>
    <row r="4762" ht="24" customHeight="1" s="63">
      <c r="E4762" s="139" t="n"/>
      <c r="F4762" s="139" t="n"/>
      <c r="G4762" s="140">
        <f>IFERROR(IF(E4762&gt;0,(F4762/E4762)*1000,""),"")</f>
        <v/>
      </c>
      <c r="H4762" s="139">
        <f>IFERROR(IF(E4762&gt;0,E4762*IF(ISNUMBER(J4762),J4762,IF(OR(C4762="Alpha",B4762="Alpha"),$C$7,IF(C4762="Futures",$C$6,$C$5))),""),"")</f>
        <v/>
      </c>
      <c r="I4762" s="139">
        <f>IFERROR(IF(AND(ISNUMBER(F4762),ISNUMBER(H4762)),F4762-H4762,""),"")</f>
        <v/>
      </c>
      <c r="J4762" s="114" t="n"/>
      <c r="K4762" s="139">
        <f>IFERROR(IF(H4762&gt;0,H4762*IF(OR(C4762="Alpha",B4762="Alpha"),$C$9,$C$8),""),"")</f>
        <v/>
      </c>
      <c r="L4762" s="139">
        <f>IFERROR(IF(ISNUMBER(F4762),F4762-IF(ISNUMBER(K4762),K4762,0),""),"")</f>
        <v/>
      </c>
    </row>
    <row r="4763" ht="24" customHeight="1" s="63">
      <c r="E4763" s="139" t="n"/>
      <c r="F4763" s="139" t="n"/>
      <c r="G4763" s="140">
        <f>IFERROR(IF(E4763&gt;0,(F4763/E4763)*1000,""),"")</f>
        <v/>
      </c>
      <c r="H4763" s="139">
        <f>IFERROR(IF(E4763&gt;0,E4763*IF(ISNUMBER(J4763),J4763,IF(OR(C4763="Alpha",B4763="Alpha"),$C$7,IF(C4763="Futures",$C$6,$C$5))),""),"")</f>
        <v/>
      </c>
      <c r="I4763" s="139">
        <f>IFERROR(IF(AND(ISNUMBER(F4763),ISNUMBER(H4763)),F4763-H4763,""),"")</f>
        <v/>
      </c>
      <c r="J4763" s="114" t="n"/>
      <c r="K4763" s="139">
        <f>IFERROR(IF(H4763&gt;0,H4763*IF(OR(C4763="Alpha",B4763="Alpha"),$C$9,$C$8),""),"")</f>
        <v/>
      </c>
      <c r="L4763" s="139">
        <f>IFERROR(IF(ISNUMBER(F4763),F4763-IF(ISNUMBER(K4763),K4763,0),""),"")</f>
        <v/>
      </c>
    </row>
    <row r="4764" ht="24" customHeight="1" s="63">
      <c r="E4764" s="139" t="n"/>
      <c r="F4764" s="139" t="n"/>
      <c r="G4764" s="140">
        <f>IFERROR(IF(E4764&gt;0,(F4764/E4764)*1000,""),"")</f>
        <v/>
      </c>
      <c r="H4764" s="139">
        <f>IFERROR(IF(E4764&gt;0,E4764*IF(ISNUMBER(J4764),J4764,IF(OR(C4764="Alpha",B4764="Alpha"),$C$7,IF(C4764="Futures",$C$6,$C$5))),""),"")</f>
        <v/>
      </c>
      <c r="I4764" s="139">
        <f>IFERROR(IF(AND(ISNUMBER(F4764),ISNUMBER(H4764)),F4764-H4764,""),"")</f>
        <v/>
      </c>
      <c r="J4764" s="114" t="n"/>
      <c r="K4764" s="139">
        <f>IFERROR(IF(H4764&gt;0,H4764*IF(OR(C4764="Alpha",B4764="Alpha"),$C$9,$C$8),""),"")</f>
        <v/>
      </c>
      <c r="L4764" s="139">
        <f>IFERROR(IF(ISNUMBER(F4764),F4764-IF(ISNUMBER(K4764),K4764,0),""),"")</f>
        <v/>
      </c>
    </row>
    <row r="4765" ht="24" customHeight="1" s="63">
      <c r="E4765" s="139" t="n"/>
      <c r="F4765" s="139" t="n"/>
      <c r="G4765" s="140">
        <f>IFERROR(IF(E4765&gt;0,(F4765/E4765)*1000,""),"")</f>
        <v/>
      </c>
      <c r="H4765" s="139">
        <f>IFERROR(IF(E4765&gt;0,E4765*IF(ISNUMBER(J4765),J4765,IF(OR(C4765="Alpha",B4765="Alpha"),$C$7,IF(C4765="Futures",$C$6,$C$5))),""),"")</f>
        <v/>
      </c>
      <c r="I4765" s="139">
        <f>IFERROR(IF(AND(ISNUMBER(F4765),ISNUMBER(H4765)),F4765-H4765,""),"")</f>
        <v/>
      </c>
      <c r="J4765" s="114" t="n"/>
      <c r="K4765" s="139">
        <f>IFERROR(IF(H4765&gt;0,H4765*IF(OR(C4765="Alpha",B4765="Alpha"),$C$9,$C$8),""),"")</f>
        <v/>
      </c>
      <c r="L4765" s="139">
        <f>IFERROR(IF(ISNUMBER(F4765),F4765-IF(ISNUMBER(K4765),K4765,0),""),"")</f>
        <v/>
      </c>
    </row>
    <row r="4766" ht="24" customHeight="1" s="63">
      <c r="E4766" s="139" t="n"/>
      <c r="F4766" s="139" t="n"/>
      <c r="G4766" s="140">
        <f>IFERROR(IF(E4766&gt;0,(F4766/E4766)*1000,""),"")</f>
        <v/>
      </c>
      <c r="H4766" s="139">
        <f>IFERROR(IF(E4766&gt;0,E4766*IF(ISNUMBER(J4766),J4766,IF(OR(C4766="Alpha",B4766="Alpha"),$C$7,IF(C4766="Futures",$C$6,$C$5))),""),"")</f>
        <v/>
      </c>
      <c r="I4766" s="139">
        <f>IFERROR(IF(AND(ISNUMBER(F4766),ISNUMBER(H4766)),F4766-H4766,""),"")</f>
        <v/>
      </c>
      <c r="J4766" s="114" t="n"/>
      <c r="K4766" s="139">
        <f>IFERROR(IF(H4766&gt;0,H4766*IF(OR(C4766="Alpha",B4766="Alpha"),$C$9,$C$8),""),"")</f>
        <v/>
      </c>
      <c r="L4766" s="139">
        <f>IFERROR(IF(ISNUMBER(F4766),F4766-IF(ISNUMBER(K4766),K4766,0),""),"")</f>
        <v/>
      </c>
    </row>
    <row r="4767" ht="24" customHeight="1" s="63">
      <c r="E4767" s="139" t="n"/>
      <c r="F4767" s="139" t="n"/>
      <c r="G4767" s="140">
        <f>IFERROR(IF(E4767&gt;0,(F4767/E4767)*1000,""),"")</f>
        <v/>
      </c>
      <c r="H4767" s="139">
        <f>IFERROR(IF(E4767&gt;0,E4767*IF(ISNUMBER(J4767),J4767,IF(OR(C4767="Alpha",B4767="Alpha"),$C$7,IF(C4767="Futures",$C$6,$C$5))),""),"")</f>
        <v/>
      </c>
      <c r="I4767" s="139">
        <f>IFERROR(IF(AND(ISNUMBER(F4767),ISNUMBER(H4767)),F4767-H4767,""),"")</f>
        <v/>
      </c>
      <c r="J4767" s="114" t="n"/>
      <c r="K4767" s="139">
        <f>IFERROR(IF(H4767&gt;0,H4767*IF(OR(C4767="Alpha",B4767="Alpha"),$C$9,$C$8),""),"")</f>
        <v/>
      </c>
      <c r="L4767" s="139">
        <f>IFERROR(IF(ISNUMBER(F4767),F4767-IF(ISNUMBER(K4767),K4767,0),""),"")</f>
        <v/>
      </c>
    </row>
    <row r="4768" ht="24" customHeight="1" s="63">
      <c r="E4768" s="139" t="n"/>
      <c r="F4768" s="139" t="n"/>
      <c r="G4768" s="140">
        <f>IFERROR(IF(E4768&gt;0,(F4768/E4768)*1000,""),"")</f>
        <v/>
      </c>
      <c r="H4768" s="139">
        <f>IFERROR(IF(E4768&gt;0,E4768*IF(ISNUMBER(J4768),J4768,IF(OR(C4768="Alpha",B4768="Alpha"),$C$7,IF(C4768="Futures",$C$6,$C$5))),""),"")</f>
        <v/>
      </c>
      <c r="I4768" s="139">
        <f>IFERROR(IF(AND(ISNUMBER(F4768),ISNUMBER(H4768)),F4768-H4768,""),"")</f>
        <v/>
      </c>
      <c r="J4768" s="114" t="n"/>
      <c r="K4768" s="139">
        <f>IFERROR(IF(H4768&gt;0,H4768*IF(OR(C4768="Alpha",B4768="Alpha"),$C$9,$C$8),""),"")</f>
        <v/>
      </c>
      <c r="L4768" s="139">
        <f>IFERROR(IF(ISNUMBER(F4768),F4768-IF(ISNUMBER(K4768),K4768,0),""),"")</f>
        <v/>
      </c>
    </row>
    <row r="4769" ht="24" customHeight="1" s="63">
      <c r="E4769" s="139" t="n"/>
      <c r="F4769" s="139" t="n"/>
      <c r="G4769" s="140">
        <f>IFERROR(IF(E4769&gt;0,(F4769/E4769)*1000,""),"")</f>
        <v/>
      </c>
      <c r="H4769" s="139">
        <f>IFERROR(IF(E4769&gt;0,E4769*IF(ISNUMBER(J4769),J4769,IF(OR(C4769="Alpha",B4769="Alpha"),$C$7,IF(C4769="Futures",$C$6,$C$5))),""),"")</f>
        <v/>
      </c>
      <c r="I4769" s="139">
        <f>IFERROR(IF(AND(ISNUMBER(F4769),ISNUMBER(H4769)),F4769-H4769,""),"")</f>
        <v/>
      </c>
      <c r="J4769" s="114" t="n"/>
      <c r="K4769" s="139">
        <f>IFERROR(IF(H4769&gt;0,H4769*IF(OR(C4769="Alpha",B4769="Alpha"),$C$9,$C$8),""),"")</f>
        <v/>
      </c>
      <c r="L4769" s="139">
        <f>IFERROR(IF(ISNUMBER(F4769),F4769-IF(ISNUMBER(K4769),K4769,0),""),"")</f>
        <v/>
      </c>
    </row>
    <row r="4770" ht="24" customHeight="1" s="63">
      <c r="E4770" s="139" t="n"/>
      <c r="F4770" s="139" t="n"/>
      <c r="G4770" s="140">
        <f>IFERROR(IF(E4770&gt;0,(F4770/E4770)*1000,""),"")</f>
        <v/>
      </c>
      <c r="H4770" s="139">
        <f>IFERROR(IF(E4770&gt;0,E4770*IF(ISNUMBER(J4770),J4770,IF(OR(C4770="Alpha",B4770="Alpha"),$C$7,IF(C4770="Futures",$C$6,$C$5))),""),"")</f>
        <v/>
      </c>
      <c r="I4770" s="139">
        <f>IFERROR(IF(AND(ISNUMBER(F4770),ISNUMBER(H4770)),F4770-H4770,""),"")</f>
        <v/>
      </c>
      <c r="J4770" s="114" t="n"/>
      <c r="K4770" s="139">
        <f>IFERROR(IF(H4770&gt;0,H4770*IF(OR(C4770="Alpha",B4770="Alpha"),$C$9,$C$8),""),"")</f>
        <v/>
      </c>
      <c r="L4770" s="139">
        <f>IFERROR(IF(ISNUMBER(F4770),F4770-IF(ISNUMBER(K4770),K4770,0),""),"")</f>
        <v/>
      </c>
    </row>
    <row r="4771" ht="24" customHeight="1" s="63">
      <c r="E4771" s="139" t="n"/>
      <c r="F4771" s="139" t="n"/>
      <c r="G4771" s="140">
        <f>IFERROR(IF(E4771&gt;0,(F4771/E4771)*1000,""),"")</f>
        <v/>
      </c>
      <c r="H4771" s="139">
        <f>IFERROR(IF(E4771&gt;0,E4771*IF(ISNUMBER(J4771),J4771,IF(OR(C4771="Alpha",B4771="Alpha"),$C$7,IF(C4771="Futures",$C$6,$C$5))),""),"")</f>
        <v/>
      </c>
      <c r="I4771" s="139">
        <f>IFERROR(IF(AND(ISNUMBER(F4771),ISNUMBER(H4771)),F4771-H4771,""),"")</f>
        <v/>
      </c>
      <c r="J4771" s="114" t="n"/>
      <c r="K4771" s="139">
        <f>IFERROR(IF(H4771&gt;0,H4771*IF(OR(C4771="Alpha",B4771="Alpha"),$C$9,$C$8),""),"")</f>
        <v/>
      </c>
      <c r="L4771" s="139">
        <f>IFERROR(IF(ISNUMBER(F4771),F4771-IF(ISNUMBER(K4771),K4771,0),""),"")</f>
        <v/>
      </c>
    </row>
    <row r="4772" ht="24" customHeight="1" s="63">
      <c r="E4772" s="139" t="n"/>
      <c r="F4772" s="139" t="n"/>
      <c r="G4772" s="140">
        <f>IFERROR(IF(E4772&gt;0,(F4772/E4772)*1000,""),"")</f>
        <v/>
      </c>
      <c r="H4772" s="139">
        <f>IFERROR(IF(E4772&gt;0,E4772*IF(ISNUMBER(J4772),J4772,IF(OR(C4772="Alpha",B4772="Alpha"),$C$7,IF(C4772="Futures",$C$6,$C$5))),""),"")</f>
        <v/>
      </c>
      <c r="I4772" s="139">
        <f>IFERROR(IF(AND(ISNUMBER(F4772),ISNUMBER(H4772)),F4772-H4772,""),"")</f>
        <v/>
      </c>
      <c r="J4772" s="114" t="n"/>
      <c r="K4772" s="139">
        <f>IFERROR(IF(H4772&gt;0,H4772*IF(OR(C4772="Alpha",B4772="Alpha"),$C$9,$C$8),""),"")</f>
        <v/>
      </c>
      <c r="L4772" s="139">
        <f>IFERROR(IF(ISNUMBER(F4772),F4772-IF(ISNUMBER(K4772),K4772,0),""),"")</f>
        <v/>
      </c>
    </row>
    <row r="4773" ht="24" customHeight="1" s="63">
      <c r="E4773" s="139" t="n"/>
      <c r="F4773" s="139" t="n"/>
      <c r="G4773" s="140">
        <f>IFERROR(IF(E4773&gt;0,(F4773/E4773)*1000,""),"")</f>
        <v/>
      </c>
      <c r="H4773" s="139">
        <f>IFERROR(IF(E4773&gt;0,E4773*IF(ISNUMBER(J4773),J4773,IF(OR(C4773="Alpha",B4773="Alpha"),$C$7,IF(C4773="Futures",$C$6,$C$5))),""),"")</f>
        <v/>
      </c>
      <c r="I4773" s="139">
        <f>IFERROR(IF(AND(ISNUMBER(F4773),ISNUMBER(H4773)),F4773-H4773,""),"")</f>
        <v/>
      </c>
      <c r="J4773" s="114" t="n"/>
      <c r="K4773" s="139">
        <f>IFERROR(IF(H4773&gt;0,H4773*IF(OR(C4773="Alpha",B4773="Alpha"),$C$9,$C$8),""),"")</f>
        <v/>
      </c>
      <c r="L4773" s="139">
        <f>IFERROR(IF(ISNUMBER(F4773),F4773-IF(ISNUMBER(K4773),K4773,0),""),"")</f>
        <v/>
      </c>
    </row>
    <row r="4774" ht="24" customHeight="1" s="63">
      <c r="E4774" s="139" t="n"/>
      <c r="F4774" s="139" t="n"/>
      <c r="G4774" s="140">
        <f>IFERROR(IF(E4774&gt;0,(F4774/E4774)*1000,""),"")</f>
        <v/>
      </c>
      <c r="H4774" s="139">
        <f>IFERROR(IF(E4774&gt;0,E4774*IF(ISNUMBER(J4774),J4774,IF(OR(C4774="Alpha",B4774="Alpha"),$C$7,IF(C4774="Futures",$C$6,$C$5))),""),"")</f>
        <v/>
      </c>
      <c r="I4774" s="139">
        <f>IFERROR(IF(AND(ISNUMBER(F4774),ISNUMBER(H4774)),F4774-H4774,""),"")</f>
        <v/>
      </c>
      <c r="J4774" s="114" t="n"/>
      <c r="K4774" s="139">
        <f>IFERROR(IF(H4774&gt;0,H4774*IF(OR(C4774="Alpha",B4774="Alpha"),$C$9,$C$8),""),"")</f>
        <v/>
      </c>
      <c r="L4774" s="139">
        <f>IFERROR(IF(ISNUMBER(F4774),F4774-IF(ISNUMBER(K4774),K4774,0),""),"")</f>
        <v/>
      </c>
    </row>
    <row r="4775" ht="24" customHeight="1" s="63">
      <c r="E4775" s="139" t="n"/>
      <c r="F4775" s="139" t="n"/>
      <c r="G4775" s="140">
        <f>IFERROR(IF(E4775&gt;0,(F4775/E4775)*1000,""),"")</f>
        <v/>
      </c>
      <c r="H4775" s="139">
        <f>IFERROR(IF(E4775&gt;0,E4775*IF(ISNUMBER(J4775),J4775,IF(OR(C4775="Alpha",B4775="Alpha"),$C$7,IF(C4775="Futures",$C$6,$C$5))),""),"")</f>
        <v/>
      </c>
      <c r="I4775" s="139">
        <f>IFERROR(IF(AND(ISNUMBER(F4775),ISNUMBER(H4775)),F4775-H4775,""),"")</f>
        <v/>
      </c>
      <c r="J4775" s="114" t="n"/>
      <c r="K4775" s="139">
        <f>IFERROR(IF(H4775&gt;0,H4775*IF(OR(C4775="Alpha",B4775="Alpha"),$C$9,$C$8),""),"")</f>
        <v/>
      </c>
      <c r="L4775" s="139">
        <f>IFERROR(IF(ISNUMBER(F4775),F4775-IF(ISNUMBER(K4775),K4775,0),""),"")</f>
        <v/>
      </c>
    </row>
    <row r="4776" ht="24" customHeight="1" s="63">
      <c r="E4776" s="139" t="n"/>
      <c r="F4776" s="139" t="n"/>
      <c r="G4776" s="140">
        <f>IFERROR(IF(E4776&gt;0,(F4776/E4776)*1000,""),"")</f>
        <v/>
      </c>
      <c r="H4776" s="139">
        <f>IFERROR(IF(E4776&gt;0,E4776*IF(ISNUMBER(J4776),J4776,IF(OR(C4776="Alpha",B4776="Alpha"),$C$7,IF(C4776="Futures",$C$6,$C$5))),""),"")</f>
        <v/>
      </c>
      <c r="I4776" s="139">
        <f>IFERROR(IF(AND(ISNUMBER(F4776),ISNUMBER(H4776)),F4776-H4776,""),"")</f>
        <v/>
      </c>
      <c r="J4776" s="114" t="n"/>
      <c r="K4776" s="139">
        <f>IFERROR(IF(H4776&gt;0,H4776*IF(OR(C4776="Alpha",B4776="Alpha"),$C$9,$C$8),""),"")</f>
        <v/>
      </c>
      <c r="L4776" s="139">
        <f>IFERROR(IF(ISNUMBER(F4776),F4776-IF(ISNUMBER(K4776),K4776,0),""),"")</f>
        <v/>
      </c>
    </row>
    <row r="4777" ht="24" customHeight="1" s="63">
      <c r="E4777" s="139" t="n"/>
      <c r="F4777" s="139" t="n"/>
      <c r="G4777" s="140">
        <f>IFERROR(IF(E4777&gt;0,(F4777/E4777)*1000,""),"")</f>
        <v/>
      </c>
      <c r="H4777" s="139">
        <f>IFERROR(IF(E4777&gt;0,E4777*IF(ISNUMBER(J4777),J4777,IF(OR(C4777="Alpha",B4777="Alpha"),$C$7,IF(C4777="Futures",$C$6,$C$5))),""),"")</f>
        <v/>
      </c>
      <c r="I4777" s="139">
        <f>IFERROR(IF(AND(ISNUMBER(F4777),ISNUMBER(H4777)),F4777-H4777,""),"")</f>
        <v/>
      </c>
      <c r="J4777" s="114" t="n"/>
      <c r="K4777" s="139">
        <f>IFERROR(IF(H4777&gt;0,H4777*IF(OR(C4777="Alpha",B4777="Alpha"),$C$9,$C$8),""),"")</f>
        <v/>
      </c>
      <c r="L4777" s="139">
        <f>IFERROR(IF(ISNUMBER(F4777),F4777-IF(ISNUMBER(K4777),K4777,0),""),"")</f>
        <v/>
      </c>
    </row>
    <row r="4778" ht="24" customHeight="1" s="63">
      <c r="E4778" s="139" t="n"/>
      <c r="F4778" s="139" t="n"/>
      <c r="G4778" s="140">
        <f>IFERROR(IF(E4778&gt;0,(F4778/E4778)*1000,""),"")</f>
        <v/>
      </c>
      <c r="H4778" s="139">
        <f>IFERROR(IF(E4778&gt;0,E4778*IF(ISNUMBER(J4778),J4778,IF(OR(C4778="Alpha",B4778="Alpha"),$C$7,IF(C4778="Futures",$C$6,$C$5))),""),"")</f>
        <v/>
      </c>
      <c r="I4778" s="139">
        <f>IFERROR(IF(AND(ISNUMBER(F4778),ISNUMBER(H4778)),F4778-H4778,""),"")</f>
        <v/>
      </c>
      <c r="J4778" s="114" t="n"/>
      <c r="K4778" s="139">
        <f>IFERROR(IF(H4778&gt;0,H4778*IF(OR(C4778="Alpha",B4778="Alpha"),$C$9,$C$8),""),"")</f>
        <v/>
      </c>
      <c r="L4778" s="139">
        <f>IFERROR(IF(ISNUMBER(F4778),F4778-IF(ISNUMBER(K4778),K4778,0),""),"")</f>
        <v/>
      </c>
    </row>
    <row r="4779" ht="24" customHeight="1" s="63">
      <c r="E4779" s="139" t="n"/>
      <c r="F4779" s="139" t="n"/>
      <c r="G4779" s="140">
        <f>IFERROR(IF(E4779&gt;0,(F4779/E4779)*1000,""),"")</f>
        <v/>
      </c>
      <c r="H4779" s="139">
        <f>IFERROR(IF(E4779&gt;0,E4779*IF(ISNUMBER(J4779),J4779,IF(OR(C4779="Alpha",B4779="Alpha"),$C$7,IF(C4779="Futures",$C$6,$C$5))),""),"")</f>
        <v/>
      </c>
      <c r="I4779" s="139">
        <f>IFERROR(IF(AND(ISNUMBER(F4779),ISNUMBER(H4779)),F4779-H4779,""),"")</f>
        <v/>
      </c>
      <c r="J4779" s="114" t="n"/>
      <c r="K4779" s="139">
        <f>IFERROR(IF(H4779&gt;0,H4779*IF(OR(C4779="Alpha",B4779="Alpha"),$C$9,$C$8),""),"")</f>
        <v/>
      </c>
      <c r="L4779" s="139">
        <f>IFERROR(IF(ISNUMBER(F4779),F4779-IF(ISNUMBER(K4779),K4779,0),""),"")</f>
        <v/>
      </c>
    </row>
    <row r="4780" ht="24" customHeight="1" s="63">
      <c r="E4780" s="139" t="n"/>
      <c r="F4780" s="139" t="n"/>
      <c r="G4780" s="140">
        <f>IFERROR(IF(E4780&gt;0,(F4780/E4780)*1000,""),"")</f>
        <v/>
      </c>
      <c r="H4780" s="139">
        <f>IFERROR(IF(E4780&gt;0,E4780*IF(ISNUMBER(J4780),J4780,IF(OR(C4780="Alpha",B4780="Alpha"),$C$7,IF(C4780="Futures",$C$6,$C$5))),""),"")</f>
        <v/>
      </c>
      <c r="I4780" s="139">
        <f>IFERROR(IF(AND(ISNUMBER(F4780),ISNUMBER(H4780)),F4780-H4780,""),"")</f>
        <v/>
      </c>
      <c r="J4780" s="114" t="n"/>
      <c r="K4780" s="139">
        <f>IFERROR(IF(H4780&gt;0,H4780*IF(OR(C4780="Alpha",B4780="Alpha"),$C$9,$C$8),""),"")</f>
        <v/>
      </c>
      <c r="L4780" s="139">
        <f>IFERROR(IF(ISNUMBER(F4780),F4780-IF(ISNUMBER(K4780),K4780,0),""),"")</f>
        <v/>
      </c>
    </row>
    <row r="4781" ht="24" customHeight="1" s="63">
      <c r="E4781" s="139" t="n"/>
      <c r="F4781" s="139" t="n"/>
      <c r="G4781" s="140">
        <f>IFERROR(IF(E4781&gt;0,(F4781/E4781)*1000,""),"")</f>
        <v/>
      </c>
      <c r="H4781" s="139">
        <f>IFERROR(IF(E4781&gt;0,E4781*IF(ISNUMBER(J4781),J4781,IF(OR(C4781="Alpha",B4781="Alpha"),$C$7,IF(C4781="Futures",$C$6,$C$5))),""),"")</f>
        <v/>
      </c>
      <c r="I4781" s="139">
        <f>IFERROR(IF(AND(ISNUMBER(F4781),ISNUMBER(H4781)),F4781-H4781,""),"")</f>
        <v/>
      </c>
      <c r="J4781" s="114" t="n"/>
      <c r="K4781" s="139">
        <f>IFERROR(IF(H4781&gt;0,H4781*IF(OR(C4781="Alpha",B4781="Alpha"),$C$9,$C$8),""),"")</f>
        <v/>
      </c>
      <c r="L4781" s="139">
        <f>IFERROR(IF(ISNUMBER(F4781),F4781-IF(ISNUMBER(K4781),K4781,0),""),"")</f>
        <v/>
      </c>
    </row>
    <row r="4782" ht="24" customHeight="1" s="63">
      <c r="E4782" s="139" t="n"/>
      <c r="F4782" s="139" t="n"/>
      <c r="G4782" s="140">
        <f>IFERROR(IF(E4782&gt;0,(F4782/E4782)*1000,""),"")</f>
        <v/>
      </c>
      <c r="H4782" s="139">
        <f>IFERROR(IF(E4782&gt;0,E4782*IF(ISNUMBER(J4782),J4782,IF(OR(C4782="Alpha",B4782="Alpha"),$C$7,IF(C4782="Futures",$C$6,$C$5))),""),"")</f>
        <v/>
      </c>
      <c r="I4782" s="139">
        <f>IFERROR(IF(AND(ISNUMBER(F4782),ISNUMBER(H4782)),F4782-H4782,""),"")</f>
        <v/>
      </c>
      <c r="J4782" s="114" t="n"/>
      <c r="K4782" s="139">
        <f>IFERROR(IF(H4782&gt;0,H4782*IF(OR(C4782="Alpha",B4782="Alpha"),$C$9,$C$8),""),"")</f>
        <v/>
      </c>
      <c r="L4782" s="139">
        <f>IFERROR(IF(ISNUMBER(F4782),F4782-IF(ISNUMBER(K4782),K4782,0),""),"")</f>
        <v/>
      </c>
    </row>
    <row r="4783" ht="24" customHeight="1" s="63">
      <c r="E4783" s="139" t="n"/>
      <c r="F4783" s="139" t="n"/>
      <c r="G4783" s="140">
        <f>IFERROR(IF(E4783&gt;0,(F4783/E4783)*1000,""),"")</f>
        <v/>
      </c>
      <c r="H4783" s="139">
        <f>IFERROR(IF(E4783&gt;0,E4783*IF(ISNUMBER(J4783),J4783,IF(OR(C4783="Alpha",B4783="Alpha"),$C$7,IF(C4783="Futures",$C$6,$C$5))),""),"")</f>
        <v/>
      </c>
      <c r="I4783" s="139">
        <f>IFERROR(IF(AND(ISNUMBER(F4783),ISNUMBER(H4783)),F4783-H4783,""),"")</f>
        <v/>
      </c>
      <c r="J4783" s="114" t="n"/>
      <c r="K4783" s="139">
        <f>IFERROR(IF(H4783&gt;0,H4783*IF(OR(C4783="Alpha",B4783="Alpha"),$C$9,$C$8),""),"")</f>
        <v/>
      </c>
      <c r="L4783" s="139">
        <f>IFERROR(IF(ISNUMBER(F4783),F4783-IF(ISNUMBER(K4783),K4783,0),""),"")</f>
        <v/>
      </c>
    </row>
    <row r="4784" ht="24" customHeight="1" s="63">
      <c r="E4784" s="139" t="n"/>
      <c r="F4784" s="139" t="n"/>
      <c r="G4784" s="140">
        <f>IFERROR(IF(E4784&gt;0,(F4784/E4784)*1000,""),"")</f>
        <v/>
      </c>
      <c r="H4784" s="139">
        <f>IFERROR(IF(E4784&gt;0,E4784*IF(ISNUMBER(J4784),J4784,IF(OR(C4784="Alpha",B4784="Alpha"),$C$7,IF(C4784="Futures",$C$6,$C$5))),""),"")</f>
        <v/>
      </c>
      <c r="I4784" s="139">
        <f>IFERROR(IF(AND(ISNUMBER(F4784),ISNUMBER(H4784)),F4784-H4784,""),"")</f>
        <v/>
      </c>
      <c r="J4784" s="114" t="n"/>
      <c r="K4784" s="139">
        <f>IFERROR(IF(H4784&gt;0,H4784*IF(OR(C4784="Alpha",B4784="Alpha"),$C$9,$C$8),""),"")</f>
        <v/>
      </c>
      <c r="L4784" s="139">
        <f>IFERROR(IF(ISNUMBER(F4784),F4784-IF(ISNUMBER(K4784),K4784,0),""),"")</f>
        <v/>
      </c>
    </row>
    <row r="4785" ht="24" customHeight="1" s="63">
      <c r="E4785" s="139" t="n"/>
      <c r="F4785" s="139" t="n"/>
      <c r="G4785" s="140">
        <f>IFERROR(IF(E4785&gt;0,(F4785/E4785)*1000,""),"")</f>
        <v/>
      </c>
      <c r="H4785" s="139">
        <f>IFERROR(IF(E4785&gt;0,E4785*IF(ISNUMBER(J4785),J4785,IF(OR(C4785="Alpha",B4785="Alpha"),$C$7,IF(C4785="Futures",$C$6,$C$5))),""),"")</f>
        <v/>
      </c>
      <c r="I4785" s="139">
        <f>IFERROR(IF(AND(ISNUMBER(F4785),ISNUMBER(H4785)),F4785-H4785,""),"")</f>
        <v/>
      </c>
      <c r="J4785" s="114" t="n"/>
      <c r="K4785" s="139">
        <f>IFERROR(IF(H4785&gt;0,H4785*IF(OR(C4785="Alpha",B4785="Alpha"),$C$9,$C$8),""),"")</f>
        <v/>
      </c>
      <c r="L4785" s="139">
        <f>IFERROR(IF(ISNUMBER(F4785),F4785-IF(ISNUMBER(K4785),K4785,0),""),"")</f>
        <v/>
      </c>
    </row>
    <row r="4786" ht="24" customHeight="1" s="63">
      <c r="E4786" s="139" t="n"/>
      <c r="F4786" s="139" t="n"/>
      <c r="G4786" s="140">
        <f>IFERROR(IF(E4786&gt;0,(F4786/E4786)*1000,""),"")</f>
        <v/>
      </c>
      <c r="H4786" s="139">
        <f>IFERROR(IF(E4786&gt;0,E4786*IF(ISNUMBER(J4786),J4786,IF(OR(C4786="Alpha",B4786="Alpha"),$C$7,IF(C4786="Futures",$C$6,$C$5))),""),"")</f>
        <v/>
      </c>
      <c r="I4786" s="139">
        <f>IFERROR(IF(AND(ISNUMBER(F4786),ISNUMBER(H4786)),F4786-H4786,""),"")</f>
        <v/>
      </c>
      <c r="J4786" s="114" t="n"/>
      <c r="K4786" s="139">
        <f>IFERROR(IF(H4786&gt;0,H4786*IF(OR(C4786="Alpha",B4786="Alpha"),$C$9,$C$8),""),"")</f>
        <v/>
      </c>
      <c r="L4786" s="139">
        <f>IFERROR(IF(ISNUMBER(F4786),F4786-IF(ISNUMBER(K4786),K4786,0),""),"")</f>
        <v/>
      </c>
    </row>
    <row r="4787" ht="24" customHeight="1" s="63">
      <c r="E4787" s="139" t="n"/>
      <c r="F4787" s="139" t="n"/>
      <c r="G4787" s="140">
        <f>IFERROR(IF(E4787&gt;0,(F4787/E4787)*1000,""),"")</f>
        <v/>
      </c>
      <c r="H4787" s="139">
        <f>IFERROR(IF(E4787&gt;0,E4787*IF(ISNUMBER(J4787),J4787,IF(OR(C4787="Alpha",B4787="Alpha"),$C$7,IF(C4787="Futures",$C$6,$C$5))),""),"")</f>
        <v/>
      </c>
      <c r="I4787" s="139">
        <f>IFERROR(IF(AND(ISNUMBER(F4787),ISNUMBER(H4787)),F4787-H4787,""),"")</f>
        <v/>
      </c>
      <c r="J4787" s="114" t="n"/>
      <c r="K4787" s="139">
        <f>IFERROR(IF(H4787&gt;0,H4787*IF(OR(C4787="Alpha",B4787="Alpha"),$C$9,$C$8),""),"")</f>
        <v/>
      </c>
      <c r="L4787" s="139">
        <f>IFERROR(IF(ISNUMBER(F4787),F4787-IF(ISNUMBER(K4787),K4787,0),""),"")</f>
        <v/>
      </c>
    </row>
    <row r="4788" ht="24" customHeight="1" s="63">
      <c r="E4788" s="139" t="n"/>
      <c r="F4788" s="139" t="n"/>
      <c r="G4788" s="140">
        <f>IFERROR(IF(E4788&gt;0,(F4788/E4788)*1000,""),"")</f>
        <v/>
      </c>
      <c r="H4788" s="139">
        <f>IFERROR(IF(E4788&gt;0,E4788*IF(ISNUMBER(J4788),J4788,IF(OR(C4788="Alpha",B4788="Alpha"),$C$7,IF(C4788="Futures",$C$6,$C$5))),""),"")</f>
        <v/>
      </c>
      <c r="I4788" s="139">
        <f>IFERROR(IF(AND(ISNUMBER(F4788),ISNUMBER(H4788)),F4788-H4788,""),"")</f>
        <v/>
      </c>
      <c r="J4788" s="114" t="n"/>
      <c r="K4788" s="139">
        <f>IFERROR(IF(H4788&gt;0,H4788*IF(OR(C4788="Alpha",B4788="Alpha"),$C$9,$C$8),""),"")</f>
        <v/>
      </c>
      <c r="L4788" s="139">
        <f>IFERROR(IF(ISNUMBER(F4788),F4788-IF(ISNUMBER(K4788),K4788,0),""),"")</f>
        <v/>
      </c>
    </row>
    <row r="4789" ht="24" customHeight="1" s="63">
      <c r="E4789" s="139" t="n"/>
      <c r="F4789" s="139" t="n"/>
      <c r="G4789" s="140">
        <f>IFERROR(IF(E4789&gt;0,(F4789/E4789)*1000,""),"")</f>
        <v/>
      </c>
      <c r="H4789" s="139">
        <f>IFERROR(IF(E4789&gt;0,E4789*IF(ISNUMBER(J4789),J4789,IF(OR(C4789="Alpha",B4789="Alpha"),$C$7,IF(C4789="Futures",$C$6,$C$5))),""),"")</f>
        <v/>
      </c>
      <c r="I4789" s="139">
        <f>IFERROR(IF(AND(ISNUMBER(F4789),ISNUMBER(H4789)),F4789-H4789,""),"")</f>
        <v/>
      </c>
      <c r="J4789" s="114" t="n"/>
      <c r="K4789" s="139">
        <f>IFERROR(IF(H4789&gt;0,H4789*IF(OR(C4789="Alpha",B4789="Alpha"),$C$9,$C$8),""),"")</f>
        <v/>
      </c>
      <c r="L4789" s="139">
        <f>IFERROR(IF(ISNUMBER(F4789),F4789-IF(ISNUMBER(K4789),K4789,0),""),"")</f>
        <v/>
      </c>
    </row>
    <row r="4790" ht="24" customHeight="1" s="63">
      <c r="E4790" s="139" t="n"/>
      <c r="F4790" s="139" t="n"/>
      <c r="G4790" s="140">
        <f>IFERROR(IF(E4790&gt;0,(F4790/E4790)*1000,""),"")</f>
        <v/>
      </c>
      <c r="H4790" s="139">
        <f>IFERROR(IF(E4790&gt;0,E4790*IF(ISNUMBER(J4790),J4790,IF(OR(C4790="Alpha",B4790="Alpha"),$C$7,IF(C4790="Futures",$C$6,$C$5))),""),"")</f>
        <v/>
      </c>
      <c r="I4790" s="139">
        <f>IFERROR(IF(AND(ISNUMBER(F4790),ISNUMBER(H4790)),F4790-H4790,""),"")</f>
        <v/>
      </c>
      <c r="J4790" s="114" t="n"/>
      <c r="K4790" s="139">
        <f>IFERROR(IF(H4790&gt;0,H4790*IF(OR(C4790="Alpha",B4790="Alpha"),$C$9,$C$8),""),"")</f>
        <v/>
      </c>
      <c r="L4790" s="139">
        <f>IFERROR(IF(ISNUMBER(F4790),F4790-IF(ISNUMBER(K4790),K4790,0),""),"")</f>
        <v/>
      </c>
    </row>
    <row r="4791" ht="24" customHeight="1" s="63">
      <c r="E4791" s="139" t="n"/>
      <c r="F4791" s="139" t="n"/>
      <c r="G4791" s="140">
        <f>IFERROR(IF(E4791&gt;0,(F4791/E4791)*1000,""),"")</f>
        <v/>
      </c>
      <c r="H4791" s="139">
        <f>IFERROR(IF(E4791&gt;0,E4791*IF(ISNUMBER(J4791),J4791,IF(OR(C4791="Alpha",B4791="Alpha"),$C$7,IF(C4791="Futures",$C$6,$C$5))),""),"")</f>
        <v/>
      </c>
      <c r="I4791" s="139">
        <f>IFERROR(IF(AND(ISNUMBER(F4791),ISNUMBER(H4791)),F4791-H4791,""),"")</f>
        <v/>
      </c>
      <c r="J4791" s="114" t="n"/>
      <c r="K4791" s="139">
        <f>IFERROR(IF(H4791&gt;0,H4791*IF(OR(C4791="Alpha",B4791="Alpha"),$C$9,$C$8),""),"")</f>
        <v/>
      </c>
      <c r="L4791" s="139">
        <f>IFERROR(IF(ISNUMBER(F4791),F4791-IF(ISNUMBER(K4791),K4791,0),""),"")</f>
        <v/>
      </c>
    </row>
    <row r="4792" ht="24" customHeight="1" s="63">
      <c r="E4792" s="139" t="n"/>
      <c r="F4792" s="139" t="n"/>
      <c r="G4792" s="140">
        <f>IFERROR(IF(E4792&gt;0,(F4792/E4792)*1000,""),"")</f>
        <v/>
      </c>
      <c r="H4792" s="139">
        <f>IFERROR(IF(E4792&gt;0,E4792*IF(ISNUMBER(J4792),J4792,IF(OR(C4792="Alpha",B4792="Alpha"),$C$7,IF(C4792="Futures",$C$6,$C$5))),""),"")</f>
        <v/>
      </c>
      <c r="I4792" s="139">
        <f>IFERROR(IF(AND(ISNUMBER(F4792),ISNUMBER(H4792)),F4792-H4792,""),"")</f>
        <v/>
      </c>
      <c r="J4792" s="114" t="n"/>
      <c r="K4792" s="139">
        <f>IFERROR(IF(H4792&gt;0,H4792*IF(OR(C4792="Alpha",B4792="Alpha"),$C$9,$C$8),""),"")</f>
        <v/>
      </c>
      <c r="L4792" s="139">
        <f>IFERROR(IF(ISNUMBER(F4792),F4792-IF(ISNUMBER(K4792),K4792,0),""),"")</f>
        <v/>
      </c>
    </row>
    <row r="4793" ht="24" customHeight="1" s="63">
      <c r="E4793" s="139" t="n"/>
      <c r="F4793" s="139" t="n"/>
      <c r="G4793" s="140">
        <f>IFERROR(IF(E4793&gt;0,(F4793/E4793)*1000,""),"")</f>
        <v/>
      </c>
      <c r="H4793" s="139">
        <f>IFERROR(IF(E4793&gt;0,E4793*IF(ISNUMBER(J4793),J4793,IF(OR(C4793="Alpha",B4793="Alpha"),$C$7,IF(C4793="Futures",$C$6,$C$5))),""),"")</f>
        <v/>
      </c>
      <c r="I4793" s="139">
        <f>IFERROR(IF(AND(ISNUMBER(F4793),ISNUMBER(H4793)),F4793-H4793,""),"")</f>
        <v/>
      </c>
      <c r="J4793" s="114" t="n"/>
      <c r="K4793" s="139">
        <f>IFERROR(IF(H4793&gt;0,H4793*IF(OR(C4793="Alpha",B4793="Alpha"),$C$9,$C$8),""),"")</f>
        <v/>
      </c>
      <c r="L4793" s="139">
        <f>IFERROR(IF(ISNUMBER(F4793),F4793-IF(ISNUMBER(K4793),K4793,0),""),"")</f>
        <v/>
      </c>
    </row>
    <row r="4794" ht="24" customHeight="1" s="63">
      <c r="E4794" s="139" t="n"/>
      <c r="F4794" s="139" t="n"/>
      <c r="G4794" s="140">
        <f>IFERROR(IF(E4794&gt;0,(F4794/E4794)*1000,""),"")</f>
        <v/>
      </c>
      <c r="H4794" s="139">
        <f>IFERROR(IF(E4794&gt;0,E4794*IF(ISNUMBER(J4794),J4794,IF(OR(C4794="Alpha",B4794="Alpha"),$C$7,IF(C4794="Futures",$C$6,$C$5))),""),"")</f>
        <v/>
      </c>
      <c r="I4794" s="139">
        <f>IFERROR(IF(AND(ISNUMBER(F4794),ISNUMBER(H4794)),F4794-H4794,""),"")</f>
        <v/>
      </c>
      <c r="J4794" s="114" t="n"/>
      <c r="K4794" s="139">
        <f>IFERROR(IF(H4794&gt;0,H4794*IF(OR(C4794="Alpha",B4794="Alpha"),$C$9,$C$8),""),"")</f>
        <v/>
      </c>
      <c r="L4794" s="139">
        <f>IFERROR(IF(ISNUMBER(F4794),F4794-IF(ISNUMBER(K4794),K4794,0),""),"")</f>
        <v/>
      </c>
    </row>
    <row r="4795" ht="24" customHeight="1" s="63">
      <c r="E4795" s="139" t="n"/>
      <c r="F4795" s="139" t="n"/>
      <c r="G4795" s="140">
        <f>IFERROR(IF(E4795&gt;0,(F4795/E4795)*1000,""),"")</f>
        <v/>
      </c>
      <c r="H4795" s="139">
        <f>IFERROR(IF(E4795&gt;0,E4795*IF(ISNUMBER(J4795),J4795,IF(OR(C4795="Alpha",B4795="Alpha"),$C$7,IF(C4795="Futures",$C$6,$C$5))),""),"")</f>
        <v/>
      </c>
      <c r="I4795" s="139">
        <f>IFERROR(IF(AND(ISNUMBER(F4795),ISNUMBER(H4795)),F4795-H4795,""),"")</f>
        <v/>
      </c>
      <c r="J4795" s="114" t="n"/>
      <c r="K4795" s="139">
        <f>IFERROR(IF(H4795&gt;0,H4795*IF(OR(C4795="Alpha",B4795="Alpha"),$C$9,$C$8),""),"")</f>
        <v/>
      </c>
      <c r="L4795" s="139">
        <f>IFERROR(IF(ISNUMBER(F4795),F4795-IF(ISNUMBER(K4795),K4795,0),""),"")</f>
        <v/>
      </c>
    </row>
    <row r="4796" ht="24" customHeight="1" s="63">
      <c r="E4796" s="139" t="n"/>
      <c r="F4796" s="139" t="n"/>
      <c r="G4796" s="140">
        <f>IFERROR(IF(E4796&gt;0,(F4796/E4796)*1000,""),"")</f>
        <v/>
      </c>
      <c r="H4796" s="139">
        <f>IFERROR(IF(E4796&gt;0,E4796*IF(ISNUMBER(J4796),J4796,IF(OR(C4796="Alpha",B4796="Alpha"),$C$7,IF(C4796="Futures",$C$6,$C$5))),""),"")</f>
        <v/>
      </c>
      <c r="I4796" s="139">
        <f>IFERROR(IF(AND(ISNUMBER(F4796),ISNUMBER(H4796)),F4796-H4796,""),"")</f>
        <v/>
      </c>
      <c r="J4796" s="114" t="n"/>
      <c r="K4796" s="139">
        <f>IFERROR(IF(H4796&gt;0,H4796*IF(OR(C4796="Alpha",B4796="Alpha"),$C$9,$C$8),""),"")</f>
        <v/>
      </c>
      <c r="L4796" s="139">
        <f>IFERROR(IF(ISNUMBER(F4796),F4796-IF(ISNUMBER(K4796),K4796,0),""),"")</f>
        <v/>
      </c>
    </row>
    <row r="4797" ht="24" customHeight="1" s="63">
      <c r="E4797" s="139" t="n"/>
      <c r="F4797" s="139" t="n"/>
      <c r="G4797" s="140">
        <f>IFERROR(IF(E4797&gt;0,(F4797/E4797)*1000,""),"")</f>
        <v/>
      </c>
      <c r="H4797" s="139">
        <f>IFERROR(IF(E4797&gt;0,E4797*IF(ISNUMBER(J4797),J4797,IF(OR(C4797="Alpha",B4797="Alpha"),$C$7,IF(C4797="Futures",$C$6,$C$5))),""),"")</f>
        <v/>
      </c>
      <c r="I4797" s="139">
        <f>IFERROR(IF(AND(ISNUMBER(F4797),ISNUMBER(H4797)),F4797-H4797,""),"")</f>
        <v/>
      </c>
      <c r="J4797" s="114" t="n"/>
      <c r="K4797" s="139">
        <f>IFERROR(IF(H4797&gt;0,H4797*IF(OR(C4797="Alpha",B4797="Alpha"),$C$9,$C$8),""),"")</f>
        <v/>
      </c>
      <c r="L4797" s="139">
        <f>IFERROR(IF(ISNUMBER(F4797),F4797-IF(ISNUMBER(K4797),K4797,0),""),"")</f>
        <v/>
      </c>
    </row>
    <row r="4798" ht="24" customHeight="1" s="63">
      <c r="E4798" s="139" t="n"/>
      <c r="F4798" s="139" t="n"/>
      <c r="G4798" s="140">
        <f>IFERROR(IF(E4798&gt;0,(F4798/E4798)*1000,""),"")</f>
        <v/>
      </c>
      <c r="H4798" s="139">
        <f>IFERROR(IF(E4798&gt;0,E4798*IF(ISNUMBER(J4798),J4798,IF(OR(C4798="Alpha",B4798="Alpha"),$C$7,IF(C4798="Futures",$C$6,$C$5))),""),"")</f>
        <v/>
      </c>
      <c r="I4798" s="139">
        <f>IFERROR(IF(AND(ISNUMBER(F4798),ISNUMBER(H4798)),F4798-H4798,""),"")</f>
        <v/>
      </c>
      <c r="J4798" s="114" t="n"/>
      <c r="K4798" s="139">
        <f>IFERROR(IF(H4798&gt;0,H4798*IF(OR(C4798="Alpha",B4798="Alpha"),$C$9,$C$8),""),"")</f>
        <v/>
      </c>
      <c r="L4798" s="139">
        <f>IFERROR(IF(ISNUMBER(F4798),F4798-IF(ISNUMBER(K4798),K4798,0),""),"")</f>
        <v/>
      </c>
    </row>
    <row r="4799" ht="24" customHeight="1" s="63">
      <c r="E4799" s="139" t="n"/>
      <c r="F4799" s="139" t="n"/>
      <c r="G4799" s="140">
        <f>IFERROR(IF(E4799&gt;0,(F4799/E4799)*1000,""),"")</f>
        <v/>
      </c>
      <c r="H4799" s="139">
        <f>IFERROR(IF(E4799&gt;0,E4799*IF(ISNUMBER(J4799),J4799,IF(OR(C4799="Alpha",B4799="Alpha"),$C$7,IF(C4799="Futures",$C$6,$C$5))),""),"")</f>
        <v/>
      </c>
      <c r="I4799" s="139">
        <f>IFERROR(IF(AND(ISNUMBER(F4799),ISNUMBER(H4799)),F4799-H4799,""),"")</f>
        <v/>
      </c>
      <c r="J4799" s="114" t="n"/>
      <c r="K4799" s="139">
        <f>IFERROR(IF(H4799&gt;0,H4799*IF(OR(C4799="Alpha",B4799="Alpha"),$C$9,$C$8),""),"")</f>
        <v/>
      </c>
      <c r="L4799" s="139">
        <f>IFERROR(IF(ISNUMBER(F4799),F4799-IF(ISNUMBER(K4799),K4799,0),""),"")</f>
        <v/>
      </c>
    </row>
    <row r="4800" ht="24" customHeight="1" s="63">
      <c r="E4800" s="139" t="n"/>
      <c r="F4800" s="139" t="n"/>
      <c r="G4800" s="140">
        <f>IFERROR(IF(E4800&gt;0,(F4800/E4800)*1000,""),"")</f>
        <v/>
      </c>
      <c r="H4800" s="139">
        <f>IFERROR(IF(E4800&gt;0,E4800*IF(ISNUMBER(J4800),J4800,IF(OR(C4800="Alpha",B4800="Alpha"),$C$7,IF(C4800="Futures",$C$6,$C$5))),""),"")</f>
        <v/>
      </c>
      <c r="I4800" s="139">
        <f>IFERROR(IF(AND(ISNUMBER(F4800),ISNUMBER(H4800)),F4800-H4800,""),"")</f>
        <v/>
      </c>
      <c r="J4800" s="114" t="n"/>
      <c r="K4800" s="139">
        <f>IFERROR(IF(H4800&gt;0,H4800*IF(OR(C4800="Alpha",B4800="Alpha"),$C$9,$C$8),""),"")</f>
        <v/>
      </c>
      <c r="L4800" s="139">
        <f>IFERROR(IF(ISNUMBER(F4800),F4800-IF(ISNUMBER(K4800),K4800,0),""),"")</f>
        <v/>
      </c>
    </row>
    <row r="4801" ht="24" customHeight="1" s="63">
      <c r="E4801" s="139" t="n"/>
      <c r="F4801" s="139" t="n"/>
      <c r="G4801" s="140">
        <f>IFERROR(IF(E4801&gt;0,(F4801/E4801)*1000,""),"")</f>
        <v/>
      </c>
      <c r="H4801" s="139">
        <f>IFERROR(IF(E4801&gt;0,E4801*IF(ISNUMBER(J4801),J4801,IF(OR(C4801="Alpha",B4801="Alpha"),$C$7,IF(C4801="Futures",$C$6,$C$5))),""),"")</f>
        <v/>
      </c>
      <c r="I4801" s="139">
        <f>IFERROR(IF(AND(ISNUMBER(F4801),ISNUMBER(H4801)),F4801-H4801,""),"")</f>
        <v/>
      </c>
      <c r="J4801" s="114" t="n"/>
      <c r="K4801" s="139">
        <f>IFERROR(IF(H4801&gt;0,H4801*IF(OR(C4801="Alpha",B4801="Alpha"),$C$9,$C$8),""),"")</f>
        <v/>
      </c>
      <c r="L4801" s="139">
        <f>IFERROR(IF(ISNUMBER(F4801),F4801-IF(ISNUMBER(K4801),K4801,0),""),"")</f>
        <v/>
      </c>
    </row>
    <row r="4802" ht="24" customHeight="1" s="63">
      <c r="E4802" s="139" t="n"/>
      <c r="F4802" s="139" t="n"/>
      <c r="G4802" s="140">
        <f>IFERROR(IF(E4802&gt;0,(F4802/E4802)*1000,""),"")</f>
        <v/>
      </c>
      <c r="H4802" s="139">
        <f>IFERROR(IF(E4802&gt;0,E4802*IF(ISNUMBER(J4802),J4802,IF(OR(C4802="Alpha",B4802="Alpha"),$C$7,IF(C4802="Futures",$C$6,$C$5))),""),"")</f>
        <v/>
      </c>
      <c r="I4802" s="139">
        <f>IFERROR(IF(AND(ISNUMBER(F4802),ISNUMBER(H4802)),F4802-H4802,""),"")</f>
        <v/>
      </c>
      <c r="J4802" s="114" t="n"/>
      <c r="K4802" s="139">
        <f>IFERROR(IF(H4802&gt;0,H4802*IF(OR(C4802="Alpha",B4802="Alpha"),$C$9,$C$8),""),"")</f>
        <v/>
      </c>
      <c r="L4802" s="139">
        <f>IFERROR(IF(ISNUMBER(F4802),F4802-IF(ISNUMBER(K4802),K4802,0),""),"")</f>
        <v/>
      </c>
    </row>
    <row r="4803" ht="24" customHeight="1" s="63">
      <c r="E4803" s="139" t="n"/>
      <c r="F4803" s="139" t="n"/>
      <c r="G4803" s="140">
        <f>IFERROR(IF(E4803&gt;0,(F4803/E4803)*1000,""),"")</f>
        <v/>
      </c>
      <c r="H4803" s="139">
        <f>IFERROR(IF(E4803&gt;0,E4803*IF(ISNUMBER(J4803),J4803,IF(OR(C4803="Alpha",B4803="Alpha"),$C$7,IF(C4803="Futures",$C$6,$C$5))),""),"")</f>
        <v/>
      </c>
      <c r="I4803" s="139">
        <f>IFERROR(IF(AND(ISNUMBER(F4803),ISNUMBER(H4803)),F4803-H4803,""),"")</f>
        <v/>
      </c>
      <c r="J4803" s="114" t="n"/>
      <c r="K4803" s="139">
        <f>IFERROR(IF(H4803&gt;0,H4803*IF(OR(C4803="Alpha",B4803="Alpha"),$C$9,$C$8),""),"")</f>
        <v/>
      </c>
      <c r="L4803" s="139">
        <f>IFERROR(IF(ISNUMBER(F4803),F4803-IF(ISNUMBER(K4803),K4803,0),""),"")</f>
        <v/>
      </c>
    </row>
    <row r="4804" ht="24" customHeight="1" s="63">
      <c r="E4804" s="139" t="n"/>
      <c r="F4804" s="139" t="n"/>
      <c r="G4804" s="140">
        <f>IFERROR(IF(E4804&gt;0,(F4804/E4804)*1000,""),"")</f>
        <v/>
      </c>
      <c r="H4804" s="139">
        <f>IFERROR(IF(E4804&gt;0,E4804*IF(ISNUMBER(J4804),J4804,IF(OR(C4804="Alpha",B4804="Alpha"),$C$7,IF(C4804="Futures",$C$6,$C$5))),""),"")</f>
        <v/>
      </c>
      <c r="I4804" s="139">
        <f>IFERROR(IF(AND(ISNUMBER(F4804),ISNUMBER(H4804)),F4804-H4804,""),"")</f>
        <v/>
      </c>
      <c r="J4804" s="114" t="n"/>
      <c r="K4804" s="139">
        <f>IFERROR(IF(H4804&gt;0,H4804*IF(OR(C4804="Alpha",B4804="Alpha"),$C$9,$C$8),""),"")</f>
        <v/>
      </c>
      <c r="L4804" s="139">
        <f>IFERROR(IF(ISNUMBER(F4804),F4804-IF(ISNUMBER(K4804),K4804,0),""),"")</f>
        <v/>
      </c>
    </row>
    <row r="4805" ht="24" customHeight="1" s="63">
      <c r="E4805" s="139" t="n"/>
      <c r="F4805" s="139" t="n"/>
      <c r="G4805" s="140">
        <f>IFERROR(IF(E4805&gt;0,(F4805/E4805)*1000,""),"")</f>
        <v/>
      </c>
      <c r="H4805" s="139">
        <f>IFERROR(IF(E4805&gt;0,E4805*IF(ISNUMBER(J4805),J4805,IF(OR(C4805="Alpha",B4805="Alpha"),$C$7,IF(C4805="Futures",$C$6,$C$5))),""),"")</f>
        <v/>
      </c>
      <c r="I4805" s="139">
        <f>IFERROR(IF(AND(ISNUMBER(F4805),ISNUMBER(H4805)),F4805-H4805,""),"")</f>
        <v/>
      </c>
      <c r="J4805" s="114" t="n"/>
      <c r="K4805" s="139">
        <f>IFERROR(IF(H4805&gt;0,H4805*IF(OR(C4805="Alpha",B4805="Alpha"),$C$9,$C$8),""),"")</f>
        <v/>
      </c>
      <c r="L4805" s="139">
        <f>IFERROR(IF(ISNUMBER(F4805),F4805-IF(ISNUMBER(K4805),K4805,0),""),"")</f>
        <v/>
      </c>
    </row>
    <row r="4806" ht="24" customHeight="1" s="63">
      <c r="E4806" s="139" t="n"/>
      <c r="F4806" s="139" t="n"/>
      <c r="G4806" s="140">
        <f>IFERROR(IF(E4806&gt;0,(F4806/E4806)*1000,""),"")</f>
        <v/>
      </c>
      <c r="H4806" s="139">
        <f>IFERROR(IF(E4806&gt;0,E4806*IF(ISNUMBER(J4806),J4806,IF(OR(C4806="Alpha",B4806="Alpha"),$C$7,IF(C4806="Futures",$C$6,$C$5))),""),"")</f>
        <v/>
      </c>
      <c r="I4806" s="139">
        <f>IFERROR(IF(AND(ISNUMBER(F4806),ISNUMBER(H4806)),F4806-H4806,""),"")</f>
        <v/>
      </c>
      <c r="J4806" s="114" t="n"/>
      <c r="K4806" s="139">
        <f>IFERROR(IF(H4806&gt;0,H4806*IF(OR(C4806="Alpha",B4806="Alpha"),$C$9,$C$8),""),"")</f>
        <v/>
      </c>
      <c r="L4806" s="139">
        <f>IFERROR(IF(ISNUMBER(F4806),F4806-IF(ISNUMBER(K4806),K4806,0),""),"")</f>
        <v/>
      </c>
    </row>
    <row r="4807" ht="24" customHeight="1" s="63">
      <c r="E4807" s="139" t="n"/>
      <c r="F4807" s="139" t="n"/>
      <c r="G4807" s="140">
        <f>IFERROR(IF(E4807&gt;0,(F4807/E4807)*1000,""),"")</f>
        <v/>
      </c>
      <c r="H4807" s="139">
        <f>IFERROR(IF(E4807&gt;0,E4807*IF(ISNUMBER(J4807),J4807,IF(OR(C4807="Alpha",B4807="Alpha"),$C$7,IF(C4807="Futures",$C$6,$C$5))),""),"")</f>
        <v/>
      </c>
      <c r="I4807" s="139">
        <f>IFERROR(IF(AND(ISNUMBER(F4807),ISNUMBER(H4807)),F4807-H4807,""),"")</f>
        <v/>
      </c>
      <c r="J4807" s="114" t="n"/>
      <c r="K4807" s="139">
        <f>IFERROR(IF(H4807&gt;0,H4807*IF(OR(C4807="Alpha",B4807="Alpha"),$C$9,$C$8),""),"")</f>
        <v/>
      </c>
      <c r="L4807" s="139">
        <f>IFERROR(IF(ISNUMBER(F4807),F4807-IF(ISNUMBER(K4807),K4807,0),""),"")</f>
        <v/>
      </c>
    </row>
    <row r="4808" ht="24" customHeight="1" s="63">
      <c r="E4808" s="139" t="n"/>
      <c r="F4808" s="139" t="n"/>
      <c r="G4808" s="140">
        <f>IFERROR(IF(E4808&gt;0,(F4808/E4808)*1000,""),"")</f>
        <v/>
      </c>
      <c r="H4808" s="139">
        <f>IFERROR(IF(E4808&gt;0,E4808*IF(ISNUMBER(J4808),J4808,IF(OR(C4808="Alpha",B4808="Alpha"),$C$7,IF(C4808="Futures",$C$6,$C$5))),""),"")</f>
        <v/>
      </c>
      <c r="I4808" s="139">
        <f>IFERROR(IF(AND(ISNUMBER(F4808),ISNUMBER(H4808)),F4808-H4808,""),"")</f>
        <v/>
      </c>
      <c r="J4808" s="114" t="n"/>
      <c r="K4808" s="139">
        <f>IFERROR(IF(H4808&gt;0,H4808*IF(OR(C4808="Alpha",B4808="Alpha"),$C$9,$C$8),""),"")</f>
        <v/>
      </c>
      <c r="L4808" s="139">
        <f>IFERROR(IF(ISNUMBER(F4808),F4808-IF(ISNUMBER(K4808),K4808,0),""),"")</f>
        <v/>
      </c>
    </row>
    <row r="4809" ht="24" customHeight="1" s="63">
      <c r="E4809" s="139" t="n"/>
      <c r="F4809" s="139" t="n"/>
      <c r="G4809" s="140">
        <f>IFERROR(IF(E4809&gt;0,(F4809/E4809)*1000,""),"")</f>
        <v/>
      </c>
      <c r="H4809" s="139">
        <f>IFERROR(IF(E4809&gt;0,E4809*IF(ISNUMBER(J4809),J4809,IF(OR(C4809="Alpha",B4809="Alpha"),$C$7,IF(C4809="Futures",$C$6,$C$5))),""),"")</f>
        <v/>
      </c>
      <c r="I4809" s="139">
        <f>IFERROR(IF(AND(ISNUMBER(F4809),ISNUMBER(H4809)),F4809-H4809,""),"")</f>
        <v/>
      </c>
      <c r="J4809" s="114" t="n"/>
      <c r="K4809" s="139">
        <f>IFERROR(IF(H4809&gt;0,H4809*IF(OR(C4809="Alpha",B4809="Alpha"),$C$9,$C$8),""),"")</f>
        <v/>
      </c>
      <c r="L4809" s="139">
        <f>IFERROR(IF(ISNUMBER(F4809),F4809-IF(ISNUMBER(K4809),K4809,0),""),"")</f>
        <v/>
      </c>
    </row>
    <row r="4810" ht="24" customHeight="1" s="63">
      <c r="E4810" s="139" t="n"/>
      <c r="F4810" s="139" t="n"/>
      <c r="G4810" s="140">
        <f>IFERROR(IF(E4810&gt;0,(F4810/E4810)*1000,""),"")</f>
        <v/>
      </c>
      <c r="H4810" s="139">
        <f>IFERROR(IF(E4810&gt;0,E4810*IF(ISNUMBER(J4810),J4810,IF(OR(C4810="Alpha",B4810="Alpha"),$C$7,IF(C4810="Futures",$C$6,$C$5))),""),"")</f>
        <v/>
      </c>
      <c r="I4810" s="139">
        <f>IFERROR(IF(AND(ISNUMBER(F4810),ISNUMBER(H4810)),F4810-H4810,""),"")</f>
        <v/>
      </c>
      <c r="J4810" s="114" t="n"/>
      <c r="K4810" s="139">
        <f>IFERROR(IF(H4810&gt;0,H4810*IF(OR(C4810="Alpha",B4810="Alpha"),$C$9,$C$8),""),"")</f>
        <v/>
      </c>
      <c r="L4810" s="139">
        <f>IFERROR(IF(ISNUMBER(F4810),F4810-IF(ISNUMBER(K4810),K4810,0),""),"")</f>
        <v/>
      </c>
    </row>
    <row r="4811" ht="24" customHeight="1" s="63">
      <c r="E4811" s="139" t="n"/>
      <c r="F4811" s="139" t="n"/>
      <c r="G4811" s="140">
        <f>IFERROR(IF(E4811&gt;0,(F4811/E4811)*1000,""),"")</f>
        <v/>
      </c>
      <c r="H4811" s="139">
        <f>IFERROR(IF(E4811&gt;0,E4811*IF(ISNUMBER(J4811),J4811,IF(OR(C4811="Alpha",B4811="Alpha"),$C$7,IF(C4811="Futures",$C$6,$C$5))),""),"")</f>
        <v/>
      </c>
      <c r="I4811" s="139">
        <f>IFERROR(IF(AND(ISNUMBER(F4811),ISNUMBER(H4811)),F4811-H4811,""),"")</f>
        <v/>
      </c>
      <c r="J4811" s="114" t="n"/>
      <c r="K4811" s="139">
        <f>IFERROR(IF(H4811&gt;0,H4811*IF(OR(C4811="Alpha",B4811="Alpha"),$C$9,$C$8),""),"")</f>
        <v/>
      </c>
      <c r="L4811" s="139">
        <f>IFERROR(IF(ISNUMBER(F4811),F4811-IF(ISNUMBER(K4811),K4811,0),""),"")</f>
        <v/>
      </c>
    </row>
    <row r="4812" ht="24" customHeight="1" s="63">
      <c r="E4812" s="139" t="n"/>
      <c r="F4812" s="139" t="n"/>
      <c r="G4812" s="140">
        <f>IFERROR(IF(E4812&gt;0,(F4812/E4812)*1000,""),"")</f>
        <v/>
      </c>
      <c r="H4812" s="139">
        <f>IFERROR(IF(E4812&gt;0,E4812*IF(ISNUMBER(J4812),J4812,IF(OR(C4812="Alpha",B4812="Alpha"),$C$7,IF(C4812="Futures",$C$6,$C$5))),""),"")</f>
        <v/>
      </c>
      <c r="I4812" s="139">
        <f>IFERROR(IF(AND(ISNUMBER(F4812),ISNUMBER(H4812)),F4812-H4812,""),"")</f>
        <v/>
      </c>
      <c r="J4812" s="114" t="n"/>
      <c r="K4812" s="139">
        <f>IFERROR(IF(H4812&gt;0,H4812*IF(OR(C4812="Alpha",B4812="Alpha"),$C$9,$C$8),""),"")</f>
        <v/>
      </c>
      <c r="L4812" s="139">
        <f>IFERROR(IF(ISNUMBER(F4812),F4812-IF(ISNUMBER(K4812),K4812,0),""),"")</f>
        <v/>
      </c>
    </row>
    <row r="4813" ht="24" customHeight="1" s="63">
      <c r="E4813" s="139" t="n"/>
      <c r="F4813" s="139" t="n"/>
      <c r="G4813" s="140">
        <f>IFERROR(IF(E4813&gt;0,(F4813/E4813)*1000,""),"")</f>
        <v/>
      </c>
      <c r="H4813" s="139">
        <f>IFERROR(IF(E4813&gt;0,E4813*IF(ISNUMBER(J4813),J4813,IF(OR(C4813="Alpha",B4813="Alpha"),$C$7,IF(C4813="Futures",$C$6,$C$5))),""),"")</f>
        <v/>
      </c>
      <c r="I4813" s="139">
        <f>IFERROR(IF(AND(ISNUMBER(F4813),ISNUMBER(H4813)),F4813-H4813,""),"")</f>
        <v/>
      </c>
      <c r="J4813" s="114" t="n"/>
      <c r="K4813" s="139">
        <f>IFERROR(IF(H4813&gt;0,H4813*IF(OR(C4813="Alpha",B4813="Alpha"),$C$9,$C$8),""),"")</f>
        <v/>
      </c>
      <c r="L4813" s="139">
        <f>IFERROR(IF(ISNUMBER(F4813),F4813-IF(ISNUMBER(K4813),K4813,0),""),"")</f>
        <v/>
      </c>
    </row>
    <row r="4814" ht="24" customHeight="1" s="63">
      <c r="E4814" s="139" t="n"/>
      <c r="F4814" s="139" t="n"/>
      <c r="G4814" s="140">
        <f>IFERROR(IF(E4814&gt;0,(F4814/E4814)*1000,""),"")</f>
        <v/>
      </c>
      <c r="H4814" s="139">
        <f>IFERROR(IF(E4814&gt;0,E4814*IF(ISNUMBER(J4814),J4814,IF(OR(C4814="Alpha",B4814="Alpha"),$C$7,IF(C4814="Futures",$C$6,$C$5))),""),"")</f>
        <v/>
      </c>
      <c r="I4814" s="139">
        <f>IFERROR(IF(AND(ISNUMBER(F4814),ISNUMBER(H4814)),F4814-H4814,""),"")</f>
        <v/>
      </c>
      <c r="J4814" s="114" t="n"/>
      <c r="K4814" s="139">
        <f>IFERROR(IF(H4814&gt;0,H4814*IF(OR(C4814="Alpha",B4814="Alpha"),$C$9,$C$8),""),"")</f>
        <v/>
      </c>
      <c r="L4814" s="139">
        <f>IFERROR(IF(ISNUMBER(F4814),F4814-IF(ISNUMBER(K4814),K4814,0),""),"")</f>
        <v/>
      </c>
    </row>
    <row r="4815" ht="24" customHeight="1" s="63">
      <c r="E4815" s="139" t="n"/>
      <c r="F4815" s="139" t="n"/>
      <c r="G4815" s="140">
        <f>IFERROR(IF(E4815&gt;0,(F4815/E4815)*1000,""),"")</f>
        <v/>
      </c>
      <c r="H4815" s="139">
        <f>IFERROR(IF(E4815&gt;0,E4815*IF(ISNUMBER(J4815),J4815,IF(OR(C4815="Alpha",B4815="Alpha"),$C$7,IF(C4815="Futures",$C$6,$C$5))),""),"")</f>
        <v/>
      </c>
      <c r="I4815" s="139">
        <f>IFERROR(IF(AND(ISNUMBER(F4815),ISNUMBER(H4815)),F4815-H4815,""),"")</f>
        <v/>
      </c>
      <c r="J4815" s="114" t="n"/>
      <c r="K4815" s="139">
        <f>IFERROR(IF(H4815&gt;0,H4815*IF(OR(C4815="Alpha",B4815="Alpha"),$C$9,$C$8),""),"")</f>
        <v/>
      </c>
      <c r="L4815" s="139">
        <f>IFERROR(IF(ISNUMBER(F4815),F4815-IF(ISNUMBER(K4815),K4815,0),""),"")</f>
        <v/>
      </c>
    </row>
    <row r="4816" ht="24" customHeight="1" s="63">
      <c r="E4816" s="139" t="n"/>
      <c r="F4816" s="139" t="n"/>
      <c r="G4816" s="140">
        <f>IFERROR(IF(E4816&gt;0,(F4816/E4816)*1000,""),"")</f>
        <v/>
      </c>
      <c r="H4816" s="139">
        <f>IFERROR(IF(E4816&gt;0,E4816*IF(ISNUMBER(J4816),J4816,IF(OR(C4816="Alpha",B4816="Alpha"),$C$7,IF(C4816="Futures",$C$6,$C$5))),""),"")</f>
        <v/>
      </c>
      <c r="I4816" s="139">
        <f>IFERROR(IF(AND(ISNUMBER(F4816),ISNUMBER(H4816)),F4816-H4816,""),"")</f>
        <v/>
      </c>
      <c r="J4816" s="114" t="n"/>
      <c r="K4816" s="139">
        <f>IFERROR(IF(H4816&gt;0,H4816*IF(OR(C4816="Alpha",B4816="Alpha"),$C$9,$C$8),""),"")</f>
        <v/>
      </c>
      <c r="L4816" s="139">
        <f>IFERROR(IF(ISNUMBER(F4816),F4816-IF(ISNUMBER(K4816),K4816,0),""),"")</f>
        <v/>
      </c>
    </row>
    <row r="4817" ht="24" customHeight="1" s="63">
      <c r="E4817" s="139" t="n"/>
      <c r="F4817" s="139" t="n"/>
      <c r="G4817" s="140">
        <f>IFERROR(IF(E4817&gt;0,(F4817/E4817)*1000,""),"")</f>
        <v/>
      </c>
      <c r="H4817" s="139">
        <f>IFERROR(IF(E4817&gt;0,E4817*IF(ISNUMBER(J4817),J4817,IF(OR(C4817="Alpha",B4817="Alpha"),$C$7,IF(C4817="Futures",$C$6,$C$5))),""),"")</f>
        <v/>
      </c>
      <c r="I4817" s="139">
        <f>IFERROR(IF(AND(ISNUMBER(F4817),ISNUMBER(H4817)),F4817-H4817,""),"")</f>
        <v/>
      </c>
      <c r="J4817" s="114" t="n"/>
      <c r="K4817" s="139">
        <f>IFERROR(IF(H4817&gt;0,H4817*IF(OR(C4817="Alpha",B4817="Alpha"),$C$9,$C$8),""),"")</f>
        <v/>
      </c>
      <c r="L4817" s="139">
        <f>IFERROR(IF(ISNUMBER(F4817),F4817-IF(ISNUMBER(K4817),K4817,0),""),"")</f>
        <v/>
      </c>
    </row>
    <row r="4818" ht="24" customHeight="1" s="63">
      <c r="E4818" s="139" t="n"/>
      <c r="F4818" s="139" t="n"/>
      <c r="G4818" s="140">
        <f>IFERROR(IF(E4818&gt;0,(F4818/E4818)*1000,""),"")</f>
        <v/>
      </c>
      <c r="H4818" s="139">
        <f>IFERROR(IF(E4818&gt;0,E4818*IF(ISNUMBER(J4818),J4818,IF(OR(C4818="Alpha",B4818="Alpha"),$C$7,IF(C4818="Futures",$C$6,$C$5))),""),"")</f>
        <v/>
      </c>
      <c r="I4818" s="139">
        <f>IFERROR(IF(AND(ISNUMBER(F4818),ISNUMBER(H4818)),F4818-H4818,""),"")</f>
        <v/>
      </c>
      <c r="J4818" s="114" t="n"/>
      <c r="K4818" s="139">
        <f>IFERROR(IF(H4818&gt;0,H4818*IF(OR(C4818="Alpha",B4818="Alpha"),$C$9,$C$8),""),"")</f>
        <v/>
      </c>
      <c r="L4818" s="139">
        <f>IFERROR(IF(ISNUMBER(F4818),F4818-IF(ISNUMBER(K4818),K4818,0),""),"")</f>
        <v/>
      </c>
    </row>
    <row r="4819" ht="24" customHeight="1" s="63">
      <c r="E4819" s="139" t="n"/>
      <c r="F4819" s="139" t="n"/>
      <c r="G4819" s="140">
        <f>IFERROR(IF(E4819&gt;0,(F4819/E4819)*1000,""),"")</f>
        <v/>
      </c>
      <c r="H4819" s="139">
        <f>IFERROR(IF(E4819&gt;0,E4819*IF(ISNUMBER(J4819),J4819,IF(OR(C4819="Alpha",B4819="Alpha"),$C$7,IF(C4819="Futures",$C$6,$C$5))),""),"")</f>
        <v/>
      </c>
      <c r="I4819" s="139">
        <f>IFERROR(IF(AND(ISNUMBER(F4819),ISNUMBER(H4819)),F4819-H4819,""),"")</f>
        <v/>
      </c>
      <c r="J4819" s="114" t="n"/>
      <c r="K4819" s="139">
        <f>IFERROR(IF(H4819&gt;0,H4819*IF(OR(C4819="Alpha",B4819="Alpha"),$C$9,$C$8),""),"")</f>
        <v/>
      </c>
      <c r="L4819" s="139">
        <f>IFERROR(IF(ISNUMBER(F4819),F4819-IF(ISNUMBER(K4819),K4819,0),""),"")</f>
        <v/>
      </c>
    </row>
    <row r="4820" ht="24" customHeight="1" s="63">
      <c r="E4820" s="139" t="n"/>
      <c r="F4820" s="139" t="n"/>
      <c r="G4820" s="140">
        <f>IFERROR(IF(E4820&gt;0,(F4820/E4820)*1000,""),"")</f>
        <v/>
      </c>
      <c r="H4820" s="139">
        <f>IFERROR(IF(E4820&gt;0,E4820*IF(ISNUMBER(J4820),J4820,IF(OR(C4820="Alpha",B4820="Alpha"),$C$7,IF(C4820="Futures",$C$6,$C$5))),""),"")</f>
        <v/>
      </c>
      <c r="I4820" s="139">
        <f>IFERROR(IF(AND(ISNUMBER(F4820),ISNUMBER(H4820)),F4820-H4820,""),"")</f>
        <v/>
      </c>
      <c r="J4820" s="114" t="n"/>
      <c r="K4820" s="139">
        <f>IFERROR(IF(H4820&gt;0,H4820*IF(OR(C4820="Alpha",B4820="Alpha"),$C$9,$C$8),""),"")</f>
        <v/>
      </c>
      <c r="L4820" s="139">
        <f>IFERROR(IF(ISNUMBER(F4820),F4820-IF(ISNUMBER(K4820),K4820,0),""),"")</f>
        <v/>
      </c>
    </row>
    <row r="4821" ht="24" customHeight="1" s="63">
      <c r="E4821" s="139" t="n"/>
      <c r="F4821" s="139" t="n"/>
      <c r="G4821" s="140">
        <f>IFERROR(IF(E4821&gt;0,(F4821/E4821)*1000,""),"")</f>
        <v/>
      </c>
      <c r="H4821" s="139">
        <f>IFERROR(IF(E4821&gt;0,E4821*IF(ISNUMBER(J4821),J4821,IF(OR(C4821="Alpha",B4821="Alpha"),$C$7,IF(C4821="Futures",$C$6,$C$5))),""),"")</f>
        <v/>
      </c>
      <c r="I4821" s="139">
        <f>IFERROR(IF(AND(ISNUMBER(F4821),ISNUMBER(H4821)),F4821-H4821,""),"")</f>
        <v/>
      </c>
      <c r="J4821" s="114" t="n"/>
      <c r="K4821" s="139">
        <f>IFERROR(IF(H4821&gt;0,H4821*IF(OR(C4821="Alpha",B4821="Alpha"),$C$9,$C$8),""),"")</f>
        <v/>
      </c>
      <c r="L4821" s="139">
        <f>IFERROR(IF(ISNUMBER(F4821),F4821-IF(ISNUMBER(K4821),K4821,0),""),"")</f>
        <v/>
      </c>
    </row>
    <row r="4822" ht="24" customHeight="1" s="63">
      <c r="E4822" s="139" t="n"/>
      <c r="F4822" s="139" t="n"/>
      <c r="G4822" s="140">
        <f>IFERROR(IF(E4822&gt;0,(F4822/E4822)*1000,""),"")</f>
        <v/>
      </c>
      <c r="H4822" s="139">
        <f>IFERROR(IF(E4822&gt;0,E4822*IF(ISNUMBER(J4822),J4822,IF(OR(C4822="Alpha",B4822="Alpha"),$C$7,IF(C4822="Futures",$C$6,$C$5))),""),"")</f>
        <v/>
      </c>
      <c r="I4822" s="139">
        <f>IFERROR(IF(AND(ISNUMBER(F4822),ISNUMBER(H4822)),F4822-H4822,""),"")</f>
        <v/>
      </c>
      <c r="J4822" s="114" t="n"/>
      <c r="K4822" s="139">
        <f>IFERROR(IF(H4822&gt;0,H4822*IF(OR(C4822="Alpha",B4822="Alpha"),$C$9,$C$8),""),"")</f>
        <v/>
      </c>
      <c r="L4822" s="139">
        <f>IFERROR(IF(ISNUMBER(F4822),F4822-IF(ISNUMBER(K4822),K4822,0),""),"")</f>
        <v/>
      </c>
    </row>
    <row r="4823" ht="24" customHeight="1" s="63">
      <c r="E4823" s="139" t="n"/>
      <c r="F4823" s="139" t="n"/>
      <c r="G4823" s="140">
        <f>IFERROR(IF(E4823&gt;0,(F4823/E4823)*1000,""),"")</f>
        <v/>
      </c>
      <c r="H4823" s="139">
        <f>IFERROR(IF(E4823&gt;0,E4823*IF(ISNUMBER(J4823),J4823,IF(OR(C4823="Alpha",B4823="Alpha"),$C$7,IF(C4823="Futures",$C$6,$C$5))),""),"")</f>
        <v/>
      </c>
      <c r="I4823" s="139">
        <f>IFERROR(IF(AND(ISNUMBER(F4823),ISNUMBER(H4823)),F4823-H4823,""),"")</f>
        <v/>
      </c>
      <c r="J4823" s="114" t="n"/>
      <c r="K4823" s="139">
        <f>IFERROR(IF(H4823&gt;0,H4823*IF(OR(C4823="Alpha",B4823="Alpha"),$C$9,$C$8),""),"")</f>
        <v/>
      </c>
      <c r="L4823" s="139">
        <f>IFERROR(IF(ISNUMBER(F4823),F4823-IF(ISNUMBER(K4823),K4823,0),""),"")</f>
        <v/>
      </c>
    </row>
    <row r="4824" ht="24" customHeight="1" s="63">
      <c r="E4824" s="139" t="n"/>
      <c r="F4824" s="139" t="n"/>
      <c r="G4824" s="140">
        <f>IFERROR(IF(E4824&gt;0,(F4824/E4824)*1000,""),"")</f>
        <v/>
      </c>
      <c r="H4824" s="139">
        <f>IFERROR(IF(E4824&gt;0,E4824*IF(ISNUMBER(J4824),J4824,IF(OR(C4824="Alpha",B4824="Alpha"),$C$7,IF(C4824="Futures",$C$6,$C$5))),""),"")</f>
        <v/>
      </c>
      <c r="I4824" s="139">
        <f>IFERROR(IF(AND(ISNUMBER(F4824),ISNUMBER(H4824)),F4824-H4824,""),"")</f>
        <v/>
      </c>
      <c r="J4824" s="114" t="n"/>
      <c r="K4824" s="139">
        <f>IFERROR(IF(H4824&gt;0,H4824*IF(OR(C4824="Alpha",B4824="Alpha"),$C$9,$C$8),""),"")</f>
        <v/>
      </c>
      <c r="L4824" s="139">
        <f>IFERROR(IF(ISNUMBER(F4824),F4824-IF(ISNUMBER(K4824),K4824,0),""),"")</f>
        <v/>
      </c>
    </row>
    <row r="4825" ht="24" customHeight="1" s="63">
      <c r="E4825" s="139" t="n"/>
      <c r="F4825" s="139" t="n"/>
      <c r="G4825" s="140">
        <f>IFERROR(IF(E4825&gt;0,(F4825/E4825)*1000,""),"")</f>
        <v/>
      </c>
      <c r="H4825" s="139">
        <f>IFERROR(IF(E4825&gt;0,E4825*IF(ISNUMBER(J4825),J4825,IF(OR(C4825="Alpha",B4825="Alpha"),$C$7,IF(C4825="Futures",$C$6,$C$5))),""),"")</f>
        <v/>
      </c>
      <c r="I4825" s="139">
        <f>IFERROR(IF(AND(ISNUMBER(F4825),ISNUMBER(H4825)),F4825-H4825,""),"")</f>
        <v/>
      </c>
      <c r="J4825" s="114" t="n"/>
      <c r="K4825" s="139">
        <f>IFERROR(IF(H4825&gt;0,H4825*IF(OR(C4825="Alpha",B4825="Alpha"),$C$9,$C$8),""),"")</f>
        <v/>
      </c>
      <c r="L4825" s="139">
        <f>IFERROR(IF(ISNUMBER(F4825),F4825-IF(ISNUMBER(K4825),K4825,0),""),"")</f>
        <v/>
      </c>
    </row>
    <row r="4826" ht="24" customHeight="1" s="63">
      <c r="E4826" s="139" t="n"/>
      <c r="F4826" s="139" t="n"/>
      <c r="G4826" s="140">
        <f>IFERROR(IF(E4826&gt;0,(F4826/E4826)*1000,""),"")</f>
        <v/>
      </c>
      <c r="H4826" s="139">
        <f>IFERROR(IF(E4826&gt;0,E4826*IF(ISNUMBER(J4826),J4826,IF(OR(C4826="Alpha",B4826="Alpha"),$C$7,IF(C4826="Futures",$C$6,$C$5))),""),"")</f>
        <v/>
      </c>
      <c r="I4826" s="139">
        <f>IFERROR(IF(AND(ISNUMBER(F4826),ISNUMBER(H4826)),F4826-H4826,""),"")</f>
        <v/>
      </c>
      <c r="J4826" s="114" t="n"/>
      <c r="K4826" s="139">
        <f>IFERROR(IF(H4826&gt;0,H4826*IF(OR(C4826="Alpha",B4826="Alpha"),$C$9,$C$8),""),"")</f>
        <v/>
      </c>
      <c r="L4826" s="139">
        <f>IFERROR(IF(ISNUMBER(F4826),F4826-IF(ISNUMBER(K4826),K4826,0),""),"")</f>
        <v/>
      </c>
    </row>
    <row r="4827" ht="24" customHeight="1" s="63">
      <c r="E4827" s="139" t="n"/>
      <c r="F4827" s="139" t="n"/>
      <c r="G4827" s="140">
        <f>IFERROR(IF(E4827&gt;0,(F4827/E4827)*1000,""),"")</f>
        <v/>
      </c>
      <c r="H4827" s="139">
        <f>IFERROR(IF(E4827&gt;0,E4827*IF(ISNUMBER(J4827),J4827,IF(OR(C4827="Alpha",B4827="Alpha"),$C$7,IF(C4827="Futures",$C$6,$C$5))),""),"")</f>
        <v/>
      </c>
      <c r="I4827" s="139">
        <f>IFERROR(IF(AND(ISNUMBER(F4827),ISNUMBER(H4827)),F4827-H4827,""),"")</f>
        <v/>
      </c>
      <c r="J4827" s="114" t="n"/>
      <c r="K4827" s="139">
        <f>IFERROR(IF(H4827&gt;0,H4827*IF(OR(C4827="Alpha",B4827="Alpha"),$C$9,$C$8),""),"")</f>
        <v/>
      </c>
      <c r="L4827" s="139">
        <f>IFERROR(IF(ISNUMBER(F4827),F4827-IF(ISNUMBER(K4827),K4827,0),""),"")</f>
        <v/>
      </c>
    </row>
    <row r="4828" ht="24" customHeight="1" s="63">
      <c r="E4828" s="139" t="n"/>
      <c r="F4828" s="139" t="n"/>
      <c r="G4828" s="140">
        <f>IFERROR(IF(E4828&gt;0,(F4828/E4828)*1000,""),"")</f>
        <v/>
      </c>
      <c r="H4828" s="139">
        <f>IFERROR(IF(E4828&gt;0,E4828*IF(ISNUMBER(J4828),J4828,IF(OR(C4828="Alpha",B4828="Alpha"),$C$7,IF(C4828="Futures",$C$6,$C$5))),""),"")</f>
        <v/>
      </c>
      <c r="I4828" s="139">
        <f>IFERROR(IF(AND(ISNUMBER(F4828),ISNUMBER(H4828)),F4828-H4828,""),"")</f>
        <v/>
      </c>
      <c r="J4828" s="114" t="n"/>
      <c r="K4828" s="139">
        <f>IFERROR(IF(H4828&gt;0,H4828*IF(OR(C4828="Alpha",B4828="Alpha"),$C$9,$C$8),""),"")</f>
        <v/>
      </c>
      <c r="L4828" s="139">
        <f>IFERROR(IF(ISNUMBER(F4828),F4828-IF(ISNUMBER(K4828),K4828,0),""),"")</f>
        <v/>
      </c>
    </row>
    <row r="4829" ht="24" customHeight="1" s="63">
      <c r="E4829" s="139" t="n"/>
      <c r="F4829" s="139" t="n"/>
      <c r="G4829" s="140">
        <f>IFERROR(IF(E4829&gt;0,(F4829/E4829)*1000,""),"")</f>
        <v/>
      </c>
      <c r="H4829" s="139">
        <f>IFERROR(IF(E4829&gt;0,E4829*IF(ISNUMBER(J4829),J4829,IF(OR(C4829="Alpha",B4829="Alpha"),$C$7,IF(C4829="Futures",$C$6,$C$5))),""),"")</f>
        <v/>
      </c>
      <c r="I4829" s="139">
        <f>IFERROR(IF(AND(ISNUMBER(F4829),ISNUMBER(H4829)),F4829-H4829,""),"")</f>
        <v/>
      </c>
      <c r="J4829" s="114" t="n"/>
      <c r="K4829" s="139">
        <f>IFERROR(IF(H4829&gt;0,H4829*IF(OR(C4829="Alpha",B4829="Alpha"),$C$9,$C$8),""),"")</f>
        <v/>
      </c>
      <c r="L4829" s="139">
        <f>IFERROR(IF(ISNUMBER(F4829),F4829-IF(ISNUMBER(K4829),K4829,0),""),"")</f>
        <v/>
      </c>
    </row>
    <row r="4830" ht="24" customHeight="1" s="63">
      <c r="E4830" s="139" t="n"/>
      <c r="F4830" s="139" t="n"/>
      <c r="G4830" s="140">
        <f>IFERROR(IF(E4830&gt;0,(F4830/E4830)*1000,""),"")</f>
        <v/>
      </c>
      <c r="H4830" s="139">
        <f>IFERROR(IF(E4830&gt;0,E4830*IF(ISNUMBER(J4830),J4830,IF(OR(C4830="Alpha",B4830="Alpha"),$C$7,IF(C4830="Futures",$C$6,$C$5))),""),"")</f>
        <v/>
      </c>
      <c r="I4830" s="139">
        <f>IFERROR(IF(AND(ISNUMBER(F4830),ISNUMBER(H4830)),F4830-H4830,""),"")</f>
        <v/>
      </c>
      <c r="J4830" s="114" t="n"/>
      <c r="K4830" s="139">
        <f>IFERROR(IF(H4830&gt;0,H4830*IF(OR(C4830="Alpha",B4830="Alpha"),$C$9,$C$8),""),"")</f>
        <v/>
      </c>
      <c r="L4830" s="139">
        <f>IFERROR(IF(ISNUMBER(F4830),F4830-IF(ISNUMBER(K4830),K4830,0),""),"")</f>
        <v/>
      </c>
    </row>
    <row r="4831" ht="24" customHeight="1" s="63">
      <c r="E4831" s="139" t="n"/>
      <c r="F4831" s="139" t="n"/>
      <c r="G4831" s="140">
        <f>IFERROR(IF(E4831&gt;0,(F4831/E4831)*1000,""),"")</f>
        <v/>
      </c>
      <c r="H4831" s="139">
        <f>IFERROR(IF(E4831&gt;0,E4831*IF(ISNUMBER(J4831),J4831,IF(OR(C4831="Alpha",B4831="Alpha"),$C$7,IF(C4831="Futures",$C$6,$C$5))),""),"")</f>
        <v/>
      </c>
      <c r="I4831" s="139">
        <f>IFERROR(IF(AND(ISNUMBER(F4831),ISNUMBER(H4831)),F4831-H4831,""),"")</f>
        <v/>
      </c>
      <c r="J4831" s="114" t="n"/>
      <c r="K4831" s="139">
        <f>IFERROR(IF(H4831&gt;0,H4831*IF(OR(C4831="Alpha",B4831="Alpha"),$C$9,$C$8),""),"")</f>
        <v/>
      </c>
      <c r="L4831" s="139">
        <f>IFERROR(IF(ISNUMBER(F4831),F4831-IF(ISNUMBER(K4831),K4831,0),""),"")</f>
        <v/>
      </c>
    </row>
    <row r="4832" ht="24" customHeight="1" s="63">
      <c r="E4832" s="139" t="n"/>
      <c r="F4832" s="139" t="n"/>
      <c r="G4832" s="140">
        <f>IFERROR(IF(E4832&gt;0,(F4832/E4832)*1000,""),"")</f>
        <v/>
      </c>
      <c r="H4832" s="139">
        <f>IFERROR(IF(E4832&gt;0,E4832*IF(ISNUMBER(J4832),J4832,IF(OR(C4832="Alpha",B4832="Alpha"),$C$7,IF(C4832="Futures",$C$6,$C$5))),""),"")</f>
        <v/>
      </c>
      <c r="I4832" s="139">
        <f>IFERROR(IF(AND(ISNUMBER(F4832),ISNUMBER(H4832)),F4832-H4832,""),"")</f>
        <v/>
      </c>
      <c r="J4832" s="114" t="n"/>
      <c r="K4832" s="139">
        <f>IFERROR(IF(H4832&gt;0,H4832*IF(OR(C4832="Alpha",B4832="Alpha"),$C$9,$C$8),""),"")</f>
        <v/>
      </c>
      <c r="L4832" s="139">
        <f>IFERROR(IF(ISNUMBER(F4832),F4832-IF(ISNUMBER(K4832),K4832,0),""),"")</f>
        <v/>
      </c>
    </row>
    <row r="4833" ht="24" customHeight="1" s="63">
      <c r="E4833" s="139" t="n"/>
      <c r="F4833" s="139" t="n"/>
      <c r="G4833" s="140">
        <f>IFERROR(IF(E4833&gt;0,(F4833/E4833)*1000,""),"")</f>
        <v/>
      </c>
      <c r="H4833" s="139">
        <f>IFERROR(IF(E4833&gt;0,E4833*IF(ISNUMBER(J4833),J4833,IF(OR(C4833="Alpha",B4833="Alpha"),$C$7,IF(C4833="Futures",$C$6,$C$5))),""),"")</f>
        <v/>
      </c>
      <c r="I4833" s="139">
        <f>IFERROR(IF(AND(ISNUMBER(F4833),ISNUMBER(H4833)),F4833-H4833,""),"")</f>
        <v/>
      </c>
      <c r="J4833" s="114" t="n"/>
      <c r="K4833" s="139">
        <f>IFERROR(IF(H4833&gt;0,H4833*IF(OR(C4833="Alpha",B4833="Alpha"),$C$9,$C$8),""),"")</f>
        <v/>
      </c>
      <c r="L4833" s="139">
        <f>IFERROR(IF(ISNUMBER(F4833),F4833-IF(ISNUMBER(K4833),K4833,0),""),"")</f>
        <v/>
      </c>
    </row>
    <row r="4834" ht="24" customHeight="1" s="63">
      <c r="E4834" s="139" t="n"/>
      <c r="F4834" s="139" t="n"/>
      <c r="G4834" s="140">
        <f>IFERROR(IF(E4834&gt;0,(F4834/E4834)*1000,""),"")</f>
        <v/>
      </c>
      <c r="H4834" s="139">
        <f>IFERROR(IF(E4834&gt;0,E4834*IF(ISNUMBER(J4834),J4834,IF(OR(C4834="Alpha",B4834="Alpha"),$C$7,IF(C4834="Futures",$C$6,$C$5))),""),"")</f>
        <v/>
      </c>
      <c r="I4834" s="139">
        <f>IFERROR(IF(AND(ISNUMBER(F4834),ISNUMBER(H4834)),F4834-H4834,""),"")</f>
        <v/>
      </c>
      <c r="J4834" s="114" t="n"/>
      <c r="K4834" s="139">
        <f>IFERROR(IF(H4834&gt;0,H4834*IF(OR(C4834="Alpha",B4834="Alpha"),$C$9,$C$8),""),"")</f>
        <v/>
      </c>
      <c r="L4834" s="139">
        <f>IFERROR(IF(ISNUMBER(F4834),F4834-IF(ISNUMBER(K4834),K4834,0),""),"")</f>
        <v/>
      </c>
    </row>
    <row r="4835" ht="24" customHeight="1" s="63">
      <c r="E4835" s="139" t="n"/>
      <c r="F4835" s="139" t="n"/>
      <c r="G4835" s="140">
        <f>IFERROR(IF(E4835&gt;0,(F4835/E4835)*1000,""),"")</f>
        <v/>
      </c>
      <c r="H4835" s="139">
        <f>IFERROR(IF(E4835&gt;0,E4835*IF(ISNUMBER(J4835),J4835,IF(OR(C4835="Alpha",B4835="Alpha"),$C$7,IF(C4835="Futures",$C$6,$C$5))),""),"")</f>
        <v/>
      </c>
      <c r="I4835" s="139">
        <f>IFERROR(IF(AND(ISNUMBER(F4835),ISNUMBER(H4835)),F4835-H4835,""),"")</f>
        <v/>
      </c>
      <c r="J4835" s="114" t="n"/>
      <c r="K4835" s="139">
        <f>IFERROR(IF(H4835&gt;0,H4835*IF(OR(C4835="Alpha",B4835="Alpha"),$C$9,$C$8),""),"")</f>
        <v/>
      </c>
      <c r="L4835" s="139">
        <f>IFERROR(IF(ISNUMBER(F4835),F4835-IF(ISNUMBER(K4835),K4835,0),""),"")</f>
        <v/>
      </c>
    </row>
    <row r="4836" ht="24" customHeight="1" s="63">
      <c r="E4836" s="139" t="n"/>
      <c r="F4836" s="139" t="n"/>
      <c r="G4836" s="140">
        <f>IFERROR(IF(E4836&gt;0,(F4836/E4836)*1000,""),"")</f>
        <v/>
      </c>
      <c r="H4836" s="139">
        <f>IFERROR(IF(E4836&gt;0,E4836*IF(ISNUMBER(J4836),J4836,IF(OR(C4836="Alpha",B4836="Alpha"),$C$7,IF(C4836="Futures",$C$6,$C$5))),""),"")</f>
        <v/>
      </c>
      <c r="I4836" s="139">
        <f>IFERROR(IF(AND(ISNUMBER(F4836),ISNUMBER(H4836)),F4836-H4836,""),"")</f>
        <v/>
      </c>
      <c r="J4836" s="114" t="n"/>
      <c r="K4836" s="139">
        <f>IFERROR(IF(H4836&gt;0,H4836*IF(OR(C4836="Alpha",B4836="Alpha"),$C$9,$C$8),""),"")</f>
        <v/>
      </c>
      <c r="L4836" s="139">
        <f>IFERROR(IF(ISNUMBER(F4836),F4836-IF(ISNUMBER(K4836),K4836,0),""),"")</f>
        <v/>
      </c>
    </row>
    <row r="4837" ht="24" customHeight="1" s="63">
      <c r="E4837" s="139" t="n"/>
      <c r="F4837" s="139" t="n"/>
      <c r="G4837" s="140">
        <f>IFERROR(IF(E4837&gt;0,(F4837/E4837)*1000,""),"")</f>
        <v/>
      </c>
      <c r="H4837" s="139">
        <f>IFERROR(IF(E4837&gt;0,E4837*IF(ISNUMBER(J4837),J4837,IF(OR(C4837="Alpha",B4837="Alpha"),$C$7,IF(C4837="Futures",$C$6,$C$5))),""),"")</f>
        <v/>
      </c>
      <c r="I4837" s="139">
        <f>IFERROR(IF(AND(ISNUMBER(F4837),ISNUMBER(H4837)),F4837-H4837,""),"")</f>
        <v/>
      </c>
      <c r="J4837" s="114" t="n"/>
      <c r="K4837" s="139">
        <f>IFERROR(IF(H4837&gt;0,H4837*IF(OR(C4837="Alpha",B4837="Alpha"),$C$9,$C$8),""),"")</f>
        <v/>
      </c>
      <c r="L4837" s="139">
        <f>IFERROR(IF(ISNUMBER(F4837),F4837-IF(ISNUMBER(K4837),K4837,0),""),"")</f>
        <v/>
      </c>
    </row>
    <row r="4838" ht="24" customHeight="1" s="63">
      <c r="E4838" s="139" t="n"/>
      <c r="F4838" s="139" t="n"/>
      <c r="G4838" s="140">
        <f>IFERROR(IF(E4838&gt;0,(F4838/E4838)*1000,""),"")</f>
        <v/>
      </c>
      <c r="H4838" s="139">
        <f>IFERROR(IF(E4838&gt;0,E4838*IF(ISNUMBER(J4838),J4838,IF(OR(C4838="Alpha",B4838="Alpha"),$C$7,IF(C4838="Futures",$C$6,$C$5))),""),"")</f>
        <v/>
      </c>
      <c r="I4838" s="139">
        <f>IFERROR(IF(AND(ISNUMBER(F4838),ISNUMBER(H4838)),F4838-H4838,""),"")</f>
        <v/>
      </c>
      <c r="J4838" s="114" t="n"/>
      <c r="K4838" s="139">
        <f>IFERROR(IF(H4838&gt;0,H4838*IF(OR(C4838="Alpha",B4838="Alpha"),$C$9,$C$8),""),"")</f>
        <v/>
      </c>
      <c r="L4838" s="139">
        <f>IFERROR(IF(ISNUMBER(F4838),F4838-IF(ISNUMBER(K4838),K4838,0),""),"")</f>
        <v/>
      </c>
    </row>
    <row r="4839" ht="24" customHeight="1" s="63">
      <c r="E4839" s="139" t="n"/>
      <c r="F4839" s="139" t="n"/>
      <c r="G4839" s="140">
        <f>IFERROR(IF(E4839&gt;0,(F4839/E4839)*1000,""),"")</f>
        <v/>
      </c>
      <c r="H4839" s="139">
        <f>IFERROR(IF(E4839&gt;0,E4839*IF(ISNUMBER(J4839),J4839,IF(OR(C4839="Alpha",B4839="Alpha"),$C$7,IF(C4839="Futures",$C$6,$C$5))),""),"")</f>
        <v/>
      </c>
      <c r="I4839" s="139">
        <f>IFERROR(IF(AND(ISNUMBER(F4839),ISNUMBER(H4839)),F4839-H4839,""),"")</f>
        <v/>
      </c>
      <c r="J4839" s="114" t="n"/>
      <c r="K4839" s="139">
        <f>IFERROR(IF(H4839&gt;0,H4839*IF(OR(C4839="Alpha",B4839="Alpha"),$C$9,$C$8),""),"")</f>
        <v/>
      </c>
      <c r="L4839" s="139">
        <f>IFERROR(IF(ISNUMBER(F4839),F4839-IF(ISNUMBER(K4839),K4839,0),""),"")</f>
        <v/>
      </c>
    </row>
    <row r="4840" ht="24" customHeight="1" s="63">
      <c r="E4840" s="139" t="n"/>
      <c r="F4840" s="139" t="n"/>
      <c r="G4840" s="140">
        <f>IFERROR(IF(E4840&gt;0,(F4840/E4840)*1000,""),"")</f>
        <v/>
      </c>
      <c r="H4840" s="139">
        <f>IFERROR(IF(E4840&gt;0,E4840*IF(ISNUMBER(J4840),J4840,IF(OR(C4840="Alpha",B4840="Alpha"),$C$7,IF(C4840="Futures",$C$6,$C$5))),""),"")</f>
        <v/>
      </c>
      <c r="I4840" s="139">
        <f>IFERROR(IF(AND(ISNUMBER(F4840),ISNUMBER(H4840)),F4840-H4840,""),"")</f>
        <v/>
      </c>
      <c r="J4840" s="114" t="n"/>
      <c r="K4840" s="139">
        <f>IFERROR(IF(H4840&gt;0,H4840*IF(OR(C4840="Alpha",B4840="Alpha"),$C$9,$C$8),""),"")</f>
        <v/>
      </c>
      <c r="L4840" s="139">
        <f>IFERROR(IF(ISNUMBER(F4840),F4840-IF(ISNUMBER(K4840),K4840,0),""),"")</f>
        <v/>
      </c>
    </row>
    <row r="4841" ht="24" customHeight="1" s="63">
      <c r="E4841" s="139" t="n"/>
      <c r="F4841" s="139" t="n"/>
      <c r="G4841" s="140">
        <f>IFERROR(IF(E4841&gt;0,(F4841/E4841)*1000,""),"")</f>
        <v/>
      </c>
      <c r="H4841" s="139">
        <f>IFERROR(IF(E4841&gt;0,E4841*IF(ISNUMBER(J4841),J4841,IF(OR(C4841="Alpha",B4841="Alpha"),$C$7,IF(C4841="Futures",$C$6,$C$5))),""),"")</f>
        <v/>
      </c>
      <c r="I4841" s="139">
        <f>IFERROR(IF(AND(ISNUMBER(F4841),ISNUMBER(H4841)),F4841-H4841,""),"")</f>
        <v/>
      </c>
      <c r="J4841" s="114" t="n"/>
      <c r="K4841" s="139">
        <f>IFERROR(IF(H4841&gt;0,H4841*IF(OR(C4841="Alpha",B4841="Alpha"),$C$9,$C$8),""),"")</f>
        <v/>
      </c>
      <c r="L4841" s="139">
        <f>IFERROR(IF(ISNUMBER(F4841),F4841-IF(ISNUMBER(K4841),K4841,0),""),"")</f>
        <v/>
      </c>
    </row>
    <row r="4842" ht="24" customHeight="1" s="63">
      <c r="E4842" s="139" t="n"/>
      <c r="F4842" s="139" t="n"/>
      <c r="G4842" s="140">
        <f>IFERROR(IF(E4842&gt;0,(F4842/E4842)*1000,""),"")</f>
        <v/>
      </c>
      <c r="H4842" s="139">
        <f>IFERROR(IF(E4842&gt;0,E4842*IF(ISNUMBER(J4842),J4842,IF(OR(C4842="Alpha",B4842="Alpha"),$C$7,IF(C4842="Futures",$C$6,$C$5))),""),"")</f>
        <v/>
      </c>
      <c r="I4842" s="139">
        <f>IFERROR(IF(AND(ISNUMBER(F4842),ISNUMBER(H4842)),F4842-H4842,""),"")</f>
        <v/>
      </c>
      <c r="J4842" s="114" t="n"/>
      <c r="K4842" s="139">
        <f>IFERROR(IF(H4842&gt;0,H4842*IF(OR(C4842="Alpha",B4842="Alpha"),$C$9,$C$8),""),"")</f>
        <v/>
      </c>
      <c r="L4842" s="139">
        <f>IFERROR(IF(ISNUMBER(F4842),F4842-IF(ISNUMBER(K4842),K4842,0),""),"")</f>
        <v/>
      </c>
    </row>
    <row r="4843" ht="24" customHeight="1" s="63">
      <c r="E4843" s="139" t="n"/>
      <c r="F4843" s="139" t="n"/>
      <c r="G4843" s="140">
        <f>IFERROR(IF(E4843&gt;0,(F4843/E4843)*1000,""),"")</f>
        <v/>
      </c>
      <c r="H4843" s="139">
        <f>IFERROR(IF(E4843&gt;0,E4843*IF(ISNUMBER(J4843),J4843,IF(OR(C4843="Alpha",B4843="Alpha"),$C$7,IF(C4843="Futures",$C$6,$C$5))),""),"")</f>
        <v/>
      </c>
      <c r="I4843" s="139">
        <f>IFERROR(IF(AND(ISNUMBER(F4843),ISNUMBER(H4843)),F4843-H4843,""),"")</f>
        <v/>
      </c>
      <c r="J4843" s="114" t="n"/>
      <c r="K4843" s="139">
        <f>IFERROR(IF(H4843&gt;0,H4843*IF(OR(C4843="Alpha",B4843="Alpha"),$C$9,$C$8),""),"")</f>
        <v/>
      </c>
      <c r="L4843" s="139">
        <f>IFERROR(IF(ISNUMBER(F4843),F4843-IF(ISNUMBER(K4843),K4843,0),""),"")</f>
        <v/>
      </c>
    </row>
    <row r="4844" ht="24" customHeight="1" s="63">
      <c r="E4844" s="139" t="n"/>
      <c r="F4844" s="139" t="n"/>
      <c r="G4844" s="140">
        <f>IFERROR(IF(E4844&gt;0,(F4844/E4844)*1000,""),"")</f>
        <v/>
      </c>
      <c r="H4844" s="139">
        <f>IFERROR(IF(E4844&gt;0,E4844*IF(ISNUMBER(J4844),J4844,IF(OR(C4844="Alpha",B4844="Alpha"),$C$7,IF(C4844="Futures",$C$6,$C$5))),""),"")</f>
        <v/>
      </c>
      <c r="I4844" s="139">
        <f>IFERROR(IF(AND(ISNUMBER(F4844),ISNUMBER(H4844)),F4844-H4844,""),"")</f>
        <v/>
      </c>
      <c r="J4844" s="114" t="n"/>
      <c r="K4844" s="139">
        <f>IFERROR(IF(H4844&gt;0,H4844*IF(OR(C4844="Alpha",B4844="Alpha"),$C$9,$C$8),""),"")</f>
        <v/>
      </c>
      <c r="L4844" s="139">
        <f>IFERROR(IF(ISNUMBER(F4844),F4844-IF(ISNUMBER(K4844),K4844,0),""),"")</f>
        <v/>
      </c>
    </row>
    <row r="4845" ht="24" customHeight="1" s="63">
      <c r="E4845" s="139" t="n"/>
      <c r="F4845" s="139" t="n"/>
      <c r="G4845" s="140">
        <f>IFERROR(IF(E4845&gt;0,(F4845/E4845)*1000,""),"")</f>
        <v/>
      </c>
      <c r="H4845" s="139">
        <f>IFERROR(IF(E4845&gt;0,E4845*IF(ISNUMBER(J4845),J4845,IF(OR(C4845="Alpha",B4845="Alpha"),$C$7,IF(C4845="Futures",$C$6,$C$5))),""),"")</f>
        <v/>
      </c>
      <c r="I4845" s="139">
        <f>IFERROR(IF(AND(ISNUMBER(F4845),ISNUMBER(H4845)),F4845-H4845,""),"")</f>
        <v/>
      </c>
      <c r="J4845" s="114" t="n"/>
      <c r="K4845" s="139">
        <f>IFERROR(IF(H4845&gt;0,H4845*IF(OR(C4845="Alpha",B4845="Alpha"),$C$9,$C$8),""),"")</f>
        <v/>
      </c>
      <c r="L4845" s="139">
        <f>IFERROR(IF(ISNUMBER(F4845),F4845-IF(ISNUMBER(K4845),K4845,0),""),"")</f>
        <v/>
      </c>
    </row>
    <row r="4846" ht="24" customHeight="1" s="63">
      <c r="E4846" s="139" t="n"/>
      <c r="F4846" s="139" t="n"/>
      <c r="G4846" s="140">
        <f>IFERROR(IF(E4846&gt;0,(F4846/E4846)*1000,""),"")</f>
        <v/>
      </c>
      <c r="H4846" s="139">
        <f>IFERROR(IF(E4846&gt;0,E4846*IF(ISNUMBER(J4846),J4846,IF(OR(C4846="Alpha",B4846="Alpha"),$C$7,IF(C4846="Futures",$C$6,$C$5))),""),"")</f>
        <v/>
      </c>
      <c r="I4846" s="139">
        <f>IFERROR(IF(AND(ISNUMBER(F4846),ISNUMBER(H4846)),F4846-H4846,""),"")</f>
        <v/>
      </c>
      <c r="J4846" s="114" t="n"/>
      <c r="K4846" s="139">
        <f>IFERROR(IF(H4846&gt;0,H4846*IF(OR(C4846="Alpha",B4846="Alpha"),$C$9,$C$8),""),"")</f>
        <v/>
      </c>
      <c r="L4846" s="139">
        <f>IFERROR(IF(ISNUMBER(F4846),F4846-IF(ISNUMBER(K4846),K4846,0),""),"")</f>
        <v/>
      </c>
    </row>
    <row r="4847" ht="24" customHeight="1" s="63">
      <c r="E4847" s="139" t="n"/>
      <c r="F4847" s="139" t="n"/>
      <c r="G4847" s="140">
        <f>IFERROR(IF(E4847&gt;0,(F4847/E4847)*1000,""),"")</f>
        <v/>
      </c>
      <c r="H4847" s="139">
        <f>IFERROR(IF(E4847&gt;0,E4847*IF(ISNUMBER(J4847),J4847,IF(OR(C4847="Alpha",B4847="Alpha"),$C$7,IF(C4847="Futures",$C$6,$C$5))),""),"")</f>
        <v/>
      </c>
      <c r="I4847" s="139">
        <f>IFERROR(IF(AND(ISNUMBER(F4847),ISNUMBER(H4847)),F4847-H4847,""),"")</f>
        <v/>
      </c>
      <c r="J4847" s="114" t="n"/>
      <c r="K4847" s="139">
        <f>IFERROR(IF(H4847&gt;0,H4847*IF(OR(C4847="Alpha",B4847="Alpha"),$C$9,$C$8),""),"")</f>
        <v/>
      </c>
      <c r="L4847" s="139">
        <f>IFERROR(IF(ISNUMBER(F4847),F4847-IF(ISNUMBER(K4847),K4847,0),""),"")</f>
        <v/>
      </c>
    </row>
    <row r="4848" ht="24" customHeight="1" s="63">
      <c r="E4848" s="139" t="n"/>
      <c r="F4848" s="139" t="n"/>
      <c r="G4848" s="140">
        <f>IFERROR(IF(E4848&gt;0,(F4848/E4848)*1000,""),"")</f>
        <v/>
      </c>
      <c r="H4848" s="139">
        <f>IFERROR(IF(E4848&gt;0,E4848*IF(ISNUMBER(J4848),J4848,IF(OR(C4848="Alpha",B4848="Alpha"),$C$7,IF(C4848="Futures",$C$6,$C$5))),""),"")</f>
        <v/>
      </c>
      <c r="I4848" s="139">
        <f>IFERROR(IF(AND(ISNUMBER(F4848),ISNUMBER(H4848)),F4848-H4848,""),"")</f>
        <v/>
      </c>
      <c r="J4848" s="114" t="n"/>
      <c r="K4848" s="139">
        <f>IFERROR(IF(H4848&gt;0,H4848*IF(OR(C4848="Alpha",B4848="Alpha"),$C$9,$C$8),""),"")</f>
        <v/>
      </c>
      <c r="L4848" s="139">
        <f>IFERROR(IF(ISNUMBER(F4848),F4848-IF(ISNUMBER(K4848),K4848,0),""),"")</f>
        <v/>
      </c>
    </row>
    <row r="4849" ht="24" customHeight="1" s="63">
      <c r="E4849" s="139" t="n"/>
      <c r="F4849" s="139" t="n"/>
      <c r="G4849" s="140">
        <f>IFERROR(IF(E4849&gt;0,(F4849/E4849)*1000,""),"")</f>
        <v/>
      </c>
      <c r="H4849" s="139">
        <f>IFERROR(IF(E4849&gt;0,E4849*IF(ISNUMBER(J4849),J4849,IF(OR(C4849="Alpha",B4849="Alpha"),$C$7,IF(C4849="Futures",$C$6,$C$5))),""),"")</f>
        <v/>
      </c>
      <c r="I4849" s="139">
        <f>IFERROR(IF(AND(ISNUMBER(F4849),ISNUMBER(H4849)),F4849-H4849,""),"")</f>
        <v/>
      </c>
      <c r="J4849" s="114" t="n"/>
      <c r="K4849" s="139">
        <f>IFERROR(IF(H4849&gt;0,H4849*IF(OR(C4849="Alpha",B4849="Alpha"),$C$9,$C$8),""),"")</f>
        <v/>
      </c>
      <c r="L4849" s="139">
        <f>IFERROR(IF(ISNUMBER(F4849),F4849-IF(ISNUMBER(K4849),K4849,0),""),"")</f>
        <v/>
      </c>
    </row>
    <row r="4850" ht="24" customHeight="1" s="63">
      <c r="E4850" s="139" t="n"/>
      <c r="F4850" s="139" t="n"/>
      <c r="G4850" s="140">
        <f>IFERROR(IF(E4850&gt;0,(F4850/E4850)*1000,""),"")</f>
        <v/>
      </c>
      <c r="H4850" s="139">
        <f>IFERROR(IF(E4850&gt;0,E4850*IF(ISNUMBER(J4850),J4850,IF(OR(C4850="Alpha",B4850="Alpha"),$C$7,IF(C4850="Futures",$C$6,$C$5))),""),"")</f>
        <v/>
      </c>
      <c r="I4850" s="139">
        <f>IFERROR(IF(AND(ISNUMBER(F4850),ISNUMBER(H4850)),F4850-H4850,""),"")</f>
        <v/>
      </c>
      <c r="J4850" s="114" t="n"/>
      <c r="K4850" s="139">
        <f>IFERROR(IF(H4850&gt;0,H4850*IF(OR(C4850="Alpha",B4850="Alpha"),$C$9,$C$8),""),"")</f>
        <v/>
      </c>
      <c r="L4850" s="139">
        <f>IFERROR(IF(ISNUMBER(F4850),F4850-IF(ISNUMBER(K4850),K4850,0),""),"")</f>
        <v/>
      </c>
    </row>
    <row r="4851" ht="24" customHeight="1" s="63">
      <c r="E4851" s="139" t="n"/>
      <c r="F4851" s="139" t="n"/>
      <c r="G4851" s="140">
        <f>IFERROR(IF(E4851&gt;0,(F4851/E4851)*1000,""),"")</f>
        <v/>
      </c>
      <c r="H4851" s="139">
        <f>IFERROR(IF(E4851&gt;0,E4851*IF(ISNUMBER(J4851),J4851,IF(OR(C4851="Alpha",B4851="Alpha"),$C$7,IF(C4851="Futures",$C$6,$C$5))),""),"")</f>
        <v/>
      </c>
      <c r="I4851" s="139">
        <f>IFERROR(IF(AND(ISNUMBER(F4851),ISNUMBER(H4851)),F4851-H4851,""),"")</f>
        <v/>
      </c>
      <c r="J4851" s="114" t="n"/>
      <c r="K4851" s="139">
        <f>IFERROR(IF(H4851&gt;0,H4851*IF(OR(C4851="Alpha",B4851="Alpha"),$C$9,$C$8),""),"")</f>
        <v/>
      </c>
      <c r="L4851" s="139">
        <f>IFERROR(IF(ISNUMBER(F4851),F4851-IF(ISNUMBER(K4851),K4851,0),""),"")</f>
        <v/>
      </c>
    </row>
    <row r="4852" ht="24" customHeight="1" s="63">
      <c r="E4852" s="139" t="n"/>
      <c r="F4852" s="139" t="n"/>
      <c r="G4852" s="140">
        <f>IFERROR(IF(E4852&gt;0,(F4852/E4852)*1000,""),"")</f>
        <v/>
      </c>
      <c r="H4852" s="139">
        <f>IFERROR(IF(E4852&gt;0,E4852*IF(ISNUMBER(J4852),J4852,IF(OR(C4852="Alpha",B4852="Alpha"),$C$7,IF(C4852="Futures",$C$6,$C$5))),""),"")</f>
        <v/>
      </c>
      <c r="I4852" s="139">
        <f>IFERROR(IF(AND(ISNUMBER(F4852),ISNUMBER(H4852)),F4852-H4852,""),"")</f>
        <v/>
      </c>
      <c r="J4852" s="114" t="n"/>
      <c r="K4852" s="139">
        <f>IFERROR(IF(H4852&gt;0,H4852*IF(OR(C4852="Alpha",B4852="Alpha"),$C$9,$C$8),""),"")</f>
        <v/>
      </c>
      <c r="L4852" s="139">
        <f>IFERROR(IF(ISNUMBER(F4852),F4852-IF(ISNUMBER(K4852),K4852,0),""),"")</f>
        <v/>
      </c>
    </row>
    <row r="4853" ht="24" customHeight="1" s="63">
      <c r="E4853" s="139" t="n"/>
      <c r="F4853" s="139" t="n"/>
      <c r="G4853" s="140">
        <f>IFERROR(IF(E4853&gt;0,(F4853/E4853)*1000,""),"")</f>
        <v/>
      </c>
      <c r="H4853" s="139">
        <f>IFERROR(IF(E4853&gt;0,E4853*IF(ISNUMBER(J4853),J4853,IF(OR(C4853="Alpha",B4853="Alpha"),$C$7,IF(C4853="Futures",$C$6,$C$5))),""),"")</f>
        <v/>
      </c>
      <c r="I4853" s="139">
        <f>IFERROR(IF(AND(ISNUMBER(F4853),ISNUMBER(H4853)),F4853-H4853,""),"")</f>
        <v/>
      </c>
      <c r="J4853" s="114" t="n"/>
      <c r="K4853" s="139">
        <f>IFERROR(IF(H4853&gt;0,H4853*IF(OR(C4853="Alpha",B4853="Alpha"),$C$9,$C$8),""),"")</f>
        <v/>
      </c>
      <c r="L4853" s="139">
        <f>IFERROR(IF(ISNUMBER(F4853),F4853-IF(ISNUMBER(K4853),K4853,0),""),"")</f>
        <v/>
      </c>
    </row>
    <row r="4854" ht="24" customHeight="1" s="63">
      <c r="E4854" s="139" t="n"/>
      <c r="F4854" s="139" t="n"/>
      <c r="G4854" s="140">
        <f>IFERROR(IF(E4854&gt;0,(F4854/E4854)*1000,""),"")</f>
        <v/>
      </c>
      <c r="H4854" s="139">
        <f>IFERROR(IF(E4854&gt;0,E4854*IF(ISNUMBER(J4854),J4854,IF(OR(C4854="Alpha",B4854="Alpha"),$C$7,IF(C4854="Futures",$C$6,$C$5))),""),"")</f>
        <v/>
      </c>
      <c r="I4854" s="139">
        <f>IFERROR(IF(AND(ISNUMBER(F4854),ISNUMBER(H4854)),F4854-H4854,""),"")</f>
        <v/>
      </c>
      <c r="J4854" s="114" t="n"/>
      <c r="K4854" s="139">
        <f>IFERROR(IF(H4854&gt;0,H4854*IF(OR(C4854="Alpha",B4854="Alpha"),$C$9,$C$8),""),"")</f>
        <v/>
      </c>
      <c r="L4854" s="139">
        <f>IFERROR(IF(ISNUMBER(F4854),F4854-IF(ISNUMBER(K4854),K4854,0),""),"")</f>
        <v/>
      </c>
    </row>
    <row r="4855" ht="24" customHeight="1" s="63">
      <c r="E4855" s="139" t="n"/>
      <c r="F4855" s="139" t="n"/>
      <c r="G4855" s="140">
        <f>IFERROR(IF(E4855&gt;0,(F4855/E4855)*1000,""),"")</f>
        <v/>
      </c>
      <c r="H4855" s="139">
        <f>IFERROR(IF(E4855&gt;0,E4855*IF(ISNUMBER(J4855),J4855,IF(OR(C4855="Alpha",B4855="Alpha"),$C$7,IF(C4855="Futures",$C$6,$C$5))),""),"")</f>
        <v/>
      </c>
      <c r="I4855" s="139">
        <f>IFERROR(IF(AND(ISNUMBER(F4855),ISNUMBER(H4855)),F4855-H4855,""),"")</f>
        <v/>
      </c>
      <c r="J4855" s="114" t="n"/>
      <c r="K4855" s="139">
        <f>IFERROR(IF(H4855&gt;0,H4855*IF(OR(C4855="Alpha",B4855="Alpha"),$C$9,$C$8),""),"")</f>
        <v/>
      </c>
      <c r="L4855" s="139">
        <f>IFERROR(IF(ISNUMBER(F4855),F4855-IF(ISNUMBER(K4855),K4855,0),""),"")</f>
        <v/>
      </c>
    </row>
    <row r="4856" ht="24" customHeight="1" s="63">
      <c r="E4856" s="139" t="n"/>
      <c r="F4856" s="139" t="n"/>
      <c r="G4856" s="140">
        <f>IFERROR(IF(E4856&gt;0,(F4856/E4856)*1000,""),"")</f>
        <v/>
      </c>
      <c r="H4856" s="139">
        <f>IFERROR(IF(E4856&gt;0,E4856*IF(ISNUMBER(J4856),J4856,IF(OR(C4856="Alpha",B4856="Alpha"),$C$7,IF(C4856="Futures",$C$6,$C$5))),""),"")</f>
        <v/>
      </c>
      <c r="I4856" s="139">
        <f>IFERROR(IF(AND(ISNUMBER(F4856),ISNUMBER(H4856)),F4856-H4856,""),"")</f>
        <v/>
      </c>
      <c r="J4856" s="114" t="n"/>
      <c r="K4856" s="139">
        <f>IFERROR(IF(H4856&gt;0,H4856*IF(OR(C4856="Alpha",B4856="Alpha"),$C$9,$C$8),""),"")</f>
        <v/>
      </c>
      <c r="L4856" s="139">
        <f>IFERROR(IF(ISNUMBER(F4856),F4856-IF(ISNUMBER(K4856),K4856,0),""),"")</f>
        <v/>
      </c>
    </row>
    <row r="4857" ht="24" customHeight="1" s="63">
      <c r="E4857" s="139" t="n"/>
      <c r="F4857" s="139" t="n"/>
      <c r="G4857" s="140">
        <f>IFERROR(IF(E4857&gt;0,(F4857/E4857)*1000,""),"")</f>
        <v/>
      </c>
      <c r="H4857" s="139">
        <f>IFERROR(IF(E4857&gt;0,E4857*IF(ISNUMBER(J4857),J4857,IF(OR(C4857="Alpha",B4857="Alpha"),$C$7,IF(C4857="Futures",$C$6,$C$5))),""),"")</f>
        <v/>
      </c>
      <c r="I4857" s="139">
        <f>IFERROR(IF(AND(ISNUMBER(F4857),ISNUMBER(H4857)),F4857-H4857,""),"")</f>
        <v/>
      </c>
      <c r="J4857" s="114" t="n"/>
      <c r="K4857" s="139">
        <f>IFERROR(IF(H4857&gt;0,H4857*IF(OR(C4857="Alpha",B4857="Alpha"),$C$9,$C$8),""),"")</f>
        <v/>
      </c>
      <c r="L4857" s="139">
        <f>IFERROR(IF(ISNUMBER(F4857),F4857-IF(ISNUMBER(K4857),K4857,0),""),"")</f>
        <v/>
      </c>
    </row>
    <row r="4858" ht="24" customHeight="1" s="63">
      <c r="E4858" s="139" t="n"/>
      <c r="F4858" s="139" t="n"/>
      <c r="G4858" s="140">
        <f>IFERROR(IF(E4858&gt;0,(F4858/E4858)*1000,""),"")</f>
        <v/>
      </c>
      <c r="H4858" s="139">
        <f>IFERROR(IF(E4858&gt;0,E4858*IF(ISNUMBER(J4858),J4858,IF(OR(C4858="Alpha",B4858="Alpha"),$C$7,IF(C4858="Futures",$C$6,$C$5))),""),"")</f>
        <v/>
      </c>
      <c r="I4858" s="139">
        <f>IFERROR(IF(AND(ISNUMBER(F4858),ISNUMBER(H4858)),F4858-H4858,""),"")</f>
        <v/>
      </c>
      <c r="J4858" s="114" t="n"/>
      <c r="K4858" s="139">
        <f>IFERROR(IF(H4858&gt;0,H4858*IF(OR(C4858="Alpha",B4858="Alpha"),$C$9,$C$8),""),"")</f>
        <v/>
      </c>
      <c r="L4858" s="139">
        <f>IFERROR(IF(ISNUMBER(F4858),F4858-IF(ISNUMBER(K4858),K4858,0),""),"")</f>
        <v/>
      </c>
    </row>
    <row r="4859" ht="24" customHeight="1" s="63">
      <c r="E4859" s="139" t="n"/>
      <c r="F4859" s="139" t="n"/>
      <c r="G4859" s="140">
        <f>IFERROR(IF(E4859&gt;0,(F4859/E4859)*1000,""),"")</f>
        <v/>
      </c>
      <c r="H4859" s="139">
        <f>IFERROR(IF(E4859&gt;0,E4859*IF(ISNUMBER(J4859),J4859,IF(OR(C4859="Alpha",B4859="Alpha"),$C$7,IF(C4859="Futures",$C$6,$C$5))),""),"")</f>
        <v/>
      </c>
      <c r="I4859" s="139">
        <f>IFERROR(IF(AND(ISNUMBER(F4859),ISNUMBER(H4859)),F4859-H4859,""),"")</f>
        <v/>
      </c>
      <c r="J4859" s="114" t="n"/>
      <c r="K4859" s="139">
        <f>IFERROR(IF(H4859&gt;0,H4859*IF(OR(C4859="Alpha",B4859="Alpha"),$C$9,$C$8),""),"")</f>
        <v/>
      </c>
      <c r="L4859" s="139">
        <f>IFERROR(IF(ISNUMBER(F4859),F4859-IF(ISNUMBER(K4859),K4859,0),""),"")</f>
        <v/>
      </c>
    </row>
    <row r="4860" ht="24" customHeight="1" s="63">
      <c r="E4860" s="139" t="n"/>
      <c r="F4860" s="139" t="n"/>
      <c r="G4860" s="140">
        <f>IFERROR(IF(E4860&gt;0,(F4860/E4860)*1000,""),"")</f>
        <v/>
      </c>
      <c r="H4860" s="139">
        <f>IFERROR(IF(E4860&gt;0,E4860*IF(ISNUMBER(J4860),J4860,IF(OR(C4860="Alpha",B4860="Alpha"),$C$7,IF(C4860="Futures",$C$6,$C$5))),""),"")</f>
        <v/>
      </c>
      <c r="I4860" s="139">
        <f>IFERROR(IF(AND(ISNUMBER(F4860),ISNUMBER(H4860)),F4860-H4860,""),"")</f>
        <v/>
      </c>
      <c r="J4860" s="114" t="n"/>
      <c r="K4860" s="139">
        <f>IFERROR(IF(H4860&gt;0,H4860*IF(OR(C4860="Alpha",B4860="Alpha"),$C$9,$C$8),""),"")</f>
        <v/>
      </c>
      <c r="L4860" s="139">
        <f>IFERROR(IF(ISNUMBER(F4860),F4860-IF(ISNUMBER(K4860),K4860,0),""),"")</f>
        <v/>
      </c>
    </row>
    <row r="4861" ht="24" customHeight="1" s="63">
      <c r="E4861" s="139" t="n"/>
      <c r="F4861" s="139" t="n"/>
      <c r="G4861" s="140">
        <f>IFERROR(IF(E4861&gt;0,(F4861/E4861)*1000,""),"")</f>
        <v/>
      </c>
      <c r="H4861" s="139">
        <f>IFERROR(IF(E4861&gt;0,E4861*IF(ISNUMBER(J4861),J4861,IF(OR(C4861="Alpha",B4861="Alpha"),$C$7,IF(C4861="Futures",$C$6,$C$5))),""),"")</f>
        <v/>
      </c>
      <c r="I4861" s="139">
        <f>IFERROR(IF(AND(ISNUMBER(F4861),ISNUMBER(H4861)),F4861-H4861,""),"")</f>
        <v/>
      </c>
      <c r="J4861" s="114" t="n"/>
      <c r="K4861" s="139">
        <f>IFERROR(IF(H4861&gt;0,H4861*IF(OR(C4861="Alpha",B4861="Alpha"),$C$9,$C$8),""),"")</f>
        <v/>
      </c>
      <c r="L4861" s="139">
        <f>IFERROR(IF(ISNUMBER(F4861),F4861-IF(ISNUMBER(K4861),K4861,0),""),"")</f>
        <v/>
      </c>
    </row>
    <row r="4862" ht="24" customHeight="1" s="63">
      <c r="E4862" s="139" t="n"/>
      <c r="F4862" s="139" t="n"/>
      <c r="G4862" s="140">
        <f>IFERROR(IF(E4862&gt;0,(F4862/E4862)*1000,""),"")</f>
        <v/>
      </c>
      <c r="H4862" s="139">
        <f>IFERROR(IF(E4862&gt;0,E4862*IF(ISNUMBER(J4862),J4862,IF(OR(C4862="Alpha",B4862="Alpha"),$C$7,IF(C4862="Futures",$C$6,$C$5))),""),"")</f>
        <v/>
      </c>
      <c r="I4862" s="139">
        <f>IFERROR(IF(AND(ISNUMBER(F4862),ISNUMBER(H4862)),F4862-H4862,""),"")</f>
        <v/>
      </c>
      <c r="J4862" s="114" t="n"/>
      <c r="K4862" s="139">
        <f>IFERROR(IF(H4862&gt;0,H4862*IF(OR(C4862="Alpha",B4862="Alpha"),$C$9,$C$8),""),"")</f>
        <v/>
      </c>
      <c r="L4862" s="139">
        <f>IFERROR(IF(ISNUMBER(F4862),F4862-IF(ISNUMBER(K4862),K4862,0),""),"")</f>
        <v/>
      </c>
    </row>
    <row r="4863" ht="24" customHeight="1" s="63">
      <c r="E4863" s="139" t="n"/>
      <c r="F4863" s="139" t="n"/>
      <c r="G4863" s="140">
        <f>IFERROR(IF(E4863&gt;0,(F4863/E4863)*1000,""),"")</f>
        <v/>
      </c>
      <c r="H4863" s="139">
        <f>IFERROR(IF(E4863&gt;0,E4863*IF(ISNUMBER(J4863),J4863,IF(OR(C4863="Alpha",B4863="Alpha"),$C$7,IF(C4863="Futures",$C$6,$C$5))),""),"")</f>
        <v/>
      </c>
      <c r="I4863" s="139">
        <f>IFERROR(IF(AND(ISNUMBER(F4863),ISNUMBER(H4863)),F4863-H4863,""),"")</f>
        <v/>
      </c>
      <c r="J4863" s="114" t="n"/>
      <c r="K4863" s="139">
        <f>IFERROR(IF(H4863&gt;0,H4863*IF(OR(C4863="Alpha",B4863="Alpha"),$C$9,$C$8),""),"")</f>
        <v/>
      </c>
      <c r="L4863" s="139">
        <f>IFERROR(IF(ISNUMBER(F4863),F4863-IF(ISNUMBER(K4863),K4863,0),""),"")</f>
        <v/>
      </c>
    </row>
    <row r="4864" ht="24" customHeight="1" s="63">
      <c r="E4864" s="139" t="n"/>
      <c r="F4864" s="139" t="n"/>
      <c r="G4864" s="140">
        <f>IFERROR(IF(E4864&gt;0,(F4864/E4864)*1000,""),"")</f>
        <v/>
      </c>
      <c r="H4864" s="139">
        <f>IFERROR(IF(E4864&gt;0,E4864*IF(ISNUMBER(J4864),J4864,IF(OR(C4864="Alpha",B4864="Alpha"),$C$7,IF(C4864="Futures",$C$6,$C$5))),""),"")</f>
        <v/>
      </c>
      <c r="I4864" s="139">
        <f>IFERROR(IF(AND(ISNUMBER(F4864),ISNUMBER(H4864)),F4864-H4864,""),"")</f>
        <v/>
      </c>
      <c r="J4864" s="114" t="n"/>
      <c r="K4864" s="139">
        <f>IFERROR(IF(H4864&gt;0,H4864*IF(OR(C4864="Alpha",B4864="Alpha"),$C$9,$C$8),""),"")</f>
        <v/>
      </c>
      <c r="L4864" s="139">
        <f>IFERROR(IF(ISNUMBER(F4864),F4864-IF(ISNUMBER(K4864),K4864,0),""),"")</f>
        <v/>
      </c>
    </row>
    <row r="4865" ht="24" customHeight="1" s="63">
      <c r="E4865" s="139" t="n"/>
      <c r="F4865" s="139" t="n"/>
      <c r="G4865" s="140">
        <f>IFERROR(IF(E4865&gt;0,(F4865/E4865)*1000,""),"")</f>
        <v/>
      </c>
      <c r="H4865" s="139">
        <f>IFERROR(IF(E4865&gt;0,E4865*IF(ISNUMBER(J4865),J4865,IF(OR(C4865="Alpha",B4865="Alpha"),$C$7,IF(C4865="Futures",$C$6,$C$5))),""),"")</f>
        <v/>
      </c>
      <c r="I4865" s="139">
        <f>IFERROR(IF(AND(ISNUMBER(F4865),ISNUMBER(H4865)),F4865-H4865,""),"")</f>
        <v/>
      </c>
      <c r="J4865" s="114" t="n"/>
      <c r="K4865" s="139">
        <f>IFERROR(IF(H4865&gt;0,H4865*IF(OR(C4865="Alpha",B4865="Alpha"),$C$9,$C$8),""),"")</f>
        <v/>
      </c>
      <c r="L4865" s="139">
        <f>IFERROR(IF(ISNUMBER(F4865),F4865-IF(ISNUMBER(K4865),K4865,0),""),"")</f>
        <v/>
      </c>
    </row>
    <row r="4866" ht="24" customHeight="1" s="63">
      <c r="E4866" s="139" t="n"/>
      <c r="F4866" s="139" t="n"/>
      <c r="G4866" s="140">
        <f>IFERROR(IF(E4866&gt;0,(F4866/E4866)*1000,""),"")</f>
        <v/>
      </c>
      <c r="H4866" s="139">
        <f>IFERROR(IF(E4866&gt;0,E4866*IF(ISNUMBER(J4866),J4866,IF(OR(C4866="Alpha",B4866="Alpha"),$C$7,IF(C4866="Futures",$C$6,$C$5))),""),"")</f>
        <v/>
      </c>
      <c r="I4866" s="139">
        <f>IFERROR(IF(AND(ISNUMBER(F4866),ISNUMBER(H4866)),F4866-H4866,""),"")</f>
        <v/>
      </c>
      <c r="J4866" s="114" t="n"/>
      <c r="K4866" s="139">
        <f>IFERROR(IF(H4866&gt;0,H4866*IF(OR(C4866="Alpha",B4866="Alpha"),$C$9,$C$8),""),"")</f>
        <v/>
      </c>
      <c r="L4866" s="139">
        <f>IFERROR(IF(ISNUMBER(F4866),F4866-IF(ISNUMBER(K4866),K4866,0),""),"")</f>
        <v/>
      </c>
    </row>
    <row r="4867" ht="24" customHeight="1" s="63">
      <c r="E4867" s="139" t="n"/>
      <c r="F4867" s="139" t="n"/>
      <c r="G4867" s="140">
        <f>IFERROR(IF(E4867&gt;0,(F4867/E4867)*1000,""),"")</f>
        <v/>
      </c>
      <c r="H4867" s="139">
        <f>IFERROR(IF(E4867&gt;0,E4867*IF(ISNUMBER(J4867),J4867,IF(OR(C4867="Alpha",B4867="Alpha"),$C$7,IF(C4867="Futures",$C$6,$C$5))),""),"")</f>
        <v/>
      </c>
      <c r="I4867" s="139">
        <f>IFERROR(IF(AND(ISNUMBER(F4867),ISNUMBER(H4867)),F4867-H4867,""),"")</f>
        <v/>
      </c>
      <c r="J4867" s="114" t="n"/>
      <c r="K4867" s="139">
        <f>IFERROR(IF(H4867&gt;0,H4867*IF(OR(C4867="Alpha",B4867="Alpha"),$C$9,$C$8),""),"")</f>
        <v/>
      </c>
      <c r="L4867" s="139">
        <f>IFERROR(IF(ISNUMBER(F4867),F4867-IF(ISNUMBER(K4867),K4867,0),""),"")</f>
        <v/>
      </c>
    </row>
    <row r="4868" ht="24" customHeight="1" s="63">
      <c r="E4868" s="139" t="n"/>
      <c r="F4868" s="139" t="n"/>
      <c r="G4868" s="140">
        <f>IFERROR(IF(E4868&gt;0,(F4868/E4868)*1000,""),"")</f>
        <v/>
      </c>
      <c r="H4868" s="139">
        <f>IFERROR(IF(E4868&gt;0,E4868*IF(ISNUMBER(J4868),J4868,IF(OR(C4868="Alpha",B4868="Alpha"),$C$7,IF(C4868="Futures",$C$6,$C$5))),""),"")</f>
        <v/>
      </c>
      <c r="I4868" s="139">
        <f>IFERROR(IF(AND(ISNUMBER(F4868),ISNUMBER(H4868)),F4868-H4868,""),"")</f>
        <v/>
      </c>
      <c r="J4868" s="114" t="n"/>
      <c r="K4868" s="139">
        <f>IFERROR(IF(H4868&gt;0,H4868*IF(OR(C4868="Alpha",B4868="Alpha"),$C$9,$C$8),""),"")</f>
        <v/>
      </c>
      <c r="L4868" s="139">
        <f>IFERROR(IF(ISNUMBER(F4868),F4868-IF(ISNUMBER(K4868),K4868,0),""),"")</f>
        <v/>
      </c>
    </row>
    <row r="4869" ht="24" customHeight="1" s="63">
      <c r="E4869" s="139" t="n"/>
      <c r="F4869" s="139" t="n"/>
      <c r="G4869" s="140">
        <f>IFERROR(IF(E4869&gt;0,(F4869/E4869)*1000,""),"")</f>
        <v/>
      </c>
      <c r="H4869" s="139">
        <f>IFERROR(IF(E4869&gt;0,E4869*IF(ISNUMBER(J4869),J4869,IF(OR(C4869="Alpha",B4869="Alpha"),$C$7,IF(C4869="Futures",$C$6,$C$5))),""),"")</f>
        <v/>
      </c>
      <c r="I4869" s="139">
        <f>IFERROR(IF(AND(ISNUMBER(F4869),ISNUMBER(H4869)),F4869-H4869,""),"")</f>
        <v/>
      </c>
      <c r="J4869" s="114" t="n"/>
      <c r="K4869" s="139">
        <f>IFERROR(IF(H4869&gt;0,H4869*IF(OR(C4869="Alpha",B4869="Alpha"),$C$9,$C$8),""),"")</f>
        <v/>
      </c>
      <c r="L4869" s="139">
        <f>IFERROR(IF(ISNUMBER(F4869),F4869-IF(ISNUMBER(K4869),K4869,0),""),"")</f>
        <v/>
      </c>
    </row>
    <row r="4870" ht="24" customHeight="1" s="63">
      <c r="E4870" s="139" t="n"/>
      <c r="F4870" s="139" t="n"/>
      <c r="G4870" s="140">
        <f>IFERROR(IF(E4870&gt;0,(F4870/E4870)*1000,""),"")</f>
        <v/>
      </c>
      <c r="H4870" s="139">
        <f>IFERROR(IF(E4870&gt;0,E4870*IF(ISNUMBER(J4870),J4870,IF(OR(C4870="Alpha",B4870="Alpha"),$C$7,IF(C4870="Futures",$C$6,$C$5))),""),"")</f>
        <v/>
      </c>
      <c r="I4870" s="139">
        <f>IFERROR(IF(AND(ISNUMBER(F4870),ISNUMBER(H4870)),F4870-H4870,""),"")</f>
        <v/>
      </c>
      <c r="J4870" s="114" t="n"/>
      <c r="K4870" s="139">
        <f>IFERROR(IF(H4870&gt;0,H4870*IF(OR(C4870="Alpha",B4870="Alpha"),$C$9,$C$8),""),"")</f>
        <v/>
      </c>
      <c r="L4870" s="139">
        <f>IFERROR(IF(ISNUMBER(F4870),F4870-IF(ISNUMBER(K4870),K4870,0),""),"")</f>
        <v/>
      </c>
    </row>
    <row r="4871" ht="24" customHeight="1" s="63">
      <c r="E4871" s="139" t="n"/>
      <c r="F4871" s="139" t="n"/>
      <c r="G4871" s="140">
        <f>IFERROR(IF(E4871&gt;0,(F4871/E4871)*1000,""),"")</f>
        <v/>
      </c>
      <c r="H4871" s="139">
        <f>IFERROR(IF(E4871&gt;0,E4871*IF(ISNUMBER(J4871),J4871,IF(OR(C4871="Alpha",B4871="Alpha"),$C$7,IF(C4871="Futures",$C$6,$C$5))),""),"")</f>
        <v/>
      </c>
      <c r="I4871" s="139">
        <f>IFERROR(IF(AND(ISNUMBER(F4871),ISNUMBER(H4871)),F4871-H4871,""),"")</f>
        <v/>
      </c>
      <c r="J4871" s="114" t="n"/>
      <c r="K4871" s="139">
        <f>IFERROR(IF(H4871&gt;0,H4871*IF(OR(C4871="Alpha",B4871="Alpha"),$C$9,$C$8),""),"")</f>
        <v/>
      </c>
      <c r="L4871" s="139">
        <f>IFERROR(IF(ISNUMBER(F4871),F4871-IF(ISNUMBER(K4871),K4871,0),""),"")</f>
        <v/>
      </c>
    </row>
    <row r="4872" ht="24" customHeight="1" s="63">
      <c r="E4872" s="139" t="n"/>
      <c r="F4872" s="139" t="n"/>
      <c r="G4872" s="140">
        <f>IFERROR(IF(E4872&gt;0,(F4872/E4872)*1000,""),"")</f>
        <v/>
      </c>
      <c r="H4872" s="139">
        <f>IFERROR(IF(E4872&gt;0,E4872*IF(ISNUMBER(J4872),J4872,IF(OR(C4872="Alpha",B4872="Alpha"),$C$7,IF(C4872="Futures",$C$6,$C$5))),""),"")</f>
        <v/>
      </c>
      <c r="I4872" s="139">
        <f>IFERROR(IF(AND(ISNUMBER(F4872),ISNUMBER(H4872)),F4872-H4872,""),"")</f>
        <v/>
      </c>
      <c r="J4872" s="114" t="n"/>
      <c r="K4872" s="139">
        <f>IFERROR(IF(H4872&gt;0,H4872*IF(OR(C4872="Alpha",B4872="Alpha"),$C$9,$C$8),""),"")</f>
        <v/>
      </c>
      <c r="L4872" s="139">
        <f>IFERROR(IF(ISNUMBER(F4872),F4872-IF(ISNUMBER(K4872),K4872,0),""),"")</f>
        <v/>
      </c>
    </row>
    <row r="4873" ht="24" customHeight="1" s="63">
      <c r="E4873" s="139" t="n"/>
      <c r="F4873" s="139" t="n"/>
      <c r="G4873" s="140">
        <f>IFERROR(IF(E4873&gt;0,(F4873/E4873)*1000,""),"")</f>
        <v/>
      </c>
      <c r="H4873" s="139">
        <f>IFERROR(IF(E4873&gt;0,E4873*IF(ISNUMBER(J4873),J4873,IF(OR(C4873="Alpha",B4873="Alpha"),$C$7,IF(C4873="Futures",$C$6,$C$5))),""),"")</f>
        <v/>
      </c>
      <c r="I4873" s="139">
        <f>IFERROR(IF(AND(ISNUMBER(F4873),ISNUMBER(H4873)),F4873-H4873,""),"")</f>
        <v/>
      </c>
      <c r="J4873" s="114" t="n"/>
      <c r="K4873" s="139">
        <f>IFERROR(IF(H4873&gt;0,H4873*IF(OR(C4873="Alpha",B4873="Alpha"),$C$9,$C$8),""),"")</f>
        <v/>
      </c>
      <c r="L4873" s="139">
        <f>IFERROR(IF(ISNUMBER(F4873),F4873-IF(ISNUMBER(K4873),K4873,0),""),"")</f>
        <v/>
      </c>
    </row>
    <row r="4874" ht="24" customHeight="1" s="63">
      <c r="E4874" s="139" t="n"/>
      <c r="F4874" s="139" t="n"/>
      <c r="G4874" s="140">
        <f>IFERROR(IF(E4874&gt;0,(F4874/E4874)*1000,""),"")</f>
        <v/>
      </c>
      <c r="H4874" s="139">
        <f>IFERROR(IF(E4874&gt;0,E4874*IF(ISNUMBER(J4874),J4874,IF(OR(C4874="Alpha",B4874="Alpha"),$C$7,IF(C4874="Futures",$C$6,$C$5))),""),"")</f>
        <v/>
      </c>
      <c r="I4874" s="139">
        <f>IFERROR(IF(AND(ISNUMBER(F4874),ISNUMBER(H4874)),F4874-H4874,""),"")</f>
        <v/>
      </c>
      <c r="J4874" s="114" t="n"/>
      <c r="K4874" s="139">
        <f>IFERROR(IF(H4874&gt;0,H4874*IF(OR(C4874="Alpha",B4874="Alpha"),$C$9,$C$8),""),"")</f>
        <v/>
      </c>
      <c r="L4874" s="139">
        <f>IFERROR(IF(ISNUMBER(F4874),F4874-IF(ISNUMBER(K4874),K4874,0),""),"")</f>
        <v/>
      </c>
    </row>
    <row r="4875" ht="24" customHeight="1" s="63">
      <c r="E4875" s="139" t="n"/>
      <c r="F4875" s="139" t="n"/>
      <c r="G4875" s="140">
        <f>IFERROR(IF(E4875&gt;0,(F4875/E4875)*1000,""),"")</f>
        <v/>
      </c>
      <c r="H4875" s="139">
        <f>IFERROR(IF(E4875&gt;0,E4875*IF(ISNUMBER(J4875),J4875,IF(OR(C4875="Alpha",B4875="Alpha"),$C$7,IF(C4875="Futures",$C$6,$C$5))),""),"")</f>
        <v/>
      </c>
      <c r="I4875" s="139">
        <f>IFERROR(IF(AND(ISNUMBER(F4875),ISNUMBER(H4875)),F4875-H4875,""),"")</f>
        <v/>
      </c>
      <c r="J4875" s="114" t="n"/>
      <c r="K4875" s="139">
        <f>IFERROR(IF(H4875&gt;0,H4875*IF(OR(C4875="Alpha",B4875="Alpha"),$C$9,$C$8),""),"")</f>
        <v/>
      </c>
      <c r="L4875" s="139">
        <f>IFERROR(IF(ISNUMBER(F4875),F4875-IF(ISNUMBER(K4875),K4875,0),""),"")</f>
        <v/>
      </c>
    </row>
    <row r="4876" ht="24" customHeight="1" s="63">
      <c r="E4876" s="139" t="n"/>
      <c r="F4876" s="139" t="n"/>
      <c r="G4876" s="140">
        <f>IFERROR(IF(E4876&gt;0,(F4876/E4876)*1000,""),"")</f>
        <v/>
      </c>
      <c r="H4876" s="139">
        <f>IFERROR(IF(E4876&gt;0,E4876*IF(ISNUMBER(J4876),J4876,IF(OR(C4876="Alpha",B4876="Alpha"),$C$7,IF(C4876="Futures",$C$6,$C$5))),""),"")</f>
        <v/>
      </c>
      <c r="I4876" s="139">
        <f>IFERROR(IF(AND(ISNUMBER(F4876),ISNUMBER(H4876)),F4876-H4876,""),"")</f>
        <v/>
      </c>
      <c r="J4876" s="114" t="n"/>
      <c r="K4876" s="139">
        <f>IFERROR(IF(H4876&gt;0,H4876*IF(OR(C4876="Alpha",B4876="Alpha"),$C$9,$C$8),""),"")</f>
        <v/>
      </c>
      <c r="L4876" s="139">
        <f>IFERROR(IF(ISNUMBER(F4876),F4876-IF(ISNUMBER(K4876),K4876,0),""),"")</f>
        <v/>
      </c>
    </row>
    <row r="4877" ht="24" customHeight="1" s="63">
      <c r="E4877" s="139" t="n"/>
      <c r="F4877" s="139" t="n"/>
      <c r="G4877" s="140">
        <f>IFERROR(IF(E4877&gt;0,(F4877/E4877)*1000,""),"")</f>
        <v/>
      </c>
      <c r="H4877" s="139">
        <f>IFERROR(IF(E4877&gt;0,E4877*IF(ISNUMBER(J4877),J4877,IF(OR(C4877="Alpha",B4877="Alpha"),$C$7,IF(C4877="Futures",$C$6,$C$5))),""),"")</f>
        <v/>
      </c>
      <c r="I4877" s="139">
        <f>IFERROR(IF(AND(ISNUMBER(F4877),ISNUMBER(H4877)),F4877-H4877,""),"")</f>
        <v/>
      </c>
      <c r="J4877" s="114" t="n"/>
      <c r="K4877" s="139">
        <f>IFERROR(IF(H4877&gt;0,H4877*IF(OR(C4877="Alpha",B4877="Alpha"),$C$9,$C$8),""),"")</f>
        <v/>
      </c>
      <c r="L4877" s="139">
        <f>IFERROR(IF(ISNUMBER(F4877),F4877-IF(ISNUMBER(K4877),K4877,0),""),"")</f>
        <v/>
      </c>
    </row>
    <row r="4878" ht="24" customHeight="1" s="63">
      <c r="E4878" s="139" t="n"/>
      <c r="F4878" s="139" t="n"/>
      <c r="G4878" s="140">
        <f>IFERROR(IF(E4878&gt;0,(F4878/E4878)*1000,""),"")</f>
        <v/>
      </c>
      <c r="H4878" s="139">
        <f>IFERROR(IF(E4878&gt;0,E4878*IF(ISNUMBER(J4878),J4878,IF(OR(C4878="Alpha",B4878="Alpha"),$C$7,IF(C4878="Futures",$C$6,$C$5))),""),"")</f>
        <v/>
      </c>
      <c r="I4878" s="139">
        <f>IFERROR(IF(AND(ISNUMBER(F4878),ISNUMBER(H4878)),F4878-H4878,""),"")</f>
        <v/>
      </c>
      <c r="J4878" s="114" t="n"/>
      <c r="K4878" s="139">
        <f>IFERROR(IF(H4878&gt;0,H4878*IF(OR(C4878="Alpha",B4878="Alpha"),$C$9,$C$8),""),"")</f>
        <v/>
      </c>
      <c r="L4878" s="139">
        <f>IFERROR(IF(ISNUMBER(F4878),F4878-IF(ISNUMBER(K4878),K4878,0),""),"")</f>
        <v/>
      </c>
    </row>
    <row r="4879" ht="24" customHeight="1" s="63">
      <c r="E4879" s="139" t="n"/>
      <c r="F4879" s="139" t="n"/>
      <c r="G4879" s="140">
        <f>IFERROR(IF(E4879&gt;0,(F4879/E4879)*1000,""),"")</f>
        <v/>
      </c>
      <c r="H4879" s="139">
        <f>IFERROR(IF(E4879&gt;0,E4879*IF(ISNUMBER(J4879),J4879,IF(OR(C4879="Alpha",B4879="Alpha"),$C$7,IF(C4879="Futures",$C$6,$C$5))),""),"")</f>
        <v/>
      </c>
      <c r="I4879" s="139">
        <f>IFERROR(IF(AND(ISNUMBER(F4879),ISNUMBER(H4879)),F4879-H4879,""),"")</f>
        <v/>
      </c>
      <c r="J4879" s="114" t="n"/>
      <c r="K4879" s="139">
        <f>IFERROR(IF(H4879&gt;0,H4879*IF(OR(C4879="Alpha",B4879="Alpha"),$C$9,$C$8),""),"")</f>
        <v/>
      </c>
      <c r="L4879" s="139">
        <f>IFERROR(IF(ISNUMBER(F4879),F4879-IF(ISNUMBER(K4879),K4879,0),""),"")</f>
        <v/>
      </c>
    </row>
    <row r="4880" ht="24" customHeight="1" s="63">
      <c r="E4880" s="139" t="n"/>
      <c r="F4880" s="139" t="n"/>
      <c r="G4880" s="140">
        <f>IFERROR(IF(E4880&gt;0,(F4880/E4880)*1000,""),"")</f>
        <v/>
      </c>
      <c r="H4880" s="139">
        <f>IFERROR(IF(E4880&gt;0,E4880*IF(ISNUMBER(J4880),J4880,IF(OR(C4880="Alpha",B4880="Alpha"),$C$7,IF(C4880="Futures",$C$6,$C$5))),""),"")</f>
        <v/>
      </c>
      <c r="I4880" s="139">
        <f>IFERROR(IF(AND(ISNUMBER(F4880),ISNUMBER(H4880)),F4880-H4880,""),"")</f>
        <v/>
      </c>
      <c r="J4880" s="114" t="n"/>
      <c r="K4880" s="139">
        <f>IFERROR(IF(H4880&gt;0,H4880*IF(OR(C4880="Alpha",B4880="Alpha"),$C$9,$C$8),""),"")</f>
        <v/>
      </c>
      <c r="L4880" s="139">
        <f>IFERROR(IF(ISNUMBER(F4880),F4880-IF(ISNUMBER(K4880),K4880,0),""),"")</f>
        <v/>
      </c>
    </row>
    <row r="4881" ht="24" customHeight="1" s="63">
      <c r="E4881" s="139" t="n"/>
      <c r="F4881" s="139" t="n"/>
      <c r="G4881" s="140">
        <f>IFERROR(IF(E4881&gt;0,(F4881/E4881)*1000,""),"")</f>
        <v/>
      </c>
      <c r="H4881" s="139">
        <f>IFERROR(IF(E4881&gt;0,E4881*IF(ISNUMBER(J4881),J4881,IF(OR(C4881="Alpha",B4881="Alpha"),$C$7,IF(C4881="Futures",$C$6,$C$5))),""),"")</f>
        <v/>
      </c>
      <c r="I4881" s="139">
        <f>IFERROR(IF(AND(ISNUMBER(F4881),ISNUMBER(H4881)),F4881-H4881,""),"")</f>
        <v/>
      </c>
      <c r="J4881" s="114" t="n"/>
      <c r="K4881" s="139">
        <f>IFERROR(IF(H4881&gt;0,H4881*IF(OR(C4881="Alpha",B4881="Alpha"),$C$9,$C$8),""),"")</f>
        <v/>
      </c>
      <c r="L4881" s="139">
        <f>IFERROR(IF(ISNUMBER(F4881),F4881-IF(ISNUMBER(K4881),K4881,0),""),"")</f>
        <v/>
      </c>
    </row>
    <row r="4882" ht="24" customHeight="1" s="63">
      <c r="E4882" s="139" t="n"/>
      <c r="F4882" s="139" t="n"/>
      <c r="G4882" s="140">
        <f>IFERROR(IF(E4882&gt;0,(F4882/E4882)*1000,""),"")</f>
        <v/>
      </c>
      <c r="H4882" s="139">
        <f>IFERROR(IF(E4882&gt;0,E4882*IF(ISNUMBER(J4882),J4882,IF(OR(C4882="Alpha",B4882="Alpha"),$C$7,IF(C4882="Futures",$C$6,$C$5))),""),"")</f>
        <v/>
      </c>
      <c r="I4882" s="139">
        <f>IFERROR(IF(AND(ISNUMBER(F4882),ISNUMBER(H4882)),F4882-H4882,""),"")</f>
        <v/>
      </c>
      <c r="J4882" s="114" t="n"/>
      <c r="K4882" s="139">
        <f>IFERROR(IF(H4882&gt;0,H4882*IF(OR(C4882="Alpha",B4882="Alpha"),$C$9,$C$8),""),"")</f>
        <v/>
      </c>
      <c r="L4882" s="139">
        <f>IFERROR(IF(ISNUMBER(F4882),F4882-IF(ISNUMBER(K4882),K4882,0),""),"")</f>
        <v/>
      </c>
    </row>
    <row r="4883" ht="24" customHeight="1" s="63">
      <c r="E4883" s="139" t="n"/>
      <c r="F4883" s="139" t="n"/>
      <c r="G4883" s="140">
        <f>IFERROR(IF(E4883&gt;0,(F4883/E4883)*1000,""),"")</f>
        <v/>
      </c>
      <c r="H4883" s="139">
        <f>IFERROR(IF(E4883&gt;0,E4883*IF(ISNUMBER(J4883),J4883,IF(OR(C4883="Alpha",B4883="Alpha"),$C$7,IF(C4883="Futures",$C$6,$C$5))),""),"")</f>
        <v/>
      </c>
      <c r="I4883" s="139">
        <f>IFERROR(IF(AND(ISNUMBER(F4883),ISNUMBER(H4883)),F4883-H4883,""),"")</f>
        <v/>
      </c>
      <c r="J4883" s="114" t="n"/>
      <c r="K4883" s="139">
        <f>IFERROR(IF(H4883&gt;0,H4883*IF(OR(C4883="Alpha",B4883="Alpha"),$C$9,$C$8),""),"")</f>
        <v/>
      </c>
      <c r="L4883" s="139">
        <f>IFERROR(IF(ISNUMBER(F4883),F4883-IF(ISNUMBER(K4883),K4883,0),""),"")</f>
        <v/>
      </c>
    </row>
    <row r="4884" ht="24" customHeight="1" s="63">
      <c r="E4884" s="139" t="n"/>
      <c r="F4884" s="139" t="n"/>
      <c r="G4884" s="140">
        <f>IFERROR(IF(E4884&gt;0,(F4884/E4884)*1000,""),"")</f>
        <v/>
      </c>
      <c r="H4884" s="139">
        <f>IFERROR(IF(E4884&gt;0,E4884*IF(ISNUMBER(J4884),J4884,IF(OR(C4884="Alpha",B4884="Alpha"),$C$7,IF(C4884="Futures",$C$6,$C$5))),""),"")</f>
        <v/>
      </c>
      <c r="I4884" s="139">
        <f>IFERROR(IF(AND(ISNUMBER(F4884),ISNUMBER(H4884)),F4884-H4884,""),"")</f>
        <v/>
      </c>
      <c r="J4884" s="114" t="n"/>
      <c r="K4884" s="139">
        <f>IFERROR(IF(H4884&gt;0,H4884*IF(OR(C4884="Alpha",B4884="Alpha"),$C$9,$C$8),""),"")</f>
        <v/>
      </c>
      <c r="L4884" s="139">
        <f>IFERROR(IF(ISNUMBER(F4884),F4884-IF(ISNUMBER(K4884),K4884,0),""),"")</f>
        <v/>
      </c>
    </row>
    <row r="4885" ht="24" customHeight="1" s="63">
      <c r="E4885" s="139" t="n"/>
      <c r="F4885" s="139" t="n"/>
      <c r="G4885" s="140">
        <f>IFERROR(IF(E4885&gt;0,(F4885/E4885)*1000,""),"")</f>
        <v/>
      </c>
      <c r="H4885" s="139">
        <f>IFERROR(IF(E4885&gt;0,E4885*IF(ISNUMBER(J4885),J4885,IF(OR(C4885="Alpha",B4885="Alpha"),$C$7,IF(C4885="Futures",$C$6,$C$5))),""),"")</f>
        <v/>
      </c>
      <c r="I4885" s="139">
        <f>IFERROR(IF(AND(ISNUMBER(F4885),ISNUMBER(H4885)),F4885-H4885,""),"")</f>
        <v/>
      </c>
      <c r="J4885" s="114" t="n"/>
      <c r="K4885" s="139">
        <f>IFERROR(IF(H4885&gt;0,H4885*IF(OR(C4885="Alpha",B4885="Alpha"),$C$9,$C$8),""),"")</f>
        <v/>
      </c>
      <c r="L4885" s="139">
        <f>IFERROR(IF(ISNUMBER(F4885),F4885-IF(ISNUMBER(K4885),K4885,0),""),"")</f>
        <v/>
      </c>
    </row>
    <row r="4886" ht="24" customHeight="1" s="63">
      <c r="E4886" s="139" t="n"/>
      <c r="F4886" s="139" t="n"/>
      <c r="G4886" s="140">
        <f>IFERROR(IF(E4886&gt;0,(F4886/E4886)*1000,""),"")</f>
        <v/>
      </c>
      <c r="H4886" s="139">
        <f>IFERROR(IF(E4886&gt;0,E4886*IF(ISNUMBER(J4886),J4886,IF(OR(C4886="Alpha",B4886="Alpha"),$C$7,IF(C4886="Futures",$C$6,$C$5))),""),"")</f>
        <v/>
      </c>
      <c r="I4886" s="139">
        <f>IFERROR(IF(AND(ISNUMBER(F4886),ISNUMBER(H4886)),F4886-H4886,""),"")</f>
        <v/>
      </c>
      <c r="J4886" s="114" t="n"/>
      <c r="K4886" s="139">
        <f>IFERROR(IF(H4886&gt;0,H4886*IF(OR(C4886="Alpha",B4886="Alpha"),$C$9,$C$8),""),"")</f>
        <v/>
      </c>
      <c r="L4886" s="139">
        <f>IFERROR(IF(ISNUMBER(F4886),F4886-IF(ISNUMBER(K4886),K4886,0),""),"")</f>
        <v/>
      </c>
    </row>
    <row r="4887" ht="24" customHeight="1" s="63">
      <c r="E4887" s="139" t="n"/>
      <c r="F4887" s="139" t="n"/>
      <c r="G4887" s="140">
        <f>IFERROR(IF(E4887&gt;0,(F4887/E4887)*1000,""),"")</f>
        <v/>
      </c>
      <c r="H4887" s="139">
        <f>IFERROR(IF(E4887&gt;0,E4887*IF(ISNUMBER(J4887),J4887,IF(OR(C4887="Alpha",B4887="Alpha"),$C$7,IF(C4887="Futures",$C$6,$C$5))),""),"")</f>
        <v/>
      </c>
      <c r="I4887" s="139">
        <f>IFERROR(IF(AND(ISNUMBER(F4887),ISNUMBER(H4887)),F4887-H4887,""),"")</f>
        <v/>
      </c>
      <c r="J4887" s="114" t="n"/>
      <c r="K4887" s="139">
        <f>IFERROR(IF(H4887&gt;0,H4887*IF(OR(C4887="Alpha",B4887="Alpha"),$C$9,$C$8),""),"")</f>
        <v/>
      </c>
      <c r="L4887" s="139">
        <f>IFERROR(IF(ISNUMBER(F4887),F4887-IF(ISNUMBER(K4887),K4887,0),""),"")</f>
        <v/>
      </c>
    </row>
    <row r="4888" ht="24" customHeight="1" s="63">
      <c r="E4888" s="139" t="n"/>
      <c r="F4888" s="139" t="n"/>
      <c r="G4888" s="140">
        <f>IFERROR(IF(E4888&gt;0,(F4888/E4888)*1000,""),"")</f>
        <v/>
      </c>
      <c r="H4888" s="139">
        <f>IFERROR(IF(E4888&gt;0,E4888*IF(ISNUMBER(J4888),J4888,IF(OR(C4888="Alpha",B4888="Alpha"),$C$7,IF(C4888="Futures",$C$6,$C$5))),""),"")</f>
        <v/>
      </c>
      <c r="I4888" s="139">
        <f>IFERROR(IF(AND(ISNUMBER(F4888),ISNUMBER(H4888)),F4888-H4888,""),"")</f>
        <v/>
      </c>
      <c r="J4888" s="114" t="n"/>
      <c r="K4888" s="139">
        <f>IFERROR(IF(H4888&gt;0,H4888*IF(OR(C4888="Alpha",B4888="Alpha"),$C$9,$C$8),""),"")</f>
        <v/>
      </c>
      <c r="L4888" s="139">
        <f>IFERROR(IF(ISNUMBER(F4888),F4888-IF(ISNUMBER(K4888),K4888,0),""),"")</f>
        <v/>
      </c>
    </row>
    <row r="4889" ht="24" customHeight="1" s="63">
      <c r="E4889" s="139" t="n"/>
      <c r="F4889" s="139" t="n"/>
      <c r="G4889" s="140">
        <f>IFERROR(IF(E4889&gt;0,(F4889/E4889)*1000,""),"")</f>
        <v/>
      </c>
      <c r="H4889" s="139">
        <f>IFERROR(IF(E4889&gt;0,E4889*IF(ISNUMBER(J4889),J4889,IF(OR(C4889="Alpha",B4889="Alpha"),$C$7,IF(C4889="Futures",$C$6,$C$5))),""),"")</f>
        <v/>
      </c>
      <c r="I4889" s="139">
        <f>IFERROR(IF(AND(ISNUMBER(F4889),ISNUMBER(H4889)),F4889-H4889,""),"")</f>
        <v/>
      </c>
      <c r="J4889" s="114" t="n"/>
      <c r="K4889" s="139">
        <f>IFERROR(IF(H4889&gt;0,H4889*IF(OR(C4889="Alpha",B4889="Alpha"),$C$9,$C$8),""),"")</f>
        <v/>
      </c>
      <c r="L4889" s="139">
        <f>IFERROR(IF(ISNUMBER(F4889),F4889-IF(ISNUMBER(K4889),K4889,0),""),"")</f>
        <v/>
      </c>
    </row>
    <row r="4890" ht="24" customHeight="1" s="63">
      <c r="E4890" s="139" t="n"/>
      <c r="F4890" s="139" t="n"/>
      <c r="G4890" s="140">
        <f>IFERROR(IF(E4890&gt;0,(F4890/E4890)*1000,""),"")</f>
        <v/>
      </c>
      <c r="H4890" s="139">
        <f>IFERROR(IF(E4890&gt;0,E4890*IF(ISNUMBER(J4890),J4890,IF(OR(C4890="Alpha",B4890="Alpha"),$C$7,IF(C4890="Futures",$C$6,$C$5))),""),"")</f>
        <v/>
      </c>
      <c r="I4890" s="139">
        <f>IFERROR(IF(AND(ISNUMBER(F4890),ISNUMBER(H4890)),F4890-H4890,""),"")</f>
        <v/>
      </c>
      <c r="J4890" s="114" t="n"/>
      <c r="K4890" s="139">
        <f>IFERROR(IF(H4890&gt;0,H4890*IF(OR(C4890="Alpha",B4890="Alpha"),$C$9,$C$8),""),"")</f>
        <v/>
      </c>
      <c r="L4890" s="139">
        <f>IFERROR(IF(ISNUMBER(F4890),F4890-IF(ISNUMBER(K4890),K4890,0),""),"")</f>
        <v/>
      </c>
    </row>
    <row r="4891" ht="24" customHeight="1" s="63">
      <c r="E4891" s="139" t="n"/>
      <c r="F4891" s="139" t="n"/>
      <c r="G4891" s="140">
        <f>IFERROR(IF(E4891&gt;0,(F4891/E4891)*1000,""),"")</f>
        <v/>
      </c>
      <c r="H4891" s="139">
        <f>IFERROR(IF(E4891&gt;0,E4891*IF(ISNUMBER(J4891),J4891,IF(OR(C4891="Alpha",B4891="Alpha"),$C$7,IF(C4891="Futures",$C$6,$C$5))),""),"")</f>
        <v/>
      </c>
      <c r="I4891" s="139">
        <f>IFERROR(IF(AND(ISNUMBER(F4891),ISNUMBER(H4891)),F4891-H4891,""),"")</f>
        <v/>
      </c>
      <c r="J4891" s="114" t="n"/>
      <c r="K4891" s="139">
        <f>IFERROR(IF(H4891&gt;0,H4891*IF(OR(C4891="Alpha",B4891="Alpha"),$C$9,$C$8),""),"")</f>
        <v/>
      </c>
      <c r="L4891" s="139">
        <f>IFERROR(IF(ISNUMBER(F4891),F4891-IF(ISNUMBER(K4891),K4891,0),""),"")</f>
        <v/>
      </c>
    </row>
    <row r="4892" ht="24" customHeight="1" s="63">
      <c r="E4892" s="139" t="n"/>
      <c r="F4892" s="139" t="n"/>
      <c r="G4892" s="140">
        <f>IFERROR(IF(E4892&gt;0,(F4892/E4892)*1000,""),"")</f>
        <v/>
      </c>
      <c r="H4892" s="139">
        <f>IFERROR(IF(E4892&gt;0,E4892*IF(ISNUMBER(J4892),J4892,IF(OR(C4892="Alpha",B4892="Alpha"),$C$7,IF(C4892="Futures",$C$6,$C$5))),""),"")</f>
        <v/>
      </c>
      <c r="I4892" s="139">
        <f>IFERROR(IF(AND(ISNUMBER(F4892),ISNUMBER(H4892)),F4892-H4892,""),"")</f>
        <v/>
      </c>
      <c r="J4892" s="114" t="n"/>
      <c r="K4892" s="139">
        <f>IFERROR(IF(H4892&gt;0,H4892*IF(OR(C4892="Alpha",B4892="Alpha"),$C$9,$C$8),""),"")</f>
        <v/>
      </c>
      <c r="L4892" s="139">
        <f>IFERROR(IF(ISNUMBER(F4892),F4892-IF(ISNUMBER(K4892),K4892,0),""),"")</f>
        <v/>
      </c>
    </row>
    <row r="4893" ht="24" customHeight="1" s="63">
      <c r="E4893" s="139" t="n"/>
      <c r="F4893" s="139" t="n"/>
      <c r="G4893" s="140">
        <f>IFERROR(IF(E4893&gt;0,(F4893/E4893)*1000,""),"")</f>
        <v/>
      </c>
      <c r="H4893" s="139">
        <f>IFERROR(IF(E4893&gt;0,E4893*IF(ISNUMBER(J4893),J4893,IF(OR(C4893="Alpha",B4893="Alpha"),$C$7,IF(C4893="Futures",$C$6,$C$5))),""),"")</f>
        <v/>
      </c>
      <c r="I4893" s="139">
        <f>IFERROR(IF(AND(ISNUMBER(F4893),ISNUMBER(H4893)),F4893-H4893,""),"")</f>
        <v/>
      </c>
      <c r="J4893" s="114" t="n"/>
      <c r="K4893" s="139">
        <f>IFERROR(IF(H4893&gt;0,H4893*IF(OR(C4893="Alpha",B4893="Alpha"),$C$9,$C$8),""),"")</f>
        <v/>
      </c>
      <c r="L4893" s="139">
        <f>IFERROR(IF(ISNUMBER(F4893),F4893-IF(ISNUMBER(K4893),K4893,0),""),"")</f>
        <v/>
      </c>
    </row>
    <row r="4894" ht="24" customHeight="1" s="63">
      <c r="E4894" s="139" t="n"/>
      <c r="F4894" s="139" t="n"/>
      <c r="G4894" s="140">
        <f>IFERROR(IF(E4894&gt;0,(F4894/E4894)*1000,""),"")</f>
        <v/>
      </c>
      <c r="H4894" s="139">
        <f>IFERROR(IF(E4894&gt;0,E4894*IF(ISNUMBER(J4894),J4894,IF(OR(C4894="Alpha",B4894="Alpha"),$C$7,IF(C4894="Futures",$C$6,$C$5))),""),"")</f>
        <v/>
      </c>
      <c r="I4894" s="139">
        <f>IFERROR(IF(AND(ISNUMBER(F4894),ISNUMBER(H4894)),F4894-H4894,""),"")</f>
        <v/>
      </c>
      <c r="J4894" s="114" t="n"/>
      <c r="K4894" s="139">
        <f>IFERROR(IF(H4894&gt;0,H4894*IF(OR(C4894="Alpha",B4894="Alpha"),$C$9,$C$8),""),"")</f>
        <v/>
      </c>
      <c r="L4894" s="139">
        <f>IFERROR(IF(ISNUMBER(F4894),F4894-IF(ISNUMBER(K4894),K4894,0),""),"")</f>
        <v/>
      </c>
    </row>
    <row r="4895" ht="24" customHeight="1" s="63">
      <c r="E4895" s="139" t="n"/>
      <c r="F4895" s="139" t="n"/>
      <c r="G4895" s="140">
        <f>IFERROR(IF(E4895&gt;0,(F4895/E4895)*1000,""),"")</f>
        <v/>
      </c>
      <c r="H4895" s="139">
        <f>IFERROR(IF(E4895&gt;0,E4895*IF(ISNUMBER(J4895),J4895,IF(OR(C4895="Alpha",B4895="Alpha"),$C$7,IF(C4895="Futures",$C$6,$C$5))),""),"")</f>
        <v/>
      </c>
      <c r="I4895" s="139">
        <f>IFERROR(IF(AND(ISNUMBER(F4895),ISNUMBER(H4895)),F4895-H4895,""),"")</f>
        <v/>
      </c>
      <c r="J4895" s="114" t="n"/>
      <c r="K4895" s="139">
        <f>IFERROR(IF(H4895&gt;0,H4895*IF(OR(C4895="Alpha",B4895="Alpha"),$C$9,$C$8),""),"")</f>
        <v/>
      </c>
      <c r="L4895" s="139">
        <f>IFERROR(IF(ISNUMBER(F4895),F4895-IF(ISNUMBER(K4895),K4895,0),""),"")</f>
        <v/>
      </c>
    </row>
    <row r="4896" ht="24" customHeight="1" s="63">
      <c r="E4896" s="139" t="n"/>
      <c r="F4896" s="139" t="n"/>
      <c r="G4896" s="140">
        <f>IFERROR(IF(E4896&gt;0,(F4896/E4896)*1000,""),"")</f>
        <v/>
      </c>
      <c r="H4896" s="139">
        <f>IFERROR(IF(E4896&gt;0,E4896*IF(ISNUMBER(J4896),J4896,IF(OR(C4896="Alpha",B4896="Alpha"),$C$7,IF(C4896="Futures",$C$6,$C$5))),""),"")</f>
        <v/>
      </c>
      <c r="I4896" s="139">
        <f>IFERROR(IF(AND(ISNUMBER(F4896),ISNUMBER(H4896)),F4896-H4896,""),"")</f>
        <v/>
      </c>
      <c r="J4896" s="114" t="n"/>
      <c r="K4896" s="139">
        <f>IFERROR(IF(H4896&gt;0,H4896*IF(OR(C4896="Alpha",B4896="Alpha"),$C$9,$C$8),""),"")</f>
        <v/>
      </c>
      <c r="L4896" s="139">
        <f>IFERROR(IF(ISNUMBER(F4896),F4896-IF(ISNUMBER(K4896),K4896,0),""),"")</f>
        <v/>
      </c>
    </row>
    <row r="4897" ht="24" customHeight="1" s="63">
      <c r="E4897" s="139" t="n"/>
      <c r="F4897" s="139" t="n"/>
      <c r="G4897" s="140">
        <f>IFERROR(IF(E4897&gt;0,(F4897/E4897)*1000,""),"")</f>
        <v/>
      </c>
      <c r="H4897" s="139">
        <f>IFERROR(IF(E4897&gt;0,E4897*IF(ISNUMBER(J4897),J4897,IF(OR(C4897="Alpha",B4897="Alpha"),$C$7,IF(C4897="Futures",$C$6,$C$5))),""),"")</f>
        <v/>
      </c>
      <c r="I4897" s="139">
        <f>IFERROR(IF(AND(ISNUMBER(F4897),ISNUMBER(H4897)),F4897-H4897,""),"")</f>
        <v/>
      </c>
      <c r="J4897" s="114" t="n"/>
      <c r="K4897" s="139">
        <f>IFERROR(IF(H4897&gt;0,H4897*IF(OR(C4897="Alpha",B4897="Alpha"),$C$9,$C$8),""),"")</f>
        <v/>
      </c>
      <c r="L4897" s="139">
        <f>IFERROR(IF(ISNUMBER(F4897),F4897-IF(ISNUMBER(K4897),K4897,0),""),"")</f>
        <v/>
      </c>
    </row>
    <row r="4898" ht="24" customHeight="1" s="63">
      <c r="E4898" s="139" t="n"/>
      <c r="F4898" s="139" t="n"/>
      <c r="G4898" s="140">
        <f>IFERROR(IF(E4898&gt;0,(F4898/E4898)*1000,""),"")</f>
        <v/>
      </c>
      <c r="H4898" s="139">
        <f>IFERROR(IF(E4898&gt;0,E4898*IF(ISNUMBER(J4898),J4898,IF(OR(C4898="Alpha",B4898="Alpha"),$C$7,IF(C4898="Futures",$C$6,$C$5))),""),"")</f>
        <v/>
      </c>
      <c r="I4898" s="139">
        <f>IFERROR(IF(AND(ISNUMBER(F4898),ISNUMBER(H4898)),F4898-H4898,""),"")</f>
        <v/>
      </c>
      <c r="J4898" s="114" t="n"/>
      <c r="K4898" s="139">
        <f>IFERROR(IF(H4898&gt;0,H4898*IF(OR(C4898="Alpha",B4898="Alpha"),$C$9,$C$8),""),"")</f>
        <v/>
      </c>
      <c r="L4898" s="139">
        <f>IFERROR(IF(ISNUMBER(F4898),F4898-IF(ISNUMBER(K4898),K4898,0),""),"")</f>
        <v/>
      </c>
    </row>
    <row r="4899" ht="24" customHeight="1" s="63">
      <c r="E4899" s="139" t="n"/>
      <c r="F4899" s="139" t="n"/>
      <c r="G4899" s="140">
        <f>IFERROR(IF(E4899&gt;0,(F4899/E4899)*1000,""),"")</f>
        <v/>
      </c>
      <c r="H4899" s="139">
        <f>IFERROR(IF(E4899&gt;0,E4899*IF(ISNUMBER(J4899),J4899,IF(OR(C4899="Alpha",B4899="Alpha"),$C$7,IF(C4899="Futures",$C$6,$C$5))),""),"")</f>
        <v/>
      </c>
      <c r="I4899" s="139">
        <f>IFERROR(IF(AND(ISNUMBER(F4899),ISNUMBER(H4899)),F4899-H4899,""),"")</f>
        <v/>
      </c>
      <c r="J4899" s="114" t="n"/>
      <c r="K4899" s="139">
        <f>IFERROR(IF(H4899&gt;0,H4899*IF(OR(C4899="Alpha",B4899="Alpha"),$C$9,$C$8),""),"")</f>
        <v/>
      </c>
      <c r="L4899" s="139">
        <f>IFERROR(IF(ISNUMBER(F4899),F4899-IF(ISNUMBER(K4899),K4899,0),""),"")</f>
        <v/>
      </c>
    </row>
    <row r="4900" ht="24" customHeight="1" s="63">
      <c r="E4900" s="139" t="n"/>
      <c r="F4900" s="139" t="n"/>
      <c r="G4900" s="140">
        <f>IFERROR(IF(E4900&gt;0,(F4900/E4900)*1000,""),"")</f>
        <v/>
      </c>
      <c r="H4900" s="139">
        <f>IFERROR(IF(E4900&gt;0,E4900*IF(ISNUMBER(J4900),J4900,IF(OR(C4900="Alpha",B4900="Alpha"),$C$7,IF(C4900="Futures",$C$6,$C$5))),""),"")</f>
        <v/>
      </c>
      <c r="I4900" s="139">
        <f>IFERROR(IF(AND(ISNUMBER(F4900),ISNUMBER(H4900)),F4900-H4900,""),"")</f>
        <v/>
      </c>
      <c r="J4900" s="114" t="n"/>
      <c r="K4900" s="139">
        <f>IFERROR(IF(H4900&gt;0,H4900*IF(OR(C4900="Alpha",B4900="Alpha"),$C$9,$C$8),""),"")</f>
        <v/>
      </c>
      <c r="L4900" s="139">
        <f>IFERROR(IF(ISNUMBER(F4900),F4900-IF(ISNUMBER(K4900),K4900,0),""),"")</f>
        <v/>
      </c>
    </row>
    <row r="4901" ht="24" customHeight="1" s="63">
      <c r="E4901" s="139" t="n"/>
      <c r="F4901" s="139" t="n"/>
      <c r="G4901" s="140">
        <f>IFERROR(IF(E4901&gt;0,(F4901/E4901)*1000,""),"")</f>
        <v/>
      </c>
      <c r="H4901" s="139">
        <f>IFERROR(IF(E4901&gt;0,E4901*IF(ISNUMBER(J4901),J4901,IF(OR(C4901="Alpha",B4901="Alpha"),$C$7,IF(C4901="Futures",$C$6,$C$5))),""),"")</f>
        <v/>
      </c>
      <c r="I4901" s="139">
        <f>IFERROR(IF(AND(ISNUMBER(F4901),ISNUMBER(H4901)),F4901-H4901,""),"")</f>
        <v/>
      </c>
      <c r="J4901" s="114" t="n"/>
      <c r="K4901" s="139">
        <f>IFERROR(IF(H4901&gt;0,H4901*IF(OR(C4901="Alpha",B4901="Alpha"),$C$9,$C$8),""),"")</f>
        <v/>
      </c>
      <c r="L4901" s="139">
        <f>IFERROR(IF(ISNUMBER(F4901),F4901-IF(ISNUMBER(K4901),K4901,0),""),"")</f>
        <v/>
      </c>
    </row>
    <row r="4902" ht="24" customHeight="1" s="63">
      <c r="E4902" s="139" t="n"/>
      <c r="F4902" s="139" t="n"/>
      <c r="G4902" s="140">
        <f>IFERROR(IF(E4902&gt;0,(F4902/E4902)*1000,""),"")</f>
        <v/>
      </c>
      <c r="H4902" s="139">
        <f>IFERROR(IF(E4902&gt;0,E4902*IF(ISNUMBER(J4902),J4902,IF(OR(C4902="Alpha",B4902="Alpha"),$C$7,IF(C4902="Futures",$C$6,$C$5))),""),"")</f>
        <v/>
      </c>
      <c r="I4902" s="139">
        <f>IFERROR(IF(AND(ISNUMBER(F4902),ISNUMBER(H4902)),F4902-H4902,""),"")</f>
        <v/>
      </c>
      <c r="J4902" s="114" t="n"/>
      <c r="K4902" s="139">
        <f>IFERROR(IF(H4902&gt;0,H4902*IF(OR(C4902="Alpha",B4902="Alpha"),$C$9,$C$8),""),"")</f>
        <v/>
      </c>
      <c r="L4902" s="139">
        <f>IFERROR(IF(ISNUMBER(F4902),F4902-IF(ISNUMBER(K4902),K4902,0),""),"")</f>
        <v/>
      </c>
    </row>
    <row r="4903" ht="24" customHeight="1" s="63">
      <c r="E4903" s="139" t="n"/>
      <c r="F4903" s="139" t="n"/>
      <c r="G4903" s="140">
        <f>IFERROR(IF(E4903&gt;0,(F4903/E4903)*1000,""),"")</f>
        <v/>
      </c>
      <c r="H4903" s="139">
        <f>IFERROR(IF(E4903&gt;0,E4903*IF(ISNUMBER(J4903),J4903,IF(OR(C4903="Alpha",B4903="Alpha"),$C$7,IF(C4903="Futures",$C$6,$C$5))),""),"")</f>
        <v/>
      </c>
      <c r="I4903" s="139">
        <f>IFERROR(IF(AND(ISNUMBER(F4903),ISNUMBER(H4903)),F4903-H4903,""),"")</f>
        <v/>
      </c>
      <c r="J4903" s="114" t="n"/>
      <c r="K4903" s="139">
        <f>IFERROR(IF(H4903&gt;0,H4903*IF(OR(C4903="Alpha",B4903="Alpha"),$C$9,$C$8),""),"")</f>
        <v/>
      </c>
      <c r="L4903" s="139">
        <f>IFERROR(IF(ISNUMBER(F4903),F4903-IF(ISNUMBER(K4903),K4903,0),""),"")</f>
        <v/>
      </c>
    </row>
    <row r="4904" ht="24" customHeight="1" s="63">
      <c r="E4904" s="139" t="n"/>
      <c r="F4904" s="139" t="n"/>
      <c r="G4904" s="140">
        <f>IFERROR(IF(E4904&gt;0,(F4904/E4904)*1000,""),"")</f>
        <v/>
      </c>
      <c r="H4904" s="139">
        <f>IFERROR(IF(E4904&gt;0,E4904*IF(ISNUMBER(J4904),J4904,IF(OR(C4904="Alpha",B4904="Alpha"),$C$7,IF(C4904="Futures",$C$6,$C$5))),""),"")</f>
        <v/>
      </c>
      <c r="I4904" s="139">
        <f>IFERROR(IF(AND(ISNUMBER(F4904),ISNUMBER(H4904)),F4904-H4904,""),"")</f>
        <v/>
      </c>
      <c r="J4904" s="114" t="n"/>
      <c r="K4904" s="139">
        <f>IFERROR(IF(H4904&gt;0,H4904*IF(OR(C4904="Alpha",B4904="Alpha"),$C$9,$C$8),""),"")</f>
        <v/>
      </c>
      <c r="L4904" s="139">
        <f>IFERROR(IF(ISNUMBER(F4904),F4904-IF(ISNUMBER(K4904),K4904,0),""),"")</f>
        <v/>
      </c>
    </row>
    <row r="4905" ht="24" customHeight="1" s="63">
      <c r="E4905" s="139" t="n"/>
      <c r="F4905" s="139" t="n"/>
      <c r="G4905" s="140">
        <f>IFERROR(IF(E4905&gt;0,(F4905/E4905)*1000,""),"")</f>
        <v/>
      </c>
      <c r="H4905" s="139">
        <f>IFERROR(IF(E4905&gt;0,E4905*IF(ISNUMBER(J4905),J4905,IF(OR(C4905="Alpha",B4905="Alpha"),$C$7,IF(C4905="Futures",$C$6,$C$5))),""),"")</f>
        <v/>
      </c>
      <c r="I4905" s="139">
        <f>IFERROR(IF(AND(ISNUMBER(F4905),ISNUMBER(H4905)),F4905-H4905,""),"")</f>
        <v/>
      </c>
      <c r="J4905" s="114" t="n"/>
      <c r="K4905" s="139">
        <f>IFERROR(IF(H4905&gt;0,H4905*IF(OR(C4905="Alpha",B4905="Alpha"),$C$9,$C$8),""),"")</f>
        <v/>
      </c>
      <c r="L4905" s="139">
        <f>IFERROR(IF(ISNUMBER(F4905),F4905-IF(ISNUMBER(K4905),K4905,0),""),"")</f>
        <v/>
      </c>
    </row>
    <row r="4906" ht="24" customHeight="1" s="63">
      <c r="E4906" s="139" t="n"/>
      <c r="F4906" s="139" t="n"/>
      <c r="G4906" s="140">
        <f>IFERROR(IF(E4906&gt;0,(F4906/E4906)*1000,""),"")</f>
        <v/>
      </c>
      <c r="H4906" s="139">
        <f>IFERROR(IF(E4906&gt;0,E4906*IF(ISNUMBER(J4906),J4906,IF(OR(C4906="Alpha",B4906="Alpha"),$C$7,IF(C4906="Futures",$C$6,$C$5))),""),"")</f>
        <v/>
      </c>
      <c r="I4906" s="139">
        <f>IFERROR(IF(AND(ISNUMBER(F4906),ISNUMBER(H4906)),F4906-H4906,""),"")</f>
        <v/>
      </c>
      <c r="J4906" s="114" t="n"/>
      <c r="K4906" s="139">
        <f>IFERROR(IF(H4906&gt;0,H4906*IF(OR(C4906="Alpha",B4906="Alpha"),$C$9,$C$8),""),"")</f>
        <v/>
      </c>
      <c r="L4906" s="139">
        <f>IFERROR(IF(ISNUMBER(F4906),F4906-IF(ISNUMBER(K4906),K4906,0),""),"")</f>
        <v/>
      </c>
    </row>
    <row r="4907" ht="24" customHeight="1" s="63">
      <c r="E4907" s="139" t="n"/>
      <c r="F4907" s="139" t="n"/>
      <c r="G4907" s="140">
        <f>IFERROR(IF(E4907&gt;0,(F4907/E4907)*1000,""),"")</f>
        <v/>
      </c>
      <c r="H4907" s="139">
        <f>IFERROR(IF(E4907&gt;0,E4907*IF(ISNUMBER(J4907),J4907,IF(OR(C4907="Alpha",B4907="Alpha"),$C$7,IF(C4907="Futures",$C$6,$C$5))),""),"")</f>
        <v/>
      </c>
      <c r="I4907" s="139">
        <f>IFERROR(IF(AND(ISNUMBER(F4907),ISNUMBER(H4907)),F4907-H4907,""),"")</f>
        <v/>
      </c>
      <c r="J4907" s="114" t="n"/>
      <c r="K4907" s="139">
        <f>IFERROR(IF(H4907&gt;0,H4907*IF(OR(C4907="Alpha",B4907="Alpha"),$C$9,$C$8),""),"")</f>
        <v/>
      </c>
      <c r="L4907" s="139">
        <f>IFERROR(IF(ISNUMBER(F4907),F4907-IF(ISNUMBER(K4907),K4907,0),""),"")</f>
        <v/>
      </c>
    </row>
    <row r="4908" ht="24" customHeight="1" s="63">
      <c r="E4908" s="139" t="n"/>
      <c r="F4908" s="139" t="n"/>
      <c r="G4908" s="140">
        <f>IFERROR(IF(E4908&gt;0,(F4908/E4908)*1000,""),"")</f>
        <v/>
      </c>
      <c r="H4908" s="139">
        <f>IFERROR(IF(E4908&gt;0,E4908*IF(ISNUMBER(J4908),J4908,IF(OR(C4908="Alpha",B4908="Alpha"),$C$7,IF(C4908="Futures",$C$6,$C$5))),""),"")</f>
        <v/>
      </c>
      <c r="I4908" s="139">
        <f>IFERROR(IF(AND(ISNUMBER(F4908),ISNUMBER(H4908)),F4908-H4908,""),"")</f>
        <v/>
      </c>
      <c r="J4908" s="114" t="n"/>
      <c r="K4908" s="139">
        <f>IFERROR(IF(H4908&gt;0,H4908*IF(OR(C4908="Alpha",B4908="Alpha"),$C$9,$C$8),""),"")</f>
        <v/>
      </c>
      <c r="L4908" s="139">
        <f>IFERROR(IF(ISNUMBER(F4908),F4908-IF(ISNUMBER(K4908),K4908,0),""),"")</f>
        <v/>
      </c>
    </row>
    <row r="4909" ht="24" customHeight="1" s="63">
      <c r="E4909" s="139" t="n"/>
      <c r="F4909" s="139" t="n"/>
      <c r="G4909" s="140">
        <f>IFERROR(IF(E4909&gt;0,(F4909/E4909)*1000,""),"")</f>
        <v/>
      </c>
      <c r="H4909" s="139">
        <f>IFERROR(IF(E4909&gt;0,E4909*IF(ISNUMBER(J4909),J4909,IF(OR(C4909="Alpha",B4909="Alpha"),$C$7,IF(C4909="Futures",$C$6,$C$5))),""),"")</f>
        <v/>
      </c>
      <c r="I4909" s="139">
        <f>IFERROR(IF(AND(ISNUMBER(F4909),ISNUMBER(H4909)),F4909-H4909,""),"")</f>
        <v/>
      </c>
      <c r="J4909" s="114" t="n"/>
      <c r="K4909" s="139">
        <f>IFERROR(IF(H4909&gt;0,H4909*IF(OR(C4909="Alpha",B4909="Alpha"),$C$9,$C$8),""),"")</f>
        <v/>
      </c>
      <c r="L4909" s="139">
        <f>IFERROR(IF(ISNUMBER(F4909),F4909-IF(ISNUMBER(K4909),K4909,0),""),"")</f>
        <v/>
      </c>
    </row>
    <row r="4910" ht="24" customHeight="1" s="63">
      <c r="E4910" s="139" t="n"/>
      <c r="F4910" s="139" t="n"/>
      <c r="G4910" s="140">
        <f>IFERROR(IF(E4910&gt;0,(F4910/E4910)*1000,""),"")</f>
        <v/>
      </c>
      <c r="H4910" s="139">
        <f>IFERROR(IF(E4910&gt;0,E4910*IF(ISNUMBER(J4910),J4910,IF(OR(C4910="Alpha",B4910="Alpha"),$C$7,IF(C4910="Futures",$C$6,$C$5))),""),"")</f>
        <v/>
      </c>
      <c r="I4910" s="139">
        <f>IFERROR(IF(AND(ISNUMBER(F4910),ISNUMBER(H4910)),F4910-H4910,""),"")</f>
        <v/>
      </c>
      <c r="J4910" s="114" t="n"/>
      <c r="K4910" s="139">
        <f>IFERROR(IF(H4910&gt;0,H4910*IF(OR(C4910="Alpha",B4910="Alpha"),$C$9,$C$8),""),"")</f>
        <v/>
      </c>
      <c r="L4910" s="139">
        <f>IFERROR(IF(ISNUMBER(F4910),F4910-IF(ISNUMBER(K4910),K4910,0),""),"")</f>
        <v/>
      </c>
    </row>
    <row r="4911" ht="24" customHeight="1" s="63">
      <c r="E4911" s="139" t="n"/>
      <c r="F4911" s="139" t="n"/>
      <c r="G4911" s="140">
        <f>IFERROR(IF(E4911&gt;0,(F4911/E4911)*1000,""),"")</f>
        <v/>
      </c>
      <c r="H4911" s="139">
        <f>IFERROR(IF(E4911&gt;0,E4911*IF(ISNUMBER(J4911),J4911,IF(OR(C4911="Alpha",B4911="Alpha"),$C$7,IF(C4911="Futures",$C$6,$C$5))),""),"")</f>
        <v/>
      </c>
      <c r="I4911" s="139">
        <f>IFERROR(IF(AND(ISNUMBER(F4911),ISNUMBER(H4911)),F4911-H4911,""),"")</f>
        <v/>
      </c>
      <c r="J4911" s="114" t="n"/>
      <c r="K4911" s="139">
        <f>IFERROR(IF(H4911&gt;0,H4911*IF(OR(C4911="Alpha",B4911="Alpha"),$C$9,$C$8),""),"")</f>
        <v/>
      </c>
      <c r="L4911" s="139">
        <f>IFERROR(IF(ISNUMBER(F4911),F4911-IF(ISNUMBER(K4911),K4911,0),""),"")</f>
        <v/>
      </c>
    </row>
    <row r="4912" ht="24" customHeight="1" s="63">
      <c r="E4912" s="139" t="n"/>
      <c r="F4912" s="139" t="n"/>
      <c r="G4912" s="140">
        <f>IFERROR(IF(E4912&gt;0,(F4912/E4912)*1000,""),"")</f>
        <v/>
      </c>
      <c r="H4912" s="139">
        <f>IFERROR(IF(E4912&gt;0,E4912*IF(ISNUMBER(J4912),J4912,IF(OR(C4912="Alpha",B4912="Alpha"),$C$7,IF(C4912="Futures",$C$6,$C$5))),""),"")</f>
        <v/>
      </c>
      <c r="I4912" s="139">
        <f>IFERROR(IF(AND(ISNUMBER(F4912),ISNUMBER(H4912)),F4912-H4912,""),"")</f>
        <v/>
      </c>
      <c r="J4912" s="114" t="n"/>
      <c r="K4912" s="139">
        <f>IFERROR(IF(H4912&gt;0,H4912*IF(OR(C4912="Alpha",B4912="Alpha"),$C$9,$C$8),""),"")</f>
        <v/>
      </c>
      <c r="L4912" s="139">
        <f>IFERROR(IF(ISNUMBER(F4912),F4912-IF(ISNUMBER(K4912),K4912,0),""),"")</f>
        <v/>
      </c>
    </row>
    <row r="4913" ht="24" customHeight="1" s="63">
      <c r="E4913" s="139" t="n"/>
      <c r="F4913" s="139" t="n"/>
      <c r="G4913" s="140">
        <f>IFERROR(IF(E4913&gt;0,(F4913/E4913)*1000,""),"")</f>
        <v/>
      </c>
      <c r="H4913" s="139">
        <f>IFERROR(IF(E4913&gt;0,E4913*IF(ISNUMBER(J4913),J4913,IF(OR(C4913="Alpha",B4913="Alpha"),$C$7,IF(C4913="Futures",$C$6,$C$5))),""),"")</f>
        <v/>
      </c>
      <c r="I4913" s="139">
        <f>IFERROR(IF(AND(ISNUMBER(F4913),ISNUMBER(H4913)),F4913-H4913,""),"")</f>
        <v/>
      </c>
      <c r="J4913" s="114" t="n"/>
      <c r="K4913" s="139">
        <f>IFERROR(IF(H4913&gt;0,H4913*IF(OR(C4913="Alpha",B4913="Alpha"),$C$9,$C$8),""),"")</f>
        <v/>
      </c>
      <c r="L4913" s="139">
        <f>IFERROR(IF(ISNUMBER(F4913),F4913-IF(ISNUMBER(K4913),K4913,0),""),"")</f>
        <v/>
      </c>
    </row>
    <row r="4914" ht="24" customHeight="1" s="63">
      <c r="E4914" s="139" t="n"/>
      <c r="F4914" s="139" t="n"/>
      <c r="G4914" s="140">
        <f>IFERROR(IF(E4914&gt;0,(F4914/E4914)*1000,""),"")</f>
        <v/>
      </c>
      <c r="H4914" s="139">
        <f>IFERROR(IF(E4914&gt;0,E4914*IF(ISNUMBER(J4914),J4914,IF(OR(C4914="Alpha",B4914="Alpha"),$C$7,IF(C4914="Futures",$C$6,$C$5))),""),"")</f>
        <v/>
      </c>
      <c r="I4914" s="139">
        <f>IFERROR(IF(AND(ISNUMBER(F4914),ISNUMBER(H4914)),F4914-H4914,""),"")</f>
        <v/>
      </c>
      <c r="J4914" s="114" t="n"/>
      <c r="K4914" s="139">
        <f>IFERROR(IF(H4914&gt;0,H4914*IF(OR(C4914="Alpha",B4914="Alpha"),$C$9,$C$8),""),"")</f>
        <v/>
      </c>
      <c r="L4914" s="139">
        <f>IFERROR(IF(ISNUMBER(F4914),F4914-IF(ISNUMBER(K4914),K4914,0),""),"")</f>
        <v/>
      </c>
    </row>
    <row r="4915" ht="24" customHeight="1" s="63">
      <c r="E4915" s="139" t="n"/>
      <c r="F4915" s="139" t="n"/>
      <c r="G4915" s="140">
        <f>IFERROR(IF(E4915&gt;0,(F4915/E4915)*1000,""),"")</f>
        <v/>
      </c>
      <c r="H4915" s="139">
        <f>IFERROR(IF(E4915&gt;0,E4915*IF(ISNUMBER(J4915),J4915,IF(OR(C4915="Alpha",B4915="Alpha"),$C$7,IF(C4915="Futures",$C$6,$C$5))),""),"")</f>
        <v/>
      </c>
      <c r="I4915" s="139">
        <f>IFERROR(IF(AND(ISNUMBER(F4915),ISNUMBER(H4915)),F4915-H4915,""),"")</f>
        <v/>
      </c>
      <c r="J4915" s="114" t="n"/>
      <c r="K4915" s="139">
        <f>IFERROR(IF(H4915&gt;0,H4915*IF(OR(C4915="Alpha",B4915="Alpha"),$C$9,$C$8),""),"")</f>
        <v/>
      </c>
      <c r="L4915" s="139">
        <f>IFERROR(IF(ISNUMBER(F4915),F4915-IF(ISNUMBER(K4915),K4915,0),""),"")</f>
        <v/>
      </c>
    </row>
    <row r="4916" ht="24" customHeight="1" s="63">
      <c r="E4916" s="139" t="n"/>
      <c r="F4916" s="139" t="n"/>
      <c r="G4916" s="140">
        <f>IFERROR(IF(E4916&gt;0,(F4916/E4916)*1000,""),"")</f>
        <v/>
      </c>
      <c r="H4916" s="139">
        <f>IFERROR(IF(E4916&gt;0,E4916*IF(ISNUMBER(J4916),J4916,IF(OR(C4916="Alpha",B4916="Alpha"),$C$7,IF(C4916="Futures",$C$6,$C$5))),""),"")</f>
        <v/>
      </c>
      <c r="I4916" s="139">
        <f>IFERROR(IF(AND(ISNUMBER(F4916),ISNUMBER(H4916)),F4916-H4916,""),"")</f>
        <v/>
      </c>
      <c r="J4916" s="114" t="n"/>
      <c r="K4916" s="139">
        <f>IFERROR(IF(H4916&gt;0,H4916*IF(OR(C4916="Alpha",B4916="Alpha"),$C$9,$C$8),""),"")</f>
        <v/>
      </c>
      <c r="L4916" s="139">
        <f>IFERROR(IF(ISNUMBER(F4916),F4916-IF(ISNUMBER(K4916),K4916,0),""),"")</f>
        <v/>
      </c>
    </row>
    <row r="4917" ht="24" customHeight="1" s="63">
      <c r="E4917" s="139" t="n"/>
      <c r="F4917" s="139" t="n"/>
      <c r="G4917" s="140">
        <f>IFERROR(IF(E4917&gt;0,(F4917/E4917)*1000,""),"")</f>
        <v/>
      </c>
      <c r="H4917" s="139">
        <f>IFERROR(IF(E4917&gt;0,E4917*IF(ISNUMBER(J4917),J4917,IF(OR(C4917="Alpha",B4917="Alpha"),$C$7,IF(C4917="Futures",$C$6,$C$5))),""),"")</f>
        <v/>
      </c>
      <c r="I4917" s="139">
        <f>IFERROR(IF(AND(ISNUMBER(F4917),ISNUMBER(H4917)),F4917-H4917,""),"")</f>
        <v/>
      </c>
      <c r="J4917" s="114" t="n"/>
      <c r="K4917" s="139">
        <f>IFERROR(IF(H4917&gt;0,H4917*IF(OR(C4917="Alpha",B4917="Alpha"),$C$9,$C$8),""),"")</f>
        <v/>
      </c>
      <c r="L4917" s="139">
        <f>IFERROR(IF(ISNUMBER(F4917),F4917-IF(ISNUMBER(K4917),K4917,0),""),"")</f>
        <v/>
      </c>
    </row>
    <row r="4918" ht="24" customHeight="1" s="63">
      <c r="E4918" s="139" t="n"/>
      <c r="F4918" s="139" t="n"/>
      <c r="G4918" s="140">
        <f>IFERROR(IF(E4918&gt;0,(F4918/E4918)*1000,""),"")</f>
        <v/>
      </c>
      <c r="H4918" s="139">
        <f>IFERROR(IF(E4918&gt;0,E4918*IF(ISNUMBER(J4918),J4918,IF(OR(C4918="Alpha",B4918="Alpha"),$C$7,IF(C4918="Futures",$C$6,$C$5))),""),"")</f>
        <v/>
      </c>
      <c r="I4918" s="139">
        <f>IFERROR(IF(AND(ISNUMBER(F4918),ISNUMBER(H4918)),F4918-H4918,""),"")</f>
        <v/>
      </c>
      <c r="J4918" s="114" t="n"/>
      <c r="K4918" s="139">
        <f>IFERROR(IF(H4918&gt;0,H4918*IF(OR(C4918="Alpha",B4918="Alpha"),$C$9,$C$8),""),"")</f>
        <v/>
      </c>
      <c r="L4918" s="139">
        <f>IFERROR(IF(ISNUMBER(F4918),F4918-IF(ISNUMBER(K4918),K4918,0),""),"")</f>
        <v/>
      </c>
    </row>
    <row r="4919" ht="24" customHeight="1" s="63">
      <c r="E4919" s="139" t="n"/>
      <c r="F4919" s="139" t="n"/>
      <c r="G4919" s="140">
        <f>IFERROR(IF(E4919&gt;0,(F4919/E4919)*1000,""),"")</f>
        <v/>
      </c>
      <c r="H4919" s="139">
        <f>IFERROR(IF(E4919&gt;0,E4919*IF(ISNUMBER(J4919),J4919,IF(OR(C4919="Alpha",B4919="Alpha"),$C$7,IF(C4919="Futures",$C$6,$C$5))),""),"")</f>
        <v/>
      </c>
      <c r="I4919" s="139">
        <f>IFERROR(IF(AND(ISNUMBER(F4919),ISNUMBER(H4919)),F4919-H4919,""),"")</f>
        <v/>
      </c>
      <c r="J4919" s="114" t="n"/>
      <c r="K4919" s="139">
        <f>IFERROR(IF(H4919&gt;0,H4919*IF(OR(C4919="Alpha",B4919="Alpha"),$C$9,$C$8),""),"")</f>
        <v/>
      </c>
      <c r="L4919" s="139">
        <f>IFERROR(IF(ISNUMBER(F4919),F4919-IF(ISNUMBER(K4919),K4919,0),""),"")</f>
        <v/>
      </c>
    </row>
    <row r="4920" ht="24" customHeight="1" s="63">
      <c r="E4920" s="139" t="n"/>
      <c r="F4920" s="139" t="n"/>
      <c r="G4920" s="140">
        <f>IFERROR(IF(E4920&gt;0,(F4920/E4920)*1000,""),"")</f>
        <v/>
      </c>
      <c r="H4920" s="139">
        <f>IFERROR(IF(E4920&gt;0,E4920*IF(ISNUMBER(J4920),J4920,IF(OR(C4920="Alpha",B4920="Alpha"),$C$7,IF(C4920="Futures",$C$6,$C$5))),""),"")</f>
        <v/>
      </c>
      <c r="I4920" s="139">
        <f>IFERROR(IF(AND(ISNUMBER(F4920),ISNUMBER(H4920)),F4920-H4920,""),"")</f>
        <v/>
      </c>
      <c r="J4920" s="114" t="n"/>
      <c r="K4920" s="139">
        <f>IFERROR(IF(H4920&gt;0,H4920*IF(OR(C4920="Alpha",B4920="Alpha"),$C$9,$C$8),""),"")</f>
        <v/>
      </c>
      <c r="L4920" s="139">
        <f>IFERROR(IF(ISNUMBER(F4920),F4920-IF(ISNUMBER(K4920),K4920,0),""),"")</f>
        <v/>
      </c>
    </row>
    <row r="4921" ht="24" customHeight="1" s="63">
      <c r="E4921" s="139" t="n"/>
      <c r="F4921" s="139" t="n"/>
      <c r="G4921" s="140">
        <f>IFERROR(IF(E4921&gt;0,(F4921/E4921)*1000,""),"")</f>
        <v/>
      </c>
      <c r="H4921" s="139">
        <f>IFERROR(IF(E4921&gt;0,E4921*IF(ISNUMBER(J4921),J4921,IF(OR(C4921="Alpha",B4921="Alpha"),$C$7,IF(C4921="Futures",$C$6,$C$5))),""),"")</f>
        <v/>
      </c>
      <c r="I4921" s="139">
        <f>IFERROR(IF(AND(ISNUMBER(F4921),ISNUMBER(H4921)),F4921-H4921,""),"")</f>
        <v/>
      </c>
      <c r="J4921" s="114" t="n"/>
      <c r="K4921" s="139">
        <f>IFERROR(IF(H4921&gt;0,H4921*IF(OR(C4921="Alpha",B4921="Alpha"),$C$9,$C$8),""),"")</f>
        <v/>
      </c>
      <c r="L4921" s="139">
        <f>IFERROR(IF(ISNUMBER(F4921),F4921-IF(ISNUMBER(K4921),K4921,0),""),"")</f>
        <v/>
      </c>
    </row>
    <row r="4922" ht="24" customHeight="1" s="63">
      <c r="E4922" s="139" t="n"/>
      <c r="F4922" s="139" t="n"/>
      <c r="G4922" s="140">
        <f>IFERROR(IF(E4922&gt;0,(F4922/E4922)*1000,""),"")</f>
        <v/>
      </c>
      <c r="H4922" s="139">
        <f>IFERROR(IF(E4922&gt;0,E4922*IF(ISNUMBER(J4922),J4922,IF(OR(C4922="Alpha",B4922="Alpha"),$C$7,IF(C4922="Futures",$C$6,$C$5))),""),"")</f>
        <v/>
      </c>
      <c r="I4922" s="139">
        <f>IFERROR(IF(AND(ISNUMBER(F4922),ISNUMBER(H4922)),F4922-H4922,""),"")</f>
        <v/>
      </c>
      <c r="J4922" s="114" t="n"/>
      <c r="K4922" s="139">
        <f>IFERROR(IF(H4922&gt;0,H4922*IF(OR(C4922="Alpha",B4922="Alpha"),$C$9,$C$8),""),"")</f>
        <v/>
      </c>
      <c r="L4922" s="139">
        <f>IFERROR(IF(ISNUMBER(F4922),F4922-IF(ISNUMBER(K4922),K4922,0),""),"")</f>
        <v/>
      </c>
    </row>
    <row r="4923" ht="24" customHeight="1" s="63">
      <c r="E4923" s="139" t="n"/>
      <c r="F4923" s="139" t="n"/>
      <c r="G4923" s="140">
        <f>IFERROR(IF(E4923&gt;0,(F4923/E4923)*1000,""),"")</f>
        <v/>
      </c>
      <c r="H4923" s="139">
        <f>IFERROR(IF(E4923&gt;0,E4923*IF(ISNUMBER(J4923),J4923,IF(OR(C4923="Alpha",B4923="Alpha"),$C$7,IF(C4923="Futures",$C$6,$C$5))),""),"")</f>
        <v/>
      </c>
      <c r="I4923" s="139">
        <f>IFERROR(IF(AND(ISNUMBER(F4923),ISNUMBER(H4923)),F4923-H4923,""),"")</f>
        <v/>
      </c>
      <c r="J4923" s="114" t="n"/>
      <c r="K4923" s="139">
        <f>IFERROR(IF(H4923&gt;0,H4923*IF(OR(C4923="Alpha",B4923="Alpha"),$C$9,$C$8),""),"")</f>
        <v/>
      </c>
      <c r="L4923" s="139">
        <f>IFERROR(IF(ISNUMBER(F4923),F4923-IF(ISNUMBER(K4923),K4923,0),""),"")</f>
        <v/>
      </c>
    </row>
    <row r="4924" ht="24" customHeight="1" s="63">
      <c r="E4924" s="139" t="n"/>
      <c r="F4924" s="139" t="n"/>
      <c r="G4924" s="140">
        <f>IFERROR(IF(E4924&gt;0,(F4924/E4924)*1000,""),"")</f>
        <v/>
      </c>
      <c r="H4924" s="139">
        <f>IFERROR(IF(E4924&gt;0,E4924*IF(ISNUMBER(J4924),J4924,IF(OR(C4924="Alpha",B4924="Alpha"),$C$7,IF(C4924="Futures",$C$6,$C$5))),""),"")</f>
        <v/>
      </c>
      <c r="I4924" s="139">
        <f>IFERROR(IF(AND(ISNUMBER(F4924),ISNUMBER(H4924)),F4924-H4924,""),"")</f>
        <v/>
      </c>
      <c r="J4924" s="114" t="n"/>
      <c r="K4924" s="139">
        <f>IFERROR(IF(H4924&gt;0,H4924*IF(OR(C4924="Alpha",B4924="Alpha"),$C$9,$C$8),""),"")</f>
        <v/>
      </c>
      <c r="L4924" s="139">
        <f>IFERROR(IF(ISNUMBER(F4924),F4924-IF(ISNUMBER(K4924),K4924,0),""),"")</f>
        <v/>
      </c>
    </row>
    <row r="4925" ht="24" customHeight="1" s="63">
      <c r="E4925" s="139" t="n"/>
      <c r="F4925" s="139" t="n"/>
      <c r="G4925" s="140">
        <f>IFERROR(IF(E4925&gt;0,(F4925/E4925)*1000,""),"")</f>
        <v/>
      </c>
      <c r="H4925" s="139">
        <f>IFERROR(IF(E4925&gt;0,E4925*IF(ISNUMBER(J4925),J4925,IF(OR(C4925="Alpha",B4925="Alpha"),$C$7,IF(C4925="Futures",$C$6,$C$5))),""),"")</f>
        <v/>
      </c>
      <c r="I4925" s="139">
        <f>IFERROR(IF(AND(ISNUMBER(F4925),ISNUMBER(H4925)),F4925-H4925,""),"")</f>
        <v/>
      </c>
      <c r="J4925" s="114" t="n"/>
      <c r="K4925" s="139">
        <f>IFERROR(IF(H4925&gt;0,H4925*IF(OR(C4925="Alpha",B4925="Alpha"),$C$9,$C$8),""),"")</f>
        <v/>
      </c>
      <c r="L4925" s="139">
        <f>IFERROR(IF(ISNUMBER(F4925),F4925-IF(ISNUMBER(K4925),K4925,0),""),"")</f>
        <v/>
      </c>
    </row>
    <row r="4926" ht="24" customHeight="1" s="63">
      <c r="E4926" s="139" t="n"/>
      <c r="F4926" s="139" t="n"/>
      <c r="G4926" s="140">
        <f>IFERROR(IF(E4926&gt;0,(F4926/E4926)*1000,""),"")</f>
        <v/>
      </c>
      <c r="H4926" s="139">
        <f>IFERROR(IF(E4926&gt;0,E4926*IF(ISNUMBER(J4926),J4926,IF(OR(C4926="Alpha",B4926="Alpha"),$C$7,IF(C4926="Futures",$C$6,$C$5))),""),"")</f>
        <v/>
      </c>
      <c r="I4926" s="139">
        <f>IFERROR(IF(AND(ISNUMBER(F4926),ISNUMBER(H4926)),F4926-H4926,""),"")</f>
        <v/>
      </c>
      <c r="J4926" s="114" t="n"/>
      <c r="K4926" s="139">
        <f>IFERROR(IF(H4926&gt;0,H4926*IF(OR(C4926="Alpha",B4926="Alpha"),$C$9,$C$8),""),"")</f>
        <v/>
      </c>
      <c r="L4926" s="139">
        <f>IFERROR(IF(ISNUMBER(F4926),F4926-IF(ISNUMBER(K4926),K4926,0),""),"")</f>
        <v/>
      </c>
    </row>
    <row r="4927" ht="24" customHeight="1" s="63">
      <c r="E4927" s="139" t="n"/>
      <c r="F4927" s="139" t="n"/>
      <c r="G4927" s="140">
        <f>IFERROR(IF(E4927&gt;0,(F4927/E4927)*1000,""),"")</f>
        <v/>
      </c>
      <c r="H4927" s="139">
        <f>IFERROR(IF(E4927&gt;0,E4927*IF(ISNUMBER(J4927),J4927,IF(OR(C4927="Alpha",B4927="Alpha"),$C$7,IF(C4927="Futures",$C$6,$C$5))),""),"")</f>
        <v/>
      </c>
      <c r="I4927" s="139">
        <f>IFERROR(IF(AND(ISNUMBER(F4927),ISNUMBER(H4927)),F4927-H4927,""),"")</f>
        <v/>
      </c>
      <c r="J4927" s="114" t="n"/>
      <c r="K4927" s="139">
        <f>IFERROR(IF(H4927&gt;0,H4927*IF(OR(C4927="Alpha",B4927="Alpha"),$C$9,$C$8),""),"")</f>
        <v/>
      </c>
      <c r="L4927" s="139">
        <f>IFERROR(IF(ISNUMBER(F4927),F4927-IF(ISNUMBER(K4927),K4927,0),""),"")</f>
        <v/>
      </c>
    </row>
    <row r="4928" ht="24" customHeight="1" s="63">
      <c r="E4928" s="139" t="n"/>
      <c r="F4928" s="139" t="n"/>
      <c r="G4928" s="140">
        <f>IFERROR(IF(E4928&gt;0,(F4928/E4928)*1000,""),"")</f>
        <v/>
      </c>
      <c r="H4928" s="139">
        <f>IFERROR(IF(E4928&gt;0,E4928*IF(ISNUMBER(J4928),J4928,IF(OR(C4928="Alpha",B4928="Alpha"),$C$7,IF(C4928="Futures",$C$6,$C$5))),""),"")</f>
        <v/>
      </c>
      <c r="I4928" s="139">
        <f>IFERROR(IF(AND(ISNUMBER(F4928),ISNUMBER(H4928)),F4928-H4928,""),"")</f>
        <v/>
      </c>
      <c r="J4928" s="114" t="n"/>
      <c r="K4928" s="139">
        <f>IFERROR(IF(H4928&gt;0,H4928*IF(OR(C4928="Alpha",B4928="Alpha"),$C$9,$C$8),""),"")</f>
        <v/>
      </c>
      <c r="L4928" s="139">
        <f>IFERROR(IF(ISNUMBER(F4928),F4928-IF(ISNUMBER(K4928),K4928,0),""),"")</f>
        <v/>
      </c>
    </row>
    <row r="4929" ht="24" customHeight="1" s="63">
      <c r="E4929" s="139" t="n"/>
      <c r="F4929" s="139" t="n"/>
      <c r="G4929" s="140">
        <f>IFERROR(IF(E4929&gt;0,(F4929/E4929)*1000,""),"")</f>
        <v/>
      </c>
      <c r="H4929" s="139">
        <f>IFERROR(IF(E4929&gt;0,E4929*IF(ISNUMBER(J4929),J4929,IF(OR(C4929="Alpha",B4929="Alpha"),$C$7,IF(C4929="Futures",$C$6,$C$5))),""),"")</f>
        <v/>
      </c>
      <c r="I4929" s="139">
        <f>IFERROR(IF(AND(ISNUMBER(F4929),ISNUMBER(H4929)),F4929-H4929,""),"")</f>
        <v/>
      </c>
      <c r="J4929" s="114" t="n"/>
      <c r="K4929" s="139">
        <f>IFERROR(IF(H4929&gt;0,H4929*IF(OR(C4929="Alpha",B4929="Alpha"),$C$9,$C$8),""),"")</f>
        <v/>
      </c>
      <c r="L4929" s="139">
        <f>IFERROR(IF(ISNUMBER(F4929),F4929-IF(ISNUMBER(K4929),K4929,0),""),"")</f>
        <v/>
      </c>
    </row>
    <row r="4930" ht="24" customHeight="1" s="63">
      <c r="E4930" s="139" t="n"/>
      <c r="F4930" s="139" t="n"/>
      <c r="G4930" s="140">
        <f>IFERROR(IF(E4930&gt;0,(F4930/E4930)*1000,""),"")</f>
        <v/>
      </c>
      <c r="H4930" s="139">
        <f>IFERROR(IF(E4930&gt;0,E4930*IF(ISNUMBER(J4930),J4930,IF(OR(C4930="Alpha",B4930="Alpha"),$C$7,IF(C4930="Futures",$C$6,$C$5))),""),"")</f>
        <v/>
      </c>
      <c r="I4930" s="139">
        <f>IFERROR(IF(AND(ISNUMBER(F4930),ISNUMBER(H4930)),F4930-H4930,""),"")</f>
        <v/>
      </c>
      <c r="J4930" s="114" t="n"/>
      <c r="K4930" s="139">
        <f>IFERROR(IF(H4930&gt;0,H4930*IF(OR(C4930="Alpha",B4930="Alpha"),$C$9,$C$8),""),"")</f>
        <v/>
      </c>
      <c r="L4930" s="139">
        <f>IFERROR(IF(ISNUMBER(F4930),F4930-IF(ISNUMBER(K4930),K4930,0),""),"")</f>
        <v/>
      </c>
    </row>
    <row r="4931" ht="24" customHeight="1" s="63">
      <c r="E4931" s="139" t="n"/>
      <c r="F4931" s="139" t="n"/>
      <c r="G4931" s="140">
        <f>IFERROR(IF(E4931&gt;0,(F4931/E4931)*1000,""),"")</f>
        <v/>
      </c>
      <c r="H4931" s="139">
        <f>IFERROR(IF(E4931&gt;0,E4931*IF(ISNUMBER(J4931),J4931,IF(OR(C4931="Alpha",B4931="Alpha"),$C$7,IF(C4931="Futures",$C$6,$C$5))),""),"")</f>
        <v/>
      </c>
      <c r="I4931" s="139">
        <f>IFERROR(IF(AND(ISNUMBER(F4931),ISNUMBER(H4931)),F4931-H4931,""),"")</f>
        <v/>
      </c>
      <c r="J4931" s="114" t="n"/>
      <c r="K4931" s="139">
        <f>IFERROR(IF(H4931&gt;0,H4931*IF(OR(C4931="Alpha",B4931="Alpha"),$C$9,$C$8),""),"")</f>
        <v/>
      </c>
      <c r="L4931" s="139">
        <f>IFERROR(IF(ISNUMBER(F4931),F4931-IF(ISNUMBER(K4931),K4931,0),""),"")</f>
        <v/>
      </c>
    </row>
    <row r="4932" ht="24" customHeight="1" s="63">
      <c r="E4932" s="139" t="n"/>
      <c r="F4932" s="139" t="n"/>
      <c r="G4932" s="140">
        <f>IFERROR(IF(E4932&gt;0,(F4932/E4932)*1000,""),"")</f>
        <v/>
      </c>
      <c r="H4932" s="139">
        <f>IFERROR(IF(E4932&gt;0,E4932*IF(ISNUMBER(J4932),J4932,IF(OR(C4932="Alpha",B4932="Alpha"),$C$7,IF(C4932="Futures",$C$6,$C$5))),""),"")</f>
        <v/>
      </c>
      <c r="I4932" s="139">
        <f>IFERROR(IF(AND(ISNUMBER(F4932),ISNUMBER(H4932)),F4932-H4932,""),"")</f>
        <v/>
      </c>
      <c r="J4932" s="114" t="n"/>
      <c r="K4932" s="139">
        <f>IFERROR(IF(H4932&gt;0,H4932*IF(OR(C4932="Alpha",B4932="Alpha"),$C$9,$C$8),""),"")</f>
        <v/>
      </c>
      <c r="L4932" s="139">
        <f>IFERROR(IF(ISNUMBER(F4932),F4932-IF(ISNUMBER(K4932),K4932,0),""),"")</f>
        <v/>
      </c>
    </row>
    <row r="4933" ht="24" customHeight="1" s="63">
      <c r="E4933" s="139" t="n"/>
      <c r="F4933" s="139" t="n"/>
      <c r="G4933" s="140">
        <f>IFERROR(IF(E4933&gt;0,(F4933/E4933)*1000,""),"")</f>
        <v/>
      </c>
      <c r="H4933" s="139">
        <f>IFERROR(IF(E4933&gt;0,E4933*IF(ISNUMBER(J4933),J4933,IF(OR(C4933="Alpha",B4933="Alpha"),$C$7,IF(C4933="Futures",$C$6,$C$5))),""),"")</f>
        <v/>
      </c>
      <c r="I4933" s="139">
        <f>IFERROR(IF(AND(ISNUMBER(F4933),ISNUMBER(H4933)),F4933-H4933,""),"")</f>
        <v/>
      </c>
      <c r="J4933" s="114" t="n"/>
      <c r="K4933" s="139">
        <f>IFERROR(IF(H4933&gt;0,H4933*IF(OR(C4933="Alpha",B4933="Alpha"),$C$9,$C$8),""),"")</f>
        <v/>
      </c>
      <c r="L4933" s="139">
        <f>IFERROR(IF(ISNUMBER(F4933),F4933-IF(ISNUMBER(K4933),K4933,0),""),"")</f>
        <v/>
      </c>
    </row>
    <row r="4934" ht="24" customHeight="1" s="63">
      <c r="E4934" s="139" t="n"/>
      <c r="F4934" s="139" t="n"/>
      <c r="G4934" s="140">
        <f>IFERROR(IF(E4934&gt;0,(F4934/E4934)*1000,""),"")</f>
        <v/>
      </c>
      <c r="H4934" s="139">
        <f>IFERROR(IF(E4934&gt;0,E4934*IF(ISNUMBER(J4934),J4934,IF(OR(C4934="Alpha",B4934="Alpha"),$C$7,IF(C4934="Futures",$C$6,$C$5))),""),"")</f>
        <v/>
      </c>
      <c r="I4934" s="139">
        <f>IFERROR(IF(AND(ISNUMBER(F4934),ISNUMBER(H4934)),F4934-H4934,""),"")</f>
        <v/>
      </c>
      <c r="J4934" s="114" t="n"/>
      <c r="K4934" s="139">
        <f>IFERROR(IF(H4934&gt;0,H4934*IF(OR(C4934="Alpha",B4934="Alpha"),$C$9,$C$8),""),"")</f>
        <v/>
      </c>
      <c r="L4934" s="139">
        <f>IFERROR(IF(ISNUMBER(F4934),F4934-IF(ISNUMBER(K4934),K4934,0),""),"")</f>
        <v/>
      </c>
    </row>
    <row r="4935" ht="24" customHeight="1" s="63">
      <c r="E4935" s="139" t="n"/>
      <c r="F4935" s="139" t="n"/>
      <c r="G4935" s="140">
        <f>IFERROR(IF(E4935&gt;0,(F4935/E4935)*1000,""),"")</f>
        <v/>
      </c>
      <c r="H4935" s="139">
        <f>IFERROR(IF(E4935&gt;0,E4935*IF(ISNUMBER(J4935),J4935,IF(OR(C4935="Alpha",B4935="Alpha"),$C$7,IF(C4935="Futures",$C$6,$C$5))),""),"")</f>
        <v/>
      </c>
      <c r="I4935" s="139">
        <f>IFERROR(IF(AND(ISNUMBER(F4935),ISNUMBER(H4935)),F4935-H4935,""),"")</f>
        <v/>
      </c>
      <c r="J4935" s="114" t="n"/>
      <c r="K4935" s="139">
        <f>IFERROR(IF(H4935&gt;0,H4935*IF(OR(C4935="Alpha",B4935="Alpha"),$C$9,$C$8),""),"")</f>
        <v/>
      </c>
      <c r="L4935" s="139">
        <f>IFERROR(IF(ISNUMBER(F4935),F4935-IF(ISNUMBER(K4935),K4935,0),""),"")</f>
        <v/>
      </c>
    </row>
    <row r="4936" ht="24" customHeight="1" s="63">
      <c r="E4936" s="139" t="n"/>
      <c r="F4936" s="139" t="n"/>
      <c r="G4936" s="140">
        <f>IFERROR(IF(E4936&gt;0,(F4936/E4936)*1000,""),"")</f>
        <v/>
      </c>
      <c r="H4936" s="139">
        <f>IFERROR(IF(E4936&gt;0,E4936*IF(ISNUMBER(J4936),J4936,IF(OR(C4936="Alpha",B4936="Alpha"),$C$7,IF(C4936="Futures",$C$6,$C$5))),""),"")</f>
        <v/>
      </c>
      <c r="I4936" s="139">
        <f>IFERROR(IF(AND(ISNUMBER(F4936),ISNUMBER(H4936)),F4936-H4936,""),"")</f>
        <v/>
      </c>
      <c r="J4936" s="114" t="n"/>
      <c r="K4936" s="139">
        <f>IFERROR(IF(H4936&gt;0,H4936*IF(OR(C4936="Alpha",B4936="Alpha"),$C$9,$C$8),""),"")</f>
        <v/>
      </c>
      <c r="L4936" s="139">
        <f>IFERROR(IF(ISNUMBER(F4936),F4936-IF(ISNUMBER(K4936),K4936,0),""),"")</f>
        <v/>
      </c>
    </row>
    <row r="4937" ht="24" customHeight="1" s="63">
      <c r="E4937" s="139" t="n"/>
      <c r="F4937" s="139" t="n"/>
      <c r="G4937" s="140">
        <f>IFERROR(IF(E4937&gt;0,(F4937/E4937)*1000,""),"")</f>
        <v/>
      </c>
      <c r="H4937" s="139">
        <f>IFERROR(IF(E4937&gt;0,E4937*IF(ISNUMBER(J4937),J4937,IF(OR(C4937="Alpha",B4937="Alpha"),$C$7,IF(C4937="Futures",$C$6,$C$5))),""),"")</f>
        <v/>
      </c>
      <c r="I4937" s="139">
        <f>IFERROR(IF(AND(ISNUMBER(F4937),ISNUMBER(H4937)),F4937-H4937,""),"")</f>
        <v/>
      </c>
      <c r="J4937" s="114" t="n"/>
      <c r="K4937" s="139">
        <f>IFERROR(IF(H4937&gt;0,H4937*IF(OR(C4937="Alpha",B4937="Alpha"),$C$9,$C$8),""),"")</f>
        <v/>
      </c>
      <c r="L4937" s="139">
        <f>IFERROR(IF(ISNUMBER(F4937),F4937-IF(ISNUMBER(K4937),K4937,0),""),"")</f>
        <v/>
      </c>
    </row>
    <row r="4938" ht="24" customHeight="1" s="63">
      <c r="E4938" s="139" t="n"/>
      <c r="F4938" s="139" t="n"/>
      <c r="G4938" s="140">
        <f>IFERROR(IF(E4938&gt;0,(F4938/E4938)*1000,""),"")</f>
        <v/>
      </c>
      <c r="H4938" s="139">
        <f>IFERROR(IF(E4938&gt;0,E4938*IF(ISNUMBER(J4938),J4938,IF(OR(C4938="Alpha",B4938="Alpha"),$C$7,IF(C4938="Futures",$C$6,$C$5))),""),"")</f>
        <v/>
      </c>
      <c r="I4938" s="139">
        <f>IFERROR(IF(AND(ISNUMBER(F4938),ISNUMBER(H4938)),F4938-H4938,""),"")</f>
        <v/>
      </c>
      <c r="J4938" s="114" t="n"/>
      <c r="K4938" s="139">
        <f>IFERROR(IF(H4938&gt;0,H4938*IF(OR(C4938="Alpha",B4938="Alpha"),$C$9,$C$8),""),"")</f>
        <v/>
      </c>
      <c r="L4938" s="139">
        <f>IFERROR(IF(ISNUMBER(F4938),F4938-IF(ISNUMBER(K4938),K4938,0),""),"")</f>
        <v/>
      </c>
    </row>
    <row r="4939" ht="24" customHeight="1" s="63">
      <c r="E4939" s="139" t="n"/>
      <c r="F4939" s="139" t="n"/>
      <c r="G4939" s="140">
        <f>IFERROR(IF(E4939&gt;0,(F4939/E4939)*1000,""),"")</f>
        <v/>
      </c>
      <c r="H4939" s="139">
        <f>IFERROR(IF(E4939&gt;0,E4939*IF(ISNUMBER(J4939),J4939,IF(OR(C4939="Alpha",B4939="Alpha"),$C$7,IF(C4939="Futures",$C$6,$C$5))),""),"")</f>
        <v/>
      </c>
      <c r="I4939" s="139">
        <f>IFERROR(IF(AND(ISNUMBER(F4939),ISNUMBER(H4939)),F4939-H4939,""),"")</f>
        <v/>
      </c>
      <c r="J4939" s="114" t="n"/>
      <c r="K4939" s="139">
        <f>IFERROR(IF(H4939&gt;0,H4939*IF(OR(C4939="Alpha",B4939="Alpha"),$C$9,$C$8),""),"")</f>
        <v/>
      </c>
      <c r="L4939" s="139">
        <f>IFERROR(IF(ISNUMBER(F4939),F4939-IF(ISNUMBER(K4939),K4939,0),""),"")</f>
        <v/>
      </c>
    </row>
    <row r="4940" ht="24" customHeight="1" s="63">
      <c r="E4940" s="139" t="n"/>
      <c r="F4940" s="139" t="n"/>
      <c r="G4940" s="140">
        <f>IFERROR(IF(E4940&gt;0,(F4940/E4940)*1000,""),"")</f>
        <v/>
      </c>
      <c r="H4940" s="139">
        <f>IFERROR(IF(E4940&gt;0,E4940*IF(ISNUMBER(J4940),J4940,IF(OR(C4940="Alpha",B4940="Alpha"),$C$7,IF(C4940="Futures",$C$6,$C$5))),""),"")</f>
        <v/>
      </c>
      <c r="I4940" s="139">
        <f>IFERROR(IF(AND(ISNUMBER(F4940),ISNUMBER(H4940)),F4940-H4940,""),"")</f>
        <v/>
      </c>
      <c r="J4940" s="114" t="n"/>
      <c r="K4940" s="139">
        <f>IFERROR(IF(H4940&gt;0,H4940*IF(OR(C4940="Alpha",B4940="Alpha"),$C$9,$C$8),""),"")</f>
        <v/>
      </c>
      <c r="L4940" s="139">
        <f>IFERROR(IF(ISNUMBER(F4940),F4940-IF(ISNUMBER(K4940),K4940,0),""),"")</f>
        <v/>
      </c>
    </row>
    <row r="4941" ht="24" customHeight="1" s="63">
      <c r="E4941" s="139" t="n"/>
      <c r="F4941" s="139" t="n"/>
      <c r="G4941" s="140">
        <f>IFERROR(IF(E4941&gt;0,(F4941/E4941)*1000,""),"")</f>
        <v/>
      </c>
      <c r="H4941" s="139">
        <f>IFERROR(IF(E4941&gt;0,E4941*IF(ISNUMBER(J4941),J4941,IF(OR(C4941="Alpha",B4941="Alpha"),$C$7,IF(C4941="Futures",$C$6,$C$5))),""),"")</f>
        <v/>
      </c>
      <c r="I4941" s="139">
        <f>IFERROR(IF(AND(ISNUMBER(F4941),ISNUMBER(H4941)),F4941-H4941,""),"")</f>
        <v/>
      </c>
      <c r="J4941" s="114" t="n"/>
      <c r="K4941" s="139">
        <f>IFERROR(IF(H4941&gt;0,H4941*IF(OR(C4941="Alpha",B4941="Alpha"),$C$9,$C$8),""),"")</f>
        <v/>
      </c>
      <c r="L4941" s="139">
        <f>IFERROR(IF(ISNUMBER(F4941),F4941-IF(ISNUMBER(K4941),K4941,0),""),"")</f>
        <v/>
      </c>
    </row>
    <row r="4942" ht="24" customHeight="1" s="63">
      <c r="E4942" s="139" t="n"/>
      <c r="F4942" s="139" t="n"/>
      <c r="G4942" s="140">
        <f>IFERROR(IF(E4942&gt;0,(F4942/E4942)*1000,""),"")</f>
        <v/>
      </c>
      <c r="H4942" s="139">
        <f>IFERROR(IF(E4942&gt;0,E4942*IF(ISNUMBER(J4942),J4942,IF(OR(C4942="Alpha",B4942="Alpha"),$C$7,IF(C4942="Futures",$C$6,$C$5))),""),"")</f>
        <v/>
      </c>
      <c r="I4942" s="139">
        <f>IFERROR(IF(AND(ISNUMBER(F4942),ISNUMBER(H4942)),F4942-H4942,""),"")</f>
        <v/>
      </c>
      <c r="J4942" s="114" t="n"/>
      <c r="K4942" s="139">
        <f>IFERROR(IF(H4942&gt;0,H4942*IF(OR(C4942="Alpha",B4942="Alpha"),$C$9,$C$8),""),"")</f>
        <v/>
      </c>
      <c r="L4942" s="139">
        <f>IFERROR(IF(ISNUMBER(F4942),F4942-IF(ISNUMBER(K4942),K4942,0),""),"")</f>
        <v/>
      </c>
    </row>
    <row r="4943" ht="24" customHeight="1" s="63">
      <c r="E4943" s="139" t="n"/>
      <c r="F4943" s="139" t="n"/>
      <c r="G4943" s="140">
        <f>IFERROR(IF(E4943&gt;0,(F4943/E4943)*1000,""),"")</f>
        <v/>
      </c>
      <c r="H4943" s="139">
        <f>IFERROR(IF(E4943&gt;0,E4943*IF(ISNUMBER(J4943),J4943,IF(OR(C4943="Alpha",B4943="Alpha"),$C$7,IF(C4943="Futures",$C$6,$C$5))),""),"")</f>
        <v/>
      </c>
      <c r="I4943" s="139">
        <f>IFERROR(IF(AND(ISNUMBER(F4943),ISNUMBER(H4943)),F4943-H4943,""),"")</f>
        <v/>
      </c>
      <c r="J4943" s="114" t="n"/>
      <c r="K4943" s="139">
        <f>IFERROR(IF(H4943&gt;0,H4943*IF(OR(C4943="Alpha",B4943="Alpha"),$C$9,$C$8),""),"")</f>
        <v/>
      </c>
      <c r="L4943" s="139">
        <f>IFERROR(IF(ISNUMBER(F4943),F4943-IF(ISNUMBER(K4943),K4943,0),""),"")</f>
        <v/>
      </c>
    </row>
    <row r="4944" ht="24" customHeight="1" s="63">
      <c r="E4944" s="139" t="n"/>
      <c r="F4944" s="139" t="n"/>
      <c r="G4944" s="140">
        <f>IFERROR(IF(E4944&gt;0,(F4944/E4944)*1000,""),"")</f>
        <v/>
      </c>
      <c r="H4944" s="139">
        <f>IFERROR(IF(E4944&gt;0,E4944*IF(ISNUMBER(J4944),J4944,IF(OR(C4944="Alpha",B4944="Alpha"),$C$7,IF(C4944="Futures",$C$6,$C$5))),""),"")</f>
        <v/>
      </c>
      <c r="I4944" s="139">
        <f>IFERROR(IF(AND(ISNUMBER(F4944),ISNUMBER(H4944)),F4944-H4944,""),"")</f>
        <v/>
      </c>
      <c r="J4944" s="114" t="n"/>
      <c r="K4944" s="139">
        <f>IFERROR(IF(H4944&gt;0,H4944*IF(OR(C4944="Alpha",B4944="Alpha"),$C$9,$C$8),""),"")</f>
        <v/>
      </c>
      <c r="L4944" s="139">
        <f>IFERROR(IF(ISNUMBER(F4944),F4944-IF(ISNUMBER(K4944),K4944,0),""),"")</f>
        <v/>
      </c>
    </row>
    <row r="4945" ht="24" customHeight="1" s="63">
      <c r="E4945" s="139" t="n"/>
      <c r="F4945" s="139" t="n"/>
      <c r="G4945" s="140">
        <f>IFERROR(IF(E4945&gt;0,(F4945/E4945)*1000,""),"")</f>
        <v/>
      </c>
      <c r="H4945" s="139">
        <f>IFERROR(IF(E4945&gt;0,E4945*IF(ISNUMBER(J4945),J4945,IF(OR(C4945="Alpha",B4945="Alpha"),$C$7,IF(C4945="Futures",$C$6,$C$5))),""),"")</f>
        <v/>
      </c>
      <c r="I4945" s="139">
        <f>IFERROR(IF(AND(ISNUMBER(F4945),ISNUMBER(H4945)),F4945-H4945,""),"")</f>
        <v/>
      </c>
      <c r="J4945" s="114" t="n"/>
      <c r="K4945" s="139">
        <f>IFERROR(IF(H4945&gt;0,H4945*IF(OR(C4945="Alpha",B4945="Alpha"),$C$9,$C$8),""),"")</f>
        <v/>
      </c>
      <c r="L4945" s="139">
        <f>IFERROR(IF(ISNUMBER(F4945),F4945-IF(ISNUMBER(K4945),K4945,0),""),"")</f>
        <v/>
      </c>
    </row>
    <row r="4946" ht="24" customHeight="1" s="63">
      <c r="E4946" s="139" t="n"/>
      <c r="F4946" s="139" t="n"/>
      <c r="G4946" s="140">
        <f>IFERROR(IF(E4946&gt;0,(F4946/E4946)*1000,""),"")</f>
        <v/>
      </c>
      <c r="H4946" s="139">
        <f>IFERROR(IF(E4946&gt;0,E4946*IF(ISNUMBER(J4946),J4946,IF(OR(C4946="Alpha",B4946="Alpha"),$C$7,IF(C4946="Futures",$C$6,$C$5))),""),"")</f>
        <v/>
      </c>
      <c r="I4946" s="139">
        <f>IFERROR(IF(AND(ISNUMBER(F4946),ISNUMBER(H4946)),F4946-H4946,""),"")</f>
        <v/>
      </c>
      <c r="J4946" s="114" t="n"/>
      <c r="K4946" s="139">
        <f>IFERROR(IF(H4946&gt;0,H4946*IF(OR(C4946="Alpha",B4946="Alpha"),$C$9,$C$8),""),"")</f>
        <v/>
      </c>
      <c r="L4946" s="139">
        <f>IFERROR(IF(ISNUMBER(F4946),F4946-IF(ISNUMBER(K4946),K4946,0),""),"")</f>
        <v/>
      </c>
    </row>
    <row r="4947" ht="24" customHeight="1" s="63">
      <c r="E4947" s="139" t="n"/>
      <c r="F4947" s="139" t="n"/>
      <c r="G4947" s="140">
        <f>IFERROR(IF(E4947&gt;0,(F4947/E4947)*1000,""),"")</f>
        <v/>
      </c>
      <c r="H4947" s="139">
        <f>IFERROR(IF(E4947&gt;0,E4947*IF(ISNUMBER(J4947),J4947,IF(OR(C4947="Alpha",B4947="Alpha"),$C$7,IF(C4947="Futures",$C$6,$C$5))),""),"")</f>
        <v/>
      </c>
      <c r="I4947" s="139">
        <f>IFERROR(IF(AND(ISNUMBER(F4947),ISNUMBER(H4947)),F4947-H4947,""),"")</f>
        <v/>
      </c>
      <c r="J4947" s="114" t="n"/>
      <c r="K4947" s="139">
        <f>IFERROR(IF(H4947&gt;0,H4947*IF(OR(C4947="Alpha",B4947="Alpha"),$C$9,$C$8),""),"")</f>
        <v/>
      </c>
      <c r="L4947" s="139">
        <f>IFERROR(IF(ISNUMBER(F4947),F4947-IF(ISNUMBER(K4947),K4947,0),""),"")</f>
        <v/>
      </c>
    </row>
    <row r="4948" ht="24" customHeight="1" s="63">
      <c r="E4948" s="139" t="n"/>
      <c r="F4948" s="139" t="n"/>
      <c r="G4948" s="140">
        <f>IFERROR(IF(E4948&gt;0,(F4948/E4948)*1000,""),"")</f>
        <v/>
      </c>
      <c r="H4948" s="139">
        <f>IFERROR(IF(E4948&gt;0,E4948*IF(ISNUMBER(J4948),J4948,IF(OR(C4948="Alpha",B4948="Alpha"),$C$7,IF(C4948="Futures",$C$6,$C$5))),""),"")</f>
        <v/>
      </c>
      <c r="I4948" s="139">
        <f>IFERROR(IF(AND(ISNUMBER(F4948),ISNUMBER(H4948)),F4948-H4948,""),"")</f>
        <v/>
      </c>
      <c r="J4948" s="114" t="n"/>
      <c r="K4948" s="139">
        <f>IFERROR(IF(H4948&gt;0,H4948*IF(OR(C4948="Alpha",B4948="Alpha"),$C$9,$C$8),""),"")</f>
        <v/>
      </c>
      <c r="L4948" s="139">
        <f>IFERROR(IF(ISNUMBER(F4948),F4948-IF(ISNUMBER(K4948),K4948,0),""),"")</f>
        <v/>
      </c>
    </row>
    <row r="4949" ht="24" customHeight="1" s="63">
      <c r="E4949" s="139" t="n"/>
      <c r="F4949" s="139" t="n"/>
      <c r="G4949" s="140">
        <f>IFERROR(IF(E4949&gt;0,(F4949/E4949)*1000,""),"")</f>
        <v/>
      </c>
      <c r="H4949" s="139">
        <f>IFERROR(IF(E4949&gt;0,E4949*IF(ISNUMBER(J4949),J4949,IF(OR(C4949="Alpha",B4949="Alpha"),$C$7,IF(C4949="Futures",$C$6,$C$5))),""),"")</f>
        <v/>
      </c>
      <c r="I4949" s="139">
        <f>IFERROR(IF(AND(ISNUMBER(F4949),ISNUMBER(H4949)),F4949-H4949,""),"")</f>
        <v/>
      </c>
      <c r="J4949" s="114" t="n"/>
      <c r="K4949" s="139">
        <f>IFERROR(IF(H4949&gt;0,H4949*IF(OR(C4949="Alpha",B4949="Alpha"),$C$9,$C$8),""),"")</f>
        <v/>
      </c>
      <c r="L4949" s="139">
        <f>IFERROR(IF(ISNUMBER(F4949),F4949-IF(ISNUMBER(K4949),K4949,0),""),"")</f>
        <v/>
      </c>
    </row>
    <row r="4950" ht="24" customHeight="1" s="63">
      <c r="E4950" s="139" t="n"/>
      <c r="F4950" s="139" t="n"/>
      <c r="G4950" s="140">
        <f>IFERROR(IF(E4950&gt;0,(F4950/E4950)*1000,""),"")</f>
        <v/>
      </c>
      <c r="H4950" s="139">
        <f>IFERROR(IF(E4950&gt;0,E4950*IF(ISNUMBER(J4950),J4950,IF(OR(C4950="Alpha",B4950="Alpha"),$C$7,IF(C4950="Futures",$C$6,$C$5))),""),"")</f>
        <v/>
      </c>
      <c r="I4950" s="139">
        <f>IFERROR(IF(AND(ISNUMBER(F4950),ISNUMBER(H4950)),F4950-H4950,""),"")</f>
        <v/>
      </c>
      <c r="J4950" s="114" t="n"/>
      <c r="K4950" s="139">
        <f>IFERROR(IF(H4950&gt;0,H4950*IF(OR(C4950="Alpha",B4950="Alpha"),$C$9,$C$8),""),"")</f>
        <v/>
      </c>
      <c r="L4950" s="139">
        <f>IFERROR(IF(ISNUMBER(F4950),F4950-IF(ISNUMBER(K4950),K4950,0),""),"")</f>
        <v/>
      </c>
    </row>
    <row r="4951" ht="24" customHeight="1" s="63">
      <c r="E4951" s="139" t="n"/>
      <c r="F4951" s="139" t="n"/>
      <c r="G4951" s="140">
        <f>IFERROR(IF(E4951&gt;0,(F4951/E4951)*1000,""),"")</f>
        <v/>
      </c>
      <c r="H4951" s="139">
        <f>IFERROR(IF(E4951&gt;0,E4951*IF(ISNUMBER(J4951),J4951,IF(OR(C4951="Alpha",B4951="Alpha"),$C$7,IF(C4951="Futures",$C$6,$C$5))),""),"")</f>
        <v/>
      </c>
      <c r="I4951" s="139">
        <f>IFERROR(IF(AND(ISNUMBER(F4951),ISNUMBER(H4951)),F4951-H4951,""),"")</f>
        <v/>
      </c>
      <c r="J4951" s="114" t="n"/>
      <c r="K4951" s="139">
        <f>IFERROR(IF(H4951&gt;0,H4951*IF(OR(C4951="Alpha",B4951="Alpha"),$C$9,$C$8),""),"")</f>
        <v/>
      </c>
      <c r="L4951" s="139">
        <f>IFERROR(IF(ISNUMBER(F4951),F4951-IF(ISNUMBER(K4951),K4951,0),""),"")</f>
        <v/>
      </c>
    </row>
    <row r="4952" ht="24" customHeight="1" s="63">
      <c r="E4952" s="139" t="n"/>
      <c r="F4952" s="139" t="n"/>
      <c r="G4952" s="140">
        <f>IFERROR(IF(E4952&gt;0,(F4952/E4952)*1000,""),"")</f>
        <v/>
      </c>
      <c r="H4952" s="139">
        <f>IFERROR(IF(E4952&gt;0,E4952*IF(ISNUMBER(J4952),J4952,IF(OR(C4952="Alpha",B4952="Alpha"),$C$7,IF(C4952="Futures",$C$6,$C$5))),""),"")</f>
        <v/>
      </c>
      <c r="I4952" s="139">
        <f>IFERROR(IF(AND(ISNUMBER(F4952),ISNUMBER(H4952)),F4952-H4952,""),"")</f>
        <v/>
      </c>
      <c r="J4952" s="114" t="n"/>
      <c r="K4952" s="139">
        <f>IFERROR(IF(H4952&gt;0,H4952*IF(OR(C4952="Alpha",B4952="Alpha"),$C$9,$C$8),""),"")</f>
        <v/>
      </c>
      <c r="L4952" s="139">
        <f>IFERROR(IF(ISNUMBER(F4952),F4952-IF(ISNUMBER(K4952),K4952,0),""),"")</f>
        <v/>
      </c>
    </row>
    <row r="4953" ht="24" customHeight="1" s="63">
      <c r="E4953" s="139" t="n"/>
      <c r="F4953" s="139" t="n"/>
      <c r="G4953" s="140">
        <f>IFERROR(IF(E4953&gt;0,(F4953/E4953)*1000,""),"")</f>
        <v/>
      </c>
      <c r="H4953" s="139">
        <f>IFERROR(IF(E4953&gt;0,E4953*IF(ISNUMBER(J4953),J4953,IF(OR(C4953="Alpha",B4953="Alpha"),$C$7,IF(C4953="Futures",$C$6,$C$5))),""),"")</f>
        <v/>
      </c>
      <c r="I4953" s="139">
        <f>IFERROR(IF(AND(ISNUMBER(F4953),ISNUMBER(H4953)),F4953-H4953,""),"")</f>
        <v/>
      </c>
      <c r="J4953" s="114" t="n"/>
      <c r="K4953" s="139">
        <f>IFERROR(IF(H4953&gt;0,H4953*IF(OR(C4953="Alpha",B4953="Alpha"),$C$9,$C$8),""),"")</f>
        <v/>
      </c>
      <c r="L4953" s="139">
        <f>IFERROR(IF(ISNUMBER(F4953),F4953-IF(ISNUMBER(K4953),K4953,0),""),"")</f>
        <v/>
      </c>
    </row>
    <row r="4954" ht="24" customHeight="1" s="63">
      <c r="E4954" s="139" t="n"/>
      <c r="F4954" s="139" t="n"/>
      <c r="G4954" s="140">
        <f>IFERROR(IF(E4954&gt;0,(F4954/E4954)*1000,""),"")</f>
        <v/>
      </c>
      <c r="H4954" s="139">
        <f>IFERROR(IF(E4954&gt;0,E4954*IF(ISNUMBER(J4954),J4954,IF(OR(C4954="Alpha",B4954="Alpha"),$C$7,IF(C4954="Futures",$C$6,$C$5))),""),"")</f>
        <v/>
      </c>
      <c r="I4954" s="139">
        <f>IFERROR(IF(AND(ISNUMBER(F4954),ISNUMBER(H4954)),F4954-H4954,""),"")</f>
        <v/>
      </c>
      <c r="J4954" s="114" t="n"/>
      <c r="K4954" s="139">
        <f>IFERROR(IF(H4954&gt;0,H4954*IF(OR(C4954="Alpha",B4954="Alpha"),$C$9,$C$8),""),"")</f>
        <v/>
      </c>
      <c r="L4954" s="139">
        <f>IFERROR(IF(ISNUMBER(F4954),F4954-IF(ISNUMBER(K4954),K4954,0),""),"")</f>
        <v/>
      </c>
    </row>
    <row r="4955" ht="24" customHeight="1" s="63">
      <c r="E4955" s="139" t="n"/>
      <c r="F4955" s="139" t="n"/>
      <c r="G4955" s="140">
        <f>IFERROR(IF(E4955&gt;0,(F4955/E4955)*1000,""),"")</f>
        <v/>
      </c>
      <c r="H4955" s="139">
        <f>IFERROR(IF(E4955&gt;0,E4955*IF(ISNUMBER(J4955),J4955,IF(OR(C4955="Alpha",B4955="Alpha"),$C$7,IF(C4955="Futures",$C$6,$C$5))),""),"")</f>
        <v/>
      </c>
      <c r="I4955" s="139">
        <f>IFERROR(IF(AND(ISNUMBER(F4955),ISNUMBER(H4955)),F4955-H4955,""),"")</f>
        <v/>
      </c>
      <c r="J4955" s="114" t="n"/>
      <c r="K4955" s="139">
        <f>IFERROR(IF(H4955&gt;0,H4955*IF(OR(C4955="Alpha",B4955="Alpha"),$C$9,$C$8),""),"")</f>
        <v/>
      </c>
      <c r="L4955" s="139">
        <f>IFERROR(IF(ISNUMBER(F4955),F4955-IF(ISNUMBER(K4955),K4955,0),""),"")</f>
        <v/>
      </c>
    </row>
    <row r="4956" ht="24" customHeight="1" s="63">
      <c r="E4956" s="139" t="n"/>
      <c r="F4956" s="139" t="n"/>
      <c r="G4956" s="140">
        <f>IFERROR(IF(E4956&gt;0,(F4956/E4956)*1000,""),"")</f>
        <v/>
      </c>
      <c r="H4956" s="139">
        <f>IFERROR(IF(E4956&gt;0,E4956*IF(ISNUMBER(J4956),J4956,IF(OR(C4956="Alpha",B4956="Alpha"),$C$7,IF(C4956="Futures",$C$6,$C$5))),""),"")</f>
        <v/>
      </c>
      <c r="I4956" s="139">
        <f>IFERROR(IF(AND(ISNUMBER(F4956),ISNUMBER(H4956)),F4956-H4956,""),"")</f>
        <v/>
      </c>
      <c r="J4956" s="114" t="n"/>
      <c r="K4956" s="139">
        <f>IFERROR(IF(H4956&gt;0,H4956*IF(OR(C4956="Alpha",B4956="Alpha"),$C$9,$C$8),""),"")</f>
        <v/>
      </c>
      <c r="L4956" s="139">
        <f>IFERROR(IF(ISNUMBER(F4956),F4956-IF(ISNUMBER(K4956),K4956,0),""),"")</f>
        <v/>
      </c>
    </row>
    <row r="4957" ht="24" customHeight="1" s="63">
      <c r="E4957" s="139" t="n"/>
      <c r="F4957" s="139" t="n"/>
      <c r="G4957" s="140">
        <f>IFERROR(IF(E4957&gt;0,(F4957/E4957)*1000,""),"")</f>
        <v/>
      </c>
      <c r="H4957" s="139">
        <f>IFERROR(IF(E4957&gt;0,E4957*IF(ISNUMBER(J4957),J4957,IF(OR(C4957="Alpha",B4957="Alpha"),$C$7,IF(C4957="Futures",$C$6,$C$5))),""),"")</f>
        <v/>
      </c>
      <c r="I4957" s="139">
        <f>IFERROR(IF(AND(ISNUMBER(F4957),ISNUMBER(H4957)),F4957-H4957,""),"")</f>
        <v/>
      </c>
      <c r="J4957" s="114" t="n"/>
      <c r="K4957" s="139">
        <f>IFERROR(IF(H4957&gt;0,H4957*IF(OR(C4957="Alpha",B4957="Alpha"),$C$9,$C$8),""),"")</f>
        <v/>
      </c>
      <c r="L4957" s="139">
        <f>IFERROR(IF(ISNUMBER(F4957),F4957-IF(ISNUMBER(K4957),K4957,0),""),"")</f>
        <v/>
      </c>
    </row>
    <row r="4958" ht="24" customHeight="1" s="63">
      <c r="E4958" s="139" t="n"/>
      <c r="F4958" s="139" t="n"/>
      <c r="G4958" s="140">
        <f>IFERROR(IF(E4958&gt;0,(F4958/E4958)*1000,""),"")</f>
        <v/>
      </c>
      <c r="H4958" s="139">
        <f>IFERROR(IF(E4958&gt;0,E4958*IF(ISNUMBER(J4958),J4958,IF(OR(C4958="Alpha",B4958="Alpha"),$C$7,IF(C4958="Futures",$C$6,$C$5))),""),"")</f>
        <v/>
      </c>
      <c r="I4958" s="139">
        <f>IFERROR(IF(AND(ISNUMBER(F4958),ISNUMBER(H4958)),F4958-H4958,""),"")</f>
        <v/>
      </c>
      <c r="J4958" s="114" t="n"/>
      <c r="K4958" s="139">
        <f>IFERROR(IF(H4958&gt;0,H4958*IF(OR(C4958="Alpha",B4958="Alpha"),$C$9,$C$8),""),"")</f>
        <v/>
      </c>
      <c r="L4958" s="139">
        <f>IFERROR(IF(ISNUMBER(F4958),F4958-IF(ISNUMBER(K4958),K4958,0),""),"")</f>
        <v/>
      </c>
    </row>
    <row r="4959" ht="24" customHeight="1" s="63">
      <c r="E4959" s="139" t="n"/>
      <c r="F4959" s="139" t="n"/>
      <c r="G4959" s="140">
        <f>IFERROR(IF(E4959&gt;0,(F4959/E4959)*1000,""),"")</f>
        <v/>
      </c>
      <c r="H4959" s="139">
        <f>IFERROR(IF(E4959&gt;0,E4959*IF(ISNUMBER(J4959),J4959,IF(OR(C4959="Alpha",B4959="Alpha"),$C$7,IF(C4959="Futures",$C$6,$C$5))),""),"")</f>
        <v/>
      </c>
      <c r="I4959" s="139">
        <f>IFERROR(IF(AND(ISNUMBER(F4959),ISNUMBER(H4959)),F4959-H4959,""),"")</f>
        <v/>
      </c>
      <c r="J4959" s="114" t="n"/>
      <c r="K4959" s="139">
        <f>IFERROR(IF(H4959&gt;0,H4959*IF(OR(C4959="Alpha",B4959="Alpha"),$C$9,$C$8),""),"")</f>
        <v/>
      </c>
      <c r="L4959" s="139">
        <f>IFERROR(IF(ISNUMBER(F4959),F4959-IF(ISNUMBER(K4959),K4959,0),""),"")</f>
        <v/>
      </c>
    </row>
    <row r="4960" ht="24" customHeight="1" s="63">
      <c r="E4960" s="139" t="n"/>
      <c r="F4960" s="139" t="n"/>
      <c r="G4960" s="140">
        <f>IFERROR(IF(E4960&gt;0,(F4960/E4960)*1000,""),"")</f>
        <v/>
      </c>
      <c r="H4960" s="139">
        <f>IFERROR(IF(E4960&gt;0,E4960*IF(ISNUMBER(J4960),J4960,IF(OR(C4960="Alpha",B4960="Alpha"),$C$7,IF(C4960="Futures",$C$6,$C$5))),""),"")</f>
        <v/>
      </c>
      <c r="I4960" s="139">
        <f>IFERROR(IF(AND(ISNUMBER(F4960),ISNUMBER(H4960)),F4960-H4960,""),"")</f>
        <v/>
      </c>
      <c r="J4960" s="114" t="n"/>
      <c r="K4960" s="139">
        <f>IFERROR(IF(H4960&gt;0,H4960*IF(OR(C4960="Alpha",B4960="Alpha"),$C$9,$C$8),""),"")</f>
        <v/>
      </c>
      <c r="L4960" s="139">
        <f>IFERROR(IF(ISNUMBER(F4960),F4960-IF(ISNUMBER(K4960),K4960,0),""),"")</f>
        <v/>
      </c>
    </row>
    <row r="4961" ht="24" customHeight="1" s="63">
      <c r="E4961" s="139" t="n"/>
      <c r="F4961" s="139" t="n"/>
      <c r="G4961" s="140">
        <f>IFERROR(IF(E4961&gt;0,(F4961/E4961)*1000,""),"")</f>
        <v/>
      </c>
      <c r="H4961" s="139">
        <f>IFERROR(IF(E4961&gt;0,E4961*IF(ISNUMBER(J4961),J4961,IF(OR(C4961="Alpha",B4961="Alpha"),$C$7,IF(C4961="Futures",$C$6,$C$5))),""),"")</f>
        <v/>
      </c>
      <c r="I4961" s="139">
        <f>IFERROR(IF(AND(ISNUMBER(F4961),ISNUMBER(H4961)),F4961-H4961,""),"")</f>
        <v/>
      </c>
      <c r="J4961" s="114" t="n"/>
      <c r="K4961" s="139">
        <f>IFERROR(IF(H4961&gt;0,H4961*IF(OR(C4961="Alpha",B4961="Alpha"),$C$9,$C$8),""),"")</f>
        <v/>
      </c>
      <c r="L4961" s="139">
        <f>IFERROR(IF(ISNUMBER(F4961),F4961-IF(ISNUMBER(K4961),K4961,0),""),"")</f>
        <v/>
      </c>
    </row>
    <row r="4962" ht="24" customHeight="1" s="63">
      <c r="E4962" s="139" t="n"/>
      <c r="F4962" s="139" t="n"/>
      <c r="G4962" s="140">
        <f>IFERROR(IF(E4962&gt;0,(F4962/E4962)*1000,""),"")</f>
        <v/>
      </c>
      <c r="H4962" s="139">
        <f>IFERROR(IF(E4962&gt;0,E4962*IF(ISNUMBER(J4962),J4962,IF(OR(C4962="Alpha",B4962="Alpha"),$C$7,IF(C4962="Futures",$C$6,$C$5))),""),"")</f>
        <v/>
      </c>
      <c r="I4962" s="139">
        <f>IFERROR(IF(AND(ISNUMBER(F4962),ISNUMBER(H4962)),F4962-H4962,""),"")</f>
        <v/>
      </c>
      <c r="J4962" s="114" t="n"/>
      <c r="K4962" s="139">
        <f>IFERROR(IF(H4962&gt;0,H4962*IF(OR(C4962="Alpha",B4962="Alpha"),$C$9,$C$8),""),"")</f>
        <v/>
      </c>
      <c r="L4962" s="139">
        <f>IFERROR(IF(ISNUMBER(F4962),F4962-IF(ISNUMBER(K4962),K4962,0),""),"")</f>
        <v/>
      </c>
    </row>
    <row r="4963" ht="24" customHeight="1" s="63">
      <c r="E4963" s="139" t="n"/>
      <c r="F4963" s="139" t="n"/>
      <c r="G4963" s="140">
        <f>IFERROR(IF(E4963&gt;0,(F4963/E4963)*1000,""),"")</f>
        <v/>
      </c>
      <c r="H4963" s="139">
        <f>IFERROR(IF(E4963&gt;0,E4963*IF(ISNUMBER(J4963),J4963,IF(OR(C4963="Alpha",B4963="Alpha"),$C$7,IF(C4963="Futures",$C$6,$C$5))),""),"")</f>
        <v/>
      </c>
      <c r="I4963" s="139">
        <f>IFERROR(IF(AND(ISNUMBER(F4963),ISNUMBER(H4963)),F4963-H4963,""),"")</f>
        <v/>
      </c>
      <c r="J4963" s="114" t="n"/>
      <c r="K4963" s="139">
        <f>IFERROR(IF(H4963&gt;0,H4963*IF(OR(C4963="Alpha",B4963="Alpha"),$C$9,$C$8),""),"")</f>
        <v/>
      </c>
      <c r="L4963" s="139">
        <f>IFERROR(IF(ISNUMBER(F4963),F4963-IF(ISNUMBER(K4963),K4963,0),""),"")</f>
        <v/>
      </c>
    </row>
    <row r="4964" ht="24" customHeight="1" s="63">
      <c r="E4964" s="139" t="n"/>
      <c r="F4964" s="139" t="n"/>
      <c r="G4964" s="140">
        <f>IFERROR(IF(E4964&gt;0,(F4964/E4964)*1000,""),"")</f>
        <v/>
      </c>
      <c r="H4964" s="139">
        <f>IFERROR(IF(E4964&gt;0,E4964*IF(ISNUMBER(J4964),J4964,IF(OR(C4964="Alpha",B4964="Alpha"),$C$7,IF(C4964="Futures",$C$6,$C$5))),""),"")</f>
        <v/>
      </c>
      <c r="I4964" s="139">
        <f>IFERROR(IF(AND(ISNUMBER(F4964),ISNUMBER(H4964)),F4964-H4964,""),"")</f>
        <v/>
      </c>
      <c r="J4964" s="114" t="n"/>
      <c r="K4964" s="139">
        <f>IFERROR(IF(H4964&gt;0,H4964*IF(OR(C4964="Alpha",B4964="Alpha"),$C$9,$C$8),""),"")</f>
        <v/>
      </c>
      <c r="L4964" s="139">
        <f>IFERROR(IF(ISNUMBER(F4964),F4964-IF(ISNUMBER(K4964),K4964,0),""),"")</f>
        <v/>
      </c>
    </row>
    <row r="4965" ht="24" customHeight="1" s="63">
      <c r="E4965" s="139" t="n"/>
      <c r="F4965" s="139" t="n"/>
      <c r="G4965" s="140">
        <f>IFERROR(IF(E4965&gt;0,(F4965/E4965)*1000,""),"")</f>
        <v/>
      </c>
      <c r="H4965" s="139">
        <f>IFERROR(IF(E4965&gt;0,E4965*IF(ISNUMBER(J4965),J4965,IF(OR(C4965="Alpha",B4965="Alpha"),$C$7,IF(C4965="Futures",$C$6,$C$5))),""),"")</f>
        <v/>
      </c>
      <c r="I4965" s="139">
        <f>IFERROR(IF(AND(ISNUMBER(F4965),ISNUMBER(H4965)),F4965-H4965,""),"")</f>
        <v/>
      </c>
      <c r="J4965" s="114" t="n"/>
      <c r="K4965" s="139">
        <f>IFERROR(IF(H4965&gt;0,H4965*IF(OR(C4965="Alpha",B4965="Alpha"),$C$9,$C$8),""),"")</f>
        <v/>
      </c>
      <c r="L4965" s="139">
        <f>IFERROR(IF(ISNUMBER(F4965),F4965-IF(ISNUMBER(K4965),K4965,0),""),"")</f>
        <v/>
      </c>
    </row>
    <row r="4966" ht="24" customHeight="1" s="63">
      <c r="E4966" s="139" t="n"/>
      <c r="F4966" s="139" t="n"/>
      <c r="G4966" s="140">
        <f>IFERROR(IF(E4966&gt;0,(F4966/E4966)*1000,""),"")</f>
        <v/>
      </c>
      <c r="H4966" s="139">
        <f>IFERROR(IF(E4966&gt;0,E4966*IF(ISNUMBER(J4966),J4966,IF(OR(C4966="Alpha",B4966="Alpha"),$C$7,IF(C4966="Futures",$C$6,$C$5))),""),"")</f>
        <v/>
      </c>
      <c r="I4966" s="139">
        <f>IFERROR(IF(AND(ISNUMBER(F4966),ISNUMBER(H4966)),F4966-H4966,""),"")</f>
        <v/>
      </c>
      <c r="J4966" s="114" t="n"/>
      <c r="K4966" s="139">
        <f>IFERROR(IF(H4966&gt;0,H4966*IF(OR(C4966="Alpha",B4966="Alpha"),$C$9,$C$8),""),"")</f>
        <v/>
      </c>
      <c r="L4966" s="139">
        <f>IFERROR(IF(ISNUMBER(F4966),F4966-IF(ISNUMBER(K4966),K4966,0),""),"")</f>
        <v/>
      </c>
    </row>
    <row r="4967" ht="24" customHeight="1" s="63">
      <c r="E4967" s="139" t="n"/>
      <c r="F4967" s="139" t="n"/>
      <c r="G4967" s="140">
        <f>IFERROR(IF(E4967&gt;0,(F4967/E4967)*1000,""),"")</f>
        <v/>
      </c>
      <c r="H4967" s="139">
        <f>IFERROR(IF(E4967&gt;0,E4967*IF(ISNUMBER(J4967),J4967,IF(OR(C4967="Alpha",B4967="Alpha"),$C$7,IF(C4967="Futures",$C$6,$C$5))),""),"")</f>
        <v/>
      </c>
      <c r="I4967" s="139">
        <f>IFERROR(IF(AND(ISNUMBER(F4967),ISNUMBER(H4967)),F4967-H4967,""),"")</f>
        <v/>
      </c>
      <c r="J4967" s="114" t="n"/>
      <c r="K4967" s="139">
        <f>IFERROR(IF(H4967&gt;0,H4967*IF(OR(C4967="Alpha",B4967="Alpha"),$C$9,$C$8),""),"")</f>
        <v/>
      </c>
      <c r="L4967" s="139">
        <f>IFERROR(IF(ISNUMBER(F4967),F4967-IF(ISNUMBER(K4967),K4967,0),""),"")</f>
        <v/>
      </c>
    </row>
    <row r="4968" ht="24" customHeight="1" s="63">
      <c r="E4968" s="139" t="n"/>
      <c r="F4968" s="139" t="n"/>
      <c r="G4968" s="140">
        <f>IFERROR(IF(E4968&gt;0,(F4968/E4968)*1000,""),"")</f>
        <v/>
      </c>
      <c r="H4968" s="139">
        <f>IFERROR(IF(E4968&gt;0,E4968*IF(ISNUMBER(J4968),J4968,IF(OR(C4968="Alpha",B4968="Alpha"),$C$7,IF(C4968="Futures",$C$6,$C$5))),""),"")</f>
        <v/>
      </c>
      <c r="I4968" s="139">
        <f>IFERROR(IF(AND(ISNUMBER(F4968),ISNUMBER(H4968)),F4968-H4968,""),"")</f>
        <v/>
      </c>
      <c r="J4968" s="114" t="n"/>
      <c r="K4968" s="139">
        <f>IFERROR(IF(H4968&gt;0,H4968*IF(OR(C4968="Alpha",B4968="Alpha"),$C$9,$C$8),""),"")</f>
        <v/>
      </c>
      <c r="L4968" s="139">
        <f>IFERROR(IF(ISNUMBER(F4968),F4968-IF(ISNUMBER(K4968),K4968,0),""),"")</f>
        <v/>
      </c>
    </row>
    <row r="4969" ht="24" customHeight="1" s="63">
      <c r="E4969" s="139" t="n"/>
      <c r="F4969" s="139" t="n"/>
      <c r="G4969" s="140">
        <f>IFERROR(IF(E4969&gt;0,(F4969/E4969)*1000,""),"")</f>
        <v/>
      </c>
      <c r="H4969" s="139">
        <f>IFERROR(IF(E4969&gt;0,E4969*IF(ISNUMBER(J4969),J4969,IF(OR(C4969="Alpha",B4969="Alpha"),$C$7,IF(C4969="Futures",$C$6,$C$5))),""),"")</f>
        <v/>
      </c>
      <c r="I4969" s="139">
        <f>IFERROR(IF(AND(ISNUMBER(F4969),ISNUMBER(H4969)),F4969-H4969,""),"")</f>
        <v/>
      </c>
      <c r="J4969" s="114" t="n"/>
      <c r="K4969" s="139">
        <f>IFERROR(IF(H4969&gt;0,H4969*IF(OR(C4969="Alpha",B4969="Alpha"),$C$9,$C$8),""),"")</f>
        <v/>
      </c>
      <c r="L4969" s="139">
        <f>IFERROR(IF(ISNUMBER(F4969),F4969-IF(ISNUMBER(K4969),K4969,0),""),"")</f>
        <v/>
      </c>
    </row>
    <row r="4970" ht="24" customHeight="1" s="63">
      <c r="E4970" s="139" t="n"/>
      <c r="F4970" s="139" t="n"/>
      <c r="G4970" s="140">
        <f>IFERROR(IF(E4970&gt;0,(F4970/E4970)*1000,""),"")</f>
        <v/>
      </c>
      <c r="H4970" s="139">
        <f>IFERROR(IF(E4970&gt;0,E4970*IF(ISNUMBER(J4970),J4970,IF(OR(C4970="Alpha",B4970="Alpha"),$C$7,IF(C4970="Futures",$C$6,$C$5))),""),"")</f>
        <v/>
      </c>
      <c r="I4970" s="139">
        <f>IFERROR(IF(AND(ISNUMBER(F4970),ISNUMBER(H4970)),F4970-H4970,""),"")</f>
        <v/>
      </c>
      <c r="J4970" s="114" t="n"/>
      <c r="K4970" s="139">
        <f>IFERROR(IF(H4970&gt;0,H4970*IF(OR(C4970="Alpha",B4970="Alpha"),$C$9,$C$8),""),"")</f>
        <v/>
      </c>
      <c r="L4970" s="139">
        <f>IFERROR(IF(ISNUMBER(F4970),F4970-IF(ISNUMBER(K4970),K4970,0),""),"")</f>
        <v/>
      </c>
    </row>
    <row r="4971" ht="24" customHeight="1" s="63">
      <c r="E4971" s="139" t="n"/>
      <c r="F4971" s="139" t="n"/>
      <c r="G4971" s="140">
        <f>IFERROR(IF(E4971&gt;0,(F4971/E4971)*1000,""),"")</f>
        <v/>
      </c>
      <c r="H4971" s="139">
        <f>IFERROR(IF(E4971&gt;0,E4971*IF(ISNUMBER(J4971),J4971,IF(OR(C4971="Alpha",B4971="Alpha"),$C$7,IF(C4971="Futures",$C$6,$C$5))),""),"")</f>
        <v/>
      </c>
      <c r="I4971" s="139">
        <f>IFERROR(IF(AND(ISNUMBER(F4971),ISNUMBER(H4971)),F4971-H4971,""),"")</f>
        <v/>
      </c>
      <c r="J4971" s="114" t="n"/>
      <c r="K4971" s="139">
        <f>IFERROR(IF(H4971&gt;0,H4971*IF(OR(C4971="Alpha",B4971="Alpha"),$C$9,$C$8),""),"")</f>
        <v/>
      </c>
      <c r="L4971" s="139">
        <f>IFERROR(IF(ISNUMBER(F4971),F4971-IF(ISNUMBER(K4971),K4971,0),""),"")</f>
        <v/>
      </c>
    </row>
    <row r="4972" ht="24" customHeight="1" s="63">
      <c r="E4972" s="139" t="n"/>
      <c r="F4972" s="139" t="n"/>
      <c r="G4972" s="140">
        <f>IFERROR(IF(E4972&gt;0,(F4972/E4972)*1000,""),"")</f>
        <v/>
      </c>
      <c r="H4972" s="139">
        <f>IFERROR(IF(E4972&gt;0,E4972*IF(ISNUMBER(J4972),J4972,IF(OR(C4972="Alpha",B4972="Alpha"),$C$7,IF(C4972="Futures",$C$6,$C$5))),""),"")</f>
        <v/>
      </c>
      <c r="I4972" s="139">
        <f>IFERROR(IF(AND(ISNUMBER(F4972),ISNUMBER(H4972)),F4972-H4972,""),"")</f>
        <v/>
      </c>
      <c r="J4972" s="114" t="n"/>
      <c r="K4972" s="139">
        <f>IFERROR(IF(H4972&gt;0,H4972*IF(OR(C4972="Alpha",B4972="Alpha"),$C$9,$C$8),""),"")</f>
        <v/>
      </c>
      <c r="L4972" s="139">
        <f>IFERROR(IF(ISNUMBER(F4972),F4972-IF(ISNUMBER(K4972),K4972,0),""),"")</f>
        <v/>
      </c>
    </row>
    <row r="4973" ht="24" customHeight="1" s="63">
      <c r="E4973" s="139" t="n"/>
      <c r="F4973" s="139" t="n"/>
      <c r="G4973" s="140">
        <f>IFERROR(IF(E4973&gt;0,(F4973/E4973)*1000,""),"")</f>
        <v/>
      </c>
      <c r="H4973" s="139">
        <f>IFERROR(IF(E4973&gt;0,E4973*IF(ISNUMBER(J4973),J4973,IF(OR(C4973="Alpha",B4973="Alpha"),$C$7,IF(C4973="Futures",$C$6,$C$5))),""),"")</f>
        <v/>
      </c>
      <c r="I4973" s="139">
        <f>IFERROR(IF(AND(ISNUMBER(F4973),ISNUMBER(H4973)),F4973-H4973,""),"")</f>
        <v/>
      </c>
      <c r="J4973" s="114" t="n"/>
      <c r="K4973" s="139">
        <f>IFERROR(IF(H4973&gt;0,H4973*IF(OR(C4973="Alpha",B4973="Alpha"),$C$9,$C$8),""),"")</f>
        <v/>
      </c>
      <c r="L4973" s="139">
        <f>IFERROR(IF(ISNUMBER(F4973),F4973-IF(ISNUMBER(K4973),K4973,0),""),"")</f>
        <v/>
      </c>
    </row>
    <row r="4974" ht="24" customHeight="1" s="63">
      <c r="E4974" s="139" t="n"/>
      <c r="F4974" s="139" t="n"/>
      <c r="G4974" s="140">
        <f>IFERROR(IF(E4974&gt;0,(F4974/E4974)*1000,""),"")</f>
        <v/>
      </c>
      <c r="H4974" s="139">
        <f>IFERROR(IF(E4974&gt;0,E4974*IF(ISNUMBER(J4974),J4974,IF(OR(C4974="Alpha",B4974="Alpha"),$C$7,IF(C4974="Futures",$C$6,$C$5))),""),"")</f>
        <v/>
      </c>
      <c r="I4974" s="139">
        <f>IFERROR(IF(AND(ISNUMBER(F4974),ISNUMBER(H4974)),F4974-H4974,""),"")</f>
        <v/>
      </c>
      <c r="J4974" s="114" t="n"/>
      <c r="K4974" s="139">
        <f>IFERROR(IF(H4974&gt;0,H4974*IF(OR(C4974="Alpha",B4974="Alpha"),$C$9,$C$8),""),"")</f>
        <v/>
      </c>
      <c r="L4974" s="139">
        <f>IFERROR(IF(ISNUMBER(F4974),F4974-IF(ISNUMBER(K4974),K4974,0),""),"")</f>
        <v/>
      </c>
    </row>
    <row r="4975" ht="24" customHeight="1" s="63">
      <c r="E4975" s="139" t="n"/>
      <c r="F4975" s="139" t="n"/>
      <c r="G4975" s="140">
        <f>IFERROR(IF(E4975&gt;0,(F4975/E4975)*1000,""),"")</f>
        <v/>
      </c>
      <c r="H4975" s="139">
        <f>IFERROR(IF(E4975&gt;0,E4975*IF(ISNUMBER(J4975),J4975,IF(OR(C4975="Alpha",B4975="Alpha"),$C$7,IF(C4975="Futures",$C$6,$C$5))),""),"")</f>
        <v/>
      </c>
      <c r="I4975" s="139">
        <f>IFERROR(IF(AND(ISNUMBER(F4975),ISNUMBER(H4975)),F4975-H4975,""),"")</f>
        <v/>
      </c>
      <c r="J4975" s="114" t="n"/>
      <c r="K4975" s="139">
        <f>IFERROR(IF(H4975&gt;0,H4975*IF(OR(C4975="Alpha",B4975="Alpha"),$C$9,$C$8),""),"")</f>
        <v/>
      </c>
      <c r="L4975" s="139">
        <f>IFERROR(IF(ISNUMBER(F4975),F4975-IF(ISNUMBER(K4975),K4975,0),""),"")</f>
        <v/>
      </c>
    </row>
    <row r="4976" ht="24" customHeight="1" s="63">
      <c r="E4976" s="139" t="n"/>
      <c r="F4976" s="139" t="n"/>
      <c r="G4976" s="140">
        <f>IFERROR(IF(E4976&gt;0,(F4976/E4976)*1000,""),"")</f>
        <v/>
      </c>
      <c r="H4976" s="139">
        <f>IFERROR(IF(E4976&gt;0,E4976*IF(ISNUMBER(J4976),J4976,IF(OR(C4976="Alpha",B4976="Alpha"),$C$7,IF(C4976="Futures",$C$6,$C$5))),""),"")</f>
        <v/>
      </c>
      <c r="I4976" s="139">
        <f>IFERROR(IF(AND(ISNUMBER(F4976),ISNUMBER(H4976)),F4976-H4976,""),"")</f>
        <v/>
      </c>
      <c r="J4976" s="114" t="n"/>
      <c r="K4976" s="139">
        <f>IFERROR(IF(H4976&gt;0,H4976*IF(OR(C4976="Alpha",B4976="Alpha"),$C$9,$C$8),""),"")</f>
        <v/>
      </c>
      <c r="L4976" s="139">
        <f>IFERROR(IF(ISNUMBER(F4976),F4976-IF(ISNUMBER(K4976),K4976,0),""),"")</f>
        <v/>
      </c>
    </row>
    <row r="4977" ht="24" customHeight="1" s="63">
      <c r="E4977" s="139" t="n"/>
      <c r="F4977" s="139" t="n"/>
      <c r="G4977" s="140">
        <f>IFERROR(IF(E4977&gt;0,(F4977/E4977)*1000,""),"")</f>
        <v/>
      </c>
      <c r="H4977" s="139">
        <f>IFERROR(IF(E4977&gt;0,E4977*IF(ISNUMBER(J4977),J4977,IF(OR(C4977="Alpha",B4977="Alpha"),$C$7,IF(C4977="Futures",$C$6,$C$5))),""),"")</f>
        <v/>
      </c>
      <c r="I4977" s="139">
        <f>IFERROR(IF(AND(ISNUMBER(F4977),ISNUMBER(H4977)),F4977-H4977,""),"")</f>
        <v/>
      </c>
      <c r="J4977" s="114" t="n"/>
      <c r="K4977" s="139">
        <f>IFERROR(IF(H4977&gt;0,H4977*IF(OR(C4977="Alpha",B4977="Alpha"),$C$9,$C$8),""),"")</f>
        <v/>
      </c>
      <c r="L4977" s="139">
        <f>IFERROR(IF(ISNUMBER(F4977),F4977-IF(ISNUMBER(K4977),K4977,0),""),"")</f>
        <v/>
      </c>
    </row>
    <row r="4978" ht="24" customHeight="1" s="63">
      <c r="E4978" s="139" t="n"/>
      <c r="F4978" s="139" t="n"/>
      <c r="G4978" s="140">
        <f>IFERROR(IF(E4978&gt;0,(F4978/E4978)*1000,""),"")</f>
        <v/>
      </c>
      <c r="H4978" s="139">
        <f>IFERROR(IF(E4978&gt;0,E4978*IF(ISNUMBER(J4978),J4978,IF(OR(C4978="Alpha",B4978="Alpha"),$C$7,IF(C4978="Futures",$C$6,$C$5))),""),"")</f>
        <v/>
      </c>
      <c r="I4978" s="139">
        <f>IFERROR(IF(AND(ISNUMBER(F4978),ISNUMBER(H4978)),F4978-H4978,""),"")</f>
        <v/>
      </c>
      <c r="J4978" s="114" t="n"/>
      <c r="K4978" s="139">
        <f>IFERROR(IF(H4978&gt;0,H4978*IF(OR(C4978="Alpha",B4978="Alpha"),$C$9,$C$8),""),"")</f>
        <v/>
      </c>
      <c r="L4978" s="139">
        <f>IFERROR(IF(ISNUMBER(F4978),F4978-IF(ISNUMBER(K4978),K4978,0),""),"")</f>
        <v/>
      </c>
    </row>
    <row r="4979" ht="24" customHeight="1" s="63">
      <c r="E4979" s="139" t="n"/>
      <c r="F4979" s="139" t="n"/>
      <c r="G4979" s="140">
        <f>IFERROR(IF(E4979&gt;0,(F4979/E4979)*1000,""),"")</f>
        <v/>
      </c>
      <c r="H4979" s="139">
        <f>IFERROR(IF(E4979&gt;0,E4979*IF(ISNUMBER(J4979),J4979,IF(OR(C4979="Alpha",B4979="Alpha"),$C$7,IF(C4979="Futures",$C$6,$C$5))),""),"")</f>
        <v/>
      </c>
      <c r="I4979" s="139">
        <f>IFERROR(IF(AND(ISNUMBER(F4979),ISNUMBER(H4979)),F4979-H4979,""),"")</f>
        <v/>
      </c>
      <c r="J4979" s="114" t="n"/>
      <c r="K4979" s="139">
        <f>IFERROR(IF(H4979&gt;0,H4979*IF(OR(C4979="Alpha",B4979="Alpha"),$C$9,$C$8),""),"")</f>
        <v/>
      </c>
      <c r="L4979" s="139">
        <f>IFERROR(IF(ISNUMBER(F4979),F4979-IF(ISNUMBER(K4979),K4979,0),""),"")</f>
        <v/>
      </c>
    </row>
    <row r="4980" ht="24" customHeight="1" s="63">
      <c r="E4980" s="139" t="n"/>
      <c r="F4980" s="139" t="n"/>
      <c r="G4980" s="140">
        <f>IFERROR(IF(E4980&gt;0,(F4980/E4980)*1000,""),"")</f>
        <v/>
      </c>
      <c r="H4980" s="139">
        <f>IFERROR(IF(E4980&gt;0,E4980*IF(ISNUMBER(J4980),J4980,IF(OR(C4980="Alpha",B4980="Alpha"),$C$7,IF(C4980="Futures",$C$6,$C$5))),""),"")</f>
        <v/>
      </c>
      <c r="I4980" s="139">
        <f>IFERROR(IF(AND(ISNUMBER(F4980),ISNUMBER(H4980)),F4980-H4980,""),"")</f>
        <v/>
      </c>
      <c r="J4980" s="114" t="n"/>
      <c r="K4980" s="139">
        <f>IFERROR(IF(H4980&gt;0,H4980*IF(OR(C4980="Alpha",B4980="Alpha"),$C$9,$C$8),""),"")</f>
        <v/>
      </c>
      <c r="L4980" s="139">
        <f>IFERROR(IF(ISNUMBER(F4980),F4980-IF(ISNUMBER(K4980),K4980,0),""),"")</f>
        <v/>
      </c>
    </row>
    <row r="4981" ht="24" customHeight="1" s="63">
      <c r="E4981" s="139" t="n"/>
      <c r="F4981" s="139" t="n"/>
      <c r="G4981" s="140">
        <f>IFERROR(IF(E4981&gt;0,(F4981/E4981)*1000,""),"")</f>
        <v/>
      </c>
      <c r="H4981" s="139">
        <f>IFERROR(IF(E4981&gt;0,E4981*IF(ISNUMBER(J4981),J4981,IF(OR(C4981="Alpha",B4981="Alpha"),$C$7,IF(C4981="Futures",$C$6,$C$5))),""),"")</f>
        <v/>
      </c>
      <c r="I4981" s="139">
        <f>IFERROR(IF(AND(ISNUMBER(F4981),ISNUMBER(H4981)),F4981-H4981,""),"")</f>
        <v/>
      </c>
      <c r="J4981" s="114" t="n"/>
      <c r="K4981" s="139">
        <f>IFERROR(IF(H4981&gt;0,H4981*IF(OR(C4981="Alpha",B4981="Alpha"),$C$9,$C$8),""),"")</f>
        <v/>
      </c>
      <c r="L4981" s="139">
        <f>IFERROR(IF(ISNUMBER(F4981),F4981-IF(ISNUMBER(K4981),K4981,0),""),"")</f>
        <v/>
      </c>
    </row>
    <row r="4982" ht="24" customHeight="1" s="63">
      <c r="E4982" s="139" t="n"/>
      <c r="F4982" s="139" t="n"/>
      <c r="G4982" s="140">
        <f>IFERROR(IF(E4982&gt;0,(F4982/E4982)*1000,""),"")</f>
        <v/>
      </c>
      <c r="H4982" s="139">
        <f>IFERROR(IF(E4982&gt;0,E4982*IF(ISNUMBER(J4982),J4982,IF(OR(C4982="Alpha",B4982="Alpha"),$C$7,IF(C4982="Futures",$C$6,$C$5))),""),"")</f>
        <v/>
      </c>
      <c r="I4982" s="139">
        <f>IFERROR(IF(AND(ISNUMBER(F4982),ISNUMBER(H4982)),F4982-H4982,""),"")</f>
        <v/>
      </c>
      <c r="J4982" s="114" t="n"/>
      <c r="K4982" s="139">
        <f>IFERROR(IF(H4982&gt;0,H4982*IF(OR(C4982="Alpha",B4982="Alpha"),$C$9,$C$8),""),"")</f>
        <v/>
      </c>
      <c r="L4982" s="139">
        <f>IFERROR(IF(ISNUMBER(F4982),F4982-IF(ISNUMBER(K4982),K4982,0),""),"")</f>
        <v/>
      </c>
    </row>
    <row r="4983" ht="24" customHeight="1" s="63">
      <c r="E4983" s="139" t="n"/>
      <c r="F4983" s="139" t="n"/>
      <c r="G4983" s="140">
        <f>IFERROR(IF(E4983&gt;0,(F4983/E4983)*1000,""),"")</f>
        <v/>
      </c>
      <c r="H4983" s="139">
        <f>IFERROR(IF(E4983&gt;0,E4983*IF(ISNUMBER(J4983),J4983,IF(OR(C4983="Alpha",B4983="Alpha"),$C$7,IF(C4983="Futures",$C$6,$C$5))),""),"")</f>
        <v/>
      </c>
      <c r="I4983" s="139">
        <f>IFERROR(IF(AND(ISNUMBER(F4983),ISNUMBER(H4983)),F4983-H4983,""),"")</f>
        <v/>
      </c>
      <c r="J4983" s="114" t="n"/>
      <c r="K4983" s="139">
        <f>IFERROR(IF(H4983&gt;0,H4983*IF(OR(C4983="Alpha",B4983="Alpha"),$C$9,$C$8),""),"")</f>
        <v/>
      </c>
      <c r="L4983" s="139">
        <f>IFERROR(IF(ISNUMBER(F4983),F4983-IF(ISNUMBER(K4983),K4983,0),""),"")</f>
        <v/>
      </c>
    </row>
    <row r="4984" ht="24" customHeight="1" s="63">
      <c r="E4984" s="139" t="n"/>
      <c r="F4984" s="139" t="n"/>
      <c r="G4984" s="140">
        <f>IFERROR(IF(E4984&gt;0,(F4984/E4984)*1000,""),"")</f>
        <v/>
      </c>
      <c r="H4984" s="139">
        <f>IFERROR(IF(E4984&gt;0,E4984*IF(ISNUMBER(J4984),J4984,IF(OR(C4984="Alpha",B4984="Alpha"),$C$7,IF(C4984="Futures",$C$6,$C$5))),""),"")</f>
        <v/>
      </c>
      <c r="I4984" s="139">
        <f>IFERROR(IF(AND(ISNUMBER(F4984),ISNUMBER(H4984)),F4984-H4984,""),"")</f>
        <v/>
      </c>
      <c r="J4984" s="114" t="n"/>
      <c r="K4984" s="139">
        <f>IFERROR(IF(H4984&gt;0,H4984*IF(OR(C4984="Alpha",B4984="Alpha"),$C$9,$C$8),""),"")</f>
        <v/>
      </c>
      <c r="L4984" s="139">
        <f>IFERROR(IF(ISNUMBER(F4984),F4984-IF(ISNUMBER(K4984),K4984,0),""),"")</f>
        <v/>
      </c>
    </row>
    <row r="4985" ht="24" customHeight="1" s="63">
      <c r="E4985" s="139" t="n"/>
      <c r="F4985" s="139" t="n"/>
      <c r="G4985" s="140">
        <f>IFERROR(IF(E4985&gt;0,(F4985/E4985)*1000,""),"")</f>
        <v/>
      </c>
      <c r="H4985" s="139">
        <f>IFERROR(IF(E4985&gt;0,E4985*IF(ISNUMBER(J4985),J4985,IF(OR(C4985="Alpha",B4985="Alpha"),$C$7,IF(C4985="Futures",$C$6,$C$5))),""),"")</f>
        <v/>
      </c>
      <c r="I4985" s="139">
        <f>IFERROR(IF(AND(ISNUMBER(F4985),ISNUMBER(H4985)),F4985-H4985,""),"")</f>
        <v/>
      </c>
      <c r="J4985" s="114" t="n"/>
      <c r="K4985" s="139">
        <f>IFERROR(IF(H4985&gt;0,H4985*IF(OR(C4985="Alpha",B4985="Alpha"),$C$9,$C$8),""),"")</f>
        <v/>
      </c>
      <c r="L4985" s="139">
        <f>IFERROR(IF(ISNUMBER(F4985),F4985-IF(ISNUMBER(K4985),K4985,0),""),"")</f>
        <v/>
      </c>
    </row>
    <row r="4986" ht="24" customHeight="1" s="63">
      <c r="E4986" s="139" t="n"/>
      <c r="F4986" s="139" t="n"/>
      <c r="G4986" s="140">
        <f>IFERROR(IF(E4986&gt;0,(F4986/E4986)*1000,""),"")</f>
        <v/>
      </c>
      <c r="H4986" s="139">
        <f>IFERROR(IF(E4986&gt;0,E4986*IF(ISNUMBER(J4986),J4986,IF(OR(C4986="Alpha",B4986="Alpha"),$C$7,IF(C4986="Futures",$C$6,$C$5))),""),"")</f>
        <v/>
      </c>
      <c r="I4986" s="139">
        <f>IFERROR(IF(AND(ISNUMBER(F4986),ISNUMBER(H4986)),F4986-H4986,""),"")</f>
        <v/>
      </c>
      <c r="J4986" s="114" t="n"/>
      <c r="K4986" s="139">
        <f>IFERROR(IF(H4986&gt;0,H4986*IF(OR(C4986="Alpha",B4986="Alpha"),$C$9,$C$8),""),"")</f>
        <v/>
      </c>
      <c r="L4986" s="139">
        <f>IFERROR(IF(ISNUMBER(F4986),F4986-IF(ISNUMBER(K4986),K4986,0),""),"")</f>
        <v/>
      </c>
    </row>
    <row r="4987" ht="24" customHeight="1" s="63">
      <c r="E4987" s="139" t="n"/>
      <c r="F4987" s="139" t="n"/>
      <c r="G4987" s="140">
        <f>IFERROR(IF(E4987&gt;0,(F4987/E4987)*1000,""),"")</f>
        <v/>
      </c>
      <c r="H4987" s="139">
        <f>IFERROR(IF(E4987&gt;0,E4987*IF(ISNUMBER(J4987),J4987,IF(OR(C4987="Alpha",B4987="Alpha"),$C$7,IF(C4987="Futures",$C$6,$C$5))),""),"")</f>
        <v/>
      </c>
      <c r="I4987" s="139">
        <f>IFERROR(IF(AND(ISNUMBER(F4987),ISNUMBER(H4987)),F4987-H4987,""),"")</f>
        <v/>
      </c>
      <c r="J4987" s="114" t="n"/>
      <c r="K4987" s="139">
        <f>IFERROR(IF(H4987&gt;0,H4987*IF(OR(C4987="Alpha",B4987="Alpha"),$C$9,$C$8),""),"")</f>
        <v/>
      </c>
      <c r="L4987" s="139">
        <f>IFERROR(IF(ISNUMBER(F4987),F4987-IF(ISNUMBER(K4987),K4987,0),""),"")</f>
        <v/>
      </c>
    </row>
    <row r="4988" ht="24" customHeight="1" s="63">
      <c r="E4988" s="139" t="n"/>
      <c r="F4988" s="139" t="n"/>
      <c r="G4988" s="140">
        <f>IFERROR(IF(E4988&gt;0,(F4988/E4988)*1000,""),"")</f>
        <v/>
      </c>
      <c r="H4988" s="139">
        <f>IFERROR(IF(E4988&gt;0,E4988*IF(ISNUMBER(J4988),J4988,IF(OR(C4988="Alpha",B4988="Alpha"),$C$7,IF(C4988="Futures",$C$6,$C$5))),""),"")</f>
        <v/>
      </c>
      <c r="I4988" s="139">
        <f>IFERROR(IF(AND(ISNUMBER(F4988),ISNUMBER(H4988)),F4988-H4988,""),"")</f>
        <v/>
      </c>
      <c r="J4988" s="114" t="n"/>
      <c r="K4988" s="139">
        <f>IFERROR(IF(H4988&gt;0,H4988*IF(OR(C4988="Alpha",B4988="Alpha"),$C$9,$C$8),""),"")</f>
        <v/>
      </c>
      <c r="L4988" s="139">
        <f>IFERROR(IF(ISNUMBER(F4988),F4988-IF(ISNUMBER(K4988),K4988,0),""),"")</f>
        <v/>
      </c>
    </row>
    <row r="4989" ht="24" customHeight="1" s="63">
      <c r="E4989" s="139" t="n"/>
      <c r="F4989" s="139" t="n"/>
      <c r="G4989" s="140">
        <f>IFERROR(IF(E4989&gt;0,(F4989/E4989)*1000,""),"")</f>
        <v/>
      </c>
      <c r="H4989" s="139">
        <f>IFERROR(IF(E4989&gt;0,E4989*IF(ISNUMBER(J4989),J4989,IF(OR(C4989="Alpha",B4989="Alpha"),$C$7,IF(C4989="Futures",$C$6,$C$5))),""),"")</f>
        <v/>
      </c>
      <c r="I4989" s="139">
        <f>IFERROR(IF(AND(ISNUMBER(F4989),ISNUMBER(H4989)),F4989-H4989,""),"")</f>
        <v/>
      </c>
      <c r="J4989" s="114" t="n"/>
      <c r="K4989" s="139">
        <f>IFERROR(IF(H4989&gt;0,H4989*IF(OR(C4989="Alpha",B4989="Alpha"),$C$9,$C$8),""),"")</f>
        <v/>
      </c>
      <c r="L4989" s="139">
        <f>IFERROR(IF(ISNUMBER(F4989),F4989-IF(ISNUMBER(K4989),K4989,0),""),"")</f>
        <v/>
      </c>
    </row>
    <row r="4990" ht="24" customHeight="1" s="63">
      <c r="E4990" s="139" t="n"/>
      <c r="F4990" s="139" t="n"/>
      <c r="G4990" s="140">
        <f>IFERROR(IF(E4990&gt;0,(F4990/E4990)*1000,""),"")</f>
        <v/>
      </c>
      <c r="H4990" s="139">
        <f>IFERROR(IF(E4990&gt;0,E4990*IF(ISNUMBER(J4990),J4990,IF(OR(C4990="Alpha",B4990="Alpha"),$C$7,IF(C4990="Futures",$C$6,$C$5))),""),"")</f>
        <v/>
      </c>
      <c r="I4990" s="139">
        <f>IFERROR(IF(AND(ISNUMBER(F4990),ISNUMBER(H4990)),F4990-H4990,""),"")</f>
        <v/>
      </c>
      <c r="J4990" s="114" t="n"/>
      <c r="K4990" s="139">
        <f>IFERROR(IF(H4990&gt;0,H4990*IF(OR(C4990="Alpha",B4990="Alpha"),$C$9,$C$8),""),"")</f>
        <v/>
      </c>
      <c r="L4990" s="139">
        <f>IFERROR(IF(ISNUMBER(F4990),F4990-IF(ISNUMBER(K4990),K4990,0),""),"")</f>
        <v/>
      </c>
    </row>
    <row r="4991" ht="24" customHeight="1" s="63">
      <c r="E4991" s="139" t="n"/>
      <c r="F4991" s="139" t="n"/>
      <c r="G4991" s="140">
        <f>IFERROR(IF(E4991&gt;0,(F4991/E4991)*1000,""),"")</f>
        <v/>
      </c>
      <c r="H4991" s="139">
        <f>IFERROR(IF(E4991&gt;0,E4991*IF(ISNUMBER(J4991),J4991,IF(OR(C4991="Alpha",B4991="Alpha"),$C$7,IF(C4991="Futures",$C$6,$C$5))),""),"")</f>
        <v/>
      </c>
      <c r="I4991" s="139">
        <f>IFERROR(IF(AND(ISNUMBER(F4991),ISNUMBER(H4991)),F4991-H4991,""),"")</f>
        <v/>
      </c>
      <c r="J4991" s="114" t="n"/>
      <c r="K4991" s="139">
        <f>IFERROR(IF(H4991&gt;0,H4991*IF(OR(C4991="Alpha",B4991="Alpha"),$C$9,$C$8),""),"")</f>
        <v/>
      </c>
      <c r="L4991" s="139">
        <f>IFERROR(IF(ISNUMBER(F4991),F4991-IF(ISNUMBER(K4991),K4991,0),""),"")</f>
        <v/>
      </c>
    </row>
    <row r="4992" ht="24" customHeight="1" s="63">
      <c r="E4992" s="139" t="n"/>
      <c r="F4992" s="139" t="n"/>
      <c r="G4992" s="140">
        <f>IFERROR(IF(E4992&gt;0,(F4992/E4992)*1000,""),"")</f>
        <v/>
      </c>
      <c r="H4992" s="139">
        <f>IFERROR(IF(E4992&gt;0,E4992*IF(ISNUMBER(J4992),J4992,IF(OR(C4992="Alpha",B4992="Alpha"),$C$7,IF(C4992="Futures",$C$6,$C$5))),""),"")</f>
        <v/>
      </c>
      <c r="I4992" s="139">
        <f>IFERROR(IF(AND(ISNUMBER(F4992),ISNUMBER(H4992)),F4992-H4992,""),"")</f>
        <v/>
      </c>
      <c r="J4992" s="114" t="n"/>
      <c r="K4992" s="139">
        <f>IFERROR(IF(H4992&gt;0,H4992*IF(OR(C4992="Alpha",B4992="Alpha"),$C$9,$C$8),""),"")</f>
        <v/>
      </c>
      <c r="L4992" s="139">
        <f>IFERROR(IF(ISNUMBER(F4992),F4992-IF(ISNUMBER(K4992),K4992,0),""),"")</f>
        <v/>
      </c>
    </row>
    <row r="4993" ht="24" customHeight="1" s="63">
      <c r="E4993" s="139" t="n"/>
      <c r="F4993" s="139" t="n"/>
      <c r="G4993" s="140">
        <f>IFERROR(IF(E4993&gt;0,(F4993/E4993)*1000,""),"")</f>
        <v/>
      </c>
      <c r="H4993" s="139">
        <f>IFERROR(IF(E4993&gt;0,E4993*IF(ISNUMBER(J4993),J4993,IF(OR(C4993="Alpha",B4993="Alpha"),$C$7,IF(C4993="Futures",$C$6,$C$5))),""),"")</f>
        <v/>
      </c>
      <c r="I4993" s="139">
        <f>IFERROR(IF(AND(ISNUMBER(F4993),ISNUMBER(H4993)),F4993-H4993,""),"")</f>
        <v/>
      </c>
      <c r="J4993" s="114" t="n"/>
      <c r="K4993" s="139">
        <f>IFERROR(IF(H4993&gt;0,H4993*IF(OR(C4993="Alpha",B4993="Alpha"),$C$9,$C$8),""),"")</f>
        <v/>
      </c>
      <c r="L4993" s="139">
        <f>IFERROR(IF(ISNUMBER(F4993),F4993-IF(ISNUMBER(K4993),K4993,0),""),"")</f>
        <v/>
      </c>
    </row>
    <row r="4994" ht="24" customHeight="1" s="63">
      <c r="E4994" s="139" t="n"/>
      <c r="F4994" s="139" t="n"/>
      <c r="G4994" s="140">
        <f>IFERROR(IF(E4994&gt;0,(F4994/E4994)*1000,""),"")</f>
        <v/>
      </c>
      <c r="H4994" s="139">
        <f>IFERROR(IF(E4994&gt;0,E4994*IF(ISNUMBER(J4994),J4994,IF(OR(C4994="Alpha",B4994="Alpha"),$C$7,IF(C4994="Futures",$C$6,$C$5))),""),"")</f>
        <v/>
      </c>
      <c r="I4994" s="139">
        <f>IFERROR(IF(AND(ISNUMBER(F4994),ISNUMBER(H4994)),F4994-H4994,""),"")</f>
        <v/>
      </c>
      <c r="J4994" s="114" t="n"/>
      <c r="K4994" s="139">
        <f>IFERROR(IF(H4994&gt;0,H4994*IF(OR(C4994="Alpha",B4994="Alpha"),$C$9,$C$8),""),"")</f>
        <v/>
      </c>
      <c r="L4994" s="139">
        <f>IFERROR(IF(ISNUMBER(F4994),F4994-IF(ISNUMBER(K4994),K4994,0),""),"")</f>
        <v/>
      </c>
    </row>
    <row r="4995" ht="24" customHeight="1" s="63">
      <c r="E4995" s="139" t="n"/>
      <c r="F4995" s="139" t="n"/>
      <c r="G4995" s="140">
        <f>IFERROR(IF(E4995&gt;0,(F4995/E4995)*1000,""),"")</f>
        <v/>
      </c>
      <c r="H4995" s="139">
        <f>IFERROR(IF(E4995&gt;0,E4995*IF(ISNUMBER(J4995),J4995,IF(OR(C4995="Alpha",B4995="Alpha"),$C$7,IF(C4995="Futures",$C$6,$C$5))),""),"")</f>
        <v/>
      </c>
      <c r="I4995" s="139">
        <f>IFERROR(IF(AND(ISNUMBER(F4995),ISNUMBER(H4995)),F4995-H4995,""),"")</f>
        <v/>
      </c>
      <c r="J4995" s="114" t="n"/>
      <c r="K4995" s="139">
        <f>IFERROR(IF(H4995&gt;0,H4995*IF(OR(C4995="Alpha",B4995="Alpha"),$C$9,$C$8),""),"")</f>
        <v/>
      </c>
      <c r="L4995" s="139">
        <f>IFERROR(IF(ISNUMBER(F4995),F4995-IF(ISNUMBER(K4995),K4995,0),""),"")</f>
        <v/>
      </c>
    </row>
    <row r="4996" ht="24" customHeight="1" s="63">
      <c r="E4996" s="139" t="n"/>
      <c r="F4996" s="139" t="n"/>
      <c r="G4996" s="140">
        <f>IFERROR(IF(E4996&gt;0,(F4996/E4996)*1000,""),"")</f>
        <v/>
      </c>
      <c r="H4996" s="139">
        <f>IFERROR(IF(E4996&gt;0,E4996*IF(ISNUMBER(J4996),J4996,IF(OR(C4996="Alpha",B4996="Alpha"),$C$7,IF(C4996="Futures",$C$6,$C$5))),""),"")</f>
        <v/>
      </c>
      <c r="I4996" s="139">
        <f>IFERROR(IF(AND(ISNUMBER(F4996),ISNUMBER(H4996)),F4996-H4996,""),"")</f>
        <v/>
      </c>
      <c r="J4996" s="114" t="n"/>
      <c r="K4996" s="139">
        <f>IFERROR(IF(H4996&gt;0,H4996*IF(OR(C4996="Alpha",B4996="Alpha"),$C$9,$C$8),""),"")</f>
        <v/>
      </c>
      <c r="L4996" s="139">
        <f>IFERROR(IF(ISNUMBER(F4996),F4996-IF(ISNUMBER(K4996),K4996,0),""),"")</f>
        <v/>
      </c>
    </row>
    <row r="4997" ht="24" customHeight="1" s="63">
      <c r="E4997" s="139" t="n"/>
      <c r="F4997" s="139" t="n"/>
      <c r="G4997" s="140">
        <f>IFERROR(IF(E4997&gt;0,(F4997/E4997)*1000,""),"")</f>
        <v/>
      </c>
      <c r="H4997" s="139">
        <f>IFERROR(IF(E4997&gt;0,E4997*IF(ISNUMBER(J4997),J4997,IF(OR(C4997="Alpha",B4997="Alpha"),$C$7,IF(C4997="Futures",$C$6,$C$5))),""),"")</f>
        <v/>
      </c>
      <c r="I4997" s="139">
        <f>IFERROR(IF(AND(ISNUMBER(F4997),ISNUMBER(H4997)),F4997-H4997,""),"")</f>
        <v/>
      </c>
      <c r="J4997" s="114" t="n"/>
      <c r="K4997" s="139">
        <f>IFERROR(IF(H4997&gt;0,H4997*IF(OR(C4997="Alpha",B4997="Alpha"),$C$9,$C$8),""),"")</f>
        <v/>
      </c>
      <c r="L4997" s="139">
        <f>IFERROR(IF(ISNUMBER(F4997),F4997-IF(ISNUMBER(K4997),K4997,0),""),"")</f>
        <v/>
      </c>
    </row>
    <row r="4998" ht="24" customHeight="1" s="63">
      <c r="E4998" s="139" t="n"/>
      <c r="F4998" s="139" t="n"/>
      <c r="G4998" s="140">
        <f>IFERROR(IF(E4998&gt;0,(F4998/E4998)*1000,""),"")</f>
        <v/>
      </c>
      <c r="H4998" s="139">
        <f>IFERROR(IF(E4998&gt;0,E4998*IF(ISNUMBER(J4998),J4998,IF(OR(C4998="Alpha",B4998="Alpha"),$C$7,IF(C4998="Futures",$C$6,$C$5))),""),"")</f>
        <v/>
      </c>
      <c r="I4998" s="139">
        <f>IFERROR(IF(AND(ISNUMBER(F4998),ISNUMBER(H4998)),F4998-H4998,""),"")</f>
        <v/>
      </c>
      <c r="J4998" s="114" t="n"/>
      <c r="K4998" s="139">
        <f>IFERROR(IF(H4998&gt;0,H4998*IF(OR(C4998="Alpha",B4998="Alpha"),$C$9,$C$8),""),"")</f>
        <v/>
      </c>
      <c r="L4998" s="139">
        <f>IFERROR(IF(ISNUMBER(F4998),F4998-IF(ISNUMBER(K4998),K4998,0),""),"")</f>
        <v/>
      </c>
    </row>
    <row r="4999" ht="24" customHeight="1" s="63">
      <c r="E4999" s="139" t="n"/>
      <c r="F4999" s="139" t="n"/>
      <c r="G4999" s="140">
        <f>IFERROR(IF(E4999&gt;0,(F4999/E4999)*1000,""),"")</f>
        <v/>
      </c>
      <c r="H4999" s="139">
        <f>IFERROR(IF(E4999&gt;0,E4999*IF(ISNUMBER(J4999),J4999,IF(OR(C4999="Alpha",B4999="Alpha"),$C$7,IF(C4999="Futures",$C$6,$C$5))),""),"")</f>
        <v/>
      </c>
      <c r="I4999" s="139">
        <f>IFERROR(IF(AND(ISNUMBER(F4999),ISNUMBER(H4999)),F4999-H4999,""),"")</f>
        <v/>
      </c>
      <c r="J4999" s="114" t="n"/>
      <c r="K4999" s="139">
        <f>IFERROR(IF(H4999&gt;0,H4999*IF(OR(C4999="Alpha",B4999="Alpha"),$C$9,$C$8),""),"")</f>
        <v/>
      </c>
      <c r="L4999" s="139">
        <f>IFERROR(IF(ISNUMBER(F4999),F4999-IF(ISNUMBER(K4999),K4999,0),""),"")</f>
        <v/>
      </c>
    </row>
    <row r="5000" ht="24" customHeight="1" s="63">
      <c r="E5000" s="139" t="n"/>
      <c r="F5000" s="139" t="n"/>
      <c r="G5000" s="140">
        <f>IFERROR(IF(E5000&gt;0,(F5000/E5000)*1000,""),"")</f>
        <v/>
      </c>
      <c r="H5000" s="139">
        <f>IFERROR(IF(E5000&gt;0,E5000*IF(ISNUMBER(J5000),J5000,IF(OR(C5000="Alpha",B5000="Alpha"),$C$7,IF(C5000="Futures",$C$6,$C$5))),""),"")</f>
        <v/>
      </c>
      <c r="I5000" s="139">
        <f>IFERROR(IF(AND(ISNUMBER(F5000),ISNUMBER(H5000)),F5000-H5000,""),"")</f>
        <v/>
      </c>
      <c r="J5000" s="114" t="n"/>
      <c r="K5000" s="139">
        <f>IFERROR(IF(H5000&gt;0,H5000*IF(OR(C5000="Alpha",B5000="Alpha"),$C$9,$C$8),""),"")</f>
        <v/>
      </c>
      <c r="L5000" s="139">
        <f>IFERROR(IF(ISNUMBER(F5000),F5000-IF(ISNUMBER(K5000),K5000,0),""),"")</f>
        <v/>
      </c>
    </row>
  </sheetData>
  <mergeCells count="24">
    <mergeCell ref="G5:G9"/>
    <mergeCell ref="C6:D6"/>
    <mergeCell ref="I5:I9"/>
    <mergeCell ref="C5:D5"/>
    <mergeCell ref="A6:B6"/>
    <mergeCell ref="C4:D4"/>
    <mergeCell ref="A7:B7"/>
    <mergeCell ref="N3:R3"/>
    <mergeCell ref="C9:D9"/>
    <mergeCell ref="N1:R1"/>
    <mergeCell ref="J5:J9"/>
    <mergeCell ref="E5:E9"/>
    <mergeCell ref="K5:K9"/>
    <mergeCell ref="A5:B5"/>
    <mergeCell ref="H5:H9"/>
    <mergeCell ref="A8:B8"/>
    <mergeCell ref="C8:D8"/>
    <mergeCell ref="F5:F9"/>
    <mergeCell ref="A4:B4"/>
    <mergeCell ref="C7:D7"/>
    <mergeCell ref="L5:L9"/>
    <mergeCell ref="A1:L1"/>
    <mergeCell ref="A3:D3"/>
    <mergeCell ref="A9:B9"/>
  </mergeCells>
  <dataValidations count="4">
    <dataValidation sqref="A12:A250" showDropDown="0" showInputMessage="1" showErrorMessage="1" allowBlank="1" errorTitle="Geçersiz Tarih" error="Lütfen geçerli bir tarih giriniz." promptTitle="Tarih Seçimi" prompt="Tarihi GG.AA.YYYY formatında giriniz. Bugün: Ctrl + ;" type="date">
      <formula1>DATE(2022,1,1)</formula1>
      <formula2>DATE(2035,12,31)</formula2>
    </dataValidation>
    <dataValidation sqref="B12:B250" showDropDown="0" showInputMessage="1" showErrorMessage="1" allowBlank="1" promptTitle="Event Türü" prompt="Listeden etkinlik türünü seçiniz." type="list">
      <formula1>"Splash,Alpha,Stock Buzz,Puzzle Hunt,Others"</formula1>
    </dataValidation>
    <dataValidation sqref="C12:C250" showDropDown="0" showInputMessage="1" showErrorMessage="1" allowBlank="1" promptTitle="Piyasa Türü" prompt="Piyasa türünü seçiniz. Komisyon otomatik uygulanır." type="list">
      <formula1>"Spot,Futures,Alpha"</formula1>
    </dataValidation>
    <dataValidation sqref="C5 C6 C7 J12:J250" showDropDown="0" showInputMessage="1" showErrorMessage="1" allowBlank="1" promptTitle="Fee Oranı" prompt="Yüzde olarak giriniz (Örn: 0.06%). Boşsa genel oran uygulanır." type="decimal">
      <formula1>0</formula1>
      <formula2>0.1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2026-10-03T15:11:01Z</dcterms:created>
  <dcterms:modified xsi:type="dcterms:W3CDTF">2026-10-03T16:57:06Z</dcterms:modified>
  <cp:lastModifiedBy>Serdar Arif Çınar</cp:lastModifiedBy>
</cp:coreProperties>
</file>